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울산기획조사팀\02 울산지역 경제동향_(책자)\2026\4월\"/>
    </mc:Choice>
  </mc:AlternateContent>
  <xr:revisionPtr revIDLastSave="0" documentId="13_ncr:1_{23E6D709-80C8-41B4-B60F-06DC2A410F52}" xr6:coauthVersionLast="36" xr6:coauthVersionMax="36" xr10:uidLastSave="{00000000-0000-0000-0000-000000000000}"/>
  <bookViews>
    <workbookView xWindow="0" yWindow="0" windowWidth="28800" windowHeight="12180" tabRatio="842" xr2:uid="{9AD82569-1DE3-4BE6-9A8C-C441D88E575F}"/>
  </bookViews>
  <sheets>
    <sheet name="표지" sheetId="1" r:id="rId1"/>
    <sheet name="1.1. 한국은행 계정" sheetId="2" r:id="rId2"/>
    <sheet name="1.2~3.여수신 등" sheetId="3" r:id="rId3"/>
    <sheet name="1.4.어음부도율" sheetId="4" r:id="rId4"/>
    <sheet name="2.1.제조업 생산·출하·재고지수" sheetId="5" r:id="rId5"/>
    <sheet name="2.2.대형소매점 판매액지수" sheetId="6" r:id="rId6"/>
    <sheet name="2.3.건축 허가·착공 면적 등" sheetId="7" r:id="rId7"/>
    <sheet name="2.4.수출입" sheetId="8" r:id="rId8"/>
    <sheet name="2.5.취업자수 및 실업률" sheetId="9" r:id="rId9"/>
    <sheet name="2.6.물가" sheetId="10" r:id="rId10"/>
    <sheet name="2.7.기업경기지수" sheetId="11" r:id="rId11"/>
    <sheet name="2.8.소비자동향지수" sheetId="12" r:id="rId12"/>
    <sheet name="2.9.자동차 신규등록대수" sheetId="13" r:id="rId13"/>
    <sheet name="2.10.전력 사용량" sheetId="14" r:id="rId14"/>
    <sheet name="2.11.기업경영분석" sheetId="15" r:id="rId15"/>
  </sheets>
  <definedNames>
    <definedName name="_xlnm.Print_Area" localSheetId="1">'1.1. 한국은행 계정'!$A$1:$G$54</definedName>
    <definedName name="_xlnm.Print_Area" localSheetId="2">'1.2~3.여수신 등'!$A$1:$CX$59</definedName>
    <definedName name="_xlnm.Print_Area" localSheetId="4">'2.1.제조업 생산·출하·재고지수'!$A$1:$G$54</definedName>
    <definedName name="_xlnm.Print_Area" localSheetId="13">'2.10.전력 사용량'!$A$1:$H$51</definedName>
    <definedName name="_xlnm.Print_Area" localSheetId="14">'2.11.기업경영분석'!$A$1:$AD$18</definedName>
    <definedName name="_xlnm.Print_Area" localSheetId="5">'2.2.대형소매점 판매액지수'!$A$1:$E$51</definedName>
    <definedName name="_xlnm.Print_Area" localSheetId="6">'2.3.건축 허가·착공 면적 등'!$A$1:$K$51</definedName>
    <definedName name="_xlnm.Print_Area" localSheetId="7">'2.4.수출입'!$A$1:$L$51</definedName>
    <definedName name="_xlnm.Print_Area" localSheetId="8">'2.5.취업자수 및 실업률'!$A$1:$H$50</definedName>
    <definedName name="_xlnm.Print_Area" localSheetId="11">'2.8.소비자동향지수'!$A$1:$M$49</definedName>
    <definedName name="_xlnm.Print_Area" localSheetId="12">'2.9.자동차 신규등록대수'!$A$1:$F$48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" i="15" l="1"/>
  <c r="P9" i="15" s="1"/>
  <c r="P8" i="15"/>
  <c r="P7" i="15"/>
  <c r="P6" i="15"/>
  <c r="A22" i="14"/>
  <c r="A23" i="14" s="1"/>
  <c r="A8" i="14"/>
  <c r="A9" i="14" s="1"/>
  <c r="A20" i="13"/>
  <c r="A6" i="13"/>
  <c r="A20" i="12"/>
  <c r="A7" i="12"/>
  <c r="A6" i="12"/>
  <c r="A23" i="11"/>
  <c r="A22" i="11"/>
  <c r="O8" i="11"/>
  <c r="A8" i="11"/>
  <c r="A9" i="11" s="1"/>
  <c r="O7" i="11"/>
  <c r="A21" i="10"/>
  <c r="A7" i="10"/>
  <c r="A23" i="9"/>
  <c r="A24" i="9" s="1"/>
  <c r="A22" i="9"/>
  <c r="A10" i="9"/>
  <c r="A11" i="9" s="1"/>
  <c r="A9" i="9"/>
  <c r="A8" i="9"/>
  <c r="A23" i="8"/>
  <c r="F22" i="8"/>
  <c r="A22" i="8"/>
  <c r="A8" i="8"/>
  <c r="F7" i="8"/>
  <c r="A22" i="7"/>
  <c r="A8" i="7"/>
  <c r="A23" i="6"/>
  <c r="A22" i="6"/>
  <c r="A9" i="6"/>
  <c r="A8" i="6"/>
  <c r="A26" i="5"/>
  <c r="A25" i="5"/>
  <c r="A24" i="5"/>
  <c r="A14" i="5"/>
  <c r="A15" i="5" s="1"/>
  <c r="A16" i="5" s="1"/>
  <c r="A12" i="5"/>
  <c r="A13" i="5" s="1"/>
  <c r="A10" i="5"/>
  <c r="A11" i="5" s="1"/>
  <c r="A22" i="4"/>
  <c r="A8" i="4"/>
  <c r="A7" i="4"/>
  <c r="A6" i="4"/>
  <c r="A27" i="2"/>
  <c r="A14" i="2"/>
  <c r="A13" i="2"/>
  <c r="A12" i="2"/>
  <c r="A1" i="1"/>
  <c r="A17" i="5" l="1"/>
  <c r="A27" i="5"/>
  <c r="A10" i="6"/>
  <c r="A24" i="6"/>
  <c r="A15" i="2"/>
  <c r="A9" i="4"/>
  <c r="A28" i="2"/>
  <c r="A12" i="9"/>
  <c r="A9" i="7"/>
  <c r="A23" i="4"/>
  <c r="A24" i="8"/>
  <c r="F23" i="8"/>
  <c r="A25" i="9"/>
  <c r="K7" i="8"/>
  <c r="A23" i="7"/>
  <c r="A9" i="8"/>
  <c r="F8" i="8"/>
  <c r="O9" i="11"/>
  <c r="A10" i="11"/>
  <c r="K22" i="8"/>
  <c r="A8" i="12"/>
  <c r="O23" i="11"/>
  <c r="A24" i="11"/>
  <c r="A8" i="10"/>
  <c r="A22" i="10"/>
  <c r="O22" i="11"/>
  <c r="A21" i="13"/>
  <c r="A7" i="13"/>
  <c r="A24" i="14"/>
  <c r="A21" i="12"/>
  <c r="A10" i="14"/>
  <c r="A10" i="15"/>
  <c r="A24" i="7" l="1"/>
  <c r="A10" i="4"/>
  <c r="A16" i="2"/>
  <c r="A25" i="11"/>
  <c r="O24" i="11"/>
  <c r="A25" i="8"/>
  <c r="K24" i="8"/>
  <c r="A13" i="9"/>
  <c r="A25" i="6"/>
  <c r="A25" i="14"/>
  <c r="A23" i="10"/>
  <c r="A22" i="13"/>
  <c r="A9" i="10"/>
  <c r="A11" i="11"/>
  <c r="O10" i="11"/>
  <c r="A10" i="8"/>
  <c r="F9" i="8"/>
  <c r="A26" i="9"/>
  <c r="A10" i="7"/>
  <c r="A9" i="12"/>
  <c r="K8" i="8"/>
  <c r="K23" i="8"/>
  <c r="A11" i="14"/>
  <c r="A11" i="15"/>
  <c r="P10" i="15"/>
  <c r="A22" i="12"/>
  <c r="A8" i="13"/>
  <c r="A29" i="2"/>
  <c r="A11" i="6"/>
  <c r="A24" i="4"/>
  <c r="A28" i="5"/>
  <c r="A18" i="5"/>
  <c r="A11" i="4" l="1"/>
  <c r="A17" i="2"/>
  <c r="A29" i="5"/>
  <c r="A19" i="5"/>
  <c r="A25" i="4"/>
  <c r="A9" i="13"/>
  <c r="A23" i="12"/>
  <c r="P11" i="15"/>
  <c r="A12" i="15"/>
  <c r="A11" i="7"/>
  <c r="A10" i="12"/>
  <c r="K9" i="8"/>
  <c r="A23" i="13"/>
  <c r="A26" i="6"/>
  <c r="A14" i="9"/>
  <c r="A30" i="2"/>
  <c r="A10" i="10"/>
  <c r="F24" i="8"/>
  <c r="A12" i="6"/>
  <c r="A27" i="9"/>
  <c r="A12" i="11"/>
  <c r="O11" i="11"/>
  <c r="A25" i="7"/>
  <c r="A26" i="11"/>
  <c r="O25" i="11"/>
  <c r="A12" i="14"/>
  <c r="A26" i="8"/>
  <c r="A11" i="8"/>
  <c r="A24" i="10"/>
  <c r="A26" i="14"/>
  <c r="A26" i="7" l="1"/>
  <c r="A28" i="9"/>
  <c r="A11" i="10"/>
  <c r="A12" i="8"/>
  <c r="A15" i="9"/>
  <c r="A27" i="6"/>
  <c r="A24" i="13"/>
  <c r="A24" i="12"/>
  <c r="A25" i="10"/>
  <c r="A27" i="14"/>
  <c r="A30" i="5"/>
  <c r="A27" i="8"/>
  <c r="F26" i="8"/>
  <c r="A12" i="7"/>
  <c r="F10" i="8"/>
  <c r="K25" i="8"/>
  <c r="A13" i="14"/>
  <c r="P12" i="15"/>
  <c r="A13" i="15"/>
  <c r="A20" i="5"/>
  <c r="O26" i="11"/>
  <c r="O27" i="11" s="1"/>
  <c r="O28" i="11" s="1"/>
  <c r="O29" i="11" s="1"/>
  <c r="O30" i="11" s="1"/>
  <c r="O31" i="11" s="1"/>
  <c r="O33" i="11" s="1"/>
  <c r="O34" i="11" s="1"/>
  <c r="O35" i="11" s="1"/>
  <c r="O36" i="11" s="1"/>
  <c r="O37" i="11" s="1"/>
  <c r="O38" i="11" s="1"/>
  <c r="O39" i="11" s="1"/>
  <c r="O40" i="11" s="1"/>
  <c r="O41" i="11" s="1"/>
  <c r="O42" i="11" s="1"/>
  <c r="O43" i="11" s="1"/>
  <c r="O44" i="11" s="1"/>
  <c r="O46" i="11" s="1"/>
  <c r="O47" i="11" s="1"/>
  <c r="O48" i="11" s="1"/>
  <c r="O49" i="11" s="1"/>
  <c r="A27" i="11"/>
  <c r="A31" i="2"/>
  <c r="A13" i="11"/>
  <c r="O12" i="11"/>
  <c r="A13" i="6"/>
  <c r="A11" i="12"/>
  <c r="A12" i="4"/>
  <c r="A18" i="2"/>
  <c r="K10" i="8"/>
  <c r="F25" i="8"/>
  <c r="A10" i="13"/>
  <c r="A26" i="4"/>
  <c r="P13" i="15" l="1"/>
  <c r="A14" i="15"/>
  <c r="A13" i="8"/>
  <c r="A11" i="13"/>
  <c r="A13" i="4"/>
  <c r="A19" i="2"/>
  <c r="A26" i="10"/>
  <c r="F11" i="8"/>
  <c r="A27" i="4"/>
  <c r="A28" i="14"/>
  <c r="A28" i="6"/>
  <c r="A14" i="6"/>
  <c r="A12" i="12"/>
  <c r="A31" i="5"/>
  <c r="A12" i="10"/>
  <c r="A13" i="7"/>
  <c r="A25" i="13"/>
  <c r="K11" i="8"/>
  <c r="A21" i="5"/>
  <c r="K27" i="8"/>
  <c r="A28" i="8"/>
  <c r="O13" i="11"/>
  <c r="A14" i="11"/>
  <c r="A32" i="2"/>
  <c r="A28" i="11"/>
  <c r="A14" i="14"/>
  <c r="K26" i="8"/>
  <c r="A25" i="12"/>
  <c r="A16" i="9"/>
  <c r="A29" i="9"/>
  <c r="A27" i="7"/>
  <c r="A33" i="2" l="1"/>
  <c r="A29" i="6"/>
  <c r="A28" i="4"/>
  <c r="A29" i="8"/>
  <c r="F28" i="8"/>
  <c r="A32" i="5"/>
  <c r="A13" i="12"/>
  <c r="K12" i="8"/>
  <c r="A15" i="11"/>
  <c r="O14" i="11"/>
  <c r="A12" i="13"/>
  <c r="A15" i="14"/>
  <c r="A22" i="5"/>
  <c r="A15" i="6"/>
  <c r="A26" i="12"/>
  <c r="A14" i="7"/>
  <c r="A13" i="10"/>
  <c r="A14" i="4"/>
  <c r="A20" i="2"/>
  <c r="F12" i="8"/>
  <c r="A14" i="8"/>
  <c r="A28" i="7"/>
  <c r="A30" i="9"/>
  <c r="A17" i="9"/>
  <c r="F27" i="8"/>
  <c r="A26" i="13"/>
  <c r="A15" i="15"/>
  <c r="P14" i="15"/>
  <c r="A29" i="11"/>
  <c r="A29" i="14"/>
  <c r="A27" i="10"/>
  <c r="A16" i="11" l="1"/>
  <c r="O15" i="11"/>
  <c r="A30" i="8"/>
  <c r="F29" i="8"/>
  <c r="A15" i="7"/>
  <c r="A14" i="12"/>
  <c r="A30" i="14"/>
  <c r="A31" i="9"/>
  <c r="K13" i="8"/>
  <c r="A16" i="6"/>
  <c r="K28" i="8"/>
  <c r="A29" i="4"/>
  <c r="A18" i="9"/>
  <c r="A15" i="8"/>
  <c r="A34" i="2"/>
  <c r="A27" i="13"/>
  <c r="F13" i="8"/>
  <c r="A16" i="14"/>
  <c r="A29" i="7"/>
  <c r="A21" i="2"/>
  <c r="A15" i="4"/>
  <c r="A14" i="10"/>
  <c r="A28" i="10"/>
  <c r="A30" i="11"/>
  <c r="P15" i="15"/>
  <c r="A16" i="15"/>
  <c r="P16" i="15" s="1"/>
  <c r="A27" i="12"/>
  <c r="A13" i="13"/>
  <c r="A33" i="5"/>
  <c r="A30" i="6"/>
  <c r="K14" i="8" l="1"/>
  <c r="A16" i="7"/>
  <c r="A31" i="6"/>
  <c r="A31" i="11"/>
  <c r="A22" i="2"/>
  <c r="A16" i="4"/>
  <c r="A35" i="2"/>
  <c r="F15" i="8"/>
  <c r="K15" i="8"/>
  <c r="A16" i="8"/>
  <c r="A19" i="9"/>
  <c r="A17" i="6"/>
  <c r="A31" i="14"/>
  <c r="A29" i="10"/>
  <c r="A17" i="14"/>
  <c r="A31" i="8"/>
  <c r="A35" i="5"/>
  <c r="A30" i="7"/>
  <c r="A28" i="12"/>
  <c r="F14" i="8"/>
  <c r="A15" i="12"/>
  <c r="A15" i="10"/>
  <c r="A28" i="13"/>
  <c r="A30" i="4"/>
  <c r="A33" i="9"/>
  <c r="K29" i="8"/>
  <c r="A17" i="11"/>
  <c r="O16" i="11"/>
  <c r="A14" i="13"/>
  <c r="A33" i="6" l="1"/>
  <c r="A33" i="8"/>
  <c r="F31" i="8"/>
  <c r="A17" i="7"/>
  <c r="A34" i="9"/>
  <c r="A31" i="4"/>
  <c r="K30" i="8"/>
  <c r="A30" i="10"/>
  <c r="A33" i="14"/>
  <c r="A36" i="2"/>
  <c r="A23" i="2"/>
  <c r="A17" i="4"/>
  <c r="A31" i="7"/>
  <c r="A29" i="13"/>
  <c r="A15" i="13"/>
  <c r="A18" i="11"/>
  <c r="O17" i="11"/>
  <c r="A36" i="5"/>
  <c r="A18" i="14"/>
  <c r="A20" i="9"/>
  <c r="A17" i="8"/>
  <c r="A16" i="10"/>
  <c r="A16" i="12"/>
  <c r="A29" i="12"/>
  <c r="F30" i="8"/>
  <c r="A18" i="6"/>
  <c r="A33" i="11"/>
  <c r="A37" i="5" l="1"/>
  <c r="A16" i="13"/>
  <c r="A18" i="4"/>
  <c r="A24" i="2"/>
  <c r="A31" i="12"/>
  <c r="F16" i="8"/>
  <c r="A34" i="8"/>
  <c r="F33" i="8"/>
  <c r="A18" i="7"/>
  <c r="A34" i="11"/>
  <c r="A17" i="12"/>
  <c r="A17" i="10"/>
  <c r="A18" i="8"/>
  <c r="K17" i="8"/>
  <c r="F17" i="8"/>
  <c r="A19" i="14"/>
  <c r="A33" i="7"/>
  <c r="A32" i="10"/>
  <c r="K31" i="8"/>
  <c r="K16" i="8"/>
  <c r="A34" i="14"/>
  <c r="A19" i="6"/>
  <c r="A31" i="13"/>
  <c r="A35" i="9"/>
  <c r="A33" i="4"/>
  <c r="O18" i="11"/>
  <c r="A19" i="11"/>
  <c r="A38" i="2"/>
  <c r="A34" i="6"/>
  <c r="A34" i="4" l="1"/>
  <c r="A35" i="14"/>
  <c r="A34" i="7"/>
  <c r="A35" i="8"/>
  <c r="F34" i="8"/>
  <c r="A20" i="11"/>
  <c r="O19" i="11"/>
  <c r="A20" i="6"/>
  <c r="A33" i="10"/>
  <c r="A35" i="11"/>
  <c r="A19" i="4"/>
  <c r="A25" i="2"/>
  <c r="A19" i="7"/>
  <c r="K33" i="8"/>
  <c r="A18" i="12"/>
  <c r="A38" i="5"/>
  <c r="A35" i="6"/>
  <c r="A20" i="14"/>
  <c r="F18" i="8"/>
  <c r="A19" i="8"/>
  <c r="K18" i="8"/>
  <c r="A18" i="10"/>
  <c r="A17" i="13"/>
  <c r="A39" i="2"/>
  <c r="A36" i="9"/>
  <c r="A32" i="13"/>
  <c r="A32" i="12"/>
  <c r="A20" i="8" l="1"/>
  <c r="F19" i="8"/>
  <c r="O20" i="11"/>
  <c r="A35" i="7"/>
  <c r="A33" i="12"/>
  <c r="A40" i="2"/>
  <c r="A36" i="8"/>
  <c r="A37" i="9"/>
  <c r="A34" i="10"/>
  <c r="K34" i="8"/>
  <c r="A19" i="10"/>
  <c r="A20" i="4"/>
  <c r="A33" i="13"/>
  <c r="A18" i="13"/>
  <c r="A36" i="14"/>
  <c r="A36" i="6"/>
  <c r="A35" i="4"/>
  <c r="A39" i="5"/>
  <c r="A20" i="7"/>
  <c r="A36" i="11"/>
  <c r="A41" i="2" l="1"/>
  <c r="A40" i="5"/>
  <c r="A37" i="8"/>
  <c r="F36" i="8"/>
  <c r="A36" i="7"/>
  <c r="A35" i="10"/>
  <c r="F35" i="8"/>
  <c r="A34" i="12"/>
  <c r="F20" i="8"/>
  <c r="K35" i="8"/>
  <c r="A37" i="11"/>
  <c r="A36" i="4"/>
  <c r="A37" i="14"/>
  <c r="A38" i="9"/>
  <c r="A37" i="6"/>
  <c r="A34" i="13"/>
  <c r="K19" i="8"/>
  <c r="A38" i="6" l="1"/>
  <c r="A39" i="9"/>
  <c r="A37" i="4"/>
  <c r="A38" i="8"/>
  <c r="K37" i="8"/>
  <c r="K36" i="8"/>
  <c r="A35" i="13"/>
  <c r="A35" i="12"/>
  <c r="A41" i="5"/>
  <c r="A42" i="2"/>
  <c r="A38" i="11"/>
  <c r="K20" i="8"/>
  <c r="A36" i="10"/>
  <c r="A37" i="7"/>
  <c r="A38" i="14"/>
  <c r="A39" i="14" l="1"/>
  <c r="A42" i="5"/>
  <c r="A36" i="13"/>
  <c r="A38" i="4"/>
  <c r="A37" i="10"/>
  <c r="A36" i="12"/>
  <c r="A38" i="7"/>
  <c r="A40" i="9"/>
  <c r="A39" i="11"/>
  <c r="A43" i="2"/>
  <c r="F37" i="8"/>
  <c r="A39" i="6"/>
  <c r="A39" i="8"/>
  <c r="A40" i="6" l="1"/>
  <c r="A44" i="2"/>
  <c r="A41" i="9"/>
  <c r="K38" i="8"/>
  <c r="A38" i="10"/>
  <c r="A37" i="13"/>
  <c r="A43" i="5"/>
  <c r="A39" i="7"/>
  <c r="A40" i="11"/>
  <c r="A39" i="4"/>
  <c r="F38" i="8"/>
  <c r="A37" i="12"/>
  <c r="A40" i="8"/>
  <c r="A40" i="14"/>
  <c r="A40" i="4" l="1"/>
  <c r="A41" i="11"/>
  <c r="A41" i="8"/>
  <c r="A41" i="14"/>
  <c r="F39" i="8"/>
  <c r="A38" i="13"/>
  <c r="A39" i="10"/>
  <c r="A40" i="7"/>
  <c r="A44" i="5"/>
  <c r="A42" i="9"/>
  <c r="A41" i="6"/>
  <c r="K39" i="8"/>
  <c r="A45" i="2"/>
  <c r="A38" i="12"/>
  <c r="A39" i="12" l="1"/>
  <c r="A46" i="2"/>
  <c r="A39" i="13"/>
  <c r="F40" i="8"/>
  <c r="A45" i="5"/>
  <c r="A43" i="9"/>
  <c r="A42" i="14"/>
  <c r="A42" i="8"/>
  <c r="A42" i="6"/>
  <c r="A40" i="10"/>
  <c r="K40" i="8"/>
  <c r="A41" i="7"/>
  <c r="A42" i="11"/>
  <c r="A41" i="4"/>
  <c r="K41" i="8" l="1"/>
  <c r="A44" i="9"/>
  <c r="A47" i="2"/>
  <c r="A43" i="11"/>
  <c r="A42" i="4"/>
  <c r="A43" i="6"/>
  <c r="F41" i="8"/>
  <c r="A43" i="14"/>
  <c r="A40" i="13"/>
  <c r="A42" i="7"/>
  <c r="F42" i="8"/>
  <c r="A43" i="8"/>
  <c r="A41" i="10"/>
  <c r="A46" i="5"/>
  <c r="A40" i="12"/>
  <c r="A44" i="11" l="1"/>
  <c r="A43" i="7"/>
  <c r="A48" i="2"/>
  <c r="A46" i="9"/>
  <c r="K42" i="8"/>
  <c r="A41" i="12"/>
  <c r="A42" i="10"/>
  <c r="A44" i="8"/>
  <c r="A41" i="13"/>
  <c r="A44" i="6"/>
  <c r="A43" i="4"/>
  <c r="A48" i="5"/>
  <c r="A44" i="14"/>
  <c r="A44" i="4" l="1"/>
  <c r="A46" i="14"/>
  <c r="A49" i="5"/>
  <c r="A42" i="13"/>
  <c r="A43" i="10"/>
  <c r="F43" i="8"/>
  <c r="A42" i="12"/>
  <c r="A46" i="8"/>
  <c r="A49" i="2"/>
  <c r="K43" i="8"/>
  <c r="A44" i="7"/>
  <c r="A46" i="6"/>
  <c r="A47" i="9"/>
  <c r="A46" i="11"/>
  <c r="A46" i="7" l="1"/>
  <c r="A47" i="11"/>
  <c r="A47" i="6"/>
  <c r="A45" i="10"/>
  <c r="A50" i="5"/>
  <c r="A48" i="9"/>
  <c r="F44" i="8"/>
  <c r="A47" i="8"/>
  <c r="A44" i="13"/>
  <c r="A47" i="14"/>
  <c r="A51" i="2"/>
  <c r="K44" i="8"/>
  <c r="A46" i="4"/>
  <c r="A44" i="12"/>
  <c r="A47" i="4" l="1"/>
  <c r="A45" i="12"/>
  <c r="A48" i="11"/>
  <c r="A47" i="7"/>
  <c r="K46" i="8"/>
  <c r="A48" i="6"/>
  <c r="F46" i="8"/>
  <c r="A46" i="10"/>
  <c r="A48" i="8"/>
  <c r="K47" i="8"/>
  <c r="A52" i="2"/>
  <c r="A45" i="13"/>
  <c r="A53" i="2" l="1"/>
  <c r="F47" i="8"/>
  <c r="A46" i="12"/>
  <c r="A49" i="11"/>
  <c r="A47" i="10"/>
  <c r="A46" i="13"/>
  <c r="A48" i="4"/>
  <c r="A48" i="7"/>
  <c r="F48" i="8" l="1"/>
  <c r="A47" i="12"/>
  <c r="K48" i="8"/>
  <c r="D20" i="14" l="1"/>
  <c r="D30" i="14"/>
  <c r="D31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6" i="14"/>
  <c r="D47" i="14"/>
  <c r="D29" i="14"/>
  <c r="D28" i="14"/>
  <c r="D27" i="14"/>
  <c r="D26" i="14"/>
  <c r="D25" i="14"/>
  <c r="D19" i="14" l="1"/>
  <c r="D18" i="14"/>
  <c r="D17" i="14"/>
  <c r="D16" i="14"/>
  <c r="D15" i="14"/>
  <c r="D14" i="14"/>
  <c r="D13" i="14"/>
  <c r="D12" i="14"/>
  <c r="D11" i="14"/>
  <c r="D10" i="14"/>
  <c r="D9" i="14"/>
  <c r="D8" i="14"/>
  <c r="D7" i="14"/>
  <c r="D22" i="14" l="1"/>
  <c r="D23" i="14"/>
  <c r="D24" i="14"/>
</calcChain>
</file>

<file path=xl/sharedStrings.xml><?xml version="1.0" encoding="utf-8"?>
<sst xmlns="http://schemas.openxmlformats.org/spreadsheetml/2006/main" count="858" uniqueCount="350">
  <si>
    <t>날짜</t>
    <phoneticPr fontId="4" type="noConversion"/>
  </si>
  <si>
    <t>1. 통계 전반에 걸쳐서 사용된 기호의 뜻은 다음과 같음</t>
    <phoneticPr fontId="4" type="noConversion"/>
  </si>
  <si>
    <t>[ 0 ]</t>
    <phoneticPr fontId="4" type="noConversion"/>
  </si>
  <si>
    <t>단위미만(0포함)</t>
    <phoneticPr fontId="4" type="noConversion"/>
  </si>
  <si>
    <t>[ - ]</t>
    <phoneticPr fontId="4" type="noConversion"/>
  </si>
  <si>
    <t>해당사항 없음</t>
    <phoneticPr fontId="4" type="noConversion"/>
  </si>
  <si>
    <t xml:space="preserve">[ .. ] </t>
    <phoneticPr fontId="4" type="noConversion"/>
  </si>
  <si>
    <t>미상</t>
    <phoneticPr fontId="4" type="noConversion"/>
  </si>
  <si>
    <t>[ r ]</t>
    <phoneticPr fontId="4" type="noConversion"/>
  </si>
  <si>
    <t>정정</t>
    <phoneticPr fontId="4" type="noConversion"/>
  </si>
  <si>
    <t xml:space="preserve">[ p ] </t>
    <phoneticPr fontId="4" type="noConversion"/>
  </si>
  <si>
    <t>잠정치</t>
    <phoneticPr fontId="4" type="noConversion"/>
  </si>
  <si>
    <r>
      <t xml:space="preserve">[ </t>
    </r>
    <r>
      <rPr>
        <b/>
        <sz val="11"/>
        <color theme="1"/>
        <rFont val="Calibri"/>
        <family val="3"/>
        <charset val="161"/>
      </rPr>
      <t>Δ</t>
    </r>
    <r>
      <rPr>
        <b/>
        <sz val="11"/>
        <color theme="1"/>
        <rFont val="맑은 고딕"/>
        <family val="3"/>
        <charset val="129"/>
      </rPr>
      <t xml:space="preserve"> ]</t>
    </r>
    <phoneticPr fontId="4" type="noConversion"/>
  </si>
  <si>
    <t>시계열의 비연속: 이 기호가 붙은 숫자의 경우 그 이후와 이전의 시계열은 직접 비교할 수  없음</t>
    <phoneticPr fontId="4" type="noConversion"/>
  </si>
  <si>
    <t>2. 모든 통계는 합계와 세목이 각각 반올림되었으므로 세목의 합계가 "합계"와 일치하지 않을 수 있음</t>
    <phoneticPr fontId="4" type="noConversion"/>
  </si>
  <si>
    <r>
      <t xml:space="preserve">3. 통계표 중 전월호의 수치와 일치하지 않는 통계는 최근호에서 정정된 것으로 </t>
    </r>
    <r>
      <rPr>
        <b/>
        <sz val="11"/>
        <color theme="1"/>
        <rFont val="맑은 고딕"/>
        <family val="3"/>
        <charset val="129"/>
        <scheme val="minor"/>
      </rPr>
      <t>최근호가 정확함</t>
    </r>
    <phoneticPr fontId="4" type="noConversion"/>
  </si>
  <si>
    <t>4. 울산지역 금융통계상의 금융기관 포괄범위</t>
    <phoneticPr fontId="4" type="noConversion"/>
  </si>
  <si>
    <t xml:space="preserve"> 가. 예금은행</t>
    <phoneticPr fontId="4" type="noConversion"/>
  </si>
  <si>
    <t xml:space="preserve">  (1) 일반은행 : 시중은행, 지방은행</t>
    <phoneticPr fontId="4" type="noConversion"/>
  </si>
  <si>
    <t xml:space="preserve">  (2) 특수은행 : 기업은행, 농협은행, 수협은행, 산업은행</t>
    <phoneticPr fontId="4" type="noConversion"/>
  </si>
  <si>
    <t xml:space="preserve"> 나. 비은행금융기관</t>
    <phoneticPr fontId="4" type="noConversion"/>
  </si>
  <si>
    <t xml:space="preserve">  o 한국수출입은행 </t>
    <phoneticPr fontId="4" type="noConversion"/>
  </si>
  <si>
    <t xml:space="preserve">  o 종합금융회사</t>
    <phoneticPr fontId="4" type="noConversion"/>
  </si>
  <si>
    <t xml:space="preserve">  o 집합투자업자, 신탁업자, 상호저축은행</t>
    <phoneticPr fontId="4" type="noConversion"/>
  </si>
  <si>
    <t xml:space="preserve">  o 신용협동기구(상호금융, 새마을금고, 신용협동조합)</t>
    <phoneticPr fontId="4" type="noConversion"/>
  </si>
  <si>
    <t xml:space="preserve">  o 우체국</t>
    <phoneticPr fontId="4" type="noConversion"/>
  </si>
  <si>
    <r>
      <t xml:space="preserve">5. </t>
    </r>
    <r>
      <rPr>
        <sz val="11"/>
        <color theme="1"/>
        <rFont val="맑은 고딕"/>
        <family val="3"/>
        <charset val="129"/>
      </rPr>
      <t>『2007.12월호 울산지역 경제동향』부터 울산지역 수출입통계의 자료원이 종전 울산세관에서 무역협회로 변경</t>
    </r>
    <phoneticPr fontId="4" type="noConversion"/>
  </si>
  <si>
    <r>
      <t xml:space="preserve">6. </t>
    </r>
    <r>
      <rPr>
        <sz val="11"/>
        <color theme="1"/>
        <rFont val="맑은 고딕"/>
        <family val="3"/>
        <charset val="129"/>
      </rPr>
      <t>『2016.1월호 울산지역 경제동향』부터 지역본부 간의 통일성 확보를 위해 통계수록 내용을 정비</t>
    </r>
    <phoneticPr fontId="4" type="noConversion"/>
  </si>
  <si>
    <r>
      <t xml:space="preserve">7. </t>
    </r>
    <r>
      <rPr>
        <sz val="11"/>
        <color theme="1"/>
        <rFont val="맑은 고딕"/>
        <family val="3"/>
        <charset val="129"/>
      </rPr>
      <t>『2023.4월호 울산지역 경제동향』부터 국내 주요경제지표(http://ecos.bok.or.kr 참조)를 제외</t>
    </r>
    <phoneticPr fontId="4" type="noConversion"/>
  </si>
  <si>
    <r>
      <t xml:space="preserve">8. </t>
    </r>
    <r>
      <rPr>
        <sz val="11"/>
        <color theme="1"/>
        <rFont val="맑은 고딕"/>
        <family val="3"/>
        <charset val="129"/>
      </rPr>
      <t>『2024.6월호 울산지역 경제동향』부터 "개인 신용카드 판매액" 통계 제공을 중단하며, 『2024.7월호 울산지역 경제동향』부터 『울산지역 주요경제통계』를 엑셀파일로 제공</t>
    </r>
    <phoneticPr fontId="4" type="noConversion"/>
  </si>
  <si>
    <t>울산지역 주요경제통계</t>
    <phoneticPr fontId="4" type="noConversion"/>
  </si>
  <si>
    <t>Ⅰ- 1. 금융통계</t>
    <phoneticPr fontId="4" type="noConversion"/>
  </si>
  <si>
    <t>1. 한국은행 계정</t>
    <phoneticPr fontId="4" type="noConversion"/>
  </si>
  <si>
    <t>(울산본부)</t>
    <phoneticPr fontId="4" type="noConversion"/>
  </si>
  <si>
    <t>(억원)</t>
    <phoneticPr fontId="4" type="noConversion"/>
  </si>
  <si>
    <t>연월말</t>
    <phoneticPr fontId="4" type="noConversion"/>
  </si>
  <si>
    <t>화폐 발행 및 환수</t>
    <phoneticPr fontId="17" type="noConversion"/>
  </si>
  <si>
    <t>예금 및 대출금</t>
    <phoneticPr fontId="17" type="noConversion"/>
  </si>
  <si>
    <t>국고  세입 및 세출</t>
    <phoneticPr fontId="17" type="noConversion"/>
  </si>
  <si>
    <t>발행</t>
    <phoneticPr fontId="17" type="noConversion"/>
  </si>
  <si>
    <t>환수</t>
    <phoneticPr fontId="17" type="noConversion"/>
  </si>
  <si>
    <t>예금</t>
    <phoneticPr fontId="17" type="noConversion"/>
  </si>
  <si>
    <t>대출금</t>
    <phoneticPr fontId="17" type="noConversion"/>
  </si>
  <si>
    <t>세입</t>
    <phoneticPr fontId="17" type="noConversion"/>
  </si>
  <si>
    <t>세출</t>
    <phoneticPr fontId="17" type="noConversion"/>
  </si>
  <si>
    <t>2.예금은행 여수신</t>
    <phoneticPr fontId="22" type="noConversion"/>
  </si>
  <si>
    <t>2. 예금은행 여수신</t>
    <phoneticPr fontId="22" type="noConversion"/>
  </si>
  <si>
    <t>2. 예금은행 여수신</t>
  </si>
  <si>
    <t>3.비은행예금취급기관 여수신</t>
    <phoneticPr fontId="22" type="noConversion"/>
  </si>
  <si>
    <t>13. 비은행예금취급기관</t>
    <phoneticPr fontId="22" type="noConversion"/>
  </si>
  <si>
    <t>2.2 예금은행 대출금</t>
    <phoneticPr fontId="22" type="noConversion"/>
  </si>
  <si>
    <t>2.2.2. 주체별 및 용도별 대출금</t>
    <phoneticPr fontId="17" type="noConversion"/>
  </si>
  <si>
    <t>2.2.3. 기업자금 대출금</t>
    <phoneticPr fontId="17" type="noConversion"/>
  </si>
  <si>
    <r>
      <t xml:space="preserve"> 3.2 비은행예금취급기관</t>
    </r>
    <r>
      <rPr>
        <b/>
        <vertAlign val="superscript"/>
        <sz val="13"/>
        <color rgb="FF000000"/>
        <rFont val="맑은 고딕"/>
        <family val="3"/>
        <charset val="129"/>
      </rPr>
      <t>1)</t>
    </r>
    <r>
      <rPr>
        <b/>
        <sz val="13"/>
        <color indexed="8"/>
        <rFont val="맑은 고딕"/>
        <family val="3"/>
        <charset val="129"/>
      </rPr>
      <t xml:space="preserve"> 여신</t>
    </r>
    <phoneticPr fontId="4" type="noConversion"/>
  </si>
  <si>
    <t>2.1 예금은행 수신</t>
    <phoneticPr fontId="22" type="noConversion"/>
  </si>
  <si>
    <t>2.2.1 자금별 대출금</t>
    <phoneticPr fontId="17" type="noConversion"/>
  </si>
  <si>
    <t>(울산)</t>
  </si>
  <si>
    <r>
      <t>(억원</t>
    </r>
    <r>
      <rPr>
        <sz val="11"/>
        <color theme="1"/>
        <rFont val="맑은 고딕"/>
        <family val="2"/>
        <charset val="129"/>
        <scheme val="minor"/>
      </rPr>
      <t>)</t>
    </r>
    <phoneticPr fontId="17" type="noConversion"/>
  </si>
  <si>
    <r>
      <t xml:space="preserve">  2.2.4 산업별 대출금</t>
    </r>
    <r>
      <rPr>
        <b/>
        <vertAlign val="superscript"/>
        <sz val="13"/>
        <rFont val="맑은 고딕"/>
        <family val="3"/>
        <charset val="129"/>
        <scheme val="major"/>
      </rPr>
      <t>1)2)</t>
    </r>
    <phoneticPr fontId="22" type="noConversion"/>
  </si>
  <si>
    <r>
      <t xml:space="preserve"> 3.1 비은행예금취급기관</t>
    </r>
    <r>
      <rPr>
        <b/>
        <vertAlign val="superscript"/>
        <sz val="13"/>
        <color rgb="FF000000"/>
        <rFont val="맑은 고딕"/>
        <family val="3"/>
        <charset val="129"/>
      </rPr>
      <t>1)</t>
    </r>
    <r>
      <rPr>
        <b/>
        <sz val="13"/>
        <color indexed="8"/>
        <rFont val="맑은 고딕"/>
        <family val="3"/>
        <charset val="129"/>
      </rPr>
      <t xml:space="preserve"> 수신</t>
    </r>
    <phoneticPr fontId="22" type="noConversion"/>
  </si>
  <si>
    <t xml:space="preserve">  3.2.1 기관별 여신</t>
  </si>
  <si>
    <t xml:space="preserve">  3.2.2 차입주체별 여신</t>
    <phoneticPr fontId="17" type="noConversion"/>
  </si>
  <si>
    <t>(울산)</t>
    <phoneticPr fontId="17" type="noConversion"/>
  </si>
  <si>
    <t>(억원)</t>
    <phoneticPr fontId="17" type="noConversion"/>
  </si>
  <si>
    <t>연월말</t>
    <phoneticPr fontId="17" type="noConversion"/>
  </si>
  <si>
    <t>총대출금</t>
    <phoneticPr fontId="17" type="noConversion"/>
  </si>
  <si>
    <t>주체별</t>
    <phoneticPr fontId="22" type="noConversion"/>
  </si>
  <si>
    <t>용도별</t>
    <phoneticPr fontId="22" type="noConversion"/>
  </si>
  <si>
    <t>기업자금 대출금</t>
    <phoneticPr fontId="22" type="noConversion"/>
  </si>
  <si>
    <r>
      <t>중소기업
대출비중</t>
    </r>
    <r>
      <rPr>
        <vertAlign val="subscript"/>
        <sz val="11"/>
        <rFont val="맑은 고딕"/>
        <family val="3"/>
        <charset val="129"/>
      </rPr>
      <t>1)</t>
    </r>
    <phoneticPr fontId="17" type="noConversion"/>
  </si>
  <si>
    <r>
      <t>총수신</t>
    </r>
    <r>
      <rPr>
        <vertAlign val="superscript"/>
        <sz val="11"/>
        <rFont val="돋움"/>
        <family val="3"/>
        <charset val="129"/>
      </rPr>
      <t>1)</t>
    </r>
    <phoneticPr fontId="17" type="noConversion"/>
  </si>
  <si>
    <t>예   금</t>
    <phoneticPr fontId="17" type="noConversion"/>
  </si>
  <si>
    <t>시장성 수신</t>
    <phoneticPr fontId="17" type="noConversion"/>
  </si>
  <si>
    <t>연월말</t>
  </si>
  <si>
    <t>총예금</t>
  </si>
  <si>
    <t>요  구  불  예  금</t>
    <phoneticPr fontId="17" type="noConversion"/>
  </si>
  <si>
    <t>저  축  성  예  금</t>
    <phoneticPr fontId="17" type="noConversion"/>
  </si>
  <si>
    <t>총대출금</t>
    <phoneticPr fontId="22" type="noConversion"/>
  </si>
  <si>
    <t>금융자금</t>
    <phoneticPr fontId="22" type="noConversion"/>
  </si>
  <si>
    <r>
      <t>재정자금</t>
    </r>
    <r>
      <rPr>
        <vertAlign val="superscript"/>
        <sz val="11"/>
        <rFont val="맑은 고딕"/>
        <family val="3"/>
        <charset val="129"/>
      </rPr>
      <t>4)</t>
    </r>
    <phoneticPr fontId="22" type="noConversion"/>
  </si>
  <si>
    <t>기업</t>
    <phoneticPr fontId="22" type="noConversion"/>
  </si>
  <si>
    <t>가계</t>
    <phoneticPr fontId="22" type="noConversion"/>
  </si>
  <si>
    <r>
      <t>공공 및 
기타</t>
    </r>
    <r>
      <rPr>
        <vertAlign val="superscript"/>
        <sz val="11"/>
        <rFont val="맑은 고딕"/>
        <family val="3"/>
        <charset val="129"/>
        <scheme val="minor"/>
      </rPr>
      <t>1)</t>
    </r>
    <phoneticPr fontId="22" type="noConversion"/>
  </si>
  <si>
    <t>운전자금</t>
    <phoneticPr fontId="22" type="noConversion"/>
  </si>
  <si>
    <t>시설자금</t>
    <phoneticPr fontId="22" type="noConversion"/>
  </si>
  <si>
    <t>소계</t>
    <phoneticPr fontId="22" type="noConversion"/>
  </si>
  <si>
    <t>대기업</t>
    <phoneticPr fontId="22" type="noConversion"/>
  </si>
  <si>
    <t>중소기업</t>
    <phoneticPr fontId="22" type="noConversion"/>
  </si>
  <si>
    <t>산업별 대출금</t>
    <phoneticPr fontId="22" type="noConversion"/>
  </si>
  <si>
    <t>가계대출</t>
    <phoneticPr fontId="22" type="noConversion"/>
  </si>
  <si>
    <t>대출금 총계</t>
    <phoneticPr fontId="22" type="noConversion"/>
  </si>
  <si>
    <r>
      <t>기업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7" type="noConversion"/>
  </si>
  <si>
    <r>
      <t>가계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7" type="noConversion"/>
  </si>
  <si>
    <t>요구불예금</t>
    <phoneticPr fontId="17" type="noConversion"/>
  </si>
  <si>
    <t>저축성예금</t>
    <phoneticPr fontId="17" type="noConversion"/>
  </si>
  <si>
    <t>CD</t>
    <phoneticPr fontId="17" type="noConversion"/>
  </si>
  <si>
    <t>금융채</t>
    <phoneticPr fontId="17" type="noConversion"/>
  </si>
  <si>
    <t>매출어음</t>
    <phoneticPr fontId="17" type="noConversion"/>
  </si>
  <si>
    <t>RP</t>
    <phoneticPr fontId="22" type="noConversion"/>
  </si>
  <si>
    <t>소 계</t>
    <phoneticPr fontId="22" type="noConversion"/>
  </si>
  <si>
    <t>당좌예금</t>
  </si>
  <si>
    <t>가계당좌예금</t>
  </si>
  <si>
    <t>보통예금</t>
  </si>
  <si>
    <t>별단예금</t>
    <phoneticPr fontId="17" type="noConversion"/>
  </si>
  <si>
    <t>공공예금</t>
    <phoneticPr fontId="22" type="noConversion"/>
  </si>
  <si>
    <r>
      <t>기  타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22" type="noConversion"/>
  </si>
  <si>
    <t>정기예금</t>
  </si>
  <si>
    <t>정기적금</t>
    <phoneticPr fontId="22" type="noConversion"/>
  </si>
  <si>
    <t>저축예금</t>
    <phoneticPr fontId="22" type="noConversion"/>
  </si>
  <si>
    <t>기업자유예금</t>
    <phoneticPr fontId="22" type="noConversion"/>
  </si>
  <si>
    <t>수입부금</t>
    <phoneticPr fontId="22" type="noConversion"/>
  </si>
  <si>
    <t>주택부금</t>
  </si>
  <si>
    <r>
      <t>기  타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22" type="noConversion"/>
  </si>
  <si>
    <r>
      <t>일반자금</t>
    </r>
    <r>
      <rPr>
        <vertAlign val="superscript"/>
        <sz val="11"/>
        <rFont val="맑은 고딕"/>
        <family val="3"/>
        <charset val="129"/>
      </rPr>
      <t>1)</t>
    </r>
    <phoneticPr fontId="17" type="noConversion"/>
  </si>
  <si>
    <r>
      <t>주택관련
대출</t>
    </r>
    <r>
      <rPr>
        <vertAlign val="superscript"/>
        <sz val="11"/>
        <rFont val="맑은 고딕"/>
        <family val="3"/>
        <charset val="129"/>
      </rPr>
      <t>2)</t>
    </r>
    <phoneticPr fontId="17" type="noConversion"/>
  </si>
  <si>
    <t>무역금융</t>
  </si>
  <si>
    <t>외상매출
채권담보</t>
  </si>
  <si>
    <r>
      <t>중소기업
자금</t>
    </r>
    <r>
      <rPr>
        <vertAlign val="superscript"/>
        <sz val="11"/>
        <rFont val="맑은 고딕"/>
        <family val="3"/>
        <charset val="129"/>
      </rPr>
      <t>3)</t>
    </r>
    <phoneticPr fontId="17" type="noConversion"/>
  </si>
  <si>
    <t>기업구매자금</t>
  </si>
  <si>
    <t>할인어음</t>
  </si>
  <si>
    <t>농업자금</t>
  </si>
  <si>
    <t>당좌대출</t>
  </si>
  <si>
    <t>기타</t>
  </si>
  <si>
    <t>(주택담보대출)</t>
    <phoneticPr fontId="22" type="noConversion"/>
  </si>
  <si>
    <t>산업대출금 합계</t>
    <phoneticPr fontId="22" type="noConversion"/>
  </si>
  <si>
    <t>제조업
소계</t>
    <phoneticPr fontId="22" type="noConversion"/>
  </si>
  <si>
    <t>제조업
시설자금</t>
    <phoneticPr fontId="22" type="noConversion"/>
  </si>
  <si>
    <t>석유화학</t>
    <phoneticPr fontId="22" type="noConversion"/>
  </si>
  <si>
    <t>제1차금속</t>
  </si>
  <si>
    <t>금속가공</t>
  </si>
  <si>
    <t>기계장비</t>
    <phoneticPr fontId="17" type="noConversion"/>
  </si>
  <si>
    <t>자동차</t>
    <phoneticPr fontId="17" type="noConversion"/>
  </si>
  <si>
    <t>조선 및 
기타 운송</t>
    <phoneticPr fontId="17" type="noConversion"/>
  </si>
  <si>
    <r>
      <t>비제조업
소계</t>
    </r>
    <r>
      <rPr>
        <vertAlign val="superscript"/>
        <sz val="11"/>
        <rFont val="맑은 고딕"/>
        <family val="3"/>
        <charset val="129"/>
      </rPr>
      <t>1)</t>
    </r>
    <phoneticPr fontId="17" type="noConversion"/>
  </si>
  <si>
    <t>농림어업</t>
  </si>
  <si>
    <t>광업</t>
  </si>
  <si>
    <t>건설업</t>
  </si>
  <si>
    <t>전기가스 및 
공기조절공급업</t>
    <phoneticPr fontId="17" type="noConversion"/>
  </si>
  <si>
    <t>도매 및 소매업</t>
  </si>
  <si>
    <t>숙박 및 음식업</t>
  </si>
  <si>
    <t>운수 및 창고업</t>
  </si>
  <si>
    <t>금융 및 보험업</t>
  </si>
  <si>
    <t>부동산업</t>
  </si>
  <si>
    <t>계</t>
    <phoneticPr fontId="22" type="noConversion"/>
  </si>
  <si>
    <r>
      <t>자산운용회사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22" type="noConversion"/>
  </si>
  <si>
    <r>
      <t>신탁회사</t>
    </r>
    <r>
      <rPr>
        <vertAlign val="superscript"/>
        <sz val="11"/>
        <color theme="1"/>
        <rFont val="맑은 고딕"/>
        <family val="3"/>
        <charset val="129"/>
        <scheme val="minor"/>
      </rPr>
      <t>3)</t>
    </r>
    <phoneticPr fontId="17" type="noConversion"/>
  </si>
  <si>
    <t>상호저축은행</t>
    <phoneticPr fontId="22" type="noConversion"/>
  </si>
  <si>
    <t>신용협동조합</t>
    <phoneticPr fontId="22" type="noConversion"/>
  </si>
  <si>
    <r>
      <t>상호금융</t>
    </r>
    <r>
      <rPr>
        <vertAlign val="superscript"/>
        <sz val="11"/>
        <rFont val="돋움"/>
        <family val="3"/>
        <charset val="129"/>
      </rPr>
      <t>4)</t>
    </r>
    <phoneticPr fontId="22" type="noConversion"/>
  </si>
  <si>
    <t>새마을금고</t>
    <phoneticPr fontId="17" type="noConversion"/>
  </si>
  <si>
    <r>
      <t>기타</t>
    </r>
    <r>
      <rPr>
        <vertAlign val="superscript"/>
        <sz val="11"/>
        <color theme="1"/>
        <rFont val="맑은 고딕"/>
        <family val="3"/>
        <charset val="129"/>
        <scheme val="minor"/>
      </rPr>
      <t>5)</t>
    </r>
    <phoneticPr fontId="22" type="noConversion"/>
  </si>
  <si>
    <r>
      <t>신탁회사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22" type="noConversion"/>
  </si>
  <si>
    <t>신용협동조합</t>
  </si>
  <si>
    <r>
      <t>상호금융</t>
    </r>
    <r>
      <rPr>
        <vertAlign val="superscript"/>
        <sz val="11"/>
        <rFont val="돋움"/>
        <family val="3"/>
        <charset val="129"/>
      </rPr>
      <t>3)</t>
    </r>
    <phoneticPr fontId="4" type="noConversion"/>
  </si>
  <si>
    <t>새마을금고</t>
  </si>
  <si>
    <r>
      <t>기타</t>
    </r>
    <r>
      <rPr>
        <vertAlign val="superscript"/>
        <sz val="11"/>
        <color theme="1"/>
        <rFont val="맑은 고딕"/>
        <family val="3"/>
        <charset val="129"/>
        <scheme val="minor"/>
      </rPr>
      <t>4)</t>
    </r>
    <phoneticPr fontId="22" type="noConversion"/>
  </si>
  <si>
    <t xml:space="preserve">대기업 </t>
    <phoneticPr fontId="17" type="noConversion"/>
  </si>
  <si>
    <t>중소기업</t>
    <phoneticPr fontId="17" type="noConversion"/>
  </si>
  <si>
    <r>
      <t>(주택담보대출)</t>
    </r>
    <r>
      <rPr>
        <vertAlign val="superscript"/>
        <sz val="11"/>
        <color theme="1"/>
        <rFont val="맑은 고딕"/>
        <family val="3"/>
        <charset val="129"/>
        <scheme val="minor"/>
      </rPr>
      <t>3)</t>
    </r>
    <phoneticPr fontId="17" type="noConversion"/>
  </si>
  <si>
    <t>2019</t>
  </si>
  <si>
    <t>2020</t>
  </si>
  <si>
    <t>2021</t>
    <phoneticPr fontId="22" type="noConversion"/>
  </si>
  <si>
    <t>2021</t>
  </si>
  <si>
    <t>2023</t>
  </si>
  <si>
    <t>2024</t>
    <phoneticPr fontId="4" type="noConversion"/>
  </si>
  <si>
    <t>2025</t>
    <phoneticPr fontId="4" type="noConversion"/>
  </si>
  <si>
    <t>2</t>
    <phoneticPr fontId="17" type="noConversion"/>
  </si>
  <si>
    <t>3</t>
  </si>
  <si>
    <t>5</t>
    <phoneticPr fontId="4" type="noConversion"/>
  </si>
  <si>
    <t>6</t>
    <phoneticPr fontId="17" type="noConversion"/>
  </si>
  <si>
    <t>7</t>
    <phoneticPr fontId="17" type="noConversion"/>
  </si>
  <si>
    <t>8</t>
  </si>
  <si>
    <t>8</t>
    <phoneticPr fontId="17" type="noConversion"/>
  </si>
  <si>
    <t>9</t>
    <phoneticPr fontId="17" type="noConversion"/>
  </si>
  <si>
    <t>10</t>
    <phoneticPr fontId="17" type="noConversion"/>
  </si>
  <si>
    <t>11</t>
  </si>
  <si>
    <t>12</t>
  </si>
  <si>
    <t>2024.1</t>
  </si>
  <si>
    <t>2</t>
  </si>
  <si>
    <t>4</t>
  </si>
  <si>
    <t>5</t>
  </si>
  <si>
    <t>6</t>
  </si>
  <si>
    <t>7</t>
    <phoneticPr fontId="4" type="noConversion"/>
  </si>
  <si>
    <t>7</t>
  </si>
  <si>
    <t>8</t>
    <phoneticPr fontId="4" type="noConversion"/>
  </si>
  <si>
    <t>9</t>
  </si>
  <si>
    <t>10</t>
  </si>
  <si>
    <t>11</t>
    <phoneticPr fontId="4" type="noConversion"/>
  </si>
  <si>
    <t>12</t>
    <phoneticPr fontId="4" type="noConversion"/>
  </si>
  <si>
    <t>2</t>
    <phoneticPr fontId="4" type="noConversion"/>
  </si>
  <si>
    <t>3</t>
    <phoneticPr fontId="4" type="noConversion"/>
  </si>
  <si>
    <t>9</t>
    <phoneticPr fontId="4" type="noConversion"/>
  </si>
  <si>
    <t>10</t>
    <phoneticPr fontId="4" type="noConversion"/>
  </si>
  <si>
    <t>2026.1</t>
    <phoneticPr fontId="22" type="noConversion"/>
  </si>
  <si>
    <t>2</t>
    <phoneticPr fontId="22" type="noConversion"/>
  </si>
  <si>
    <t>주: 1) 2021.9월까지의 수치는 금융채 잔액을 제외하여 집계</t>
    <phoneticPr fontId="4" type="noConversion"/>
  </si>
  <si>
    <t>주: 1) 국고예금, 기타요구불예금 등
    2) 목돈마련저축, 근로자주택마련저축, 근로자장기저축, 기타저축성예금 등</t>
    <phoneticPr fontId="4" type="noConversion"/>
  </si>
  <si>
    <t>주: 1) 일반자금과 분할상환의 합계                                                                                         2) 장기주택마련저축, 근로자주택마련저축 가입자에게 취급한 대출 등
    3) 중소기업진흥기금대출, 중소기업구조개선자금 대출 등 중소기업을 위한 전용기금 등을 재원으로 한 대출   4) 차관자금, 국민투자기금, 국민주택기금 대출금 포함</t>
    <phoneticPr fontId="4" type="noConversion"/>
  </si>
  <si>
    <t>주: 1) 공공주택자금대출, 차관자금대출, 주택기금대출 등</t>
    <phoneticPr fontId="4" type="noConversion"/>
  </si>
  <si>
    <t>주: 1) 총대출금에서 중소기업대출금이 차지하는 비중(%)</t>
    <phoneticPr fontId="4" type="noConversion"/>
  </si>
  <si>
    <t xml:space="preserve">주: 1) 제10차 한국표준산업분류 개정(2017.7.1부터 시행)에 따라 업종명 및 포괄범위가 변경
    2) 산업분류는 한국표준산업분류표에 따름    </t>
    <phoneticPr fontId="4" type="noConversion"/>
  </si>
  <si>
    <t>주: 1) 은행간 대출금 및 정부대출금을 제외한 대민간 원화대출금</t>
    <phoneticPr fontId="4" type="noConversion"/>
  </si>
  <si>
    <t>주: 1) 2002.1월부터 예금은행(특수은행)으로 분류된 한국산업은행 제외
    2) 자산운용사 펀드상품의 지역별 판매잔액을 기준으로 작성    3) 은행 및 증권회사의 신탁계정
    4) 농업협동조합, 수산업협동조합 및 산림조합의 단위 조합      5) 우체국예금(2006.1월부터 편제) 등</t>
    <phoneticPr fontId="4" type="noConversion"/>
  </si>
  <si>
    <t>주: 1) 2002.1월부터 예금은행(특수은행)으로 분류된 한국산업은행 제외
    2) 은행 및 증권회사의 신탁계정    3) 농업협동조합, 수산업협동조합 및 산림조합의 단위 조합
    4) 수출입은행(2005.3월부터 편제), 우체국예금(2006.1월부터 편제) 등</t>
    <phoneticPr fontId="4" type="noConversion"/>
  </si>
  <si>
    <t>주: 1) 매입어음 제외, 2013.1월부터 편제
    2) 2007.12월부터 편제    
    3) 일부 비은행금융기관의 주택담보대출과 기타대출간의 수치조정을 반영</t>
    <phoneticPr fontId="4" type="noConversion"/>
  </si>
  <si>
    <r>
      <t>4. 어음부도율</t>
    </r>
    <r>
      <rPr>
        <b/>
        <vertAlign val="superscript"/>
        <sz val="12"/>
        <rFont val="맑은 고딕"/>
        <family val="3"/>
        <charset val="129"/>
        <scheme val="major"/>
      </rPr>
      <t xml:space="preserve">1) </t>
    </r>
    <r>
      <rPr>
        <b/>
        <sz val="12"/>
        <rFont val="맑은 고딕"/>
        <family val="3"/>
        <charset val="129"/>
        <scheme val="major"/>
      </rPr>
      <t>및 신설법인수</t>
    </r>
    <phoneticPr fontId="17" type="noConversion"/>
  </si>
  <si>
    <t>(울산광역시)</t>
    <phoneticPr fontId="4" type="noConversion"/>
  </si>
  <si>
    <t>(백만원, %, 개)</t>
    <phoneticPr fontId="4" type="noConversion"/>
  </si>
  <si>
    <t>연 월</t>
    <phoneticPr fontId="17" type="noConversion"/>
  </si>
  <si>
    <t>어음 교환액</t>
    <phoneticPr fontId="17" type="noConversion"/>
  </si>
  <si>
    <t>어음 부도액</t>
    <phoneticPr fontId="4" type="noConversion"/>
  </si>
  <si>
    <t>어음 부도율</t>
    <phoneticPr fontId="17" type="noConversion"/>
  </si>
  <si>
    <r>
      <t xml:space="preserve"> 부도업체수</t>
    </r>
    <r>
      <rPr>
        <vertAlign val="superscript"/>
        <sz val="11"/>
        <rFont val="맑은 고딕"/>
        <family val="3"/>
        <charset val="129"/>
        <scheme val="major"/>
      </rPr>
      <t>2)</t>
    </r>
    <phoneticPr fontId="4" type="noConversion"/>
  </si>
  <si>
    <t>신설법인수</t>
    <phoneticPr fontId="4" type="noConversion"/>
  </si>
  <si>
    <t>법인</t>
    <phoneticPr fontId="4" type="noConversion"/>
  </si>
  <si>
    <t>개인</t>
    <phoneticPr fontId="4" type="noConversion"/>
  </si>
  <si>
    <t>주: 1) 전자결제액(전자금융공동망 타행환 등) 제외</t>
    <phoneticPr fontId="4" type="noConversion"/>
  </si>
  <si>
    <t xml:space="preserve">     2) 금융기관의 당좌거래 정지 기준</t>
    <phoneticPr fontId="4" type="noConversion"/>
  </si>
  <si>
    <t>Ⅰ- 2. 실물통계</t>
    <phoneticPr fontId="4" type="noConversion"/>
  </si>
  <si>
    <r>
      <t>1. 제조업 생산·</t>
    </r>
    <r>
      <rPr>
        <b/>
        <sz val="11"/>
        <rFont val="맑은 고딕"/>
        <family val="3"/>
        <charset val="129"/>
      </rPr>
      <t>출하·재고지수</t>
    </r>
    <r>
      <rPr>
        <b/>
        <vertAlign val="superscript"/>
        <sz val="11"/>
        <rFont val="맑은 고딕"/>
        <family val="3"/>
        <charset val="129"/>
        <scheme val="major"/>
      </rPr>
      <t>1)</t>
    </r>
    <phoneticPr fontId="17" type="noConversion"/>
  </si>
  <si>
    <t>(2020=100)</t>
    <phoneticPr fontId="4" type="noConversion"/>
  </si>
  <si>
    <t>연월중</t>
    <phoneticPr fontId="17" type="noConversion"/>
  </si>
  <si>
    <t>생산지수</t>
    <phoneticPr fontId="17" type="noConversion"/>
  </si>
  <si>
    <t>출하지수</t>
    <phoneticPr fontId="17" type="noConversion"/>
  </si>
  <si>
    <r>
      <t>재고지수</t>
    </r>
    <r>
      <rPr>
        <vertAlign val="superscript"/>
        <sz val="10"/>
        <rFont val="맑은 고딕"/>
        <family val="3"/>
        <charset val="129"/>
        <scheme val="major"/>
      </rPr>
      <t>2)</t>
    </r>
    <phoneticPr fontId="17" type="noConversion"/>
  </si>
  <si>
    <t>원지수</t>
    <phoneticPr fontId="17" type="noConversion"/>
  </si>
  <si>
    <t>계절변동</t>
    <phoneticPr fontId="17" type="noConversion"/>
  </si>
  <si>
    <t>조정지수</t>
    <phoneticPr fontId="17" type="noConversion"/>
  </si>
  <si>
    <t>-</t>
  </si>
  <si>
    <t xml:space="preserve">   주 :  1) 2020=100인 지수에 기초하여 산출</t>
    <phoneticPr fontId="17" type="noConversion"/>
  </si>
  <si>
    <t xml:space="preserve">          2) 기말 기준</t>
    <phoneticPr fontId="4" type="noConversion"/>
  </si>
  <si>
    <t>자료 : 국가데이터처</t>
    <phoneticPr fontId="17" type="noConversion"/>
  </si>
  <si>
    <t>2. 대형소매점 판매액 지수</t>
    <phoneticPr fontId="17" type="noConversion"/>
  </si>
  <si>
    <r>
      <t>대형소매점 판매액 지수</t>
    </r>
    <r>
      <rPr>
        <vertAlign val="superscript"/>
        <sz val="10"/>
        <rFont val="맑은 고딕"/>
        <family val="3"/>
        <charset val="129"/>
        <scheme val="major"/>
      </rPr>
      <t>1)</t>
    </r>
    <phoneticPr fontId="17" type="noConversion"/>
  </si>
  <si>
    <t>백화점</t>
    <phoneticPr fontId="4" type="noConversion"/>
  </si>
  <si>
    <t>대형마트</t>
    <phoneticPr fontId="4" type="noConversion"/>
  </si>
  <si>
    <t/>
  </si>
  <si>
    <t xml:space="preserve">   주 :  1) 불변지수</t>
    <phoneticPr fontId="17" type="noConversion"/>
  </si>
  <si>
    <r>
      <t>3. 건축허가·</t>
    </r>
    <r>
      <rPr>
        <b/>
        <sz val="11"/>
        <rFont val="맑은 고딕"/>
        <family val="3"/>
        <charset val="129"/>
      </rPr>
      <t>착공 면적,  건설수주액 및 미분양주택</t>
    </r>
    <r>
      <rPr>
        <b/>
        <vertAlign val="superscript"/>
        <sz val="11"/>
        <rFont val="맑은 고딕"/>
        <family val="3"/>
        <charset val="129"/>
      </rPr>
      <t>2</t>
    </r>
    <r>
      <rPr>
        <b/>
        <vertAlign val="superscript"/>
        <sz val="11"/>
        <rFont val="맑은 고딕"/>
        <family val="3"/>
        <charset val="129"/>
        <scheme val="major"/>
      </rPr>
      <t>)</t>
    </r>
    <phoneticPr fontId="17" type="noConversion"/>
  </si>
  <si>
    <r>
      <t>(천m</t>
    </r>
    <r>
      <rPr>
        <vertAlign val="superscript"/>
        <sz val="8"/>
        <rFont val="맑은 고딕"/>
        <family val="3"/>
        <charset val="129"/>
        <scheme val="major"/>
      </rPr>
      <t>2</t>
    </r>
    <r>
      <rPr>
        <sz val="10"/>
        <rFont val="맑은 고딕"/>
        <family val="3"/>
        <charset val="129"/>
        <scheme val="major"/>
      </rPr>
      <t>, 억원, 호)</t>
    </r>
    <phoneticPr fontId="4" type="noConversion"/>
  </si>
  <si>
    <t>건축허가면적</t>
    <phoneticPr fontId="17" type="noConversion"/>
  </si>
  <si>
    <t>건축착공면적</t>
    <phoneticPr fontId="17" type="noConversion"/>
  </si>
  <si>
    <t>건설수주액</t>
    <phoneticPr fontId="17" type="noConversion"/>
  </si>
  <si>
    <r>
      <t>미분양주택</t>
    </r>
    <r>
      <rPr>
        <vertAlign val="superscript"/>
        <sz val="10"/>
        <color theme="1"/>
        <rFont val="맑은 고딕"/>
        <family val="3"/>
        <charset val="129"/>
        <scheme val="major"/>
      </rPr>
      <t>1)</t>
    </r>
    <phoneticPr fontId="17" type="noConversion"/>
  </si>
  <si>
    <t>주거용</t>
    <phoneticPr fontId="4" type="noConversion"/>
  </si>
  <si>
    <t>공업용</t>
    <phoneticPr fontId="4" type="noConversion"/>
  </si>
  <si>
    <t>상업용</t>
    <phoneticPr fontId="4" type="noConversion"/>
  </si>
  <si>
    <t xml:space="preserve">   주 :  1) 기말기준 2) 연간보정으로 2018년 1월 이후 시계열 변경</t>
    <phoneticPr fontId="17" type="noConversion"/>
  </si>
  <si>
    <t>자료 : 국토교통부(건축허가·착공 면적, 미분양주택), 국가데이터처(건설수주액)</t>
    <phoneticPr fontId="17" type="noConversion"/>
  </si>
  <si>
    <t>4. 수출입</t>
    <phoneticPr fontId="17" type="noConversion"/>
  </si>
  <si>
    <t>(백만달러)</t>
    <phoneticPr fontId="4" type="noConversion"/>
  </si>
  <si>
    <t>수출</t>
    <phoneticPr fontId="17" type="noConversion"/>
  </si>
  <si>
    <t>수입</t>
    <phoneticPr fontId="17" type="noConversion"/>
  </si>
  <si>
    <t>1차</t>
    <phoneticPr fontId="4" type="noConversion"/>
  </si>
  <si>
    <t>중간재</t>
    <phoneticPr fontId="4" type="noConversion"/>
  </si>
  <si>
    <t>자본재</t>
    <phoneticPr fontId="4" type="noConversion"/>
  </si>
  <si>
    <t>소비재</t>
    <phoneticPr fontId="4" type="noConversion"/>
  </si>
  <si>
    <t>산품</t>
    <phoneticPr fontId="4" type="noConversion"/>
  </si>
  <si>
    <r>
      <t>등</t>
    </r>
    <r>
      <rPr>
        <vertAlign val="superscript"/>
        <sz val="10"/>
        <rFont val="맑은 고딕"/>
        <family val="3"/>
        <charset val="129"/>
        <scheme val="major"/>
      </rPr>
      <t>1)</t>
    </r>
    <phoneticPr fontId="4" type="noConversion"/>
  </si>
  <si>
    <t>주: 1) 기타(군경용 제품 등) 포함</t>
    <phoneticPr fontId="4" type="noConversion"/>
  </si>
  <si>
    <t>자료 : 한국무역통계진흥원</t>
    <phoneticPr fontId="17" type="noConversion"/>
  </si>
  <si>
    <t>5. 취업자수 및 실업률</t>
    <phoneticPr fontId="17" type="noConversion"/>
  </si>
  <si>
    <t>(천명, %)</t>
    <phoneticPr fontId="4" type="noConversion"/>
  </si>
  <si>
    <t>15세이상인구</t>
    <phoneticPr fontId="17" type="noConversion"/>
  </si>
  <si>
    <t>경제활동참가율</t>
    <phoneticPr fontId="17" type="noConversion"/>
  </si>
  <si>
    <t>경제활동인구</t>
    <phoneticPr fontId="4" type="noConversion"/>
  </si>
  <si>
    <t>고용률</t>
    <phoneticPr fontId="4" type="noConversion"/>
  </si>
  <si>
    <t>실업률</t>
    <phoneticPr fontId="4" type="noConversion"/>
  </si>
  <si>
    <t>취업자</t>
    <phoneticPr fontId="4" type="noConversion"/>
  </si>
  <si>
    <t>실업자</t>
    <phoneticPr fontId="4" type="noConversion"/>
  </si>
  <si>
    <t>자료 : 국가데이터처</t>
    <phoneticPr fontId="4" type="noConversion"/>
  </si>
  <si>
    <t>6. 소비자물가, 주택 및 토지가격지수</t>
    <phoneticPr fontId="17" type="noConversion"/>
  </si>
  <si>
    <r>
      <t>소비자물가지수</t>
    </r>
    <r>
      <rPr>
        <vertAlign val="superscript"/>
        <sz val="10"/>
        <color theme="1"/>
        <rFont val="맑은 고딕"/>
        <family val="3"/>
        <charset val="129"/>
        <scheme val="major"/>
      </rPr>
      <t>1)</t>
    </r>
    <phoneticPr fontId="17" type="noConversion"/>
  </si>
  <si>
    <r>
      <t>생활물가지수</t>
    </r>
    <r>
      <rPr>
        <vertAlign val="superscript"/>
        <sz val="10"/>
        <color theme="1"/>
        <rFont val="맑은 고딕"/>
        <family val="3"/>
        <charset val="129"/>
        <scheme val="major"/>
      </rPr>
      <t>1)</t>
    </r>
    <phoneticPr fontId="4" type="noConversion"/>
  </si>
  <si>
    <r>
      <t>주택매매가격지수</t>
    </r>
    <r>
      <rPr>
        <vertAlign val="superscript"/>
        <sz val="10"/>
        <color theme="1"/>
        <rFont val="맑은 고딕"/>
        <family val="3"/>
        <charset val="129"/>
        <scheme val="major"/>
      </rPr>
      <t>2)</t>
    </r>
    <phoneticPr fontId="4" type="noConversion"/>
  </si>
  <si>
    <r>
      <t>주택전세가격지수</t>
    </r>
    <r>
      <rPr>
        <vertAlign val="superscript"/>
        <sz val="10"/>
        <color theme="1"/>
        <rFont val="맑은 고딕"/>
        <family val="3"/>
        <charset val="129"/>
        <scheme val="major"/>
      </rPr>
      <t>2)</t>
    </r>
    <phoneticPr fontId="4" type="noConversion"/>
  </si>
  <si>
    <r>
      <t>지가지수</t>
    </r>
    <r>
      <rPr>
        <vertAlign val="superscript"/>
        <sz val="10"/>
        <color theme="1"/>
        <rFont val="맑은 고딕"/>
        <family val="3"/>
        <charset val="129"/>
        <scheme val="major"/>
      </rPr>
      <t>3)</t>
    </r>
    <phoneticPr fontId="17" type="noConversion"/>
  </si>
  <si>
    <t>아파트</t>
    <phoneticPr fontId="4" type="noConversion"/>
  </si>
  <si>
    <t xml:space="preserve">   주 : 1) 2020 = 100, 2) 2025.3 = 100, 기말기준 3) 2023.12 =100, 기말기준</t>
    <phoneticPr fontId="17" type="noConversion"/>
  </si>
  <si>
    <t>자료 : 국가데이터처(소비자물가지수, 생활물가지수), 한국부동산원(주택매매가격지수, 주택전세가격지수, 지가지수)</t>
    <phoneticPr fontId="17" type="noConversion"/>
  </si>
  <si>
    <r>
      <t>7. 기업경기지수</t>
    </r>
    <r>
      <rPr>
        <b/>
        <vertAlign val="superscript"/>
        <sz val="11"/>
        <rFont val="맑은 고딕"/>
        <family val="3"/>
        <charset val="129"/>
        <scheme val="major"/>
      </rPr>
      <t>1)2)</t>
    </r>
    <phoneticPr fontId="17" type="noConversion"/>
  </si>
  <si>
    <t>제조업</t>
    <phoneticPr fontId="17" type="noConversion"/>
  </si>
  <si>
    <t>비제조업</t>
    <phoneticPr fontId="4" type="noConversion"/>
  </si>
  <si>
    <t>기업심리지수</t>
    <phoneticPr fontId="4" type="noConversion"/>
  </si>
  <si>
    <t>업황</t>
    <phoneticPr fontId="17" type="noConversion"/>
  </si>
  <si>
    <t>생산</t>
    <phoneticPr fontId="17" type="noConversion"/>
  </si>
  <si>
    <t>신규수주</t>
    <phoneticPr fontId="17" type="noConversion"/>
  </si>
  <si>
    <t>제품재고</t>
    <phoneticPr fontId="17" type="noConversion"/>
  </si>
  <si>
    <t>자금사정</t>
    <phoneticPr fontId="17" type="noConversion"/>
  </si>
  <si>
    <t>매출</t>
    <phoneticPr fontId="17" type="noConversion"/>
  </si>
  <si>
    <t>채산성</t>
    <phoneticPr fontId="17" type="noConversion"/>
  </si>
  <si>
    <t>인력사정</t>
    <phoneticPr fontId="17" type="noConversion"/>
  </si>
  <si>
    <t>실적</t>
    <phoneticPr fontId="17" type="noConversion"/>
  </si>
  <si>
    <t>전망</t>
    <phoneticPr fontId="17" type="noConversion"/>
  </si>
  <si>
    <t> 주 : 1) 「호조」응답업체 구성비(%) - 「부진」응답업체 구성비(%) + 100
       2) 21.5월 이후는 신표본(전국사업체조사(2016년)→전국사업체조사(2018년) 기초)을 대상으로 산출한 지수</t>
    <phoneticPr fontId="4" type="noConversion"/>
  </si>
  <si>
    <r>
      <t>8. 소비자동향지수</t>
    </r>
    <r>
      <rPr>
        <b/>
        <vertAlign val="superscript"/>
        <sz val="10"/>
        <rFont val="맑은 고딕"/>
        <family val="3"/>
        <charset val="129"/>
        <scheme val="major"/>
      </rPr>
      <t>1)</t>
    </r>
    <phoneticPr fontId="4" type="noConversion"/>
  </si>
  <si>
    <t>연월중</t>
    <phoneticPr fontId="4" type="noConversion"/>
  </si>
  <si>
    <t>소비자 심리지수</t>
    <phoneticPr fontId="4" type="noConversion"/>
  </si>
  <si>
    <t>현재 생활 형편</t>
    <phoneticPr fontId="17" type="noConversion"/>
  </si>
  <si>
    <t>생활 형편 전망</t>
    <phoneticPr fontId="17" type="noConversion"/>
  </si>
  <si>
    <t>가계 수입 전망</t>
    <phoneticPr fontId="17" type="noConversion"/>
  </si>
  <si>
    <t>현재 경기 판단</t>
    <phoneticPr fontId="17" type="noConversion"/>
  </si>
  <si>
    <t>향후 경기 전망</t>
    <phoneticPr fontId="17" type="noConversion"/>
  </si>
  <si>
    <t>취업 기회 전망</t>
    <phoneticPr fontId="17" type="noConversion"/>
  </si>
  <si>
    <t>물가 수준 전망</t>
    <phoneticPr fontId="17" type="noConversion"/>
  </si>
  <si>
    <t>주택 가격 전망</t>
    <phoneticPr fontId="17" type="noConversion"/>
  </si>
  <si>
    <t>임금 수준 전망</t>
    <phoneticPr fontId="17" type="noConversion"/>
  </si>
  <si>
    <t>금리 수준  전망</t>
    <phoneticPr fontId="17" type="noConversion"/>
  </si>
  <si>
    <t>소비 지출 전망</t>
    <phoneticPr fontId="17" type="noConversion"/>
  </si>
  <si>
    <t> 주 : 1) (매우 좋아짐×1.0＋약간 좋아짐×0.5－약간 나빠짐×0.5－매우 나빠짐×1.0)÷전체 응답 소비자수×100+100</t>
    <phoneticPr fontId="4" type="noConversion"/>
  </si>
  <si>
    <t>9. 자동차 신규등록대수</t>
    <phoneticPr fontId="17" type="noConversion"/>
  </si>
  <si>
    <t>(대)</t>
    <phoneticPr fontId="4" type="noConversion"/>
  </si>
  <si>
    <t>합계</t>
    <phoneticPr fontId="17" type="noConversion"/>
  </si>
  <si>
    <t>승용차</t>
    <phoneticPr fontId="4" type="noConversion"/>
  </si>
  <si>
    <t>승합차</t>
    <phoneticPr fontId="4" type="noConversion"/>
  </si>
  <si>
    <t>화물차</t>
    <phoneticPr fontId="4" type="noConversion"/>
  </si>
  <si>
    <t>특수차</t>
    <phoneticPr fontId="4" type="noConversion"/>
  </si>
  <si>
    <t>자료 : 국토교통부</t>
    <phoneticPr fontId="17" type="noConversion"/>
  </si>
  <si>
    <t>10. 전력 사용량</t>
    <phoneticPr fontId="17" type="noConversion"/>
  </si>
  <si>
    <t>(MWh)</t>
    <phoneticPr fontId="4" type="noConversion"/>
  </si>
  <si>
    <t>계</t>
    <phoneticPr fontId="17" type="noConversion"/>
  </si>
  <si>
    <t>가정용</t>
    <phoneticPr fontId="4" type="noConversion"/>
  </si>
  <si>
    <t>산업용</t>
    <phoneticPr fontId="4" type="noConversion"/>
  </si>
  <si>
    <t>공공서비스</t>
    <phoneticPr fontId="4" type="noConversion"/>
  </si>
  <si>
    <t>농림어업</t>
    <phoneticPr fontId="4" type="noConversion"/>
  </si>
  <si>
    <t>광업</t>
    <phoneticPr fontId="4" type="noConversion"/>
  </si>
  <si>
    <t>제조업</t>
    <phoneticPr fontId="4" type="noConversion"/>
  </si>
  <si>
    <t>자료 : 한국전력</t>
    <phoneticPr fontId="4" type="noConversion"/>
  </si>
  <si>
    <t>주: 1) 월간통계중 업종별 수치는 모두 잠정치로서 확정치인 연간통계의 값과 불일치할 수 있음</t>
    <phoneticPr fontId="4" type="noConversion"/>
  </si>
  <si>
    <t xml:space="preserve">    2) 제조업의 경우 2017년 시계열부터 제10차 한국표준산업분류 개정(2017.7.1부터 시행)에 따라 업종명 및 포괄범위가 변경</t>
    <phoneticPr fontId="4" type="noConversion"/>
  </si>
  <si>
    <r>
      <t>11. 기업경영분석</t>
    </r>
    <r>
      <rPr>
        <b/>
        <vertAlign val="superscript"/>
        <sz val="11"/>
        <rFont val="맑은 고딕"/>
        <family val="3"/>
        <charset val="129"/>
        <scheme val="major"/>
      </rPr>
      <t>1)</t>
    </r>
    <phoneticPr fontId="17" type="noConversion"/>
  </si>
  <si>
    <t>(%)</t>
    <phoneticPr fontId="4" type="noConversion"/>
  </si>
  <si>
    <t>년</t>
    <phoneticPr fontId="17" type="noConversion"/>
  </si>
  <si>
    <t>전산업</t>
    <phoneticPr fontId="4" type="noConversion"/>
  </si>
  <si>
    <r>
      <t>부채비율</t>
    </r>
    <r>
      <rPr>
        <vertAlign val="superscript"/>
        <sz val="8"/>
        <color rgb="FF000000"/>
        <rFont val="맑은 고딕"/>
        <family val="3"/>
        <charset val="129"/>
        <scheme val="minor"/>
      </rPr>
      <t>3)</t>
    </r>
  </si>
  <si>
    <t>자기자본비율</t>
  </si>
  <si>
    <r>
      <t>차입금의존도</t>
    </r>
    <r>
      <rPr>
        <vertAlign val="superscript"/>
        <sz val="8"/>
        <color rgb="FF000000"/>
        <rFont val="맑은 고딕"/>
        <family val="3"/>
        <charset val="129"/>
        <scheme val="minor"/>
      </rPr>
      <t>4)</t>
    </r>
  </si>
  <si>
    <t>유동비율</t>
  </si>
  <si>
    <t>비유동비율</t>
  </si>
  <si>
    <t>매출액영업이익률</t>
  </si>
  <si>
    <r>
      <t>매출액세전순이익률</t>
    </r>
    <r>
      <rPr>
        <vertAlign val="superscript"/>
        <sz val="8"/>
        <color rgb="FF000000"/>
        <rFont val="맑은 고딕"/>
        <family val="3"/>
        <charset val="129"/>
        <scheme val="minor"/>
      </rPr>
      <t>5)</t>
    </r>
  </si>
  <si>
    <r>
      <t>금융비용 대 매출액비율</t>
    </r>
    <r>
      <rPr>
        <vertAlign val="superscript"/>
        <sz val="8"/>
        <color rgb="FF000000"/>
        <rFont val="맑은 고딕"/>
        <family val="3"/>
        <charset val="129"/>
        <scheme val="minor"/>
      </rPr>
      <t>6)</t>
    </r>
    <phoneticPr fontId="4" type="noConversion"/>
  </si>
  <si>
    <r>
      <t>이자보상비율</t>
    </r>
    <r>
      <rPr>
        <vertAlign val="superscript"/>
        <sz val="8"/>
        <color rgb="FF000000"/>
        <rFont val="맑은 고딕"/>
        <family val="3"/>
        <charset val="129"/>
        <scheme val="minor"/>
      </rPr>
      <t>7)</t>
    </r>
    <phoneticPr fontId="4" type="noConversion"/>
  </si>
  <si>
    <r>
      <t>차입금 평균 이자율</t>
    </r>
    <r>
      <rPr>
        <vertAlign val="superscript"/>
        <sz val="8"/>
        <color rgb="FF000000"/>
        <rFont val="맑은 고딕"/>
        <family val="3"/>
        <charset val="129"/>
        <scheme val="minor"/>
      </rPr>
      <t>8)</t>
    </r>
  </si>
  <si>
    <r>
      <t>인건비 대 영업총비용</t>
    </r>
    <r>
      <rPr>
        <vertAlign val="superscript"/>
        <sz val="8"/>
        <color rgb="FF000000"/>
        <rFont val="맑은 고딕"/>
        <family val="3"/>
        <charset val="129"/>
        <scheme val="minor"/>
      </rPr>
      <t>9)</t>
    </r>
    <phoneticPr fontId="4" type="noConversion"/>
  </si>
  <si>
    <t>매출액 증가율</t>
    <phoneticPr fontId="4" type="noConversion"/>
  </si>
  <si>
    <t>유형자산 증가율</t>
    <phoneticPr fontId="4" type="noConversion"/>
  </si>
  <si>
    <t>총자산 증가율</t>
    <phoneticPr fontId="4" type="noConversion"/>
  </si>
  <si>
    <t>-</t>
    <phoneticPr fontId="4" type="noConversion"/>
  </si>
  <si>
    <t xml:space="preserve">  주 :1) 2010년 이후부터는 울산지역 본점 소재 영리법인에 대해 국세청 법인세 신고자료를 이용하여 전수조사(2009년까지는 모집단 추출방식에 의한 표본조사 방식으로 분석)
       2) 2010년 이후부터 전산업을 대상으로 분석                 
       3) 부채/자기자본*100
       4) (장·단기차입금+회사채)/총자본*100
       5) 법인세차감전순손익/매출액*100
       6) 이자비용/매출액*100
       7) 영업이익/이자비용*100
       8) 이자비용/(장·단기차입금+회사채)*100                     
       9) 영업총비용 = 당기총제조비용+판매비와관리비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</si>
</sst>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43" formatCode="_-* #,##0.00_-;\-* #,##0.00_-;_-* &quot;-&quot;??_-;_-@_-"/>
    <numFmt numFmtId="176" formatCode="#,##0_);[Red]\(#,##0\)"/>
    <numFmt numFmtId="177" formatCode="yyyy"/>
    <numFmt numFmtId="178" formatCode="yyyy\.m"/>
    <numFmt numFmtId="179" formatCode="m"/>
    <numFmt numFmtId="180" formatCode="#,##0_ "/>
    <numFmt numFmtId="181" formatCode="#,##0.0_ "/>
    <numFmt numFmtId="182" formatCode="#,##0.00_ "/>
    <numFmt numFmtId="183" formatCode="#,##0.00_);[Red]\(#,##0.00\)"/>
    <numFmt numFmtId="184" formatCode="#,##0.0"/>
    <numFmt numFmtId="185" formatCode="0.0_ "/>
    <numFmt numFmtId="186" formatCode="0.0_);[Red]\(0.0\)"/>
    <numFmt numFmtId="187" formatCode="_-* #,##0.0_-;\-* #,##0.0_-;_-* &quot;-&quot;??_-;_-@_-"/>
    <numFmt numFmtId="188" formatCode="0_);[Red]\(0\)"/>
    <numFmt numFmtId="189" formatCode="0_ "/>
    <numFmt numFmtId="190" formatCode="0.0"/>
    <numFmt numFmtId="191" formatCode="#,##0.00000000000000_ "/>
  </numFmts>
  <fonts count="7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color theme="1"/>
      <name val="Calibri"/>
      <family val="3"/>
      <charset val="161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name val="돋움"/>
      <family val="3"/>
      <charset val="129"/>
    </font>
    <font>
      <b/>
      <sz val="14"/>
      <name val="맑은 고딕"/>
      <family val="3"/>
      <charset val="129"/>
    </font>
    <font>
      <b/>
      <sz val="14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3"/>
      <name val="맑은 고딕"/>
      <family val="3"/>
      <charset val="129"/>
    </font>
    <font>
      <b/>
      <sz val="13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5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b/>
      <sz val="13"/>
      <color indexed="8"/>
      <name val="맑은 고딕"/>
      <family val="3"/>
      <charset val="129"/>
    </font>
    <font>
      <sz val="11"/>
      <color theme="1"/>
      <name val="돋움"/>
      <family val="3"/>
      <charset val="129"/>
    </font>
    <font>
      <b/>
      <vertAlign val="superscript"/>
      <sz val="13"/>
      <color rgb="FF000000"/>
      <name val="맑은 고딕"/>
      <family val="3"/>
      <charset val="129"/>
    </font>
    <font>
      <sz val="14"/>
      <name val="돋움"/>
      <family val="3"/>
      <charset val="129"/>
    </font>
    <font>
      <sz val="13"/>
      <color indexed="8"/>
      <name val="맑은 고딕"/>
      <family val="3"/>
      <charset val="129"/>
    </font>
    <font>
      <b/>
      <sz val="13"/>
      <name val="돋움"/>
      <family val="3"/>
      <charset val="129"/>
    </font>
    <font>
      <sz val="11"/>
      <color indexed="12"/>
      <name val="맑은 고딕"/>
      <family val="3"/>
      <charset val="129"/>
    </font>
    <font>
      <b/>
      <vertAlign val="superscript"/>
      <sz val="13"/>
      <name val="맑은 고딕"/>
      <family val="3"/>
      <charset val="129"/>
      <scheme val="major"/>
    </font>
    <font>
      <sz val="13"/>
      <color indexed="12"/>
      <name val="맑은 고딕"/>
      <family val="3"/>
      <charset val="129"/>
    </font>
    <font>
      <sz val="13"/>
      <name val="돋움"/>
      <family val="3"/>
      <charset val="129"/>
    </font>
    <font>
      <sz val="13"/>
      <name val="맑은 고딕"/>
      <family val="3"/>
      <charset val="129"/>
    </font>
    <font>
      <vertAlign val="subscript"/>
      <sz val="11"/>
      <name val="맑은 고딕"/>
      <family val="3"/>
      <charset val="129"/>
    </font>
    <font>
      <vertAlign val="superscript"/>
      <sz val="11"/>
      <name val="돋움"/>
      <family val="3"/>
      <charset val="129"/>
    </font>
    <font>
      <vertAlign val="superscript"/>
      <sz val="11"/>
      <name val="맑은 고딕"/>
      <family val="3"/>
      <charset val="129"/>
    </font>
    <font>
      <sz val="11"/>
      <name val="맑은 고딕"/>
      <family val="3"/>
      <charset val="129"/>
      <scheme val="minor"/>
    </font>
    <font>
      <vertAlign val="superscript"/>
      <sz val="1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b/>
      <vertAlign val="superscript"/>
      <sz val="12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vertAlign val="superscript"/>
      <sz val="1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b/>
      <vertAlign val="superscript"/>
      <sz val="11"/>
      <name val="맑은 고딕"/>
      <family val="3"/>
      <charset val="129"/>
      <scheme val="major"/>
    </font>
    <font>
      <vertAlign val="superscript"/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sz val="8"/>
      <color indexed="8"/>
      <name val="맑은 고딕"/>
      <family val="3"/>
      <charset val="129"/>
      <scheme val="minor"/>
    </font>
    <font>
      <b/>
      <vertAlign val="superscript"/>
      <sz val="11"/>
      <name val="맑은 고딕"/>
      <family val="3"/>
      <charset val="129"/>
    </font>
    <font>
      <vertAlign val="superscript"/>
      <sz val="8"/>
      <name val="맑은 고딕"/>
      <family val="3"/>
      <charset val="129"/>
      <scheme val="major"/>
    </font>
    <font>
      <vertAlign val="superscript"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name val="돋움"/>
      <family val="3"/>
      <charset val="129"/>
    </font>
    <font>
      <sz val="8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vertAlign val="superscript"/>
      <sz val="10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sz val="8"/>
      <color indexed="8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color rgb="FF000000"/>
      <name val="맑은 고딕"/>
      <family val="3"/>
      <charset val="129"/>
      <scheme val="minor"/>
    </font>
    <font>
      <vertAlign val="superscript"/>
      <sz val="8"/>
      <color rgb="FF000000"/>
      <name val="맑은 고딕"/>
      <family val="3"/>
      <charset val="129"/>
      <scheme val="minor"/>
    </font>
    <font>
      <sz val="3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indexed="64"/>
      </right>
      <top style="thin">
        <color auto="1"/>
      </top>
      <bottom/>
      <diagonal/>
    </border>
  </borders>
  <cellStyleXfs count="1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0" fillId="0" borderId="0"/>
    <xf numFmtId="0" fontId="20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10" fillId="0" borderId="0"/>
    <xf numFmtId="0" fontId="10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10" fillId="0" borderId="0"/>
    <xf numFmtId="41" fontId="10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25" fillId="0" borderId="0">
      <alignment vertical="center"/>
    </xf>
  </cellStyleXfs>
  <cellXfs count="487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5" fillId="0" borderId="1" xfId="0" applyFont="1" applyBorder="1">
      <alignment vertical="center"/>
    </xf>
    <xf numFmtId="14" fontId="5" fillId="0" borderId="1" xfId="0" applyNumberFormat="1" applyFont="1" applyBorder="1">
      <alignment vertical="center"/>
    </xf>
    <xf numFmtId="0" fontId="0" fillId="0" borderId="0" xfId="0" applyBorder="1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13" fillId="0" borderId="0" xfId="2" applyFont="1" applyFill="1" applyAlignment="1">
      <alignment vertical="center"/>
    </xf>
    <xf numFmtId="0" fontId="11" fillId="0" borderId="0" xfId="2" applyFont="1" applyFill="1" applyBorder="1" applyAlignment="1">
      <alignment horizontal="center" vertical="center"/>
    </xf>
    <xf numFmtId="0" fontId="12" fillId="0" borderId="0" xfId="2" applyFont="1" applyFill="1" applyBorder="1" applyAlignment="1">
      <alignment horizontal="center" vertical="center"/>
    </xf>
    <xf numFmtId="0" fontId="16" fillId="0" borderId="0" xfId="2" applyFont="1" applyFill="1" applyBorder="1" applyAlignment="1">
      <alignment vertical="center"/>
    </xf>
    <xf numFmtId="0" fontId="14" fillId="0" borderId="0" xfId="2" applyFont="1" applyFill="1" applyBorder="1" applyAlignment="1">
      <alignment horizontal="center" vertical="center"/>
    </xf>
    <xf numFmtId="0" fontId="15" fillId="0" borderId="0" xfId="2" applyFont="1" applyFill="1" applyBorder="1" applyAlignment="1">
      <alignment horizontal="center" vertical="center"/>
    </xf>
    <xf numFmtId="0" fontId="13" fillId="0" borderId="0" xfId="2" applyFont="1" applyFill="1" applyBorder="1" applyAlignment="1">
      <alignment vertical="center"/>
    </xf>
    <xf numFmtId="0" fontId="13" fillId="0" borderId="0" xfId="2" applyFont="1" applyFill="1" applyBorder="1" applyAlignment="1">
      <alignment horizontal="right" vertical="center"/>
    </xf>
    <xf numFmtId="0" fontId="13" fillId="0" borderId="6" xfId="2" applyFont="1" applyFill="1" applyBorder="1" applyAlignment="1">
      <alignment horizontal="right" vertical="center"/>
    </xf>
    <xf numFmtId="176" fontId="0" fillId="0" borderId="6" xfId="1" applyNumberFormat="1" applyFont="1" applyFill="1" applyBorder="1">
      <alignment vertical="center"/>
    </xf>
    <xf numFmtId="177" fontId="13" fillId="0" borderId="6" xfId="2" applyNumberFormat="1" applyFont="1" applyFill="1" applyBorder="1" applyAlignment="1">
      <alignment vertical="center"/>
    </xf>
    <xf numFmtId="0" fontId="18" fillId="0" borderId="6" xfId="0" applyFont="1" applyFill="1" applyBorder="1" applyAlignment="1">
      <alignment horizontal="right" vertical="center"/>
    </xf>
    <xf numFmtId="178" fontId="18" fillId="0" borderId="6" xfId="0" applyNumberFormat="1" applyFont="1" applyFill="1" applyBorder="1" applyAlignment="1">
      <alignment horizontal="right" vertical="center"/>
    </xf>
    <xf numFmtId="179" fontId="18" fillId="0" borderId="6" xfId="0" applyNumberFormat="1" applyFont="1" applyFill="1" applyBorder="1" applyAlignment="1">
      <alignment horizontal="right" vertical="center"/>
    </xf>
    <xf numFmtId="41" fontId="0" fillId="0" borderId="8" xfId="1" applyFont="1" applyFill="1" applyBorder="1">
      <alignment vertical="center"/>
    </xf>
    <xf numFmtId="0" fontId="19" fillId="0" borderId="9" xfId="2" applyFont="1" applyFill="1" applyBorder="1" applyAlignment="1">
      <alignment horizontal="right" vertical="center"/>
    </xf>
    <xf numFmtId="3" fontId="19" fillId="0" borderId="0" xfId="2" applyNumberFormat="1" applyFont="1" applyFill="1" applyBorder="1" applyAlignment="1">
      <alignment vertical="center"/>
    </xf>
    <xf numFmtId="3" fontId="19" fillId="0" borderId="0" xfId="2" applyNumberFormat="1" applyFont="1" applyFill="1" applyBorder="1" applyAlignment="1">
      <alignment horizontal="right" vertical="center"/>
    </xf>
    <xf numFmtId="0" fontId="21" fillId="0" borderId="0" xfId="3" applyFont="1">
      <alignment vertical="center"/>
    </xf>
    <xf numFmtId="49" fontId="20" fillId="0" borderId="0" xfId="4" applyNumberFormat="1" applyFont="1" applyAlignment="1">
      <alignment horizontal="right" vertical="center"/>
    </xf>
    <xf numFmtId="0" fontId="20" fillId="0" borderId="0" xfId="3">
      <alignment vertical="center"/>
    </xf>
    <xf numFmtId="0" fontId="20" fillId="0" borderId="0" xfId="3" applyFont="1">
      <alignment vertical="center"/>
    </xf>
    <xf numFmtId="0" fontId="20" fillId="0" borderId="0" xfId="3" applyNumberFormat="1" applyAlignment="1">
      <alignment horizontal="center" vertical="center"/>
    </xf>
    <xf numFmtId="0" fontId="20" fillId="0" borderId="0" xfId="3" applyFill="1">
      <alignment vertical="center"/>
    </xf>
    <xf numFmtId="0" fontId="24" fillId="0" borderId="0" xfId="3" applyNumberFormat="1" applyFont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0" fillId="0" borderId="0" xfId="3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10" fillId="0" borderId="0" xfId="5" applyFont="1" applyBorder="1" applyAlignment="1">
      <alignment horizontal="right" vertical="center"/>
    </xf>
    <xf numFmtId="0" fontId="24" fillId="0" borderId="0" xfId="3" applyFont="1" applyAlignment="1">
      <alignment vertical="center"/>
    </xf>
    <xf numFmtId="0" fontId="27" fillId="0" borderId="0" xfId="5" applyNumberFormat="1" applyFont="1" applyAlignment="1">
      <alignment horizontal="center" vertical="center"/>
    </xf>
    <xf numFmtId="0" fontId="27" fillId="0" borderId="0" xfId="5" applyFont="1" applyAlignment="1">
      <alignment vertical="center"/>
    </xf>
    <xf numFmtId="0" fontId="10" fillId="0" borderId="0" xfId="5" applyAlignment="1">
      <alignment vertical="center"/>
    </xf>
    <xf numFmtId="0" fontId="24" fillId="0" borderId="0" xfId="3" applyFont="1">
      <alignment vertical="center"/>
    </xf>
    <xf numFmtId="49" fontId="29" fillId="0" borderId="0" xfId="4" applyNumberFormat="1" applyFont="1" applyAlignment="1">
      <alignment horizontal="left" vertical="center"/>
    </xf>
    <xf numFmtId="0" fontId="30" fillId="0" borderId="0" xfId="3" applyFont="1" applyAlignment="1">
      <alignment horizontal="center" vertical="center"/>
    </xf>
    <xf numFmtId="0" fontId="0" fillId="0" borderId="0" xfId="5" applyFont="1" applyBorder="1" applyAlignment="1">
      <alignment horizontal="right" vertical="center"/>
    </xf>
    <xf numFmtId="0" fontId="15" fillId="0" borderId="0" xfId="5" applyFont="1" applyBorder="1" applyAlignment="1">
      <alignment horizontal="left" vertical="center"/>
    </xf>
    <xf numFmtId="0" fontId="29" fillId="0" borderId="0" xfId="5" applyFont="1" applyBorder="1" applyAlignment="1">
      <alignment horizontal="left" vertical="center"/>
    </xf>
    <xf numFmtId="0" fontId="24" fillId="0" borderId="0" xfId="3" applyFont="1" applyBorder="1">
      <alignment vertical="center"/>
    </xf>
    <xf numFmtId="0" fontId="29" fillId="0" borderId="0" xfId="5" applyFont="1" applyAlignment="1">
      <alignment horizontal="left" vertical="center"/>
    </xf>
    <xf numFmtId="0" fontId="29" fillId="0" borderId="0" xfId="5" applyFont="1" applyAlignment="1">
      <alignment horizontal="center" vertical="center"/>
    </xf>
    <xf numFmtId="0" fontId="29" fillId="0" borderId="0" xfId="5" applyFont="1" applyAlignment="1">
      <alignment horizontal="right" vertical="center"/>
    </xf>
    <xf numFmtId="0" fontId="32" fillId="0" borderId="0" xfId="3" applyFont="1" applyAlignment="1">
      <alignment horizontal="center" vertical="center"/>
    </xf>
    <xf numFmtId="0" fontId="33" fillId="0" borderId="0" xfId="5" applyFont="1" applyBorder="1" applyAlignment="1">
      <alignment horizontal="right" vertical="center"/>
    </xf>
    <xf numFmtId="0" fontId="33" fillId="0" borderId="10" xfId="5" applyFont="1" applyBorder="1" applyAlignment="1">
      <alignment horizontal="center" vertical="center"/>
    </xf>
    <xf numFmtId="0" fontId="33" fillId="0" borderId="10" xfId="5" applyFont="1" applyFill="1" applyBorder="1" applyAlignment="1">
      <alignment horizontal="center" vertical="center"/>
    </xf>
    <xf numFmtId="0" fontId="24" fillId="0" borderId="10" xfId="3" applyFont="1" applyBorder="1" applyAlignment="1">
      <alignment horizontal="left" vertical="center"/>
    </xf>
    <xf numFmtId="0" fontId="24" fillId="0" borderId="10" xfId="3" applyFont="1" applyBorder="1">
      <alignment vertical="center"/>
    </xf>
    <xf numFmtId="0" fontId="32" fillId="0" borderId="10" xfId="3" applyFont="1" applyBorder="1" applyAlignment="1">
      <alignment horizontal="center" vertical="center"/>
    </xf>
    <xf numFmtId="0" fontId="34" fillId="0" borderId="10" xfId="3" applyFont="1" applyBorder="1" applyAlignment="1">
      <alignment horizontal="center" vertical="center" wrapText="1"/>
    </xf>
    <xf numFmtId="0" fontId="33" fillId="0" borderId="0" xfId="5" applyFont="1" applyAlignment="1">
      <alignment horizontal="center" vertical="center"/>
    </xf>
    <xf numFmtId="0" fontId="33" fillId="0" borderId="0" xfId="5" applyFont="1" applyAlignment="1">
      <alignment vertical="center"/>
    </xf>
    <xf numFmtId="0" fontId="20" fillId="0" borderId="0" xfId="3" applyFont="1" applyAlignment="1">
      <alignment horizontal="center" vertical="center"/>
    </xf>
    <xf numFmtId="0" fontId="38" fillId="0" borderId="9" xfId="3" applyFont="1" applyBorder="1" applyAlignment="1">
      <alignment horizontal="center" vertical="center"/>
    </xf>
    <xf numFmtId="0" fontId="10" fillId="0" borderId="4" xfId="5" applyFont="1" applyBorder="1" applyAlignment="1">
      <alignment vertical="center" wrapText="1"/>
    </xf>
    <xf numFmtId="0" fontId="10" fillId="0" borderId="12" xfId="5" applyFont="1" applyFill="1" applyBorder="1" applyAlignment="1">
      <alignment horizontal="center" vertical="center"/>
    </xf>
    <xf numFmtId="0" fontId="10" fillId="0" borderId="11" xfId="5" applyFont="1" applyFill="1" applyBorder="1" applyAlignment="1">
      <alignment horizontal="center" vertical="center"/>
    </xf>
    <xf numFmtId="0" fontId="10" fillId="0" borderId="12" xfId="5" applyFont="1" applyFill="1" applyBorder="1" applyAlignment="1">
      <alignment horizontal="center" vertical="center" wrapText="1"/>
    </xf>
    <xf numFmtId="0" fontId="10" fillId="0" borderId="11" xfId="5" applyFont="1" applyFill="1" applyBorder="1" applyAlignment="1">
      <alignment horizontal="center" vertical="center" wrapText="1"/>
    </xf>
    <xf numFmtId="49" fontId="10" fillId="0" borderId="11" xfId="5" applyNumberFormat="1" applyFont="1" applyFill="1" applyBorder="1" applyAlignment="1">
      <alignment horizontal="center" vertical="center" wrapText="1"/>
    </xf>
    <xf numFmtId="0" fontId="10" fillId="0" borderId="12" xfId="5" applyFont="1" applyBorder="1" applyAlignment="1">
      <alignment horizontal="center" vertical="center"/>
    </xf>
    <xf numFmtId="0" fontId="10" fillId="0" borderId="11" xfId="5" applyFont="1" applyBorder="1" applyAlignment="1">
      <alignment horizontal="center" vertical="center"/>
    </xf>
    <xf numFmtId="0" fontId="10" fillId="0" borderId="11" xfId="5" applyFont="1" applyFill="1" applyBorder="1" applyAlignment="1">
      <alignment horizontal="center" vertical="center" shrinkToFit="1"/>
    </xf>
    <xf numFmtId="0" fontId="0" fillId="0" borderId="11" xfId="5" applyFont="1" applyFill="1" applyBorder="1" applyAlignment="1">
      <alignment horizontal="center" vertical="center"/>
    </xf>
    <xf numFmtId="0" fontId="10" fillId="0" borderId="11" xfId="5" applyFont="1" applyBorder="1" applyAlignment="1">
      <alignment horizontal="center" vertical="center" shrinkToFit="1"/>
    </xf>
    <xf numFmtId="0" fontId="0" fillId="0" borderId="11" xfId="5" applyFont="1" applyFill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/>
    </xf>
    <xf numFmtId="0" fontId="19" fillId="0" borderId="13" xfId="3" applyFont="1" applyBorder="1" applyAlignment="1">
      <alignment horizontal="center" vertical="center" wrapText="1"/>
    </xf>
    <xf numFmtId="0" fontId="38" fillId="0" borderId="14" xfId="3" applyFont="1" applyBorder="1" applyAlignment="1">
      <alignment horizontal="center" vertical="center"/>
    </xf>
    <xf numFmtId="0" fontId="38" fillId="0" borderId="13" xfId="5" applyFont="1" applyBorder="1" applyAlignment="1">
      <alignment horizontal="center" vertical="center" wrapText="1"/>
    </xf>
    <xf numFmtId="0" fontId="38" fillId="0" borderId="13" xfId="3" applyFont="1" applyBorder="1" applyAlignment="1">
      <alignment horizontal="center" vertical="center" wrapText="1"/>
    </xf>
    <xf numFmtId="0" fontId="38" fillId="0" borderId="13" xfId="3" applyFont="1" applyBorder="1" applyAlignment="1">
      <alignment horizontal="center" vertical="center"/>
    </xf>
    <xf numFmtId="0" fontId="0" fillId="0" borderId="12" xfId="5" applyFont="1" applyBorder="1" applyAlignment="1">
      <alignment horizontal="center" vertical="center" wrapText="1"/>
    </xf>
    <xf numFmtId="0" fontId="0" fillId="0" borderId="11" xfId="5" applyFont="1" applyBorder="1" applyAlignment="1">
      <alignment horizontal="center" vertical="center" wrapText="1"/>
    </xf>
    <xf numFmtId="0" fontId="10" fillId="0" borderId="11" xfId="5" applyFont="1" applyBorder="1" applyAlignment="1">
      <alignment horizontal="center" vertical="center" wrapText="1"/>
    </xf>
    <xf numFmtId="0" fontId="10" fillId="0" borderId="11" xfId="3" applyFont="1" applyBorder="1" applyAlignment="1">
      <alignment horizontal="center" vertical="center" wrapText="1"/>
    </xf>
    <xf numFmtId="0" fontId="10" fillId="0" borderId="12" xfId="5" applyFont="1" applyBorder="1" applyAlignment="1">
      <alignment horizontal="center" vertical="center" wrapText="1"/>
    </xf>
    <xf numFmtId="0" fontId="0" fillId="0" borderId="11" xfId="5" applyFont="1" applyBorder="1" applyAlignment="1">
      <alignment horizontal="center" vertical="center"/>
    </xf>
    <xf numFmtId="0" fontId="0" fillId="0" borderId="11" xfId="3" applyFont="1" applyBorder="1" applyAlignment="1">
      <alignment horizontal="center" vertical="center" wrapText="1"/>
    </xf>
    <xf numFmtId="49" fontId="20" fillId="0" borderId="6" xfId="4" applyNumberFormat="1" applyFont="1" applyBorder="1" applyAlignment="1">
      <alignment horizontal="right" vertical="center"/>
    </xf>
    <xf numFmtId="180" fontId="38" fillId="0" borderId="6" xfId="4" applyNumberFormat="1" applyFont="1" applyFill="1" applyBorder="1">
      <alignment vertical="center"/>
    </xf>
    <xf numFmtId="0" fontId="20" fillId="0" borderId="6" xfId="4" applyNumberFormat="1" applyFont="1" applyBorder="1" applyAlignment="1">
      <alignment horizontal="right" vertical="center"/>
    </xf>
    <xf numFmtId="181" fontId="20" fillId="0" borderId="6" xfId="4" applyNumberFormat="1" applyFont="1" applyFill="1" applyBorder="1">
      <alignment vertical="center"/>
    </xf>
    <xf numFmtId="180" fontId="20" fillId="0" borderId="6" xfId="4" applyNumberFormat="1" applyFont="1" applyBorder="1" applyAlignment="1">
      <alignment horizontal="right" vertical="center"/>
    </xf>
    <xf numFmtId="0" fontId="10" fillId="0" borderId="0" xfId="6" applyBorder="1">
      <alignment vertical="center"/>
    </xf>
    <xf numFmtId="181" fontId="38" fillId="0" borderId="6" xfId="4" applyNumberFormat="1" applyFont="1" applyFill="1" applyBorder="1">
      <alignment vertical="center"/>
    </xf>
    <xf numFmtId="0" fontId="38" fillId="0" borderId="6" xfId="4" applyNumberFormat="1" applyFont="1" applyFill="1" applyBorder="1" applyAlignment="1">
      <alignment horizontal="right" vertical="center"/>
    </xf>
    <xf numFmtId="181" fontId="38" fillId="0" borderId="15" xfId="4" applyNumberFormat="1" applyFont="1" applyFill="1" applyBorder="1">
      <alignment vertical="center"/>
    </xf>
    <xf numFmtId="180" fontId="20" fillId="0" borderId="6" xfId="7" applyNumberFormat="1" applyFont="1" applyBorder="1">
      <alignment vertical="center"/>
    </xf>
    <xf numFmtId="0" fontId="20" fillId="0" borderId="6" xfId="7" applyNumberFormat="1" applyFont="1" applyBorder="1" applyAlignment="1">
      <alignment horizontal="right" vertical="center"/>
    </xf>
    <xf numFmtId="180" fontId="20" fillId="0" borderId="6" xfId="7" applyNumberFormat="1" applyFont="1" applyFill="1" applyBorder="1">
      <alignment vertical="center"/>
    </xf>
    <xf numFmtId="49" fontId="20" fillId="0" borderId="6" xfId="7" applyNumberFormat="1" applyFont="1" applyBorder="1" applyAlignment="1">
      <alignment horizontal="right" vertical="center"/>
    </xf>
    <xf numFmtId="181" fontId="20" fillId="0" borderId="15" xfId="7" applyNumberFormat="1" applyFont="1" applyBorder="1">
      <alignment vertical="center"/>
    </xf>
    <xf numFmtId="180" fontId="20" fillId="0" borderId="6" xfId="7" applyNumberFormat="1" applyFont="1" applyBorder="1" applyAlignment="1">
      <alignment horizontal="right" vertical="center"/>
    </xf>
    <xf numFmtId="180" fontId="20" fillId="0" borderId="16" xfId="7" applyNumberFormat="1" applyFont="1" applyBorder="1">
      <alignment vertical="center"/>
    </xf>
    <xf numFmtId="180" fontId="20" fillId="0" borderId="15" xfId="7" applyNumberFormat="1" applyFont="1" applyBorder="1">
      <alignment vertical="center"/>
    </xf>
    <xf numFmtId="180" fontId="20" fillId="0" borderId="15" xfId="7" applyNumberFormat="1" applyFont="1" applyBorder="1" applyAlignment="1">
      <alignment horizontal="right" vertical="center"/>
    </xf>
    <xf numFmtId="49" fontId="20" fillId="0" borderId="15" xfId="4" applyNumberFormat="1" applyFont="1" applyBorder="1" applyAlignment="1">
      <alignment horizontal="right" vertical="center"/>
    </xf>
    <xf numFmtId="180" fontId="20" fillId="0" borderId="0" xfId="7" applyNumberFormat="1" applyFont="1" applyBorder="1">
      <alignment vertical="center"/>
    </xf>
    <xf numFmtId="0" fontId="20" fillId="0" borderId="15" xfId="7" applyNumberFormat="1" applyFont="1" applyBorder="1" applyAlignment="1">
      <alignment horizontal="right" vertical="center"/>
    </xf>
    <xf numFmtId="49" fontId="20" fillId="0" borderId="15" xfId="7" applyNumberFormat="1" applyFont="1" applyBorder="1" applyAlignment="1">
      <alignment horizontal="right" vertical="center"/>
    </xf>
    <xf numFmtId="181" fontId="20" fillId="0" borderId="0" xfId="7" applyNumberFormat="1" applyFont="1" applyBorder="1">
      <alignment vertical="center"/>
    </xf>
    <xf numFmtId="49" fontId="23" fillId="0" borderId="15" xfId="7" applyNumberFormat="1" applyFont="1" applyBorder="1" applyAlignment="1">
      <alignment horizontal="right" vertical="center"/>
    </xf>
    <xf numFmtId="49" fontId="23" fillId="0" borderId="6" xfId="7" applyNumberFormat="1" applyFont="1" applyBorder="1" applyAlignment="1">
      <alignment horizontal="right" vertical="center"/>
    </xf>
    <xf numFmtId="49" fontId="23" fillId="0" borderId="0" xfId="7" applyNumberFormat="1" applyFont="1" applyBorder="1" applyAlignment="1">
      <alignment horizontal="right" vertical="center"/>
    </xf>
    <xf numFmtId="0" fontId="23" fillId="0" borderId="15" xfId="7" applyNumberFormat="1" applyFont="1" applyBorder="1" applyAlignment="1">
      <alignment horizontal="right" vertical="center"/>
    </xf>
    <xf numFmtId="0" fontId="23" fillId="0" borderId="6" xfId="7" applyNumberFormat="1" applyFont="1" applyBorder="1" applyAlignment="1">
      <alignment horizontal="right" vertical="center"/>
    </xf>
    <xf numFmtId="0" fontId="23" fillId="0" borderId="0" xfId="7" applyNumberFormat="1" applyFont="1" applyBorder="1" applyAlignment="1">
      <alignment horizontal="right" vertical="center"/>
    </xf>
    <xf numFmtId="181" fontId="20" fillId="0" borderId="6" xfId="7" applyNumberFormat="1" applyFont="1" applyBorder="1">
      <alignment vertical="center"/>
    </xf>
    <xf numFmtId="49" fontId="23" fillId="0" borderId="0" xfId="7" quotePrefix="1" applyNumberFormat="1" applyFont="1" applyBorder="1" applyAlignment="1">
      <alignment horizontal="right" vertical="center"/>
    </xf>
    <xf numFmtId="49" fontId="23" fillId="0" borderId="10" xfId="7" applyNumberFormat="1" applyFont="1" applyBorder="1" applyAlignment="1">
      <alignment horizontal="right" vertical="center"/>
    </xf>
    <xf numFmtId="180" fontId="20" fillId="0" borderId="8" xfId="7" applyNumberFormat="1" applyFont="1" applyBorder="1">
      <alignment vertical="center"/>
    </xf>
    <xf numFmtId="180" fontId="20" fillId="0" borderId="8" xfId="7" applyNumberFormat="1" applyFont="1" applyFill="1" applyBorder="1">
      <alignment vertical="center"/>
    </xf>
    <xf numFmtId="181" fontId="20" fillId="0" borderId="8" xfId="7" applyNumberFormat="1" applyFont="1" applyBorder="1">
      <alignment vertical="center"/>
    </xf>
    <xf numFmtId="180" fontId="20" fillId="0" borderId="17" xfId="7" applyNumberFormat="1" applyFont="1" applyBorder="1">
      <alignment vertical="center"/>
    </xf>
    <xf numFmtId="180" fontId="20" fillId="0" borderId="8" xfId="7" applyNumberFormat="1" applyFont="1" applyBorder="1" applyAlignment="1">
      <alignment horizontal="right" vertical="center"/>
    </xf>
    <xf numFmtId="180" fontId="20" fillId="0" borderId="18" xfId="7" applyNumberFormat="1" applyFont="1" applyBorder="1">
      <alignment vertical="center"/>
    </xf>
    <xf numFmtId="0" fontId="20" fillId="0" borderId="0" xfId="3" applyBorder="1">
      <alignment vertical="center"/>
    </xf>
    <xf numFmtId="0" fontId="42" fillId="0" borderId="0" xfId="8" applyFont="1"/>
    <xf numFmtId="0" fontId="0" fillId="0" borderId="0" xfId="0" applyFill="1">
      <alignment vertical="center"/>
    </xf>
    <xf numFmtId="0" fontId="42" fillId="0" borderId="10" xfId="8" applyFont="1" applyBorder="1" applyAlignment="1">
      <alignment vertical="center"/>
    </xf>
    <xf numFmtId="0" fontId="42" fillId="0" borderId="10" xfId="8" applyFont="1" applyBorder="1" applyAlignment="1">
      <alignment horizontal="right" vertical="center"/>
    </xf>
    <xf numFmtId="0" fontId="13" fillId="0" borderId="9" xfId="8" applyFont="1" applyBorder="1" applyAlignment="1">
      <alignment vertical="center" wrapText="1"/>
    </xf>
    <xf numFmtId="0" fontId="13" fillId="0" borderId="19" xfId="8" applyFont="1" applyBorder="1" applyAlignment="1">
      <alignment vertical="center" wrapText="1"/>
    </xf>
    <xf numFmtId="0" fontId="13" fillId="0" borderId="20" xfId="8" applyFont="1" applyBorder="1" applyAlignment="1">
      <alignment horizontal="center" vertical="center" wrapText="1"/>
    </xf>
    <xf numFmtId="0" fontId="13" fillId="0" borderId="3" xfId="8" applyFont="1" applyBorder="1" applyAlignment="1">
      <alignment horizontal="center" vertical="center" wrapText="1"/>
    </xf>
    <xf numFmtId="0" fontId="13" fillId="0" borderId="6" xfId="8" applyFont="1" applyBorder="1" applyAlignment="1">
      <alignment horizontal="right" vertical="center"/>
    </xf>
    <xf numFmtId="180" fontId="13" fillId="0" borderId="6" xfId="8" applyNumberFormat="1" applyFont="1" applyBorder="1" applyAlignment="1">
      <alignment horizontal="right" vertical="center"/>
    </xf>
    <xf numFmtId="182" fontId="13" fillId="0" borderId="6" xfId="8" applyNumberFormat="1" applyFont="1" applyBorder="1" applyAlignment="1">
      <alignment horizontal="right" vertical="center"/>
    </xf>
    <xf numFmtId="180" fontId="13" fillId="0" borderId="16" xfId="9" applyNumberFormat="1" applyFont="1" applyBorder="1" applyAlignment="1">
      <alignment vertical="center"/>
    </xf>
    <xf numFmtId="180" fontId="13" fillId="0" borderId="6" xfId="8" applyNumberFormat="1" applyFont="1" applyFill="1" applyBorder="1" applyAlignment="1">
      <alignment horizontal="right" vertical="center" indent="1"/>
    </xf>
    <xf numFmtId="176" fontId="20" fillId="0" borderId="6" xfId="1" applyNumberFormat="1" applyFont="1" applyFill="1" applyBorder="1">
      <alignment vertical="center"/>
    </xf>
    <xf numFmtId="183" fontId="20" fillId="0" borderId="6" xfId="1" applyNumberFormat="1" applyFont="1" applyFill="1" applyBorder="1">
      <alignment vertical="center"/>
    </xf>
    <xf numFmtId="180" fontId="13" fillId="0" borderId="6" xfId="9" applyNumberFormat="1" applyFont="1" applyBorder="1" applyAlignment="1">
      <alignment horizontal="right" vertical="center"/>
    </xf>
    <xf numFmtId="0" fontId="42" fillId="0" borderId="0" xfId="8" applyFont="1" applyBorder="1" applyAlignment="1">
      <alignment vertical="center"/>
    </xf>
    <xf numFmtId="180" fontId="20" fillId="0" borderId="6" xfId="1" applyNumberFormat="1" applyFont="1" applyFill="1" applyBorder="1">
      <alignment vertical="center"/>
    </xf>
    <xf numFmtId="176" fontId="20" fillId="0" borderId="16" xfId="1" applyNumberFormat="1" applyFont="1" applyFill="1" applyBorder="1">
      <alignment vertical="center"/>
    </xf>
    <xf numFmtId="0" fontId="42" fillId="0" borderId="8" xfId="8" applyFont="1" applyBorder="1" applyAlignment="1">
      <alignment horizontal="right" vertical="center"/>
    </xf>
    <xf numFmtId="180" fontId="42" fillId="0" borderId="8" xfId="8" applyNumberFormat="1" applyFont="1" applyBorder="1" applyAlignment="1">
      <alignment horizontal="right" vertical="center"/>
    </xf>
    <xf numFmtId="182" fontId="42" fillId="0" borderId="8" xfId="8" applyNumberFormat="1" applyFont="1" applyBorder="1" applyAlignment="1">
      <alignment horizontal="right" vertical="center"/>
    </xf>
    <xf numFmtId="180" fontId="42" fillId="0" borderId="18" xfId="9" applyNumberFormat="1" applyFont="1" applyBorder="1" applyAlignment="1">
      <alignment horizontal="right" vertical="center"/>
    </xf>
    <xf numFmtId="180" fontId="42" fillId="0" borderId="8" xfId="9" applyNumberFormat="1" applyFont="1" applyBorder="1" applyAlignment="1">
      <alignment horizontal="right" vertical="center"/>
    </xf>
    <xf numFmtId="0" fontId="44" fillId="0" borderId="0" xfId="8" applyFont="1" applyBorder="1" applyAlignment="1">
      <alignment vertical="center"/>
    </xf>
    <xf numFmtId="180" fontId="44" fillId="0" borderId="0" xfId="8" applyNumberFormat="1" applyFont="1" applyBorder="1" applyAlignment="1">
      <alignment vertical="center"/>
    </xf>
    <xf numFmtId="0" fontId="44" fillId="0" borderId="0" xfId="8" applyFont="1" applyFill="1" applyBorder="1" applyAlignment="1">
      <alignment vertical="center"/>
    </xf>
    <xf numFmtId="176" fontId="42" fillId="0" borderId="0" xfId="8" applyNumberFormat="1" applyFont="1"/>
    <xf numFmtId="184" fontId="42" fillId="0" borderId="0" xfId="8" applyNumberFormat="1" applyFont="1"/>
    <xf numFmtId="4" fontId="42" fillId="0" borderId="0" xfId="8" applyNumberFormat="1" applyFont="1"/>
    <xf numFmtId="183" fontId="42" fillId="0" borderId="0" xfId="8" applyNumberFormat="1" applyFont="1"/>
    <xf numFmtId="1" fontId="42" fillId="0" borderId="0" xfId="8" applyNumberFormat="1" applyFont="1"/>
    <xf numFmtId="3" fontId="42" fillId="0" borderId="0" xfId="8" applyNumberFormat="1" applyFont="1"/>
    <xf numFmtId="0" fontId="45" fillId="0" borderId="0" xfId="8" applyFont="1" applyBorder="1" applyAlignment="1">
      <alignment horizontal="center"/>
    </xf>
    <xf numFmtId="0" fontId="46" fillId="0" borderId="0" xfId="8" applyFont="1" applyBorder="1" applyAlignment="1">
      <alignment horizontal="center"/>
    </xf>
    <xf numFmtId="0" fontId="42" fillId="0" borderId="2" xfId="8" applyFont="1" applyBorder="1" applyAlignment="1">
      <alignment horizontal="center" vertical="center"/>
    </xf>
    <xf numFmtId="0" fontId="42" fillId="0" borderId="8" xfId="8" applyFont="1" applyBorder="1" applyAlignment="1">
      <alignment horizontal="center" vertical="center"/>
    </xf>
    <xf numFmtId="14" fontId="42" fillId="0" borderId="0" xfId="8" applyNumberFormat="1" applyFont="1"/>
    <xf numFmtId="0" fontId="42" fillId="0" borderId="6" xfId="8" applyFont="1" applyBorder="1" applyAlignment="1">
      <alignment horizontal="right"/>
    </xf>
    <xf numFmtId="185" fontId="49" fillId="0" borderId="15" xfId="8" applyNumberFormat="1" applyFont="1" applyBorder="1" applyAlignment="1">
      <alignment vertical="center"/>
    </xf>
    <xf numFmtId="185" fontId="49" fillId="0" borderId="15" xfId="8" applyNumberFormat="1" applyFont="1" applyBorder="1" applyAlignment="1">
      <alignment horizontal="right" vertical="center"/>
    </xf>
    <xf numFmtId="43" fontId="42" fillId="0" borderId="0" xfId="8" applyNumberFormat="1" applyFont="1"/>
    <xf numFmtId="41" fontId="42" fillId="0" borderId="0" xfId="1" applyFont="1" applyAlignment="1"/>
    <xf numFmtId="177" fontId="42" fillId="0" borderId="6" xfId="2" applyNumberFormat="1" applyFont="1" applyFill="1" applyBorder="1" applyAlignment="1">
      <alignment vertical="center"/>
    </xf>
    <xf numFmtId="0" fontId="42" fillId="0" borderId="6" xfId="8" applyFont="1" applyBorder="1" applyAlignment="1">
      <alignment horizontal="right" vertical="center"/>
    </xf>
    <xf numFmtId="185" fontId="42" fillId="0" borderId="15" xfId="8" applyNumberFormat="1" applyFont="1" applyBorder="1" applyAlignment="1">
      <alignment horizontal="right" vertical="center"/>
    </xf>
    <xf numFmtId="181" fontId="42" fillId="0" borderId="6" xfId="8" applyNumberFormat="1" applyFont="1" applyFill="1" applyBorder="1" applyAlignment="1">
      <alignment horizontal="right" vertical="center"/>
    </xf>
    <xf numFmtId="178" fontId="50" fillId="0" borderId="6" xfId="0" applyNumberFormat="1" applyFont="1" applyFill="1" applyBorder="1" applyAlignment="1">
      <alignment horizontal="right" vertical="center"/>
    </xf>
    <xf numFmtId="179" fontId="50" fillId="0" borderId="6" xfId="0" applyNumberFormat="1" applyFont="1" applyFill="1" applyBorder="1" applyAlignment="1">
      <alignment horizontal="right" vertical="center"/>
    </xf>
    <xf numFmtId="0" fontId="50" fillId="0" borderId="8" xfId="0" applyFont="1" applyFill="1" applyBorder="1" applyAlignment="1">
      <alignment horizontal="right" vertical="center"/>
    </xf>
    <xf numFmtId="185" fontId="42" fillId="0" borderId="8" xfId="8" applyNumberFormat="1" applyFont="1" applyBorder="1" applyAlignment="1">
      <alignment horizontal="right" vertical="center"/>
    </xf>
    <xf numFmtId="0" fontId="51" fillId="0" borderId="0" xfId="0" applyFont="1">
      <alignment vertical="center"/>
    </xf>
    <xf numFmtId="0" fontId="44" fillId="0" borderId="0" xfId="8" applyFont="1"/>
    <xf numFmtId="0" fontId="44" fillId="0" borderId="0" xfId="8" applyFont="1" applyBorder="1"/>
    <xf numFmtId="0" fontId="42" fillId="0" borderId="0" xfId="8" applyFont="1" applyFill="1"/>
    <xf numFmtId="0" fontId="42" fillId="0" borderId="8" xfId="8" applyFont="1" applyBorder="1"/>
    <xf numFmtId="0" fontId="42" fillId="0" borderId="8" xfId="8" applyFont="1" applyBorder="1" applyAlignment="1">
      <alignment horizontal="center" vertical="center" wrapText="1"/>
    </xf>
    <xf numFmtId="186" fontId="49" fillId="0" borderId="6" xfId="10" applyNumberFormat="1" applyFont="1" applyFill="1" applyBorder="1">
      <alignment vertical="center"/>
    </xf>
    <xf numFmtId="1" fontId="42" fillId="0" borderId="0" xfId="8" applyNumberFormat="1" applyFont="1" applyBorder="1" applyAlignment="1">
      <alignment vertical="center"/>
    </xf>
    <xf numFmtId="0" fontId="50" fillId="0" borderId="6" xfId="0" applyFont="1" applyFill="1" applyBorder="1" applyAlignment="1">
      <alignment horizontal="right" vertical="center"/>
    </xf>
    <xf numFmtId="186" fontId="42" fillId="0" borderId="6" xfId="8" applyNumberFormat="1" applyFont="1" applyFill="1" applyBorder="1" applyProtection="1">
      <protection locked="0"/>
    </xf>
    <xf numFmtId="186" fontId="49" fillId="0" borderId="0" xfId="10" applyNumberFormat="1" applyFont="1" applyFill="1" applyBorder="1">
      <alignment vertical="center"/>
    </xf>
    <xf numFmtId="186" fontId="49" fillId="0" borderId="15" xfId="10" applyNumberFormat="1" applyFont="1" applyFill="1" applyBorder="1">
      <alignment vertical="center"/>
    </xf>
    <xf numFmtId="186" fontId="42" fillId="0" borderId="16" xfId="8" applyNumberFormat="1" applyFont="1" applyBorder="1" applyAlignment="1">
      <alignment horizontal="right" vertical="center"/>
    </xf>
    <xf numFmtId="186" fontId="42" fillId="0" borderId="0" xfId="8" applyNumberFormat="1" applyFont="1" applyBorder="1" applyAlignment="1">
      <alignment horizontal="right" vertical="center"/>
    </xf>
    <xf numFmtId="41" fontId="42" fillId="0" borderId="0" xfId="1" applyFont="1" applyBorder="1" applyAlignment="1">
      <alignment vertical="center"/>
    </xf>
    <xf numFmtId="187" fontId="42" fillId="0" borderId="0" xfId="8" applyNumberFormat="1" applyFont="1" applyBorder="1" applyAlignment="1">
      <alignment vertical="center"/>
    </xf>
    <xf numFmtId="43" fontId="42" fillId="0" borderId="0" xfId="8" applyNumberFormat="1" applyFont="1" applyBorder="1" applyAlignment="1">
      <alignment vertical="center"/>
    </xf>
    <xf numFmtId="188" fontId="52" fillId="0" borderId="0" xfId="0" quotePrefix="1" applyNumberFormat="1" applyFont="1" applyFill="1" applyBorder="1" applyAlignment="1">
      <alignment horizontal="right" vertical="center"/>
    </xf>
    <xf numFmtId="0" fontId="42" fillId="0" borderId="0" xfId="8" applyFont="1" applyBorder="1"/>
    <xf numFmtId="0" fontId="42" fillId="0" borderId="8" xfId="8" applyFont="1" applyBorder="1" applyAlignment="1">
      <alignment vertical="center" wrapText="1"/>
    </xf>
    <xf numFmtId="0" fontId="42" fillId="0" borderId="20" xfId="8" applyFont="1" applyBorder="1" applyAlignment="1">
      <alignment horizontal="center" vertical="center" wrapText="1"/>
    </xf>
    <xf numFmtId="0" fontId="42" fillId="0" borderId="5" xfId="8" applyFont="1" applyBorder="1" applyAlignment="1">
      <alignment horizontal="center" vertical="center" wrapText="1"/>
    </xf>
    <xf numFmtId="0" fontId="49" fillId="0" borderId="8" xfId="8" applyFont="1" applyFill="1" applyBorder="1" applyAlignment="1">
      <alignment vertical="center" wrapText="1"/>
    </xf>
    <xf numFmtId="0" fontId="49" fillId="0" borderId="20" xfId="8" applyFont="1" applyFill="1" applyBorder="1" applyAlignment="1">
      <alignment horizontal="center" vertical="center" wrapText="1"/>
    </xf>
    <xf numFmtId="0" fontId="49" fillId="0" borderId="5" xfId="8" applyFont="1" applyFill="1" applyBorder="1" applyAlignment="1">
      <alignment horizontal="center" vertical="center" wrapText="1"/>
    </xf>
    <xf numFmtId="180" fontId="49" fillId="0" borderId="6" xfId="9" applyNumberFormat="1" applyFont="1" applyBorder="1" applyAlignment="1">
      <alignment vertical="center"/>
    </xf>
    <xf numFmtId="180" fontId="49" fillId="0" borderId="6" xfId="9" applyNumberFormat="1" applyFont="1" applyFill="1" applyBorder="1" applyAlignment="1">
      <alignment vertical="center"/>
    </xf>
    <xf numFmtId="180" fontId="49" fillId="0" borderId="6" xfId="9" applyNumberFormat="1" applyFont="1" applyBorder="1" applyAlignment="1">
      <alignment horizontal="right" vertical="center"/>
    </xf>
    <xf numFmtId="180" fontId="49" fillId="0" borderId="6" xfId="9" applyNumberFormat="1" applyFont="1" applyFill="1" applyBorder="1" applyAlignment="1">
      <alignment horizontal="right" vertical="center"/>
    </xf>
    <xf numFmtId="0" fontId="50" fillId="0" borderId="18" xfId="0" applyFont="1" applyFill="1" applyBorder="1" applyAlignment="1">
      <alignment horizontal="right" vertical="center"/>
    </xf>
    <xf numFmtId="0" fontId="44" fillId="0" borderId="0" xfId="8" applyFont="1" applyAlignment="1"/>
    <xf numFmtId="180" fontId="42" fillId="0" borderId="10" xfId="9" applyNumberFormat="1" applyFont="1" applyBorder="1" applyAlignment="1">
      <alignment vertical="center"/>
    </xf>
    <xf numFmtId="0" fontId="42" fillId="0" borderId="0" xfId="8" applyFont="1" applyAlignment="1"/>
    <xf numFmtId="180" fontId="42" fillId="0" borderId="4" xfId="9" applyNumberFormat="1" applyFont="1" applyBorder="1" applyAlignment="1">
      <alignment vertical="center"/>
    </xf>
    <xf numFmtId="180" fontId="42" fillId="0" borderId="5" xfId="9" applyNumberFormat="1" applyFont="1" applyBorder="1" applyAlignment="1">
      <alignment vertical="center"/>
    </xf>
    <xf numFmtId="0" fontId="42" fillId="0" borderId="0" xfId="8" applyFont="1" applyAlignment="1">
      <alignment vertical="center"/>
    </xf>
    <xf numFmtId="180" fontId="42" fillId="0" borderId="2" xfId="9" applyNumberFormat="1" applyFont="1" applyBorder="1" applyAlignment="1">
      <alignment horizontal="center" vertical="center"/>
    </xf>
    <xf numFmtId="0" fontId="42" fillId="0" borderId="8" xfId="8" applyFont="1" applyBorder="1" applyAlignment="1">
      <alignment vertical="center"/>
    </xf>
    <xf numFmtId="180" fontId="42" fillId="0" borderId="8" xfId="9" applyNumberFormat="1" applyFont="1" applyBorder="1" applyAlignment="1">
      <alignment horizontal="center" vertical="center"/>
    </xf>
    <xf numFmtId="0" fontId="42" fillId="0" borderId="6" xfId="8" applyFont="1" applyBorder="1" applyAlignment="1">
      <alignment vertical="center"/>
    </xf>
    <xf numFmtId="180" fontId="56" fillId="0" borderId="6" xfId="9" applyNumberFormat="1" applyFont="1" applyFill="1" applyBorder="1" applyAlignment="1">
      <alignment vertical="center"/>
    </xf>
    <xf numFmtId="3" fontId="0" fillId="0" borderId="0" xfId="0" applyNumberFormat="1" applyFill="1">
      <alignment vertical="center"/>
    </xf>
    <xf numFmtId="3" fontId="0" fillId="0" borderId="0" xfId="0" applyNumberFormat="1">
      <alignment vertical="center"/>
    </xf>
    <xf numFmtId="0" fontId="57" fillId="0" borderId="8" xfId="0" applyFont="1" applyFill="1" applyBorder="1" applyAlignment="1">
      <alignment horizontal="right" vertical="center"/>
    </xf>
    <xf numFmtId="180" fontId="58" fillId="0" borderId="8" xfId="9" applyNumberFormat="1" applyFont="1" applyBorder="1" applyAlignment="1">
      <alignment vertical="center"/>
    </xf>
    <xf numFmtId="180" fontId="42" fillId="0" borderId="0" xfId="9" applyNumberFormat="1" applyFont="1" applyAlignment="1"/>
    <xf numFmtId="3" fontId="42" fillId="0" borderId="0" xfId="8" applyNumberFormat="1" applyFont="1" applyAlignment="1"/>
    <xf numFmtId="0" fontId="13" fillId="0" borderId="0" xfId="8" applyFont="1" applyAlignment="1">
      <alignment vertical="center"/>
    </xf>
    <xf numFmtId="0" fontId="13" fillId="0" borderId="10" xfId="8" applyFont="1" applyBorder="1" applyAlignment="1">
      <alignment vertical="center"/>
    </xf>
    <xf numFmtId="0" fontId="13" fillId="0" borderId="10" xfId="8" applyFont="1" applyBorder="1" applyAlignment="1"/>
    <xf numFmtId="0" fontId="42" fillId="0" borderId="4" xfId="8" applyFont="1" applyBorder="1" applyAlignment="1">
      <alignment vertical="center"/>
    </xf>
    <xf numFmtId="0" fontId="42" fillId="0" borderId="7" xfId="8" applyFont="1" applyBorder="1" applyAlignment="1">
      <alignment horizontal="center" vertical="center"/>
    </xf>
    <xf numFmtId="0" fontId="42" fillId="0" borderId="6" xfId="8" applyFont="1" applyBorder="1" applyAlignment="1">
      <alignment horizontal="center" vertical="center"/>
    </xf>
    <xf numFmtId="0" fontId="42" fillId="0" borderId="20" xfId="8" applyFont="1" applyBorder="1" applyAlignment="1">
      <alignment horizontal="center" vertical="center"/>
    </xf>
    <xf numFmtId="0" fontId="42" fillId="0" borderId="10" xfId="8" applyFont="1" applyBorder="1" applyAlignment="1">
      <alignment horizontal="center" vertical="center"/>
    </xf>
    <xf numFmtId="0" fontId="42" fillId="0" borderId="18" xfId="8" applyFont="1" applyBorder="1" applyAlignment="1">
      <alignment horizontal="center" vertical="center"/>
    </xf>
    <xf numFmtId="189" fontId="49" fillId="0" borderId="6" xfId="11" applyNumberFormat="1" applyFont="1" applyBorder="1" applyAlignment="1">
      <alignment vertical="center"/>
    </xf>
    <xf numFmtId="185" fontId="49" fillId="0" borderId="6" xfId="8" applyNumberFormat="1" applyFont="1" applyBorder="1" applyAlignment="1">
      <alignment horizontal="right" vertical="center"/>
    </xf>
    <xf numFmtId="181" fontId="49" fillId="0" borderId="6" xfId="9" applyNumberFormat="1" applyFont="1" applyBorder="1" applyAlignment="1">
      <alignment horizontal="right" vertical="center"/>
    </xf>
    <xf numFmtId="180" fontId="49" fillId="0" borderId="6" xfId="8" applyNumberFormat="1" applyFont="1" applyFill="1" applyBorder="1" applyAlignment="1">
      <alignment vertical="center"/>
    </xf>
    <xf numFmtId="181" fontId="49" fillId="0" borderId="6" xfId="8" applyNumberFormat="1" applyFont="1" applyFill="1" applyBorder="1" applyAlignment="1">
      <alignment vertical="center"/>
    </xf>
    <xf numFmtId="0" fontId="42" fillId="0" borderId="0" xfId="8" applyFont="1" applyFill="1" applyAlignment="1">
      <alignment vertical="center"/>
    </xf>
    <xf numFmtId="0" fontId="50" fillId="0" borderId="0" xfId="0" applyFont="1" applyFill="1" applyBorder="1" applyAlignment="1">
      <alignment horizontal="right" vertical="center"/>
    </xf>
    <xf numFmtId="189" fontId="59" fillId="0" borderId="6" xfId="11" applyNumberFormat="1" applyFont="1" applyBorder="1" applyAlignment="1">
      <alignment vertical="center"/>
    </xf>
    <xf numFmtId="185" fontId="59" fillId="0" borderId="6" xfId="0" applyNumberFormat="1" applyFont="1" applyBorder="1" applyAlignment="1">
      <alignment horizontal="right" vertical="center"/>
    </xf>
    <xf numFmtId="2" fontId="42" fillId="0" borderId="0" xfId="8" applyNumberFormat="1" applyFont="1" applyAlignment="1">
      <alignment vertical="center"/>
    </xf>
    <xf numFmtId="0" fontId="49" fillId="0" borderId="5" xfId="8" applyFont="1" applyBorder="1" applyAlignment="1">
      <alignment vertical="center"/>
    </xf>
    <xf numFmtId="0" fontId="49" fillId="0" borderId="8" xfId="8" applyFont="1" applyBorder="1" applyAlignment="1">
      <alignment horizontal="center" vertical="center"/>
    </xf>
    <xf numFmtId="0" fontId="49" fillId="0" borderId="6" xfId="8" applyFont="1" applyBorder="1" applyAlignment="1">
      <alignment horizontal="right" vertical="center"/>
    </xf>
    <xf numFmtId="185" fontId="49" fillId="0" borderId="6" xfId="8" applyNumberFormat="1" applyFont="1" applyBorder="1" applyAlignment="1">
      <alignment vertical="center"/>
    </xf>
    <xf numFmtId="185" fontId="0" fillId="0" borderId="0" xfId="0" applyNumberFormat="1">
      <alignment vertical="center"/>
    </xf>
    <xf numFmtId="190" fontId="0" fillId="0" borderId="0" xfId="0" applyNumberFormat="1">
      <alignment vertical="center"/>
    </xf>
    <xf numFmtId="0" fontId="57" fillId="0" borderId="8" xfId="0" applyFont="1" applyBorder="1" applyAlignment="1">
      <alignment horizontal="right" vertical="center"/>
    </xf>
    <xf numFmtId="185" fontId="59" fillId="0" borderId="8" xfId="0" applyNumberFormat="1" applyFont="1" applyBorder="1" applyAlignment="1">
      <alignment horizontal="right" vertical="center"/>
    </xf>
    <xf numFmtId="185" fontId="59" fillId="0" borderId="8" xfId="0" applyNumberFormat="1" applyFont="1" applyBorder="1" applyAlignment="1">
      <alignment vertical="center"/>
    </xf>
    <xf numFmtId="0" fontId="13" fillId="0" borderId="0" xfId="8" applyFont="1" applyBorder="1"/>
    <xf numFmtId="0" fontId="60" fillId="0" borderId="10" xfId="8" applyFont="1" applyBorder="1" applyAlignment="1">
      <alignment vertical="center"/>
    </xf>
    <xf numFmtId="0" fontId="13" fillId="0" borderId="0" xfId="8" applyFont="1"/>
    <xf numFmtId="0" fontId="60" fillId="0" borderId="0" xfId="8" applyFont="1" applyBorder="1"/>
    <xf numFmtId="0" fontId="60" fillId="0" borderId="0" xfId="8" applyFont="1" applyBorder="1" applyAlignment="1">
      <alignment vertical="center"/>
    </xf>
    <xf numFmtId="0" fontId="60" fillId="0" borderId="20" xfId="8" applyFont="1" applyBorder="1" applyAlignment="1">
      <alignment horizontal="center" vertical="center"/>
    </xf>
    <xf numFmtId="0" fontId="60" fillId="0" borderId="6" xfId="8" applyFont="1" applyBorder="1" applyAlignment="1">
      <alignment horizontal="center" vertical="center"/>
    </xf>
    <xf numFmtId="178" fontId="60" fillId="0" borderId="6" xfId="8" applyNumberFormat="1" applyFont="1" applyFill="1" applyBorder="1" applyAlignment="1">
      <alignment horizontal="right" vertical="center"/>
    </xf>
    <xf numFmtId="0" fontId="60" fillId="0" borderId="6" xfId="1" applyNumberFormat="1" applyFont="1" applyFill="1" applyBorder="1" applyAlignment="1">
      <alignment horizontal="right" vertical="center"/>
    </xf>
    <xf numFmtId="188" fontId="60" fillId="0" borderId="6" xfId="8" applyNumberFormat="1" applyFont="1" applyFill="1" applyBorder="1" applyAlignment="1">
      <alignment horizontal="right" vertical="center"/>
    </xf>
    <xf numFmtId="38" fontId="60" fillId="0" borderId="0" xfId="8" applyNumberFormat="1" applyFont="1" applyBorder="1"/>
    <xf numFmtId="177" fontId="60" fillId="0" borderId="6" xfId="8" applyNumberFormat="1" applyFont="1" applyFill="1" applyBorder="1" applyAlignment="1">
      <alignment horizontal="right" vertical="center"/>
    </xf>
    <xf numFmtId="38" fontId="44" fillId="0" borderId="0" xfId="8" applyNumberFormat="1" applyFont="1" applyBorder="1"/>
    <xf numFmtId="186" fontId="60" fillId="0" borderId="6" xfId="8" applyNumberFormat="1" applyFont="1" applyFill="1" applyBorder="1" applyAlignment="1">
      <alignment horizontal="right" vertical="center"/>
    </xf>
    <xf numFmtId="14" fontId="60" fillId="0" borderId="6" xfId="8" applyNumberFormat="1" applyFont="1" applyFill="1" applyBorder="1" applyAlignment="1">
      <alignment horizontal="right" vertical="center"/>
    </xf>
    <xf numFmtId="186" fontId="60" fillId="0" borderId="6" xfId="8" quotePrefix="1" applyNumberFormat="1" applyFont="1" applyFill="1" applyBorder="1" applyAlignment="1">
      <alignment horizontal="right" vertical="center"/>
    </xf>
    <xf numFmtId="188" fontId="60" fillId="0" borderId="6" xfId="8" quotePrefix="1" applyNumberFormat="1" applyFont="1" applyFill="1" applyBorder="1" applyAlignment="1">
      <alignment horizontal="right" vertical="center"/>
    </xf>
    <xf numFmtId="179" fontId="60" fillId="0" borderId="6" xfId="8" applyNumberFormat="1" applyFont="1" applyFill="1" applyBorder="1" applyAlignment="1">
      <alignment horizontal="right" vertical="center"/>
    </xf>
    <xf numFmtId="186" fontId="17" fillId="0" borderId="8" xfId="0" applyNumberFormat="1" applyFont="1" applyFill="1" applyBorder="1" applyAlignment="1">
      <alignment horizontal="right" vertical="center"/>
    </xf>
    <xf numFmtId="188" fontId="17" fillId="0" borderId="8" xfId="0" applyNumberFormat="1" applyFont="1" applyFill="1" applyBorder="1" applyAlignment="1">
      <alignment horizontal="right" vertical="center"/>
    </xf>
    <xf numFmtId="188" fontId="17" fillId="0" borderId="8" xfId="0" applyNumberFormat="1" applyFont="1" applyFill="1" applyBorder="1" applyAlignment="1">
      <alignment vertical="center"/>
    </xf>
    <xf numFmtId="41" fontId="60" fillId="0" borderId="8" xfId="1" applyFont="1" applyBorder="1" applyAlignment="1">
      <alignment vertical="center"/>
    </xf>
    <xf numFmtId="186" fontId="60" fillId="0" borderId="8" xfId="1" applyNumberFormat="1" applyFont="1" applyBorder="1" applyAlignment="1">
      <alignment vertical="center"/>
    </xf>
    <xf numFmtId="188" fontId="60" fillId="0" borderId="8" xfId="1" applyNumberFormat="1" applyFont="1" applyBorder="1" applyAlignment="1">
      <alignment vertical="center"/>
    </xf>
    <xf numFmtId="0" fontId="60" fillId="0" borderId="0" xfId="8" applyFont="1" applyBorder="1" applyAlignment="1">
      <alignment wrapText="1" shrinkToFit="1"/>
    </xf>
    <xf numFmtId="0" fontId="60" fillId="0" borderId="0" xfId="8" applyFont="1" applyBorder="1" applyAlignment="1">
      <alignment horizontal="left" wrapText="1" shrinkToFit="1"/>
    </xf>
    <xf numFmtId="0" fontId="60" fillId="0" borderId="0" xfId="8" applyFont="1" applyBorder="1" applyAlignment="1">
      <alignment horizontal="left" shrinkToFit="1"/>
    </xf>
    <xf numFmtId="189" fontId="17" fillId="0" borderId="0" xfId="0" applyNumberFormat="1" applyFont="1" applyFill="1" applyBorder="1" applyAlignment="1">
      <alignment vertical="center"/>
    </xf>
    <xf numFmtId="0" fontId="60" fillId="0" borderId="0" xfId="8" applyFont="1"/>
    <xf numFmtId="0" fontId="13" fillId="0" borderId="0" xfId="8" applyFont="1" applyFill="1" applyAlignment="1"/>
    <xf numFmtId="0" fontId="63" fillId="0" borderId="10" xfId="8" applyFont="1" applyBorder="1" applyAlignment="1">
      <alignment vertical="center"/>
    </xf>
    <xf numFmtId="0" fontId="63" fillId="0" borderId="0" xfId="8" applyFont="1" applyAlignment="1"/>
    <xf numFmtId="0" fontId="60" fillId="0" borderId="0" xfId="8" applyFont="1" applyFill="1" applyAlignment="1"/>
    <xf numFmtId="0" fontId="64" fillId="0" borderId="20" xfId="8" applyFont="1" applyFill="1" applyBorder="1" applyAlignment="1">
      <alignment horizontal="center" vertical="center" wrapText="1"/>
    </xf>
    <xf numFmtId="0" fontId="60" fillId="0" borderId="0" xfId="8" applyFont="1" applyFill="1" applyAlignment="1">
      <alignment vertical="center" wrapText="1"/>
    </xf>
    <xf numFmtId="188" fontId="64" fillId="0" borderId="6" xfId="8" quotePrefix="1" applyNumberFormat="1" applyFont="1" applyFill="1" applyBorder="1" applyAlignment="1">
      <alignment horizontal="right" vertical="center"/>
    </xf>
    <xf numFmtId="186" fontId="65" fillId="0" borderId="6" xfId="0" applyNumberFormat="1" applyFont="1" applyFill="1" applyBorder="1" applyAlignment="1">
      <alignment vertical="center"/>
    </xf>
    <xf numFmtId="188" fontId="65" fillId="0" borderId="6" xfId="0" applyNumberFormat="1" applyFont="1" applyFill="1" applyBorder="1" applyAlignment="1">
      <alignment vertical="center"/>
    </xf>
    <xf numFmtId="188" fontId="42" fillId="0" borderId="6" xfId="8" quotePrefix="1" applyNumberFormat="1" applyFont="1" applyBorder="1" applyAlignment="1">
      <alignment horizontal="right" vertical="center"/>
    </xf>
    <xf numFmtId="0" fontId="60" fillId="0" borderId="0" xfId="8" applyFont="1" applyFill="1" applyAlignment="1">
      <alignment vertical="center"/>
    </xf>
    <xf numFmtId="189" fontId="65" fillId="0" borderId="6" xfId="0" applyNumberFormat="1" applyFont="1" applyFill="1" applyBorder="1" applyAlignment="1">
      <alignment vertical="center"/>
    </xf>
    <xf numFmtId="189" fontId="65" fillId="0" borderId="8" xfId="0" applyNumberFormat="1" applyFont="1" applyFill="1" applyBorder="1" applyAlignment="1">
      <alignment vertical="center"/>
    </xf>
    <xf numFmtId="0" fontId="64" fillId="0" borderId="0" xfId="8" applyFont="1" applyFill="1" applyBorder="1" applyAlignment="1">
      <alignment vertical="center" wrapText="1"/>
    </xf>
    <xf numFmtId="0" fontId="60" fillId="0" borderId="0" xfId="8" applyFont="1" applyBorder="1" applyAlignment="1"/>
    <xf numFmtId="0" fontId="60" fillId="0" borderId="0" xfId="8" applyFont="1" applyAlignment="1"/>
    <xf numFmtId="188" fontId="60" fillId="0" borderId="0" xfId="8" applyNumberFormat="1" applyFont="1" applyFill="1" applyBorder="1" applyAlignment="1">
      <alignment horizontal="right" vertical="center"/>
    </xf>
    <xf numFmtId="0" fontId="60" fillId="0" borderId="0" xfId="8" applyFont="1" applyFill="1" applyBorder="1" applyAlignment="1">
      <alignment vertical="center"/>
    </xf>
    <xf numFmtId="186" fontId="65" fillId="0" borderId="0" xfId="0" applyNumberFormat="1" applyFont="1" applyFill="1" applyBorder="1" applyAlignment="1">
      <alignment vertical="center"/>
    </xf>
    <xf numFmtId="188" fontId="65" fillId="0" borderId="0" xfId="0" applyNumberFormat="1" applyFont="1" applyFill="1" applyBorder="1" applyAlignment="1">
      <alignment vertical="center"/>
    </xf>
    <xf numFmtId="0" fontId="13" fillId="0" borderId="0" xfId="8" applyFont="1" applyFill="1" applyBorder="1" applyAlignment="1"/>
    <xf numFmtId="41" fontId="13" fillId="0" borderId="0" xfId="1" applyFont="1" applyFill="1" applyBorder="1" applyAlignment="1"/>
    <xf numFmtId="180" fontId="42" fillId="0" borderId="20" xfId="9" applyNumberFormat="1" applyFont="1" applyBorder="1" applyAlignment="1">
      <alignment horizontal="center" vertical="center"/>
    </xf>
    <xf numFmtId="180" fontId="42" fillId="0" borderId="6" xfId="9" applyNumberFormat="1" applyFont="1" applyBorder="1" applyAlignment="1">
      <alignment vertical="center"/>
    </xf>
    <xf numFmtId="3" fontId="56" fillId="0" borderId="0" xfId="0" applyNumberFormat="1" applyFont="1">
      <alignment vertical="center"/>
    </xf>
    <xf numFmtId="0" fontId="56" fillId="0" borderId="0" xfId="0" applyFont="1">
      <alignment vertical="center"/>
    </xf>
    <xf numFmtId="185" fontId="49" fillId="0" borderId="0" xfId="12" applyNumberFormat="1" applyFont="1">
      <alignment vertical="center"/>
    </xf>
    <xf numFmtId="180" fontId="58" fillId="0" borderId="6" xfId="9" applyNumberFormat="1" applyFont="1" applyFill="1" applyBorder="1" applyAlignment="1">
      <alignment vertical="center"/>
    </xf>
    <xf numFmtId="0" fontId="42" fillId="0" borderId="5" xfId="8" applyFont="1" applyBorder="1" applyAlignment="1">
      <alignment vertical="center"/>
    </xf>
    <xf numFmtId="0" fontId="42" fillId="0" borderId="17" xfId="8" applyFont="1" applyBorder="1" applyAlignment="1">
      <alignment horizontal="center" vertical="center"/>
    </xf>
    <xf numFmtId="191" fontId="42" fillId="0" borderId="0" xfId="8" applyNumberFormat="1" applyFont="1" applyBorder="1" applyAlignment="1">
      <alignment vertical="center"/>
    </xf>
    <xf numFmtId="0" fontId="42" fillId="0" borderId="16" xfId="8" applyFont="1" applyBorder="1" applyAlignment="1">
      <alignment vertical="center"/>
    </xf>
    <xf numFmtId="190" fontId="0" fillId="0" borderId="0" xfId="0" applyNumberFormat="1" applyFill="1" applyBorder="1" applyAlignment="1">
      <alignment horizontal="right" vertical="center"/>
    </xf>
    <xf numFmtId="190" fontId="0" fillId="0" borderId="0" xfId="0" applyNumberFormat="1" applyFill="1" applyAlignment="1">
      <alignment horizontal="right" vertical="center"/>
    </xf>
    <xf numFmtId="41" fontId="42" fillId="0" borderId="0" xfId="1" applyFont="1" applyAlignment="1">
      <alignment vertical="center"/>
    </xf>
    <xf numFmtId="179" fontId="50" fillId="0" borderId="8" xfId="0" applyNumberFormat="1" applyFont="1" applyFill="1" applyBorder="1" applyAlignment="1">
      <alignment horizontal="right" vertical="center"/>
    </xf>
    <xf numFmtId="180" fontId="49" fillId="0" borderId="8" xfId="9" applyNumberFormat="1" applyFont="1" applyBorder="1" applyAlignment="1">
      <alignment horizontal="right" vertical="center"/>
    </xf>
    <xf numFmtId="0" fontId="66" fillId="0" borderId="0" xfId="0" applyFont="1">
      <alignment vertical="center"/>
    </xf>
    <xf numFmtId="180" fontId="42" fillId="0" borderId="0" xfId="8" applyNumberFormat="1" applyFont="1" applyAlignment="1">
      <alignment vertical="center"/>
    </xf>
    <xf numFmtId="0" fontId="60" fillId="0" borderId="0" xfId="8" applyFont="1" applyBorder="1" applyAlignment="1">
      <alignment horizontal="right" vertical="center"/>
    </xf>
    <xf numFmtId="0" fontId="67" fillId="0" borderId="20" xfId="0" applyFont="1" applyBorder="1" applyAlignment="1">
      <alignment horizontal="center" vertical="center" wrapText="1"/>
    </xf>
    <xf numFmtId="0" fontId="67" fillId="0" borderId="20" xfId="0" applyFont="1" applyBorder="1" applyAlignment="1">
      <alignment vertical="center" wrapText="1"/>
    </xf>
    <xf numFmtId="0" fontId="67" fillId="0" borderId="2" xfId="0" applyFont="1" applyBorder="1" applyAlignment="1">
      <alignment horizontal="center" vertical="center" wrapText="1"/>
    </xf>
    <xf numFmtId="0" fontId="67" fillId="0" borderId="2" xfId="0" applyFont="1" applyBorder="1" applyAlignment="1">
      <alignment vertical="center" wrapText="1"/>
    </xf>
    <xf numFmtId="188" fontId="60" fillId="0" borderId="2" xfId="8" applyNumberFormat="1" applyFont="1" applyBorder="1" applyAlignment="1">
      <alignment horizontal="center" vertical="center"/>
    </xf>
    <xf numFmtId="0" fontId="69" fillId="0" borderId="2" xfId="0" applyFont="1" applyBorder="1" applyAlignment="1">
      <alignment horizontal="center" vertical="center" wrapText="1"/>
    </xf>
    <xf numFmtId="0" fontId="69" fillId="0" borderId="2" xfId="0" applyFont="1" applyBorder="1" applyAlignment="1">
      <alignment horizontal="justify" vertical="center" wrapText="1"/>
    </xf>
    <xf numFmtId="0" fontId="67" fillId="0" borderId="19" xfId="0" applyFont="1" applyBorder="1" applyAlignment="1">
      <alignment horizontal="center" vertical="center" wrapText="1"/>
    </xf>
    <xf numFmtId="188" fontId="60" fillId="0" borderId="15" xfId="8" applyNumberFormat="1" applyFont="1" applyBorder="1" applyAlignment="1">
      <alignment horizontal="center" vertical="center"/>
    </xf>
    <xf numFmtId="0" fontId="69" fillId="0" borderId="21" xfId="0" applyFont="1" applyBorder="1" applyAlignment="1">
      <alignment horizontal="center" vertical="center" wrapText="1"/>
    </xf>
    <xf numFmtId="0" fontId="69" fillId="0" borderId="22" xfId="0" applyFont="1" applyBorder="1" applyAlignment="1">
      <alignment horizontal="center" vertical="center" wrapText="1"/>
    </xf>
    <xf numFmtId="0" fontId="69" fillId="0" borderId="23" xfId="0" applyFont="1" applyBorder="1" applyAlignment="1">
      <alignment horizontal="center" vertical="center" wrapText="1"/>
    </xf>
    <xf numFmtId="0" fontId="69" fillId="0" borderId="0" xfId="0" applyFont="1" applyBorder="1" applyAlignment="1">
      <alignment horizontal="justify" vertical="center" wrapText="1"/>
    </xf>
    <xf numFmtId="0" fontId="69" fillId="0" borderId="24" xfId="0" applyFont="1" applyBorder="1" applyAlignment="1">
      <alignment horizontal="center" vertical="center" wrapText="1"/>
    </xf>
    <xf numFmtId="0" fontId="69" fillId="0" borderId="25" xfId="0" applyFont="1" applyBorder="1" applyAlignment="1">
      <alignment horizontal="justify" vertical="center" wrapText="1"/>
    </xf>
    <xf numFmtId="0" fontId="67" fillId="0" borderId="25" xfId="0" applyFont="1" applyBorder="1" applyAlignment="1">
      <alignment horizontal="center" vertical="center" wrapText="1"/>
    </xf>
    <xf numFmtId="0" fontId="67" fillId="0" borderId="25" xfId="0" applyFont="1" applyBorder="1" applyAlignment="1">
      <alignment vertical="center" wrapText="1"/>
    </xf>
    <xf numFmtId="0" fontId="67" fillId="0" borderId="26" xfId="0" applyFont="1" applyBorder="1" applyAlignment="1">
      <alignment horizontal="center" vertical="center" wrapText="1"/>
    </xf>
    <xf numFmtId="0" fontId="67" fillId="0" borderId="6" xfId="0" applyFont="1" applyBorder="1" applyAlignment="1">
      <alignment horizontal="right" vertical="center" wrapText="1"/>
    </xf>
    <xf numFmtId="188" fontId="67" fillId="0" borderId="24" xfId="0" applyNumberFormat="1" applyFont="1" applyBorder="1" applyAlignment="1">
      <alignment horizontal="right" vertical="center" wrapText="1"/>
    </xf>
    <xf numFmtId="0" fontId="67" fillId="0" borderId="22" xfId="0" applyFont="1" applyBorder="1" applyAlignment="1">
      <alignment horizontal="right" vertical="center" wrapText="1"/>
    </xf>
    <xf numFmtId="0" fontId="67" fillId="0" borderId="24" xfId="0" applyFont="1" applyBorder="1" applyAlignment="1">
      <alignment horizontal="right" vertical="center" wrapText="1"/>
    </xf>
    <xf numFmtId="0" fontId="67" fillId="0" borderId="0" xfId="0" applyFont="1" applyBorder="1" applyAlignment="1">
      <alignment horizontal="right" vertical="center" wrapText="1"/>
    </xf>
    <xf numFmtId="0" fontId="67" fillId="0" borderId="15" xfId="0" applyFont="1" applyBorder="1" applyAlignment="1">
      <alignment horizontal="right" vertical="center" wrapText="1"/>
    </xf>
    <xf numFmtId="0" fontId="13" fillId="0" borderId="8" xfId="2" applyFont="1" applyFill="1" applyBorder="1" applyAlignment="1">
      <alignment vertical="center"/>
    </xf>
    <xf numFmtId="0" fontId="13" fillId="0" borderId="17" xfId="2" applyFont="1" applyFill="1" applyBorder="1" applyAlignment="1">
      <alignment vertical="center"/>
    </xf>
    <xf numFmtId="0" fontId="13" fillId="0" borderId="7" xfId="2" applyFont="1" applyFill="1" applyBorder="1" applyAlignment="1">
      <alignment horizontal="center" vertical="center"/>
    </xf>
    <xf numFmtId="0" fontId="13" fillId="0" borderId="8" xfId="2" applyFont="1" applyFill="1" applyBorder="1" applyAlignment="1">
      <alignment horizontal="center" vertical="center"/>
    </xf>
    <xf numFmtId="0" fontId="13" fillId="0" borderId="2" xfId="2" applyFont="1" applyFill="1" applyBorder="1" applyAlignment="1">
      <alignment horizontal="center" vertical="center"/>
    </xf>
    <xf numFmtId="0" fontId="11" fillId="0" borderId="0" xfId="2" applyFont="1" applyFill="1" applyBorder="1" applyAlignment="1">
      <alignment horizontal="center" vertical="center"/>
    </xf>
    <xf numFmtId="0" fontId="12" fillId="0" borderId="0" xfId="2" applyFont="1" applyFill="1" applyBorder="1" applyAlignment="1">
      <alignment horizontal="center" vertical="center"/>
    </xf>
    <xf numFmtId="0" fontId="14" fillId="0" borderId="0" xfId="2" applyFont="1" applyFill="1" applyBorder="1" applyAlignment="1">
      <alignment horizontal="center" vertical="center"/>
    </xf>
    <xf numFmtId="0" fontId="15" fillId="0" borderId="0" xfId="2" applyFont="1" applyFill="1" applyBorder="1" applyAlignment="1">
      <alignment horizontal="center" vertical="center"/>
    </xf>
    <xf numFmtId="0" fontId="16" fillId="0" borderId="0" xfId="2" applyFont="1" applyFill="1" applyBorder="1" applyAlignment="1">
      <alignment horizontal="center" vertical="center"/>
    </xf>
    <xf numFmtId="0" fontId="13" fillId="0" borderId="6" xfId="2" applyFont="1" applyFill="1" applyBorder="1" applyAlignment="1">
      <alignment horizontal="center" vertical="center"/>
    </xf>
    <xf numFmtId="0" fontId="13" fillId="0" borderId="3" xfId="2" applyFont="1" applyFill="1" applyBorder="1" applyAlignment="1">
      <alignment horizontal="center" vertical="center" wrapText="1"/>
    </xf>
    <xf numFmtId="0" fontId="13" fillId="0" borderId="4" xfId="2" applyFont="1" applyFill="1" applyBorder="1" applyAlignment="1">
      <alignment horizontal="center" vertical="center"/>
    </xf>
    <xf numFmtId="0" fontId="13" fillId="0" borderId="5" xfId="2" applyFont="1" applyFill="1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180" fontId="20" fillId="0" borderId="9" xfId="7" applyNumberFormat="1" applyFont="1" applyBorder="1" applyAlignment="1">
      <alignment horizontal="left" vertical="center"/>
    </xf>
    <xf numFmtId="180" fontId="20" fillId="0" borderId="0" xfId="7" applyNumberFormat="1" applyFont="1" applyBorder="1" applyAlignment="1">
      <alignment horizontal="left" vertical="center"/>
    </xf>
    <xf numFmtId="180" fontId="20" fillId="0" borderId="9" xfId="7" applyNumberFormat="1" applyFont="1" applyBorder="1" applyAlignment="1">
      <alignment horizontal="left" vertical="center" wrapText="1"/>
    </xf>
    <xf numFmtId="180" fontId="20" fillId="0" borderId="0" xfId="7" applyNumberFormat="1" applyFont="1" applyBorder="1" applyAlignment="1">
      <alignment horizontal="left" vertical="center" wrapText="1"/>
    </xf>
    <xf numFmtId="49" fontId="23" fillId="0" borderId="9" xfId="7" applyNumberFormat="1" applyFont="1" applyBorder="1" applyAlignment="1">
      <alignment horizontal="left" vertical="center" wrapText="1"/>
    </xf>
    <xf numFmtId="49" fontId="23" fillId="0" borderId="0" xfId="7" applyNumberFormat="1" applyFont="1" applyBorder="1" applyAlignment="1">
      <alignment horizontal="left" vertical="center" wrapText="1"/>
    </xf>
    <xf numFmtId="0" fontId="10" fillId="0" borderId="3" xfId="5" applyFont="1" applyBorder="1" applyAlignment="1">
      <alignment horizontal="center" vertical="center"/>
    </xf>
    <xf numFmtId="0" fontId="10" fillId="0" borderId="4" xfId="5" applyFont="1" applyBorder="1" applyAlignment="1">
      <alignment horizontal="center" vertical="center"/>
    </xf>
    <xf numFmtId="0" fontId="10" fillId="0" borderId="5" xfId="5" applyFont="1" applyBorder="1" applyAlignment="1">
      <alignment horizontal="center" vertical="center"/>
    </xf>
    <xf numFmtId="0" fontId="10" fillId="0" borderId="2" xfId="5" applyFont="1" applyBorder="1" applyAlignment="1">
      <alignment horizontal="center" vertical="center"/>
    </xf>
    <xf numFmtId="0" fontId="10" fillId="0" borderId="11" xfId="5" applyFont="1" applyBorder="1" applyAlignment="1">
      <alignment horizontal="center" vertical="center"/>
    </xf>
    <xf numFmtId="0" fontId="0" fillId="0" borderId="7" xfId="5" applyFont="1" applyBorder="1" applyAlignment="1">
      <alignment horizontal="center" vertical="center"/>
    </xf>
    <xf numFmtId="0" fontId="0" fillId="0" borderId="12" xfId="5" applyFont="1" applyBorder="1" applyAlignment="1">
      <alignment horizontal="center" vertical="center"/>
    </xf>
    <xf numFmtId="0" fontId="10" fillId="0" borderId="4" xfId="5" applyFont="1" applyBorder="1" applyAlignment="1">
      <alignment horizontal="center" vertical="center" wrapText="1"/>
    </xf>
    <xf numFmtId="0" fontId="10" fillId="0" borderId="5" xfId="5" applyFont="1" applyBorder="1" applyAlignment="1">
      <alignment horizontal="center" vertical="center" wrapText="1"/>
    </xf>
    <xf numFmtId="0" fontId="0" fillId="0" borderId="7" xfId="5" applyFont="1" applyBorder="1" applyAlignment="1">
      <alignment horizontal="center" vertical="center" wrapText="1"/>
    </xf>
    <xf numFmtId="0" fontId="0" fillId="0" borderId="12" xfId="5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19" fillId="0" borderId="3" xfId="3" applyFont="1" applyBorder="1" applyAlignment="1">
      <alignment horizontal="center" vertical="center"/>
    </xf>
    <xf numFmtId="0" fontId="19" fillId="0" borderId="4" xfId="3" applyFont="1" applyBorder="1" applyAlignment="1">
      <alignment horizontal="center" vertical="center"/>
    </xf>
    <xf numFmtId="0" fontId="19" fillId="0" borderId="5" xfId="3" applyFont="1" applyBorder="1" applyAlignment="1">
      <alignment horizontal="center" vertical="center"/>
    </xf>
    <xf numFmtId="0" fontId="38" fillId="0" borderId="2" xfId="3" applyFont="1" applyBorder="1" applyAlignment="1">
      <alignment horizontal="center" vertical="center"/>
    </xf>
    <xf numFmtId="0" fontId="38" fillId="0" borderId="11" xfId="3" applyFont="1" applyBorder="1" applyAlignment="1">
      <alignment horizontal="center" vertical="center"/>
    </xf>
    <xf numFmtId="0" fontId="19" fillId="0" borderId="2" xfId="3" applyFont="1" applyBorder="1" applyAlignment="1">
      <alignment horizontal="center" vertical="center"/>
    </xf>
    <xf numFmtId="0" fontId="19" fillId="0" borderId="11" xfId="3" applyFont="1" applyBorder="1" applyAlignment="1">
      <alignment horizontal="center" vertical="center"/>
    </xf>
    <xf numFmtId="0" fontId="38" fillId="0" borderId="7" xfId="3" applyFont="1" applyBorder="1" applyAlignment="1">
      <alignment horizontal="center" vertical="center"/>
    </xf>
    <xf numFmtId="0" fontId="38" fillId="0" borderId="12" xfId="3" applyFont="1" applyBorder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10" fillId="0" borderId="11" xfId="3" applyFont="1" applyBorder="1" applyAlignment="1">
      <alignment horizontal="center" vertical="center"/>
    </xf>
    <xf numFmtId="0" fontId="34" fillId="0" borderId="3" xfId="3" applyFont="1" applyBorder="1" applyAlignment="1">
      <alignment horizontal="center" vertical="center"/>
    </xf>
    <xf numFmtId="0" fontId="34" fillId="0" borderId="4" xfId="3" applyFont="1" applyBorder="1" applyAlignment="1">
      <alignment horizontal="center" vertical="center"/>
    </xf>
    <xf numFmtId="0" fontId="34" fillId="0" borderId="5" xfId="3" applyFont="1" applyBorder="1" applyAlignment="1">
      <alignment horizontal="center" vertical="center"/>
    </xf>
    <xf numFmtId="0" fontId="19" fillId="0" borderId="2" xfId="3" applyFont="1" applyBorder="1" applyAlignment="1">
      <alignment horizontal="center" vertical="center" wrapText="1"/>
    </xf>
    <xf numFmtId="0" fontId="19" fillId="0" borderId="6" xfId="3" applyFont="1" applyBorder="1" applyAlignment="1">
      <alignment horizontal="center" vertical="center" wrapText="1"/>
    </xf>
    <xf numFmtId="0" fontId="19" fillId="0" borderId="11" xfId="3" applyFont="1" applyBorder="1" applyAlignment="1">
      <alignment horizontal="center" vertical="center" wrapText="1"/>
    </xf>
    <xf numFmtId="0" fontId="29" fillId="0" borderId="10" xfId="5" applyFont="1" applyBorder="1" applyAlignment="1">
      <alignment horizontal="center" vertical="center"/>
    </xf>
    <xf numFmtId="49" fontId="10" fillId="0" borderId="2" xfId="4" applyNumberFormat="1" applyFont="1" applyBorder="1" applyAlignment="1">
      <alignment horizontal="center" vertical="center"/>
    </xf>
    <xf numFmtId="49" fontId="10" fillId="0" borderId="11" xfId="4" applyNumberFormat="1" applyFont="1" applyBorder="1" applyAlignment="1">
      <alignment horizontal="center" vertical="center"/>
    </xf>
    <xf numFmtId="0" fontId="10" fillId="0" borderId="2" xfId="5" applyFont="1" applyFill="1" applyBorder="1" applyAlignment="1">
      <alignment horizontal="center" vertical="center"/>
    </xf>
    <xf numFmtId="0" fontId="10" fillId="0" borderId="11" xfId="5" applyFont="1" applyFill="1" applyBorder="1" applyAlignment="1">
      <alignment horizontal="center" vertical="center"/>
    </xf>
    <xf numFmtId="0" fontId="10" fillId="0" borderId="3" xfId="5" applyFont="1" applyFill="1" applyBorder="1" applyAlignment="1">
      <alignment horizontal="center" vertical="center"/>
    </xf>
    <xf numFmtId="0" fontId="10" fillId="0" borderId="4" xfId="5" applyFont="1" applyFill="1" applyBorder="1" applyAlignment="1">
      <alignment horizontal="center" vertical="center"/>
    </xf>
    <xf numFmtId="0" fontId="10" fillId="0" borderId="5" xfId="5" applyFont="1" applyFill="1" applyBorder="1" applyAlignment="1">
      <alignment horizontal="center" vertical="center"/>
    </xf>
    <xf numFmtId="0" fontId="10" fillId="0" borderId="3" xfId="5" applyFont="1" applyFill="1" applyBorder="1" applyAlignment="1">
      <alignment horizontal="center" vertical="center" wrapText="1"/>
    </xf>
    <xf numFmtId="0" fontId="10" fillId="0" borderId="4" xfId="5" applyFont="1" applyFill="1" applyBorder="1" applyAlignment="1">
      <alignment horizontal="center" vertical="center" wrapText="1"/>
    </xf>
    <xf numFmtId="0" fontId="10" fillId="0" borderId="5" xfId="5" applyFont="1" applyFill="1" applyBorder="1" applyAlignment="1">
      <alignment horizontal="center" vertical="center" wrapText="1"/>
    </xf>
    <xf numFmtId="0" fontId="10" fillId="0" borderId="2" xfId="5" applyNumberFormat="1" applyFont="1" applyBorder="1" applyAlignment="1">
      <alignment horizontal="center" vertical="center"/>
    </xf>
    <xf numFmtId="0" fontId="10" fillId="0" borderId="11" xfId="5" applyNumberFormat="1" applyFont="1" applyBorder="1" applyAlignment="1">
      <alignment horizontal="center" vertical="center"/>
    </xf>
    <xf numFmtId="0" fontId="10" fillId="0" borderId="6" xfId="5" applyNumberFormat="1" applyFont="1" applyBorder="1" applyAlignment="1">
      <alignment horizontal="center" vertical="center"/>
    </xf>
    <xf numFmtId="0" fontId="38" fillId="0" borderId="2" xfId="3" applyFont="1" applyBorder="1" applyAlignment="1">
      <alignment horizontal="center" vertical="center" wrapText="1"/>
    </xf>
    <xf numFmtId="0" fontId="38" fillId="0" borderId="11" xfId="3" applyFont="1" applyBorder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24" fillId="0" borderId="0" xfId="3" applyFont="1" applyAlignment="1">
      <alignment horizontal="left" vertical="center"/>
    </xf>
    <xf numFmtId="0" fontId="28" fillId="0" borderId="0" xfId="3" applyFont="1" applyBorder="1" applyAlignment="1">
      <alignment horizontal="right" vertical="center"/>
    </xf>
    <xf numFmtId="0" fontId="16" fillId="0" borderId="0" xfId="8" applyFont="1" applyBorder="1" applyAlignment="1">
      <alignment horizontal="center"/>
    </xf>
    <xf numFmtId="0" fontId="13" fillId="0" borderId="2" xfId="8" applyFont="1" applyBorder="1" applyAlignment="1">
      <alignment horizontal="center" vertical="center"/>
    </xf>
    <xf numFmtId="0" fontId="13" fillId="0" borderId="8" xfId="8" applyFont="1" applyBorder="1" applyAlignment="1">
      <alignment horizontal="center" vertical="center"/>
    </xf>
    <xf numFmtId="0" fontId="13" fillId="0" borderId="2" xfId="8" applyFont="1" applyBorder="1" applyAlignment="1">
      <alignment horizontal="center" vertical="center" wrapText="1"/>
    </xf>
    <xf numFmtId="0" fontId="13" fillId="0" borderId="8" xfId="8" applyFont="1" applyBorder="1" applyAlignment="1">
      <alignment horizontal="center" vertical="center" wrapText="1"/>
    </xf>
    <xf numFmtId="0" fontId="13" fillId="0" borderId="7" xfId="8" applyFont="1" applyBorder="1" applyAlignment="1">
      <alignment horizontal="center" vertical="center" wrapText="1"/>
    </xf>
    <xf numFmtId="0" fontId="13" fillId="0" borderId="18" xfId="8" applyFont="1" applyBorder="1" applyAlignment="1">
      <alignment horizontal="center" vertical="center" wrapText="1"/>
    </xf>
    <xf numFmtId="0" fontId="46" fillId="0" borderId="0" xfId="8" applyFont="1" applyBorder="1" applyAlignment="1">
      <alignment horizontal="center"/>
    </xf>
    <xf numFmtId="0" fontId="42" fillId="0" borderId="2" xfId="8" applyFont="1" applyBorder="1" applyAlignment="1">
      <alignment horizontal="center" vertical="center"/>
    </xf>
    <xf numFmtId="0" fontId="42" fillId="0" borderId="6" xfId="8" applyFont="1" applyBorder="1" applyAlignment="1">
      <alignment horizontal="center" vertical="center"/>
    </xf>
    <xf numFmtId="0" fontId="42" fillId="0" borderId="8" xfId="8" applyFont="1" applyBorder="1" applyAlignment="1">
      <alignment horizontal="center" vertical="center"/>
    </xf>
    <xf numFmtId="0" fontId="42" fillId="0" borderId="3" xfId="8" applyFont="1" applyBorder="1" applyAlignment="1">
      <alignment horizontal="center" vertical="center"/>
    </xf>
    <xf numFmtId="0" fontId="42" fillId="0" borderId="5" xfId="8" applyFont="1" applyBorder="1" applyAlignment="1">
      <alignment horizontal="center" vertical="center"/>
    </xf>
    <xf numFmtId="0" fontId="42" fillId="0" borderId="7" xfId="8" applyFont="1" applyBorder="1" applyAlignment="1">
      <alignment horizontal="center" vertical="center" wrapText="1"/>
    </xf>
    <xf numFmtId="0" fontId="42" fillId="0" borderId="9" xfId="8" applyFont="1" applyBorder="1" applyAlignment="1">
      <alignment horizontal="center" vertical="center"/>
    </xf>
    <xf numFmtId="0" fontId="42" fillId="0" borderId="19" xfId="8" applyFont="1" applyBorder="1" applyAlignment="1">
      <alignment horizontal="center" vertical="center"/>
    </xf>
    <xf numFmtId="0" fontId="42" fillId="0" borderId="16" xfId="8" applyFont="1" applyBorder="1" applyAlignment="1">
      <alignment horizontal="center" vertical="center"/>
    </xf>
    <xf numFmtId="0" fontId="42" fillId="0" borderId="10" xfId="8" applyFont="1" applyBorder="1" applyAlignment="1">
      <alignment horizontal="center" vertical="center"/>
    </xf>
    <xf numFmtId="0" fontId="42" fillId="0" borderId="17" xfId="8" applyFont="1" applyBorder="1" applyAlignment="1">
      <alignment horizontal="center" vertical="center"/>
    </xf>
    <xf numFmtId="0" fontId="44" fillId="0" borderId="9" xfId="8" applyFont="1" applyBorder="1" applyAlignment="1">
      <alignment horizontal="left" vertical="center" wrapText="1"/>
    </xf>
    <xf numFmtId="0" fontId="44" fillId="0" borderId="0" xfId="8" applyFont="1" applyFill="1" applyBorder="1" applyAlignment="1">
      <alignment horizontal="left" vertical="center"/>
    </xf>
    <xf numFmtId="0" fontId="42" fillId="0" borderId="9" xfId="8" applyFont="1" applyBorder="1" applyAlignment="1">
      <alignment horizontal="center" vertical="center" wrapText="1"/>
    </xf>
    <xf numFmtId="0" fontId="42" fillId="0" borderId="19" xfId="8" applyFont="1" applyBorder="1" applyAlignment="1">
      <alignment horizontal="center" vertical="center" wrapText="1"/>
    </xf>
    <xf numFmtId="0" fontId="42" fillId="0" borderId="16" xfId="8" applyFont="1" applyBorder="1" applyAlignment="1">
      <alignment horizontal="center" vertical="center" wrapText="1"/>
    </xf>
    <xf numFmtId="0" fontId="42" fillId="0" borderId="0" xfId="8" applyFont="1" applyBorder="1" applyAlignment="1">
      <alignment horizontal="center" vertical="center" wrapText="1"/>
    </xf>
    <xf numFmtId="0" fontId="42" fillId="0" borderId="15" xfId="8" applyFont="1" applyBorder="1" applyAlignment="1">
      <alignment horizontal="center" vertical="center" wrapText="1"/>
    </xf>
    <xf numFmtId="0" fontId="49" fillId="0" borderId="7" xfId="8" applyFont="1" applyFill="1" applyBorder="1" applyAlignment="1">
      <alignment horizontal="center" vertical="center" wrapText="1"/>
    </xf>
    <xf numFmtId="0" fontId="49" fillId="0" borderId="9" xfId="8" applyFont="1" applyFill="1" applyBorder="1" applyAlignment="1">
      <alignment horizontal="center" vertical="center" wrapText="1"/>
    </xf>
    <xf numFmtId="0" fontId="49" fillId="0" borderId="19" xfId="8" applyFont="1" applyFill="1" applyBorder="1" applyAlignment="1">
      <alignment horizontal="center" vertical="center" wrapText="1"/>
    </xf>
    <xf numFmtId="0" fontId="49" fillId="0" borderId="16" xfId="8" applyFont="1" applyFill="1" applyBorder="1" applyAlignment="1">
      <alignment horizontal="center" vertical="center" wrapText="1"/>
    </xf>
    <xf numFmtId="0" fontId="49" fillId="0" borderId="0" xfId="8" applyFont="1" applyFill="1" applyBorder="1" applyAlignment="1">
      <alignment horizontal="center" vertical="center" wrapText="1"/>
    </xf>
    <xf numFmtId="0" fontId="49" fillId="0" borderId="15" xfId="8" applyFont="1" applyFill="1" applyBorder="1" applyAlignment="1">
      <alignment horizontal="center" vertical="center" wrapText="1"/>
    </xf>
    <xf numFmtId="0" fontId="49" fillId="0" borderId="2" xfId="8" applyFont="1" applyFill="1" applyBorder="1" applyAlignment="1">
      <alignment horizontal="center" vertical="center" wrapText="1"/>
    </xf>
    <xf numFmtId="0" fontId="49" fillId="0" borderId="6" xfId="8" applyFont="1" applyFill="1" applyBorder="1" applyAlignment="1">
      <alignment horizontal="center" vertical="center" wrapText="1"/>
    </xf>
    <xf numFmtId="0" fontId="49" fillId="0" borderId="8" xfId="8" applyFont="1" applyFill="1" applyBorder="1" applyAlignment="1">
      <alignment horizontal="center" vertical="center" wrapText="1"/>
    </xf>
    <xf numFmtId="0" fontId="46" fillId="0" borderId="0" xfId="8" applyFont="1" applyBorder="1" applyAlignment="1">
      <alignment horizontal="center" vertical="center"/>
    </xf>
    <xf numFmtId="180" fontId="42" fillId="0" borderId="7" xfId="9" applyNumberFormat="1" applyFont="1" applyBorder="1" applyAlignment="1">
      <alignment horizontal="center" vertical="center"/>
    </xf>
    <xf numFmtId="180" fontId="42" fillId="0" borderId="16" xfId="9" applyNumberFormat="1" applyFont="1" applyBorder="1" applyAlignment="1">
      <alignment horizontal="center" vertical="center"/>
    </xf>
    <xf numFmtId="180" fontId="42" fillId="0" borderId="18" xfId="9" applyNumberFormat="1" applyFont="1" applyBorder="1" applyAlignment="1">
      <alignment horizontal="center" vertical="center"/>
    </xf>
    <xf numFmtId="180" fontId="42" fillId="0" borderId="2" xfId="9" applyNumberFormat="1" applyFont="1" applyBorder="1" applyAlignment="1">
      <alignment horizontal="center" vertical="center"/>
    </xf>
    <xf numFmtId="180" fontId="42" fillId="0" borderId="8" xfId="9" applyNumberFormat="1" applyFont="1" applyBorder="1" applyAlignment="1">
      <alignment horizontal="center" vertical="center"/>
    </xf>
    <xf numFmtId="0" fontId="42" fillId="0" borderId="9" xfId="8" applyFont="1" applyBorder="1" applyAlignment="1">
      <alignment vertical="center"/>
    </xf>
    <xf numFmtId="0" fontId="42" fillId="0" borderId="7" xfId="8" applyFont="1" applyBorder="1" applyAlignment="1">
      <alignment horizontal="center" vertical="center"/>
    </xf>
    <xf numFmtId="0" fontId="42" fillId="0" borderId="18" xfId="8" applyFont="1" applyBorder="1" applyAlignment="1">
      <alignment horizontal="center" vertical="center"/>
    </xf>
    <xf numFmtId="0" fontId="42" fillId="0" borderId="2" xfId="8" applyFont="1" applyBorder="1" applyAlignment="1">
      <alignment horizontal="center" vertical="center" wrapText="1"/>
    </xf>
    <xf numFmtId="0" fontId="42" fillId="0" borderId="6" xfId="8" applyFont="1" applyBorder="1" applyAlignment="1">
      <alignment horizontal="center" vertical="center" wrapText="1"/>
    </xf>
    <xf numFmtId="0" fontId="42" fillId="0" borderId="8" xfId="8" applyFont="1" applyBorder="1" applyAlignment="1">
      <alignment horizontal="center" vertical="center" wrapText="1"/>
    </xf>
    <xf numFmtId="0" fontId="42" fillId="0" borderId="4" xfId="8" applyFont="1" applyBorder="1" applyAlignment="1">
      <alignment horizontal="center" vertical="center"/>
    </xf>
    <xf numFmtId="0" fontId="42" fillId="0" borderId="0" xfId="8" applyFont="1" applyBorder="1" applyAlignment="1">
      <alignment vertical="center"/>
    </xf>
    <xf numFmtId="0" fontId="42" fillId="0" borderId="0" xfId="8" applyFont="1" applyAlignment="1">
      <alignment horizontal="left" vertical="center" wrapText="1"/>
    </xf>
    <xf numFmtId="0" fontId="49" fillId="0" borderId="2" xfId="8" applyFont="1" applyBorder="1" applyAlignment="1">
      <alignment horizontal="center" vertical="center"/>
    </xf>
    <xf numFmtId="0" fontId="49" fillId="0" borderId="8" xfId="8" applyFont="1" applyBorder="1" applyAlignment="1">
      <alignment horizontal="center" vertical="center"/>
    </xf>
    <xf numFmtId="0" fontId="49" fillId="0" borderId="2" xfId="8" applyFont="1" applyBorder="1" applyAlignment="1">
      <alignment horizontal="center" vertical="center" wrapText="1"/>
    </xf>
    <xf numFmtId="0" fontId="49" fillId="0" borderId="7" xfId="8" applyFont="1" applyBorder="1" applyAlignment="1">
      <alignment horizontal="center" vertical="center" wrapText="1"/>
    </xf>
    <xf numFmtId="0" fontId="60" fillId="0" borderId="3" xfId="8" applyFont="1" applyBorder="1" applyAlignment="1">
      <alignment horizontal="center" vertical="center"/>
    </xf>
    <xf numFmtId="0" fontId="60" fillId="0" borderId="5" xfId="8" applyFont="1" applyBorder="1" applyAlignment="1">
      <alignment horizontal="center" vertical="center"/>
    </xf>
    <xf numFmtId="0" fontId="60" fillId="0" borderId="0" xfId="8" applyFont="1" applyBorder="1" applyAlignment="1">
      <alignment horizontal="left" wrapText="1" shrinkToFit="1"/>
    </xf>
    <xf numFmtId="0" fontId="60" fillId="0" borderId="3" xfId="8" applyFont="1" applyBorder="1" applyAlignment="1">
      <alignment horizontal="center" vertical="center" wrapText="1"/>
    </xf>
    <xf numFmtId="0" fontId="60" fillId="0" borderId="5" xfId="8" applyFont="1" applyBorder="1" applyAlignment="1">
      <alignment horizontal="center" vertical="center" wrapText="1"/>
    </xf>
    <xf numFmtId="0" fontId="46" fillId="0" borderId="0" xfId="8" applyFont="1" applyAlignment="1">
      <alignment horizontal="center"/>
    </xf>
    <xf numFmtId="0" fontId="60" fillId="0" borderId="2" xfId="8" applyFont="1" applyBorder="1" applyAlignment="1">
      <alignment horizontal="center" vertical="center"/>
    </xf>
    <xf numFmtId="0" fontId="60" fillId="0" borderId="6" xfId="8" applyFont="1" applyBorder="1" applyAlignment="1">
      <alignment horizontal="center" vertical="center"/>
    </xf>
    <xf numFmtId="0" fontId="60" fillId="0" borderId="8" xfId="8" applyFont="1" applyBorder="1" applyAlignment="1">
      <alignment horizontal="center" vertical="center"/>
    </xf>
    <xf numFmtId="0" fontId="60" fillId="0" borderId="4" xfId="8" applyFont="1" applyBorder="1" applyAlignment="1">
      <alignment horizontal="center" vertical="center"/>
    </xf>
    <xf numFmtId="0" fontId="61" fillId="0" borderId="0" xfId="8" applyFont="1" applyBorder="1" applyAlignment="1">
      <alignment horizontal="center" vertical="center"/>
    </xf>
    <xf numFmtId="0" fontId="60" fillId="0" borderId="2" xfId="8" applyFont="1" applyBorder="1" applyAlignment="1">
      <alignment horizontal="left" shrinkToFit="1"/>
    </xf>
    <xf numFmtId="0" fontId="60" fillId="0" borderId="7" xfId="8" applyFont="1" applyBorder="1" applyAlignment="1">
      <alignment horizontal="left" shrinkToFit="1"/>
    </xf>
    <xf numFmtId="0" fontId="60" fillId="0" borderId="9" xfId="8" applyFont="1" applyBorder="1" applyAlignment="1">
      <alignment horizontal="left" wrapText="1" shrinkToFit="1"/>
    </xf>
    <xf numFmtId="0" fontId="60" fillId="0" borderId="20" xfId="8" applyFont="1" applyBorder="1" applyAlignment="1">
      <alignment horizontal="center" vertical="center"/>
    </xf>
  </cellXfs>
  <cellStyles count="13">
    <cellStyle name="쉼표 [0]" xfId="1" builtinId="6"/>
    <cellStyle name="쉼표 [0] 2" xfId="9" xr:uid="{0BAD2B8B-6DD5-4882-85C3-7F160099017D}"/>
    <cellStyle name="쉼표 [0] 27" xfId="7" xr:uid="{65D5BD20-AA13-44D3-AF28-2FF5D1D35A8F}"/>
    <cellStyle name="쉼표 [0] 4" xfId="4" xr:uid="{45BEC6F6-0A98-4D09-8DC3-7237E9BD106F}"/>
    <cellStyle name="표준" xfId="0" builtinId="0"/>
    <cellStyle name="표준 157 2 2" xfId="8" xr:uid="{22B85685-939B-402A-8D18-EF2FA5D72C4D}"/>
    <cellStyle name="표준 168 2" xfId="12" xr:uid="{29CC9FEA-5BD1-4A5F-B4ED-0F828A5C6993}"/>
    <cellStyle name="표준 2" xfId="2" xr:uid="{6BA4D409-EA66-4E64-866B-0D8635067CB8}"/>
    <cellStyle name="표준 3" xfId="6" xr:uid="{678D2433-FC4E-4F2F-9209-2F9BBC333F55}"/>
    <cellStyle name="표준 8" xfId="3" xr:uid="{B577D080-DD9F-41B1-874B-500E41501CDE}"/>
    <cellStyle name="표준_4.자금사정,5.수요생산활동" xfId="10" xr:uid="{0BE2A68B-F102-44EA-B20B-7392C11F9367}"/>
    <cellStyle name="표준_6.고용물가" xfId="11" xr:uid="{D04D5213-3644-4E9A-B46E-5D75FDCB873D}"/>
    <cellStyle name="표준_6금융통계" xfId="5" xr:uid="{AC00CB0C-7082-4B9A-B83D-7844CBF50D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31A62-739C-4B3B-AC23-EF2BD5AB8935}">
  <dimension ref="A1:O34"/>
  <sheetViews>
    <sheetView tabSelected="1" view="pageBreakPreview" zoomScale="85" zoomScaleNormal="85" zoomScaleSheetLayoutView="85" workbookViewId="0">
      <selection activeCell="O5" sqref="O5"/>
    </sheetView>
  </sheetViews>
  <sheetFormatPr defaultRowHeight="16.5" x14ac:dyDescent="0.3"/>
  <cols>
    <col min="1" max="1" width="13.125" bestFit="1" customWidth="1"/>
    <col min="5" max="5" width="11.625" bestFit="1" customWidth="1"/>
    <col min="14" max="14" width="5.875" customWidth="1"/>
    <col min="15" max="15" width="11.625" bestFit="1" customWidth="1"/>
    <col min="16" max="16" width="9" customWidth="1"/>
  </cols>
  <sheetData>
    <row r="1" spans="1:15" s="6" customFormat="1" ht="27" thickBot="1" x14ac:dyDescent="0.35">
      <c r="A1" s="1" t="str">
        <f>_xlfn.CONCAT(YEAR(O1),"년 ",MONTH(O1),"월호 울산지역 주요경제통계")</f>
        <v>2026년 4월호 울산지역 주요경제통계</v>
      </c>
      <c r="B1" s="2"/>
      <c r="C1" s="2"/>
      <c r="D1" s="2"/>
      <c r="E1" s="3"/>
      <c r="F1" s="2"/>
      <c r="G1" s="2"/>
      <c r="H1" s="2"/>
      <c r="I1" s="2"/>
      <c r="J1" s="2"/>
      <c r="K1" s="2"/>
      <c r="L1" s="2"/>
      <c r="M1" s="2"/>
      <c r="N1" s="4" t="s">
        <v>0</v>
      </c>
      <c r="O1" s="5">
        <v>46113</v>
      </c>
    </row>
    <row r="3" spans="1:15" x14ac:dyDescent="0.3">
      <c r="A3" t="s">
        <v>1</v>
      </c>
    </row>
    <row r="4" spans="1:15" x14ac:dyDescent="0.3">
      <c r="A4" s="7"/>
    </row>
    <row r="5" spans="1:15" x14ac:dyDescent="0.3">
      <c r="A5" s="7" t="s">
        <v>2</v>
      </c>
      <c r="B5" t="s">
        <v>3</v>
      </c>
    </row>
    <row r="6" spans="1:15" x14ac:dyDescent="0.3">
      <c r="A6" s="7" t="s">
        <v>4</v>
      </c>
      <c r="B6" t="s">
        <v>5</v>
      </c>
    </row>
    <row r="7" spans="1:15" x14ac:dyDescent="0.3">
      <c r="A7" s="7" t="s">
        <v>6</v>
      </c>
      <c r="B7" t="s">
        <v>7</v>
      </c>
    </row>
    <row r="8" spans="1:15" x14ac:dyDescent="0.3">
      <c r="A8" s="7" t="s">
        <v>8</v>
      </c>
      <c r="B8" t="s">
        <v>9</v>
      </c>
    </row>
    <row r="9" spans="1:15" x14ac:dyDescent="0.3">
      <c r="A9" s="7" t="s">
        <v>10</v>
      </c>
      <c r="B9" t="s">
        <v>11</v>
      </c>
    </row>
    <row r="10" spans="1:15" x14ac:dyDescent="0.3">
      <c r="A10" s="8" t="s">
        <v>12</v>
      </c>
      <c r="B10" t="s">
        <v>13</v>
      </c>
    </row>
    <row r="12" spans="1:15" x14ac:dyDescent="0.3">
      <c r="A12" t="s">
        <v>14</v>
      </c>
    </row>
    <row r="14" spans="1:15" x14ac:dyDescent="0.3">
      <c r="A14" t="s">
        <v>15</v>
      </c>
    </row>
    <row r="16" spans="1:15" x14ac:dyDescent="0.3">
      <c r="A16" t="s">
        <v>16</v>
      </c>
    </row>
    <row r="17" spans="1:1" x14ac:dyDescent="0.3">
      <c r="A17" t="s">
        <v>17</v>
      </c>
    </row>
    <row r="18" spans="1:1" x14ac:dyDescent="0.3">
      <c r="A18" t="s">
        <v>18</v>
      </c>
    </row>
    <row r="19" spans="1:1" x14ac:dyDescent="0.3">
      <c r="A19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8" spans="1:1" x14ac:dyDescent="0.3">
      <c r="A28" t="s">
        <v>26</v>
      </c>
    </row>
    <row r="30" spans="1:1" x14ac:dyDescent="0.3">
      <c r="A30" t="s">
        <v>27</v>
      </c>
    </row>
    <row r="32" spans="1:1" x14ac:dyDescent="0.3">
      <c r="A32" t="s">
        <v>28</v>
      </c>
    </row>
    <row r="34" spans="1:1" x14ac:dyDescent="0.3">
      <c r="A34" t="s">
        <v>29</v>
      </c>
    </row>
  </sheetData>
  <phoneticPr fontId="4" type="noConversion"/>
  <pageMargins left="0.7" right="0.7" top="0.75" bottom="0.75" header="0.3" footer="0.3"/>
  <pageSetup paperSize="9"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74885-A59E-438B-BF4F-42FECCDF5E26}">
  <sheetPr>
    <pageSetUpPr fitToPage="1"/>
  </sheetPr>
  <dimension ref="A1:J382"/>
  <sheetViews>
    <sheetView view="pageBreakPreview" zoomScale="115" zoomScaleNormal="85" zoomScaleSheetLayoutView="115" workbookViewId="0">
      <selection activeCell="C6" sqref="C6"/>
    </sheetView>
  </sheetViews>
  <sheetFormatPr defaultRowHeight="16.5" x14ac:dyDescent="0.3"/>
  <cols>
    <col min="1" max="7" width="13" style="9" customWidth="1"/>
    <col min="8" max="8" width="9" style="9" customWidth="1"/>
    <col min="9" max="252" width="9" style="9"/>
    <col min="253" max="253" width="7.25" style="9" customWidth="1"/>
    <col min="254" max="258" width="8.25" style="9" customWidth="1"/>
    <col min="259" max="263" width="8" style="9" customWidth="1"/>
    <col min="264" max="508" width="9" style="9"/>
    <col min="509" max="509" width="7.25" style="9" customWidth="1"/>
    <col min="510" max="514" width="8.25" style="9" customWidth="1"/>
    <col min="515" max="519" width="8" style="9" customWidth="1"/>
    <col min="520" max="764" width="9" style="9"/>
    <col min="765" max="765" width="7.25" style="9" customWidth="1"/>
    <col min="766" max="770" width="8.25" style="9" customWidth="1"/>
    <col min="771" max="775" width="8" style="9" customWidth="1"/>
    <col min="776" max="1020" width="9" style="9"/>
    <col min="1021" max="1021" width="7.25" style="9" customWidth="1"/>
    <col min="1022" max="1026" width="8.25" style="9" customWidth="1"/>
    <col min="1027" max="1031" width="8" style="9" customWidth="1"/>
    <col min="1032" max="1276" width="9" style="9"/>
    <col min="1277" max="1277" width="7.25" style="9" customWidth="1"/>
    <col min="1278" max="1282" width="8.25" style="9" customWidth="1"/>
    <col min="1283" max="1287" width="8" style="9" customWidth="1"/>
    <col min="1288" max="1532" width="9" style="9"/>
    <col min="1533" max="1533" width="7.25" style="9" customWidth="1"/>
    <col min="1534" max="1538" width="8.25" style="9" customWidth="1"/>
    <col min="1539" max="1543" width="8" style="9" customWidth="1"/>
    <col min="1544" max="1788" width="9" style="9"/>
    <col min="1789" max="1789" width="7.25" style="9" customWidth="1"/>
    <col min="1790" max="1794" width="8.25" style="9" customWidth="1"/>
    <col min="1795" max="1799" width="8" style="9" customWidth="1"/>
    <col min="1800" max="2044" width="9" style="9"/>
    <col min="2045" max="2045" width="7.25" style="9" customWidth="1"/>
    <col min="2046" max="2050" width="8.25" style="9" customWidth="1"/>
    <col min="2051" max="2055" width="8" style="9" customWidth="1"/>
    <col min="2056" max="2300" width="9" style="9"/>
    <col min="2301" max="2301" width="7.25" style="9" customWidth="1"/>
    <col min="2302" max="2306" width="8.25" style="9" customWidth="1"/>
    <col min="2307" max="2311" width="8" style="9" customWidth="1"/>
    <col min="2312" max="2556" width="9" style="9"/>
    <col min="2557" max="2557" width="7.25" style="9" customWidth="1"/>
    <col min="2558" max="2562" width="8.25" style="9" customWidth="1"/>
    <col min="2563" max="2567" width="8" style="9" customWidth="1"/>
    <col min="2568" max="2812" width="9" style="9"/>
    <col min="2813" max="2813" width="7.25" style="9" customWidth="1"/>
    <col min="2814" max="2818" width="8.25" style="9" customWidth="1"/>
    <col min="2819" max="2823" width="8" style="9" customWidth="1"/>
    <col min="2824" max="3068" width="9" style="9"/>
    <col min="3069" max="3069" width="7.25" style="9" customWidth="1"/>
    <col min="3070" max="3074" width="8.25" style="9" customWidth="1"/>
    <col min="3075" max="3079" width="8" style="9" customWidth="1"/>
    <col min="3080" max="3324" width="9" style="9"/>
    <col min="3325" max="3325" width="7.25" style="9" customWidth="1"/>
    <col min="3326" max="3330" width="8.25" style="9" customWidth="1"/>
    <col min="3331" max="3335" width="8" style="9" customWidth="1"/>
    <col min="3336" max="3580" width="9" style="9"/>
    <col min="3581" max="3581" width="7.25" style="9" customWidth="1"/>
    <col min="3582" max="3586" width="8.25" style="9" customWidth="1"/>
    <col min="3587" max="3591" width="8" style="9" customWidth="1"/>
    <col min="3592" max="3836" width="9" style="9"/>
    <col min="3837" max="3837" width="7.25" style="9" customWidth="1"/>
    <col min="3838" max="3842" width="8.25" style="9" customWidth="1"/>
    <col min="3843" max="3847" width="8" style="9" customWidth="1"/>
    <col min="3848" max="4092" width="9" style="9"/>
    <col min="4093" max="4093" width="7.25" style="9" customWidth="1"/>
    <col min="4094" max="4098" width="8.25" style="9" customWidth="1"/>
    <col min="4099" max="4103" width="8" style="9" customWidth="1"/>
    <col min="4104" max="4348" width="9" style="9"/>
    <col min="4349" max="4349" width="7.25" style="9" customWidth="1"/>
    <col min="4350" max="4354" width="8.25" style="9" customWidth="1"/>
    <col min="4355" max="4359" width="8" style="9" customWidth="1"/>
    <col min="4360" max="4604" width="9" style="9"/>
    <col min="4605" max="4605" width="7.25" style="9" customWidth="1"/>
    <col min="4606" max="4610" width="8.25" style="9" customWidth="1"/>
    <col min="4611" max="4615" width="8" style="9" customWidth="1"/>
    <col min="4616" max="4860" width="9" style="9"/>
    <col min="4861" max="4861" width="7.25" style="9" customWidth="1"/>
    <col min="4862" max="4866" width="8.25" style="9" customWidth="1"/>
    <col min="4867" max="4871" width="8" style="9" customWidth="1"/>
    <col min="4872" max="5116" width="9" style="9"/>
    <col min="5117" max="5117" width="7.25" style="9" customWidth="1"/>
    <col min="5118" max="5122" width="8.25" style="9" customWidth="1"/>
    <col min="5123" max="5127" width="8" style="9" customWidth="1"/>
    <col min="5128" max="5372" width="9" style="9"/>
    <col min="5373" max="5373" width="7.25" style="9" customWidth="1"/>
    <col min="5374" max="5378" width="8.25" style="9" customWidth="1"/>
    <col min="5379" max="5383" width="8" style="9" customWidth="1"/>
    <col min="5384" max="5628" width="9" style="9"/>
    <col min="5629" max="5629" width="7.25" style="9" customWidth="1"/>
    <col min="5630" max="5634" width="8.25" style="9" customWidth="1"/>
    <col min="5635" max="5639" width="8" style="9" customWidth="1"/>
    <col min="5640" max="5884" width="9" style="9"/>
    <col min="5885" max="5885" width="7.25" style="9" customWidth="1"/>
    <col min="5886" max="5890" width="8.25" style="9" customWidth="1"/>
    <col min="5891" max="5895" width="8" style="9" customWidth="1"/>
    <col min="5896" max="6140" width="9" style="9"/>
    <col min="6141" max="6141" width="7.25" style="9" customWidth="1"/>
    <col min="6142" max="6146" width="8.25" style="9" customWidth="1"/>
    <col min="6147" max="6151" width="8" style="9" customWidth="1"/>
    <col min="6152" max="6396" width="9" style="9"/>
    <col min="6397" max="6397" width="7.25" style="9" customWidth="1"/>
    <col min="6398" max="6402" width="8.25" style="9" customWidth="1"/>
    <col min="6403" max="6407" width="8" style="9" customWidth="1"/>
    <col min="6408" max="6652" width="9" style="9"/>
    <col min="6653" max="6653" width="7.25" style="9" customWidth="1"/>
    <col min="6654" max="6658" width="8.25" style="9" customWidth="1"/>
    <col min="6659" max="6663" width="8" style="9" customWidth="1"/>
    <col min="6664" max="6908" width="9" style="9"/>
    <col min="6909" max="6909" width="7.25" style="9" customWidth="1"/>
    <col min="6910" max="6914" width="8.25" style="9" customWidth="1"/>
    <col min="6915" max="6919" width="8" style="9" customWidth="1"/>
    <col min="6920" max="7164" width="9" style="9"/>
    <col min="7165" max="7165" width="7.25" style="9" customWidth="1"/>
    <col min="7166" max="7170" width="8.25" style="9" customWidth="1"/>
    <col min="7171" max="7175" width="8" style="9" customWidth="1"/>
    <col min="7176" max="7420" width="9" style="9"/>
    <col min="7421" max="7421" width="7.25" style="9" customWidth="1"/>
    <col min="7422" max="7426" width="8.25" style="9" customWidth="1"/>
    <col min="7427" max="7431" width="8" style="9" customWidth="1"/>
    <col min="7432" max="7676" width="9" style="9"/>
    <col min="7677" max="7677" width="7.25" style="9" customWidth="1"/>
    <col min="7678" max="7682" width="8.25" style="9" customWidth="1"/>
    <col min="7683" max="7687" width="8" style="9" customWidth="1"/>
    <col min="7688" max="7932" width="9" style="9"/>
    <col min="7933" max="7933" width="7.25" style="9" customWidth="1"/>
    <col min="7934" max="7938" width="8.25" style="9" customWidth="1"/>
    <col min="7939" max="7943" width="8" style="9" customWidth="1"/>
    <col min="7944" max="8188" width="9" style="9"/>
    <col min="8189" max="8189" width="7.25" style="9" customWidth="1"/>
    <col min="8190" max="8194" width="8.25" style="9" customWidth="1"/>
    <col min="8195" max="8199" width="8" style="9" customWidth="1"/>
    <col min="8200" max="8444" width="9" style="9"/>
    <col min="8445" max="8445" width="7.25" style="9" customWidth="1"/>
    <col min="8446" max="8450" width="8.25" style="9" customWidth="1"/>
    <col min="8451" max="8455" width="8" style="9" customWidth="1"/>
    <col min="8456" max="8700" width="9" style="9"/>
    <col min="8701" max="8701" width="7.25" style="9" customWidth="1"/>
    <col min="8702" max="8706" width="8.25" style="9" customWidth="1"/>
    <col min="8707" max="8711" width="8" style="9" customWidth="1"/>
    <col min="8712" max="8956" width="9" style="9"/>
    <col min="8957" max="8957" width="7.25" style="9" customWidth="1"/>
    <col min="8958" max="8962" width="8.25" style="9" customWidth="1"/>
    <col min="8963" max="8967" width="8" style="9" customWidth="1"/>
    <col min="8968" max="9212" width="9" style="9"/>
    <col min="9213" max="9213" width="7.25" style="9" customWidth="1"/>
    <col min="9214" max="9218" width="8.25" style="9" customWidth="1"/>
    <col min="9219" max="9223" width="8" style="9" customWidth="1"/>
    <col min="9224" max="9468" width="9" style="9"/>
    <col min="9469" max="9469" width="7.25" style="9" customWidth="1"/>
    <col min="9470" max="9474" width="8.25" style="9" customWidth="1"/>
    <col min="9475" max="9479" width="8" style="9" customWidth="1"/>
    <col min="9480" max="9724" width="9" style="9"/>
    <col min="9725" max="9725" width="7.25" style="9" customWidth="1"/>
    <col min="9726" max="9730" width="8.25" style="9" customWidth="1"/>
    <col min="9731" max="9735" width="8" style="9" customWidth="1"/>
    <col min="9736" max="9980" width="9" style="9"/>
    <col min="9981" max="9981" width="7.25" style="9" customWidth="1"/>
    <col min="9982" max="9986" width="8.25" style="9" customWidth="1"/>
    <col min="9987" max="9991" width="8" style="9" customWidth="1"/>
    <col min="9992" max="10236" width="9" style="9"/>
    <col min="10237" max="10237" width="7.25" style="9" customWidth="1"/>
    <col min="10238" max="10242" width="8.25" style="9" customWidth="1"/>
    <col min="10243" max="10247" width="8" style="9" customWidth="1"/>
    <col min="10248" max="10492" width="9" style="9"/>
    <col min="10493" max="10493" width="7.25" style="9" customWidth="1"/>
    <col min="10494" max="10498" width="8.25" style="9" customWidth="1"/>
    <col min="10499" max="10503" width="8" style="9" customWidth="1"/>
    <col min="10504" max="10748" width="9" style="9"/>
    <col min="10749" max="10749" width="7.25" style="9" customWidth="1"/>
    <col min="10750" max="10754" width="8.25" style="9" customWidth="1"/>
    <col min="10755" max="10759" width="8" style="9" customWidth="1"/>
    <col min="10760" max="11004" width="9" style="9"/>
    <col min="11005" max="11005" width="7.25" style="9" customWidth="1"/>
    <col min="11006" max="11010" width="8.25" style="9" customWidth="1"/>
    <col min="11011" max="11015" width="8" style="9" customWidth="1"/>
    <col min="11016" max="11260" width="9" style="9"/>
    <col min="11261" max="11261" width="7.25" style="9" customWidth="1"/>
    <col min="11262" max="11266" width="8.25" style="9" customWidth="1"/>
    <col min="11267" max="11271" width="8" style="9" customWidth="1"/>
    <col min="11272" max="11516" width="9" style="9"/>
    <col min="11517" max="11517" width="7.25" style="9" customWidth="1"/>
    <col min="11518" max="11522" width="8.25" style="9" customWidth="1"/>
    <col min="11523" max="11527" width="8" style="9" customWidth="1"/>
    <col min="11528" max="11772" width="9" style="9"/>
    <col min="11773" max="11773" width="7.25" style="9" customWidth="1"/>
    <col min="11774" max="11778" width="8.25" style="9" customWidth="1"/>
    <col min="11779" max="11783" width="8" style="9" customWidth="1"/>
    <col min="11784" max="12028" width="9" style="9"/>
    <col min="12029" max="12029" width="7.25" style="9" customWidth="1"/>
    <col min="12030" max="12034" width="8.25" style="9" customWidth="1"/>
    <col min="12035" max="12039" width="8" style="9" customWidth="1"/>
    <col min="12040" max="12284" width="9" style="9"/>
    <col min="12285" max="12285" width="7.25" style="9" customWidth="1"/>
    <col min="12286" max="12290" width="8.25" style="9" customWidth="1"/>
    <col min="12291" max="12295" width="8" style="9" customWidth="1"/>
    <col min="12296" max="12540" width="9" style="9"/>
    <col min="12541" max="12541" width="7.25" style="9" customWidth="1"/>
    <col min="12542" max="12546" width="8.25" style="9" customWidth="1"/>
    <col min="12547" max="12551" width="8" style="9" customWidth="1"/>
    <col min="12552" max="12796" width="9" style="9"/>
    <col min="12797" max="12797" width="7.25" style="9" customWidth="1"/>
    <col min="12798" max="12802" width="8.25" style="9" customWidth="1"/>
    <col min="12803" max="12807" width="8" style="9" customWidth="1"/>
    <col min="12808" max="13052" width="9" style="9"/>
    <col min="13053" max="13053" width="7.25" style="9" customWidth="1"/>
    <col min="13054" max="13058" width="8.25" style="9" customWidth="1"/>
    <col min="13059" max="13063" width="8" style="9" customWidth="1"/>
    <col min="13064" max="13308" width="9" style="9"/>
    <col min="13309" max="13309" width="7.25" style="9" customWidth="1"/>
    <col min="13310" max="13314" width="8.25" style="9" customWidth="1"/>
    <col min="13315" max="13319" width="8" style="9" customWidth="1"/>
    <col min="13320" max="13564" width="9" style="9"/>
    <col min="13565" max="13565" width="7.25" style="9" customWidth="1"/>
    <col min="13566" max="13570" width="8.25" style="9" customWidth="1"/>
    <col min="13571" max="13575" width="8" style="9" customWidth="1"/>
    <col min="13576" max="13820" width="9" style="9"/>
    <col min="13821" max="13821" width="7.25" style="9" customWidth="1"/>
    <col min="13822" max="13826" width="8.25" style="9" customWidth="1"/>
    <col min="13827" max="13831" width="8" style="9" customWidth="1"/>
    <col min="13832" max="14076" width="9" style="9"/>
    <col min="14077" max="14077" width="7.25" style="9" customWidth="1"/>
    <col min="14078" max="14082" width="8.25" style="9" customWidth="1"/>
    <col min="14083" max="14087" width="8" style="9" customWidth="1"/>
    <col min="14088" max="14332" width="9" style="9"/>
    <col min="14333" max="14333" width="7.25" style="9" customWidth="1"/>
    <col min="14334" max="14338" width="8.25" style="9" customWidth="1"/>
    <col min="14339" max="14343" width="8" style="9" customWidth="1"/>
    <col min="14344" max="14588" width="9" style="9"/>
    <col min="14589" max="14589" width="7.25" style="9" customWidth="1"/>
    <col min="14590" max="14594" width="8.25" style="9" customWidth="1"/>
    <col min="14595" max="14599" width="8" style="9" customWidth="1"/>
    <col min="14600" max="14844" width="9" style="9"/>
    <col min="14845" max="14845" width="7.25" style="9" customWidth="1"/>
    <col min="14846" max="14850" width="8.25" style="9" customWidth="1"/>
    <col min="14851" max="14855" width="8" style="9" customWidth="1"/>
    <col min="14856" max="15100" width="9" style="9"/>
    <col min="15101" max="15101" width="7.25" style="9" customWidth="1"/>
    <col min="15102" max="15106" width="8.25" style="9" customWidth="1"/>
    <col min="15107" max="15111" width="8" style="9" customWidth="1"/>
    <col min="15112" max="15356" width="9" style="9"/>
    <col min="15357" max="15357" width="7.25" style="9" customWidth="1"/>
    <col min="15358" max="15362" width="8.25" style="9" customWidth="1"/>
    <col min="15363" max="15367" width="8" style="9" customWidth="1"/>
    <col min="15368" max="15612" width="9" style="9"/>
    <col min="15613" max="15613" width="7.25" style="9" customWidth="1"/>
    <col min="15614" max="15618" width="8.25" style="9" customWidth="1"/>
    <col min="15619" max="15623" width="8" style="9" customWidth="1"/>
    <col min="15624" max="15868" width="9" style="9"/>
    <col min="15869" max="15869" width="7.25" style="9" customWidth="1"/>
    <col min="15870" max="15874" width="8.25" style="9" customWidth="1"/>
    <col min="15875" max="15879" width="8" style="9" customWidth="1"/>
    <col min="15880" max="16124" width="9" style="9"/>
    <col min="16125" max="16125" width="7.25" style="9" customWidth="1"/>
    <col min="16126" max="16130" width="8.25" style="9" customWidth="1"/>
    <col min="16131" max="16135" width="8" style="9" customWidth="1"/>
    <col min="16136" max="16384" width="9" style="9"/>
  </cols>
  <sheetData>
    <row r="1" spans="1:10" ht="24.75" customHeight="1" x14ac:dyDescent="0.3">
      <c r="A1" s="352" t="s">
        <v>30</v>
      </c>
      <c r="B1" s="353"/>
      <c r="C1" s="353"/>
      <c r="D1" s="353"/>
      <c r="E1" s="353"/>
      <c r="F1" s="353"/>
      <c r="G1" s="353"/>
    </row>
    <row r="2" spans="1:10" ht="3.75" customHeight="1" x14ac:dyDescent="0.3">
      <c r="A2" s="10"/>
      <c r="B2" s="11"/>
      <c r="C2" s="11"/>
      <c r="D2" s="11"/>
      <c r="E2" s="11"/>
      <c r="F2" s="11"/>
      <c r="G2" s="11"/>
    </row>
    <row r="3" spans="1:10" ht="16.5" customHeight="1" x14ac:dyDescent="0.3">
      <c r="A3" s="354" t="s">
        <v>31</v>
      </c>
      <c r="B3" s="355"/>
      <c r="C3" s="355"/>
      <c r="D3" s="355"/>
      <c r="E3" s="355"/>
      <c r="F3" s="355"/>
      <c r="G3" s="355"/>
      <c r="H3" s="12"/>
      <c r="I3" s="12"/>
      <c r="J3" s="12"/>
    </row>
    <row r="4" spans="1:10" ht="3.75" customHeight="1" x14ac:dyDescent="0.3">
      <c r="A4" s="13"/>
      <c r="B4" s="14"/>
      <c r="C4" s="14"/>
      <c r="D4" s="14"/>
      <c r="E4" s="14"/>
      <c r="F4" s="14"/>
      <c r="G4" s="14"/>
      <c r="H4" s="12"/>
      <c r="I4" s="12"/>
      <c r="J4" s="12"/>
    </row>
    <row r="5" spans="1:10" ht="16.5" customHeight="1" x14ac:dyDescent="0.3">
      <c r="A5" s="356" t="s">
        <v>32</v>
      </c>
      <c r="B5" s="356"/>
      <c r="C5" s="356"/>
      <c r="D5" s="356"/>
      <c r="E5" s="356"/>
      <c r="F5" s="356"/>
      <c r="G5" s="356"/>
    </row>
    <row r="6" spans="1:10" x14ac:dyDescent="0.3">
      <c r="A6" s="15" t="s">
        <v>33</v>
      </c>
      <c r="B6" s="15"/>
      <c r="C6" s="15"/>
      <c r="D6" s="15"/>
      <c r="E6" s="15"/>
      <c r="F6" s="15"/>
      <c r="G6" s="16" t="s">
        <v>34</v>
      </c>
    </row>
    <row r="7" spans="1:10" ht="15.75" customHeight="1" x14ac:dyDescent="0.3">
      <c r="A7" s="351" t="s">
        <v>35</v>
      </c>
      <c r="B7" s="358" t="s">
        <v>36</v>
      </c>
      <c r="C7" s="359"/>
      <c r="D7" s="358" t="s">
        <v>37</v>
      </c>
      <c r="E7" s="359"/>
      <c r="F7" s="358" t="s">
        <v>38</v>
      </c>
      <c r="G7" s="360"/>
    </row>
    <row r="8" spans="1:10" ht="9" customHeight="1" x14ac:dyDescent="0.3">
      <c r="A8" s="357"/>
      <c r="B8" s="349" t="s">
        <v>39</v>
      </c>
      <c r="C8" s="349" t="s">
        <v>40</v>
      </c>
      <c r="D8" s="351" t="s">
        <v>41</v>
      </c>
      <c r="E8" s="349" t="s">
        <v>42</v>
      </c>
      <c r="F8" s="349" t="s">
        <v>43</v>
      </c>
      <c r="G8" s="351" t="s">
        <v>44</v>
      </c>
    </row>
    <row r="9" spans="1:10" ht="8.25" customHeight="1" x14ac:dyDescent="0.3">
      <c r="A9" s="350"/>
      <c r="B9" s="350"/>
      <c r="C9" s="350"/>
      <c r="D9" s="350"/>
      <c r="E9" s="350"/>
      <c r="F9" s="350"/>
      <c r="G9" s="350"/>
    </row>
    <row r="10" spans="1:10" s="15" customFormat="1" ht="15" customHeight="1" x14ac:dyDescent="0.3">
      <c r="A10" s="17"/>
      <c r="B10" s="18"/>
      <c r="C10" s="18"/>
      <c r="D10" s="18"/>
      <c r="E10" s="18"/>
      <c r="F10" s="18"/>
      <c r="G10" s="18"/>
    </row>
    <row r="11" spans="1:10" s="15" customFormat="1" ht="15" customHeight="1" x14ac:dyDescent="0.3">
      <c r="A11" s="19">
        <v>40544</v>
      </c>
      <c r="B11" s="18">
        <v>12248</v>
      </c>
      <c r="C11" s="18">
        <v>3937</v>
      </c>
      <c r="D11" s="18">
        <v>599</v>
      </c>
      <c r="E11" s="18">
        <v>1401</v>
      </c>
      <c r="F11" s="18">
        <v>182035</v>
      </c>
      <c r="G11" s="18">
        <v>4745</v>
      </c>
    </row>
    <row r="12" spans="1:10" s="15" customFormat="1" ht="15" customHeight="1" x14ac:dyDescent="0.3">
      <c r="A12" s="19">
        <f>DATE(YEAR(A11)+1,MONTH(A11),1)</f>
        <v>40909</v>
      </c>
      <c r="B12" s="18">
        <v>1896</v>
      </c>
      <c r="C12" s="18">
        <v>769</v>
      </c>
      <c r="D12" s="18">
        <v>670</v>
      </c>
      <c r="E12" s="18">
        <v>1401</v>
      </c>
      <c r="F12" s="18">
        <v>186539</v>
      </c>
      <c r="G12" s="18">
        <v>4998</v>
      </c>
    </row>
    <row r="13" spans="1:10" s="15" customFormat="1" ht="15" customHeight="1" x14ac:dyDescent="0.3">
      <c r="A13" s="19">
        <f t="shared" ref="A13:A25" si="0">DATE(YEAR(A12)+1,MONTH(A12),1)</f>
        <v>41275</v>
      </c>
      <c r="B13" s="18">
        <v>132</v>
      </c>
      <c r="C13" s="18">
        <v>132</v>
      </c>
      <c r="D13" s="18">
        <v>731</v>
      </c>
      <c r="E13" s="18">
        <v>1401</v>
      </c>
      <c r="F13" s="18">
        <v>197915</v>
      </c>
      <c r="G13" s="18">
        <v>5587</v>
      </c>
    </row>
    <row r="14" spans="1:10" s="15" customFormat="1" ht="15" customHeight="1" x14ac:dyDescent="0.3">
      <c r="A14" s="19">
        <f t="shared" si="0"/>
        <v>41640</v>
      </c>
      <c r="B14" s="18">
        <v>162</v>
      </c>
      <c r="C14" s="18">
        <v>162</v>
      </c>
      <c r="D14" s="18">
        <v>674</v>
      </c>
      <c r="E14" s="18">
        <v>1649</v>
      </c>
      <c r="F14" s="18">
        <v>177874</v>
      </c>
      <c r="G14" s="18">
        <v>6053</v>
      </c>
    </row>
    <row r="15" spans="1:10" s="15" customFormat="1" ht="15" customHeight="1" x14ac:dyDescent="0.3">
      <c r="A15" s="19">
        <f t="shared" si="0"/>
        <v>42005</v>
      </c>
      <c r="B15" s="18">
        <v>191</v>
      </c>
      <c r="C15" s="18">
        <v>190</v>
      </c>
      <c r="D15" s="18">
        <v>631</v>
      </c>
      <c r="E15" s="18">
        <v>1649</v>
      </c>
      <c r="F15" s="18">
        <v>153147</v>
      </c>
      <c r="G15" s="18">
        <v>5828</v>
      </c>
    </row>
    <row r="16" spans="1:10" s="15" customFormat="1" ht="15" customHeight="1" x14ac:dyDescent="0.3">
      <c r="A16" s="19">
        <f t="shared" si="0"/>
        <v>42370</v>
      </c>
      <c r="B16" s="18">
        <v>206</v>
      </c>
      <c r="C16" s="18">
        <v>206</v>
      </c>
      <c r="D16" s="18">
        <v>706</v>
      </c>
      <c r="E16" s="18">
        <v>1649</v>
      </c>
      <c r="F16" s="18">
        <v>159178</v>
      </c>
      <c r="G16" s="18">
        <v>6968</v>
      </c>
    </row>
    <row r="17" spans="1:7" s="15" customFormat="1" ht="15" customHeight="1" x14ac:dyDescent="0.3">
      <c r="A17" s="19">
        <f t="shared" si="0"/>
        <v>42736</v>
      </c>
      <c r="B17" s="18">
        <v>203</v>
      </c>
      <c r="C17" s="18">
        <v>203</v>
      </c>
      <c r="D17" s="18">
        <v>812</v>
      </c>
      <c r="E17" s="18">
        <v>1649</v>
      </c>
      <c r="F17" s="18">
        <v>183259</v>
      </c>
      <c r="G17" s="18">
        <v>7205</v>
      </c>
    </row>
    <row r="18" spans="1:7" s="15" customFormat="1" ht="15" customHeight="1" x14ac:dyDescent="0.3">
      <c r="A18" s="19">
        <f t="shared" si="0"/>
        <v>43101</v>
      </c>
      <c r="B18" s="18">
        <v>213</v>
      </c>
      <c r="C18" s="18">
        <v>213</v>
      </c>
      <c r="D18" s="18">
        <v>794</v>
      </c>
      <c r="E18" s="18">
        <v>1649</v>
      </c>
      <c r="F18" s="18">
        <v>191119</v>
      </c>
      <c r="G18" s="18">
        <v>6647</v>
      </c>
    </row>
    <row r="19" spans="1:7" ht="15" customHeight="1" x14ac:dyDescent="0.3">
      <c r="A19" s="19">
        <f t="shared" si="0"/>
        <v>43466</v>
      </c>
      <c r="B19" s="18">
        <v>219</v>
      </c>
      <c r="C19" s="18">
        <v>219</v>
      </c>
      <c r="D19" s="18">
        <v>1092</v>
      </c>
      <c r="E19" s="18">
        <v>1649</v>
      </c>
      <c r="F19" s="18">
        <v>183483</v>
      </c>
      <c r="G19" s="18">
        <v>6938</v>
      </c>
    </row>
    <row r="20" spans="1:7" ht="15" customHeight="1" x14ac:dyDescent="0.3">
      <c r="A20" s="19">
        <f t="shared" si="0"/>
        <v>43831</v>
      </c>
      <c r="B20" s="18">
        <v>216</v>
      </c>
      <c r="C20" s="18">
        <v>216</v>
      </c>
      <c r="D20" s="18">
        <v>583</v>
      </c>
      <c r="E20" s="18">
        <v>4049</v>
      </c>
      <c r="F20" s="18">
        <v>150307</v>
      </c>
      <c r="G20" s="18">
        <v>8089</v>
      </c>
    </row>
    <row r="21" spans="1:7" ht="15" customHeight="1" x14ac:dyDescent="0.3">
      <c r="A21" s="19">
        <f t="shared" si="0"/>
        <v>44197</v>
      </c>
      <c r="B21" s="18">
        <v>248</v>
      </c>
      <c r="C21" s="18">
        <v>248</v>
      </c>
      <c r="D21" s="18">
        <v>660</v>
      </c>
      <c r="E21" s="18">
        <v>4012</v>
      </c>
      <c r="F21" s="18">
        <v>183024</v>
      </c>
      <c r="G21" s="18">
        <v>8914</v>
      </c>
    </row>
    <row r="22" spans="1:7" ht="15" customHeight="1" x14ac:dyDescent="0.3">
      <c r="A22" s="19">
        <f t="shared" si="0"/>
        <v>44562</v>
      </c>
      <c r="B22" s="18">
        <v>101</v>
      </c>
      <c r="C22" s="18">
        <v>101</v>
      </c>
      <c r="D22" s="18">
        <v>1092</v>
      </c>
      <c r="E22" s="18">
        <v>4049</v>
      </c>
      <c r="F22" s="18">
        <v>211052</v>
      </c>
      <c r="G22" s="18">
        <v>9468</v>
      </c>
    </row>
    <row r="23" spans="1:7" ht="15" customHeight="1" x14ac:dyDescent="0.3">
      <c r="A23" s="19">
        <f t="shared" si="0"/>
        <v>44927</v>
      </c>
      <c r="B23" s="18">
        <v>72</v>
      </c>
      <c r="C23" s="18">
        <v>72</v>
      </c>
      <c r="D23" s="18">
        <v>875</v>
      </c>
      <c r="E23" s="18">
        <v>1649</v>
      </c>
      <c r="F23" s="18">
        <v>172096</v>
      </c>
      <c r="G23" s="18">
        <v>8698</v>
      </c>
    </row>
    <row r="24" spans="1:7" ht="15" customHeight="1" x14ac:dyDescent="0.3">
      <c r="A24" s="19">
        <f t="shared" si="0"/>
        <v>45292</v>
      </c>
      <c r="B24" s="18">
        <v>70</v>
      </c>
      <c r="C24" s="18">
        <v>69</v>
      </c>
      <c r="D24" s="18">
        <v>978</v>
      </c>
      <c r="E24" s="18">
        <v>3897</v>
      </c>
      <c r="F24" s="18">
        <v>174849</v>
      </c>
      <c r="G24" s="18">
        <v>8197</v>
      </c>
    </row>
    <row r="25" spans="1:7" ht="15" customHeight="1" x14ac:dyDescent="0.3">
      <c r="A25" s="19">
        <f t="shared" si="0"/>
        <v>45658</v>
      </c>
      <c r="B25" s="18">
        <v>67</v>
      </c>
      <c r="C25" s="18">
        <v>67</v>
      </c>
      <c r="D25" s="18">
        <v>1022</v>
      </c>
      <c r="E25" s="18">
        <v>5137</v>
      </c>
      <c r="F25" s="18">
        <v>194439</v>
      </c>
      <c r="G25" s="18">
        <v>9775</v>
      </c>
    </row>
    <row r="26" spans="1:7" ht="15.75" customHeight="1" x14ac:dyDescent="0.3">
      <c r="A26" s="20"/>
      <c r="B26" s="18"/>
      <c r="C26" s="18"/>
      <c r="D26" s="18"/>
      <c r="E26" s="18"/>
      <c r="F26" s="18"/>
      <c r="G26" s="18"/>
    </row>
    <row r="27" spans="1:7" ht="15" customHeight="1" x14ac:dyDescent="0.3">
      <c r="A27" s="21">
        <f>DATE(YEAR(표지!O1)-2,MONTH(표지!O1)-1,1)</f>
        <v>45352</v>
      </c>
      <c r="B27" s="18">
        <v>4</v>
      </c>
      <c r="C27" s="18">
        <v>4</v>
      </c>
      <c r="D27" s="18">
        <v>1169</v>
      </c>
      <c r="E27" s="18">
        <v>1649</v>
      </c>
      <c r="F27" s="18">
        <v>2945</v>
      </c>
      <c r="G27" s="18">
        <v>699</v>
      </c>
    </row>
    <row r="28" spans="1:7" ht="15" customHeight="1" x14ac:dyDescent="0.3">
      <c r="A28" s="22">
        <f>DATE(YEAR(A27),MONTH(A27)+1,1)</f>
        <v>45383</v>
      </c>
      <c r="B28" s="18">
        <v>4</v>
      </c>
      <c r="C28" s="18">
        <v>4</v>
      </c>
      <c r="D28" s="18">
        <v>1068</v>
      </c>
      <c r="E28" s="18">
        <v>2200</v>
      </c>
      <c r="F28" s="18">
        <v>24996</v>
      </c>
      <c r="G28" s="18">
        <v>596</v>
      </c>
    </row>
    <row r="29" spans="1:7" ht="15" customHeight="1" x14ac:dyDescent="0.3">
      <c r="A29" s="22">
        <f>DATE(YEAR(A28),MONTH(A28)+1,1)</f>
        <v>45413</v>
      </c>
      <c r="B29" s="18">
        <v>3</v>
      </c>
      <c r="C29" s="18">
        <v>3</v>
      </c>
      <c r="D29" s="18">
        <v>1132</v>
      </c>
      <c r="E29" s="18">
        <v>3304</v>
      </c>
      <c r="F29" s="18">
        <v>12550</v>
      </c>
      <c r="G29" s="18">
        <v>538</v>
      </c>
    </row>
    <row r="30" spans="1:7" ht="15" customHeight="1" x14ac:dyDescent="0.3">
      <c r="A30" s="22">
        <f>DATE(YEAR(A29),MONTH(A29)+1,1)</f>
        <v>45444</v>
      </c>
      <c r="B30" s="18">
        <v>3</v>
      </c>
      <c r="C30" s="18">
        <v>3</v>
      </c>
      <c r="D30" s="18">
        <v>1265</v>
      </c>
      <c r="E30" s="18">
        <v>3897</v>
      </c>
      <c r="F30" s="18">
        <v>7512</v>
      </c>
      <c r="G30" s="18">
        <v>822</v>
      </c>
    </row>
    <row r="31" spans="1:7" ht="15" customHeight="1" x14ac:dyDescent="0.3">
      <c r="A31" s="22">
        <f t="shared" ref="A31:A36" si="1">DATE(YEAR(A30),MONTH(A30)+1,1)</f>
        <v>45474</v>
      </c>
      <c r="B31" s="18">
        <v>3</v>
      </c>
      <c r="C31" s="18">
        <v>3</v>
      </c>
      <c r="D31" s="18">
        <v>1063</v>
      </c>
      <c r="E31" s="18">
        <v>3897</v>
      </c>
      <c r="F31" s="18">
        <v>24438</v>
      </c>
      <c r="G31" s="18">
        <v>672</v>
      </c>
    </row>
    <row r="32" spans="1:7" ht="15" customHeight="1" x14ac:dyDescent="0.3">
      <c r="A32" s="22">
        <f t="shared" si="1"/>
        <v>45505</v>
      </c>
      <c r="B32" s="18">
        <v>3</v>
      </c>
      <c r="C32" s="18">
        <v>3</v>
      </c>
      <c r="D32" s="18">
        <v>1112</v>
      </c>
      <c r="E32" s="18">
        <v>3897</v>
      </c>
      <c r="F32" s="18">
        <v>7106</v>
      </c>
      <c r="G32" s="18">
        <v>562</v>
      </c>
    </row>
    <row r="33" spans="1:7" ht="15" customHeight="1" x14ac:dyDescent="0.3">
      <c r="A33" s="22">
        <f t="shared" si="1"/>
        <v>45536</v>
      </c>
      <c r="B33" s="18">
        <v>14</v>
      </c>
      <c r="C33" s="18">
        <v>14</v>
      </c>
      <c r="D33" s="18">
        <v>1340</v>
      </c>
      <c r="E33" s="18">
        <v>3897</v>
      </c>
      <c r="F33" s="18">
        <v>20316</v>
      </c>
      <c r="G33" s="18">
        <v>585</v>
      </c>
    </row>
    <row r="34" spans="1:7" ht="15" customHeight="1" x14ac:dyDescent="0.3">
      <c r="A34" s="22">
        <f t="shared" si="1"/>
        <v>45566</v>
      </c>
      <c r="B34" s="18">
        <v>3</v>
      </c>
      <c r="C34" s="18">
        <v>3</v>
      </c>
      <c r="D34" s="18">
        <v>1163</v>
      </c>
      <c r="E34" s="18">
        <v>3897</v>
      </c>
      <c r="F34" s="18">
        <v>18354</v>
      </c>
      <c r="G34" s="18">
        <v>474</v>
      </c>
    </row>
    <row r="35" spans="1:7" ht="15" customHeight="1" x14ac:dyDescent="0.3">
      <c r="A35" s="22">
        <f t="shared" si="1"/>
        <v>45597</v>
      </c>
      <c r="B35" s="18">
        <v>3</v>
      </c>
      <c r="C35" s="18">
        <v>3</v>
      </c>
      <c r="D35" s="18">
        <v>1124</v>
      </c>
      <c r="E35" s="18">
        <v>3897</v>
      </c>
      <c r="F35" s="18">
        <v>5197</v>
      </c>
      <c r="G35" s="18">
        <v>495</v>
      </c>
    </row>
    <row r="36" spans="1:7" ht="15" customHeight="1" x14ac:dyDescent="0.3">
      <c r="A36" s="22">
        <f t="shared" si="1"/>
        <v>45627</v>
      </c>
      <c r="B36" s="18">
        <v>3</v>
      </c>
      <c r="C36" s="18">
        <v>3</v>
      </c>
      <c r="D36" s="18">
        <v>978</v>
      </c>
      <c r="E36" s="18">
        <v>3897</v>
      </c>
      <c r="F36" s="18">
        <v>20065</v>
      </c>
      <c r="G36" s="18">
        <v>1348</v>
      </c>
    </row>
    <row r="37" spans="1:7" ht="15" customHeight="1" x14ac:dyDescent="0.3">
      <c r="A37" s="22"/>
      <c r="B37" s="18"/>
      <c r="C37" s="18"/>
      <c r="D37" s="18"/>
      <c r="E37" s="18"/>
      <c r="F37" s="18"/>
      <c r="G37" s="18"/>
    </row>
    <row r="38" spans="1:7" ht="15" customHeight="1" x14ac:dyDescent="0.3">
      <c r="A38" s="21">
        <f>DATE(YEAR(A36),MONTH(A36)+1,1)</f>
        <v>45658</v>
      </c>
      <c r="B38" s="18">
        <v>18</v>
      </c>
      <c r="C38" s="18">
        <v>18</v>
      </c>
      <c r="D38" s="18">
        <v>1506</v>
      </c>
      <c r="E38" s="18">
        <v>3897</v>
      </c>
      <c r="F38" s="18">
        <v>20358</v>
      </c>
      <c r="G38" s="18">
        <v>637</v>
      </c>
    </row>
    <row r="39" spans="1:7" ht="15" customHeight="1" x14ac:dyDescent="0.3">
      <c r="A39" s="22">
        <f t="shared" ref="A39:A49" si="2">DATE(YEAR(A38),MONTH(A38)+1,1)</f>
        <v>45689</v>
      </c>
      <c r="B39" s="18">
        <v>3</v>
      </c>
      <c r="C39" s="18">
        <v>3</v>
      </c>
      <c r="D39" s="18">
        <v>1356</v>
      </c>
      <c r="E39" s="18">
        <v>1356</v>
      </c>
      <c r="F39" s="18">
        <v>12600</v>
      </c>
      <c r="G39" s="18">
        <v>823</v>
      </c>
    </row>
    <row r="40" spans="1:7" ht="15" customHeight="1" x14ac:dyDescent="0.3">
      <c r="A40" s="22">
        <f t="shared" si="2"/>
        <v>45717</v>
      </c>
      <c r="B40" s="18">
        <v>3</v>
      </c>
      <c r="C40" s="18">
        <v>3</v>
      </c>
      <c r="D40" s="18">
        <v>1141</v>
      </c>
      <c r="E40" s="18">
        <v>5137</v>
      </c>
      <c r="F40" s="18">
        <v>10422</v>
      </c>
      <c r="G40" s="18">
        <v>695</v>
      </c>
    </row>
    <row r="41" spans="1:7" ht="15" customHeight="1" x14ac:dyDescent="0.3">
      <c r="A41" s="22">
        <f t="shared" si="2"/>
        <v>45748</v>
      </c>
      <c r="B41" s="18">
        <v>4</v>
      </c>
      <c r="C41" s="18">
        <v>4</v>
      </c>
      <c r="D41" s="18">
        <v>1203</v>
      </c>
      <c r="E41" s="18">
        <v>5137</v>
      </c>
      <c r="F41" s="18">
        <v>19140</v>
      </c>
      <c r="G41" s="18">
        <v>586</v>
      </c>
    </row>
    <row r="42" spans="1:7" ht="15" customHeight="1" x14ac:dyDescent="0.3">
      <c r="A42" s="22">
        <f t="shared" si="2"/>
        <v>45778</v>
      </c>
      <c r="B42" s="18">
        <v>3</v>
      </c>
      <c r="C42" s="18">
        <v>3</v>
      </c>
      <c r="D42" s="18">
        <v>1407</v>
      </c>
      <c r="E42" s="18">
        <v>5137</v>
      </c>
      <c r="F42" s="18">
        <v>7056</v>
      </c>
      <c r="G42" s="18">
        <v>669</v>
      </c>
    </row>
    <row r="43" spans="1:7" ht="15" customHeight="1" x14ac:dyDescent="0.3">
      <c r="A43" s="22">
        <f t="shared" si="2"/>
        <v>45809</v>
      </c>
      <c r="B43" s="18">
        <v>3</v>
      </c>
      <c r="C43" s="18">
        <v>3</v>
      </c>
      <c r="D43" s="18">
        <v>1213</v>
      </c>
      <c r="E43" s="18">
        <v>5137</v>
      </c>
      <c r="F43" s="18">
        <v>19695</v>
      </c>
      <c r="G43" s="18">
        <v>795</v>
      </c>
    </row>
    <row r="44" spans="1:7" ht="15" customHeight="1" x14ac:dyDescent="0.3">
      <c r="A44" s="22">
        <f t="shared" si="2"/>
        <v>45839</v>
      </c>
      <c r="B44" s="18">
        <v>4</v>
      </c>
      <c r="C44" s="18">
        <v>4</v>
      </c>
      <c r="D44" s="18">
        <v>1580</v>
      </c>
      <c r="E44" s="18">
        <v>5137</v>
      </c>
      <c r="F44" s="18">
        <v>18135</v>
      </c>
      <c r="G44" s="18">
        <v>743</v>
      </c>
    </row>
    <row r="45" spans="1:7" ht="15" customHeight="1" x14ac:dyDescent="0.3">
      <c r="A45" s="22">
        <f t="shared" si="2"/>
        <v>45870</v>
      </c>
      <c r="B45" s="18">
        <v>3</v>
      </c>
      <c r="C45" s="18">
        <v>3</v>
      </c>
      <c r="D45" s="18">
        <v>1565</v>
      </c>
      <c r="E45" s="18">
        <v>5137</v>
      </c>
      <c r="F45" s="18">
        <v>5067</v>
      </c>
      <c r="G45" s="18">
        <v>545</v>
      </c>
    </row>
    <row r="46" spans="1:7" ht="15" customHeight="1" x14ac:dyDescent="0.3">
      <c r="A46" s="22">
        <f t="shared" si="2"/>
        <v>45901</v>
      </c>
      <c r="B46" s="18">
        <v>10</v>
      </c>
      <c r="C46" s="18">
        <v>10</v>
      </c>
      <c r="D46" s="18">
        <v>1719</v>
      </c>
      <c r="E46" s="18">
        <v>5055</v>
      </c>
      <c r="F46" s="18">
        <v>22737</v>
      </c>
      <c r="G46" s="18">
        <v>571</v>
      </c>
    </row>
    <row r="47" spans="1:7" ht="15" customHeight="1" x14ac:dyDescent="0.3">
      <c r="A47" s="22">
        <f t="shared" si="2"/>
        <v>45931</v>
      </c>
      <c r="B47" s="18">
        <v>7</v>
      </c>
      <c r="C47" s="18">
        <v>7</v>
      </c>
      <c r="D47" s="18">
        <v>1270</v>
      </c>
      <c r="E47" s="18">
        <v>5137</v>
      </c>
      <c r="F47" s="18">
        <v>21375</v>
      </c>
      <c r="G47" s="18">
        <v>521</v>
      </c>
    </row>
    <row r="48" spans="1:7" ht="15" customHeight="1" x14ac:dyDescent="0.3">
      <c r="A48" s="22">
        <f t="shared" si="2"/>
        <v>45962</v>
      </c>
      <c r="B48" s="18">
        <v>3</v>
      </c>
      <c r="C48" s="18">
        <v>3</v>
      </c>
      <c r="D48" s="18">
        <v>1560</v>
      </c>
      <c r="E48" s="18">
        <v>5137</v>
      </c>
      <c r="F48" s="18">
        <v>14622</v>
      </c>
      <c r="G48" s="18">
        <v>503</v>
      </c>
    </row>
    <row r="49" spans="1:7" ht="15" customHeight="1" x14ac:dyDescent="0.3">
      <c r="A49" s="22">
        <f t="shared" si="2"/>
        <v>45992</v>
      </c>
      <c r="B49" s="18">
        <v>5</v>
      </c>
      <c r="C49" s="18">
        <v>5</v>
      </c>
      <c r="D49" s="18">
        <v>1022</v>
      </c>
      <c r="E49" s="18">
        <v>5137</v>
      </c>
      <c r="F49" s="18">
        <v>23232</v>
      </c>
      <c r="G49" s="18">
        <v>2687</v>
      </c>
    </row>
    <row r="50" spans="1:7" ht="15" customHeight="1" x14ac:dyDescent="0.3">
      <c r="A50" s="22"/>
      <c r="B50" s="18"/>
      <c r="C50" s="18"/>
      <c r="D50" s="18"/>
      <c r="E50" s="18"/>
      <c r="F50" s="18"/>
      <c r="G50" s="18"/>
    </row>
    <row r="51" spans="1:7" ht="15" customHeight="1" x14ac:dyDescent="0.3">
      <c r="A51" s="21">
        <f>DATE(YEAR(A49),MONTH(A49)+1,1)</f>
        <v>46023</v>
      </c>
      <c r="B51" s="18">
        <v>3</v>
      </c>
      <c r="C51" s="18">
        <v>3</v>
      </c>
      <c r="D51" s="18">
        <v>1094</v>
      </c>
      <c r="E51" s="18">
        <v>5137</v>
      </c>
      <c r="F51" s="18">
        <v>15000</v>
      </c>
      <c r="G51" s="18">
        <v>1635</v>
      </c>
    </row>
    <row r="52" spans="1:7" ht="15" customHeight="1" x14ac:dyDescent="0.3">
      <c r="A52" s="22">
        <f>DATE(YEAR(A51),MONTH(A51)+1,1)</f>
        <v>46054</v>
      </c>
      <c r="B52" s="18">
        <v>21</v>
      </c>
      <c r="C52" s="18">
        <v>21</v>
      </c>
      <c r="D52" s="18">
        <v>832</v>
      </c>
      <c r="E52" s="18">
        <v>5137</v>
      </c>
      <c r="F52" s="18">
        <v>10778</v>
      </c>
      <c r="G52" s="18">
        <v>1658</v>
      </c>
    </row>
    <row r="53" spans="1:7" ht="15" customHeight="1" x14ac:dyDescent="0.3">
      <c r="A53" s="22">
        <f>DATE(YEAR(A52),MONTH(A52)+1,1)</f>
        <v>46082</v>
      </c>
      <c r="B53" s="18">
        <v>4</v>
      </c>
      <c r="C53" s="18">
        <v>4</v>
      </c>
      <c r="D53" s="18">
        <v>917</v>
      </c>
      <c r="E53" s="18">
        <v>5137</v>
      </c>
      <c r="F53" s="18">
        <v>22533</v>
      </c>
      <c r="G53" s="18">
        <v>1659</v>
      </c>
    </row>
    <row r="54" spans="1:7" ht="5.0999999999999996" customHeight="1" x14ac:dyDescent="0.3">
      <c r="B54" s="23"/>
      <c r="C54" s="23"/>
      <c r="D54" s="23"/>
      <c r="E54" s="23"/>
      <c r="F54" s="23"/>
      <c r="G54" s="23"/>
    </row>
    <row r="55" spans="1:7" x14ac:dyDescent="0.3">
      <c r="A55" s="24"/>
      <c r="D55" s="25"/>
      <c r="E55" s="25"/>
      <c r="F55" s="26"/>
      <c r="G55" s="26"/>
    </row>
    <row r="205" spans="4:6" ht="27" x14ac:dyDescent="0.3">
      <c r="D205" s="9" ph="1"/>
    </row>
    <row r="206" spans="4:6" ht="27" x14ac:dyDescent="0.3">
      <c r="F206" s="9" ph="1"/>
    </row>
    <row r="207" spans="4:6" ht="27" x14ac:dyDescent="0.3">
      <c r="D207" s="9" ph="1"/>
      <c r="F207" s="9" ph="1"/>
    </row>
    <row r="208" spans="4:6" ht="27" x14ac:dyDescent="0.3">
      <c r="F208" s="9" ph="1"/>
    </row>
    <row r="209" spans="4:6" ht="27" x14ac:dyDescent="0.3">
      <c r="F209" s="9" ph="1"/>
    </row>
    <row r="210" spans="4:6" ht="27" x14ac:dyDescent="0.3">
      <c r="F210" s="9" ph="1"/>
    </row>
    <row r="211" spans="4:6" ht="27" x14ac:dyDescent="0.3">
      <c r="F211" s="9" ph="1"/>
    </row>
    <row r="212" spans="4:6" ht="27" x14ac:dyDescent="0.3">
      <c r="F212" s="9" ph="1"/>
    </row>
    <row r="213" spans="4:6" ht="27" x14ac:dyDescent="0.3">
      <c r="F213" s="9" ph="1"/>
    </row>
    <row r="214" spans="4:6" ht="27" x14ac:dyDescent="0.3">
      <c r="F214" s="9" ph="1"/>
    </row>
    <row r="218" spans="4:6" ht="27" x14ac:dyDescent="0.3">
      <c r="D218" s="9" ph="1"/>
    </row>
    <row r="219" spans="4:6" ht="27" x14ac:dyDescent="0.3">
      <c r="D219" s="9" ph="1"/>
    </row>
    <row r="220" spans="4:6" ht="27" x14ac:dyDescent="0.3">
      <c r="D220" s="9" ph="1"/>
    </row>
    <row r="221" spans="4:6" ht="27" x14ac:dyDescent="0.3">
      <c r="D221" s="9" ph="1"/>
    </row>
    <row r="222" spans="4:6" ht="27" x14ac:dyDescent="0.3">
      <c r="D222" s="9" ph="1"/>
    </row>
    <row r="223" spans="4:6" ht="27" x14ac:dyDescent="0.3">
      <c r="D223" s="9" ph="1"/>
    </row>
    <row r="224" spans="4:6" ht="27" x14ac:dyDescent="0.3">
      <c r="F224" s="9" ph="1"/>
    </row>
    <row r="225" spans="4:6" ht="27" x14ac:dyDescent="0.3">
      <c r="F225" s="9" ph="1"/>
    </row>
    <row r="226" spans="4:6" ht="27" x14ac:dyDescent="0.3">
      <c r="F226" s="9" ph="1"/>
    </row>
    <row r="227" spans="4:6" ht="27" x14ac:dyDescent="0.3">
      <c r="F227" s="9" ph="1"/>
    </row>
    <row r="231" spans="4:6" ht="27" x14ac:dyDescent="0.3">
      <c r="D231" s="9" ph="1"/>
    </row>
    <row r="232" spans="4:6" ht="27" x14ac:dyDescent="0.3">
      <c r="D232" s="9" ph="1"/>
    </row>
    <row r="233" spans="4:6" ht="27" x14ac:dyDescent="0.3">
      <c r="D233" s="9" ph="1"/>
    </row>
    <row r="234" spans="4:6" ht="27" x14ac:dyDescent="0.3">
      <c r="D234" s="9" ph="1"/>
    </row>
    <row r="235" spans="4:6" ht="27" x14ac:dyDescent="0.3">
      <c r="D235" s="9" ph="1"/>
    </row>
    <row r="236" spans="4:6" ht="27" x14ac:dyDescent="0.3">
      <c r="D236" s="9" ph="1"/>
    </row>
    <row r="237" spans="4:6" ht="27" x14ac:dyDescent="0.3">
      <c r="D237" s="9" ph="1"/>
    </row>
    <row r="238" spans="4:6" ht="27" x14ac:dyDescent="0.3">
      <c r="F238" s="9" ph="1"/>
    </row>
    <row r="239" spans="4:6" ht="27" x14ac:dyDescent="0.3">
      <c r="D239" s="9" ph="1"/>
      <c r="F239" s="9" ph="1"/>
    </row>
    <row r="240" spans="4:6" ht="27" x14ac:dyDescent="0.3">
      <c r="F240" s="9" ph="1"/>
    </row>
    <row r="241" spans="4:6" ht="27" x14ac:dyDescent="0.3">
      <c r="F241" s="9" ph="1"/>
    </row>
    <row r="242" spans="4:6" ht="27" x14ac:dyDescent="0.3">
      <c r="F242" s="9" ph="1"/>
    </row>
    <row r="243" spans="4:6" ht="27" x14ac:dyDescent="0.3">
      <c r="F243" s="9" ph="1"/>
    </row>
    <row r="244" spans="4:6" ht="27" x14ac:dyDescent="0.3">
      <c r="F244" s="9" ph="1"/>
    </row>
    <row r="245" spans="4:6" ht="27" x14ac:dyDescent="0.3">
      <c r="F245" s="9" ph="1"/>
    </row>
    <row r="246" spans="4:6" ht="27" x14ac:dyDescent="0.3">
      <c r="F246" s="9" ph="1"/>
    </row>
    <row r="250" spans="4:6" ht="27" x14ac:dyDescent="0.3">
      <c r="D250" s="9" ph="1"/>
    </row>
    <row r="251" spans="4:6" ht="27" x14ac:dyDescent="0.3">
      <c r="D251" s="9" ph="1"/>
    </row>
    <row r="252" spans="4:6" ht="27" x14ac:dyDescent="0.3">
      <c r="D252" s="9" ph="1"/>
    </row>
    <row r="253" spans="4:6" ht="27" x14ac:dyDescent="0.3">
      <c r="D253" s="9" ph="1"/>
    </row>
    <row r="254" spans="4:6" ht="27" x14ac:dyDescent="0.3">
      <c r="D254" s="9" ph="1"/>
    </row>
    <row r="255" spans="4:6" ht="27" x14ac:dyDescent="0.3">
      <c r="D255" s="9" ph="1"/>
    </row>
    <row r="256" spans="4:6" ht="27" x14ac:dyDescent="0.3">
      <c r="F256" s="9" ph="1"/>
    </row>
    <row r="257" spans="4:6" ht="27" x14ac:dyDescent="0.3">
      <c r="F257" s="9" ph="1"/>
    </row>
    <row r="258" spans="4:6" ht="27" x14ac:dyDescent="0.3">
      <c r="F258" s="9" ph="1"/>
    </row>
    <row r="259" spans="4:6" ht="27" x14ac:dyDescent="0.3">
      <c r="F259" s="9" ph="1"/>
    </row>
    <row r="263" spans="4:6" ht="27" x14ac:dyDescent="0.3">
      <c r="D263" s="9" ph="1"/>
    </row>
    <row r="264" spans="4:6" ht="27" x14ac:dyDescent="0.3">
      <c r="D264" s="9" ph="1"/>
    </row>
    <row r="265" spans="4:6" ht="27" x14ac:dyDescent="0.3">
      <c r="D265" s="9" ph="1"/>
    </row>
    <row r="266" spans="4:6" ht="27" x14ac:dyDescent="0.3">
      <c r="D266" s="9" ph="1"/>
    </row>
    <row r="267" spans="4:6" ht="27" x14ac:dyDescent="0.3">
      <c r="D267" s="9" ph="1"/>
    </row>
    <row r="268" spans="4:6" ht="27" x14ac:dyDescent="0.3">
      <c r="D268" s="9" ph="1"/>
    </row>
    <row r="269" spans="4:6" ht="27" x14ac:dyDescent="0.3">
      <c r="F269" s="9" ph="1"/>
    </row>
    <row r="270" spans="4:6" ht="27" x14ac:dyDescent="0.3">
      <c r="F270" s="9" ph="1"/>
    </row>
    <row r="271" spans="4:6" ht="27" x14ac:dyDescent="0.3">
      <c r="F271" s="9" ph="1"/>
    </row>
    <row r="272" spans="4:6" ht="27" x14ac:dyDescent="0.3">
      <c r="F272" s="9" ph="1"/>
    </row>
    <row r="273" spans="4:6" ht="27" x14ac:dyDescent="0.3">
      <c r="F273" s="9" ph="1"/>
    </row>
    <row r="274" spans="4:6" ht="27" x14ac:dyDescent="0.3">
      <c r="F274" s="9" ph="1"/>
    </row>
    <row r="275" spans="4:6" ht="27" x14ac:dyDescent="0.3">
      <c r="F275" s="9" ph="1"/>
    </row>
    <row r="276" spans="4:6" ht="27" x14ac:dyDescent="0.3">
      <c r="D276" s="9" ph="1"/>
    </row>
    <row r="277" spans="4:6" ht="27" x14ac:dyDescent="0.3">
      <c r="D277" s="9" ph="1"/>
    </row>
    <row r="278" spans="4:6" ht="27" x14ac:dyDescent="0.3">
      <c r="D278" s="9" ph="1"/>
    </row>
    <row r="279" spans="4:6" ht="27" x14ac:dyDescent="0.3">
      <c r="F279" s="9" ph="1"/>
    </row>
    <row r="280" spans="4:6" ht="27" x14ac:dyDescent="0.3">
      <c r="F280" s="9" ph="1"/>
    </row>
    <row r="281" spans="4:6" ht="27" x14ac:dyDescent="0.3">
      <c r="F281" s="9" ph="1"/>
    </row>
    <row r="282" spans="4:6" ht="27" x14ac:dyDescent="0.3">
      <c r="F282" s="9" ph="1"/>
    </row>
    <row r="283" spans="4:6" ht="27" x14ac:dyDescent="0.3">
      <c r="F283" s="9" ph="1"/>
    </row>
    <row r="284" spans="4:6" ht="27" x14ac:dyDescent="0.3">
      <c r="F284" s="9" ph="1"/>
    </row>
    <row r="285" spans="4:6" ht="27" x14ac:dyDescent="0.3">
      <c r="F285" s="9" ph="1"/>
    </row>
    <row r="286" spans="4:6" ht="27" x14ac:dyDescent="0.3">
      <c r="F286" s="9" ph="1"/>
    </row>
    <row r="287" spans="4:6" ht="27" x14ac:dyDescent="0.3">
      <c r="F287" s="9" ph="1"/>
    </row>
    <row r="288" spans="4:6" ht="27" x14ac:dyDescent="0.3">
      <c r="F288" s="9" ph="1"/>
    </row>
    <row r="289" spans="6:6" ht="27" x14ac:dyDescent="0.3">
      <c r="F289" s="9" ph="1"/>
    </row>
    <row r="290" spans="6:6" ht="27" x14ac:dyDescent="0.3">
      <c r="F290" s="9" ph="1"/>
    </row>
    <row r="291" spans="6:6" ht="27" x14ac:dyDescent="0.3">
      <c r="F291" s="9" ph="1"/>
    </row>
    <row r="292" spans="6:6" ht="27" x14ac:dyDescent="0.3">
      <c r="F292" s="9" ph="1"/>
    </row>
    <row r="293" spans="6:6" ht="27" x14ac:dyDescent="0.3">
      <c r="F293" s="9" ph="1"/>
    </row>
    <row r="294" spans="6:6" ht="27" x14ac:dyDescent="0.3">
      <c r="F294" s="9" ph="1"/>
    </row>
    <row r="295" spans="6:6" ht="27" x14ac:dyDescent="0.3">
      <c r="F295" s="9" ph="1"/>
    </row>
    <row r="296" spans="6:6" ht="27" x14ac:dyDescent="0.3">
      <c r="F296" s="9" ph="1"/>
    </row>
    <row r="297" spans="6:6" ht="27" x14ac:dyDescent="0.3">
      <c r="F297" s="9" ph="1"/>
    </row>
    <row r="298" spans="6:6" ht="27" x14ac:dyDescent="0.3">
      <c r="F298" s="9" ph="1"/>
    </row>
    <row r="299" spans="6:6" ht="27" x14ac:dyDescent="0.3">
      <c r="F299" s="9" ph="1"/>
    </row>
    <row r="300" spans="6:6" ht="27" x14ac:dyDescent="0.3">
      <c r="F300" s="9" ph="1"/>
    </row>
    <row r="301" spans="6:6" ht="27" x14ac:dyDescent="0.3">
      <c r="F301" s="9" ph="1"/>
    </row>
    <row r="302" spans="6:6" ht="27" x14ac:dyDescent="0.3">
      <c r="F302" s="9" ph="1"/>
    </row>
    <row r="303" spans="6:6" ht="27" x14ac:dyDescent="0.3">
      <c r="F303" s="9" ph="1"/>
    </row>
    <row r="304" spans="6:6" ht="27" x14ac:dyDescent="0.3">
      <c r="F304" s="9" ph="1"/>
    </row>
    <row r="305" spans="6:6" ht="27" x14ac:dyDescent="0.3">
      <c r="F305" s="9" ph="1"/>
    </row>
    <row r="306" spans="6:6" ht="27" x14ac:dyDescent="0.3">
      <c r="F306" s="9" ph="1"/>
    </row>
    <row r="307" spans="6:6" ht="27" x14ac:dyDescent="0.3">
      <c r="F307" s="9" ph="1"/>
    </row>
    <row r="308" spans="6:6" ht="27" x14ac:dyDescent="0.3">
      <c r="F308" s="9" ph="1"/>
    </row>
    <row r="309" spans="6:6" ht="27" x14ac:dyDescent="0.3">
      <c r="F309" s="9" ph="1"/>
    </row>
    <row r="310" spans="6:6" ht="27" x14ac:dyDescent="0.3">
      <c r="F310" s="9" ph="1"/>
    </row>
    <row r="311" spans="6:6" ht="27" x14ac:dyDescent="0.3">
      <c r="F311" s="9" ph="1"/>
    </row>
    <row r="312" spans="6:6" ht="27" x14ac:dyDescent="0.3">
      <c r="F312" s="9" ph="1"/>
    </row>
    <row r="313" spans="6:6" ht="27" x14ac:dyDescent="0.3">
      <c r="F313" s="9" ph="1"/>
    </row>
    <row r="314" spans="6:6" ht="27" x14ac:dyDescent="0.3">
      <c r="F314" s="9" ph="1"/>
    </row>
    <row r="315" spans="6:6" ht="27" x14ac:dyDescent="0.3">
      <c r="F315" s="9" ph="1"/>
    </row>
    <row r="316" spans="6:6" ht="27" x14ac:dyDescent="0.3">
      <c r="F316" s="9" ph="1"/>
    </row>
    <row r="317" spans="6:6" ht="27" x14ac:dyDescent="0.3">
      <c r="F317" s="9" ph="1"/>
    </row>
    <row r="318" spans="6:6" ht="27" x14ac:dyDescent="0.3">
      <c r="F318" s="9" ph="1"/>
    </row>
    <row r="319" spans="6:6" ht="27" x14ac:dyDescent="0.3">
      <c r="F319" s="9" ph="1"/>
    </row>
    <row r="320" spans="6:6" ht="27" x14ac:dyDescent="0.3">
      <c r="F320" s="9" ph="1"/>
    </row>
    <row r="321" spans="6:6" ht="27" x14ac:dyDescent="0.3">
      <c r="F321" s="9" ph="1"/>
    </row>
    <row r="322" spans="6:6" ht="27" x14ac:dyDescent="0.3">
      <c r="F322" s="9" ph="1"/>
    </row>
    <row r="323" spans="6:6" ht="27" x14ac:dyDescent="0.3">
      <c r="F323" s="9" ph="1"/>
    </row>
    <row r="324" spans="6:6" ht="27" x14ac:dyDescent="0.3">
      <c r="F324" s="9" ph="1"/>
    </row>
    <row r="325" spans="6:6" ht="27" x14ac:dyDescent="0.3">
      <c r="F325" s="9" ph="1"/>
    </row>
    <row r="326" spans="6:6" ht="27" x14ac:dyDescent="0.3">
      <c r="F326" s="9" ph="1"/>
    </row>
    <row r="327" spans="6:6" ht="27" x14ac:dyDescent="0.3">
      <c r="F327" s="9" ph="1"/>
    </row>
    <row r="328" spans="6:6" ht="27" x14ac:dyDescent="0.3">
      <c r="F328" s="9" ph="1"/>
    </row>
    <row r="329" spans="6:6" ht="27" x14ac:dyDescent="0.3">
      <c r="F329" s="9" ph="1"/>
    </row>
    <row r="330" spans="6:6" ht="27" x14ac:dyDescent="0.3">
      <c r="F330" s="9" ph="1"/>
    </row>
    <row r="331" spans="6:6" ht="27" x14ac:dyDescent="0.3">
      <c r="F331" s="9" ph="1"/>
    </row>
    <row r="332" spans="6:6" ht="27" x14ac:dyDescent="0.3">
      <c r="F332" s="9" ph="1"/>
    </row>
    <row r="333" spans="6:6" ht="27" x14ac:dyDescent="0.3">
      <c r="F333" s="9" ph="1"/>
    </row>
    <row r="334" spans="6:6" ht="27" x14ac:dyDescent="0.3">
      <c r="F334" s="9" ph="1"/>
    </row>
    <row r="335" spans="6:6" ht="27" x14ac:dyDescent="0.3">
      <c r="F335" s="9" ph="1"/>
    </row>
    <row r="336" spans="6:6" ht="27" x14ac:dyDescent="0.3">
      <c r="F336" s="9" ph="1"/>
    </row>
    <row r="337" spans="6:6" ht="27" x14ac:dyDescent="0.3">
      <c r="F337" s="9" ph="1"/>
    </row>
    <row r="338" spans="6:6" ht="27" x14ac:dyDescent="0.3">
      <c r="F338" s="9" ph="1"/>
    </row>
    <row r="339" spans="6:6" ht="27" x14ac:dyDescent="0.3">
      <c r="F339" s="9" ph="1"/>
    </row>
    <row r="340" spans="6:6" ht="27" x14ac:dyDescent="0.3">
      <c r="F340" s="9" ph="1"/>
    </row>
    <row r="341" spans="6:6" ht="27" x14ac:dyDescent="0.3">
      <c r="F341" s="9" ph="1"/>
    </row>
    <row r="342" spans="6:6" ht="27" x14ac:dyDescent="0.3">
      <c r="F342" s="9" ph="1"/>
    </row>
    <row r="343" spans="6:6" ht="27" x14ac:dyDescent="0.3">
      <c r="F343" s="9" ph="1"/>
    </row>
    <row r="344" spans="6:6" ht="27" x14ac:dyDescent="0.3">
      <c r="F344" s="9" ph="1"/>
    </row>
    <row r="345" spans="6:6" ht="27" x14ac:dyDescent="0.3">
      <c r="F345" s="9" ph="1"/>
    </row>
    <row r="346" spans="6:6" ht="27" x14ac:dyDescent="0.3">
      <c r="F346" s="9" ph="1"/>
    </row>
    <row r="347" spans="6:6" ht="27" x14ac:dyDescent="0.3">
      <c r="F347" s="9" ph="1"/>
    </row>
    <row r="348" spans="6:6" ht="27" x14ac:dyDescent="0.3">
      <c r="F348" s="9" ph="1"/>
    </row>
    <row r="349" spans="6:6" ht="27" x14ac:dyDescent="0.3">
      <c r="F349" s="9" ph="1"/>
    </row>
    <row r="350" spans="6:6" ht="27" x14ac:dyDescent="0.3">
      <c r="F350" s="9" ph="1"/>
    </row>
    <row r="351" spans="6:6" ht="27" x14ac:dyDescent="0.3">
      <c r="F351" s="9" ph="1"/>
    </row>
    <row r="352" spans="6:6" ht="27" x14ac:dyDescent="0.3">
      <c r="F352" s="9" ph="1"/>
    </row>
    <row r="353" spans="6:6" ht="27" x14ac:dyDescent="0.3">
      <c r="F353" s="9" ph="1"/>
    </row>
    <row r="354" spans="6:6" ht="27" x14ac:dyDescent="0.3">
      <c r="F354" s="9" ph="1"/>
    </row>
    <row r="355" spans="6:6" ht="27" x14ac:dyDescent="0.3">
      <c r="F355" s="9" ph="1"/>
    </row>
    <row r="356" spans="6:6" ht="27" x14ac:dyDescent="0.3">
      <c r="F356" s="9" ph="1"/>
    </row>
    <row r="357" spans="6:6" ht="27" x14ac:dyDescent="0.3">
      <c r="F357" s="9" ph="1"/>
    </row>
    <row r="358" spans="6:6" ht="27" x14ac:dyDescent="0.3">
      <c r="F358" s="9" ph="1"/>
    </row>
    <row r="359" spans="6:6" ht="27" x14ac:dyDescent="0.3">
      <c r="F359" s="9" ph="1"/>
    </row>
    <row r="360" spans="6:6" ht="27" x14ac:dyDescent="0.3">
      <c r="F360" s="9" ph="1"/>
    </row>
    <row r="361" spans="6:6" ht="27" x14ac:dyDescent="0.3">
      <c r="F361" s="9" ph="1"/>
    </row>
    <row r="362" spans="6:6" ht="27" x14ac:dyDescent="0.3">
      <c r="F362" s="9" ph="1"/>
    </row>
    <row r="363" spans="6:6" ht="27" x14ac:dyDescent="0.3">
      <c r="F363" s="9" ph="1"/>
    </row>
    <row r="364" spans="6:6" ht="27" x14ac:dyDescent="0.3">
      <c r="F364" s="9" ph="1"/>
    </row>
    <row r="365" spans="6:6" ht="27" x14ac:dyDescent="0.3">
      <c r="F365" s="9" ph="1"/>
    </row>
    <row r="366" spans="6:6" ht="27" x14ac:dyDescent="0.3">
      <c r="F366" s="9" ph="1"/>
    </row>
    <row r="367" spans="6:6" ht="27" x14ac:dyDescent="0.3">
      <c r="F367" s="9" ph="1"/>
    </row>
    <row r="368" spans="6:6" ht="27" x14ac:dyDescent="0.3">
      <c r="F368" s="9" ph="1"/>
    </row>
    <row r="369" spans="6:6" ht="27" x14ac:dyDescent="0.3">
      <c r="F369" s="9" ph="1"/>
    </row>
    <row r="370" spans="6:6" ht="27" x14ac:dyDescent="0.3">
      <c r="F370" s="9" ph="1"/>
    </row>
    <row r="371" spans="6:6" ht="27" x14ac:dyDescent="0.3">
      <c r="F371" s="9" ph="1"/>
    </row>
    <row r="372" spans="6:6" ht="27" x14ac:dyDescent="0.3">
      <c r="F372" s="9" ph="1"/>
    </row>
    <row r="373" spans="6:6" ht="27" x14ac:dyDescent="0.3">
      <c r="F373" s="9" ph="1"/>
    </row>
    <row r="374" spans="6:6" ht="27" x14ac:dyDescent="0.3">
      <c r="F374" s="9" ph="1"/>
    </row>
    <row r="375" spans="6:6" ht="27" x14ac:dyDescent="0.3">
      <c r="F375" s="9" ph="1"/>
    </row>
    <row r="376" spans="6:6" ht="27" x14ac:dyDescent="0.3">
      <c r="F376" s="9" ph="1"/>
    </row>
    <row r="377" spans="6:6" ht="27" x14ac:dyDescent="0.3">
      <c r="F377" s="9" ph="1"/>
    </row>
    <row r="378" spans="6:6" ht="27" x14ac:dyDescent="0.3">
      <c r="F378" s="9" ph="1"/>
    </row>
    <row r="379" spans="6:6" ht="27" x14ac:dyDescent="0.3">
      <c r="F379" s="9" ph="1"/>
    </row>
    <row r="380" spans="6:6" ht="27" x14ac:dyDescent="0.3">
      <c r="F380" s="9" ph="1"/>
    </row>
    <row r="381" spans="6:6" ht="27" x14ac:dyDescent="0.3">
      <c r="F381" s="9" ph="1"/>
    </row>
    <row r="382" spans="6:6" ht="27" x14ac:dyDescent="0.3">
      <c r="F382" s="9" ph="1"/>
    </row>
  </sheetData>
  <mergeCells count="13">
    <mergeCell ref="E8:E9"/>
    <mergeCell ref="F8:F9"/>
    <mergeCell ref="G8:G9"/>
    <mergeCell ref="A1:G1"/>
    <mergeCell ref="A3:G3"/>
    <mergeCell ref="A5:G5"/>
    <mergeCell ref="A7:A9"/>
    <mergeCell ref="B7:C7"/>
    <mergeCell ref="D7:E7"/>
    <mergeCell ref="F7:G7"/>
    <mergeCell ref="B8:B9"/>
    <mergeCell ref="C8:C9"/>
    <mergeCell ref="D8:D9"/>
  </mergeCells>
  <phoneticPr fontId="4" type="noConversion"/>
  <pageMargins left="0.59055118110236227" right="0.55118110236220474" top="1.2204724409448819" bottom="0.78740157480314965" header="0.51181102362204722" footer="0.51181102362204722"/>
  <pageSetup paperSize="9" scale="88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482C5-4992-4C5A-A14F-C2A081289B5A}">
  <dimension ref="A1:CX59"/>
  <sheetViews>
    <sheetView view="pageBreakPreview" zoomScale="115" zoomScaleNormal="80" zoomScaleSheetLayoutView="115" workbookViewId="0">
      <pane ySplit="6" topLeftCell="A40" activePane="bottomLeft" state="frozen"/>
      <selection activeCell="G2" sqref="G2"/>
      <selection pane="bottomLeft" activeCell="G2" sqref="G2"/>
    </sheetView>
  </sheetViews>
  <sheetFormatPr defaultRowHeight="16.5" x14ac:dyDescent="0.3"/>
  <cols>
    <col min="1" max="1" width="8.75" style="28" customWidth="1"/>
    <col min="2" max="2" width="14.25" style="29" customWidth="1"/>
    <col min="3" max="3" width="14" style="29" customWidth="1"/>
    <col min="4" max="4" width="12.25" style="29" customWidth="1"/>
    <col min="5" max="5" width="14.75" style="29" customWidth="1"/>
    <col min="6" max="6" width="11.5" style="30" customWidth="1"/>
    <col min="7" max="7" width="13" style="29" customWidth="1"/>
    <col min="8" max="8" width="12" style="29" customWidth="1"/>
    <col min="9" max="9" width="9.625" style="29" bestFit="1" customWidth="1"/>
    <col min="10" max="10" width="11.875" style="29" customWidth="1"/>
    <col min="11" max="11" width="8.125" style="31" customWidth="1"/>
    <col min="12" max="12" width="13.125" style="29" bestFit="1" customWidth="1"/>
    <col min="13" max="13" width="11" style="29" bestFit="1" customWidth="1"/>
    <col min="14" max="14" width="10.375" style="29" customWidth="1"/>
    <col min="15" max="15" width="10.875" style="29" customWidth="1"/>
    <col min="16" max="16" width="10.75" style="29" bestFit="1" customWidth="1"/>
    <col min="17" max="17" width="10.5" style="29" bestFit="1" customWidth="1"/>
    <col min="18" max="18" width="11.125" style="29" customWidth="1"/>
    <col min="19" max="19" width="12.375" style="29" bestFit="1" customWidth="1"/>
    <col min="20" max="20" width="13.375" style="29" customWidth="1"/>
    <col min="21" max="21" width="11.125" style="29" bestFit="1" customWidth="1"/>
    <col min="22" max="22" width="10.75" style="29" bestFit="1" customWidth="1"/>
    <col min="23" max="23" width="13.25" style="29" bestFit="1" customWidth="1"/>
    <col min="24" max="24" width="12.375" style="29" bestFit="1" customWidth="1"/>
    <col min="25" max="25" width="9.5" style="32" bestFit="1" customWidth="1"/>
    <col min="26" max="26" width="11.125" style="29" customWidth="1"/>
    <col min="27" max="27" width="11.75" style="29" bestFit="1" customWidth="1"/>
    <col min="28" max="28" width="9" style="35" bestFit="1" customWidth="1"/>
    <col min="29" max="29" width="13.625" style="29" customWidth="1"/>
    <col min="30" max="30" width="12.75" style="29" customWidth="1"/>
    <col min="31" max="31" width="9" style="29" bestFit="1" customWidth="1"/>
    <col min="32" max="32" width="9.25" style="29" bestFit="1" customWidth="1"/>
    <col min="33" max="33" width="11.5" style="29" bestFit="1" customWidth="1"/>
    <col min="34" max="34" width="17" style="29" bestFit="1" customWidth="1"/>
    <col min="35" max="35" width="9" style="29" bestFit="1" customWidth="1"/>
    <col min="36" max="36" width="12.875" style="29" bestFit="1" customWidth="1"/>
    <col min="37" max="39" width="9" style="29" bestFit="1" customWidth="1"/>
    <col min="40" max="41" width="9.75" style="29" bestFit="1" customWidth="1"/>
    <col min="42" max="42" width="9.5" style="31" bestFit="1" customWidth="1"/>
    <col min="43" max="43" width="13.25" style="29" customWidth="1"/>
    <col min="44" max="44" width="12.75" style="29" customWidth="1"/>
    <col min="45" max="45" width="12.875" style="29" customWidth="1"/>
    <col min="46" max="46" width="12.5" style="29" customWidth="1"/>
    <col min="47" max="47" width="10.375" style="29" customWidth="1"/>
    <col min="48" max="48" width="13" style="29" customWidth="1"/>
    <col min="49" max="49" width="13.125" style="29" bestFit="1" customWidth="1"/>
    <col min="50" max="50" width="9" style="35" bestFit="1" customWidth="1"/>
    <col min="51" max="51" width="14.125" style="29" customWidth="1"/>
    <col min="52" max="52" width="13.375" style="29" customWidth="1"/>
    <col min="53" max="53" width="11.125" style="29" bestFit="1" customWidth="1"/>
    <col min="54" max="54" width="13.75" style="29" customWidth="1"/>
    <col min="55" max="57" width="11.25" style="29" customWidth="1"/>
    <col min="58" max="58" width="9" style="35" bestFit="1" customWidth="1"/>
    <col min="59" max="59" width="11.5" style="36" bestFit="1" customWidth="1"/>
    <col min="60" max="71" width="12" style="29" customWidth="1"/>
    <col min="72" max="72" width="13.75" style="29" customWidth="1"/>
    <col min="73" max="76" width="14.25" style="29" bestFit="1" customWidth="1"/>
    <col min="77" max="77" width="12" style="29" customWidth="1"/>
    <col min="78" max="78" width="12.875" style="29" customWidth="1"/>
    <col min="79" max="79" width="12.75" style="29" customWidth="1"/>
    <col min="80" max="80" width="9" style="35" bestFit="1" customWidth="1"/>
    <col min="81" max="81" width="13.25" style="35" customWidth="1"/>
    <col min="82" max="88" width="13.25" style="29" customWidth="1"/>
    <col min="89" max="89" width="9" style="35" bestFit="1" customWidth="1"/>
    <col min="90" max="90" width="13.25" style="35" customWidth="1"/>
    <col min="91" max="96" width="13.25" style="29" customWidth="1"/>
    <col min="97" max="97" width="9" style="35" customWidth="1"/>
    <col min="98" max="98" width="13.25" style="35" customWidth="1"/>
    <col min="99" max="101" width="13.25" style="29" customWidth="1"/>
    <col min="102" max="102" width="15.625" style="29" bestFit="1" customWidth="1"/>
    <col min="103" max="16384" width="9" style="29"/>
  </cols>
  <sheetData>
    <row r="1" spans="1:102" s="27" customFormat="1" ht="24" x14ac:dyDescent="0.3">
      <c r="A1" s="415" t="s">
        <v>45</v>
      </c>
      <c r="B1" s="415"/>
      <c r="C1" s="415"/>
      <c r="D1" s="415"/>
      <c r="E1" s="415"/>
      <c r="F1" s="415"/>
      <c r="G1" s="415"/>
      <c r="H1" s="415"/>
      <c r="I1" s="415"/>
      <c r="J1" s="415"/>
      <c r="K1" s="415" t="s">
        <v>46</v>
      </c>
      <c r="L1" s="415"/>
      <c r="M1" s="415"/>
      <c r="N1" s="415"/>
      <c r="O1" s="415"/>
      <c r="P1" s="415"/>
      <c r="Q1" s="415"/>
      <c r="R1" s="415"/>
      <c r="S1" s="415"/>
      <c r="T1" s="415"/>
      <c r="U1" s="415"/>
      <c r="V1" s="415"/>
      <c r="W1" s="415"/>
      <c r="X1" s="415"/>
      <c r="Y1" s="415"/>
      <c r="Z1" s="415"/>
      <c r="AA1" s="415"/>
      <c r="AB1" s="415" t="s">
        <v>46</v>
      </c>
      <c r="AC1" s="415"/>
      <c r="AD1" s="415"/>
      <c r="AE1" s="415"/>
      <c r="AF1" s="415"/>
      <c r="AG1" s="415"/>
      <c r="AH1" s="415"/>
      <c r="AI1" s="415"/>
      <c r="AJ1" s="415"/>
      <c r="AK1" s="415"/>
      <c r="AL1" s="415"/>
      <c r="AM1" s="415"/>
      <c r="AN1" s="415"/>
      <c r="AO1" s="415"/>
      <c r="AP1" s="415" t="s">
        <v>46</v>
      </c>
      <c r="AQ1" s="415"/>
      <c r="AR1" s="415"/>
      <c r="AS1" s="415"/>
      <c r="AT1" s="415"/>
      <c r="AU1" s="415"/>
      <c r="AV1" s="415"/>
      <c r="AW1" s="415"/>
      <c r="AX1" s="415" t="s">
        <v>46</v>
      </c>
      <c r="AY1" s="415"/>
      <c r="AZ1" s="415"/>
      <c r="BA1" s="415"/>
      <c r="BB1" s="415"/>
      <c r="BC1" s="415"/>
      <c r="BD1" s="415"/>
      <c r="BE1" s="415"/>
      <c r="BF1" s="415" t="s">
        <v>47</v>
      </c>
      <c r="BG1" s="415"/>
      <c r="BH1" s="415"/>
      <c r="BI1" s="415"/>
      <c r="BJ1" s="415"/>
      <c r="BK1" s="415"/>
      <c r="BL1" s="415"/>
      <c r="BM1" s="415"/>
      <c r="BN1" s="415"/>
      <c r="BO1" s="415"/>
      <c r="BP1" s="415" t="s">
        <v>47</v>
      </c>
      <c r="BQ1" s="415"/>
      <c r="BR1" s="415"/>
      <c r="BS1" s="415"/>
      <c r="BT1" s="415"/>
      <c r="BU1" s="415"/>
      <c r="BV1" s="415"/>
      <c r="BW1" s="415"/>
      <c r="BX1" s="415"/>
      <c r="BY1" s="415"/>
      <c r="BZ1" s="415"/>
      <c r="CA1" s="415"/>
      <c r="CB1" s="415" t="s">
        <v>48</v>
      </c>
      <c r="CC1" s="415"/>
      <c r="CD1" s="415"/>
      <c r="CE1" s="415"/>
      <c r="CF1" s="415"/>
      <c r="CG1" s="415"/>
      <c r="CH1" s="415"/>
      <c r="CI1" s="415"/>
      <c r="CJ1" s="415"/>
      <c r="CK1" s="415" t="s">
        <v>49</v>
      </c>
      <c r="CL1" s="415"/>
      <c r="CM1" s="415"/>
      <c r="CN1" s="415"/>
      <c r="CO1" s="415"/>
      <c r="CP1" s="415"/>
      <c r="CQ1" s="415"/>
      <c r="CR1" s="415"/>
      <c r="CS1" s="415" t="s">
        <v>49</v>
      </c>
      <c r="CT1" s="415"/>
      <c r="CU1" s="415"/>
      <c r="CV1" s="415"/>
      <c r="CW1" s="415"/>
      <c r="CX1" s="415"/>
    </row>
    <row r="2" spans="1:102" ht="19.5" x14ac:dyDescent="0.3">
      <c r="AB2" s="416" t="s">
        <v>50</v>
      </c>
      <c r="AC2" s="416"/>
      <c r="AD2" s="416"/>
      <c r="AE2" s="416"/>
      <c r="AF2" s="416"/>
      <c r="AP2" s="33" t="s">
        <v>51</v>
      </c>
      <c r="AQ2" s="34"/>
      <c r="AR2" s="34"/>
      <c r="AS2" s="34"/>
      <c r="AT2" s="34"/>
      <c r="AU2" s="34"/>
      <c r="AX2" s="34" t="s">
        <v>52</v>
      </c>
      <c r="CK2" s="34" t="s">
        <v>53</v>
      </c>
      <c r="CS2" s="34"/>
      <c r="CV2" s="37"/>
    </row>
    <row r="3" spans="1:102" s="42" customFormat="1" ht="19.5" x14ac:dyDescent="0.3">
      <c r="A3" s="38" t="s">
        <v>54</v>
      </c>
      <c r="B3" s="38"/>
      <c r="C3" s="38"/>
      <c r="D3" s="38"/>
      <c r="E3" s="38"/>
      <c r="F3" s="38"/>
      <c r="G3" s="38"/>
      <c r="H3" s="38"/>
      <c r="I3" s="38"/>
      <c r="J3" s="38"/>
      <c r="K3" s="39"/>
      <c r="L3" s="40"/>
      <c r="M3" s="40"/>
      <c r="N3" s="40"/>
      <c r="O3" s="40"/>
      <c r="P3" s="40"/>
      <c r="Q3" s="40"/>
      <c r="R3" s="41"/>
      <c r="S3" s="41"/>
      <c r="T3" s="29"/>
      <c r="U3" s="29"/>
      <c r="V3" s="29"/>
      <c r="W3" s="29"/>
      <c r="X3" s="29"/>
      <c r="Y3" s="417"/>
      <c r="Z3" s="417"/>
      <c r="AA3" s="417"/>
      <c r="AB3" s="416" t="s">
        <v>55</v>
      </c>
      <c r="AC3" s="416"/>
      <c r="AD3" s="416"/>
      <c r="AE3" s="416"/>
      <c r="AF3" s="416"/>
      <c r="AP3" s="43" t="s">
        <v>56</v>
      </c>
      <c r="AQ3" s="44"/>
      <c r="AR3" s="44"/>
      <c r="AS3" s="44"/>
      <c r="AT3" s="44"/>
      <c r="AU3" s="44"/>
      <c r="AV3" s="34"/>
      <c r="AW3" s="45" t="s">
        <v>57</v>
      </c>
      <c r="AX3" s="43" t="s">
        <v>56</v>
      </c>
      <c r="AY3" s="34"/>
      <c r="BE3" s="45" t="s">
        <v>57</v>
      </c>
      <c r="BF3" s="46" t="s">
        <v>58</v>
      </c>
      <c r="BG3" s="47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37"/>
      <c r="CA3" s="37"/>
      <c r="CB3" s="34" t="s">
        <v>59</v>
      </c>
      <c r="CC3" s="34"/>
      <c r="CK3" s="34" t="s">
        <v>60</v>
      </c>
      <c r="CL3" s="34"/>
      <c r="CS3" s="34" t="s">
        <v>61</v>
      </c>
      <c r="CT3" s="34"/>
      <c r="CV3" s="48"/>
    </row>
    <row r="4" spans="1:102" s="52" customFormat="1" ht="21" customHeight="1" x14ac:dyDescent="0.3">
      <c r="A4" s="43" t="s">
        <v>62</v>
      </c>
      <c r="B4" s="49"/>
      <c r="C4" s="50"/>
      <c r="D4" s="50"/>
      <c r="E4" s="50"/>
      <c r="F4" s="51"/>
      <c r="G4" s="50"/>
      <c r="H4" s="50"/>
      <c r="J4" s="53" t="s">
        <v>63</v>
      </c>
      <c r="K4" s="43" t="s">
        <v>56</v>
      </c>
      <c r="L4" s="54"/>
      <c r="M4" s="54"/>
      <c r="N4" s="54"/>
      <c r="O4" s="54"/>
      <c r="P4" s="54"/>
      <c r="Q4" s="54"/>
      <c r="R4" s="54"/>
      <c r="S4" s="53" t="s">
        <v>63</v>
      </c>
      <c r="T4" s="43" t="s">
        <v>56</v>
      </c>
      <c r="U4" s="54"/>
      <c r="V4" s="54"/>
      <c r="W4" s="54"/>
      <c r="X4" s="54"/>
      <c r="Y4" s="55"/>
      <c r="Z4" s="54"/>
      <c r="AA4" s="53" t="s">
        <v>63</v>
      </c>
      <c r="AB4" s="43" t="s">
        <v>56</v>
      </c>
      <c r="AO4" s="53" t="s">
        <v>63</v>
      </c>
      <c r="AP4" s="410" t="s">
        <v>64</v>
      </c>
      <c r="AQ4" s="410" t="s">
        <v>65</v>
      </c>
      <c r="AR4" s="393" t="s">
        <v>66</v>
      </c>
      <c r="AS4" s="394"/>
      <c r="AT4" s="394"/>
      <c r="AU4" s="395"/>
      <c r="AV4" s="393" t="s">
        <v>67</v>
      </c>
      <c r="AW4" s="395"/>
      <c r="AX4" s="410" t="s">
        <v>64</v>
      </c>
      <c r="AY4" s="410" t="s">
        <v>65</v>
      </c>
      <c r="AZ4" s="393" t="s">
        <v>68</v>
      </c>
      <c r="BA4" s="394"/>
      <c r="BB4" s="394"/>
      <c r="BC4" s="394"/>
      <c r="BD4" s="395"/>
      <c r="BE4" s="396" t="s">
        <v>69</v>
      </c>
      <c r="BF4" s="43" t="s">
        <v>56</v>
      </c>
      <c r="BG4" s="43"/>
      <c r="BH4" s="56"/>
      <c r="BI4" s="57"/>
      <c r="BJ4" s="57"/>
      <c r="BK4" s="57"/>
      <c r="BL4" s="57"/>
      <c r="BM4" s="57"/>
      <c r="BN4" s="58"/>
      <c r="BO4" s="58"/>
      <c r="BP4" s="58"/>
      <c r="BQ4" s="58"/>
      <c r="BR4" s="58"/>
      <c r="BS4" s="58"/>
      <c r="BT4" s="58"/>
      <c r="BU4" s="58"/>
      <c r="BV4" s="58"/>
      <c r="BW4" s="58"/>
      <c r="BX4" s="58"/>
      <c r="BY4" s="58"/>
      <c r="BZ4" s="59"/>
      <c r="CA4" s="53" t="s">
        <v>63</v>
      </c>
      <c r="CB4" s="43" t="s">
        <v>56</v>
      </c>
      <c r="CC4" s="60"/>
      <c r="CD4" s="50"/>
      <c r="CE4" s="50"/>
      <c r="CF4" s="50"/>
      <c r="CG4" s="399"/>
      <c r="CH4" s="399"/>
      <c r="CI4" s="61"/>
      <c r="CJ4" s="53" t="s">
        <v>63</v>
      </c>
      <c r="CK4" s="43" t="s">
        <v>56</v>
      </c>
      <c r="CL4" s="60"/>
      <c r="CM4" s="50"/>
      <c r="CN4" s="50"/>
      <c r="CO4" s="399"/>
      <c r="CP4" s="399"/>
      <c r="CQ4" s="61"/>
      <c r="CR4" s="53" t="s">
        <v>63</v>
      </c>
      <c r="CS4" s="43" t="s">
        <v>56</v>
      </c>
      <c r="CT4" s="60"/>
      <c r="CU4" s="50"/>
      <c r="CV4" s="50"/>
      <c r="CW4" s="50"/>
      <c r="CX4" s="53" t="s">
        <v>63</v>
      </c>
    </row>
    <row r="5" spans="1:102" s="62" customFormat="1" ht="16.5" customHeight="1" x14ac:dyDescent="0.3">
      <c r="A5" s="400" t="s">
        <v>64</v>
      </c>
      <c r="B5" s="402" t="s">
        <v>70</v>
      </c>
      <c r="C5" s="404" t="s">
        <v>71</v>
      </c>
      <c r="D5" s="405"/>
      <c r="E5" s="406"/>
      <c r="F5" s="407" t="s">
        <v>72</v>
      </c>
      <c r="G5" s="408"/>
      <c r="H5" s="408"/>
      <c r="I5" s="408"/>
      <c r="J5" s="409"/>
      <c r="K5" s="410" t="s">
        <v>73</v>
      </c>
      <c r="L5" s="372" t="s">
        <v>74</v>
      </c>
      <c r="M5" s="369" t="s">
        <v>75</v>
      </c>
      <c r="N5" s="370"/>
      <c r="O5" s="370"/>
      <c r="P5" s="370"/>
      <c r="Q5" s="370"/>
      <c r="R5" s="370"/>
      <c r="S5" s="371"/>
      <c r="T5" s="369" t="s">
        <v>76</v>
      </c>
      <c r="U5" s="370"/>
      <c r="V5" s="370"/>
      <c r="W5" s="370"/>
      <c r="X5" s="370"/>
      <c r="Y5" s="370"/>
      <c r="Z5" s="370"/>
      <c r="AA5" s="371"/>
      <c r="AB5" s="372" t="s">
        <v>64</v>
      </c>
      <c r="AC5" s="391" t="s">
        <v>77</v>
      </c>
      <c r="AD5" s="382" t="s">
        <v>78</v>
      </c>
      <c r="AE5" s="383"/>
      <c r="AF5" s="383"/>
      <c r="AG5" s="383"/>
      <c r="AH5" s="383"/>
      <c r="AI5" s="383"/>
      <c r="AJ5" s="383"/>
      <c r="AK5" s="383"/>
      <c r="AL5" s="383"/>
      <c r="AM5" s="383"/>
      <c r="AN5" s="384"/>
      <c r="AO5" s="387" t="s">
        <v>79</v>
      </c>
      <c r="AP5" s="412"/>
      <c r="AQ5" s="412"/>
      <c r="AR5" s="385" t="s">
        <v>80</v>
      </c>
      <c r="AS5" s="389" t="s">
        <v>81</v>
      </c>
      <c r="AU5" s="413" t="s">
        <v>82</v>
      </c>
      <c r="AV5" s="387" t="s">
        <v>83</v>
      </c>
      <c r="AW5" s="387" t="s">
        <v>84</v>
      </c>
      <c r="AX5" s="412"/>
      <c r="AY5" s="412"/>
      <c r="AZ5" s="385" t="s">
        <v>85</v>
      </c>
      <c r="BA5" s="389" t="s">
        <v>86</v>
      </c>
      <c r="BB5" s="389" t="s">
        <v>87</v>
      </c>
      <c r="BC5" s="63"/>
      <c r="BD5" s="63"/>
      <c r="BE5" s="397"/>
      <c r="BF5" s="372" t="s">
        <v>64</v>
      </c>
      <c r="BG5" s="382" t="s">
        <v>88</v>
      </c>
      <c r="BH5" s="383"/>
      <c r="BI5" s="383"/>
      <c r="BJ5" s="383"/>
      <c r="BK5" s="383"/>
      <c r="BL5" s="383"/>
      <c r="BM5" s="383"/>
      <c r="BN5" s="383"/>
      <c r="BO5" s="384"/>
      <c r="BP5" s="382" t="s">
        <v>88</v>
      </c>
      <c r="BQ5" s="383"/>
      <c r="BR5" s="383"/>
      <c r="BS5" s="383"/>
      <c r="BT5" s="383"/>
      <c r="BU5" s="383"/>
      <c r="BV5" s="383"/>
      <c r="BW5" s="383"/>
      <c r="BX5" s="383"/>
      <c r="BY5" s="384"/>
      <c r="BZ5" s="385" t="s">
        <v>89</v>
      </c>
      <c r="CA5" s="385" t="s">
        <v>90</v>
      </c>
      <c r="CB5" s="372" t="s">
        <v>64</v>
      </c>
      <c r="CC5" s="369"/>
      <c r="CD5" s="370"/>
      <c r="CE5" s="370"/>
      <c r="CF5" s="370"/>
      <c r="CG5" s="370"/>
      <c r="CH5" s="370"/>
      <c r="CI5" s="370"/>
      <c r="CJ5" s="371"/>
      <c r="CK5" s="372" t="s">
        <v>64</v>
      </c>
      <c r="CL5" s="369"/>
      <c r="CM5" s="370"/>
      <c r="CN5" s="370"/>
      <c r="CO5" s="370"/>
      <c r="CP5" s="370"/>
      <c r="CQ5" s="370"/>
      <c r="CR5" s="371"/>
      <c r="CS5" s="372" t="s">
        <v>64</v>
      </c>
      <c r="CT5" s="374" t="s">
        <v>91</v>
      </c>
      <c r="CU5" s="376"/>
      <c r="CV5" s="377"/>
      <c r="CW5" s="378" t="s">
        <v>92</v>
      </c>
      <c r="CX5" s="64"/>
    </row>
    <row r="6" spans="1:102" s="44" customFormat="1" ht="33.75" thickBot="1" x14ac:dyDescent="0.35">
      <c r="A6" s="401"/>
      <c r="B6" s="403"/>
      <c r="C6" s="65" t="s">
        <v>85</v>
      </c>
      <c r="D6" s="66" t="s">
        <v>93</v>
      </c>
      <c r="E6" s="65" t="s">
        <v>94</v>
      </c>
      <c r="F6" s="67" t="s">
        <v>85</v>
      </c>
      <c r="G6" s="68" t="s">
        <v>95</v>
      </c>
      <c r="H6" s="68" t="s">
        <v>96</v>
      </c>
      <c r="I6" s="67" t="s">
        <v>97</v>
      </c>
      <c r="J6" s="69" t="s">
        <v>98</v>
      </c>
      <c r="K6" s="411"/>
      <c r="L6" s="373"/>
      <c r="M6" s="70" t="s">
        <v>99</v>
      </c>
      <c r="N6" s="71" t="s">
        <v>100</v>
      </c>
      <c r="O6" s="72" t="s">
        <v>101</v>
      </c>
      <c r="P6" s="65" t="s">
        <v>102</v>
      </c>
      <c r="Q6" s="66" t="s">
        <v>103</v>
      </c>
      <c r="R6" s="66" t="s">
        <v>104</v>
      </c>
      <c r="S6" s="73" t="s">
        <v>105</v>
      </c>
      <c r="T6" s="71" t="s">
        <v>99</v>
      </c>
      <c r="U6" s="71" t="s">
        <v>106</v>
      </c>
      <c r="V6" s="71" t="s">
        <v>107</v>
      </c>
      <c r="W6" s="74" t="s">
        <v>108</v>
      </c>
      <c r="X6" s="66" t="s">
        <v>109</v>
      </c>
      <c r="Y6" s="66" t="s">
        <v>110</v>
      </c>
      <c r="Z6" s="68" t="s">
        <v>111</v>
      </c>
      <c r="AA6" s="75" t="s">
        <v>112</v>
      </c>
      <c r="AB6" s="373"/>
      <c r="AC6" s="392"/>
      <c r="AD6" s="76" t="s">
        <v>85</v>
      </c>
      <c r="AE6" s="76" t="s">
        <v>113</v>
      </c>
      <c r="AF6" s="77" t="s">
        <v>114</v>
      </c>
      <c r="AG6" s="76" t="s">
        <v>115</v>
      </c>
      <c r="AH6" s="76" t="s">
        <v>116</v>
      </c>
      <c r="AI6" s="77" t="s">
        <v>117</v>
      </c>
      <c r="AJ6" s="76" t="s">
        <v>118</v>
      </c>
      <c r="AK6" s="76" t="s">
        <v>119</v>
      </c>
      <c r="AL6" s="76" t="s">
        <v>120</v>
      </c>
      <c r="AM6" s="76" t="s">
        <v>121</v>
      </c>
      <c r="AN6" s="76" t="s">
        <v>122</v>
      </c>
      <c r="AO6" s="388"/>
      <c r="AP6" s="411"/>
      <c r="AQ6" s="411"/>
      <c r="AR6" s="386"/>
      <c r="AS6" s="390"/>
      <c r="AT6" s="78" t="s">
        <v>123</v>
      </c>
      <c r="AU6" s="414"/>
      <c r="AV6" s="388"/>
      <c r="AW6" s="388"/>
      <c r="AX6" s="411"/>
      <c r="AY6" s="411"/>
      <c r="AZ6" s="386"/>
      <c r="BA6" s="390"/>
      <c r="BB6" s="390"/>
      <c r="BC6" s="78" t="s">
        <v>83</v>
      </c>
      <c r="BD6" s="78" t="s">
        <v>84</v>
      </c>
      <c r="BE6" s="398"/>
      <c r="BF6" s="373"/>
      <c r="BG6" s="79" t="s">
        <v>124</v>
      </c>
      <c r="BH6" s="77" t="s">
        <v>125</v>
      </c>
      <c r="BI6" s="80" t="s">
        <v>126</v>
      </c>
      <c r="BJ6" s="81" t="s">
        <v>127</v>
      </c>
      <c r="BK6" s="77" t="s">
        <v>128</v>
      </c>
      <c r="BL6" s="81" t="s">
        <v>129</v>
      </c>
      <c r="BM6" s="80" t="s">
        <v>130</v>
      </c>
      <c r="BN6" s="76" t="s">
        <v>131</v>
      </c>
      <c r="BO6" s="77" t="s">
        <v>132</v>
      </c>
      <c r="BP6" s="77" t="s">
        <v>133</v>
      </c>
      <c r="BQ6" s="76" t="s">
        <v>134</v>
      </c>
      <c r="BR6" s="76" t="s">
        <v>135</v>
      </c>
      <c r="BS6" s="76" t="s">
        <v>136</v>
      </c>
      <c r="BT6" s="77" t="s">
        <v>137</v>
      </c>
      <c r="BU6" s="76" t="s">
        <v>138</v>
      </c>
      <c r="BV6" s="76" t="s">
        <v>139</v>
      </c>
      <c r="BW6" s="76" t="s">
        <v>140</v>
      </c>
      <c r="BX6" s="76" t="s">
        <v>141</v>
      </c>
      <c r="BY6" s="76" t="s">
        <v>142</v>
      </c>
      <c r="BZ6" s="386"/>
      <c r="CA6" s="386"/>
      <c r="CB6" s="373"/>
      <c r="CC6" s="71" t="s">
        <v>143</v>
      </c>
      <c r="CD6" s="82" t="s">
        <v>144</v>
      </c>
      <c r="CE6" s="83" t="s">
        <v>145</v>
      </c>
      <c r="CF6" s="84" t="s">
        <v>146</v>
      </c>
      <c r="CG6" s="85" t="s">
        <v>147</v>
      </c>
      <c r="CH6" s="86" t="s">
        <v>148</v>
      </c>
      <c r="CI6" s="84" t="s">
        <v>149</v>
      </c>
      <c r="CJ6" s="87" t="s">
        <v>150</v>
      </c>
      <c r="CK6" s="373"/>
      <c r="CL6" s="71" t="s">
        <v>143</v>
      </c>
      <c r="CM6" s="82" t="s">
        <v>151</v>
      </c>
      <c r="CN6" s="84" t="s">
        <v>146</v>
      </c>
      <c r="CO6" s="85" t="s">
        <v>152</v>
      </c>
      <c r="CP6" s="86" t="s">
        <v>153</v>
      </c>
      <c r="CQ6" s="84" t="s">
        <v>154</v>
      </c>
      <c r="CR6" s="87" t="s">
        <v>155</v>
      </c>
      <c r="CS6" s="373"/>
      <c r="CT6" s="375"/>
      <c r="CU6" s="87" t="s">
        <v>156</v>
      </c>
      <c r="CV6" s="82" t="s">
        <v>157</v>
      </c>
      <c r="CW6" s="379"/>
      <c r="CX6" s="88" t="s">
        <v>158</v>
      </c>
    </row>
    <row r="7" spans="1:102" s="94" customFormat="1" ht="17.25" thickTop="1" x14ac:dyDescent="0.3">
      <c r="A7" s="89" t="s">
        <v>159</v>
      </c>
      <c r="B7" s="90">
        <v>173388</v>
      </c>
      <c r="C7" s="90">
        <v>166463</v>
      </c>
      <c r="D7" s="90">
        <v>32472.22</v>
      </c>
      <c r="E7" s="90">
        <v>133990.49</v>
      </c>
      <c r="F7" s="90">
        <v>6924.420000000001</v>
      </c>
      <c r="G7" s="90">
        <v>1980.94</v>
      </c>
      <c r="H7" s="90">
        <v>4417.58</v>
      </c>
      <c r="I7" s="90">
        <v>29.27</v>
      </c>
      <c r="J7" s="90">
        <v>496.63</v>
      </c>
      <c r="K7" s="91" t="s">
        <v>159</v>
      </c>
      <c r="L7" s="90">
        <v>166463</v>
      </c>
      <c r="M7" s="90">
        <v>32472.22</v>
      </c>
      <c r="N7" s="90">
        <v>112.33</v>
      </c>
      <c r="O7" s="90">
        <v>235.6</v>
      </c>
      <c r="P7" s="90">
        <v>24156.1</v>
      </c>
      <c r="Q7" s="90">
        <v>4299.63</v>
      </c>
      <c r="R7" s="90">
        <v>3662.73</v>
      </c>
      <c r="S7" s="90">
        <v>5.8300000000017462</v>
      </c>
      <c r="T7" s="90">
        <v>133990.49</v>
      </c>
      <c r="U7" s="90">
        <v>63465.91</v>
      </c>
      <c r="V7" s="90">
        <v>5344.73</v>
      </c>
      <c r="W7" s="90">
        <v>43034.83</v>
      </c>
      <c r="X7" s="90">
        <v>16722.75</v>
      </c>
      <c r="Y7" s="90">
        <v>1796.15</v>
      </c>
      <c r="Z7" s="90">
        <v>93.99</v>
      </c>
      <c r="AA7" s="90">
        <v>3532.1299999999901</v>
      </c>
      <c r="AB7" s="89" t="s">
        <v>159</v>
      </c>
      <c r="AC7" s="90">
        <v>284951</v>
      </c>
      <c r="AD7" s="90">
        <v>277778.73</v>
      </c>
      <c r="AE7" s="90">
        <v>237279.77</v>
      </c>
      <c r="AF7" s="90">
        <v>26317.51</v>
      </c>
      <c r="AG7" s="90">
        <v>3298.51</v>
      </c>
      <c r="AH7" s="90">
        <v>3048.06</v>
      </c>
      <c r="AI7" s="90">
        <v>1955.97</v>
      </c>
      <c r="AJ7" s="90">
        <v>955.1</v>
      </c>
      <c r="AK7" s="90">
        <v>790.41</v>
      </c>
      <c r="AL7" s="90">
        <v>2127.7800000000002</v>
      </c>
      <c r="AM7" s="90">
        <v>65.459999999999994</v>
      </c>
      <c r="AN7" s="90">
        <v>1940.1600000000326</v>
      </c>
      <c r="AO7" s="90">
        <v>7172.36</v>
      </c>
      <c r="AP7" s="89" t="s">
        <v>159</v>
      </c>
      <c r="AQ7" s="90">
        <v>284951</v>
      </c>
      <c r="AR7" s="90">
        <v>160063.04999999999</v>
      </c>
      <c r="AS7" s="90">
        <v>120972.36</v>
      </c>
      <c r="AT7" s="90">
        <v>81136.91</v>
      </c>
      <c r="AU7" s="90">
        <v>3915.7</v>
      </c>
      <c r="AV7" s="90">
        <v>208021.75</v>
      </c>
      <c r="AW7" s="90">
        <v>76929.350000000006</v>
      </c>
      <c r="AX7" s="89" t="s">
        <v>159</v>
      </c>
      <c r="AY7" s="90">
        <v>284951</v>
      </c>
      <c r="AZ7" s="90">
        <v>160063.04999999999</v>
      </c>
      <c r="BA7" s="90">
        <v>25945</v>
      </c>
      <c r="BB7" s="90">
        <v>134117.57</v>
      </c>
      <c r="BC7" s="90">
        <v>69518.11</v>
      </c>
      <c r="BD7" s="90">
        <v>64599.46</v>
      </c>
      <c r="BE7" s="92">
        <v>47.066888693143738</v>
      </c>
      <c r="BF7" s="89" t="s">
        <v>159</v>
      </c>
      <c r="BG7" s="90">
        <v>163979</v>
      </c>
      <c r="BH7" s="90">
        <v>77335</v>
      </c>
      <c r="BI7" s="90">
        <v>31871</v>
      </c>
      <c r="BJ7" s="90">
        <v>10748</v>
      </c>
      <c r="BK7" s="90">
        <v>4988</v>
      </c>
      <c r="BL7" s="90">
        <v>6873</v>
      </c>
      <c r="BM7" s="90">
        <v>12627</v>
      </c>
      <c r="BN7" s="90">
        <v>21113</v>
      </c>
      <c r="BO7" s="90">
        <v>6488</v>
      </c>
      <c r="BP7" s="90">
        <v>86645</v>
      </c>
      <c r="BQ7" s="90">
        <v>1062</v>
      </c>
      <c r="BR7" s="90">
        <v>383</v>
      </c>
      <c r="BS7" s="90">
        <v>4915</v>
      </c>
      <c r="BT7" s="90">
        <v>1835</v>
      </c>
      <c r="BU7" s="90">
        <v>16592</v>
      </c>
      <c r="BV7" s="90">
        <v>9388</v>
      </c>
      <c r="BW7" s="90">
        <v>5829</v>
      </c>
      <c r="BX7" s="90">
        <v>850</v>
      </c>
      <c r="BY7" s="90">
        <v>22797</v>
      </c>
      <c r="BZ7" s="90">
        <v>120972.36</v>
      </c>
      <c r="CA7" s="90">
        <v>284951</v>
      </c>
      <c r="CB7" s="89" t="s">
        <v>159</v>
      </c>
      <c r="CC7" s="93">
        <v>263818</v>
      </c>
      <c r="CD7" s="90">
        <v>29663.840174609999</v>
      </c>
      <c r="CE7" s="90">
        <v>43884.035726939997</v>
      </c>
      <c r="CF7" s="90">
        <v>1401.08</v>
      </c>
      <c r="CG7" s="90">
        <v>20015.099999999999</v>
      </c>
      <c r="CH7" s="90">
        <v>84546.348263189997</v>
      </c>
      <c r="CI7" s="90">
        <v>71788.545722230003</v>
      </c>
      <c r="CJ7" s="90">
        <v>12519.050113030011</v>
      </c>
      <c r="CK7" s="89" t="s">
        <v>159</v>
      </c>
      <c r="CL7" s="93">
        <v>141089</v>
      </c>
      <c r="CM7" s="90">
        <v>180.93422760000001</v>
      </c>
      <c r="CN7" s="90">
        <v>1178.06</v>
      </c>
      <c r="CO7" s="90">
        <v>16220.2</v>
      </c>
      <c r="CP7" s="90">
        <v>66694.348443030001</v>
      </c>
      <c r="CQ7" s="90">
        <v>54806.66</v>
      </c>
      <c r="CR7" s="90">
        <v>2008.7973293699906</v>
      </c>
      <c r="CS7" s="89" t="s">
        <v>159</v>
      </c>
      <c r="CT7" s="93">
        <v>37529.103826400002</v>
      </c>
      <c r="CU7" s="93">
        <v>1350.2900000000009</v>
      </c>
      <c r="CV7" s="93">
        <v>36178.813826400001</v>
      </c>
      <c r="CW7" s="93">
        <v>94915</v>
      </c>
      <c r="CX7" s="93">
        <v>31750</v>
      </c>
    </row>
    <row r="8" spans="1:102" s="94" customFormat="1" ht="16.5" customHeight="1" x14ac:dyDescent="0.3">
      <c r="A8" s="89" t="s">
        <v>160</v>
      </c>
      <c r="B8" s="90">
        <v>187168</v>
      </c>
      <c r="C8" s="90">
        <v>182316</v>
      </c>
      <c r="D8" s="90">
        <v>41330.449999999997</v>
      </c>
      <c r="E8" s="90">
        <v>140985.44</v>
      </c>
      <c r="F8" s="90">
        <v>4852.07</v>
      </c>
      <c r="G8" s="90">
        <v>714.12</v>
      </c>
      <c r="H8" s="90">
        <v>3592.45</v>
      </c>
      <c r="I8" s="90">
        <v>71.790000000000006</v>
      </c>
      <c r="J8" s="90">
        <v>473.71</v>
      </c>
      <c r="K8" s="91" t="s">
        <v>160</v>
      </c>
      <c r="L8" s="90">
        <v>182316</v>
      </c>
      <c r="M8" s="90">
        <v>41330.449999999997</v>
      </c>
      <c r="N8" s="90">
        <v>237.02</v>
      </c>
      <c r="O8" s="90">
        <v>273.10000000000002</v>
      </c>
      <c r="P8" s="90">
        <v>31402.67</v>
      </c>
      <c r="Q8" s="90">
        <v>4784.82</v>
      </c>
      <c r="R8" s="90">
        <v>4628.3599999999997</v>
      </c>
      <c r="S8" s="90">
        <v>4.4799999999959255</v>
      </c>
      <c r="T8" s="90">
        <v>140985.44</v>
      </c>
      <c r="U8" s="90">
        <v>57531.01</v>
      </c>
      <c r="V8" s="90">
        <v>5808.01</v>
      </c>
      <c r="W8" s="90">
        <v>52128.800000000003</v>
      </c>
      <c r="X8" s="90">
        <v>20990.43</v>
      </c>
      <c r="Y8" s="90">
        <v>1774.94</v>
      </c>
      <c r="Z8" s="90">
        <v>84.24</v>
      </c>
      <c r="AA8" s="90">
        <v>2668.0100000000093</v>
      </c>
      <c r="AB8" s="89" t="s">
        <v>160</v>
      </c>
      <c r="AC8" s="90">
        <v>304982</v>
      </c>
      <c r="AD8" s="90">
        <v>296985.34000000003</v>
      </c>
      <c r="AE8" s="90">
        <v>255533.36</v>
      </c>
      <c r="AF8" s="90">
        <v>27792.57</v>
      </c>
      <c r="AG8" s="90">
        <v>2520.02</v>
      </c>
      <c r="AH8" s="90">
        <v>2884.05</v>
      </c>
      <c r="AI8" s="90">
        <v>2192.27</v>
      </c>
      <c r="AJ8" s="90">
        <v>827.52</v>
      </c>
      <c r="AK8" s="90">
        <v>624.30999999999995</v>
      </c>
      <c r="AL8" s="90">
        <v>2195.33</v>
      </c>
      <c r="AM8" s="90">
        <v>70.05</v>
      </c>
      <c r="AN8" s="90">
        <v>2345.8600000000442</v>
      </c>
      <c r="AO8" s="90">
        <v>7996.77</v>
      </c>
      <c r="AP8" s="89" t="s">
        <v>160</v>
      </c>
      <c r="AQ8" s="90">
        <v>304982</v>
      </c>
      <c r="AR8" s="90">
        <v>172585.69</v>
      </c>
      <c r="AS8" s="90">
        <v>127786.23</v>
      </c>
      <c r="AT8" s="90">
        <v>82737.27</v>
      </c>
      <c r="AU8" s="90">
        <v>4610.17</v>
      </c>
      <c r="AV8" s="90">
        <v>224929.01</v>
      </c>
      <c r="AW8" s="90">
        <v>80053.119999999995</v>
      </c>
      <c r="AX8" s="89" t="s">
        <v>160</v>
      </c>
      <c r="AY8" s="90">
        <v>304982</v>
      </c>
      <c r="AZ8" s="90">
        <v>172585.69</v>
      </c>
      <c r="BA8" s="90">
        <v>26693</v>
      </c>
      <c r="BB8" s="90">
        <v>145893.29999999999</v>
      </c>
      <c r="BC8" s="90">
        <v>78201.86</v>
      </c>
      <c r="BD8" s="90">
        <v>67691.44</v>
      </c>
      <c r="BE8" s="95">
        <v>47.836692001495166</v>
      </c>
      <c r="BF8" s="89" t="s">
        <v>160</v>
      </c>
      <c r="BG8" s="90">
        <v>177196</v>
      </c>
      <c r="BH8" s="90">
        <v>78621</v>
      </c>
      <c r="BI8" s="90">
        <v>31770</v>
      </c>
      <c r="BJ8" s="90">
        <v>11618</v>
      </c>
      <c r="BK8" s="90">
        <v>4486</v>
      </c>
      <c r="BL8" s="90">
        <v>7149</v>
      </c>
      <c r="BM8" s="90">
        <v>12760</v>
      </c>
      <c r="BN8" s="90">
        <v>21690</v>
      </c>
      <c r="BO8" s="90">
        <v>5759</v>
      </c>
      <c r="BP8" s="90">
        <v>98576</v>
      </c>
      <c r="BQ8" s="90">
        <v>1159</v>
      </c>
      <c r="BR8" s="90">
        <v>392</v>
      </c>
      <c r="BS8" s="90">
        <v>5282</v>
      </c>
      <c r="BT8" s="90">
        <v>1756</v>
      </c>
      <c r="BU8" s="90">
        <v>19160</v>
      </c>
      <c r="BV8" s="90">
        <v>11006</v>
      </c>
      <c r="BW8" s="90">
        <v>6388</v>
      </c>
      <c r="BX8" s="90">
        <v>1501</v>
      </c>
      <c r="BY8" s="90">
        <v>25101</v>
      </c>
      <c r="BZ8" s="90">
        <v>127786.23</v>
      </c>
      <c r="CA8" s="90">
        <v>304982</v>
      </c>
      <c r="CB8" s="89" t="s">
        <v>160</v>
      </c>
      <c r="CC8" s="93">
        <v>273204</v>
      </c>
      <c r="CD8" s="90">
        <v>28076.968104</v>
      </c>
      <c r="CE8" s="90">
        <v>45536.773853350001</v>
      </c>
      <c r="CF8" s="90">
        <v>1390.82</v>
      </c>
      <c r="CG8" s="90">
        <v>21072.22</v>
      </c>
      <c r="CH8" s="90">
        <v>89726.017975929994</v>
      </c>
      <c r="CI8" s="90">
        <v>74789.86184771001</v>
      </c>
      <c r="CJ8" s="90">
        <v>12611.338219010009</v>
      </c>
      <c r="CK8" s="89" t="s">
        <v>160</v>
      </c>
      <c r="CL8" s="93">
        <v>150807</v>
      </c>
      <c r="CM8" s="90">
        <v>157.15669919999999</v>
      </c>
      <c r="CN8" s="90">
        <v>1182.6600000000001</v>
      </c>
      <c r="CO8" s="90">
        <v>17158.25</v>
      </c>
      <c r="CP8" s="90">
        <v>71133.510507240004</v>
      </c>
      <c r="CQ8" s="90">
        <v>59324.718800039998</v>
      </c>
      <c r="CR8" s="90">
        <v>1850.7039935200009</v>
      </c>
      <c r="CS8" s="89" t="s">
        <v>160</v>
      </c>
      <c r="CT8" s="93">
        <v>49680.945684080005</v>
      </c>
      <c r="CU8" s="93">
        <v>1206.8100000000049</v>
      </c>
      <c r="CV8" s="93">
        <v>48474.13568408</v>
      </c>
      <c r="CW8" s="93">
        <v>93701</v>
      </c>
      <c r="CX8" s="93">
        <v>30127</v>
      </c>
    </row>
    <row r="9" spans="1:102" s="94" customFormat="1" ht="16.5" customHeight="1" x14ac:dyDescent="0.3">
      <c r="A9" s="89" t="s">
        <v>161</v>
      </c>
      <c r="B9" s="90">
        <v>199292</v>
      </c>
      <c r="C9" s="90">
        <v>193837</v>
      </c>
      <c r="D9" s="90">
        <v>44085.42</v>
      </c>
      <c r="E9" s="90">
        <v>149751.46</v>
      </c>
      <c r="F9" s="90">
        <v>5454.58</v>
      </c>
      <c r="G9" s="90">
        <v>962.04</v>
      </c>
      <c r="H9" s="90">
        <v>4072.5</v>
      </c>
      <c r="I9" s="90">
        <v>113.44</v>
      </c>
      <c r="J9" s="90">
        <v>306.60000000000002</v>
      </c>
      <c r="K9" s="91" t="s">
        <v>162</v>
      </c>
      <c r="L9" s="90">
        <v>193837</v>
      </c>
      <c r="M9" s="90">
        <v>44085.42</v>
      </c>
      <c r="N9" s="90">
        <v>174.71</v>
      </c>
      <c r="O9" s="90">
        <v>245.7</v>
      </c>
      <c r="P9" s="90">
        <v>33669.4</v>
      </c>
      <c r="Q9" s="90">
        <v>5132.78</v>
      </c>
      <c r="R9" s="90">
        <v>4850.3100000000004</v>
      </c>
      <c r="S9" s="90">
        <v>12.519999999996799</v>
      </c>
      <c r="T9" s="90">
        <v>149751.46</v>
      </c>
      <c r="U9" s="90">
        <v>62799.81</v>
      </c>
      <c r="V9" s="90">
        <v>4561.7700000000004</v>
      </c>
      <c r="W9" s="90">
        <v>55176.36</v>
      </c>
      <c r="X9" s="90">
        <v>23154.94</v>
      </c>
      <c r="Y9" s="90">
        <v>1505.18</v>
      </c>
      <c r="Z9" s="90">
        <v>79.59</v>
      </c>
      <c r="AA9" s="90">
        <v>2473.8099999999977</v>
      </c>
      <c r="AB9" s="89" t="s">
        <v>162</v>
      </c>
      <c r="AC9" s="90">
        <v>318560</v>
      </c>
      <c r="AD9" s="90">
        <v>309155.31</v>
      </c>
      <c r="AE9" s="90">
        <v>263545.81</v>
      </c>
      <c r="AF9" s="90">
        <v>31318.84</v>
      </c>
      <c r="AG9" s="90">
        <v>3001.28</v>
      </c>
      <c r="AH9" s="90">
        <v>2931.51</v>
      </c>
      <c r="AI9" s="90">
        <v>2393.89</v>
      </c>
      <c r="AJ9" s="90">
        <v>719.4</v>
      </c>
      <c r="AK9" s="90">
        <v>541.49</v>
      </c>
      <c r="AL9" s="90">
        <v>2095.46</v>
      </c>
      <c r="AM9" s="90">
        <v>65.59</v>
      </c>
      <c r="AN9" s="90">
        <v>2542.0399999999208</v>
      </c>
      <c r="AO9" s="90">
        <v>9404.57</v>
      </c>
      <c r="AP9" s="89" t="s">
        <v>162</v>
      </c>
      <c r="AQ9" s="90">
        <v>318560</v>
      </c>
      <c r="AR9" s="90">
        <v>181534.38</v>
      </c>
      <c r="AS9" s="90">
        <v>132183.35999999999</v>
      </c>
      <c r="AT9" s="90">
        <v>87334.31</v>
      </c>
      <c r="AU9" s="90">
        <v>4842.13</v>
      </c>
      <c r="AV9" s="90">
        <v>233374.83</v>
      </c>
      <c r="AW9" s="90">
        <v>85185.07</v>
      </c>
      <c r="AX9" s="89" t="s">
        <v>162</v>
      </c>
      <c r="AY9" s="90">
        <v>318560</v>
      </c>
      <c r="AZ9" s="90">
        <v>181534.38</v>
      </c>
      <c r="BA9" s="90">
        <v>25757</v>
      </c>
      <c r="BB9" s="90">
        <v>155777.41</v>
      </c>
      <c r="BC9" s="90">
        <v>82011.62</v>
      </c>
      <c r="BD9" s="90">
        <v>73765.789999999994</v>
      </c>
      <c r="BE9" s="95">
        <v>48.900492842792573</v>
      </c>
      <c r="BF9" s="89" t="s">
        <v>162</v>
      </c>
      <c r="BG9" s="90">
        <v>186377</v>
      </c>
      <c r="BH9" s="90">
        <v>79984</v>
      </c>
      <c r="BI9" s="90">
        <v>31572</v>
      </c>
      <c r="BJ9" s="90">
        <v>11460</v>
      </c>
      <c r="BK9" s="90">
        <v>4814</v>
      </c>
      <c r="BL9" s="90">
        <v>7255</v>
      </c>
      <c r="BM9" s="90">
        <v>12101</v>
      </c>
      <c r="BN9" s="90">
        <v>22231</v>
      </c>
      <c r="BO9" s="90">
        <v>5799</v>
      </c>
      <c r="BP9" s="90">
        <v>106392</v>
      </c>
      <c r="BQ9" s="90">
        <v>1087</v>
      </c>
      <c r="BR9" s="90">
        <v>335</v>
      </c>
      <c r="BS9" s="90">
        <v>5590</v>
      </c>
      <c r="BT9" s="90">
        <v>1551</v>
      </c>
      <c r="BU9" s="90">
        <v>21483</v>
      </c>
      <c r="BV9" s="90">
        <v>11811</v>
      </c>
      <c r="BW9" s="90">
        <v>7227</v>
      </c>
      <c r="BX9" s="90">
        <v>1371</v>
      </c>
      <c r="BY9" s="90">
        <v>26731</v>
      </c>
      <c r="BZ9" s="90">
        <v>132183.35999999999</v>
      </c>
      <c r="CA9" s="90">
        <v>318560</v>
      </c>
      <c r="CB9" s="89" t="s">
        <v>162</v>
      </c>
      <c r="CC9" s="93">
        <v>295512</v>
      </c>
      <c r="CD9" s="90">
        <v>29479.50238554</v>
      </c>
      <c r="CE9" s="90">
        <v>50965.735593649995</v>
      </c>
      <c r="CF9" s="90">
        <v>1633.04</v>
      </c>
      <c r="CG9" s="90">
        <v>22484.67</v>
      </c>
      <c r="CH9" s="90">
        <v>92347.848593959992</v>
      </c>
      <c r="CI9" s="90">
        <v>86101.199116110001</v>
      </c>
      <c r="CJ9" s="90">
        <v>12500.004310740042</v>
      </c>
      <c r="CK9" s="89" t="s">
        <v>162</v>
      </c>
      <c r="CL9" s="93">
        <v>172193</v>
      </c>
      <c r="CM9" s="90">
        <v>178.26157683000002</v>
      </c>
      <c r="CN9" s="90">
        <v>1802</v>
      </c>
      <c r="CO9" s="90">
        <v>19399.78</v>
      </c>
      <c r="CP9" s="90">
        <v>77164.894274279999</v>
      </c>
      <c r="CQ9" s="90">
        <v>71635.143887509999</v>
      </c>
      <c r="CR9" s="90">
        <v>2012.9202613800007</v>
      </c>
      <c r="CS9" s="89" t="s">
        <v>162</v>
      </c>
      <c r="CT9" s="93">
        <v>68336.135280460003</v>
      </c>
      <c r="CU9" s="93">
        <v>1734.8999999999942</v>
      </c>
      <c r="CV9" s="93">
        <v>66601.235280460009</v>
      </c>
      <c r="CW9" s="93">
        <v>96682</v>
      </c>
      <c r="CX9" s="93">
        <v>31167</v>
      </c>
    </row>
    <row r="10" spans="1:102" s="94" customFormat="1" ht="16.5" customHeight="1" x14ac:dyDescent="0.3">
      <c r="A10" s="89">
        <v>2022</v>
      </c>
      <c r="B10" s="90">
        <v>226117</v>
      </c>
      <c r="C10" s="90">
        <v>219868</v>
      </c>
      <c r="D10" s="90">
        <v>38896.71</v>
      </c>
      <c r="E10" s="90">
        <v>180971.72</v>
      </c>
      <c r="F10" s="90">
        <v>6249.4</v>
      </c>
      <c r="G10" s="90">
        <v>329.38</v>
      </c>
      <c r="H10" s="90">
        <v>5859.26</v>
      </c>
      <c r="I10" s="90">
        <v>48.9</v>
      </c>
      <c r="J10" s="90">
        <v>11.86</v>
      </c>
      <c r="K10" s="96">
        <v>2022</v>
      </c>
      <c r="L10" s="90">
        <v>219868</v>
      </c>
      <c r="M10" s="90">
        <v>38896.71</v>
      </c>
      <c r="N10" s="90">
        <v>198.03</v>
      </c>
      <c r="O10" s="90">
        <v>206.28</v>
      </c>
      <c r="P10" s="90">
        <v>30277.01</v>
      </c>
      <c r="Q10" s="90">
        <v>4006.74</v>
      </c>
      <c r="R10" s="90">
        <v>4200.7299999999996</v>
      </c>
      <c r="S10" s="90">
        <v>7.9200000000055297</v>
      </c>
      <c r="T10" s="90">
        <v>180971.72</v>
      </c>
      <c r="U10" s="90">
        <v>102882.82</v>
      </c>
      <c r="V10" s="90">
        <v>5602.1</v>
      </c>
      <c r="W10" s="90">
        <v>44819.6</v>
      </c>
      <c r="X10" s="90">
        <v>24953.03</v>
      </c>
      <c r="Y10" s="90">
        <v>1104.29</v>
      </c>
      <c r="Z10" s="90">
        <v>74.849999999999994</v>
      </c>
      <c r="AA10" s="90">
        <v>1535.0299999999697</v>
      </c>
      <c r="AB10" s="89">
        <v>2022</v>
      </c>
      <c r="AC10" s="90">
        <v>322684</v>
      </c>
      <c r="AD10" s="90">
        <v>312348.57</v>
      </c>
      <c r="AE10" s="90">
        <v>262758.37</v>
      </c>
      <c r="AF10" s="90">
        <v>33725.730000000003</v>
      </c>
      <c r="AG10" s="90">
        <v>3074.89</v>
      </c>
      <c r="AH10" s="90">
        <v>3042.28</v>
      </c>
      <c r="AI10" s="90">
        <v>2709.63</v>
      </c>
      <c r="AJ10" s="90">
        <v>863.64</v>
      </c>
      <c r="AK10" s="90">
        <v>518.54</v>
      </c>
      <c r="AL10" s="90">
        <v>2312.2600000000002</v>
      </c>
      <c r="AM10" s="90">
        <v>28.28</v>
      </c>
      <c r="AN10" s="90">
        <v>3314.9500000000116</v>
      </c>
      <c r="AO10" s="90">
        <v>10335.209999999999</v>
      </c>
      <c r="AP10" s="89">
        <v>2022</v>
      </c>
      <c r="AQ10" s="90">
        <v>322684</v>
      </c>
      <c r="AR10" s="90">
        <v>190110.69</v>
      </c>
      <c r="AS10" s="90">
        <v>127632.91</v>
      </c>
      <c r="AT10" s="90">
        <v>89115.16</v>
      </c>
      <c r="AU10" s="90">
        <v>4940.09</v>
      </c>
      <c r="AV10" s="90">
        <v>232740.63</v>
      </c>
      <c r="AW10" s="90">
        <v>89943.12</v>
      </c>
      <c r="AX10" s="89">
        <v>2022</v>
      </c>
      <c r="AY10" s="90">
        <v>322684</v>
      </c>
      <c r="AZ10" s="90">
        <v>190110.69</v>
      </c>
      <c r="BA10" s="90">
        <v>28206</v>
      </c>
      <c r="BB10" s="90">
        <v>161904.54</v>
      </c>
      <c r="BC10" s="90">
        <v>84410.01</v>
      </c>
      <c r="BD10" s="90">
        <v>77494.52</v>
      </c>
      <c r="BE10" s="95">
        <v>50.174331544173242</v>
      </c>
      <c r="BF10" s="89">
        <v>2022</v>
      </c>
      <c r="BG10" s="90">
        <v>195051</v>
      </c>
      <c r="BH10" s="90">
        <v>82753</v>
      </c>
      <c r="BI10" s="90">
        <v>32395</v>
      </c>
      <c r="BJ10" s="90">
        <v>10010</v>
      </c>
      <c r="BK10" s="90">
        <v>4729</v>
      </c>
      <c r="BL10" s="90">
        <v>7769</v>
      </c>
      <c r="BM10" s="90">
        <v>12557</v>
      </c>
      <c r="BN10" s="90">
        <v>23188</v>
      </c>
      <c r="BO10" s="90">
        <v>5666</v>
      </c>
      <c r="BP10" s="90">
        <v>112298</v>
      </c>
      <c r="BQ10" s="90">
        <v>1167</v>
      </c>
      <c r="BR10" s="90">
        <v>324</v>
      </c>
      <c r="BS10" s="90">
        <v>6520</v>
      </c>
      <c r="BT10" s="90">
        <v>1847</v>
      </c>
      <c r="BU10" s="90">
        <v>22835</v>
      </c>
      <c r="BV10" s="90">
        <v>12472</v>
      </c>
      <c r="BW10" s="90">
        <v>7491</v>
      </c>
      <c r="BX10" s="90">
        <v>1735</v>
      </c>
      <c r="BY10" s="90">
        <v>26841</v>
      </c>
      <c r="BZ10" s="90">
        <v>127632.91</v>
      </c>
      <c r="CA10" s="90">
        <v>322684</v>
      </c>
      <c r="CB10" s="89">
        <v>2022</v>
      </c>
      <c r="CC10" s="93">
        <v>322211</v>
      </c>
      <c r="CD10" s="90">
        <v>24742.330046520001</v>
      </c>
      <c r="CE10" s="90">
        <v>60679.099344889997</v>
      </c>
      <c r="CF10" s="90">
        <v>1540.13</v>
      </c>
      <c r="CG10" s="90">
        <v>25772.04</v>
      </c>
      <c r="CH10" s="90">
        <v>98514.562812360004</v>
      </c>
      <c r="CI10" s="90">
        <v>96892.65300821999</v>
      </c>
      <c r="CJ10" s="90">
        <v>14070.184788009967</v>
      </c>
      <c r="CK10" s="89">
        <v>2022</v>
      </c>
      <c r="CL10" s="93">
        <v>185230</v>
      </c>
      <c r="CM10" s="90">
        <v>239.65</v>
      </c>
      <c r="CN10" s="90">
        <v>1752.78</v>
      </c>
      <c r="CO10" s="90">
        <v>21996.22</v>
      </c>
      <c r="CP10" s="90">
        <v>81713.474360139997</v>
      </c>
      <c r="CQ10" s="90">
        <v>77035.313905880001</v>
      </c>
      <c r="CR10" s="90">
        <v>2492.5617339799937</v>
      </c>
      <c r="CS10" s="89">
        <v>2022</v>
      </c>
      <c r="CT10" s="93">
        <v>84591.447282759997</v>
      </c>
      <c r="CU10" s="93">
        <v>2700.1772698999994</v>
      </c>
      <c r="CV10" s="93">
        <v>81891.270012859997</v>
      </c>
      <c r="CW10" s="93">
        <v>93368</v>
      </c>
      <c r="CX10" s="93">
        <v>31976</v>
      </c>
    </row>
    <row r="11" spans="1:102" s="94" customFormat="1" ht="16.5" customHeight="1" x14ac:dyDescent="0.3">
      <c r="A11" s="89" t="s">
        <v>163</v>
      </c>
      <c r="B11" s="90">
        <v>238134</v>
      </c>
      <c r="C11" s="90">
        <v>230854</v>
      </c>
      <c r="D11" s="90">
        <v>40700.870000000003</v>
      </c>
      <c r="E11" s="90">
        <v>190153.14</v>
      </c>
      <c r="F11" s="90">
        <v>7280.2400000000007</v>
      </c>
      <c r="G11" s="90">
        <v>379.51</v>
      </c>
      <c r="H11" s="90">
        <v>6694.35</v>
      </c>
      <c r="I11" s="90">
        <v>40.22</v>
      </c>
      <c r="J11" s="90">
        <v>166.16</v>
      </c>
      <c r="K11" s="96" t="s">
        <v>163</v>
      </c>
      <c r="L11" s="90">
        <v>230854</v>
      </c>
      <c r="M11" s="90">
        <v>40700.870000000003</v>
      </c>
      <c r="N11" s="90">
        <v>254.39</v>
      </c>
      <c r="O11" s="90">
        <v>204.48</v>
      </c>
      <c r="P11" s="90">
        <v>32468.29</v>
      </c>
      <c r="Q11" s="90">
        <v>3798.71</v>
      </c>
      <c r="R11" s="90">
        <v>3968.62</v>
      </c>
      <c r="S11" s="90">
        <v>6.3799999999973807</v>
      </c>
      <c r="T11" s="90">
        <v>190153.14</v>
      </c>
      <c r="U11" s="90">
        <v>111040.84</v>
      </c>
      <c r="V11" s="90">
        <v>7816.91</v>
      </c>
      <c r="W11" s="90">
        <v>46170.68</v>
      </c>
      <c r="X11" s="90">
        <v>23433.48</v>
      </c>
      <c r="Y11" s="90">
        <v>1145.8</v>
      </c>
      <c r="Z11" s="90">
        <v>67.98</v>
      </c>
      <c r="AA11" s="90">
        <v>477.45000000001164</v>
      </c>
      <c r="AB11" s="89" t="s">
        <v>163</v>
      </c>
      <c r="AC11" s="90">
        <v>331804</v>
      </c>
      <c r="AD11" s="90">
        <v>322191.09999999998</v>
      </c>
      <c r="AE11" s="90">
        <v>269811.96999999997</v>
      </c>
      <c r="AF11" s="90">
        <v>35740.19</v>
      </c>
      <c r="AG11" s="90">
        <v>2573.1799999999998</v>
      </c>
      <c r="AH11" s="90">
        <v>3392.9</v>
      </c>
      <c r="AI11" s="90">
        <v>3173.35</v>
      </c>
      <c r="AJ11" s="90">
        <v>831.92</v>
      </c>
      <c r="AK11" s="90">
        <v>568.63</v>
      </c>
      <c r="AL11" s="90">
        <v>2460.0700000000002</v>
      </c>
      <c r="AM11" s="90">
        <v>34.43</v>
      </c>
      <c r="AN11" s="90">
        <v>3604.460000000021</v>
      </c>
      <c r="AO11" s="90">
        <v>9612.86</v>
      </c>
      <c r="AP11" s="89" t="s">
        <v>163</v>
      </c>
      <c r="AQ11" s="90">
        <v>331804</v>
      </c>
      <c r="AR11" s="90">
        <v>198267.46</v>
      </c>
      <c r="AS11" s="90">
        <v>128431.83</v>
      </c>
      <c r="AT11" s="90">
        <v>94011.82</v>
      </c>
      <c r="AU11" s="90">
        <v>5104.71</v>
      </c>
      <c r="AV11" s="90">
        <v>233738.07</v>
      </c>
      <c r="AW11" s="90">
        <v>98065.93</v>
      </c>
      <c r="AX11" s="89" t="s">
        <v>163</v>
      </c>
      <c r="AY11" s="90">
        <v>331804</v>
      </c>
      <c r="AZ11" s="90">
        <v>198267.46</v>
      </c>
      <c r="BA11" s="90">
        <v>30962</v>
      </c>
      <c r="BB11" s="90">
        <v>167304.57</v>
      </c>
      <c r="BC11" s="90">
        <v>83572.98</v>
      </c>
      <c r="BD11" s="90">
        <v>83731.56</v>
      </c>
      <c r="BE11" s="95">
        <v>50.422710395293613</v>
      </c>
      <c r="BF11" s="89" t="s">
        <v>163</v>
      </c>
      <c r="BG11" s="90">
        <v>203372</v>
      </c>
      <c r="BH11" s="90">
        <v>89447</v>
      </c>
      <c r="BI11" s="90">
        <v>37152</v>
      </c>
      <c r="BJ11" s="90">
        <v>10739</v>
      </c>
      <c r="BK11" s="90">
        <v>4905</v>
      </c>
      <c r="BL11" s="90">
        <v>8292</v>
      </c>
      <c r="BM11" s="90">
        <v>12671</v>
      </c>
      <c r="BN11" s="90">
        <v>25338</v>
      </c>
      <c r="BO11" s="90">
        <v>5562</v>
      </c>
      <c r="BP11" s="90">
        <v>113926</v>
      </c>
      <c r="BQ11" s="90">
        <v>1263</v>
      </c>
      <c r="BR11" s="90">
        <v>49</v>
      </c>
      <c r="BS11" s="90">
        <v>7068</v>
      </c>
      <c r="BT11" s="90">
        <v>1740</v>
      </c>
      <c r="BU11" s="90">
        <v>22264</v>
      </c>
      <c r="BV11" s="90">
        <v>13992</v>
      </c>
      <c r="BW11" s="90">
        <v>7606</v>
      </c>
      <c r="BX11" s="90">
        <v>1611</v>
      </c>
      <c r="BY11" s="90">
        <v>26763</v>
      </c>
      <c r="BZ11" s="90">
        <v>128431.83</v>
      </c>
      <c r="CA11" s="90">
        <v>331804</v>
      </c>
      <c r="CB11" s="89" t="s">
        <v>163</v>
      </c>
      <c r="CC11" s="93">
        <v>340151</v>
      </c>
      <c r="CD11" s="90">
        <v>25057.76881836</v>
      </c>
      <c r="CE11" s="90">
        <v>69396.726042160008</v>
      </c>
      <c r="CF11" s="90">
        <v>968.44</v>
      </c>
      <c r="CG11" s="90">
        <v>25722.43</v>
      </c>
      <c r="CH11" s="90">
        <v>105183.81794430999</v>
      </c>
      <c r="CI11" s="90">
        <v>98365.543590340007</v>
      </c>
      <c r="CJ11" s="90">
        <v>15456.273604830028</v>
      </c>
      <c r="CK11" s="89" t="s">
        <v>163</v>
      </c>
      <c r="CL11" s="93">
        <v>179113</v>
      </c>
      <c r="CM11" s="90">
        <v>285.26</v>
      </c>
      <c r="CN11" s="90">
        <v>1622.91</v>
      </c>
      <c r="CO11" s="90">
        <v>22125.58</v>
      </c>
      <c r="CP11" s="90">
        <v>82962.789937289999</v>
      </c>
      <c r="CQ11" s="90">
        <v>70547.133638040003</v>
      </c>
      <c r="CR11" s="90">
        <v>1569.3264246699982</v>
      </c>
      <c r="CS11" s="89" t="s">
        <v>163</v>
      </c>
      <c r="CT11" s="93">
        <v>85757.8253597</v>
      </c>
      <c r="CU11" s="93">
        <v>2294.2799999999988</v>
      </c>
      <c r="CV11" s="93">
        <v>83463.545359700001</v>
      </c>
      <c r="CW11" s="93">
        <v>86180</v>
      </c>
      <c r="CX11" s="93">
        <v>30187</v>
      </c>
    </row>
    <row r="12" spans="1:102" s="94" customFormat="1" ht="16.5" customHeight="1" x14ac:dyDescent="0.3">
      <c r="A12" s="89" t="s">
        <v>164</v>
      </c>
      <c r="B12" s="90">
        <v>252796</v>
      </c>
      <c r="C12" s="90">
        <v>244068</v>
      </c>
      <c r="D12" s="90">
        <v>42840.71</v>
      </c>
      <c r="E12" s="90">
        <v>201227.42</v>
      </c>
      <c r="F12" s="90">
        <v>8727.4500000000007</v>
      </c>
      <c r="G12" s="90">
        <v>644.64</v>
      </c>
      <c r="H12" s="90">
        <v>7785.39</v>
      </c>
      <c r="I12" s="90">
        <v>21.63</v>
      </c>
      <c r="J12" s="90">
        <v>275.79000000000002</v>
      </c>
      <c r="K12" s="96">
        <v>2024</v>
      </c>
      <c r="L12" s="90">
        <v>244068</v>
      </c>
      <c r="M12" s="90">
        <v>42840.71</v>
      </c>
      <c r="N12" s="90">
        <v>231.9</v>
      </c>
      <c r="O12" s="90">
        <v>213.18</v>
      </c>
      <c r="P12" s="90">
        <v>34920.160000000003</v>
      </c>
      <c r="Q12" s="90">
        <v>4133.26</v>
      </c>
      <c r="R12" s="90">
        <v>3333.32</v>
      </c>
      <c r="S12" s="90">
        <v>8.889999999992142</v>
      </c>
      <c r="T12" s="90">
        <v>201227.42</v>
      </c>
      <c r="U12" s="90">
        <v>118709.71</v>
      </c>
      <c r="V12" s="90">
        <v>7248.85</v>
      </c>
      <c r="W12" s="90">
        <v>48326.38</v>
      </c>
      <c r="X12" s="90">
        <v>25349.21</v>
      </c>
      <c r="Y12" s="90">
        <v>1130.7</v>
      </c>
      <c r="Z12" s="90">
        <v>61.6</v>
      </c>
      <c r="AA12" s="90">
        <v>400.97000000000116</v>
      </c>
      <c r="AB12" s="96">
        <v>2024</v>
      </c>
      <c r="AC12" s="90">
        <v>357517</v>
      </c>
      <c r="AD12" s="90">
        <v>348082.09</v>
      </c>
      <c r="AE12" s="90">
        <v>289469.88</v>
      </c>
      <c r="AF12" s="90">
        <v>39831.370000000003</v>
      </c>
      <c r="AG12" s="90">
        <v>3513.45</v>
      </c>
      <c r="AH12" s="90">
        <v>2817.42</v>
      </c>
      <c r="AI12" s="90">
        <v>3393.73</v>
      </c>
      <c r="AJ12" s="90">
        <v>570.22</v>
      </c>
      <c r="AK12" s="90">
        <v>563.37</v>
      </c>
      <c r="AL12" s="90">
        <v>2840.61</v>
      </c>
      <c r="AM12" s="90">
        <v>432.2</v>
      </c>
      <c r="AN12" s="90">
        <v>4649.8400000000256</v>
      </c>
      <c r="AO12" s="90">
        <v>9434.91</v>
      </c>
      <c r="AP12" s="96">
        <v>2024</v>
      </c>
      <c r="AQ12" s="90">
        <v>357517</v>
      </c>
      <c r="AR12" s="90">
        <v>214058.17</v>
      </c>
      <c r="AS12" s="90">
        <v>136622.39999999999</v>
      </c>
      <c r="AT12" s="90">
        <v>103080.9</v>
      </c>
      <c r="AU12" s="90">
        <v>6836.4</v>
      </c>
      <c r="AV12" s="90">
        <v>251926.06</v>
      </c>
      <c r="AW12" s="90">
        <v>105590.92</v>
      </c>
      <c r="AX12" s="96">
        <v>2024</v>
      </c>
      <c r="AY12" s="90">
        <v>357517</v>
      </c>
      <c r="AZ12" s="90">
        <v>214058.17</v>
      </c>
      <c r="BA12" s="90">
        <v>40200</v>
      </c>
      <c r="BB12" s="90">
        <v>173857.65</v>
      </c>
      <c r="BC12" s="90">
        <v>85634.04</v>
      </c>
      <c r="BD12" s="90">
        <v>88223.67</v>
      </c>
      <c r="BE12" s="97">
        <v>48.6291980521206</v>
      </c>
      <c r="BF12" s="96">
        <v>2024</v>
      </c>
      <c r="BG12" s="90">
        <v>220894.54</v>
      </c>
      <c r="BH12" s="90">
        <v>101274.65</v>
      </c>
      <c r="BI12" s="90">
        <v>42290.07</v>
      </c>
      <c r="BJ12" s="90">
        <v>13455.539999999999</v>
      </c>
      <c r="BK12" s="90">
        <v>5378.6</v>
      </c>
      <c r="BL12" s="90">
        <v>8440.2099999999991</v>
      </c>
      <c r="BM12" s="90">
        <v>15429.23</v>
      </c>
      <c r="BN12" s="90">
        <v>28547.600000000002</v>
      </c>
      <c r="BO12" s="90">
        <v>5255.48</v>
      </c>
      <c r="BP12" s="90">
        <v>119620.04</v>
      </c>
      <c r="BQ12" s="90">
        <v>1382.92</v>
      </c>
      <c r="BR12" s="90">
        <v>935.47</v>
      </c>
      <c r="BS12" s="90">
        <v>7011.5</v>
      </c>
      <c r="BT12" s="90">
        <v>2054.59</v>
      </c>
      <c r="BU12" s="90">
        <v>23102.629999999997</v>
      </c>
      <c r="BV12" s="90">
        <v>14325.16</v>
      </c>
      <c r="BW12" s="90">
        <v>8165.17</v>
      </c>
      <c r="BX12" s="90">
        <v>1235.45</v>
      </c>
      <c r="BY12" s="90">
        <v>28884.66</v>
      </c>
      <c r="BZ12" s="90">
        <v>136622.39999999999</v>
      </c>
      <c r="CA12" s="90">
        <v>357517</v>
      </c>
      <c r="CB12" s="89" t="s">
        <v>164</v>
      </c>
      <c r="CC12" s="93">
        <v>355451</v>
      </c>
      <c r="CD12" s="90">
        <v>27275.608595150003</v>
      </c>
      <c r="CE12" s="90">
        <v>74699.274685700002</v>
      </c>
      <c r="CF12" s="90">
        <v>1016.34</v>
      </c>
      <c r="CG12" s="90">
        <v>26022.596373939999</v>
      </c>
      <c r="CH12" s="90">
        <v>109452.94699999999</v>
      </c>
      <c r="CI12" s="90">
        <v>100826.01462500001</v>
      </c>
      <c r="CJ12" s="90">
        <v>16158.218720210018</v>
      </c>
      <c r="CK12" s="89" t="s">
        <v>164</v>
      </c>
      <c r="CL12" s="93">
        <v>178363</v>
      </c>
      <c r="CM12" s="90">
        <v>161.36000000000001</v>
      </c>
      <c r="CN12" s="90">
        <v>1384.31</v>
      </c>
      <c r="CO12" s="90">
        <v>21076.727617</v>
      </c>
      <c r="CP12" s="90">
        <v>85245.680999999997</v>
      </c>
      <c r="CQ12" s="90">
        <v>68532.910026729995</v>
      </c>
      <c r="CR12" s="90">
        <v>1962.0113562699989</v>
      </c>
      <c r="CS12" s="89" t="s">
        <v>164</v>
      </c>
      <c r="CT12" s="93">
        <v>89174.904933149999</v>
      </c>
      <c r="CU12" s="93">
        <v>2673.6399999999994</v>
      </c>
      <c r="CV12" s="93">
        <v>86501.26493315</v>
      </c>
      <c r="CW12" s="93">
        <v>82474</v>
      </c>
      <c r="CX12" s="93">
        <v>31278</v>
      </c>
    </row>
    <row r="13" spans="1:102" s="94" customFormat="1" ht="16.5" customHeight="1" x14ac:dyDescent="0.3">
      <c r="A13" s="89" t="s">
        <v>165</v>
      </c>
      <c r="B13" s="90">
        <v>260695</v>
      </c>
      <c r="C13" s="90">
        <v>252417</v>
      </c>
      <c r="D13" s="90">
        <v>42180.97</v>
      </c>
      <c r="E13" s="90">
        <v>210236.32</v>
      </c>
      <c r="F13" s="90">
        <v>8278.23</v>
      </c>
      <c r="G13" s="90">
        <v>240.94</v>
      </c>
      <c r="H13" s="90">
        <v>7812.6</v>
      </c>
      <c r="I13" s="90">
        <v>64.33</v>
      </c>
      <c r="J13" s="90">
        <v>160.36000000000001</v>
      </c>
      <c r="K13" s="89" t="s">
        <v>165</v>
      </c>
      <c r="L13" s="90">
        <v>252417</v>
      </c>
      <c r="M13" s="90">
        <v>42180.97</v>
      </c>
      <c r="N13" s="90">
        <v>204.23</v>
      </c>
      <c r="O13" s="90">
        <v>198.62</v>
      </c>
      <c r="P13" s="90">
        <v>34549.46</v>
      </c>
      <c r="Q13" s="90">
        <v>3857.03</v>
      </c>
      <c r="R13" s="90">
        <v>3363.62</v>
      </c>
      <c r="S13" s="90">
        <v>8.0100000000020373</v>
      </c>
      <c r="T13" s="90">
        <v>210236.32</v>
      </c>
      <c r="U13" s="90">
        <v>118649.63</v>
      </c>
      <c r="V13" s="90">
        <v>8379.1299999999992</v>
      </c>
      <c r="W13" s="90">
        <v>51679.91</v>
      </c>
      <c r="X13" s="90">
        <v>30126.41</v>
      </c>
      <c r="Y13" s="90">
        <v>1117.03</v>
      </c>
      <c r="Z13" s="90">
        <v>55.58</v>
      </c>
      <c r="AA13" s="90">
        <v>228.63000000000466</v>
      </c>
      <c r="AB13" s="89" t="s">
        <v>165</v>
      </c>
      <c r="AC13" s="90">
        <v>369293</v>
      </c>
      <c r="AD13" s="90">
        <v>358759.69</v>
      </c>
      <c r="AE13" s="90">
        <v>292144.65000000002</v>
      </c>
      <c r="AF13" s="90">
        <v>47403.06</v>
      </c>
      <c r="AG13" s="90">
        <v>3218.91</v>
      </c>
      <c r="AH13" s="90">
        <v>2554.92</v>
      </c>
      <c r="AI13" s="90">
        <v>3351.22</v>
      </c>
      <c r="AJ13" s="90">
        <v>577.63</v>
      </c>
      <c r="AK13" s="90">
        <v>441.54</v>
      </c>
      <c r="AL13" s="90">
        <v>2749.27</v>
      </c>
      <c r="AM13" s="90">
        <v>288.83</v>
      </c>
      <c r="AN13" s="90">
        <v>6029.6600000000326</v>
      </c>
      <c r="AO13" s="90">
        <v>10532.88</v>
      </c>
      <c r="AP13" s="89" t="s">
        <v>165</v>
      </c>
      <c r="AQ13" s="90">
        <v>369293</v>
      </c>
      <c r="AR13" s="90">
        <v>216889.3</v>
      </c>
      <c r="AS13" s="90">
        <v>145658.01999999999</v>
      </c>
      <c r="AT13" s="90">
        <v>112878.69</v>
      </c>
      <c r="AU13" s="90">
        <v>6745.24</v>
      </c>
      <c r="AV13" s="90">
        <v>259983.64</v>
      </c>
      <c r="AW13" s="90">
        <v>109308.93</v>
      </c>
      <c r="AX13" s="89" t="s">
        <v>165</v>
      </c>
      <c r="AY13" s="90">
        <v>369293</v>
      </c>
      <c r="AZ13" s="90">
        <v>216889.3</v>
      </c>
      <c r="BA13" s="90">
        <v>39593</v>
      </c>
      <c r="BB13" s="90">
        <v>177295.65</v>
      </c>
      <c r="BC13" s="90">
        <v>86176.960000000006</v>
      </c>
      <c r="BD13" s="90">
        <v>91118.78</v>
      </c>
      <c r="BE13" s="97">
        <v>48.009480277178284</v>
      </c>
      <c r="BF13" s="89" t="s">
        <v>165</v>
      </c>
      <c r="BG13" s="90">
        <v>223634.56</v>
      </c>
      <c r="BH13" s="90">
        <v>102014.26999999999</v>
      </c>
      <c r="BI13" s="90">
        <v>43200.97</v>
      </c>
      <c r="BJ13" s="90">
        <v>12621.849999999999</v>
      </c>
      <c r="BK13" s="90">
        <v>4834.41</v>
      </c>
      <c r="BL13" s="90">
        <v>8135.5499999999993</v>
      </c>
      <c r="BM13" s="90">
        <v>15851.93</v>
      </c>
      <c r="BN13" s="90">
        <v>30316.78</v>
      </c>
      <c r="BO13" s="90">
        <v>4941</v>
      </c>
      <c r="BP13" s="90">
        <v>121620.2</v>
      </c>
      <c r="BQ13" s="90">
        <v>1405.6200000000001</v>
      </c>
      <c r="BR13" s="90">
        <v>273.70999999999998</v>
      </c>
      <c r="BS13" s="90">
        <v>7209.18</v>
      </c>
      <c r="BT13" s="90">
        <v>1253.94</v>
      </c>
      <c r="BU13" s="90">
        <v>23491.120000000003</v>
      </c>
      <c r="BV13" s="90">
        <v>14629.03</v>
      </c>
      <c r="BW13" s="90">
        <v>8521.19</v>
      </c>
      <c r="BX13" s="90">
        <v>774.24</v>
      </c>
      <c r="BY13" s="90">
        <v>29725.35</v>
      </c>
      <c r="BZ13" s="90">
        <v>145658.01999999999</v>
      </c>
      <c r="CA13" s="90">
        <v>369293</v>
      </c>
      <c r="CB13" s="89" t="s">
        <v>165</v>
      </c>
      <c r="CC13" s="93">
        <v>369014</v>
      </c>
      <c r="CD13" s="90">
        <v>27099.894161379998</v>
      </c>
      <c r="CE13" s="90">
        <v>83072.249132519995</v>
      </c>
      <c r="CF13" s="90">
        <v>919.14</v>
      </c>
      <c r="CG13" s="90">
        <v>26729.844706809999</v>
      </c>
      <c r="CH13" s="90">
        <v>112586.52534963</v>
      </c>
      <c r="CI13" s="90">
        <v>100800.36537744</v>
      </c>
      <c r="CJ13" s="90">
        <v>17805.981272220029</v>
      </c>
      <c r="CK13" s="89" t="s">
        <v>165</v>
      </c>
      <c r="CL13" s="93">
        <v>181314</v>
      </c>
      <c r="CM13" s="90">
        <v>124.84</v>
      </c>
      <c r="CN13" s="90">
        <v>844.9</v>
      </c>
      <c r="CO13" s="90">
        <v>20932.928264550002</v>
      </c>
      <c r="CP13" s="90">
        <v>86794.299043599996</v>
      </c>
      <c r="CQ13" s="90">
        <v>71039.995226330007</v>
      </c>
      <c r="CR13" s="90">
        <v>1577.0374655199994</v>
      </c>
      <c r="CS13" s="89" t="s">
        <v>165</v>
      </c>
      <c r="CT13" s="93">
        <v>86811.618048770019</v>
      </c>
      <c r="CU13" s="93">
        <v>2861.0800000000017</v>
      </c>
      <c r="CV13" s="93">
        <v>83950.538048770017</v>
      </c>
      <c r="CW13" s="93">
        <v>86580</v>
      </c>
      <c r="CX13" s="93">
        <v>36912</v>
      </c>
    </row>
    <row r="14" spans="1:102" x14ac:dyDescent="0.3">
      <c r="A14" s="89"/>
      <c r="B14" s="98"/>
      <c r="C14" s="98"/>
      <c r="D14" s="98"/>
      <c r="E14" s="98"/>
      <c r="F14" s="98"/>
      <c r="G14" s="98"/>
      <c r="H14" s="98"/>
      <c r="I14" s="98"/>
      <c r="J14" s="98"/>
      <c r="K14" s="99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100"/>
      <c r="Z14" s="98"/>
      <c r="AA14" s="98"/>
      <c r="AB14" s="101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89"/>
      <c r="AQ14" s="98"/>
      <c r="AR14" s="98"/>
      <c r="AS14" s="98"/>
      <c r="AT14" s="98"/>
      <c r="AU14" s="98"/>
      <c r="AV14" s="98"/>
      <c r="AW14" s="98"/>
      <c r="AX14" s="89"/>
      <c r="AY14" s="98"/>
      <c r="AZ14" s="98"/>
      <c r="BA14" s="98"/>
      <c r="BB14" s="98"/>
      <c r="BC14" s="98"/>
      <c r="BD14" s="98"/>
      <c r="BE14" s="102"/>
      <c r="BF14" s="89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89"/>
      <c r="CC14" s="103"/>
      <c r="CD14" s="98"/>
      <c r="CE14" s="98"/>
      <c r="CF14" s="98"/>
      <c r="CG14" s="98"/>
      <c r="CH14" s="98"/>
      <c r="CI14" s="98"/>
      <c r="CJ14" s="98"/>
      <c r="CK14" s="89"/>
      <c r="CL14" s="103"/>
      <c r="CM14" s="98"/>
      <c r="CN14" s="98"/>
      <c r="CO14" s="98"/>
      <c r="CP14" s="98"/>
      <c r="CQ14" s="98"/>
      <c r="CR14" s="98"/>
      <c r="CS14" s="89"/>
      <c r="CT14" s="103"/>
      <c r="CU14" s="98"/>
      <c r="CV14" s="98"/>
      <c r="CW14" s="98"/>
      <c r="CX14" s="98"/>
    </row>
    <row r="15" spans="1:102" x14ac:dyDescent="0.3">
      <c r="A15" s="89">
        <v>2023.1</v>
      </c>
      <c r="B15" s="98">
        <v>226598</v>
      </c>
      <c r="C15" s="98">
        <v>220192</v>
      </c>
      <c r="D15" s="98">
        <v>38517.839999999997</v>
      </c>
      <c r="E15" s="98">
        <v>181674.42</v>
      </c>
      <c r="F15" s="98">
        <v>6406.59</v>
      </c>
      <c r="G15" s="98">
        <v>403.62</v>
      </c>
      <c r="H15" s="98">
        <v>5879.14</v>
      </c>
      <c r="I15" s="98">
        <v>47.44</v>
      </c>
      <c r="J15" s="98">
        <v>76.39</v>
      </c>
      <c r="K15" s="99">
        <v>2023.1</v>
      </c>
      <c r="L15" s="98">
        <v>220192</v>
      </c>
      <c r="M15" s="98">
        <v>38517.839999999997</v>
      </c>
      <c r="N15" s="98">
        <v>163.27000000000001</v>
      </c>
      <c r="O15" s="98">
        <v>192.4</v>
      </c>
      <c r="P15" s="98">
        <v>29209.65</v>
      </c>
      <c r="Q15" s="98">
        <v>4095.77</v>
      </c>
      <c r="R15" s="98">
        <v>4812.37</v>
      </c>
      <c r="S15" s="98">
        <v>44.379999999997381</v>
      </c>
      <c r="T15" s="98">
        <v>181674.42</v>
      </c>
      <c r="U15" s="98">
        <v>103208.96000000001</v>
      </c>
      <c r="V15" s="98">
        <v>5555.96</v>
      </c>
      <c r="W15" s="98">
        <v>43814.73</v>
      </c>
      <c r="X15" s="98">
        <v>26579.26</v>
      </c>
      <c r="Y15" s="100">
        <v>1053.67</v>
      </c>
      <c r="Z15" s="98">
        <v>73.66</v>
      </c>
      <c r="AA15" s="98">
        <v>1388.1799999999639</v>
      </c>
      <c r="AB15" s="101">
        <v>2023.1</v>
      </c>
      <c r="AC15" s="98">
        <v>322620</v>
      </c>
      <c r="AD15" s="98">
        <v>312320.05</v>
      </c>
      <c r="AE15" s="98">
        <v>262597.34000000003</v>
      </c>
      <c r="AF15" s="98">
        <v>33827.129999999997</v>
      </c>
      <c r="AG15" s="98">
        <v>3201.57</v>
      </c>
      <c r="AH15" s="98">
        <v>2650.11</v>
      </c>
      <c r="AI15" s="98">
        <v>2752.37</v>
      </c>
      <c r="AJ15" s="98">
        <v>859.63</v>
      </c>
      <c r="AK15" s="98">
        <v>399.96</v>
      </c>
      <c r="AL15" s="98">
        <v>2262.56</v>
      </c>
      <c r="AM15" s="98">
        <v>49.12</v>
      </c>
      <c r="AN15" s="98">
        <v>3720.2599999999511</v>
      </c>
      <c r="AO15" s="98">
        <v>10299.969999999999</v>
      </c>
      <c r="AP15" s="89">
        <v>2023.1</v>
      </c>
      <c r="AQ15" s="98">
        <v>322620</v>
      </c>
      <c r="AR15" s="98">
        <v>190287.11</v>
      </c>
      <c r="AS15" s="98">
        <v>127041.04</v>
      </c>
      <c r="AT15" s="98">
        <v>89391.6</v>
      </c>
      <c r="AU15" s="98">
        <v>5291.81</v>
      </c>
      <c r="AV15" s="98">
        <v>232363.76</v>
      </c>
      <c r="AW15" s="98">
        <v>90256.23</v>
      </c>
      <c r="AX15" s="89">
        <v>2023.1</v>
      </c>
      <c r="AY15" s="98">
        <v>322620</v>
      </c>
      <c r="AZ15" s="98">
        <v>190287.11</v>
      </c>
      <c r="BA15" s="98">
        <v>28282</v>
      </c>
      <c r="BB15" s="98">
        <v>162004.75</v>
      </c>
      <c r="BC15" s="98">
        <v>84504.38</v>
      </c>
      <c r="BD15" s="98">
        <v>77500.5</v>
      </c>
      <c r="BE15" s="102">
        <v>50.215346227760215</v>
      </c>
      <c r="BF15" s="89">
        <v>2023.1</v>
      </c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>
        <v>127041.04</v>
      </c>
      <c r="CA15" s="98">
        <v>322620</v>
      </c>
      <c r="CB15" s="89">
        <v>2023.1</v>
      </c>
      <c r="CC15" s="103">
        <v>330800</v>
      </c>
      <c r="CD15" s="98">
        <v>25184.07325542</v>
      </c>
      <c r="CE15" s="98">
        <v>65161.466921740001</v>
      </c>
      <c r="CF15" s="98">
        <v>1535.78</v>
      </c>
      <c r="CG15" s="98">
        <v>26546.73</v>
      </c>
      <c r="CH15" s="98">
        <v>98919.212693070003</v>
      </c>
      <c r="CI15" s="98">
        <v>99280.257737099993</v>
      </c>
      <c r="CJ15" s="98">
        <v>14172.479392669979</v>
      </c>
      <c r="CK15" s="89">
        <v>2023.1</v>
      </c>
      <c r="CL15" s="103">
        <v>184473</v>
      </c>
      <c r="CM15" s="98">
        <v>239.61</v>
      </c>
      <c r="CN15" s="98">
        <v>1770.48</v>
      </c>
      <c r="CO15" s="98">
        <v>22136.52</v>
      </c>
      <c r="CP15" s="98">
        <v>81315.66078564999</v>
      </c>
      <c r="CQ15" s="98">
        <v>76475.487111769995</v>
      </c>
      <c r="CR15" s="98">
        <v>2535.2421025800286</v>
      </c>
      <c r="CS15" s="89">
        <v>2023.1</v>
      </c>
      <c r="CT15" s="103">
        <v>84818.749664529983</v>
      </c>
      <c r="CU15" s="98">
        <v>2754.7572698999866</v>
      </c>
      <c r="CV15" s="98">
        <v>82063.992394629997</v>
      </c>
      <c r="CW15" s="98">
        <v>92392</v>
      </c>
      <c r="CX15" s="98">
        <v>31674</v>
      </c>
    </row>
    <row r="16" spans="1:102" x14ac:dyDescent="0.3">
      <c r="A16" s="89" t="s">
        <v>166</v>
      </c>
      <c r="B16" s="98">
        <v>228854</v>
      </c>
      <c r="C16" s="98">
        <v>222377</v>
      </c>
      <c r="D16" s="98">
        <v>41381.199999999997</v>
      </c>
      <c r="E16" s="98">
        <v>180995.47</v>
      </c>
      <c r="F16" s="98">
        <v>6476.1900000000005</v>
      </c>
      <c r="G16" s="98">
        <v>400.61</v>
      </c>
      <c r="H16" s="98">
        <v>5948.6</v>
      </c>
      <c r="I16" s="98">
        <v>45.77</v>
      </c>
      <c r="J16" s="98">
        <v>81.209999999999994</v>
      </c>
      <c r="K16" s="99">
        <v>2</v>
      </c>
      <c r="L16" s="98">
        <v>222377</v>
      </c>
      <c r="M16" s="98">
        <v>41381.199999999997</v>
      </c>
      <c r="N16" s="98">
        <v>179.08</v>
      </c>
      <c r="O16" s="98">
        <v>197.39</v>
      </c>
      <c r="P16" s="98">
        <v>31166.31</v>
      </c>
      <c r="Q16" s="98">
        <v>4066.17</v>
      </c>
      <c r="R16" s="98">
        <v>5733.87</v>
      </c>
      <c r="S16" s="98">
        <v>38.379999999990105</v>
      </c>
      <c r="T16" s="98">
        <v>180995.47</v>
      </c>
      <c r="U16" s="98">
        <v>105066.5</v>
      </c>
      <c r="V16" s="98">
        <v>5649.11</v>
      </c>
      <c r="W16" s="98">
        <v>43949.31</v>
      </c>
      <c r="X16" s="98">
        <v>23834.639999999999</v>
      </c>
      <c r="Y16" s="100">
        <v>1066.97</v>
      </c>
      <c r="Z16" s="98">
        <v>72.89</v>
      </c>
      <c r="AA16" s="98">
        <v>1356.0499999999884</v>
      </c>
      <c r="AB16" s="101" t="s">
        <v>166</v>
      </c>
      <c r="AC16" s="98">
        <v>322239</v>
      </c>
      <c r="AD16" s="98">
        <v>312085.56</v>
      </c>
      <c r="AE16" s="98">
        <v>262305.38</v>
      </c>
      <c r="AF16" s="98">
        <v>33679.730000000003</v>
      </c>
      <c r="AG16" s="98">
        <v>3175.05</v>
      </c>
      <c r="AH16" s="98">
        <v>2572.58</v>
      </c>
      <c r="AI16" s="98">
        <v>2858.42</v>
      </c>
      <c r="AJ16" s="98">
        <v>917.64</v>
      </c>
      <c r="AK16" s="98">
        <v>451.01</v>
      </c>
      <c r="AL16" s="98">
        <v>2325.23</v>
      </c>
      <c r="AM16" s="98">
        <v>70.569999999999993</v>
      </c>
      <c r="AN16" s="98">
        <v>3729.9500000000116</v>
      </c>
      <c r="AO16" s="98">
        <v>10152.98</v>
      </c>
      <c r="AP16" s="89" t="s">
        <v>166</v>
      </c>
      <c r="AQ16" s="98">
        <v>322239</v>
      </c>
      <c r="AR16" s="98">
        <v>190272.24</v>
      </c>
      <c r="AS16" s="98">
        <v>126564.38</v>
      </c>
      <c r="AT16" s="98">
        <v>89422.79</v>
      </c>
      <c r="AU16" s="98">
        <v>5401.89</v>
      </c>
      <c r="AV16" s="98">
        <v>231930.08</v>
      </c>
      <c r="AW16" s="98">
        <v>90308.4</v>
      </c>
      <c r="AX16" s="89" t="s">
        <v>166</v>
      </c>
      <c r="AY16" s="98">
        <v>322239</v>
      </c>
      <c r="AZ16" s="98">
        <v>190272.24</v>
      </c>
      <c r="BA16" s="98">
        <v>28484</v>
      </c>
      <c r="BB16" s="98">
        <v>161787.51999999999</v>
      </c>
      <c r="BC16" s="98">
        <v>84198.9</v>
      </c>
      <c r="BD16" s="98">
        <v>77588.649999999994</v>
      </c>
      <c r="BE16" s="102">
        <v>50.207305757527799</v>
      </c>
      <c r="BF16" s="89" t="s">
        <v>166</v>
      </c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>
        <v>126564.38</v>
      </c>
      <c r="CA16" s="98">
        <v>322239</v>
      </c>
      <c r="CB16" s="89" t="s">
        <v>166</v>
      </c>
      <c r="CC16" s="103">
        <v>333402</v>
      </c>
      <c r="CD16" s="98">
        <v>24825.378547760003</v>
      </c>
      <c r="CE16" s="98">
        <v>65785.279261860007</v>
      </c>
      <c r="CF16" s="98">
        <v>1484.21</v>
      </c>
      <c r="CG16" s="98">
        <v>26212.97</v>
      </c>
      <c r="CH16" s="98">
        <v>99406.260688329989</v>
      </c>
      <c r="CI16" s="98">
        <v>101716.32185149999</v>
      </c>
      <c r="CJ16" s="98">
        <v>13971.579650550033</v>
      </c>
      <c r="CK16" s="89" t="s">
        <v>166</v>
      </c>
      <c r="CL16" s="103">
        <v>183945</v>
      </c>
      <c r="CM16" s="98">
        <v>248.94</v>
      </c>
      <c r="CN16" s="98">
        <v>1685.27</v>
      </c>
      <c r="CO16" s="98">
        <v>22332.560000000001</v>
      </c>
      <c r="CP16" s="98">
        <v>80713.108965050007</v>
      </c>
      <c r="CQ16" s="98">
        <v>76442.83890078</v>
      </c>
      <c r="CR16" s="98">
        <v>2522.2821341700037</v>
      </c>
      <c r="CS16" s="89" t="s">
        <v>166</v>
      </c>
      <c r="CT16" s="103">
        <v>85179.925343370007</v>
      </c>
      <c r="CU16" s="98">
        <v>2757.3472698999976</v>
      </c>
      <c r="CV16" s="98">
        <v>82422.578073470009</v>
      </c>
      <c r="CW16" s="98">
        <v>91552</v>
      </c>
      <c r="CX16" s="98">
        <v>31526</v>
      </c>
    </row>
    <row r="17" spans="1:102" x14ac:dyDescent="0.3">
      <c r="A17" s="89" t="s">
        <v>167</v>
      </c>
      <c r="B17" s="104">
        <v>229984</v>
      </c>
      <c r="C17" s="98">
        <v>223156</v>
      </c>
      <c r="D17" s="98">
        <v>39971.32</v>
      </c>
      <c r="E17" s="98">
        <v>183185.12</v>
      </c>
      <c r="F17" s="98">
        <v>6828.6200000000008</v>
      </c>
      <c r="G17" s="98">
        <v>381.46</v>
      </c>
      <c r="H17" s="98">
        <v>6325.25</v>
      </c>
      <c r="I17" s="98">
        <v>40.14</v>
      </c>
      <c r="J17" s="98">
        <v>81.77</v>
      </c>
      <c r="K17" s="99" t="s">
        <v>167</v>
      </c>
      <c r="L17" s="98">
        <v>223156</v>
      </c>
      <c r="M17" s="98">
        <v>39971.32</v>
      </c>
      <c r="N17" s="98">
        <v>163.84</v>
      </c>
      <c r="O17" s="105">
        <v>198.51</v>
      </c>
      <c r="P17" s="98">
        <v>30195.35</v>
      </c>
      <c r="Q17" s="98">
        <v>3982.71</v>
      </c>
      <c r="R17" s="98">
        <v>5361.99</v>
      </c>
      <c r="S17" s="98">
        <v>68.92000000000553</v>
      </c>
      <c r="T17" s="98">
        <v>183185.12</v>
      </c>
      <c r="U17" s="98">
        <v>104637.32</v>
      </c>
      <c r="V17" s="98">
        <v>5809.36</v>
      </c>
      <c r="W17" s="98">
        <v>46608.91</v>
      </c>
      <c r="X17" s="98">
        <v>24068.54</v>
      </c>
      <c r="Y17" s="100">
        <v>1087.47</v>
      </c>
      <c r="Z17" s="98">
        <v>72</v>
      </c>
      <c r="AA17" s="98">
        <v>901.51999999996042</v>
      </c>
      <c r="AB17" s="101" t="s">
        <v>167</v>
      </c>
      <c r="AC17" s="98">
        <v>320533</v>
      </c>
      <c r="AD17" s="98">
        <v>310732.7</v>
      </c>
      <c r="AE17" s="98">
        <v>261339.46</v>
      </c>
      <c r="AF17" s="98">
        <v>33078.589999999997</v>
      </c>
      <c r="AG17" s="98">
        <v>3082.36</v>
      </c>
      <c r="AH17" s="98">
        <v>2666.15</v>
      </c>
      <c r="AI17" s="98">
        <v>2946.06</v>
      </c>
      <c r="AJ17" s="98">
        <v>959.92</v>
      </c>
      <c r="AK17" s="98">
        <v>463.85</v>
      </c>
      <c r="AL17" s="98">
        <v>2325.61</v>
      </c>
      <c r="AM17" s="98">
        <v>58.04</v>
      </c>
      <c r="AN17" s="98">
        <v>3812.6600000000326</v>
      </c>
      <c r="AO17" s="98">
        <v>9800.7900000000009</v>
      </c>
      <c r="AP17" s="89" t="s">
        <v>167</v>
      </c>
      <c r="AQ17" s="98">
        <v>320533</v>
      </c>
      <c r="AR17" s="98">
        <v>190412.88</v>
      </c>
      <c r="AS17" s="98">
        <v>124669.19</v>
      </c>
      <c r="AT17" s="98">
        <v>88428.66</v>
      </c>
      <c r="AU17" s="98">
        <v>5451.43</v>
      </c>
      <c r="AV17" s="98">
        <v>230059.89</v>
      </c>
      <c r="AW17" s="98">
        <v>90473.58</v>
      </c>
      <c r="AX17" s="89" t="s">
        <v>167</v>
      </c>
      <c r="AY17" s="98">
        <v>320533</v>
      </c>
      <c r="AZ17" s="98">
        <v>190412.88</v>
      </c>
      <c r="BA17" s="98">
        <v>28580</v>
      </c>
      <c r="BB17" s="98">
        <v>161832.57</v>
      </c>
      <c r="BC17" s="98">
        <v>83986.51</v>
      </c>
      <c r="BD17" s="98">
        <v>77846.03</v>
      </c>
      <c r="BE17" s="102">
        <v>50.488583078809356</v>
      </c>
      <c r="BF17" s="89" t="s">
        <v>167</v>
      </c>
      <c r="BG17" s="98">
        <v>195864</v>
      </c>
      <c r="BH17" s="98">
        <v>83630</v>
      </c>
      <c r="BI17" s="98">
        <v>32651</v>
      </c>
      <c r="BJ17" s="98">
        <v>9878</v>
      </c>
      <c r="BK17" s="98">
        <v>5190</v>
      </c>
      <c r="BL17" s="98">
        <v>7687</v>
      </c>
      <c r="BM17" s="98">
        <v>12695</v>
      </c>
      <c r="BN17" s="98">
        <v>23552</v>
      </c>
      <c r="BO17" s="98">
        <v>5703</v>
      </c>
      <c r="BP17" s="98">
        <v>112235</v>
      </c>
      <c r="BQ17" s="98">
        <v>1164</v>
      </c>
      <c r="BR17" s="98">
        <v>323</v>
      </c>
      <c r="BS17" s="98">
        <v>6534</v>
      </c>
      <c r="BT17" s="98">
        <v>1731</v>
      </c>
      <c r="BU17" s="98">
        <v>22741</v>
      </c>
      <c r="BV17" s="98">
        <v>12878</v>
      </c>
      <c r="BW17" s="98">
        <v>7478</v>
      </c>
      <c r="BX17" s="98">
        <v>1640</v>
      </c>
      <c r="BY17" s="98">
        <v>26635</v>
      </c>
      <c r="BZ17" s="98">
        <v>124669.19</v>
      </c>
      <c r="CA17" s="98">
        <v>320533</v>
      </c>
      <c r="CB17" s="89" t="s">
        <v>167</v>
      </c>
      <c r="CC17" s="103">
        <v>338276</v>
      </c>
      <c r="CD17" s="98">
        <v>25062.981375099997</v>
      </c>
      <c r="CE17" s="98">
        <v>65455.436161320002</v>
      </c>
      <c r="CF17" s="98">
        <v>1427.38</v>
      </c>
      <c r="CG17" s="98">
        <v>26257.4</v>
      </c>
      <c r="CH17" s="98">
        <v>101717.88106728</v>
      </c>
      <c r="CI17" s="98">
        <v>103565.03251171</v>
      </c>
      <c r="CJ17" s="98">
        <v>14789.888884590007</v>
      </c>
      <c r="CK17" s="89" t="s">
        <v>167</v>
      </c>
      <c r="CL17" s="103">
        <v>182748</v>
      </c>
      <c r="CM17" s="98">
        <v>243.29</v>
      </c>
      <c r="CN17" s="98">
        <v>1705.53</v>
      </c>
      <c r="CO17" s="98">
        <v>22353.3</v>
      </c>
      <c r="CP17" s="98">
        <v>80293.316670250002</v>
      </c>
      <c r="CQ17" s="98">
        <v>75755.774719180001</v>
      </c>
      <c r="CR17" s="98">
        <v>2396.7886105700163</v>
      </c>
      <c r="CS17" s="89" t="s">
        <v>167</v>
      </c>
      <c r="CT17" s="103">
        <v>85147.220902169996</v>
      </c>
      <c r="CU17" s="98">
        <v>2769.1200000000099</v>
      </c>
      <c r="CV17" s="98">
        <v>82378.100902169987</v>
      </c>
      <c r="CW17" s="98">
        <v>90426</v>
      </c>
      <c r="CX17" s="98">
        <v>31187</v>
      </c>
    </row>
    <row r="18" spans="1:102" x14ac:dyDescent="0.3">
      <c r="A18" s="89">
        <v>4</v>
      </c>
      <c r="B18" s="104">
        <v>228551</v>
      </c>
      <c r="C18" s="98">
        <v>221450</v>
      </c>
      <c r="D18" s="98">
        <v>42084.09</v>
      </c>
      <c r="E18" s="98">
        <v>179366.11</v>
      </c>
      <c r="F18" s="98">
        <v>7100.8099999999995</v>
      </c>
      <c r="G18" s="98">
        <v>388.75</v>
      </c>
      <c r="H18" s="98">
        <v>6579</v>
      </c>
      <c r="I18" s="98">
        <v>51.82</v>
      </c>
      <c r="J18" s="105">
        <v>81.239999999999995</v>
      </c>
      <c r="K18" s="99">
        <v>4</v>
      </c>
      <c r="L18" s="98">
        <v>221450</v>
      </c>
      <c r="M18" s="98">
        <v>42084.09</v>
      </c>
      <c r="N18" s="98">
        <v>268.18</v>
      </c>
      <c r="O18" s="105">
        <v>200.99</v>
      </c>
      <c r="P18" s="98">
        <v>33005.910000000003</v>
      </c>
      <c r="Q18" s="98">
        <v>4136.57</v>
      </c>
      <c r="R18" s="98">
        <v>4414.79</v>
      </c>
      <c r="S18" s="98">
        <v>57.649999999994179</v>
      </c>
      <c r="T18" s="98">
        <v>179366.11</v>
      </c>
      <c r="U18" s="98">
        <v>104998.75</v>
      </c>
      <c r="V18" s="98">
        <v>6055.07</v>
      </c>
      <c r="W18" s="98">
        <v>45708.66</v>
      </c>
      <c r="X18" s="98">
        <v>20653.599999999999</v>
      </c>
      <c r="Y18" s="100">
        <v>1133.6400000000001</v>
      </c>
      <c r="Z18" s="98">
        <v>71.98</v>
      </c>
      <c r="AA18" s="105">
        <v>744.40999999994528</v>
      </c>
      <c r="AB18" s="101">
        <v>4</v>
      </c>
      <c r="AC18" s="98">
        <v>322070</v>
      </c>
      <c r="AD18" s="98">
        <v>312365.84999999998</v>
      </c>
      <c r="AE18" s="98">
        <v>263035.07</v>
      </c>
      <c r="AF18" s="98">
        <v>32343.79</v>
      </c>
      <c r="AG18" s="98">
        <v>3208.86</v>
      </c>
      <c r="AH18" s="98">
        <v>3138.27</v>
      </c>
      <c r="AI18" s="98">
        <v>2975.79</v>
      </c>
      <c r="AJ18" s="98">
        <v>893.71</v>
      </c>
      <c r="AK18" s="98">
        <v>545.66999999999996</v>
      </c>
      <c r="AL18" s="98">
        <v>2310.58</v>
      </c>
      <c r="AM18" s="98">
        <v>59.13</v>
      </c>
      <c r="AN18" s="98">
        <v>3854.9799999999814</v>
      </c>
      <c r="AO18" s="105">
        <v>9704.19</v>
      </c>
      <c r="AP18" s="89">
        <v>4</v>
      </c>
      <c r="AQ18" s="98">
        <v>322070</v>
      </c>
      <c r="AR18" s="98">
        <v>192282.62</v>
      </c>
      <c r="AS18" s="98">
        <v>124322.03</v>
      </c>
      <c r="AT18" s="98">
        <v>88343.35</v>
      </c>
      <c r="AU18" s="98">
        <v>5465.36</v>
      </c>
      <c r="AV18" s="98">
        <v>230432.82</v>
      </c>
      <c r="AW18" s="105">
        <v>91637.2</v>
      </c>
      <c r="AX18" s="89">
        <v>4</v>
      </c>
      <c r="AY18" s="98">
        <v>322070</v>
      </c>
      <c r="AZ18" s="98">
        <v>192282.62</v>
      </c>
      <c r="BA18" s="98">
        <v>29179</v>
      </c>
      <c r="BB18" s="98">
        <v>163103.85999999999</v>
      </c>
      <c r="BC18" s="98">
        <v>84267.17</v>
      </c>
      <c r="BD18" s="98">
        <v>78836.7</v>
      </c>
      <c r="BE18" s="102">
        <v>50.642363461359331</v>
      </c>
      <c r="BF18" s="89">
        <v>4</v>
      </c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>
        <v>124322.03</v>
      </c>
      <c r="CA18" s="98">
        <v>322070</v>
      </c>
      <c r="CB18" s="89">
        <v>4</v>
      </c>
      <c r="CC18" s="106">
        <v>339027</v>
      </c>
      <c r="CD18" s="98">
        <v>24921.162360459999</v>
      </c>
      <c r="CE18" s="98">
        <v>67011.997749019996</v>
      </c>
      <c r="CF18" s="98">
        <v>1382.81</v>
      </c>
      <c r="CG18" s="98">
        <v>26361.56</v>
      </c>
      <c r="CH18" s="98">
        <v>102597.90343548</v>
      </c>
      <c r="CI18" s="98">
        <v>101697.14828038</v>
      </c>
      <c r="CJ18" s="98">
        <v>15054.418174660008</v>
      </c>
      <c r="CK18" s="89">
        <v>4</v>
      </c>
      <c r="CL18" s="103">
        <v>182456</v>
      </c>
      <c r="CM18" s="98">
        <v>244.31</v>
      </c>
      <c r="CN18" s="98">
        <v>1644.65</v>
      </c>
      <c r="CO18" s="98">
        <v>22419.66</v>
      </c>
      <c r="CP18" s="98">
        <v>80419.432342029992</v>
      </c>
      <c r="CQ18" s="98">
        <v>75338.155360680001</v>
      </c>
      <c r="CR18" s="98">
        <v>2389.7922972899978</v>
      </c>
      <c r="CS18" s="89">
        <v>4</v>
      </c>
      <c r="CT18" s="103">
        <v>85856.380043910001</v>
      </c>
      <c r="CU18" s="98">
        <v>2760.5547861999949</v>
      </c>
      <c r="CV18" s="98">
        <v>83095.825257710007</v>
      </c>
      <c r="CW18" s="98">
        <v>89465</v>
      </c>
      <c r="CX18" s="98">
        <v>30856</v>
      </c>
    </row>
    <row r="19" spans="1:102" x14ac:dyDescent="0.3">
      <c r="A19" s="89" t="s">
        <v>168</v>
      </c>
      <c r="B19" s="104">
        <v>233862</v>
      </c>
      <c r="C19" s="98">
        <v>226393</v>
      </c>
      <c r="D19" s="98">
        <v>41717.99</v>
      </c>
      <c r="E19" s="98">
        <v>184674.97</v>
      </c>
      <c r="F19" s="98">
        <v>7469.09</v>
      </c>
      <c r="G19" s="98">
        <v>379</v>
      </c>
      <c r="H19" s="98">
        <v>6959.59</v>
      </c>
      <c r="I19" s="98">
        <v>49.33</v>
      </c>
      <c r="J19" s="105">
        <v>81.17</v>
      </c>
      <c r="K19" s="99">
        <v>5</v>
      </c>
      <c r="L19" s="98">
        <v>226393</v>
      </c>
      <c r="M19" s="98">
        <v>41717.99</v>
      </c>
      <c r="N19" s="98">
        <v>193.99</v>
      </c>
      <c r="O19" s="98">
        <v>192.39</v>
      </c>
      <c r="P19" s="98">
        <v>31650</v>
      </c>
      <c r="Q19" s="98">
        <v>4000.79</v>
      </c>
      <c r="R19" s="98">
        <v>5625.58</v>
      </c>
      <c r="S19" s="98">
        <v>55.239999999997963</v>
      </c>
      <c r="T19" s="105">
        <v>184674.97</v>
      </c>
      <c r="U19" s="98">
        <v>107565.44</v>
      </c>
      <c r="V19" s="98">
        <v>6310.08</v>
      </c>
      <c r="W19" s="98">
        <v>44770.52</v>
      </c>
      <c r="X19" s="98">
        <v>24115.37</v>
      </c>
      <c r="Y19" s="100">
        <v>1177.7</v>
      </c>
      <c r="Z19" s="98">
        <v>71.47</v>
      </c>
      <c r="AA19" s="105">
        <v>664.38999999998487</v>
      </c>
      <c r="AB19" s="101" t="s">
        <v>168</v>
      </c>
      <c r="AC19" s="98">
        <v>323669</v>
      </c>
      <c r="AD19" s="98">
        <v>313649.27</v>
      </c>
      <c r="AE19" s="98">
        <v>266062.06</v>
      </c>
      <c r="AF19" s="98">
        <v>31465.99</v>
      </c>
      <c r="AG19" s="98">
        <v>3207.15</v>
      </c>
      <c r="AH19" s="98">
        <v>2210.42</v>
      </c>
      <c r="AI19" s="98">
        <v>3066.47</v>
      </c>
      <c r="AJ19" s="98">
        <v>947.52</v>
      </c>
      <c r="AK19" s="98">
        <v>389.8</v>
      </c>
      <c r="AL19" s="98">
        <v>2306.1799999999998</v>
      </c>
      <c r="AM19" s="98">
        <v>82.06</v>
      </c>
      <c r="AN19" s="98">
        <v>3911.6200000000536</v>
      </c>
      <c r="AO19" s="105">
        <v>10019.540000000001</v>
      </c>
      <c r="AP19" s="89" t="s">
        <v>168</v>
      </c>
      <c r="AQ19" s="98">
        <v>323669</v>
      </c>
      <c r="AR19" s="98">
        <v>194760.81</v>
      </c>
      <c r="AS19" s="98">
        <v>123299.22</v>
      </c>
      <c r="AT19" s="98">
        <v>87419.46</v>
      </c>
      <c r="AU19" s="98">
        <v>5608.75</v>
      </c>
      <c r="AV19" s="98">
        <v>230572.91</v>
      </c>
      <c r="AW19" s="105">
        <v>93095.91</v>
      </c>
      <c r="AX19" s="89" t="s">
        <v>168</v>
      </c>
      <c r="AY19" s="98">
        <v>323669</v>
      </c>
      <c r="AZ19" s="98">
        <v>194760.81</v>
      </c>
      <c r="BA19" s="98">
        <v>30558</v>
      </c>
      <c r="BB19" s="98">
        <v>164202.57999999999</v>
      </c>
      <c r="BC19" s="98">
        <v>84373.03</v>
      </c>
      <c r="BD19" s="98">
        <v>79829.52</v>
      </c>
      <c r="BE19" s="102">
        <v>50.731636332178851</v>
      </c>
      <c r="BF19" s="89" t="s">
        <v>168</v>
      </c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>
        <v>123299.22</v>
      </c>
      <c r="CA19" s="98">
        <v>323669</v>
      </c>
      <c r="CB19" s="89" t="s">
        <v>168</v>
      </c>
      <c r="CC19" s="103">
        <v>336889</v>
      </c>
      <c r="CD19" s="98">
        <v>24836.41678281</v>
      </c>
      <c r="CE19" s="98">
        <v>65469.801872380005</v>
      </c>
      <c r="CF19" s="98">
        <v>1344.72</v>
      </c>
      <c r="CG19" s="98">
        <v>26213.16</v>
      </c>
      <c r="CH19" s="98">
        <v>102600.65233047999</v>
      </c>
      <c r="CI19" s="98">
        <v>100813.62987989</v>
      </c>
      <c r="CJ19" s="105">
        <v>15610.61913443997</v>
      </c>
      <c r="CK19" s="89" t="s">
        <v>168</v>
      </c>
      <c r="CL19" s="103">
        <v>181696</v>
      </c>
      <c r="CM19" s="98">
        <v>245.4</v>
      </c>
      <c r="CN19" s="98">
        <v>1740.54</v>
      </c>
      <c r="CO19" s="98">
        <v>22422.99</v>
      </c>
      <c r="CP19" s="98">
        <v>80029.041038149997</v>
      </c>
      <c r="CQ19" s="98">
        <v>74872.403159459995</v>
      </c>
      <c r="CR19" s="105">
        <v>2385.6258023900155</v>
      </c>
      <c r="CS19" s="89" t="s">
        <v>168</v>
      </c>
      <c r="CT19" s="103">
        <v>85554.777209719992</v>
      </c>
      <c r="CU19" s="98">
        <v>2776.09708029998</v>
      </c>
      <c r="CV19" s="98">
        <v>82778.680129420012</v>
      </c>
      <c r="CW19" s="98">
        <v>89059</v>
      </c>
      <c r="CX19" s="105">
        <v>30838</v>
      </c>
    </row>
    <row r="20" spans="1:102" x14ac:dyDescent="0.3">
      <c r="A20" s="107" t="s">
        <v>169</v>
      </c>
      <c r="B20" s="104">
        <v>240208</v>
      </c>
      <c r="C20" s="98">
        <v>232897</v>
      </c>
      <c r="D20" s="98">
        <v>44310.46</v>
      </c>
      <c r="E20" s="98">
        <v>188586.9</v>
      </c>
      <c r="F20" s="98">
        <v>7311.21</v>
      </c>
      <c r="G20" s="98">
        <v>389.26</v>
      </c>
      <c r="H20" s="98">
        <v>6795.78</v>
      </c>
      <c r="I20" s="98">
        <v>45.01</v>
      </c>
      <c r="J20" s="108">
        <v>81.16</v>
      </c>
      <c r="K20" s="109">
        <v>6</v>
      </c>
      <c r="L20" s="98">
        <v>232897</v>
      </c>
      <c r="M20" s="98">
        <v>44310.46</v>
      </c>
      <c r="N20" s="98">
        <v>238.28</v>
      </c>
      <c r="O20" s="98">
        <v>198.41</v>
      </c>
      <c r="P20" s="98">
        <v>34104.589999999997</v>
      </c>
      <c r="Q20" s="98">
        <v>3904.32</v>
      </c>
      <c r="R20" s="98">
        <v>5792.77</v>
      </c>
      <c r="S20" s="98">
        <v>72.090000000003783</v>
      </c>
      <c r="T20" s="98">
        <v>188586.9</v>
      </c>
      <c r="U20" s="98">
        <v>107922.37</v>
      </c>
      <c r="V20" s="98">
        <v>6581.88</v>
      </c>
      <c r="W20" s="98">
        <v>44771.32</v>
      </c>
      <c r="X20" s="98">
        <v>27409.96</v>
      </c>
      <c r="Y20" s="100">
        <v>1206.28</v>
      </c>
      <c r="Z20" s="98">
        <v>71.040000000000006</v>
      </c>
      <c r="AA20" s="108">
        <v>624.04999999998836</v>
      </c>
      <c r="AB20" s="110" t="s">
        <v>169</v>
      </c>
      <c r="AC20" s="98">
        <v>325287</v>
      </c>
      <c r="AD20" s="98">
        <v>315451.81</v>
      </c>
      <c r="AE20" s="98">
        <v>268201.83</v>
      </c>
      <c r="AF20" s="98">
        <v>31377.24</v>
      </c>
      <c r="AG20" s="98">
        <v>2952.65</v>
      </c>
      <c r="AH20" s="98">
        <v>2230.4299999999998</v>
      </c>
      <c r="AI20" s="98">
        <v>3035.49</v>
      </c>
      <c r="AJ20" s="98">
        <v>947.5</v>
      </c>
      <c r="AK20" s="98">
        <v>403.54</v>
      </c>
      <c r="AL20" s="98">
        <v>2266.2600000000002</v>
      </c>
      <c r="AM20" s="98">
        <v>71.680000000000007</v>
      </c>
      <c r="AN20" s="98">
        <v>3965.1900000000023</v>
      </c>
      <c r="AO20" s="108">
        <v>9835.4500000000007</v>
      </c>
      <c r="AP20" s="107" t="s">
        <v>169</v>
      </c>
      <c r="AQ20" s="98">
        <v>325287</v>
      </c>
      <c r="AR20" s="98">
        <v>196124.34</v>
      </c>
      <c r="AS20" s="98">
        <v>123784.42</v>
      </c>
      <c r="AT20" s="98">
        <v>88073.33</v>
      </c>
      <c r="AU20" s="98">
        <v>5378.53</v>
      </c>
      <c r="AV20" s="98">
        <v>230467.79</v>
      </c>
      <c r="AW20" s="108">
        <v>94819.49</v>
      </c>
      <c r="AX20" s="107" t="s">
        <v>169</v>
      </c>
      <c r="AY20" s="98">
        <v>325287</v>
      </c>
      <c r="AZ20" s="98">
        <v>196124.34</v>
      </c>
      <c r="BA20" s="98">
        <v>31168</v>
      </c>
      <c r="BB20" s="98">
        <v>164955.75</v>
      </c>
      <c r="BC20" s="98">
        <v>84410.3</v>
      </c>
      <c r="BD20" s="98">
        <v>80545.47</v>
      </c>
      <c r="BE20" s="111">
        <v>50.710833817521141</v>
      </c>
      <c r="BF20" s="107" t="s">
        <v>169</v>
      </c>
      <c r="BG20" s="98">
        <v>201503</v>
      </c>
      <c r="BH20" s="98">
        <v>87268</v>
      </c>
      <c r="BI20" s="98">
        <v>34944</v>
      </c>
      <c r="BJ20" s="98">
        <v>11404</v>
      </c>
      <c r="BK20" s="98">
        <v>4703</v>
      </c>
      <c r="BL20" s="98">
        <v>7993</v>
      </c>
      <c r="BM20" s="98">
        <v>12320</v>
      </c>
      <c r="BN20" s="98">
        <v>24988</v>
      </c>
      <c r="BO20" s="98">
        <v>5635</v>
      </c>
      <c r="BP20" s="98">
        <v>114235</v>
      </c>
      <c r="BQ20" s="98">
        <v>1255</v>
      </c>
      <c r="BR20" s="98">
        <v>327</v>
      </c>
      <c r="BS20" s="98">
        <v>7138</v>
      </c>
      <c r="BT20" s="98">
        <v>1932</v>
      </c>
      <c r="BU20" s="98">
        <v>22556</v>
      </c>
      <c r="BV20" s="98">
        <v>13413</v>
      </c>
      <c r="BW20" s="98">
        <v>7524</v>
      </c>
      <c r="BX20" s="98">
        <v>1474</v>
      </c>
      <c r="BY20" s="98">
        <v>27130</v>
      </c>
      <c r="BZ20" s="98">
        <v>123784.42</v>
      </c>
      <c r="CA20" s="98">
        <v>325287</v>
      </c>
      <c r="CB20" s="89" t="s">
        <v>169</v>
      </c>
      <c r="CC20" s="103">
        <v>338241</v>
      </c>
      <c r="CD20" s="98">
        <v>25126.742226920003</v>
      </c>
      <c r="CE20" s="98">
        <v>65978.511984910001</v>
      </c>
      <c r="CF20" s="98">
        <v>1329.01</v>
      </c>
      <c r="CG20" s="98">
        <v>26061.87</v>
      </c>
      <c r="CH20" s="98">
        <v>103550.02124880999</v>
      </c>
      <c r="CI20" s="98">
        <v>100695.57823961001</v>
      </c>
      <c r="CJ20" s="108">
        <v>15499.266299750016</v>
      </c>
      <c r="CK20" s="107" t="s">
        <v>169</v>
      </c>
      <c r="CL20" s="103">
        <v>180977</v>
      </c>
      <c r="CM20" s="98">
        <v>244.8</v>
      </c>
      <c r="CN20" s="98">
        <v>1688.99</v>
      </c>
      <c r="CO20" s="98">
        <v>22354.959999999999</v>
      </c>
      <c r="CP20" s="98">
        <v>80819.916268330009</v>
      </c>
      <c r="CQ20" s="98">
        <v>73836.773421389997</v>
      </c>
      <c r="CR20" s="108">
        <v>2031.5603102800087</v>
      </c>
      <c r="CS20" s="107" t="s">
        <v>169</v>
      </c>
      <c r="CT20" s="103">
        <v>85226.794835819994</v>
      </c>
      <c r="CU20" s="98">
        <v>2402.3799999999901</v>
      </c>
      <c r="CV20" s="98">
        <v>82824.414835820004</v>
      </c>
      <c r="CW20" s="98">
        <v>88662</v>
      </c>
      <c r="CX20" s="105">
        <v>30661</v>
      </c>
    </row>
    <row r="21" spans="1:102" x14ac:dyDescent="0.3">
      <c r="A21" s="107" t="s">
        <v>170</v>
      </c>
      <c r="B21" s="104">
        <v>239967</v>
      </c>
      <c r="C21" s="98">
        <v>232286</v>
      </c>
      <c r="D21" s="98">
        <v>42411.93</v>
      </c>
      <c r="E21" s="98">
        <v>189874.13</v>
      </c>
      <c r="F21" s="98">
        <v>7681.7099999999991</v>
      </c>
      <c r="G21" s="98">
        <v>311.83</v>
      </c>
      <c r="H21" s="98">
        <v>7253.29</v>
      </c>
      <c r="I21" s="98">
        <v>35.44</v>
      </c>
      <c r="J21" s="108">
        <v>81.150000000000006</v>
      </c>
      <c r="K21" s="109">
        <v>7</v>
      </c>
      <c r="L21" s="98">
        <v>232286</v>
      </c>
      <c r="M21" s="98">
        <v>42411.93</v>
      </c>
      <c r="N21" s="98">
        <v>165.18</v>
      </c>
      <c r="O21" s="98">
        <v>204.29</v>
      </c>
      <c r="P21" s="98">
        <v>32585.200000000001</v>
      </c>
      <c r="Q21" s="98">
        <v>3983.62</v>
      </c>
      <c r="R21" s="98">
        <v>5407.84</v>
      </c>
      <c r="S21" s="98">
        <v>65.799999999995634</v>
      </c>
      <c r="T21" s="98">
        <v>189874.13</v>
      </c>
      <c r="U21" s="98">
        <v>110990.04</v>
      </c>
      <c r="V21" s="98">
        <v>6833.51</v>
      </c>
      <c r="W21" s="98">
        <v>44798.28</v>
      </c>
      <c r="X21" s="98">
        <v>25366.3</v>
      </c>
      <c r="Y21" s="100">
        <v>1221.5899999999999</v>
      </c>
      <c r="Z21" s="98">
        <v>70.73</v>
      </c>
      <c r="AA21" s="108">
        <v>593.68000000002212</v>
      </c>
      <c r="AB21" s="110" t="s">
        <v>170</v>
      </c>
      <c r="AC21" s="98">
        <v>327638</v>
      </c>
      <c r="AD21" s="98">
        <v>317860.73</v>
      </c>
      <c r="AE21" s="98">
        <v>269521.86</v>
      </c>
      <c r="AF21" s="98">
        <v>31892.22</v>
      </c>
      <c r="AG21" s="98">
        <v>2935.69</v>
      </c>
      <c r="AH21" s="98">
        <v>2533.06</v>
      </c>
      <c r="AI21" s="98">
        <v>3099.31</v>
      </c>
      <c r="AJ21" s="98">
        <v>939.11</v>
      </c>
      <c r="AK21" s="98">
        <v>413.99</v>
      </c>
      <c r="AL21" s="98">
        <v>2355.85</v>
      </c>
      <c r="AM21" s="98">
        <v>73.59</v>
      </c>
      <c r="AN21" s="98">
        <v>4096.0499999999884</v>
      </c>
      <c r="AO21" s="108">
        <v>9777.2000000000007</v>
      </c>
      <c r="AP21" s="107" t="s">
        <v>170</v>
      </c>
      <c r="AQ21" s="98">
        <v>327638</v>
      </c>
      <c r="AR21" s="98">
        <v>197588.27</v>
      </c>
      <c r="AS21" s="98">
        <v>124702.9</v>
      </c>
      <c r="AT21" s="98">
        <v>89103.02</v>
      </c>
      <c r="AU21" s="98">
        <v>5346.76</v>
      </c>
      <c r="AV21" s="98">
        <v>231948.69</v>
      </c>
      <c r="AW21" s="108">
        <v>95689.22</v>
      </c>
      <c r="AX21" s="107" t="s">
        <v>170</v>
      </c>
      <c r="AY21" s="98">
        <v>327638</v>
      </c>
      <c r="AZ21" s="98">
        <v>197588.27</v>
      </c>
      <c r="BA21" s="98">
        <v>31471</v>
      </c>
      <c r="BB21" s="98">
        <v>166116.71</v>
      </c>
      <c r="BC21" s="98">
        <v>84604.61</v>
      </c>
      <c r="BD21" s="98">
        <v>81512.17</v>
      </c>
      <c r="BE21" s="111">
        <v>50.701295332043294</v>
      </c>
      <c r="BF21" s="107" t="s">
        <v>170</v>
      </c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>
        <v>124702.9</v>
      </c>
      <c r="CA21" s="98">
        <v>327638</v>
      </c>
      <c r="CB21" s="89" t="s">
        <v>170</v>
      </c>
      <c r="CC21" s="103">
        <v>331292</v>
      </c>
      <c r="CD21" s="98">
        <v>24375.07546466</v>
      </c>
      <c r="CE21" s="98">
        <v>64643.356347190005</v>
      </c>
      <c r="CF21" s="98">
        <v>1326.81</v>
      </c>
      <c r="CG21" s="98">
        <v>26019.43</v>
      </c>
      <c r="CH21" s="98">
        <v>104215.29583759001</v>
      </c>
      <c r="CI21" s="98">
        <v>94632.067296339999</v>
      </c>
      <c r="CJ21" s="108">
        <v>16079.965054219996</v>
      </c>
      <c r="CK21" s="107" t="s">
        <v>170</v>
      </c>
      <c r="CL21" s="103">
        <v>181613</v>
      </c>
      <c r="CM21" s="98">
        <v>235.28</v>
      </c>
      <c r="CN21" s="98">
        <v>1659.49</v>
      </c>
      <c r="CO21" s="98">
        <v>22370.41</v>
      </c>
      <c r="CP21" s="98">
        <v>81389.034050410002</v>
      </c>
      <c r="CQ21" s="98">
        <v>73686.508002729999</v>
      </c>
      <c r="CR21" s="108">
        <v>2272.2779468600056</v>
      </c>
      <c r="CS21" s="107" t="s">
        <v>170</v>
      </c>
      <c r="CT21" s="103">
        <v>86032.332608150027</v>
      </c>
      <c r="CU21" s="98">
        <v>2757.2800000000425</v>
      </c>
      <c r="CV21" s="98">
        <v>83275.052608149985</v>
      </c>
      <c r="CW21" s="98">
        <v>88484</v>
      </c>
      <c r="CX21" s="105">
        <v>30686</v>
      </c>
    </row>
    <row r="22" spans="1:102" x14ac:dyDescent="0.3">
      <c r="A22" s="107" t="s">
        <v>171</v>
      </c>
      <c r="B22" s="104">
        <v>244083</v>
      </c>
      <c r="C22" s="98">
        <v>236304</v>
      </c>
      <c r="D22" s="98">
        <v>40542.14</v>
      </c>
      <c r="E22" s="98">
        <v>195762</v>
      </c>
      <c r="F22" s="98">
        <v>7779.9899999999989</v>
      </c>
      <c r="G22" s="98">
        <v>332.99</v>
      </c>
      <c r="H22" s="98">
        <v>7340.45</v>
      </c>
      <c r="I22" s="98">
        <v>25.36</v>
      </c>
      <c r="J22" s="108">
        <v>81.19</v>
      </c>
      <c r="K22" s="109" t="s">
        <v>171</v>
      </c>
      <c r="L22" s="98">
        <v>236304</v>
      </c>
      <c r="M22" s="98">
        <v>40542.14</v>
      </c>
      <c r="N22" s="98">
        <v>185.54</v>
      </c>
      <c r="O22" s="98">
        <v>197.93</v>
      </c>
      <c r="P22" s="98">
        <v>31246.61</v>
      </c>
      <c r="Q22" s="98">
        <v>4468.12</v>
      </c>
      <c r="R22" s="98">
        <v>4393.3599999999997</v>
      </c>
      <c r="S22" s="98">
        <v>50.57999999999447</v>
      </c>
      <c r="T22" s="98">
        <v>195762</v>
      </c>
      <c r="U22" s="98">
        <v>114373.41</v>
      </c>
      <c r="V22" s="98">
        <v>7046.19</v>
      </c>
      <c r="W22" s="98">
        <v>44114.21</v>
      </c>
      <c r="X22" s="98">
        <v>28368.84</v>
      </c>
      <c r="Y22" s="100">
        <v>1228.31</v>
      </c>
      <c r="Z22" s="98">
        <v>70.290000000000006</v>
      </c>
      <c r="AA22" s="108">
        <v>560.75</v>
      </c>
      <c r="AB22" s="110" t="s">
        <v>172</v>
      </c>
      <c r="AC22" s="98">
        <v>328611</v>
      </c>
      <c r="AD22" s="98">
        <v>318754.51</v>
      </c>
      <c r="AE22" s="98">
        <v>270032.8</v>
      </c>
      <c r="AF22" s="98">
        <v>32231.8</v>
      </c>
      <c r="AG22" s="98">
        <v>3086.03</v>
      </c>
      <c r="AH22" s="98">
        <v>2383.38</v>
      </c>
      <c r="AI22" s="98">
        <v>3158.08</v>
      </c>
      <c r="AJ22" s="98">
        <v>933.66</v>
      </c>
      <c r="AK22" s="98">
        <v>401.58</v>
      </c>
      <c r="AL22" s="98">
        <v>2417.61</v>
      </c>
      <c r="AM22" s="98">
        <v>58.51</v>
      </c>
      <c r="AN22" s="98">
        <v>4051.0599999999977</v>
      </c>
      <c r="AO22" s="108">
        <v>9856.0499999999993</v>
      </c>
      <c r="AP22" s="107" t="s">
        <v>171</v>
      </c>
      <c r="AQ22" s="98">
        <v>328611</v>
      </c>
      <c r="AR22" s="98">
        <v>198103.24</v>
      </c>
      <c r="AS22" s="98">
        <v>125399.58</v>
      </c>
      <c r="AT22" s="98">
        <v>89745.38</v>
      </c>
      <c r="AU22" s="98">
        <v>5107.74</v>
      </c>
      <c r="AV22" s="98">
        <v>232525.84</v>
      </c>
      <c r="AW22" s="108">
        <v>96084.75</v>
      </c>
      <c r="AX22" s="107">
        <v>8</v>
      </c>
      <c r="AY22" s="98">
        <v>328611</v>
      </c>
      <c r="AZ22" s="98">
        <v>198103.24</v>
      </c>
      <c r="BA22" s="98">
        <v>31515</v>
      </c>
      <c r="BB22" s="98">
        <v>166588.25</v>
      </c>
      <c r="BC22" s="98">
        <v>84481.61</v>
      </c>
      <c r="BD22" s="98">
        <v>82106.64</v>
      </c>
      <c r="BE22" s="111">
        <v>50.694666338010599</v>
      </c>
      <c r="BF22" s="107">
        <v>8</v>
      </c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>
        <v>125399.58</v>
      </c>
      <c r="CA22" s="98">
        <v>328611</v>
      </c>
      <c r="CB22" s="89">
        <v>8</v>
      </c>
      <c r="CC22" s="103">
        <v>333518</v>
      </c>
      <c r="CD22" s="98">
        <v>25220.842727879997</v>
      </c>
      <c r="CE22" s="98">
        <v>66101.40934767999</v>
      </c>
      <c r="CF22" s="98">
        <v>1325.95</v>
      </c>
      <c r="CG22" s="98">
        <v>26127.41</v>
      </c>
      <c r="CH22" s="98">
        <v>103972.48279238</v>
      </c>
      <c r="CI22" s="98">
        <v>94721.771968949994</v>
      </c>
      <c r="CJ22" s="108">
        <v>16048.133163110004</v>
      </c>
      <c r="CK22" s="107" t="s">
        <v>171</v>
      </c>
      <c r="CL22" s="103">
        <v>181169</v>
      </c>
      <c r="CM22" s="98">
        <v>249.44</v>
      </c>
      <c r="CN22" s="98">
        <v>1673.23</v>
      </c>
      <c r="CO22" s="98">
        <v>22250.67</v>
      </c>
      <c r="CP22" s="98">
        <v>81612.79686396</v>
      </c>
      <c r="CQ22" s="98">
        <v>73224.446779780003</v>
      </c>
      <c r="CR22" s="108">
        <v>2158.4163562600152</v>
      </c>
      <c r="CS22" s="107" t="s">
        <v>171</v>
      </c>
      <c r="CT22" s="103">
        <v>85848.358495400011</v>
      </c>
      <c r="CU22" s="98">
        <v>2756.1300000000047</v>
      </c>
      <c r="CV22" s="98">
        <v>83092.228495400006</v>
      </c>
      <c r="CW22" s="98">
        <v>88344</v>
      </c>
      <c r="CX22" s="105">
        <v>30811</v>
      </c>
    </row>
    <row r="23" spans="1:102" x14ac:dyDescent="0.3">
      <c r="A23" s="107" t="s">
        <v>173</v>
      </c>
      <c r="B23" s="104">
        <v>246533</v>
      </c>
      <c r="C23" s="98">
        <v>238683</v>
      </c>
      <c r="D23" s="98">
        <v>40567.019999999997</v>
      </c>
      <c r="E23" s="98">
        <v>198116.01</v>
      </c>
      <c r="F23" s="98">
        <v>7850.0899999999992</v>
      </c>
      <c r="G23" s="98">
        <v>316.62</v>
      </c>
      <c r="H23" s="98">
        <v>7412.44</v>
      </c>
      <c r="I23" s="98">
        <v>39.869999999999997</v>
      </c>
      <c r="J23" s="108">
        <v>81.16</v>
      </c>
      <c r="K23" s="109">
        <v>9</v>
      </c>
      <c r="L23" s="98">
        <v>238683</v>
      </c>
      <c r="M23" s="98">
        <v>40567.019999999997</v>
      </c>
      <c r="N23" s="98">
        <v>334.28</v>
      </c>
      <c r="O23" s="98">
        <v>210.26</v>
      </c>
      <c r="P23" s="98">
        <v>32084.53</v>
      </c>
      <c r="Q23" s="98">
        <v>4234.3</v>
      </c>
      <c r="R23" s="98">
        <v>3652.35</v>
      </c>
      <c r="S23" s="98">
        <v>51.299999999995634</v>
      </c>
      <c r="T23" s="98">
        <v>198116.01</v>
      </c>
      <c r="U23" s="98">
        <v>112838.05</v>
      </c>
      <c r="V23" s="98">
        <v>7282.44</v>
      </c>
      <c r="W23" s="98">
        <v>46135.07</v>
      </c>
      <c r="X23" s="98">
        <v>30009.24</v>
      </c>
      <c r="Y23" s="100">
        <v>1240.8399999999999</v>
      </c>
      <c r="Z23" s="98">
        <v>69.790000000000006</v>
      </c>
      <c r="AA23" s="108">
        <v>540.5800000000163</v>
      </c>
      <c r="AB23" s="110" t="s">
        <v>173</v>
      </c>
      <c r="AC23" s="98">
        <v>330208</v>
      </c>
      <c r="AD23" s="98">
        <v>320496.84999999998</v>
      </c>
      <c r="AE23" s="98">
        <v>270004.17</v>
      </c>
      <c r="AF23" s="98">
        <v>33499.49</v>
      </c>
      <c r="AG23" s="98">
        <v>2862.19</v>
      </c>
      <c r="AH23" s="98">
        <v>3062.89</v>
      </c>
      <c r="AI23" s="98">
        <v>3154.22</v>
      </c>
      <c r="AJ23" s="98">
        <v>925.5</v>
      </c>
      <c r="AK23" s="98">
        <v>500.92</v>
      </c>
      <c r="AL23" s="98">
        <v>2445.86</v>
      </c>
      <c r="AM23" s="98">
        <v>32.57</v>
      </c>
      <c r="AN23" s="98">
        <v>4009.0400000000373</v>
      </c>
      <c r="AO23" s="108">
        <v>9711.2800000000007</v>
      </c>
      <c r="AP23" s="107">
        <v>9</v>
      </c>
      <c r="AQ23" s="98">
        <v>330208</v>
      </c>
      <c r="AR23" s="98">
        <v>198954.47</v>
      </c>
      <c r="AS23" s="98">
        <v>126195.02</v>
      </c>
      <c r="AT23" s="98">
        <v>90970.46</v>
      </c>
      <c r="AU23" s="98">
        <v>5058.72</v>
      </c>
      <c r="AV23" s="98">
        <v>233414.61</v>
      </c>
      <c r="AW23" s="108">
        <v>96793.53</v>
      </c>
      <c r="AX23" s="107" t="s">
        <v>173</v>
      </c>
      <c r="AY23" s="98">
        <v>330208</v>
      </c>
      <c r="AZ23" s="98">
        <v>198954.47</v>
      </c>
      <c r="BA23" s="98">
        <v>31766</v>
      </c>
      <c r="BB23" s="98">
        <v>167188.12</v>
      </c>
      <c r="BC23" s="98">
        <v>84436.42</v>
      </c>
      <c r="BD23" s="98">
        <v>82751.64</v>
      </c>
      <c r="BE23" s="111">
        <v>50.631153697063667</v>
      </c>
      <c r="BF23" s="112" t="s">
        <v>173</v>
      </c>
      <c r="BG23" s="98">
        <v>204013</v>
      </c>
      <c r="BH23" s="98">
        <v>89946</v>
      </c>
      <c r="BI23" s="98">
        <v>36449</v>
      </c>
      <c r="BJ23" s="98">
        <v>11407</v>
      </c>
      <c r="BK23" s="98">
        <v>5252</v>
      </c>
      <c r="BL23" s="98">
        <v>8235</v>
      </c>
      <c r="BM23" s="98">
        <v>12820</v>
      </c>
      <c r="BN23" s="98">
        <v>25158</v>
      </c>
      <c r="BO23" s="98">
        <v>5727</v>
      </c>
      <c r="BP23" s="98">
        <v>114065</v>
      </c>
      <c r="BQ23" s="98">
        <v>1263</v>
      </c>
      <c r="BR23" s="98">
        <v>56</v>
      </c>
      <c r="BS23" s="98">
        <v>7261</v>
      </c>
      <c r="BT23" s="98">
        <v>1779</v>
      </c>
      <c r="BU23" s="98">
        <v>22506</v>
      </c>
      <c r="BV23" s="98">
        <v>13714</v>
      </c>
      <c r="BW23" s="98">
        <v>7514</v>
      </c>
      <c r="BX23" s="98">
        <v>1506</v>
      </c>
      <c r="BY23" s="98">
        <v>27184</v>
      </c>
      <c r="BZ23" s="98">
        <v>126195.02</v>
      </c>
      <c r="CA23" s="98">
        <v>330208</v>
      </c>
      <c r="CB23" s="89" t="s">
        <v>173</v>
      </c>
      <c r="CC23" s="103">
        <v>336216</v>
      </c>
      <c r="CD23" s="98">
        <v>25080.595896040002</v>
      </c>
      <c r="CE23" s="98">
        <v>66750.757056710005</v>
      </c>
      <c r="CF23" s="98">
        <v>1313.39</v>
      </c>
      <c r="CG23" s="98">
        <v>26074.55</v>
      </c>
      <c r="CH23" s="98">
        <v>104826.68221284001</v>
      </c>
      <c r="CI23" s="98">
        <v>96024.938675829995</v>
      </c>
      <c r="CJ23" s="108">
        <v>16145.08615858003</v>
      </c>
      <c r="CK23" s="107" t="s">
        <v>173</v>
      </c>
      <c r="CL23" s="103">
        <v>179723</v>
      </c>
      <c r="CM23" s="98">
        <v>280.08</v>
      </c>
      <c r="CN23" s="98">
        <v>1639.99</v>
      </c>
      <c r="CO23" s="98">
        <v>22118.48</v>
      </c>
      <c r="CP23" s="98">
        <v>81925.021692159993</v>
      </c>
      <c r="CQ23" s="98">
        <v>72053.984661630006</v>
      </c>
      <c r="CR23" s="108">
        <v>1705.443646210013</v>
      </c>
      <c r="CS23" s="107" t="s">
        <v>173</v>
      </c>
      <c r="CT23" s="103">
        <v>85094.010059100023</v>
      </c>
      <c r="CU23" s="98">
        <v>2224.3300000000309</v>
      </c>
      <c r="CV23" s="98">
        <v>82869.680059099992</v>
      </c>
      <c r="CW23" s="98">
        <v>87528</v>
      </c>
      <c r="CX23" s="105">
        <v>30526</v>
      </c>
    </row>
    <row r="24" spans="1:102" x14ac:dyDescent="0.3">
      <c r="A24" s="112" t="s">
        <v>174</v>
      </c>
      <c r="B24" s="104">
        <v>242571</v>
      </c>
      <c r="C24" s="98">
        <v>235217</v>
      </c>
      <c r="D24" s="98">
        <v>40144.019999999997</v>
      </c>
      <c r="E24" s="98">
        <v>195072.48</v>
      </c>
      <c r="F24" s="98">
        <v>7353.5900000000011</v>
      </c>
      <c r="G24" s="98">
        <v>328.18</v>
      </c>
      <c r="H24" s="98">
        <v>6872.72</v>
      </c>
      <c r="I24" s="98">
        <v>70.97</v>
      </c>
      <c r="J24" s="108">
        <v>81.72</v>
      </c>
      <c r="K24" s="112" t="s">
        <v>174</v>
      </c>
      <c r="L24" s="98">
        <v>235217</v>
      </c>
      <c r="M24" s="98">
        <v>40144.019999999997</v>
      </c>
      <c r="N24" s="98">
        <v>198.15</v>
      </c>
      <c r="O24" s="98">
        <v>207.33</v>
      </c>
      <c r="P24" s="98">
        <v>30782.87</v>
      </c>
      <c r="Q24" s="98">
        <v>3939.3</v>
      </c>
      <c r="R24" s="98">
        <v>4972.82</v>
      </c>
      <c r="S24" s="98">
        <v>43.549999999995634</v>
      </c>
      <c r="T24" s="98">
        <v>195072.48</v>
      </c>
      <c r="U24" s="98">
        <v>111048.91</v>
      </c>
      <c r="V24" s="98">
        <v>7423.34</v>
      </c>
      <c r="W24" s="98">
        <v>44851.64</v>
      </c>
      <c r="X24" s="98">
        <v>29941.279999999999</v>
      </c>
      <c r="Y24" s="100">
        <v>1219.3399999999999</v>
      </c>
      <c r="Z24" s="98">
        <v>69.22</v>
      </c>
      <c r="AA24" s="108">
        <v>518.75</v>
      </c>
      <c r="AB24" s="112" t="s">
        <v>174</v>
      </c>
      <c r="AC24" s="98">
        <v>331194</v>
      </c>
      <c r="AD24" s="98">
        <v>321489.37</v>
      </c>
      <c r="AE24" s="98">
        <v>270318.82</v>
      </c>
      <c r="AF24" s="98">
        <v>34783.480000000003</v>
      </c>
      <c r="AG24" s="98">
        <v>3123.47</v>
      </c>
      <c r="AH24" s="98">
        <v>2241.5100000000002</v>
      </c>
      <c r="AI24" s="98">
        <v>3160.18</v>
      </c>
      <c r="AJ24" s="98">
        <v>937.2</v>
      </c>
      <c r="AK24" s="98">
        <v>374.32</v>
      </c>
      <c r="AL24" s="98">
        <v>2452.0700000000002</v>
      </c>
      <c r="AM24" s="98">
        <v>72.34</v>
      </c>
      <c r="AN24" s="98">
        <v>4025.9800000000396</v>
      </c>
      <c r="AO24" s="108">
        <v>9704.41</v>
      </c>
      <c r="AP24" s="112" t="s">
        <v>174</v>
      </c>
      <c r="AQ24" s="98">
        <v>331194</v>
      </c>
      <c r="AR24" s="98">
        <v>198498.6</v>
      </c>
      <c r="AS24" s="98">
        <v>127588.82</v>
      </c>
      <c r="AT24" s="98">
        <v>92319.44</v>
      </c>
      <c r="AU24" s="98">
        <v>5106.38</v>
      </c>
      <c r="AV24" s="98">
        <v>234323.75</v>
      </c>
      <c r="AW24" s="108">
        <v>96870.03</v>
      </c>
      <c r="AX24" s="112" t="s">
        <v>174</v>
      </c>
      <c r="AY24" s="98">
        <v>331194</v>
      </c>
      <c r="AZ24" s="98">
        <v>198498.6</v>
      </c>
      <c r="BA24" s="98">
        <v>31023</v>
      </c>
      <c r="BB24" s="98">
        <v>167476.09</v>
      </c>
      <c r="BC24" s="98">
        <v>84511.7</v>
      </c>
      <c r="BD24" s="98">
        <v>82964.38</v>
      </c>
      <c r="BE24" s="111">
        <v>50.567368370199937</v>
      </c>
      <c r="BF24" s="107" t="s">
        <v>174</v>
      </c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>
        <v>127588.82</v>
      </c>
      <c r="CA24" s="98">
        <v>331194</v>
      </c>
      <c r="CB24" s="113" t="s">
        <v>174</v>
      </c>
      <c r="CC24" s="103">
        <v>335975</v>
      </c>
      <c r="CD24" s="98">
        <v>25972.000859579999</v>
      </c>
      <c r="CE24" s="98">
        <v>65728.430333989993</v>
      </c>
      <c r="CF24" s="98">
        <v>1225.8900000000001</v>
      </c>
      <c r="CG24" s="98">
        <v>25765.39</v>
      </c>
      <c r="CH24" s="98">
        <v>104500.1197287</v>
      </c>
      <c r="CI24" s="98">
        <v>96744.123372810005</v>
      </c>
      <c r="CJ24" s="108">
        <v>16039.045704920019</v>
      </c>
      <c r="CK24" s="112" t="s">
        <v>174</v>
      </c>
      <c r="CL24" s="103">
        <v>180112</v>
      </c>
      <c r="CM24" s="98">
        <v>272.94</v>
      </c>
      <c r="CN24" s="98">
        <v>1609.13</v>
      </c>
      <c r="CO24" s="98">
        <v>21997.56</v>
      </c>
      <c r="CP24" s="98">
        <v>82698.109750529999</v>
      </c>
      <c r="CQ24" s="98">
        <v>71433.620110150005</v>
      </c>
      <c r="CR24" s="108">
        <v>2100.6401393199922</v>
      </c>
      <c r="CS24" s="112" t="s">
        <v>174</v>
      </c>
      <c r="CT24" s="103">
        <v>85757.816184890005</v>
      </c>
      <c r="CU24" s="98">
        <v>2711.4800000000105</v>
      </c>
      <c r="CV24" s="98">
        <v>83046.336184889995</v>
      </c>
      <c r="CW24" s="98">
        <v>87267</v>
      </c>
      <c r="CX24" s="105">
        <v>30433</v>
      </c>
    </row>
    <row r="25" spans="1:102" x14ac:dyDescent="0.3">
      <c r="A25" s="112" t="s">
        <v>175</v>
      </c>
      <c r="B25" s="104">
        <v>241135</v>
      </c>
      <c r="C25" s="98">
        <v>233961</v>
      </c>
      <c r="D25" s="98">
        <v>38665.440000000002</v>
      </c>
      <c r="E25" s="98">
        <v>195295.66</v>
      </c>
      <c r="F25" s="98">
        <v>7173.75</v>
      </c>
      <c r="G25" s="98">
        <v>344.94</v>
      </c>
      <c r="H25" s="98">
        <v>6674.9</v>
      </c>
      <c r="I25" s="98">
        <v>72.77</v>
      </c>
      <c r="J25" s="108">
        <v>81.14</v>
      </c>
      <c r="K25" s="112" t="s">
        <v>175</v>
      </c>
      <c r="L25" s="98">
        <v>233961</v>
      </c>
      <c r="M25" s="98">
        <v>38665.440000000002</v>
      </c>
      <c r="N25" s="98">
        <v>163.68</v>
      </c>
      <c r="O25" s="98">
        <v>193.44</v>
      </c>
      <c r="P25" s="98">
        <v>30450.95</v>
      </c>
      <c r="Q25" s="98">
        <v>3854.75</v>
      </c>
      <c r="R25" s="98">
        <v>3969.15</v>
      </c>
      <c r="S25" s="98">
        <v>33.470000000001164</v>
      </c>
      <c r="T25" s="98">
        <v>195295.66</v>
      </c>
      <c r="U25" s="98">
        <v>113662.12</v>
      </c>
      <c r="V25" s="98">
        <v>7624.4</v>
      </c>
      <c r="W25" s="98">
        <v>44370.68</v>
      </c>
      <c r="X25" s="98">
        <v>27886.880000000001</v>
      </c>
      <c r="Y25" s="100">
        <v>1182.1199999999999</v>
      </c>
      <c r="Z25" s="98">
        <v>68.38</v>
      </c>
      <c r="AA25" s="108">
        <v>501.0800000000163</v>
      </c>
      <c r="AB25" s="112" t="s">
        <v>175</v>
      </c>
      <c r="AC25" s="98">
        <v>333661</v>
      </c>
      <c r="AD25" s="98">
        <v>323767.7</v>
      </c>
      <c r="AE25" s="98">
        <v>272170.13</v>
      </c>
      <c r="AF25" s="98">
        <v>35053.589999999997</v>
      </c>
      <c r="AG25" s="98">
        <v>3197.4</v>
      </c>
      <c r="AH25" s="98">
        <v>2261.31</v>
      </c>
      <c r="AI25" s="98">
        <v>3199.53</v>
      </c>
      <c r="AJ25" s="98">
        <v>931.14</v>
      </c>
      <c r="AK25" s="98">
        <v>382.71</v>
      </c>
      <c r="AL25" s="98">
        <v>2468.0100000000002</v>
      </c>
      <c r="AM25" s="98">
        <v>60.52</v>
      </c>
      <c r="AN25" s="98">
        <v>4043.359999999986</v>
      </c>
      <c r="AO25" s="108">
        <v>9893.65</v>
      </c>
      <c r="AP25" s="112" t="s">
        <v>175</v>
      </c>
      <c r="AQ25" s="98">
        <v>333661</v>
      </c>
      <c r="AR25" s="98">
        <v>199970.14</v>
      </c>
      <c r="AS25" s="98">
        <v>128212.7</v>
      </c>
      <c r="AT25" s="98">
        <v>93068.07</v>
      </c>
      <c r="AU25" s="98">
        <v>5478.51</v>
      </c>
      <c r="AV25" s="98">
        <v>235784.66</v>
      </c>
      <c r="AW25" s="108">
        <v>97876.69</v>
      </c>
      <c r="AX25" s="112">
        <v>11</v>
      </c>
      <c r="AY25" s="98">
        <v>333661</v>
      </c>
      <c r="AZ25" s="98">
        <v>199970.14</v>
      </c>
      <c r="BA25" s="98">
        <v>31269</v>
      </c>
      <c r="BB25" s="98">
        <v>168700.72</v>
      </c>
      <c r="BC25" s="98">
        <v>84925.17</v>
      </c>
      <c r="BD25" s="98">
        <v>83775.55</v>
      </c>
      <c r="BE25" s="111">
        <v>50.560515013741494</v>
      </c>
      <c r="BF25" s="107">
        <v>11</v>
      </c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>
        <v>128212.7</v>
      </c>
      <c r="CA25" s="98">
        <v>333661</v>
      </c>
      <c r="CB25" s="113">
        <v>11</v>
      </c>
      <c r="CC25" s="103">
        <v>338681</v>
      </c>
      <c r="CD25" s="98">
        <v>26088.832375079997</v>
      </c>
      <c r="CE25" s="98">
        <v>68479.122609230006</v>
      </c>
      <c r="CF25" s="98">
        <v>1069.22</v>
      </c>
      <c r="CG25" s="98">
        <v>25619.18</v>
      </c>
      <c r="CH25" s="98">
        <v>104003.17355454</v>
      </c>
      <c r="CI25" s="98">
        <v>97641.912787449997</v>
      </c>
      <c r="CJ25" s="108">
        <v>15779.558673700027</v>
      </c>
      <c r="CK25" s="112" t="s">
        <v>175</v>
      </c>
      <c r="CL25" s="103">
        <v>180155</v>
      </c>
      <c r="CM25" s="98">
        <v>293.27</v>
      </c>
      <c r="CN25" s="98">
        <v>1662.69</v>
      </c>
      <c r="CO25" s="98">
        <v>22106.71</v>
      </c>
      <c r="CP25" s="98">
        <v>82989.352621569997</v>
      </c>
      <c r="CQ25" s="98">
        <v>70993.406952110003</v>
      </c>
      <c r="CR25" s="108">
        <v>2109.5704263200168</v>
      </c>
      <c r="CS25" s="112" t="s">
        <v>175</v>
      </c>
      <c r="CT25" s="103">
        <v>86472.187776320003</v>
      </c>
      <c r="CU25" s="98">
        <v>2782.9199999999983</v>
      </c>
      <c r="CV25" s="98">
        <v>83689.267776320004</v>
      </c>
      <c r="CW25" s="98">
        <v>86544</v>
      </c>
      <c r="CX25" s="105">
        <v>30171</v>
      </c>
    </row>
    <row r="26" spans="1:102" x14ac:dyDescent="0.3">
      <c r="A26" s="112" t="s">
        <v>176</v>
      </c>
      <c r="B26" s="98">
        <v>238134</v>
      </c>
      <c r="C26" s="98">
        <v>230854</v>
      </c>
      <c r="D26" s="98">
        <v>40700.870000000003</v>
      </c>
      <c r="E26" s="98">
        <v>190153.14</v>
      </c>
      <c r="F26" s="98">
        <v>7280.2400000000007</v>
      </c>
      <c r="G26" s="98">
        <v>379.51</v>
      </c>
      <c r="H26" s="98">
        <v>6694.35</v>
      </c>
      <c r="I26" s="98">
        <v>40.22</v>
      </c>
      <c r="J26" s="98">
        <v>166.16</v>
      </c>
      <c r="K26" s="112" t="s">
        <v>176</v>
      </c>
      <c r="L26" s="98">
        <v>230854</v>
      </c>
      <c r="M26" s="105">
        <v>40700.870000000003</v>
      </c>
      <c r="N26" s="98">
        <v>254.39</v>
      </c>
      <c r="O26" s="98">
        <v>204.48</v>
      </c>
      <c r="P26" s="98">
        <v>32468.29</v>
      </c>
      <c r="Q26" s="98">
        <v>3798.71</v>
      </c>
      <c r="R26" s="98">
        <v>3968.62</v>
      </c>
      <c r="S26" s="98">
        <v>6.3799999999973807</v>
      </c>
      <c r="T26" s="98">
        <v>190153.14</v>
      </c>
      <c r="U26" s="98">
        <v>111040.84</v>
      </c>
      <c r="V26" s="105">
        <v>7816.91</v>
      </c>
      <c r="W26" s="98">
        <v>46170.68</v>
      </c>
      <c r="X26" s="98">
        <v>23433.48</v>
      </c>
      <c r="Y26" s="100">
        <v>1145.8</v>
      </c>
      <c r="Z26" s="98">
        <v>67.98</v>
      </c>
      <c r="AA26" s="105">
        <v>477.45000000001164</v>
      </c>
      <c r="AB26" s="114" t="s">
        <v>176</v>
      </c>
      <c r="AC26" s="98">
        <v>331804</v>
      </c>
      <c r="AD26" s="105">
        <v>322191.09999999998</v>
      </c>
      <c r="AE26" s="98">
        <v>269811.96999999997</v>
      </c>
      <c r="AF26" s="105">
        <v>35740.19</v>
      </c>
      <c r="AG26" s="98">
        <v>2573.1799999999998</v>
      </c>
      <c r="AH26" s="98">
        <v>3392.9</v>
      </c>
      <c r="AI26" s="98">
        <v>3173.35</v>
      </c>
      <c r="AJ26" s="98">
        <v>831.92</v>
      </c>
      <c r="AK26" s="98">
        <v>568.63</v>
      </c>
      <c r="AL26" s="98">
        <v>2460.0700000000002</v>
      </c>
      <c r="AM26" s="98">
        <v>34.43</v>
      </c>
      <c r="AN26" s="98">
        <v>3604.460000000021</v>
      </c>
      <c r="AO26" s="98">
        <v>9612.86</v>
      </c>
      <c r="AP26" s="115" t="s">
        <v>176</v>
      </c>
      <c r="AQ26" s="98">
        <v>331804</v>
      </c>
      <c r="AR26" s="98">
        <v>198267.46</v>
      </c>
      <c r="AS26" s="98">
        <v>128431.83</v>
      </c>
      <c r="AT26" s="98">
        <v>94014.63</v>
      </c>
      <c r="AU26" s="98">
        <v>5104.71</v>
      </c>
      <c r="AV26" s="98">
        <v>233738.07</v>
      </c>
      <c r="AW26" s="105">
        <v>98065.93</v>
      </c>
      <c r="AX26" s="115" t="s">
        <v>176</v>
      </c>
      <c r="AY26" s="98">
        <v>331804</v>
      </c>
      <c r="AZ26" s="98">
        <v>198267.46</v>
      </c>
      <c r="BA26" s="98">
        <v>30962</v>
      </c>
      <c r="BB26" s="98">
        <v>167304.57</v>
      </c>
      <c r="BC26" s="98">
        <v>83572.98</v>
      </c>
      <c r="BD26" s="98">
        <v>83731.56</v>
      </c>
      <c r="BE26" s="102">
        <v>50.422710395293613</v>
      </c>
      <c r="BF26" s="115" t="s">
        <v>176</v>
      </c>
      <c r="BG26" s="98">
        <v>203372</v>
      </c>
      <c r="BH26" s="98">
        <v>89447</v>
      </c>
      <c r="BI26" s="98">
        <v>37152</v>
      </c>
      <c r="BJ26" s="98">
        <v>10739</v>
      </c>
      <c r="BK26" s="98">
        <v>4905</v>
      </c>
      <c r="BL26" s="98">
        <v>8292</v>
      </c>
      <c r="BM26" s="98">
        <v>12671</v>
      </c>
      <c r="BN26" s="98">
        <v>25338</v>
      </c>
      <c r="BO26" s="98">
        <v>5562</v>
      </c>
      <c r="BP26" s="98">
        <v>113926</v>
      </c>
      <c r="BQ26" s="98">
        <v>1263</v>
      </c>
      <c r="BR26" s="98">
        <v>49</v>
      </c>
      <c r="BS26" s="98">
        <v>7068</v>
      </c>
      <c r="BT26" s="98">
        <v>1740</v>
      </c>
      <c r="BU26" s="98">
        <v>22264</v>
      </c>
      <c r="BV26" s="98">
        <v>13992</v>
      </c>
      <c r="BW26" s="98">
        <v>7606</v>
      </c>
      <c r="BX26" s="98">
        <v>1611</v>
      </c>
      <c r="BY26" s="98">
        <v>26763</v>
      </c>
      <c r="BZ26" s="98">
        <v>128431.83</v>
      </c>
      <c r="CA26" s="98">
        <v>331804</v>
      </c>
      <c r="CB26" s="116" t="s">
        <v>176</v>
      </c>
      <c r="CC26" s="103">
        <v>340151</v>
      </c>
      <c r="CD26" s="98">
        <v>25057.76881836</v>
      </c>
      <c r="CE26" s="98">
        <v>69396.726042160008</v>
      </c>
      <c r="CF26" s="98">
        <v>968.44</v>
      </c>
      <c r="CG26" s="98">
        <v>25722.43</v>
      </c>
      <c r="CH26" s="98">
        <v>105183.81794430999</v>
      </c>
      <c r="CI26" s="98">
        <v>98365.543590340007</v>
      </c>
      <c r="CJ26" s="105">
        <v>15456.273604830028</v>
      </c>
      <c r="CK26" s="112" t="s">
        <v>176</v>
      </c>
      <c r="CL26" s="103">
        <v>179113</v>
      </c>
      <c r="CM26" s="98">
        <v>285.26</v>
      </c>
      <c r="CN26" s="98">
        <v>1622.91</v>
      </c>
      <c r="CO26" s="98">
        <v>22125.58</v>
      </c>
      <c r="CP26" s="98">
        <v>82962.789937289999</v>
      </c>
      <c r="CQ26" s="98">
        <v>70547.133638040003</v>
      </c>
      <c r="CR26" s="105">
        <v>1569.3264246699982</v>
      </c>
      <c r="CS26" s="112" t="s">
        <v>176</v>
      </c>
      <c r="CT26" s="103">
        <v>85757.8253597</v>
      </c>
      <c r="CU26" s="98">
        <v>2294.2799999999988</v>
      </c>
      <c r="CV26" s="98">
        <v>83463.545359700001</v>
      </c>
      <c r="CW26" s="98">
        <v>86180</v>
      </c>
      <c r="CX26" s="105">
        <v>30187</v>
      </c>
    </row>
    <row r="27" spans="1:102" x14ac:dyDescent="0.3">
      <c r="A27" s="114"/>
      <c r="B27" s="98"/>
      <c r="C27" s="98"/>
      <c r="D27" s="98"/>
      <c r="E27" s="98"/>
      <c r="F27" s="98"/>
      <c r="G27" s="98"/>
      <c r="H27" s="98"/>
      <c r="I27" s="98"/>
      <c r="J27" s="98"/>
      <c r="K27" s="114"/>
      <c r="L27" s="98"/>
      <c r="M27" s="105"/>
      <c r="N27" s="98"/>
      <c r="O27" s="98"/>
      <c r="P27" s="98"/>
      <c r="Q27" s="98"/>
      <c r="R27" s="98"/>
      <c r="S27" s="98"/>
      <c r="T27" s="98"/>
      <c r="U27" s="98"/>
      <c r="V27" s="105"/>
      <c r="W27" s="98"/>
      <c r="X27" s="98"/>
      <c r="Y27" s="100"/>
      <c r="Z27" s="98"/>
      <c r="AA27" s="105"/>
      <c r="AB27" s="114"/>
      <c r="AC27" s="98"/>
      <c r="AD27" s="105"/>
      <c r="AE27" s="98"/>
      <c r="AF27" s="105"/>
      <c r="AG27" s="98"/>
      <c r="AH27" s="98"/>
      <c r="AI27" s="98"/>
      <c r="AJ27" s="98"/>
      <c r="AK27" s="98"/>
      <c r="AL27" s="98"/>
      <c r="AM27" s="98"/>
      <c r="AN27" s="98"/>
      <c r="AO27" s="98"/>
      <c r="AP27" s="117"/>
      <c r="AQ27" s="98"/>
      <c r="AR27" s="98"/>
      <c r="AS27" s="98"/>
      <c r="AT27" s="98"/>
      <c r="AU27" s="98"/>
      <c r="AV27" s="98"/>
      <c r="AW27" s="105"/>
      <c r="AX27" s="117"/>
      <c r="AY27" s="98"/>
      <c r="AZ27" s="98"/>
      <c r="BA27" s="98"/>
      <c r="BB27" s="98"/>
      <c r="BC27" s="98"/>
      <c r="BD27" s="98"/>
      <c r="BE27" s="102"/>
      <c r="BF27" s="117"/>
      <c r="BG27" s="98"/>
      <c r="BH27" s="98"/>
      <c r="BI27" s="98"/>
      <c r="BJ27" s="98"/>
      <c r="BK27" s="105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117"/>
      <c r="CC27" s="103"/>
      <c r="CD27" s="98"/>
      <c r="CE27" s="98"/>
      <c r="CF27" s="98"/>
      <c r="CG27" s="98"/>
      <c r="CH27" s="98"/>
      <c r="CI27" s="98"/>
      <c r="CJ27" s="105"/>
      <c r="CK27" s="114"/>
      <c r="CL27" s="103"/>
      <c r="CM27" s="98"/>
      <c r="CN27" s="98"/>
      <c r="CO27" s="98"/>
      <c r="CP27" s="98"/>
      <c r="CQ27" s="98"/>
      <c r="CR27" s="105"/>
      <c r="CS27" s="114"/>
      <c r="CT27" s="103"/>
      <c r="CU27" s="98"/>
      <c r="CV27" s="98"/>
      <c r="CW27" s="98"/>
      <c r="CX27" s="105"/>
    </row>
    <row r="28" spans="1:102" x14ac:dyDescent="0.3">
      <c r="A28" s="114" t="s">
        <v>177</v>
      </c>
      <c r="B28" s="98">
        <v>235863</v>
      </c>
      <c r="C28" s="98">
        <v>228270</v>
      </c>
      <c r="D28" s="98">
        <v>40984.35</v>
      </c>
      <c r="E28" s="98">
        <v>187285.95</v>
      </c>
      <c r="F28" s="98">
        <v>7593.09</v>
      </c>
      <c r="G28" s="98">
        <v>348.76</v>
      </c>
      <c r="H28" s="98">
        <v>7013.07</v>
      </c>
      <c r="I28" s="98">
        <v>29.46</v>
      </c>
      <c r="J28" s="98">
        <v>201.8</v>
      </c>
      <c r="K28" s="114" t="s">
        <v>177</v>
      </c>
      <c r="L28" s="98">
        <v>228270</v>
      </c>
      <c r="M28" s="98">
        <v>40984.35</v>
      </c>
      <c r="N28" s="98">
        <v>139.51</v>
      </c>
      <c r="O28" s="98">
        <v>198.82</v>
      </c>
      <c r="P28" s="98">
        <v>31712.79</v>
      </c>
      <c r="Q28" s="98">
        <v>4705.25</v>
      </c>
      <c r="R28" s="98">
        <v>4189.82</v>
      </c>
      <c r="S28" s="98">
        <v>38.159999999996217</v>
      </c>
      <c r="T28" s="98">
        <v>187285.95</v>
      </c>
      <c r="U28" s="98">
        <v>110050.27</v>
      </c>
      <c r="V28" s="98">
        <v>7878.96</v>
      </c>
      <c r="W28" s="98">
        <v>45515.59</v>
      </c>
      <c r="X28" s="98">
        <v>22184.06</v>
      </c>
      <c r="Y28" s="100">
        <v>1125.8900000000001</v>
      </c>
      <c r="Z28" s="98">
        <v>67.63</v>
      </c>
      <c r="AA28" s="98">
        <v>463.54999999998836</v>
      </c>
      <c r="AB28" s="114" t="s">
        <v>177</v>
      </c>
      <c r="AC28" s="98">
        <v>333520</v>
      </c>
      <c r="AD28" s="98">
        <v>324058.96999999997</v>
      </c>
      <c r="AE28" s="98">
        <v>271209.40000000002</v>
      </c>
      <c r="AF28" s="98">
        <v>36298.379999999997</v>
      </c>
      <c r="AG28" s="98">
        <v>3081.07</v>
      </c>
      <c r="AH28" s="98">
        <v>2797.64</v>
      </c>
      <c r="AI28" s="98">
        <v>3207.49</v>
      </c>
      <c r="AJ28" s="98">
        <v>807.59</v>
      </c>
      <c r="AK28" s="98">
        <v>448.33</v>
      </c>
      <c r="AL28" s="98">
        <v>2452.02</v>
      </c>
      <c r="AM28" s="98">
        <v>150.16999999999999</v>
      </c>
      <c r="AN28" s="98">
        <v>3606.8799999999464</v>
      </c>
      <c r="AO28" s="98">
        <v>9460.99</v>
      </c>
      <c r="AP28" s="117" t="s">
        <v>177</v>
      </c>
      <c r="AQ28" s="98">
        <v>333520</v>
      </c>
      <c r="AR28" s="98">
        <v>198952.99</v>
      </c>
      <c r="AS28" s="98">
        <v>128782.35</v>
      </c>
      <c r="AT28" s="98">
        <v>94681.08</v>
      </c>
      <c r="AU28" s="98">
        <v>5784.63</v>
      </c>
      <c r="AV28" s="98">
        <v>234360.43</v>
      </c>
      <c r="AW28" s="98">
        <v>99159.5</v>
      </c>
      <c r="AX28" s="117">
        <v>2024.1</v>
      </c>
      <c r="AY28" s="98">
        <v>333520</v>
      </c>
      <c r="AZ28" s="98">
        <v>198952.99</v>
      </c>
      <c r="BA28" s="98">
        <v>31110</v>
      </c>
      <c r="BB28" s="98">
        <v>167843.4</v>
      </c>
      <c r="BC28" s="98">
        <v>83111.13</v>
      </c>
      <c r="BD28" s="98">
        <v>84732.33</v>
      </c>
      <c r="BE28" s="118">
        <v>50.324838090669225</v>
      </c>
      <c r="BF28" s="114" t="s">
        <v>177</v>
      </c>
      <c r="BG28" s="98"/>
      <c r="BH28" s="98"/>
      <c r="BI28" s="98"/>
      <c r="BJ28" s="98"/>
      <c r="BK28" s="105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>
        <v>128782.35</v>
      </c>
      <c r="CA28" s="98">
        <v>333520</v>
      </c>
      <c r="CB28" s="117">
        <v>2024.1</v>
      </c>
      <c r="CC28" s="103">
        <v>344601</v>
      </c>
      <c r="CD28" s="98">
        <v>26193.555723899997</v>
      </c>
      <c r="CE28" s="98">
        <v>71793.732302470002</v>
      </c>
      <c r="CF28" s="98">
        <v>902.82</v>
      </c>
      <c r="CG28" s="98">
        <v>25780.959999999999</v>
      </c>
      <c r="CH28" s="98">
        <v>105797.42064512</v>
      </c>
      <c r="CI28" s="98">
        <v>98428.600705880002</v>
      </c>
      <c r="CJ28" s="98">
        <v>15703.910622630036</v>
      </c>
      <c r="CK28" s="114" t="s">
        <v>177</v>
      </c>
      <c r="CL28" s="103">
        <v>178701</v>
      </c>
      <c r="CM28" s="98">
        <v>276.18</v>
      </c>
      <c r="CN28" s="98">
        <v>1592.49</v>
      </c>
      <c r="CO28" s="98">
        <v>21977.25</v>
      </c>
      <c r="CP28" s="98">
        <v>83016.554273329995</v>
      </c>
      <c r="CQ28" s="98">
        <v>69942.659384430008</v>
      </c>
      <c r="CR28" s="98">
        <v>1895.8663422400132</v>
      </c>
      <c r="CS28" s="114" t="s">
        <v>177</v>
      </c>
      <c r="CT28" s="103">
        <v>86488.772397980007</v>
      </c>
      <c r="CU28" s="98">
        <v>2641.2900000000081</v>
      </c>
      <c r="CV28" s="98">
        <v>83847.482397979998</v>
      </c>
      <c r="CW28" s="98">
        <v>85170</v>
      </c>
      <c r="CX28" s="98">
        <v>29949</v>
      </c>
    </row>
    <row r="29" spans="1:102" x14ac:dyDescent="0.3">
      <c r="A29" s="114" t="s">
        <v>178</v>
      </c>
      <c r="B29" s="98">
        <v>241074</v>
      </c>
      <c r="C29" s="98">
        <v>233276</v>
      </c>
      <c r="D29" s="98">
        <v>44014.52</v>
      </c>
      <c r="E29" s="98">
        <v>189261.85</v>
      </c>
      <c r="F29" s="98">
        <v>7797.8</v>
      </c>
      <c r="G29" s="98">
        <v>402.06</v>
      </c>
      <c r="H29" s="98">
        <v>7166.36</v>
      </c>
      <c r="I29" s="98">
        <v>33.619999999999997</v>
      </c>
      <c r="J29" s="98">
        <v>195.76</v>
      </c>
      <c r="K29" s="114" t="s">
        <v>178</v>
      </c>
      <c r="L29" s="98">
        <v>233276</v>
      </c>
      <c r="M29" s="98">
        <v>44014.52</v>
      </c>
      <c r="N29" s="98">
        <v>194.24</v>
      </c>
      <c r="O29" s="98">
        <v>193.4</v>
      </c>
      <c r="P29" s="98">
        <v>34139.24</v>
      </c>
      <c r="Q29" s="98">
        <v>3833.02</v>
      </c>
      <c r="R29" s="98">
        <v>5613.23</v>
      </c>
      <c r="S29" s="98">
        <v>41.390000000006694</v>
      </c>
      <c r="T29" s="98">
        <v>189261.85</v>
      </c>
      <c r="U29" s="98">
        <v>111326.69</v>
      </c>
      <c r="V29" s="98">
        <v>5915.26</v>
      </c>
      <c r="W29" s="98">
        <v>47016.34</v>
      </c>
      <c r="X29" s="98">
        <v>23338.77</v>
      </c>
      <c r="Y29" s="100">
        <v>1144.9000000000001</v>
      </c>
      <c r="Z29" s="98">
        <v>66.78</v>
      </c>
      <c r="AA29" s="98">
        <v>453.11000000004424</v>
      </c>
      <c r="AB29" s="114" t="s">
        <v>178</v>
      </c>
      <c r="AC29" s="98">
        <v>333511</v>
      </c>
      <c r="AD29" s="98">
        <v>323988.18</v>
      </c>
      <c r="AE29" s="98">
        <v>270930.59000000003</v>
      </c>
      <c r="AF29" s="98">
        <v>36112.699999999997</v>
      </c>
      <c r="AG29" s="98">
        <v>3345.45</v>
      </c>
      <c r="AH29" s="98">
        <v>2290.36</v>
      </c>
      <c r="AI29" s="98">
        <v>3314.72</v>
      </c>
      <c r="AJ29" s="98">
        <v>968.02</v>
      </c>
      <c r="AK29" s="98">
        <v>389.52</v>
      </c>
      <c r="AL29" s="98">
        <v>2489</v>
      </c>
      <c r="AM29" s="98">
        <v>404.74</v>
      </c>
      <c r="AN29" s="98">
        <v>3743.0799999999581</v>
      </c>
      <c r="AO29" s="98">
        <v>9522.4699999999993</v>
      </c>
      <c r="AP29" s="114" t="s">
        <v>178</v>
      </c>
      <c r="AQ29" s="98">
        <v>333511</v>
      </c>
      <c r="AR29" s="98">
        <v>200116.73</v>
      </c>
      <c r="AS29" s="98">
        <v>128079.6</v>
      </c>
      <c r="AT29" s="98">
        <v>94506.04</v>
      </c>
      <c r="AU29" s="98">
        <v>5314.29</v>
      </c>
      <c r="AV29" s="98">
        <v>233291.91</v>
      </c>
      <c r="AW29" s="98">
        <v>100218.74</v>
      </c>
      <c r="AX29" s="114" t="s">
        <v>178</v>
      </c>
      <c r="AY29" s="98">
        <v>333511</v>
      </c>
      <c r="AZ29" s="98">
        <v>200116.73</v>
      </c>
      <c r="BA29" s="98">
        <v>32533</v>
      </c>
      <c r="BB29" s="98">
        <v>167583.85</v>
      </c>
      <c r="BC29" s="98">
        <v>83034.75</v>
      </c>
      <c r="BD29" s="98">
        <v>84549.16</v>
      </c>
      <c r="BE29" s="118">
        <v>50.248372617394935</v>
      </c>
      <c r="BF29" s="114" t="s">
        <v>178</v>
      </c>
      <c r="BG29" s="98"/>
      <c r="BH29" s="98"/>
      <c r="BI29" s="98"/>
      <c r="BJ29" s="98"/>
      <c r="BK29" s="105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>
        <v>128079.6</v>
      </c>
      <c r="CA29" s="98">
        <v>333511</v>
      </c>
      <c r="CB29" s="114" t="s">
        <v>178</v>
      </c>
      <c r="CC29" s="103">
        <v>346279</v>
      </c>
      <c r="CD29" s="98">
        <v>23789.052313279997</v>
      </c>
      <c r="CE29" s="98">
        <v>74321.181475389996</v>
      </c>
      <c r="CF29" s="98">
        <v>879.24</v>
      </c>
      <c r="CG29" s="98">
        <v>25792.3</v>
      </c>
      <c r="CH29" s="98">
        <v>106556.23212885</v>
      </c>
      <c r="CI29" s="98">
        <v>99312.233030179996</v>
      </c>
      <c r="CJ29" s="98">
        <v>15628.761052299989</v>
      </c>
      <c r="CK29" s="114" t="s">
        <v>178</v>
      </c>
      <c r="CL29" s="103">
        <v>178032</v>
      </c>
      <c r="CM29" s="98">
        <v>261.61</v>
      </c>
      <c r="CN29" s="98">
        <v>1595.79</v>
      </c>
      <c r="CO29" s="98">
        <v>21866.18</v>
      </c>
      <c r="CP29" s="98">
        <v>82934.807274539999</v>
      </c>
      <c r="CQ29" s="98">
        <v>69381.957123319997</v>
      </c>
      <c r="CR29" s="98">
        <v>1991.6556021400029</v>
      </c>
      <c r="CS29" s="114" t="s">
        <v>178</v>
      </c>
      <c r="CT29" s="103">
        <v>86734.320351800008</v>
      </c>
      <c r="CU29" s="98">
        <v>2748.4100000000035</v>
      </c>
      <c r="CV29" s="98">
        <v>83985.910351800005</v>
      </c>
      <c r="CW29" s="98">
        <v>84321</v>
      </c>
      <c r="CX29" s="98">
        <v>29742</v>
      </c>
    </row>
    <row r="30" spans="1:102" x14ac:dyDescent="0.3">
      <c r="A30" s="114">
        <v>3</v>
      </c>
      <c r="B30" s="98">
        <v>246168</v>
      </c>
      <c r="C30" s="98">
        <v>237878</v>
      </c>
      <c r="D30" s="98">
        <v>45318.06</v>
      </c>
      <c r="E30" s="98">
        <v>192559.92</v>
      </c>
      <c r="F30" s="98">
        <v>8289.25</v>
      </c>
      <c r="G30" s="98">
        <v>488.75</v>
      </c>
      <c r="H30" s="98">
        <v>7569.19</v>
      </c>
      <c r="I30" s="98">
        <v>34.5</v>
      </c>
      <c r="J30" s="98">
        <v>196.81</v>
      </c>
      <c r="K30" s="114">
        <v>3</v>
      </c>
      <c r="L30" s="98">
        <v>237878</v>
      </c>
      <c r="M30" s="98">
        <v>45318.06</v>
      </c>
      <c r="N30" s="98">
        <v>200.82</v>
      </c>
      <c r="O30" s="98">
        <v>205.86</v>
      </c>
      <c r="P30" s="98">
        <v>35279.919999999998</v>
      </c>
      <c r="Q30" s="98">
        <v>3968.84</v>
      </c>
      <c r="R30" s="98">
        <v>5600.93</v>
      </c>
      <c r="S30" s="98">
        <v>61.689999999995052</v>
      </c>
      <c r="T30" s="98">
        <v>192559.92</v>
      </c>
      <c r="U30" s="98">
        <v>114596.12</v>
      </c>
      <c r="V30" s="98">
        <v>5585.37</v>
      </c>
      <c r="W30" s="98">
        <v>47051.99</v>
      </c>
      <c r="X30" s="98">
        <v>23671.3</v>
      </c>
      <c r="Y30" s="100">
        <v>1142.03</v>
      </c>
      <c r="Z30" s="98">
        <v>66.430000000000007</v>
      </c>
      <c r="AA30" s="98">
        <v>446.68000000005122</v>
      </c>
      <c r="AB30" s="114">
        <v>3</v>
      </c>
      <c r="AC30" s="98">
        <v>334994</v>
      </c>
      <c r="AD30" s="98">
        <v>325551.15000000002</v>
      </c>
      <c r="AE30" s="98">
        <v>272490.2</v>
      </c>
      <c r="AF30" s="98">
        <v>35365.449999999997</v>
      </c>
      <c r="AG30" s="98">
        <v>3282.45</v>
      </c>
      <c r="AH30" s="98">
        <v>2774.83</v>
      </c>
      <c r="AI30" s="98">
        <v>3364.26</v>
      </c>
      <c r="AJ30" s="98">
        <v>1001.68</v>
      </c>
      <c r="AK30" s="98">
        <v>493.48</v>
      </c>
      <c r="AL30" s="98">
        <v>2577.94</v>
      </c>
      <c r="AM30" s="98">
        <v>344.58</v>
      </c>
      <c r="AN30" s="98">
        <v>3856.2799999999697</v>
      </c>
      <c r="AO30" s="98">
        <v>9443.09</v>
      </c>
      <c r="AP30" s="114">
        <v>3</v>
      </c>
      <c r="AQ30" s="98">
        <v>334994</v>
      </c>
      <c r="AR30" s="98">
        <v>202022.97</v>
      </c>
      <c r="AS30" s="98">
        <v>127595.97</v>
      </c>
      <c r="AT30" s="98">
        <v>94484.4</v>
      </c>
      <c r="AU30" s="98">
        <v>5375.33</v>
      </c>
      <c r="AV30" s="98">
        <v>233964.56</v>
      </c>
      <c r="AW30" s="98">
        <v>101029.71</v>
      </c>
      <c r="AX30" s="114">
        <v>3</v>
      </c>
      <c r="AY30" s="98">
        <v>334994</v>
      </c>
      <c r="AZ30" s="98">
        <v>202022.97</v>
      </c>
      <c r="BA30" s="98">
        <v>33635</v>
      </c>
      <c r="BB30" s="98">
        <v>168387.74</v>
      </c>
      <c r="BC30" s="98">
        <v>83506.350000000006</v>
      </c>
      <c r="BD30" s="98">
        <v>84881.36</v>
      </c>
      <c r="BE30" s="118">
        <v>50.265897299653126</v>
      </c>
      <c r="BF30" s="114">
        <v>3</v>
      </c>
      <c r="BG30" s="98">
        <v>207398.26</v>
      </c>
      <c r="BH30" s="98">
        <v>92369.94</v>
      </c>
      <c r="BI30" s="98">
        <v>39354</v>
      </c>
      <c r="BJ30" s="98">
        <v>11282.77</v>
      </c>
      <c r="BK30" s="105">
        <v>5258.3799999999992</v>
      </c>
      <c r="BL30" s="98">
        <v>8625.1</v>
      </c>
      <c r="BM30" s="98">
        <v>12709.84</v>
      </c>
      <c r="BN30" s="98">
        <v>26182.78</v>
      </c>
      <c r="BO30" s="98">
        <v>5544.31</v>
      </c>
      <c r="BP30" s="98">
        <v>115028.52000000002</v>
      </c>
      <c r="BQ30" s="98">
        <v>1244.6500000000001</v>
      </c>
      <c r="BR30" s="98">
        <v>393.65999999999997</v>
      </c>
      <c r="BS30" s="98">
        <v>7149.75</v>
      </c>
      <c r="BT30" s="98">
        <v>1970.3200000000002</v>
      </c>
      <c r="BU30" s="98">
        <v>22314.35</v>
      </c>
      <c r="BV30" s="98">
        <v>13872.829999999998</v>
      </c>
      <c r="BW30" s="98">
        <v>7572.5300000000007</v>
      </c>
      <c r="BX30" s="98">
        <v>1568.75</v>
      </c>
      <c r="BY30" s="98">
        <v>27069.5</v>
      </c>
      <c r="BZ30" s="98">
        <v>127595.97</v>
      </c>
      <c r="CA30" s="98">
        <v>334994</v>
      </c>
      <c r="CB30" s="114">
        <v>3</v>
      </c>
      <c r="CC30" s="103">
        <v>348657</v>
      </c>
      <c r="CD30" s="98">
        <v>24152.640310160001</v>
      </c>
      <c r="CE30" s="98">
        <v>74204.744616929995</v>
      </c>
      <c r="CF30" s="98">
        <v>882.64</v>
      </c>
      <c r="CG30" s="98">
        <v>25881.99</v>
      </c>
      <c r="CH30" s="98">
        <v>108252.36741884</v>
      </c>
      <c r="CI30" s="98">
        <v>99326.020500130006</v>
      </c>
      <c r="CJ30" s="98">
        <v>15956.597153940005</v>
      </c>
      <c r="CK30" s="114">
        <v>3</v>
      </c>
      <c r="CL30" s="103">
        <v>177535</v>
      </c>
      <c r="CM30" s="98">
        <v>251.07</v>
      </c>
      <c r="CN30" s="98">
        <v>1511.86</v>
      </c>
      <c r="CO30" s="98">
        <v>21722.39</v>
      </c>
      <c r="CP30" s="98">
        <v>83411.536970319998</v>
      </c>
      <c r="CQ30" s="98">
        <v>68652.901605399995</v>
      </c>
      <c r="CR30" s="98">
        <v>1985.2414242800151</v>
      </c>
      <c r="CS30" s="114">
        <v>3</v>
      </c>
      <c r="CT30" s="103">
        <v>86952.312334850008</v>
      </c>
      <c r="CU30" s="98">
        <v>2757.5400000000081</v>
      </c>
      <c r="CV30" s="98">
        <v>84194.77233485</v>
      </c>
      <c r="CW30" s="98">
        <v>83705</v>
      </c>
      <c r="CX30" s="98">
        <v>29578</v>
      </c>
    </row>
    <row r="31" spans="1:102" x14ac:dyDescent="0.3">
      <c r="A31" s="114" t="s">
        <v>179</v>
      </c>
      <c r="B31" s="98">
        <v>240581</v>
      </c>
      <c r="C31" s="98">
        <v>232045</v>
      </c>
      <c r="D31" s="98">
        <v>41497.67</v>
      </c>
      <c r="E31" s="98">
        <v>190547.46</v>
      </c>
      <c r="F31" s="98">
        <v>8535.2300000000014</v>
      </c>
      <c r="G31" s="98">
        <v>527.78</v>
      </c>
      <c r="H31" s="98">
        <v>7767.16</v>
      </c>
      <c r="I31" s="98">
        <v>44.54</v>
      </c>
      <c r="J31" s="98">
        <v>195.75</v>
      </c>
      <c r="K31" s="114" t="s">
        <v>179</v>
      </c>
      <c r="L31" s="98">
        <v>232045</v>
      </c>
      <c r="M31" s="98">
        <v>41497.67</v>
      </c>
      <c r="N31" s="98">
        <v>212.69</v>
      </c>
      <c r="O31" s="98">
        <v>211.76</v>
      </c>
      <c r="P31" s="98">
        <v>32619</v>
      </c>
      <c r="Q31" s="98">
        <v>3852.27</v>
      </c>
      <c r="R31" s="98">
        <v>4546.76</v>
      </c>
      <c r="S31" s="98">
        <v>55.190000000002328</v>
      </c>
      <c r="T31" s="98">
        <v>190547.46</v>
      </c>
      <c r="U31" s="98">
        <v>114515.59</v>
      </c>
      <c r="V31" s="98">
        <v>5778.06</v>
      </c>
      <c r="W31" s="98">
        <v>46209.7</v>
      </c>
      <c r="X31" s="98">
        <v>22370.48</v>
      </c>
      <c r="Y31" s="100">
        <v>1163.3499999999999</v>
      </c>
      <c r="Z31" s="98">
        <v>66.16</v>
      </c>
      <c r="AA31" s="98">
        <v>444.11999999999534</v>
      </c>
      <c r="AB31" s="114" t="s">
        <v>179</v>
      </c>
      <c r="AC31" s="98">
        <v>337570</v>
      </c>
      <c r="AD31" s="98">
        <v>328142.46999999997</v>
      </c>
      <c r="AE31" s="98">
        <v>275598.81</v>
      </c>
      <c r="AF31" s="98">
        <v>35581.39</v>
      </c>
      <c r="AG31" s="98">
        <v>3467.82</v>
      </c>
      <c r="AH31" s="98">
        <v>2148.65</v>
      </c>
      <c r="AI31" s="98">
        <v>3348.52</v>
      </c>
      <c r="AJ31" s="98">
        <v>1041.78</v>
      </c>
      <c r="AK31" s="98">
        <v>393.5</v>
      </c>
      <c r="AL31" s="98">
        <v>2622.17</v>
      </c>
      <c r="AM31" s="98">
        <v>58.82</v>
      </c>
      <c r="AN31" s="98">
        <v>3881.0099999998929</v>
      </c>
      <c r="AO31" s="98">
        <v>9428.02</v>
      </c>
      <c r="AP31" s="114" t="s">
        <v>179</v>
      </c>
      <c r="AQ31" s="98">
        <v>337570</v>
      </c>
      <c r="AR31" s="98">
        <v>203445.68</v>
      </c>
      <c r="AS31" s="98">
        <v>128371.83</v>
      </c>
      <c r="AT31" s="98">
        <v>94984.58</v>
      </c>
      <c r="AU31" s="98">
        <v>5752.96</v>
      </c>
      <c r="AV31" s="98">
        <v>235975.21</v>
      </c>
      <c r="AW31" s="98">
        <v>101595.26</v>
      </c>
      <c r="AX31" s="114" t="s">
        <v>179</v>
      </c>
      <c r="AY31" s="98">
        <v>337570</v>
      </c>
      <c r="AZ31" s="98">
        <v>203445.68</v>
      </c>
      <c r="BA31" s="98">
        <v>33924</v>
      </c>
      <c r="BB31" s="98">
        <v>169522.19</v>
      </c>
      <c r="BC31" s="98">
        <v>84080.22</v>
      </c>
      <c r="BD31" s="98">
        <v>85442.06</v>
      </c>
      <c r="BE31" s="118">
        <v>50.218381372752319</v>
      </c>
      <c r="BF31" s="114" t="s">
        <v>179</v>
      </c>
      <c r="BG31" s="98"/>
      <c r="BH31" s="98"/>
      <c r="BI31" s="98"/>
      <c r="BJ31" s="98"/>
      <c r="BK31" s="105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>
        <v>128371.83</v>
      </c>
      <c r="CA31" s="98">
        <v>337570</v>
      </c>
      <c r="CB31" s="114" t="s">
        <v>179</v>
      </c>
      <c r="CC31" s="103">
        <v>347736</v>
      </c>
      <c r="CD31" s="98">
        <v>23836.32526224</v>
      </c>
      <c r="CE31" s="98">
        <v>72949.452322950005</v>
      </c>
      <c r="CF31" s="98">
        <v>897.75</v>
      </c>
      <c r="CG31" s="98">
        <v>25821.439999999999</v>
      </c>
      <c r="CH31" s="98">
        <v>108839.1177609</v>
      </c>
      <c r="CI31" s="98">
        <v>98919.46406387999</v>
      </c>
      <c r="CJ31" s="98">
        <v>16472.450590029999</v>
      </c>
      <c r="CK31" s="114" t="s">
        <v>179</v>
      </c>
      <c r="CL31" s="103">
        <v>177613</v>
      </c>
      <c r="CM31" s="98">
        <v>256.79000000000002</v>
      </c>
      <c r="CN31" s="98">
        <v>1503.16</v>
      </c>
      <c r="CO31" s="98">
        <v>21660.75</v>
      </c>
      <c r="CP31" s="98">
        <v>83633.456570850001</v>
      </c>
      <c r="CQ31" s="98">
        <v>68412.049431399995</v>
      </c>
      <c r="CR31" s="98">
        <v>2146.7939977500064</v>
      </c>
      <c r="CS31" s="114" t="s">
        <v>179</v>
      </c>
      <c r="CT31" s="103">
        <v>87623.148789220009</v>
      </c>
      <c r="CU31" s="98">
        <v>2805.6999999999971</v>
      </c>
      <c r="CV31" s="98">
        <v>84817.448789220012</v>
      </c>
      <c r="CW31" s="98">
        <v>83159</v>
      </c>
      <c r="CX31" s="98">
        <v>29242</v>
      </c>
    </row>
    <row r="32" spans="1:102" x14ac:dyDescent="0.3">
      <c r="A32" s="114" t="s">
        <v>180</v>
      </c>
      <c r="B32" s="98">
        <v>246213</v>
      </c>
      <c r="C32" s="98">
        <v>237500</v>
      </c>
      <c r="D32" s="98">
        <v>43326.6</v>
      </c>
      <c r="E32" s="98">
        <v>194173.48</v>
      </c>
      <c r="F32" s="98">
        <v>8712.4699999999993</v>
      </c>
      <c r="G32" s="98">
        <v>568.04999999999995</v>
      </c>
      <c r="H32" s="98">
        <v>7907.92</v>
      </c>
      <c r="I32" s="98">
        <v>40.869999999999997</v>
      </c>
      <c r="J32" s="98">
        <v>195.63</v>
      </c>
      <c r="K32" s="114" t="s">
        <v>180</v>
      </c>
      <c r="L32" s="98">
        <v>237500</v>
      </c>
      <c r="M32" s="98">
        <v>43326.6</v>
      </c>
      <c r="N32" s="98">
        <v>102.81</v>
      </c>
      <c r="O32" s="98">
        <v>191.92</v>
      </c>
      <c r="P32" s="98">
        <v>33224.949999999997</v>
      </c>
      <c r="Q32" s="98">
        <v>3804.16</v>
      </c>
      <c r="R32" s="98">
        <v>5953.12</v>
      </c>
      <c r="S32" s="98">
        <v>49.639999999999418</v>
      </c>
      <c r="T32" s="98">
        <v>194173.48</v>
      </c>
      <c r="U32" s="98">
        <v>117508.53</v>
      </c>
      <c r="V32" s="98">
        <v>5964.3</v>
      </c>
      <c r="W32" s="98">
        <v>45562.61</v>
      </c>
      <c r="X32" s="98">
        <v>23439.89</v>
      </c>
      <c r="Y32" s="100">
        <v>1189.27</v>
      </c>
      <c r="Z32" s="98">
        <v>66.040000000000006</v>
      </c>
      <c r="AA32" s="98">
        <v>442.83999999999651</v>
      </c>
      <c r="AB32" s="114" t="s">
        <v>180</v>
      </c>
      <c r="AC32" s="98">
        <v>340003</v>
      </c>
      <c r="AD32" s="98">
        <v>330321.61</v>
      </c>
      <c r="AE32" s="98">
        <v>276309.38</v>
      </c>
      <c r="AF32" s="98">
        <v>36002.44</v>
      </c>
      <c r="AG32" s="98">
        <v>3551.1</v>
      </c>
      <c r="AH32" s="98">
        <v>2257.84</v>
      </c>
      <c r="AI32" s="98">
        <v>3392.57</v>
      </c>
      <c r="AJ32" s="98">
        <v>1026.18</v>
      </c>
      <c r="AK32" s="98">
        <v>437.61</v>
      </c>
      <c r="AL32" s="98">
        <v>2688.74</v>
      </c>
      <c r="AM32" s="98">
        <v>640.5</v>
      </c>
      <c r="AN32" s="98">
        <v>4015.2499999999418</v>
      </c>
      <c r="AO32" s="98">
        <v>9681.69</v>
      </c>
      <c r="AP32" s="114" t="s">
        <v>180</v>
      </c>
      <c r="AQ32" s="98">
        <v>340003</v>
      </c>
      <c r="AR32" s="98">
        <v>204786.09</v>
      </c>
      <c r="AS32" s="98">
        <v>129199.11</v>
      </c>
      <c r="AT32" s="98">
        <v>95719.95</v>
      </c>
      <c r="AU32" s="98">
        <v>6018.15</v>
      </c>
      <c r="AV32" s="98">
        <v>237861.46</v>
      </c>
      <c r="AW32" s="98">
        <v>102141.87</v>
      </c>
      <c r="AX32" s="114" t="s">
        <v>180</v>
      </c>
      <c r="AY32" s="98">
        <v>340003</v>
      </c>
      <c r="AZ32" s="98">
        <v>204786.09</v>
      </c>
      <c r="BA32" s="98">
        <v>34525</v>
      </c>
      <c r="BB32" s="98">
        <v>170260.65</v>
      </c>
      <c r="BC32" s="98">
        <v>84282.3</v>
      </c>
      <c r="BD32" s="98">
        <v>85978.3</v>
      </c>
      <c r="BE32" s="118">
        <v>50.076219915706623</v>
      </c>
      <c r="BF32" s="114" t="s">
        <v>180</v>
      </c>
      <c r="BG32" s="98"/>
      <c r="BH32" s="98"/>
      <c r="BI32" s="98"/>
      <c r="BJ32" s="98"/>
      <c r="BK32" s="105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>
        <v>129199.11</v>
      </c>
      <c r="CA32" s="98">
        <v>340003</v>
      </c>
      <c r="CB32" s="114" t="s">
        <v>180</v>
      </c>
      <c r="CC32" s="103">
        <v>349423</v>
      </c>
      <c r="CD32" s="98">
        <v>24328.063389160001</v>
      </c>
      <c r="CE32" s="98">
        <v>73594.056189130002</v>
      </c>
      <c r="CF32" s="98">
        <v>914.14</v>
      </c>
      <c r="CG32" s="98">
        <v>26015.81</v>
      </c>
      <c r="CH32" s="98">
        <v>109022.50814783</v>
      </c>
      <c r="CI32" s="98">
        <v>99012.895482280001</v>
      </c>
      <c r="CJ32" s="98">
        <v>16535.526791599987</v>
      </c>
      <c r="CK32" s="114" t="s">
        <v>180</v>
      </c>
      <c r="CL32" s="103">
        <v>177024</v>
      </c>
      <c r="CM32" s="98">
        <v>249.55</v>
      </c>
      <c r="CN32" s="98">
        <v>1335.82</v>
      </c>
      <c r="CO32" s="98">
        <v>21525.01</v>
      </c>
      <c r="CP32" s="98">
        <v>84005.924963960002</v>
      </c>
      <c r="CQ32" s="98">
        <v>67862.759539880004</v>
      </c>
      <c r="CR32" s="98">
        <v>2044.9354961600038</v>
      </c>
      <c r="CS32" s="114" t="s">
        <v>180</v>
      </c>
      <c r="CT32" s="103">
        <v>87016.967831319998</v>
      </c>
      <c r="CU32" s="98">
        <v>2800.8800000000047</v>
      </c>
      <c r="CV32" s="98">
        <v>84216.087831319994</v>
      </c>
      <c r="CW32" s="98">
        <v>83243</v>
      </c>
      <c r="CX32" s="98">
        <v>29648</v>
      </c>
    </row>
    <row r="33" spans="1:102" x14ac:dyDescent="0.3">
      <c r="A33" s="114" t="s">
        <v>181</v>
      </c>
      <c r="B33" s="98">
        <v>251222</v>
      </c>
      <c r="C33" s="98">
        <v>241834</v>
      </c>
      <c r="D33" s="98">
        <v>43322.45</v>
      </c>
      <c r="E33" s="98">
        <v>198511.67</v>
      </c>
      <c r="F33" s="98">
        <v>9386.74</v>
      </c>
      <c r="G33" s="98">
        <v>678.55</v>
      </c>
      <c r="H33" s="98">
        <v>8418.65</v>
      </c>
      <c r="I33" s="98">
        <v>33.92</v>
      </c>
      <c r="J33" s="98">
        <v>255.62</v>
      </c>
      <c r="K33" s="114" t="s">
        <v>181</v>
      </c>
      <c r="L33" s="98">
        <v>241834</v>
      </c>
      <c r="M33" s="98">
        <v>43322.45</v>
      </c>
      <c r="N33" s="98">
        <v>252.37</v>
      </c>
      <c r="O33" s="98">
        <v>199.33</v>
      </c>
      <c r="P33" s="98">
        <v>34291.360000000001</v>
      </c>
      <c r="Q33" s="98">
        <v>3703.74</v>
      </c>
      <c r="R33" s="98">
        <v>4806.8100000000004</v>
      </c>
      <c r="S33" s="98">
        <v>68.840000000003783</v>
      </c>
      <c r="T33" s="98">
        <v>198511.67</v>
      </c>
      <c r="U33" s="98">
        <v>119307.58</v>
      </c>
      <c r="V33" s="98">
        <v>6064.71</v>
      </c>
      <c r="W33" s="98">
        <v>46364.44</v>
      </c>
      <c r="X33" s="98">
        <v>25079.55</v>
      </c>
      <c r="Y33" s="100">
        <v>1194.54</v>
      </c>
      <c r="Z33" s="98">
        <v>65.69</v>
      </c>
      <c r="AA33" s="98">
        <v>435.16000000000349</v>
      </c>
      <c r="AB33" s="114" t="s">
        <v>181</v>
      </c>
      <c r="AC33" s="98">
        <v>345402</v>
      </c>
      <c r="AD33" s="98">
        <v>335738.9</v>
      </c>
      <c r="AE33" s="98">
        <v>281104.05</v>
      </c>
      <c r="AF33" s="98">
        <v>36337.43</v>
      </c>
      <c r="AG33" s="98">
        <v>3822.37</v>
      </c>
      <c r="AH33" s="98">
        <v>2900.55</v>
      </c>
      <c r="AI33" s="98">
        <v>3436.71</v>
      </c>
      <c r="AJ33" s="98">
        <v>679.73</v>
      </c>
      <c r="AK33" s="98">
        <v>541.49</v>
      </c>
      <c r="AL33" s="98">
        <v>2651.4</v>
      </c>
      <c r="AM33" s="98">
        <v>213.24</v>
      </c>
      <c r="AN33" s="98">
        <v>4051.9300000000512</v>
      </c>
      <c r="AO33" s="98">
        <v>9663.07</v>
      </c>
      <c r="AP33" s="114" t="s">
        <v>181</v>
      </c>
      <c r="AQ33" s="98">
        <v>345402</v>
      </c>
      <c r="AR33" s="98">
        <v>207953.9</v>
      </c>
      <c r="AS33" s="98">
        <v>131435.94</v>
      </c>
      <c r="AT33" s="98">
        <v>97648.63</v>
      </c>
      <c r="AU33" s="98">
        <v>6012.16</v>
      </c>
      <c r="AV33" s="98">
        <v>242931.67</v>
      </c>
      <c r="AW33" s="98">
        <v>102470.27</v>
      </c>
      <c r="AX33" s="114" t="s">
        <v>181</v>
      </c>
      <c r="AY33" s="98">
        <v>345402</v>
      </c>
      <c r="AZ33" s="98">
        <v>207953.9</v>
      </c>
      <c r="BA33" s="98">
        <v>36833</v>
      </c>
      <c r="BB33" s="98">
        <v>171121.16</v>
      </c>
      <c r="BC33" s="98">
        <v>85073.37</v>
      </c>
      <c r="BD33" s="98">
        <v>86047.73</v>
      </c>
      <c r="BE33" s="118">
        <v>49.542608323055454</v>
      </c>
      <c r="BF33" s="114" t="s">
        <v>181</v>
      </c>
      <c r="BG33" s="98">
        <v>213966</v>
      </c>
      <c r="BH33" s="98">
        <v>96922</v>
      </c>
      <c r="BI33" s="98">
        <v>40332.28</v>
      </c>
      <c r="BJ33" s="98">
        <v>11745</v>
      </c>
      <c r="BK33" s="105">
        <v>5716</v>
      </c>
      <c r="BL33" s="98">
        <v>8680</v>
      </c>
      <c r="BM33" s="98">
        <v>14825</v>
      </c>
      <c r="BN33" s="98">
        <v>27062</v>
      </c>
      <c r="BO33" s="98">
        <v>5498</v>
      </c>
      <c r="BP33" s="98">
        <v>117043</v>
      </c>
      <c r="BQ33" s="98">
        <v>1294</v>
      </c>
      <c r="BR33" s="98">
        <v>691</v>
      </c>
      <c r="BS33" s="98">
        <v>7116</v>
      </c>
      <c r="BT33" s="98">
        <v>2062</v>
      </c>
      <c r="BU33" s="98">
        <v>22745</v>
      </c>
      <c r="BV33" s="98">
        <v>13931</v>
      </c>
      <c r="BW33" s="98">
        <v>7646</v>
      </c>
      <c r="BX33" s="98">
        <v>1448</v>
      </c>
      <c r="BY33" s="98">
        <v>27473</v>
      </c>
      <c r="BZ33" s="98">
        <v>131435.94</v>
      </c>
      <c r="CA33" s="98">
        <v>345402</v>
      </c>
      <c r="CB33" s="114" t="s">
        <v>181</v>
      </c>
      <c r="CC33" s="103">
        <v>348962</v>
      </c>
      <c r="CD33" s="98">
        <v>24391.739788970001</v>
      </c>
      <c r="CE33" s="98">
        <v>72103.785548440006</v>
      </c>
      <c r="CF33" s="98">
        <v>907.29</v>
      </c>
      <c r="CG33" s="98">
        <v>26147.81</v>
      </c>
      <c r="CH33" s="98">
        <v>109418.57770452001</v>
      </c>
      <c r="CI33" s="98">
        <v>99111.835012519994</v>
      </c>
      <c r="CJ33" s="98">
        <v>16880.961945549992</v>
      </c>
      <c r="CK33" s="114" t="s">
        <v>181</v>
      </c>
      <c r="CL33" s="103">
        <v>176771</v>
      </c>
      <c r="CM33" s="98">
        <v>247.69</v>
      </c>
      <c r="CN33" s="98">
        <v>1345.88</v>
      </c>
      <c r="CO33" s="98">
        <v>21546.06</v>
      </c>
      <c r="CP33" s="98">
        <v>84394.660753889999</v>
      </c>
      <c r="CQ33" s="98">
        <v>67521.176986179998</v>
      </c>
      <c r="CR33" s="98">
        <v>1715.5322599299834</v>
      </c>
      <c r="CS33" s="114" t="s">
        <v>181</v>
      </c>
      <c r="CT33" s="103">
        <v>87215.132348619998</v>
      </c>
      <c r="CU33" s="98">
        <v>2522.0099999999948</v>
      </c>
      <c r="CV33" s="98">
        <v>84693.122348620003</v>
      </c>
      <c r="CW33" s="98">
        <v>82872</v>
      </c>
      <c r="CX33" s="104">
        <v>29438</v>
      </c>
    </row>
    <row r="34" spans="1:102" x14ac:dyDescent="0.3">
      <c r="A34" s="114" t="s">
        <v>182</v>
      </c>
      <c r="B34" s="98">
        <v>247819</v>
      </c>
      <c r="C34" s="98">
        <v>238453</v>
      </c>
      <c r="D34" s="98">
        <v>42096.82</v>
      </c>
      <c r="E34" s="98">
        <v>196356.62</v>
      </c>
      <c r="F34" s="98">
        <v>9366.409999999998</v>
      </c>
      <c r="G34" s="98">
        <v>684.14</v>
      </c>
      <c r="H34" s="98">
        <v>8395.2999999999993</v>
      </c>
      <c r="I34" s="98">
        <v>31.3</v>
      </c>
      <c r="J34" s="98">
        <v>255.67</v>
      </c>
      <c r="K34" s="114" t="s">
        <v>183</v>
      </c>
      <c r="L34" s="98">
        <v>238453</v>
      </c>
      <c r="M34" s="98">
        <v>42096.82</v>
      </c>
      <c r="N34" s="98">
        <v>120.26</v>
      </c>
      <c r="O34" s="98">
        <v>191.1</v>
      </c>
      <c r="P34" s="98">
        <v>34254.14</v>
      </c>
      <c r="Q34" s="98">
        <v>3755.91</v>
      </c>
      <c r="R34" s="98">
        <v>3718.48</v>
      </c>
      <c r="S34" s="98">
        <v>56.929999999993015</v>
      </c>
      <c r="T34" s="98">
        <v>196356.62</v>
      </c>
      <c r="U34" s="98">
        <v>119506.87</v>
      </c>
      <c r="V34" s="98">
        <v>6249.01</v>
      </c>
      <c r="W34" s="98">
        <v>47058</v>
      </c>
      <c r="X34" s="98">
        <v>21857.31</v>
      </c>
      <c r="Y34" s="100">
        <v>1191.6300000000001</v>
      </c>
      <c r="Z34" s="98">
        <v>65.17</v>
      </c>
      <c r="AA34" s="98">
        <v>428.62999999997555</v>
      </c>
      <c r="AB34" s="114" t="s">
        <v>183</v>
      </c>
      <c r="AC34" s="98">
        <v>346972</v>
      </c>
      <c r="AD34" s="98">
        <v>337369.7</v>
      </c>
      <c r="AE34" s="98">
        <v>282524.38</v>
      </c>
      <c r="AF34" s="98">
        <v>37112.480000000003</v>
      </c>
      <c r="AG34" s="98">
        <v>3755.59</v>
      </c>
      <c r="AH34" s="98">
        <v>2318.14</v>
      </c>
      <c r="AI34" s="98">
        <v>3450.15</v>
      </c>
      <c r="AJ34" s="98">
        <v>636.15</v>
      </c>
      <c r="AK34" s="98">
        <v>386.85</v>
      </c>
      <c r="AL34" s="98">
        <v>2679.86</v>
      </c>
      <c r="AM34" s="98">
        <v>322.87</v>
      </c>
      <c r="AN34" s="98">
        <v>4183.2299999999814</v>
      </c>
      <c r="AO34" s="98">
        <v>9602.68</v>
      </c>
      <c r="AP34" s="114" t="s">
        <v>183</v>
      </c>
      <c r="AQ34" s="98">
        <v>346972</v>
      </c>
      <c r="AR34" s="98">
        <v>208848.99</v>
      </c>
      <c r="AS34" s="98">
        <v>132314.70000000001</v>
      </c>
      <c r="AT34" s="98">
        <v>98749.41</v>
      </c>
      <c r="AU34" s="98">
        <v>5808.7</v>
      </c>
      <c r="AV34" s="98">
        <v>244235.2</v>
      </c>
      <c r="AW34" s="98">
        <v>102737.22</v>
      </c>
      <c r="AX34" s="114" t="s">
        <v>183</v>
      </c>
      <c r="AY34" s="98">
        <v>346972</v>
      </c>
      <c r="AZ34" s="98">
        <v>208848.99</v>
      </c>
      <c r="BA34" s="98">
        <v>37255</v>
      </c>
      <c r="BB34" s="98">
        <v>171593.85</v>
      </c>
      <c r="BC34" s="98">
        <v>85362.87</v>
      </c>
      <c r="BD34" s="98">
        <v>86231.01</v>
      </c>
      <c r="BE34" s="118">
        <v>49.454667811811902</v>
      </c>
      <c r="BF34" s="114" t="s">
        <v>183</v>
      </c>
      <c r="BG34" s="98"/>
      <c r="BH34" s="98"/>
      <c r="BI34" s="98"/>
      <c r="BJ34" s="98"/>
      <c r="BK34" s="105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>
        <v>132314.70000000001</v>
      </c>
      <c r="CA34" s="98">
        <v>346972</v>
      </c>
      <c r="CB34" s="114" t="s">
        <v>183</v>
      </c>
      <c r="CC34" s="103">
        <v>354177</v>
      </c>
      <c r="CD34" s="98">
        <v>26783.39254542</v>
      </c>
      <c r="CE34" s="98">
        <v>73448.890717920003</v>
      </c>
      <c r="CF34" s="98">
        <v>914.53</v>
      </c>
      <c r="CG34" s="98">
        <v>26290.31</v>
      </c>
      <c r="CH34" s="98">
        <v>109200.80699999999</v>
      </c>
      <c r="CI34" s="98">
        <v>101026.76773305</v>
      </c>
      <c r="CJ34" s="98">
        <v>16512.302003610006</v>
      </c>
      <c r="CK34" s="114" t="s">
        <v>183</v>
      </c>
      <c r="CL34" s="103">
        <v>176234</v>
      </c>
      <c r="CM34" s="98">
        <v>244.91</v>
      </c>
      <c r="CN34" s="98">
        <v>1355.86</v>
      </c>
      <c r="CO34" s="98">
        <v>21550.85</v>
      </c>
      <c r="CP34" s="98">
        <v>84625.828999999998</v>
      </c>
      <c r="CQ34" s="98">
        <v>66441.99402002999</v>
      </c>
      <c r="CR34" s="98">
        <v>2014.556979970017</v>
      </c>
      <c r="CS34" s="114" t="s">
        <v>183</v>
      </c>
      <c r="CT34" s="103">
        <v>87400.728930540005</v>
      </c>
      <c r="CU34" s="98">
        <v>2852.3600000000006</v>
      </c>
      <c r="CV34" s="98">
        <v>84548.368930540004</v>
      </c>
      <c r="CW34" s="98">
        <v>82199</v>
      </c>
      <c r="CX34" s="104">
        <v>29384</v>
      </c>
    </row>
    <row r="35" spans="1:102" x14ac:dyDescent="0.3">
      <c r="A35" s="114" t="s">
        <v>184</v>
      </c>
      <c r="B35" s="98">
        <v>248008</v>
      </c>
      <c r="C35" s="98">
        <v>238910</v>
      </c>
      <c r="D35" s="98">
        <v>40893.160000000003</v>
      </c>
      <c r="E35" s="98">
        <v>198016.83</v>
      </c>
      <c r="F35" s="98">
        <v>9097.510000000002</v>
      </c>
      <c r="G35" s="98">
        <v>681.12</v>
      </c>
      <c r="H35" s="98">
        <v>8119.16</v>
      </c>
      <c r="I35" s="98">
        <v>41.61</v>
      </c>
      <c r="J35" s="98">
        <v>255.62</v>
      </c>
      <c r="K35" s="114" t="s">
        <v>171</v>
      </c>
      <c r="L35" s="98">
        <v>238910</v>
      </c>
      <c r="M35" s="98">
        <v>40893.160000000003</v>
      </c>
      <c r="N35" s="98">
        <v>235.65</v>
      </c>
      <c r="O35" s="98">
        <v>194.72</v>
      </c>
      <c r="P35" s="98">
        <v>32818.76</v>
      </c>
      <c r="Q35" s="98">
        <v>3634.25</v>
      </c>
      <c r="R35" s="98">
        <v>3964.8</v>
      </c>
      <c r="S35" s="98">
        <v>44.979999999995925</v>
      </c>
      <c r="T35" s="98">
        <v>198016.83</v>
      </c>
      <c r="U35" s="98">
        <v>121712.97</v>
      </c>
      <c r="V35" s="98">
        <v>6441.53</v>
      </c>
      <c r="W35" s="98">
        <v>46521.74</v>
      </c>
      <c r="X35" s="98">
        <v>21653.88</v>
      </c>
      <c r="Y35" s="100">
        <v>1197.22</v>
      </c>
      <c r="Z35" s="98">
        <v>64.59</v>
      </c>
      <c r="AA35" s="98">
        <v>424.89999999999418</v>
      </c>
      <c r="AB35" s="114" t="s">
        <v>171</v>
      </c>
      <c r="AC35" s="98">
        <v>350440</v>
      </c>
      <c r="AD35" s="98">
        <v>340759.7</v>
      </c>
      <c r="AE35" s="98">
        <v>285537.98</v>
      </c>
      <c r="AF35" s="98">
        <v>38031.35</v>
      </c>
      <c r="AG35" s="98">
        <v>3549.2</v>
      </c>
      <c r="AH35" s="98">
        <v>2078.44</v>
      </c>
      <c r="AI35" s="98">
        <v>3450.16</v>
      </c>
      <c r="AJ35" s="98">
        <v>571.53</v>
      </c>
      <c r="AK35" s="98">
        <v>442.79</v>
      </c>
      <c r="AL35" s="98">
        <v>2749.39</v>
      </c>
      <c r="AM35" s="98">
        <v>139.25</v>
      </c>
      <c r="AN35" s="98">
        <v>4209.6100000000442</v>
      </c>
      <c r="AO35" s="98">
        <v>9680.0499999999993</v>
      </c>
      <c r="AP35" s="114" t="s">
        <v>171</v>
      </c>
      <c r="AQ35" s="98">
        <v>350440</v>
      </c>
      <c r="AR35" s="98">
        <v>211000.64</v>
      </c>
      <c r="AS35" s="98">
        <v>133805.31</v>
      </c>
      <c r="AT35" s="98">
        <v>100038.04</v>
      </c>
      <c r="AU35" s="98">
        <v>5633.77</v>
      </c>
      <c r="AV35" s="98">
        <v>246024.72</v>
      </c>
      <c r="AW35" s="98">
        <v>104414.99</v>
      </c>
      <c r="AX35" s="114" t="s">
        <v>171</v>
      </c>
      <c r="AY35" s="98">
        <v>350440</v>
      </c>
      <c r="AZ35" s="98">
        <v>211000.64</v>
      </c>
      <c r="BA35" s="98">
        <v>37519</v>
      </c>
      <c r="BB35" s="98">
        <v>173481.94</v>
      </c>
      <c r="BC35" s="98">
        <v>85848.53</v>
      </c>
      <c r="BD35" s="98">
        <v>87633.45</v>
      </c>
      <c r="BE35" s="118">
        <v>49.50403492751969</v>
      </c>
      <c r="BF35" s="114" t="s">
        <v>171</v>
      </c>
      <c r="BG35" s="98"/>
      <c r="BH35" s="98"/>
      <c r="BI35" s="98"/>
      <c r="BJ35" s="98"/>
      <c r="BK35" s="105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>
        <v>133805.31</v>
      </c>
      <c r="CA35" s="98">
        <v>350440</v>
      </c>
      <c r="CB35" s="114" t="s">
        <v>171</v>
      </c>
      <c r="CC35" s="103">
        <v>354905</v>
      </c>
      <c r="CD35" s="98">
        <v>26975.267805969997</v>
      </c>
      <c r="CE35" s="98">
        <v>74316.752658989994</v>
      </c>
      <c r="CF35" s="98">
        <v>921.46</v>
      </c>
      <c r="CG35" s="98">
        <v>26329.18</v>
      </c>
      <c r="CH35" s="98">
        <v>108978.969</v>
      </c>
      <c r="CI35" s="98">
        <v>100802.41569057001</v>
      </c>
      <c r="CJ35" s="98">
        <v>16580.954844469961</v>
      </c>
      <c r="CK35" s="114" t="s">
        <v>171</v>
      </c>
      <c r="CL35" s="103">
        <v>175959</v>
      </c>
      <c r="CM35" s="98">
        <v>225.9</v>
      </c>
      <c r="CN35" s="98">
        <v>1338.79</v>
      </c>
      <c r="CO35" s="98">
        <v>21640.54</v>
      </c>
      <c r="CP35" s="98">
        <v>84532.120999999999</v>
      </c>
      <c r="CQ35" s="98">
        <v>66113.474087440001</v>
      </c>
      <c r="CR35" s="98">
        <v>2108.1749125600036</v>
      </c>
      <c r="CS35" s="114" t="s">
        <v>171</v>
      </c>
      <c r="CT35" s="103">
        <v>87509.078213610002</v>
      </c>
      <c r="CU35" s="98">
        <v>2918.5</v>
      </c>
      <c r="CV35" s="98">
        <v>84590.578213610002</v>
      </c>
      <c r="CW35" s="98">
        <v>81857</v>
      </c>
      <c r="CX35" s="104">
        <v>29264</v>
      </c>
    </row>
    <row r="36" spans="1:102" x14ac:dyDescent="0.3">
      <c r="A36" s="114" t="s">
        <v>185</v>
      </c>
      <c r="B36" s="98">
        <v>248075</v>
      </c>
      <c r="C36" s="98">
        <v>238764</v>
      </c>
      <c r="D36" s="98">
        <v>40300.769999999997</v>
      </c>
      <c r="E36" s="98">
        <v>198463.44</v>
      </c>
      <c r="F36" s="98">
        <v>9311.2100000000009</v>
      </c>
      <c r="G36" s="98">
        <v>713.04</v>
      </c>
      <c r="H36" s="98">
        <v>8283.39</v>
      </c>
      <c r="I36" s="98">
        <v>39.17</v>
      </c>
      <c r="J36" s="98">
        <v>275.61</v>
      </c>
      <c r="K36" s="114" t="s">
        <v>185</v>
      </c>
      <c r="L36" s="98">
        <v>238764</v>
      </c>
      <c r="M36" s="98">
        <v>40300.769999999997</v>
      </c>
      <c r="N36" s="98">
        <v>116.53</v>
      </c>
      <c r="O36" s="98">
        <v>184.29</v>
      </c>
      <c r="P36" s="98">
        <v>32743.54</v>
      </c>
      <c r="Q36" s="98">
        <v>3757.9</v>
      </c>
      <c r="R36" s="98">
        <v>3447.96</v>
      </c>
      <c r="S36" s="98">
        <v>50.549999999995634</v>
      </c>
      <c r="T36" s="98">
        <v>198463.44</v>
      </c>
      <c r="U36" s="98">
        <v>121689.81</v>
      </c>
      <c r="V36" s="98">
        <v>6719.39</v>
      </c>
      <c r="W36" s="98">
        <v>46432.4</v>
      </c>
      <c r="X36" s="98">
        <v>21936.49</v>
      </c>
      <c r="Y36" s="100">
        <v>1198.96</v>
      </c>
      <c r="Z36" s="98">
        <v>64.52</v>
      </c>
      <c r="AA36" s="98">
        <v>421.87000000002445</v>
      </c>
      <c r="AB36" s="114" t="s">
        <v>185</v>
      </c>
      <c r="AC36" s="98">
        <v>351426</v>
      </c>
      <c r="AD36" s="98">
        <v>341958.91</v>
      </c>
      <c r="AE36" s="98">
        <v>286190</v>
      </c>
      <c r="AF36" s="98">
        <v>38629.56</v>
      </c>
      <c r="AG36" s="98">
        <v>3452.98</v>
      </c>
      <c r="AH36" s="98">
        <v>2196.12</v>
      </c>
      <c r="AI36" s="98">
        <v>3448.35</v>
      </c>
      <c r="AJ36" s="98">
        <v>579.63</v>
      </c>
      <c r="AK36" s="98">
        <v>391.07</v>
      </c>
      <c r="AL36" s="98">
        <v>2787.16</v>
      </c>
      <c r="AM36" s="98">
        <v>58.74</v>
      </c>
      <c r="AN36" s="98">
        <v>4225.3000000000466</v>
      </c>
      <c r="AO36" s="98">
        <v>9466.98</v>
      </c>
      <c r="AP36" s="114" t="s">
        <v>185</v>
      </c>
      <c r="AQ36" s="98">
        <v>351426</v>
      </c>
      <c r="AR36" s="98">
        <v>211333.49</v>
      </c>
      <c r="AS36" s="98">
        <v>134515.19</v>
      </c>
      <c r="AT36" s="98">
        <v>100795.36</v>
      </c>
      <c r="AU36" s="98">
        <v>5577.15</v>
      </c>
      <c r="AV36" s="98">
        <v>246985.60000000001</v>
      </c>
      <c r="AW36" s="98">
        <v>104440.25</v>
      </c>
      <c r="AX36" s="114" t="s">
        <v>185</v>
      </c>
      <c r="AY36" s="98">
        <v>351426</v>
      </c>
      <c r="AZ36" s="98">
        <v>211333.49</v>
      </c>
      <c r="BA36" s="98">
        <v>37773</v>
      </c>
      <c r="BB36" s="98">
        <v>173560.21</v>
      </c>
      <c r="BC36" s="98">
        <v>85917.42</v>
      </c>
      <c r="BD36" s="98">
        <v>87642.99</v>
      </c>
      <c r="BE36" s="118">
        <v>49.38741299733087</v>
      </c>
      <c r="BF36" s="114" t="s">
        <v>185</v>
      </c>
      <c r="BG36" s="98">
        <v>216910.52</v>
      </c>
      <c r="BH36" s="98">
        <v>99351.25</v>
      </c>
      <c r="BI36" s="98">
        <v>41411.03</v>
      </c>
      <c r="BJ36" s="98">
        <v>12453.07</v>
      </c>
      <c r="BK36" s="105">
        <v>5434.92</v>
      </c>
      <c r="BL36" s="98">
        <v>8701.7899999999991</v>
      </c>
      <c r="BM36" s="98">
        <v>15638.140000000001</v>
      </c>
      <c r="BN36" s="98">
        <v>27404.32</v>
      </c>
      <c r="BO36" s="98">
        <v>5872.5300000000007</v>
      </c>
      <c r="BP36" s="98">
        <v>117559.30000000002</v>
      </c>
      <c r="BQ36" s="98">
        <v>1341.6</v>
      </c>
      <c r="BR36" s="98">
        <v>40.47</v>
      </c>
      <c r="BS36" s="98">
        <v>7369.89</v>
      </c>
      <c r="BT36" s="98">
        <v>2055.77</v>
      </c>
      <c r="BU36" s="98">
        <v>23114.769999999997</v>
      </c>
      <c r="BV36" s="98">
        <v>14198.47</v>
      </c>
      <c r="BW36" s="98">
        <v>7827.95</v>
      </c>
      <c r="BX36" s="98">
        <v>1106.48</v>
      </c>
      <c r="BY36" s="98">
        <v>28013.989999999998</v>
      </c>
      <c r="BZ36" s="98">
        <v>134515.19</v>
      </c>
      <c r="CA36" s="98">
        <v>351426</v>
      </c>
      <c r="CB36" s="114" t="s">
        <v>185</v>
      </c>
      <c r="CC36" s="103">
        <v>352451</v>
      </c>
      <c r="CD36" s="98">
        <v>27230.246155960001</v>
      </c>
      <c r="CE36" s="98">
        <v>71677.270814089992</v>
      </c>
      <c r="CF36" s="98">
        <v>940.01</v>
      </c>
      <c r="CG36" s="98">
        <v>26335.397130180001</v>
      </c>
      <c r="CH36" s="98">
        <v>109190.81</v>
      </c>
      <c r="CI36" s="98">
        <v>100674.86311154001</v>
      </c>
      <c r="CJ36" s="98">
        <v>16402.402788229985</v>
      </c>
      <c r="CK36" s="114" t="s">
        <v>185</v>
      </c>
      <c r="CL36" s="103">
        <v>175800</v>
      </c>
      <c r="CM36" s="98">
        <v>185.7</v>
      </c>
      <c r="CN36" s="98">
        <v>1444.46</v>
      </c>
      <c r="CO36" s="98">
        <v>21460.153588189998</v>
      </c>
      <c r="CP36" s="98">
        <v>84599.63900000001</v>
      </c>
      <c r="CQ36" s="98">
        <v>66253.293852030009</v>
      </c>
      <c r="CR36" s="98">
        <v>1856.753559779987</v>
      </c>
      <c r="CS36" s="114" t="s">
        <v>185</v>
      </c>
      <c r="CT36" s="103">
        <v>87704.699291750003</v>
      </c>
      <c r="CU36" s="98">
        <v>2578.5699999999924</v>
      </c>
      <c r="CV36" s="98">
        <v>85126.12929175001</v>
      </c>
      <c r="CW36" s="98">
        <v>81542</v>
      </c>
      <c r="CX36" s="104">
        <v>29770</v>
      </c>
    </row>
    <row r="37" spans="1:102" x14ac:dyDescent="0.3">
      <c r="A37" s="114" t="s">
        <v>186</v>
      </c>
      <c r="B37" s="98">
        <v>248217</v>
      </c>
      <c r="C37" s="98">
        <v>238997</v>
      </c>
      <c r="D37" s="98">
        <v>39781.43</v>
      </c>
      <c r="E37" s="98">
        <v>199216.03</v>
      </c>
      <c r="F37" s="98">
        <v>9219.91</v>
      </c>
      <c r="G37" s="98">
        <v>707.25</v>
      </c>
      <c r="H37" s="98">
        <v>8199.33</v>
      </c>
      <c r="I37" s="98">
        <v>37.64</v>
      </c>
      <c r="J37" s="98">
        <v>275.69</v>
      </c>
      <c r="K37" s="114" t="s">
        <v>186</v>
      </c>
      <c r="L37" s="98">
        <v>238997</v>
      </c>
      <c r="M37" s="98">
        <v>39781.43</v>
      </c>
      <c r="N37" s="98">
        <v>117.17</v>
      </c>
      <c r="O37" s="98">
        <v>203.32</v>
      </c>
      <c r="P37" s="98">
        <v>32369.26</v>
      </c>
      <c r="Q37" s="98">
        <v>3618.15</v>
      </c>
      <c r="R37" s="98">
        <v>3427.61</v>
      </c>
      <c r="S37" s="98">
        <v>45.919999999998254</v>
      </c>
      <c r="T37" s="98">
        <v>199216.03</v>
      </c>
      <c r="U37" s="98">
        <v>121673.56</v>
      </c>
      <c r="V37" s="98">
        <v>6929.15</v>
      </c>
      <c r="W37" s="98">
        <v>46385.05</v>
      </c>
      <c r="X37" s="98">
        <v>22550.95</v>
      </c>
      <c r="Y37" s="100">
        <v>1196.08</v>
      </c>
      <c r="Z37" s="98">
        <v>62.7</v>
      </c>
      <c r="AA37" s="98">
        <v>418.53999999997905</v>
      </c>
      <c r="AB37" s="114" t="s">
        <v>186</v>
      </c>
      <c r="AC37" s="98">
        <v>354472</v>
      </c>
      <c r="AD37" s="98">
        <v>344756.61</v>
      </c>
      <c r="AE37" s="98">
        <v>288234.3</v>
      </c>
      <c r="AF37" s="98">
        <v>39121.660000000003</v>
      </c>
      <c r="AG37" s="98">
        <v>3617.06</v>
      </c>
      <c r="AH37" s="98">
        <v>2247.7199999999998</v>
      </c>
      <c r="AI37" s="98">
        <v>3446.82</v>
      </c>
      <c r="AJ37" s="98">
        <v>565.9</v>
      </c>
      <c r="AK37" s="98">
        <v>405.72</v>
      </c>
      <c r="AL37" s="98">
        <v>2815.12</v>
      </c>
      <c r="AM37" s="98">
        <v>44.92</v>
      </c>
      <c r="AN37" s="98">
        <v>4257.390000000014</v>
      </c>
      <c r="AO37" s="98">
        <v>9714.89</v>
      </c>
      <c r="AP37" s="114" t="s">
        <v>186</v>
      </c>
      <c r="AQ37" s="98">
        <v>354472</v>
      </c>
      <c r="AR37" s="98">
        <v>212875.12</v>
      </c>
      <c r="AS37" s="98">
        <v>135277.48000000001</v>
      </c>
      <c r="AT37" s="98">
        <v>101467.41</v>
      </c>
      <c r="AU37" s="98">
        <v>6318.88</v>
      </c>
      <c r="AV37" s="98">
        <v>249317.58</v>
      </c>
      <c r="AW37" s="98">
        <v>105153.88</v>
      </c>
      <c r="AX37" s="114" t="s">
        <v>186</v>
      </c>
      <c r="AY37" s="98">
        <v>354472</v>
      </c>
      <c r="AZ37" s="98">
        <v>212875.12</v>
      </c>
      <c r="BA37" s="98">
        <v>38589</v>
      </c>
      <c r="BB37" s="98">
        <v>174285.76</v>
      </c>
      <c r="BC37" s="98">
        <v>86326.78</v>
      </c>
      <c r="BD37" s="98">
        <v>87958.97</v>
      </c>
      <c r="BE37" s="118">
        <v>49.167708591933923</v>
      </c>
      <c r="BF37" s="114" t="s">
        <v>186</v>
      </c>
      <c r="BG37" s="98"/>
      <c r="BH37" s="98"/>
      <c r="BI37" s="98"/>
      <c r="BJ37" s="98"/>
      <c r="BK37" s="105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>
        <v>135277.48000000001</v>
      </c>
      <c r="CA37" s="98">
        <v>354472</v>
      </c>
      <c r="CB37" s="114" t="s">
        <v>186</v>
      </c>
      <c r="CC37" s="103">
        <v>353811</v>
      </c>
      <c r="CD37" s="98">
        <v>26981.684334639998</v>
      </c>
      <c r="CE37" s="98">
        <v>73295.339269060001</v>
      </c>
      <c r="CF37" s="98">
        <v>968.78</v>
      </c>
      <c r="CG37" s="98">
        <v>26322.934383339998</v>
      </c>
      <c r="CH37" s="98">
        <v>109516.49400000001</v>
      </c>
      <c r="CI37" s="98">
        <v>100331.40632855</v>
      </c>
      <c r="CJ37" s="98">
        <v>16394.361684410018</v>
      </c>
      <c r="CK37" s="114" t="s">
        <v>186</v>
      </c>
      <c r="CL37" s="103">
        <v>176924</v>
      </c>
      <c r="CM37" s="98">
        <v>185.17</v>
      </c>
      <c r="CN37" s="98">
        <v>1457.62</v>
      </c>
      <c r="CO37" s="98">
        <v>21210.168266590001</v>
      </c>
      <c r="CP37" s="98">
        <v>84394.981</v>
      </c>
      <c r="CQ37" s="98">
        <v>67489.170687320002</v>
      </c>
      <c r="CR37" s="98">
        <v>2186.890046090004</v>
      </c>
      <c r="CS37" s="114" t="s">
        <v>186</v>
      </c>
      <c r="CT37" s="103">
        <v>88603.407602179999</v>
      </c>
      <c r="CU37" s="98">
        <v>2848.7099999999919</v>
      </c>
      <c r="CV37" s="98">
        <v>85754.697602180007</v>
      </c>
      <c r="CW37" s="98">
        <v>81802</v>
      </c>
      <c r="CX37" s="104">
        <v>30155</v>
      </c>
    </row>
    <row r="38" spans="1:102" x14ac:dyDescent="0.3">
      <c r="A38" s="114" t="s">
        <v>187</v>
      </c>
      <c r="B38" s="98">
        <v>247460</v>
      </c>
      <c r="C38" s="98">
        <v>238359</v>
      </c>
      <c r="D38" s="98">
        <v>39620.19</v>
      </c>
      <c r="E38" s="98">
        <v>198738.82</v>
      </c>
      <c r="F38" s="98">
        <v>9101.4599999999991</v>
      </c>
      <c r="G38" s="98">
        <v>679.43</v>
      </c>
      <c r="H38" s="98">
        <v>8104.4</v>
      </c>
      <c r="I38" s="98">
        <v>42.05</v>
      </c>
      <c r="J38" s="98">
        <v>275.58</v>
      </c>
      <c r="K38" s="114">
        <v>11</v>
      </c>
      <c r="L38" s="98">
        <v>238359</v>
      </c>
      <c r="M38" s="98">
        <v>39620.19</v>
      </c>
      <c r="N38" s="98">
        <v>203.83</v>
      </c>
      <c r="O38" s="98">
        <v>215.09</v>
      </c>
      <c r="P38" s="98">
        <v>32205.8</v>
      </c>
      <c r="Q38" s="98">
        <v>3643.51</v>
      </c>
      <c r="R38" s="98">
        <v>3317.82</v>
      </c>
      <c r="S38" s="98">
        <v>34.140000000006694</v>
      </c>
      <c r="T38" s="98">
        <v>198738.82</v>
      </c>
      <c r="U38" s="98">
        <v>121188.25</v>
      </c>
      <c r="V38" s="98">
        <v>7091.9</v>
      </c>
      <c r="W38" s="98">
        <v>46439.42</v>
      </c>
      <c r="X38" s="98">
        <v>22368.02</v>
      </c>
      <c r="Y38" s="100">
        <v>1175.8399999999999</v>
      </c>
      <c r="Z38" s="98">
        <v>62.05</v>
      </c>
      <c r="AA38" s="98">
        <v>413.34000000002561</v>
      </c>
      <c r="AB38" s="114">
        <v>11</v>
      </c>
      <c r="AC38" s="98">
        <v>357617</v>
      </c>
      <c r="AD38" s="98">
        <v>347913.96</v>
      </c>
      <c r="AE38" s="98">
        <v>290426.45</v>
      </c>
      <c r="AF38" s="98">
        <v>39532.94</v>
      </c>
      <c r="AG38" s="98">
        <v>3643.35</v>
      </c>
      <c r="AH38" s="98">
        <v>2254.67</v>
      </c>
      <c r="AI38" s="98">
        <v>3430.92</v>
      </c>
      <c r="AJ38" s="98">
        <v>587.91999999999996</v>
      </c>
      <c r="AK38" s="98">
        <v>508.57</v>
      </c>
      <c r="AL38" s="98">
        <v>2771.65</v>
      </c>
      <c r="AM38" s="98">
        <v>456.52</v>
      </c>
      <c r="AN38" s="98">
        <v>4300.9700000000885</v>
      </c>
      <c r="AO38" s="98">
        <v>9702.7099999999991</v>
      </c>
      <c r="AP38" s="114">
        <v>11</v>
      </c>
      <c r="AQ38" s="98">
        <v>357617</v>
      </c>
      <c r="AR38" s="98">
        <v>214782.77</v>
      </c>
      <c r="AS38" s="98">
        <v>136370.82</v>
      </c>
      <c r="AT38" s="98">
        <v>102600.76</v>
      </c>
      <c r="AU38" s="98">
        <v>6463.06</v>
      </c>
      <c r="AV38" s="98">
        <v>252289.96</v>
      </c>
      <c r="AW38" s="98">
        <v>105326.66</v>
      </c>
      <c r="AX38" s="114">
        <v>11</v>
      </c>
      <c r="AY38" s="98">
        <v>357617</v>
      </c>
      <c r="AZ38" s="98">
        <v>214782.77</v>
      </c>
      <c r="BA38" s="98">
        <v>39953</v>
      </c>
      <c r="BB38" s="98">
        <v>174829.95</v>
      </c>
      <c r="BC38" s="98">
        <v>86685.39</v>
      </c>
      <c r="BD38" s="98">
        <v>88144.54</v>
      </c>
      <c r="BE38" s="118">
        <v>48.887482977598943</v>
      </c>
      <c r="BF38" s="114">
        <v>11</v>
      </c>
      <c r="BG38" s="98"/>
      <c r="BH38" s="98"/>
      <c r="BI38" s="98"/>
      <c r="BJ38" s="98"/>
      <c r="BK38" s="105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>
        <v>136370.82</v>
      </c>
      <c r="CA38" s="98">
        <v>357617</v>
      </c>
      <c r="CB38" s="114">
        <v>11</v>
      </c>
      <c r="CC38" s="103">
        <v>355355</v>
      </c>
      <c r="CD38" s="98">
        <v>27738.619247770002</v>
      </c>
      <c r="CE38" s="98">
        <v>74984.243260610005</v>
      </c>
      <c r="CF38" s="98">
        <v>993.25</v>
      </c>
      <c r="CG38" s="98">
        <v>26209.50103299</v>
      </c>
      <c r="CH38" s="98">
        <v>109201.77866358001</v>
      </c>
      <c r="CI38" s="98">
        <v>99871.724901669993</v>
      </c>
      <c r="CJ38" s="98">
        <v>16355.882893380011</v>
      </c>
      <c r="CK38" s="114">
        <v>11</v>
      </c>
      <c r="CL38" s="103">
        <v>177637</v>
      </c>
      <c r="CM38" s="98">
        <v>162.33000000000001</v>
      </c>
      <c r="CN38" s="98">
        <v>1461.91</v>
      </c>
      <c r="CO38" s="98">
        <v>20983.959676370003</v>
      </c>
      <c r="CP38" s="98">
        <v>84569.36155283</v>
      </c>
      <c r="CQ38" s="98">
        <v>68287.381169140004</v>
      </c>
      <c r="CR38" s="98">
        <v>2172.0576016599953</v>
      </c>
      <c r="CS38" s="114">
        <v>11</v>
      </c>
      <c r="CT38" s="103">
        <v>88836.99329068001</v>
      </c>
      <c r="CU38" s="98">
        <v>2921.4400000000023</v>
      </c>
      <c r="CV38" s="98">
        <v>85915.553290680007</v>
      </c>
      <c r="CW38" s="98">
        <v>82198</v>
      </c>
      <c r="CX38" s="104">
        <v>30800</v>
      </c>
    </row>
    <row r="39" spans="1:102" x14ac:dyDescent="0.3">
      <c r="A39" s="114" t="s">
        <v>188</v>
      </c>
      <c r="B39" s="98">
        <v>252796</v>
      </c>
      <c r="C39" s="98">
        <v>244068</v>
      </c>
      <c r="D39" s="98">
        <v>42840.71</v>
      </c>
      <c r="E39" s="98">
        <v>201227.42</v>
      </c>
      <c r="F39" s="98">
        <v>8727.4500000000007</v>
      </c>
      <c r="G39" s="98">
        <v>644.64</v>
      </c>
      <c r="H39" s="98">
        <v>7785.39</v>
      </c>
      <c r="I39" s="98">
        <v>21.63</v>
      </c>
      <c r="J39" s="98">
        <v>275.79000000000002</v>
      </c>
      <c r="K39" s="114" t="s">
        <v>188</v>
      </c>
      <c r="L39" s="98">
        <v>244068</v>
      </c>
      <c r="M39" s="98">
        <v>42840.71</v>
      </c>
      <c r="N39" s="98">
        <v>231.9</v>
      </c>
      <c r="O39" s="98">
        <v>213.18</v>
      </c>
      <c r="P39" s="98">
        <v>34920.160000000003</v>
      </c>
      <c r="Q39" s="98">
        <v>4133.26</v>
      </c>
      <c r="R39" s="98">
        <v>3333.32</v>
      </c>
      <c r="S39" s="98">
        <v>8.889999999992142</v>
      </c>
      <c r="T39" s="98">
        <v>201227.42</v>
      </c>
      <c r="U39" s="98">
        <v>118709.71</v>
      </c>
      <c r="V39" s="98">
        <v>7248.85</v>
      </c>
      <c r="W39" s="98">
        <v>48326.38</v>
      </c>
      <c r="X39" s="98">
        <v>25349.21</v>
      </c>
      <c r="Y39" s="100">
        <v>1130.7</v>
      </c>
      <c r="Z39" s="98">
        <v>61.6</v>
      </c>
      <c r="AA39" s="98">
        <v>400.97000000000116</v>
      </c>
      <c r="AB39" s="114" t="s">
        <v>188</v>
      </c>
      <c r="AC39" s="98">
        <v>357517</v>
      </c>
      <c r="AD39" s="98">
        <v>348082.09</v>
      </c>
      <c r="AE39" s="98">
        <v>289469.88</v>
      </c>
      <c r="AF39" s="98">
        <v>39831.370000000003</v>
      </c>
      <c r="AG39" s="98">
        <v>3513.45</v>
      </c>
      <c r="AH39" s="98">
        <v>2817.42</v>
      </c>
      <c r="AI39" s="98">
        <v>3393.73</v>
      </c>
      <c r="AJ39" s="98">
        <v>570.22</v>
      </c>
      <c r="AK39" s="98">
        <v>563.37</v>
      </c>
      <c r="AL39" s="98">
        <v>2840.61</v>
      </c>
      <c r="AM39" s="98">
        <v>432.2</v>
      </c>
      <c r="AN39" s="98">
        <v>4649.8400000000256</v>
      </c>
      <c r="AO39" s="98">
        <v>9434.91</v>
      </c>
      <c r="AP39" s="114" t="s">
        <v>188</v>
      </c>
      <c r="AQ39" s="98">
        <v>357517</v>
      </c>
      <c r="AR39" s="98">
        <v>214058.17</v>
      </c>
      <c r="AS39" s="98">
        <v>136622.39999999999</v>
      </c>
      <c r="AT39" s="98">
        <v>103080.9</v>
      </c>
      <c r="AU39" s="98">
        <v>6836.4</v>
      </c>
      <c r="AV39" s="98">
        <v>251926.06</v>
      </c>
      <c r="AW39" s="98">
        <v>105590.92</v>
      </c>
      <c r="AX39" s="114" t="s">
        <v>188</v>
      </c>
      <c r="AY39" s="98">
        <v>357517</v>
      </c>
      <c r="AZ39" s="98">
        <v>214058.17</v>
      </c>
      <c r="BA39" s="98">
        <v>40200</v>
      </c>
      <c r="BB39" s="98">
        <v>173857.65</v>
      </c>
      <c r="BC39" s="98">
        <v>85634.04</v>
      </c>
      <c r="BD39" s="98">
        <v>88223.67</v>
      </c>
      <c r="BE39" s="118">
        <v>48.6291980521206</v>
      </c>
      <c r="BF39" s="114" t="s">
        <v>188</v>
      </c>
      <c r="BG39" s="98">
        <v>220894.54</v>
      </c>
      <c r="BH39" s="98">
        <v>101274.65</v>
      </c>
      <c r="BI39" s="98">
        <v>42290.07</v>
      </c>
      <c r="BJ39" s="98">
        <v>13455.539999999999</v>
      </c>
      <c r="BK39" s="105">
        <v>5378.6</v>
      </c>
      <c r="BL39" s="98">
        <v>8440.2099999999991</v>
      </c>
      <c r="BM39" s="98">
        <v>15429.23</v>
      </c>
      <c r="BN39" s="98">
        <v>28547.600000000002</v>
      </c>
      <c r="BO39" s="98">
        <v>5255.48</v>
      </c>
      <c r="BP39" s="98">
        <v>119620.04</v>
      </c>
      <c r="BQ39" s="98">
        <v>1382.92</v>
      </c>
      <c r="BR39" s="98">
        <v>935.47</v>
      </c>
      <c r="BS39" s="98">
        <v>7011.5</v>
      </c>
      <c r="BT39" s="98">
        <v>2054.59</v>
      </c>
      <c r="BU39" s="98">
        <v>23102.629999999997</v>
      </c>
      <c r="BV39" s="98">
        <v>14325.16</v>
      </c>
      <c r="BW39" s="98">
        <v>8165.17</v>
      </c>
      <c r="BX39" s="98">
        <v>1235.45</v>
      </c>
      <c r="BY39" s="98">
        <v>28884.66</v>
      </c>
      <c r="BZ39" s="98">
        <v>136622.39999999999</v>
      </c>
      <c r="CA39" s="98">
        <v>357517</v>
      </c>
      <c r="CB39" s="114" t="s">
        <v>188</v>
      </c>
      <c r="CC39" s="103">
        <v>355451</v>
      </c>
      <c r="CD39" s="98">
        <v>27275.608595150003</v>
      </c>
      <c r="CE39" s="98">
        <v>74699.274685700002</v>
      </c>
      <c r="CF39" s="98">
        <v>1016.34</v>
      </c>
      <c r="CG39" s="98">
        <v>26022.596373939999</v>
      </c>
      <c r="CH39" s="98">
        <v>109452.94699999999</v>
      </c>
      <c r="CI39" s="98">
        <v>100826.01462500001</v>
      </c>
      <c r="CJ39" s="98">
        <v>16158.218720210018</v>
      </c>
      <c r="CK39" s="114" t="s">
        <v>188</v>
      </c>
      <c r="CL39" s="103">
        <v>178363</v>
      </c>
      <c r="CM39" s="98">
        <v>161.36000000000001</v>
      </c>
      <c r="CN39" s="98">
        <v>1384.31</v>
      </c>
      <c r="CO39" s="98">
        <v>21076.727617</v>
      </c>
      <c r="CP39" s="98">
        <v>85245.680999999997</v>
      </c>
      <c r="CQ39" s="98">
        <v>68532.910026729995</v>
      </c>
      <c r="CR39" s="98">
        <v>1962.0113562699989</v>
      </c>
      <c r="CS39" s="114" t="s">
        <v>188</v>
      </c>
      <c r="CT39" s="103">
        <v>89174.904933149999</v>
      </c>
      <c r="CU39" s="98">
        <v>2673.6399999999994</v>
      </c>
      <c r="CV39" s="98">
        <v>86501.26493315</v>
      </c>
      <c r="CW39" s="98">
        <v>82474</v>
      </c>
      <c r="CX39" s="104">
        <v>31278</v>
      </c>
    </row>
    <row r="40" spans="1:102" x14ac:dyDescent="0.3">
      <c r="A40" s="114"/>
      <c r="B40" s="98"/>
      <c r="C40" s="98"/>
      <c r="D40" s="98"/>
      <c r="E40" s="98"/>
      <c r="F40" s="98"/>
      <c r="G40" s="98"/>
      <c r="H40" s="98"/>
      <c r="I40" s="98"/>
      <c r="J40" s="98"/>
      <c r="K40" s="114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100"/>
      <c r="Z40" s="98"/>
      <c r="AA40" s="98"/>
      <c r="AB40" s="114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114"/>
      <c r="AQ40" s="98"/>
      <c r="AR40" s="98"/>
      <c r="AS40" s="98"/>
      <c r="AT40" s="98"/>
      <c r="AU40" s="98"/>
      <c r="AV40" s="98"/>
      <c r="AW40" s="98"/>
      <c r="AX40" s="114"/>
      <c r="AY40" s="98"/>
      <c r="AZ40" s="98"/>
      <c r="BA40" s="98"/>
      <c r="BB40" s="98"/>
      <c r="BC40" s="98"/>
      <c r="BD40" s="98"/>
      <c r="BE40" s="118"/>
      <c r="BF40" s="114"/>
      <c r="BG40" s="98"/>
      <c r="BH40" s="98"/>
      <c r="BI40" s="98"/>
      <c r="BJ40" s="98"/>
      <c r="BK40" s="105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114"/>
      <c r="CC40" s="103"/>
      <c r="CD40" s="98"/>
      <c r="CE40" s="98"/>
      <c r="CF40" s="98"/>
      <c r="CG40" s="98"/>
      <c r="CH40" s="98"/>
      <c r="CI40" s="98"/>
      <c r="CJ40" s="98"/>
      <c r="CK40" s="114"/>
      <c r="CL40" s="103"/>
      <c r="CM40" s="98"/>
      <c r="CN40" s="98"/>
      <c r="CO40" s="98"/>
      <c r="CP40" s="98"/>
      <c r="CQ40" s="98"/>
      <c r="CR40" s="98"/>
      <c r="CS40" s="114"/>
      <c r="CT40" s="103"/>
      <c r="CU40" s="98"/>
      <c r="CV40" s="98"/>
      <c r="CW40" s="98"/>
      <c r="CX40" s="104"/>
    </row>
    <row r="41" spans="1:102" x14ac:dyDescent="0.3">
      <c r="A41" s="114">
        <v>2025.1</v>
      </c>
      <c r="B41" s="98">
        <v>249955</v>
      </c>
      <c r="C41" s="98">
        <v>241043</v>
      </c>
      <c r="D41" s="98">
        <v>42417.29</v>
      </c>
      <c r="E41" s="98">
        <v>198626.14</v>
      </c>
      <c r="F41" s="98">
        <v>8911.9599999999991</v>
      </c>
      <c r="G41" s="98">
        <v>585.72</v>
      </c>
      <c r="H41" s="98">
        <v>8019.28</v>
      </c>
      <c r="I41" s="98">
        <v>31.73</v>
      </c>
      <c r="J41" s="98">
        <v>275.23</v>
      </c>
      <c r="K41" s="114">
        <v>2025.1</v>
      </c>
      <c r="L41" s="98">
        <v>241043</v>
      </c>
      <c r="M41" s="98">
        <v>42417.29</v>
      </c>
      <c r="N41" s="98">
        <v>114.49</v>
      </c>
      <c r="O41" s="98">
        <v>215.93</v>
      </c>
      <c r="P41" s="98">
        <v>33977.51</v>
      </c>
      <c r="Q41" s="98">
        <v>4154.17</v>
      </c>
      <c r="R41" s="98">
        <v>3926.36</v>
      </c>
      <c r="S41" s="98">
        <v>28.830000000001746</v>
      </c>
      <c r="T41" s="98">
        <v>198626.14</v>
      </c>
      <c r="U41" s="98">
        <v>118272.97</v>
      </c>
      <c r="V41" s="98">
        <v>7090.72</v>
      </c>
      <c r="W41" s="98">
        <v>48725.120000000003</v>
      </c>
      <c r="X41" s="98">
        <v>22970.18</v>
      </c>
      <c r="Y41" s="100">
        <v>1112.1099999999999</v>
      </c>
      <c r="Z41" s="98">
        <v>61.21</v>
      </c>
      <c r="AA41" s="98">
        <v>393.8300000000454</v>
      </c>
      <c r="AB41" s="114">
        <v>2025.1</v>
      </c>
      <c r="AC41" s="98">
        <v>357931</v>
      </c>
      <c r="AD41" s="98">
        <v>348448.82</v>
      </c>
      <c r="AE41" s="98">
        <v>288878.21999999997</v>
      </c>
      <c r="AF41" s="98">
        <v>40295.550000000003</v>
      </c>
      <c r="AG41" s="98">
        <v>3563.75</v>
      </c>
      <c r="AH41" s="98">
        <v>2611.6999999999998</v>
      </c>
      <c r="AI41" s="98">
        <v>3360.02</v>
      </c>
      <c r="AJ41" s="98">
        <v>621.29</v>
      </c>
      <c r="AK41" s="98">
        <v>423.34</v>
      </c>
      <c r="AL41" s="98">
        <v>2930.13</v>
      </c>
      <c r="AM41" s="98">
        <v>1179.9100000000001</v>
      </c>
      <c r="AN41" s="98">
        <v>4584.9100000000326</v>
      </c>
      <c r="AO41" s="98">
        <v>9482.5400000000009</v>
      </c>
      <c r="AP41" s="114">
        <v>2025.1</v>
      </c>
      <c r="AQ41" s="98">
        <v>357931</v>
      </c>
      <c r="AR41" s="98">
        <v>213410.99</v>
      </c>
      <c r="AS41" s="98">
        <v>136949.98000000001</v>
      </c>
      <c r="AT41" s="98">
        <v>103880.05</v>
      </c>
      <c r="AU41" s="98">
        <v>7570.34</v>
      </c>
      <c r="AV41" s="98">
        <v>252189.62</v>
      </c>
      <c r="AW41" s="98">
        <v>105741.68</v>
      </c>
      <c r="AX41" s="114">
        <v>2025.1</v>
      </c>
      <c r="AY41" s="98">
        <v>357931</v>
      </c>
      <c r="AZ41" s="98">
        <v>213410.99</v>
      </c>
      <c r="BA41" s="98">
        <v>39519</v>
      </c>
      <c r="BB41" s="98">
        <v>173891.93</v>
      </c>
      <c r="BC41" s="98">
        <v>85569.74</v>
      </c>
      <c r="BD41" s="98">
        <v>88322.2</v>
      </c>
      <c r="BE41" s="118">
        <v>48.582528476158807</v>
      </c>
      <c r="BF41" s="114">
        <v>2025.1</v>
      </c>
      <c r="BG41" s="98"/>
      <c r="BH41" s="98"/>
      <c r="BI41" s="98"/>
      <c r="BJ41" s="98"/>
      <c r="BK41" s="105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>
        <v>136949.98000000001</v>
      </c>
      <c r="CA41" s="98">
        <v>357931</v>
      </c>
      <c r="CB41" s="114">
        <v>2025.1</v>
      </c>
      <c r="CC41" s="103">
        <v>361107</v>
      </c>
      <c r="CD41" s="98">
        <v>29169.210310709997</v>
      </c>
      <c r="CE41" s="98">
        <v>77300.303022870008</v>
      </c>
      <c r="CF41" s="98">
        <v>1010.39</v>
      </c>
      <c r="CG41" s="98">
        <v>26073.344059779996</v>
      </c>
      <c r="CH41" s="98">
        <v>109752.891</v>
      </c>
      <c r="CI41" s="98">
        <v>101346.02257192001</v>
      </c>
      <c r="CJ41" s="98">
        <v>16454.839034719975</v>
      </c>
      <c r="CK41" s="114">
        <v>2025.1</v>
      </c>
      <c r="CL41" s="103">
        <v>178248</v>
      </c>
      <c r="CM41" s="98">
        <v>155.81</v>
      </c>
      <c r="CN41" s="98">
        <v>1169.53</v>
      </c>
      <c r="CO41" s="98">
        <v>21149.793014059996</v>
      </c>
      <c r="CP41" s="98">
        <v>85555.73599999999</v>
      </c>
      <c r="CQ41" s="98">
        <v>68020.417753140006</v>
      </c>
      <c r="CR41" s="98">
        <v>2196.7132328000152</v>
      </c>
      <c r="CS41" s="114">
        <v>2025.1</v>
      </c>
      <c r="CT41" s="103">
        <v>89271.28454795001</v>
      </c>
      <c r="CU41" s="98">
        <v>2859.429999999993</v>
      </c>
      <c r="CV41" s="98">
        <v>86411.854547950017</v>
      </c>
      <c r="CW41" s="98">
        <v>82314</v>
      </c>
      <c r="CX41" s="104">
        <v>31649</v>
      </c>
    </row>
    <row r="42" spans="1:102" x14ac:dyDescent="0.3">
      <c r="A42" s="114" t="s">
        <v>189</v>
      </c>
      <c r="B42" s="98">
        <v>255611</v>
      </c>
      <c r="C42" s="98">
        <v>246401</v>
      </c>
      <c r="D42" s="98">
        <v>43541.3</v>
      </c>
      <c r="E42" s="98">
        <v>202859.81</v>
      </c>
      <c r="F42" s="98">
        <v>9210.1099999999988</v>
      </c>
      <c r="G42" s="98">
        <v>525.51</v>
      </c>
      <c r="H42" s="98">
        <v>8387.39</v>
      </c>
      <c r="I42" s="98">
        <v>31.97</v>
      </c>
      <c r="J42" s="98">
        <v>265.24</v>
      </c>
      <c r="K42" s="114" t="s">
        <v>189</v>
      </c>
      <c r="L42" s="98">
        <v>246401</v>
      </c>
      <c r="M42" s="98">
        <v>43541.3</v>
      </c>
      <c r="N42" s="98">
        <v>113.62</v>
      </c>
      <c r="O42" s="98">
        <v>238.18</v>
      </c>
      <c r="P42" s="98">
        <v>35026.07</v>
      </c>
      <c r="Q42" s="98">
        <v>3958.46</v>
      </c>
      <c r="R42" s="98">
        <v>4169.34</v>
      </c>
      <c r="S42" s="98">
        <v>35.630000000004657</v>
      </c>
      <c r="T42" s="98">
        <v>202859.81</v>
      </c>
      <c r="U42" s="98">
        <v>120969</v>
      </c>
      <c r="V42" s="98">
        <v>7168.11</v>
      </c>
      <c r="W42" s="98">
        <v>48943.02</v>
      </c>
      <c r="X42" s="98">
        <v>24226.46</v>
      </c>
      <c r="Y42" s="100">
        <v>1103.76</v>
      </c>
      <c r="Z42" s="98">
        <v>60.87</v>
      </c>
      <c r="AA42" s="98">
        <v>388.58999999999651</v>
      </c>
      <c r="AB42" s="114" t="s">
        <v>189</v>
      </c>
      <c r="AC42" s="98">
        <v>359215</v>
      </c>
      <c r="AD42" s="98">
        <v>349667.16</v>
      </c>
      <c r="AE42" s="98">
        <v>288909.34000000003</v>
      </c>
      <c r="AF42" s="98">
        <v>40944.129999999997</v>
      </c>
      <c r="AG42" s="98">
        <v>3441.21</v>
      </c>
      <c r="AH42" s="98">
        <v>2855.75</v>
      </c>
      <c r="AI42" s="98">
        <v>3367.49</v>
      </c>
      <c r="AJ42" s="98">
        <v>612.01</v>
      </c>
      <c r="AK42" s="98">
        <v>436.25</v>
      </c>
      <c r="AL42" s="98">
        <v>2917.31</v>
      </c>
      <c r="AM42" s="98">
        <v>1448.21</v>
      </c>
      <c r="AN42" s="98">
        <v>4735.4599999999045</v>
      </c>
      <c r="AO42" s="98">
        <v>9548.24</v>
      </c>
      <c r="AP42" s="114" t="s">
        <v>189</v>
      </c>
      <c r="AQ42" s="98">
        <v>359215</v>
      </c>
      <c r="AR42" s="98">
        <v>213823.94</v>
      </c>
      <c r="AS42" s="98">
        <v>137495.76999999999</v>
      </c>
      <c r="AT42" s="98">
        <v>104474.97</v>
      </c>
      <c r="AU42" s="98">
        <v>7895.75</v>
      </c>
      <c r="AV42" s="98">
        <v>253051.1</v>
      </c>
      <c r="AW42" s="98">
        <v>106164.32</v>
      </c>
      <c r="AX42" s="114" t="s">
        <v>189</v>
      </c>
      <c r="AY42" s="98">
        <v>359215</v>
      </c>
      <c r="AZ42" s="98">
        <v>213823.94</v>
      </c>
      <c r="BA42" s="98">
        <v>41013</v>
      </c>
      <c r="BB42" s="98">
        <v>172810.88</v>
      </c>
      <c r="BC42" s="98">
        <v>84941.65</v>
      </c>
      <c r="BD42" s="98">
        <v>87869.22</v>
      </c>
      <c r="BE42" s="118">
        <v>48.107924223654358</v>
      </c>
      <c r="BF42" s="114" t="s">
        <v>189</v>
      </c>
      <c r="BG42" s="98"/>
      <c r="BH42" s="98"/>
      <c r="BI42" s="98"/>
      <c r="BJ42" s="98"/>
      <c r="BK42" s="105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>
        <v>137495.76999999999</v>
      </c>
      <c r="CA42" s="98">
        <v>359215</v>
      </c>
      <c r="CB42" s="114" t="s">
        <v>189</v>
      </c>
      <c r="CC42" s="103">
        <v>363301</v>
      </c>
      <c r="CD42" s="98">
        <v>29058.876887679999</v>
      </c>
      <c r="CE42" s="98">
        <v>78756.716916199992</v>
      </c>
      <c r="CF42" s="98">
        <v>999.85</v>
      </c>
      <c r="CG42" s="98">
        <v>26141.85237176</v>
      </c>
      <c r="CH42" s="98">
        <v>110067.34</v>
      </c>
      <c r="CI42" s="98">
        <v>101734.09126670999</v>
      </c>
      <c r="CJ42" s="98">
        <v>16542.272557649994</v>
      </c>
      <c r="CK42" s="114" t="s">
        <v>189</v>
      </c>
      <c r="CL42" s="103">
        <v>178332</v>
      </c>
      <c r="CM42" s="98">
        <v>151.04</v>
      </c>
      <c r="CN42" s="98">
        <v>1175.73</v>
      </c>
      <c r="CO42" s="98">
        <v>21187.485531950002</v>
      </c>
      <c r="CP42" s="98">
        <v>85724.160000000003</v>
      </c>
      <c r="CQ42" s="98">
        <v>67877.445388719992</v>
      </c>
      <c r="CR42" s="98">
        <v>2216.1390793299943</v>
      </c>
      <c r="CS42" s="114" t="s">
        <v>189</v>
      </c>
      <c r="CT42" s="103">
        <v>89353.79604642</v>
      </c>
      <c r="CU42" s="98">
        <v>2862.1000000000058</v>
      </c>
      <c r="CV42" s="98">
        <v>86491.696046419995</v>
      </c>
      <c r="CW42" s="98">
        <v>82182</v>
      </c>
      <c r="CX42" s="104">
        <v>31758</v>
      </c>
    </row>
    <row r="43" spans="1:102" x14ac:dyDescent="0.3">
      <c r="A43" s="114" t="s">
        <v>190</v>
      </c>
      <c r="B43" s="98">
        <v>257710</v>
      </c>
      <c r="C43" s="98">
        <v>248544</v>
      </c>
      <c r="D43" s="98">
        <v>43390.2</v>
      </c>
      <c r="E43" s="98">
        <v>205153.62</v>
      </c>
      <c r="F43" s="98">
        <v>9166</v>
      </c>
      <c r="G43" s="98">
        <v>477.36</v>
      </c>
      <c r="H43" s="98">
        <v>8399.56</v>
      </c>
      <c r="I43" s="98">
        <v>24.01</v>
      </c>
      <c r="J43" s="98">
        <v>265.07</v>
      </c>
      <c r="K43" s="114" t="s">
        <v>190</v>
      </c>
      <c r="L43" s="98">
        <v>248544</v>
      </c>
      <c r="M43" s="98">
        <v>43390.2</v>
      </c>
      <c r="N43" s="98">
        <v>148.16999999999999</v>
      </c>
      <c r="O43" s="98">
        <v>227.82</v>
      </c>
      <c r="P43" s="98">
        <v>35980.46</v>
      </c>
      <c r="Q43" s="98">
        <v>3855.12</v>
      </c>
      <c r="R43" s="98">
        <v>3131.98</v>
      </c>
      <c r="S43" s="98">
        <v>46.649999999994179</v>
      </c>
      <c r="T43" s="98">
        <v>205153.62</v>
      </c>
      <c r="U43" s="98">
        <v>121295.26</v>
      </c>
      <c r="V43" s="98">
        <v>7293.79</v>
      </c>
      <c r="W43" s="98">
        <v>49170.74</v>
      </c>
      <c r="X43" s="98">
        <v>25843.95</v>
      </c>
      <c r="Y43" s="100">
        <v>1110.1199999999999</v>
      </c>
      <c r="Z43" s="98">
        <v>60.35</v>
      </c>
      <c r="AA43" s="98">
        <v>379.41000000000349</v>
      </c>
      <c r="AB43" s="114" t="s">
        <v>190</v>
      </c>
      <c r="AC43" s="98">
        <v>360165</v>
      </c>
      <c r="AD43" s="98">
        <v>350602.25</v>
      </c>
      <c r="AE43" s="98">
        <v>289078.11</v>
      </c>
      <c r="AF43" s="98">
        <v>41447.699999999997</v>
      </c>
      <c r="AG43" s="98">
        <v>3152.55</v>
      </c>
      <c r="AH43" s="98">
        <v>2720.65</v>
      </c>
      <c r="AI43" s="98">
        <v>3419.6</v>
      </c>
      <c r="AJ43" s="98">
        <v>667.96</v>
      </c>
      <c r="AK43" s="98">
        <v>469.45</v>
      </c>
      <c r="AL43" s="98">
        <v>2934.07</v>
      </c>
      <c r="AM43" s="98">
        <v>1446.98</v>
      </c>
      <c r="AN43" s="98">
        <v>5265.179999999993</v>
      </c>
      <c r="AO43" s="98">
        <v>9563.09</v>
      </c>
      <c r="AP43" s="114" t="s">
        <v>190</v>
      </c>
      <c r="AQ43" s="98">
        <v>360165</v>
      </c>
      <c r="AR43" s="98">
        <v>214130.26</v>
      </c>
      <c r="AS43" s="98">
        <v>137955.51999999999</v>
      </c>
      <c r="AT43" s="98">
        <v>105143.43</v>
      </c>
      <c r="AU43" s="98">
        <v>8079.5</v>
      </c>
      <c r="AV43" s="98">
        <v>253956.84</v>
      </c>
      <c r="AW43" s="98">
        <v>106208.47</v>
      </c>
      <c r="AX43" s="114" t="s">
        <v>190</v>
      </c>
      <c r="AY43" s="98">
        <v>360165</v>
      </c>
      <c r="AZ43" s="98">
        <v>214130.26</v>
      </c>
      <c r="BA43" s="98">
        <v>41047</v>
      </c>
      <c r="BB43" s="98">
        <v>173082.58</v>
      </c>
      <c r="BC43" s="98">
        <v>85375.69</v>
      </c>
      <c r="BD43" s="98">
        <v>87706.99</v>
      </c>
      <c r="BE43" s="118">
        <v>48.05646856301972</v>
      </c>
      <c r="BF43" s="114" t="s">
        <v>190</v>
      </c>
      <c r="BG43" s="98">
        <v>222209.62</v>
      </c>
      <c r="BH43" s="98">
        <v>100758.67</v>
      </c>
      <c r="BI43" s="98">
        <v>41871.51</v>
      </c>
      <c r="BJ43" s="98">
        <v>13772.179999999998</v>
      </c>
      <c r="BK43" s="105">
        <v>5918.74</v>
      </c>
      <c r="BL43" s="98">
        <v>8446.92</v>
      </c>
      <c r="BM43" s="98">
        <v>15391.949999999999</v>
      </c>
      <c r="BN43" s="98">
        <v>28298.79</v>
      </c>
      <c r="BO43" s="98">
        <v>4746.29</v>
      </c>
      <c r="BP43" s="98">
        <v>121451.12000000001</v>
      </c>
      <c r="BQ43" s="98">
        <v>1382.8999999999999</v>
      </c>
      <c r="BR43" s="98">
        <v>1923.6000000000001</v>
      </c>
      <c r="BS43" s="98">
        <v>7304.76</v>
      </c>
      <c r="BT43" s="98">
        <v>1943.87</v>
      </c>
      <c r="BU43" s="98">
        <v>23155.87</v>
      </c>
      <c r="BV43" s="98">
        <v>14277.550000000001</v>
      </c>
      <c r="BW43" s="98">
        <v>8244.4699999999993</v>
      </c>
      <c r="BX43" s="98">
        <v>839.21</v>
      </c>
      <c r="BY43" s="98">
        <v>29028.95</v>
      </c>
      <c r="BZ43" s="98">
        <v>137955.51999999999</v>
      </c>
      <c r="CA43" s="98">
        <v>360165</v>
      </c>
      <c r="CB43" s="114" t="s">
        <v>190</v>
      </c>
      <c r="CC43" s="103">
        <v>365896</v>
      </c>
      <c r="CD43" s="98">
        <v>30810.082236410002</v>
      </c>
      <c r="CE43" s="98">
        <v>78209.318105690007</v>
      </c>
      <c r="CF43" s="98">
        <v>986.38</v>
      </c>
      <c r="CG43" s="98">
        <v>26397.500448929997</v>
      </c>
      <c r="CH43" s="98">
        <v>110779.179</v>
      </c>
      <c r="CI43" s="98">
        <v>101730.50424047001</v>
      </c>
      <c r="CJ43" s="98">
        <v>16983.035968499957</v>
      </c>
      <c r="CK43" s="114" t="s">
        <v>190</v>
      </c>
      <c r="CL43" s="103">
        <v>178614</v>
      </c>
      <c r="CM43" s="98">
        <v>146.81</v>
      </c>
      <c r="CN43" s="98">
        <v>1119.97</v>
      </c>
      <c r="CO43" s="98">
        <v>21321.964881569998</v>
      </c>
      <c r="CP43" s="98">
        <v>85831.076000000001</v>
      </c>
      <c r="CQ43" s="98">
        <v>68070.776741509995</v>
      </c>
      <c r="CR43" s="98">
        <v>2123.4023769200139</v>
      </c>
      <c r="CS43" s="114" t="s">
        <v>190</v>
      </c>
      <c r="CT43" s="103">
        <v>89548.078457900003</v>
      </c>
      <c r="CU43" s="98">
        <v>2870.5999999999913</v>
      </c>
      <c r="CV43" s="98">
        <v>86677.478457900012</v>
      </c>
      <c r="CW43" s="98">
        <v>82132</v>
      </c>
      <c r="CX43" s="104">
        <v>32036</v>
      </c>
    </row>
    <row r="44" spans="1:102" x14ac:dyDescent="0.3">
      <c r="A44" s="114" t="s">
        <v>179</v>
      </c>
      <c r="B44" s="98">
        <v>255031</v>
      </c>
      <c r="C44" s="98">
        <v>245877</v>
      </c>
      <c r="D44" s="98">
        <v>44246.19</v>
      </c>
      <c r="E44" s="98">
        <v>201630.97</v>
      </c>
      <c r="F44" s="98">
        <v>9154.42</v>
      </c>
      <c r="G44" s="98">
        <v>437.7</v>
      </c>
      <c r="H44" s="98">
        <v>8426.25</v>
      </c>
      <c r="I44" s="98">
        <v>25.41</v>
      </c>
      <c r="J44" s="98">
        <v>265.06</v>
      </c>
      <c r="K44" s="114" t="s">
        <v>179</v>
      </c>
      <c r="L44" s="98">
        <v>245877</v>
      </c>
      <c r="M44" s="98">
        <v>44246.19</v>
      </c>
      <c r="N44" s="98">
        <v>107</v>
      </c>
      <c r="O44" s="98">
        <v>224.32</v>
      </c>
      <c r="P44" s="98">
        <v>36425.96</v>
      </c>
      <c r="Q44" s="98">
        <v>3948.63</v>
      </c>
      <c r="R44" s="98">
        <v>3490.26</v>
      </c>
      <c r="S44" s="98">
        <v>50.020000000004075</v>
      </c>
      <c r="T44" s="98">
        <v>201630.97</v>
      </c>
      <c r="U44" s="98">
        <v>119003.54</v>
      </c>
      <c r="V44" s="98">
        <v>7500.01</v>
      </c>
      <c r="W44" s="98">
        <v>48681.919999999998</v>
      </c>
      <c r="X44" s="98">
        <v>24915.75</v>
      </c>
      <c r="Y44" s="100">
        <v>1103.04</v>
      </c>
      <c r="Z44" s="98">
        <v>59.83</v>
      </c>
      <c r="AA44" s="98">
        <v>366.88000000003376</v>
      </c>
      <c r="AB44" s="114" t="s">
        <v>179</v>
      </c>
      <c r="AC44" s="98">
        <v>360816</v>
      </c>
      <c r="AD44" s="98">
        <v>350813.62</v>
      </c>
      <c r="AE44" s="98">
        <v>289897.51</v>
      </c>
      <c r="AF44" s="98">
        <v>42155.43</v>
      </c>
      <c r="AG44" s="98">
        <v>3297.65</v>
      </c>
      <c r="AH44" s="98">
        <v>2312.5100000000002</v>
      </c>
      <c r="AI44" s="98">
        <v>3417.2</v>
      </c>
      <c r="AJ44" s="98">
        <v>657.77</v>
      </c>
      <c r="AK44" s="98">
        <v>395.26</v>
      </c>
      <c r="AL44" s="98">
        <v>2952.66</v>
      </c>
      <c r="AM44" s="98">
        <v>169.28</v>
      </c>
      <c r="AN44" s="98">
        <v>5558.3499999999767</v>
      </c>
      <c r="AO44" s="98">
        <v>10002.280000000001</v>
      </c>
      <c r="AP44" s="114" t="s">
        <v>179</v>
      </c>
      <c r="AQ44" s="98">
        <v>360816</v>
      </c>
      <c r="AR44" s="98">
        <v>214774.5</v>
      </c>
      <c r="AS44" s="98">
        <v>139031.57999999999</v>
      </c>
      <c r="AT44" s="98">
        <v>106065.5</v>
      </c>
      <c r="AU44" s="98">
        <v>7009.81</v>
      </c>
      <c r="AV44" s="98">
        <v>253654.02</v>
      </c>
      <c r="AW44" s="98">
        <v>107161.86</v>
      </c>
      <c r="AX44" s="114" t="s">
        <v>179</v>
      </c>
      <c r="AY44" s="98">
        <v>360816</v>
      </c>
      <c r="AZ44" s="98">
        <v>214774.5</v>
      </c>
      <c r="BA44" s="98">
        <v>40731</v>
      </c>
      <c r="BB44" s="98">
        <v>174044.34</v>
      </c>
      <c r="BC44" s="98">
        <v>85584.55</v>
      </c>
      <c r="BD44" s="98">
        <v>88459.82</v>
      </c>
      <c r="BE44" s="118">
        <v>48.236314354130641</v>
      </c>
      <c r="BF44" s="114" t="s">
        <v>179</v>
      </c>
      <c r="BG44" s="98"/>
      <c r="BH44" s="98"/>
      <c r="BI44" s="98"/>
      <c r="BJ44" s="98"/>
      <c r="BK44" s="105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>
        <v>139031.57999999999</v>
      </c>
      <c r="CA44" s="98">
        <v>360816</v>
      </c>
      <c r="CB44" s="114" t="s">
        <v>179</v>
      </c>
      <c r="CC44" s="103">
        <v>367002</v>
      </c>
      <c r="CD44" s="98">
        <v>30704.3724984</v>
      </c>
      <c r="CE44" s="98">
        <v>78473.787457779996</v>
      </c>
      <c r="CF44" s="98">
        <v>969.96</v>
      </c>
      <c r="CG44" s="98">
        <v>26453.362630850002</v>
      </c>
      <c r="CH44" s="98">
        <v>111360.10699999999</v>
      </c>
      <c r="CI44" s="98">
        <v>101885.18464338001</v>
      </c>
      <c r="CJ44" s="98">
        <v>17155.225769590004</v>
      </c>
      <c r="CK44" s="114" t="s">
        <v>179</v>
      </c>
      <c r="CL44" s="103">
        <v>179098</v>
      </c>
      <c r="CM44" s="98">
        <v>136.43</v>
      </c>
      <c r="CN44" s="98">
        <v>1145.92</v>
      </c>
      <c r="CO44" s="98">
        <v>21499.535117879997</v>
      </c>
      <c r="CP44" s="98">
        <v>85698.696999999986</v>
      </c>
      <c r="CQ44" s="98">
        <v>68516.598811250005</v>
      </c>
      <c r="CR44" s="98">
        <v>2100.8190708699985</v>
      </c>
      <c r="CS44" s="114" t="s">
        <v>179</v>
      </c>
      <c r="CT44" s="103">
        <v>90026.661421509998</v>
      </c>
      <c r="CU44" s="98">
        <v>2861.2299999999959</v>
      </c>
      <c r="CV44" s="98">
        <v>87165.431421510002</v>
      </c>
      <c r="CW44" s="98">
        <v>82076</v>
      </c>
      <c r="CX44" s="104">
        <v>31541</v>
      </c>
    </row>
    <row r="45" spans="1:102" x14ac:dyDescent="0.3">
      <c r="A45" s="119" t="s">
        <v>180</v>
      </c>
      <c r="B45" s="98">
        <v>255107</v>
      </c>
      <c r="C45" s="98">
        <v>245951</v>
      </c>
      <c r="D45" s="98">
        <v>44320.639999999999</v>
      </c>
      <c r="E45" s="98">
        <v>201630.32</v>
      </c>
      <c r="F45" s="98">
        <v>9155.4</v>
      </c>
      <c r="G45" s="98">
        <v>409.2</v>
      </c>
      <c r="H45" s="98">
        <v>8449.51</v>
      </c>
      <c r="I45" s="98">
        <v>31.63</v>
      </c>
      <c r="J45" s="98">
        <v>265.06</v>
      </c>
      <c r="K45" s="119" t="s">
        <v>180</v>
      </c>
      <c r="L45" s="98">
        <v>245951</v>
      </c>
      <c r="M45" s="98">
        <v>44320.639999999999</v>
      </c>
      <c r="N45" s="98">
        <v>180.28</v>
      </c>
      <c r="O45" s="98">
        <v>202.46</v>
      </c>
      <c r="P45" s="98">
        <v>36422.11</v>
      </c>
      <c r="Q45" s="98">
        <v>4170.3999999999996</v>
      </c>
      <c r="R45" s="98">
        <v>3301.52</v>
      </c>
      <c r="S45" s="98">
        <v>43.870000000002619</v>
      </c>
      <c r="T45" s="98">
        <v>201630.32</v>
      </c>
      <c r="U45" s="98">
        <v>119253.36</v>
      </c>
      <c r="V45" s="98">
        <v>7429.16</v>
      </c>
      <c r="W45" s="98">
        <v>48233.11</v>
      </c>
      <c r="X45" s="98">
        <v>25164.9</v>
      </c>
      <c r="Y45" s="100">
        <v>1129.17</v>
      </c>
      <c r="Z45" s="98">
        <v>59.37</v>
      </c>
      <c r="AA45" s="98">
        <v>361.25</v>
      </c>
      <c r="AB45" s="119" t="s">
        <v>180</v>
      </c>
      <c r="AC45" s="98">
        <v>361116</v>
      </c>
      <c r="AD45" s="98">
        <v>350920.2</v>
      </c>
      <c r="AE45" s="98">
        <v>289612.03000000003</v>
      </c>
      <c r="AF45" s="98">
        <v>42692.75</v>
      </c>
      <c r="AG45" s="98">
        <v>3271.99</v>
      </c>
      <c r="AH45" s="98">
        <v>2075.5100000000002</v>
      </c>
      <c r="AI45" s="98">
        <v>3378.13</v>
      </c>
      <c r="AJ45" s="98">
        <v>628.36</v>
      </c>
      <c r="AK45" s="98">
        <v>455</v>
      </c>
      <c r="AL45" s="98">
        <v>2963.21</v>
      </c>
      <c r="AM45" s="98">
        <v>208.76</v>
      </c>
      <c r="AN45" s="98">
        <v>5634.4599999999627</v>
      </c>
      <c r="AO45" s="98">
        <v>10195.6</v>
      </c>
      <c r="AP45" s="119" t="s">
        <v>180</v>
      </c>
      <c r="AQ45" s="98">
        <v>361116</v>
      </c>
      <c r="AR45" s="98">
        <v>214466.82</v>
      </c>
      <c r="AS45" s="98">
        <v>139574.67000000001</v>
      </c>
      <c r="AT45" s="98">
        <v>106535.6</v>
      </c>
      <c r="AU45" s="98">
        <v>7074.28</v>
      </c>
      <c r="AV45" s="98">
        <v>253921.59</v>
      </c>
      <c r="AW45" s="98">
        <v>107194.17</v>
      </c>
      <c r="AX45" s="119" t="s">
        <v>180</v>
      </c>
      <c r="AY45" s="98">
        <v>361116</v>
      </c>
      <c r="AZ45" s="98">
        <v>214466.82</v>
      </c>
      <c r="BA45" s="98">
        <v>40064</v>
      </c>
      <c r="BB45" s="98">
        <v>174402.77</v>
      </c>
      <c r="BC45" s="98">
        <v>85754.94</v>
      </c>
      <c r="BD45" s="98">
        <v>88647.8</v>
      </c>
      <c r="BE45" s="118">
        <v>48.295497845567624</v>
      </c>
      <c r="BF45" s="114" t="s">
        <v>168</v>
      </c>
      <c r="BG45" s="98"/>
      <c r="BH45" s="98"/>
      <c r="BI45" s="98"/>
      <c r="BJ45" s="98"/>
      <c r="BK45" s="105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>
        <v>139574.67000000001</v>
      </c>
      <c r="CA45" s="98">
        <v>361116</v>
      </c>
      <c r="CB45" s="119" t="s">
        <v>180</v>
      </c>
      <c r="CC45" s="103">
        <v>366619</v>
      </c>
      <c r="CD45" s="98">
        <v>28862.109011880002</v>
      </c>
      <c r="CE45" s="98">
        <v>78800.411297929997</v>
      </c>
      <c r="CF45" s="98">
        <v>950.12</v>
      </c>
      <c r="CG45" s="98">
        <v>26585.832745559997</v>
      </c>
      <c r="CH45" s="98">
        <v>112370.70599999999</v>
      </c>
      <c r="CI45" s="98">
        <v>101770.55</v>
      </c>
      <c r="CJ45" s="98">
        <v>17279.270944630029</v>
      </c>
      <c r="CK45" s="119" t="s">
        <v>180</v>
      </c>
      <c r="CL45" s="103">
        <v>179178</v>
      </c>
      <c r="CM45" s="98">
        <v>135.55000000000001</v>
      </c>
      <c r="CN45" s="98">
        <v>1130.8599999999999</v>
      </c>
      <c r="CO45" s="98">
        <v>21263.685558860001</v>
      </c>
      <c r="CP45" s="98">
        <v>86099.065000000002</v>
      </c>
      <c r="CQ45" s="98">
        <v>68487.572932340001</v>
      </c>
      <c r="CR45" s="98">
        <v>2061.2665087999776</v>
      </c>
      <c r="CS45" s="119" t="s">
        <v>180</v>
      </c>
      <c r="CT45" s="103">
        <v>89427.411595569996</v>
      </c>
      <c r="CU45" s="98">
        <v>2982.7299999999959</v>
      </c>
      <c r="CV45" s="98">
        <v>86444.68159557</v>
      </c>
      <c r="CW45" s="98">
        <v>82775</v>
      </c>
      <c r="CX45" s="98">
        <v>33130</v>
      </c>
    </row>
    <row r="46" spans="1:102" x14ac:dyDescent="0.3">
      <c r="A46" s="119" t="s">
        <v>181</v>
      </c>
      <c r="B46" s="98">
        <v>256955</v>
      </c>
      <c r="C46" s="98">
        <v>248196</v>
      </c>
      <c r="D46" s="98">
        <v>44899.57</v>
      </c>
      <c r="E46" s="98">
        <v>203295.99</v>
      </c>
      <c r="F46" s="98">
        <v>8759.2800000000007</v>
      </c>
      <c r="G46" s="98">
        <v>378.03</v>
      </c>
      <c r="H46" s="98">
        <v>8086.82</v>
      </c>
      <c r="I46" s="98">
        <v>29.36</v>
      </c>
      <c r="J46" s="98">
        <v>265.07</v>
      </c>
      <c r="K46" s="119" t="s">
        <v>181</v>
      </c>
      <c r="L46" s="98">
        <v>248196</v>
      </c>
      <c r="M46" s="98">
        <v>44899.57</v>
      </c>
      <c r="N46" s="98">
        <v>135.62</v>
      </c>
      <c r="O46" s="98">
        <v>204.92</v>
      </c>
      <c r="P46" s="98">
        <v>37750.800000000003</v>
      </c>
      <c r="Q46" s="98">
        <v>3911.85</v>
      </c>
      <c r="R46" s="98">
        <v>2840.4</v>
      </c>
      <c r="S46" s="98">
        <v>55.979999999995925</v>
      </c>
      <c r="T46" s="98">
        <v>203295.99</v>
      </c>
      <c r="U46" s="98">
        <v>118342.44</v>
      </c>
      <c r="V46" s="98">
        <v>7594.71</v>
      </c>
      <c r="W46" s="98">
        <v>48304.83</v>
      </c>
      <c r="X46" s="98">
        <v>27504.7</v>
      </c>
      <c r="Y46" s="100">
        <v>1139.82</v>
      </c>
      <c r="Z46" s="98">
        <v>58.98</v>
      </c>
      <c r="AA46" s="98">
        <v>350.50999999995111</v>
      </c>
      <c r="AB46" s="119" t="s">
        <v>181</v>
      </c>
      <c r="AC46" s="98">
        <v>362911</v>
      </c>
      <c r="AD46" s="98">
        <v>352296.49</v>
      </c>
      <c r="AE46" s="98">
        <v>290697.69</v>
      </c>
      <c r="AF46" s="98">
        <v>43377.79</v>
      </c>
      <c r="AG46" s="98">
        <v>3262.33</v>
      </c>
      <c r="AH46" s="98">
        <v>2079.88</v>
      </c>
      <c r="AI46" s="98">
        <v>3428.96</v>
      </c>
      <c r="AJ46" s="98">
        <v>600.75</v>
      </c>
      <c r="AK46" s="98">
        <v>373.74</v>
      </c>
      <c r="AL46" s="98">
        <v>2883.12</v>
      </c>
      <c r="AM46" s="98">
        <v>64.77</v>
      </c>
      <c r="AN46" s="98">
        <v>5527.4599999999627</v>
      </c>
      <c r="AO46" s="98">
        <v>10614.36</v>
      </c>
      <c r="AP46" s="119" t="s">
        <v>181</v>
      </c>
      <c r="AQ46" s="98">
        <v>362911</v>
      </c>
      <c r="AR46" s="98">
        <v>214683.13</v>
      </c>
      <c r="AS46" s="98">
        <v>141500.89000000001</v>
      </c>
      <c r="AT46" s="98">
        <v>108263.19</v>
      </c>
      <c r="AU46" s="98">
        <v>6726.85</v>
      </c>
      <c r="AV46" s="98">
        <v>255337.25</v>
      </c>
      <c r="AW46" s="98">
        <v>107573.6</v>
      </c>
      <c r="AX46" s="119" t="s">
        <v>181</v>
      </c>
      <c r="AY46" s="98">
        <v>362911</v>
      </c>
      <c r="AZ46" s="98">
        <v>214683.13</v>
      </c>
      <c r="BA46" s="98">
        <v>39955</v>
      </c>
      <c r="BB46" s="98">
        <v>174727.59</v>
      </c>
      <c r="BC46" s="98">
        <v>85866</v>
      </c>
      <c r="BD46" s="98">
        <v>88861.51</v>
      </c>
      <c r="BE46" s="118">
        <v>48.146126736307252</v>
      </c>
      <c r="BF46" s="114" t="s">
        <v>181</v>
      </c>
      <c r="BG46" s="98">
        <v>221410.08000000002</v>
      </c>
      <c r="BH46" s="98">
        <v>100311.34</v>
      </c>
      <c r="BI46" s="98">
        <v>42372</v>
      </c>
      <c r="BJ46" s="98">
        <v>13688.55</v>
      </c>
      <c r="BK46" s="105">
        <v>5085.2999999999993</v>
      </c>
      <c r="BL46" s="98">
        <v>8057.39</v>
      </c>
      <c r="BM46" s="98">
        <v>15371.900000000001</v>
      </c>
      <c r="BN46" s="98">
        <v>28737.79</v>
      </c>
      <c r="BO46" s="98">
        <v>4889.3</v>
      </c>
      <c r="BP46" s="98">
        <v>121098.88999999998</v>
      </c>
      <c r="BQ46" s="98">
        <v>1370.6299999999999</v>
      </c>
      <c r="BR46" s="98">
        <v>493.8</v>
      </c>
      <c r="BS46" s="98">
        <v>7442.8700000000008</v>
      </c>
      <c r="BT46" s="98">
        <v>1714.8500000000001</v>
      </c>
      <c r="BU46" s="98">
        <v>23556.309999999998</v>
      </c>
      <c r="BV46" s="98">
        <v>14430.75</v>
      </c>
      <c r="BW46" s="98">
        <v>7993.19</v>
      </c>
      <c r="BX46" s="98">
        <v>684.55</v>
      </c>
      <c r="BY46" s="98">
        <v>29469.03</v>
      </c>
      <c r="BZ46" s="98">
        <v>141500.89000000001</v>
      </c>
      <c r="CA46" s="98">
        <v>362911</v>
      </c>
      <c r="CB46" s="119" t="s">
        <v>181</v>
      </c>
      <c r="CC46" s="103">
        <v>366480</v>
      </c>
      <c r="CD46" s="98">
        <v>28332.192917430002</v>
      </c>
      <c r="CE46" s="98">
        <v>78688.442349810008</v>
      </c>
      <c r="CF46" s="98">
        <v>828.99</v>
      </c>
      <c r="CG46" s="98">
        <v>27004.073607760001</v>
      </c>
      <c r="CH46" s="98">
        <v>112754.031</v>
      </c>
      <c r="CI46" s="98">
        <v>101296.4367523</v>
      </c>
      <c r="CJ46" s="98">
        <v>17575.83337269997</v>
      </c>
      <c r="CK46" s="119" t="s">
        <v>181</v>
      </c>
      <c r="CL46" s="103">
        <v>178270</v>
      </c>
      <c r="CM46" s="98">
        <v>133.36000000000001</v>
      </c>
      <c r="CN46" s="98">
        <v>743.08</v>
      </c>
      <c r="CO46" s="98">
        <v>20826.276296579999</v>
      </c>
      <c r="CP46" s="98">
        <v>86144.645999999993</v>
      </c>
      <c r="CQ46" s="98">
        <v>68519.383862510003</v>
      </c>
      <c r="CR46" s="98">
        <v>1903.2538409100089</v>
      </c>
      <c r="CS46" s="119" t="s">
        <v>181</v>
      </c>
      <c r="CT46" s="103">
        <v>88313.42602756001</v>
      </c>
      <c r="CU46" s="98">
        <v>3054.2400000000052</v>
      </c>
      <c r="CV46" s="98">
        <v>85259.186027560005</v>
      </c>
      <c r="CW46" s="98">
        <v>83013</v>
      </c>
      <c r="CX46" s="104">
        <v>32867</v>
      </c>
    </row>
    <row r="47" spans="1:102" x14ac:dyDescent="0.3">
      <c r="A47" s="119" t="s">
        <v>182</v>
      </c>
      <c r="B47" s="98">
        <v>254505</v>
      </c>
      <c r="C47" s="98">
        <v>245874</v>
      </c>
      <c r="D47" s="98">
        <v>43193.760000000002</v>
      </c>
      <c r="E47" s="98">
        <v>202680.24</v>
      </c>
      <c r="F47" s="98">
        <v>8631.7999999999993</v>
      </c>
      <c r="G47" s="98">
        <v>344.13</v>
      </c>
      <c r="H47" s="98">
        <v>7990.9</v>
      </c>
      <c r="I47" s="98">
        <v>31.48</v>
      </c>
      <c r="J47" s="98">
        <v>265.29000000000002</v>
      </c>
      <c r="K47" s="119" t="s">
        <v>182</v>
      </c>
      <c r="L47" s="98">
        <v>245874</v>
      </c>
      <c r="M47" s="98">
        <v>43193.760000000002</v>
      </c>
      <c r="N47" s="98">
        <v>108.38</v>
      </c>
      <c r="O47" s="98">
        <v>208.49</v>
      </c>
      <c r="P47" s="98">
        <v>35624.57</v>
      </c>
      <c r="Q47" s="98">
        <v>4174.51</v>
      </c>
      <c r="R47" s="98">
        <v>3029.88</v>
      </c>
      <c r="S47" s="98">
        <v>47.930000000000291</v>
      </c>
      <c r="T47" s="98">
        <v>202680.24</v>
      </c>
      <c r="U47" s="98">
        <v>118181.88</v>
      </c>
      <c r="V47" s="98">
        <v>7705.19</v>
      </c>
      <c r="W47" s="98">
        <v>48902.93</v>
      </c>
      <c r="X47" s="98">
        <v>26341.81</v>
      </c>
      <c r="Y47" s="100">
        <v>1151.6099999999999</v>
      </c>
      <c r="Z47" s="98">
        <v>58.38</v>
      </c>
      <c r="AA47" s="98">
        <v>338.44000000000233</v>
      </c>
      <c r="AB47" s="119" t="s">
        <v>183</v>
      </c>
      <c r="AC47" s="98">
        <v>363854</v>
      </c>
      <c r="AD47" s="98">
        <v>353080.97</v>
      </c>
      <c r="AE47" s="98">
        <v>291042.53999999998</v>
      </c>
      <c r="AF47" s="98">
        <v>44004.67</v>
      </c>
      <c r="AG47" s="98">
        <v>3132.94</v>
      </c>
      <c r="AH47" s="98">
        <v>1952.33</v>
      </c>
      <c r="AI47" s="98">
        <v>3364.06</v>
      </c>
      <c r="AJ47" s="98">
        <v>593.91999999999996</v>
      </c>
      <c r="AK47" s="98">
        <v>359.88</v>
      </c>
      <c r="AL47" s="98">
        <v>2876.2</v>
      </c>
      <c r="AM47" s="98">
        <v>55.93</v>
      </c>
      <c r="AN47" s="98">
        <v>5698.5</v>
      </c>
      <c r="AO47" s="98">
        <v>10772.45</v>
      </c>
      <c r="AP47" s="119" t="s">
        <v>183</v>
      </c>
      <c r="AQ47" s="98">
        <v>363854</v>
      </c>
      <c r="AR47" s="98">
        <v>214653.33</v>
      </c>
      <c r="AS47" s="98">
        <v>142179.26999999999</v>
      </c>
      <c r="AT47" s="98">
        <v>109040.82</v>
      </c>
      <c r="AU47" s="98">
        <v>7020.87</v>
      </c>
      <c r="AV47" s="98">
        <v>255828.8</v>
      </c>
      <c r="AW47" s="98">
        <v>108024.64</v>
      </c>
      <c r="AX47" s="119" t="s">
        <v>183</v>
      </c>
      <c r="AY47" s="98">
        <v>363854</v>
      </c>
      <c r="AZ47" s="98">
        <v>214653.33</v>
      </c>
      <c r="BA47" s="98">
        <v>39819</v>
      </c>
      <c r="BB47" s="98">
        <v>174834.33</v>
      </c>
      <c r="BC47" s="98">
        <v>85778.21</v>
      </c>
      <c r="BD47" s="98">
        <v>89056.11</v>
      </c>
      <c r="BE47" s="118">
        <v>48.050682416573679</v>
      </c>
      <c r="BF47" s="114" t="s">
        <v>183</v>
      </c>
      <c r="BG47" s="98"/>
      <c r="BH47" s="98"/>
      <c r="BI47" s="98"/>
      <c r="BJ47" s="98"/>
      <c r="BK47" s="105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>
        <v>142179.26999999999</v>
      </c>
      <c r="CA47" s="98">
        <v>363854</v>
      </c>
      <c r="CB47" s="119" t="s">
        <v>183</v>
      </c>
      <c r="CC47" s="103">
        <v>369875</v>
      </c>
      <c r="CD47" s="98">
        <v>29241.467089049998</v>
      </c>
      <c r="CE47" s="98">
        <v>80979.40351679</v>
      </c>
      <c r="CF47" s="98">
        <v>843.05</v>
      </c>
      <c r="CG47" s="98">
        <v>26731.973578420002</v>
      </c>
      <c r="CH47" s="98">
        <v>112578.808</v>
      </c>
      <c r="CI47" s="98">
        <v>101423.09917835999</v>
      </c>
      <c r="CJ47" s="98">
        <v>18077.198637380032</v>
      </c>
      <c r="CK47" s="119" t="s">
        <v>183</v>
      </c>
      <c r="CL47" s="103">
        <v>178468</v>
      </c>
      <c r="CM47" s="98">
        <v>126.51</v>
      </c>
      <c r="CN47" s="98">
        <v>738.26</v>
      </c>
      <c r="CO47" s="98">
        <v>20583.90038662</v>
      </c>
      <c r="CP47" s="98">
        <v>86072.323000000004</v>
      </c>
      <c r="CQ47" s="98">
        <v>68993.545146760007</v>
      </c>
      <c r="CR47" s="98">
        <v>1953.4614666199777</v>
      </c>
      <c r="CS47" s="119" t="s">
        <v>183</v>
      </c>
      <c r="CT47" s="103">
        <v>88166.697563209993</v>
      </c>
      <c r="CU47" s="98">
        <v>3043.7399999999907</v>
      </c>
      <c r="CV47" s="98">
        <v>85122.957563210002</v>
      </c>
      <c r="CW47" s="98">
        <v>83063</v>
      </c>
      <c r="CX47" s="104">
        <v>33073</v>
      </c>
    </row>
    <row r="48" spans="1:102" x14ac:dyDescent="0.3">
      <c r="A48" s="119" t="s">
        <v>184</v>
      </c>
      <c r="B48" s="98">
        <v>255985</v>
      </c>
      <c r="C48" s="98">
        <v>247297</v>
      </c>
      <c r="D48" s="98">
        <v>42232.89</v>
      </c>
      <c r="E48" s="98">
        <v>205064.35</v>
      </c>
      <c r="F48" s="98">
        <v>8688.6299999999992</v>
      </c>
      <c r="G48" s="98">
        <v>303.31</v>
      </c>
      <c r="H48" s="98">
        <v>8084.12</v>
      </c>
      <c r="I48" s="98">
        <v>36.15</v>
      </c>
      <c r="J48" s="98">
        <v>265.05</v>
      </c>
      <c r="K48" s="119" t="s">
        <v>184</v>
      </c>
      <c r="L48" s="98">
        <v>247297</v>
      </c>
      <c r="M48" s="98">
        <v>42232.89</v>
      </c>
      <c r="N48" s="98">
        <v>207.51</v>
      </c>
      <c r="O48" s="98">
        <v>211.97</v>
      </c>
      <c r="P48" s="98">
        <v>35029.129999999997</v>
      </c>
      <c r="Q48" s="98">
        <v>3771.86</v>
      </c>
      <c r="R48" s="98">
        <v>2970.77</v>
      </c>
      <c r="S48" s="98">
        <v>41.650000000001455</v>
      </c>
      <c r="T48" s="98">
        <v>205064.35</v>
      </c>
      <c r="U48" s="98">
        <v>119662.25</v>
      </c>
      <c r="V48" s="98">
        <v>7861.58</v>
      </c>
      <c r="W48" s="98">
        <v>49085.23</v>
      </c>
      <c r="X48" s="98">
        <v>26914.86</v>
      </c>
      <c r="Y48" s="100">
        <v>1159.56</v>
      </c>
      <c r="Z48" s="98">
        <v>57.93</v>
      </c>
      <c r="AA48" s="98">
        <v>322.94000000003143</v>
      </c>
      <c r="AB48" s="119" t="s">
        <v>184</v>
      </c>
      <c r="AC48" s="98">
        <v>364857</v>
      </c>
      <c r="AD48" s="98">
        <v>353629.29</v>
      </c>
      <c r="AE48" s="98">
        <v>290875.05</v>
      </c>
      <c r="AF48" s="98">
        <v>44545.36</v>
      </c>
      <c r="AG48" s="98">
        <v>3169.17</v>
      </c>
      <c r="AH48" s="98">
        <v>1978.8</v>
      </c>
      <c r="AI48" s="98">
        <v>3341.46</v>
      </c>
      <c r="AJ48" s="98">
        <v>567.39</v>
      </c>
      <c r="AK48" s="98">
        <v>364.59</v>
      </c>
      <c r="AL48" s="98">
        <v>2884.25</v>
      </c>
      <c r="AM48" s="98">
        <v>25.9</v>
      </c>
      <c r="AN48" s="98">
        <v>5877.320000000007</v>
      </c>
      <c r="AO48" s="98">
        <v>11227.48</v>
      </c>
      <c r="AP48" s="119" t="s">
        <v>184</v>
      </c>
      <c r="AQ48" s="98">
        <v>364857</v>
      </c>
      <c r="AR48" s="98">
        <v>215208.06</v>
      </c>
      <c r="AS48" s="98">
        <v>142931.62</v>
      </c>
      <c r="AT48" s="98">
        <v>109730.41</v>
      </c>
      <c r="AU48" s="98">
        <v>6717.07</v>
      </c>
      <c r="AV48" s="98">
        <v>256412.11</v>
      </c>
      <c r="AW48" s="98">
        <v>108444.63</v>
      </c>
      <c r="AX48" s="119" t="s">
        <v>184</v>
      </c>
      <c r="AY48" s="98">
        <v>364857</v>
      </c>
      <c r="AZ48" s="98">
        <v>215208.06</v>
      </c>
      <c r="BA48" s="98">
        <v>39943</v>
      </c>
      <c r="BB48" s="98">
        <v>175265.46</v>
      </c>
      <c r="BC48" s="98">
        <v>85793.29</v>
      </c>
      <c r="BD48" s="98">
        <v>89472.21</v>
      </c>
      <c r="BE48" s="118">
        <v>48.036754125588928</v>
      </c>
      <c r="BF48" s="114" t="s">
        <v>184</v>
      </c>
      <c r="BG48" s="98"/>
      <c r="BH48" s="98"/>
      <c r="BI48" s="98"/>
      <c r="BJ48" s="98"/>
      <c r="BK48" s="105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>
        <v>142931.62</v>
      </c>
      <c r="CA48" s="98">
        <v>364857</v>
      </c>
      <c r="CB48" s="119" t="s">
        <v>184</v>
      </c>
      <c r="CC48" s="103">
        <v>370450</v>
      </c>
      <c r="CD48" s="98">
        <v>29482.381299560002</v>
      </c>
      <c r="CE48" s="98">
        <v>81300.454265609995</v>
      </c>
      <c r="CF48" s="98">
        <v>884.06</v>
      </c>
      <c r="CG48" s="98">
        <v>26739.961946279996</v>
      </c>
      <c r="CH48" s="98">
        <v>112577.265</v>
      </c>
      <c r="CI48" s="98">
        <v>101524.09767163999</v>
      </c>
      <c r="CJ48" s="98">
        <v>17941.779816910042</v>
      </c>
      <c r="CK48" s="119" t="s">
        <v>184</v>
      </c>
      <c r="CL48" s="103">
        <v>178708</v>
      </c>
      <c r="CM48" s="98">
        <v>125.59</v>
      </c>
      <c r="CN48" s="98">
        <v>788.29</v>
      </c>
      <c r="CO48" s="98">
        <v>20881.882336569997</v>
      </c>
      <c r="CP48" s="98">
        <v>86044.853000000003</v>
      </c>
      <c r="CQ48" s="98">
        <v>68826.433302250007</v>
      </c>
      <c r="CR48" s="98">
        <v>2040.9513611799921</v>
      </c>
      <c r="CS48" s="119" t="s">
        <v>184</v>
      </c>
      <c r="CT48" s="103">
        <v>87809.74952966001</v>
      </c>
      <c r="CU48" s="98">
        <v>3134.5400000000081</v>
      </c>
      <c r="CV48" s="98">
        <v>84675.209529660002</v>
      </c>
      <c r="CW48" s="98">
        <v>83498</v>
      </c>
      <c r="CX48" s="104">
        <v>33602</v>
      </c>
    </row>
    <row r="49" spans="1:102" x14ac:dyDescent="0.3">
      <c r="A49" s="119" t="s">
        <v>191</v>
      </c>
      <c r="B49" s="98">
        <v>257121</v>
      </c>
      <c r="C49" s="98">
        <v>248849</v>
      </c>
      <c r="D49" s="98">
        <v>43283.74</v>
      </c>
      <c r="E49" s="98">
        <v>205565.16</v>
      </c>
      <c r="F49" s="98">
        <v>8272.39</v>
      </c>
      <c r="G49" s="98">
        <v>277.52999999999997</v>
      </c>
      <c r="H49" s="98">
        <v>7711.42</v>
      </c>
      <c r="I49" s="98">
        <v>37.97</v>
      </c>
      <c r="J49" s="98">
        <v>245.47</v>
      </c>
      <c r="K49" s="119" t="s">
        <v>191</v>
      </c>
      <c r="L49" s="98">
        <v>248849</v>
      </c>
      <c r="M49" s="98">
        <v>43283.74</v>
      </c>
      <c r="N49" s="98">
        <v>156.03</v>
      </c>
      <c r="O49" s="98">
        <v>217.74</v>
      </c>
      <c r="P49" s="98">
        <v>35731.1</v>
      </c>
      <c r="Q49" s="98">
        <v>3723.33</v>
      </c>
      <c r="R49" s="98">
        <v>3411.22</v>
      </c>
      <c r="S49" s="98">
        <v>44.319999999999709</v>
      </c>
      <c r="T49" s="98">
        <v>205565.16</v>
      </c>
      <c r="U49" s="98">
        <v>118711.19</v>
      </c>
      <c r="V49" s="98">
        <v>8114.42</v>
      </c>
      <c r="W49" s="98">
        <v>50408.69</v>
      </c>
      <c r="X49" s="98">
        <v>26800.799999999999</v>
      </c>
      <c r="Y49" s="100">
        <v>1158.69</v>
      </c>
      <c r="Z49" s="98">
        <v>57.23</v>
      </c>
      <c r="AA49" s="98">
        <v>314.14000000001397</v>
      </c>
      <c r="AB49" s="119" t="s">
        <v>191</v>
      </c>
      <c r="AC49" s="98">
        <v>367009</v>
      </c>
      <c r="AD49" s="98">
        <v>356037.99</v>
      </c>
      <c r="AE49" s="98">
        <v>292992.28000000003</v>
      </c>
      <c r="AF49" s="98">
        <v>45146.5</v>
      </c>
      <c r="AG49" s="98">
        <v>3096.32</v>
      </c>
      <c r="AH49" s="98">
        <v>1978.04</v>
      </c>
      <c r="AI49" s="98">
        <v>3340.87</v>
      </c>
      <c r="AJ49" s="98">
        <v>576.77</v>
      </c>
      <c r="AK49" s="98">
        <v>309.61</v>
      </c>
      <c r="AL49" s="98">
        <v>2643.48</v>
      </c>
      <c r="AM49" s="98">
        <v>45.57</v>
      </c>
      <c r="AN49" s="98">
        <v>5908.5499999999884</v>
      </c>
      <c r="AO49" s="98">
        <v>10970.83</v>
      </c>
      <c r="AP49" s="119" t="s">
        <v>191</v>
      </c>
      <c r="AQ49" s="98">
        <v>367009</v>
      </c>
      <c r="AR49" s="98">
        <v>216571.14</v>
      </c>
      <c r="AS49" s="98">
        <v>143412.97</v>
      </c>
      <c r="AT49" s="98">
        <v>110544.1</v>
      </c>
      <c r="AU49" s="98">
        <v>7024.65</v>
      </c>
      <c r="AV49" s="98">
        <v>257761.01</v>
      </c>
      <c r="AW49" s="98">
        <v>109247.76</v>
      </c>
      <c r="AX49" s="119" t="s">
        <v>191</v>
      </c>
      <c r="AY49" s="98">
        <v>367009</v>
      </c>
      <c r="AZ49" s="98">
        <v>216571.14</v>
      </c>
      <c r="BA49" s="98">
        <v>40209</v>
      </c>
      <c r="BB49" s="98">
        <v>176361.56</v>
      </c>
      <c r="BC49" s="98">
        <v>86025.87</v>
      </c>
      <c r="BD49" s="98">
        <v>90335.7</v>
      </c>
      <c r="BE49" s="118">
        <v>48.053742551272585</v>
      </c>
      <c r="BF49" s="119" t="s">
        <v>191</v>
      </c>
      <c r="BG49" s="98">
        <v>223595.81999999998</v>
      </c>
      <c r="BH49" s="98">
        <v>101618.29</v>
      </c>
      <c r="BI49" s="98">
        <v>43343.57</v>
      </c>
      <c r="BJ49" s="98">
        <v>13715.08</v>
      </c>
      <c r="BK49" s="105">
        <v>4730.42</v>
      </c>
      <c r="BL49" s="98">
        <v>8100.14</v>
      </c>
      <c r="BM49" s="98">
        <v>16149.91</v>
      </c>
      <c r="BN49" s="98">
        <v>29126.280000000002</v>
      </c>
      <c r="BO49" s="98">
        <v>4994.88</v>
      </c>
      <c r="BP49" s="98">
        <v>121977.42000000001</v>
      </c>
      <c r="BQ49" s="98">
        <v>1377.5700000000002</v>
      </c>
      <c r="BR49" s="98">
        <v>798.89</v>
      </c>
      <c r="BS49" s="98">
        <v>7421.18</v>
      </c>
      <c r="BT49" s="98">
        <v>1448.45</v>
      </c>
      <c r="BU49" s="98">
        <v>23549.35</v>
      </c>
      <c r="BV49" s="98">
        <v>14545.66</v>
      </c>
      <c r="BW49" s="98">
        <v>8305.08</v>
      </c>
      <c r="BX49" s="98">
        <v>652.16</v>
      </c>
      <c r="BY49" s="98">
        <v>29682.089999999997</v>
      </c>
      <c r="BZ49" s="98">
        <v>143412.97</v>
      </c>
      <c r="CA49" s="98">
        <v>367009</v>
      </c>
      <c r="CB49" s="119" t="s">
        <v>185</v>
      </c>
      <c r="CC49" s="103">
        <v>370782</v>
      </c>
      <c r="CD49" s="98">
        <v>28985.126650680002</v>
      </c>
      <c r="CE49" s="98">
        <v>80567.456999460002</v>
      </c>
      <c r="CF49" s="98">
        <v>945.84</v>
      </c>
      <c r="CG49" s="98">
        <v>26800.825203200002</v>
      </c>
      <c r="CH49" s="98">
        <v>112930.04800000001</v>
      </c>
      <c r="CI49" s="98">
        <v>102287.4650601</v>
      </c>
      <c r="CJ49" s="98">
        <v>18265.238086559984</v>
      </c>
      <c r="CK49" s="119" t="s">
        <v>185</v>
      </c>
      <c r="CL49" s="103">
        <v>179200</v>
      </c>
      <c r="CM49" s="98">
        <v>135.34</v>
      </c>
      <c r="CN49" s="98">
        <v>835.21</v>
      </c>
      <c r="CO49" s="98">
        <v>20888.46205953</v>
      </c>
      <c r="CP49" s="98">
        <v>86037.036999999997</v>
      </c>
      <c r="CQ49" s="98">
        <v>69445.627977819997</v>
      </c>
      <c r="CR49" s="98">
        <v>1858.3229626500106</v>
      </c>
      <c r="CS49" s="119" t="s">
        <v>185</v>
      </c>
      <c r="CT49" s="103">
        <v>88007.081558329999</v>
      </c>
      <c r="CU49" s="98">
        <v>2899.5399999999936</v>
      </c>
      <c r="CV49" s="98">
        <v>85107.541558330006</v>
      </c>
      <c r="CW49" s="98">
        <v>83623</v>
      </c>
      <c r="CX49" s="104">
        <v>34006</v>
      </c>
    </row>
    <row r="50" spans="1:102" x14ac:dyDescent="0.3">
      <c r="A50" s="119" t="s">
        <v>192</v>
      </c>
      <c r="B50" s="98">
        <v>254285</v>
      </c>
      <c r="C50" s="98">
        <v>246032</v>
      </c>
      <c r="D50" s="98">
        <v>41355.61</v>
      </c>
      <c r="E50" s="98">
        <v>204676.17</v>
      </c>
      <c r="F50" s="98">
        <v>8253.83</v>
      </c>
      <c r="G50" s="98">
        <v>260.06</v>
      </c>
      <c r="H50" s="98">
        <v>7723.34</v>
      </c>
      <c r="I50" s="98">
        <v>25.26</v>
      </c>
      <c r="J50" s="98">
        <v>245.17</v>
      </c>
      <c r="K50" s="119" t="s">
        <v>192</v>
      </c>
      <c r="L50" s="98">
        <v>246032</v>
      </c>
      <c r="M50" s="98">
        <v>41355.61</v>
      </c>
      <c r="N50" s="98">
        <v>55.33</v>
      </c>
      <c r="O50" s="98">
        <v>214.58</v>
      </c>
      <c r="P50" s="98">
        <v>34284.92</v>
      </c>
      <c r="Q50" s="98">
        <v>4125.05</v>
      </c>
      <c r="R50" s="98">
        <v>2624.53</v>
      </c>
      <c r="S50" s="98">
        <v>51.19999999999709</v>
      </c>
      <c r="T50" s="98">
        <v>204676.17</v>
      </c>
      <c r="U50" s="98">
        <v>117195.09</v>
      </c>
      <c r="V50" s="98">
        <v>8191.62</v>
      </c>
      <c r="W50" s="98">
        <v>50782.92</v>
      </c>
      <c r="X50" s="98">
        <v>26990.51</v>
      </c>
      <c r="Y50" s="100">
        <v>1155.0999999999999</v>
      </c>
      <c r="Z50" s="98">
        <v>56.73</v>
      </c>
      <c r="AA50" s="98">
        <v>304.19999999998254</v>
      </c>
      <c r="AB50" s="119" t="s">
        <v>192</v>
      </c>
      <c r="AC50" s="98">
        <v>366448</v>
      </c>
      <c r="AD50" s="98">
        <v>355678.75</v>
      </c>
      <c r="AE50" s="98">
        <v>291377.32</v>
      </c>
      <c r="AF50" s="98">
        <v>45884.36</v>
      </c>
      <c r="AG50" s="98">
        <v>3308.99</v>
      </c>
      <c r="AH50" s="98">
        <v>2040.98</v>
      </c>
      <c r="AI50" s="98">
        <v>3404.24</v>
      </c>
      <c r="AJ50" s="98">
        <v>657.44</v>
      </c>
      <c r="AK50" s="98">
        <v>300.70999999999998</v>
      </c>
      <c r="AL50" s="98">
        <v>2718.64</v>
      </c>
      <c r="AM50" s="98">
        <v>36.35</v>
      </c>
      <c r="AN50" s="98">
        <v>5949.7200000000303</v>
      </c>
      <c r="AO50" s="98">
        <v>10769.49</v>
      </c>
      <c r="AP50" s="119" t="s">
        <v>192</v>
      </c>
      <c r="AQ50" s="98">
        <v>366448</v>
      </c>
      <c r="AR50" s="98">
        <v>216128.1</v>
      </c>
      <c r="AS50" s="98">
        <v>144068.75</v>
      </c>
      <c r="AT50" s="98">
        <v>111153.65</v>
      </c>
      <c r="AU50" s="98">
        <v>6251.33</v>
      </c>
      <c r="AV50" s="98">
        <v>257779.18</v>
      </c>
      <c r="AW50" s="98">
        <v>108669.02</v>
      </c>
      <c r="AX50" s="119" t="s">
        <v>192</v>
      </c>
      <c r="AY50" s="98">
        <v>366448</v>
      </c>
      <c r="AZ50" s="98">
        <v>216128.1</v>
      </c>
      <c r="BA50" s="98">
        <v>38793</v>
      </c>
      <c r="BB50" s="98">
        <v>177334.86</v>
      </c>
      <c r="BC50" s="98">
        <v>86476.59</v>
      </c>
      <c r="BD50" s="98">
        <v>90858.31</v>
      </c>
      <c r="BE50" s="118">
        <v>48.392912500545776</v>
      </c>
      <c r="BF50" s="119" t="s">
        <v>192</v>
      </c>
      <c r="BG50" s="98"/>
      <c r="BH50" s="98"/>
      <c r="BI50" s="98"/>
      <c r="BJ50" s="98"/>
      <c r="BK50" s="105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>
        <v>144068.75</v>
      </c>
      <c r="CA50" s="98">
        <v>366448</v>
      </c>
      <c r="CB50" s="119" t="s">
        <v>192</v>
      </c>
      <c r="CC50" s="103">
        <v>372386</v>
      </c>
      <c r="CD50" s="98">
        <v>29191.780144709999</v>
      </c>
      <c r="CE50" s="98">
        <v>82047.116322810005</v>
      </c>
      <c r="CF50" s="98">
        <v>916.81</v>
      </c>
      <c r="CG50" s="98">
        <v>26936.483923039999</v>
      </c>
      <c r="CH50" s="98">
        <v>113164.86210448001</v>
      </c>
      <c r="CI50" s="98">
        <v>101965.14406496999</v>
      </c>
      <c r="CJ50" s="98">
        <v>18163.803439989977</v>
      </c>
      <c r="CK50" s="119" t="s">
        <v>192</v>
      </c>
      <c r="CL50" s="103">
        <v>180175</v>
      </c>
      <c r="CM50" s="98">
        <v>134.56</v>
      </c>
      <c r="CN50" s="98">
        <v>870.9</v>
      </c>
      <c r="CO50" s="98">
        <v>21087.489034409999</v>
      </c>
      <c r="CP50" s="98">
        <v>86275.223409950006</v>
      </c>
      <c r="CQ50" s="98">
        <v>69958.203697019999</v>
      </c>
      <c r="CR50" s="98">
        <v>1848.6238586200052</v>
      </c>
      <c r="CS50" s="119" t="s">
        <v>192</v>
      </c>
      <c r="CT50" s="103">
        <v>87959.514134869998</v>
      </c>
      <c r="CU50" s="98">
        <v>3081.8899999999994</v>
      </c>
      <c r="CV50" s="98">
        <v>84877.624134869999</v>
      </c>
      <c r="CW50" s="98">
        <v>84497</v>
      </c>
      <c r="CX50" s="104">
        <v>35786</v>
      </c>
    </row>
    <row r="51" spans="1:102" x14ac:dyDescent="0.3">
      <c r="A51" s="119" t="s">
        <v>187</v>
      </c>
      <c r="B51" s="98">
        <v>257414</v>
      </c>
      <c r="C51" s="98">
        <v>249230</v>
      </c>
      <c r="D51" s="98">
        <v>41681.269999999997</v>
      </c>
      <c r="E51" s="98">
        <v>207548.9</v>
      </c>
      <c r="F51" s="98">
        <v>8184.1899999999987</v>
      </c>
      <c r="G51" s="98">
        <v>242.78</v>
      </c>
      <c r="H51" s="98">
        <v>7652.11</v>
      </c>
      <c r="I51" s="98">
        <v>44.11</v>
      </c>
      <c r="J51" s="98">
        <v>245.19</v>
      </c>
      <c r="K51" s="119" t="s">
        <v>187</v>
      </c>
      <c r="L51" s="98">
        <v>249230</v>
      </c>
      <c r="M51" s="98">
        <v>41681.269999999997</v>
      </c>
      <c r="N51" s="98">
        <v>181.76</v>
      </c>
      <c r="O51" s="98">
        <v>209.9</v>
      </c>
      <c r="P51" s="98">
        <v>33664.92</v>
      </c>
      <c r="Q51" s="98">
        <v>4159.12</v>
      </c>
      <c r="R51" s="98">
        <v>3421.02</v>
      </c>
      <c r="S51" s="98">
        <v>44.549999999995634</v>
      </c>
      <c r="T51" s="98">
        <v>207548.9</v>
      </c>
      <c r="U51" s="98">
        <v>116968.22</v>
      </c>
      <c r="V51" s="98">
        <v>8311.23</v>
      </c>
      <c r="W51" s="98">
        <v>50724.89</v>
      </c>
      <c r="X51" s="98">
        <v>30060.47</v>
      </c>
      <c r="Y51" s="100">
        <v>1135.18</v>
      </c>
      <c r="Z51" s="98">
        <v>56.12</v>
      </c>
      <c r="AA51" s="98">
        <v>292.79000000000815</v>
      </c>
      <c r="AB51" s="119" t="s">
        <v>187</v>
      </c>
      <c r="AC51" s="98">
        <v>369559</v>
      </c>
      <c r="AD51" s="98">
        <v>358764.12</v>
      </c>
      <c r="AE51" s="98">
        <v>293026.74</v>
      </c>
      <c r="AF51" s="98">
        <v>46603.8</v>
      </c>
      <c r="AG51" s="98">
        <v>3333.26</v>
      </c>
      <c r="AH51" s="98">
        <v>2563.73</v>
      </c>
      <c r="AI51" s="98">
        <v>3394.47</v>
      </c>
      <c r="AJ51" s="98">
        <v>670.68</v>
      </c>
      <c r="AK51" s="98">
        <v>385.67</v>
      </c>
      <c r="AL51" s="98">
        <v>2714.88</v>
      </c>
      <c r="AM51" s="98">
        <v>56.15</v>
      </c>
      <c r="AN51" s="98">
        <v>6014.7400000000489</v>
      </c>
      <c r="AO51" s="98">
        <v>10795.38</v>
      </c>
      <c r="AP51" s="119" t="s">
        <v>187</v>
      </c>
      <c r="AQ51" s="98">
        <v>369559</v>
      </c>
      <c r="AR51" s="98">
        <v>217790.59</v>
      </c>
      <c r="AS51" s="98">
        <v>145473.63</v>
      </c>
      <c r="AT51" s="98">
        <v>112430.03</v>
      </c>
      <c r="AU51" s="98">
        <v>6295.21</v>
      </c>
      <c r="AV51" s="98">
        <v>260499.76</v>
      </c>
      <c r="AW51" s="98">
        <v>109059.65</v>
      </c>
      <c r="AX51" s="119" t="s">
        <v>187</v>
      </c>
      <c r="AY51" s="98">
        <v>369559</v>
      </c>
      <c r="AZ51" s="98">
        <v>217790.59</v>
      </c>
      <c r="BA51" s="98">
        <v>39855</v>
      </c>
      <c r="BB51" s="98">
        <v>177935.68</v>
      </c>
      <c r="BC51" s="98">
        <v>86832.18</v>
      </c>
      <c r="BD51" s="98">
        <v>91103.53</v>
      </c>
      <c r="BE51" s="118">
        <v>48.148111668231593</v>
      </c>
      <c r="BF51" s="119" t="s">
        <v>187</v>
      </c>
      <c r="BG51" s="98"/>
      <c r="BH51" s="98"/>
      <c r="BI51" s="98"/>
      <c r="BJ51" s="98"/>
      <c r="BK51" s="105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>
        <v>145473.63</v>
      </c>
      <c r="CA51" s="98">
        <v>369559</v>
      </c>
      <c r="CB51" s="119" t="s">
        <v>187</v>
      </c>
      <c r="CC51" s="103">
        <v>373276</v>
      </c>
      <c r="CD51" s="98">
        <v>29052.832818550003</v>
      </c>
      <c r="CE51" s="98">
        <v>84027.235878389998</v>
      </c>
      <c r="CF51" s="98">
        <v>895.83</v>
      </c>
      <c r="CG51" s="98">
        <v>26870.5694884</v>
      </c>
      <c r="CH51" s="98">
        <v>113078.95017486</v>
      </c>
      <c r="CI51" s="98">
        <v>101445.68943293999</v>
      </c>
      <c r="CJ51" s="98">
        <v>17904.892206860008</v>
      </c>
      <c r="CK51" s="119" t="s">
        <v>187</v>
      </c>
      <c r="CL51" s="103">
        <v>181181</v>
      </c>
      <c r="CM51" s="98">
        <v>128.85</v>
      </c>
      <c r="CN51" s="98">
        <v>843.32</v>
      </c>
      <c r="CO51" s="98">
        <v>20516.094392490002</v>
      </c>
      <c r="CP51" s="98">
        <v>86875.89997826</v>
      </c>
      <c r="CQ51" s="98">
        <v>70854.553483459997</v>
      </c>
      <c r="CR51" s="98">
        <v>1962.282145789999</v>
      </c>
      <c r="CS51" s="119" t="s">
        <v>187</v>
      </c>
      <c r="CT51" s="103">
        <v>88007.091558330008</v>
      </c>
      <c r="CU51" s="98">
        <v>3527.2993572300038</v>
      </c>
      <c r="CV51" s="98">
        <v>84479.792201100005</v>
      </c>
      <c r="CW51" s="98">
        <v>85755</v>
      </c>
      <c r="CX51" s="104">
        <v>37167</v>
      </c>
    </row>
    <row r="52" spans="1:102" x14ac:dyDescent="0.3">
      <c r="A52" s="119" t="s">
        <v>188</v>
      </c>
      <c r="B52" s="98">
        <v>260695</v>
      </c>
      <c r="C52" s="98">
        <v>252417</v>
      </c>
      <c r="D52" s="98">
        <v>42180.97</v>
      </c>
      <c r="E52" s="98">
        <v>210236.32</v>
      </c>
      <c r="F52" s="98">
        <v>8278.23</v>
      </c>
      <c r="G52" s="98">
        <v>240.94</v>
      </c>
      <c r="H52" s="98">
        <v>7812.6</v>
      </c>
      <c r="I52" s="98">
        <v>64.33</v>
      </c>
      <c r="J52" s="98">
        <v>160.36000000000001</v>
      </c>
      <c r="K52" s="119" t="s">
        <v>188</v>
      </c>
      <c r="L52" s="98">
        <v>252417</v>
      </c>
      <c r="M52" s="98">
        <v>42180.97</v>
      </c>
      <c r="N52" s="98">
        <v>204.23</v>
      </c>
      <c r="O52" s="98">
        <v>198.62</v>
      </c>
      <c r="P52" s="98">
        <v>34549.46</v>
      </c>
      <c r="Q52" s="98">
        <v>3857.03</v>
      </c>
      <c r="R52" s="98">
        <v>3363.62</v>
      </c>
      <c r="S52" s="98">
        <v>8.0100000000020373</v>
      </c>
      <c r="T52" s="98">
        <v>210236.32</v>
      </c>
      <c r="U52" s="98">
        <v>118649.63</v>
      </c>
      <c r="V52" s="98">
        <v>8379.1299999999992</v>
      </c>
      <c r="W52" s="98">
        <v>51679.91</v>
      </c>
      <c r="X52" s="98">
        <v>30126.41</v>
      </c>
      <c r="Y52" s="100">
        <v>1117.03</v>
      </c>
      <c r="Z52" s="98">
        <v>55.58</v>
      </c>
      <c r="AA52" s="98">
        <v>228.63000000000466</v>
      </c>
      <c r="AB52" s="119" t="s">
        <v>188</v>
      </c>
      <c r="AC52" s="98">
        <v>369293</v>
      </c>
      <c r="AD52" s="98">
        <v>358759.69</v>
      </c>
      <c r="AE52" s="98">
        <v>292144.65000000002</v>
      </c>
      <c r="AF52" s="98">
        <v>47403.06</v>
      </c>
      <c r="AG52" s="98">
        <v>3218.91</v>
      </c>
      <c r="AH52" s="98">
        <v>2554.92</v>
      </c>
      <c r="AI52" s="98">
        <v>3351.22</v>
      </c>
      <c r="AJ52" s="98">
        <v>577.63</v>
      </c>
      <c r="AK52" s="98">
        <v>441.54</v>
      </c>
      <c r="AL52" s="98">
        <v>2749.27</v>
      </c>
      <c r="AM52" s="98">
        <v>288.83</v>
      </c>
      <c r="AN52" s="98">
        <v>6029.6600000000326</v>
      </c>
      <c r="AO52" s="98">
        <v>10532.88</v>
      </c>
      <c r="AP52" s="119" t="s">
        <v>188</v>
      </c>
      <c r="AQ52" s="98">
        <v>369293</v>
      </c>
      <c r="AR52" s="98">
        <v>216889.3</v>
      </c>
      <c r="AS52" s="98">
        <v>145658.01999999999</v>
      </c>
      <c r="AT52" s="98">
        <v>112878.69</v>
      </c>
      <c r="AU52" s="98">
        <v>6745.24</v>
      </c>
      <c r="AV52" s="98">
        <v>259983.64</v>
      </c>
      <c r="AW52" s="98">
        <v>109308.93</v>
      </c>
      <c r="AX52" s="119" t="s">
        <v>188</v>
      </c>
      <c r="AY52" s="98">
        <v>369293</v>
      </c>
      <c r="AZ52" s="98">
        <v>216889.3</v>
      </c>
      <c r="BA52" s="98">
        <v>39593</v>
      </c>
      <c r="BB52" s="98">
        <v>177295.65</v>
      </c>
      <c r="BC52" s="98">
        <v>86176.960000000006</v>
      </c>
      <c r="BD52" s="98">
        <v>91118.78</v>
      </c>
      <c r="BE52" s="118">
        <v>48.009480277178284</v>
      </c>
      <c r="BF52" s="119" t="s">
        <v>188</v>
      </c>
      <c r="BG52" s="98">
        <v>223634.56</v>
      </c>
      <c r="BH52" s="98">
        <v>102014.26999999999</v>
      </c>
      <c r="BI52" s="98">
        <v>43200.97</v>
      </c>
      <c r="BJ52" s="98">
        <v>12621.849999999999</v>
      </c>
      <c r="BK52" s="105">
        <v>4834.41</v>
      </c>
      <c r="BL52" s="98">
        <v>8135.5499999999993</v>
      </c>
      <c r="BM52" s="98">
        <v>15851.93</v>
      </c>
      <c r="BN52" s="98">
        <v>30316.78</v>
      </c>
      <c r="BO52" s="98">
        <v>4941</v>
      </c>
      <c r="BP52" s="98">
        <v>121620.2</v>
      </c>
      <c r="BQ52" s="98">
        <v>1405.6200000000001</v>
      </c>
      <c r="BR52" s="98">
        <v>273.70999999999998</v>
      </c>
      <c r="BS52" s="98">
        <v>7209.18</v>
      </c>
      <c r="BT52" s="98">
        <v>1253.94</v>
      </c>
      <c r="BU52" s="98">
        <v>23491.120000000003</v>
      </c>
      <c r="BV52" s="98">
        <v>14629.03</v>
      </c>
      <c r="BW52" s="98">
        <v>8521.19</v>
      </c>
      <c r="BX52" s="98">
        <v>774.24</v>
      </c>
      <c r="BY52" s="98">
        <v>29725.35</v>
      </c>
      <c r="BZ52" s="98">
        <v>145658.01999999999</v>
      </c>
      <c r="CA52" s="98">
        <v>369293</v>
      </c>
      <c r="CB52" s="119" t="s">
        <v>188</v>
      </c>
      <c r="CC52" s="103">
        <v>369014</v>
      </c>
      <c r="CD52" s="98">
        <v>27099.894161379998</v>
      </c>
      <c r="CE52" s="98">
        <v>83072.249132519995</v>
      </c>
      <c r="CF52" s="98">
        <v>919.14</v>
      </c>
      <c r="CG52" s="98">
        <v>26729.844706809999</v>
      </c>
      <c r="CH52" s="98">
        <v>112586.52534963</v>
      </c>
      <c r="CI52" s="98">
        <v>100800.36537744</v>
      </c>
      <c r="CJ52" s="98">
        <v>17805.981272220029</v>
      </c>
      <c r="CK52" s="119" t="s">
        <v>188</v>
      </c>
      <c r="CL52" s="103">
        <v>181314</v>
      </c>
      <c r="CM52" s="98">
        <v>124.84</v>
      </c>
      <c r="CN52" s="98">
        <v>844.9</v>
      </c>
      <c r="CO52" s="98">
        <v>20932.928264550002</v>
      </c>
      <c r="CP52" s="98">
        <v>86794.299043599996</v>
      </c>
      <c r="CQ52" s="98">
        <v>71039.995226330007</v>
      </c>
      <c r="CR52" s="98">
        <v>1577.0374655199994</v>
      </c>
      <c r="CS52" s="119" t="s">
        <v>188</v>
      </c>
      <c r="CT52" s="103">
        <v>86811.618048770019</v>
      </c>
      <c r="CU52" s="98">
        <v>2861.0800000000017</v>
      </c>
      <c r="CV52" s="98">
        <v>83950.538048770017</v>
      </c>
      <c r="CW52" s="98">
        <v>86580</v>
      </c>
      <c r="CX52" s="104">
        <v>36912</v>
      </c>
    </row>
    <row r="53" spans="1:102" x14ac:dyDescent="0.3">
      <c r="A53" s="119"/>
      <c r="B53" s="98"/>
      <c r="C53" s="98"/>
      <c r="D53" s="98"/>
      <c r="E53" s="98"/>
      <c r="F53" s="98"/>
      <c r="G53" s="98"/>
      <c r="H53" s="98"/>
      <c r="I53" s="98"/>
      <c r="J53" s="98"/>
      <c r="K53" s="119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100"/>
      <c r="Z53" s="98"/>
      <c r="AA53" s="98"/>
      <c r="AB53" s="119"/>
      <c r="AC53" s="98"/>
      <c r="AD53" s="98"/>
      <c r="AE53" s="98"/>
      <c r="AF53" s="98"/>
      <c r="AG53" s="98"/>
      <c r="AH53" s="98"/>
      <c r="AI53" s="98"/>
      <c r="AJ53" s="98"/>
      <c r="AK53" s="98"/>
      <c r="AL53" s="98"/>
      <c r="AM53" s="98"/>
      <c r="AN53" s="98"/>
      <c r="AO53" s="98"/>
      <c r="AP53" s="119"/>
      <c r="AQ53" s="98"/>
      <c r="AR53" s="98"/>
      <c r="AS53" s="98"/>
      <c r="AT53" s="98"/>
      <c r="AU53" s="98"/>
      <c r="AV53" s="98"/>
      <c r="AW53" s="98"/>
      <c r="AX53" s="119"/>
      <c r="AY53" s="98"/>
      <c r="AZ53" s="98"/>
      <c r="BA53" s="98"/>
      <c r="BB53" s="98"/>
      <c r="BC53" s="98"/>
      <c r="BD53" s="98"/>
      <c r="BE53" s="118"/>
      <c r="BF53" s="119"/>
      <c r="BG53" s="98"/>
      <c r="BH53" s="98"/>
      <c r="BI53" s="98"/>
      <c r="BJ53" s="98"/>
      <c r="BK53" s="105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119"/>
      <c r="CC53" s="103"/>
      <c r="CD53" s="98"/>
      <c r="CE53" s="98"/>
      <c r="CF53" s="98"/>
      <c r="CG53" s="98"/>
      <c r="CH53" s="98"/>
      <c r="CI53" s="98"/>
      <c r="CJ53" s="98"/>
      <c r="CK53" s="119"/>
      <c r="CL53" s="103"/>
      <c r="CM53" s="98"/>
      <c r="CN53" s="98"/>
      <c r="CO53" s="98"/>
      <c r="CP53" s="98"/>
      <c r="CQ53" s="98"/>
      <c r="CR53" s="98"/>
      <c r="CS53" s="119"/>
      <c r="CT53" s="103"/>
      <c r="CU53" s="98"/>
      <c r="CV53" s="98"/>
      <c r="CW53" s="98"/>
      <c r="CX53" s="104"/>
    </row>
    <row r="54" spans="1:102" x14ac:dyDescent="0.3">
      <c r="A54" s="114" t="s">
        <v>193</v>
      </c>
      <c r="B54" s="98">
        <v>257526</v>
      </c>
      <c r="C54" s="98">
        <v>249032</v>
      </c>
      <c r="D54" s="98">
        <v>42427.06</v>
      </c>
      <c r="E54" s="98">
        <v>206604.79999999999</v>
      </c>
      <c r="F54" s="98">
        <v>8493.9699999999993</v>
      </c>
      <c r="G54" s="98">
        <v>229.85</v>
      </c>
      <c r="H54" s="98">
        <v>8061.67</v>
      </c>
      <c r="I54" s="98">
        <v>60.89</v>
      </c>
      <c r="J54" s="98">
        <v>140.56</v>
      </c>
      <c r="K54" s="119" t="s">
        <v>193</v>
      </c>
      <c r="L54" s="98">
        <v>249032</v>
      </c>
      <c r="M54" s="98">
        <v>42427.06</v>
      </c>
      <c r="N54" s="98">
        <v>220.14</v>
      </c>
      <c r="O54" s="98">
        <v>202.6</v>
      </c>
      <c r="P54" s="98">
        <v>33991.14</v>
      </c>
      <c r="Q54" s="98">
        <v>4943.8500000000004</v>
      </c>
      <c r="R54" s="98">
        <v>3039.88</v>
      </c>
      <c r="S54" s="98">
        <v>29.450000000004366</v>
      </c>
      <c r="T54" s="98">
        <v>206604.79999999999</v>
      </c>
      <c r="U54" s="98">
        <v>117721.16</v>
      </c>
      <c r="V54" s="98">
        <v>8277.3799999999992</v>
      </c>
      <c r="W54" s="98">
        <v>51453.53</v>
      </c>
      <c r="X54" s="98">
        <v>27850.7</v>
      </c>
      <c r="Y54" s="100">
        <v>1036.31</v>
      </c>
      <c r="Z54" s="98">
        <v>54.98</v>
      </c>
      <c r="AA54" s="98">
        <v>210.73999999996158</v>
      </c>
      <c r="AB54" s="119" t="s">
        <v>193</v>
      </c>
      <c r="AC54" s="98">
        <v>370216</v>
      </c>
      <c r="AD54" s="98">
        <v>359570.44</v>
      </c>
      <c r="AE54" s="98">
        <v>292548.26</v>
      </c>
      <c r="AF54" s="98">
        <v>47868.5</v>
      </c>
      <c r="AG54" s="98">
        <v>3424.16</v>
      </c>
      <c r="AH54" s="98">
        <v>2354.08</v>
      </c>
      <c r="AI54" s="98">
        <v>3324.9</v>
      </c>
      <c r="AJ54" s="98">
        <v>648.76</v>
      </c>
      <c r="AK54" s="98">
        <v>393.82</v>
      </c>
      <c r="AL54" s="98">
        <v>2770.01</v>
      </c>
      <c r="AM54" s="98">
        <v>95.46</v>
      </c>
      <c r="AN54" s="98">
        <v>6142.4899999999907</v>
      </c>
      <c r="AO54" s="98">
        <v>10645.16</v>
      </c>
      <c r="AP54" s="119" t="s">
        <v>193</v>
      </c>
      <c r="AQ54" s="98">
        <v>370216</v>
      </c>
      <c r="AR54" s="98">
        <v>217599.76</v>
      </c>
      <c r="AS54" s="98">
        <v>145504.25</v>
      </c>
      <c r="AT54" s="98">
        <v>112915.39</v>
      </c>
      <c r="AU54" s="98">
        <v>7111.59</v>
      </c>
      <c r="AV54" s="98">
        <v>260407.5</v>
      </c>
      <c r="AW54" s="98">
        <v>109808.14</v>
      </c>
      <c r="AX54" s="119" t="s">
        <v>193</v>
      </c>
      <c r="AY54" s="98">
        <v>370216</v>
      </c>
      <c r="AZ54" s="98">
        <v>217599.76</v>
      </c>
      <c r="BA54" s="98">
        <v>40099</v>
      </c>
      <c r="BB54" s="98">
        <v>177500.65</v>
      </c>
      <c r="BC54" s="98">
        <v>86044</v>
      </c>
      <c r="BD54" s="98">
        <v>91456.63</v>
      </c>
      <c r="BE54" s="118">
        <v>47.945159042288829</v>
      </c>
      <c r="BF54" s="119" t="s">
        <v>193</v>
      </c>
      <c r="BG54" s="98"/>
      <c r="BH54" s="98"/>
      <c r="BI54" s="98"/>
      <c r="BJ54" s="98"/>
      <c r="BK54" s="105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>
        <v>145504.25</v>
      </c>
      <c r="CA54" s="98">
        <v>370216</v>
      </c>
      <c r="CB54" s="114" t="s">
        <v>193</v>
      </c>
      <c r="CC54" s="103">
        <v>371408</v>
      </c>
      <c r="CD54" s="98">
        <v>28093.943390870001</v>
      </c>
      <c r="CE54" s="98">
        <v>87116.296301680006</v>
      </c>
      <c r="CF54" s="98">
        <v>936.42</v>
      </c>
      <c r="CG54" s="98">
        <v>26554.980801920003</v>
      </c>
      <c r="CH54" s="98">
        <v>112055.0098081</v>
      </c>
      <c r="CI54" s="98">
        <v>98858.97</v>
      </c>
      <c r="CJ54" s="98">
        <v>17792.379697429948</v>
      </c>
      <c r="CK54" s="114" t="s">
        <v>193</v>
      </c>
      <c r="CL54" s="103">
        <v>178370</v>
      </c>
      <c r="CM54" s="98">
        <v>119.98</v>
      </c>
      <c r="CN54" s="98">
        <v>834.51</v>
      </c>
      <c r="CO54" s="98">
        <v>21259.060176660001</v>
      </c>
      <c r="CP54" s="98">
        <v>87078.044159969999</v>
      </c>
      <c r="CQ54" s="98">
        <v>67377.070000000007</v>
      </c>
      <c r="CR54" s="98">
        <v>1701.3356633699732</v>
      </c>
      <c r="CS54" s="114" t="s">
        <v>193</v>
      </c>
      <c r="CT54" s="103">
        <v>87094.718023450027</v>
      </c>
      <c r="CU54" s="98">
        <v>3020.5000000000291</v>
      </c>
      <c r="CV54" s="98">
        <v>84074.218023449997</v>
      </c>
      <c r="CW54" s="98">
        <v>83251</v>
      </c>
      <c r="CX54" s="104">
        <v>37738</v>
      </c>
    </row>
    <row r="55" spans="1:102" x14ac:dyDescent="0.3">
      <c r="A55" s="114" t="s">
        <v>194</v>
      </c>
      <c r="B55" s="98">
        <v>263153</v>
      </c>
      <c r="C55" s="98">
        <v>254362</v>
      </c>
      <c r="D55" s="98">
        <v>43919.85</v>
      </c>
      <c r="E55" s="98">
        <v>210441.84</v>
      </c>
      <c r="F55" s="98">
        <v>8790.2000000000007</v>
      </c>
      <c r="G55" s="98">
        <v>217.59</v>
      </c>
      <c r="H55" s="98">
        <v>8401.5300000000007</v>
      </c>
      <c r="I55" s="98">
        <v>30.74</v>
      </c>
      <c r="J55" s="98">
        <v>140.34</v>
      </c>
      <c r="K55" s="114" t="s">
        <v>194</v>
      </c>
      <c r="L55" s="98">
        <v>254362</v>
      </c>
      <c r="M55" s="98">
        <v>43919.85</v>
      </c>
      <c r="N55" s="98">
        <v>161.59</v>
      </c>
      <c r="O55" s="98">
        <v>215.82</v>
      </c>
      <c r="P55" s="98">
        <v>35351.75</v>
      </c>
      <c r="Q55" s="98">
        <v>3992</v>
      </c>
      <c r="R55" s="98">
        <v>4165.3900000000003</v>
      </c>
      <c r="S55" s="98">
        <v>33.299999999995634</v>
      </c>
      <c r="T55" s="98">
        <v>210441.84</v>
      </c>
      <c r="U55" s="98">
        <v>118973.41</v>
      </c>
      <c r="V55" s="98">
        <v>8195.34</v>
      </c>
      <c r="W55" s="98">
        <v>52822.63</v>
      </c>
      <c r="X55" s="98">
        <v>29209.119999999999</v>
      </c>
      <c r="Y55" s="100">
        <v>980.67</v>
      </c>
      <c r="Z55" s="98">
        <v>54.2</v>
      </c>
      <c r="AA55" s="98">
        <v>206.46999999997206</v>
      </c>
      <c r="AB55" s="114" t="s">
        <v>194</v>
      </c>
      <c r="AC55" s="98">
        <v>371077</v>
      </c>
      <c r="AD55" s="98">
        <v>360416.26</v>
      </c>
      <c r="AE55" s="98">
        <v>291942.15999999997</v>
      </c>
      <c r="AF55" s="98">
        <v>48443.77</v>
      </c>
      <c r="AG55" s="98">
        <v>3554.51</v>
      </c>
      <c r="AH55" s="98">
        <v>2992.31</v>
      </c>
      <c r="AI55" s="98">
        <v>3384.18</v>
      </c>
      <c r="AJ55" s="98">
        <v>697.11</v>
      </c>
      <c r="AK55" s="98">
        <v>389.28</v>
      </c>
      <c r="AL55" s="98">
        <v>2744.25</v>
      </c>
      <c r="AM55" s="98">
        <v>45.82</v>
      </c>
      <c r="AN55" s="98">
        <v>6222.8699999999953</v>
      </c>
      <c r="AO55" s="98">
        <v>10660.93</v>
      </c>
      <c r="AP55" s="114" t="s">
        <v>189</v>
      </c>
      <c r="AQ55" s="98">
        <v>371077</v>
      </c>
      <c r="AR55" s="98">
        <v>218781.78</v>
      </c>
      <c r="AS55" s="98">
        <v>145440.23000000001</v>
      </c>
      <c r="AT55" s="98">
        <v>113142.69</v>
      </c>
      <c r="AU55" s="98">
        <v>6855.21</v>
      </c>
      <c r="AV55" s="98">
        <v>260868.16</v>
      </c>
      <c r="AW55" s="98">
        <v>110209.03</v>
      </c>
      <c r="AX55" s="119" t="s">
        <v>178</v>
      </c>
      <c r="AY55" s="98">
        <v>371077</v>
      </c>
      <c r="AZ55" s="98">
        <v>218781.78</v>
      </c>
      <c r="BA55" s="98">
        <v>40905</v>
      </c>
      <c r="BB55" s="98">
        <v>177877.14</v>
      </c>
      <c r="BC55" s="98">
        <v>86105.3</v>
      </c>
      <c r="BD55" s="98">
        <v>91771.83</v>
      </c>
      <c r="BE55" s="118">
        <v>47.935371903944471</v>
      </c>
      <c r="BF55" s="119" t="s">
        <v>178</v>
      </c>
      <c r="BG55" s="98"/>
      <c r="BH55" s="98"/>
      <c r="BI55" s="98"/>
      <c r="BJ55" s="98"/>
      <c r="BK55" s="105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>
        <v>145440.23000000001</v>
      </c>
      <c r="CA55" s="98">
        <v>371077</v>
      </c>
      <c r="CB55" s="114" t="s">
        <v>178</v>
      </c>
      <c r="CC55" s="103">
        <v>373306</v>
      </c>
      <c r="CD55" s="98">
        <v>29164.258983590003</v>
      </c>
      <c r="CE55" s="98">
        <v>89708.925919600006</v>
      </c>
      <c r="CF55" s="98">
        <v>962.89</v>
      </c>
      <c r="CG55" s="98">
        <v>26570.186612860001</v>
      </c>
      <c r="CH55" s="98">
        <v>111211.31262259001</v>
      </c>
      <c r="CI55" s="98">
        <v>97903.56</v>
      </c>
      <c r="CJ55" s="98">
        <v>17784.865861359984</v>
      </c>
      <c r="CK55" s="114" t="s">
        <v>189</v>
      </c>
      <c r="CL55" s="103">
        <v>183811</v>
      </c>
      <c r="CM55" s="98">
        <v>108.07</v>
      </c>
      <c r="CN55" s="98">
        <v>835.64</v>
      </c>
      <c r="CO55" s="98">
        <v>21355.219102670002</v>
      </c>
      <c r="CP55" s="98">
        <v>87544.841935899996</v>
      </c>
      <c r="CQ55" s="98">
        <v>71934.880000000005</v>
      </c>
      <c r="CR55" s="98">
        <v>2032.3489614299906</v>
      </c>
      <c r="CS55" s="114" t="s">
        <v>178</v>
      </c>
      <c r="CT55" s="103">
        <v>87480.891434160003</v>
      </c>
      <c r="CU55" s="98">
        <v>3312.1699999999983</v>
      </c>
      <c r="CV55" s="98">
        <v>84168.721434160005</v>
      </c>
      <c r="CW55" s="98">
        <v>88349</v>
      </c>
      <c r="CX55" s="104">
        <v>40342</v>
      </c>
    </row>
    <row r="56" spans="1:102" s="127" customFormat="1" ht="4.5" customHeight="1" x14ac:dyDescent="0.3">
      <c r="A56" s="120"/>
      <c r="B56" s="121"/>
      <c r="C56" s="121"/>
      <c r="D56" s="121"/>
      <c r="E56" s="121"/>
      <c r="F56" s="121"/>
      <c r="G56" s="121"/>
      <c r="H56" s="121"/>
      <c r="I56" s="121"/>
      <c r="J56" s="121"/>
      <c r="K56" s="120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2"/>
      <c r="Z56" s="121"/>
      <c r="AA56" s="121"/>
      <c r="AB56" s="120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0"/>
      <c r="AQ56" s="121"/>
      <c r="AR56" s="121"/>
      <c r="AS56" s="121"/>
      <c r="AT56" s="121"/>
      <c r="AU56" s="121"/>
      <c r="AV56" s="121"/>
      <c r="AW56" s="121"/>
      <c r="AX56" s="120"/>
      <c r="AY56" s="121"/>
      <c r="AZ56" s="121"/>
      <c r="BA56" s="121"/>
      <c r="BB56" s="121"/>
      <c r="BC56" s="121"/>
      <c r="BD56" s="121"/>
      <c r="BE56" s="123"/>
      <c r="BF56" s="114"/>
      <c r="BG56" s="121"/>
      <c r="BH56" s="121"/>
      <c r="BI56" s="121"/>
      <c r="BJ56" s="121"/>
      <c r="BK56" s="124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0"/>
      <c r="CC56" s="125"/>
      <c r="CD56" s="121"/>
      <c r="CE56" s="121"/>
      <c r="CF56" s="121"/>
      <c r="CG56" s="121"/>
      <c r="CH56" s="121"/>
      <c r="CI56" s="121"/>
      <c r="CJ56" s="121"/>
      <c r="CK56" s="120"/>
      <c r="CL56" s="125"/>
      <c r="CM56" s="121"/>
      <c r="CN56" s="121"/>
      <c r="CO56" s="121"/>
      <c r="CP56" s="121"/>
      <c r="CQ56" s="121"/>
      <c r="CR56" s="121"/>
      <c r="CS56" s="120"/>
      <c r="CT56" s="125"/>
      <c r="CU56" s="121"/>
      <c r="CV56" s="121"/>
      <c r="CW56" s="121"/>
      <c r="CX56" s="126"/>
    </row>
    <row r="57" spans="1:102" ht="18" customHeight="1" x14ac:dyDescent="0.3">
      <c r="A57" s="380" t="s">
        <v>195</v>
      </c>
      <c r="B57" s="380"/>
      <c r="C57" s="380"/>
      <c r="D57" s="380"/>
      <c r="E57" s="380"/>
      <c r="F57" s="380"/>
      <c r="G57" s="380"/>
      <c r="H57" s="380"/>
      <c r="I57" s="380"/>
      <c r="J57" s="380"/>
      <c r="K57" s="361" t="s">
        <v>196</v>
      </c>
      <c r="L57" s="361"/>
      <c r="M57" s="361"/>
      <c r="N57" s="361"/>
      <c r="O57" s="361"/>
      <c r="P57" s="361"/>
      <c r="Q57" s="361"/>
      <c r="R57" s="361"/>
      <c r="S57" s="361"/>
      <c r="T57" s="361"/>
      <c r="U57" s="361"/>
      <c r="V57" s="361"/>
      <c r="W57" s="361"/>
      <c r="X57" s="361"/>
      <c r="Y57" s="361"/>
      <c r="Z57" s="361"/>
      <c r="AA57" s="361"/>
      <c r="AB57" s="361" t="s">
        <v>197</v>
      </c>
      <c r="AC57" s="361"/>
      <c r="AD57" s="361"/>
      <c r="AE57" s="361"/>
      <c r="AF57" s="361"/>
      <c r="AG57" s="361"/>
      <c r="AH57" s="361"/>
      <c r="AI57" s="361"/>
      <c r="AJ57" s="361"/>
      <c r="AK57" s="361"/>
      <c r="AL57" s="361"/>
      <c r="AM57" s="361"/>
      <c r="AN57" s="361"/>
      <c r="AO57" s="361"/>
      <c r="AP57" s="361" t="s">
        <v>198</v>
      </c>
      <c r="AQ57" s="361"/>
      <c r="AR57" s="361"/>
      <c r="AS57" s="361"/>
      <c r="AT57" s="361"/>
      <c r="AU57" s="361"/>
      <c r="AV57" s="361"/>
      <c r="AW57" s="361"/>
      <c r="AX57" s="361" t="s">
        <v>199</v>
      </c>
      <c r="AY57" s="361"/>
      <c r="AZ57" s="361"/>
      <c r="BA57" s="361"/>
      <c r="BB57" s="361"/>
      <c r="BC57" s="361"/>
      <c r="BD57" s="361"/>
      <c r="BE57" s="361"/>
      <c r="BF57" s="361" t="s">
        <v>200</v>
      </c>
      <c r="BG57" s="361"/>
      <c r="BH57" s="361"/>
      <c r="BI57" s="361"/>
      <c r="BJ57" s="361"/>
      <c r="BK57" s="361"/>
      <c r="BL57" s="361"/>
      <c r="BM57" s="361"/>
      <c r="BN57" s="361"/>
      <c r="BO57" s="361"/>
      <c r="BP57" s="363" t="s">
        <v>201</v>
      </c>
      <c r="BQ57" s="363"/>
      <c r="BR57" s="363"/>
      <c r="BS57" s="363"/>
      <c r="BT57" s="363"/>
      <c r="BU57" s="363"/>
      <c r="BV57" s="363"/>
      <c r="BW57" s="363"/>
      <c r="BX57" s="363"/>
      <c r="BY57" s="363"/>
      <c r="BZ57" s="363"/>
      <c r="CA57" s="363"/>
      <c r="CB57" s="365" t="s">
        <v>202</v>
      </c>
      <c r="CC57" s="365"/>
      <c r="CD57" s="365"/>
      <c r="CE57" s="365"/>
      <c r="CF57" s="365"/>
      <c r="CG57" s="365"/>
      <c r="CH57" s="365"/>
      <c r="CI57" s="365"/>
      <c r="CJ57" s="365"/>
      <c r="CK57" s="367" t="s">
        <v>203</v>
      </c>
      <c r="CL57" s="367"/>
      <c r="CM57" s="367"/>
      <c r="CN57" s="367"/>
      <c r="CO57" s="367"/>
      <c r="CP57" s="367"/>
      <c r="CQ57" s="367"/>
      <c r="CR57" s="367"/>
      <c r="CS57" s="367" t="s">
        <v>204</v>
      </c>
      <c r="CT57" s="367"/>
      <c r="CU57" s="367"/>
      <c r="CV57" s="367"/>
      <c r="CW57" s="367"/>
      <c r="CX57" s="367"/>
    </row>
    <row r="58" spans="1:102" x14ac:dyDescent="0.3">
      <c r="A58" s="381"/>
      <c r="B58" s="381"/>
      <c r="C58" s="381"/>
      <c r="D58" s="381"/>
      <c r="E58" s="381"/>
      <c r="F58" s="381"/>
      <c r="G58" s="381"/>
      <c r="H58" s="381"/>
      <c r="I58" s="381"/>
      <c r="J58" s="381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2"/>
      <c r="Z58" s="362"/>
      <c r="AA58" s="362"/>
      <c r="AB58" s="362"/>
      <c r="AC58" s="362"/>
      <c r="AD58" s="362"/>
      <c r="AE58" s="362"/>
      <c r="AF58" s="362"/>
      <c r="AG58" s="362"/>
      <c r="AH58" s="362"/>
      <c r="AI58" s="362"/>
      <c r="AJ58" s="362"/>
      <c r="AK58" s="362"/>
      <c r="AL58" s="362"/>
      <c r="AM58" s="362"/>
      <c r="AN58" s="362"/>
      <c r="AO58" s="362"/>
      <c r="AP58" s="362"/>
      <c r="AQ58" s="362"/>
      <c r="AR58" s="362"/>
      <c r="AS58" s="362"/>
      <c r="AT58" s="362"/>
      <c r="AU58" s="362"/>
      <c r="AV58" s="362"/>
      <c r="AW58" s="362"/>
      <c r="AX58" s="362"/>
      <c r="AY58" s="362"/>
      <c r="AZ58" s="362"/>
      <c r="BA58" s="362"/>
      <c r="BB58" s="362"/>
      <c r="BC58" s="362"/>
      <c r="BD58" s="362"/>
      <c r="BE58" s="362"/>
      <c r="BF58" s="362"/>
      <c r="BG58" s="362"/>
      <c r="BH58" s="362"/>
      <c r="BI58" s="362"/>
      <c r="BJ58" s="362"/>
      <c r="BK58" s="362"/>
      <c r="BL58" s="362"/>
      <c r="BM58" s="362"/>
      <c r="BN58" s="362"/>
      <c r="BO58" s="362"/>
      <c r="BP58" s="364"/>
      <c r="BQ58" s="364"/>
      <c r="BR58" s="364"/>
      <c r="BS58" s="364"/>
      <c r="BT58" s="364"/>
      <c r="BU58" s="364"/>
      <c r="BV58" s="364"/>
      <c r="BW58" s="364"/>
      <c r="BX58" s="364"/>
      <c r="BY58" s="364"/>
      <c r="BZ58" s="364"/>
      <c r="CA58" s="364"/>
      <c r="CB58" s="366"/>
      <c r="CC58" s="366"/>
      <c r="CD58" s="366"/>
      <c r="CE58" s="366"/>
      <c r="CF58" s="366"/>
      <c r="CG58" s="366"/>
      <c r="CH58" s="366"/>
      <c r="CI58" s="366"/>
      <c r="CJ58" s="366"/>
      <c r="CK58" s="368"/>
      <c r="CL58" s="368"/>
      <c r="CM58" s="368"/>
      <c r="CN58" s="368"/>
      <c r="CO58" s="368"/>
      <c r="CP58" s="368"/>
      <c r="CQ58" s="368"/>
      <c r="CR58" s="368"/>
      <c r="CS58" s="368"/>
      <c r="CT58" s="368"/>
      <c r="CU58" s="368"/>
      <c r="CV58" s="368"/>
      <c r="CW58" s="368"/>
      <c r="CX58" s="368"/>
    </row>
    <row r="59" spans="1:102" x14ac:dyDescent="0.3">
      <c r="A59" s="381"/>
      <c r="B59" s="381"/>
      <c r="C59" s="381"/>
      <c r="D59" s="381"/>
      <c r="E59" s="381"/>
      <c r="F59" s="381"/>
      <c r="G59" s="381"/>
      <c r="H59" s="381"/>
      <c r="I59" s="381"/>
      <c r="J59" s="381"/>
      <c r="K59" s="362"/>
      <c r="L59" s="362"/>
      <c r="M59" s="362"/>
      <c r="N59" s="362"/>
      <c r="O59" s="362"/>
      <c r="P59" s="362"/>
      <c r="Q59" s="362"/>
      <c r="R59" s="362"/>
      <c r="S59" s="362"/>
      <c r="T59" s="362"/>
      <c r="U59" s="362"/>
      <c r="V59" s="362"/>
      <c r="W59" s="362"/>
      <c r="X59" s="362"/>
      <c r="Y59" s="362"/>
      <c r="Z59" s="362"/>
      <c r="AA59" s="362"/>
      <c r="AB59" s="362"/>
      <c r="AC59" s="362"/>
      <c r="AD59" s="362"/>
      <c r="AE59" s="362"/>
      <c r="AF59" s="362"/>
      <c r="AG59" s="362"/>
      <c r="AH59" s="362"/>
      <c r="AI59" s="362"/>
      <c r="AJ59" s="362"/>
      <c r="AK59" s="362"/>
      <c r="AL59" s="362"/>
      <c r="AM59" s="362"/>
      <c r="AN59" s="362"/>
      <c r="AO59" s="362"/>
      <c r="AP59" s="362"/>
      <c r="AQ59" s="362"/>
      <c r="AR59" s="362"/>
      <c r="AS59" s="362"/>
      <c r="AT59" s="362"/>
      <c r="AU59" s="362"/>
      <c r="AV59" s="362"/>
      <c r="AW59" s="362"/>
      <c r="AX59" s="362"/>
      <c r="AY59" s="362"/>
      <c r="AZ59" s="362"/>
      <c r="BA59" s="362"/>
      <c r="BB59" s="362"/>
      <c r="BC59" s="362"/>
      <c r="BD59" s="362"/>
      <c r="BE59" s="362"/>
      <c r="BF59" s="362"/>
      <c r="BG59" s="362"/>
      <c r="BH59" s="362"/>
      <c r="BI59" s="362"/>
      <c r="BJ59" s="362"/>
      <c r="BK59" s="362"/>
      <c r="BL59" s="362"/>
      <c r="BM59" s="362"/>
      <c r="BN59" s="362"/>
      <c r="BO59" s="362"/>
      <c r="BP59" s="364"/>
      <c r="BQ59" s="364"/>
      <c r="BR59" s="364"/>
      <c r="BS59" s="364"/>
      <c r="BT59" s="364"/>
      <c r="BU59" s="364"/>
      <c r="BV59" s="364"/>
      <c r="BW59" s="364"/>
      <c r="BX59" s="364"/>
      <c r="BY59" s="364"/>
      <c r="BZ59" s="364"/>
      <c r="CA59" s="364"/>
      <c r="CB59" s="366"/>
      <c r="CC59" s="366"/>
      <c r="CD59" s="366"/>
      <c r="CE59" s="366"/>
      <c r="CF59" s="366"/>
      <c r="CG59" s="366"/>
      <c r="CH59" s="366"/>
      <c r="CI59" s="366"/>
      <c r="CJ59" s="366"/>
      <c r="CK59" s="368"/>
      <c r="CL59" s="368"/>
      <c r="CM59" s="368"/>
      <c r="CN59" s="368"/>
      <c r="CO59" s="368"/>
      <c r="CP59" s="368"/>
      <c r="CQ59" s="368"/>
      <c r="CR59" s="368"/>
      <c r="CS59" s="368"/>
      <c r="CT59" s="368"/>
      <c r="CU59" s="368"/>
      <c r="CV59" s="368"/>
      <c r="CW59" s="368"/>
      <c r="CX59" s="368"/>
    </row>
  </sheetData>
  <mergeCells count="66">
    <mergeCell ref="Y3:AA3"/>
    <mergeCell ref="AB3:AF3"/>
    <mergeCell ref="A1:J1"/>
    <mergeCell ref="K1:AA1"/>
    <mergeCell ref="AB1:AO1"/>
    <mergeCell ref="BP1:CA1"/>
    <mergeCell ref="CB1:CJ1"/>
    <mergeCell ref="CK1:CR1"/>
    <mergeCell ref="CS1:CX1"/>
    <mergeCell ref="AB2:AF2"/>
    <mergeCell ref="AP1:AW1"/>
    <mergeCell ref="AX1:BE1"/>
    <mergeCell ref="BF1:BO1"/>
    <mergeCell ref="L5:L6"/>
    <mergeCell ref="AP4:AP6"/>
    <mergeCell ref="AQ4:AQ6"/>
    <mergeCell ref="AR4:AU4"/>
    <mergeCell ref="AV4:AW4"/>
    <mergeCell ref="AR5:AR6"/>
    <mergeCell ref="AS5:AS6"/>
    <mergeCell ref="AU5:AU6"/>
    <mergeCell ref="AV5:AV6"/>
    <mergeCell ref="A5:A6"/>
    <mergeCell ref="B5:B6"/>
    <mergeCell ref="C5:E5"/>
    <mergeCell ref="F5:J5"/>
    <mergeCell ref="K5:K6"/>
    <mergeCell ref="AO5:AO6"/>
    <mergeCell ref="AZ4:BD4"/>
    <mergeCell ref="BE4:BE6"/>
    <mergeCell ref="CG4:CH4"/>
    <mergeCell ref="CO4:CP4"/>
    <mergeCell ref="AX4:AX6"/>
    <mergeCell ref="AY4:AY6"/>
    <mergeCell ref="M5:S5"/>
    <mergeCell ref="T5:AA5"/>
    <mergeCell ref="AB5:AB6"/>
    <mergeCell ref="AC5:AC6"/>
    <mergeCell ref="AD5:AN5"/>
    <mergeCell ref="CK5:CK6"/>
    <mergeCell ref="AW5:AW6"/>
    <mergeCell ref="AZ5:AZ6"/>
    <mergeCell ref="BA5:BA6"/>
    <mergeCell ref="BB5:BB6"/>
    <mergeCell ref="BF5:BF6"/>
    <mergeCell ref="BG5:BO5"/>
    <mergeCell ref="BP5:BY5"/>
    <mergeCell ref="BZ5:BZ6"/>
    <mergeCell ref="CA5:CA6"/>
    <mergeCell ref="CB5:CB6"/>
    <mergeCell ref="CC5:CJ5"/>
    <mergeCell ref="A57:J59"/>
    <mergeCell ref="K57:AA59"/>
    <mergeCell ref="AB57:AO59"/>
    <mergeCell ref="AP57:AW59"/>
    <mergeCell ref="AX57:BE59"/>
    <mergeCell ref="CL5:CR5"/>
    <mergeCell ref="CS5:CS6"/>
    <mergeCell ref="CT5:CT6"/>
    <mergeCell ref="CU5:CV5"/>
    <mergeCell ref="CW5:CW6"/>
    <mergeCell ref="BF57:BO59"/>
    <mergeCell ref="BP57:CA59"/>
    <mergeCell ref="CB57:CJ59"/>
    <mergeCell ref="CK57:CR59"/>
    <mergeCell ref="CS57:CX59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41" fitToWidth="0" orientation="landscape" r:id="rId1"/>
  <headerFooter alignWithMargins="0"/>
  <colBreaks count="9" manualBreakCount="9">
    <brk id="10" max="1048575" man="1"/>
    <brk id="27" max="1048575" man="1"/>
    <brk id="41" max="1048575" man="1"/>
    <brk id="49" max="1048575" man="1"/>
    <brk id="57" max="1048575" man="1"/>
    <brk id="67" max="1048575" man="1"/>
    <brk id="79" max="1048575" man="1"/>
    <brk id="88" max="1048575" man="1"/>
    <brk id="9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CA96-E89D-4CDA-8AD0-6C26279C9DCB}">
  <dimension ref="A1:J60"/>
  <sheetViews>
    <sheetView view="pageBreakPreview" zoomScale="130" zoomScaleNormal="100" zoomScaleSheetLayoutView="130" workbookViewId="0">
      <selection activeCell="C2" sqref="C2"/>
    </sheetView>
  </sheetViews>
  <sheetFormatPr defaultRowHeight="13.5" x14ac:dyDescent="0.25"/>
  <cols>
    <col min="1" max="1" width="8.125" style="128" customWidth="1"/>
    <col min="2" max="4" width="11.375" style="128" customWidth="1"/>
    <col min="5" max="5" width="12.75" style="128" customWidth="1"/>
    <col min="6" max="7" width="9.5" style="128" customWidth="1"/>
    <col min="8" max="8" width="10.75" style="128" customWidth="1"/>
    <col min="9" max="9" width="1.25" style="128" customWidth="1"/>
    <col min="10" max="238" width="9" style="128"/>
    <col min="239" max="239" width="8.125" style="128" customWidth="1"/>
    <col min="240" max="240" width="13" style="128" bestFit="1" customWidth="1"/>
    <col min="241" max="241" width="8.875" style="128" customWidth="1"/>
    <col min="242" max="242" width="7.375" style="128" customWidth="1"/>
    <col min="243" max="243" width="8.375" style="128" customWidth="1"/>
    <col min="244" max="244" width="9.25" style="128" customWidth="1"/>
    <col min="245" max="245" width="9.375" style="128" customWidth="1"/>
    <col min="246" max="246" width="9.125" style="128" customWidth="1"/>
    <col min="247" max="247" width="8.25" style="128" customWidth="1"/>
    <col min="248" max="248" width="9.5" style="128" customWidth="1"/>
    <col min="249" max="249" width="1.25" style="128" customWidth="1"/>
    <col min="250" max="494" width="9" style="128"/>
    <col min="495" max="495" width="8.125" style="128" customWidth="1"/>
    <col min="496" max="496" width="13" style="128" bestFit="1" customWidth="1"/>
    <col min="497" max="497" width="8.875" style="128" customWidth="1"/>
    <col min="498" max="498" width="7.375" style="128" customWidth="1"/>
    <col min="499" max="499" width="8.375" style="128" customWidth="1"/>
    <col min="500" max="500" width="9.25" style="128" customWidth="1"/>
    <col min="501" max="501" width="9.375" style="128" customWidth="1"/>
    <col min="502" max="502" width="9.125" style="128" customWidth="1"/>
    <col min="503" max="503" width="8.25" style="128" customWidth="1"/>
    <col min="504" max="504" width="9.5" style="128" customWidth="1"/>
    <col min="505" max="505" width="1.25" style="128" customWidth="1"/>
    <col min="506" max="750" width="9" style="128"/>
    <col min="751" max="751" width="8.125" style="128" customWidth="1"/>
    <col min="752" max="752" width="13" style="128" bestFit="1" customWidth="1"/>
    <col min="753" max="753" width="8.875" style="128" customWidth="1"/>
    <col min="754" max="754" width="7.375" style="128" customWidth="1"/>
    <col min="755" max="755" width="8.375" style="128" customWidth="1"/>
    <col min="756" max="756" width="9.25" style="128" customWidth="1"/>
    <col min="757" max="757" width="9.375" style="128" customWidth="1"/>
    <col min="758" max="758" width="9.125" style="128" customWidth="1"/>
    <col min="759" max="759" width="8.25" style="128" customWidth="1"/>
    <col min="760" max="760" width="9.5" style="128" customWidth="1"/>
    <col min="761" max="761" width="1.25" style="128" customWidth="1"/>
    <col min="762" max="1006" width="9" style="128"/>
    <col min="1007" max="1007" width="8.125" style="128" customWidth="1"/>
    <col min="1008" max="1008" width="13" style="128" bestFit="1" customWidth="1"/>
    <col min="1009" max="1009" width="8.875" style="128" customWidth="1"/>
    <col min="1010" max="1010" width="7.375" style="128" customWidth="1"/>
    <col min="1011" max="1011" width="8.375" style="128" customWidth="1"/>
    <col min="1012" max="1012" width="9.25" style="128" customWidth="1"/>
    <col min="1013" max="1013" width="9.375" style="128" customWidth="1"/>
    <col min="1014" max="1014" width="9.125" style="128" customWidth="1"/>
    <col min="1015" max="1015" width="8.25" style="128" customWidth="1"/>
    <col min="1016" max="1016" width="9.5" style="128" customWidth="1"/>
    <col min="1017" max="1017" width="1.25" style="128" customWidth="1"/>
    <col min="1018" max="1262" width="9" style="128"/>
    <col min="1263" max="1263" width="8.125" style="128" customWidth="1"/>
    <col min="1264" max="1264" width="13" style="128" bestFit="1" customWidth="1"/>
    <col min="1265" max="1265" width="8.875" style="128" customWidth="1"/>
    <col min="1266" max="1266" width="7.375" style="128" customWidth="1"/>
    <col min="1267" max="1267" width="8.375" style="128" customWidth="1"/>
    <col min="1268" max="1268" width="9.25" style="128" customWidth="1"/>
    <col min="1269" max="1269" width="9.375" style="128" customWidth="1"/>
    <col min="1270" max="1270" width="9.125" style="128" customWidth="1"/>
    <col min="1271" max="1271" width="8.25" style="128" customWidth="1"/>
    <col min="1272" max="1272" width="9.5" style="128" customWidth="1"/>
    <col min="1273" max="1273" width="1.25" style="128" customWidth="1"/>
    <col min="1274" max="1518" width="9" style="128"/>
    <col min="1519" max="1519" width="8.125" style="128" customWidth="1"/>
    <col min="1520" max="1520" width="13" style="128" bestFit="1" customWidth="1"/>
    <col min="1521" max="1521" width="8.875" style="128" customWidth="1"/>
    <col min="1522" max="1522" width="7.375" style="128" customWidth="1"/>
    <col min="1523" max="1523" width="8.375" style="128" customWidth="1"/>
    <col min="1524" max="1524" width="9.25" style="128" customWidth="1"/>
    <col min="1525" max="1525" width="9.375" style="128" customWidth="1"/>
    <col min="1526" max="1526" width="9.125" style="128" customWidth="1"/>
    <col min="1527" max="1527" width="8.25" style="128" customWidth="1"/>
    <col min="1528" max="1528" width="9.5" style="128" customWidth="1"/>
    <col min="1529" max="1529" width="1.25" style="128" customWidth="1"/>
    <col min="1530" max="1774" width="9" style="128"/>
    <col min="1775" max="1775" width="8.125" style="128" customWidth="1"/>
    <col min="1776" max="1776" width="13" style="128" bestFit="1" customWidth="1"/>
    <col min="1777" max="1777" width="8.875" style="128" customWidth="1"/>
    <col min="1778" max="1778" width="7.375" style="128" customWidth="1"/>
    <col min="1779" max="1779" width="8.375" style="128" customWidth="1"/>
    <col min="1780" max="1780" width="9.25" style="128" customWidth="1"/>
    <col min="1781" max="1781" width="9.375" style="128" customWidth="1"/>
    <col min="1782" max="1782" width="9.125" style="128" customWidth="1"/>
    <col min="1783" max="1783" width="8.25" style="128" customWidth="1"/>
    <col min="1784" max="1784" width="9.5" style="128" customWidth="1"/>
    <col min="1785" max="1785" width="1.25" style="128" customWidth="1"/>
    <col min="1786" max="2030" width="9" style="128"/>
    <col min="2031" max="2031" width="8.125" style="128" customWidth="1"/>
    <col min="2032" max="2032" width="13" style="128" bestFit="1" customWidth="1"/>
    <col min="2033" max="2033" width="8.875" style="128" customWidth="1"/>
    <col min="2034" max="2034" width="7.375" style="128" customWidth="1"/>
    <col min="2035" max="2035" width="8.375" style="128" customWidth="1"/>
    <col min="2036" max="2036" width="9.25" style="128" customWidth="1"/>
    <col min="2037" max="2037" width="9.375" style="128" customWidth="1"/>
    <col min="2038" max="2038" width="9.125" style="128" customWidth="1"/>
    <col min="2039" max="2039" width="8.25" style="128" customWidth="1"/>
    <col min="2040" max="2040" width="9.5" style="128" customWidth="1"/>
    <col min="2041" max="2041" width="1.25" style="128" customWidth="1"/>
    <col min="2042" max="2286" width="9" style="128"/>
    <col min="2287" max="2287" width="8.125" style="128" customWidth="1"/>
    <col min="2288" max="2288" width="13" style="128" bestFit="1" customWidth="1"/>
    <col min="2289" max="2289" width="8.875" style="128" customWidth="1"/>
    <col min="2290" max="2290" width="7.375" style="128" customWidth="1"/>
    <col min="2291" max="2291" width="8.375" style="128" customWidth="1"/>
    <col min="2292" max="2292" width="9.25" style="128" customWidth="1"/>
    <col min="2293" max="2293" width="9.375" style="128" customWidth="1"/>
    <col min="2294" max="2294" width="9.125" style="128" customWidth="1"/>
    <col min="2295" max="2295" width="8.25" style="128" customWidth="1"/>
    <col min="2296" max="2296" width="9.5" style="128" customWidth="1"/>
    <col min="2297" max="2297" width="1.25" style="128" customWidth="1"/>
    <col min="2298" max="2542" width="9" style="128"/>
    <col min="2543" max="2543" width="8.125" style="128" customWidth="1"/>
    <col min="2544" max="2544" width="13" style="128" bestFit="1" customWidth="1"/>
    <col min="2545" max="2545" width="8.875" style="128" customWidth="1"/>
    <col min="2546" max="2546" width="7.375" style="128" customWidth="1"/>
    <col min="2547" max="2547" width="8.375" style="128" customWidth="1"/>
    <col min="2548" max="2548" width="9.25" style="128" customWidth="1"/>
    <col min="2549" max="2549" width="9.375" style="128" customWidth="1"/>
    <col min="2550" max="2550" width="9.125" style="128" customWidth="1"/>
    <col min="2551" max="2551" width="8.25" style="128" customWidth="1"/>
    <col min="2552" max="2552" width="9.5" style="128" customWidth="1"/>
    <col min="2553" max="2553" width="1.25" style="128" customWidth="1"/>
    <col min="2554" max="2798" width="9" style="128"/>
    <col min="2799" max="2799" width="8.125" style="128" customWidth="1"/>
    <col min="2800" max="2800" width="13" style="128" bestFit="1" customWidth="1"/>
    <col min="2801" max="2801" width="8.875" style="128" customWidth="1"/>
    <col min="2802" max="2802" width="7.375" style="128" customWidth="1"/>
    <col min="2803" max="2803" width="8.375" style="128" customWidth="1"/>
    <col min="2804" max="2804" width="9.25" style="128" customWidth="1"/>
    <col min="2805" max="2805" width="9.375" style="128" customWidth="1"/>
    <col min="2806" max="2806" width="9.125" style="128" customWidth="1"/>
    <col min="2807" max="2807" width="8.25" style="128" customWidth="1"/>
    <col min="2808" max="2808" width="9.5" style="128" customWidth="1"/>
    <col min="2809" max="2809" width="1.25" style="128" customWidth="1"/>
    <col min="2810" max="3054" width="9" style="128"/>
    <col min="3055" max="3055" width="8.125" style="128" customWidth="1"/>
    <col min="3056" max="3056" width="13" style="128" bestFit="1" customWidth="1"/>
    <col min="3057" max="3057" width="8.875" style="128" customWidth="1"/>
    <col min="3058" max="3058" width="7.375" style="128" customWidth="1"/>
    <col min="3059" max="3059" width="8.375" style="128" customWidth="1"/>
    <col min="3060" max="3060" width="9.25" style="128" customWidth="1"/>
    <col min="3061" max="3061" width="9.375" style="128" customWidth="1"/>
    <col min="3062" max="3062" width="9.125" style="128" customWidth="1"/>
    <col min="3063" max="3063" width="8.25" style="128" customWidth="1"/>
    <col min="3064" max="3064" width="9.5" style="128" customWidth="1"/>
    <col min="3065" max="3065" width="1.25" style="128" customWidth="1"/>
    <col min="3066" max="3310" width="9" style="128"/>
    <col min="3311" max="3311" width="8.125" style="128" customWidth="1"/>
    <col min="3312" max="3312" width="13" style="128" bestFit="1" customWidth="1"/>
    <col min="3313" max="3313" width="8.875" style="128" customWidth="1"/>
    <col min="3314" max="3314" width="7.375" style="128" customWidth="1"/>
    <col min="3315" max="3315" width="8.375" style="128" customWidth="1"/>
    <col min="3316" max="3316" width="9.25" style="128" customWidth="1"/>
    <col min="3317" max="3317" width="9.375" style="128" customWidth="1"/>
    <col min="3318" max="3318" width="9.125" style="128" customWidth="1"/>
    <col min="3319" max="3319" width="8.25" style="128" customWidth="1"/>
    <col min="3320" max="3320" width="9.5" style="128" customWidth="1"/>
    <col min="3321" max="3321" width="1.25" style="128" customWidth="1"/>
    <col min="3322" max="3566" width="9" style="128"/>
    <col min="3567" max="3567" width="8.125" style="128" customWidth="1"/>
    <col min="3568" max="3568" width="13" style="128" bestFit="1" customWidth="1"/>
    <col min="3569" max="3569" width="8.875" style="128" customWidth="1"/>
    <col min="3570" max="3570" width="7.375" style="128" customWidth="1"/>
    <col min="3571" max="3571" width="8.375" style="128" customWidth="1"/>
    <col min="3572" max="3572" width="9.25" style="128" customWidth="1"/>
    <col min="3573" max="3573" width="9.375" style="128" customWidth="1"/>
    <col min="3574" max="3574" width="9.125" style="128" customWidth="1"/>
    <col min="3575" max="3575" width="8.25" style="128" customWidth="1"/>
    <col min="3576" max="3576" width="9.5" style="128" customWidth="1"/>
    <col min="3577" max="3577" width="1.25" style="128" customWidth="1"/>
    <col min="3578" max="3822" width="9" style="128"/>
    <col min="3823" max="3823" width="8.125" style="128" customWidth="1"/>
    <col min="3824" max="3824" width="13" style="128" bestFit="1" customWidth="1"/>
    <col min="3825" max="3825" width="8.875" style="128" customWidth="1"/>
    <col min="3826" max="3826" width="7.375" style="128" customWidth="1"/>
    <col min="3827" max="3827" width="8.375" style="128" customWidth="1"/>
    <col min="3828" max="3828" width="9.25" style="128" customWidth="1"/>
    <col min="3829" max="3829" width="9.375" style="128" customWidth="1"/>
    <col min="3830" max="3830" width="9.125" style="128" customWidth="1"/>
    <col min="3831" max="3831" width="8.25" style="128" customWidth="1"/>
    <col min="3832" max="3832" width="9.5" style="128" customWidth="1"/>
    <col min="3833" max="3833" width="1.25" style="128" customWidth="1"/>
    <col min="3834" max="4078" width="9" style="128"/>
    <col min="4079" max="4079" width="8.125" style="128" customWidth="1"/>
    <col min="4080" max="4080" width="13" style="128" bestFit="1" customWidth="1"/>
    <col min="4081" max="4081" width="8.875" style="128" customWidth="1"/>
    <col min="4082" max="4082" width="7.375" style="128" customWidth="1"/>
    <col min="4083" max="4083" width="8.375" style="128" customWidth="1"/>
    <col min="4084" max="4084" width="9.25" style="128" customWidth="1"/>
    <col min="4085" max="4085" width="9.375" style="128" customWidth="1"/>
    <col min="4086" max="4086" width="9.125" style="128" customWidth="1"/>
    <col min="4087" max="4087" width="8.25" style="128" customWidth="1"/>
    <col min="4088" max="4088" width="9.5" style="128" customWidth="1"/>
    <col min="4089" max="4089" width="1.25" style="128" customWidth="1"/>
    <col min="4090" max="4334" width="9" style="128"/>
    <col min="4335" max="4335" width="8.125" style="128" customWidth="1"/>
    <col min="4336" max="4336" width="13" style="128" bestFit="1" customWidth="1"/>
    <col min="4337" max="4337" width="8.875" style="128" customWidth="1"/>
    <col min="4338" max="4338" width="7.375" style="128" customWidth="1"/>
    <col min="4339" max="4339" width="8.375" style="128" customWidth="1"/>
    <col min="4340" max="4340" width="9.25" style="128" customWidth="1"/>
    <col min="4341" max="4341" width="9.375" style="128" customWidth="1"/>
    <col min="4342" max="4342" width="9.125" style="128" customWidth="1"/>
    <col min="4343" max="4343" width="8.25" style="128" customWidth="1"/>
    <col min="4344" max="4344" width="9.5" style="128" customWidth="1"/>
    <col min="4345" max="4345" width="1.25" style="128" customWidth="1"/>
    <col min="4346" max="4590" width="9" style="128"/>
    <col min="4591" max="4591" width="8.125" style="128" customWidth="1"/>
    <col min="4592" max="4592" width="13" style="128" bestFit="1" customWidth="1"/>
    <col min="4593" max="4593" width="8.875" style="128" customWidth="1"/>
    <col min="4594" max="4594" width="7.375" style="128" customWidth="1"/>
    <col min="4595" max="4595" width="8.375" style="128" customWidth="1"/>
    <col min="4596" max="4596" width="9.25" style="128" customWidth="1"/>
    <col min="4597" max="4597" width="9.375" style="128" customWidth="1"/>
    <col min="4598" max="4598" width="9.125" style="128" customWidth="1"/>
    <col min="4599" max="4599" width="8.25" style="128" customWidth="1"/>
    <col min="4600" max="4600" width="9.5" style="128" customWidth="1"/>
    <col min="4601" max="4601" width="1.25" style="128" customWidth="1"/>
    <col min="4602" max="4846" width="9" style="128"/>
    <col min="4847" max="4847" width="8.125" style="128" customWidth="1"/>
    <col min="4848" max="4848" width="13" style="128" bestFit="1" customWidth="1"/>
    <col min="4849" max="4849" width="8.875" style="128" customWidth="1"/>
    <col min="4850" max="4850" width="7.375" style="128" customWidth="1"/>
    <col min="4851" max="4851" width="8.375" style="128" customWidth="1"/>
    <col min="4852" max="4852" width="9.25" style="128" customWidth="1"/>
    <col min="4853" max="4853" width="9.375" style="128" customWidth="1"/>
    <col min="4854" max="4854" width="9.125" style="128" customWidth="1"/>
    <col min="4855" max="4855" width="8.25" style="128" customWidth="1"/>
    <col min="4856" max="4856" width="9.5" style="128" customWidth="1"/>
    <col min="4857" max="4857" width="1.25" style="128" customWidth="1"/>
    <col min="4858" max="5102" width="9" style="128"/>
    <col min="5103" max="5103" width="8.125" style="128" customWidth="1"/>
    <col min="5104" max="5104" width="13" style="128" bestFit="1" customWidth="1"/>
    <col min="5105" max="5105" width="8.875" style="128" customWidth="1"/>
    <col min="5106" max="5106" width="7.375" style="128" customWidth="1"/>
    <col min="5107" max="5107" width="8.375" style="128" customWidth="1"/>
    <col min="5108" max="5108" width="9.25" style="128" customWidth="1"/>
    <col min="5109" max="5109" width="9.375" style="128" customWidth="1"/>
    <col min="5110" max="5110" width="9.125" style="128" customWidth="1"/>
    <col min="5111" max="5111" width="8.25" style="128" customWidth="1"/>
    <col min="5112" max="5112" width="9.5" style="128" customWidth="1"/>
    <col min="5113" max="5113" width="1.25" style="128" customWidth="1"/>
    <col min="5114" max="5358" width="9" style="128"/>
    <col min="5359" max="5359" width="8.125" style="128" customWidth="1"/>
    <col min="5360" max="5360" width="13" style="128" bestFit="1" customWidth="1"/>
    <col min="5361" max="5361" width="8.875" style="128" customWidth="1"/>
    <col min="5362" max="5362" width="7.375" style="128" customWidth="1"/>
    <col min="5363" max="5363" width="8.375" style="128" customWidth="1"/>
    <col min="5364" max="5364" width="9.25" style="128" customWidth="1"/>
    <col min="5365" max="5365" width="9.375" style="128" customWidth="1"/>
    <col min="5366" max="5366" width="9.125" style="128" customWidth="1"/>
    <col min="5367" max="5367" width="8.25" style="128" customWidth="1"/>
    <col min="5368" max="5368" width="9.5" style="128" customWidth="1"/>
    <col min="5369" max="5369" width="1.25" style="128" customWidth="1"/>
    <col min="5370" max="5614" width="9" style="128"/>
    <col min="5615" max="5615" width="8.125" style="128" customWidth="1"/>
    <col min="5616" max="5616" width="13" style="128" bestFit="1" customWidth="1"/>
    <col min="5617" max="5617" width="8.875" style="128" customWidth="1"/>
    <col min="5618" max="5618" width="7.375" style="128" customWidth="1"/>
    <col min="5619" max="5619" width="8.375" style="128" customWidth="1"/>
    <col min="5620" max="5620" width="9.25" style="128" customWidth="1"/>
    <col min="5621" max="5621" width="9.375" style="128" customWidth="1"/>
    <col min="5622" max="5622" width="9.125" style="128" customWidth="1"/>
    <col min="5623" max="5623" width="8.25" style="128" customWidth="1"/>
    <col min="5624" max="5624" width="9.5" style="128" customWidth="1"/>
    <col min="5625" max="5625" width="1.25" style="128" customWidth="1"/>
    <col min="5626" max="5870" width="9" style="128"/>
    <col min="5871" max="5871" width="8.125" style="128" customWidth="1"/>
    <col min="5872" max="5872" width="13" style="128" bestFit="1" customWidth="1"/>
    <col min="5873" max="5873" width="8.875" style="128" customWidth="1"/>
    <col min="5874" max="5874" width="7.375" style="128" customWidth="1"/>
    <col min="5875" max="5875" width="8.375" style="128" customWidth="1"/>
    <col min="5876" max="5876" width="9.25" style="128" customWidth="1"/>
    <col min="5877" max="5877" width="9.375" style="128" customWidth="1"/>
    <col min="5878" max="5878" width="9.125" style="128" customWidth="1"/>
    <col min="5879" max="5879" width="8.25" style="128" customWidth="1"/>
    <col min="5880" max="5880" width="9.5" style="128" customWidth="1"/>
    <col min="5881" max="5881" width="1.25" style="128" customWidth="1"/>
    <col min="5882" max="6126" width="9" style="128"/>
    <col min="6127" max="6127" width="8.125" style="128" customWidth="1"/>
    <col min="6128" max="6128" width="13" style="128" bestFit="1" customWidth="1"/>
    <col min="6129" max="6129" width="8.875" style="128" customWidth="1"/>
    <col min="6130" max="6130" width="7.375" style="128" customWidth="1"/>
    <col min="6131" max="6131" width="8.375" style="128" customWidth="1"/>
    <col min="6132" max="6132" width="9.25" style="128" customWidth="1"/>
    <col min="6133" max="6133" width="9.375" style="128" customWidth="1"/>
    <col min="6134" max="6134" width="9.125" style="128" customWidth="1"/>
    <col min="6135" max="6135" width="8.25" style="128" customWidth="1"/>
    <col min="6136" max="6136" width="9.5" style="128" customWidth="1"/>
    <col min="6137" max="6137" width="1.25" style="128" customWidth="1"/>
    <col min="6138" max="6382" width="9" style="128"/>
    <col min="6383" max="6383" width="8.125" style="128" customWidth="1"/>
    <col min="6384" max="6384" width="13" style="128" bestFit="1" customWidth="1"/>
    <col min="6385" max="6385" width="8.875" style="128" customWidth="1"/>
    <col min="6386" max="6386" width="7.375" style="128" customWidth="1"/>
    <col min="6387" max="6387" width="8.375" style="128" customWidth="1"/>
    <col min="6388" max="6388" width="9.25" style="128" customWidth="1"/>
    <col min="6389" max="6389" width="9.375" style="128" customWidth="1"/>
    <col min="6390" max="6390" width="9.125" style="128" customWidth="1"/>
    <col min="6391" max="6391" width="8.25" style="128" customWidth="1"/>
    <col min="6392" max="6392" width="9.5" style="128" customWidth="1"/>
    <col min="6393" max="6393" width="1.25" style="128" customWidth="1"/>
    <col min="6394" max="6638" width="9" style="128"/>
    <col min="6639" max="6639" width="8.125" style="128" customWidth="1"/>
    <col min="6640" max="6640" width="13" style="128" bestFit="1" customWidth="1"/>
    <col min="6641" max="6641" width="8.875" style="128" customWidth="1"/>
    <col min="6642" max="6642" width="7.375" style="128" customWidth="1"/>
    <col min="6643" max="6643" width="8.375" style="128" customWidth="1"/>
    <col min="6644" max="6644" width="9.25" style="128" customWidth="1"/>
    <col min="6645" max="6645" width="9.375" style="128" customWidth="1"/>
    <col min="6646" max="6646" width="9.125" style="128" customWidth="1"/>
    <col min="6647" max="6647" width="8.25" style="128" customWidth="1"/>
    <col min="6648" max="6648" width="9.5" style="128" customWidth="1"/>
    <col min="6649" max="6649" width="1.25" style="128" customWidth="1"/>
    <col min="6650" max="6894" width="9" style="128"/>
    <col min="6895" max="6895" width="8.125" style="128" customWidth="1"/>
    <col min="6896" max="6896" width="13" style="128" bestFit="1" customWidth="1"/>
    <col min="6897" max="6897" width="8.875" style="128" customWidth="1"/>
    <col min="6898" max="6898" width="7.375" style="128" customWidth="1"/>
    <col min="6899" max="6899" width="8.375" style="128" customWidth="1"/>
    <col min="6900" max="6900" width="9.25" style="128" customWidth="1"/>
    <col min="6901" max="6901" width="9.375" style="128" customWidth="1"/>
    <col min="6902" max="6902" width="9.125" style="128" customWidth="1"/>
    <col min="6903" max="6903" width="8.25" style="128" customWidth="1"/>
    <col min="6904" max="6904" width="9.5" style="128" customWidth="1"/>
    <col min="6905" max="6905" width="1.25" style="128" customWidth="1"/>
    <col min="6906" max="7150" width="9" style="128"/>
    <col min="7151" max="7151" width="8.125" style="128" customWidth="1"/>
    <col min="7152" max="7152" width="13" style="128" bestFit="1" customWidth="1"/>
    <col min="7153" max="7153" width="8.875" style="128" customWidth="1"/>
    <col min="7154" max="7154" width="7.375" style="128" customWidth="1"/>
    <col min="7155" max="7155" width="8.375" style="128" customWidth="1"/>
    <col min="7156" max="7156" width="9.25" style="128" customWidth="1"/>
    <col min="7157" max="7157" width="9.375" style="128" customWidth="1"/>
    <col min="7158" max="7158" width="9.125" style="128" customWidth="1"/>
    <col min="7159" max="7159" width="8.25" style="128" customWidth="1"/>
    <col min="7160" max="7160" width="9.5" style="128" customWidth="1"/>
    <col min="7161" max="7161" width="1.25" style="128" customWidth="1"/>
    <col min="7162" max="7406" width="9" style="128"/>
    <col min="7407" max="7407" width="8.125" style="128" customWidth="1"/>
    <col min="7408" max="7408" width="13" style="128" bestFit="1" customWidth="1"/>
    <col min="7409" max="7409" width="8.875" style="128" customWidth="1"/>
    <col min="7410" max="7410" width="7.375" style="128" customWidth="1"/>
    <col min="7411" max="7411" width="8.375" style="128" customWidth="1"/>
    <col min="7412" max="7412" width="9.25" style="128" customWidth="1"/>
    <col min="7413" max="7413" width="9.375" style="128" customWidth="1"/>
    <col min="7414" max="7414" width="9.125" style="128" customWidth="1"/>
    <col min="7415" max="7415" width="8.25" style="128" customWidth="1"/>
    <col min="7416" max="7416" width="9.5" style="128" customWidth="1"/>
    <col min="7417" max="7417" width="1.25" style="128" customWidth="1"/>
    <col min="7418" max="7662" width="9" style="128"/>
    <col min="7663" max="7663" width="8.125" style="128" customWidth="1"/>
    <col min="7664" max="7664" width="13" style="128" bestFit="1" customWidth="1"/>
    <col min="7665" max="7665" width="8.875" style="128" customWidth="1"/>
    <col min="7666" max="7666" width="7.375" style="128" customWidth="1"/>
    <col min="7667" max="7667" width="8.375" style="128" customWidth="1"/>
    <col min="7668" max="7668" width="9.25" style="128" customWidth="1"/>
    <col min="7669" max="7669" width="9.375" style="128" customWidth="1"/>
    <col min="7670" max="7670" width="9.125" style="128" customWidth="1"/>
    <col min="7671" max="7671" width="8.25" style="128" customWidth="1"/>
    <col min="7672" max="7672" width="9.5" style="128" customWidth="1"/>
    <col min="7673" max="7673" width="1.25" style="128" customWidth="1"/>
    <col min="7674" max="7918" width="9" style="128"/>
    <col min="7919" max="7919" width="8.125" style="128" customWidth="1"/>
    <col min="7920" max="7920" width="13" style="128" bestFit="1" customWidth="1"/>
    <col min="7921" max="7921" width="8.875" style="128" customWidth="1"/>
    <col min="7922" max="7922" width="7.375" style="128" customWidth="1"/>
    <col min="7923" max="7923" width="8.375" style="128" customWidth="1"/>
    <col min="7924" max="7924" width="9.25" style="128" customWidth="1"/>
    <col min="7925" max="7925" width="9.375" style="128" customWidth="1"/>
    <col min="7926" max="7926" width="9.125" style="128" customWidth="1"/>
    <col min="7927" max="7927" width="8.25" style="128" customWidth="1"/>
    <col min="7928" max="7928" width="9.5" style="128" customWidth="1"/>
    <col min="7929" max="7929" width="1.25" style="128" customWidth="1"/>
    <col min="7930" max="8174" width="9" style="128"/>
    <col min="8175" max="8175" width="8.125" style="128" customWidth="1"/>
    <col min="8176" max="8176" width="13" style="128" bestFit="1" customWidth="1"/>
    <col min="8177" max="8177" width="8.875" style="128" customWidth="1"/>
    <col min="8178" max="8178" width="7.375" style="128" customWidth="1"/>
    <col min="8179" max="8179" width="8.375" style="128" customWidth="1"/>
    <col min="8180" max="8180" width="9.25" style="128" customWidth="1"/>
    <col min="8181" max="8181" width="9.375" style="128" customWidth="1"/>
    <col min="8182" max="8182" width="9.125" style="128" customWidth="1"/>
    <col min="8183" max="8183" width="8.25" style="128" customWidth="1"/>
    <col min="8184" max="8184" width="9.5" style="128" customWidth="1"/>
    <col min="8185" max="8185" width="1.25" style="128" customWidth="1"/>
    <col min="8186" max="8430" width="9" style="128"/>
    <col min="8431" max="8431" width="8.125" style="128" customWidth="1"/>
    <col min="8432" max="8432" width="13" style="128" bestFit="1" customWidth="1"/>
    <col min="8433" max="8433" width="8.875" style="128" customWidth="1"/>
    <col min="8434" max="8434" width="7.375" style="128" customWidth="1"/>
    <col min="8435" max="8435" width="8.375" style="128" customWidth="1"/>
    <col min="8436" max="8436" width="9.25" style="128" customWidth="1"/>
    <col min="8437" max="8437" width="9.375" style="128" customWidth="1"/>
    <col min="8438" max="8438" width="9.125" style="128" customWidth="1"/>
    <col min="8439" max="8439" width="8.25" style="128" customWidth="1"/>
    <col min="8440" max="8440" width="9.5" style="128" customWidth="1"/>
    <col min="8441" max="8441" width="1.25" style="128" customWidth="1"/>
    <col min="8442" max="8686" width="9" style="128"/>
    <col min="8687" max="8687" width="8.125" style="128" customWidth="1"/>
    <col min="8688" max="8688" width="13" style="128" bestFit="1" customWidth="1"/>
    <col min="8689" max="8689" width="8.875" style="128" customWidth="1"/>
    <col min="8690" max="8690" width="7.375" style="128" customWidth="1"/>
    <col min="8691" max="8691" width="8.375" style="128" customWidth="1"/>
    <col min="8692" max="8692" width="9.25" style="128" customWidth="1"/>
    <col min="8693" max="8693" width="9.375" style="128" customWidth="1"/>
    <col min="8694" max="8694" width="9.125" style="128" customWidth="1"/>
    <col min="8695" max="8695" width="8.25" style="128" customWidth="1"/>
    <col min="8696" max="8696" width="9.5" style="128" customWidth="1"/>
    <col min="8697" max="8697" width="1.25" style="128" customWidth="1"/>
    <col min="8698" max="8942" width="9" style="128"/>
    <col min="8943" max="8943" width="8.125" style="128" customWidth="1"/>
    <col min="8944" max="8944" width="13" style="128" bestFit="1" customWidth="1"/>
    <col min="8945" max="8945" width="8.875" style="128" customWidth="1"/>
    <col min="8946" max="8946" width="7.375" style="128" customWidth="1"/>
    <col min="8947" max="8947" width="8.375" style="128" customWidth="1"/>
    <col min="8948" max="8948" width="9.25" style="128" customWidth="1"/>
    <col min="8949" max="8949" width="9.375" style="128" customWidth="1"/>
    <col min="8950" max="8950" width="9.125" style="128" customWidth="1"/>
    <col min="8951" max="8951" width="8.25" style="128" customWidth="1"/>
    <col min="8952" max="8952" width="9.5" style="128" customWidth="1"/>
    <col min="8953" max="8953" width="1.25" style="128" customWidth="1"/>
    <col min="8954" max="9198" width="9" style="128"/>
    <col min="9199" max="9199" width="8.125" style="128" customWidth="1"/>
    <col min="9200" max="9200" width="13" style="128" bestFit="1" customWidth="1"/>
    <col min="9201" max="9201" width="8.875" style="128" customWidth="1"/>
    <col min="9202" max="9202" width="7.375" style="128" customWidth="1"/>
    <col min="9203" max="9203" width="8.375" style="128" customWidth="1"/>
    <col min="9204" max="9204" width="9.25" style="128" customWidth="1"/>
    <col min="9205" max="9205" width="9.375" style="128" customWidth="1"/>
    <col min="9206" max="9206" width="9.125" style="128" customWidth="1"/>
    <col min="9207" max="9207" width="8.25" style="128" customWidth="1"/>
    <col min="9208" max="9208" width="9.5" style="128" customWidth="1"/>
    <col min="9209" max="9209" width="1.25" style="128" customWidth="1"/>
    <col min="9210" max="9454" width="9" style="128"/>
    <col min="9455" max="9455" width="8.125" style="128" customWidth="1"/>
    <col min="9456" max="9456" width="13" style="128" bestFit="1" customWidth="1"/>
    <col min="9457" max="9457" width="8.875" style="128" customWidth="1"/>
    <col min="9458" max="9458" width="7.375" style="128" customWidth="1"/>
    <col min="9459" max="9459" width="8.375" style="128" customWidth="1"/>
    <col min="9460" max="9460" width="9.25" style="128" customWidth="1"/>
    <col min="9461" max="9461" width="9.375" style="128" customWidth="1"/>
    <col min="9462" max="9462" width="9.125" style="128" customWidth="1"/>
    <col min="9463" max="9463" width="8.25" style="128" customWidth="1"/>
    <col min="9464" max="9464" width="9.5" style="128" customWidth="1"/>
    <col min="9465" max="9465" width="1.25" style="128" customWidth="1"/>
    <col min="9466" max="9710" width="9" style="128"/>
    <col min="9711" max="9711" width="8.125" style="128" customWidth="1"/>
    <col min="9712" max="9712" width="13" style="128" bestFit="1" customWidth="1"/>
    <col min="9713" max="9713" width="8.875" style="128" customWidth="1"/>
    <col min="9714" max="9714" width="7.375" style="128" customWidth="1"/>
    <col min="9715" max="9715" width="8.375" style="128" customWidth="1"/>
    <col min="9716" max="9716" width="9.25" style="128" customWidth="1"/>
    <col min="9717" max="9717" width="9.375" style="128" customWidth="1"/>
    <col min="9718" max="9718" width="9.125" style="128" customWidth="1"/>
    <col min="9719" max="9719" width="8.25" style="128" customWidth="1"/>
    <col min="9720" max="9720" width="9.5" style="128" customWidth="1"/>
    <col min="9721" max="9721" width="1.25" style="128" customWidth="1"/>
    <col min="9722" max="9966" width="9" style="128"/>
    <col min="9967" max="9967" width="8.125" style="128" customWidth="1"/>
    <col min="9968" max="9968" width="13" style="128" bestFit="1" customWidth="1"/>
    <col min="9969" max="9969" width="8.875" style="128" customWidth="1"/>
    <col min="9970" max="9970" width="7.375" style="128" customWidth="1"/>
    <col min="9971" max="9971" width="8.375" style="128" customWidth="1"/>
    <col min="9972" max="9972" width="9.25" style="128" customWidth="1"/>
    <col min="9973" max="9973" width="9.375" style="128" customWidth="1"/>
    <col min="9974" max="9974" width="9.125" style="128" customWidth="1"/>
    <col min="9975" max="9975" width="8.25" style="128" customWidth="1"/>
    <col min="9976" max="9976" width="9.5" style="128" customWidth="1"/>
    <col min="9977" max="9977" width="1.25" style="128" customWidth="1"/>
    <col min="9978" max="10222" width="9" style="128"/>
    <col min="10223" max="10223" width="8.125" style="128" customWidth="1"/>
    <col min="10224" max="10224" width="13" style="128" bestFit="1" customWidth="1"/>
    <col min="10225" max="10225" width="8.875" style="128" customWidth="1"/>
    <col min="10226" max="10226" width="7.375" style="128" customWidth="1"/>
    <col min="10227" max="10227" width="8.375" style="128" customWidth="1"/>
    <col min="10228" max="10228" width="9.25" style="128" customWidth="1"/>
    <col min="10229" max="10229" width="9.375" style="128" customWidth="1"/>
    <col min="10230" max="10230" width="9.125" style="128" customWidth="1"/>
    <col min="10231" max="10231" width="8.25" style="128" customWidth="1"/>
    <col min="10232" max="10232" width="9.5" style="128" customWidth="1"/>
    <col min="10233" max="10233" width="1.25" style="128" customWidth="1"/>
    <col min="10234" max="10478" width="9" style="128"/>
    <col min="10479" max="10479" width="8.125" style="128" customWidth="1"/>
    <col min="10480" max="10480" width="13" style="128" bestFit="1" customWidth="1"/>
    <col min="10481" max="10481" width="8.875" style="128" customWidth="1"/>
    <col min="10482" max="10482" width="7.375" style="128" customWidth="1"/>
    <col min="10483" max="10483" width="8.375" style="128" customWidth="1"/>
    <col min="10484" max="10484" width="9.25" style="128" customWidth="1"/>
    <col min="10485" max="10485" width="9.375" style="128" customWidth="1"/>
    <col min="10486" max="10486" width="9.125" style="128" customWidth="1"/>
    <col min="10487" max="10487" width="8.25" style="128" customWidth="1"/>
    <col min="10488" max="10488" width="9.5" style="128" customWidth="1"/>
    <col min="10489" max="10489" width="1.25" style="128" customWidth="1"/>
    <col min="10490" max="10734" width="9" style="128"/>
    <col min="10735" max="10735" width="8.125" style="128" customWidth="1"/>
    <col min="10736" max="10736" width="13" style="128" bestFit="1" customWidth="1"/>
    <col min="10737" max="10737" width="8.875" style="128" customWidth="1"/>
    <col min="10738" max="10738" width="7.375" style="128" customWidth="1"/>
    <col min="10739" max="10739" width="8.375" style="128" customWidth="1"/>
    <col min="10740" max="10740" width="9.25" style="128" customWidth="1"/>
    <col min="10741" max="10741" width="9.375" style="128" customWidth="1"/>
    <col min="10742" max="10742" width="9.125" style="128" customWidth="1"/>
    <col min="10743" max="10743" width="8.25" style="128" customWidth="1"/>
    <col min="10744" max="10744" width="9.5" style="128" customWidth="1"/>
    <col min="10745" max="10745" width="1.25" style="128" customWidth="1"/>
    <col min="10746" max="10990" width="9" style="128"/>
    <col min="10991" max="10991" width="8.125" style="128" customWidth="1"/>
    <col min="10992" max="10992" width="13" style="128" bestFit="1" customWidth="1"/>
    <col min="10993" max="10993" width="8.875" style="128" customWidth="1"/>
    <col min="10994" max="10994" width="7.375" style="128" customWidth="1"/>
    <col min="10995" max="10995" width="8.375" style="128" customWidth="1"/>
    <col min="10996" max="10996" width="9.25" style="128" customWidth="1"/>
    <col min="10997" max="10997" width="9.375" style="128" customWidth="1"/>
    <col min="10998" max="10998" width="9.125" style="128" customWidth="1"/>
    <col min="10999" max="10999" width="8.25" style="128" customWidth="1"/>
    <col min="11000" max="11000" width="9.5" style="128" customWidth="1"/>
    <col min="11001" max="11001" width="1.25" style="128" customWidth="1"/>
    <col min="11002" max="11246" width="9" style="128"/>
    <col min="11247" max="11247" width="8.125" style="128" customWidth="1"/>
    <col min="11248" max="11248" width="13" style="128" bestFit="1" customWidth="1"/>
    <col min="11249" max="11249" width="8.875" style="128" customWidth="1"/>
    <col min="11250" max="11250" width="7.375" style="128" customWidth="1"/>
    <col min="11251" max="11251" width="8.375" style="128" customWidth="1"/>
    <col min="11252" max="11252" width="9.25" style="128" customWidth="1"/>
    <col min="11253" max="11253" width="9.375" style="128" customWidth="1"/>
    <col min="11254" max="11254" width="9.125" style="128" customWidth="1"/>
    <col min="11255" max="11255" width="8.25" style="128" customWidth="1"/>
    <col min="11256" max="11256" width="9.5" style="128" customWidth="1"/>
    <col min="11257" max="11257" width="1.25" style="128" customWidth="1"/>
    <col min="11258" max="11502" width="9" style="128"/>
    <col min="11503" max="11503" width="8.125" style="128" customWidth="1"/>
    <col min="11504" max="11504" width="13" style="128" bestFit="1" customWidth="1"/>
    <col min="11505" max="11505" width="8.875" style="128" customWidth="1"/>
    <col min="11506" max="11506" width="7.375" style="128" customWidth="1"/>
    <col min="11507" max="11507" width="8.375" style="128" customWidth="1"/>
    <col min="11508" max="11508" width="9.25" style="128" customWidth="1"/>
    <col min="11509" max="11509" width="9.375" style="128" customWidth="1"/>
    <col min="11510" max="11510" width="9.125" style="128" customWidth="1"/>
    <col min="11511" max="11511" width="8.25" style="128" customWidth="1"/>
    <col min="11512" max="11512" width="9.5" style="128" customWidth="1"/>
    <col min="11513" max="11513" width="1.25" style="128" customWidth="1"/>
    <col min="11514" max="11758" width="9" style="128"/>
    <col min="11759" max="11759" width="8.125" style="128" customWidth="1"/>
    <col min="11760" max="11760" width="13" style="128" bestFit="1" customWidth="1"/>
    <col min="11761" max="11761" width="8.875" style="128" customWidth="1"/>
    <col min="11762" max="11762" width="7.375" style="128" customWidth="1"/>
    <col min="11763" max="11763" width="8.375" style="128" customWidth="1"/>
    <col min="11764" max="11764" width="9.25" style="128" customWidth="1"/>
    <col min="11765" max="11765" width="9.375" style="128" customWidth="1"/>
    <col min="11766" max="11766" width="9.125" style="128" customWidth="1"/>
    <col min="11767" max="11767" width="8.25" style="128" customWidth="1"/>
    <col min="11768" max="11768" width="9.5" style="128" customWidth="1"/>
    <col min="11769" max="11769" width="1.25" style="128" customWidth="1"/>
    <col min="11770" max="12014" width="9" style="128"/>
    <col min="12015" max="12015" width="8.125" style="128" customWidth="1"/>
    <col min="12016" max="12016" width="13" style="128" bestFit="1" customWidth="1"/>
    <col min="12017" max="12017" width="8.875" style="128" customWidth="1"/>
    <col min="12018" max="12018" width="7.375" style="128" customWidth="1"/>
    <col min="12019" max="12019" width="8.375" style="128" customWidth="1"/>
    <col min="12020" max="12020" width="9.25" style="128" customWidth="1"/>
    <col min="12021" max="12021" width="9.375" style="128" customWidth="1"/>
    <col min="12022" max="12022" width="9.125" style="128" customWidth="1"/>
    <col min="12023" max="12023" width="8.25" style="128" customWidth="1"/>
    <col min="12024" max="12024" width="9.5" style="128" customWidth="1"/>
    <col min="12025" max="12025" width="1.25" style="128" customWidth="1"/>
    <col min="12026" max="12270" width="9" style="128"/>
    <col min="12271" max="12271" width="8.125" style="128" customWidth="1"/>
    <col min="12272" max="12272" width="13" style="128" bestFit="1" customWidth="1"/>
    <col min="12273" max="12273" width="8.875" style="128" customWidth="1"/>
    <col min="12274" max="12274" width="7.375" style="128" customWidth="1"/>
    <col min="12275" max="12275" width="8.375" style="128" customWidth="1"/>
    <col min="12276" max="12276" width="9.25" style="128" customWidth="1"/>
    <col min="12277" max="12277" width="9.375" style="128" customWidth="1"/>
    <col min="12278" max="12278" width="9.125" style="128" customWidth="1"/>
    <col min="12279" max="12279" width="8.25" style="128" customWidth="1"/>
    <col min="12280" max="12280" width="9.5" style="128" customWidth="1"/>
    <col min="12281" max="12281" width="1.25" style="128" customWidth="1"/>
    <col min="12282" max="12526" width="9" style="128"/>
    <col min="12527" max="12527" width="8.125" style="128" customWidth="1"/>
    <col min="12528" max="12528" width="13" style="128" bestFit="1" customWidth="1"/>
    <col min="12529" max="12529" width="8.875" style="128" customWidth="1"/>
    <col min="12530" max="12530" width="7.375" style="128" customWidth="1"/>
    <col min="12531" max="12531" width="8.375" style="128" customWidth="1"/>
    <col min="12532" max="12532" width="9.25" style="128" customWidth="1"/>
    <col min="12533" max="12533" width="9.375" style="128" customWidth="1"/>
    <col min="12534" max="12534" width="9.125" style="128" customWidth="1"/>
    <col min="12535" max="12535" width="8.25" style="128" customWidth="1"/>
    <col min="12536" max="12536" width="9.5" style="128" customWidth="1"/>
    <col min="12537" max="12537" width="1.25" style="128" customWidth="1"/>
    <col min="12538" max="12782" width="9" style="128"/>
    <col min="12783" max="12783" width="8.125" style="128" customWidth="1"/>
    <col min="12784" max="12784" width="13" style="128" bestFit="1" customWidth="1"/>
    <col min="12785" max="12785" width="8.875" style="128" customWidth="1"/>
    <col min="12786" max="12786" width="7.375" style="128" customWidth="1"/>
    <col min="12787" max="12787" width="8.375" style="128" customWidth="1"/>
    <col min="12788" max="12788" width="9.25" style="128" customWidth="1"/>
    <col min="12789" max="12789" width="9.375" style="128" customWidth="1"/>
    <col min="12790" max="12790" width="9.125" style="128" customWidth="1"/>
    <col min="12791" max="12791" width="8.25" style="128" customWidth="1"/>
    <col min="12792" max="12792" width="9.5" style="128" customWidth="1"/>
    <col min="12793" max="12793" width="1.25" style="128" customWidth="1"/>
    <col min="12794" max="13038" width="9" style="128"/>
    <col min="13039" max="13039" width="8.125" style="128" customWidth="1"/>
    <col min="13040" max="13040" width="13" style="128" bestFit="1" customWidth="1"/>
    <col min="13041" max="13041" width="8.875" style="128" customWidth="1"/>
    <col min="13042" max="13042" width="7.375" style="128" customWidth="1"/>
    <col min="13043" max="13043" width="8.375" style="128" customWidth="1"/>
    <col min="13044" max="13044" width="9.25" style="128" customWidth="1"/>
    <col min="13045" max="13045" width="9.375" style="128" customWidth="1"/>
    <col min="13046" max="13046" width="9.125" style="128" customWidth="1"/>
    <col min="13047" max="13047" width="8.25" style="128" customWidth="1"/>
    <col min="13048" max="13048" width="9.5" style="128" customWidth="1"/>
    <col min="13049" max="13049" width="1.25" style="128" customWidth="1"/>
    <col min="13050" max="13294" width="9" style="128"/>
    <col min="13295" max="13295" width="8.125" style="128" customWidth="1"/>
    <col min="13296" max="13296" width="13" style="128" bestFit="1" customWidth="1"/>
    <col min="13297" max="13297" width="8.875" style="128" customWidth="1"/>
    <col min="13298" max="13298" width="7.375" style="128" customWidth="1"/>
    <col min="13299" max="13299" width="8.375" style="128" customWidth="1"/>
    <col min="13300" max="13300" width="9.25" style="128" customWidth="1"/>
    <col min="13301" max="13301" width="9.375" style="128" customWidth="1"/>
    <col min="13302" max="13302" width="9.125" style="128" customWidth="1"/>
    <col min="13303" max="13303" width="8.25" style="128" customWidth="1"/>
    <col min="13304" max="13304" width="9.5" style="128" customWidth="1"/>
    <col min="13305" max="13305" width="1.25" style="128" customWidth="1"/>
    <col min="13306" max="13550" width="9" style="128"/>
    <col min="13551" max="13551" width="8.125" style="128" customWidth="1"/>
    <col min="13552" max="13552" width="13" style="128" bestFit="1" customWidth="1"/>
    <col min="13553" max="13553" width="8.875" style="128" customWidth="1"/>
    <col min="13554" max="13554" width="7.375" style="128" customWidth="1"/>
    <col min="13555" max="13555" width="8.375" style="128" customWidth="1"/>
    <col min="13556" max="13556" width="9.25" style="128" customWidth="1"/>
    <col min="13557" max="13557" width="9.375" style="128" customWidth="1"/>
    <col min="13558" max="13558" width="9.125" style="128" customWidth="1"/>
    <col min="13559" max="13559" width="8.25" style="128" customWidth="1"/>
    <col min="13560" max="13560" width="9.5" style="128" customWidth="1"/>
    <col min="13561" max="13561" width="1.25" style="128" customWidth="1"/>
    <col min="13562" max="13806" width="9" style="128"/>
    <col min="13807" max="13807" width="8.125" style="128" customWidth="1"/>
    <col min="13808" max="13808" width="13" style="128" bestFit="1" customWidth="1"/>
    <col min="13809" max="13809" width="8.875" style="128" customWidth="1"/>
    <col min="13810" max="13810" width="7.375" style="128" customWidth="1"/>
    <col min="13811" max="13811" width="8.375" style="128" customWidth="1"/>
    <col min="13812" max="13812" width="9.25" style="128" customWidth="1"/>
    <col min="13813" max="13813" width="9.375" style="128" customWidth="1"/>
    <col min="13814" max="13814" width="9.125" style="128" customWidth="1"/>
    <col min="13815" max="13815" width="8.25" style="128" customWidth="1"/>
    <col min="13816" max="13816" width="9.5" style="128" customWidth="1"/>
    <col min="13817" max="13817" width="1.25" style="128" customWidth="1"/>
    <col min="13818" max="14062" width="9" style="128"/>
    <col min="14063" max="14063" width="8.125" style="128" customWidth="1"/>
    <col min="14064" max="14064" width="13" style="128" bestFit="1" customWidth="1"/>
    <col min="14065" max="14065" width="8.875" style="128" customWidth="1"/>
    <col min="14066" max="14066" width="7.375" style="128" customWidth="1"/>
    <col min="14067" max="14067" width="8.375" style="128" customWidth="1"/>
    <col min="14068" max="14068" width="9.25" style="128" customWidth="1"/>
    <col min="14069" max="14069" width="9.375" style="128" customWidth="1"/>
    <col min="14070" max="14070" width="9.125" style="128" customWidth="1"/>
    <col min="14071" max="14071" width="8.25" style="128" customWidth="1"/>
    <col min="14072" max="14072" width="9.5" style="128" customWidth="1"/>
    <col min="14073" max="14073" width="1.25" style="128" customWidth="1"/>
    <col min="14074" max="14318" width="9" style="128"/>
    <col min="14319" max="14319" width="8.125" style="128" customWidth="1"/>
    <col min="14320" max="14320" width="13" style="128" bestFit="1" customWidth="1"/>
    <col min="14321" max="14321" width="8.875" style="128" customWidth="1"/>
    <col min="14322" max="14322" width="7.375" style="128" customWidth="1"/>
    <col min="14323" max="14323" width="8.375" style="128" customWidth="1"/>
    <col min="14324" max="14324" width="9.25" style="128" customWidth="1"/>
    <col min="14325" max="14325" width="9.375" style="128" customWidth="1"/>
    <col min="14326" max="14326" width="9.125" style="128" customWidth="1"/>
    <col min="14327" max="14327" width="8.25" style="128" customWidth="1"/>
    <col min="14328" max="14328" width="9.5" style="128" customWidth="1"/>
    <col min="14329" max="14329" width="1.25" style="128" customWidth="1"/>
    <col min="14330" max="14574" width="9" style="128"/>
    <col min="14575" max="14575" width="8.125" style="128" customWidth="1"/>
    <col min="14576" max="14576" width="13" style="128" bestFit="1" customWidth="1"/>
    <col min="14577" max="14577" width="8.875" style="128" customWidth="1"/>
    <col min="14578" max="14578" width="7.375" style="128" customWidth="1"/>
    <col min="14579" max="14579" width="8.375" style="128" customWidth="1"/>
    <col min="14580" max="14580" width="9.25" style="128" customWidth="1"/>
    <col min="14581" max="14581" width="9.375" style="128" customWidth="1"/>
    <col min="14582" max="14582" width="9.125" style="128" customWidth="1"/>
    <col min="14583" max="14583" width="8.25" style="128" customWidth="1"/>
    <col min="14584" max="14584" width="9.5" style="128" customWidth="1"/>
    <col min="14585" max="14585" width="1.25" style="128" customWidth="1"/>
    <col min="14586" max="14830" width="9" style="128"/>
    <col min="14831" max="14831" width="8.125" style="128" customWidth="1"/>
    <col min="14832" max="14832" width="13" style="128" bestFit="1" customWidth="1"/>
    <col min="14833" max="14833" width="8.875" style="128" customWidth="1"/>
    <col min="14834" max="14834" width="7.375" style="128" customWidth="1"/>
    <col min="14835" max="14835" width="8.375" style="128" customWidth="1"/>
    <col min="14836" max="14836" width="9.25" style="128" customWidth="1"/>
    <col min="14837" max="14837" width="9.375" style="128" customWidth="1"/>
    <col min="14838" max="14838" width="9.125" style="128" customWidth="1"/>
    <col min="14839" max="14839" width="8.25" style="128" customWidth="1"/>
    <col min="14840" max="14840" width="9.5" style="128" customWidth="1"/>
    <col min="14841" max="14841" width="1.25" style="128" customWidth="1"/>
    <col min="14842" max="15086" width="9" style="128"/>
    <col min="15087" max="15087" width="8.125" style="128" customWidth="1"/>
    <col min="15088" max="15088" width="13" style="128" bestFit="1" customWidth="1"/>
    <col min="15089" max="15089" width="8.875" style="128" customWidth="1"/>
    <col min="15090" max="15090" width="7.375" style="128" customWidth="1"/>
    <col min="15091" max="15091" width="8.375" style="128" customWidth="1"/>
    <col min="15092" max="15092" width="9.25" style="128" customWidth="1"/>
    <col min="15093" max="15093" width="9.375" style="128" customWidth="1"/>
    <col min="15094" max="15094" width="9.125" style="128" customWidth="1"/>
    <col min="15095" max="15095" width="8.25" style="128" customWidth="1"/>
    <col min="15096" max="15096" width="9.5" style="128" customWidth="1"/>
    <col min="15097" max="15097" width="1.25" style="128" customWidth="1"/>
    <col min="15098" max="15342" width="9" style="128"/>
    <col min="15343" max="15343" width="8.125" style="128" customWidth="1"/>
    <col min="15344" max="15344" width="13" style="128" bestFit="1" customWidth="1"/>
    <col min="15345" max="15345" width="8.875" style="128" customWidth="1"/>
    <col min="15346" max="15346" width="7.375" style="128" customWidth="1"/>
    <col min="15347" max="15347" width="8.375" style="128" customWidth="1"/>
    <col min="15348" max="15348" width="9.25" style="128" customWidth="1"/>
    <col min="15349" max="15349" width="9.375" style="128" customWidth="1"/>
    <col min="15350" max="15350" width="9.125" style="128" customWidth="1"/>
    <col min="15351" max="15351" width="8.25" style="128" customWidth="1"/>
    <col min="15352" max="15352" width="9.5" style="128" customWidth="1"/>
    <col min="15353" max="15353" width="1.25" style="128" customWidth="1"/>
    <col min="15354" max="15598" width="9" style="128"/>
    <col min="15599" max="15599" width="8.125" style="128" customWidth="1"/>
    <col min="15600" max="15600" width="13" style="128" bestFit="1" customWidth="1"/>
    <col min="15601" max="15601" width="8.875" style="128" customWidth="1"/>
    <col min="15602" max="15602" width="7.375" style="128" customWidth="1"/>
    <col min="15603" max="15603" width="8.375" style="128" customWidth="1"/>
    <col min="15604" max="15604" width="9.25" style="128" customWidth="1"/>
    <col min="15605" max="15605" width="9.375" style="128" customWidth="1"/>
    <col min="15606" max="15606" width="9.125" style="128" customWidth="1"/>
    <col min="15607" max="15607" width="8.25" style="128" customWidth="1"/>
    <col min="15608" max="15608" width="9.5" style="128" customWidth="1"/>
    <col min="15609" max="15609" width="1.25" style="128" customWidth="1"/>
    <col min="15610" max="15854" width="9" style="128"/>
    <col min="15855" max="15855" width="8.125" style="128" customWidth="1"/>
    <col min="15856" max="15856" width="13" style="128" bestFit="1" customWidth="1"/>
    <col min="15857" max="15857" width="8.875" style="128" customWidth="1"/>
    <col min="15858" max="15858" width="7.375" style="128" customWidth="1"/>
    <col min="15859" max="15859" width="8.375" style="128" customWidth="1"/>
    <col min="15860" max="15860" width="9.25" style="128" customWidth="1"/>
    <col min="15861" max="15861" width="9.375" style="128" customWidth="1"/>
    <col min="15862" max="15862" width="9.125" style="128" customWidth="1"/>
    <col min="15863" max="15863" width="8.25" style="128" customWidth="1"/>
    <col min="15864" max="15864" width="9.5" style="128" customWidth="1"/>
    <col min="15865" max="15865" width="1.25" style="128" customWidth="1"/>
    <col min="15866" max="16110" width="9" style="128"/>
    <col min="16111" max="16111" width="8.125" style="128" customWidth="1"/>
    <col min="16112" max="16112" width="13" style="128" bestFit="1" customWidth="1"/>
    <col min="16113" max="16113" width="8.875" style="128" customWidth="1"/>
    <col min="16114" max="16114" width="7.375" style="128" customWidth="1"/>
    <col min="16115" max="16115" width="8.375" style="128" customWidth="1"/>
    <col min="16116" max="16116" width="9.25" style="128" customWidth="1"/>
    <col min="16117" max="16117" width="9.375" style="128" customWidth="1"/>
    <col min="16118" max="16118" width="9.125" style="128" customWidth="1"/>
    <col min="16119" max="16119" width="8.25" style="128" customWidth="1"/>
    <col min="16120" max="16120" width="9.5" style="128" customWidth="1"/>
    <col min="16121" max="16121" width="1.25" style="128" customWidth="1"/>
    <col min="16122" max="16384" width="9" style="128"/>
  </cols>
  <sheetData>
    <row r="1" spans="1:8" ht="18" x14ac:dyDescent="0.3">
      <c r="A1" s="418" t="s">
        <v>205</v>
      </c>
      <c r="B1" s="418"/>
      <c r="C1" s="418"/>
      <c r="D1" s="418"/>
      <c r="E1" s="418"/>
      <c r="F1" s="418"/>
      <c r="G1" s="418"/>
      <c r="H1" s="418"/>
    </row>
    <row r="2" spans="1:8" ht="13.5" customHeight="1" x14ac:dyDescent="0.25">
      <c r="A2" s="129" t="s">
        <v>206</v>
      </c>
      <c r="B2" s="130"/>
      <c r="C2" s="130"/>
      <c r="D2" s="130"/>
      <c r="E2" s="130"/>
      <c r="F2" s="130"/>
      <c r="G2" s="130"/>
      <c r="H2" s="131" t="s">
        <v>207</v>
      </c>
    </row>
    <row r="3" spans="1:8" ht="15.95" customHeight="1" x14ac:dyDescent="0.25">
      <c r="A3" s="419" t="s">
        <v>208</v>
      </c>
      <c r="B3" s="421" t="s">
        <v>209</v>
      </c>
      <c r="C3" s="421" t="s">
        <v>210</v>
      </c>
      <c r="D3" s="421" t="s">
        <v>211</v>
      </c>
      <c r="E3" s="423" t="s">
        <v>212</v>
      </c>
      <c r="F3" s="132"/>
      <c r="G3" s="133"/>
      <c r="H3" s="421" t="s">
        <v>213</v>
      </c>
    </row>
    <row r="4" spans="1:8" ht="15.95" customHeight="1" x14ac:dyDescent="0.25">
      <c r="A4" s="420"/>
      <c r="B4" s="420"/>
      <c r="C4" s="422"/>
      <c r="D4" s="422"/>
      <c r="E4" s="424"/>
      <c r="F4" s="134" t="s">
        <v>214</v>
      </c>
      <c r="G4" s="135" t="s">
        <v>215</v>
      </c>
      <c r="H4" s="422"/>
    </row>
    <row r="5" spans="1:8" ht="15" customHeight="1" x14ac:dyDescent="0.25">
      <c r="A5" s="136"/>
      <c r="B5" s="137"/>
      <c r="C5" s="137"/>
      <c r="D5" s="138"/>
      <c r="E5" s="139"/>
      <c r="F5" s="139"/>
      <c r="G5" s="139"/>
      <c r="H5" s="140"/>
    </row>
    <row r="6" spans="1:8" ht="15" customHeight="1" x14ac:dyDescent="0.25">
      <c r="A6" s="19">
        <f>'1.1. 한국은행 계정'!A11</f>
        <v>40544</v>
      </c>
      <c r="B6" s="141">
        <v>20522489</v>
      </c>
      <c r="C6" s="141">
        <v>19497</v>
      </c>
      <c r="D6" s="142">
        <v>0.1</v>
      </c>
      <c r="E6" s="139">
        <v>15</v>
      </c>
      <c r="F6" s="139">
        <v>6</v>
      </c>
      <c r="G6" s="139">
        <v>9</v>
      </c>
      <c r="H6" s="143">
        <v>1012</v>
      </c>
    </row>
    <row r="7" spans="1:8" ht="15" customHeight="1" x14ac:dyDescent="0.25">
      <c r="A7" s="19">
        <f>'1.1. 한국은행 계정'!A12</f>
        <v>40909</v>
      </c>
      <c r="B7" s="141">
        <v>21212276</v>
      </c>
      <c r="C7" s="141">
        <v>66000</v>
      </c>
      <c r="D7" s="142">
        <v>0.31</v>
      </c>
      <c r="E7" s="139">
        <v>9</v>
      </c>
      <c r="F7" s="139">
        <v>5</v>
      </c>
      <c r="G7" s="139">
        <v>4</v>
      </c>
      <c r="H7" s="143">
        <v>1204</v>
      </c>
    </row>
    <row r="8" spans="1:8" ht="15" customHeight="1" x14ac:dyDescent="0.25">
      <c r="A8" s="19">
        <f>'1.1. 한국은행 계정'!A13</f>
        <v>41275</v>
      </c>
      <c r="B8" s="141">
        <v>19893709</v>
      </c>
      <c r="C8" s="141">
        <v>23709</v>
      </c>
      <c r="D8" s="142">
        <v>0.12</v>
      </c>
      <c r="E8" s="141">
        <v>8</v>
      </c>
      <c r="F8" s="141">
        <v>7</v>
      </c>
      <c r="G8" s="141">
        <v>1</v>
      </c>
      <c r="H8" s="141">
        <v>1119</v>
      </c>
    </row>
    <row r="9" spans="1:8" ht="15" customHeight="1" x14ac:dyDescent="0.25">
      <c r="A9" s="19">
        <f>'1.1. 한국은행 계정'!A14</f>
        <v>41640</v>
      </c>
      <c r="B9" s="141">
        <v>20093572</v>
      </c>
      <c r="C9" s="141">
        <v>19188</v>
      </c>
      <c r="D9" s="142">
        <v>0.1</v>
      </c>
      <c r="E9" s="141">
        <v>7</v>
      </c>
      <c r="F9" s="141">
        <v>5</v>
      </c>
      <c r="G9" s="141">
        <v>2</v>
      </c>
      <c r="H9" s="141">
        <v>1179</v>
      </c>
    </row>
    <row r="10" spans="1:8" ht="15" customHeight="1" x14ac:dyDescent="0.25">
      <c r="A10" s="19">
        <f>'1.1. 한국은행 계정'!A15</f>
        <v>42005</v>
      </c>
      <c r="B10" s="141">
        <v>17763733</v>
      </c>
      <c r="C10" s="141">
        <v>16914</v>
      </c>
      <c r="D10" s="142">
        <v>0.1</v>
      </c>
      <c r="E10" s="141">
        <v>9</v>
      </c>
      <c r="F10" s="141">
        <v>6</v>
      </c>
      <c r="G10" s="141">
        <v>3</v>
      </c>
      <c r="H10" s="141">
        <v>1452</v>
      </c>
    </row>
    <row r="11" spans="1:8" ht="15" customHeight="1" x14ac:dyDescent="0.25">
      <c r="A11" s="19">
        <f>'1.1. 한국은행 계정'!A16</f>
        <v>42370</v>
      </c>
      <c r="B11" s="141">
        <v>16867836</v>
      </c>
      <c r="C11" s="141">
        <v>10075</v>
      </c>
      <c r="D11" s="142">
        <v>0.06</v>
      </c>
      <c r="E11" s="141">
        <v>6</v>
      </c>
      <c r="F11" s="141">
        <v>3</v>
      </c>
      <c r="G11" s="141">
        <v>3</v>
      </c>
      <c r="H11" s="141">
        <v>1416</v>
      </c>
    </row>
    <row r="12" spans="1:8" ht="15" customHeight="1" x14ac:dyDescent="0.25">
      <c r="A12" s="19">
        <f>'1.1. 한국은행 계정'!A17</f>
        <v>42736</v>
      </c>
      <c r="B12" s="141">
        <v>17574336</v>
      </c>
      <c r="C12" s="141">
        <v>32847</v>
      </c>
      <c r="D12" s="142">
        <v>0.19</v>
      </c>
      <c r="E12" s="141">
        <v>12</v>
      </c>
      <c r="F12" s="141">
        <v>10</v>
      </c>
      <c r="G12" s="141">
        <v>2</v>
      </c>
      <c r="H12" s="141">
        <v>1370</v>
      </c>
    </row>
    <row r="13" spans="1:8" ht="15" customHeight="1" x14ac:dyDescent="0.25">
      <c r="A13" s="19">
        <f>'1.1. 한국은행 계정'!A18</f>
        <v>43101</v>
      </c>
      <c r="B13" s="141">
        <v>17377957</v>
      </c>
      <c r="C13" s="141">
        <v>34320</v>
      </c>
      <c r="D13" s="142">
        <v>0.2</v>
      </c>
      <c r="E13" s="141">
        <v>8</v>
      </c>
      <c r="F13" s="141">
        <v>7</v>
      </c>
      <c r="G13" s="141">
        <v>1</v>
      </c>
      <c r="H13" s="141">
        <v>1346</v>
      </c>
    </row>
    <row r="14" spans="1:8" s="144" customFormat="1" ht="15.95" customHeight="1" x14ac:dyDescent="0.3">
      <c r="A14" s="19">
        <f>'1.1. 한국은행 계정'!A19</f>
        <v>43466</v>
      </c>
      <c r="B14" s="141">
        <v>13780798</v>
      </c>
      <c r="C14" s="141">
        <v>45262</v>
      </c>
      <c r="D14" s="142">
        <v>0.33</v>
      </c>
      <c r="E14" s="141">
        <v>12</v>
      </c>
      <c r="F14" s="141">
        <v>9</v>
      </c>
      <c r="G14" s="141">
        <v>3</v>
      </c>
      <c r="H14" s="141">
        <v>1370</v>
      </c>
    </row>
    <row r="15" spans="1:8" s="144" customFormat="1" ht="15.95" customHeight="1" x14ac:dyDescent="0.3">
      <c r="A15" s="19">
        <f>'1.1. 한국은행 계정'!A20</f>
        <v>43831</v>
      </c>
      <c r="B15" s="141">
        <v>10998234</v>
      </c>
      <c r="C15" s="141">
        <v>47845</v>
      </c>
      <c r="D15" s="142">
        <v>0.44</v>
      </c>
      <c r="E15" s="141">
        <v>9</v>
      </c>
      <c r="F15" s="141">
        <v>6</v>
      </c>
      <c r="G15" s="141">
        <v>3</v>
      </c>
      <c r="H15" s="141">
        <v>1615</v>
      </c>
    </row>
    <row r="16" spans="1:8" s="144" customFormat="1" ht="15.95" customHeight="1" x14ac:dyDescent="0.3">
      <c r="A16" s="19">
        <f>'1.1. 한국은행 계정'!A21</f>
        <v>44197</v>
      </c>
      <c r="B16" s="141">
        <v>9441874</v>
      </c>
      <c r="C16" s="141">
        <v>32376</v>
      </c>
      <c r="D16" s="142">
        <v>0.34</v>
      </c>
      <c r="E16" s="141">
        <v>10</v>
      </c>
      <c r="F16" s="141">
        <v>10</v>
      </c>
      <c r="G16" s="141">
        <v>0</v>
      </c>
      <c r="H16" s="141">
        <v>1732</v>
      </c>
    </row>
    <row r="17" spans="1:8" s="144" customFormat="1" ht="15.95" customHeight="1" x14ac:dyDescent="0.3">
      <c r="A17" s="19">
        <f>'1.1. 한국은행 계정'!A22</f>
        <v>44562</v>
      </c>
      <c r="B17" s="141">
        <v>13359027</v>
      </c>
      <c r="C17" s="141">
        <v>19298</v>
      </c>
      <c r="D17" s="142">
        <v>0.14000000000000001</v>
      </c>
      <c r="E17" s="141">
        <v>2</v>
      </c>
      <c r="F17" s="141">
        <v>2</v>
      </c>
      <c r="G17" s="141">
        <v>0</v>
      </c>
      <c r="H17" s="141">
        <v>1496</v>
      </c>
    </row>
    <row r="18" spans="1:8" s="144" customFormat="1" ht="15.95" customHeight="1" x14ac:dyDescent="0.3">
      <c r="A18" s="19">
        <f>'1.1. 한국은행 계정'!A23</f>
        <v>44927</v>
      </c>
      <c r="B18" s="141">
        <v>11064884.217622001</v>
      </c>
      <c r="C18" s="141">
        <v>39284.551999999996</v>
      </c>
      <c r="D18" s="142">
        <v>0.35503807565772072</v>
      </c>
      <c r="E18" s="141">
        <v>3</v>
      </c>
      <c r="F18" s="141">
        <v>2</v>
      </c>
      <c r="G18" s="141">
        <v>1</v>
      </c>
      <c r="H18" s="141">
        <v>1287</v>
      </c>
    </row>
    <row r="19" spans="1:8" s="144" customFormat="1" ht="15.95" customHeight="1" x14ac:dyDescent="0.3">
      <c r="A19" s="19">
        <f>'1.1. 한국은행 계정'!A24</f>
        <v>45292</v>
      </c>
      <c r="B19" s="141">
        <v>8686678.3937890008</v>
      </c>
      <c r="C19" s="141">
        <v>30350.563999999998</v>
      </c>
      <c r="D19" s="142">
        <v>0.34939205325824807</v>
      </c>
      <c r="E19" s="141">
        <v>3</v>
      </c>
      <c r="F19" s="141">
        <v>3</v>
      </c>
      <c r="G19" s="141">
        <v>0</v>
      </c>
      <c r="H19" s="141">
        <v>1215</v>
      </c>
    </row>
    <row r="20" spans="1:8" s="144" customFormat="1" ht="15.95" customHeight="1" x14ac:dyDescent="0.3">
      <c r="A20" s="19">
        <f>'1.1. 한국은행 계정'!A25</f>
        <v>45658</v>
      </c>
      <c r="B20" s="141">
        <v>9820316.8374550007</v>
      </c>
      <c r="C20" s="141">
        <v>53675.692999999992</v>
      </c>
      <c r="D20" s="142">
        <v>0.55000000000000004</v>
      </c>
      <c r="E20" s="141">
        <v>1</v>
      </c>
      <c r="F20" s="141">
        <v>1</v>
      </c>
      <c r="G20" s="141">
        <v>0</v>
      </c>
      <c r="H20" s="141">
        <v>1217</v>
      </c>
    </row>
    <row r="21" spans="1:8" s="144" customFormat="1" ht="15.95" customHeight="1" x14ac:dyDescent="0.3">
      <c r="A21" s="20"/>
      <c r="B21" s="145"/>
      <c r="C21" s="145"/>
      <c r="D21" s="142"/>
      <c r="E21" s="141"/>
      <c r="F21" s="141"/>
      <c r="G21" s="141"/>
      <c r="H21" s="141"/>
    </row>
    <row r="22" spans="1:8" ht="15" customHeight="1" x14ac:dyDescent="0.25">
      <c r="A22" s="21">
        <f>DATE(YEAR(표지!O1)-2,MONTH(표지!O1)-1,1)</f>
        <v>45352</v>
      </c>
      <c r="B22" s="141">
        <v>594890</v>
      </c>
      <c r="C22" s="141">
        <v>2053</v>
      </c>
      <c r="D22" s="142">
        <v>0.35</v>
      </c>
      <c r="E22" s="146">
        <v>0</v>
      </c>
      <c r="F22" s="146">
        <v>0</v>
      </c>
      <c r="G22" s="146">
        <v>0</v>
      </c>
      <c r="H22" s="146">
        <v>94</v>
      </c>
    </row>
    <row r="23" spans="1:8" ht="15" customHeight="1" x14ac:dyDescent="0.25">
      <c r="A23" s="22">
        <f>DATE(YEAR(A22),MONTH(A22)+1,1)</f>
        <v>45383</v>
      </c>
      <c r="B23" s="141">
        <v>990484</v>
      </c>
      <c r="C23" s="141">
        <v>37</v>
      </c>
      <c r="D23" s="142">
        <v>0</v>
      </c>
      <c r="E23" s="146">
        <v>0</v>
      </c>
      <c r="F23" s="146">
        <v>0</v>
      </c>
      <c r="G23" s="146">
        <v>0</v>
      </c>
      <c r="H23" s="146">
        <v>97</v>
      </c>
    </row>
    <row r="24" spans="1:8" ht="15" customHeight="1" x14ac:dyDescent="0.25">
      <c r="A24" s="22">
        <f>DATE(YEAR(A23),MONTH(A23)+1,1)</f>
        <v>45413</v>
      </c>
      <c r="B24" s="141">
        <v>681964</v>
      </c>
      <c r="C24" s="141">
        <v>1843</v>
      </c>
      <c r="D24" s="142">
        <v>0.27</v>
      </c>
      <c r="E24" s="146">
        <v>0</v>
      </c>
      <c r="F24" s="146">
        <v>0</v>
      </c>
      <c r="G24" s="146">
        <v>0</v>
      </c>
      <c r="H24" s="146">
        <v>112</v>
      </c>
    </row>
    <row r="25" spans="1:8" ht="15" customHeight="1" x14ac:dyDescent="0.25">
      <c r="A25" s="22">
        <f>DATE(YEAR(A24),MONTH(A24)+1,1)</f>
        <v>45444</v>
      </c>
      <c r="B25" s="141">
        <v>371956</v>
      </c>
      <c r="C25" s="141">
        <v>696</v>
      </c>
      <c r="D25" s="142">
        <v>0.19</v>
      </c>
      <c r="E25" s="146">
        <v>0</v>
      </c>
      <c r="F25" s="146">
        <v>0</v>
      </c>
      <c r="G25" s="146">
        <v>0</v>
      </c>
      <c r="H25" s="146">
        <v>109</v>
      </c>
    </row>
    <row r="26" spans="1:8" ht="15" customHeight="1" x14ac:dyDescent="0.25">
      <c r="A26" s="22">
        <f>DATE(YEAR(A25),MONTH(A25)+1,1)</f>
        <v>45474</v>
      </c>
      <c r="B26" s="141">
        <v>950991</v>
      </c>
      <c r="C26" s="141">
        <v>70</v>
      </c>
      <c r="D26" s="142">
        <v>0.01</v>
      </c>
      <c r="E26" s="146">
        <v>0</v>
      </c>
      <c r="F26" s="146">
        <v>0</v>
      </c>
      <c r="G26" s="146">
        <v>0</v>
      </c>
      <c r="H26" s="146">
        <v>106</v>
      </c>
    </row>
    <row r="27" spans="1:8" ht="15" customHeight="1" x14ac:dyDescent="0.25">
      <c r="A27" s="22">
        <f t="shared" ref="A27:A31" si="0">DATE(YEAR(A26),MONTH(A26)+1,1)</f>
        <v>45505</v>
      </c>
      <c r="B27" s="141">
        <v>474243</v>
      </c>
      <c r="C27" s="141">
        <v>18180</v>
      </c>
      <c r="D27" s="142">
        <v>3.83</v>
      </c>
      <c r="E27" s="146">
        <v>0</v>
      </c>
      <c r="F27" s="146">
        <v>0</v>
      </c>
      <c r="G27" s="146">
        <v>0</v>
      </c>
      <c r="H27" s="146">
        <v>79</v>
      </c>
    </row>
    <row r="28" spans="1:8" ht="15" customHeight="1" x14ac:dyDescent="0.25">
      <c r="A28" s="22">
        <f t="shared" si="0"/>
        <v>45536</v>
      </c>
      <c r="B28" s="141">
        <v>491212</v>
      </c>
      <c r="C28" s="141">
        <v>1547</v>
      </c>
      <c r="D28" s="142">
        <v>0.31</v>
      </c>
      <c r="E28" s="146">
        <v>2</v>
      </c>
      <c r="F28" s="146">
        <v>2</v>
      </c>
      <c r="G28" s="146">
        <v>0</v>
      </c>
      <c r="H28" s="146">
        <v>83</v>
      </c>
    </row>
    <row r="29" spans="1:8" ht="15" customHeight="1" x14ac:dyDescent="0.25">
      <c r="A29" s="22">
        <f t="shared" si="0"/>
        <v>45566</v>
      </c>
      <c r="B29" s="141">
        <v>911841</v>
      </c>
      <c r="C29" s="141">
        <v>4539</v>
      </c>
      <c r="D29" s="142">
        <v>0.5</v>
      </c>
      <c r="E29" s="146">
        <v>0</v>
      </c>
      <c r="F29" s="146">
        <v>0</v>
      </c>
      <c r="G29" s="146">
        <v>0</v>
      </c>
      <c r="H29" s="146">
        <v>117</v>
      </c>
    </row>
    <row r="30" spans="1:8" ht="15" customHeight="1" x14ac:dyDescent="0.25">
      <c r="A30" s="22">
        <f t="shared" si="0"/>
        <v>45597</v>
      </c>
      <c r="B30" s="141">
        <v>547599</v>
      </c>
      <c r="C30" s="141">
        <v>155</v>
      </c>
      <c r="D30" s="142">
        <v>0.03</v>
      </c>
      <c r="E30" s="146">
        <v>0</v>
      </c>
      <c r="F30" s="146">
        <v>0</v>
      </c>
      <c r="G30" s="146">
        <v>0</v>
      </c>
      <c r="H30" s="146">
        <v>104</v>
      </c>
    </row>
    <row r="31" spans="1:8" ht="15" customHeight="1" x14ac:dyDescent="0.25">
      <c r="A31" s="22">
        <f t="shared" si="0"/>
        <v>45627</v>
      </c>
      <c r="B31" s="141">
        <v>857555</v>
      </c>
      <c r="C31" s="141">
        <v>725</v>
      </c>
      <c r="D31" s="142">
        <v>0.08</v>
      </c>
      <c r="E31" s="146">
        <v>0</v>
      </c>
      <c r="F31" s="146">
        <v>0</v>
      </c>
      <c r="G31" s="146">
        <v>0</v>
      </c>
      <c r="H31" s="146">
        <v>96</v>
      </c>
    </row>
    <row r="32" spans="1:8" ht="15" customHeight="1" x14ac:dyDescent="0.25">
      <c r="A32" s="22"/>
      <c r="B32" s="141"/>
      <c r="C32" s="141"/>
      <c r="D32" s="142"/>
      <c r="E32" s="146"/>
      <c r="F32" s="146"/>
      <c r="G32" s="146"/>
      <c r="H32" s="146"/>
    </row>
    <row r="33" spans="1:8" ht="15" customHeight="1" x14ac:dyDescent="0.25">
      <c r="A33" s="21">
        <f>DATE(YEAR(A31),MONTH(A31)+1,1)</f>
        <v>45658</v>
      </c>
      <c r="B33" s="141">
        <v>723345</v>
      </c>
      <c r="C33" s="141">
        <v>237</v>
      </c>
      <c r="D33" s="142">
        <v>0.03</v>
      </c>
      <c r="E33" s="146">
        <v>0</v>
      </c>
      <c r="F33" s="146">
        <v>0</v>
      </c>
      <c r="G33" s="146">
        <v>0</v>
      </c>
      <c r="H33" s="146">
        <v>89</v>
      </c>
    </row>
    <row r="34" spans="1:8" ht="15" customHeight="1" x14ac:dyDescent="0.25">
      <c r="A34" s="22">
        <f t="shared" ref="A34:A44" si="1">DATE(YEAR(A33),MONTH(A33)+1,1)</f>
        <v>45689</v>
      </c>
      <c r="B34" s="141">
        <v>1015801</v>
      </c>
      <c r="C34" s="141">
        <v>243</v>
      </c>
      <c r="D34" s="142">
        <v>0.02</v>
      </c>
      <c r="E34" s="146">
        <v>0</v>
      </c>
      <c r="F34" s="146">
        <v>0</v>
      </c>
      <c r="G34" s="146">
        <v>0</v>
      </c>
      <c r="H34" s="146">
        <v>102</v>
      </c>
    </row>
    <row r="35" spans="1:8" ht="15" customHeight="1" x14ac:dyDescent="0.25">
      <c r="A35" s="22">
        <f t="shared" si="1"/>
        <v>45717</v>
      </c>
      <c r="B35" s="141">
        <v>997584</v>
      </c>
      <c r="C35" s="141">
        <v>8082</v>
      </c>
      <c r="D35" s="142">
        <v>0.81</v>
      </c>
      <c r="E35" s="146">
        <v>0</v>
      </c>
      <c r="F35" s="146">
        <v>0</v>
      </c>
      <c r="G35" s="146">
        <v>0</v>
      </c>
      <c r="H35" s="146">
        <v>122</v>
      </c>
    </row>
    <row r="36" spans="1:8" ht="15" customHeight="1" x14ac:dyDescent="0.25">
      <c r="A36" s="22">
        <f t="shared" si="1"/>
        <v>45748</v>
      </c>
      <c r="B36" s="141">
        <v>1003128</v>
      </c>
      <c r="C36" s="141">
        <v>7823</v>
      </c>
      <c r="D36" s="142">
        <v>0.78</v>
      </c>
      <c r="E36" s="146">
        <v>0</v>
      </c>
      <c r="F36" s="146">
        <v>0</v>
      </c>
      <c r="G36" s="146">
        <v>0</v>
      </c>
      <c r="H36" s="146">
        <v>104</v>
      </c>
    </row>
    <row r="37" spans="1:8" ht="15" customHeight="1" x14ac:dyDescent="0.25">
      <c r="A37" s="22">
        <f t="shared" si="1"/>
        <v>45778</v>
      </c>
      <c r="B37" s="141">
        <v>886010</v>
      </c>
      <c r="C37" s="141">
        <v>15261</v>
      </c>
      <c r="D37" s="142">
        <v>1.72</v>
      </c>
      <c r="E37" s="146">
        <v>0</v>
      </c>
      <c r="F37" s="146">
        <v>0</v>
      </c>
      <c r="G37" s="146">
        <v>0</v>
      </c>
      <c r="H37" s="146">
        <v>100</v>
      </c>
    </row>
    <row r="38" spans="1:8" ht="15" customHeight="1" x14ac:dyDescent="0.25">
      <c r="A38" s="22">
        <f t="shared" si="1"/>
        <v>45809</v>
      </c>
      <c r="B38" s="141">
        <v>536030</v>
      </c>
      <c r="C38" s="141">
        <v>1295</v>
      </c>
      <c r="D38" s="142">
        <v>0.24</v>
      </c>
      <c r="E38" s="146">
        <v>0</v>
      </c>
      <c r="F38" s="146">
        <v>0</v>
      </c>
      <c r="G38" s="146">
        <v>0</v>
      </c>
      <c r="H38" s="146">
        <v>108</v>
      </c>
    </row>
    <row r="39" spans="1:8" ht="15" customHeight="1" x14ac:dyDescent="0.25">
      <c r="A39" s="22">
        <f t="shared" si="1"/>
        <v>45839</v>
      </c>
      <c r="B39" s="141">
        <v>616598</v>
      </c>
      <c r="C39" s="141">
        <v>1933</v>
      </c>
      <c r="D39" s="142">
        <v>0.31</v>
      </c>
      <c r="E39" s="146">
        <v>1</v>
      </c>
      <c r="F39" s="146">
        <v>1</v>
      </c>
      <c r="G39" s="146">
        <v>0</v>
      </c>
      <c r="H39" s="146">
        <v>97</v>
      </c>
    </row>
    <row r="40" spans="1:8" ht="15" customHeight="1" x14ac:dyDescent="0.25">
      <c r="A40" s="22">
        <f t="shared" si="1"/>
        <v>45870</v>
      </c>
      <c r="B40" s="141">
        <v>792792</v>
      </c>
      <c r="C40" s="141">
        <v>5235</v>
      </c>
      <c r="D40" s="142">
        <v>0.66</v>
      </c>
      <c r="E40" s="146">
        <v>0</v>
      </c>
      <c r="F40" s="146">
        <v>0</v>
      </c>
      <c r="G40" s="146">
        <v>0</v>
      </c>
      <c r="H40" s="146">
        <v>94</v>
      </c>
    </row>
    <row r="41" spans="1:8" ht="15" customHeight="1" x14ac:dyDescent="0.25">
      <c r="A41" s="22">
        <f t="shared" si="1"/>
        <v>45901</v>
      </c>
      <c r="B41" s="141">
        <v>910965</v>
      </c>
      <c r="C41" s="141">
        <v>10818</v>
      </c>
      <c r="D41" s="142">
        <v>1.19</v>
      </c>
      <c r="E41" s="146">
        <v>0</v>
      </c>
      <c r="F41" s="146">
        <v>0</v>
      </c>
      <c r="G41" s="146">
        <v>0</v>
      </c>
      <c r="H41" s="146">
        <v>102</v>
      </c>
    </row>
    <row r="42" spans="1:8" ht="15" customHeight="1" x14ac:dyDescent="0.25">
      <c r="A42" s="22">
        <f t="shared" si="1"/>
        <v>45931</v>
      </c>
      <c r="B42" s="141">
        <v>788004</v>
      </c>
      <c r="C42" s="141">
        <v>759</v>
      </c>
      <c r="D42" s="142">
        <v>0.1</v>
      </c>
      <c r="E42" s="146">
        <v>0</v>
      </c>
      <c r="F42" s="146">
        <v>0</v>
      </c>
      <c r="G42" s="146">
        <v>0</v>
      </c>
      <c r="H42" s="146">
        <v>99</v>
      </c>
    </row>
    <row r="43" spans="1:8" ht="15" customHeight="1" x14ac:dyDescent="0.25">
      <c r="A43" s="22">
        <f t="shared" si="1"/>
        <v>45962</v>
      </c>
      <c r="B43" s="141">
        <v>816265</v>
      </c>
      <c r="C43" s="141">
        <v>1961</v>
      </c>
      <c r="D43" s="142">
        <v>0.24</v>
      </c>
      <c r="E43" s="146">
        <v>0</v>
      </c>
      <c r="F43" s="146">
        <v>0</v>
      </c>
      <c r="G43" s="146">
        <v>0</v>
      </c>
      <c r="H43" s="146">
        <v>104</v>
      </c>
    </row>
    <row r="44" spans="1:8" ht="15" customHeight="1" x14ac:dyDescent="0.25">
      <c r="A44" s="22">
        <f t="shared" si="1"/>
        <v>45992</v>
      </c>
      <c r="B44" s="141">
        <v>733796</v>
      </c>
      <c r="C44" s="141">
        <v>29</v>
      </c>
      <c r="D44" s="142">
        <v>0</v>
      </c>
      <c r="E44" s="146">
        <v>0</v>
      </c>
      <c r="F44" s="146">
        <v>0</v>
      </c>
      <c r="G44" s="146">
        <v>0</v>
      </c>
      <c r="H44" s="146">
        <v>96</v>
      </c>
    </row>
    <row r="45" spans="1:8" ht="15" customHeight="1" x14ac:dyDescent="0.25">
      <c r="A45" s="22"/>
      <c r="B45" s="141"/>
      <c r="C45" s="141"/>
      <c r="D45" s="142"/>
      <c r="E45" s="146"/>
      <c r="F45" s="146"/>
      <c r="G45" s="146"/>
      <c r="H45" s="146"/>
    </row>
    <row r="46" spans="1:8" ht="15" customHeight="1" x14ac:dyDescent="0.25">
      <c r="A46" s="21">
        <f>DATE(YEAR(A44),MONTH(A44)+1,1)</f>
        <v>46023</v>
      </c>
      <c r="B46" s="141">
        <v>879664</v>
      </c>
      <c r="C46" s="141">
        <v>0</v>
      </c>
      <c r="D46" s="142">
        <v>0</v>
      </c>
      <c r="E46" s="146">
        <v>0</v>
      </c>
      <c r="F46" s="146">
        <v>0</v>
      </c>
      <c r="G46" s="146">
        <v>0</v>
      </c>
      <c r="H46" s="146">
        <v>98</v>
      </c>
    </row>
    <row r="47" spans="1:8" ht="15" customHeight="1" x14ac:dyDescent="0.25">
      <c r="A47" s="22">
        <f t="shared" ref="A47:A48" si="2">DATE(YEAR(A46),MONTH(A46)+1,1)</f>
        <v>46054</v>
      </c>
      <c r="B47" s="141">
        <v>910566</v>
      </c>
      <c r="C47" s="141">
        <v>554</v>
      </c>
      <c r="D47" s="142">
        <v>0.06</v>
      </c>
      <c r="E47" s="146">
        <v>0</v>
      </c>
      <c r="F47" s="146">
        <v>1</v>
      </c>
      <c r="G47" s="146">
        <v>1</v>
      </c>
      <c r="H47" s="146">
        <v>78</v>
      </c>
    </row>
    <row r="48" spans="1:8" ht="15" customHeight="1" x14ac:dyDescent="0.25">
      <c r="A48" s="22">
        <f t="shared" si="2"/>
        <v>46082</v>
      </c>
      <c r="B48" s="141">
        <v>583785</v>
      </c>
      <c r="C48" s="141">
        <v>2167</v>
      </c>
      <c r="D48" s="142">
        <v>0.37</v>
      </c>
      <c r="E48" s="146">
        <v>2</v>
      </c>
      <c r="F48" s="146">
        <v>1</v>
      </c>
      <c r="G48" s="146">
        <v>1</v>
      </c>
      <c r="H48" s="146">
        <v>98</v>
      </c>
    </row>
    <row r="49" spans="1:10" ht="5.25" customHeight="1" x14ac:dyDescent="0.25">
      <c r="A49" s="147"/>
      <c r="B49" s="148"/>
      <c r="C49" s="148"/>
      <c r="D49" s="149"/>
      <c r="E49" s="150"/>
      <c r="F49" s="151"/>
      <c r="G49" s="151"/>
      <c r="H49" s="151"/>
    </row>
    <row r="50" spans="1:10" ht="16.5" x14ac:dyDescent="0.25">
      <c r="A50" t="s">
        <v>216</v>
      </c>
      <c r="B50" s="152"/>
      <c r="C50" s="152"/>
      <c r="D50" s="152"/>
    </row>
    <row r="51" spans="1:10" ht="16.5" x14ac:dyDescent="0.25">
      <c r="A51" t="s">
        <v>217</v>
      </c>
      <c r="B51"/>
      <c r="C51" s="153"/>
      <c r="D51" s="152"/>
    </row>
    <row r="52" spans="1:10" x14ac:dyDescent="0.25">
      <c r="A52" s="154"/>
    </row>
    <row r="53" spans="1:10" x14ac:dyDescent="0.25">
      <c r="B53" s="155"/>
      <c r="C53" s="156"/>
      <c r="D53" s="157"/>
      <c r="E53" s="155"/>
      <c r="F53" s="155"/>
      <c r="G53" s="155"/>
      <c r="H53" s="155"/>
    </row>
    <row r="54" spans="1:10" x14ac:dyDescent="0.25">
      <c r="C54" s="156"/>
      <c r="D54" s="158"/>
      <c r="G54" s="159"/>
    </row>
    <row r="55" spans="1:10" x14ac:dyDescent="0.25">
      <c r="C55" s="156"/>
      <c r="G55" s="159"/>
    </row>
    <row r="56" spans="1:10" x14ac:dyDescent="0.25">
      <c r="G56" s="159"/>
    </row>
    <row r="57" spans="1:10" x14ac:dyDescent="0.25">
      <c r="G57" s="159"/>
    </row>
    <row r="58" spans="1:10" x14ac:dyDescent="0.25">
      <c r="B58" s="160"/>
      <c r="C58" s="160"/>
      <c r="G58" s="159"/>
    </row>
    <row r="59" spans="1:10" x14ac:dyDescent="0.25">
      <c r="G59" s="159"/>
    </row>
    <row r="60" spans="1:10" x14ac:dyDescent="0.25">
      <c r="J60" s="155"/>
    </row>
  </sheetData>
  <mergeCells count="7">
    <mergeCell ref="A1:H1"/>
    <mergeCell ref="A3:A4"/>
    <mergeCell ref="B3:B4"/>
    <mergeCell ref="C3:C4"/>
    <mergeCell ref="D3:D4"/>
    <mergeCell ref="E3:E4"/>
    <mergeCell ref="H3:H4"/>
  </mergeCells>
  <phoneticPr fontId="4" type="noConversion"/>
  <pageMargins left="0.75" right="0.75" top="1" bottom="1" header="0.5" footer="0.5"/>
  <pageSetup paperSize="9" scale="86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0C2D5-8294-4D49-9874-C3CC00ADBD3D}">
  <dimension ref="A1:P54"/>
  <sheetViews>
    <sheetView view="pageBreakPreview" zoomScale="160" zoomScaleNormal="100" zoomScaleSheetLayoutView="160" workbookViewId="0">
      <selection activeCell="A2" sqref="A2"/>
    </sheetView>
  </sheetViews>
  <sheetFormatPr defaultRowHeight="13.5" x14ac:dyDescent="0.25"/>
  <cols>
    <col min="1" max="1" width="9.75" style="128" customWidth="1"/>
    <col min="2" max="2" width="7" style="128" customWidth="1"/>
    <col min="3" max="7" width="10.75" style="128" customWidth="1"/>
    <col min="8" max="8" width="9" style="128"/>
    <col min="9" max="9" width="9.375" style="128" customWidth="1"/>
    <col min="10" max="10" width="10.25" style="128" customWidth="1"/>
    <col min="11" max="11" width="9.75" style="128" bestFit="1" customWidth="1"/>
    <col min="12" max="252" width="9" style="128"/>
    <col min="253" max="253" width="8.125" style="128" customWidth="1"/>
    <col min="254" max="254" width="13" style="128" bestFit="1" customWidth="1"/>
    <col min="255" max="255" width="8.875" style="128" customWidth="1"/>
    <col min="256" max="256" width="7.375" style="128" customWidth="1"/>
    <col min="257" max="257" width="8.375" style="128" customWidth="1"/>
    <col min="258" max="258" width="9.25" style="128" customWidth="1"/>
    <col min="259" max="259" width="9.375" style="128" customWidth="1"/>
    <col min="260" max="260" width="9.125" style="128" customWidth="1"/>
    <col min="261" max="261" width="8.25" style="128" customWidth="1"/>
    <col min="262" max="262" width="9.5" style="128" customWidth="1"/>
    <col min="263" max="263" width="1.25" style="128" customWidth="1"/>
    <col min="264" max="508" width="9" style="128"/>
    <col min="509" max="509" width="8.125" style="128" customWidth="1"/>
    <col min="510" max="510" width="13" style="128" bestFit="1" customWidth="1"/>
    <col min="511" max="511" width="8.875" style="128" customWidth="1"/>
    <col min="512" max="512" width="7.375" style="128" customWidth="1"/>
    <col min="513" max="513" width="8.375" style="128" customWidth="1"/>
    <col min="514" max="514" width="9.25" style="128" customWidth="1"/>
    <col min="515" max="515" width="9.375" style="128" customWidth="1"/>
    <col min="516" max="516" width="9.125" style="128" customWidth="1"/>
    <col min="517" max="517" width="8.25" style="128" customWidth="1"/>
    <col min="518" max="518" width="9.5" style="128" customWidth="1"/>
    <col min="519" max="519" width="1.25" style="128" customWidth="1"/>
    <col min="520" max="764" width="9" style="128"/>
    <col min="765" max="765" width="8.125" style="128" customWidth="1"/>
    <col min="766" max="766" width="13" style="128" bestFit="1" customWidth="1"/>
    <col min="767" max="767" width="8.875" style="128" customWidth="1"/>
    <col min="768" max="768" width="7.375" style="128" customWidth="1"/>
    <col min="769" max="769" width="8.375" style="128" customWidth="1"/>
    <col min="770" max="770" width="9.25" style="128" customWidth="1"/>
    <col min="771" max="771" width="9.375" style="128" customWidth="1"/>
    <col min="772" max="772" width="9.125" style="128" customWidth="1"/>
    <col min="773" max="773" width="8.25" style="128" customWidth="1"/>
    <col min="774" max="774" width="9.5" style="128" customWidth="1"/>
    <col min="775" max="775" width="1.25" style="128" customWidth="1"/>
    <col min="776" max="1020" width="9" style="128"/>
    <col min="1021" max="1021" width="8.125" style="128" customWidth="1"/>
    <col min="1022" max="1022" width="13" style="128" bestFit="1" customWidth="1"/>
    <col min="1023" max="1023" width="8.875" style="128" customWidth="1"/>
    <col min="1024" max="1024" width="7.375" style="128" customWidth="1"/>
    <col min="1025" max="1025" width="8.375" style="128" customWidth="1"/>
    <col min="1026" max="1026" width="9.25" style="128" customWidth="1"/>
    <col min="1027" max="1027" width="9.375" style="128" customWidth="1"/>
    <col min="1028" max="1028" width="9.125" style="128" customWidth="1"/>
    <col min="1029" max="1029" width="8.25" style="128" customWidth="1"/>
    <col min="1030" max="1030" width="9.5" style="128" customWidth="1"/>
    <col min="1031" max="1031" width="1.25" style="128" customWidth="1"/>
    <col min="1032" max="1276" width="9" style="128"/>
    <col min="1277" max="1277" width="8.125" style="128" customWidth="1"/>
    <col min="1278" max="1278" width="13" style="128" bestFit="1" customWidth="1"/>
    <col min="1279" max="1279" width="8.875" style="128" customWidth="1"/>
    <col min="1280" max="1280" width="7.375" style="128" customWidth="1"/>
    <col min="1281" max="1281" width="8.375" style="128" customWidth="1"/>
    <col min="1282" max="1282" width="9.25" style="128" customWidth="1"/>
    <col min="1283" max="1283" width="9.375" style="128" customWidth="1"/>
    <col min="1284" max="1284" width="9.125" style="128" customWidth="1"/>
    <col min="1285" max="1285" width="8.25" style="128" customWidth="1"/>
    <col min="1286" max="1286" width="9.5" style="128" customWidth="1"/>
    <col min="1287" max="1287" width="1.25" style="128" customWidth="1"/>
    <col min="1288" max="1532" width="9" style="128"/>
    <col min="1533" max="1533" width="8.125" style="128" customWidth="1"/>
    <col min="1534" max="1534" width="13" style="128" bestFit="1" customWidth="1"/>
    <col min="1535" max="1535" width="8.875" style="128" customWidth="1"/>
    <col min="1536" max="1536" width="7.375" style="128" customWidth="1"/>
    <col min="1537" max="1537" width="8.375" style="128" customWidth="1"/>
    <col min="1538" max="1538" width="9.25" style="128" customWidth="1"/>
    <col min="1539" max="1539" width="9.375" style="128" customWidth="1"/>
    <col min="1540" max="1540" width="9.125" style="128" customWidth="1"/>
    <col min="1541" max="1541" width="8.25" style="128" customWidth="1"/>
    <col min="1542" max="1542" width="9.5" style="128" customWidth="1"/>
    <col min="1543" max="1543" width="1.25" style="128" customWidth="1"/>
    <col min="1544" max="1788" width="9" style="128"/>
    <col min="1789" max="1789" width="8.125" style="128" customWidth="1"/>
    <col min="1790" max="1790" width="13" style="128" bestFit="1" customWidth="1"/>
    <col min="1791" max="1791" width="8.875" style="128" customWidth="1"/>
    <col min="1792" max="1792" width="7.375" style="128" customWidth="1"/>
    <col min="1793" max="1793" width="8.375" style="128" customWidth="1"/>
    <col min="1794" max="1794" width="9.25" style="128" customWidth="1"/>
    <col min="1795" max="1795" width="9.375" style="128" customWidth="1"/>
    <col min="1796" max="1796" width="9.125" style="128" customWidth="1"/>
    <col min="1797" max="1797" width="8.25" style="128" customWidth="1"/>
    <col min="1798" max="1798" width="9.5" style="128" customWidth="1"/>
    <col min="1799" max="1799" width="1.25" style="128" customWidth="1"/>
    <col min="1800" max="2044" width="9" style="128"/>
    <col min="2045" max="2045" width="8.125" style="128" customWidth="1"/>
    <col min="2046" max="2046" width="13" style="128" bestFit="1" customWidth="1"/>
    <col min="2047" max="2047" width="8.875" style="128" customWidth="1"/>
    <col min="2048" max="2048" width="7.375" style="128" customWidth="1"/>
    <col min="2049" max="2049" width="8.375" style="128" customWidth="1"/>
    <col min="2050" max="2050" width="9.25" style="128" customWidth="1"/>
    <col min="2051" max="2051" width="9.375" style="128" customWidth="1"/>
    <col min="2052" max="2052" width="9.125" style="128" customWidth="1"/>
    <col min="2053" max="2053" width="8.25" style="128" customWidth="1"/>
    <col min="2054" max="2054" width="9.5" style="128" customWidth="1"/>
    <col min="2055" max="2055" width="1.25" style="128" customWidth="1"/>
    <col min="2056" max="2300" width="9" style="128"/>
    <col min="2301" max="2301" width="8.125" style="128" customWidth="1"/>
    <col min="2302" max="2302" width="13" style="128" bestFit="1" customWidth="1"/>
    <col min="2303" max="2303" width="8.875" style="128" customWidth="1"/>
    <col min="2304" max="2304" width="7.375" style="128" customWidth="1"/>
    <col min="2305" max="2305" width="8.375" style="128" customWidth="1"/>
    <col min="2306" max="2306" width="9.25" style="128" customWidth="1"/>
    <col min="2307" max="2307" width="9.375" style="128" customWidth="1"/>
    <col min="2308" max="2308" width="9.125" style="128" customWidth="1"/>
    <col min="2309" max="2309" width="8.25" style="128" customWidth="1"/>
    <col min="2310" max="2310" width="9.5" style="128" customWidth="1"/>
    <col min="2311" max="2311" width="1.25" style="128" customWidth="1"/>
    <col min="2312" max="2556" width="9" style="128"/>
    <col min="2557" max="2557" width="8.125" style="128" customWidth="1"/>
    <col min="2558" max="2558" width="13" style="128" bestFit="1" customWidth="1"/>
    <col min="2559" max="2559" width="8.875" style="128" customWidth="1"/>
    <col min="2560" max="2560" width="7.375" style="128" customWidth="1"/>
    <col min="2561" max="2561" width="8.375" style="128" customWidth="1"/>
    <col min="2562" max="2562" width="9.25" style="128" customWidth="1"/>
    <col min="2563" max="2563" width="9.375" style="128" customWidth="1"/>
    <col min="2564" max="2564" width="9.125" style="128" customWidth="1"/>
    <col min="2565" max="2565" width="8.25" style="128" customWidth="1"/>
    <col min="2566" max="2566" width="9.5" style="128" customWidth="1"/>
    <col min="2567" max="2567" width="1.25" style="128" customWidth="1"/>
    <col min="2568" max="2812" width="9" style="128"/>
    <col min="2813" max="2813" width="8.125" style="128" customWidth="1"/>
    <col min="2814" max="2814" width="13" style="128" bestFit="1" customWidth="1"/>
    <col min="2815" max="2815" width="8.875" style="128" customWidth="1"/>
    <col min="2816" max="2816" width="7.375" style="128" customWidth="1"/>
    <col min="2817" max="2817" width="8.375" style="128" customWidth="1"/>
    <col min="2818" max="2818" width="9.25" style="128" customWidth="1"/>
    <col min="2819" max="2819" width="9.375" style="128" customWidth="1"/>
    <col min="2820" max="2820" width="9.125" style="128" customWidth="1"/>
    <col min="2821" max="2821" width="8.25" style="128" customWidth="1"/>
    <col min="2822" max="2822" width="9.5" style="128" customWidth="1"/>
    <col min="2823" max="2823" width="1.25" style="128" customWidth="1"/>
    <col min="2824" max="3068" width="9" style="128"/>
    <col min="3069" max="3069" width="8.125" style="128" customWidth="1"/>
    <col min="3070" max="3070" width="13" style="128" bestFit="1" customWidth="1"/>
    <col min="3071" max="3071" width="8.875" style="128" customWidth="1"/>
    <col min="3072" max="3072" width="7.375" style="128" customWidth="1"/>
    <col min="3073" max="3073" width="8.375" style="128" customWidth="1"/>
    <col min="3074" max="3074" width="9.25" style="128" customWidth="1"/>
    <col min="3075" max="3075" width="9.375" style="128" customWidth="1"/>
    <col min="3076" max="3076" width="9.125" style="128" customWidth="1"/>
    <col min="3077" max="3077" width="8.25" style="128" customWidth="1"/>
    <col min="3078" max="3078" width="9.5" style="128" customWidth="1"/>
    <col min="3079" max="3079" width="1.25" style="128" customWidth="1"/>
    <col min="3080" max="3324" width="9" style="128"/>
    <col min="3325" max="3325" width="8.125" style="128" customWidth="1"/>
    <col min="3326" max="3326" width="13" style="128" bestFit="1" customWidth="1"/>
    <col min="3327" max="3327" width="8.875" style="128" customWidth="1"/>
    <col min="3328" max="3328" width="7.375" style="128" customWidth="1"/>
    <col min="3329" max="3329" width="8.375" style="128" customWidth="1"/>
    <col min="3330" max="3330" width="9.25" style="128" customWidth="1"/>
    <col min="3331" max="3331" width="9.375" style="128" customWidth="1"/>
    <col min="3332" max="3332" width="9.125" style="128" customWidth="1"/>
    <col min="3333" max="3333" width="8.25" style="128" customWidth="1"/>
    <col min="3334" max="3334" width="9.5" style="128" customWidth="1"/>
    <col min="3335" max="3335" width="1.25" style="128" customWidth="1"/>
    <col min="3336" max="3580" width="9" style="128"/>
    <col min="3581" max="3581" width="8.125" style="128" customWidth="1"/>
    <col min="3582" max="3582" width="13" style="128" bestFit="1" customWidth="1"/>
    <col min="3583" max="3583" width="8.875" style="128" customWidth="1"/>
    <col min="3584" max="3584" width="7.375" style="128" customWidth="1"/>
    <col min="3585" max="3585" width="8.375" style="128" customWidth="1"/>
    <col min="3586" max="3586" width="9.25" style="128" customWidth="1"/>
    <col min="3587" max="3587" width="9.375" style="128" customWidth="1"/>
    <col min="3588" max="3588" width="9.125" style="128" customWidth="1"/>
    <col min="3589" max="3589" width="8.25" style="128" customWidth="1"/>
    <col min="3590" max="3590" width="9.5" style="128" customWidth="1"/>
    <col min="3591" max="3591" width="1.25" style="128" customWidth="1"/>
    <col min="3592" max="3836" width="9" style="128"/>
    <col min="3837" max="3837" width="8.125" style="128" customWidth="1"/>
    <col min="3838" max="3838" width="13" style="128" bestFit="1" customWidth="1"/>
    <col min="3839" max="3839" width="8.875" style="128" customWidth="1"/>
    <col min="3840" max="3840" width="7.375" style="128" customWidth="1"/>
    <col min="3841" max="3841" width="8.375" style="128" customWidth="1"/>
    <col min="3842" max="3842" width="9.25" style="128" customWidth="1"/>
    <col min="3843" max="3843" width="9.375" style="128" customWidth="1"/>
    <col min="3844" max="3844" width="9.125" style="128" customWidth="1"/>
    <col min="3845" max="3845" width="8.25" style="128" customWidth="1"/>
    <col min="3846" max="3846" width="9.5" style="128" customWidth="1"/>
    <col min="3847" max="3847" width="1.25" style="128" customWidth="1"/>
    <col min="3848" max="4092" width="9" style="128"/>
    <col min="4093" max="4093" width="8.125" style="128" customWidth="1"/>
    <col min="4094" max="4094" width="13" style="128" bestFit="1" customWidth="1"/>
    <col min="4095" max="4095" width="8.875" style="128" customWidth="1"/>
    <col min="4096" max="4096" width="7.375" style="128" customWidth="1"/>
    <col min="4097" max="4097" width="8.375" style="128" customWidth="1"/>
    <col min="4098" max="4098" width="9.25" style="128" customWidth="1"/>
    <col min="4099" max="4099" width="9.375" style="128" customWidth="1"/>
    <col min="4100" max="4100" width="9.125" style="128" customWidth="1"/>
    <col min="4101" max="4101" width="8.25" style="128" customWidth="1"/>
    <col min="4102" max="4102" width="9.5" style="128" customWidth="1"/>
    <col min="4103" max="4103" width="1.25" style="128" customWidth="1"/>
    <col min="4104" max="4348" width="9" style="128"/>
    <col min="4349" max="4349" width="8.125" style="128" customWidth="1"/>
    <col min="4350" max="4350" width="13" style="128" bestFit="1" customWidth="1"/>
    <col min="4351" max="4351" width="8.875" style="128" customWidth="1"/>
    <col min="4352" max="4352" width="7.375" style="128" customWidth="1"/>
    <col min="4353" max="4353" width="8.375" style="128" customWidth="1"/>
    <col min="4354" max="4354" width="9.25" style="128" customWidth="1"/>
    <col min="4355" max="4355" width="9.375" style="128" customWidth="1"/>
    <col min="4356" max="4356" width="9.125" style="128" customWidth="1"/>
    <col min="4357" max="4357" width="8.25" style="128" customWidth="1"/>
    <col min="4358" max="4358" width="9.5" style="128" customWidth="1"/>
    <col min="4359" max="4359" width="1.25" style="128" customWidth="1"/>
    <col min="4360" max="4604" width="9" style="128"/>
    <col min="4605" max="4605" width="8.125" style="128" customWidth="1"/>
    <col min="4606" max="4606" width="13" style="128" bestFit="1" customWidth="1"/>
    <col min="4607" max="4607" width="8.875" style="128" customWidth="1"/>
    <col min="4608" max="4608" width="7.375" style="128" customWidth="1"/>
    <col min="4609" max="4609" width="8.375" style="128" customWidth="1"/>
    <col min="4610" max="4610" width="9.25" style="128" customWidth="1"/>
    <col min="4611" max="4611" width="9.375" style="128" customWidth="1"/>
    <col min="4612" max="4612" width="9.125" style="128" customWidth="1"/>
    <col min="4613" max="4613" width="8.25" style="128" customWidth="1"/>
    <col min="4614" max="4614" width="9.5" style="128" customWidth="1"/>
    <col min="4615" max="4615" width="1.25" style="128" customWidth="1"/>
    <col min="4616" max="4860" width="9" style="128"/>
    <col min="4861" max="4861" width="8.125" style="128" customWidth="1"/>
    <col min="4862" max="4862" width="13" style="128" bestFit="1" customWidth="1"/>
    <col min="4863" max="4863" width="8.875" style="128" customWidth="1"/>
    <col min="4864" max="4864" width="7.375" style="128" customWidth="1"/>
    <col min="4865" max="4865" width="8.375" style="128" customWidth="1"/>
    <col min="4866" max="4866" width="9.25" style="128" customWidth="1"/>
    <col min="4867" max="4867" width="9.375" style="128" customWidth="1"/>
    <col min="4868" max="4868" width="9.125" style="128" customWidth="1"/>
    <col min="4869" max="4869" width="8.25" style="128" customWidth="1"/>
    <col min="4870" max="4870" width="9.5" style="128" customWidth="1"/>
    <col min="4871" max="4871" width="1.25" style="128" customWidth="1"/>
    <col min="4872" max="5116" width="9" style="128"/>
    <col min="5117" max="5117" width="8.125" style="128" customWidth="1"/>
    <col min="5118" max="5118" width="13" style="128" bestFit="1" customWidth="1"/>
    <col min="5119" max="5119" width="8.875" style="128" customWidth="1"/>
    <col min="5120" max="5120" width="7.375" style="128" customWidth="1"/>
    <col min="5121" max="5121" width="8.375" style="128" customWidth="1"/>
    <col min="5122" max="5122" width="9.25" style="128" customWidth="1"/>
    <col min="5123" max="5123" width="9.375" style="128" customWidth="1"/>
    <col min="5124" max="5124" width="9.125" style="128" customWidth="1"/>
    <col min="5125" max="5125" width="8.25" style="128" customWidth="1"/>
    <col min="5126" max="5126" width="9.5" style="128" customWidth="1"/>
    <col min="5127" max="5127" width="1.25" style="128" customWidth="1"/>
    <col min="5128" max="5372" width="9" style="128"/>
    <col min="5373" max="5373" width="8.125" style="128" customWidth="1"/>
    <col min="5374" max="5374" width="13" style="128" bestFit="1" customWidth="1"/>
    <col min="5375" max="5375" width="8.875" style="128" customWidth="1"/>
    <col min="5376" max="5376" width="7.375" style="128" customWidth="1"/>
    <col min="5377" max="5377" width="8.375" style="128" customWidth="1"/>
    <col min="5378" max="5378" width="9.25" style="128" customWidth="1"/>
    <col min="5379" max="5379" width="9.375" style="128" customWidth="1"/>
    <col min="5380" max="5380" width="9.125" style="128" customWidth="1"/>
    <col min="5381" max="5381" width="8.25" style="128" customWidth="1"/>
    <col min="5382" max="5382" width="9.5" style="128" customWidth="1"/>
    <col min="5383" max="5383" width="1.25" style="128" customWidth="1"/>
    <col min="5384" max="5628" width="9" style="128"/>
    <col min="5629" max="5629" width="8.125" style="128" customWidth="1"/>
    <col min="5630" max="5630" width="13" style="128" bestFit="1" customWidth="1"/>
    <col min="5631" max="5631" width="8.875" style="128" customWidth="1"/>
    <col min="5632" max="5632" width="7.375" style="128" customWidth="1"/>
    <col min="5633" max="5633" width="8.375" style="128" customWidth="1"/>
    <col min="5634" max="5634" width="9.25" style="128" customWidth="1"/>
    <col min="5635" max="5635" width="9.375" style="128" customWidth="1"/>
    <col min="5636" max="5636" width="9.125" style="128" customWidth="1"/>
    <col min="5637" max="5637" width="8.25" style="128" customWidth="1"/>
    <col min="5638" max="5638" width="9.5" style="128" customWidth="1"/>
    <col min="5639" max="5639" width="1.25" style="128" customWidth="1"/>
    <col min="5640" max="5884" width="9" style="128"/>
    <col min="5885" max="5885" width="8.125" style="128" customWidth="1"/>
    <col min="5886" max="5886" width="13" style="128" bestFit="1" customWidth="1"/>
    <col min="5887" max="5887" width="8.875" style="128" customWidth="1"/>
    <col min="5888" max="5888" width="7.375" style="128" customWidth="1"/>
    <col min="5889" max="5889" width="8.375" style="128" customWidth="1"/>
    <col min="5890" max="5890" width="9.25" style="128" customWidth="1"/>
    <col min="5891" max="5891" width="9.375" style="128" customWidth="1"/>
    <col min="5892" max="5892" width="9.125" style="128" customWidth="1"/>
    <col min="5893" max="5893" width="8.25" style="128" customWidth="1"/>
    <col min="5894" max="5894" width="9.5" style="128" customWidth="1"/>
    <col min="5895" max="5895" width="1.25" style="128" customWidth="1"/>
    <col min="5896" max="6140" width="9" style="128"/>
    <col min="6141" max="6141" width="8.125" style="128" customWidth="1"/>
    <col min="6142" max="6142" width="13" style="128" bestFit="1" customWidth="1"/>
    <col min="6143" max="6143" width="8.875" style="128" customWidth="1"/>
    <col min="6144" max="6144" width="7.375" style="128" customWidth="1"/>
    <col min="6145" max="6145" width="8.375" style="128" customWidth="1"/>
    <col min="6146" max="6146" width="9.25" style="128" customWidth="1"/>
    <col min="6147" max="6147" width="9.375" style="128" customWidth="1"/>
    <col min="6148" max="6148" width="9.125" style="128" customWidth="1"/>
    <col min="6149" max="6149" width="8.25" style="128" customWidth="1"/>
    <col min="6150" max="6150" width="9.5" style="128" customWidth="1"/>
    <col min="6151" max="6151" width="1.25" style="128" customWidth="1"/>
    <col min="6152" max="6396" width="9" style="128"/>
    <col min="6397" max="6397" width="8.125" style="128" customWidth="1"/>
    <col min="6398" max="6398" width="13" style="128" bestFit="1" customWidth="1"/>
    <col min="6399" max="6399" width="8.875" style="128" customWidth="1"/>
    <col min="6400" max="6400" width="7.375" style="128" customWidth="1"/>
    <col min="6401" max="6401" width="8.375" style="128" customWidth="1"/>
    <col min="6402" max="6402" width="9.25" style="128" customWidth="1"/>
    <col min="6403" max="6403" width="9.375" style="128" customWidth="1"/>
    <col min="6404" max="6404" width="9.125" style="128" customWidth="1"/>
    <col min="6405" max="6405" width="8.25" style="128" customWidth="1"/>
    <col min="6406" max="6406" width="9.5" style="128" customWidth="1"/>
    <col min="6407" max="6407" width="1.25" style="128" customWidth="1"/>
    <col min="6408" max="6652" width="9" style="128"/>
    <col min="6653" max="6653" width="8.125" style="128" customWidth="1"/>
    <col min="6654" max="6654" width="13" style="128" bestFit="1" customWidth="1"/>
    <col min="6655" max="6655" width="8.875" style="128" customWidth="1"/>
    <col min="6656" max="6656" width="7.375" style="128" customWidth="1"/>
    <col min="6657" max="6657" width="8.375" style="128" customWidth="1"/>
    <col min="6658" max="6658" width="9.25" style="128" customWidth="1"/>
    <col min="6659" max="6659" width="9.375" style="128" customWidth="1"/>
    <col min="6660" max="6660" width="9.125" style="128" customWidth="1"/>
    <col min="6661" max="6661" width="8.25" style="128" customWidth="1"/>
    <col min="6662" max="6662" width="9.5" style="128" customWidth="1"/>
    <col min="6663" max="6663" width="1.25" style="128" customWidth="1"/>
    <col min="6664" max="6908" width="9" style="128"/>
    <col min="6909" max="6909" width="8.125" style="128" customWidth="1"/>
    <col min="6910" max="6910" width="13" style="128" bestFit="1" customWidth="1"/>
    <col min="6911" max="6911" width="8.875" style="128" customWidth="1"/>
    <col min="6912" max="6912" width="7.375" style="128" customWidth="1"/>
    <col min="6913" max="6913" width="8.375" style="128" customWidth="1"/>
    <col min="6914" max="6914" width="9.25" style="128" customWidth="1"/>
    <col min="6915" max="6915" width="9.375" style="128" customWidth="1"/>
    <col min="6916" max="6916" width="9.125" style="128" customWidth="1"/>
    <col min="6917" max="6917" width="8.25" style="128" customWidth="1"/>
    <col min="6918" max="6918" width="9.5" style="128" customWidth="1"/>
    <col min="6919" max="6919" width="1.25" style="128" customWidth="1"/>
    <col min="6920" max="7164" width="9" style="128"/>
    <col min="7165" max="7165" width="8.125" style="128" customWidth="1"/>
    <col min="7166" max="7166" width="13" style="128" bestFit="1" customWidth="1"/>
    <col min="7167" max="7167" width="8.875" style="128" customWidth="1"/>
    <col min="7168" max="7168" width="7.375" style="128" customWidth="1"/>
    <col min="7169" max="7169" width="8.375" style="128" customWidth="1"/>
    <col min="7170" max="7170" width="9.25" style="128" customWidth="1"/>
    <col min="7171" max="7171" width="9.375" style="128" customWidth="1"/>
    <col min="7172" max="7172" width="9.125" style="128" customWidth="1"/>
    <col min="7173" max="7173" width="8.25" style="128" customWidth="1"/>
    <col min="7174" max="7174" width="9.5" style="128" customWidth="1"/>
    <col min="7175" max="7175" width="1.25" style="128" customWidth="1"/>
    <col min="7176" max="7420" width="9" style="128"/>
    <col min="7421" max="7421" width="8.125" style="128" customWidth="1"/>
    <col min="7422" max="7422" width="13" style="128" bestFit="1" customWidth="1"/>
    <col min="7423" max="7423" width="8.875" style="128" customWidth="1"/>
    <col min="7424" max="7424" width="7.375" style="128" customWidth="1"/>
    <col min="7425" max="7425" width="8.375" style="128" customWidth="1"/>
    <col min="7426" max="7426" width="9.25" style="128" customWidth="1"/>
    <col min="7427" max="7427" width="9.375" style="128" customWidth="1"/>
    <col min="7428" max="7428" width="9.125" style="128" customWidth="1"/>
    <col min="7429" max="7429" width="8.25" style="128" customWidth="1"/>
    <col min="7430" max="7430" width="9.5" style="128" customWidth="1"/>
    <col min="7431" max="7431" width="1.25" style="128" customWidth="1"/>
    <col min="7432" max="7676" width="9" style="128"/>
    <col min="7677" max="7677" width="8.125" style="128" customWidth="1"/>
    <col min="7678" max="7678" width="13" style="128" bestFit="1" customWidth="1"/>
    <col min="7679" max="7679" width="8.875" style="128" customWidth="1"/>
    <col min="7680" max="7680" width="7.375" style="128" customWidth="1"/>
    <col min="7681" max="7681" width="8.375" style="128" customWidth="1"/>
    <col min="7682" max="7682" width="9.25" style="128" customWidth="1"/>
    <col min="7683" max="7683" width="9.375" style="128" customWidth="1"/>
    <col min="7684" max="7684" width="9.125" style="128" customWidth="1"/>
    <col min="7685" max="7685" width="8.25" style="128" customWidth="1"/>
    <col min="7686" max="7686" width="9.5" style="128" customWidth="1"/>
    <col min="7687" max="7687" width="1.25" style="128" customWidth="1"/>
    <col min="7688" max="7932" width="9" style="128"/>
    <col min="7933" max="7933" width="8.125" style="128" customWidth="1"/>
    <col min="7934" max="7934" width="13" style="128" bestFit="1" customWidth="1"/>
    <col min="7935" max="7935" width="8.875" style="128" customWidth="1"/>
    <col min="7936" max="7936" width="7.375" style="128" customWidth="1"/>
    <col min="7937" max="7937" width="8.375" style="128" customWidth="1"/>
    <col min="7938" max="7938" width="9.25" style="128" customWidth="1"/>
    <col min="7939" max="7939" width="9.375" style="128" customWidth="1"/>
    <col min="7940" max="7940" width="9.125" style="128" customWidth="1"/>
    <col min="7941" max="7941" width="8.25" style="128" customWidth="1"/>
    <col min="7942" max="7942" width="9.5" style="128" customWidth="1"/>
    <col min="7943" max="7943" width="1.25" style="128" customWidth="1"/>
    <col min="7944" max="8188" width="9" style="128"/>
    <col min="8189" max="8189" width="8.125" style="128" customWidth="1"/>
    <col min="8190" max="8190" width="13" style="128" bestFit="1" customWidth="1"/>
    <col min="8191" max="8191" width="8.875" style="128" customWidth="1"/>
    <col min="8192" max="8192" width="7.375" style="128" customWidth="1"/>
    <col min="8193" max="8193" width="8.375" style="128" customWidth="1"/>
    <col min="8194" max="8194" width="9.25" style="128" customWidth="1"/>
    <col min="8195" max="8195" width="9.375" style="128" customWidth="1"/>
    <col min="8196" max="8196" width="9.125" style="128" customWidth="1"/>
    <col min="8197" max="8197" width="8.25" style="128" customWidth="1"/>
    <col min="8198" max="8198" width="9.5" style="128" customWidth="1"/>
    <col min="8199" max="8199" width="1.25" style="128" customWidth="1"/>
    <col min="8200" max="8444" width="9" style="128"/>
    <col min="8445" max="8445" width="8.125" style="128" customWidth="1"/>
    <col min="8446" max="8446" width="13" style="128" bestFit="1" customWidth="1"/>
    <col min="8447" max="8447" width="8.875" style="128" customWidth="1"/>
    <col min="8448" max="8448" width="7.375" style="128" customWidth="1"/>
    <col min="8449" max="8449" width="8.375" style="128" customWidth="1"/>
    <col min="8450" max="8450" width="9.25" style="128" customWidth="1"/>
    <col min="8451" max="8451" width="9.375" style="128" customWidth="1"/>
    <col min="8452" max="8452" width="9.125" style="128" customWidth="1"/>
    <col min="8453" max="8453" width="8.25" style="128" customWidth="1"/>
    <col min="8454" max="8454" width="9.5" style="128" customWidth="1"/>
    <col min="8455" max="8455" width="1.25" style="128" customWidth="1"/>
    <col min="8456" max="8700" width="9" style="128"/>
    <col min="8701" max="8701" width="8.125" style="128" customWidth="1"/>
    <col min="8702" max="8702" width="13" style="128" bestFit="1" customWidth="1"/>
    <col min="8703" max="8703" width="8.875" style="128" customWidth="1"/>
    <col min="8704" max="8704" width="7.375" style="128" customWidth="1"/>
    <col min="8705" max="8705" width="8.375" style="128" customWidth="1"/>
    <col min="8706" max="8706" width="9.25" style="128" customWidth="1"/>
    <col min="8707" max="8707" width="9.375" style="128" customWidth="1"/>
    <col min="8708" max="8708" width="9.125" style="128" customWidth="1"/>
    <col min="8709" max="8709" width="8.25" style="128" customWidth="1"/>
    <col min="8710" max="8710" width="9.5" style="128" customWidth="1"/>
    <col min="8711" max="8711" width="1.25" style="128" customWidth="1"/>
    <col min="8712" max="8956" width="9" style="128"/>
    <col min="8957" max="8957" width="8.125" style="128" customWidth="1"/>
    <col min="8958" max="8958" width="13" style="128" bestFit="1" customWidth="1"/>
    <col min="8959" max="8959" width="8.875" style="128" customWidth="1"/>
    <col min="8960" max="8960" width="7.375" style="128" customWidth="1"/>
    <col min="8961" max="8961" width="8.375" style="128" customWidth="1"/>
    <col min="8962" max="8962" width="9.25" style="128" customWidth="1"/>
    <col min="8963" max="8963" width="9.375" style="128" customWidth="1"/>
    <col min="8964" max="8964" width="9.125" style="128" customWidth="1"/>
    <col min="8965" max="8965" width="8.25" style="128" customWidth="1"/>
    <col min="8966" max="8966" width="9.5" style="128" customWidth="1"/>
    <col min="8967" max="8967" width="1.25" style="128" customWidth="1"/>
    <col min="8968" max="9212" width="9" style="128"/>
    <col min="9213" max="9213" width="8.125" style="128" customWidth="1"/>
    <col min="9214" max="9214" width="13" style="128" bestFit="1" customWidth="1"/>
    <col min="9215" max="9215" width="8.875" style="128" customWidth="1"/>
    <col min="9216" max="9216" width="7.375" style="128" customWidth="1"/>
    <col min="9217" max="9217" width="8.375" style="128" customWidth="1"/>
    <col min="9218" max="9218" width="9.25" style="128" customWidth="1"/>
    <col min="9219" max="9219" width="9.375" style="128" customWidth="1"/>
    <col min="9220" max="9220" width="9.125" style="128" customWidth="1"/>
    <col min="9221" max="9221" width="8.25" style="128" customWidth="1"/>
    <col min="9222" max="9222" width="9.5" style="128" customWidth="1"/>
    <col min="9223" max="9223" width="1.25" style="128" customWidth="1"/>
    <col min="9224" max="9468" width="9" style="128"/>
    <col min="9469" max="9469" width="8.125" style="128" customWidth="1"/>
    <col min="9470" max="9470" width="13" style="128" bestFit="1" customWidth="1"/>
    <col min="9471" max="9471" width="8.875" style="128" customWidth="1"/>
    <col min="9472" max="9472" width="7.375" style="128" customWidth="1"/>
    <col min="9473" max="9473" width="8.375" style="128" customWidth="1"/>
    <col min="9474" max="9474" width="9.25" style="128" customWidth="1"/>
    <col min="9475" max="9475" width="9.375" style="128" customWidth="1"/>
    <col min="9476" max="9476" width="9.125" style="128" customWidth="1"/>
    <col min="9477" max="9477" width="8.25" style="128" customWidth="1"/>
    <col min="9478" max="9478" width="9.5" style="128" customWidth="1"/>
    <col min="9479" max="9479" width="1.25" style="128" customWidth="1"/>
    <col min="9480" max="9724" width="9" style="128"/>
    <col min="9725" max="9725" width="8.125" style="128" customWidth="1"/>
    <col min="9726" max="9726" width="13" style="128" bestFit="1" customWidth="1"/>
    <col min="9727" max="9727" width="8.875" style="128" customWidth="1"/>
    <col min="9728" max="9728" width="7.375" style="128" customWidth="1"/>
    <col min="9729" max="9729" width="8.375" style="128" customWidth="1"/>
    <col min="9730" max="9730" width="9.25" style="128" customWidth="1"/>
    <col min="9731" max="9731" width="9.375" style="128" customWidth="1"/>
    <col min="9732" max="9732" width="9.125" style="128" customWidth="1"/>
    <col min="9733" max="9733" width="8.25" style="128" customWidth="1"/>
    <col min="9734" max="9734" width="9.5" style="128" customWidth="1"/>
    <col min="9735" max="9735" width="1.25" style="128" customWidth="1"/>
    <col min="9736" max="9980" width="9" style="128"/>
    <col min="9981" max="9981" width="8.125" style="128" customWidth="1"/>
    <col min="9982" max="9982" width="13" style="128" bestFit="1" customWidth="1"/>
    <col min="9983" max="9983" width="8.875" style="128" customWidth="1"/>
    <col min="9984" max="9984" width="7.375" style="128" customWidth="1"/>
    <col min="9985" max="9985" width="8.375" style="128" customWidth="1"/>
    <col min="9986" max="9986" width="9.25" style="128" customWidth="1"/>
    <col min="9987" max="9987" width="9.375" style="128" customWidth="1"/>
    <col min="9988" max="9988" width="9.125" style="128" customWidth="1"/>
    <col min="9989" max="9989" width="8.25" style="128" customWidth="1"/>
    <col min="9990" max="9990" width="9.5" style="128" customWidth="1"/>
    <col min="9991" max="9991" width="1.25" style="128" customWidth="1"/>
    <col min="9992" max="10236" width="9" style="128"/>
    <col min="10237" max="10237" width="8.125" style="128" customWidth="1"/>
    <col min="10238" max="10238" width="13" style="128" bestFit="1" customWidth="1"/>
    <col min="10239" max="10239" width="8.875" style="128" customWidth="1"/>
    <col min="10240" max="10240" width="7.375" style="128" customWidth="1"/>
    <col min="10241" max="10241" width="8.375" style="128" customWidth="1"/>
    <col min="10242" max="10242" width="9.25" style="128" customWidth="1"/>
    <col min="10243" max="10243" width="9.375" style="128" customWidth="1"/>
    <col min="10244" max="10244" width="9.125" style="128" customWidth="1"/>
    <col min="10245" max="10245" width="8.25" style="128" customWidth="1"/>
    <col min="10246" max="10246" width="9.5" style="128" customWidth="1"/>
    <col min="10247" max="10247" width="1.25" style="128" customWidth="1"/>
    <col min="10248" max="10492" width="9" style="128"/>
    <col min="10493" max="10493" width="8.125" style="128" customWidth="1"/>
    <col min="10494" max="10494" width="13" style="128" bestFit="1" customWidth="1"/>
    <col min="10495" max="10495" width="8.875" style="128" customWidth="1"/>
    <col min="10496" max="10496" width="7.375" style="128" customWidth="1"/>
    <col min="10497" max="10497" width="8.375" style="128" customWidth="1"/>
    <col min="10498" max="10498" width="9.25" style="128" customWidth="1"/>
    <col min="10499" max="10499" width="9.375" style="128" customWidth="1"/>
    <col min="10500" max="10500" width="9.125" style="128" customWidth="1"/>
    <col min="10501" max="10501" width="8.25" style="128" customWidth="1"/>
    <col min="10502" max="10502" width="9.5" style="128" customWidth="1"/>
    <col min="10503" max="10503" width="1.25" style="128" customWidth="1"/>
    <col min="10504" max="10748" width="9" style="128"/>
    <col min="10749" max="10749" width="8.125" style="128" customWidth="1"/>
    <col min="10750" max="10750" width="13" style="128" bestFit="1" customWidth="1"/>
    <col min="10751" max="10751" width="8.875" style="128" customWidth="1"/>
    <col min="10752" max="10752" width="7.375" style="128" customWidth="1"/>
    <col min="10753" max="10753" width="8.375" style="128" customWidth="1"/>
    <col min="10754" max="10754" width="9.25" style="128" customWidth="1"/>
    <col min="10755" max="10755" width="9.375" style="128" customWidth="1"/>
    <col min="10756" max="10756" width="9.125" style="128" customWidth="1"/>
    <col min="10757" max="10757" width="8.25" style="128" customWidth="1"/>
    <col min="10758" max="10758" width="9.5" style="128" customWidth="1"/>
    <col min="10759" max="10759" width="1.25" style="128" customWidth="1"/>
    <col min="10760" max="11004" width="9" style="128"/>
    <col min="11005" max="11005" width="8.125" style="128" customWidth="1"/>
    <col min="11006" max="11006" width="13" style="128" bestFit="1" customWidth="1"/>
    <col min="11007" max="11007" width="8.875" style="128" customWidth="1"/>
    <col min="11008" max="11008" width="7.375" style="128" customWidth="1"/>
    <col min="11009" max="11009" width="8.375" style="128" customWidth="1"/>
    <col min="11010" max="11010" width="9.25" style="128" customWidth="1"/>
    <col min="11011" max="11011" width="9.375" style="128" customWidth="1"/>
    <col min="11012" max="11012" width="9.125" style="128" customWidth="1"/>
    <col min="11013" max="11013" width="8.25" style="128" customWidth="1"/>
    <col min="11014" max="11014" width="9.5" style="128" customWidth="1"/>
    <col min="11015" max="11015" width="1.25" style="128" customWidth="1"/>
    <col min="11016" max="11260" width="9" style="128"/>
    <col min="11261" max="11261" width="8.125" style="128" customWidth="1"/>
    <col min="11262" max="11262" width="13" style="128" bestFit="1" customWidth="1"/>
    <col min="11263" max="11263" width="8.875" style="128" customWidth="1"/>
    <col min="11264" max="11264" width="7.375" style="128" customWidth="1"/>
    <col min="11265" max="11265" width="8.375" style="128" customWidth="1"/>
    <col min="11266" max="11266" width="9.25" style="128" customWidth="1"/>
    <col min="11267" max="11267" width="9.375" style="128" customWidth="1"/>
    <col min="11268" max="11268" width="9.125" style="128" customWidth="1"/>
    <col min="11269" max="11269" width="8.25" style="128" customWidth="1"/>
    <col min="11270" max="11270" width="9.5" style="128" customWidth="1"/>
    <col min="11271" max="11271" width="1.25" style="128" customWidth="1"/>
    <col min="11272" max="11516" width="9" style="128"/>
    <col min="11517" max="11517" width="8.125" style="128" customWidth="1"/>
    <col min="11518" max="11518" width="13" style="128" bestFit="1" customWidth="1"/>
    <col min="11519" max="11519" width="8.875" style="128" customWidth="1"/>
    <col min="11520" max="11520" width="7.375" style="128" customWidth="1"/>
    <col min="11521" max="11521" width="8.375" style="128" customWidth="1"/>
    <col min="11522" max="11522" width="9.25" style="128" customWidth="1"/>
    <col min="11523" max="11523" width="9.375" style="128" customWidth="1"/>
    <col min="11524" max="11524" width="9.125" style="128" customWidth="1"/>
    <col min="11525" max="11525" width="8.25" style="128" customWidth="1"/>
    <col min="11526" max="11526" width="9.5" style="128" customWidth="1"/>
    <col min="11527" max="11527" width="1.25" style="128" customWidth="1"/>
    <col min="11528" max="11772" width="9" style="128"/>
    <col min="11773" max="11773" width="8.125" style="128" customWidth="1"/>
    <col min="11774" max="11774" width="13" style="128" bestFit="1" customWidth="1"/>
    <col min="11775" max="11775" width="8.875" style="128" customWidth="1"/>
    <col min="11776" max="11776" width="7.375" style="128" customWidth="1"/>
    <col min="11777" max="11777" width="8.375" style="128" customWidth="1"/>
    <col min="11778" max="11778" width="9.25" style="128" customWidth="1"/>
    <col min="11779" max="11779" width="9.375" style="128" customWidth="1"/>
    <col min="11780" max="11780" width="9.125" style="128" customWidth="1"/>
    <col min="11781" max="11781" width="8.25" style="128" customWidth="1"/>
    <col min="11782" max="11782" width="9.5" style="128" customWidth="1"/>
    <col min="11783" max="11783" width="1.25" style="128" customWidth="1"/>
    <col min="11784" max="12028" width="9" style="128"/>
    <col min="12029" max="12029" width="8.125" style="128" customWidth="1"/>
    <col min="12030" max="12030" width="13" style="128" bestFit="1" customWidth="1"/>
    <col min="12031" max="12031" width="8.875" style="128" customWidth="1"/>
    <col min="12032" max="12032" width="7.375" style="128" customWidth="1"/>
    <col min="12033" max="12033" width="8.375" style="128" customWidth="1"/>
    <col min="12034" max="12034" width="9.25" style="128" customWidth="1"/>
    <col min="12035" max="12035" width="9.375" style="128" customWidth="1"/>
    <col min="12036" max="12036" width="9.125" style="128" customWidth="1"/>
    <col min="12037" max="12037" width="8.25" style="128" customWidth="1"/>
    <col min="12038" max="12038" width="9.5" style="128" customWidth="1"/>
    <col min="12039" max="12039" width="1.25" style="128" customWidth="1"/>
    <col min="12040" max="12284" width="9" style="128"/>
    <col min="12285" max="12285" width="8.125" style="128" customWidth="1"/>
    <col min="12286" max="12286" width="13" style="128" bestFit="1" customWidth="1"/>
    <col min="12287" max="12287" width="8.875" style="128" customWidth="1"/>
    <col min="12288" max="12288" width="7.375" style="128" customWidth="1"/>
    <col min="12289" max="12289" width="8.375" style="128" customWidth="1"/>
    <col min="12290" max="12290" width="9.25" style="128" customWidth="1"/>
    <col min="12291" max="12291" width="9.375" style="128" customWidth="1"/>
    <col min="12292" max="12292" width="9.125" style="128" customWidth="1"/>
    <col min="12293" max="12293" width="8.25" style="128" customWidth="1"/>
    <col min="12294" max="12294" width="9.5" style="128" customWidth="1"/>
    <col min="12295" max="12295" width="1.25" style="128" customWidth="1"/>
    <col min="12296" max="12540" width="9" style="128"/>
    <col min="12541" max="12541" width="8.125" style="128" customWidth="1"/>
    <col min="12542" max="12542" width="13" style="128" bestFit="1" customWidth="1"/>
    <col min="12543" max="12543" width="8.875" style="128" customWidth="1"/>
    <col min="12544" max="12544" width="7.375" style="128" customWidth="1"/>
    <col min="12545" max="12545" width="8.375" style="128" customWidth="1"/>
    <col min="12546" max="12546" width="9.25" style="128" customWidth="1"/>
    <col min="12547" max="12547" width="9.375" style="128" customWidth="1"/>
    <col min="12548" max="12548" width="9.125" style="128" customWidth="1"/>
    <col min="12549" max="12549" width="8.25" style="128" customWidth="1"/>
    <col min="12550" max="12550" width="9.5" style="128" customWidth="1"/>
    <col min="12551" max="12551" width="1.25" style="128" customWidth="1"/>
    <col min="12552" max="12796" width="9" style="128"/>
    <col min="12797" max="12797" width="8.125" style="128" customWidth="1"/>
    <col min="12798" max="12798" width="13" style="128" bestFit="1" customWidth="1"/>
    <col min="12799" max="12799" width="8.875" style="128" customWidth="1"/>
    <col min="12800" max="12800" width="7.375" style="128" customWidth="1"/>
    <col min="12801" max="12801" width="8.375" style="128" customWidth="1"/>
    <col min="12802" max="12802" width="9.25" style="128" customWidth="1"/>
    <col min="12803" max="12803" width="9.375" style="128" customWidth="1"/>
    <col min="12804" max="12804" width="9.125" style="128" customWidth="1"/>
    <col min="12805" max="12805" width="8.25" style="128" customWidth="1"/>
    <col min="12806" max="12806" width="9.5" style="128" customWidth="1"/>
    <col min="12807" max="12807" width="1.25" style="128" customWidth="1"/>
    <col min="12808" max="13052" width="9" style="128"/>
    <col min="13053" max="13053" width="8.125" style="128" customWidth="1"/>
    <col min="13054" max="13054" width="13" style="128" bestFit="1" customWidth="1"/>
    <col min="13055" max="13055" width="8.875" style="128" customWidth="1"/>
    <col min="13056" max="13056" width="7.375" style="128" customWidth="1"/>
    <col min="13057" max="13057" width="8.375" style="128" customWidth="1"/>
    <col min="13058" max="13058" width="9.25" style="128" customWidth="1"/>
    <col min="13059" max="13059" width="9.375" style="128" customWidth="1"/>
    <col min="13060" max="13060" width="9.125" style="128" customWidth="1"/>
    <col min="13061" max="13061" width="8.25" style="128" customWidth="1"/>
    <col min="13062" max="13062" width="9.5" style="128" customWidth="1"/>
    <col min="13063" max="13063" width="1.25" style="128" customWidth="1"/>
    <col min="13064" max="13308" width="9" style="128"/>
    <col min="13309" max="13309" width="8.125" style="128" customWidth="1"/>
    <col min="13310" max="13310" width="13" style="128" bestFit="1" customWidth="1"/>
    <col min="13311" max="13311" width="8.875" style="128" customWidth="1"/>
    <col min="13312" max="13312" width="7.375" style="128" customWidth="1"/>
    <col min="13313" max="13313" width="8.375" style="128" customWidth="1"/>
    <col min="13314" max="13314" width="9.25" style="128" customWidth="1"/>
    <col min="13315" max="13315" width="9.375" style="128" customWidth="1"/>
    <col min="13316" max="13316" width="9.125" style="128" customWidth="1"/>
    <col min="13317" max="13317" width="8.25" style="128" customWidth="1"/>
    <col min="13318" max="13318" width="9.5" style="128" customWidth="1"/>
    <col min="13319" max="13319" width="1.25" style="128" customWidth="1"/>
    <col min="13320" max="13564" width="9" style="128"/>
    <col min="13565" max="13565" width="8.125" style="128" customWidth="1"/>
    <col min="13566" max="13566" width="13" style="128" bestFit="1" customWidth="1"/>
    <col min="13567" max="13567" width="8.875" style="128" customWidth="1"/>
    <col min="13568" max="13568" width="7.375" style="128" customWidth="1"/>
    <col min="13569" max="13569" width="8.375" style="128" customWidth="1"/>
    <col min="13570" max="13570" width="9.25" style="128" customWidth="1"/>
    <col min="13571" max="13571" width="9.375" style="128" customWidth="1"/>
    <col min="13572" max="13572" width="9.125" style="128" customWidth="1"/>
    <col min="13573" max="13573" width="8.25" style="128" customWidth="1"/>
    <col min="13574" max="13574" width="9.5" style="128" customWidth="1"/>
    <col min="13575" max="13575" width="1.25" style="128" customWidth="1"/>
    <col min="13576" max="13820" width="9" style="128"/>
    <col min="13821" max="13821" width="8.125" style="128" customWidth="1"/>
    <col min="13822" max="13822" width="13" style="128" bestFit="1" customWidth="1"/>
    <col min="13823" max="13823" width="8.875" style="128" customWidth="1"/>
    <col min="13824" max="13824" width="7.375" style="128" customWidth="1"/>
    <col min="13825" max="13825" width="8.375" style="128" customWidth="1"/>
    <col min="13826" max="13826" width="9.25" style="128" customWidth="1"/>
    <col min="13827" max="13827" width="9.375" style="128" customWidth="1"/>
    <col min="13828" max="13828" width="9.125" style="128" customWidth="1"/>
    <col min="13829" max="13829" width="8.25" style="128" customWidth="1"/>
    <col min="13830" max="13830" width="9.5" style="128" customWidth="1"/>
    <col min="13831" max="13831" width="1.25" style="128" customWidth="1"/>
    <col min="13832" max="14076" width="9" style="128"/>
    <col min="14077" max="14077" width="8.125" style="128" customWidth="1"/>
    <col min="14078" max="14078" width="13" style="128" bestFit="1" customWidth="1"/>
    <col min="14079" max="14079" width="8.875" style="128" customWidth="1"/>
    <col min="14080" max="14080" width="7.375" style="128" customWidth="1"/>
    <col min="14081" max="14081" width="8.375" style="128" customWidth="1"/>
    <col min="14082" max="14082" width="9.25" style="128" customWidth="1"/>
    <col min="14083" max="14083" width="9.375" style="128" customWidth="1"/>
    <col min="14084" max="14084" width="9.125" style="128" customWidth="1"/>
    <col min="14085" max="14085" width="8.25" style="128" customWidth="1"/>
    <col min="14086" max="14086" width="9.5" style="128" customWidth="1"/>
    <col min="14087" max="14087" width="1.25" style="128" customWidth="1"/>
    <col min="14088" max="14332" width="9" style="128"/>
    <col min="14333" max="14333" width="8.125" style="128" customWidth="1"/>
    <col min="14334" max="14334" width="13" style="128" bestFit="1" customWidth="1"/>
    <col min="14335" max="14335" width="8.875" style="128" customWidth="1"/>
    <col min="14336" max="14336" width="7.375" style="128" customWidth="1"/>
    <col min="14337" max="14337" width="8.375" style="128" customWidth="1"/>
    <col min="14338" max="14338" width="9.25" style="128" customWidth="1"/>
    <col min="14339" max="14339" width="9.375" style="128" customWidth="1"/>
    <col min="14340" max="14340" width="9.125" style="128" customWidth="1"/>
    <col min="14341" max="14341" width="8.25" style="128" customWidth="1"/>
    <col min="14342" max="14342" width="9.5" style="128" customWidth="1"/>
    <col min="14343" max="14343" width="1.25" style="128" customWidth="1"/>
    <col min="14344" max="14588" width="9" style="128"/>
    <col min="14589" max="14589" width="8.125" style="128" customWidth="1"/>
    <col min="14590" max="14590" width="13" style="128" bestFit="1" customWidth="1"/>
    <col min="14591" max="14591" width="8.875" style="128" customWidth="1"/>
    <col min="14592" max="14592" width="7.375" style="128" customWidth="1"/>
    <col min="14593" max="14593" width="8.375" style="128" customWidth="1"/>
    <col min="14594" max="14594" width="9.25" style="128" customWidth="1"/>
    <col min="14595" max="14595" width="9.375" style="128" customWidth="1"/>
    <col min="14596" max="14596" width="9.125" style="128" customWidth="1"/>
    <col min="14597" max="14597" width="8.25" style="128" customWidth="1"/>
    <col min="14598" max="14598" width="9.5" style="128" customWidth="1"/>
    <col min="14599" max="14599" width="1.25" style="128" customWidth="1"/>
    <col min="14600" max="14844" width="9" style="128"/>
    <col min="14845" max="14845" width="8.125" style="128" customWidth="1"/>
    <col min="14846" max="14846" width="13" style="128" bestFit="1" customWidth="1"/>
    <col min="14847" max="14847" width="8.875" style="128" customWidth="1"/>
    <col min="14848" max="14848" width="7.375" style="128" customWidth="1"/>
    <col min="14849" max="14849" width="8.375" style="128" customWidth="1"/>
    <col min="14850" max="14850" width="9.25" style="128" customWidth="1"/>
    <col min="14851" max="14851" width="9.375" style="128" customWidth="1"/>
    <col min="14852" max="14852" width="9.125" style="128" customWidth="1"/>
    <col min="14853" max="14853" width="8.25" style="128" customWidth="1"/>
    <col min="14854" max="14854" width="9.5" style="128" customWidth="1"/>
    <col min="14855" max="14855" width="1.25" style="128" customWidth="1"/>
    <col min="14856" max="15100" width="9" style="128"/>
    <col min="15101" max="15101" width="8.125" style="128" customWidth="1"/>
    <col min="15102" max="15102" width="13" style="128" bestFit="1" customWidth="1"/>
    <col min="15103" max="15103" width="8.875" style="128" customWidth="1"/>
    <col min="15104" max="15104" width="7.375" style="128" customWidth="1"/>
    <col min="15105" max="15105" width="8.375" style="128" customWidth="1"/>
    <col min="15106" max="15106" width="9.25" style="128" customWidth="1"/>
    <col min="15107" max="15107" width="9.375" style="128" customWidth="1"/>
    <col min="15108" max="15108" width="9.125" style="128" customWidth="1"/>
    <col min="15109" max="15109" width="8.25" style="128" customWidth="1"/>
    <col min="15110" max="15110" width="9.5" style="128" customWidth="1"/>
    <col min="15111" max="15111" width="1.25" style="128" customWidth="1"/>
    <col min="15112" max="15356" width="9" style="128"/>
    <col min="15357" max="15357" width="8.125" style="128" customWidth="1"/>
    <col min="15358" max="15358" width="13" style="128" bestFit="1" customWidth="1"/>
    <col min="15359" max="15359" width="8.875" style="128" customWidth="1"/>
    <col min="15360" max="15360" width="7.375" style="128" customWidth="1"/>
    <col min="15361" max="15361" width="8.375" style="128" customWidth="1"/>
    <col min="15362" max="15362" width="9.25" style="128" customWidth="1"/>
    <col min="15363" max="15363" width="9.375" style="128" customWidth="1"/>
    <col min="15364" max="15364" width="9.125" style="128" customWidth="1"/>
    <col min="15365" max="15365" width="8.25" style="128" customWidth="1"/>
    <col min="15366" max="15366" width="9.5" style="128" customWidth="1"/>
    <col min="15367" max="15367" width="1.25" style="128" customWidth="1"/>
    <col min="15368" max="15612" width="9" style="128"/>
    <col min="15613" max="15613" width="8.125" style="128" customWidth="1"/>
    <col min="15614" max="15614" width="13" style="128" bestFit="1" customWidth="1"/>
    <col min="15615" max="15615" width="8.875" style="128" customWidth="1"/>
    <col min="15616" max="15616" width="7.375" style="128" customWidth="1"/>
    <col min="15617" max="15617" width="8.375" style="128" customWidth="1"/>
    <col min="15618" max="15618" width="9.25" style="128" customWidth="1"/>
    <col min="15619" max="15619" width="9.375" style="128" customWidth="1"/>
    <col min="15620" max="15620" width="9.125" style="128" customWidth="1"/>
    <col min="15621" max="15621" width="8.25" style="128" customWidth="1"/>
    <col min="15622" max="15622" width="9.5" style="128" customWidth="1"/>
    <col min="15623" max="15623" width="1.25" style="128" customWidth="1"/>
    <col min="15624" max="15868" width="9" style="128"/>
    <col min="15869" max="15869" width="8.125" style="128" customWidth="1"/>
    <col min="15870" max="15870" width="13" style="128" bestFit="1" customWidth="1"/>
    <col min="15871" max="15871" width="8.875" style="128" customWidth="1"/>
    <col min="15872" max="15872" width="7.375" style="128" customWidth="1"/>
    <col min="15873" max="15873" width="8.375" style="128" customWidth="1"/>
    <col min="15874" max="15874" width="9.25" style="128" customWidth="1"/>
    <col min="15875" max="15875" width="9.375" style="128" customWidth="1"/>
    <col min="15876" max="15876" width="9.125" style="128" customWidth="1"/>
    <col min="15877" max="15877" width="8.25" style="128" customWidth="1"/>
    <col min="15878" max="15878" width="9.5" style="128" customWidth="1"/>
    <col min="15879" max="15879" width="1.25" style="128" customWidth="1"/>
    <col min="15880" max="16124" width="9" style="128"/>
    <col min="16125" max="16125" width="8.125" style="128" customWidth="1"/>
    <col min="16126" max="16126" width="13" style="128" bestFit="1" customWidth="1"/>
    <col min="16127" max="16127" width="8.875" style="128" customWidth="1"/>
    <col min="16128" max="16128" width="7.375" style="128" customWidth="1"/>
    <col min="16129" max="16129" width="8.375" style="128" customWidth="1"/>
    <col min="16130" max="16130" width="9.25" style="128" customWidth="1"/>
    <col min="16131" max="16131" width="9.375" style="128" customWidth="1"/>
    <col min="16132" max="16132" width="9.125" style="128" customWidth="1"/>
    <col min="16133" max="16133" width="8.25" style="128" customWidth="1"/>
    <col min="16134" max="16134" width="9.5" style="128" customWidth="1"/>
    <col min="16135" max="16135" width="1.25" style="128" customWidth="1"/>
    <col min="16136" max="16384" width="9" style="128"/>
  </cols>
  <sheetData>
    <row r="1" spans="1:11" ht="19.5" x14ac:dyDescent="0.25">
      <c r="A1" s="354" t="s">
        <v>218</v>
      </c>
      <c r="B1" s="354"/>
      <c r="C1" s="354"/>
      <c r="D1" s="354"/>
      <c r="E1" s="354"/>
      <c r="F1" s="354"/>
      <c r="G1" s="354"/>
    </row>
    <row r="2" spans="1:11" ht="7.5" customHeight="1" x14ac:dyDescent="0.3">
      <c r="A2" s="161"/>
      <c r="B2" s="162"/>
      <c r="C2" s="162"/>
      <c r="D2" s="162"/>
      <c r="E2" s="162"/>
      <c r="F2" s="162"/>
      <c r="G2" s="162"/>
    </row>
    <row r="3" spans="1:11" ht="16.5" customHeight="1" x14ac:dyDescent="0.3">
      <c r="A3" s="425" t="s">
        <v>219</v>
      </c>
      <c r="B3" s="425"/>
      <c r="C3" s="425"/>
      <c r="D3" s="425"/>
      <c r="E3" s="425"/>
      <c r="F3" s="425"/>
      <c r="G3" s="425"/>
    </row>
    <row r="4" spans="1:11" x14ac:dyDescent="0.25">
      <c r="A4" s="130" t="s">
        <v>206</v>
      </c>
      <c r="B4" s="130"/>
      <c r="C4" s="130"/>
      <c r="D4" s="130"/>
      <c r="E4" s="130"/>
      <c r="F4" s="130"/>
      <c r="G4" s="131" t="s">
        <v>220</v>
      </c>
    </row>
    <row r="5" spans="1:11" ht="15.95" customHeight="1" x14ac:dyDescent="0.25">
      <c r="A5" s="426" t="s">
        <v>221</v>
      </c>
      <c r="B5" s="429" t="s">
        <v>222</v>
      </c>
      <c r="C5" s="430"/>
      <c r="D5" s="429" t="s">
        <v>223</v>
      </c>
      <c r="E5" s="430"/>
      <c r="F5" s="429" t="s">
        <v>224</v>
      </c>
      <c r="G5" s="430"/>
    </row>
    <row r="6" spans="1:11" x14ac:dyDescent="0.25">
      <c r="A6" s="427"/>
      <c r="B6" s="426" t="s">
        <v>225</v>
      </c>
      <c r="C6" s="163" t="s">
        <v>226</v>
      </c>
      <c r="D6" s="426" t="s">
        <v>225</v>
      </c>
      <c r="E6" s="163" t="s">
        <v>226</v>
      </c>
      <c r="F6" s="426" t="s">
        <v>225</v>
      </c>
      <c r="G6" s="163" t="s">
        <v>226</v>
      </c>
    </row>
    <row r="7" spans="1:11" x14ac:dyDescent="0.25">
      <c r="A7" s="428"/>
      <c r="B7" s="428"/>
      <c r="C7" s="164" t="s">
        <v>227</v>
      </c>
      <c r="D7" s="428"/>
      <c r="E7" s="164" t="s">
        <v>227</v>
      </c>
      <c r="F7" s="428"/>
      <c r="G7" s="164" t="s">
        <v>227</v>
      </c>
      <c r="K7" s="165"/>
    </row>
    <row r="8" spans="1:11" ht="13.5" customHeight="1" x14ac:dyDescent="0.25">
      <c r="A8" s="166"/>
      <c r="B8" s="167"/>
      <c r="C8" s="168"/>
      <c r="D8" s="167"/>
      <c r="E8" s="168"/>
      <c r="F8" s="167"/>
      <c r="G8" s="168"/>
      <c r="H8" s="169"/>
      <c r="I8" s="160"/>
      <c r="J8" s="170"/>
    </row>
    <row r="9" spans="1:11" ht="13.5" customHeight="1" x14ac:dyDescent="0.25">
      <c r="A9" s="171">
        <v>40909</v>
      </c>
      <c r="B9" s="168">
        <v>120.05200000000001</v>
      </c>
      <c r="C9" s="168" t="s">
        <v>228</v>
      </c>
      <c r="D9" s="168">
        <v>114.3385833333333</v>
      </c>
      <c r="E9" s="168" t="s">
        <v>228</v>
      </c>
      <c r="F9" s="168">
        <v>68.249916666666707</v>
      </c>
      <c r="G9" s="168" t="s">
        <v>228</v>
      </c>
      <c r="H9" s="169"/>
      <c r="I9" s="160"/>
      <c r="J9" s="170"/>
    </row>
    <row r="10" spans="1:11" ht="13.5" customHeight="1" x14ac:dyDescent="0.25">
      <c r="A10" s="171">
        <f>DATE(YEAR(A9)+1,MONTH(A9),1)</f>
        <v>41275</v>
      </c>
      <c r="B10" s="168">
        <v>117.65916666666671</v>
      </c>
      <c r="C10" s="168" t="s">
        <v>228</v>
      </c>
      <c r="D10" s="168">
        <v>112.0314166666667</v>
      </c>
      <c r="E10" s="168" t="s">
        <v>228</v>
      </c>
      <c r="F10" s="168">
        <v>65.811166666666693</v>
      </c>
      <c r="G10" s="168" t="s">
        <v>228</v>
      </c>
      <c r="H10" s="169"/>
      <c r="I10" s="160"/>
      <c r="J10" s="170"/>
    </row>
    <row r="11" spans="1:11" ht="13.5" customHeight="1" x14ac:dyDescent="0.25">
      <c r="A11" s="171">
        <f t="shared" ref="A11:A22" si="0">DATE(YEAR(A10)+1,MONTH(A10),1)</f>
        <v>41640</v>
      </c>
      <c r="B11" s="168">
        <v>115.93225</v>
      </c>
      <c r="C11" s="168" t="s">
        <v>228</v>
      </c>
      <c r="D11" s="168">
        <v>111.34066666666671</v>
      </c>
      <c r="E11" s="168" t="s">
        <v>228</v>
      </c>
      <c r="F11" s="168">
        <v>73.524833333333305</v>
      </c>
      <c r="G11" s="168" t="s">
        <v>228</v>
      </c>
      <c r="H11" s="169"/>
      <c r="I11" s="160"/>
      <c r="J11" s="170"/>
    </row>
    <row r="12" spans="1:11" ht="13.5" customHeight="1" x14ac:dyDescent="0.25">
      <c r="A12" s="171">
        <f t="shared" si="0"/>
        <v>42005</v>
      </c>
      <c r="B12" s="168">
        <v>112.23350000000001</v>
      </c>
      <c r="C12" s="168" t="s">
        <v>228</v>
      </c>
      <c r="D12" s="168">
        <v>108.92325</v>
      </c>
      <c r="E12" s="168" t="s">
        <v>228</v>
      </c>
      <c r="F12" s="168">
        <v>74.626916666666702</v>
      </c>
      <c r="G12" s="168" t="s">
        <v>228</v>
      </c>
      <c r="H12" s="169"/>
      <c r="I12" s="160"/>
      <c r="J12" s="170"/>
    </row>
    <row r="13" spans="1:11" ht="13.5" customHeight="1" x14ac:dyDescent="0.25">
      <c r="A13" s="171">
        <f t="shared" si="0"/>
        <v>42370</v>
      </c>
      <c r="B13" s="168">
        <v>103.788</v>
      </c>
      <c r="C13" s="168" t="s">
        <v>228</v>
      </c>
      <c r="D13" s="168">
        <v>104.3208333333333</v>
      </c>
      <c r="E13" s="168" t="s">
        <v>228</v>
      </c>
      <c r="F13" s="168">
        <v>80.883166666666696</v>
      </c>
      <c r="G13" s="168" t="s">
        <v>228</v>
      </c>
      <c r="H13" s="169"/>
      <c r="I13" s="160"/>
      <c r="J13" s="170"/>
    </row>
    <row r="14" spans="1:11" ht="13.5" customHeight="1" x14ac:dyDescent="0.25">
      <c r="A14" s="171">
        <f t="shared" si="0"/>
        <v>42736</v>
      </c>
      <c r="B14" s="168">
        <v>102.08575</v>
      </c>
      <c r="C14" s="168" t="s">
        <v>228</v>
      </c>
      <c r="D14" s="168">
        <v>103.48575</v>
      </c>
      <c r="E14" s="168" t="s">
        <v>228</v>
      </c>
      <c r="F14" s="168">
        <v>83.694000000000003</v>
      </c>
      <c r="G14" s="168" t="s">
        <v>228</v>
      </c>
      <c r="H14" s="169"/>
      <c r="I14" s="160"/>
      <c r="J14" s="170"/>
    </row>
    <row r="15" spans="1:11" ht="13.5" customHeight="1" x14ac:dyDescent="0.25">
      <c r="A15" s="171">
        <f t="shared" si="0"/>
        <v>43101</v>
      </c>
      <c r="B15" s="168">
        <v>105.5181666666667</v>
      </c>
      <c r="C15" s="168" t="s">
        <v>228</v>
      </c>
      <c r="D15" s="168">
        <v>104.5751666666667</v>
      </c>
      <c r="E15" s="168" t="s">
        <v>228</v>
      </c>
      <c r="F15" s="168">
        <v>91.125749999999996</v>
      </c>
      <c r="G15" s="168" t="s">
        <v>228</v>
      </c>
      <c r="H15" s="169"/>
      <c r="I15" s="160"/>
      <c r="J15" s="170"/>
    </row>
    <row r="16" spans="1:11" ht="13.5" customHeight="1" x14ac:dyDescent="0.25">
      <c r="A16" s="171">
        <f t="shared" si="0"/>
        <v>43466</v>
      </c>
      <c r="B16" s="168">
        <v>107.342</v>
      </c>
      <c r="C16" s="168" t="s">
        <v>228</v>
      </c>
      <c r="D16" s="168">
        <v>105.57375</v>
      </c>
      <c r="E16" s="168" t="s">
        <v>228</v>
      </c>
      <c r="F16" s="168">
        <v>100.5038333333333</v>
      </c>
      <c r="G16" s="168" t="s">
        <v>228</v>
      </c>
      <c r="H16" s="169"/>
      <c r="I16" s="160"/>
      <c r="J16" s="170"/>
    </row>
    <row r="17" spans="1:7" s="144" customFormat="1" ht="11.25" customHeight="1" x14ac:dyDescent="0.3">
      <c r="A17" s="171">
        <f t="shared" si="0"/>
        <v>43831</v>
      </c>
      <c r="B17" s="168">
        <v>100.0083333333333</v>
      </c>
      <c r="C17" s="168" t="s">
        <v>228</v>
      </c>
      <c r="D17" s="168">
        <v>100</v>
      </c>
      <c r="E17" s="168" t="s">
        <v>228</v>
      </c>
      <c r="F17" s="168">
        <v>100.0083333333333</v>
      </c>
      <c r="G17" s="168" t="s">
        <v>228</v>
      </c>
    </row>
    <row r="18" spans="1:7" s="144" customFormat="1" ht="11.25" customHeight="1" x14ac:dyDescent="0.3">
      <c r="A18" s="171">
        <f t="shared" si="0"/>
        <v>44197</v>
      </c>
      <c r="B18" s="168">
        <v>106.825</v>
      </c>
      <c r="C18" s="168" t="s">
        <v>228</v>
      </c>
      <c r="D18" s="168">
        <v>103.69166666666671</v>
      </c>
      <c r="E18" s="168" t="s">
        <v>228</v>
      </c>
      <c r="F18" s="168">
        <v>94.224999999999994</v>
      </c>
      <c r="G18" s="168" t="s">
        <v>228</v>
      </c>
    </row>
    <row r="19" spans="1:7" s="144" customFormat="1" ht="11.25" customHeight="1" x14ac:dyDescent="0.3">
      <c r="A19" s="171">
        <f t="shared" si="0"/>
        <v>44562</v>
      </c>
      <c r="B19" s="168">
        <v>105.3666666666667</v>
      </c>
      <c r="C19" s="168" t="s">
        <v>228</v>
      </c>
      <c r="D19" s="168">
        <v>103.1583333333333</v>
      </c>
      <c r="E19" s="168" t="s">
        <v>228</v>
      </c>
      <c r="F19" s="168">
        <v>92.0833333333333</v>
      </c>
      <c r="G19" s="168" t="s">
        <v>228</v>
      </c>
    </row>
    <row r="20" spans="1:7" s="144" customFormat="1" ht="11.25" customHeight="1" x14ac:dyDescent="0.3">
      <c r="A20" s="171">
        <f t="shared" si="0"/>
        <v>44927</v>
      </c>
      <c r="B20" s="168">
        <v>104.25</v>
      </c>
      <c r="C20" s="168" t="s">
        <v>228</v>
      </c>
      <c r="D20" s="168">
        <v>103.3</v>
      </c>
      <c r="E20" s="168" t="s">
        <v>228</v>
      </c>
      <c r="F20" s="168">
        <v>93.35</v>
      </c>
      <c r="G20" s="168" t="s">
        <v>228</v>
      </c>
    </row>
    <row r="21" spans="1:7" s="144" customFormat="1" ht="11.25" customHeight="1" x14ac:dyDescent="0.3">
      <c r="A21" s="171">
        <f t="shared" si="0"/>
        <v>45292</v>
      </c>
      <c r="B21" s="168">
        <v>105.4166666666667</v>
      </c>
      <c r="C21" s="168" t="s">
        <v>228</v>
      </c>
      <c r="D21" s="168">
        <v>104.7833333333333</v>
      </c>
      <c r="E21" s="168" t="s">
        <v>228</v>
      </c>
      <c r="F21" s="168">
        <v>93.808333333333294</v>
      </c>
      <c r="G21" s="168" t="s">
        <v>228</v>
      </c>
    </row>
    <row r="22" spans="1:7" s="144" customFormat="1" ht="11.25" customHeight="1" x14ac:dyDescent="0.3">
      <c r="A22" s="171">
        <f t="shared" si="0"/>
        <v>45658</v>
      </c>
      <c r="B22" s="168">
        <v>108.4</v>
      </c>
      <c r="C22" s="168" t="s">
        <v>228</v>
      </c>
      <c r="D22" s="168">
        <v>105.7583333333333</v>
      </c>
      <c r="E22" s="168" t="s">
        <v>228</v>
      </c>
      <c r="F22" s="168">
        <v>89.883333333333297</v>
      </c>
      <c r="G22" s="168" t="s">
        <v>228</v>
      </c>
    </row>
    <row r="23" spans="1:7" s="144" customFormat="1" ht="11.25" customHeight="1" x14ac:dyDescent="0.3">
      <c r="A23" s="172"/>
      <c r="B23" s="173"/>
      <c r="C23" s="174"/>
      <c r="D23" s="173"/>
      <c r="E23" s="174"/>
      <c r="F23" s="173"/>
      <c r="G23" s="174"/>
    </row>
    <row r="24" spans="1:7" s="144" customFormat="1" ht="12" customHeight="1" x14ac:dyDescent="0.3">
      <c r="A24" s="175">
        <f>DATE(YEAR(표지!O1)-2,MONTH(표지!O1)-1,1)</f>
        <v>45352</v>
      </c>
      <c r="B24" s="168">
        <v>109.6</v>
      </c>
      <c r="C24" s="168">
        <v>105.3</v>
      </c>
      <c r="D24" s="168">
        <v>109.4</v>
      </c>
      <c r="E24" s="168">
        <v>104.5</v>
      </c>
      <c r="F24" s="168">
        <v>96.8</v>
      </c>
      <c r="G24" s="168">
        <v>96.6</v>
      </c>
    </row>
    <row r="25" spans="1:7" s="144" customFormat="1" ht="12" customHeight="1" x14ac:dyDescent="0.3">
      <c r="A25" s="176">
        <f t="shared" ref="A25:A33" si="1">DATE(YEAR(A24),MONTH(A24)+1,1)</f>
        <v>45383</v>
      </c>
      <c r="B25" s="168">
        <v>110.5</v>
      </c>
      <c r="C25" s="168">
        <v>109.3</v>
      </c>
      <c r="D25" s="168">
        <v>109.1</v>
      </c>
      <c r="E25" s="168">
        <v>108.1</v>
      </c>
      <c r="F25" s="168">
        <v>96.2</v>
      </c>
      <c r="G25" s="168">
        <v>93.2</v>
      </c>
    </row>
    <row r="26" spans="1:7" s="144" customFormat="1" ht="12" customHeight="1" x14ac:dyDescent="0.3">
      <c r="A26" s="176">
        <f t="shared" si="1"/>
        <v>45413</v>
      </c>
      <c r="B26" s="168">
        <v>110</v>
      </c>
      <c r="C26" s="168">
        <v>106.7</v>
      </c>
      <c r="D26" s="168">
        <v>109.7</v>
      </c>
      <c r="E26" s="168">
        <v>105.9</v>
      </c>
      <c r="F26" s="168">
        <v>96.9</v>
      </c>
      <c r="G26" s="168">
        <v>94</v>
      </c>
    </row>
    <row r="27" spans="1:7" s="144" customFormat="1" ht="12" customHeight="1" x14ac:dyDescent="0.3">
      <c r="A27" s="176">
        <f t="shared" si="1"/>
        <v>45444</v>
      </c>
      <c r="B27" s="168">
        <v>103.8</v>
      </c>
      <c r="C27" s="168">
        <v>104.8</v>
      </c>
      <c r="D27" s="168">
        <v>103.5</v>
      </c>
      <c r="E27" s="168">
        <v>105</v>
      </c>
      <c r="F27" s="168">
        <v>93.6</v>
      </c>
      <c r="G27" s="168">
        <v>94.8</v>
      </c>
    </row>
    <row r="28" spans="1:7" s="144" customFormat="1" ht="12" customHeight="1" x14ac:dyDescent="0.3">
      <c r="A28" s="176">
        <f t="shared" si="1"/>
        <v>45474</v>
      </c>
      <c r="B28" s="168">
        <v>100.3</v>
      </c>
      <c r="C28" s="168">
        <v>99.8</v>
      </c>
      <c r="D28" s="168">
        <v>102.6</v>
      </c>
      <c r="E28" s="168">
        <v>102.3</v>
      </c>
      <c r="F28" s="168">
        <v>88.9</v>
      </c>
      <c r="G28" s="168">
        <v>90.7</v>
      </c>
    </row>
    <row r="29" spans="1:7" s="144" customFormat="1" ht="12" customHeight="1" x14ac:dyDescent="0.3">
      <c r="A29" s="176">
        <f t="shared" si="1"/>
        <v>45505</v>
      </c>
      <c r="B29" s="168">
        <v>102.8</v>
      </c>
      <c r="C29" s="168">
        <v>110.2</v>
      </c>
      <c r="D29" s="168">
        <v>102.5</v>
      </c>
      <c r="E29" s="168">
        <v>106.8</v>
      </c>
      <c r="F29" s="168">
        <v>93.9</v>
      </c>
      <c r="G29" s="168">
        <v>94.7</v>
      </c>
    </row>
    <row r="30" spans="1:7" s="144" customFormat="1" ht="12" customHeight="1" x14ac:dyDescent="0.3">
      <c r="A30" s="176">
        <f t="shared" si="1"/>
        <v>45536</v>
      </c>
      <c r="B30" s="168">
        <v>103.1</v>
      </c>
      <c r="C30" s="168">
        <v>109.6</v>
      </c>
      <c r="D30" s="168">
        <v>100.6</v>
      </c>
      <c r="E30" s="168">
        <v>106.8</v>
      </c>
      <c r="F30" s="168">
        <v>95.3</v>
      </c>
      <c r="G30" s="168">
        <v>95.7</v>
      </c>
    </row>
    <row r="31" spans="1:7" s="144" customFormat="1" ht="12" customHeight="1" x14ac:dyDescent="0.3">
      <c r="A31" s="176">
        <f t="shared" si="1"/>
        <v>45566</v>
      </c>
      <c r="B31" s="168">
        <v>104.7</v>
      </c>
      <c r="C31" s="168">
        <v>102.6</v>
      </c>
      <c r="D31" s="168">
        <v>105.7</v>
      </c>
      <c r="E31" s="168">
        <v>102.9</v>
      </c>
      <c r="F31" s="168">
        <v>87.9</v>
      </c>
      <c r="G31" s="168">
        <v>89.9</v>
      </c>
    </row>
    <row r="32" spans="1:7" s="144" customFormat="1" ht="12" customHeight="1" x14ac:dyDescent="0.3">
      <c r="A32" s="176">
        <f t="shared" si="1"/>
        <v>45597</v>
      </c>
      <c r="B32" s="168">
        <v>106.6</v>
      </c>
      <c r="C32" s="168">
        <v>103.6</v>
      </c>
      <c r="D32" s="168">
        <v>104.1</v>
      </c>
      <c r="E32" s="168">
        <v>102.4</v>
      </c>
      <c r="F32" s="168">
        <v>88.4</v>
      </c>
      <c r="G32" s="168">
        <v>91.3</v>
      </c>
    </row>
    <row r="33" spans="1:7" s="144" customFormat="1" ht="12" customHeight="1" x14ac:dyDescent="0.3">
      <c r="A33" s="176">
        <f t="shared" si="1"/>
        <v>45627</v>
      </c>
      <c r="B33" s="168">
        <v>109.5</v>
      </c>
      <c r="C33" s="168">
        <v>103.9</v>
      </c>
      <c r="D33" s="168">
        <v>108.7</v>
      </c>
      <c r="E33" s="168">
        <v>105.4</v>
      </c>
      <c r="F33" s="168">
        <v>89.9</v>
      </c>
      <c r="G33" s="168">
        <v>91.4</v>
      </c>
    </row>
    <row r="34" spans="1:7" s="144" customFormat="1" ht="12" customHeight="1" x14ac:dyDescent="0.3">
      <c r="A34" s="176"/>
      <c r="B34" s="168"/>
      <c r="C34" s="168"/>
      <c r="D34" s="168"/>
      <c r="E34" s="168"/>
      <c r="F34" s="168"/>
      <c r="G34" s="168"/>
    </row>
    <row r="35" spans="1:7" s="144" customFormat="1" ht="12" customHeight="1" x14ac:dyDescent="0.3">
      <c r="A35" s="175">
        <f>DATE(YEAR(A33),MONTH(A33)+1,1)</f>
        <v>45658</v>
      </c>
      <c r="B35" s="168">
        <v>98.6</v>
      </c>
      <c r="C35" s="168">
        <v>104.3</v>
      </c>
      <c r="D35" s="168">
        <v>95.2</v>
      </c>
      <c r="E35" s="168">
        <v>101.5</v>
      </c>
      <c r="F35" s="168">
        <v>100.7</v>
      </c>
      <c r="G35" s="168">
        <v>95.1</v>
      </c>
    </row>
    <row r="36" spans="1:7" s="144" customFormat="1" ht="12" customHeight="1" x14ac:dyDescent="0.3">
      <c r="A36" s="176">
        <f t="shared" ref="A36:A46" si="2">DATE(YEAR(A35),MONTH(A35)+1,1)</f>
        <v>45689</v>
      </c>
      <c r="B36" s="168">
        <v>101.9</v>
      </c>
      <c r="C36" s="168">
        <v>106.8</v>
      </c>
      <c r="D36" s="168">
        <v>100.6</v>
      </c>
      <c r="E36" s="168">
        <v>104.7</v>
      </c>
      <c r="F36" s="168">
        <v>92.8</v>
      </c>
      <c r="G36" s="168">
        <v>91.6</v>
      </c>
    </row>
    <row r="37" spans="1:7" s="144" customFormat="1" ht="12" customHeight="1" x14ac:dyDescent="0.3">
      <c r="A37" s="176">
        <f t="shared" si="2"/>
        <v>45717</v>
      </c>
      <c r="B37" s="168">
        <v>110.5</v>
      </c>
      <c r="C37" s="168">
        <v>107.9</v>
      </c>
      <c r="D37" s="168">
        <v>107.8</v>
      </c>
      <c r="E37" s="168">
        <v>104.5</v>
      </c>
      <c r="F37" s="168">
        <v>88.6</v>
      </c>
      <c r="G37" s="168">
        <v>87.8</v>
      </c>
    </row>
    <row r="38" spans="1:7" s="144" customFormat="1" ht="12" customHeight="1" x14ac:dyDescent="0.3">
      <c r="A38" s="176">
        <f t="shared" si="2"/>
        <v>45748</v>
      </c>
      <c r="B38" s="168">
        <v>109.7</v>
      </c>
      <c r="C38" s="168">
        <v>106.6</v>
      </c>
      <c r="D38" s="168">
        <v>107.2</v>
      </c>
      <c r="E38" s="168">
        <v>104.6</v>
      </c>
      <c r="F38" s="168">
        <v>90.3</v>
      </c>
      <c r="G38" s="168">
        <v>88</v>
      </c>
    </row>
    <row r="39" spans="1:7" s="144" customFormat="1" ht="12" customHeight="1" x14ac:dyDescent="0.3">
      <c r="A39" s="176">
        <f t="shared" si="2"/>
        <v>45778</v>
      </c>
      <c r="B39" s="168">
        <v>110.1</v>
      </c>
      <c r="C39" s="168">
        <v>106.8</v>
      </c>
      <c r="D39" s="168">
        <v>106.7</v>
      </c>
      <c r="E39" s="168">
        <v>103</v>
      </c>
      <c r="F39" s="168">
        <v>95.6</v>
      </c>
      <c r="G39" s="168">
        <v>92.8</v>
      </c>
    </row>
    <row r="40" spans="1:7" s="144" customFormat="1" ht="12" customHeight="1" x14ac:dyDescent="0.3">
      <c r="A40" s="176">
        <f t="shared" si="2"/>
        <v>45809</v>
      </c>
      <c r="B40" s="168">
        <v>110.8</v>
      </c>
      <c r="C40" s="168">
        <v>113.6</v>
      </c>
      <c r="D40" s="168">
        <v>110.2</v>
      </c>
      <c r="E40" s="168">
        <v>113.4</v>
      </c>
      <c r="F40" s="168">
        <v>87.9</v>
      </c>
      <c r="G40" s="168">
        <v>88.5</v>
      </c>
    </row>
    <row r="41" spans="1:7" s="144" customFormat="1" ht="12" customHeight="1" x14ac:dyDescent="0.3">
      <c r="A41" s="176">
        <f t="shared" si="2"/>
        <v>45839</v>
      </c>
      <c r="B41" s="168">
        <v>108</v>
      </c>
      <c r="C41" s="168">
        <v>107.9</v>
      </c>
      <c r="D41" s="168">
        <v>108</v>
      </c>
      <c r="E41" s="168">
        <v>107.7</v>
      </c>
      <c r="F41" s="168">
        <v>84.6</v>
      </c>
      <c r="G41" s="168">
        <v>86.4</v>
      </c>
    </row>
    <row r="42" spans="1:7" s="144" customFormat="1" ht="12" customHeight="1" x14ac:dyDescent="0.3">
      <c r="A42" s="176">
        <f t="shared" si="2"/>
        <v>45870</v>
      </c>
      <c r="B42" s="168">
        <v>107.2</v>
      </c>
      <c r="C42" s="168">
        <v>116.1</v>
      </c>
      <c r="D42" s="168">
        <v>104.7</v>
      </c>
      <c r="E42" s="168">
        <v>110.7</v>
      </c>
      <c r="F42" s="168">
        <v>88.8</v>
      </c>
      <c r="G42" s="168">
        <v>88.8</v>
      </c>
    </row>
    <row r="43" spans="1:7" s="144" customFormat="1" ht="12" customHeight="1" x14ac:dyDescent="0.3">
      <c r="A43" s="176">
        <f t="shared" si="2"/>
        <v>45901</v>
      </c>
      <c r="B43" s="168">
        <v>114.4</v>
      </c>
      <c r="C43" s="168">
        <v>109.3</v>
      </c>
      <c r="D43" s="168">
        <v>112.4</v>
      </c>
      <c r="E43" s="168">
        <v>108.6</v>
      </c>
      <c r="F43" s="168">
        <v>84</v>
      </c>
      <c r="G43" s="168">
        <v>87.3</v>
      </c>
    </row>
    <row r="44" spans="1:7" s="144" customFormat="1" ht="12" customHeight="1" x14ac:dyDescent="0.3">
      <c r="A44" s="176">
        <f t="shared" si="2"/>
        <v>45931</v>
      </c>
      <c r="B44" s="168">
        <v>103.9</v>
      </c>
      <c r="C44" s="168">
        <v>110</v>
      </c>
      <c r="D44" s="168">
        <v>100.4</v>
      </c>
      <c r="E44" s="168">
        <v>104.3</v>
      </c>
      <c r="F44" s="168">
        <v>88.7</v>
      </c>
      <c r="G44" s="168">
        <v>88.9</v>
      </c>
    </row>
    <row r="45" spans="1:7" s="144" customFormat="1" ht="12" customHeight="1" x14ac:dyDescent="0.3">
      <c r="A45" s="176">
        <f t="shared" si="2"/>
        <v>45962</v>
      </c>
      <c r="B45" s="168">
        <v>109.1</v>
      </c>
      <c r="C45" s="168">
        <v>107.9</v>
      </c>
      <c r="D45" s="168">
        <v>106.1</v>
      </c>
      <c r="E45" s="168">
        <v>106</v>
      </c>
      <c r="F45" s="168">
        <v>87.2</v>
      </c>
      <c r="G45" s="168">
        <v>89.5</v>
      </c>
    </row>
    <row r="46" spans="1:7" s="144" customFormat="1" ht="12" customHeight="1" x14ac:dyDescent="0.3">
      <c r="A46" s="176">
        <f t="shared" si="2"/>
        <v>45992</v>
      </c>
      <c r="B46" s="168">
        <v>116.6</v>
      </c>
      <c r="C46" s="168">
        <v>109.2</v>
      </c>
      <c r="D46" s="168">
        <v>109.8</v>
      </c>
      <c r="E46" s="168">
        <v>105</v>
      </c>
      <c r="F46" s="168">
        <v>89.4</v>
      </c>
      <c r="G46" s="168">
        <v>91.3</v>
      </c>
    </row>
    <row r="47" spans="1:7" s="144" customFormat="1" ht="12" customHeight="1" x14ac:dyDescent="0.3">
      <c r="A47" s="176"/>
      <c r="B47" s="168"/>
      <c r="C47" s="168"/>
      <c r="D47" s="168"/>
      <c r="E47" s="168"/>
      <c r="F47" s="168"/>
      <c r="G47" s="168"/>
    </row>
    <row r="48" spans="1:7" s="144" customFormat="1" ht="12" customHeight="1" x14ac:dyDescent="0.3">
      <c r="A48" s="175">
        <f>DATE(YEAR(A46),MONTH(A46)+1,1)</f>
        <v>46023</v>
      </c>
      <c r="B48" s="168">
        <v>113.6</v>
      </c>
      <c r="C48" s="168">
        <v>109.5</v>
      </c>
      <c r="D48" s="168">
        <v>108.4</v>
      </c>
      <c r="E48" s="168">
        <v>107.2</v>
      </c>
      <c r="F48" s="168">
        <v>94.3</v>
      </c>
      <c r="G48" s="168">
        <v>91.9</v>
      </c>
    </row>
    <row r="49" spans="1:16" s="144" customFormat="1" ht="12" customHeight="1" x14ac:dyDescent="0.3">
      <c r="A49" s="176">
        <f t="shared" ref="A49:A50" si="3">DATE(YEAR(A48),MONTH(A48)+1,1)</f>
        <v>46054</v>
      </c>
      <c r="B49" s="168">
        <v>95.9</v>
      </c>
      <c r="C49" s="168">
        <v>108.6</v>
      </c>
      <c r="D49" s="168">
        <v>93.2</v>
      </c>
      <c r="E49" s="168">
        <v>103.1</v>
      </c>
      <c r="F49" s="168">
        <v>96.8</v>
      </c>
      <c r="G49" s="168">
        <v>93</v>
      </c>
    </row>
    <row r="50" spans="1:16" s="144" customFormat="1" ht="12" customHeight="1" x14ac:dyDescent="0.3">
      <c r="A50" s="176">
        <f t="shared" si="3"/>
        <v>46082</v>
      </c>
      <c r="B50" s="168">
        <v>114.6</v>
      </c>
      <c r="C50" s="168">
        <v>110.2</v>
      </c>
      <c r="D50" s="168">
        <v>109.7</v>
      </c>
      <c r="E50" s="168">
        <v>104.7</v>
      </c>
      <c r="F50" s="168">
        <v>93.5</v>
      </c>
      <c r="G50" s="168">
        <v>93.2</v>
      </c>
    </row>
    <row r="51" spans="1:16" s="144" customFormat="1" ht="5.25" customHeight="1" x14ac:dyDescent="0.3">
      <c r="A51" s="177"/>
      <c r="B51" s="178"/>
      <c r="C51" s="148"/>
      <c r="D51" s="178"/>
      <c r="E51" s="148"/>
      <c r="F51" s="178"/>
      <c r="G51" s="148"/>
    </row>
    <row r="52" spans="1:16" s="152" customFormat="1" ht="13.5" customHeight="1" x14ac:dyDescent="0.3">
      <c r="A52" s="152" t="s">
        <v>229</v>
      </c>
      <c r="I52" s="144"/>
      <c r="J52" s="144"/>
      <c r="K52" s="144"/>
      <c r="L52" s="144"/>
      <c r="M52" s="144"/>
      <c r="N52" s="144"/>
      <c r="O52" s="144"/>
      <c r="P52" s="144"/>
    </row>
    <row r="53" spans="1:16" s="152" customFormat="1" ht="13.5" customHeight="1" x14ac:dyDescent="0.3">
      <c r="A53" s="179" t="s">
        <v>230</v>
      </c>
      <c r="I53" s="144"/>
      <c r="J53" s="144"/>
      <c r="K53" s="144"/>
      <c r="L53" s="144"/>
      <c r="M53" s="144"/>
      <c r="N53" s="144"/>
      <c r="O53" s="144"/>
      <c r="P53" s="144"/>
    </row>
    <row r="54" spans="1:16" s="180" customFormat="1" x14ac:dyDescent="0.2">
      <c r="A54" s="154" t="s">
        <v>231</v>
      </c>
      <c r="C54" s="181"/>
      <c r="D54" s="181"/>
      <c r="E54" s="181"/>
      <c r="F54" s="181"/>
      <c r="G54" s="181"/>
      <c r="I54" s="144"/>
      <c r="J54" s="144"/>
      <c r="K54" s="144"/>
      <c r="L54" s="144"/>
      <c r="M54" s="144"/>
      <c r="N54" s="144"/>
      <c r="O54" s="144"/>
      <c r="P54" s="144"/>
    </row>
  </sheetData>
  <mergeCells count="9">
    <mergeCell ref="A1:G1"/>
    <mergeCell ref="A3:G3"/>
    <mergeCell ref="A5:A7"/>
    <mergeCell ref="B5:C5"/>
    <mergeCell ref="D5:E5"/>
    <mergeCell ref="F5:G5"/>
    <mergeCell ref="B6:B7"/>
    <mergeCell ref="D6:D7"/>
    <mergeCell ref="F6:F7"/>
  </mergeCells>
  <phoneticPr fontId="4" type="noConversion"/>
  <pageMargins left="0.75" right="0.75" top="1" bottom="1" header="0.5" footer="0.5"/>
  <pageSetup paperSize="9" scale="86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ECFDF-8511-4ECC-BDD0-C0D569B2E545}">
  <dimension ref="A1:L52"/>
  <sheetViews>
    <sheetView view="pageBreakPreview" zoomScale="145" zoomScaleNormal="85" zoomScaleSheetLayoutView="145" workbookViewId="0">
      <selection activeCell="C2" sqref="C2"/>
    </sheetView>
  </sheetViews>
  <sheetFormatPr defaultRowHeight="13.5" x14ac:dyDescent="0.25"/>
  <cols>
    <col min="1" max="1" width="8.125" style="128" customWidth="1"/>
    <col min="2" max="2" width="13.625" style="128" customWidth="1"/>
    <col min="3" max="3" width="37.25" style="128" customWidth="1"/>
    <col min="4" max="4" width="37.375" style="128" customWidth="1"/>
    <col min="5" max="5" width="1.25" style="128" customWidth="1"/>
    <col min="6" max="6" width="9" style="128"/>
    <col min="7" max="7" width="9.375" style="128" customWidth="1"/>
    <col min="8" max="8" width="10.25" style="128" customWidth="1"/>
    <col min="9" max="250" width="9" style="128"/>
    <col min="251" max="251" width="8.125" style="128" customWidth="1"/>
    <col min="252" max="252" width="13" style="128" bestFit="1" customWidth="1"/>
    <col min="253" max="253" width="8.875" style="128" customWidth="1"/>
    <col min="254" max="254" width="7.375" style="128" customWidth="1"/>
    <col min="255" max="255" width="8.375" style="128" customWidth="1"/>
    <col min="256" max="256" width="9.25" style="128" customWidth="1"/>
    <col min="257" max="257" width="9.375" style="128" customWidth="1"/>
    <col min="258" max="258" width="9.125" style="128" customWidth="1"/>
    <col min="259" max="259" width="8.25" style="128" customWidth="1"/>
    <col min="260" max="260" width="9.5" style="128" customWidth="1"/>
    <col min="261" max="261" width="1.25" style="128" customWidth="1"/>
    <col min="262" max="506" width="9" style="128"/>
    <col min="507" max="507" width="8.125" style="128" customWidth="1"/>
    <col min="508" max="508" width="13" style="128" bestFit="1" customWidth="1"/>
    <col min="509" max="509" width="8.875" style="128" customWidth="1"/>
    <col min="510" max="510" width="7.375" style="128" customWidth="1"/>
    <col min="511" max="511" width="8.375" style="128" customWidth="1"/>
    <col min="512" max="512" width="9.25" style="128" customWidth="1"/>
    <col min="513" max="513" width="9.375" style="128" customWidth="1"/>
    <col min="514" max="514" width="9.125" style="128" customWidth="1"/>
    <col min="515" max="515" width="8.25" style="128" customWidth="1"/>
    <col min="516" max="516" width="9.5" style="128" customWidth="1"/>
    <col min="517" max="517" width="1.25" style="128" customWidth="1"/>
    <col min="518" max="762" width="9" style="128"/>
    <col min="763" max="763" width="8.125" style="128" customWidth="1"/>
    <col min="764" max="764" width="13" style="128" bestFit="1" customWidth="1"/>
    <col min="765" max="765" width="8.875" style="128" customWidth="1"/>
    <col min="766" max="766" width="7.375" style="128" customWidth="1"/>
    <col min="767" max="767" width="8.375" style="128" customWidth="1"/>
    <col min="768" max="768" width="9.25" style="128" customWidth="1"/>
    <col min="769" max="769" width="9.375" style="128" customWidth="1"/>
    <col min="770" max="770" width="9.125" style="128" customWidth="1"/>
    <col min="771" max="771" width="8.25" style="128" customWidth="1"/>
    <col min="772" max="772" width="9.5" style="128" customWidth="1"/>
    <col min="773" max="773" width="1.25" style="128" customWidth="1"/>
    <col min="774" max="1018" width="9" style="128"/>
    <col min="1019" max="1019" width="8.125" style="128" customWidth="1"/>
    <col min="1020" max="1020" width="13" style="128" bestFit="1" customWidth="1"/>
    <col min="1021" max="1021" width="8.875" style="128" customWidth="1"/>
    <col min="1022" max="1022" width="7.375" style="128" customWidth="1"/>
    <col min="1023" max="1023" width="8.375" style="128" customWidth="1"/>
    <col min="1024" max="1024" width="9.25" style="128" customWidth="1"/>
    <col min="1025" max="1025" width="9.375" style="128" customWidth="1"/>
    <col min="1026" max="1026" width="9.125" style="128" customWidth="1"/>
    <col min="1027" max="1027" width="8.25" style="128" customWidth="1"/>
    <col min="1028" max="1028" width="9.5" style="128" customWidth="1"/>
    <col min="1029" max="1029" width="1.25" style="128" customWidth="1"/>
    <col min="1030" max="1274" width="9" style="128"/>
    <col min="1275" max="1275" width="8.125" style="128" customWidth="1"/>
    <col min="1276" max="1276" width="13" style="128" bestFit="1" customWidth="1"/>
    <col min="1277" max="1277" width="8.875" style="128" customWidth="1"/>
    <col min="1278" max="1278" width="7.375" style="128" customWidth="1"/>
    <col min="1279" max="1279" width="8.375" style="128" customWidth="1"/>
    <col min="1280" max="1280" width="9.25" style="128" customWidth="1"/>
    <col min="1281" max="1281" width="9.375" style="128" customWidth="1"/>
    <col min="1282" max="1282" width="9.125" style="128" customWidth="1"/>
    <col min="1283" max="1283" width="8.25" style="128" customWidth="1"/>
    <col min="1284" max="1284" width="9.5" style="128" customWidth="1"/>
    <col min="1285" max="1285" width="1.25" style="128" customWidth="1"/>
    <col min="1286" max="1530" width="9" style="128"/>
    <col min="1531" max="1531" width="8.125" style="128" customWidth="1"/>
    <col min="1532" max="1532" width="13" style="128" bestFit="1" customWidth="1"/>
    <col min="1533" max="1533" width="8.875" style="128" customWidth="1"/>
    <col min="1534" max="1534" width="7.375" style="128" customWidth="1"/>
    <col min="1535" max="1535" width="8.375" style="128" customWidth="1"/>
    <col min="1536" max="1536" width="9.25" style="128" customWidth="1"/>
    <col min="1537" max="1537" width="9.375" style="128" customWidth="1"/>
    <col min="1538" max="1538" width="9.125" style="128" customWidth="1"/>
    <col min="1539" max="1539" width="8.25" style="128" customWidth="1"/>
    <col min="1540" max="1540" width="9.5" style="128" customWidth="1"/>
    <col min="1541" max="1541" width="1.25" style="128" customWidth="1"/>
    <col min="1542" max="1786" width="9" style="128"/>
    <col min="1787" max="1787" width="8.125" style="128" customWidth="1"/>
    <col min="1788" max="1788" width="13" style="128" bestFit="1" customWidth="1"/>
    <col min="1789" max="1789" width="8.875" style="128" customWidth="1"/>
    <col min="1790" max="1790" width="7.375" style="128" customWidth="1"/>
    <col min="1791" max="1791" width="8.375" style="128" customWidth="1"/>
    <col min="1792" max="1792" width="9.25" style="128" customWidth="1"/>
    <col min="1793" max="1793" width="9.375" style="128" customWidth="1"/>
    <col min="1794" max="1794" width="9.125" style="128" customWidth="1"/>
    <col min="1795" max="1795" width="8.25" style="128" customWidth="1"/>
    <col min="1796" max="1796" width="9.5" style="128" customWidth="1"/>
    <col min="1797" max="1797" width="1.25" style="128" customWidth="1"/>
    <col min="1798" max="2042" width="9" style="128"/>
    <col min="2043" max="2043" width="8.125" style="128" customWidth="1"/>
    <col min="2044" max="2044" width="13" style="128" bestFit="1" customWidth="1"/>
    <col min="2045" max="2045" width="8.875" style="128" customWidth="1"/>
    <col min="2046" max="2046" width="7.375" style="128" customWidth="1"/>
    <col min="2047" max="2047" width="8.375" style="128" customWidth="1"/>
    <col min="2048" max="2048" width="9.25" style="128" customWidth="1"/>
    <col min="2049" max="2049" width="9.375" style="128" customWidth="1"/>
    <col min="2050" max="2050" width="9.125" style="128" customWidth="1"/>
    <col min="2051" max="2051" width="8.25" style="128" customWidth="1"/>
    <col min="2052" max="2052" width="9.5" style="128" customWidth="1"/>
    <col min="2053" max="2053" width="1.25" style="128" customWidth="1"/>
    <col min="2054" max="2298" width="9" style="128"/>
    <col min="2299" max="2299" width="8.125" style="128" customWidth="1"/>
    <col min="2300" max="2300" width="13" style="128" bestFit="1" customWidth="1"/>
    <col min="2301" max="2301" width="8.875" style="128" customWidth="1"/>
    <col min="2302" max="2302" width="7.375" style="128" customWidth="1"/>
    <col min="2303" max="2303" width="8.375" style="128" customWidth="1"/>
    <col min="2304" max="2304" width="9.25" style="128" customWidth="1"/>
    <col min="2305" max="2305" width="9.375" style="128" customWidth="1"/>
    <col min="2306" max="2306" width="9.125" style="128" customWidth="1"/>
    <col min="2307" max="2307" width="8.25" style="128" customWidth="1"/>
    <col min="2308" max="2308" width="9.5" style="128" customWidth="1"/>
    <col min="2309" max="2309" width="1.25" style="128" customWidth="1"/>
    <col min="2310" max="2554" width="9" style="128"/>
    <col min="2555" max="2555" width="8.125" style="128" customWidth="1"/>
    <col min="2556" max="2556" width="13" style="128" bestFit="1" customWidth="1"/>
    <col min="2557" max="2557" width="8.875" style="128" customWidth="1"/>
    <col min="2558" max="2558" width="7.375" style="128" customWidth="1"/>
    <col min="2559" max="2559" width="8.375" style="128" customWidth="1"/>
    <col min="2560" max="2560" width="9.25" style="128" customWidth="1"/>
    <col min="2561" max="2561" width="9.375" style="128" customWidth="1"/>
    <col min="2562" max="2562" width="9.125" style="128" customWidth="1"/>
    <col min="2563" max="2563" width="8.25" style="128" customWidth="1"/>
    <col min="2564" max="2564" width="9.5" style="128" customWidth="1"/>
    <col min="2565" max="2565" width="1.25" style="128" customWidth="1"/>
    <col min="2566" max="2810" width="9" style="128"/>
    <col min="2811" max="2811" width="8.125" style="128" customWidth="1"/>
    <col min="2812" max="2812" width="13" style="128" bestFit="1" customWidth="1"/>
    <col min="2813" max="2813" width="8.875" style="128" customWidth="1"/>
    <col min="2814" max="2814" width="7.375" style="128" customWidth="1"/>
    <col min="2815" max="2815" width="8.375" style="128" customWidth="1"/>
    <col min="2816" max="2816" width="9.25" style="128" customWidth="1"/>
    <col min="2817" max="2817" width="9.375" style="128" customWidth="1"/>
    <col min="2818" max="2818" width="9.125" style="128" customWidth="1"/>
    <col min="2819" max="2819" width="8.25" style="128" customWidth="1"/>
    <col min="2820" max="2820" width="9.5" style="128" customWidth="1"/>
    <col min="2821" max="2821" width="1.25" style="128" customWidth="1"/>
    <col min="2822" max="3066" width="9" style="128"/>
    <col min="3067" max="3067" width="8.125" style="128" customWidth="1"/>
    <col min="3068" max="3068" width="13" style="128" bestFit="1" customWidth="1"/>
    <col min="3069" max="3069" width="8.875" style="128" customWidth="1"/>
    <col min="3070" max="3070" width="7.375" style="128" customWidth="1"/>
    <col min="3071" max="3071" width="8.375" style="128" customWidth="1"/>
    <col min="3072" max="3072" width="9.25" style="128" customWidth="1"/>
    <col min="3073" max="3073" width="9.375" style="128" customWidth="1"/>
    <col min="3074" max="3074" width="9.125" style="128" customWidth="1"/>
    <col min="3075" max="3075" width="8.25" style="128" customWidth="1"/>
    <col min="3076" max="3076" width="9.5" style="128" customWidth="1"/>
    <col min="3077" max="3077" width="1.25" style="128" customWidth="1"/>
    <col min="3078" max="3322" width="9" style="128"/>
    <col min="3323" max="3323" width="8.125" style="128" customWidth="1"/>
    <col min="3324" max="3324" width="13" style="128" bestFit="1" customWidth="1"/>
    <col min="3325" max="3325" width="8.875" style="128" customWidth="1"/>
    <col min="3326" max="3326" width="7.375" style="128" customWidth="1"/>
    <col min="3327" max="3327" width="8.375" style="128" customWidth="1"/>
    <col min="3328" max="3328" width="9.25" style="128" customWidth="1"/>
    <col min="3329" max="3329" width="9.375" style="128" customWidth="1"/>
    <col min="3330" max="3330" width="9.125" style="128" customWidth="1"/>
    <col min="3331" max="3331" width="8.25" style="128" customWidth="1"/>
    <col min="3332" max="3332" width="9.5" style="128" customWidth="1"/>
    <col min="3333" max="3333" width="1.25" style="128" customWidth="1"/>
    <col min="3334" max="3578" width="9" style="128"/>
    <col min="3579" max="3579" width="8.125" style="128" customWidth="1"/>
    <col min="3580" max="3580" width="13" style="128" bestFit="1" customWidth="1"/>
    <col min="3581" max="3581" width="8.875" style="128" customWidth="1"/>
    <col min="3582" max="3582" width="7.375" style="128" customWidth="1"/>
    <col min="3583" max="3583" width="8.375" style="128" customWidth="1"/>
    <col min="3584" max="3584" width="9.25" style="128" customWidth="1"/>
    <col min="3585" max="3585" width="9.375" style="128" customWidth="1"/>
    <col min="3586" max="3586" width="9.125" style="128" customWidth="1"/>
    <col min="3587" max="3587" width="8.25" style="128" customWidth="1"/>
    <col min="3588" max="3588" width="9.5" style="128" customWidth="1"/>
    <col min="3589" max="3589" width="1.25" style="128" customWidth="1"/>
    <col min="3590" max="3834" width="9" style="128"/>
    <col min="3835" max="3835" width="8.125" style="128" customWidth="1"/>
    <col min="3836" max="3836" width="13" style="128" bestFit="1" customWidth="1"/>
    <col min="3837" max="3837" width="8.875" style="128" customWidth="1"/>
    <col min="3838" max="3838" width="7.375" style="128" customWidth="1"/>
    <col min="3839" max="3839" width="8.375" style="128" customWidth="1"/>
    <col min="3840" max="3840" width="9.25" style="128" customWidth="1"/>
    <col min="3841" max="3841" width="9.375" style="128" customWidth="1"/>
    <col min="3842" max="3842" width="9.125" style="128" customWidth="1"/>
    <col min="3843" max="3843" width="8.25" style="128" customWidth="1"/>
    <col min="3844" max="3844" width="9.5" style="128" customWidth="1"/>
    <col min="3845" max="3845" width="1.25" style="128" customWidth="1"/>
    <col min="3846" max="4090" width="9" style="128"/>
    <col min="4091" max="4091" width="8.125" style="128" customWidth="1"/>
    <col min="4092" max="4092" width="13" style="128" bestFit="1" customWidth="1"/>
    <col min="4093" max="4093" width="8.875" style="128" customWidth="1"/>
    <col min="4094" max="4094" width="7.375" style="128" customWidth="1"/>
    <col min="4095" max="4095" width="8.375" style="128" customWidth="1"/>
    <col min="4096" max="4096" width="9.25" style="128" customWidth="1"/>
    <col min="4097" max="4097" width="9.375" style="128" customWidth="1"/>
    <col min="4098" max="4098" width="9.125" style="128" customWidth="1"/>
    <col min="4099" max="4099" width="8.25" style="128" customWidth="1"/>
    <col min="4100" max="4100" width="9.5" style="128" customWidth="1"/>
    <col min="4101" max="4101" width="1.25" style="128" customWidth="1"/>
    <col min="4102" max="4346" width="9" style="128"/>
    <col min="4347" max="4347" width="8.125" style="128" customWidth="1"/>
    <col min="4348" max="4348" width="13" style="128" bestFit="1" customWidth="1"/>
    <col min="4349" max="4349" width="8.875" style="128" customWidth="1"/>
    <col min="4350" max="4350" width="7.375" style="128" customWidth="1"/>
    <col min="4351" max="4351" width="8.375" style="128" customWidth="1"/>
    <col min="4352" max="4352" width="9.25" style="128" customWidth="1"/>
    <col min="4353" max="4353" width="9.375" style="128" customWidth="1"/>
    <col min="4354" max="4354" width="9.125" style="128" customWidth="1"/>
    <col min="4355" max="4355" width="8.25" style="128" customWidth="1"/>
    <col min="4356" max="4356" width="9.5" style="128" customWidth="1"/>
    <col min="4357" max="4357" width="1.25" style="128" customWidth="1"/>
    <col min="4358" max="4602" width="9" style="128"/>
    <col min="4603" max="4603" width="8.125" style="128" customWidth="1"/>
    <col min="4604" max="4604" width="13" style="128" bestFit="1" customWidth="1"/>
    <col min="4605" max="4605" width="8.875" style="128" customWidth="1"/>
    <col min="4606" max="4606" width="7.375" style="128" customWidth="1"/>
    <col min="4607" max="4607" width="8.375" style="128" customWidth="1"/>
    <col min="4608" max="4608" width="9.25" style="128" customWidth="1"/>
    <col min="4609" max="4609" width="9.375" style="128" customWidth="1"/>
    <col min="4610" max="4610" width="9.125" style="128" customWidth="1"/>
    <col min="4611" max="4611" width="8.25" style="128" customWidth="1"/>
    <col min="4612" max="4612" width="9.5" style="128" customWidth="1"/>
    <col min="4613" max="4613" width="1.25" style="128" customWidth="1"/>
    <col min="4614" max="4858" width="9" style="128"/>
    <col min="4859" max="4859" width="8.125" style="128" customWidth="1"/>
    <col min="4860" max="4860" width="13" style="128" bestFit="1" customWidth="1"/>
    <col min="4861" max="4861" width="8.875" style="128" customWidth="1"/>
    <col min="4862" max="4862" width="7.375" style="128" customWidth="1"/>
    <col min="4863" max="4863" width="8.375" style="128" customWidth="1"/>
    <col min="4864" max="4864" width="9.25" style="128" customWidth="1"/>
    <col min="4865" max="4865" width="9.375" style="128" customWidth="1"/>
    <col min="4866" max="4866" width="9.125" style="128" customWidth="1"/>
    <col min="4867" max="4867" width="8.25" style="128" customWidth="1"/>
    <col min="4868" max="4868" width="9.5" style="128" customWidth="1"/>
    <col min="4869" max="4869" width="1.25" style="128" customWidth="1"/>
    <col min="4870" max="5114" width="9" style="128"/>
    <col min="5115" max="5115" width="8.125" style="128" customWidth="1"/>
    <col min="5116" max="5116" width="13" style="128" bestFit="1" customWidth="1"/>
    <col min="5117" max="5117" width="8.875" style="128" customWidth="1"/>
    <col min="5118" max="5118" width="7.375" style="128" customWidth="1"/>
    <col min="5119" max="5119" width="8.375" style="128" customWidth="1"/>
    <col min="5120" max="5120" width="9.25" style="128" customWidth="1"/>
    <col min="5121" max="5121" width="9.375" style="128" customWidth="1"/>
    <col min="5122" max="5122" width="9.125" style="128" customWidth="1"/>
    <col min="5123" max="5123" width="8.25" style="128" customWidth="1"/>
    <col min="5124" max="5124" width="9.5" style="128" customWidth="1"/>
    <col min="5125" max="5125" width="1.25" style="128" customWidth="1"/>
    <col min="5126" max="5370" width="9" style="128"/>
    <col min="5371" max="5371" width="8.125" style="128" customWidth="1"/>
    <col min="5372" max="5372" width="13" style="128" bestFit="1" customWidth="1"/>
    <col min="5373" max="5373" width="8.875" style="128" customWidth="1"/>
    <col min="5374" max="5374" width="7.375" style="128" customWidth="1"/>
    <col min="5375" max="5375" width="8.375" style="128" customWidth="1"/>
    <col min="5376" max="5376" width="9.25" style="128" customWidth="1"/>
    <col min="5377" max="5377" width="9.375" style="128" customWidth="1"/>
    <col min="5378" max="5378" width="9.125" style="128" customWidth="1"/>
    <col min="5379" max="5379" width="8.25" style="128" customWidth="1"/>
    <col min="5380" max="5380" width="9.5" style="128" customWidth="1"/>
    <col min="5381" max="5381" width="1.25" style="128" customWidth="1"/>
    <col min="5382" max="5626" width="9" style="128"/>
    <col min="5627" max="5627" width="8.125" style="128" customWidth="1"/>
    <col min="5628" max="5628" width="13" style="128" bestFit="1" customWidth="1"/>
    <col min="5629" max="5629" width="8.875" style="128" customWidth="1"/>
    <col min="5630" max="5630" width="7.375" style="128" customWidth="1"/>
    <col min="5631" max="5631" width="8.375" style="128" customWidth="1"/>
    <col min="5632" max="5632" width="9.25" style="128" customWidth="1"/>
    <col min="5633" max="5633" width="9.375" style="128" customWidth="1"/>
    <col min="5634" max="5634" width="9.125" style="128" customWidth="1"/>
    <col min="5635" max="5635" width="8.25" style="128" customWidth="1"/>
    <col min="5636" max="5636" width="9.5" style="128" customWidth="1"/>
    <col min="5637" max="5637" width="1.25" style="128" customWidth="1"/>
    <col min="5638" max="5882" width="9" style="128"/>
    <col min="5883" max="5883" width="8.125" style="128" customWidth="1"/>
    <col min="5884" max="5884" width="13" style="128" bestFit="1" customWidth="1"/>
    <col min="5885" max="5885" width="8.875" style="128" customWidth="1"/>
    <col min="5886" max="5886" width="7.375" style="128" customWidth="1"/>
    <col min="5887" max="5887" width="8.375" style="128" customWidth="1"/>
    <col min="5888" max="5888" width="9.25" style="128" customWidth="1"/>
    <col min="5889" max="5889" width="9.375" style="128" customWidth="1"/>
    <col min="5890" max="5890" width="9.125" style="128" customWidth="1"/>
    <col min="5891" max="5891" width="8.25" style="128" customWidth="1"/>
    <col min="5892" max="5892" width="9.5" style="128" customWidth="1"/>
    <col min="5893" max="5893" width="1.25" style="128" customWidth="1"/>
    <col min="5894" max="6138" width="9" style="128"/>
    <col min="6139" max="6139" width="8.125" style="128" customWidth="1"/>
    <col min="6140" max="6140" width="13" style="128" bestFit="1" customWidth="1"/>
    <col min="6141" max="6141" width="8.875" style="128" customWidth="1"/>
    <col min="6142" max="6142" width="7.375" style="128" customWidth="1"/>
    <col min="6143" max="6143" width="8.375" style="128" customWidth="1"/>
    <col min="6144" max="6144" width="9.25" style="128" customWidth="1"/>
    <col min="6145" max="6145" width="9.375" style="128" customWidth="1"/>
    <col min="6146" max="6146" width="9.125" style="128" customWidth="1"/>
    <col min="6147" max="6147" width="8.25" style="128" customWidth="1"/>
    <col min="6148" max="6148" width="9.5" style="128" customWidth="1"/>
    <col min="6149" max="6149" width="1.25" style="128" customWidth="1"/>
    <col min="6150" max="6394" width="9" style="128"/>
    <col min="6395" max="6395" width="8.125" style="128" customWidth="1"/>
    <col min="6396" max="6396" width="13" style="128" bestFit="1" customWidth="1"/>
    <col min="6397" max="6397" width="8.875" style="128" customWidth="1"/>
    <col min="6398" max="6398" width="7.375" style="128" customWidth="1"/>
    <col min="6399" max="6399" width="8.375" style="128" customWidth="1"/>
    <col min="6400" max="6400" width="9.25" style="128" customWidth="1"/>
    <col min="6401" max="6401" width="9.375" style="128" customWidth="1"/>
    <col min="6402" max="6402" width="9.125" style="128" customWidth="1"/>
    <col min="6403" max="6403" width="8.25" style="128" customWidth="1"/>
    <col min="6404" max="6404" width="9.5" style="128" customWidth="1"/>
    <col min="6405" max="6405" width="1.25" style="128" customWidth="1"/>
    <col min="6406" max="6650" width="9" style="128"/>
    <col min="6651" max="6651" width="8.125" style="128" customWidth="1"/>
    <col min="6652" max="6652" width="13" style="128" bestFit="1" customWidth="1"/>
    <col min="6653" max="6653" width="8.875" style="128" customWidth="1"/>
    <col min="6654" max="6654" width="7.375" style="128" customWidth="1"/>
    <col min="6655" max="6655" width="8.375" style="128" customWidth="1"/>
    <col min="6656" max="6656" width="9.25" style="128" customWidth="1"/>
    <col min="6657" max="6657" width="9.375" style="128" customWidth="1"/>
    <col min="6658" max="6658" width="9.125" style="128" customWidth="1"/>
    <col min="6659" max="6659" width="8.25" style="128" customWidth="1"/>
    <col min="6660" max="6660" width="9.5" style="128" customWidth="1"/>
    <col min="6661" max="6661" width="1.25" style="128" customWidth="1"/>
    <col min="6662" max="6906" width="9" style="128"/>
    <col min="6907" max="6907" width="8.125" style="128" customWidth="1"/>
    <col min="6908" max="6908" width="13" style="128" bestFit="1" customWidth="1"/>
    <col min="6909" max="6909" width="8.875" style="128" customWidth="1"/>
    <col min="6910" max="6910" width="7.375" style="128" customWidth="1"/>
    <col min="6911" max="6911" width="8.375" style="128" customWidth="1"/>
    <col min="6912" max="6912" width="9.25" style="128" customWidth="1"/>
    <col min="6913" max="6913" width="9.375" style="128" customWidth="1"/>
    <col min="6914" max="6914" width="9.125" style="128" customWidth="1"/>
    <col min="6915" max="6915" width="8.25" style="128" customWidth="1"/>
    <col min="6916" max="6916" width="9.5" style="128" customWidth="1"/>
    <col min="6917" max="6917" width="1.25" style="128" customWidth="1"/>
    <col min="6918" max="7162" width="9" style="128"/>
    <col min="7163" max="7163" width="8.125" style="128" customWidth="1"/>
    <col min="7164" max="7164" width="13" style="128" bestFit="1" customWidth="1"/>
    <col min="7165" max="7165" width="8.875" style="128" customWidth="1"/>
    <col min="7166" max="7166" width="7.375" style="128" customWidth="1"/>
    <col min="7167" max="7167" width="8.375" style="128" customWidth="1"/>
    <col min="7168" max="7168" width="9.25" style="128" customWidth="1"/>
    <col min="7169" max="7169" width="9.375" style="128" customWidth="1"/>
    <col min="7170" max="7170" width="9.125" style="128" customWidth="1"/>
    <col min="7171" max="7171" width="8.25" style="128" customWidth="1"/>
    <col min="7172" max="7172" width="9.5" style="128" customWidth="1"/>
    <col min="7173" max="7173" width="1.25" style="128" customWidth="1"/>
    <col min="7174" max="7418" width="9" style="128"/>
    <col min="7419" max="7419" width="8.125" style="128" customWidth="1"/>
    <col min="7420" max="7420" width="13" style="128" bestFit="1" customWidth="1"/>
    <col min="7421" max="7421" width="8.875" style="128" customWidth="1"/>
    <col min="7422" max="7422" width="7.375" style="128" customWidth="1"/>
    <col min="7423" max="7423" width="8.375" style="128" customWidth="1"/>
    <col min="7424" max="7424" width="9.25" style="128" customWidth="1"/>
    <col min="7425" max="7425" width="9.375" style="128" customWidth="1"/>
    <col min="7426" max="7426" width="9.125" style="128" customWidth="1"/>
    <col min="7427" max="7427" width="8.25" style="128" customWidth="1"/>
    <col min="7428" max="7428" width="9.5" style="128" customWidth="1"/>
    <col min="7429" max="7429" width="1.25" style="128" customWidth="1"/>
    <col min="7430" max="7674" width="9" style="128"/>
    <col min="7675" max="7675" width="8.125" style="128" customWidth="1"/>
    <col min="7676" max="7676" width="13" style="128" bestFit="1" customWidth="1"/>
    <col min="7677" max="7677" width="8.875" style="128" customWidth="1"/>
    <col min="7678" max="7678" width="7.375" style="128" customWidth="1"/>
    <col min="7679" max="7679" width="8.375" style="128" customWidth="1"/>
    <col min="7680" max="7680" width="9.25" style="128" customWidth="1"/>
    <col min="7681" max="7681" width="9.375" style="128" customWidth="1"/>
    <col min="7682" max="7682" width="9.125" style="128" customWidth="1"/>
    <col min="7683" max="7683" width="8.25" style="128" customWidth="1"/>
    <col min="7684" max="7684" width="9.5" style="128" customWidth="1"/>
    <col min="7685" max="7685" width="1.25" style="128" customWidth="1"/>
    <col min="7686" max="7930" width="9" style="128"/>
    <col min="7931" max="7931" width="8.125" style="128" customWidth="1"/>
    <col min="7932" max="7932" width="13" style="128" bestFit="1" customWidth="1"/>
    <col min="7933" max="7933" width="8.875" style="128" customWidth="1"/>
    <col min="7934" max="7934" width="7.375" style="128" customWidth="1"/>
    <col min="7935" max="7935" width="8.375" style="128" customWidth="1"/>
    <col min="7936" max="7936" width="9.25" style="128" customWidth="1"/>
    <col min="7937" max="7937" width="9.375" style="128" customWidth="1"/>
    <col min="7938" max="7938" width="9.125" style="128" customWidth="1"/>
    <col min="7939" max="7939" width="8.25" style="128" customWidth="1"/>
    <col min="7940" max="7940" width="9.5" style="128" customWidth="1"/>
    <col min="7941" max="7941" width="1.25" style="128" customWidth="1"/>
    <col min="7942" max="8186" width="9" style="128"/>
    <col min="8187" max="8187" width="8.125" style="128" customWidth="1"/>
    <col min="8188" max="8188" width="13" style="128" bestFit="1" customWidth="1"/>
    <col min="8189" max="8189" width="8.875" style="128" customWidth="1"/>
    <col min="8190" max="8190" width="7.375" style="128" customWidth="1"/>
    <col min="8191" max="8191" width="8.375" style="128" customWidth="1"/>
    <col min="8192" max="8192" width="9.25" style="128" customWidth="1"/>
    <col min="8193" max="8193" width="9.375" style="128" customWidth="1"/>
    <col min="8194" max="8194" width="9.125" style="128" customWidth="1"/>
    <col min="8195" max="8195" width="8.25" style="128" customWidth="1"/>
    <col min="8196" max="8196" width="9.5" style="128" customWidth="1"/>
    <col min="8197" max="8197" width="1.25" style="128" customWidth="1"/>
    <col min="8198" max="8442" width="9" style="128"/>
    <col min="8443" max="8443" width="8.125" style="128" customWidth="1"/>
    <col min="8444" max="8444" width="13" style="128" bestFit="1" customWidth="1"/>
    <col min="8445" max="8445" width="8.875" style="128" customWidth="1"/>
    <col min="8446" max="8446" width="7.375" style="128" customWidth="1"/>
    <col min="8447" max="8447" width="8.375" style="128" customWidth="1"/>
    <col min="8448" max="8448" width="9.25" style="128" customWidth="1"/>
    <col min="8449" max="8449" width="9.375" style="128" customWidth="1"/>
    <col min="8450" max="8450" width="9.125" style="128" customWidth="1"/>
    <col min="8451" max="8451" width="8.25" style="128" customWidth="1"/>
    <col min="8452" max="8452" width="9.5" style="128" customWidth="1"/>
    <col min="8453" max="8453" width="1.25" style="128" customWidth="1"/>
    <col min="8454" max="8698" width="9" style="128"/>
    <col min="8699" max="8699" width="8.125" style="128" customWidth="1"/>
    <col min="8700" max="8700" width="13" style="128" bestFit="1" customWidth="1"/>
    <col min="8701" max="8701" width="8.875" style="128" customWidth="1"/>
    <col min="8702" max="8702" width="7.375" style="128" customWidth="1"/>
    <col min="8703" max="8703" width="8.375" style="128" customWidth="1"/>
    <col min="8704" max="8704" width="9.25" style="128" customWidth="1"/>
    <col min="8705" max="8705" width="9.375" style="128" customWidth="1"/>
    <col min="8706" max="8706" width="9.125" style="128" customWidth="1"/>
    <col min="8707" max="8707" width="8.25" style="128" customWidth="1"/>
    <col min="8708" max="8708" width="9.5" style="128" customWidth="1"/>
    <col min="8709" max="8709" width="1.25" style="128" customWidth="1"/>
    <col min="8710" max="8954" width="9" style="128"/>
    <col min="8955" max="8955" width="8.125" style="128" customWidth="1"/>
    <col min="8956" max="8956" width="13" style="128" bestFit="1" customWidth="1"/>
    <col min="8957" max="8957" width="8.875" style="128" customWidth="1"/>
    <col min="8958" max="8958" width="7.375" style="128" customWidth="1"/>
    <col min="8959" max="8959" width="8.375" style="128" customWidth="1"/>
    <col min="8960" max="8960" width="9.25" style="128" customWidth="1"/>
    <col min="8961" max="8961" width="9.375" style="128" customWidth="1"/>
    <col min="8962" max="8962" width="9.125" style="128" customWidth="1"/>
    <col min="8963" max="8963" width="8.25" style="128" customWidth="1"/>
    <col min="8964" max="8964" width="9.5" style="128" customWidth="1"/>
    <col min="8965" max="8965" width="1.25" style="128" customWidth="1"/>
    <col min="8966" max="9210" width="9" style="128"/>
    <col min="9211" max="9211" width="8.125" style="128" customWidth="1"/>
    <col min="9212" max="9212" width="13" style="128" bestFit="1" customWidth="1"/>
    <col min="9213" max="9213" width="8.875" style="128" customWidth="1"/>
    <col min="9214" max="9214" width="7.375" style="128" customWidth="1"/>
    <col min="9215" max="9215" width="8.375" style="128" customWidth="1"/>
    <col min="9216" max="9216" width="9.25" style="128" customWidth="1"/>
    <col min="9217" max="9217" width="9.375" style="128" customWidth="1"/>
    <col min="9218" max="9218" width="9.125" style="128" customWidth="1"/>
    <col min="9219" max="9219" width="8.25" style="128" customWidth="1"/>
    <col min="9220" max="9220" width="9.5" style="128" customWidth="1"/>
    <col min="9221" max="9221" width="1.25" style="128" customWidth="1"/>
    <col min="9222" max="9466" width="9" style="128"/>
    <col min="9467" max="9467" width="8.125" style="128" customWidth="1"/>
    <col min="9468" max="9468" width="13" style="128" bestFit="1" customWidth="1"/>
    <col min="9469" max="9469" width="8.875" style="128" customWidth="1"/>
    <col min="9470" max="9470" width="7.375" style="128" customWidth="1"/>
    <col min="9471" max="9471" width="8.375" style="128" customWidth="1"/>
    <col min="9472" max="9472" width="9.25" style="128" customWidth="1"/>
    <col min="9473" max="9473" width="9.375" style="128" customWidth="1"/>
    <col min="9474" max="9474" width="9.125" style="128" customWidth="1"/>
    <col min="9475" max="9475" width="8.25" style="128" customWidth="1"/>
    <col min="9476" max="9476" width="9.5" style="128" customWidth="1"/>
    <col min="9477" max="9477" width="1.25" style="128" customWidth="1"/>
    <col min="9478" max="9722" width="9" style="128"/>
    <col min="9723" max="9723" width="8.125" style="128" customWidth="1"/>
    <col min="9724" max="9724" width="13" style="128" bestFit="1" customWidth="1"/>
    <col min="9725" max="9725" width="8.875" style="128" customWidth="1"/>
    <col min="9726" max="9726" width="7.375" style="128" customWidth="1"/>
    <col min="9727" max="9727" width="8.375" style="128" customWidth="1"/>
    <col min="9728" max="9728" width="9.25" style="128" customWidth="1"/>
    <col min="9729" max="9729" width="9.375" style="128" customWidth="1"/>
    <col min="9730" max="9730" width="9.125" style="128" customWidth="1"/>
    <col min="9731" max="9731" width="8.25" style="128" customWidth="1"/>
    <col min="9732" max="9732" width="9.5" style="128" customWidth="1"/>
    <col min="9733" max="9733" width="1.25" style="128" customWidth="1"/>
    <col min="9734" max="9978" width="9" style="128"/>
    <col min="9979" max="9979" width="8.125" style="128" customWidth="1"/>
    <col min="9980" max="9980" width="13" style="128" bestFit="1" customWidth="1"/>
    <col min="9981" max="9981" width="8.875" style="128" customWidth="1"/>
    <col min="9982" max="9982" width="7.375" style="128" customWidth="1"/>
    <col min="9983" max="9983" width="8.375" style="128" customWidth="1"/>
    <col min="9984" max="9984" width="9.25" style="128" customWidth="1"/>
    <col min="9985" max="9985" width="9.375" style="128" customWidth="1"/>
    <col min="9986" max="9986" width="9.125" style="128" customWidth="1"/>
    <col min="9987" max="9987" width="8.25" style="128" customWidth="1"/>
    <col min="9988" max="9988" width="9.5" style="128" customWidth="1"/>
    <col min="9989" max="9989" width="1.25" style="128" customWidth="1"/>
    <col min="9990" max="10234" width="9" style="128"/>
    <col min="10235" max="10235" width="8.125" style="128" customWidth="1"/>
    <col min="10236" max="10236" width="13" style="128" bestFit="1" customWidth="1"/>
    <col min="10237" max="10237" width="8.875" style="128" customWidth="1"/>
    <col min="10238" max="10238" width="7.375" style="128" customWidth="1"/>
    <col min="10239" max="10239" width="8.375" style="128" customWidth="1"/>
    <col min="10240" max="10240" width="9.25" style="128" customWidth="1"/>
    <col min="10241" max="10241" width="9.375" style="128" customWidth="1"/>
    <col min="10242" max="10242" width="9.125" style="128" customWidth="1"/>
    <col min="10243" max="10243" width="8.25" style="128" customWidth="1"/>
    <col min="10244" max="10244" width="9.5" style="128" customWidth="1"/>
    <col min="10245" max="10245" width="1.25" style="128" customWidth="1"/>
    <col min="10246" max="10490" width="9" style="128"/>
    <col min="10491" max="10491" width="8.125" style="128" customWidth="1"/>
    <col min="10492" max="10492" width="13" style="128" bestFit="1" customWidth="1"/>
    <col min="10493" max="10493" width="8.875" style="128" customWidth="1"/>
    <col min="10494" max="10494" width="7.375" style="128" customWidth="1"/>
    <col min="10495" max="10495" width="8.375" style="128" customWidth="1"/>
    <col min="10496" max="10496" width="9.25" style="128" customWidth="1"/>
    <col min="10497" max="10497" width="9.375" style="128" customWidth="1"/>
    <col min="10498" max="10498" width="9.125" style="128" customWidth="1"/>
    <col min="10499" max="10499" width="8.25" style="128" customWidth="1"/>
    <col min="10500" max="10500" width="9.5" style="128" customWidth="1"/>
    <col min="10501" max="10501" width="1.25" style="128" customWidth="1"/>
    <col min="10502" max="10746" width="9" style="128"/>
    <col min="10747" max="10747" width="8.125" style="128" customWidth="1"/>
    <col min="10748" max="10748" width="13" style="128" bestFit="1" customWidth="1"/>
    <col min="10749" max="10749" width="8.875" style="128" customWidth="1"/>
    <col min="10750" max="10750" width="7.375" style="128" customWidth="1"/>
    <col min="10751" max="10751" width="8.375" style="128" customWidth="1"/>
    <col min="10752" max="10752" width="9.25" style="128" customWidth="1"/>
    <col min="10753" max="10753" width="9.375" style="128" customWidth="1"/>
    <col min="10754" max="10754" width="9.125" style="128" customWidth="1"/>
    <col min="10755" max="10755" width="8.25" style="128" customWidth="1"/>
    <col min="10756" max="10756" width="9.5" style="128" customWidth="1"/>
    <col min="10757" max="10757" width="1.25" style="128" customWidth="1"/>
    <col min="10758" max="11002" width="9" style="128"/>
    <col min="11003" max="11003" width="8.125" style="128" customWidth="1"/>
    <col min="11004" max="11004" width="13" style="128" bestFit="1" customWidth="1"/>
    <col min="11005" max="11005" width="8.875" style="128" customWidth="1"/>
    <col min="11006" max="11006" width="7.375" style="128" customWidth="1"/>
    <col min="11007" max="11007" width="8.375" style="128" customWidth="1"/>
    <col min="11008" max="11008" width="9.25" style="128" customWidth="1"/>
    <col min="11009" max="11009" width="9.375" style="128" customWidth="1"/>
    <col min="11010" max="11010" width="9.125" style="128" customWidth="1"/>
    <col min="11011" max="11011" width="8.25" style="128" customWidth="1"/>
    <col min="11012" max="11012" width="9.5" style="128" customWidth="1"/>
    <col min="11013" max="11013" width="1.25" style="128" customWidth="1"/>
    <col min="11014" max="11258" width="9" style="128"/>
    <col min="11259" max="11259" width="8.125" style="128" customWidth="1"/>
    <col min="11260" max="11260" width="13" style="128" bestFit="1" customWidth="1"/>
    <col min="11261" max="11261" width="8.875" style="128" customWidth="1"/>
    <col min="11262" max="11262" width="7.375" style="128" customWidth="1"/>
    <col min="11263" max="11263" width="8.375" style="128" customWidth="1"/>
    <col min="11264" max="11264" width="9.25" style="128" customWidth="1"/>
    <col min="11265" max="11265" width="9.375" style="128" customWidth="1"/>
    <col min="11266" max="11266" width="9.125" style="128" customWidth="1"/>
    <col min="11267" max="11267" width="8.25" style="128" customWidth="1"/>
    <col min="11268" max="11268" width="9.5" style="128" customWidth="1"/>
    <col min="11269" max="11269" width="1.25" style="128" customWidth="1"/>
    <col min="11270" max="11514" width="9" style="128"/>
    <col min="11515" max="11515" width="8.125" style="128" customWidth="1"/>
    <col min="11516" max="11516" width="13" style="128" bestFit="1" customWidth="1"/>
    <col min="11517" max="11517" width="8.875" style="128" customWidth="1"/>
    <col min="11518" max="11518" width="7.375" style="128" customWidth="1"/>
    <col min="11519" max="11519" width="8.375" style="128" customWidth="1"/>
    <col min="11520" max="11520" width="9.25" style="128" customWidth="1"/>
    <col min="11521" max="11521" width="9.375" style="128" customWidth="1"/>
    <col min="11522" max="11522" width="9.125" style="128" customWidth="1"/>
    <col min="11523" max="11523" width="8.25" style="128" customWidth="1"/>
    <col min="11524" max="11524" width="9.5" style="128" customWidth="1"/>
    <col min="11525" max="11525" width="1.25" style="128" customWidth="1"/>
    <col min="11526" max="11770" width="9" style="128"/>
    <col min="11771" max="11771" width="8.125" style="128" customWidth="1"/>
    <col min="11772" max="11772" width="13" style="128" bestFit="1" customWidth="1"/>
    <col min="11773" max="11773" width="8.875" style="128" customWidth="1"/>
    <col min="11774" max="11774" width="7.375" style="128" customWidth="1"/>
    <col min="11775" max="11775" width="8.375" style="128" customWidth="1"/>
    <col min="11776" max="11776" width="9.25" style="128" customWidth="1"/>
    <col min="11777" max="11777" width="9.375" style="128" customWidth="1"/>
    <col min="11778" max="11778" width="9.125" style="128" customWidth="1"/>
    <col min="11779" max="11779" width="8.25" style="128" customWidth="1"/>
    <col min="11780" max="11780" width="9.5" style="128" customWidth="1"/>
    <col min="11781" max="11781" width="1.25" style="128" customWidth="1"/>
    <col min="11782" max="12026" width="9" style="128"/>
    <col min="12027" max="12027" width="8.125" style="128" customWidth="1"/>
    <col min="12028" max="12028" width="13" style="128" bestFit="1" customWidth="1"/>
    <col min="12029" max="12029" width="8.875" style="128" customWidth="1"/>
    <col min="12030" max="12030" width="7.375" style="128" customWidth="1"/>
    <col min="12031" max="12031" width="8.375" style="128" customWidth="1"/>
    <col min="12032" max="12032" width="9.25" style="128" customWidth="1"/>
    <col min="12033" max="12033" width="9.375" style="128" customWidth="1"/>
    <col min="12034" max="12034" width="9.125" style="128" customWidth="1"/>
    <col min="12035" max="12035" width="8.25" style="128" customWidth="1"/>
    <col min="12036" max="12036" width="9.5" style="128" customWidth="1"/>
    <col min="12037" max="12037" width="1.25" style="128" customWidth="1"/>
    <col min="12038" max="12282" width="9" style="128"/>
    <col min="12283" max="12283" width="8.125" style="128" customWidth="1"/>
    <col min="12284" max="12284" width="13" style="128" bestFit="1" customWidth="1"/>
    <col min="12285" max="12285" width="8.875" style="128" customWidth="1"/>
    <col min="12286" max="12286" width="7.375" style="128" customWidth="1"/>
    <col min="12287" max="12287" width="8.375" style="128" customWidth="1"/>
    <col min="12288" max="12288" width="9.25" style="128" customWidth="1"/>
    <col min="12289" max="12289" width="9.375" style="128" customWidth="1"/>
    <col min="12290" max="12290" width="9.125" style="128" customWidth="1"/>
    <col min="12291" max="12291" width="8.25" style="128" customWidth="1"/>
    <col min="12292" max="12292" width="9.5" style="128" customWidth="1"/>
    <col min="12293" max="12293" width="1.25" style="128" customWidth="1"/>
    <col min="12294" max="12538" width="9" style="128"/>
    <col min="12539" max="12539" width="8.125" style="128" customWidth="1"/>
    <col min="12540" max="12540" width="13" style="128" bestFit="1" customWidth="1"/>
    <col min="12541" max="12541" width="8.875" style="128" customWidth="1"/>
    <col min="12542" max="12542" width="7.375" style="128" customWidth="1"/>
    <col min="12543" max="12543" width="8.375" style="128" customWidth="1"/>
    <col min="12544" max="12544" width="9.25" style="128" customWidth="1"/>
    <col min="12545" max="12545" width="9.375" style="128" customWidth="1"/>
    <col min="12546" max="12546" width="9.125" style="128" customWidth="1"/>
    <col min="12547" max="12547" width="8.25" style="128" customWidth="1"/>
    <col min="12548" max="12548" width="9.5" style="128" customWidth="1"/>
    <col min="12549" max="12549" width="1.25" style="128" customWidth="1"/>
    <col min="12550" max="12794" width="9" style="128"/>
    <col min="12795" max="12795" width="8.125" style="128" customWidth="1"/>
    <col min="12796" max="12796" width="13" style="128" bestFit="1" customWidth="1"/>
    <col min="12797" max="12797" width="8.875" style="128" customWidth="1"/>
    <col min="12798" max="12798" width="7.375" style="128" customWidth="1"/>
    <col min="12799" max="12799" width="8.375" style="128" customWidth="1"/>
    <col min="12800" max="12800" width="9.25" style="128" customWidth="1"/>
    <col min="12801" max="12801" width="9.375" style="128" customWidth="1"/>
    <col min="12802" max="12802" width="9.125" style="128" customWidth="1"/>
    <col min="12803" max="12803" width="8.25" style="128" customWidth="1"/>
    <col min="12804" max="12804" width="9.5" style="128" customWidth="1"/>
    <col min="12805" max="12805" width="1.25" style="128" customWidth="1"/>
    <col min="12806" max="13050" width="9" style="128"/>
    <col min="13051" max="13051" width="8.125" style="128" customWidth="1"/>
    <col min="13052" max="13052" width="13" style="128" bestFit="1" customWidth="1"/>
    <col min="13053" max="13053" width="8.875" style="128" customWidth="1"/>
    <col min="13054" max="13054" width="7.375" style="128" customWidth="1"/>
    <col min="13055" max="13055" width="8.375" style="128" customWidth="1"/>
    <col min="13056" max="13056" width="9.25" style="128" customWidth="1"/>
    <col min="13057" max="13057" width="9.375" style="128" customWidth="1"/>
    <col min="13058" max="13058" width="9.125" style="128" customWidth="1"/>
    <col min="13059" max="13059" width="8.25" style="128" customWidth="1"/>
    <col min="13060" max="13060" width="9.5" style="128" customWidth="1"/>
    <col min="13061" max="13061" width="1.25" style="128" customWidth="1"/>
    <col min="13062" max="13306" width="9" style="128"/>
    <col min="13307" max="13307" width="8.125" style="128" customWidth="1"/>
    <col min="13308" max="13308" width="13" style="128" bestFit="1" customWidth="1"/>
    <col min="13309" max="13309" width="8.875" style="128" customWidth="1"/>
    <col min="13310" max="13310" width="7.375" style="128" customWidth="1"/>
    <col min="13311" max="13311" width="8.375" style="128" customWidth="1"/>
    <col min="13312" max="13312" width="9.25" style="128" customWidth="1"/>
    <col min="13313" max="13313" width="9.375" style="128" customWidth="1"/>
    <col min="13314" max="13314" width="9.125" style="128" customWidth="1"/>
    <col min="13315" max="13315" width="8.25" style="128" customWidth="1"/>
    <col min="13316" max="13316" width="9.5" style="128" customWidth="1"/>
    <col min="13317" max="13317" width="1.25" style="128" customWidth="1"/>
    <col min="13318" max="13562" width="9" style="128"/>
    <col min="13563" max="13563" width="8.125" style="128" customWidth="1"/>
    <col min="13564" max="13564" width="13" style="128" bestFit="1" customWidth="1"/>
    <col min="13565" max="13565" width="8.875" style="128" customWidth="1"/>
    <col min="13566" max="13566" width="7.375" style="128" customWidth="1"/>
    <col min="13567" max="13567" width="8.375" style="128" customWidth="1"/>
    <col min="13568" max="13568" width="9.25" style="128" customWidth="1"/>
    <col min="13569" max="13569" width="9.375" style="128" customWidth="1"/>
    <col min="13570" max="13570" width="9.125" style="128" customWidth="1"/>
    <col min="13571" max="13571" width="8.25" style="128" customWidth="1"/>
    <col min="13572" max="13572" width="9.5" style="128" customWidth="1"/>
    <col min="13573" max="13573" width="1.25" style="128" customWidth="1"/>
    <col min="13574" max="13818" width="9" style="128"/>
    <col min="13819" max="13819" width="8.125" style="128" customWidth="1"/>
    <col min="13820" max="13820" width="13" style="128" bestFit="1" customWidth="1"/>
    <col min="13821" max="13821" width="8.875" style="128" customWidth="1"/>
    <col min="13822" max="13822" width="7.375" style="128" customWidth="1"/>
    <col min="13823" max="13823" width="8.375" style="128" customWidth="1"/>
    <col min="13824" max="13824" width="9.25" style="128" customWidth="1"/>
    <col min="13825" max="13825" width="9.375" style="128" customWidth="1"/>
    <col min="13826" max="13826" width="9.125" style="128" customWidth="1"/>
    <col min="13827" max="13827" width="8.25" style="128" customWidth="1"/>
    <col min="13828" max="13828" width="9.5" style="128" customWidth="1"/>
    <col min="13829" max="13829" width="1.25" style="128" customWidth="1"/>
    <col min="13830" max="14074" width="9" style="128"/>
    <col min="14075" max="14075" width="8.125" style="128" customWidth="1"/>
    <col min="14076" max="14076" width="13" style="128" bestFit="1" customWidth="1"/>
    <col min="14077" max="14077" width="8.875" style="128" customWidth="1"/>
    <col min="14078" max="14078" width="7.375" style="128" customWidth="1"/>
    <col min="14079" max="14079" width="8.375" style="128" customWidth="1"/>
    <col min="14080" max="14080" width="9.25" style="128" customWidth="1"/>
    <col min="14081" max="14081" width="9.375" style="128" customWidth="1"/>
    <col min="14082" max="14082" width="9.125" style="128" customWidth="1"/>
    <col min="14083" max="14083" width="8.25" style="128" customWidth="1"/>
    <col min="14084" max="14084" width="9.5" style="128" customWidth="1"/>
    <col min="14085" max="14085" width="1.25" style="128" customWidth="1"/>
    <col min="14086" max="14330" width="9" style="128"/>
    <col min="14331" max="14331" width="8.125" style="128" customWidth="1"/>
    <col min="14332" max="14332" width="13" style="128" bestFit="1" customWidth="1"/>
    <col min="14333" max="14333" width="8.875" style="128" customWidth="1"/>
    <col min="14334" max="14334" width="7.375" style="128" customWidth="1"/>
    <col min="14335" max="14335" width="8.375" style="128" customWidth="1"/>
    <col min="14336" max="14336" width="9.25" style="128" customWidth="1"/>
    <col min="14337" max="14337" width="9.375" style="128" customWidth="1"/>
    <col min="14338" max="14338" width="9.125" style="128" customWidth="1"/>
    <col min="14339" max="14339" width="8.25" style="128" customWidth="1"/>
    <col min="14340" max="14340" width="9.5" style="128" customWidth="1"/>
    <col min="14341" max="14341" width="1.25" style="128" customWidth="1"/>
    <col min="14342" max="14586" width="9" style="128"/>
    <col min="14587" max="14587" width="8.125" style="128" customWidth="1"/>
    <col min="14588" max="14588" width="13" style="128" bestFit="1" customWidth="1"/>
    <col min="14589" max="14589" width="8.875" style="128" customWidth="1"/>
    <col min="14590" max="14590" width="7.375" style="128" customWidth="1"/>
    <col min="14591" max="14591" width="8.375" style="128" customWidth="1"/>
    <col min="14592" max="14592" width="9.25" style="128" customWidth="1"/>
    <col min="14593" max="14593" width="9.375" style="128" customWidth="1"/>
    <col min="14594" max="14594" width="9.125" style="128" customWidth="1"/>
    <col min="14595" max="14595" width="8.25" style="128" customWidth="1"/>
    <col min="14596" max="14596" width="9.5" style="128" customWidth="1"/>
    <col min="14597" max="14597" width="1.25" style="128" customWidth="1"/>
    <col min="14598" max="14842" width="9" style="128"/>
    <col min="14843" max="14843" width="8.125" style="128" customWidth="1"/>
    <col min="14844" max="14844" width="13" style="128" bestFit="1" customWidth="1"/>
    <col min="14845" max="14845" width="8.875" style="128" customWidth="1"/>
    <col min="14846" max="14846" width="7.375" style="128" customWidth="1"/>
    <col min="14847" max="14847" width="8.375" style="128" customWidth="1"/>
    <col min="14848" max="14848" width="9.25" style="128" customWidth="1"/>
    <col min="14849" max="14849" width="9.375" style="128" customWidth="1"/>
    <col min="14850" max="14850" width="9.125" style="128" customWidth="1"/>
    <col min="14851" max="14851" width="8.25" style="128" customWidth="1"/>
    <col min="14852" max="14852" width="9.5" style="128" customWidth="1"/>
    <col min="14853" max="14853" width="1.25" style="128" customWidth="1"/>
    <col min="14854" max="15098" width="9" style="128"/>
    <col min="15099" max="15099" width="8.125" style="128" customWidth="1"/>
    <col min="15100" max="15100" width="13" style="128" bestFit="1" customWidth="1"/>
    <col min="15101" max="15101" width="8.875" style="128" customWidth="1"/>
    <col min="15102" max="15102" width="7.375" style="128" customWidth="1"/>
    <col min="15103" max="15103" width="8.375" style="128" customWidth="1"/>
    <col min="15104" max="15104" width="9.25" style="128" customWidth="1"/>
    <col min="15105" max="15105" width="9.375" style="128" customWidth="1"/>
    <col min="15106" max="15106" width="9.125" style="128" customWidth="1"/>
    <col min="15107" max="15107" width="8.25" style="128" customWidth="1"/>
    <col min="15108" max="15108" width="9.5" style="128" customWidth="1"/>
    <col min="15109" max="15109" width="1.25" style="128" customWidth="1"/>
    <col min="15110" max="15354" width="9" style="128"/>
    <col min="15355" max="15355" width="8.125" style="128" customWidth="1"/>
    <col min="15356" max="15356" width="13" style="128" bestFit="1" customWidth="1"/>
    <col min="15357" max="15357" width="8.875" style="128" customWidth="1"/>
    <col min="15358" max="15358" width="7.375" style="128" customWidth="1"/>
    <col min="15359" max="15359" width="8.375" style="128" customWidth="1"/>
    <col min="15360" max="15360" width="9.25" style="128" customWidth="1"/>
    <col min="15361" max="15361" width="9.375" style="128" customWidth="1"/>
    <col min="15362" max="15362" width="9.125" style="128" customWidth="1"/>
    <col min="15363" max="15363" width="8.25" style="128" customWidth="1"/>
    <col min="15364" max="15364" width="9.5" style="128" customWidth="1"/>
    <col min="15365" max="15365" width="1.25" style="128" customWidth="1"/>
    <col min="15366" max="15610" width="9" style="128"/>
    <col min="15611" max="15611" width="8.125" style="128" customWidth="1"/>
    <col min="15612" max="15612" width="13" style="128" bestFit="1" customWidth="1"/>
    <col min="15613" max="15613" width="8.875" style="128" customWidth="1"/>
    <col min="15614" max="15614" width="7.375" style="128" customWidth="1"/>
    <col min="15615" max="15615" width="8.375" style="128" customWidth="1"/>
    <col min="15616" max="15616" width="9.25" style="128" customWidth="1"/>
    <col min="15617" max="15617" width="9.375" style="128" customWidth="1"/>
    <col min="15618" max="15618" width="9.125" style="128" customWidth="1"/>
    <col min="15619" max="15619" width="8.25" style="128" customWidth="1"/>
    <col min="15620" max="15620" width="9.5" style="128" customWidth="1"/>
    <col min="15621" max="15621" width="1.25" style="128" customWidth="1"/>
    <col min="15622" max="15866" width="9" style="128"/>
    <col min="15867" max="15867" width="8.125" style="128" customWidth="1"/>
    <col min="15868" max="15868" width="13" style="128" bestFit="1" customWidth="1"/>
    <col min="15869" max="15869" width="8.875" style="128" customWidth="1"/>
    <col min="15870" max="15870" width="7.375" style="128" customWidth="1"/>
    <col min="15871" max="15871" width="8.375" style="128" customWidth="1"/>
    <col min="15872" max="15872" width="9.25" style="128" customWidth="1"/>
    <col min="15873" max="15873" width="9.375" style="128" customWidth="1"/>
    <col min="15874" max="15874" width="9.125" style="128" customWidth="1"/>
    <col min="15875" max="15875" width="8.25" style="128" customWidth="1"/>
    <col min="15876" max="15876" width="9.5" style="128" customWidth="1"/>
    <col min="15877" max="15877" width="1.25" style="128" customWidth="1"/>
    <col min="15878" max="16122" width="9" style="128"/>
    <col min="16123" max="16123" width="8.125" style="128" customWidth="1"/>
    <col min="16124" max="16124" width="13" style="128" bestFit="1" customWidth="1"/>
    <col min="16125" max="16125" width="8.875" style="128" customWidth="1"/>
    <col min="16126" max="16126" width="7.375" style="128" customWidth="1"/>
    <col min="16127" max="16127" width="8.375" style="128" customWidth="1"/>
    <col min="16128" max="16128" width="9.25" style="128" customWidth="1"/>
    <col min="16129" max="16129" width="9.375" style="128" customWidth="1"/>
    <col min="16130" max="16130" width="9.125" style="128" customWidth="1"/>
    <col min="16131" max="16131" width="8.25" style="128" customWidth="1"/>
    <col min="16132" max="16132" width="9.5" style="128" customWidth="1"/>
    <col min="16133" max="16133" width="1.25" style="128" customWidth="1"/>
    <col min="16134" max="16384" width="9" style="128"/>
  </cols>
  <sheetData>
    <row r="1" spans="1:12" ht="16.5" customHeight="1" x14ac:dyDescent="0.3">
      <c r="A1" s="425" t="s">
        <v>232</v>
      </c>
      <c r="B1" s="425"/>
      <c r="C1" s="425"/>
      <c r="D1" s="425"/>
    </row>
    <row r="2" spans="1:12" x14ac:dyDescent="0.25">
      <c r="A2" s="130" t="s">
        <v>206</v>
      </c>
      <c r="B2" s="130"/>
      <c r="C2" s="130"/>
      <c r="D2" s="130"/>
    </row>
    <row r="3" spans="1:12" ht="15.95" customHeight="1" x14ac:dyDescent="0.25">
      <c r="A3" s="426" t="s">
        <v>221</v>
      </c>
      <c r="B3" s="431" t="s">
        <v>233</v>
      </c>
      <c r="C3" s="432"/>
      <c r="D3" s="433"/>
    </row>
    <row r="4" spans="1:12" ht="15.95" customHeight="1" x14ac:dyDescent="0.25">
      <c r="A4" s="427"/>
      <c r="B4" s="434"/>
      <c r="C4" s="435"/>
      <c r="D4" s="436"/>
      <c r="G4" s="182"/>
      <c r="H4" s="182"/>
    </row>
    <row r="5" spans="1:12" ht="15.95" customHeight="1" x14ac:dyDescent="0.25">
      <c r="A5" s="428"/>
      <c r="B5" s="183"/>
      <c r="C5" s="184" t="s">
        <v>234</v>
      </c>
      <c r="D5" s="184" t="s">
        <v>235</v>
      </c>
    </row>
    <row r="6" spans="1:12" ht="13.5" customHeight="1" x14ac:dyDescent="0.25">
      <c r="A6" s="166"/>
      <c r="B6" s="185"/>
      <c r="C6" s="185"/>
      <c r="D6" s="185"/>
      <c r="F6" s="169"/>
      <c r="G6" s="186"/>
      <c r="H6" s="170"/>
    </row>
    <row r="7" spans="1:12" ht="13.5" customHeight="1" x14ac:dyDescent="0.25">
      <c r="A7" s="171">
        <v>40909</v>
      </c>
      <c r="B7" s="185">
        <v>136.89166666666671</v>
      </c>
      <c r="C7" s="185">
        <v>156.80833333333331</v>
      </c>
      <c r="D7" s="185">
        <v>119.9666666666667</v>
      </c>
      <c r="F7" s="169"/>
      <c r="G7" s="186"/>
      <c r="H7" s="170"/>
    </row>
    <row r="8" spans="1:12" ht="13.5" customHeight="1" x14ac:dyDescent="0.25">
      <c r="A8" s="171">
        <f>DATE(YEAR(A7)+1,MONTH(A7),1)</f>
        <v>41275</v>
      </c>
      <c r="B8" s="185">
        <v>136.15</v>
      </c>
      <c r="C8" s="185">
        <v>150.3666666666667</v>
      </c>
      <c r="D8" s="185">
        <v>123.9666666666667</v>
      </c>
      <c r="F8" s="169"/>
      <c r="G8" s="186"/>
      <c r="H8" s="170"/>
    </row>
    <row r="9" spans="1:12" ht="13.5" customHeight="1" x14ac:dyDescent="0.25">
      <c r="A9" s="171">
        <f t="shared" ref="A9:A20" si="0">DATE(YEAR(A8)+1,MONTH(A8),1)</f>
        <v>41640</v>
      </c>
      <c r="B9" s="185">
        <v>129.97499999999999</v>
      </c>
      <c r="C9" s="185">
        <v>140.2416666666667</v>
      </c>
      <c r="D9" s="185">
        <v>121.175</v>
      </c>
      <c r="F9" s="169"/>
      <c r="G9" s="186"/>
      <c r="H9" s="170"/>
    </row>
    <row r="10" spans="1:12" ht="13.5" customHeight="1" x14ac:dyDescent="0.25">
      <c r="A10" s="171">
        <f t="shared" si="0"/>
        <v>42005</v>
      </c>
      <c r="B10" s="185">
        <v>126.55</v>
      </c>
      <c r="C10" s="185">
        <v>139.95833333333329</v>
      </c>
      <c r="D10" s="185">
        <v>115</v>
      </c>
      <c r="F10" s="169"/>
      <c r="G10" s="186"/>
      <c r="H10" s="170"/>
    </row>
    <row r="11" spans="1:12" ht="13.5" customHeight="1" x14ac:dyDescent="0.25">
      <c r="A11" s="171">
        <f t="shared" si="0"/>
        <v>42370</v>
      </c>
      <c r="B11" s="185">
        <v>121.2833333333333</v>
      </c>
      <c r="C11" s="185">
        <v>130.22499999999999</v>
      </c>
      <c r="D11" s="185">
        <v>113.625</v>
      </c>
      <c r="F11" s="169"/>
      <c r="G11" s="186"/>
      <c r="H11" s="170"/>
    </row>
    <row r="12" spans="1:12" ht="13.5" customHeight="1" x14ac:dyDescent="0.25">
      <c r="A12" s="171">
        <f t="shared" si="0"/>
        <v>42736</v>
      </c>
      <c r="B12" s="185">
        <v>116.075</v>
      </c>
      <c r="C12" s="185">
        <v>122.44166666666671</v>
      </c>
      <c r="D12" s="185">
        <v>110.6</v>
      </c>
      <c r="F12" s="169"/>
      <c r="G12" s="186"/>
      <c r="H12" s="170"/>
    </row>
    <row r="13" spans="1:12" ht="13.5" customHeight="1" x14ac:dyDescent="0.25">
      <c r="A13" s="171">
        <f t="shared" si="0"/>
        <v>43101</v>
      </c>
      <c r="B13" s="185">
        <v>109.425</v>
      </c>
      <c r="C13" s="185">
        <v>116.4</v>
      </c>
      <c r="D13" s="185">
        <v>103.44166666666671</v>
      </c>
      <c r="F13" s="169"/>
      <c r="G13" s="186"/>
      <c r="H13" s="170"/>
    </row>
    <row r="14" spans="1:12" ht="13.5" customHeight="1" x14ac:dyDescent="0.25">
      <c r="A14" s="171">
        <f t="shared" si="0"/>
        <v>43466</v>
      </c>
      <c r="B14" s="185">
        <v>106.7583333333333</v>
      </c>
      <c r="C14" s="185">
        <v>113.9166666666667</v>
      </c>
      <c r="D14" s="185">
        <v>100.6583333333333</v>
      </c>
      <c r="F14" s="169"/>
      <c r="G14" s="186"/>
      <c r="H14" s="170"/>
      <c r="I14" s="170"/>
      <c r="J14" s="170"/>
      <c r="K14" s="170"/>
      <c r="L14" s="170"/>
    </row>
    <row r="15" spans="1:12" ht="13.5" customHeight="1" x14ac:dyDescent="0.25">
      <c r="A15" s="171">
        <f t="shared" si="0"/>
        <v>43831</v>
      </c>
      <c r="B15" s="185">
        <v>100</v>
      </c>
      <c r="C15" s="185">
        <v>100.0083333333333</v>
      </c>
      <c r="D15" s="185">
        <v>100</v>
      </c>
      <c r="F15" s="169"/>
      <c r="G15" s="186"/>
    </row>
    <row r="16" spans="1:12" s="144" customFormat="1" ht="12" customHeight="1" x14ac:dyDescent="0.25">
      <c r="A16" s="171">
        <f t="shared" si="0"/>
        <v>44197</v>
      </c>
      <c r="B16" s="185">
        <v>102.325</v>
      </c>
      <c r="C16" s="185">
        <v>109.95</v>
      </c>
      <c r="D16" s="185">
        <v>95.783333333333303</v>
      </c>
      <c r="G16" s="186"/>
      <c r="H16" s="128"/>
      <c r="I16" s="128"/>
      <c r="J16" s="128"/>
      <c r="K16" s="128"/>
      <c r="L16" s="128"/>
    </row>
    <row r="17" spans="1:12" s="144" customFormat="1" ht="12" customHeight="1" x14ac:dyDescent="0.25">
      <c r="A17" s="171">
        <f t="shared" si="0"/>
        <v>44562</v>
      </c>
      <c r="B17" s="185">
        <v>97.058333333333294</v>
      </c>
      <c r="C17" s="185">
        <v>105.39166666666669</v>
      </c>
      <c r="D17" s="185">
        <v>89.9583333333333</v>
      </c>
      <c r="G17" s="186"/>
      <c r="H17" s="128"/>
      <c r="I17" s="128"/>
      <c r="J17" s="128"/>
      <c r="K17" s="128"/>
      <c r="L17" s="128"/>
    </row>
    <row r="18" spans="1:12" s="144" customFormat="1" ht="12" customHeight="1" x14ac:dyDescent="0.25">
      <c r="A18" s="171">
        <f t="shared" si="0"/>
        <v>44927</v>
      </c>
      <c r="B18" s="185">
        <v>98.991666666666703</v>
      </c>
      <c r="C18" s="185">
        <v>106.175</v>
      </c>
      <c r="D18" s="185">
        <v>93.133333333333297</v>
      </c>
      <c r="G18" s="186"/>
      <c r="H18" s="128"/>
      <c r="I18" s="128"/>
      <c r="J18" s="128"/>
      <c r="K18" s="128"/>
      <c r="L18" s="128"/>
    </row>
    <row r="19" spans="1:12" s="144" customFormat="1" ht="12" customHeight="1" x14ac:dyDescent="0.25">
      <c r="A19" s="171">
        <f t="shared" si="0"/>
        <v>45292</v>
      </c>
      <c r="B19" s="185">
        <v>94.808333333333294</v>
      </c>
      <c r="C19" s="185">
        <v>96.783333333333303</v>
      </c>
      <c r="D19" s="185">
        <v>93.216666666666697</v>
      </c>
      <c r="G19" s="186"/>
      <c r="H19" s="128"/>
      <c r="I19" s="128"/>
      <c r="J19" s="128"/>
      <c r="K19" s="128"/>
      <c r="L19" s="128"/>
    </row>
    <row r="20" spans="1:12" s="144" customFormat="1" ht="12" customHeight="1" x14ac:dyDescent="0.25">
      <c r="A20" s="171">
        <f t="shared" si="0"/>
        <v>45658</v>
      </c>
      <c r="B20" s="185">
        <v>90.433333333333294</v>
      </c>
      <c r="C20" s="185">
        <v>92.9166666666667</v>
      </c>
      <c r="D20" s="185">
        <v>88.391666666666694</v>
      </c>
      <c r="G20" s="186"/>
      <c r="H20" s="128"/>
      <c r="I20" s="128"/>
      <c r="J20" s="128"/>
      <c r="K20" s="128"/>
      <c r="L20" s="128"/>
    </row>
    <row r="21" spans="1:12" s="144" customFormat="1" ht="12" customHeight="1" x14ac:dyDescent="0.25">
      <c r="A21" s="187"/>
      <c r="B21" s="188"/>
      <c r="C21" s="188"/>
      <c r="D21" s="188"/>
      <c r="G21" s="186"/>
      <c r="H21" s="128"/>
      <c r="I21" s="128"/>
      <c r="J21" s="128"/>
      <c r="K21" s="128"/>
      <c r="L21" s="128"/>
    </row>
    <row r="22" spans="1:12" s="144" customFormat="1" ht="11.25" customHeight="1" x14ac:dyDescent="0.3">
      <c r="A22" s="175">
        <f>DATE(YEAR(표지!O1)-2,MONTH(표지!O1)-1,1)</f>
        <v>45352</v>
      </c>
      <c r="B22" s="185">
        <v>98.9</v>
      </c>
      <c r="C22" s="185">
        <v>103.3</v>
      </c>
      <c r="D22" s="185">
        <v>95.4</v>
      </c>
      <c r="G22" s="186"/>
    </row>
    <row r="23" spans="1:12" s="144" customFormat="1" ht="11.25" customHeight="1" x14ac:dyDescent="0.3">
      <c r="A23" s="176">
        <f>DATE(YEAR(A22),MONTH(A22)+1,1)</f>
        <v>45383</v>
      </c>
      <c r="B23" s="189">
        <v>87.9</v>
      </c>
      <c r="C23" s="185">
        <v>95.3</v>
      </c>
      <c r="D23" s="190">
        <v>81.8</v>
      </c>
      <c r="G23" s="186"/>
    </row>
    <row r="24" spans="1:12" s="144" customFormat="1" ht="11.25" customHeight="1" x14ac:dyDescent="0.3">
      <c r="A24" s="176">
        <f>DATE(YEAR(A23),MONTH(A23)+1,1)</f>
        <v>45413</v>
      </c>
      <c r="B24" s="185">
        <v>100</v>
      </c>
      <c r="C24" s="185">
        <v>107.7</v>
      </c>
      <c r="D24" s="185">
        <v>93.7</v>
      </c>
      <c r="G24" s="186"/>
    </row>
    <row r="25" spans="1:12" s="144" customFormat="1" ht="11.25" customHeight="1" x14ac:dyDescent="0.3">
      <c r="A25" s="176">
        <f t="shared" ref="A25:A31" si="1">DATE(YEAR(A24),MONTH(A24)+1,1)</f>
        <v>45444</v>
      </c>
      <c r="B25" s="185">
        <v>92.4</v>
      </c>
      <c r="C25" s="185">
        <v>91.8</v>
      </c>
      <c r="D25" s="185">
        <v>92.9</v>
      </c>
      <c r="G25" s="186"/>
    </row>
    <row r="26" spans="1:12" s="144" customFormat="1" ht="11.25" customHeight="1" x14ac:dyDescent="0.3">
      <c r="A26" s="176">
        <f t="shared" si="1"/>
        <v>45474</v>
      </c>
      <c r="B26" s="185">
        <v>93.4</v>
      </c>
      <c r="C26" s="185">
        <v>90.4</v>
      </c>
      <c r="D26" s="185">
        <v>96</v>
      </c>
      <c r="E26" s="191" t="s">
        <v>236</v>
      </c>
      <c r="G26" s="186"/>
    </row>
    <row r="27" spans="1:12" s="144" customFormat="1" ht="11.25" customHeight="1" x14ac:dyDescent="0.3">
      <c r="A27" s="176">
        <f t="shared" si="1"/>
        <v>45505</v>
      </c>
      <c r="B27" s="185">
        <v>91.7</v>
      </c>
      <c r="C27" s="185">
        <v>81.5</v>
      </c>
      <c r="D27" s="185">
        <v>100.1</v>
      </c>
      <c r="E27" s="192"/>
      <c r="G27" s="186"/>
    </row>
    <row r="28" spans="1:12" s="144" customFormat="1" ht="11.25" customHeight="1" x14ac:dyDescent="0.3">
      <c r="A28" s="176">
        <f t="shared" si="1"/>
        <v>45536</v>
      </c>
      <c r="B28" s="185">
        <v>99.5</v>
      </c>
      <c r="C28" s="185">
        <v>99.1</v>
      </c>
      <c r="D28" s="185">
        <v>99.7</v>
      </c>
      <c r="E28" s="192"/>
      <c r="G28" s="186"/>
    </row>
    <row r="29" spans="1:12" s="144" customFormat="1" ht="11.25" customHeight="1" x14ac:dyDescent="0.3">
      <c r="A29" s="176">
        <f t="shared" si="1"/>
        <v>45566</v>
      </c>
      <c r="B29" s="185">
        <v>90.5</v>
      </c>
      <c r="C29" s="185">
        <v>97.4</v>
      </c>
      <c r="D29" s="185">
        <v>84.8</v>
      </c>
      <c r="E29" s="192"/>
      <c r="G29" s="186"/>
    </row>
    <row r="30" spans="1:12" s="144" customFormat="1" ht="11.25" customHeight="1" x14ac:dyDescent="0.3">
      <c r="A30" s="176">
        <f t="shared" si="1"/>
        <v>45597</v>
      </c>
      <c r="B30" s="185">
        <v>95.3</v>
      </c>
      <c r="C30" s="185">
        <v>101.6</v>
      </c>
      <c r="D30" s="185">
        <v>90.2</v>
      </c>
      <c r="E30" s="192"/>
      <c r="F30" s="193"/>
      <c r="G30" s="193"/>
      <c r="H30" s="194"/>
      <c r="I30" s="195"/>
    </row>
    <row r="31" spans="1:12" s="144" customFormat="1" ht="11.25" customHeight="1" x14ac:dyDescent="0.3">
      <c r="A31" s="176">
        <f t="shared" si="1"/>
        <v>45627</v>
      </c>
      <c r="B31" s="185">
        <v>97</v>
      </c>
      <c r="C31" s="185">
        <v>102.5</v>
      </c>
      <c r="D31" s="185">
        <v>92.5</v>
      </c>
      <c r="E31" s="192"/>
      <c r="F31" s="193"/>
      <c r="G31" s="193"/>
      <c r="H31" s="194"/>
      <c r="I31" s="195"/>
    </row>
    <row r="32" spans="1:12" s="144" customFormat="1" ht="11.25" customHeight="1" x14ac:dyDescent="0.3">
      <c r="A32" s="176"/>
      <c r="B32" s="185"/>
      <c r="C32" s="185"/>
      <c r="D32" s="185"/>
      <c r="E32" s="192"/>
      <c r="F32" s="193"/>
      <c r="G32" s="193"/>
      <c r="H32" s="194"/>
      <c r="I32" s="195"/>
    </row>
    <row r="33" spans="1:9" s="144" customFormat="1" ht="11.25" customHeight="1" x14ac:dyDescent="0.3">
      <c r="A33" s="175">
        <f>DATE(YEAR(A31),MONTH(A31)+1,1)</f>
        <v>45658</v>
      </c>
      <c r="B33" s="185">
        <v>109.7</v>
      </c>
      <c r="C33" s="185">
        <v>101.5</v>
      </c>
      <c r="D33" s="185">
        <v>116.5</v>
      </c>
      <c r="E33" s="192"/>
      <c r="F33" s="193"/>
      <c r="G33" s="193"/>
      <c r="H33" s="194"/>
      <c r="I33" s="195"/>
    </row>
    <row r="34" spans="1:9" s="144" customFormat="1" ht="11.25" customHeight="1" x14ac:dyDescent="0.3">
      <c r="A34" s="176">
        <f t="shared" ref="A34:A48" si="2">DATE(YEAR(A33),MONTH(A33)+1,1)</f>
        <v>45689</v>
      </c>
      <c r="B34" s="185">
        <v>77.900000000000006</v>
      </c>
      <c r="C34" s="185">
        <v>79.900000000000006</v>
      </c>
      <c r="D34" s="185">
        <v>76.2</v>
      </c>
      <c r="E34" s="192"/>
      <c r="H34"/>
      <c r="I34" s="193"/>
    </row>
    <row r="35" spans="1:9" s="144" customFormat="1" ht="11.25" customHeight="1" x14ac:dyDescent="0.3">
      <c r="A35" s="176">
        <f t="shared" si="2"/>
        <v>45717</v>
      </c>
      <c r="B35" s="185">
        <v>95.1</v>
      </c>
      <c r="C35" s="185">
        <v>99.1</v>
      </c>
      <c r="D35" s="185">
        <v>91.8</v>
      </c>
      <c r="E35" s="192"/>
      <c r="H35"/>
      <c r="I35" s="193"/>
    </row>
    <row r="36" spans="1:9" s="144" customFormat="1" ht="11.25" customHeight="1" x14ac:dyDescent="0.3">
      <c r="A36" s="176">
        <f t="shared" si="2"/>
        <v>45748</v>
      </c>
      <c r="B36" s="185">
        <v>81.8</v>
      </c>
      <c r="C36" s="185">
        <v>85.8</v>
      </c>
      <c r="D36" s="185">
        <v>78.5</v>
      </c>
      <c r="E36" s="192"/>
    </row>
    <row r="37" spans="1:9" s="144" customFormat="1" ht="11.25" customHeight="1" x14ac:dyDescent="0.3">
      <c r="A37" s="176">
        <f t="shared" si="2"/>
        <v>45778</v>
      </c>
      <c r="B37" s="185">
        <v>93.4</v>
      </c>
      <c r="C37" s="185">
        <v>97.5</v>
      </c>
      <c r="D37" s="185">
        <v>90.1</v>
      </c>
      <c r="E37" s="192"/>
    </row>
    <row r="38" spans="1:9" s="144" customFormat="1" ht="11.25" customHeight="1" x14ac:dyDescent="0.3">
      <c r="A38" s="176">
        <f t="shared" si="2"/>
        <v>45809</v>
      </c>
      <c r="B38" s="185">
        <v>85.8</v>
      </c>
      <c r="C38" s="185">
        <v>84.2</v>
      </c>
      <c r="D38" s="185">
        <v>87</v>
      </c>
      <c r="E38" s="192"/>
    </row>
    <row r="39" spans="1:9" s="144" customFormat="1" ht="11.25" customHeight="1" x14ac:dyDescent="0.3">
      <c r="A39" s="176">
        <f t="shared" si="2"/>
        <v>45839</v>
      </c>
      <c r="B39" s="185">
        <v>86.6</v>
      </c>
      <c r="C39" s="185">
        <v>83.9</v>
      </c>
      <c r="D39" s="185">
        <v>88.8</v>
      </c>
      <c r="E39" s="192"/>
    </row>
    <row r="40" spans="1:9" s="144" customFormat="1" ht="11.25" customHeight="1" x14ac:dyDescent="0.3">
      <c r="A40" s="176">
        <f t="shared" si="2"/>
        <v>45870</v>
      </c>
      <c r="B40" s="185">
        <v>82.1</v>
      </c>
      <c r="C40" s="185">
        <v>77</v>
      </c>
      <c r="D40" s="185">
        <v>86.4</v>
      </c>
      <c r="E40" s="192"/>
    </row>
    <row r="41" spans="1:9" s="144" customFormat="1" ht="11.25" customHeight="1" x14ac:dyDescent="0.3">
      <c r="A41" s="176">
        <f t="shared" si="2"/>
        <v>45901</v>
      </c>
      <c r="B41" s="185">
        <v>92.3</v>
      </c>
      <c r="C41" s="185">
        <v>95.3</v>
      </c>
      <c r="D41" s="185">
        <v>89.8</v>
      </c>
      <c r="E41" s="192"/>
    </row>
    <row r="42" spans="1:9" s="144" customFormat="1" ht="11.25" customHeight="1" x14ac:dyDescent="0.3">
      <c r="A42" s="176">
        <f t="shared" si="2"/>
        <v>45931</v>
      </c>
      <c r="B42" s="185">
        <v>97</v>
      </c>
      <c r="C42" s="185">
        <v>104.8</v>
      </c>
      <c r="D42" s="185">
        <v>90.5</v>
      </c>
      <c r="E42" s="192"/>
    </row>
    <row r="43" spans="1:9" s="144" customFormat="1" ht="11.25" customHeight="1" x14ac:dyDescent="0.3">
      <c r="A43" s="176">
        <f t="shared" si="2"/>
        <v>45962</v>
      </c>
      <c r="B43" s="185">
        <v>92</v>
      </c>
      <c r="C43" s="185">
        <v>104.9</v>
      </c>
      <c r="D43" s="185">
        <v>81.400000000000006</v>
      </c>
      <c r="E43" s="192"/>
    </row>
    <row r="44" spans="1:9" s="144" customFormat="1" ht="11.25" customHeight="1" x14ac:dyDescent="0.3">
      <c r="A44" s="176">
        <f t="shared" si="2"/>
        <v>45992</v>
      </c>
      <c r="B44" s="185">
        <v>91.5</v>
      </c>
      <c r="C44" s="185">
        <v>101.1</v>
      </c>
      <c r="D44" s="185">
        <v>83.7</v>
      </c>
      <c r="E44" s="192"/>
    </row>
    <row r="45" spans="1:9" s="144" customFormat="1" ht="11.25" customHeight="1" x14ac:dyDescent="0.3">
      <c r="A45" s="176"/>
      <c r="B45" s="185"/>
      <c r="C45" s="185"/>
      <c r="D45" s="185"/>
      <c r="E45" s="192"/>
    </row>
    <row r="46" spans="1:9" s="144" customFormat="1" ht="11.25" customHeight="1" x14ac:dyDescent="0.3">
      <c r="A46" s="175">
        <f>DATE(YEAR(A44),MONTH(A44)+1,1)</f>
        <v>46023</v>
      </c>
      <c r="B46" s="185">
        <v>93.2</v>
      </c>
      <c r="C46" s="185">
        <v>102.2</v>
      </c>
      <c r="D46" s="185">
        <v>85.8</v>
      </c>
      <c r="E46" s="192"/>
    </row>
    <row r="47" spans="1:9" s="144" customFormat="1" ht="11.25" customHeight="1" x14ac:dyDescent="0.3">
      <c r="A47" s="176">
        <f t="shared" si="2"/>
        <v>46054</v>
      </c>
      <c r="B47" s="185">
        <v>88</v>
      </c>
      <c r="C47" s="185">
        <v>90.4</v>
      </c>
      <c r="D47" s="185">
        <v>86.1</v>
      </c>
      <c r="E47" s="192"/>
    </row>
    <row r="48" spans="1:9" s="144" customFormat="1" ht="11.25" customHeight="1" x14ac:dyDescent="0.3">
      <c r="A48" s="176">
        <f t="shared" si="2"/>
        <v>46082</v>
      </c>
      <c r="B48" s="185">
        <v>87.1</v>
      </c>
      <c r="C48" s="185">
        <v>98.9</v>
      </c>
      <c r="D48" s="185">
        <v>77.5</v>
      </c>
      <c r="E48" s="192"/>
    </row>
    <row r="49" spans="1:9" s="144" customFormat="1" ht="5.0999999999999996" customHeight="1" x14ac:dyDescent="0.3">
      <c r="A49" s="147"/>
      <c r="B49" s="178"/>
      <c r="C49" s="178"/>
      <c r="D49" s="178"/>
    </row>
    <row r="50" spans="1:9" s="152" customFormat="1" x14ac:dyDescent="0.25">
      <c r="A50" s="437" t="s">
        <v>237</v>
      </c>
      <c r="B50" s="437"/>
      <c r="C50" s="437"/>
      <c r="D50" s="437"/>
      <c r="H50" s="180"/>
      <c r="I50" s="128"/>
    </row>
    <row r="51" spans="1:9" s="180" customFormat="1" ht="12" x14ac:dyDescent="0.2">
      <c r="A51" s="438" t="s">
        <v>231</v>
      </c>
      <c r="B51" s="438"/>
      <c r="C51" s="438"/>
      <c r="D51" s="438"/>
    </row>
    <row r="52" spans="1:9" x14ac:dyDescent="0.25">
      <c r="E52" s="196"/>
      <c r="F52" s="197"/>
    </row>
  </sheetData>
  <mergeCells count="5">
    <mergeCell ref="A1:D1"/>
    <mergeCell ref="A3:A5"/>
    <mergeCell ref="B3:D4"/>
    <mergeCell ref="A50:D50"/>
    <mergeCell ref="A51:D51"/>
  </mergeCells>
  <phoneticPr fontId="4" type="noConversion"/>
  <pageMargins left="0.75" right="0.75" top="1" bottom="1" header="0.5" footer="0.5"/>
  <pageSetup paperSize="9" scale="81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C2782-1D3B-4CD3-8E11-AE1C732CC2C7}">
  <dimension ref="A1:U63"/>
  <sheetViews>
    <sheetView view="pageBreakPreview" zoomScale="145" zoomScaleNormal="100" zoomScaleSheetLayoutView="145" workbookViewId="0">
      <selection activeCell="C2" sqref="C2"/>
    </sheetView>
  </sheetViews>
  <sheetFormatPr defaultRowHeight="13.5" x14ac:dyDescent="0.25"/>
  <cols>
    <col min="1" max="1" width="8.125" style="128" customWidth="1"/>
    <col min="2" max="9" width="8.5" style="128" customWidth="1"/>
    <col min="10" max="10" width="9.625" style="128" bestFit="1" customWidth="1"/>
    <col min="11" max="11" width="13.125" style="128" bestFit="1" customWidth="1"/>
    <col min="12" max="12" width="10.25" style="128" customWidth="1"/>
    <col min="13" max="254" width="9" style="128"/>
    <col min="255" max="255" width="8.125" style="128" customWidth="1"/>
    <col min="256" max="256" width="13" style="128" bestFit="1" customWidth="1"/>
    <col min="257" max="257" width="8.875" style="128" customWidth="1"/>
    <col min="258" max="258" width="7.375" style="128" customWidth="1"/>
    <col min="259" max="259" width="8.375" style="128" customWidth="1"/>
    <col min="260" max="260" width="9.25" style="128" customWidth="1"/>
    <col min="261" max="261" width="9.375" style="128" customWidth="1"/>
    <col min="262" max="262" width="9.125" style="128" customWidth="1"/>
    <col min="263" max="263" width="8.25" style="128" customWidth="1"/>
    <col min="264" max="264" width="9.5" style="128" customWidth="1"/>
    <col min="265" max="265" width="1.25" style="128" customWidth="1"/>
    <col min="266" max="510" width="9" style="128"/>
    <col min="511" max="511" width="8.125" style="128" customWidth="1"/>
    <col min="512" max="512" width="13" style="128" bestFit="1" customWidth="1"/>
    <col min="513" max="513" width="8.875" style="128" customWidth="1"/>
    <col min="514" max="514" width="7.375" style="128" customWidth="1"/>
    <col min="515" max="515" width="8.375" style="128" customWidth="1"/>
    <col min="516" max="516" width="9.25" style="128" customWidth="1"/>
    <col min="517" max="517" width="9.375" style="128" customWidth="1"/>
    <col min="518" max="518" width="9.125" style="128" customWidth="1"/>
    <col min="519" max="519" width="8.25" style="128" customWidth="1"/>
    <col min="520" max="520" width="9.5" style="128" customWidth="1"/>
    <col min="521" max="521" width="1.25" style="128" customWidth="1"/>
    <col min="522" max="766" width="9" style="128"/>
    <col min="767" max="767" width="8.125" style="128" customWidth="1"/>
    <col min="768" max="768" width="13" style="128" bestFit="1" customWidth="1"/>
    <col min="769" max="769" width="8.875" style="128" customWidth="1"/>
    <col min="770" max="770" width="7.375" style="128" customWidth="1"/>
    <col min="771" max="771" width="8.375" style="128" customWidth="1"/>
    <col min="772" max="772" width="9.25" style="128" customWidth="1"/>
    <col min="773" max="773" width="9.375" style="128" customWidth="1"/>
    <col min="774" max="774" width="9.125" style="128" customWidth="1"/>
    <col min="775" max="775" width="8.25" style="128" customWidth="1"/>
    <col min="776" max="776" width="9.5" style="128" customWidth="1"/>
    <col min="777" max="777" width="1.25" style="128" customWidth="1"/>
    <col min="778" max="1022" width="9" style="128"/>
    <col min="1023" max="1023" width="8.125" style="128" customWidth="1"/>
    <col min="1024" max="1024" width="13" style="128" bestFit="1" customWidth="1"/>
    <col min="1025" max="1025" width="8.875" style="128" customWidth="1"/>
    <col min="1026" max="1026" width="7.375" style="128" customWidth="1"/>
    <col min="1027" max="1027" width="8.375" style="128" customWidth="1"/>
    <col min="1028" max="1028" width="9.25" style="128" customWidth="1"/>
    <col min="1029" max="1029" width="9.375" style="128" customWidth="1"/>
    <col min="1030" max="1030" width="9.125" style="128" customWidth="1"/>
    <col min="1031" max="1031" width="8.25" style="128" customWidth="1"/>
    <col min="1032" max="1032" width="9.5" style="128" customWidth="1"/>
    <col min="1033" max="1033" width="1.25" style="128" customWidth="1"/>
    <col min="1034" max="1278" width="9" style="128"/>
    <col min="1279" max="1279" width="8.125" style="128" customWidth="1"/>
    <col min="1280" max="1280" width="13" style="128" bestFit="1" customWidth="1"/>
    <col min="1281" max="1281" width="8.875" style="128" customWidth="1"/>
    <col min="1282" max="1282" width="7.375" style="128" customWidth="1"/>
    <col min="1283" max="1283" width="8.375" style="128" customWidth="1"/>
    <col min="1284" max="1284" width="9.25" style="128" customWidth="1"/>
    <col min="1285" max="1285" width="9.375" style="128" customWidth="1"/>
    <col min="1286" max="1286" width="9.125" style="128" customWidth="1"/>
    <col min="1287" max="1287" width="8.25" style="128" customWidth="1"/>
    <col min="1288" max="1288" width="9.5" style="128" customWidth="1"/>
    <col min="1289" max="1289" width="1.25" style="128" customWidth="1"/>
    <col min="1290" max="1534" width="9" style="128"/>
    <col min="1535" max="1535" width="8.125" style="128" customWidth="1"/>
    <col min="1536" max="1536" width="13" style="128" bestFit="1" customWidth="1"/>
    <col min="1537" max="1537" width="8.875" style="128" customWidth="1"/>
    <col min="1538" max="1538" width="7.375" style="128" customWidth="1"/>
    <col min="1539" max="1539" width="8.375" style="128" customWidth="1"/>
    <col min="1540" max="1540" width="9.25" style="128" customWidth="1"/>
    <col min="1541" max="1541" width="9.375" style="128" customWidth="1"/>
    <col min="1542" max="1542" width="9.125" style="128" customWidth="1"/>
    <col min="1543" max="1543" width="8.25" style="128" customWidth="1"/>
    <col min="1544" max="1544" width="9.5" style="128" customWidth="1"/>
    <col min="1545" max="1545" width="1.25" style="128" customWidth="1"/>
    <col min="1546" max="1790" width="9" style="128"/>
    <col min="1791" max="1791" width="8.125" style="128" customWidth="1"/>
    <col min="1792" max="1792" width="13" style="128" bestFit="1" customWidth="1"/>
    <col min="1793" max="1793" width="8.875" style="128" customWidth="1"/>
    <col min="1794" max="1794" width="7.375" style="128" customWidth="1"/>
    <col min="1795" max="1795" width="8.375" style="128" customWidth="1"/>
    <col min="1796" max="1796" width="9.25" style="128" customWidth="1"/>
    <col min="1797" max="1797" width="9.375" style="128" customWidth="1"/>
    <col min="1798" max="1798" width="9.125" style="128" customWidth="1"/>
    <col min="1799" max="1799" width="8.25" style="128" customWidth="1"/>
    <col min="1800" max="1800" width="9.5" style="128" customWidth="1"/>
    <col min="1801" max="1801" width="1.25" style="128" customWidth="1"/>
    <col min="1802" max="2046" width="9" style="128"/>
    <col min="2047" max="2047" width="8.125" style="128" customWidth="1"/>
    <col min="2048" max="2048" width="13" style="128" bestFit="1" customWidth="1"/>
    <col min="2049" max="2049" width="8.875" style="128" customWidth="1"/>
    <col min="2050" max="2050" width="7.375" style="128" customWidth="1"/>
    <col min="2051" max="2051" width="8.375" style="128" customWidth="1"/>
    <col min="2052" max="2052" width="9.25" style="128" customWidth="1"/>
    <col min="2053" max="2053" width="9.375" style="128" customWidth="1"/>
    <col min="2054" max="2054" width="9.125" style="128" customWidth="1"/>
    <col min="2055" max="2055" width="8.25" style="128" customWidth="1"/>
    <col min="2056" max="2056" width="9.5" style="128" customWidth="1"/>
    <col min="2057" max="2057" width="1.25" style="128" customWidth="1"/>
    <col min="2058" max="2302" width="9" style="128"/>
    <col min="2303" max="2303" width="8.125" style="128" customWidth="1"/>
    <col min="2304" max="2304" width="13" style="128" bestFit="1" customWidth="1"/>
    <col min="2305" max="2305" width="8.875" style="128" customWidth="1"/>
    <col min="2306" max="2306" width="7.375" style="128" customWidth="1"/>
    <col min="2307" max="2307" width="8.375" style="128" customWidth="1"/>
    <col min="2308" max="2308" width="9.25" style="128" customWidth="1"/>
    <col min="2309" max="2309" width="9.375" style="128" customWidth="1"/>
    <col min="2310" max="2310" width="9.125" style="128" customWidth="1"/>
    <col min="2311" max="2311" width="8.25" style="128" customWidth="1"/>
    <col min="2312" max="2312" width="9.5" style="128" customWidth="1"/>
    <col min="2313" max="2313" width="1.25" style="128" customWidth="1"/>
    <col min="2314" max="2558" width="9" style="128"/>
    <col min="2559" max="2559" width="8.125" style="128" customWidth="1"/>
    <col min="2560" max="2560" width="13" style="128" bestFit="1" customWidth="1"/>
    <col min="2561" max="2561" width="8.875" style="128" customWidth="1"/>
    <col min="2562" max="2562" width="7.375" style="128" customWidth="1"/>
    <col min="2563" max="2563" width="8.375" style="128" customWidth="1"/>
    <col min="2564" max="2564" width="9.25" style="128" customWidth="1"/>
    <col min="2565" max="2565" width="9.375" style="128" customWidth="1"/>
    <col min="2566" max="2566" width="9.125" style="128" customWidth="1"/>
    <col min="2567" max="2567" width="8.25" style="128" customWidth="1"/>
    <col min="2568" max="2568" width="9.5" style="128" customWidth="1"/>
    <col min="2569" max="2569" width="1.25" style="128" customWidth="1"/>
    <col min="2570" max="2814" width="9" style="128"/>
    <col min="2815" max="2815" width="8.125" style="128" customWidth="1"/>
    <col min="2816" max="2816" width="13" style="128" bestFit="1" customWidth="1"/>
    <col min="2817" max="2817" width="8.875" style="128" customWidth="1"/>
    <col min="2818" max="2818" width="7.375" style="128" customWidth="1"/>
    <col min="2819" max="2819" width="8.375" style="128" customWidth="1"/>
    <col min="2820" max="2820" width="9.25" style="128" customWidth="1"/>
    <col min="2821" max="2821" width="9.375" style="128" customWidth="1"/>
    <col min="2822" max="2822" width="9.125" style="128" customWidth="1"/>
    <col min="2823" max="2823" width="8.25" style="128" customWidth="1"/>
    <col min="2824" max="2824" width="9.5" style="128" customWidth="1"/>
    <col min="2825" max="2825" width="1.25" style="128" customWidth="1"/>
    <col min="2826" max="3070" width="9" style="128"/>
    <col min="3071" max="3071" width="8.125" style="128" customWidth="1"/>
    <col min="3072" max="3072" width="13" style="128" bestFit="1" customWidth="1"/>
    <col min="3073" max="3073" width="8.875" style="128" customWidth="1"/>
    <col min="3074" max="3074" width="7.375" style="128" customWidth="1"/>
    <col min="3075" max="3075" width="8.375" style="128" customWidth="1"/>
    <col min="3076" max="3076" width="9.25" style="128" customWidth="1"/>
    <col min="3077" max="3077" width="9.375" style="128" customWidth="1"/>
    <col min="3078" max="3078" width="9.125" style="128" customWidth="1"/>
    <col min="3079" max="3079" width="8.25" style="128" customWidth="1"/>
    <col min="3080" max="3080" width="9.5" style="128" customWidth="1"/>
    <col min="3081" max="3081" width="1.25" style="128" customWidth="1"/>
    <col min="3082" max="3326" width="9" style="128"/>
    <col min="3327" max="3327" width="8.125" style="128" customWidth="1"/>
    <col min="3328" max="3328" width="13" style="128" bestFit="1" customWidth="1"/>
    <col min="3329" max="3329" width="8.875" style="128" customWidth="1"/>
    <col min="3330" max="3330" width="7.375" style="128" customWidth="1"/>
    <col min="3331" max="3331" width="8.375" style="128" customWidth="1"/>
    <col min="3332" max="3332" width="9.25" style="128" customWidth="1"/>
    <col min="3333" max="3333" width="9.375" style="128" customWidth="1"/>
    <col min="3334" max="3334" width="9.125" style="128" customWidth="1"/>
    <col min="3335" max="3335" width="8.25" style="128" customWidth="1"/>
    <col min="3336" max="3336" width="9.5" style="128" customWidth="1"/>
    <col min="3337" max="3337" width="1.25" style="128" customWidth="1"/>
    <col min="3338" max="3582" width="9" style="128"/>
    <col min="3583" max="3583" width="8.125" style="128" customWidth="1"/>
    <col min="3584" max="3584" width="13" style="128" bestFit="1" customWidth="1"/>
    <col min="3585" max="3585" width="8.875" style="128" customWidth="1"/>
    <col min="3586" max="3586" width="7.375" style="128" customWidth="1"/>
    <col min="3587" max="3587" width="8.375" style="128" customWidth="1"/>
    <col min="3588" max="3588" width="9.25" style="128" customWidth="1"/>
    <col min="3589" max="3589" width="9.375" style="128" customWidth="1"/>
    <col min="3590" max="3590" width="9.125" style="128" customWidth="1"/>
    <col min="3591" max="3591" width="8.25" style="128" customWidth="1"/>
    <col min="3592" max="3592" width="9.5" style="128" customWidth="1"/>
    <col min="3593" max="3593" width="1.25" style="128" customWidth="1"/>
    <col min="3594" max="3838" width="9" style="128"/>
    <col min="3839" max="3839" width="8.125" style="128" customWidth="1"/>
    <col min="3840" max="3840" width="13" style="128" bestFit="1" customWidth="1"/>
    <col min="3841" max="3841" width="8.875" style="128" customWidth="1"/>
    <col min="3842" max="3842" width="7.375" style="128" customWidth="1"/>
    <col min="3843" max="3843" width="8.375" style="128" customWidth="1"/>
    <col min="3844" max="3844" width="9.25" style="128" customWidth="1"/>
    <col min="3845" max="3845" width="9.375" style="128" customWidth="1"/>
    <col min="3846" max="3846" width="9.125" style="128" customWidth="1"/>
    <col min="3847" max="3847" width="8.25" style="128" customWidth="1"/>
    <col min="3848" max="3848" width="9.5" style="128" customWidth="1"/>
    <col min="3849" max="3849" width="1.25" style="128" customWidth="1"/>
    <col min="3850" max="4094" width="9" style="128"/>
    <col min="4095" max="4095" width="8.125" style="128" customWidth="1"/>
    <col min="4096" max="4096" width="13" style="128" bestFit="1" customWidth="1"/>
    <col min="4097" max="4097" width="8.875" style="128" customWidth="1"/>
    <col min="4098" max="4098" width="7.375" style="128" customWidth="1"/>
    <col min="4099" max="4099" width="8.375" style="128" customWidth="1"/>
    <col min="4100" max="4100" width="9.25" style="128" customWidth="1"/>
    <col min="4101" max="4101" width="9.375" style="128" customWidth="1"/>
    <col min="4102" max="4102" width="9.125" style="128" customWidth="1"/>
    <col min="4103" max="4103" width="8.25" style="128" customWidth="1"/>
    <col min="4104" max="4104" width="9.5" style="128" customWidth="1"/>
    <col min="4105" max="4105" width="1.25" style="128" customWidth="1"/>
    <col min="4106" max="4350" width="9" style="128"/>
    <col min="4351" max="4351" width="8.125" style="128" customWidth="1"/>
    <col min="4352" max="4352" width="13" style="128" bestFit="1" customWidth="1"/>
    <col min="4353" max="4353" width="8.875" style="128" customWidth="1"/>
    <col min="4354" max="4354" width="7.375" style="128" customWidth="1"/>
    <col min="4355" max="4355" width="8.375" style="128" customWidth="1"/>
    <col min="4356" max="4356" width="9.25" style="128" customWidth="1"/>
    <col min="4357" max="4357" width="9.375" style="128" customWidth="1"/>
    <col min="4358" max="4358" width="9.125" style="128" customWidth="1"/>
    <col min="4359" max="4359" width="8.25" style="128" customWidth="1"/>
    <col min="4360" max="4360" width="9.5" style="128" customWidth="1"/>
    <col min="4361" max="4361" width="1.25" style="128" customWidth="1"/>
    <col min="4362" max="4606" width="9" style="128"/>
    <col min="4607" max="4607" width="8.125" style="128" customWidth="1"/>
    <col min="4608" max="4608" width="13" style="128" bestFit="1" customWidth="1"/>
    <col min="4609" max="4609" width="8.875" style="128" customWidth="1"/>
    <col min="4610" max="4610" width="7.375" style="128" customWidth="1"/>
    <col min="4611" max="4611" width="8.375" style="128" customWidth="1"/>
    <col min="4612" max="4612" width="9.25" style="128" customWidth="1"/>
    <col min="4613" max="4613" width="9.375" style="128" customWidth="1"/>
    <col min="4614" max="4614" width="9.125" style="128" customWidth="1"/>
    <col min="4615" max="4615" width="8.25" style="128" customWidth="1"/>
    <col min="4616" max="4616" width="9.5" style="128" customWidth="1"/>
    <col min="4617" max="4617" width="1.25" style="128" customWidth="1"/>
    <col min="4618" max="4862" width="9" style="128"/>
    <col min="4863" max="4863" width="8.125" style="128" customWidth="1"/>
    <col min="4864" max="4864" width="13" style="128" bestFit="1" customWidth="1"/>
    <col min="4865" max="4865" width="8.875" style="128" customWidth="1"/>
    <col min="4866" max="4866" width="7.375" style="128" customWidth="1"/>
    <col min="4867" max="4867" width="8.375" style="128" customWidth="1"/>
    <col min="4868" max="4868" width="9.25" style="128" customWidth="1"/>
    <col min="4869" max="4869" width="9.375" style="128" customWidth="1"/>
    <col min="4870" max="4870" width="9.125" style="128" customWidth="1"/>
    <col min="4871" max="4871" width="8.25" style="128" customWidth="1"/>
    <col min="4872" max="4872" width="9.5" style="128" customWidth="1"/>
    <col min="4873" max="4873" width="1.25" style="128" customWidth="1"/>
    <col min="4874" max="5118" width="9" style="128"/>
    <col min="5119" max="5119" width="8.125" style="128" customWidth="1"/>
    <col min="5120" max="5120" width="13" style="128" bestFit="1" customWidth="1"/>
    <col min="5121" max="5121" width="8.875" style="128" customWidth="1"/>
    <col min="5122" max="5122" width="7.375" style="128" customWidth="1"/>
    <col min="5123" max="5123" width="8.375" style="128" customWidth="1"/>
    <col min="5124" max="5124" width="9.25" style="128" customWidth="1"/>
    <col min="5125" max="5125" width="9.375" style="128" customWidth="1"/>
    <col min="5126" max="5126" width="9.125" style="128" customWidth="1"/>
    <col min="5127" max="5127" width="8.25" style="128" customWidth="1"/>
    <col min="5128" max="5128" width="9.5" style="128" customWidth="1"/>
    <col min="5129" max="5129" width="1.25" style="128" customWidth="1"/>
    <col min="5130" max="5374" width="9" style="128"/>
    <col min="5375" max="5375" width="8.125" style="128" customWidth="1"/>
    <col min="5376" max="5376" width="13" style="128" bestFit="1" customWidth="1"/>
    <col min="5377" max="5377" width="8.875" style="128" customWidth="1"/>
    <col min="5378" max="5378" width="7.375" style="128" customWidth="1"/>
    <col min="5379" max="5379" width="8.375" style="128" customWidth="1"/>
    <col min="5380" max="5380" width="9.25" style="128" customWidth="1"/>
    <col min="5381" max="5381" width="9.375" style="128" customWidth="1"/>
    <col min="5382" max="5382" width="9.125" style="128" customWidth="1"/>
    <col min="5383" max="5383" width="8.25" style="128" customWidth="1"/>
    <col min="5384" max="5384" width="9.5" style="128" customWidth="1"/>
    <col min="5385" max="5385" width="1.25" style="128" customWidth="1"/>
    <col min="5386" max="5630" width="9" style="128"/>
    <col min="5631" max="5631" width="8.125" style="128" customWidth="1"/>
    <col min="5632" max="5632" width="13" style="128" bestFit="1" customWidth="1"/>
    <col min="5633" max="5633" width="8.875" style="128" customWidth="1"/>
    <col min="5634" max="5634" width="7.375" style="128" customWidth="1"/>
    <col min="5635" max="5635" width="8.375" style="128" customWidth="1"/>
    <col min="5636" max="5636" width="9.25" style="128" customWidth="1"/>
    <col min="5637" max="5637" width="9.375" style="128" customWidth="1"/>
    <col min="5638" max="5638" width="9.125" style="128" customWidth="1"/>
    <col min="5639" max="5639" width="8.25" style="128" customWidth="1"/>
    <col min="5640" max="5640" width="9.5" style="128" customWidth="1"/>
    <col min="5641" max="5641" width="1.25" style="128" customWidth="1"/>
    <col min="5642" max="5886" width="9" style="128"/>
    <col min="5887" max="5887" width="8.125" style="128" customWidth="1"/>
    <col min="5888" max="5888" width="13" style="128" bestFit="1" customWidth="1"/>
    <col min="5889" max="5889" width="8.875" style="128" customWidth="1"/>
    <col min="5890" max="5890" width="7.375" style="128" customWidth="1"/>
    <col min="5891" max="5891" width="8.375" style="128" customWidth="1"/>
    <col min="5892" max="5892" width="9.25" style="128" customWidth="1"/>
    <col min="5893" max="5893" width="9.375" style="128" customWidth="1"/>
    <col min="5894" max="5894" width="9.125" style="128" customWidth="1"/>
    <col min="5895" max="5895" width="8.25" style="128" customWidth="1"/>
    <col min="5896" max="5896" width="9.5" style="128" customWidth="1"/>
    <col min="5897" max="5897" width="1.25" style="128" customWidth="1"/>
    <col min="5898" max="6142" width="9" style="128"/>
    <col min="6143" max="6143" width="8.125" style="128" customWidth="1"/>
    <col min="6144" max="6144" width="13" style="128" bestFit="1" customWidth="1"/>
    <col min="6145" max="6145" width="8.875" style="128" customWidth="1"/>
    <col min="6146" max="6146" width="7.375" style="128" customWidth="1"/>
    <col min="6147" max="6147" width="8.375" style="128" customWidth="1"/>
    <col min="6148" max="6148" width="9.25" style="128" customWidth="1"/>
    <col min="6149" max="6149" width="9.375" style="128" customWidth="1"/>
    <col min="6150" max="6150" width="9.125" style="128" customWidth="1"/>
    <col min="6151" max="6151" width="8.25" style="128" customWidth="1"/>
    <col min="6152" max="6152" width="9.5" style="128" customWidth="1"/>
    <col min="6153" max="6153" width="1.25" style="128" customWidth="1"/>
    <col min="6154" max="6398" width="9" style="128"/>
    <col min="6399" max="6399" width="8.125" style="128" customWidth="1"/>
    <col min="6400" max="6400" width="13" style="128" bestFit="1" customWidth="1"/>
    <col min="6401" max="6401" width="8.875" style="128" customWidth="1"/>
    <col min="6402" max="6402" width="7.375" style="128" customWidth="1"/>
    <col min="6403" max="6403" width="8.375" style="128" customWidth="1"/>
    <col min="6404" max="6404" width="9.25" style="128" customWidth="1"/>
    <col min="6405" max="6405" width="9.375" style="128" customWidth="1"/>
    <col min="6406" max="6406" width="9.125" style="128" customWidth="1"/>
    <col min="6407" max="6407" width="8.25" style="128" customWidth="1"/>
    <col min="6408" max="6408" width="9.5" style="128" customWidth="1"/>
    <col min="6409" max="6409" width="1.25" style="128" customWidth="1"/>
    <col min="6410" max="6654" width="9" style="128"/>
    <col min="6655" max="6655" width="8.125" style="128" customWidth="1"/>
    <col min="6656" max="6656" width="13" style="128" bestFit="1" customWidth="1"/>
    <col min="6657" max="6657" width="8.875" style="128" customWidth="1"/>
    <col min="6658" max="6658" width="7.375" style="128" customWidth="1"/>
    <col min="6659" max="6659" width="8.375" style="128" customWidth="1"/>
    <col min="6660" max="6660" width="9.25" style="128" customWidth="1"/>
    <col min="6661" max="6661" width="9.375" style="128" customWidth="1"/>
    <col min="6662" max="6662" width="9.125" style="128" customWidth="1"/>
    <col min="6663" max="6663" width="8.25" style="128" customWidth="1"/>
    <col min="6664" max="6664" width="9.5" style="128" customWidth="1"/>
    <col min="6665" max="6665" width="1.25" style="128" customWidth="1"/>
    <col min="6666" max="6910" width="9" style="128"/>
    <col min="6911" max="6911" width="8.125" style="128" customWidth="1"/>
    <col min="6912" max="6912" width="13" style="128" bestFit="1" customWidth="1"/>
    <col min="6913" max="6913" width="8.875" style="128" customWidth="1"/>
    <col min="6914" max="6914" width="7.375" style="128" customWidth="1"/>
    <col min="6915" max="6915" width="8.375" style="128" customWidth="1"/>
    <col min="6916" max="6916" width="9.25" style="128" customWidth="1"/>
    <col min="6917" max="6917" width="9.375" style="128" customWidth="1"/>
    <col min="6918" max="6918" width="9.125" style="128" customWidth="1"/>
    <col min="6919" max="6919" width="8.25" style="128" customWidth="1"/>
    <col min="6920" max="6920" width="9.5" style="128" customWidth="1"/>
    <col min="6921" max="6921" width="1.25" style="128" customWidth="1"/>
    <col min="6922" max="7166" width="9" style="128"/>
    <col min="7167" max="7167" width="8.125" style="128" customWidth="1"/>
    <col min="7168" max="7168" width="13" style="128" bestFit="1" customWidth="1"/>
    <col min="7169" max="7169" width="8.875" style="128" customWidth="1"/>
    <col min="7170" max="7170" width="7.375" style="128" customWidth="1"/>
    <col min="7171" max="7171" width="8.375" style="128" customWidth="1"/>
    <col min="7172" max="7172" width="9.25" style="128" customWidth="1"/>
    <col min="7173" max="7173" width="9.375" style="128" customWidth="1"/>
    <col min="7174" max="7174" width="9.125" style="128" customWidth="1"/>
    <col min="7175" max="7175" width="8.25" style="128" customWidth="1"/>
    <col min="7176" max="7176" width="9.5" style="128" customWidth="1"/>
    <col min="7177" max="7177" width="1.25" style="128" customWidth="1"/>
    <col min="7178" max="7422" width="9" style="128"/>
    <col min="7423" max="7423" width="8.125" style="128" customWidth="1"/>
    <col min="7424" max="7424" width="13" style="128" bestFit="1" customWidth="1"/>
    <col min="7425" max="7425" width="8.875" style="128" customWidth="1"/>
    <col min="7426" max="7426" width="7.375" style="128" customWidth="1"/>
    <col min="7427" max="7427" width="8.375" style="128" customWidth="1"/>
    <col min="7428" max="7428" width="9.25" style="128" customWidth="1"/>
    <col min="7429" max="7429" width="9.375" style="128" customWidth="1"/>
    <col min="7430" max="7430" width="9.125" style="128" customWidth="1"/>
    <col min="7431" max="7431" width="8.25" style="128" customWidth="1"/>
    <col min="7432" max="7432" width="9.5" style="128" customWidth="1"/>
    <col min="7433" max="7433" width="1.25" style="128" customWidth="1"/>
    <col min="7434" max="7678" width="9" style="128"/>
    <col min="7679" max="7679" width="8.125" style="128" customWidth="1"/>
    <col min="7680" max="7680" width="13" style="128" bestFit="1" customWidth="1"/>
    <col min="7681" max="7681" width="8.875" style="128" customWidth="1"/>
    <col min="7682" max="7682" width="7.375" style="128" customWidth="1"/>
    <col min="7683" max="7683" width="8.375" style="128" customWidth="1"/>
    <col min="7684" max="7684" width="9.25" style="128" customWidth="1"/>
    <col min="7685" max="7685" width="9.375" style="128" customWidth="1"/>
    <col min="7686" max="7686" width="9.125" style="128" customWidth="1"/>
    <col min="7687" max="7687" width="8.25" style="128" customWidth="1"/>
    <col min="7688" max="7688" width="9.5" style="128" customWidth="1"/>
    <col min="7689" max="7689" width="1.25" style="128" customWidth="1"/>
    <col min="7690" max="7934" width="9" style="128"/>
    <col min="7935" max="7935" width="8.125" style="128" customWidth="1"/>
    <col min="7936" max="7936" width="13" style="128" bestFit="1" customWidth="1"/>
    <col min="7937" max="7937" width="8.875" style="128" customWidth="1"/>
    <col min="7938" max="7938" width="7.375" style="128" customWidth="1"/>
    <col min="7939" max="7939" width="8.375" style="128" customWidth="1"/>
    <col min="7940" max="7940" width="9.25" style="128" customWidth="1"/>
    <col min="7941" max="7941" width="9.375" style="128" customWidth="1"/>
    <col min="7942" max="7942" width="9.125" style="128" customWidth="1"/>
    <col min="7943" max="7943" width="8.25" style="128" customWidth="1"/>
    <col min="7944" max="7944" width="9.5" style="128" customWidth="1"/>
    <col min="7945" max="7945" width="1.25" style="128" customWidth="1"/>
    <col min="7946" max="8190" width="9" style="128"/>
    <col min="8191" max="8191" width="8.125" style="128" customWidth="1"/>
    <col min="8192" max="8192" width="13" style="128" bestFit="1" customWidth="1"/>
    <col min="8193" max="8193" width="8.875" style="128" customWidth="1"/>
    <col min="8194" max="8194" width="7.375" style="128" customWidth="1"/>
    <col min="8195" max="8195" width="8.375" style="128" customWidth="1"/>
    <col min="8196" max="8196" width="9.25" style="128" customWidth="1"/>
    <col min="8197" max="8197" width="9.375" style="128" customWidth="1"/>
    <col min="8198" max="8198" width="9.125" style="128" customWidth="1"/>
    <col min="8199" max="8199" width="8.25" style="128" customWidth="1"/>
    <col min="8200" max="8200" width="9.5" style="128" customWidth="1"/>
    <col min="8201" max="8201" width="1.25" style="128" customWidth="1"/>
    <col min="8202" max="8446" width="9" style="128"/>
    <col min="8447" max="8447" width="8.125" style="128" customWidth="1"/>
    <col min="8448" max="8448" width="13" style="128" bestFit="1" customWidth="1"/>
    <col min="8449" max="8449" width="8.875" style="128" customWidth="1"/>
    <col min="8450" max="8450" width="7.375" style="128" customWidth="1"/>
    <col min="8451" max="8451" width="8.375" style="128" customWidth="1"/>
    <col min="8452" max="8452" width="9.25" style="128" customWidth="1"/>
    <col min="8453" max="8453" width="9.375" style="128" customWidth="1"/>
    <col min="8454" max="8454" width="9.125" style="128" customWidth="1"/>
    <col min="8455" max="8455" width="8.25" style="128" customWidth="1"/>
    <col min="8456" max="8456" width="9.5" style="128" customWidth="1"/>
    <col min="8457" max="8457" width="1.25" style="128" customWidth="1"/>
    <col min="8458" max="8702" width="9" style="128"/>
    <col min="8703" max="8703" width="8.125" style="128" customWidth="1"/>
    <col min="8704" max="8704" width="13" style="128" bestFit="1" customWidth="1"/>
    <col min="8705" max="8705" width="8.875" style="128" customWidth="1"/>
    <col min="8706" max="8706" width="7.375" style="128" customWidth="1"/>
    <col min="8707" max="8707" width="8.375" style="128" customWidth="1"/>
    <col min="8708" max="8708" width="9.25" style="128" customWidth="1"/>
    <col min="8709" max="8709" width="9.375" style="128" customWidth="1"/>
    <col min="8710" max="8710" width="9.125" style="128" customWidth="1"/>
    <col min="8711" max="8711" width="8.25" style="128" customWidth="1"/>
    <col min="8712" max="8712" width="9.5" style="128" customWidth="1"/>
    <col min="8713" max="8713" width="1.25" style="128" customWidth="1"/>
    <col min="8714" max="8958" width="9" style="128"/>
    <col min="8959" max="8959" width="8.125" style="128" customWidth="1"/>
    <col min="8960" max="8960" width="13" style="128" bestFit="1" customWidth="1"/>
    <col min="8961" max="8961" width="8.875" style="128" customWidth="1"/>
    <col min="8962" max="8962" width="7.375" style="128" customWidth="1"/>
    <col min="8963" max="8963" width="8.375" style="128" customWidth="1"/>
    <col min="8964" max="8964" width="9.25" style="128" customWidth="1"/>
    <col min="8965" max="8965" width="9.375" style="128" customWidth="1"/>
    <col min="8966" max="8966" width="9.125" style="128" customWidth="1"/>
    <col min="8967" max="8967" width="8.25" style="128" customWidth="1"/>
    <col min="8968" max="8968" width="9.5" style="128" customWidth="1"/>
    <col min="8969" max="8969" width="1.25" style="128" customWidth="1"/>
    <col min="8970" max="9214" width="9" style="128"/>
    <col min="9215" max="9215" width="8.125" style="128" customWidth="1"/>
    <col min="9216" max="9216" width="13" style="128" bestFit="1" customWidth="1"/>
    <col min="9217" max="9217" width="8.875" style="128" customWidth="1"/>
    <col min="9218" max="9218" width="7.375" style="128" customWidth="1"/>
    <col min="9219" max="9219" width="8.375" style="128" customWidth="1"/>
    <col min="9220" max="9220" width="9.25" style="128" customWidth="1"/>
    <col min="9221" max="9221" width="9.375" style="128" customWidth="1"/>
    <col min="9222" max="9222" width="9.125" style="128" customWidth="1"/>
    <col min="9223" max="9223" width="8.25" style="128" customWidth="1"/>
    <col min="9224" max="9224" width="9.5" style="128" customWidth="1"/>
    <col min="9225" max="9225" width="1.25" style="128" customWidth="1"/>
    <col min="9226" max="9470" width="9" style="128"/>
    <col min="9471" max="9471" width="8.125" style="128" customWidth="1"/>
    <col min="9472" max="9472" width="13" style="128" bestFit="1" customWidth="1"/>
    <col min="9473" max="9473" width="8.875" style="128" customWidth="1"/>
    <col min="9474" max="9474" width="7.375" style="128" customWidth="1"/>
    <col min="9475" max="9475" width="8.375" style="128" customWidth="1"/>
    <col min="9476" max="9476" width="9.25" style="128" customWidth="1"/>
    <col min="9477" max="9477" width="9.375" style="128" customWidth="1"/>
    <col min="9478" max="9478" width="9.125" style="128" customWidth="1"/>
    <col min="9479" max="9479" width="8.25" style="128" customWidth="1"/>
    <col min="9480" max="9480" width="9.5" style="128" customWidth="1"/>
    <col min="9481" max="9481" width="1.25" style="128" customWidth="1"/>
    <col min="9482" max="9726" width="9" style="128"/>
    <col min="9727" max="9727" width="8.125" style="128" customWidth="1"/>
    <col min="9728" max="9728" width="13" style="128" bestFit="1" customWidth="1"/>
    <col min="9729" max="9729" width="8.875" style="128" customWidth="1"/>
    <col min="9730" max="9730" width="7.375" style="128" customWidth="1"/>
    <col min="9731" max="9731" width="8.375" style="128" customWidth="1"/>
    <col min="9732" max="9732" width="9.25" style="128" customWidth="1"/>
    <col min="9733" max="9733" width="9.375" style="128" customWidth="1"/>
    <col min="9734" max="9734" width="9.125" style="128" customWidth="1"/>
    <col min="9735" max="9735" width="8.25" style="128" customWidth="1"/>
    <col min="9736" max="9736" width="9.5" style="128" customWidth="1"/>
    <col min="9737" max="9737" width="1.25" style="128" customWidth="1"/>
    <col min="9738" max="9982" width="9" style="128"/>
    <col min="9983" max="9983" width="8.125" style="128" customWidth="1"/>
    <col min="9984" max="9984" width="13" style="128" bestFit="1" customWidth="1"/>
    <col min="9985" max="9985" width="8.875" style="128" customWidth="1"/>
    <col min="9986" max="9986" width="7.375" style="128" customWidth="1"/>
    <col min="9987" max="9987" width="8.375" style="128" customWidth="1"/>
    <col min="9988" max="9988" width="9.25" style="128" customWidth="1"/>
    <col min="9989" max="9989" width="9.375" style="128" customWidth="1"/>
    <col min="9990" max="9990" width="9.125" style="128" customWidth="1"/>
    <col min="9991" max="9991" width="8.25" style="128" customWidth="1"/>
    <col min="9992" max="9992" width="9.5" style="128" customWidth="1"/>
    <col min="9993" max="9993" width="1.25" style="128" customWidth="1"/>
    <col min="9994" max="10238" width="9" style="128"/>
    <col min="10239" max="10239" width="8.125" style="128" customWidth="1"/>
    <col min="10240" max="10240" width="13" style="128" bestFit="1" customWidth="1"/>
    <col min="10241" max="10241" width="8.875" style="128" customWidth="1"/>
    <col min="10242" max="10242" width="7.375" style="128" customWidth="1"/>
    <col min="10243" max="10243" width="8.375" style="128" customWidth="1"/>
    <col min="10244" max="10244" width="9.25" style="128" customWidth="1"/>
    <col min="10245" max="10245" width="9.375" style="128" customWidth="1"/>
    <col min="10246" max="10246" width="9.125" style="128" customWidth="1"/>
    <col min="10247" max="10247" width="8.25" style="128" customWidth="1"/>
    <col min="10248" max="10248" width="9.5" style="128" customWidth="1"/>
    <col min="10249" max="10249" width="1.25" style="128" customWidth="1"/>
    <col min="10250" max="10494" width="9" style="128"/>
    <col min="10495" max="10495" width="8.125" style="128" customWidth="1"/>
    <col min="10496" max="10496" width="13" style="128" bestFit="1" customWidth="1"/>
    <col min="10497" max="10497" width="8.875" style="128" customWidth="1"/>
    <col min="10498" max="10498" width="7.375" style="128" customWidth="1"/>
    <col min="10499" max="10499" width="8.375" style="128" customWidth="1"/>
    <col min="10500" max="10500" width="9.25" style="128" customWidth="1"/>
    <col min="10501" max="10501" width="9.375" style="128" customWidth="1"/>
    <col min="10502" max="10502" width="9.125" style="128" customWidth="1"/>
    <col min="10503" max="10503" width="8.25" style="128" customWidth="1"/>
    <col min="10504" max="10504" width="9.5" style="128" customWidth="1"/>
    <col min="10505" max="10505" width="1.25" style="128" customWidth="1"/>
    <col min="10506" max="10750" width="9" style="128"/>
    <col min="10751" max="10751" width="8.125" style="128" customWidth="1"/>
    <col min="10752" max="10752" width="13" style="128" bestFit="1" customWidth="1"/>
    <col min="10753" max="10753" width="8.875" style="128" customWidth="1"/>
    <col min="10754" max="10754" width="7.375" style="128" customWidth="1"/>
    <col min="10755" max="10755" width="8.375" style="128" customWidth="1"/>
    <col min="10756" max="10756" width="9.25" style="128" customWidth="1"/>
    <col min="10757" max="10757" width="9.375" style="128" customWidth="1"/>
    <col min="10758" max="10758" width="9.125" style="128" customWidth="1"/>
    <col min="10759" max="10759" width="8.25" style="128" customWidth="1"/>
    <col min="10760" max="10760" width="9.5" style="128" customWidth="1"/>
    <col min="10761" max="10761" width="1.25" style="128" customWidth="1"/>
    <col min="10762" max="11006" width="9" style="128"/>
    <col min="11007" max="11007" width="8.125" style="128" customWidth="1"/>
    <col min="11008" max="11008" width="13" style="128" bestFit="1" customWidth="1"/>
    <col min="11009" max="11009" width="8.875" style="128" customWidth="1"/>
    <col min="11010" max="11010" width="7.375" style="128" customWidth="1"/>
    <col min="11011" max="11011" width="8.375" style="128" customWidth="1"/>
    <col min="11012" max="11012" width="9.25" style="128" customWidth="1"/>
    <col min="11013" max="11013" width="9.375" style="128" customWidth="1"/>
    <col min="11014" max="11014" width="9.125" style="128" customWidth="1"/>
    <col min="11015" max="11015" width="8.25" style="128" customWidth="1"/>
    <col min="11016" max="11016" width="9.5" style="128" customWidth="1"/>
    <col min="11017" max="11017" width="1.25" style="128" customWidth="1"/>
    <col min="11018" max="11262" width="9" style="128"/>
    <col min="11263" max="11263" width="8.125" style="128" customWidth="1"/>
    <col min="11264" max="11264" width="13" style="128" bestFit="1" customWidth="1"/>
    <col min="11265" max="11265" width="8.875" style="128" customWidth="1"/>
    <col min="11266" max="11266" width="7.375" style="128" customWidth="1"/>
    <col min="11267" max="11267" width="8.375" style="128" customWidth="1"/>
    <col min="11268" max="11268" width="9.25" style="128" customWidth="1"/>
    <col min="11269" max="11269" width="9.375" style="128" customWidth="1"/>
    <col min="11270" max="11270" width="9.125" style="128" customWidth="1"/>
    <col min="11271" max="11271" width="8.25" style="128" customWidth="1"/>
    <col min="11272" max="11272" width="9.5" style="128" customWidth="1"/>
    <col min="11273" max="11273" width="1.25" style="128" customWidth="1"/>
    <col min="11274" max="11518" width="9" style="128"/>
    <col min="11519" max="11519" width="8.125" style="128" customWidth="1"/>
    <col min="11520" max="11520" width="13" style="128" bestFit="1" customWidth="1"/>
    <col min="11521" max="11521" width="8.875" style="128" customWidth="1"/>
    <col min="11522" max="11522" width="7.375" style="128" customWidth="1"/>
    <col min="11523" max="11523" width="8.375" style="128" customWidth="1"/>
    <col min="11524" max="11524" width="9.25" style="128" customWidth="1"/>
    <col min="11525" max="11525" width="9.375" style="128" customWidth="1"/>
    <col min="11526" max="11526" width="9.125" style="128" customWidth="1"/>
    <col min="11527" max="11527" width="8.25" style="128" customWidth="1"/>
    <col min="11528" max="11528" width="9.5" style="128" customWidth="1"/>
    <col min="11529" max="11529" width="1.25" style="128" customWidth="1"/>
    <col min="11530" max="11774" width="9" style="128"/>
    <col min="11775" max="11775" width="8.125" style="128" customWidth="1"/>
    <col min="11776" max="11776" width="13" style="128" bestFit="1" customWidth="1"/>
    <col min="11777" max="11777" width="8.875" style="128" customWidth="1"/>
    <col min="11778" max="11778" width="7.375" style="128" customWidth="1"/>
    <col min="11779" max="11779" width="8.375" style="128" customWidth="1"/>
    <col min="11780" max="11780" width="9.25" style="128" customWidth="1"/>
    <col min="11781" max="11781" width="9.375" style="128" customWidth="1"/>
    <col min="11782" max="11782" width="9.125" style="128" customWidth="1"/>
    <col min="11783" max="11783" width="8.25" style="128" customWidth="1"/>
    <col min="11784" max="11784" width="9.5" style="128" customWidth="1"/>
    <col min="11785" max="11785" width="1.25" style="128" customWidth="1"/>
    <col min="11786" max="12030" width="9" style="128"/>
    <col min="12031" max="12031" width="8.125" style="128" customWidth="1"/>
    <col min="12032" max="12032" width="13" style="128" bestFit="1" customWidth="1"/>
    <col min="12033" max="12033" width="8.875" style="128" customWidth="1"/>
    <col min="12034" max="12034" width="7.375" style="128" customWidth="1"/>
    <col min="12035" max="12035" width="8.375" style="128" customWidth="1"/>
    <col min="12036" max="12036" width="9.25" style="128" customWidth="1"/>
    <col min="12037" max="12037" width="9.375" style="128" customWidth="1"/>
    <col min="12038" max="12038" width="9.125" style="128" customWidth="1"/>
    <col min="12039" max="12039" width="8.25" style="128" customWidth="1"/>
    <col min="12040" max="12040" width="9.5" style="128" customWidth="1"/>
    <col min="12041" max="12041" width="1.25" style="128" customWidth="1"/>
    <col min="12042" max="12286" width="9" style="128"/>
    <col min="12287" max="12287" width="8.125" style="128" customWidth="1"/>
    <col min="12288" max="12288" width="13" style="128" bestFit="1" customWidth="1"/>
    <col min="12289" max="12289" width="8.875" style="128" customWidth="1"/>
    <col min="12290" max="12290" width="7.375" style="128" customWidth="1"/>
    <col min="12291" max="12291" width="8.375" style="128" customWidth="1"/>
    <col min="12292" max="12292" width="9.25" style="128" customWidth="1"/>
    <col min="12293" max="12293" width="9.375" style="128" customWidth="1"/>
    <col min="12294" max="12294" width="9.125" style="128" customWidth="1"/>
    <col min="12295" max="12295" width="8.25" style="128" customWidth="1"/>
    <col min="12296" max="12296" width="9.5" style="128" customWidth="1"/>
    <col min="12297" max="12297" width="1.25" style="128" customWidth="1"/>
    <col min="12298" max="12542" width="9" style="128"/>
    <col min="12543" max="12543" width="8.125" style="128" customWidth="1"/>
    <col min="12544" max="12544" width="13" style="128" bestFit="1" customWidth="1"/>
    <col min="12545" max="12545" width="8.875" style="128" customWidth="1"/>
    <col min="12546" max="12546" width="7.375" style="128" customWidth="1"/>
    <col min="12547" max="12547" width="8.375" style="128" customWidth="1"/>
    <col min="12548" max="12548" width="9.25" style="128" customWidth="1"/>
    <col min="12549" max="12549" width="9.375" style="128" customWidth="1"/>
    <col min="12550" max="12550" width="9.125" style="128" customWidth="1"/>
    <col min="12551" max="12551" width="8.25" style="128" customWidth="1"/>
    <col min="12552" max="12552" width="9.5" style="128" customWidth="1"/>
    <col min="12553" max="12553" width="1.25" style="128" customWidth="1"/>
    <col min="12554" max="12798" width="9" style="128"/>
    <col min="12799" max="12799" width="8.125" style="128" customWidth="1"/>
    <col min="12800" max="12800" width="13" style="128" bestFit="1" customWidth="1"/>
    <col min="12801" max="12801" width="8.875" style="128" customWidth="1"/>
    <col min="12802" max="12802" width="7.375" style="128" customWidth="1"/>
    <col min="12803" max="12803" width="8.375" style="128" customWidth="1"/>
    <col min="12804" max="12804" width="9.25" style="128" customWidth="1"/>
    <col min="12805" max="12805" width="9.375" style="128" customWidth="1"/>
    <col min="12806" max="12806" width="9.125" style="128" customWidth="1"/>
    <col min="12807" max="12807" width="8.25" style="128" customWidth="1"/>
    <col min="12808" max="12808" width="9.5" style="128" customWidth="1"/>
    <col min="12809" max="12809" width="1.25" style="128" customWidth="1"/>
    <col min="12810" max="13054" width="9" style="128"/>
    <col min="13055" max="13055" width="8.125" style="128" customWidth="1"/>
    <col min="13056" max="13056" width="13" style="128" bestFit="1" customWidth="1"/>
    <col min="13057" max="13057" width="8.875" style="128" customWidth="1"/>
    <col min="13058" max="13058" width="7.375" style="128" customWidth="1"/>
    <col min="13059" max="13059" width="8.375" style="128" customWidth="1"/>
    <col min="13060" max="13060" width="9.25" style="128" customWidth="1"/>
    <col min="13061" max="13061" width="9.375" style="128" customWidth="1"/>
    <col min="13062" max="13062" width="9.125" style="128" customWidth="1"/>
    <col min="13063" max="13063" width="8.25" style="128" customWidth="1"/>
    <col min="13064" max="13064" width="9.5" style="128" customWidth="1"/>
    <col min="13065" max="13065" width="1.25" style="128" customWidth="1"/>
    <col min="13066" max="13310" width="9" style="128"/>
    <col min="13311" max="13311" width="8.125" style="128" customWidth="1"/>
    <col min="13312" max="13312" width="13" style="128" bestFit="1" customWidth="1"/>
    <col min="13313" max="13313" width="8.875" style="128" customWidth="1"/>
    <col min="13314" max="13314" width="7.375" style="128" customWidth="1"/>
    <col min="13315" max="13315" width="8.375" style="128" customWidth="1"/>
    <col min="13316" max="13316" width="9.25" style="128" customWidth="1"/>
    <col min="13317" max="13317" width="9.375" style="128" customWidth="1"/>
    <col min="13318" max="13318" width="9.125" style="128" customWidth="1"/>
    <col min="13319" max="13319" width="8.25" style="128" customWidth="1"/>
    <col min="13320" max="13320" width="9.5" style="128" customWidth="1"/>
    <col min="13321" max="13321" width="1.25" style="128" customWidth="1"/>
    <col min="13322" max="13566" width="9" style="128"/>
    <col min="13567" max="13567" width="8.125" style="128" customWidth="1"/>
    <col min="13568" max="13568" width="13" style="128" bestFit="1" customWidth="1"/>
    <col min="13569" max="13569" width="8.875" style="128" customWidth="1"/>
    <col min="13570" max="13570" width="7.375" style="128" customWidth="1"/>
    <col min="13571" max="13571" width="8.375" style="128" customWidth="1"/>
    <col min="13572" max="13572" width="9.25" style="128" customWidth="1"/>
    <col min="13573" max="13573" width="9.375" style="128" customWidth="1"/>
    <col min="13574" max="13574" width="9.125" style="128" customWidth="1"/>
    <col min="13575" max="13575" width="8.25" style="128" customWidth="1"/>
    <col min="13576" max="13576" width="9.5" style="128" customWidth="1"/>
    <col min="13577" max="13577" width="1.25" style="128" customWidth="1"/>
    <col min="13578" max="13822" width="9" style="128"/>
    <col min="13823" max="13823" width="8.125" style="128" customWidth="1"/>
    <col min="13824" max="13824" width="13" style="128" bestFit="1" customWidth="1"/>
    <col min="13825" max="13825" width="8.875" style="128" customWidth="1"/>
    <col min="13826" max="13826" width="7.375" style="128" customWidth="1"/>
    <col min="13827" max="13827" width="8.375" style="128" customWidth="1"/>
    <col min="13828" max="13828" width="9.25" style="128" customWidth="1"/>
    <col min="13829" max="13829" width="9.375" style="128" customWidth="1"/>
    <col min="13830" max="13830" width="9.125" style="128" customWidth="1"/>
    <col min="13831" max="13831" width="8.25" style="128" customWidth="1"/>
    <col min="13832" max="13832" width="9.5" style="128" customWidth="1"/>
    <col min="13833" max="13833" width="1.25" style="128" customWidth="1"/>
    <col min="13834" max="14078" width="9" style="128"/>
    <col min="14079" max="14079" width="8.125" style="128" customWidth="1"/>
    <col min="14080" max="14080" width="13" style="128" bestFit="1" customWidth="1"/>
    <col min="14081" max="14081" width="8.875" style="128" customWidth="1"/>
    <col min="14082" max="14082" width="7.375" style="128" customWidth="1"/>
    <col min="14083" max="14083" width="8.375" style="128" customWidth="1"/>
    <col min="14084" max="14084" width="9.25" style="128" customWidth="1"/>
    <col min="14085" max="14085" width="9.375" style="128" customWidth="1"/>
    <col min="14086" max="14086" width="9.125" style="128" customWidth="1"/>
    <col min="14087" max="14087" width="8.25" style="128" customWidth="1"/>
    <col min="14088" max="14088" width="9.5" style="128" customWidth="1"/>
    <col min="14089" max="14089" width="1.25" style="128" customWidth="1"/>
    <col min="14090" max="14334" width="9" style="128"/>
    <col min="14335" max="14335" width="8.125" style="128" customWidth="1"/>
    <col min="14336" max="14336" width="13" style="128" bestFit="1" customWidth="1"/>
    <col min="14337" max="14337" width="8.875" style="128" customWidth="1"/>
    <col min="14338" max="14338" width="7.375" style="128" customWidth="1"/>
    <col min="14339" max="14339" width="8.375" style="128" customWidth="1"/>
    <col min="14340" max="14340" width="9.25" style="128" customWidth="1"/>
    <col min="14341" max="14341" width="9.375" style="128" customWidth="1"/>
    <col min="14342" max="14342" width="9.125" style="128" customWidth="1"/>
    <col min="14343" max="14343" width="8.25" style="128" customWidth="1"/>
    <col min="14344" max="14344" width="9.5" style="128" customWidth="1"/>
    <col min="14345" max="14345" width="1.25" style="128" customWidth="1"/>
    <col min="14346" max="14590" width="9" style="128"/>
    <col min="14591" max="14591" width="8.125" style="128" customWidth="1"/>
    <col min="14592" max="14592" width="13" style="128" bestFit="1" customWidth="1"/>
    <col min="14593" max="14593" width="8.875" style="128" customWidth="1"/>
    <col min="14594" max="14594" width="7.375" style="128" customWidth="1"/>
    <col min="14595" max="14595" width="8.375" style="128" customWidth="1"/>
    <col min="14596" max="14596" width="9.25" style="128" customWidth="1"/>
    <col min="14597" max="14597" width="9.375" style="128" customWidth="1"/>
    <col min="14598" max="14598" width="9.125" style="128" customWidth="1"/>
    <col min="14599" max="14599" width="8.25" style="128" customWidth="1"/>
    <col min="14600" max="14600" width="9.5" style="128" customWidth="1"/>
    <col min="14601" max="14601" width="1.25" style="128" customWidth="1"/>
    <col min="14602" max="14846" width="9" style="128"/>
    <col min="14847" max="14847" width="8.125" style="128" customWidth="1"/>
    <col min="14848" max="14848" width="13" style="128" bestFit="1" customWidth="1"/>
    <col min="14849" max="14849" width="8.875" style="128" customWidth="1"/>
    <col min="14850" max="14850" width="7.375" style="128" customWidth="1"/>
    <col min="14851" max="14851" width="8.375" style="128" customWidth="1"/>
    <col min="14852" max="14852" width="9.25" style="128" customWidth="1"/>
    <col min="14853" max="14853" width="9.375" style="128" customWidth="1"/>
    <col min="14854" max="14854" width="9.125" style="128" customWidth="1"/>
    <col min="14855" max="14855" width="8.25" style="128" customWidth="1"/>
    <col min="14856" max="14856" width="9.5" style="128" customWidth="1"/>
    <col min="14857" max="14857" width="1.25" style="128" customWidth="1"/>
    <col min="14858" max="15102" width="9" style="128"/>
    <col min="15103" max="15103" width="8.125" style="128" customWidth="1"/>
    <col min="15104" max="15104" width="13" style="128" bestFit="1" customWidth="1"/>
    <col min="15105" max="15105" width="8.875" style="128" customWidth="1"/>
    <col min="15106" max="15106" width="7.375" style="128" customWidth="1"/>
    <col min="15107" max="15107" width="8.375" style="128" customWidth="1"/>
    <col min="15108" max="15108" width="9.25" style="128" customWidth="1"/>
    <col min="15109" max="15109" width="9.375" style="128" customWidth="1"/>
    <col min="15110" max="15110" width="9.125" style="128" customWidth="1"/>
    <col min="15111" max="15111" width="8.25" style="128" customWidth="1"/>
    <col min="15112" max="15112" width="9.5" style="128" customWidth="1"/>
    <col min="15113" max="15113" width="1.25" style="128" customWidth="1"/>
    <col min="15114" max="15358" width="9" style="128"/>
    <col min="15359" max="15359" width="8.125" style="128" customWidth="1"/>
    <col min="15360" max="15360" width="13" style="128" bestFit="1" customWidth="1"/>
    <col min="15361" max="15361" width="8.875" style="128" customWidth="1"/>
    <col min="15362" max="15362" width="7.375" style="128" customWidth="1"/>
    <col min="15363" max="15363" width="8.375" style="128" customWidth="1"/>
    <col min="15364" max="15364" width="9.25" style="128" customWidth="1"/>
    <col min="15365" max="15365" width="9.375" style="128" customWidth="1"/>
    <col min="15366" max="15366" width="9.125" style="128" customWidth="1"/>
    <col min="15367" max="15367" width="8.25" style="128" customWidth="1"/>
    <col min="15368" max="15368" width="9.5" style="128" customWidth="1"/>
    <col min="15369" max="15369" width="1.25" style="128" customWidth="1"/>
    <col min="15370" max="15614" width="9" style="128"/>
    <col min="15615" max="15615" width="8.125" style="128" customWidth="1"/>
    <col min="15616" max="15616" width="13" style="128" bestFit="1" customWidth="1"/>
    <col min="15617" max="15617" width="8.875" style="128" customWidth="1"/>
    <col min="15618" max="15618" width="7.375" style="128" customWidth="1"/>
    <col min="15619" max="15619" width="8.375" style="128" customWidth="1"/>
    <col min="15620" max="15620" width="9.25" style="128" customWidth="1"/>
    <col min="15621" max="15621" width="9.375" style="128" customWidth="1"/>
    <col min="15622" max="15622" width="9.125" style="128" customWidth="1"/>
    <col min="15623" max="15623" width="8.25" style="128" customWidth="1"/>
    <col min="15624" max="15624" width="9.5" style="128" customWidth="1"/>
    <col min="15625" max="15625" width="1.25" style="128" customWidth="1"/>
    <col min="15626" max="15870" width="9" style="128"/>
    <col min="15871" max="15871" width="8.125" style="128" customWidth="1"/>
    <col min="15872" max="15872" width="13" style="128" bestFit="1" customWidth="1"/>
    <col min="15873" max="15873" width="8.875" style="128" customWidth="1"/>
    <col min="15874" max="15874" width="7.375" style="128" customWidth="1"/>
    <col min="15875" max="15875" width="8.375" style="128" customWidth="1"/>
    <col min="15876" max="15876" width="9.25" style="128" customWidth="1"/>
    <col min="15877" max="15877" width="9.375" style="128" customWidth="1"/>
    <col min="15878" max="15878" width="9.125" style="128" customWidth="1"/>
    <col min="15879" max="15879" width="8.25" style="128" customWidth="1"/>
    <col min="15880" max="15880" width="9.5" style="128" customWidth="1"/>
    <col min="15881" max="15881" width="1.25" style="128" customWidth="1"/>
    <col min="15882" max="16126" width="9" style="128"/>
    <col min="16127" max="16127" width="8.125" style="128" customWidth="1"/>
    <col min="16128" max="16128" width="13" style="128" bestFit="1" customWidth="1"/>
    <col min="16129" max="16129" width="8.875" style="128" customWidth="1"/>
    <col min="16130" max="16130" width="7.375" style="128" customWidth="1"/>
    <col min="16131" max="16131" width="8.375" style="128" customWidth="1"/>
    <col min="16132" max="16132" width="9.25" style="128" customWidth="1"/>
    <col min="16133" max="16133" width="9.375" style="128" customWidth="1"/>
    <col min="16134" max="16134" width="9.125" style="128" customWidth="1"/>
    <col min="16135" max="16135" width="8.25" style="128" customWidth="1"/>
    <col min="16136" max="16136" width="9.5" style="128" customWidth="1"/>
    <col min="16137" max="16137" width="1.25" style="128" customWidth="1"/>
    <col min="16138" max="16384" width="9" style="128"/>
  </cols>
  <sheetData>
    <row r="1" spans="1:12" ht="16.5" customHeight="1" x14ac:dyDescent="0.3">
      <c r="A1" s="425" t="s">
        <v>238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</row>
    <row r="2" spans="1:12" x14ac:dyDescent="0.25">
      <c r="A2" s="130" t="s">
        <v>206</v>
      </c>
      <c r="B2" s="130"/>
      <c r="C2" s="130"/>
      <c r="D2" s="130"/>
      <c r="E2" s="130"/>
      <c r="F2" s="130"/>
      <c r="G2" s="130"/>
      <c r="H2" s="130"/>
      <c r="I2" s="130"/>
      <c r="K2" s="131" t="s">
        <v>239</v>
      </c>
    </row>
    <row r="3" spans="1:12" ht="15.95" customHeight="1" x14ac:dyDescent="0.25">
      <c r="A3" s="426" t="s">
        <v>221</v>
      </c>
      <c r="B3" s="431" t="s">
        <v>240</v>
      </c>
      <c r="C3" s="439"/>
      <c r="D3" s="439"/>
      <c r="E3" s="440"/>
      <c r="F3" s="444" t="s">
        <v>241</v>
      </c>
      <c r="G3" s="445"/>
      <c r="H3" s="445"/>
      <c r="I3" s="446"/>
      <c r="J3" s="450" t="s">
        <v>242</v>
      </c>
      <c r="K3" s="450" t="s">
        <v>243</v>
      </c>
    </row>
    <row r="4" spans="1:12" ht="15.95" customHeight="1" x14ac:dyDescent="0.25">
      <c r="A4" s="427"/>
      <c r="B4" s="441"/>
      <c r="C4" s="442"/>
      <c r="D4" s="442"/>
      <c r="E4" s="443"/>
      <c r="F4" s="447"/>
      <c r="G4" s="448"/>
      <c r="H4" s="448"/>
      <c r="I4" s="449"/>
      <c r="J4" s="451"/>
      <c r="K4" s="451"/>
    </row>
    <row r="5" spans="1:12" ht="15.95" customHeight="1" x14ac:dyDescent="0.25">
      <c r="A5" s="428"/>
      <c r="B5" s="198"/>
      <c r="C5" s="199" t="s">
        <v>244</v>
      </c>
      <c r="D5" s="200" t="s">
        <v>245</v>
      </c>
      <c r="E5" s="200" t="s">
        <v>246</v>
      </c>
      <c r="F5" s="201"/>
      <c r="G5" s="202" t="s">
        <v>244</v>
      </c>
      <c r="H5" s="203" t="s">
        <v>245</v>
      </c>
      <c r="I5" s="203" t="s">
        <v>246</v>
      </c>
      <c r="J5" s="452"/>
      <c r="K5" s="452"/>
    </row>
    <row r="6" spans="1:12" x14ac:dyDescent="0.25">
      <c r="A6" s="166"/>
      <c r="B6" s="204"/>
      <c r="C6" s="204"/>
      <c r="D6" s="204"/>
      <c r="E6" s="204"/>
      <c r="F6" s="205"/>
      <c r="G6" s="205"/>
      <c r="H6" s="205"/>
      <c r="I6" s="205"/>
      <c r="J6" s="205"/>
      <c r="K6" s="205"/>
      <c r="L6" s="170"/>
    </row>
    <row r="7" spans="1:12" x14ac:dyDescent="0.25">
      <c r="A7" s="171">
        <v>40909</v>
      </c>
      <c r="B7" s="206">
        <v>2832.663</v>
      </c>
      <c r="C7" s="206">
        <v>1403.4390000000001</v>
      </c>
      <c r="D7" s="206">
        <v>368.61599999999999</v>
      </c>
      <c r="E7" s="206">
        <v>616.17399999999998</v>
      </c>
      <c r="F7" s="206">
        <v>3066.1849999999999</v>
      </c>
      <c r="G7" s="206">
        <v>1558.3219999999999</v>
      </c>
      <c r="H7" s="206">
        <v>424.50700000000001</v>
      </c>
      <c r="I7" s="206">
        <v>496.77800000000002</v>
      </c>
      <c r="J7" s="206">
        <v>39550.089999999997</v>
      </c>
      <c r="K7" s="206">
        <v>3659</v>
      </c>
      <c r="L7" s="170"/>
    </row>
    <row r="8" spans="1:12" x14ac:dyDescent="0.25">
      <c r="A8" s="171">
        <f>DATE(YEAR(A7)+1,MONTH(A7),1)</f>
        <v>41275</v>
      </c>
      <c r="B8" s="206">
        <v>2564.8319999999999</v>
      </c>
      <c r="C8" s="206">
        <v>1051.4849999999999</v>
      </c>
      <c r="D8" s="206">
        <v>538.5</v>
      </c>
      <c r="E8" s="206">
        <v>642.29100000000005</v>
      </c>
      <c r="F8" s="206">
        <v>2552.3580000000002</v>
      </c>
      <c r="G8" s="206">
        <v>1190.5229999999999</v>
      </c>
      <c r="H8" s="206">
        <v>480.06599999999997</v>
      </c>
      <c r="I8" s="206">
        <v>487.05900000000003</v>
      </c>
      <c r="J8" s="206">
        <v>25150.61</v>
      </c>
      <c r="K8" s="206">
        <v>3310</v>
      </c>
      <c r="L8" s="170"/>
    </row>
    <row r="9" spans="1:12" x14ac:dyDescent="0.25">
      <c r="A9" s="171">
        <f t="shared" ref="A9:A18" si="0">DATE(YEAR(A8)+1,MONTH(A8),1)</f>
        <v>41640</v>
      </c>
      <c r="B9" s="206">
        <v>3947.518</v>
      </c>
      <c r="C9" s="206">
        <v>2040.4110000000001</v>
      </c>
      <c r="D9" s="206">
        <v>516.89599999999996</v>
      </c>
      <c r="E9" s="206">
        <v>758.96600000000001</v>
      </c>
      <c r="F9" s="206">
        <v>2502.5880000000002</v>
      </c>
      <c r="G9" s="206">
        <v>1235.8399999999999</v>
      </c>
      <c r="H9" s="206">
        <v>455.42500000000001</v>
      </c>
      <c r="I9" s="206">
        <v>521.65599999999995</v>
      </c>
      <c r="J9" s="206">
        <v>30431.85</v>
      </c>
      <c r="K9" s="206">
        <v>258</v>
      </c>
      <c r="L9" s="170"/>
    </row>
    <row r="10" spans="1:12" x14ac:dyDescent="0.25">
      <c r="A10" s="171">
        <f t="shared" si="0"/>
        <v>42005</v>
      </c>
      <c r="B10" s="206">
        <v>4183.3220000000001</v>
      </c>
      <c r="C10" s="206">
        <v>1560.425</v>
      </c>
      <c r="D10" s="206">
        <v>615.86699999999996</v>
      </c>
      <c r="E10" s="206">
        <v>1222.8330000000001</v>
      </c>
      <c r="F10" s="206">
        <v>4178.5129999999999</v>
      </c>
      <c r="G10" s="206">
        <v>1804.951</v>
      </c>
      <c r="H10" s="206">
        <v>515.78700000000003</v>
      </c>
      <c r="I10" s="206">
        <v>1017.355</v>
      </c>
      <c r="J10" s="206">
        <v>83168.69</v>
      </c>
      <c r="K10" s="206">
        <v>437</v>
      </c>
      <c r="L10" s="170"/>
    </row>
    <row r="11" spans="1:12" x14ac:dyDescent="0.25">
      <c r="A11" s="171">
        <f t="shared" si="0"/>
        <v>42370</v>
      </c>
      <c r="B11" s="206">
        <v>4991.6819999999998</v>
      </c>
      <c r="C11" s="206">
        <v>2460.9209999999998</v>
      </c>
      <c r="D11" s="206">
        <v>359.97699999999998</v>
      </c>
      <c r="E11" s="206">
        <v>1269.6079999999999</v>
      </c>
      <c r="F11" s="206">
        <v>3573.1680000000001</v>
      </c>
      <c r="G11" s="206">
        <v>1510.586</v>
      </c>
      <c r="H11" s="206">
        <v>454.72800000000001</v>
      </c>
      <c r="I11" s="206">
        <v>974.11199999999997</v>
      </c>
      <c r="J11" s="206">
        <v>38991.269999999997</v>
      </c>
      <c r="K11" s="206">
        <v>481</v>
      </c>
      <c r="L11" s="170"/>
    </row>
    <row r="12" spans="1:12" x14ac:dyDescent="0.25">
      <c r="A12" s="171">
        <f t="shared" si="0"/>
        <v>42736</v>
      </c>
      <c r="B12" s="206">
        <v>3086.2820000000002</v>
      </c>
      <c r="C12" s="206">
        <v>1361.127</v>
      </c>
      <c r="D12" s="206">
        <v>162.47399999999999</v>
      </c>
      <c r="E12" s="206">
        <v>1052.32</v>
      </c>
      <c r="F12" s="206">
        <v>2005.7239999999999</v>
      </c>
      <c r="G12" s="206">
        <v>789.08600000000001</v>
      </c>
      <c r="H12" s="206">
        <v>153.833</v>
      </c>
      <c r="I12" s="206">
        <v>709.13599999999997</v>
      </c>
      <c r="J12" s="206">
        <v>23072.12</v>
      </c>
      <c r="K12" s="206">
        <v>855</v>
      </c>
      <c r="L12" s="170"/>
    </row>
    <row r="13" spans="1:12" x14ac:dyDescent="0.25">
      <c r="A13" s="171">
        <f t="shared" si="0"/>
        <v>43101</v>
      </c>
      <c r="B13" s="206">
        <v>3239.373</v>
      </c>
      <c r="C13" s="206">
        <v>1455.0630000000001</v>
      </c>
      <c r="D13" s="206">
        <v>268.51799999999997</v>
      </c>
      <c r="E13" s="206">
        <v>1017.357</v>
      </c>
      <c r="F13" s="206">
        <v>1592.037</v>
      </c>
      <c r="G13" s="206">
        <v>353.03500000000003</v>
      </c>
      <c r="H13" s="206">
        <v>238.852</v>
      </c>
      <c r="I13" s="206">
        <v>687.16800000000001</v>
      </c>
      <c r="J13" s="206">
        <v>38951.46</v>
      </c>
      <c r="K13" s="206">
        <v>997</v>
      </c>
      <c r="L13" s="170"/>
    </row>
    <row r="14" spans="1:12" s="144" customFormat="1" ht="13.5" customHeight="1" x14ac:dyDescent="0.3">
      <c r="A14" s="171">
        <f t="shared" si="0"/>
        <v>43466</v>
      </c>
      <c r="B14" s="206">
        <v>1724.0604799999999</v>
      </c>
      <c r="C14" s="206">
        <v>455.30553000000003</v>
      </c>
      <c r="D14" s="206">
        <v>369.52873</v>
      </c>
      <c r="E14" s="206">
        <v>480.65161000000006</v>
      </c>
      <c r="F14" s="206">
        <v>1518.5520200000001</v>
      </c>
      <c r="G14" s="206">
        <v>464.24707000000001</v>
      </c>
      <c r="H14" s="206">
        <v>274.08695</v>
      </c>
      <c r="I14" s="206">
        <v>394.4011799999999</v>
      </c>
      <c r="J14" s="206">
        <v>19953.169999999998</v>
      </c>
      <c r="K14" s="206">
        <v>1269</v>
      </c>
    </row>
    <row r="15" spans="1:12" s="144" customFormat="1" ht="13.5" customHeight="1" x14ac:dyDescent="0.3">
      <c r="A15" s="171">
        <f t="shared" si="0"/>
        <v>43831</v>
      </c>
      <c r="B15" s="206">
        <v>2132.6060000000002</v>
      </c>
      <c r="C15" s="206">
        <v>784.14022</v>
      </c>
      <c r="D15" s="206">
        <v>266.61592999999999</v>
      </c>
      <c r="E15" s="206">
        <v>529.26859000000002</v>
      </c>
      <c r="F15" s="206">
        <v>2212.6211200000002</v>
      </c>
      <c r="G15" s="206">
        <v>914.82859999999982</v>
      </c>
      <c r="H15" s="206">
        <v>246.84878</v>
      </c>
      <c r="I15" s="206">
        <v>494.32521000000003</v>
      </c>
      <c r="J15" s="206">
        <v>43897.89</v>
      </c>
      <c r="K15" s="206">
        <v>468</v>
      </c>
    </row>
    <row r="16" spans="1:12" s="144" customFormat="1" ht="13.5" customHeight="1" x14ac:dyDescent="0.3">
      <c r="A16" s="171">
        <f t="shared" si="0"/>
        <v>44197</v>
      </c>
      <c r="B16" s="206">
        <v>3120.20489</v>
      </c>
      <c r="C16" s="206">
        <v>1384.7821399999998</v>
      </c>
      <c r="D16" s="206">
        <v>453.60545000000002</v>
      </c>
      <c r="E16" s="206">
        <v>668.31092000000001</v>
      </c>
      <c r="F16" s="206">
        <v>2182.6117000000004</v>
      </c>
      <c r="G16" s="206">
        <v>848.25709999999992</v>
      </c>
      <c r="H16" s="206">
        <v>414.83135999999996</v>
      </c>
      <c r="I16" s="206">
        <v>649.35566999999992</v>
      </c>
      <c r="J16" s="206">
        <v>48065.9</v>
      </c>
      <c r="K16" s="206">
        <v>397</v>
      </c>
    </row>
    <row r="17" spans="1:11" s="144" customFormat="1" ht="13.5" customHeight="1" x14ac:dyDescent="0.3">
      <c r="A17" s="171">
        <f t="shared" si="0"/>
        <v>44562</v>
      </c>
      <c r="B17" s="206">
        <v>4241.7045199999993</v>
      </c>
      <c r="C17" s="206">
        <v>1918.9852700000001</v>
      </c>
      <c r="D17" s="206">
        <v>525.78021000000001</v>
      </c>
      <c r="E17" s="206">
        <v>895.08811999999989</v>
      </c>
      <c r="F17" s="206">
        <v>2779.61454</v>
      </c>
      <c r="G17" s="206">
        <v>1092.6564799999999</v>
      </c>
      <c r="H17" s="206">
        <v>538.83856000000003</v>
      </c>
      <c r="I17" s="206">
        <v>544.20109000000014</v>
      </c>
      <c r="J17" s="206">
        <v>57671.86</v>
      </c>
      <c r="K17" s="206">
        <v>3570</v>
      </c>
    </row>
    <row r="18" spans="1:11" s="144" customFormat="1" ht="13.5" customHeight="1" x14ac:dyDescent="0.3">
      <c r="A18" s="171">
        <f t="shared" si="0"/>
        <v>44927</v>
      </c>
      <c r="B18" s="206">
        <v>5066.25407</v>
      </c>
      <c r="C18" s="206">
        <v>2339.3792400000007</v>
      </c>
      <c r="D18" s="206">
        <v>1095.2316899999998</v>
      </c>
      <c r="E18" s="206">
        <v>962.74713999999994</v>
      </c>
      <c r="F18" s="206">
        <v>2509.15184</v>
      </c>
      <c r="G18" s="206">
        <v>739.25986</v>
      </c>
      <c r="H18" s="206">
        <v>977.66210000000001</v>
      </c>
      <c r="I18" s="206">
        <v>363.44099999999992</v>
      </c>
      <c r="J18" s="206">
        <v>123747.75</v>
      </c>
      <c r="K18" s="206">
        <v>2941</v>
      </c>
    </row>
    <row r="19" spans="1:11" s="144" customFormat="1" ht="13.5" customHeight="1" x14ac:dyDescent="0.3">
      <c r="A19" s="171">
        <f>DATE(YEAR(A18)+1,MONTH(A18),1)</f>
        <v>45292</v>
      </c>
      <c r="B19" s="206">
        <v>2248.5954900000002</v>
      </c>
      <c r="C19" s="206">
        <v>680.65929000000006</v>
      </c>
      <c r="D19" s="206">
        <v>537.54661999999996</v>
      </c>
      <c r="E19" s="206">
        <v>342.17973000000001</v>
      </c>
      <c r="F19" s="206">
        <v>1198.93803</v>
      </c>
      <c r="G19" s="206">
        <v>148.93102000000002</v>
      </c>
      <c r="H19" s="206">
        <v>626.48056999999994</v>
      </c>
      <c r="I19" s="206">
        <v>254.63954999999999</v>
      </c>
      <c r="J19" s="206">
        <v>56534.29</v>
      </c>
      <c r="K19" s="206">
        <v>4131</v>
      </c>
    </row>
    <row r="20" spans="1:11" s="144" customFormat="1" ht="13.5" customHeight="1" x14ac:dyDescent="0.3">
      <c r="A20" s="171">
        <f>DATE(YEAR(A19)+1,MONTH(A19),1)</f>
        <v>45658</v>
      </c>
      <c r="B20" s="206">
        <v>2233.35977</v>
      </c>
      <c r="C20" s="206">
        <v>628.57401000000004</v>
      </c>
      <c r="D20" s="206">
        <v>358.52665999999999</v>
      </c>
      <c r="E20" s="206">
        <v>465.22125999999997</v>
      </c>
      <c r="F20" s="206">
        <v>1459.50398</v>
      </c>
      <c r="G20" s="206">
        <v>448.70582000000002</v>
      </c>
      <c r="H20" s="206">
        <v>339.66167999999999</v>
      </c>
      <c r="I20" s="206">
        <v>232.50074000000001</v>
      </c>
      <c r="J20" s="206">
        <v>52723.41</v>
      </c>
      <c r="K20" s="206">
        <v>1987</v>
      </c>
    </row>
    <row r="21" spans="1:11" s="144" customFormat="1" ht="12" customHeight="1" x14ac:dyDescent="0.3">
      <c r="A21" s="172"/>
      <c r="B21" s="206"/>
      <c r="C21" s="206"/>
      <c r="D21" s="206"/>
      <c r="E21" s="206"/>
      <c r="F21" s="205"/>
      <c r="G21" s="207"/>
      <c r="H21" s="207"/>
      <c r="I21" s="207"/>
      <c r="J21" s="207"/>
      <c r="K21" s="207"/>
    </row>
    <row r="22" spans="1:11" s="144" customFormat="1" ht="13.5" customHeight="1" x14ac:dyDescent="0.3">
      <c r="A22" s="175">
        <f>DATE(YEAR(표지!O1)-2,MONTH(표지!O1)-1,1)</f>
        <v>45352</v>
      </c>
      <c r="B22" s="206">
        <v>289.69756000000001</v>
      </c>
      <c r="C22" s="206">
        <v>116.99079</v>
      </c>
      <c r="D22" s="206">
        <v>68.766720000000007</v>
      </c>
      <c r="E22" s="206">
        <v>33.036199999999994</v>
      </c>
      <c r="F22" s="206">
        <v>119.56769</v>
      </c>
      <c r="G22" s="206">
        <v>33.70026</v>
      </c>
      <c r="H22" s="206">
        <v>44.211480000000002</v>
      </c>
      <c r="I22" s="206">
        <v>18.292999999999999</v>
      </c>
      <c r="J22" s="206">
        <v>4982.67</v>
      </c>
      <c r="K22" s="206">
        <v>2640</v>
      </c>
    </row>
    <row r="23" spans="1:11" s="144" customFormat="1" ht="13.5" customHeight="1" x14ac:dyDescent="0.3">
      <c r="A23" s="176">
        <f>DATE(YEAR(A22),MONTH(A22)+1,1)</f>
        <v>45383</v>
      </c>
      <c r="B23" s="206">
        <v>398.44170000000003</v>
      </c>
      <c r="C23" s="206">
        <v>168.00864000000001</v>
      </c>
      <c r="D23" s="206">
        <v>110.83741000000001</v>
      </c>
      <c r="E23" s="206">
        <v>20.365309999999997</v>
      </c>
      <c r="F23" s="206">
        <v>83.623500000000007</v>
      </c>
      <c r="G23" s="206">
        <v>4.2214999999999998</v>
      </c>
      <c r="H23" s="206">
        <v>56.018550000000005</v>
      </c>
      <c r="I23" s="206">
        <v>12.78157</v>
      </c>
      <c r="J23" s="206">
        <v>12315.31</v>
      </c>
      <c r="K23" s="206">
        <v>3159</v>
      </c>
    </row>
    <row r="24" spans="1:11" s="144" customFormat="1" ht="13.5" customHeight="1" x14ac:dyDescent="0.3">
      <c r="A24" s="176">
        <f>DATE(YEAR(A23),MONTH(A23)+1,1)</f>
        <v>45413</v>
      </c>
      <c r="B24" s="206">
        <v>219.2945</v>
      </c>
      <c r="C24" s="206">
        <v>101.56529</v>
      </c>
      <c r="D24" s="206">
        <v>51.064989999999995</v>
      </c>
      <c r="E24" s="206">
        <v>24.279190000000003</v>
      </c>
      <c r="F24" s="206">
        <v>86.184979999999996</v>
      </c>
      <c r="G24" s="206">
        <v>2.9204299999999996</v>
      </c>
      <c r="H24" s="206">
        <v>66.889060000000001</v>
      </c>
      <c r="I24" s="206">
        <v>14.695459999999999</v>
      </c>
      <c r="J24" s="206">
        <v>1860.67</v>
      </c>
      <c r="K24" s="206">
        <v>2976</v>
      </c>
    </row>
    <row r="25" spans="1:11" s="144" customFormat="1" ht="13.5" customHeight="1" x14ac:dyDescent="0.3">
      <c r="A25" s="176">
        <f>DATE(YEAR(A24),MONTH(A24)+1,1)</f>
        <v>45444</v>
      </c>
      <c r="B25" s="206">
        <v>89.606080000000006</v>
      </c>
      <c r="C25" s="206">
        <v>2.1339099999999998</v>
      </c>
      <c r="D25" s="206">
        <v>47.966269999999994</v>
      </c>
      <c r="E25" s="206">
        <v>33.815980000000003</v>
      </c>
      <c r="F25" s="206">
        <v>189.55332000000001</v>
      </c>
      <c r="G25" s="206">
        <v>3.4100699999999997</v>
      </c>
      <c r="H25" s="206">
        <v>168.24299999999999</v>
      </c>
      <c r="I25" s="206">
        <v>11.29613</v>
      </c>
      <c r="J25" s="206">
        <v>2726.05</v>
      </c>
      <c r="K25" s="206">
        <v>2801</v>
      </c>
    </row>
    <row r="26" spans="1:11" s="144" customFormat="1" ht="13.5" customHeight="1" x14ac:dyDescent="0.3">
      <c r="A26" s="176">
        <f>DATE(YEAR(A25),MONTH(A25)+1,1)</f>
        <v>45474</v>
      </c>
      <c r="B26" s="206">
        <v>251.43975</v>
      </c>
      <c r="C26" s="206">
        <v>173.19012000000001</v>
      </c>
      <c r="D26" s="206">
        <v>38.764769999999999</v>
      </c>
      <c r="E26" s="206">
        <v>20.552119999999999</v>
      </c>
      <c r="F26" s="206">
        <v>76.651880000000006</v>
      </c>
      <c r="G26" s="206">
        <v>2.7658</v>
      </c>
      <c r="H26" s="206">
        <v>44.625039999999998</v>
      </c>
      <c r="I26" s="206">
        <v>17.636110000000002</v>
      </c>
      <c r="J26" s="206">
        <v>855.41</v>
      </c>
      <c r="K26" s="206">
        <v>2428</v>
      </c>
    </row>
    <row r="27" spans="1:11" s="144" customFormat="1" ht="13.5" customHeight="1" x14ac:dyDescent="0.3">
      <c r="A27" s="176">
        <f t="shared" ref="A27:A31" si="1">DATE(YEAR(A26),MONTH(A26)+1,1)</f>
        <v>45505</v>
      </c>
      <c r="B27" s="206">
        <v>86.760850000000005</v>
      </c>
      <c r="C27" s="206">
        <v>4.1454799999999992</v>
      </c>
      <c r="D27" s="206">
        <v>19.519500000000001</v>
      </c>
      <c r="E27" s="206">
        <v>34.397300000000001</v>
      </c>
      <c r="F27" s="206">
        <v>43.12189</v>
      </c>
      <c r="G27" s="206">
        <v>2.7371500000000002</v>
      </c>
      <c r="H27" s="206">
        <v>21.829419999999999</v>
      </c>
      <c r="I27" s="206">
        <v>16.188890000000001</v>
      </c>
      <c r="J27" s="206">
        <v>4347.3599999999997</v>
      </c>
      <c r="K27" s="206">
        <v>2406</v>
      </c>
    </row>
    <row r="28" spans="1:11" s="144" customFormat="1" ht="13.5" customHeight="1" x14ac:dyDescent="0.3">
      <c r="A28" s="176">
        <f t="shared" si="1"/>
        <v>45536</v>
      </c>
      <c r="B28" s="206">
        <v>50.788650000000004</v>
      </c>
      <c r="C28" s="206">
        <v>2.4033900000000004</v>
      </c>
      <c r="D28" s="206">
        <v>16.725210000000001</v>
      </c>
      <c r="E28" s="206">
        <v>27.037009999999999</v>
      </c>
      <c r="F28" s="206">
        <v>120.09553</v>
      </c>
      <c r="G28" s="206">
        <v>2.1242799999999997</v>
      </c>
      <c r="H28" s="206">
        <v>52.324980000000004</v>
      </c>
      <c r="I28" s="206">
        <v>34.888400000000004</v>
      </c>
      <c r="J28" s="206">
        <v>6114.47</v>
      </c>
      <c r="K28" s="206">
        <v>2416</v>
      </c>
    </row>
    <row r="29" spans="1:11" s="144" customFormat="1" ht="13.5" customHeight="1" x14ac:dyDescent="0.3">
      <c r="A29" s="176">
        <f t="shared" si="1"/>
        <v>45566</v>
      </c>
      <c r="B29" s="206">
        <v>98.472089999999994</v>
      </c>
      <c r="C29" s="206">
        <v>44.141440000000003</v>
      </c>
      <c r="D29" s="206">
        <v>4.8737200000000005</v>
      </c>
      <c r="E29" s="206">
        <v>44.49354000000001</v>
      </c>
      <c r="F29" s="206">
        <v>189.3981</v>
      </c>
      <c r="G29" s="206">
        <v>86.137680000000003</v>
      </c>
      <c r="H29" s="206">
        <v>11.42426</v>
      </c>
      <c r="I29" s="206">
        <v>40.653160000000007</v>
      </c>
      <c r="J29" s="206">
        <v>5709.85</v>
      </c>
      <c r="K29" s="206">
        <v>2836</v>
      </c>
    </row>
    <row r="30" spans="1:11" s="144" customFormat="1" ht="13.5" customHeight="1" x14ac:dyDescent="0.3">
      <c r="A30" s="176">
        <f t="shared" si="1"/>
        <v>45597</v>
      </c>
      <c r="B30" s="206">
        <v>231.25601999999998</v>
      </c>
      <c r="C30" s="206">
        <v>3.3345699999999998</v>
      </c>
      <c r="D30" s="206">
        <v>17.190380000000001</v>
      </c>
      <c r="E30" s="206">
        <v>14.370190000000003</v>
      </c>
      <c r="F30" s="206">
        <v>55.48968</v>
      </c>
      <c r="G30" s="206">
        <v>2.85494</v>
      </c>
      <c r="H30" s="206">
        <v>22.56616</v>
      </c>
      <c r="I30" s="206">
        <v>17.386510000000001</v>
      </c>
      <c r="J30" s="206">
        <v>4957.47</v>
      </c>
      <c r="K30" s="206">
        <v>2711</v>
      </c>
    </row>
    <row r="31" spans="1:11" s="144" customFormat="1" ht="13.5" customHeight="1" x14ac:dyDescent="0.3">
      <c r="A31" s="176">
        <f t="shared" si="1"/>
        <v>45627</v>
      </c>
      <c r="B31" s="206">
        <v>125.52553999999999</v>
      </c>
      <c r="C31" s="206">
        <v>49.574889999999996</v>
      </c>
      <c r="D31" s="206">
        <v>27.846209999999999</v>
      </c>
      <c r="E31" s="206">
        <v>35.030240000000006</v>
      </c>
      <c r="F31" s="206">
        <v>42.595099999999995</v>
      </c>
      <c r="G31" s="206">
        <v>2.73841</v>
      </c>
      <c r="H31" s="206">
        <v>15.635009999999999</v>
      </c>
      <c r="I31" s="206">
        <v>21.605900000000002</v>
      </c>
      <c r="J31" s="206">
        <v>7485.14</v>
      </c>
      <c r="K31" s="206">
        <v>4131</v>
      </c>
    </row>
    <row r="32" spans="1:11" s="144" customFormat="1" ht="13.5" customHeight="1" x14ac:dyDescent="0.3">
      <c r="A32" s="176"/>
      <c r="B32" s="206"/>
      <c r="C32" s="206"/>
      <c r="D32" s="206"/>
      <c r="E32" s="206"/>
      <c r="F32" s="206"/>
      <c r="G32" s="206"/>
      <c r="H32" s="206"/>
      <c r="I32" s="206"/>
      <c r="J32" s="206"/>
      <c r="K32" s="206"/>
    </row>
    <row r="33" spans="1:11" s="144" customFormat="1" ht="13.5" customHeight="1" x14ac:dyDescent="0.3">
      <c r="A33" s="175">
        <f>DATE(YEAR(A31),MONTH(A31)+1,1)</f>
        <v>45658</v>
      </c>
      <c r="B33" s="206">
        <v>130.92275000000001</v>
      </c>
      <c r="C33" s="206">
        <v>82.58702000000001</v>
      </c>
      <c r="D33" s="206">
        <v>20.447520000000001</v>
      </c>
      <c r="E33" s="206">
        <v>26.407070000000001</v>
      </c>
      <c r="F33" s="206">
        <v>117.58993</v>
      </c>
      <c r="G33" s="206">
        <v>43.176939999999995</v>
      </c>
      <c r="H33" s="206">
        <v>12.872</v>
      </c>
      <c r="I33" s="206">
        <v>13.304819999999999</v>
      </c>
      <c r="J33" s="206">
        <v>1478.04</v>
      </c>
      <c r="K33" s="206">
        <v>3943</v>
      </c>
    </row>
    <row r="34" spans="1:11" s="144" customFormat="1" ht="13.5" customHeight="1" x14ac:dyDescent="0.3">
      <c r="A34" s="176">
        <f t="shared" ref="A34:A44" si="2">DATE(YEAR(A33),MONTH(A33)+1,1)</f>
        <v>45689</v>
      </c>
      <c r="B34" s="206">
        <v>386.56644</v>
      </c>
      <c r="C34" s="206">
        <v>2.0363800000000003</v>
      </c>
      <c r="D34" s="206">
        <v>36.562110000000004</v>
      </c>
      <c r="E34" s="206">
        <v>15.691019999999996</v>
      </c>
      <c r="F34" s="206">
        <v>45.393720000000002</v>
      </c>
      <c r="G34" s="206">
        <v>2.9539400000000002</v>
      </c>
      <c r="H34" s="206">
        <v>24.480340000000002</v>
      </c>
      <c r="I34" s="206">
        <v>10.151339999999999</v>
      </c>
      <c r="J34" s="206">
        <v>3000.01</v>
      </c>
      <c r="K34" s="206">
        <v>3811</v>
      </c>
    </row>
    <row r="35" spans="1:11" s="144" customFormat="1" ht="13.5" customHeight="1" x14ac:dyDescent="0.3">
      <c r="A35" s="176">
        <f t="shared" si="2"/>
        <v>45717</v>
      </c>
      <c r="B35" s="206">
        <v>103.83185</v>
      </c>
      <c r="C35" s="206">
        <v>66.9161</v>
      </c>
      <c r="D35" s="206">
        <v>12.87003</v>
      </c>
      <c r="E35" s="206">
        <v>18.191090000000003</v>
      </c>
      <c r="F35" s="206">
        <v>105.73387</v>
      </c>
      <c r="G35" s="206">
        <v>52.906140000000001</v>
      </c>
      <c r="H35" s="206">
        <v>6.8296299999999999</v>
      </c>
      <c r="I35" s="206">
        <v>30.13496</v>
      </c>
      <c r="J35" s="206">
        <v>6040.45</v>
      </c>
      <c r="K35" s="206">
        <v>3726</v>
      </c>
    </row>
    <row r="36" spans="1:11" s="144" customFormat="1" ht="13.5" customHeight="1" x14ac:dyDescent="0.3">
      <c r="A36" s="176">
        <f t="shared" si="2"/>
        <v>45748</v>
      </c>
      <c r="B36" s="206">
        <v>86.756350000000012</v>
      </c>
      <c r="C36" s="206">
        <v>3.3835300000000004</v>
      </c>
      <c r="D36" s="206">
        <v>15.431379999999999</v>
      </c>
      <c r="E36" s="206">
        <v>21.386490000000002</v>
      </c>
      <c r="F36" s="206">
        <v>79.112460000000013</v>
      </c>
      <c r="G36" s="206">
        <v>12.229499999999998</v>
      </c>
      <c r="H36" s="206">
        <v>48.186720000000001</v>
      </c>
      <c r="I36" s="206">
        <v>16.717220000000001</v>
      </c>
      <c r="J36" s="206">
        <v>3532.82</v>
      </c>
      <c r="K36" s="206">
        <v>3505</v>
      </c>
    </row>
    <row r="37" spans="1:11" s="144" customFormat="1" ht="13.5" customHeight="1" x14ac:dyDescent="0.3">
      <c r="A37" s="176">
        <f t="shared" si="2"/>
        <v>45778</v>
      </c>
      <c r="B37" s="206">
        <v>97.38861</v>
      </c>
      <c r="C37" s="206">
        <v>3.36097</v>
      </c>
      <c r="D37" s="206">
        <v>23.013870000000001</v>
      </c>
      <c r="E37" s="206">
        <v>14.03815</v>
      </c>
      <c r="F37" s="206">
        <v>215.92257000000001</v>
      </c>
      <c r="G37" s="206">
        <v>3.3585699999999998</v>
      </c>
      <c r="H37" s="206">
        <v>28.113229999999998</v>
      </c>
      <c r="I37" s="206">
        <v>6.8499699999999999</v>
      </c>
      <c r="J37" s="206">
        <v>1630.58</v>
      </c>
      <c r="K37" s="206">
        <v>3140</v>
      </c>
    </row>
    <row r="38" spans="1:11" s="144" customFormat="1" ht="13.5" customHeight="1" x14ac:dyDescent="0.3">
      <c r="A38" s="176">
        <f t="shared" si="2"/>
        <v>45809</v>
      </c>
      <c r="B38" s="206">
        <v>558.70387000000005</v>
      </c>
      <c r="C38" s="206">
        <v>346.27332000000001</v>
      </c>
      <c r="D38" s="206">
        <v>27.341720000000002</v>
      </c>
      <c r="E38" s="206">
        <v>28.900510000000001</v>
      </c>
      <c r="F38" s="206">
        <v>119.32182</v>
      </c>
      <c r="G38" s="206">
        <v>88.117649999999998</v>
      </c>
      <c r="H38" s="206">
        <v>5.0553800000000004</v>
      </c>
      <c r="I38" s="206">
        <v>18.815739999999998</v>
      </c>
      <c r="J38" s="206">
        <v>9343.15</v>
      </c>
      <c r="K38" s="206">
        <v>2746</v>
      </c>
    </row>
    <row r="39" spans="1:11" s="144" customFormat="1" ht="14.25" customHeight="1" x14ac:dyDescent="0.3">
      <c r="A39" s="176">
        <f t="shared" si="2"/>
        <v>45839</v>
      </c>
      <c r="B39" s="206">
        <v>141.36395999999999</v>
      </c>
      <c r="C39" s="206">
        <v>2.9346000000000005</v>
      </c>
      <c r="D39" s="206">
        <v>82.04777</v>
      </c>
      <c r="E39" s="206">
        <v>28.760110000000001</v>
      </c>
      <c r="F39" s="206">
        <v>88.156070000000014</v>
      </c>
      <c r="G39" s="206">
        <v>1.8996999999999997</v>
      </c>
      <c r="H39" s="206">
        <v>34.289709999999999</v>
      </c>
      <c r="I39" s="206">
        <v>14.092700000000001</v>
      </c>
      <c r="J39" s="206">
        <v>2448.75</v>
      </c>
      <c r="K39" s="206">
        <v>2531</v>
      </c>
    </row>
    <row r="40" spans="1:11" s="144" customFormat="1" ht="14.25" customHeight="1" x14ac:dyDescent="0.3">
      <c r="A40" s="176">
        <f t="shared" si="2"/>
        <v>45870</v>
      </c>
      <c r="B40" s="206">
        <v>117.27986</v>
      </c>
      <c r="C40" s="206">
        <v>1.1891399999999999</v>
      </c>
      <c r="D40" s="206">
        <v>16.273700000000002</v>
      </c>
      <c r="E40" s="206">
        <v>29.293880000000001</v>
      </c>
      <c r="F40" s="206">
        <v>108.52992999999999</v>
      </c>
      <c r="G40" s="206">
        <v>41.502000000000002</v>
      </c>
      <c r="H40" s="206">
        <v>35.08278</v>
      </c>
      <c r="I40" s="206">
        <v>20.98077</v>
      </c>
      <c r="J40" s="206">
        <v>1855.14</v>
      </c>
      <c r="K40" s="206">
        <v>2308</v>
      </c>
    </row>
    <row r="41" spans="1:11" s="144" customFormat="1" ht="14.25" customHeight="1" x14ac:dyDescent="0.3">
      <c r="A41" s="176">
        <f t="shared" si="2"/>
        <v>45901</v>
      </c>
      <c r="B41" s="206">
        <v>117.4645</v>
      </c>
      <c r="C41" s="206">
        <v>36.324930000000002</v>
      </c>
      <c r="D41" s="206">
        <v>33.156849999999999</v>
      </c>
      <c r="E41" s="206">
        <v>35.584539999999997</v>
      </c>
      <c r="F41" s="206">
        <v>330.66227000000003</v>
      </c>
      <c r="G41" s="206">
        <v>181.07126</v>
      </c>
      <c r="H41" s="206">
        <v>45.260169999999995</v>
      </c>
      <c r="I41" s="206">
        <v>11.237879999999997</v>
      </c>
      <c r="J41" s="206">
        <v>7631.19</v>
      </c>
      <c r="K41" s="206">
        <v>2152</v>
      </c>
    </row>
    <row r="42" spans="1:11" s="144" customFormat="1" ht="14.25" customHeight="1" x14ac:dyDescent="0.3">
      <c r="A42" s="176">
        <f t="shared" si="2"/>
        <v>45931</v>
      </c>
      <c r="B42" s="206">
        <v>96.65831</v>
      </c>
      <c r="C42" s="206">
        <v>6.6378000000000004</v>
      </c>
      <c r="D42" s="206">
        <v>49.303230000000006</v>
      </c>
      <c r="E42" s="206">
        <v>20.734719999999996</v>
      </c>
      <c r="F42" s="206">
        <v>81.375509999999991</v>
      </c>
      <c r="G42" s="206">
        <v>7.8679199999999998</v>
      </c>
      <c r="H42" s="206">
        <v>28.91056</v>
      </c>
      <c r="I42" s="206">
        <v>38.648060000000008</v>
      </c>
      <c r="J42" s="206">
        <v>3567.72</v>
      </c>
      <c r="K42" s="206">
        <v>2676</v>
      </c>
    </row>
    <row r="43" spans="1:11" s="144" customFormat="1" ht="14.25" customHeight="1" x14ac:dyDescent="0.3">
      <c r="A43" s="176">
        <f t="shared" si="2"/>
        <v>45962</v>
      </c>
      <c r="B43" s="206">
        <v>230.92887999999999</v>
      </c>
      <c r="C43" s="206">
        <v>3.9347799999999999</v>
      </c>
      <c r="D43" s="206">
        <v>35.204699999999995</v>
      </c>
      <c r="E43" s="206">
        <v>176.97561999999999</v>
      </c>
      <c r="F43" s="206">
        <v>69.31483999999999</v>
      </c>
      <c r="G43" s="206">
        <v>7.4767700000000001</v>
      </c>
      <c r="H43" s="206">
        <v>18.7622</v>
      </c>
      <c r="I43" s="206">
        <v>21.070040000000002</v>
      </c>
      <c r="J43" s="206">
        <v>9360.18</v>
      </c>
      <c r="K43" s="206">
        <v>2309</v>
      </c>
    </row>
    <row r="44" spans="1:11" s="144" customFormat="1" ht="14.25" customHeight="1" x14ac:dyDescent="0.3">
      <c r="A44" s="176">
        <f t="shared" si="2"/>
        <v>45992</v>
      </c>
      <c r="B44" s="206">
        <v>165.49439000000001</v>
      </c>
      <c r="C44" s="206">
        <v>72.995440000000002</v>
      </c>
      <c r="D44" s="206">
        <v>6.87378</v>
      </c>
      <c r="E44" s="206">
        <v>49.258060000000008</v>
      </c>
      <c r="F44" s="206">
        <v>98.390990000000002</v>
      </c>
      <c r="G44" s="206">
        <v>6.1454300000000002</v>
      </c>
      <c r="H44" s="206">
        <v>51.818959999999997</v>
      </c>
      <c r="I44" s="206">
        <v>30.497239999999998</v>
      </c>
      <c r="J44" s="206">
        <v>2835.38</v>
      </c>
      <c r="K44" s="206">
        <v>1987</v>
      </c>
    </row>
    <row r="45" spans="1:11" s="144" customFormat="1" ht="14.25" customHeight="1" x14ac:dyDescent="0.3">
      <c r="A45" s="176"/>
      <c r="B45" s="206"/>
      <c r="C45" s="206"/>
      <c r="D45" s="206"/>
      <c r="E45" s="206"/>
      <c r="F45" s="206"/>
      <c r="G45" s="206"/>
      <c r="H45" s="206"/>
      <c r="I45" s="206"/>
      <c r="J45" s="206"/>
      <c r="K45" s="206"/>
    </row>
    <row r="46" spans="1:11" s="144" customFormat="1" ht="14.25" customHeight="1" x14ac:dyDescent="0.3">
      <c r="A46" s="175">
        <f>DATE(YEAR(A44),MONTH(A44)+1,1)</f>
        <v>46023</v>
      </c>
      <c r="B46" s="206">
        <v>307.02625</v>
      </c>
      <c r="C46" s="206">
        <v>246.64071000000001</v>
      </c>
      <c r="D46" s="206">
        <v>18.693549999999998</v>
      </c>
      <c r="E46" s="206">
        <v>28.062309999999997</v>
      </c>
      <c r="F46" s="206">
        <v>36.03942</v>
      </c>
      <c r="G46" s="206">
        <v>2.3832499999999999</v>
      </c>
      <c r="H46" s="206">
        <v>11.197340000000001</v>
      </c>
      <c r="I46" s="206">
        <v>17.508900000000001</v>
      </c>
      <c r="J46" s="206">
        <v>1918.86</v>
      </c>
      <c r="K46" s="206">
        <v>1632</v>
      </c>
    </row>
    <row r="47" spans="1:11" s="144" customFormat="1" ht="14.25" customHeight="1" x14ac:dyDescent="0.3">
      <c r="A47" s="176">
        <f t="shared" ref="A47:A48" si="3">DATE(YEAR(A46),MONTH(A46)+1,1)</f>
        <v>46054</v>
      </c>
      <c r="B47" s="206">
        <v>254.04588000000001</v>
      </c>
      <c r="C47" s="206">
        <v>87.562330000000003</v>
      </c>
      <c r="D47" s="206">
        <v>133.86320999999998</v>
      </c>
      <c r="E47" s="206">
        <v>22.835519999999999</v>
      </c>
      <c r="F47" s="206">
        <v>39.89143</v>
      </c>
      <c r="G47" s="206">
        <v>1.0606800000000001</v>
      </c>
      <c r="H47" s="206">
        <v>15.68915</v>
      </c>
      <c r="I47" s="206">
        <v>17.701629999999998</v>
      </c>
      <c r="J47" s="206">
        <v>4785.8900000000003</v>
      </c>
      <c r="K47" s="206">
        <v>1402</v>
      </c>
    </row>
    <row r="48" spans="1:11" s="144" customFormat="1" ht="14.25" customHeight="1" x14ac:dyDescent="0.3">
      <c r="A48" s="176">
        <f t="shared" si="3"/>
        <v>46082</v>
      </c>
      <c r="B48" s="206">
        <v>69.563910000000007</v>
      </c>
      <c r="C48" s="206">
        <v>3.4381499999999998</v>
      </c>
      <c r="D48" s="206">
        <v>25.090730000000001</v>
      </c>
      <c r="E48" s="206">
        <v>34.293759999999999</v>
      </c>
      <c r="F48" s="206">
        <v>118.88805000000001</v>
      </c>
      <c r="G48" s="206">
        <v>3.6327299999999996</v>
      </c>
      <c r="H48" s="206">
        <v>20.613900000000001</v>
      </c>
      <c r="I48" s="206">
        <v>36.458410000000001</v>
      </c>
      <c r="J48" s="206">
        <v>2438.7800000000002</v>
      </c>
      <c r="K48" s="206">
        <v>1164</v>
      </c>
    </row>
    <row r="49" spans="1:21" s="144" customFormat="1" ht="5.25" customHeight="1" x14ac:dyDescent="0.3">
      <c r="A49" s="208"/>
      <c r="B49" s="208"/>
      <c r="C49" s="208"/>
      <c r="D49" s="208"/>
      <c r="E49" s="208"/>
      <c r="F49" s="208"/>
      <c r="G49" s="208"/>
      <c r="H49" s="208"/>
      <c r="I49" s="208"/>
      <c r="J49" s="208"/>
      <c r="K49" s="177"/>
    </row>
    <row r="50" spans="1:21" s="180" customFormat="1" x14ac:dyDescent="0.2">
      <c r="A50" s="152" t="s">
        <v>247</v>
      </c>
      <c r="L50" s="144"/>
      <c r="M50" s="144"/>
      <c r="N50" s="144"/>
      <c r="O50" s="144"/>
      <c r="P50" s="144"/>
      <c r="Q50" s="144"/>
      <c r="R50" s="144"/>
      <c r="S50" s="144"/>
      <c r="T50" s="144"/>
      <c r="U50" s="144"/>
    </row>
    <row r="51" spans="1:21" x14ac:dyDescent="0.25">
      <c r="A51" s="154" t="s">
        <v>248</v>
      </c>
    </row>
    <row r="54" spans="1:21" x14ac:dyDescent="0.25">
      <c r="N54" s="144"/>
      <c r="O54" s="144"/>
      <c r="P54" s="144"/>
      <c r="Q54" s="144"/>
      <c r="R54" s="144"/>
      <c r="S54" s="144"/>
      <c r="T54" s="144"/>
      <c r="U54" s="144"/>
    </row>
    <row r="55" spans="1:21" x14ac:dyDescent="0.25">
      <c r="U55" s="144"/>
    </row>
    <row r="56" spans="1:21" x14ac:dyDescent="0.25">
      <c r="U56" s="144"/>
    </row>
    <row r="57" spans="1:21" x14ac:dyDescent="0.25">
      <c r="U57" s="144"/>
    </row>
    <row r="58" spans="1:21" x14ac:dyDescent="0.25">
      <c r="U58" s="144"/>
    </row>
    <row r="59" spans="1:21" x14ac:dyDescent="0.25">
      <c r="U59" s="144"/>
    </row>
    <row r="60" spans="1:21" x14ac:dyDescent="0.25">
      <c r="L60" s="144"/>
      <c r="M60" s="144"/>
      <c r="N60" s="144"/>
      <c r="O60" s="144"/>
      <c r="P60" s="144"/>
      <c r="Q60" s="144"/>
      <c r="S60" s="144"/>
      <c r="T60" s="144"/>
      <c r="U60" s="144"/>
    </row>
    <row r="61" spans="1:21" x14ac:dyDescent="0.25">
      <c r="L61" s="144"/>
      <c r="M61" s="144"/>
      <c r="N61" s="144"/>
      <c r="O61" s="144"/>
      <c r="P61" s="144"/>
      <c r="Q61" s="144"/>
      <c r="S61" s="144"/>
      <c r="T61" s="144"/>
      <c r="U61" s="144"/>
    </row>
    <row r="62" spans="1:21" x14ac:dyDescent="0.25">
      <c r="L62" s="144"/>
      <c r="M62" s="144"/>
      <c r="N62" s="144"/>
      <c r="O62" s="144"/>
      <c r="P62" s="144"/>
      <c r="Q62" s="144"/>
      <c r="S62" s="144"/>
      <c r="T62" s="144"/>
      <c r="U62" s="144"/>
    </row>
    <row r="63" spans="1:21" x14ac:dyDescent="0.25">
      <c r="L63" s="144"/>
      <c r="M63" s="180"/>
      <c r="N63" s="144"/>
      <c r="O63" s="144"/>
      <c r="P63" s="144"/>
      <c r="Q63" s="144"/>
      <c r="S63" s="144"/>
      <c r="T63" s="144"/>
      <c r="U63" s="144"/>
    </row>
  </sheetData>
  <mergeCells count="6">
    <mergeCell ref="A1:K1"/>
    <mergeCell ref="A3:A5"/>
    <mergeCell ref="B3:E4"/>
    <mergeCell ref="F3:I4"/>
    <mergeCell ref="J3:J5"/>
    <mergeCell ref="K3:K5"/>
  </mergeCells>
  <phoneticPr fontId="4" type="noConversion"/>
  <pageMargins left="0.75" right="0.75" top="1" bottom="1" header="0.5" footer="0.5"/>
  <pageSetup paperSize="9" scale="8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8B6FF-369A-4C09-B122-F0BA5FC4C661}">
  <dimension ref="A1:M125"/>
  <sheetViews>
    <sheetView view="pageBreakPreview" zoomScale="130" zoomScaleNormal="85" zoomScaleSheetLayoutView="130" workbookViewId="0">
      <selection activeCell="C2" sqref="C2"/>
    </sheetView>
  </sheetViews>
  <sheetFormatPr defaultRowHeight="13.5" x14ac:dyDescent="0.25"/>
  <cols>
    <col min="1" max="1" width="7.125" style="211" customWidth="1"/>
    <col min="2" max="2" width="6.875" style="224" bestFit="1" customWidth="1"/>
    <col min="3" max="6" width="8.75" style="224" customWidth="1"/>
    <col min="7" max="7" width="6.875" style="224" bestFit="1" customWidth="1"/>
    <col min="8" max="11" width="8.75" style="224" customWidth="1"/>
    <col min="12" max="12" width="1.125" style="211" customWidth="1"/>
    <col min="13" max="220" width="9" style="211"/>
    <col min="221" max="221" width="7.5" style="211" customWidth="1"/>
    <col min="222" max="223" width="8.75" style="211" customWidth="1"/>
    <col min="224" max="224" width="8" style="211" customWidth="1"/>
    <col min="225" max="225" width="7.125" style="211" customWidth="1"/>
    <col min="226" max="230" width="5.75" style="211" customWidth="1"/>
    <col min="231" max="231" width="7" style="211" customWidth="1"/>
    <col min="232" max="235" width="5.75" style="211" customWidth="1"/>
    <col min="236" max="236" width="6.375" style="211" customWidth="1"/>
    <col min="237" max="237" width="1.125" style="211" customWidth="1"/>
    <col min="238" max="476" width="9" style="211"/>
    <col min="477" max="477" width="7.5" style="211" customWidth="1"/>
    <col min="478" max="479" width="8.75" style="211" customWidth="1"/>
    <col min="480" max="480" width="8" style="211" customWidth="1"/>
    <col min="481" max="481" width="7.125" style="211" customWidth="1"/>
    <col min="482" max="486" width="5.75" style="211" customWidth="1"/>
    <col min="487" max="487" width="7" style="211" customWidth="1"/>
    <col min="488" max="491" width="5.75" style="211" customWidth="1"/>
    <col min="492" max="492" width="6.375" style="211" customWidth="1"/>
    <col min="493" max="493" width="1.125" style="211" customWidth="1"/>
    <col min="494" max="732" width="9" style="211"/>
    <col min="733" max="733" width="7.5" style="211" customWidth="1"/>
    <col min="734" max="735" width="8.75" style="211" customWidth="1"/>
    <col min="736" max="736" width="8" style="211" customWidth="1"/>
    <col min="737" max="737" width="7.125" style="211" customWidth="1"/>
    <col min="738" max="742" width="5.75" style="211" customWidth="1"/>
    <col min="743" max="743" width="7" style="211" customWidth="1"/>
    <col min="744" max="747" width="5.75" style="211" customWidth="1"/>
    <col min="748" max="748" width="6.375" style="211" customWidth="1"/>
    <col min="749" max="749" width="1.125" style="211" customWidth="1"/>
    <col min="750" max="988" width="9" style="211"/>
    <col min="989" max="989" width="7.5" style="211" customWidth="1"/>
    <col min="990" max="991" width="8.75" style="211" customWidth="1"/>
    <col min="992" max="992" width="8" style="211" customWidth="1"/>
    <col min="993" max="993" width="7.125" style="211" customWidth="1"/>
    <col min="994" max="998" width="5.75" style="211" customWidth="1"/>
    <col min="999" max="999" width="7" style="211" customWidth="1"/>
    <col min="1000" max="1003" width="5.75" style="211" customWidth="1"/>
    <col min="1004" max="1004" width="6.375" style="211" customWidth="1"/>
    <col min="1005" max="1005" width="1.125" style="211" customWidth="1"/>
    <col min="1006" max="1244" width="9" style="211"/>
    <col min="1245" max="1245" width="7.5" style="211" customWidth="1"/>
    <col min="1246" max="1247" width="8.75" style="211" customWidth="1"/>
    <col min="1248" max="1248" width="8" style="211" customWidth="1"/>
    <col min="1249" max="1249" width="7.125" style="211" customWidth="1"/>
    <col min="1250" max="1254" width="5.75" style="211" customWidth="1"/>
    <col min="1255" max="1255" width="7" style="211" customWidth="1"/>
    <col min="1256" max="1259" width="5.75" style="211" customWidth="1"/>
    <col min="1260" max="1260" width="6.375" style="211" customWidth="1"/>
    <col min="1261" max="1261" width="1.125" style="211" customWidth="1"/>
    <col min="1262" max="1500" width="9" style="211"/>
    <col min="1501" max="1501" width="7.5" style="211" customWidth="1"/>
    <col min="1502" max="1503" width="8.75" style="211" customWidth="1"/>
    <col min="1504" max="1504" width="8" style="211" customWidth="1"/>
    <col min="1505" max="1505" width="7.125" style="211" customWidth="1"/>
    <col min="1506" max="1510" width="5.75" style="211" customWidth="1"/>
    <col min="1511" max="1511" width="7" style="211" customWidth="1"/>
    <col min="1512" max="1515" width="5.75" style="211" customWidth="1"/>
    <col min="1516" max="1516" width="6.375" style="211" customWidth="1"/>
    <col min="1517" max="1517" width="1.125" style="211" customWidth="1"/>
    <col min="1518" max="1756" width="9" style="211"/>
    <col min="1757" max="1757" width="7.5" style="211" customWidth="1"/>
    <col min="1758" max="1759" width="8.75" style="211" customWidth="1"/>
    <col min="1760" max="1760" width="8" style="211" customWidth="1"/>
    <col min="1761" max="1761" width="7.125" style="211" customWidth="1"/>
    <col min="1762" max="1766" width="5.75" style="211" customWidth="1"/>
    <col min="1767" max="1767" width="7" style="211" customWidth="1"/>
    <col min="1768" max="1771" width="5.75" style="211" customWidth="1"/>
    <col min="1772" max="1772" width="6.375" style="211" customWidth="1"/>
    <col min="1773" max="1773" width="1.125" style="211" customWidth="1"/>
    <col min="1774" max="2012" width="9" style="211"/>
    <col min="2013" max="2013" width="7.5" style="211" customWidth="1"/>
    <col min="2014" max="2015" width="8.75" style="211" customWidth="1"/>
    <col min="2016" max="2016" width="8" style="211" customWidth="1"/>
    <col min="2017" max="2017" width="7.125" style="211" customWidth="1"/>
    <col min="2018" max="2022" width="5.75" style="211" customWidth="1"/>
    <col min="2023" max="2023" width="7" style="211" customWidth="1"/>
    <col min="2024" max="2027" width="5.75" style="211" customWidth="1"/>
    <col min="2028" max="2028" width="6.375" style="211" customWidth="1"/>
    <col min="2029" max="2029" width="1.125" style="211" customWidth="1"/>
    <col min="2030" max="2268" width="9" style="211"/>
    <col min="2269" max="2269" width="7.5" style="211" customWidth="1"/>
    <col min="2270" max="2271" width="8.75" style="211" customWidth="1"/>
    <col min="2272" max="2272" width="8" style="211" customWidth="1"/>
    <col min="2273" max="2273" width="7.125" style="211" customWidth="1"/>
    <col min="2274" max="2278" width="5.75" style="211" customWidth="1"/>
    <col min="2279" max="2279" width="7" style="211" customWidth="1"/>
    <col min="2280" max="2283" width="5.75" style="211" customWidth="1"/>
    <col min="2284" max="2284" width="6.375" style="211" customWidth="1"/>
    <col min="2285" max="2285" width="1.125" style="211" customWidth="1"/>
    <col min="2286" max="2524" width="9" style="211"/>
    <col min="2525" max="2525" width="7.5" style="211" customWidth="1"/>
    <col min="2526" max="2527" width="8.75" style="211" customWidth="1"/>
    <col min="2528" max="2528" width="8" style="211" customWidth="1"/>
    <col min="2529" max="2529" width="7.125" style="211" customWidth="1"/>
    <col min="2530" max="2534" width="5.75" style="211" customWidth="1"/>
    <col min="2535" max="2535" width="7" style="211" customWidth="1"/>
    <col min="2536" max="2539" width="5.75" style="211" customWidth="1"/>
    <col min="2540" max="2540" width="6.375" style="211" customWidth="1"/>
    <col min="2541" max="2541" width="1.125" style="211" customWidth="1"/>
    <col min="2542" max="2780" width="9" style="211"/>
    <col min="2781" max="2781" width="7.5" style="211" customWidth="1"/>
    <col min="2782" max="2783" width="8.75" style="211" customWidth="1"/>
    <col min="2784" max="2784" width="8" style="211" customWidth="1"/>
    <col min="2785" max="2785" width="7.125" style="211" customWidth="1"/>
    <col min="2786" max="2790" width="5.75" style="211" customWidth="1"/>
    <col min="2791" max="2791" width="7" style="211" customWidth="1"/>
    <col min="2792" max="2795" width="5.75" style="211" customWidth="1"/>
    <col min="2796" max="2796" width="6.375" style="211" customWidth="1"/>
    <col min="2797" max="2797" width="1.125" style="211" customWidth="1"/>
    <col min="2798" max="3036" width="9" style="211"/>
    <col min="3037" max="3037" width="7.5" style="211" customWidth="1"/>
    <col min="3038" max="3039" width="8.75" style="211" customWidth="1"/>
    <col min="3040" max="3040" width="8" style="211" customWidth="1"/>
    <col min="3041" max="3041" width="7.125" style="211" customWidth="1"/>
    <col min="3042" max="3046" width="5.75" style="211" customWidth="1"/>
    <col min="3047" max="3047" width="7" style="211" customWidth="1"/>
    <col min="3048" max="3051" width="5.75" style="211" customWidth="1"/>
    <col min="3052" max="3052" width="6.375" style="211" customWidth="1"/>
    <col min="3053" max="3053" width="1.125" style="211" customWidth="1"/>
    <col min="3054" max="3292" width="9" style="211"/>
    <col min="3293" max="3293" width="7.5" style="211" customWidth="1"/>
    <col min="3294" max="3295" width="8.75" style="211" customWidth="1"/>
    <col min="3296" max="3296" width="8" style="211" customWidth="1"/>
    <col min="3297" max="3297" width="7.125" style="211" customWidth="1"/>
    <col min="3298" max="3302" width="5.75" style="211" customWidth="1"/>
    <col min="3303" max="3303" width="7" style="211" customWidth="1"/>
    <col min="3304" max="3307" width="5.75" style="211" customWidth="1"/>
    <col min="3308" max="3308" width="6.375" style="211" customWidth="1"/>
    <col min="3309" max="3309" width="1.125" style="211" customWidth="1"/>
    <col min="3310" max="3548" width="9" style="211"/>
    <col min="3549" max="3549" width="7.5" style="211" customWidth="1"/>
    <col min="3550" max="3551" width="8.75" style="211" customWidth="1"/>
    <col min="3552" max="3552" width="8" style="211" customWidth="1"/>
    <col min="3553" max="3553" width="7.125" style="211" customWidth="1"/>
    <col min="3554" max="3558" width="5.75" style="211" customWidth="1"/>
    <col min="3559" max="3559" width="7" style="211" customWidth="1"/>
    <col min="3560" max="3563" width="5.75" style="211" customWidth="1"/>
    <col min="3564" max="3564" width="6.375" style="211" customWidth="1"/>
    <col min="3565" max="3565" width="1.125" style="211" customWidth="1"/>
    <col min="3566" max="3804" width="9" style="211"/>
    <col min="3805" max="3805" width="7.5" style="211" customWidth="1"/>
    <col min="3806" max="3807" width="8.75" style="211" customWidth="1"/>
    <col min="3808" max="3808" width="8" style="211" customWidth="1"/>
    <col min="3809" max="3809" width="7.125" style="211" customWidth="1"/>
    <col min="3810" max="3814" width="5.75" style="211" customWidth="1"/>
    <col min="3815" max="3815" width="7" style="211" customWidth="1"/>
    <col min="3816" max="3819" width="5.75" style="211" customWidth="1"/>
    <col min="3820" max="3820" width="6.375" style="211" customWidth="1"/>
    <col min="3821" max="3821" width="1.125" style="211" customWidth="1"/>
    <col min="3822" max="4060" width="9" style="211"/>
    <col min="4061" max="4061" width="7.5" style="211" customWidth="1"/>
    <col min="4062" max="4063" width="8.75" style="211" customWidth="1"/>
    <col min="4064" max="4064" width="8" style="211" customWidth="1"/>
    <col min="4065" max="4065" width="7.125" style="211" customWidth="1"/>
    <col min="4066" max="4070" width="5.75" style="211" customWidth="1"/>
    <col min="4071" max="4071" width="7" style="211" customWidth="1"/>
    <col min="4072" max="4075" width="5.75" style="211" customWidth="1"/>
    <col min="4076" max="4076" width="6.375" style="211" customWidth="1"/>
    <col min="4077" max="4077" width="1.125" style="211" customWidth="1"/>
    <col min="4078" max="4316" width="9" style="211"/>
    <col min="4317" max="4317" width="7.5" style="211" customWidth="1"/>
    <col min="4318" max="4319" width="8.75" style="211" customWidth="1"/>
    <col min="4320" max="4320" width="8" style="211" customWidth="1"/>
    <col min="4321" max="4321" width="7.125" style="211" customWidth="1"/>
    <col min="4322" max="4326" width="5.75" style="211" customWidth="1"/>
    <col min="4327" max="4327" width="7" style="211" customWidth="1"/>
    <col min="4328" max="4331" width="5.75" style="211" customWidth="1"/>
    <col min="4332" max="4332" width="6.375" style="211" customWidth="1"/>
    <col min="4333" max="4333" width="1.125" style="211" customWidth="1"/>
    <col min="4334" max="4572" width="9" style="211"/>
    <col min="4573" max="4573" width="7.5" style="211" customWidth="1"/>
    <col min="4574" max="4575" width="8.75" style="211" customWidth="1"/>
    <col min="4576" max="4576" width="8" style="211" customWidth="1"/>
    <col min="4577" max="4577" width="7.125" style="211" customWidth="1"/>
    <col min="4578" max="4582" width="5.75" style="211" customWidth="1"/>
    <col min="4583" max="4583" width="7" style="211" customWidth="1"/>
    <col min="4584" max="4587" width="5.75" style="211" customWidth="1"/>
    <col min="4588" max="4588" width="6.375" style="211" customWidth="1"/>
    <col min="4589" max="4589" width="1.125" style="211" customWidth="1"/>
    <col min="4590" max="4828" width="9" style="211"/>
    <col min="4829" max="4829" width="7.5" style="211" customWidth="1"/>
    <col min="4830" max="4831" width="8.75" style="211" customWidth="1"/>
    <col min="4832" max="4832" width="8" style="211" customWidth="1"/>
    <col min="4833" max="4833" width="7.125" style="211" customWidth="1"/>
    <col min="4834" max="4838" width="5.75" style="211" customWidth="1"/>
    <col min="4839" max="4839" width="7" style="211" customWidth="1"/>
    <col min="4840" max="4843" width="5.75" style="211" customWidth="1"/>
    <col min="4844" max="4844" width="6.375" style="211" customWidth="1"/>
    <col min="4845" max="4845" width="1.125" style="211" customWidth="1"/>
    <col min="4846" max="5084" width="9" style="211"/>
    <col min="5085" max="5085" width="7.5" style="211" customWidth="1"/>
    <col min="5086" max="5087" width="8.75" style="211" customWidth="1"/>
    <col min="5088" max="5088" width="8" style="211" customWidth="1"/>
    <col min="5089" max="5089" width="7.125" style="211" customWidth="1"/>
    <col min="5090" max="5094" width="5.75" style="211" customWidth="1"/>
    <col min="5095" max="5095" width="7" style="211" customWidth="1"/>
    <col min="5096" max="5099" width="5.75" style="211" customWidth="1"/>
    <col min="5100" max="5100" width="6.375" style="211" customWidth="1"/>
    <col min="5101" max="5101" width="1.125" style="211" customWidth="1"/>
    <col min="5102" max="5340" width="9" style="211"/>
    <col min="5341" max="5341" width="7.5" style="211" customWidth="1"/>
    <col min="5342" max="5343" width="8.75" style="211" customWidth="1"/>
    <col min="5344" max="5344" width="8" style="211" customWidth="1"/>
    <col min="5345" max="5345" width="7.125" style="211" customWidth="1"/>
    <col min="5346" max="5350" width="5.75" style="211" customWidth="1"/>
    <col min="5351" max="5351" width="7" style="211" customWidth="1"/>
    <col min="5352" max="5355" width="5.75" style="211" customWidth="1"/>
    <col min="5356" max="5356" width="6.375" style="211" customWidth="1"/>
    <col min="5357" max="5357" width="1.125" style="211" customWidth="1"/>
    <col min="5358" max="5596" width="9" style="211"/>
    <col min="5597" max="5597" width="7.5" style="211" customWidth="1"/>
    <col min="5598" max="5599" width="8.75" style="211" customWidth="1"/>
    <col min="5600" max="5600" width="8" style="211" customWidth="1"/>
    <col min="5601" max="5601" width="7.125" style="211" customWidth="1"/>
    <col min="5602" max="5606" width="5.75" style="211" customWidth="1"/>
    <col min="5607" max="5607" width="7" style="211" customWidth="1"/>
    <col min="5608" max="5611" width="5.75" style="211" customWidth="1"/>
    <col min="5612" max="5612" width="6.375" style="211" customWidth="1"/>
    <col min="5613" max="5613" width="1.125" style="211" customWidth="1"/>
    <col min="5614" max="5852" width="9" style="211"/>
    <col min="5853" max="5853" width="7.5" style="211" customWidth="1"/>
    <col min="5854" max="5855" width="8.75" style="211" customWidth="1"/>
    <col min="5856" max="5856" width="8" style="211" customWidth="1"/>
    <col min="5857" max="5857" width="7.125" style="211" customWidth="1"/>
    <col min="5858" max="5862" width="5.75" style="211" customWidth="1"/>
    <col min="5863" max="5863" width="7" style="211" customWidth="1"/>
    <col min="5864" max="5867" width="5.75" style="211" customWidth="1"/>
    <col min="5868" max="5868" width="6.375" style="211" customWidth="1"/>
    <col min="5869" max="5869" width="1.125" style="211" customWidth="1"/>
    <col min="5870" max="6108" width="9" style="211"/>
    <col min="6109" max="6109" width="7.5" style="211" customWidth="1"/>
    <col min="6110" max="6111" width="8.75" style="211" customWidth="1"/>
    <col min="6112" max="6112" width="8" style="211" customWidth="1"/>
    <col min="6113" max="6113" width="7.125" style="211" customWidth="1"/>
    <col min="6114" max="6118" width="5.75" style="211" customWidth="1"/>
    <col min="6119" max="6119" width="7" style="211" customWidth="1"/>
    <col min="6120" max="6123" width="5.75" style="211" customWidth="1"/>
    <col min="6124" max="6124" width="6.375" style="211" customWidth="1"/>
    <col min="6125" max="6125" width="1.125" style="211" customWidth="1"/>
    <col min="6126" max="6364" width="9" style="211"/>
    <col min="6365" max="6365" width="7.5" style="211" customWidth="1"/>
    <col min="6366" max="6367" width="8.75" style="211" customWidth="1"/>
    <col min="6368" max="6368" width="8" style="211" customWidth="1"/>
    <col min="6369" max="6369" width="7.125" style="211" customWidth="1"/>
    <col min="6370" max="6374" width="5.75" style="211" customWidth="1"/>
    <col min="6375" max="6375" width="7" style="211" customWidth="1"/>
    <col min="6376" max="6379" width="5.75" style="211" customWidth="1"/>
    <col min="6380" max="6380" width="6.375" style="211" customWidth="1"/>
    <col min="6381" max="6381" width="1.125" style="211" customWidth="1"/>
    <col min="6382" max="6620" width="9" style="211"/>
    <col min="6621" max="6621" width="7.5" style="211" customWidth="1"/>
    <col min="6622" max="6623" width="8.75" style="211" customWidth="1"/>
    <col min="6624" max="6624" width="8" style="211" customWidth="1"/>
    <col min="6625" max="6625" width="7.125" style="211" customWidth="1"/>
    <col min="6626" max="6630" width="5.75" style="211" customWidth="1"/>
    <col min="6631" max="6631" width="7" style="211" customWidth="1"/>
    <col min="6632" max="6635" width="5.75" style="211" customWidth="1"/>
    <col min="6636" max="6636" width="6.375" style="211" customWidth="1"/>
    <col min="6637" max="6637" width="1.125" style="211" customWidth="1"/>
    <col min="6638" max="6876" width="9" style="211"/>
    <col min="6877" max="6877" width="7.5" style="211" customWidth="1"/>
    <col min="6878" max="6879" width="8.75" style="211" customWidth="1"/>
    <col min="6880" max="6880" width="8" style="211" customWidth="1"/>
    <col min="6881" max="6881" width="7.125" style="211" customWidth="1"/>
    <col min="6882" max="6886" width="5.75" style="211" customWidth="1"/>
    <col min="6887" max="6887" width="7" style="211" customWidth="1"/>
    <col min="6888" max="6891" width="5.75" style="211" customWidth="1"/>
    <col min="6892" max="6892" width="6.375" style="211" customWidth="1"/>
    <col min="6893" max="6893" width="1.125" style="211" customWidth="1"/>
    <col min="6894" max="7132" width="9" style="211"/>
    <col min="7133" max="7133" width="7.5" style="211" customWidth="1"/>
    <col min="7134" max="7135" width="8.75" style="211" customWidth="1"/>
    <col min="7136" max="7136" width="8" style="211" customWidth="1"/>
    <col min="7137" max="7137" width="7.125" style="211" customWidth="1"/>
    <col min="7138" max="7142" width="5.75" style="211" customWidth="1"/>
    <col min="7143" max="7143" width="7" style="211" customWidth="1"/>
    <col min="7144" max="7147" width="5.75" style="211" customWidth="1"/>
    <col min="7148" max="7148" width="6.375" style="211" customWidth="1"/>
    <col min="7149" max="7149" width="1.125" style="211" customWidth="1"/>
    <col min="7150" max="7388" width="9" style="211"/>
    <col min="7389" max="7389" width="7.5" style="211" customWidth="1"/>
    <col min="7390" max="7391" width="8.75" style="211" customWidth="1"/>
    <col min="7392" max="7392" width="8" style="211" customWidth="1"/>
    <col min="7393" max="7393" width="7.125" style="211" customWidth="1"/>
    <col min="7394" max="7398" width="5.75" style="211" customWidth="1"/>
    <col min="7399" max="7399" width="7" style="211" customWidth="1"/>
    <col min="7400" max="7403" width="5.75" style="211" customWidth="1"/>
    <col min="7404" max="7404" width="6.375" style="211" customWidth="1"/>
    <col min="7405" max="7405" width="1.125" style="211" customWidth="1"/>
    <col min="7406" max="7644" width="9" style="211"/>
    <col min="7645" max="7645" width="7.5" style="211" customWidth="1"/>
    <col min="7646" max="7647" width="8.75" style="211" customWidth="1"/>
    <col min="7648" max="7648" width="8" style="211" customWidth="1"/>
    <col min="7649" max="7649" width="7.125" style="211" customWidth="1"/>
    <col min="7650" max="7654" width="5.75" style="211" customWidth="1"/>
    <col min="7655" max="7655" width="7" style="211" customWidth="1"/>
    <col min="7656" max="7659" width="5.75" style="211" customWidth="1"/>
    <col min="7660" max="7660" width="6.375" style="211" customWidth="1"/>
    <col min="7661" max="7661" width="1.125" style="211" customWidth="1"/>
    <col min="7662" max="7900" width="9" style="211"/>
    <col min="7901" max="7901" width="7.5" style="211" customWidth="1"/>
    <col min="7902" max="7903" width="8.75" style="211" customWidth="1"/>
    <col min="7904" max="7904" width="8" style="211" customWidth="1"/>
    <col min="7905" max="7905" width="7.125" style="211" customWidth="1"/>
    <col min="7906" max="7910" width="5.75" style="211" customWidth="1"/>
    <col min="7911" max="7911" width="7" style="211" customWidth="1"/>
    <col min="7912" max="7915" width="5.75" style="211" customWidth="1"/>
    <col min="7916" max="7916" width="6.375" style="211" customWidth="1"/>
    <col min="7917" max="7917" width="1.125" style="211" customWidth="1"/>
    <col min="7918" max="8156" width="9" style="211"/>
    <col min="8157" max="8157" width="7.5" style="211" customWidth="1"/>
    <col min="8158" max="8159" width="8.75" style="211" customWidth="1"/>
    <col min="8160" max="8160" width="8" style="211" customWidth="1"/>
    <col min="8161" max="8161" width="7.125" style="211" customWidth="1"/>
    <col min="8162" max="8166" width="5.75" style="211" customWidth="1"/>
    <col min="8167" max="8167" width="7" style="211" customWidth="1"/>
    <col min="8168" max="8171" width="5.75" style="211" customWidth="1"/>
    <col min="8172" max="8172" width="6.375" style="211" customWidth="1"/>
    <col min="8173" max="8173" width="1.125" style="211" customWidth="1"/>
    <col min="8174" max="8412" width="9" style="211"/>
    <col min="8413" max="8413" width="7.5" style="211" customWidth="1"/>
    <col min="8414" max="8415" width="8.75" style="211" customWidth="1"/>
    <col min="8416" max="8416" width="8" style="211" customWidth="1"/>
    <col min="8417" max="8417" width="7.125" style="211" customWidth="1"/>
    <col min="8418" max="8422" width="5.75" style="211" customWidth="1"/>
    <col min="8423" max="8423" width="7" style="211" customWidth="1"/>
    <col min="8424" max="8427" width="5.75" style="211" customWidth="1"/>
    <col min="8428" max="8428" width="6.375" style="211" customWidth="1"/>
    <col min="8429" max="8429" width="1.125" style="211" customWidth="1"/>
    <col min="8430" max="8668" width="9" style="211"/>
    <col min="8669" max="8669" width="7.5" style="211" customWidth="1"/>
    <col min="8670" max="8671" width="8.75" style="211" customWidth="1"/>
    <col min="8672" max="8672" width="8" style="211" customWidth="1"/>
    <col min="8673" max="8673" width="7.125" style="211" customWidth="1"/>
    <col min="8674" max="8678" width="5.75" style="211" customWidth="1"/>
    <col min="8679" max="8679" width="7" style="211" customWidth="1"/>
    <col min="8680" max="8683" width="5.75" style="211" customWidth="1"/>
    <col min="8684" max="8684" width="6.375" style="211" customWidth="1"/>
    <col min="8685" max="8685" width="1.125" style="211" customWidth="1"/>
    <col min="8686" max="8924" width="9" style="211"/>
    <col min="8925" max="8925" width="7.5" style="211" customWidth="1"/>
    <col min="8926" max="8927" width="8.75" style="211" customWidth="1"/>
    <col min="8928" max="8928" width="8" style="211" customWidth="1"/>
    <col min="8929" max="8929" width="7.125" style="211" customWidth="1"/>
    <col min="8930" max="8934" width="5.75" style="211" customWidth="1"/>
    <col min="8935" max="8935" width="7" style="211" customWidth="1"/>
    <col min="8936" max="8939" width="5.75" style="211" customWidth="1"/>
    <col min="8940" max="8940" width="6.375" style="211" customWidth="1"/>
    <col min="8941" max="8941" width="1.125" style="211" customWidth="1"/>
    <col min="8942" max="9180" width="9" style="211"/>
    <col min="9181" max="9181" width="7.5" style="211" customWidth="1"/>
    <col min="9182" max="9183" width="8.75" style="211" customWidth="1"/>
    <col min="9184" max="9184" width="8" style="211" customWidth="1"/>
    <col min="9185" max="9185" width="7.125" style="211" customWidth="1"/>
    <col min="9186" max="9190" width="5.75" style="211" customWidth="1"/>
    <col min="9191" max="9191" width="7" style="211" customWidth="1"/>
    <col min="9192" max="9195" width="5.75" style="211" customWidth="1"/>
    <col min="9196" max="9196" width="6.375" style="211" customWidth="1"/>
    <col min="9197" max="9197" width="1.125" style="211" customWidth="1"/>
    <col min="9198" max="9436" width="9" style="211"/>
    <col min="9437" max="9437" width="7.5" style="211" customWidth="1"/>
    <col min="9438" max="9439" width="8.75" style="211" customWidth="1"/>
    <col min="9440" max="9440" width="8" style="211" customWidth="1"/>
    <col min="9441" max="9441" width="7.125" style="211" customWidth="1"/>
    <col min="9442" max="9446" width="5.75" style="211" customWidth="1"/>
    <col min="9447" max="9447" width="7" style="211" customWidth="1"/>
    <col min="9448" max="9451" width="5.75" style="211" customWidth="1"/>
    <col min="9452" max="9452" width="6.375" style="211" customWidth="1"/>
    <col min="9453" max="9453" width="1.125" style="211" customWidth="1"/>
    <col min="9454" max="9692" width="9" style="211"/>
    <col min="9693" max="9693" width="7.5" style="211" customWidth="1"/>
    <col min="9694" max="9695" width="8.75" style="211" customWidth="1"/>
    <col min="9696" max="9696" width="8" style="211" customWidth="1"/>
    <col min="9697" max="9697" width="7.125" style="211" customWidth="1"/>
    <col min="9698" max="9702" width="5.75" style="211" customWidth="1"/>
    <col min="9703" max="9703" width="7" style="211" customWidth="1"/>
    <col min="9704" max="9707" width="5.75" style="211" customWidth="1"/>
    <col min="9708" max="9708" width="6.375" style="211" customWidth="1"/>
    <col min="9709" max="9709" width="1.125" style="211" customWidth="1"/>
    <col min="9710" max="9948" width="9" style="211"/>
    <col min="9949" max="9949" width="7.5" style="211" customWidth="1"/>
    <col min="9950" max="9951" width="8.75" style="211" customWidth="1"/>
    <col min="9952" max="9952" width="8" style="211" customWidth="1"/>
    <col min="9953" max="9953" width="7.125" style="211" customWidth="1"/>
    <col min="9954" max="9958" width="5.75" style="211" customWidth="1"/>
    <col min="9959" max="9959" width="7" style="211" customWidth="1"/>
    <col min="9960" max="9963" width="5.75" style="211" customWidth="1"/>
    <col min="9964" max="9964" width="6.375" style="211" customWidth="1"/>
    <col min="9965" max="9965" width="1.125" style="211" customWidth="1"/>
    <col min="9966" max="10204" width="9" style="211"/>
    <col min="10205" max="10205" width="7.5" style="211" customWidth="1"/>
    <col min="10206" max="10207" width="8.75" style="211" customWidth="1"/>
    <col min="10208" max="10208" width="8" style="211" customWidth="1"/>
    <col min="10209" max="10209" width="7.125" style="211" customWidth="1"/>
    <col min="10210" max="10214" width="5.75" style="211" customWidth="1"/>
    <col min="10215" max="10215" width="7" style="211" customWidth="1"/>
    <col min="10216" max="10219" width="5.75" style="211" customWidth="1"/>
    <col min="10220" max="10220" width="6.375" style="211" customWidth="1"/>
    <col min="10221" max="10221" width="1.125" style="211" customWidth="1"/>
    <col min="10222" max="10460" width="9" style="211"/>
    <col min="10461" max="10461" width="7.5" style="211" customWidth="1"/>
    <col min="10462" max="10463" width="8.75" style="211" customWidth="1"/>
    <col min="10464" max="10464" width="8" style="211" customWidth="1"/>
    <col min="10465" max="10465" width="7.125" style="211" customWidth="1"/>
    <col min="10466" max="10470" width="5.75" style="211" customWidth="1"/>
    <col min="10471" max="10471" width="7" style="211" customWidth="1"/>
    <col min="10472" max="10475" width="5.75" style="211" customWidth="1"/>
    <col min="10476" max="10476" width="6.375" style="211" customWidth="1"/>
    <col min="10477" max="10477" width="1.125" style="211" customWidth="1"/>
    <col min="10478" max="10716" width="9" style="211"/>
    <col min="10717" max="10717" width="7.5" style="211" customWidth="1"/>
    <col min="10718" max="10719" width="8.75" style="211" customWidth="1"/>
    <col min="10720" max="10720" width="8" style="211" customWidth="1"/>
    <col min="10721" max="10721" width="7.125" style="211" customWidth="1"/>
    <col min="10722" max="10726" width="5.75" style="211" customWidth="1"/>
    <col min="10727" max="10727" width="7" style="211" customWidth="1"/>
    <col min="10728" max="10731" width="5.75" style="211" customWidth="1"/>
    <col min="10732" max="10732" width="6.375" style="211" customWidth="1"/>
    <col min="10733" max="10733" width="1.125" style="211" customWidth="1"/>
    <col min="10734" max="10972" width="9" style="211"/>
    <col min="10973" max="10973" width="7.5" style="211" customWidth="1"/>
    <col min="10974" max="10975" width="8.75" style="211" customWidth="1"/>
    <col min="10976" max="10976" width="8" style="211" customWidth="1"/>
    <col min="10977" max="10977" width="7.125" style="211" customWidth="1"/>
    <col min="10978" max="10982" width="5.75" style="211" customWidth="1"/>
    <col min="10983" max="10983" width="7" style="211" customWidth="1"/>
    <col min="10984" max="10987" width="5.75" style="211" customWidth="1"/>
    <col min="10988" max="10988" width="6.375" style="211" customWidth="1"/>
    <col min="10989" max="10989" width="1.125" style="211" customWidth="1"/>
    <col min="10990" max="11228" width="9" style="211"/>
    <col min="11229" max="11229" width="7.5" style="211" customWidth="1"/>
    <col min="11230" max="11231" width="8.75" style="211" customWidth="1"/>
    <col min="11232" max="11232" width="8" style="211" customWidth="1"/>
    <col min="11233" max="11233" width="7.125" style="211" customWidth="1"/>
    <col min="11234" max="11238" width="5.75" style="211" customWidth="1"/>
    <col min="11239" max="11239" width="7" style="211" customWidth="1"/>
    <col min="11240" max="11243" width="5.75" style="211" customWidth="1"/>
    <col min="11244" max="11244" width="6.375" style="211" customWidth="1"/>
    <col min="11245" max="11245" width="1.125" style="211" customWidth="1"/>
    <col min="11246" max="11484" width="9" style="211"/>
    <col min="11485" max="11485" width="7.5" style="211" customWidth="1"/>
    <col min="11486" max="11487" width="8.75" style="211" customWidth="1"/>
    <col min="11488" max="11488" width="8" style="211" customWidth="1"/>
    <col min="11489" max="11489" width="7.125" style="211" customWidth="1"/>
    <col min="11490" max="11494" width="5.75" style="211" customWidth="1"/>
    <col min="11495" max="11495" width="7" style="211" customWidth="1"/>
    <col min="11496" max="11499" width="5.75" style="211" customWidth="1"/>
    <col min="11500" max="11500" width="6.375" style="211" customWidth="1"/>
    <col min="11501" max="11501" width="1.125" style="211" customWidth="1"/>
    <col min="11502" max="11740" width="9" style="211"/>
    <col min="11741" max="11741" width="7.5" style="211" customWidth="1"/>
    <col min="11742" max="11743" width="8.75" style="211" customWidth="1"/>
    <col min="11744" max="11744" width="8" style="211" customWidth="1"/>
    <col min="11745" max="11745" width="7.125" style="211" customWidth="1"/>
    <col min="11746" max="11750" width="5.75" style="211" customWidth="1"/>
    <col min="11751" max="11751" width="7" style="211" customWidth="1"/>
    <col min="11752" max="11755" width="5.75" style="211" customWidth="1"/>
    <col min="11756" max="11756" width="6.375" style="211" customWidth="1"/>
    <col min="11757" max="11757" width="1.125" style="211" customWidth="1"/>
    <col min="11758" max="11996" width="9" style="211"/>
    <col min="11997" max="11997" width="7.5" style="211" customWidth="1"/>
    <col min="11998" max="11999" width="8.75" style="211" customWidth="1"/>
    <col min="12000" max="12000" width="8" style="211" customWidth="1"/>
    <col min="12001" max="12001" width="7.125" style="211" customWidth="1"/>
    <col min="12002" max="12006" width="5.75" style="211" customWidth="1"/>
    <col min="12007" max="12007" width="7" style="211" customWidth="1"/>
    <col min="12008" max="12011" width="5.75" style="211" customWidth="1"/>
    <col min="12012" max="12012" width="6.375" style="211" customWidth="1"/>
    <col min="12013" max="12013" width="1.125" style="211" customWidth="1"/>
    <col min="12014" max="12252" width="9" style="211"/>
    <col min="12253" max="12253" width="7.5" style="211" customWidth="1"/>
    <col min="12254" max="12255" width="8.75" style="211" customWidth="1"/>
    <col min="12256" max="12256" width="8" style="211" customWidth="1"/>
    <col min="12257" max="12257" width="7.125" style="211" customWidth="1"/>
    <col min="12258" max="12262" width="5.75" style="211" customWidth="1"/>
    <col min="12263" max="12263" width="7" style="211" customWidth="1"/>
    <col min="12264" max="12267" width="5.75" style="211" customWidth="1"/>
    <col min="12268" max="12268" width="6.375" style="211" customWidth="1"/>
    <col min="12269" max="12269" width="1.125" style="211" customWidth="1"/>
    <col min="12270" max="12508" width="9" style="211"/>
    <col min="12509" max="12509" width="7.5" style="211" customWidth="1"/>
    <col min="12510" max="12511" width="8.75" style="211" customWidth="1"/>
    <col min="12512" max="12512" width="8" style="211" customWidth="1"/>
    <col min="12513" max="12513" width="7.125" style="211" customWidth="1"/>
    <col min="12514" max="12518" width="5.75" style="211" customWidth="1"/>
    <col min="12519" max="12519" width="7" style="211" customWidth="1"/>
    <col min="12520" max="12523" width="5.75" style="211" customWidth="1"/>
    <col min="12524" max="12524" width="6.375" style="211" customWidth="1"/>
    <col min="12525" max="12525" width="1.125" style="211" customWidth="1"/>
    <col min="12526" max="12764" width="9" style="211"/>
    <col min="12765" max="12765" width="7.5" style="211" customWidth="1"/>
    <col min="12766" max="12767" width="8.75" style="211" customWidth="1"/>
    <col min="12768" max="12768" width="8" style="211" customWidth="1"/>
    <col min="12769" max="12769" width="7.125" style="211" customWidth="1"/>
    <col min="12770" max="12774" width="5.75" style="211" customWidth="1"/>
    <col min="12775" max="12775" width="7" style="211" customWidth="1"/>
    <col min="12776" max="12779" width="5.75" style="211" customWidth="1"/>
    <col min="12780" max="12780" width="6.375" style="211" customWidth="1"/>
    <col min="12781" max="12781" width="1.125" style="211" customWidth="1"/>
    <col min="12782" max="13020" width="9" style="211"/>
    <col min="13021" max="13021" width="7.5" style="211" customWidth="1"/>
    <col min="13022" max="13023" width="8.75" style="211" customWidth="1"/>
    <col min="13024" max="13024" width="8" style="211" customWidth="1"/>
    <col min="13025" max="13025" width="7.125" style="211" customWidth="1"/>
    <col min="13026" max="13030" width="5.75" style="211" customWidth="1"/>
    <col min="13031" max="13031" width="7" style="211" customWidth="1"/>
    <col min="13032" max="13035" width="5.75" style="211" customWidth="1"/>
    <col min="13036" max="13036" width="6.375" style="211" customWidth="1"/>
    <col min="13037" max="13037" width="1.125" style="211" customWidth="1"/>
    <col min="13038" max="13276" width="9" style="211"/>
    <col min="13277" max="13277" width="7.5" style="211" customWidth="1"/>
    <col min="13278" max="13279" width="8.75" style="211" customWidth="1"/>
    <col min="13280" max="13280" width="8" style="211" customWidth="1"/>
    <col min="13281" max="13281" width="7.125" style="211" customWidth="1"/>
    <col min="13282" max="13286" width="5.75" style="211" customWidth="1"/>
    <col min="13287" max="13287" width="7" style="211" customWidth="1"/>
    <col min="13288" max="13291" width="5.75" style="211" customWidth="1"/>
    <col min="13292" max="13292" width="6.375" style="211" customWidth="1"/>
    <col min="13293" max="13293" width="1.125" style="211" customWidth="1"/>
    <col min="13294" max="13532" width="9" style="211"/>
    <col min="13533" max="13533" width="7.5" style="211" customWidth="1"/>
    <col min="13534" max="13535" width="8.75" style="211" customWidth="1"/>
    <col min="13536" max="13536" width="8" style="211" customWidth="1"/>
    <col min="13537" max="13537" width="7.125" style="211" customWidth="1"/>
    <col min="13538" max="13542" width="5.75" style="211" customWidth="1"/>
    <col min="13543" max="13543" width="7" style="211" customWidth="1"/>
    <col min="13544" max="13547" width="5.75" style="211" customWidth="1"/>
    <col min="13548" max="13548" width="6.375" style="211" customWidth="1"/>
    <col min="13549" max="13549" width="1.125" style="211" customWidth="1"/>
    <col min="13550" max="13788" width="9" style="211"/>
    <col min="13789" max="13789" width="7.5" style="211" customWidth="1"/>
    <col min="13790" max="13791" width="8.75" style="211" customWidth="1"/>
    <col min="13792" max="13792" width="8" style="211" customWidth="1"/>
    <col min="13793" max="13793" width="7.125" style="211" customWidth="1"/>
    <col min="13794" max="13798" width="5.75" style="211" customWidth="1"/>
    <col min="13799" max="13799" width="7" style="211" customWidth="1"/>
    <col min="13800" max="13803" width="5.75" style="211" customWidth="1"/>
    <col min="13804" max="13804" width="6.375" style="211" customWidth="1"/>
    <col min="13805" max="13805" width="1.125" style="211" customWidth="1"/>
    <col min="13806" max="14044" width="9" style="211"/>
    <col min="14045" max="14045" width="7.5" style="211" customWidth="1"/>
    <col min="14046" max="14047" width="8.75" style="211" customWidth="1"/>
    <col min="14048" max="14048" width="8" style="211" customWidth="1"/>
    <col min="14049" max="14049" width="7.125" style="211" customWidth="1"/>
    <col min="14050" max="14054" width="5.75" style="211" customWidth="1"/>
    <col min="14055" max="14055" width="7" style="211" customWidth="1"/>
    <col min="14056" max="14059" width="5.75" style="211" customWidth="1"/>
    <col min="14060" max="14060" width="6.375" style="211" customWidth="1"/>
    <col min="14061" max="14061" width="1.125" style="211" customWidth="1"/>
    <col min="14062" max="14300" width="9" style="211"/>
    <col min="14301" max="14301" width="7.5" style="211" customWidth="1"/>
    <col min="14302" max="14303" width="8.75" style="211" customWidth="1"/>
    <col min="14304" max="14304" width="8" style="211" customWidth="1"/>
    <col min="14305" max="14305" width="7.125" style="211" customWidth="1"/>
    <col min="14306" max="14310" width="5.75" style="211" customWidth="1"/>
    <col min="14311" max="14311" width="7" style="211" customWidth="1"/>
    <col min="14312" max="14315" width="5.75" style="211" customWidth="1"/>
    <col min="14316" max="14316" width="6.375" style="211" customWidth="1"/>
    <col min="14317" max="14317" width="1.125" style="211" customWidth="1"/>
    <col min="14318" max="14556" width="9" style="211"/>
    <col min="14557" max="14557" width="7.5" style="211" customWidth="1"/>
    <col min="14558" max="14559" width="8.75" style="211" customWidth="1"/>
    <col min="14560" max="14560" width="8" style="211" customWidth="1"/>
    <col min="14561" max="14561" width="7.125" style="211" customWidth="1"/>
    <col min="14562" max="14566" width="5.75" style="211" customWidth="1"/>
    <col min="14567" max="14567" width="7" style="211" customWidth="1"/>
    <col min="14568" max="14571" width="5.75" style="211" customWidth="1"/>
    <col min="14572" max="14572" width="6.375" style="211" customWidth="1"/>
    <col min="14573" max="14573" width="1.125" style="211" customWidth="1"/>
    <col min="14574" max="14812" width="9" style="211"/>
    <col min="14813" max="14813" width="7.5" style="211" customWidth="1"/>
    <col min="14814" max="14815" width="8.75" style="211" customWidth="1"/>
    <col min="14816" max="14816" width="8" style="211" customWidth="1"/>
    <col min="14817" max="14817" width="7.125" style="211" customWidth="1"/>
    <col min="14818" max="14822" width="5.75" style="211" customWidth="1"/>
    <col min="14823" max="14823" width="7" style="211" customWidth="1"/>
    <col min="14824" max="14827" width="5.75" style="211" customWidth="1"/>
    <col min="14828" max="14828" width="6.375" style="211" customWidth="1"/>
    <col min="14829" max="14829" width="1.125" style="211" customWidth="1"/>
    <col min="14830" max="15068" width="9" style="211"/>
    <col min="15069" max="15069" width="7.5" style="211" customWidth="1"/>
    <col min="15070" max="15071" width="8.75" style="211" customWidth="1"/>
    <col min="15072" max="15072" width="8" style="211" customWidth="1"/>
    <col min="15073" max="15073" width="7.125" style="211" customWidth="1"/>
    <col min="15074" max="15078" width="5.75" style="211" customWidth="1"/>
    <col min="15079" max="15079" width="7" style="211" customWidth="1"/>
    <col min="15080" max="15083" width="5.75" style="211" customWidth="1"/>
    <col min="15084" max="15084" width="6.375" style="211" customWidth="1"/>
    <col min="15085" max="15085" width="1.125" style="211" customWidth="1"/>
    <col min="15086" max="15324" width="9" style="211"/>
    <col min="15325" max="15325" width="7.5" style="211" customWidth="1"/>
    <col min="15326" max="15327" width="8.75" style="211" customWidth="1"/>
    <col min="15328" max="15328" width="8" style="211" customWidth="1"/>
    <col min="15329" max="15329" width="7.125" style="211" customWidth="1"/>
    <col min="15330" max="15334" width="5.75" style="211" customWidth="1"/>
    <col min="15335" max="15335" width="7" style="211" customWidth="1"/>
    <col min="15336" max="15339" width="5.75" style="211" customWidth="1"/>
    <col min="15340" max="15340" width="6.375" style="211" customWidth="1"/>
    <col min="15341" max="15341" width="1.125" style="211" customWidth="1"/>
    <col min="15342" max="15580" width="9" style="211"/>
    <col min="15581" max="15581" width="7.5" style="211" customWidth="1"/>
    <col min="15582" max="15583" width="8.75" style="211" customWidth="1"/>
    <col min="15584" max="15584" width="8" style="211" customWidth="1"/>
    <col min="15585" max="15585" width="7.125" style="211" customWidth="1"/>
    <col min="15586" max="15590" width="5.75" style="211" customWidth="1"/>
    <col min="15591" max="15591" width="7" style="211" customWidth="1"/>
    <col min="15592" max="15595" width="5.75" style="211" customWidth="1"/>
    <col min="15596" max="15596" width="6.375" style="211" customWidth="1"/>
    <col min="15597" max="15597" width="1.125" style="211" customWidth="1"/>
    <col min="15598" max="15836" width="9" style="211"/>
    <col min="15837" max="15837" width="7.5" style="211" customWidth="1"/>
    <col min="15838" max="15839" width="8.75" style="211" customWidth="1"/>
    <col min="15840" max="15840" width="8" style="211" customWidth="1"/>
    <col min="15841" max="15841" width="7.125" style="211" customWidth="1"/>
    <col min="15842" max="15846" width="5.75" style="211" customWidth="1"/>
    <col min="15847" max="15847" width="7" style="211" customWidth="1"/>
    <col min="15848" max="15851" width="5.75" style="211" customWidth="1"/>
    <col min="15852" max="15852" width="6.375" style="211" customWidth="1"/>
    <col min="15853" max="15853" width="1.125" style="211" customWidth="1"/>
    <col min="15854" max="16092" width="9" style="211"/>
    <col min="16093" max="16093" width="7.5" style="211" customWidth="1"/>
    <col min="16094" max="16095" width="8.75" style="211" customWidth="1"/>
    <col min="16096" max="16096" width="8" style="211" customWidth="1"/>
    <col min="16097" max="16097" width="7.125" style="211" customWidth="1"/>
    <col min="16098" max="16102" width="5.75" style="211" customWidth="1"/>
    <col min="16103" max="16103" width="7" style="211" customWidth="1"/>
    <col min="16104" max="16107" width="5.75" style="211" customWidth="1"/>
    <col min="16108" max="16108" width="6.375" style="211" customWidth="1"/>
    <col min="16109" max="16109" width="1.125" style="211" customWidth="1"/>
    <col min="16110" max="16384" width="9" style="211"/>
  </cols>
  <sheetData>
    <row r="1" spans="1:11" s="209" customFormat="1" ht="16.5" x14ac:dyDescent="0.2">
      <c r="A1" s="453" t="s">
        <v>249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</row>
    <row r="2" spans="1:11" ht="13.5" customHeight="1" x14ac:dyDescent="0.25">
      <c r="A2" s="130" t="s">
        <v>206</v>
      </c>
      <c r="B2" s="210"/>
      <c r="C2" s="210"/>
      <c r="D2" s="210"/>
      <c r="E2" s="210"/>
      <c r="F2" s="210"/>
      <c r="G2" s="210"/>
      <c r="H2" s="210"/>
      <c r="I2" s="210"/>
      <c r="J2" s="210"/>
      <c r="K2" s="131" t="s">
        <v>250</v>
      </c>
    </row>
    <row r="3" spans="1:11" s="214" customFormat="1" ht="13.5" customHeight="1" x14ac:dyDescent="0.3">
      <c r="A3" s="426" t="s">
        <v>221</v>
      </c>
      <c r="B3" s="454" t="s">
        <v>251</v>
      </c>
      <c r="C3" s="212"/>
      <c r="D3" s="212"/>
      <c r="E3" s="212"/>
      <c r="F3" s="213"/>
      <c r="G3" s="454" t="s">
        <v>252</v>
      </c>
      <c r="H3" s="212"/>
      <c r="I3" s="212"/>
      <c r="J3" s="212"/>
      <c r="K3" s="213"/>
    </row>
    <row r="4" spans="1:11" s="214" customFormat="1" ht="13.5" customHeight="1" x14ac:dyDescent="0.3">
      <c r="A4" s="427"/>
      <c r="B4" s="455"/>
      <c r="C4" s="215" t="s">
        <v>253</v>
      </c>
      <c r="D4" s="457" t="s">
        <v>254</v>
      </c>
      <c r="E4" s="457" t="s">
        <v>255</v>
      </c>
      <c r="F4" s="215" t="s">
        <v>256</v>
      </c>
      <c r="G4" s="455"/>
      <c r="H4" s="215" t="s">
        <v>253</v>
      </c>
      <c r="I4" s="457" t="s">
        <v>254</v>
      </c>
      <c r="J4" s="457" t="s">
        <v>255</v>
      </c>
      <c r="K4" s="215" t="s">
        <v>256</v>
      </c>
    </row>
    <row r="5" spans="1:11" s="214" customFormat="1" ht="13.5" customHeight="1" x14ac:dyDescent="0.3">
      <c r="A5" s="216"/>
      <c r="B5" s="456"/>
      <c r="C5" s="217" t="s">
        <v>257</v>
      </c>
      <c r="D5" s="458"/>
      <c r="E5" s="458"/>
      <c r="F5" s="217" t="s">
        <v>258</v>
      </c>
      <c r="G5" s="456"/>
      <c r="H5" s="217" t="s">
        <v>257</v>
      </c>
      <c r="I5" s="458"/>
      <c r="J5" s="458"/>
      <c r="K5" s="217" t="s">
        <v>258</v>
      </c>
    </row>
    <row r="6" spans="1:11" x14ac:dyDescent="0.25">
      <c r="A6" s="218"/>
      <c r="B6" s="204"/>
      <c r="C6" s="204"/>
      <c r="D6" s="204"/>
      <c r="E6" s="204"/>
      <c r="F6" s="204"/>
      <c r="G6" s="204"/>
      <c r="H6" s="204"/>
      <c r="I6" s="204"/>
      <c r="J6" s="204"/>
      <c r="K6" s="204"/>
    </row>
    <row r="7" spans="1:11" x14ac:dyDescent="0.25">
      <c r="A7" s="171">
        <v>40909</v>
      </c>
      <c r="B7" s="206">
        <v>97212.707227000006</v>
      </c>
      <c r="C7" s="206">
        <v>130.419601</v>
      </c>
      <c r="D7" s="206">
        <v>67918.525836999994</v>
      </c>
      <c r="E7" s="206">
        <v>12954.805028000001</v>
      </c>
      <c r="F7" s="206">
        <f>B7-SUM(C7:E7)</f>
        <v>16208.956761000009</v>
      </c>
      <c r="G7" s="206">
        <v>87611.349904000002</v>
      </c>
      <c r="H7" s="206">
        <v>65218.001400000001</v>
      </c>
      <c r="I7" s="206">
        <v>19664.662757999999</v>
      </c>
      <c r="J7" s="206">
        <v>2631.7558709999998</v>
      </c>
      <c r="K7" s="206">
        <f>G7-SUM(H7:J7)</f>
        <v>96.92987500000163</v>
      </c>
    </row>
    <row r="8" spans="1:11" x14ac:dyDescent="0.25">
      <c r="A8" s="171">
        <f>DATE(YEAR(A7)+1,MONTH(A7),1)</f>
        <v>41275</v>
      </c>
      <c r="B8" s="206">
        <v>91512.583520999993</v>
      </c>
      <c r="C8" s="206">
        <v>134.61598000000001</v>
      </c>
      <c r="D8" s="206">
        <v>61780.507812999997</v>
      </c>
      <c r="E8" s="206">
        <v>13334.966825</v>
      </c>
      <c r="F8" s="206">
        <f t="shared" ref="F8:F20" si="0">B8-SUM(C8:E8)</f>
        <v>16262.492902999991</v>
      </c>
      <c r="G8" s="206">
        <v>83915.136358000003</v>
      </c>
      <c r="H8" s="206">
        <v>59765.221042999998</v>
      </c>
      <c r="I8" s="206">
        <v>20905.454995</v>
      </c>
      <c r="J8" s="206">
        <v>3052.6107630000001</v>
      </c>
      <c r="K8" s="206">
        <f t="shared" ref="K8:K44" si="1">G8-SUM(H8:J8)</f>
        <v>191.84955699999409</v>
      </c>
    </row>
    <row r="9" spans="1:11" x14ac:dyDescent="0.25">
      <c r="A9" s="171">
        <f t="shared" ref="A9:A18" si="2">DATE(YEAR(A8)+1,MONTH(A8),1)</f>
        <v>41640</v>
      </c>
      <c r="B9" s="206">
        <v>92400.409568000003</v>
      </c>
      <c r="C9" s="206">
        <v>135.85007899999999</v>
      </c>
      <c r="D9" s="206">
        <v>59662.868697999998</v>
      </c>
      <c r="E9" s="206">
        <v>15994.080785</v>
      </c>
      <c r="F9" s="206">
        <f t="shared" si="0"/>
        <v>16607.610006000003</v>
      </c>
      <c r="G9" s="206">
        <v>79739.272324000005</v>
      </c>
      <c r="H9" s="206">
        <v>55422.366478000004</v>
      </c>
      <c r="I9" s="206">
        <v>21174.268786000001</v>
      </c>
      <c r="J9" s="206">
        <v>2962.4284029999999</v>
      </c>
      <c r="K9" s="206">
        <f t="shared" si="1"/>
        <v>180.20865699999558</v>
      </c>
    </row>
    <row r="10" spans="1:11" x14ac:dyDescent="0.25">
      <c r="A10" s="171">
        <f t="shared" si="2"/>
        <v>42005</v>
      </c>
      <c r="B10" s="206">
        <v>72907.062611000001</v>
      </c>
      <c r="C10" s="206">
        <v>110.224896</v>
      </c>
      <c r="D10" s="206">
        <v>38911.692171000002</v>
      </c>
      <c r="E10" s="206">
        <v>18240.265276999999</v>
      </c>
      <c r="F10" s="206">
        <f t="shared" si="0"/>
        <v>15644.880267</v>
      </c>
      <c r="G10" s="206">
        <v>32456.706107999998</v>
      </c>
      <c r="H10" s="206">
        <v>19447.226215999999</v>
      </c>
      <c r="I10" s="206">
        <v>10671.801121</v>
      </c>
      <c r="J10" s="206">
        <v>2158.894542</v>
      </c>
      <c r="K10" s="206">
        <f t="shared" si="1"/>
        <v>178.78422899999714</v>
      </c>
    </row>
    <row r="11" spans="1:11" x14ac:dyDescent="0.25">
      <c r="A11" s="171">
        <f t="shared" si="2"/>
        <v>42370</v>
      </c>
      <c r="B11" s="206">
        <v>65259.331509000003</v>
      </c>
      <c r="C11" s="206">
        <v>75.624358999999998</v>
      </c>
      <c r="D11" s="206">
        <v>37120.569426000002</v>
      </c>
      <c r="E11" s="206">
        <v>14159.229165999999</v>
      </c>
      <c r="F11" s="206">
        <f t="shared" si="0"/>
        <v>13903.908558000003</v>
      </c>
      <c r="G11" s="206">
        <v>27700.980215</v>
      </c>
      <c r="H11" s="206">
        <v>16308.801170000001</v>
      </c>
      <c r="I11" s="206">
        <v>9393.3453270000009</v>
      </c>
      <c r="J11" s="206">
        <v>1810.9988020000001</v>
      </c>
      <c r="K11" s="206">
        <f t="shared" si="1"/>
        <v>187.83491599999616</v>
      </c>
    </row>
    <row r="12" spans="1:11" x14ac:dyDescent="0.25">
      <c r="A12" s="171">
        <f t="shared" si="2"/>
        <v>42736</v>
      </c>
      <c r="B12" s="206">
        <v>66699.540943999993</v>
      </c>
      <c r="C12" s="206">
        <v>109.087431</v>
      </c>
      <c r="D12" s="206">
        <v>43575.877146999999</v>
      </c>
      <c r="E12" s="206">
        <v>9122.8937640000004</v>
      </c>
      <c r="F12" s="206">
        <f t="shared" si="0"/>
        <v>13891.682601999993</v>
      </c>
      <c r="G12" s="206">
        <v>30269.082651000001</v>
      </c>
      <c r="H12" s="206">
        <v>20752.290058999999</v>
      </c>
      <c r="I12" s="206">
        <v>8044.5219880000004</v>
      </c>
      <c r="J12" s="206">
        <v>1310.4058970000001</v>
      </c>
      <c r="K12" s="206">
        <f t="shared" si="1"/>
        <v>161.86470700000064</v>
      </c>
    </row>
    <row r="13" spans="1:11" x14ac:dyDescent="0.25">
      <c r="A13" s="171">
        <f t="shared" si="2"/>
        <v>43101</v>
      </c>
      <c r="B13" s="206">
        <v>70126.635798000003</v>
      </c>
      <c r="C13" s="206">
        <v>151.486842</v>
      </c>
      <c r="D13" s="206">
        <v>47692.358516</v>
      </c>
      <c r="E13" s="206">
        <v>7515.930284</v>
      </c>
      <c r="F13" s="206">
        <f t="shared" si="0"/>
        <v>14766.860156000002</v>
      </c>
      <c r="G13" s="206">
        <v>36038.204545000001</v>
      </c>
      <c r="H13" s="206">
        <v>26191.295963</v>
      </c>
      <c r="I13" s="206">
        <v>8494.4640450000006</v>
      </c>
      <c r="J13" s="206">
        <v>1192.889907</v>
      </c>
      <c r="K13" s="206">
        <f t="shared" si="1"/>
        <v>159.554630000006</v>
      </c>
    </row>
    <row r="14" spans="1:11" ht="12" customHeight="1" x14ac:dyDescent="0.25">
      <c r="A14" s="171">
        <f t="shared" si="2"/>
        <v>43466</v>
      </c>
      <c r="B14" s="206">
        <v>69530.068106000006</v>
      </c>
      <c r="C14" s="206">
        <v>99.659188999999998</v>
      </c>
      <c r="D14" s="206">
        <v>42874.266546999999</v>
      </c>
      <c r="E14" s="206">
        <v>8969.094846</v>
      </c>
      <c r="F14" s="206">
        <f t="shared" si="0"/>
        <v>17587.047524000009</v>
      </c>
      <c r="G14" s="206">
        <v>32742.206543</v>
      </c>
      <c r="H14" s="206">
        <v>22807.652307</v>
      </c>
      <c r="I14" s="206">
        <v>8544.4651749999994</v>
      </c>
      <c r="J14" s="206">
        <v>1200.4593179999999</v>
      </c>
      <c r="K14" s="206">
        <f t="shared" si="1"/>
        <v>189.62974299999769</v>
      </c>
    </row>
    <row r="15" spans="1:11" ht="12" customHeight="1" x14ac:dyDescent="0.25">
      <c r="A15" s="171">
        <f t="shared" si="2"/>
        <v>43831</v>
      </c>
      <c r="B15" s="206">
        <v>56090.726478999997</v>
      </c>
      <c r="C15" s="206">
        <v>95.871922999999995</v>
      </c>
      <c r="D15" s="206">
        <v>32356.975719999999</v>
      </c>
      <c r="E15" s="206">
        <v>7298.1598510000003</v>
      </c>
      <c r="F15" s="206">
        <f t="shared" si="0"/>
        <v>16339.718985</v>
      </c>
      <c r="G15" s="206">
        <v>28285.838750999999</v>
      </c>
      <c r="H15" s="206">
        <v>19228.976153</v>
      </c>
      <c r="I15" s="206">
        <v>7615.0358109999997</v>
      </c>
      <c r="J15" s="206">
        <v>1267.6406219999999</v>
      </c>
      <c r="K15" s="206">
        <f t="shared" si="1"/>
        <v>174.1861650000028</v>
      </c>
    </row>
    <row r="16" spans="1:11" ht="12" customHeight="1" x14ac:dyDescent="0.25">
      <c r="A16" s="171">
        <f t="shared" si="2"/>
        <v>44197</v>
      </c>
      <c r="B16" s="206">
        <v>74268.500109999994</v>
      </c>
      <c r="C16" s="206">
        <v>165.333101</v>
      </c>
      <c r="D16" s="206">
        <v>45637.04522</v>
      </c>
      <c r="E16" s="206">
        <v>8294.7461980000007</v>
      </c>
      <c r="F16" s="206">
        <f t="shared" si="0"/>
        <v>20171.375590999996</v>
      </c>
      <c r="G16" s="206">
        <v>40695.624503999999</v>
      </c>
      <c r="H16" s="206">
        <v>27307.018703999998</v>
      </c>
      <c r="I16" s="206">
        <v>11897.345846</v>
      </c>
      <c r="J16" s="206">
        <v>1320.9655749999999</v>
      </c>
      <c r="K16" s="206">
        <f t="shared" si="1"/>
        <v>170.29437899999903</v>
      </c>
    </row>
    <row r="17" spans="1:13" ht="12" customHeight="1" x14ac:dyDescent="0.25">
      <c r="A17" s="171">
        <f t="shared" si="2"/>
        <v>44562</v>
      </c>
      <c r="B17" s="206">
        <v>90093.463378</v>
      </c>
      <c r="C17" s="206">
        <v>200.690394</v>
      </c>
      <c r="D17" s="206">
        <v>58800.574138000004</v>
      </c>
      <c r="E17" s="206">
        <v>8541.8492580000002</v>
      </c>
      <c r="F17" s="206">
        <f t="shared" si="0"/>
        <v>22550.349587999997</v>
      </c>
      <c r="G17" s="206">
        <v>52180.002617999999</v>
      </c>
      <c r="H17" s="206">
        <v>36431.524106999997</v>
      </c>
      <c r="I17" s="206">
        <v>14032.110196</v>
      </c>
      <c r="J17" s="206">
        <v>1519.7809870000001</v>
      </c>
      <c r="K17" s="206">
        <f t="shared" si="1"/>
        <v>196.58732800000143</v>
      </c>
    </row>
    <row r="18" spans="1:13" ht="12" customHeight="1" x14ac:dyDescent="0.25">
      <c r="A18" s="171">
        <f t="shared" si="2"/>
        <v>44927</v>
      </c>
      <c r="B18" s="206">
        <v>87364.506794000001</v>
      </c>
      <c r="C18" s="206">
        <v>118.561542</v>
      </c>
      <c r="D18" s="206">
        <v>51059.604662999998</v>
      </c>
      <c r="E18" s="206">
        <v>9422.5195629999998</v>
      </c>
      <c r="F18" s="206">
        <f t="shared" si="0"/>
        <v>26763.821025999998</v>
      </c>
      <c r="G18" s="206">
        <v>45050.222739999997</v>
      </c>
      <c r="H18" s="206">
        <v>29753.762245999998</v>
      </c>
      <c r="I18" s="206">
        <v>13383.548996</v>
      </c>
      <c r="J18" s="206">
        <v>1767.9051440000001</v>
      </c>
      <c r="K18" s="206">
        <f t="shared" si="1"/>
        <v>145.00635400000465</v>
      </c>
    </row>
    <row r="19" spans="1:13" ht="12" customHeight="1" x14ac:dyDescent="0.25">
      <c r="A19" s="171">
        <f>DATE(YEAR(A18)+1,MONTH(A18),1)</f>
        <v>45292</v>
      </c>
      <c r="B19" s="206">
        <v>88131.192102000001</v>
      </c>
      <c r="C19" s="206">
        <v>111.479714</v>
      </c>
      <c r="D19" s="206">
        <v>52442.001313000001</v>
      </c>
      <c r="E19" s="206">
        <v>8586.8111489999992</v>
      </c>
      <c r="F19" s="206">
        <f t="shared" si="0"/>
        <v>26990.899925999998</v>
      </c>
      <c r="G19" s="206">
        <v>47146.853155999997</v>
      </c>
      <c r="H19" s="206">
        <v>31666.330951</v>
      </c>
      <c r="I19" s="206">
        <v>13511.625798999999</v>
      </c>
      <c r="J19" s="206">
        <v>1737.3149989999999</v>
      </c>
      <c r="K19" s="206">
        <f t="shared" si="1"/>
        <v>231.58140699999785</v>
      </c>
    </row>
    <row r="20" spans="1:13" ht="12" customHeight="1" x14ac:dyDescent="0.25">
      <c r="A20" s="171">
        <f>DATE(YEAR(A19)+1,MONTH(A19),1)</f>
        <v>45658</v>
      </c>
      <c r="B20" s="206">
        <v>86834.044720000005</v>
      </c>
      <c r="C20" s="206">
        <v>189.21026699999999</v>
      </c>
      <c r="D20" s="206">
        <v>50182.686173000002</v>
      </c>
      <c r="E20" s="206">
        <v>11809.016663</v>
      </c>
      <c r="F20" s="206">
        <f t="shared" si="0"/>
        <v>24653.131616999999</v>
      </c>
      <c r="G20" s="206">
        <v>48126.662308999999</v>
      </c>
      <c r="H20" s="206">
        <v>32860.887841000003</v>
      </c>
      <c r="I20" s="206">
        <v>13145.273015999999</v>
      </c>
      <c r="J20" s="206">
        <v>1942.930648</v>
      </c>
      <c r="K20" s="206">
        <f t="shared" si="1"/>
        <v>177.57080399999541</v>
      </c>
    </row>
    <row r="21" spans="1:13" ht="11.25" customHeight="1" x14ac:dyDescent="0.25">
      <c r="A21" s="172"/>
      <c r="B21" s="219"/>
      <c r="C21" s="206"/>
      <c r="D21" s="206"/>
      <c r="E21" s="206"/>
      <c r="F21" s="206"/>
      <c r="G21" s="219"/>
      <c r="H21" s="219"/>
      <c r="I21" s="219"/>
      <c r="J21" s="219"/>
      <c r="K21" s="219"/>
    </row>
    <row r="22" spans="1:13" ht="12" customHeight="1" x14ac:dyDescent="0.25">
      <c r="A22" s="175">
        <f>DATE(YEAR(표지!O1)-2,MONTH(표지!O1)-1,1)</f>
        <v>45352</v>
      </c>
      <c r="B22" s="206">
        <v>7553.7258739999997</v>
      </c>
      <c r="C22" s="206">
        <v>7.1540100000000004</v>
      </c>
      <c r="D22" s="206">
        <v>4631.8274119999996</v>
      </c>
      <c r="E22" s="206">
        <v>616.62056500000006</v>
      </c>
      <c r="F22" s="206">
        <f>B22-SUM(C22:E22)</f>
        <v>2298.1238869999997</v>
      </c>
      <c r="G22" s="206">
        <v>3676.0077799999999</v>
      </c>
      <c r="H22" s="206">
        <v>2221.4240329999998</v>
      </c>
      <c r="I22" s="206">
        <v>1293.5969259999999</v>
      </c>
      <c r="J22" s="206">
        <v>148.700805</v>
      </c>
      <c r="K22" s="206">
        <f t="shared" si="1"/>
        <v>12.286016000000473</v>
      </c>
      <c r="M22" s="220"/>
    </row>
    <row r="23" spans="1:13" ht="12" customHeight="1" x14ac:dyDescent="0.25">
      <c r="A23" s="176">
        <f>DATE(YEAR(A22),MONTH(A22)+1,1)</f>
        <v>45383</v>
      </c>
      <c r="B23" s="206">
        <v>7485.3396549999998</v>
      </c>
      <c r="C23" s="206">
        <v>5.7497720000000001</v>
      </c>
      <c r="D23" s="206">
        <v>4263.5338080000001</v>
      </c>
      <c r="E23" s="206">
        <v>558.85276099999999</v>
      </c>
      <c r="F23" s="206">
        <f>B23-SUM(C23:E23)</f>
        <v>2657.2033139999994</v>
      </c>
      <c r="G23" s="206">
        <v>4123.4662840000001</v>
      </c>
      <c r="H23" s="206">
        <v>2798.2990089999998</v>
      </c>
      <c r="I23" s="206">
        <v>1142.5561829999999</v>
      </c>
      <c r="J23" s="206">
        <v>158.94248099999999</v>
      </c>
      <c r="K23" s="206">
        <f t="shared" si="1"/>
        <v>23.668611000000055</v>
      </c>
      <c r="M23" s="220"/>
    </row>
    <row r="24" spans="1:13" ht="12" customHeight="1" x14ac:dyDescent="0.25">
      <c r="A24" s="176">
        <f>DATE(YEAR(A23),MONTH(A23)+1,1)</f>
        <v>45413</v>
      </c>
      <c r="B24" s="206">
        <v>8096.7151860000004</v>
      </c>
      <c r="C24" s="206">
        <v>11.356075000000001</v>
      </c>
      <c r="D24" s="206">
        <v>4561.0057319999996</v>
      </c>
      <c r="E24" s="206">
        <v>1063.3613359999999</v>
      </c>
      <c r="F24" s="206">
        <f>B24-SUM(C24:E24)</f>
        <v>2460.9920430000011</v>
      </c>
      <c r="G24" s="206">
        <v>4609.9071739999999</v>
      </c>
      <c r="H24" s="206">
        <v>3258.0059059999999</v>
      </c>
      <c r="I24" s="206">
        <v>1182.498</v>
      </c>
      <c r="J24" s="206">
        <v>148.84123600000001</v>
      </c>
      <c r="K24" s="206">
        <f t="shared" si="1"/>
        <v>20.562031999999817</v>
      </c>
      <c r="M24" s="220"/>
    </row>
    <row r="25" spans="1:13" ht="12" customHeight="1" x14ac:dyDescent="0.25">
      <c r="A25" s="176">
        <f>DATE(YEAR(A24),MONTH(A24)+1,1)</f>
        <v>45444</v>
      </c>
      <c r="B25" s="206">
        <v>6732.9409299999998</v>
      </c>
      <c r="C25" s="206">
        <v>9.5098260000000003</v>
      </c>
      <c r="D25" s="206">
        <v>3907.661756</v>
      </c>
      <c r="E25" s="206">
        <v>469.89190400000001</v>
      </c>
      <c r="F25" s="206">
        <f>B25-SUM(C25:E25)</f>
        <v>2345.8774439999997</v>
      </c>
      <c r="G25" s="206">
        <v>3508.0174630000001</v>
      </c>
      <c r="H25" s="206">
        <v>2316.3590479999998</v>
      </c>
      <c r="I25" s="206">
        <v>1025.918075</v>
      </c>
      <c r="J25" s="206">
        <v>144.90362400000001</v>
      </c>
      <c r="K25" s="206">
        <f t="shared" si="1"/>
        <v>20.836716000000251</v>
      </c>
      <c r="M25" s="220"/>
    </row>
    <row r="26" spans="1:13" ht="12" customHeight="1" x14ac:dyDescent="0.25">
      <c r="A26" s="176">
        <f>DATE(YEAR(A25),MONTH(A25)+1,1)</f>
        <v>45474</v>
      </c>
      <c r="B26" s="206">
        <v>7188.3263720000004</v>
      </c>
      <c r="C26" s="206">
        <v>15.732858</v>
      </c>
      <c r="D26" s="206">
        <v>4474.466641</v>
      </c>
      <c r="E26" s="206">
        <v>651.08303999999998</v>
      </c>
      <c r="F26" s="206">
        <f t="shared" ref="F26" si="3">B26-SUM(C26:E26)</f>
        <v>2047.0438330000006</v>
      </c>
      <c r="G26" s="206">
        <v>4207.1007970000001</v>
      </c>
      <c r="H26" s="206">
        <v>2997.3681459999998</v>
      </c>
      <c r="I26" s="206">
        <v>1057.6778730000001</v>
      </c>
      <c r="J26" s="206">
        <v>126.462084</v>
      </c>
      <c r="K26" s="206">
        <f t="shared" si="1"/>
        <v>25.592693999999938</v>
      </c>
      <c r="M26" s="221"/>
    </row>
    <row r="27" spans="1:13" ht="12" customHeight="1" x14ac:dyDescent="0.25">
      <c r="A27" s="176">
        <f t="shared" ref="A27:A31" si="4">DATE(YEAR(A26),MONTH(A26)+1,1)</f>
        <v>45505</v>
      </c>
      <c r="B27" s="206">
        <v>7357.8047569999999</v>
      </c>
      <c r="C27" s="206">
        <v>8.4321719999999996</v>
      </c>
      <c r="D27" s="206">
        <v>4807.73351</v>
      </c>
      <c r="E27" s="206">
        <v>562.174218</v>
      </c>
      <c r="F27" s="206">
        <f>B27-SUM(C27:E27)</f>
        <v>1979.4648569999999</v>
      </c>
      <c r="G27" s="206">
        <v>4379.5845579999996</v>
      </c>
      <c r="H27" s="206">
        <v>3029.290469</v>
      </c>
      <c r="I27" s="206">
        <v>1188.0060129999999</v>
      </c>
      <c r="J27" s="206">
        <v>151.03998899999999</v>
      </c>
      <c r="K27" s="206">
        <f>G27-SUM(H27:J27)</f>
        <v>11.248086999999941</v>
      </c>
      <c r="M27" s="221"/>
    </row>
    <row r="28" spans="1:13" ht="12" customHeight="1" x14ac:dyDescent="0.25">
      <c r="A28" s="176">
        <f t="shared" si="4"/>
        <v>45536</v>
      </c>
      <c r="B28" s="206">
        <v>7261.3326070000003</v>
      </c>
      <c r="C28" s="206">
        <v>7.4091170000000002</v>
      </c>
      <c r="D28" s="206">
        <v>4410.591692</v>
      </c>
      <c r="E28" s="206">
        <v>704.71853299999998</v>
      </c>
      <c r="F28" s="206">
        <f t="shared" ref="F28" si="5">B28-SUM(C28:E28)</f>
        <v>2138.613265</v>
      </c>
      <c r="G28" s="206">
        <v>3993.5948659999999</v>
      </c>
      <c r="H28" s="206">
        <v>2739.9895430000001</v>
      </c>
      <c r="I28" s="206">
        <v>1067.0192070000001</v>
      </c>
      <c r="J28" s="206">
        <v>170.285482</v>
      </c>
      <c r="K28" s="206">
        <f t="shared" si="1"/>
        <v>16.300633999999718</v>
      </c>
      <c r="M28" s="221"/>
    </row>
    <row r="29" spans="1:13" ht="12" customHeight="1" x14ac:dyDescent="0.25">
      <c r="A29" s="176">
        <f t="shared" si="4"/>
        <v>45566</v>
      </c>
      <c r="B29" s="206">
        <v>6861.2550840000004</v>
      </c>
      <c r="C29" s="206">
        <v>10.226777</v>
      </c>
      <c r="D29" s="206">
        <v>4111.2873289999998</v>
      </c>
      <c r="E29" s="206">
        <v>430.23984999999999</v>
      </c>
      <c r="F29" s="206">
        <f>B29-SUM(C29:E29)</f>
        <v>2309.5011280000008</v>
      </c>
      <c r="G29" s="206">
        <v>3680.3989940000001</v>
      </c>
      <c r="H29" s="206">
        <v>2429.161666</v>
      </c>
      <c r="I29" s="206">
        <v>1090.0027640000001</v>
      </c>
      <c r="J29" s="206">
        <v>136.33426700000001</v>
      </c>
      <c r="K29" s="206">
        <f>G29-SUM(H29:J29)</f>
        <v>24.900297000000137</v>
      </c>
      <c r="M29" s="221"/>
    </row>
    <row r="30" spans="1:13" ht="12" customHeight="1" x14ac:dyDescent="0.25">
      <c r="A30" s="176">
        <f t="shared" si="4"/>
        <v>45597</v>
      </c>
      <c r="B30" s="206">
        <v>6767.9191879999998</v>
      </c>
      <c r="C30" s="206">
        <v>7.5799789999999998</v>
      </c>
      <c r="D30" s="206">
        <v>3977.4076239999999</v>
      </c>
      <c r="E30" s="206">
        <v>644.88026100000002</v>
      </c>
      <c r="F30" s="206">
        <f t="shared" ref="F30:F41" si="6">B30-SUM(C30:E30)</f>
        <v>2138.051324</v>
      </c>
      <c r="G30" s="206">
        <v>3333.7635650000002</v>
      </c>
      <c r="H30" s="206">
        <v>2169.779184</v>
      </c>
      <c r="I30" s="206">
        <v>1006.868618</v>
      </c>
      <c r="J30" s="206">
        <v>130.71437599999999</v>
      </c>
      <c r="K30" s="206">
        <f t="shared" si="1"/>
        <v>26.401387000000341</v>
      </c>
      <c r="M30" s="221"/>
    </row>
    <row r="31" spans="1:13" ht="12" customHeight="1" x14ac:dyDescent="0.25">
      <c r="A31" s="176">
        <f t="shared" si="4"/>
        <v>45627</v>
      </c>
      <c r="B31" s="206">
        <v>7897.8662439999998</v>
      </c>
      <c r="C31" s="206">
        <v>17.293237000000001</v>
      </c>
      <c r="D31" s="206">
        <v>4409.8658349999996</v>
      </c>
      <c r="E31" s="206">
        <v>1317.543641</v>
      </c>
      <c r="F31" s="206">
        <f t="shared" si="6"/>
        <v>2153.1635310000001</v>
      </c>
      <c r="G31" s="206">
        <v>3806.3593890000002</v>
      </c>
      <c r="H31" s="206">
        <v>2380.9938959999999</v>
      </c>
      <c r="I31" s="206">
        <v>1247.3093269999999</v>
      </c>
      <c r="J31" s="206">
        <v>159.45841300000001</v>
      </c>
      <c r="K31" s="206">
        <f t="shared" si="1"/>
        <v>18.597753000000466</v>
      </c>
      <c r="M31" s="221"/>
    </row>
    <row r="32" spans="1:13" ht="12" customHeight="1" x14ac:dyDescent="0.25">
      <c r="A32" s="176"/>
      <c r="B32" s="206"/>
      <c r="C32" s="206"/>
      <c r="D32" s="206"/>
      <c r="E32" s="206"/>
      <c r="F32" s="206"/>
      <c r="G32" s="206"/>
      <c r="H32" s="206"/>
      <c r="I32" s="206"/>
      <c r="J32" s="206"/>
      <c r="K32" s="206"/>
      <c r="M32" s="221"/>
    </row>
    <row r="33" spans="1:13" ht="12" customHeight="1" x14ac:dyDescent="0.25">
      <c r="A33" s="175">
        <f>DATE(YEAR(A31),MONTH(A31)+1,1)</f>
        <v>45658</v>
      </c>
      <c r="B33" s="206">
        <v>6432.6508670000003</v>
      </c>
      <c r="C33" s="206">
        <v>9.1283200000000004</v>
      </c>
      <c r="D33" s="206">
        <v>3827.6404819999998</v>
      </c>
      <c r="E33" s="206">
        <v>717.28409899999997</v>
      </c>
      <c r="F33" s="206">
        <f t="shared" ref="F33:F34" si="7">B33-SUM(C33:E33)</f>
        <v>1878.5979660000012</v>
      </c>
      <c r="G33" s="206">
        <v>4396.0307130000001</v>
      </c>
      <c r="H33" s="206">
        <v>3150.679533</v>
      </c>
      <c r="I33" s="206">
        <v>1116.3630499999999</v>
      </c>
      <c r="J33" s="206">
        <v>117.649006</v>
      </c>
      <c r="K33" s="206">
        <f t="shared" ref="K33:K34" si="8">G33-SUM(H33:J33)</f>
        <v>11.339124000000083</v>
      </c>
      <c r="M33" s="221"/>
    </row>
    <row r="34" spans="1:13" ht="12" customHeight="1" x14ac:dyDescent="0.25">
      <c r="A34" s="176">
        <f t="shared" ref="A34:A44" si="9">DATE(YEAR(A33),MONTH(A33)+1,1)</f>
        <v>45689</v>
      </c>
      <c r="B34" s="206">
        <v>6841.7831429999997</v>
      </c>
      <c r="C34" s="206">
        <v>9.3436380000000003</v>
      </c>
      <c r="D34" s="206">
        <v>4063.2351859999999</v>
      </c>
      <c r="E34" s="206">
        <v>731.18998399999998</v>
      </c>
      <c r="F34" s="206">
        <f t="shared" si="7"/>
        <v>2038.0143349999998</v>
      </c>
      <c r="G34" s="206">
        <v>3570.8282989999998</v>
      </c>
      <c r="H34" s="206">
        <v>2355.275991</v>
      </c>
      <c r="I34" s="206">
        <v>1033.942184</v>
      </c>
      <c r="J34" s="206">
        <v>161.39352400000001</v>
      </c>
      <c r="K34" s="206">
        <f t="shared" si="8"/>
        <v>20.216599999999744</v>
      </c>
      <c r="M34" s="221"/>
    </row>
    <row r="35" spans="1:13" ht="12" customHeight="1" x14ac:dyDescent="0.25">
      <c r="A35" s="176">
        <f t="shared" si="9"/>
        <v>45717</v>
      </c>
      <c r="B35" s="206">
        <v>7874.1675729999997</v>
      </c>
      <c r="C35" s="206">
        <v>11.007256999999999</v>
      </c>
      <c r="D35" s="206">
        <v>4078.884</v>
      </c>
      <c r="E35" s="206">
        <v>1419.679936</v>
      </c>
      <c r="F35" s="206">
        <f t="shared" si="6"/>
        <v>2364.59638</v>
      </c>
      <c r="G35" s="206">
        <v>3914.8236230000002</v>
      </c>
      <c r="H35" s="206">
        <v>2724.7391050000001</v>
      </c>
      <c r="I35" s="206">
        <v>1044.5983980000001</v>
      </c>
      <c r="J35" s="206">
        <v>134.31088</v>
      </c>
      <c r="K35" s="206">
        <f t="shared" si="1"/>
        <v>11.175240000000031</v>
      </c>
      <c r="M35" s="221"/>
    </row>
    <row r="36" spans="1:13" ht="12" customHeight="1" x14ac:dyDescent="0.25">
      <c r="A36" s="176">
        <f t="shared" si="9"/>
        <v>45748</v>
      </c>
      <c r="B36" s="206">
        <v>7217.1267740000003</v>
      </c>
      <c r="C36" s="206">
        <v>13.164599000000001</v>
      </c>
      <c r="D36" s="206">
        <v>4219.5458440000002</v>
      </c>
      <c r="E36" s="206">
        <v>886.32509500000003</v>
      </c>
      <c r="F36" s="206">
        <f t="shared" si="6"/>
        <v>2098.0912360000002</v>
      </c>
      <c r="G36" s="206">
        <v>3928.6831670000001</v>
      </c>
      <c r="H36" s="206">
        <v>2546.715686</v>
      </c>
      <c r="I36" s="206">
        <v>1229.999521</v>
      </c>
      <c r="J36" s="206">
        <v>140.40946199999999</v>
      </c>
      <c r="K36" s="206">
        <f t="shared" si="1"/>
        <v>11.558497999999872</v>
      </c>
      <c r="M36" s="221"/>
    </row>
    <row r="37" spans="1:13" ht="12" customHeight="1" x14ac:dyDescent="0.25">
      <c r="A37" s="176">
        <f t="shared" si="9"/>
        <v>45778</v>
      </c>
      <c r="B37" s="206">
        <v>6855.2681659999998</v>
      </c>
      <c r="C37" s="206">
        <v>13.645349</v>
      </c>
      <c r="D37" s="206">
        <v>3908.8375339999998</v>
      </c>
      <c r="E37" s="206">
        <v>1017.225805</v>
      </c>
      <c r="F37" s="206">
        <f t="shared" si="6"/>
        <v>1915.5594780000001</v>
      </c>
      <c r="G37" s="206">
        <v>3947.5094199999999</v>
      </c>
      <c r="H37" s="206">
        <v>2701.2801509999999</v>
      </c>
      <c r="I37" s="206">
        <v>1066.456878</v>
      </c>
      <c r="J37" s="206">
        <v>165.37383</v>
      </c>
      <c r="K37" s="206">
        <f t="shared" si="1"/>
        <v>14.398560999999972</v>
      </c>
      <c r="M37" s="221"/>
    </row>
    <row r="38" spans="1:13" ht="12" customHeight="1" x14ac:dyDescent="0.25">
      <c r="A38" s="176">
        <f t="shared" si="9"/>
        <v>45809</v>
      </c>
      <c r="B38" s="206">
        <v>7628.4629219999997</v>
      </c>
      <c r="C38" s="206">
        <v>21.001808</v>
      </c>
      <c r="D38" s="206">
        <v>4240.8177109999997</v>
      </c>
      <c r="E38" s="206">
        <v>1170.9165700000001</v>
      </c>
      <c r="F38" s="206">
        <f t="shared" si="6"/>
        <v>2195.7268329999997</v>
      </c>
      <c r="G38" s="206">
        <v>4058.6379740000002</v>
      </c>
      <c r="H38" s="206">
        <v>2743.4679070000002</v>
      </c>
      <c r="I38" s="206">
        <v>1107.829561</v>
      </c>
      <c r="J38" s="206">
        <v>185.17059399999999</v>
      </c>
      <c r="K38" s="206">
        <f t="shared" si="1"/>
        <v>22.16991199999984</v>
      </c>
      <c r="M38" s="221"/>
    </row>
    <row r="39" spans="1:13" ht="12" customHeight="1" x14ac:dyDescent="0.25">
      <c r="A39" s="176">
        <f t="shared" si="9"/>
        <v>45839</v>
      </c>
      <c r="B39" s="206">
        <v>7717.3321340000002</v>
      </c>
      <c r="C39" s="206">
        <v>16.746103999999999</v>
      </c>
      <c r="D39" s="206">
        <v>4651.2713970000004</v>
      </c>
      <c r="E39" s="206">
        <v>1133.472669</v>
      </c>
      <c r="F39" s="206">
        <f t="shared" si="6"/>
        <v>1915.8419640000002</v>
      </c>
      <c r="G39" s="206">
        <v>4125.8401130000002</v>
      </c>
      <c r="H39" s="206">
        <v>2784.8706510000002</v>
      </c>
      <c r="I39" s="206">
        <v>1147.7419130000001</v>
      </c>
      <c r="J39" s="206">
        <v>180.567915</v>
      </c>
      <c r="K39" s="206">
        <f t="shared" si="1"/>
        <v>12.659634000000551</v>
      </c>
      <c r="M39" s="221"/>
    </row>
    <row r="40" spans="1:13" ht="12" customHeight="1" x14ac:dyDescent="0.25">
      <c r="A40" s="176">
        <f t="shared" si="9"/>
        <v>45870</v>
      </c>
      <c r="B40" s="206">
        <v>7722.3861379999998</v>
      </c>
      <c r="C40" s="206">
        <v>17.97953</v>
      </c>
      <c r="D40" s="206">
        <v>4450.6177820000003</v>
      </c>
      <c r="E40" s="206">
        <v>1286.851942</v>
      </c>
      <c r="F40" s="206">
        <f>B40-SUM(C40:E40)</f>
        <v>1966.9368839999997</v>
      </c>
      <c r="G40" s="206">
        <v>3788.6598170000002</v>
      </c>
      <c r="H40" s="206">
        <v>2582.141521</v>
      </c>
      <c r="I40" s="206">
        <v>1024.0261949999999</v>
      </c>
      <c r="J40" s="206">
        <v>170.011133</v>
      </c>
      <c r="K40" s="206">
        <f>G40-SUM(H40:J40)</f>
        <v>12.480968000000303</v>
      </c>
      <c r="M40" s="221"/>
    </row>
    <row r="41" spans="1:13" ht="12" customHeight="1" x14ac:dyDescent="0.25">
      <c r="A41" s="176">
        <f t="shared" si="9"/>
        <v>45901</v>
      </c>
      <c r="B41" s="206">
        <v>8160.9744449999998</v>
      </c>
      <c r="C41" s="206">
        <v>14.673971999999999</v>
      </c>
      <c r="D41" s="206">
        <v>4672.0483450000002</v>
      </c>
      <c r="E41" s="206">
        <v>1124.7348569999999</v>
      </c>
      <c r="F41" s="206">
        <f t="shared" si="6"/>
        <v>2349.5172710000006</v>
      </c>
      <c r="G41" s="206">
        <v>4359.4954340000004</v>
      </c>
      <c r="H41" s="206">
        <v>2951.8872799999999</v>
      </c>
      <c r="I41" s="206">
        <v>1195.852854</v>
      </c>
      <c r="J41" s="206">
        <v>188.61028200000001</v>
      </c>
      <c r="K41" s="206">
        <f t="shared" si="1"/>
        <v>23.145018000001073</v>
      </c>
      <c r="M41" s="221"/>
    </row>
    <row r="42" spans="1:13" ht="12" customHeight="1" x14ac:dyDescent="0.25">
      <c r="A42" s="176">
        <f t="shared" si="9"/>
        <v>45931</v>
      </c>
      <c r="B42" s="206">
        <v>6304.9609819999996</v>
      </c>
      <c r="C42" s="206">
        <v>19.786507</v>
      </c>
      <c r="D42" s="206">
        <v>3911.6421420000001</v>
      </c>
      <c r="E42" s="206">
        <v>550.32692999999995</v>
      </c>
      <c r="F42" s="206">
        <f>B42-SUM(C42:E42)</f>
        <v>1823.2054029999999</v>
      </c>
      <c r="G42" s="206">
        <v>4285.316221</v>
      </c>
      <c r="H42" s="206">
        <v>3209.0835219999999</v>
      </c>
      <c r="I42" s="206">
        <v>908.761121</v>
      </c>
      <c r="J42" s="206">
        <v>155.22490300000001</v>
      </c>
      <c r="K42" s="206">
        <f>G42-SUM(H42:J42)</f>
        <v>12.246674999999414</v>
      </c>
      <c r="M42" s="221"/>
    </row>
    <row r="43" spans="1:13" ht="12" customHeight="1" x14ac:dyDescent="0.25">
      <c r="A43" s="176">
        <f t="shared" si="9"/>
        <v>45962</v>
      </c>
      <c r="B43" s="206">
        <v>6375.5704489999998</v>
      </c>
      <c r="C43" s="206">
        <v>19.886448000000001</v>
      </c>
      <c r="D43" s="206">
        <v>3752.4904160000001</v>
      </c>
      <c r="E43" s="206">
        <v>468.46955300000002</v>
      </c>
      <c r="F43" s="206">
        <f t="shared" ref="F43:F44" si="10">B43-SUM(C43:E43)</f>
        <v>2134.7240319999992</v>
      </c>
      <c r="G43" s="206">
        <v>3645.274797</v>
      </c>
      <c r="H43" s="206">
        <v>2419.5826339999999</v>
      </c>
      <c r="I43" s="206">
        <v>1048.9006999999999</v>
      </c>
      <c r="J43" s="206">
        <v>163.068409</v>
      </c>
      <c r="K43" s="206">
        <f t="shared" si="1"/>
        <v>13.723054000000502</v>
      </c>
      <c r="M43" s="221"/>
    </row>
    <row r="44" spans="1:13" ht="12" customHeight="1" x14ac:dyDescent="0.25">
      <c r="A44" s="176">
        <f t="shared" si="9"/>
        <v>45992</v>
      </c>
      <c r="B44" s="206">
        <v>7703.3611270000001</v>
      </c>
      <c r="C44" s="206">
        <v>22.846734999999999</v>
      </c>
      <c r="D44" s="206">
        <v>4405.655334</v>
      </c>
      <c r="E44" s="206">
        <v>1302.539223</v>
      </c>
      <c r="F44" s="206">
        <f t="shared" si="10"/>
        <v>1972.3198350000002</v>
      </c>
      <c r="G44" s="206">
        <v>4105.562731</v>
      </c>
      <c r="H44" s="206">
        <v>2691.1638600000001</v>
      </c>
      <c r="I44" s="206">
        <v>1220.800641</v>
      </c>
      <c r="J44" s="206">
        <v>181.14071000000001</v>
      </c>
      <c r="K44" s="206">
        <f t="shared" si="1"/>
        <v>12.457519999999477</v>
      </c>
      <c r="M44" s="221"/>
    </row>
    <row r="45" spans="1:13" ht="12" customHeight="1" x14ac:dyDescent="0.25">
      <c r="A45" s="176"/>
      <c r="B45" s="206"/>
      <c r="C45" s="206"/>
      <c r="D45" s="206"/>
      <c r="E45" s="206"/>
      <c r="F45" s="206"/>
      <c r="G45" s="206"/>
      <c r="H45" s="206"/>
      <c r="I45" s="206"/>
      <c r="J45" s="206"/>
      <c r="K45" s="206"/>
      <c r="M45" s="221"/>
    </row>
    <row r="46" spans="1:13" ht="12" customHeight="1" x14ac:dyDescent="0.25">
      <c r="A46" s="175">
        <f>DATE(YEAR(A44),MONTH(A44)+1,1)</f>
        <v>46023</v>
      </c>
      <c r="B46" s="206">
        <v>7795.8532420000001</v>
      </c>
      <c r="C46" s="206">
        <v>36.827049000000002</v>
      </c>
      <c r="D46" s="206">
        <v>4335.0399150000003</v>
      </c>
      <c r="E46" s="206">
        <v>1248.0479459999999</v>
      </c>
      <c r="F46" s="206">
        <f t="shared" ref="F46:F48" si="11">B46-SUM(C46:E46)</f>
        <v>2175.9383319999997</v>
      </c>
      <c r="G46" s="206">
        <v>4699.0009559999999</v>
      </c>
      <c r="H46" s="206">
        <v>3266.5534360000001</v>
      </c>
      <c r="I46" s="206">
        <v>1266.7480089999999</v>
      </c>
      <c r="J46" s="206">
        <v>150.78425200000001</v>
      </c>
      <c r="K46" s="206">
        <f t="shared" ref="K46:K48" si="12">G46-SUM(H46:J46)</f>
        <v>14.915258999999423</v>
      </c>
      <c r="M46" s="221"/>
    </row>
    <row r="47" spans="1:13" ht="12" customHeight="1" x14ac:dyDescent="0.25">
      <c r="A47" s="176">
        <f t="shared" ref="A47:A48" si="13">DATE(YEAR(A46),MONTH(A46)+1,1)</f>
        <v>46054</v>
      </c>
      <c r="B47" s="206">
        <v>6214.7223100000001</v>
      </c>
      <c r="C47" s="206">
        <v>19.023733</v>
      </c>
      <c r="D47" s="206">
        <v>4251.9816870000004</v>
      </c>
      <c r="E47" s="206">
        <v>372.59660700000001</v>
      </c>
      <c r="F47" s="206">
        <f t="shared" si="11"/>
        <v>1571.1202829999993</v>
      </c>
      <c r="G47" s="206">
        <v>3801.6493660000001</v>
      </c>
      <c r="H47" s="206">
        <v>2408.4787030000002</v>
      </c>
      <c r="I47" s="206">
        <v>1125.62483</v>
      </c>
      <c r="J47" s="206">
        <v>251.329227</v>
      </c>
      <c r="K47" s="206">
        <f t="shared" si="12"/>
        <v>16.216605999999501</v>
      </c>
      <c r="M47" s="221"/>
    </row>
    <row r="48" spans="1:13" ht="12" customHeight="1" x14ac:dyDescent="0.25">
      <c r="A48" s="176">
        <f t="shared" si="13"/>
        <v>46082</v>
      </c>
      <c r="B48" s="206">
        <v>8768.4071540000004</v>
      </c>
      <c r="C48" s="206">
        <v>30.692851999999998</v>
      </c>
      <c r="D48" s="206">
        <v>5184.2030480000003</v>
      </c>
      <c r="E48" s="206">
        <v>1421.223606</v>
      </c>
      <c r="F48" s="206">
        <f t="shared" si="11"/>
        <v>2132.2876479999995</v>
      </c>
      <c r="G48" s="206">
        <v>4195.6790129999999</v>
      </c>
      <c r="H48" s="206">
        <v>2688.6650639999998</v>
      </c>
      <c r="I48" s="206">
        <v>1361.9113669999999</v>
      </c>
      <c r="J48" s="206">
        <v>134.927921</v>
      </c>
      <c r="K48" s="206">
        <f t="shared" si="12"/>
        <v>10.174661000000015</v>
      </c>
      <c r="M48" s="221"/>
    </row>
    <row r="49" spans="1:13" ht="5.25" customHeight="1" x14ac:dyDescent="0.25">
      <c r="A49" s="222"/>
      <c r="B49" s="223"/>
      <c r="C49" s="223"/>
      <c r="D49" s="223"/>
      <c r="E49" s="223"/>
      <c r="F49" s="223"/>
      <c r="G49" s="223"/>
      <c r="H49" s="223"/>
      <c r="I49" s="223"/>
      <c r="J49" s="223"/>
      <c r="K49" s="223"/>
    </row>
    <row r="50" spans="1:13" ht="13.5" customHeight="1" x14ac:dyDescent="0.25">
      <c r="A50" s="211" t="s">
        <v>259</v>
      </c>
      <c r="M50" s="221"/>
    </row>
    <row r="51" spans="1:13" ht="13.5" customHeight="1" x14ac:dyDescent="0.25">
      <c r="A51" s="211" t="s">
        <v>260</v>
      </c>
      <c r="M51" s="221"/>
    </row>
    <row r="52" spans="1:13" ht="13.5" customHeight="1" x14ac:dyDescent="0.25">
      <c r="M52" s="224"/>
    </row>
    <row r="53" spans="1:13" ht="13.5" customHeight="1" x14ac:dyDescent="0.25">
      <c r="L53" s="224"/>
      <c r="M53" s="224"/>
    </row>
    <row r="54" spans="1:13" ht="13.5" customHeight="1" x14ac:dyDescent="0.25"/>
    <row r="55" spans="1:13" ht="13.5" customHeight="1" x14ac:dyDescent="0.25"/>
    <row r="56" spans="1:13" ht="13.5" customHeight="1" x14ac:dyDescent="0.25">
      <c r="L56" s="224"/>
      <c r="M56" s="225"/>
    </row>
    <row r="57" spans="1:13" ht="13.5" customHeight="1" x14ac:dyDescent="0.25"/>
    <row r="58" spans="1:13" ht="13.5" customHeight="1" x14ac:dyDescent="0.25"/>
    <row r="59" spans="1:13" ht="13.5" customHeight="1" x14ac:dyDescent="0.25"/>
    <row r="60" spans="1:13" ht="13.5" customHeight="1" x14ac:dyDescent="0.25"/>
    <row r="61" spans="1:13" ht="13.5" customHeight="1" x14ac:dyDescent="0.25">
      <c r="B61" s="225"/>
      <c r="C61" s="225"/>
      <c r="D61" s="225"/>
      <c r="E61" s="225"/>
      <c r="F61" s="225"/>
      <c r="G61" s="225"/>
      <c r="H61" s="225"/>
      <c r="I61" s="225"/>
      <c r="J61" s="225"/>
      <c r="K61" s="225"/>
    </row>
    <row r="62" spans="1:13" ht="13.5" customHeight="1" x14ac:dyDescent="0.25"/>
    <row r="63" spans="1:13" ht="13.5" customHeight="1" x14ac:dyDescent="0.25"/>
    <row r="64" spans="1:13" ht="13.5" customHeight="1" x14ac:dyDescent="0.25"/>
    <row r="65" spans="2:11" ht="13.5" customHeight="1" x14ac:dyDescent="0.25"/>
    <row r="66" spans="2:11" ht="13.5" customHeight="1" x14ac:dyDescent="0.25"/>
    <row r="67" spans="2:11" ht="13.5" customHeight="1" x14ac:dyDescent="0.25"/>
    <row r="68" spans="2:11" ht="13.5" customHeight="1" x14ac:dyDescent="0.25"/>
    <row r="69" spans="2:11" ht="13.5" customHeight="1" x14ac:dyDescent="0.25"/>
    <row r="70" spans="2:11" ht="13.5" customHeight="1" x14ac:dyDescent="0.25"/>
    <row r="71" spans="2:11" ht="13.5" customHeight="1" x14ac:dyDescent="0.25"/>
    <row r="72" spans="2:11" ht="13.5" customHeight="1" x14ac:dyDescent="0.25"/>
    <row r="73" spans="2:11" ht="13.5" customHeight="1" x14ac:dyDescent="0.25"/>
    <row r="74" spans="2:11" ht="13.5" customHeight="1" x14ac:dyDescent="0.25"/>
    <row r="75" spans="2:11" ht="13.5" customHeight="1" x14ac:dyDescent="0.25"/>
    <row r="76" spans="2:11" ht="9" customHeight="1" x14ac:dyDescent="0.25"/>
    <row r="77" spans="2:11" ht="13.5" customHeight="1" x14ac:dyDescent="0.25">
      <c r="B77" s="211"/>
      <c r="C77" s="211"/>
      <c r="D77" s="211"/>
      <c r="E77" s="211"/>
      <c r="F77" s="211"/>
      <c r="G77" s="211"/>
      <c r="H77" s="211"/>
      <c r="I77" s="211"/>
      <c r="J77" s="211"/>
      <c r="K77" s="211"/>
    </row>
    <row r="78" spans="2:11" ht="13.5" customHeight="1" x14ac:dyDescent="0.25">
      <c r="B78" s="211"/>
      <c r="C78" s="211"/>
      <c r="D78" s="211"/>
      <c r="E78" s="211"/>
      <c r="F78" s="211"/>
      <c r="G78" s="211"/>
      <c r="H78" s="211"/>
      <c r="I78" s="211"/>
      <c r="J78" s="211"/>
      <c r="K78" s="211"/>
    </row>
    <row r="79" spans="2:11" ht="13.5" customHeight="1" x14ac:dyDescent="0.25">
      <c r="B79" s="211"/>
      <c r="C79" s="211"/>
      <c r="D79" s="211"/>
      <c r="E79" s="211"/>
      <c r="F79" s="211"/>
      <c r="G79" s="211"/>
      <c r="H79" s="211"/>
      <c r="I79" s="211"/>
      <c r="J79" s="211"/>
      <c r="K79" s="211"/>
    </row>
    <row r="80" spans="2:11" ht="13.5" customHeight="1" x14ac:dyDescent="0.25">
      <c r="B80" s="211"/>
      <c r="C80" s="211"/>
      <c r="D80" s="211"/>
      <c r="E80" s="211"/>
      <c r="F80" s="211"/>
      <c r="G80" s="211"/>
      <c r="H80" s="211"/>
      <c r="I80" s="211"/>
      <c r="J80" s="211"/>
      <c r="K80" s="211"/>
    </row>
    <row r="81" spans="2:11" ht="13.5" customHeight="1" x14ac:dyDescent="0.25">
      <c r="B81" s="211"/>
      <c r="C81" s="211"/>
      <c r="D81" s="211"/>
      <c r="E81" s="211"/>
      <c r="F81" s="211"/>
      <c r="G81" s="211"/>
      <c r="H81" s="211"/>
      <c r="I81" s="211"/>
      <c r="J81" s="211"/>
      <c r="K81" s="211"/>
    </row>
    <row r="82" spans="2:11" ht="13.5" customHeight="1" x14ac:dyDescent="0.25">
      <c r="B82" s="211"/>
      <c r="C82" s="211"/>
      <c r="D82" s="211"/>
      <c r="E82" s="211"/>
      <c r="F82" s="211"/>
      <c r="G82" s="211"/>
      <c r="H82" s="211"/>
      <c r="I82" s="211"/>
      <c r="J82" s="211"/>
      <c r="K82" s="211"/>
    </row>
    <row r="83" spans="2:11" ht="13.5" customHeight="1" x14ac:dyDescent="0.25">
      <c r="B83" s="211"/>
      <c r="C83" s="211"/>
      <c r="D83" s="211"/>
      <c r="E83" s="211"/>
      <c r="F83" s="211"/>
      <c r="G83" s="211"/>
      <c r="H83" s="211"/>
      <c r="I83" s="211"/>
      <c r="J83" s="211"/>
      <c r="K83" s="211"/>
    </row>
    <row r="84" spans="2:11" ht="13.5" customHeight="1" x14ac:dyDescent="0.25">
      <c r="B84" s="211"/>
      <c r="C84" s="211"/>
      <c r="D84" s="211"/>
      <c r="E84" s="211"/>
      <c r="F84" s="211"/>
      <c r="G84" s="211"/>
      <c r="H84" s="211"/>
      <c r="I84" s="211"/>
      <c r="J84" s="211"/>
      <c r="K84" s="211"/>
    </row>
    <row r="85" spans="2:11" ht="13.5" customHeight="1" x14ac:dyDescent="0.25">
      <c r="B85" s="211"/>
      <c r="C85" s="211"/>
      <c r="D85" s="211"/>
      <c r="E85" s="211"/>
      <c r="F85" s="211"/>
      <c r="G85" s="211"/>
      <c r="H85" s="211"/>
      <c r="I85" s="211"/>
      <c r="J85" s="211"/>
      <c r="K85" s="211"/>
    </row>
    <row r="86" spans="2:11" ht="13.5" customHeight="1" x14ac:dyDescent="0.25">
      <c r="B86" s="211"/>
      <c r="C86" s="211"/>
      <c r="D86" s="211"/>
      <c r="E86" s="211"/>
      <c r="F86" s="211"/>
      <c r="G86" s="211"/>
      <c r="H86" s="211"/>
      <c r="I86" s="211"/>
      <c r="J86" s="211"/>
      <c r="K86" s="211"/>
    </row>
    <row r="87" spans="2:11" ht="13.5" customHeight="1" x14ac:dyDescent="0.25">
      <c r="B87" s="211"/>
      <c r="C87" s="211"/>
      <c r="D87" s="211"/>
      <c r="E87" s="211"/>
      <c r="F87" s="211"/>
      <c r="G87" s="211"/>
      <c r="H87" s="211"/>
      <c r="I87" s="211"/>
      <c r="J87" s="211"/>
      <c r="K87" s="211"/>
    </row>
    <row r="88" spans="2:11" ht="13.5" customHeight="1" x14ac:dyDescent="0.25">
      <c r="B88" s="211"/>
      <c r="C88" s="211"/>
      <c r="D88" s="211"/>
      <c r="E88" s="211"/>
      <c r="F88" s="211"/>
      <c r="G88" s="211"/>
      <c r="H88" s="211"/>
      <c r="I88" s="211"/>
      <c r="J88" s="211"/>
      <c r="K88" s="211"/>
    </row>
    <row r="89" spans="2:11" ht="9" customHeight="1" x14ac:dyDescent="0.25">
      <c r="B89" s="211"/>
      <c r="C89" s="211"/>
      <c r="D89" s="211"/>
      <c r="E89" s="211"/>
      <c r="F89" s="211"/>
      <c r="G89" s="211"/>
      <c r="H89" s="211"/>
      <c r="I89" s="211"/>
      <c r="J89" s="211"/>
      <c r="K89" s="211"/>
    </row>
    <row r="90" spans="2:11" ht="13.5" customHeight="1" x14ac:dyDescent="0.25">
      <c r="B90" s="211"/>
      <c r="C90" s="211"/>
      <c r="D90" s="211"/>
      <c r="E90" s="211"/>
      <c r="F90" s="211"/>
      <c r="G90" s="211"/>
      <c r="H90" s="211"/>
      <c r="I90" s="211"/>
      <c r="J90" s="211"/>
      <c r="K90" s="211"/>
    </row>
    <row r="91" spans="2:11" ht="13.5" customHeight="1" x14ac:dyDescent="0.25">
      <c r="B91" s="211"/>
      <c r="C91" s="211"/>
      <c r="D91" s="211"/>
      <c r="E91" s="211"/>
      <c r="F91" s="211"/>
      <c r="G91" s="211"/>
      <c r="H91" s="211"/>
      <c r="I91" s="211"/>
      <c r="J91" s="211"/>
      <c r="K91" s="211"/>
    </row>
    <row r="92" spans="2:11" ht="13.5" customHeight="1" x14ac:dyDescent="0.25">
      <c r="B92" s="211"/>
      <c r="C92" s="211"/>
      <c r="D92" s="211"/>
      <c r="E92" s="211"/>
      <c r="F92" s="211"/>
      <c r="G92" s="211"/>
      <c r="H92" s="211"/>
      <c r="I92" s="211"/>
      <c r="J92" s="211"/>
      <c r="K92" s="211"/>
    </row>
    <row r="93" spans="2:11" ht="13.5" customHeight="1" x14ac:dyDescent="0.25">
      <c r="B93" s="211"/>
      <c r="C93" s="211"/>
      <c r="D93" s="211"/>
      <c r="E93" s="211"/>
      <c r="F93" s="211"/>
      <c r="G93" s="211"/>
      <c r="H93" s="211"/>
      <c r="I93" s="211"/>
      <c r="J93" s="211"/>
      <c r="K93" s="211"/>
    </row>
    <row r="94" spans="2:11" ht="13.5" customHeight="1" x14ac:dyDescent="0.25">
      <c r="B94" s="211"/>
      <c r="C94" s="211"/>
      <c r="D94" s="211"/>
      <c r="E94" s="211"/>
      <c r="F94" s="211"/>
      <c r="G94" s="211"/>
      <c r="H94" s="211"/>
      <c r="I94" s="211"/>
      <c r="J94" s="211"/>
      <c r="K94" s="211"/>
    </row>
    <row r="95" spans="2:11" ht="13.5" customHeight="1" x14ac:dyDescent="0.25">
      <c r="B95" s="211"/>
      <c r="C95" s="211"/>
      <c r="D95" s="211"/>
      <c r="E95" s="211"/>
      <c r="F95" s="211"/>
      <c r="G95" s="211"/>
      <c r="H95" s="211"/>
      <c r="I95" s="211"/>
      <c r="J95" s="211"/>
      <c r="K95" s="211"/>
    </row>
    <row r="96" spans="2:11" ht="13.5" customHeight="1" x14ac:dyDescent="0.25">
      <c r="B96" s="211"/>
      <c r="C96" s="211"/>
      <c r="D96" s="211"/>
      <c r="E96" s="211"/>
      <c r="F96" s="211"/>
      <c r="G96" s="211"/>
      <c r="H96" s="211"/>
      <c r="I96" s="211"/>
      <c r="J96" s="211"/>
      <c r="K96" s="211"/>
    </row>
    <row r="97" spans="2:11" ht="13.5" customHeight="1" x14ac:dyDescent="0.25">
      <c r="B97" s="211"/>
      <c r="C97" s="211"/>
      <c r="D97" s="211"/>
      <c r="E97" s="211"/>
      <c r="F97" s="211"/>
      <c r="G97" s="211"/>
      <c r="H97" s="211"/>
      <c r="I97" s="211"/>
      <c r="J97" s="211"/>
      <c r="K97" s="211"/>
    </row>
    <row r="98" spans="2:11" ht="13.5" customHeight="1" x14ac:dyDescent="0.25">
      <c r="B98" s="211"/>
      <c r="C98" s="211"/>
      <c r="D98" s="211"/>
      <c r="E98" s="211"/>
      <c r="F98" s="211"/>
      <c r="G98" s="211"/>
      <c r="H98" s="211"/>
      <c r="I98" s="211"/>
      <c r="J98" s="211"/>
      <c r="K98" s="211"/>
    </row>
    <row r="99" spans="2:11" ht="13.5" customHeight="1" x14ac:dyDescent="0.25">
      <c r="B99" s="211"/>
      <c r="C99" s="211"/>
      <c r="D99" s="211"/>
      <c r="E99" s="211"/>
      <c r="F99" s="211"/>
      <c r="G99" s="211"/>
      <c r="H99" s="211"/>
      <c r="I99" s="211"/>
      <c r="J99" s="211"/>
      <c r="K99" s="211"/>
    </row>
    <row r="100" spans="2:11" ht="13.5" customHeight="1" x14ac:dyDescent="0.25">
      <c r="B100" s="211"/>
      <c r="C100" s="211"/>
      <c r="D100" s="211"/>
      <c r="E100" s="211"/>
      <c r="F100" s="211"/>
      <c r="G100" s="211"/>
      <c r="H100" s="211"/>
      <c r="I100" s="211"/>
      <c r="J100" s="211"/>
      <c r="K100" s="211"/>
    </row>
    <row r="101" spans="2:11" ht="13.5" customHeight="1" x14ac:dyDescent="0.25">
      <c r="B101" s="211"/>
      <c r="C101" s="211"/>
      <c r="D101" s="211"/>
      <c r="E101" s="211"/>
      <c r="F101" s="211"/>
      <c r="G101" s="211"/>
      <c r="H101" s="211"/>
      <c r="I101" s="211"/>
      <c r="J101" s="211"/>
      <c r="K101" s="211"/>
    </row>
    <row r="102" spans="2:11" ht="9" customHeight="1" x14ac:dyDescent="0.25">
      <c r="B102" s="211"/>
      <c r="C102" s="211"/>
      <c r="D102" s="211"/>
      <c r="E102" s="211"/>
      <c r="F102" s="211"/>
      <c r="G102" s="211"/>
      <c r="H102" s="211"/>
      <c r="I102" s="211"/>
      <c r="J102" s="211"/>
      <c r="K102" s="211"/>
    </row>
    <row r="103" spans="2:11" ht="13.5" customHeight="1" x14ac:dyDescent="0.25">
      <c r="B103" s="211"/>
      <c r="C103" s="211"/>
      <c r="D103" s="211"/>
      <c r="E103" s="211"/>
      <c r="F103" s="211"/>
      <c r="G103" s="211"/>
      <c r="H103" s="211"/>
      <c r="I103" s="211"/>
      <c r="J103" s="211"/>
      <c r="K103" s="211"/>
    </row>
    <row r="104" spans="2:11" ht="13.5" customHeight="1" x14ac:dyDescent="0.25">
      <c r="B104" s="211"/>
      <c r="C104" s="211"/>
      <c r="D104" s="211"/>
      <c r="E104" s="211"/>
      <c r="F104" s="211"/>
      <c r="G104" s="211"/>
      <c r="H104" s="211"/>
      <c r="I104" s="211"/>
      <c r="J104" s="211"/>
      <c r="K104" s="211"/>
    </row>
    <row r="105" spans="2:11" ht="13.5" customHeight="1" x14ac:dyDescent="0.25">
      <c r="B105" s="211"/>
      <c r="C105" s="211"/>
      <c r="D105" s="211"/>
      <c r="E105" s="211"/>
      <c r="F105" s="211"/>
      <c r="G105" s="211"/>
      <c r="H105" s="211"/>
      <c r="I105" s="211"/>
      <c r="J105" s="211"/>
      <c r="K105" s="211"/>
    </row>
    <row r="106" spans="2:11" ht="13.5" customHeight="1" x14ac:dyDescent="0.25">
      <c r="B106" s="211"/>
      <c r="C106" s="211"/>
      <c r="D106" s="211"/>
      <c r="E106" s="211"/>
      <c r="F106" s="211"/>
      <c r="G106" s="211"/>
      <c r="H106" s="211"/>
      <c r="I106" s="211"/>
      <c r="J106" s="211"/>
      <c r="K106" s="211"/>
    </row>
    <row r="107" spans="2:11" ht="13.5" customHeight="1" x14ac:dyDescent="0.25">
      <c r="B107" s="211"/>
      <c r="C107" s="211"/>
      <c r="D107" s="211"/>
      <c r="E107" s="211"/>
      <c r="F107" s="211"/>
      <c r="G107" s="211"/>
      <c r="H107" s="211"/>
      <c r="I107" s="211"/>
      <c r="J107" s="211"/>
      <c r="K107" s="211"/>
    </row>
    <row r="108" spans="2:11" ht="13.5" customHeight="1" x14ac:dyDescent="0.25">
      <c r="B108" s="211"/>
      <c r="C108" s="211"/>
      <c r="D108" s="211"/>
      <c r="E108" s="211"/>
      <c r="F108" s="211"/>
      <c r="G108" s="211"/>
      <c r="H108" s="211"/>
      <c r="I108" s="211"/>
      <c r="J108" s="211"/>
      <c r="K108" s="211"/>
    </row>
    <row r="109" spans="2:11" ht="13.5" customHeight="1" x14ac:dyDescent="0.25">
      <c r="B109" s="211"/>
      <c r="C109" s="211"/>
      <c r="D109" s="211"/>
      <c r="E109" s="211"/>
      <c r="F109" s="211"/>
      <c r="G109" s="211"/>
      <c r="H109" s="211"/>
      <c r="I109" s="211"/>
      <c r="J109" s="211"/>
      <c r="K109" s="211"/>
    </row>
    <row r="110" spans="2:11" ht="13.5" customHeight="1" x14ac:dyDescent="0.25">
      <c r="B110" s="211"/>
      <c r="C110" s="211"/>
      <c r="D110" s="211"/>
      <c r="E110" s="211"/>
      <c r="F110" s="211"/>
      <c r="G110" s="211"/>
      <c r="H110" s="211"/>
      <c r="I110" s="211"/>
      <c r="J110" s="211"/>
      <c r="K110" s="211"/>
    </row>
    <row r="111" spans="2:11" ht="13.5" customHeight="1" x14ac:dyDescent="0.25">
      <c r="B111" s="211"/>
      <c r="C111" s="211"/>
      <c r="D111" s="211"/>
      <c r="E111" s="211"/>
      <c r="F111" s="211"/>
      <c r="G111" s="211"/>
      <c r="H111" s="211"/>
      <c r="I111" s="211"/>
      <c r="J111" s="211"/>
      <c r="K111" s="211"/>
    </row>
    <row r="112" spans="2:11" ht="13.5" customHeight="1" x14ac:dyDescent="0.25">
      <c r="B112" s="211"/>
      <c r="C112" s="211"/>
      <c r="D112" s="211"/>
      <c r="E112" s="211"/>
      <c r="F112" s="211"/>
      <c r="G112" s="211"/>
      <c r="H112" s="211"/>
      <c r="I112" s="211"/>
      <c r="J112" s="211"/>
      <c r="K112" s="211"/>
    </row>
    <row r="113" spans="2:11" ht="13.5" customHeight="1" x14ac:dyDescent="0.25">
      <c r="B113" s="211"/>
      <c r="C113" s="211"/>
      <c r="D113" s="211"/>
      <c r="E113" s="211"/>
      <c r="F113" s="211"/>
      <c r="G113" s="211"/>
      <c r="H113" s="211"/>
      <c r="I113" s="211"/>
      <c r="J113" s="211"/>
      <c r="K113" s="211"/>
    </row>
    <row r="114" spans="2:11" ht="13.5" customHeight="1" x14ac:dyDescent="0.25">
      <c r="B114" s="211"/>
      <c r="C114" s="211"/>
      <c r="D114" s="211"/>
      <c r="E114" s="211"/>
      <c r="F114" s="211"/>
      <c r="G114" s="211"/>
      <c r="H114" s="211"/>
      <c r="I114" s="211"/>
      <c r="J114" s="211"/>
      <c r="K114" s="211"/>
    </row>
    <row r="115" spans="2:11" ht="13.5" customHeight="1" x14ac:dyDescent="0.25">
      <c r="B115" s="211"/>
      <c r="C115" s="211"/>
      <c r="D115" s="211"/>
      <c r="E115" s="211"/>
      <c r="F115" s="211"/>
      <c r="G115" s="211"/>
      <c r="H115" s="211"/>
      <c r="I115" s="211"/>
      <c r="J115" s="211"/>
      <c r="K115" s="211"/>
    </row>
    <row r="116" spans="2:11" ht="13.5" customHeight="1" x14ac:dyDescent="0.25">
      <c r="B116" s="211"/>
      <c r="C116" s="211"/>
      <c r="D116" s="211"/>
      <c r="E116" s="211"/>
      <c r="F116" s="211"/>
      <c r="G116" s="211"/>
      <c r="H116" s="211"/>
      <c r="I116" s="211"/>
      <c r="J116" s="211"/>
      <c r="K116" s="211"/>
    </row>
    <row r="117" spans="2:11" ht="13.5" customHeight="1" x14ac:dyDescent="0.25">
      <c r="B117" s="211"/>
      <c r="C117" s="211"/>
      <c r="D117" s="211"/>
      <c r="E117" s="211"/>
      <c r="F117" s="211"/>
      <c r="G117" s="211"/>
      <c r="H117" s="211"/>
      <c r="I117" s="211"/>
      <c r="J117" s="211"/>
      <c r="K117" s="211"/>
    </row>
    <row r="118" spans="2:11" ht="13.5" customHeight="1" x14ac:dyDescent="0.25">
      <c r="B118" s="211"/>
      <c r="C118" s="211"/>
      <c r="D118" s="211"/>
      <c r="E118" s="211"/>
      <c r="F118" s="211"/>
      <c r="G118" s="211"/>
      <c r="H118" s="211"/>
      <c r="I118" s="211"/>
      <c r="J118" s="211"/>
      <c r="K118" s="211"/>
    </row>
    <row r="119" spans="2:11" ht="13.5" customHeight="1" x14ac:dyDescent="0.25">
      <c r="B119" s="211"/>
      <c r="C119" s="211"/>
      <c r="D119" s="211"/>
      <c r="E119" s="211"/>
      <c r="F119" s="211"/>
      <c r="G119" s="211"/>
      <c r="H119" s="211"/>
      <c r="I119" s="211"/>
      <c r="J119" s="211"/>
      <c r="K119" s="211"/>
    </row>
    <row r="120" spans="2:11" ht="13.5" customHeight="1" x14ac:dyDescent="0.25">
      <c r="B120" s="211"/>
      <c r="C120" s="211"/>
      <c r="D120" s="211"/>
      <c r="E120" s="211"/>
      <c r="F120" s="211"/>
      <c r="G120" s="211"/>
      <c r="H120" s="211"/>
      <c r="I120" s="211"/>
      <c r="J120" s="211"/>
      <c r="K120" s="211"/>
    </row>
    <row r="121" spans="2:11" ht="13.5" customHeight="1" x14ac:dyDescent="0.25">
      <c r="B121" s="211"/>
      <c r="C121" s="211"/>
      <c r="D121" s="211"/>
      <c r="E121" s="211"/>
      <c r="F121" s="211"/>
      <c r="G121" s="211"/>
      <c r="H121" s="211"/>
      <c r="I121" s="211"/>
      <c r="J121" s="211"/>
      <c r="K121" s="211"/>
    </row>
    <row r="122" spans="2:11" ht="13.5" customHeight="1" x14ac:dyDescent="0.25">
      <c r="B122" s="211"/>
      <c r="C122" s="211"/>
      <c r="D122" s="211"/>
      <c r="E122" s="211"/>
      <c r="F122" s="211"/>
      <c r="G122" s="211"/>
      <c r="H122" s="211"/>
      <c r="I122" s="211"/>
      <c r="J122" s="211"/>
      <c r="K122" s="211"/>
    </row>
    <row r="123" spans="2:11" ht="13.5" customHeight="1" x14ac:dyDescent="0.25">
      <c r="B123" s="211"/>
      <c r="C123" s="211"/>
      <c r="D123" s="211"/>
      <c r="E123" s="211"/>
      <c r="F123" s="211"/>
      <c r="G123" s="211"/>
      <c r="H123" s="211"/>
      <c r="I123" s="211"/>
      <c r="J123" s="211"/>
      <c r="K123" s="211"/>
    </row>
    <row r="124" spans="2:11" ht="13.5" customHeight="1" x14ac:dyDescent="0.25">
      <c r="B124" s="211"/>
      <c r="C124" s="211"/>
      <c r="D124" s="211"/>
      <c r="E124" s="211"/>
      <c r="F124" s="211"/>
      <c r="G124" s="211"/>
      <c r="H124" s="211"/>
      <c r="I124" s="211"/>
      <c r="J124" s="211"/>
      <c r="K124" s="211"/>
    </row>
    <row r="125" spans="2:11" ht="13.5" customHeight="1" x14ac:dyDescent="0.25">
      <c r="B125" s="211"/>
      <c r="C125" s="211"/>
      <c r="D125" s="211"/>
      <c r="E125" s="211"/>
      <c r="F125" s="211"/>
      <c r="G125" s="211"/>
      <c r="H125" s="211"/>
      <c r="I125" s="211"/>
      <c r="J125" s="211"/>
      <c r="K125" s="211"/>
    </row>
  </sheetData>
  <mergeCells count="8">
    <mergeCell ref="A1:K1"/>
    <mergeCell ref="A3:A4"/>
    <mergeCell ref="B3:B5"/>
    <mergeCell ref="G3:G5"/>
    <mergeCell ref="D4:D5"/>
    <mergeCell ref="E4:E5"/>
    <mergeCell ref="I4:I5"/>
    <mergeCell ref="J4:J5"/>
  </mergeCells>
  <phoneticPr fontId="4" type="noConversion"/>
  <pageMargins left="0.75" right="0.75" top="1" bottom="1" header="0.5" footer="0.5"/>
  <pageSetup paperSize="9" scale="7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6EE3B-D028-4C96-8894-ACDF52C71321}">
  <dimension ref="A1:U100"/>
  <sheetViews>
    <sheetView view="pageBreakPreview" zoomScaleNormal="100" zoomScaleSheetLayoutView="100" workbookViewId="0">
      <selection activeCell="L36" sqref="L36"/>
    </sheetView>
  </sheetViews>
  <sheetFormatPr defaultRowHeight="13.5" x14ac:dyDescent="0.25"/>
  <cols>
    <col min="1" max="1" width="9.5" style="214" customWidth="1"/>
    <col min="2" max="2" width="10.875" style="214" bestFit="1" customWidth="1"/>
    <col min="3" max="3" width="10.5" style="214" bestFit="1" customWidth="1"/>
    <col min="4" max="5" width="9.75" style="214" customWidth="1"/>
    <col min="6" max="6" width="13.125" style="211" bestFit="1" customWidth="1"/>
    <col min="7" max="8" width="11.625" style="211" customWidth="1"/>
    <col min="9" max="9" width="1.625" style="214" customWidth="1"/>
    <col min="10" max="10" width="6.75" style="214" customWidth="1"/>
    <col min="11" max="257" width="9" style="214"/>
    <col min="258" max="258" width="9.5" style="214" customWidth="1"/>
    <col min="259" max="264" width="11.625" style="214" customWidth="1"/>
    <col min="265" max="265" width="1.625" style="214" customWidth="1"/>
    <col min="266" max="513" width="9" style="214"/>
    <col min="514" max="514" width="9.5" style="214" customWidth="1"/>
    <col min="515" max="520" width="11.625" style="214" customWidth="1"/>
    <col min="521" max="521" width="1.625" style="214" customWidth="1"/>
    <col min="522" max="769" width="9" style="214"/>
    <col min="770" max="770" width="9.5" style="214" customWidth="1"/>
    <col min="771" max="776" width="11.625" style="214" customWidth="1"/>
    <col min="777" max="777" width="1.625" style="214" customWidth="1"/>
    <col min="778" max="1025" width="9" style="214"/>
    <col min="1026" max="1026" width="9.5" style="214" customWidth="1"/>
    <col min="1027" max="1032" width="11.625" style="214" customWidth="1"/>
    <col min="1033" max="1033" width="1.625" style="214" customWidth="1"/>
    <col min="1034" max="1281" width="9" style="214"/>
    <col min="1282" max="1282" width="9.5" style="214" customWidth="1"/>
    <col min="1283" max="1288" width="11.625" style="214" customWidth="1"/>
    <col min="1289" max="1289" width="1.625" style="214" customWidth="1"/>
    <col min="1290" max="1537" width="9" style="214"/>
    <col min="1538" max="1538" width="9.5" style="214" customWidth="1"/>
    <col min="1539" max="1544" width="11.625" style="214" customWidth="1"/>
    <col min="1545" max="1545" width="1.625" style="214" customWidth="1"/>
    <col min="1546" max="1793" width="9" style="214"/>
    <col min="1794" max="1794" width="9.5" style="214" customWidth="1"/>
    <col min="1795" max="1800" width="11.625" style="214" customWidth="1"/>
    <col min="1801" max="1801" width="1.625" style="214" customWidth="1"/>
    <col min="1802" max="2049" width="9" style="214"/>
    <col min="2050" max="2050" width="9.5" style="214" customWidth="1"/>
    <col min="2051" max="2056" width="11.625" style="214" customWidth="1"/>
    <col min="2057" max="2057" width="1.625" style="214" customWidth="1"/>
    <col min="2058" max="2305" width="9" style="214"/>
    <col min="2306" max="2306" width="9.5" style="214" customWidth="1"/>
    <col min="2307" max="2312" width="11.625" style="214" customWidth="1"/>
    <col min="2313" max="2313" width="1.625" style="214" customWidth="1"/>
    <col min="2314" max="2561" width="9" style="214"/>
    <col min="2562" max="2562" width="9.5" style="214" customWidth="1"/>
    <col min="2563" max="2568" width="11.625" style="214" customWidth="1"/>
    <col min="2569" max="2569" width="1.625" style="214" customWidth="1"/>
    <col min="2570" max="2817" width="9" style="214"/>
    <col min="2818" max="2818" width="9.5" style="214" customWidth="1"/>
    <col min="2819" max="2824" width="11.625" style="214" customWidth="1"/>
    <col min="2825" max="2825" width="1.625" style="214" customWidth="1"/>
    <col min="2826" max="3073" width="9" style="214"/>
    <col min="3074" max="3074" width="9.5" style="214" customWidth="1"/>
    <col min="3075" max="3080" width="11.625" style="214" customWidth="1"/>
    <col min="3081" max="3081" width="1.625" style="214" customWidth="1"/>
    <col min="3082" max="3329" width="9" style="214"/>
    <col min="3330" max="3330" width="9.5" style="214" customWidth="1"/>
    <col min="3331" max="3336" width="11.625" style="214" customWidth="1"/>
    <col min="3337" max="3337" width="1.625" style="214" customWidth="1"/>
    <col min="3338" max="3585" width="9" style="214"/>
    <col min="3586" max="3586" width="9.5" style="214" customWidth="1"/>
    <col min="3587" max="3592" width="11.625" style="214" customWidth="1"/>
    <col min="3593" max="3593" width="1.625" style="214" customWidth="1"/>
    <col min="3594" max="3841" width="9" style="214"/>
    <col min="3842" max="3842" width="9.5" style="214" customWidth="1"/>
    <col min="3843" max="3848" width="11.625" style="214" customWidth="1"/>
    <col min="3849" max="3849" width="1.625" style="214" customWidth="1"/>
    <col min="3850" max="4097" width="9" style="214"/>
    <col min="4098" max="4098" width="9.5" style="214" customWidth="1"/>
    <col min="4099" max="4104" width="11.625" style="214" customWidth="1"/>
    <col min="4105" max="4105" width="1.625" style="214" customWidth="1"/>
    <col min="4106" max="4353" width="9" style="214"/>
    <col min="4354" max="4354" width="9.5" style="214" customWidth="1"/>
    <col min="4355" max="4360" width="11.625" style="214" customWidth="1"/>
    <col min="4361" max="4361" width="1.625" style="214" customWidth="1"/>
    <col min="4362" max="4609" width="9" style="214"/>
    <col min="4610" max="4610" width="9.5" style="214" customWidth="1"/>
    <col min="4611" max="4616" width="11.625" style="214" customWidth="1"/>
    <col min="4617" max="4617" width="1.625" style="214" customWidth="1"/>
    <col min="4618" max="4865" width="9" style="214"/>
    <col min="4866" max="4866" width="9.5" style="214" customWidth="1"/>
    <col min="4867" max="4872" width="11.625" style="214" customWidth="1"/>
    <col min="4873" max="4873" width="1.625" style="214" customWidth="1"/>
    <col min="4874" max="5121" width="9" style="214"/>
    <col min="5122" max="5122" width="9.5" style="214" customWidth="1"/>
    <col min="5123" max="5128" width="11.625" style="214" customWidth="1"/>
    <col min="5129" max="5129" width="1.625" style="214" customWidth="1"/>
    <col min="5130" max="5377" width="9" style="214"/>
    <col min="5378" max="5378" width="9.5" style="214" customWidth="1"/>
    <col min="5379" max="5384" width="11.625" style="214" customWidth="1"/>
    <col min="5385" max="5385" width="1.625" style="214" customWidth="1"/>
    <col min="5386" max="5633" width="9" style="214"/>
    <col min="5634" max="5634" width="9.5" style="214" customWidth="1"/>
    <col min="5635" max="5640" width="11.625" style="214" customWidth="1"/>
    <col min="5641" max="5641" width="1.625" style="214" customWidth="1"/>
    <col min="5642" max="5889" width="9" style="214"/>
    <col min="5890" max="5890" width="9.5" style="214" customWidth="1"/>
    <col min="5891" max="5896" width="11.625" style="214" customWidth="1"/>
    <col min="5897" max="5897" width="1.625" style="214" customWidth="1"/>
    <col min="5898" max="6145" width="9" style="214"/>
    <col min="6146" max="6146" width="9.5" style="214" customWidth="1"/>
    <col min="6147" max="6152" width="11.625" style="214" customWidth="1"/>
    <col min="6153" max="6153" width="1.625" style="214" customWidth="1"/>
    <col min="6154" max="6401" width="9" style="214"/>
    <col min="6402" max="6402" width="9.5" style="214" customWidth="1"/>
    <col min="6403" max="6408" width="11.625" style="214" customWidth="1"/>
    <col min="6409" max="6409" width="1.625" style="214" customWidth="1"/>
    <col min="6410" max="6657" width="9" style="214"/>
    <col min="6658" max="6658" width="9.5" style="214" customWidth="1"/>
    <col min="6659" max="6664" width="11.625" style="214" customWidth="1"/>
    <col min="6665" max="6665" width="1.625" style="214" customWidth="1"/>
    <col min="6666" max="6913" width="9" style="214"/>
    <col min="6914" max="6914" width="9.5" style="214" customWidth="1"/>
    <col min="6915" max="6920" width="11.625" style="214" customWidth="1"/>
    <col min="6921" max="6921" width="1.625" style="214" customWidth="1"/>
    <col min="6922" max="7169" width="9" style="214"/>
    <col min="7170" max="7170" width="9.5" style="214" customWidth="1"/>
    <col min="7171" max="7176" width="11.625" style="214" customWidth="1"/>
    <col min="7177" max="7177" width="1.625" style="214" customWidth="1"/>
    <col min="7178" max="7425" width="9" style="214"/>
    <col min="7426" max="7426" width="9.5" style="214" customWidth="1"/>
    <col min="7427" max="7432" width="11.625" style="214" customWidth="1"/>
    <col min="7433" max="7433" width="1.625" style="214" customWidth="1"/>
    <col min="7434" max="7681" width="9" style="214"/>
    <col min="7682" max="7682" width="9.5" style="214" customWidth="1"/>
    <col min="7683" max="7688" width="11.625" style="214" customWidth="1"/>
    <col min="7689" max="7689" width="1.625" style="214" customWidth="1"/>
    <col min="7690" max="7937" width="9" style="214"/>
    <col min="7938" max="7938" width="9.5" style="214" customWidth="1"/>
    <col min="7939" max="7944" width="11.625" style="214" customWidth="1"/>
    <col min="7945" max="7945" width="1.625" style="214" customWidth="1"/>
    <col min="7946" max="8193" width="9" style="214"/>
    <col min="8194" max="8194" width="9.5" style="214" customWidth="1"/>
    <col min="8195" max="8200" width="11.625" style="214" customWidth="1"/>
    <col min="8201" max="8201" width="1.625" style="214" customWidth="1"/>
    <col min="8202" max="8449" width="9" style="214"/>
    <col min="8450" max="8450" width="9.5" style="214" customWidth="1"/>
    <col min="8451" max="8456" width="11.625" style="214" customWidth="1"/>
    <col min="8457" max="8457" width="1.625" style="214" customWidth="1"/>
    <col min="8458" max="8705" width="9" style="214"/>
    <col min="8706" max="8706" width="9.5" style="214" customWidth="1"/>
    <col min="8707" max="8712" width="11.625" style="214" customWidth="1"/>
    <col min="8713" max="8713" width="1.625" style="214" customWidth="1"/>
    <col min="8714" max="8961" width="9" style="214"/>
    <col min="8962" max="8962" width="9.5" style="214" customWidth="1"/>
    <col min="8963" max="8968" width="11.625" style="214" customWidth="1"/>
    <col min="8969" max="8969" width="1.625" style="214" customWidth="1"/>
    <col min="8970" max="9217" width="9" style="214"/>
    <col min="9218" max="9218" width="9.5" style="214" customWidth="1"/>
    <col min="9219" max="9224" width="11.625" style="214" customWidth="1"/>
    <col min="9225" max="9225" width="1.625" style="214" customWidth="1"/>
    <col min="9226" max="9473" width="9" style="214"/>
    <col min="9474" max="9474" width="9.5" style="214" customWidth="1"/>
    <col min="9475" max="9480" width="11.625" style="214" customWidth="1"/>
    <col min="9481" max="9481" width="1.625" style="214" customWidth="1"/>
    <col min="9482" max="9729" width="9" style="214"/>
    <col min="9730" max="9730" width="9.5" style="214" customWidth="1"/>
    <col min="9731" max="9736" width="11.625" style="214" customWidth="1"/>
    <col min="9737" max="9737" width="1.625" style="214" customWidth="1"/>
    <col min="9738" max="9985" width="9" style="214"/>
    <col min="9986" max="9986" width="9.5" style="214" customWidth="1"/>
    <col min="9987" max="9992" width="11.625" style="214" customWidth="1"/>
    <col min="9993" max="9993" width="1.625" style="214" customWidth="1"/>
    <col min="9994" max="10241" width="9" style="214"/>
    <col min="10242" max="10242" width="9.5" style="214" customWidth="1"/>
    <col min="10243" max="10248" width="11.625" style="214" customWidth="1"/>
    <col min="10249" max="10249" width="1.625" style="214" customWidth="1"/>
    <col min="10250" max="10497" width="9" style="214"/>
    <col min="10498" max="10498" width="9.5" style="214" customWidth="1"/>
    <col min="10499" max="10504" width="11.625" style="214" customWidth="1"/>
    <col min="10505" max="10505" width="1.625" style="214" customWidth="1"/>
    <col min="10506" max="10753" width="9" style="214"/>
    <col min="10754" max="10754" width="9.5" style="214" customWidth="1"/>
    <col min="10755" max="10760" width="11.625" style="214" customWidth="1"/>
    <col min="10761" max="10761" width="1.625" style="214" customWidth="1"/>
    <col min="10762" max="11009" width="9" style="214"/>
    <col min="11010" max="11010" width="9.5" style="214" customWidth="1"/>
    <col min="11011" max="11016" width="11.625" style="214" customWidth="1"/>
    <col min="11017" max="11017" width="1.625" style="214" customWidth="1"/>
    <col min="11018" max="11265" width="9" style="214"/>
    <col min="11266" max="11266" width="9.5" style="214" customWidth="1"/>
    <col min="11267" max="11272" width="11.625" style="214" customWidth="1"/>
    <col min="11273" max="11273" width="1.625" style="214" customWidth="1"/>
    <col min="11274" max="11521" width="9" style="214"/>
    <col min="11522" max="11522" width="9.5" style="214" customWidth="1"/>
    <col min="11523" max="11528" width="11.625" style="214" customWidth="1"/>
    <col min="11529" max="11529" width="1.625" style="214" customWidth="1"/>
    <col min="11530" max="11777" width="9" style="214"/>
    <col min="11778" max="11778" width="9.5" style="214" customWidth="1"/>
    <col min="11779" max="11784" width="11.625" style="214" customWidth="1"/>
    <col min="11785" max="11785" width="1.625" style="214" customWidth="1"/>
    <col min="11786" max="12033" width="9" style="214"/>
    <col min="12034" max="12034" width="9.5" style="214" customWidth="1"/>
    <col min="12035" max="12040" width="11.625" style="214" customWidth="1"/>
    <col min="12041" max="12041" width="1.625" style="214" customWidth="1"/>
    <col min="12042" max="12289" width="9" style="214"/>
    <col min="12290" max="12290" width="9.5" style="214" customWidth="1"/>
    <col min="12291" max="12296" width="11.625" style="214" customWidth="1"/>
    <col min="12297" max="12297" width="1.625" style="214" customWidth="1"/>
    <col min="12298" max="12545" width="9" style="214"/>
    <col min="12546" max="12546" width="9.5" style="214" customWidth="1"/>
    <col min="12547" max="12552" width="11.625" style="214" customWidth="1"/>
    <col min="12553" max="12553" width="1.625" style="214" customWidth="1"/>
    <col min="12554" max="12801" width="9" style="214"/>
    <col min="12802" max="12802" width="9.5" style="214" customWidth="1"/>
    <col min="12803" max="12808" width="11.625" style="214" customWidth="1"/>
    <col min="12809" max="12809" width="1.625" style="214" customWidth="1"/>
    <col min="12810" max="13057" width="9" style="214"/>
    <col min="13058" max="13058" width="9.5" style="214" customWidth="1"/>
    <col min="13059" max="13064" width="11.625" style="214" customWidth="1"/>
    <col min="13065" max="13065" width="1.625" style="214" customWidth="1"/>
    <col min="13066" max="13313" width="9" style="214"/>
    <col min="13314" max="13314" width="9.5" style="214" customWidth="1"/>
    <col min="13315" max="13320" width="11.625" style="214" customWidth="1"/>
    <col min="13321" max="13321" width="1.625" style="214" customWidth="1"/>
    <col min="13322" max="13569" width="9" style="214"/>
    <col min="13570" max="13570" width="9.5" style="214" customWidth="1"/>
    <col min="13571" max="13576" width="11.625" style="214" customWidth="1"/>
    <col min="13577" max="13577" width="1.625" style="214" customWidth="1"/>
    <col min="13578" max="13825" width="9" style="214"/>
    <col min="13826" max="13826" width="9.5" style="214" customWidth="1"/>
    <col min="13827" max="13832" width="11.625" style="214" customWidth="1"/>
    <col min="13833" max="13833" width="1.625" style="214" customWidth="1"/>
    <col min="13834" max="14081" width="9" style="214"/>
    <col min="14082" max="14082" width="9.5" style="214" customWidth="1"/>
    <col min="14083" max="14088" width="11.625" style="214" customWidth="1"/>
    <col min="14089" max="14089" width="1.625" style="214" customWidth="1"/>
    <col min="14090" max="14337" width="9" style="214"/>
    <col min="14338" max="14338" width="9.5" style="214" customWidth="1"/>
    <col min="14339" max="14344" width="11.625" style="214" customWidth="1"/>
    <col min="14345" max="14345" width="1.625" style="214" customWidth="1"/>
    <col min="14346" max="14593" width="9" style="214"/>
    <col min="14594" max="14594" width="9.5" style="214" customWidth="1"/>
    <col min="14595" max="14600" width="11.625" style="214" customWidth="1"/>
    <col min="14601" max="14601" width="1.625" style="214" customWidth="1"/>
    <col min="14602" max="14849" width="9" style="214"/>
    <col min="14850" max="14850" width="9.5" style="214" customWidth="1"/>
    <col min="14851" max="14856" width="11.625" style="214" customWidth="1"/>
    <col min="14857" max="14857" width="1.625" style="214" customWidth="1"/>
    <col min="14858" max="15105" width="9" style="214"/>
    <col min="15106" max="15106" width="9.5" style="214" customWidth="1"/>
    <col min="15107" max="15112" width="11.625" style="214" customWidth="1"/>
    <col min="15113" max="15113" width="1.625" style="214" customWidth="1"/>
    <col min="15114" max="15361" width="9" style="214"/>
    <col min="15362" max="15362" width="9.5" style="214" customWidth="1"/>
    <col min="15363" max="15368" width="11.625" style="214" customWidth="1"/>
    <col min="15369" max="15369" width="1.625" style="214" customWidth="1"/>
    <col min="15370" max="15617" width="9" style="214"/>
    <col min="15618" max="15618" width="9.5" style="214" customWidth="1"/>
    <col min="15619" max="15624" width="11.625" style="214" customWidth="1"/>
    <col min="15625" max="15625" width="1.625" style="214" customWidth="1"/>
    <col min="15626" max="15873" width="9" style="214"/>
    <col min="15874" max="15874" width="9.5" style="214" customWidth="1"/>
    <col min="15875" max="15880" width="11.625" style="214" customWidth="1"/>
    <col min="15881" max="15881" width="1.625" style="214" customWidth="1"/>
    <col min="15882" max="16129" width="9" style="214"/>
    <col min="16130" max="16130" width="9.5" style="214" customWidth="1"/>
    <col min="16131" max="16136" width="11.625" style="214" customWidth="1"/>
    <col min="16137" max="16137" width="1.625" style="214" customWidth="1"/>
    <col min="16138" max="16384" width="9" style="214"/>
  </cols>
  <sheetData>
    <row r="1" spans="1:8" s="226" customFormat="1" ht="14.45" customHeight="1" x14ac:dyDescent="0.3">
      <c r="A1" s="453" t="s">
        <v>261</v>
      </c>
      <c r="B1" s="453"/>
      <c r="C1" s="453"/>
      <c r="D1" s="453"/>
      <c r="E1" s="453"/>
      <c r="F1" s="453"/>
      <c r="G1" s="453"/>
      <c r="H1" s="453"/>
    </row>
    <row r="2" spans="1:8" s="226" customFormat="1" ht="12" customHeight="1" x14ac:dyDescent="0.3">
      <c r="A2" s="130" t="s">
        <v>206</v>
      </c>
      <c r="B2" s="227"/>
      <c r="C2" s="227"/>
      <c r="D2" s="227"/>
      <c r="E2" s="227"/>
      <c r="F2" s="228"/>
      <c r="G2" s="228"/>
      <c r="H2" s="131" t="s">
        <v>262</v>
      </c>
    </row>
    <row r="3" spans="1:8" ht="14.25" customHeight="1" x14ac:dyDescent="0.3">
      <c r="A3" s="426" t="s">
        <v>221</v>
      </c>
      <c r="B3" s="460" t="s">
        <v>263</v>
      </c>
      <c r="C3" s="229"/>
      <c r="D3" s="229"/>
      <c r="E3" s="229"/>
      <c r="F3" s="462" t="s">
        <v>264</v>
      </c>
      <c r="G3" s="230"/>
      <c r="H3" s="163"/>
    </row>
    <row r="4" spans="1:8" ht="13.5" customHeight="1" x14ac:dyDescent="0.3">
      <c r="A4" s="427"/>
      <c r="B4" s="434"/>
      <c r="C4" s="460" t="s">
        <v>265</v>
      </c>
      <c r="D4" s="465"/>
      <c r="E4" s="430"/>
      <c r="F4" s="463"/>
      <c r="G4" s="231" t="s">
        <v>266</v>
      </c>
      <c r="H4" s="231" t="s">
        <v>267</v>
      </c>
    </row>
    <row r="5" spans="1:8" ht="16.5" customHeight="1" x14ac:dyDescent="0.3">
      <c r="A5" s="164"/>
      <c r="B5" s="461"/>
      <c r="C5" s="461"/>
      <c r="D5" s="232" t="s">
        <v>268</v>
      </c>
      <c r="E5" s="233" t="s">
        <v>269</v>
      </c>
      <c r="F5" s="464"/>
      <c r="G5" s="234"/>
      <c r="H5" s="164"/>
    </row>
    <row r="6" spans="1:8" s="144" customFormat="1" ht="13.5" customHeight="1" x14ac:dyDescent="0.3">
      <c r="A6" s="172"/>
      <c r="B6" s="235"/>
      <c r="C6" s="235"/>
      <c r="D6" s="235"/>
      <c r="E6" s="235"/>
      <c r="F6" s="236"/>
      <c r="G6" s="236"/>
      <c r="H6" s="236"/>
    </row>
    <row r="7" spans="1:8" s="144" customFormat="1" ht="13.5" customHeight="1" x14ac:dyDescent="0.3">
      <c r="A7" s="171">
        <v>40909</v>
      </c>
      <c r="B7" s="206">
        <v>919.88333333333333</v>
      </c>
      <c r="C7" s="206">
        <v>564.30833333333328</v>
      </c>
      <c r="D7" s="206">
        <v>549.70000000000005</v>
      </c>
      <c r="E7" s="206">
        <v>14.633333333333301</v>
      </c>
      <c r="F7" s="237">
        <v>61.341666666666697</v>
      </c>
      <c r="G7" s="237">
        <v>59.758333333333297</v>
      </c>
      <c r="H7" s="237">
        <v>2.5833333333333002</v>
      </c>
    </row>
    <row r="8" spans="1:8" s="144" customFormat="1" ht="13.5" customHeight="1" x14ac:dyDescent="0.3">
      <c r="A8" s="171">
        <f>DATE(YEAR(A7)+1,MONTH(A7),1)</f>
        <v>41275</v>
      </c>
      <c r="B8" s="206">
        <v>937.55</v>
      </c>
      <c r="C8" s="206">
        <v>565.6583333333333</v>
      </c>
      <c r="D8" s="206">
        <v>553.55833333333328</v>
      </c>
      <c r="E8" s="206">
        <v>12.1</v>
      </c>
      <c r="F8" s="237">
        <v>60.341666666666697</v>
      </c>
      <c r="G8" s="237">
        <v>59.0416666666667</v>
      </c>
      <c r="H8" s="237">
        <v>2.1333333333333</v>
      </c>
    </row>
    <row r="9" spans="1:8" s="144" customFormat="1" ht="13.5" customHeight="1" x14ac:dyDescent="0.3">
      <c r="A9" s="171">
        <f t="shared" ref="A9:A20" si="0">DATE(YEAR(A8)+1,MONTH(A8),1)</f>
        <v>41640</v>
      </c>
      <c r="B9" s="206">
        <v>954.94166666666672</v>
      </c>
      <c r="C9" s="206">
        <v>571.9083333333333</v>
      </c>
      <c r="D9" s="206">
        <v>556.29999999999995</v>
      </c>
      <c r="E9" s="206">
        <v>15.6</v>
      </c>
      <c r="F9" s="237">
        <v>59.883333333333297</v>
      </c>
      <c r="G9" s="237">
        <v>58.266666666666701</v>
      </c>
      <c r="H9" s="237">
        <v>2.7250000000000001</v>
      </c>
    </row>
    <row r="10" spans="1:8" s="144" customFormat="1" ht="13.5" customHeight="1" x14ac:dyDescent="0.3">
      <c r="A10" s="171">
        <f t="shared" si="0"/>
        <v>42005</v>
      </c>
      <c r="B10" s="206">
        <v>969.9666666666667</v>
      </c>
      <c r="C10" s="206">
        <v>589.6</v>
      </c>
      <c r="D10" s="206">
        <v>572.55833333333328</v>
      </c>
      <c r="E10" s="206">
        <v>17.066666666666698</v>
      </c>
      <c r="F10" s="237">
        <v>60.7916666666667</v>
      </c>
      <c r="G10" s="237">
        <v>59.033333333333303</v>
      </c>
      <c r="H10" s="237">
        <v>2.9</v>
      </c>
    </row>
    <row r="11" spans="1:8" s="144" customFormat="1" ht="13.5" customHeight="1" x14ac:dyDescent="0.3">
      <c r="A11" s="171">
        <f t="shared" si="0"/>
        <v>42370</v>
      </c>
      <c r="B11" s="206">
        <v>976.1583333333333</v>
      </c>
      <c r="C11" s="206">
        <v>598.45000000000005</v>
      </c>
      <c r="D11" s="206">
        <v>575.625</v>
      </c>
      <c r="E11" s="206">
        <v>22.824999999999999</v>
      </c>
      <c r="F11" s="237">
        <v>61.308333333333302</v>
      </c>
      <c r="G11" s="237">
        <v>58.975000000000001</v>
      </c>
      <c r="H11" s="237">
        <v>3.8083333333332998</v>
      </c>
    </row>
    <row r="12" spans="1:8" s="144" customFormat="1" ht="13.5" customHeight="1" x14ac:dyDescent="0.3">
      <c r="A12" s="171">
        <f t="shared" si="0"/>
        <v>42736</v>
      </c>
      <c r="B12" s="206">
        <v>976.4</v>
      </c>
      <c r="C12" s="206">
        <v>604.74166666666667</v>
      </c>
      <c r="D12" s="206">
        <v>583.48333333333335</v>
      </c>
      <c r="E12" s="206">
        <v>21.241666666666699</v>
      </c>
      <c r="F12" s="237">
        <v>61.941666666666698</v>
      </c>
      <c r="G12" s="237">
        <v>59.75</v>
      </c>
      <c r="H12" s="237">
        <v>3.5</v>
      </c>
    </row>
    <row r="13" spans="1:8" s="144" customFormat="1" ht="13.5" customHeight="1" x14ac:dyDescent="0.3">
      <c r="A13" s="171">
        <f t="shared" si="0"/>
        <v>43101</v>
      </c>
      <c r="B13" s="206">
        <v>972.70833333333326</v>
      </c>
      <c r="C13" s="206">
        <v>601.61666666666667</v>
      </c>
      <c r="D13" s="206">
        <v>574.06666666666672</v>
      </c>
      <c r="E13" s="206">
        <v>27.55</v>
      </c>
      <c r="F13" s="237">
        <v>61.841666666666697</v>
      </c>
      <c r="G13" s="237">
        <v>59.024999999999999</v>
      </c>
      <c r="H13" s="237">
        <v>4.5833333333333002</v>
      </c>
    </row>
    <row r="14" spans="1:8" ht="13.5" customHeight="1" x14ac:dyDescent="0.3">
      <c r="A14" s="171">
        <f t="shared" si="0"/>
        <v>43466</v>
      </c>
      <c r="B14" s="206">
        <v>966.5333333333333</v>
      </c>
      <c r="C14" s="206">
        <v>596.17499999999995</v>
      </c>
      <c r="D14" s="206">
        <v>571.27499999999998</v>
      </c>
      <c r="E14" s="206">
        <v>24.925000000000001</v>
      </c>
      <c r="F14" s="237">
        <v>61.683333333333302</v>
      </c>
      <c r="G14" s="237">
        <v>59.116666666666703</v>
      </c>
      <c r="H14" s="237">
        <v>4.1916666666667002</v>
      </c>
    </row>
    <row r="15" spans="1:8" ht="13.5" customHeight="1" x14ac:dyDescent="0.3">
      <c r="A15" s="171">
        <f t="shared" si="0"/>
        <v>43831</v>
      </c>
      <c r="B15" s="206">
        <v>964.4</v>
      </c>
      <c r="C15" s="206">
        <v>585.10833333333335</v>
      </c>
      <c r="D15" s="206">
        <v>560.2833333333333</v>
      </c>
      <c r="E15" s="206">
        <v>24.808333333333302</v>
      </c>
      <c r="F15" s="237">
        <v>60.674999999999997</v>
      </c>
      <c r="G15" s="237">
        <v>58.091666666666697</v>
      </c>
      <c r="H15" s="237">
        <v>4.2333333333332996</v>
      </c>
    </row>
    <row r="16" spans="1:8" ht="13.5" customHeight="1" x14ac:dyDescent="0.3">
      <c r="A16" s="171">
        <f t="shared" si="0"/>
        <v>44197</v>
      </c>
      <c r="B16" s="206">
        <v>961.47500000000002</v>
      </c>
      <c r="C16" s="206">
        <v>575.25833333333333</v>
      </c>
      <c r="D16" s="206">
        <v>554.72500000000002</v>
      </c>
      <c r="E16" s="206">
        <v>20.558333333333302</v>
      </c>
      <c r="F16" s="237">
        <v>59.8333333333333</v>
      </c>
      <c r="G16" s="237">
        <v>57.691666666666698</v>
      </c>
      <c r="H16" s="237">
        <v>3.5750000000000002</v>
      </c>
    </row>
    <row r="17" spans="1:8" ht="13.5" customHeight="1" x14ac:dyDescent="0.3">
      <c r="A17" s="171">
        <f t="shared" si="0"/>
        <v>44562</v>
      </c>
      <c r="B17" s="206">
        <v>956.16666666666674</v>
      </c>
      <c r="C17" s="206">
        <v>584.44166666666672</v>
      </c>
      <c r="D17" s="206">
        <v>565.69166666666672</v>
      </c>
      <c r="E17" s="206">
        <v>18.733333333333299</v>
      </c>
      <c r="F17" s="237">
        <v>61.116666666666703</v>
      </c>
      <c r="G17" s="237">
        <v>59.15</v>
      </c>
      <c r="H17" s="237">
        <v>3.2166666666667001</v>
      </c>
    </row>
    <row r="18" spans="1:8" ht="13.5" customHeight="1" x14ac:dyDescent="0.3">
      <c r="A18" s="171">
        <f t="shared" si="0"/>
        <v>44927</v>
      </c>
      <c r="B18" s="206">
        <v>956.4666666666667</v>
      </c>
      <c r="C18" s="206">
        <v>591.80833333333328</v>
      </c>
      <c r="D18" s="206">
        <v>571.4666666666667</v>
      </c>
      <c r="E18" s="206">
        <v>20.3333333333333</v>
      </c>
      <c r="F18" s="237">
        <v>61.883333333333297</v>
      </c>
      <c r="G18" s="237">
        <v>59.766666666666701</v>
      </c>
      <c r="H18" s="237">
        <v>3.4249999999999998</v>
      </c>
    </row>
    <row r="19" spans="1:8" ht="13.5" customHeight="1" x14ac:dyDescent="0.3">
      <c r="A19" s="171">
        <f t="shared" si="0"/>
        <v>45292</v>
      </c>
      <c r="B19" s="206">
        <v>956.47500000000002</v>
      </c>
      <c r="C19" s="206">
        <v>594.22500000000002</v>
      </c>
      <c r="D19" s="206">
        <v>572.20833333333326</v>
      </c>
      <c r="E19" s="206">
        <v>22</v>
      </c>
      <c r="F19" s="237">
        <v>62.133333333333297</v>
      </c>
      <c r="G19" s="237">
        <v>59.825000000000003</v>
      </c>
      <c r="H19" s="237">
        <v>3.7</v>
      </c>
    </row>
    <row r="20" spans="1:8" ht="13.5" customHeight="1" x14ac:dyDescent="0.3">
      <c r="A20" s="171">
        <f t="shared" si="0"/>
        <v>45658</v>
      </c>
      <c r="B20" s="206">
        <v>960.75</v>
      </c>
      <c r="C20" s="206">
        <v>588.60833333333335</v>
      </c>
      <c r="D20" s="206">
        <v>574.9666666666667</v>
      </c>
      <c r="E20" s="206">
        <v>13.633333333333301</v>
      </c>
      <c r="F20" s="237">
        <v>61.266666666666701</v>
      </c>
      <c r="G20" s="237">
        <v>59.8333333333333</v>
      </c>
      <c r="H20" s="237">
        <v>2.3333333333333002</v>
      </c>
    </row>
    <row r="21" spans="1:8" ht="13.5" customHeight="1" x14ac:dyDescent="0.3">
      <c r="A21" s="172"/>
      <c r="B21" s="238"/>
      <c r="C21" s="238"/>
      <c r="D21" s="238"/>
      <c r="E21" s="238"/>
      <c r="F21" s="239"/>
      <c r="G21" s="239"/>
      <c r="H21" s="239"/>
    </row>
    <row r="22" spans="1:8" ht="13.5" customHeight="1" x14ac:dyDescent="0.3">
      <c r="A22" s="175">
        <f>DATE(YEAR(표지!O1)-2,MONTH(표지!O1)-1,1)</f>
        <v>45352</v>
      </c>
      <c r="B22" s="206">
        <v>956.1</v>
      </c>
      <c r="C22" s="206">
        <v>586.6</v>
      </c>
      <c r="D22" s="206">
        <v>561.4</v>
      </c>
      <c r="E22" s="206">
        <v>25.2</v>
      </c>
      <c r="F22" s="237">
        <v>61.4</v>
      </c>
      <c r="G22" s="237">
        <v>58.7</v>
      </c>
      <c r="H22" s="237">
        <v>4.3</v>
      </c>
    </row>
    <row r="23" spans="1:8" ht="13.5" customHeight="1" x14ac:dyDescent="0.3">
      <c r="A23" s="176">
        <f t="shared" ref="A23:A31" si="1">DATE(YEAR(A22),MONTH(A22)+1,1)</f>
        <v>45383</v>
      </c>
      <c r="B23" s="206">
        <v>956.1</v>
      </c>
      <c r="C23" s="206">
        <v>592.79999999999995</v>
      </c>
      <c r="D23" s="206">
        <v>570.70000000000005</v>
      </c>
      <c r="E23" s="206">
        <v>22.1</v>
      </c>
      <c r="F23" s="237">
        <v>62</v>
      </c>
      <c r="G23" s="237">
        <v>59.7</v>
      </c>
      <c r="H23" s="237">
        <v>3.7</v>
      </c>
    </row>
    <row r="24" spans="1:8" ht="13.5" customHeight="1" x14ac:dyDescent="0.3">
      <c r="A24" s="176">
        <f t="shared" si="1"/>
        <v>45413</v>
      </c>
      <c r="B24" s="206">
        <v>956</v>
      </c>
      <c r="C24" s="206">
        <v>607.9</v>
      </c>
      <c r="D24" s="206">
        <v>584.79999999999995</v>
      </c>
      <c r="E24" s="206">
        <v>23.1</v>
      </c>
      <c r="F24" s="237">
        <v>63.6</v>
      </c>
      <c r="G24" s="237">
        <v>61.2</v>
      </c>
      <c r="H24" s="237">
        <v>3.8</v>
      </c>
    </row>
    <row r="25" spans="1:8" ht="13.5" customHeight="1" x14ac:dyDescent="0.3">
      <c r="A25" s="176">
        <f t="shared" si="1"/>
        <v>45444</v>
      </c>
      <c r="B25" s="206">
        <v>956</v>
      </c>
      <c r="C25" s="206">
        <v>598.9</v>
      </c>
      <c r="D25" s="206">
        <v>577.4</v>
      </c>
      <c r="E25" s="206">
        <v>21.5</v>
      </c>
      <c r="F25" s="237">
        <v>62.6</v>
      </c>
      <c r="G25" s="237">
        <v>60.4</v>
      </c>
      <c r="H25" s="237">
        <v>3.6</v>
      </c>
    </row>
    <row r="26" spans="1:8" ht="13.5" customHeight="1" x14ac:dyDescent="0.3">
      <c r="A26" s="176">
        <f t="shared" si="1"/>
        <v>45474</v>
      </c>
      <c r="B26" s="206">
        <v>956.6</v>
      </c>
      <c r="C26" s="206">
        <v>597.6</v>
      </c>
      <c r="D26" s="206">
        <v>574.20000000000005</v>
      </c>
      <c r="E26" s="206">
        <v>23.3</v>
      </c>
      <c r="F26" s="237">
        <v>62.5</v>
      </c>
      <c r="G26" s="237">
        <v>60</v>
      </c>
      <c r="H26" s="237">
        <v>3.9</v>
      </c>
    </row>
    <row r="27" spans="1:8" ht="13.5" customHeight="1" x14ac:dyDescent="0.3">
      <c r="A27" s="176">
        <f t="shared" si="1"/>
        <v>45505</v>
      </c>
      <c r="B27" s="206">
        <v>956.4</v>
      </c>
      <c r="C27" s="206">
        <v>590.29999999999995</v>
      </c>
      <c r="D27" s="206">
        <v>573.70000000000005</v>
      </c>
      <c r="E27" s="206">
        <v>16.600000000000001</v>
      </c>
      <c r="F27" s="237">
        <v>61.7</v>
      </c>
      <c r="G27" s="237">
        <v>60</v>
      </c>
      <c r="H27" s="237">
        <v>2.8</v>
      </c>
    </row>
    <row r="28" spans="1:8" ht="9.75" customHeight="1" x14ac:dyDescent="0.3">
      <c r="A28" s="176">
        <f t="shared" si="1"/>
        <v>45536</v>
      </c>
      <c r="B28" s="206">
        <v>956.6</v>
      </c>
      <c r="C28" s="206">
        <v>600.5</v>
      </c>
      <c r="D28" s="206">
        <v>578.9</v>
      </c>
      <c r="E28" s="206">
        <v>21.6</v>
      </c>
      <c r="F28" s="237">
        <v>62.8</v>
      </c>
      <c r="G28" s="237">
        <v>60.5</v>
      </c>
      <c r="H28" s="237">
        <v>3.6</v>
      </c>
    </row>
    <row r="29" spans="1:8" ht="13.5" customHeight="1" x14ac:dyDescent="0.3">
      <c r="A29" s="176">
        <f t="shared" si="1"/>
        <v>45566</v>
      </c>
      <c r="B29" s="206">
        <v>956.9</v>
      </c>
      <c r="C29" s="206">
        <v>598</v>
      </c>
      <c r="D29" s="206">
        <v>579.9</v>
      </c>
      <c r="E29" s="206">
        <v>18.100000000000001</v>
      </c>
      <c r="F29" s="237">
        <v>62.5</v>
      </c>
      <c r="G29" s="237">
        <v>60.6</v>
      </c>
      <c r="H29" s="237">
        <v>3</v>
      </c>
    </row>
    <row r="30" spans="1:8" ht="13.5" customHeight="1" x14ac:dyDescent="0.3">
      <c r="A30" s="176">
        <f t="shared" si="1"/>
        <v>45597</v>
      </c>
      <c r="B30" s="206">
        <v>957.2</v>
      </c>
      <c r="C30" s="206">
        <v>594.29999999999995</v>
      </c>
      <c r="D30" s="206">
        <v>578.70000000000005</v>
      </c>
      <c r="E30" s="206">
        <v>15.5</v>
      </c>
      <c r="F30" s="237">
        <v>62.1</v>
      </c>
      <c r="G30" s="237">
        <v>60.5</v>
      </c>
      <c r="H30" s="237">
        <v>2.6</v>
      </c>
    </row>
    <row r="31" spans="1:8" ht="13.5" customHeight="1" x14ac:dyDescent="0.3">
      <c r="A31" s="176">
        <f t="shared" si="1"/>
        <v>45627</v>
      </c>
      <c r="B31" s="206">
        <v>957.6</v>
      </c>
      <c r="C31" s="206">
        <v>592.70000000000005</v>
      </c>
      <c r="D31" s="206">
        <v>567.20000000000005</v>
      </c>
      <c r="E31" s="206">
        <v>25.5</v>
      </c>
      <c r="F31" s="237">
        <v>61.9</v>
      </c>
      <c r="G31" s="237">
        <v>59.2</v>
      </c>
      <c r="H31" s="237">
        <v>4.3</v>
      </c>
    </row>
    <row r="32" spans="1:8" ht="13.5" customHeight="1" x14ac:dyDescent="0.3">
      <c r="A32" s="176"/>
      <c r="B32" s="206"/>
      <c r="C32" s="206"/>
      <c r="D32" s="206"/>
      <c r="E32" s="206"/>
      <c r="F32" s="237"/>
      <c r="G32" s="237"/>
      <c r="H32" s="237"/>
    </row>
    <row r="33" spans="1:9" ht="13.5" customHeight="1" x14ac:dyDescent="0.3">
      <c r="A33" s="175">
        <f>DATE(YEAR(A31),MONTH(A31)+1,1)</f>
        <v>45658</v>
      </c>
      <c r="B33" s="206">
        <v>958.4</v>
      </c>
      <c r="C33" s="206">
        <v>582</v>
      </c>
      <c r="D33" s="206">
        <v>564.29999999999995</v>
      </c>
      <c r="E33" s="206">
        <v>17.8</v>
      </c>
      <c r="F33" s="237">
        <v>60.7</v>
      </c>
      <c r="G33" s="237">
        <v>58.9</v>
      </c>
      <c r="H33" s="237">
        <v>3.1</v>
      </c>
    </row>
    <row r="34" spans="1:9" ht="13.5" customHeight="1" x14ac:dyDescent="0.3">
      <c r="A34" s="176">
        <f t="shared" ref="A34:A44" si="2">DATE(YEAR(A33),MONTH(A33)+1,1)</f>
        <v>45689</v>
      </c>
      <c r="B34" s="206">
        <v>959.1</v>
      </c>
      <c r="C34" s="206">
        <v>587.1</v>
      </c>
      <c r="D34" s="206">
        <v>573.79999999999995</v>
      </c>
      <c r="E34" s="206">
        <v>13.2</v>
      </c>
      <c r="F34" s="237">
        <v>61.2</v>
      </c>
      <c r="G34" s="237">
        <v>59.8</v>
      </c>
      <c r="H34" s="237">
        <v>2.2000000000000002</v>
      </c>
    </row>
    <row r="35" spans="1:9" ht="13.5" customHeight="1" x14ac:dyDescent="0.3">
      <c r="A35" s="176">
        <f t="shared" si="2"/>
        <v>45717</v>
      </c>
      <c r="B35" s="206">
        <v>959.7</v>
      </c>
      <c r="C35" s="206">
        <v>583.4</v>
      </c>
      <c r="D35" s="206">
        <v>569.5</v>
      </c>
      <c r="E35" s="206">
        <v>13.9</v>
      </c>
      <c r="F35" s="237">
        <v>60.8</v>
      </c>
      <c r="G35" s="237">
        <v>59.3</v>
      </c>
      <c r="H35" s="237">
        <v>2.4</v>
      </c>
    </row>
    <row r="36" spans="1:9" ht="13.5" customHeight="1" x14ac:dyDescent="0.3">
      <c r="A36" s="176">
        <f t="shared" si="2"/>
        <v>45748</v>
      </c>
      <c r="B36" s="206">
        <v>960.2</v>
      </c>
      <c r="C36" s="206">
        <v>595.20000000000005</v>
      </c>
      <c r="D36" s="206">
        <v>581</v>
      </c>
      <c r="E36" s="206">
        <v>14.1</v>
      </c>
      <c r="F36" s="237">
        <v>62</v>
      </c>
      <c r="G36" s="237">
        <v>60.5</v>
      </c>
      <c r="H36" s="237">
        <v>2.4</v>
      </c>
    </row>
    <row r="37" spans="1:9" ht="13.5" customHeight="1" x14ac:dyDescent="0.3">
      <c r="A37" s="176">
        <f t="shared" si="2"/>
        <v>45778</v>
      </c>
      <c r="B37" s="206">
        <v>960.8</v>
      </c>
      <c r="C37" s="206">
        <v>596</v>
      </c>
      <c r="D37" s="206">
        <v>580.79999999999995</v>
      </c>
      <c r="E37" s="206">
        <v>15.3</v>
      </c>
      <c r="F37" s="237">
        <v>62</v>
      </c>
      <c r="G37" s="237">
        <v>60.4</v>
      </c>
      <c r="H37" s="237">
        <v>2.6</v>
      </c>
    </row>
    <row r="38" spans="1:9" ht="13.5" customHeight="1" x14ac:dyDescent="0.3">
      <c r="A38" s="176">
        <f t="shared" si="2"/>
        <v>45809</v>
      </c>
      <c r="B38" s="206">
        <v>961.3</v>
      </c>
      <c r="C38" s="206">
        <v>598.1</v>
      </c>
      <c r="D38" s="206">
        <v>585.70000000000005</v>
      </c>
      <c r="E38" s="206">
        <v>12.3</v>
      </c>
      <c r="F38" s="237">
        <v>62.2</v>
      </c>
      <c r="G38" s="237">
        <v>60.9</v>
      </c>
      <c r="H38" s="237">
        <v>2.1</v>
      </c>
    </row>
    <row r="39" spans="1:9" ht="13.5" customHeight="1" x14ac:dyDescent="0.3">
      <c r="A39" s="176">
        <f t="shared" si="2"/>
        <v>45839</v>
      </c>
      <c r="B39" s="206">
        <v>961.3</v>
      </c>
      <c r="C39" s="206">
        <v>595.70000000000005</v>
      </c>
      <c r="D39" s="206">
        <v>584.70000000000005</v>
      </c>
      <c r="E39" s="206">
        <v>11</v>
      </c>
      <c r="F39" s="237">
        <v>62</v>
      </c>
      <c r="G39" s="237">
        <v>60.8</v>
      </c>
      <c r="H39" s="237">
        <v>1.8</v>
      </c>
    </row>
    <row r="40" spans="1:9" ht="13.5" customHeight="1" x14ac:dyDescent="0.3">
      <c r="A40" s="176">
        <f t="shared" si="2"/>
        <v>45870</v>
      </c>
      <c r="B40" s="206">
        <v>961.4</v>
      </c>
      <c r="C40" s="206">
        <v>583.5</v>
      </c>
      <c r="D40" s="206">
        <v>574.9</v>
      </c>
      <c r="E40" s="206">
        <v>8.6</v>
      </c>
      <c r="F40" s="237">
        <v>60.7</v>
      </c>
      <c r="G40" s="237">
        <v>59.8</v>
      </c>
      <c r="H40" s="237">
        <v>1.5</v>
      </c>
    </row>
    <row r="41" spans="1:9" ht="13.5" customHeight="1" x14ac:dyDescent="0.3">
      <c r="A41" s="176">
        <f t="shared" si="2"/>
        <v>45901</v>
      </c>
      <c r="B41" s="206">
        <v>961.4</v>
      </c>
      <c r="C41" s="206">
        <v>587.4</v>
      </c>
      <c r="D41" s="206">
        <v>577.6</v>
      </c>
      <c r="E41" s="206">
        <v>9.8000000000000007</v>
      </c>
      <c r="F41" s="237">
        <v>61.1</v>
      </c>
      <c r="G41" s="237">
        <v>60.1</v>
      </c>
      <c r="H41" s="237">
        <v>1.7</v>
      </c>
    </row>
    <row r="42" spans="1:9" ht="13.5" customHeight="1" x14ac:dyDescent="0.3">
      <c r="A42" s="176">
        <f t="shared" si="2"/>
        <v>45931</v>
      </c>
      <c r="B42" s="206">
        <v>961.6</v>
      </c>
      <c r="C42" s="206">
        <v>583.6</v>
      </c>
      <c r="D42" s="206">
        <v>572</v>
      </c>
      <c r="E42" s="206">
        <v>11.6</v>
      </c>
      <c r="F42" s="237">
        <v>60.7</v>
      </c>
      <c r="G42" s="237">
        <v>59.5</v>
      </c>
      <c r="H42" s="237">
        <v>2</v>
      </c>
    </row>
    <row r="43" spans="1:9" ht="13.5" customHeight="1" x14ac:dyDescent="0.3">
      <c r="A43" s="176">
        <f t="shared" si="2"/>
        <v>45962</v>
      </c>
      <c r="B43" s="206">
        <v>961.8</v>
      </c>
      <c r="C43" s="206">
        <v>585.9</v>
      </c>
      <c r="D43" s="206">
        <v>577.9</v>
      </c>
      <c r="E43" s="206">
        <v>8</v>
      </c>
      <c r="F43" s="237">
        <v>60.9</v>
      </c>
      <c r="G43" s="237">
        <v>60.1</v>
      </c>
      <c r="H43" s="237">
        <v>1.4</v>
      </c>
    </row>
    <row r="44" spans="1:9" ht="13.5" customHeight="1" x14ac:dyDescent="0.3">
      <c r="A44" s="176">
        <f t="shared" si="2"/>
        <v>45992</v>
      </c>
      <c r="B44" s="206">
        <v>962</v>
      </c>
      <c r="C44" s="206">
        <v>585.4</v>
      </c>
      <c r="D44" s="206">
        <v>557.4</v>
      </c>
      <c r="E44" s="206">
        <v>28</v>
      </c>
      <c r="F44" s="237">
        <v>60.9</v>
      </c>
      <c r="G44" s="237">
        <v>57.9</v>
      </c>
      <c r="H44" s="237">
        <v>4.8</v>
      </c>
    </row>
    <row r="45" spans="1:9" ht="13.5" customHeight="1" x14ac:dyDescent="0.3">
      <c r="A45" s="176"/>
      <c r="B45" s="206"/>
      <c r="C45" s="206"/>
      <c r="D45" s="206"/>
      <c r="E45" s="206"/>
      <c r="F45" s="237"/>
      <c r="G45" s="237"/>
      <c r="H45" s="237"/>
    </row>
    <row r="46" spans="1:9" ht="13.5" customHeight="1" x14ac:dyDescent="0.3">
      <c r="A46" s="175">
        <f>DATE(YEAR(A44),MONTH(A44)+1,1)</f>
        <v>46023</v>
      </c>
      <c r="B46" s="206">
        <v>962.7</v>
      </c>
      <c r="C46" s="206">
        <v>586.4</v>
      </c>
      <c r="D46" s="206">
        <v>564.70000000000005</v>
      </c>
      <c r="E46" s="206">
        <v>21.7</v>
      </c>
      <c r="F46" s="237">
        <v>60.9</v>
      </c>
      <c r="G46" s="237">
        <v>58.7</v>
      </c>
      <c r="H46" s="237">
        <v>3.7</v>
      </c>
    </row>
    <row r="47" spans="1:9" ht="13.5" customHeight="1" x14ac:dyDescent="0.3">
      <c r="A47" s="176">
        <f t="shared" ref="A47:A48" si="3">DATE(YEAR(A46),MONTH(A46)+1,1)</f>
        <v>46054</v>
      </c>
      <c r="B47" s="206">
        <v>963.2</v>
      </c>
      <c r="C47" s="206">
        <v>594</v>
      </c>
      <c r="D47" s="206">
        <v>576.4</v>
      </c>
      <c r="E47" s="206">
        <v>17.600000000000001</v>
      </c>
      <c r="F47" s="237">
        <v>61.7</v>
      </c>
      <c r="G47" s="237">
        <v>59.8</v>
      </c>
      <c r="H47" s="237">
        <v>3</v>
      </c>
      <c r="I47" s="240"/>
    </row>
    <row r="48" spans="1:9" ht="13.5" customHeight="1" x14ac:dyDescent="0.3">
      <c r="A48" s="176">
        <f t="shared" si="3"/>
        <v>46082</v>
      </c>
      <c r="B48" s="206">
        <v>963.4</v>
      </c>
      <c r="C48" s="206">
        <v>599.5</v>
      </c>
      <c r="D48" s="206">
        <v>581.4</v>
      </c>
      <c r="E48" s="206">
        <v>18.100000000000001</v>
      </c>
      <c r="F48" s="237">
        <v>62.2</v>
      </c>
      <c r="G48" s="237">
        <v>60.3</v>
      </c>
      <c r="H48" s="237">
        <v>3</v>
      </c>
      <c r="I48" s="240"/>
    </row>
    <row r="49" spans="1:21" ht="3" customHeight="1" x14ac:dyDescent="0.3">
      <c r="A49" s="241"/>
      <c r="B49" s="242"/>
      <c r="C49" s="242"/>
      <c r="D49" s="242"/>
      <c r="E49" s="242"/>
      <c r="F49" s="243"/>
      <c r="G49" s="243"/>
      <c r="H49" s="243"/>
    </row>
    <row r="50" spans="1:21" ht="13.5" customHeight="1" x14ac:dyDescent="0.3">
      <c r="A50" s="459" t="s">
        <v>270</v>
      </c>
      <c r="B50" s="459"/>
      <c r="C50" s="459"/>
      <c r="D50" s="459"/>
      <c r="E50" s="459"/>
      <c r="F50" s="459"/>
      <c r="G50" s="459"/>
      <c r="H50" s="459"/>
    </row>
    <row r="51" spans="1:21" ht="13.5" customHeight="1" x14ac:dyDescent="0.3">
      <c r="F51" s="214"/>
      <c r="G51" s="214"/>
      <c r="H51" s="214"/>
    </row>
    <row r="52" spans="1:21" ht="13.5" customHeight="1" x14ac:dyDescent="0.25"/>
    <row r="53" spans="1:21" ht="13.5" customHeight="1" x14ac:dyDescent="0.3">
      <c r="F53" s="214"/>
      <c r="G53" s="214"/>
      <c r="H53" s="214"/>
    </row>
    <row r="54" spans="1:21" ht="13.5" customHeight="1" x14ac:dyDescent="0.25"/>
    <row r="55" spans="1:21" ht="13.5" customHeight="1" x14ac:dyDescent="0.3">
      <c r="F55" s="214"/>
      <c r="G55" s="214"/>
      <c r="H55" s="214"/>
    </row>
    <row r="56" spans="1:21" ht="13.5" customHeight="1" x14ac:dyDescent="0.25"/>
    <row r="57" spans="1:21" ht="13.5" customHeight="1" x14ac:dyDescent="0.25">
      <c r="O57" s="211"/>
      <c r="Q57" s="211"/>
      <c r="R57" s="211"/>
      <c r="S57" s="211"/>
      <c r="T57" s="211"/>
      <c r="U57" s="211"/>
    </row>
    <row r="58" spans="1:21" ht="13.5" customHeight="1" x14ac:dyDescent="0.25">
      <c r="O58" s="211"/>
      <c r="Q58" s="211"/>
      <c r="R58" s="211"/>
      <c r="S58" s="211"/>
      <c r="T58" s="211"/>
      <c r="U58" s="211"/>
    </row>
    <row r="59" spans="1:21" ht="13.5" customHeight="1" x14ac:dyDescent="0.25">
      <c r="O59" s="211"/>
      <c r="Q59" s="211"/>
      <c r="R59" s="211"/>
      <c r="S59" s="211"/>
      <c r="T59" s="211"/>
      <c r="U59" s="211"/>
    </row>
    <row r="60" spans="1:21" ht="13.5" customHeight="1" x14ac:dyDescent="0.25"/>
    <row r="61" spans="1:21" ht="13.5" customHeight="1" x14ac:dyDescent="0.3">
      <c r="F61" s="214"/>
      <c r="G61" s="214"/>
      <c r="H61" s="214"/>
    </row>
    <row r="62" spans="1:21" ht="13.5" customHeight="1" x14ac:dyDescent="0.3">
      <c r="F62" s="214"/>
      <c r="G62" s="214"/>
      <c r="H62" s="214"/>
      <c r="M62" s="244"/>
    </row>
    <row r="63" spans="1:21" ht="13.5" customHeight="1" x14ac:dyDescent="0.3">
      <c r="F63" s="214"/>
      <c r="G63" s="214"/>
      <c r="H63" s="214"/>
    </row>
    <row r="64" spans="1:21" ht="13.5" customHeight="1" x14ac:dyDescent="0.3">
      <c r="F64" s="214"/>
      <c r="G64" s="214"/>
      <c r="H64" s="214"/>
    </row>
    <row r="65" spans="6:16" ht="13.5" customHeight="1" x14ac:dyDescent="0.3">
      <c r="F65" s="214"/>
      <c r="G65" s="214"/>
      <c r="H65" s="214"/>
    </row>
    <row r="66" spans="6:16" ht="13.5" customHeight="1" x14ac:dyDescent="0.3">
      <c r="F66" s="214"/>
      <c r="G66" s="214"/>
      <c r="H66" s="214"/>
      <c r="P66" s="244"/>
    </row>
    <row r="67" spans="6:16" ht="13.5" customHeight="1" x14ac:dyDescent="0.3">
      <c r="F67" s="214"/>
      <c r="G67" s="214"/>
      <c r="H67" s="214"/>
    </row>
    <row r="68" spans="6:16" ht="13.5" customHeight="1" x14ac:dyDescent="0.3">
      <c r="F68" s="214"/>
      <c r="G68" s="214"/>
      <c r="H68" s="214"/>
    </row>
    <row r="69" spans="6:16" ht="13.5" customHeight="1" x14ac:dyDescent="0.3">
      <c r="F69" s="214"/>
      <c r="G69" s="214"/>
      <c r="H69" s="214"/>
    </row>
    <row r="70" spans="6:16" ht="13.5" customHeight="1" x14ac:dyDescent="0.3">
      <c r="F70" s="214"/>
      <c r="G70" s="214"/>
      <c r="H70" s="214"/>
    </row>
    <row r="71" spans="6:16" ht="13.5" customHeight="1" x14ac:dyDescent="0.3">
      <c r="F71" s="214"/>
      <c r="G71" s="214"/>
      <c r="H71" s="214"/>
    </row>
    <row r="72" spans="6:16" ht="13.5" customHeight="1" x14ac:dyDescent="0.3">
      <c r="F72" s="214"/>
      <c r="G72" s="214"/>
      <c r="H72" s="214"/>
    </row>
    <row r="73" spans="6:16" ht="13.5" customHeight="1" x14ac:dyDescent="0.3">
      <c r="F73" s="214"/>
      <c r="G73" s="214"/>
      <c r="H73" s="214"/>
    </row>
    <row r="74" spans="6:16" ht="9" customHeight="1" x14ac:dyDescent="0.3">
      <c r="F74" s="214"/>
      <c r="G74" s="214"/>
      <c r="H74" s="214"/>
    </row>
    <row r="75" spans="6:16" ht="13.5" customHeight="1" x14ac:dyDescent="0.3">
      <c r="F75" s="214"/>
      <c r="G75" s="214"/>
      <c r="H75" s="214"/>
    </row>
    <row r="76" spans="6:16" ht="13.5" customHeight="1" x14ac:dyDescent="0.3">
      <c r="F76" s="214"/>
      <c r="G76" s="214"/>
      <c r="H76" s="214"/>
    </row>
    <row r="77" spans="6:16" ht="13.5" customHeight="1" x14ac:dyDescent="0.3">
      <c r="F77" s="214"/>
      <c r="G77" s="214"/>
      <c r="H77" s="214"/>
    </row>
    <row r="78" spans="6:16" ht="13.5" customHeight="1" x14ac:dyDescent="0.3">
      <c r="F78" s="214"/>
      <c r="G78" s="214"/>
      <c r="H78" s="214"/>
    </row>
    <row r="79" spans="6:16" ht="13.5" customHeight="1" x14ac:dyDescent="0.3">
      <c r="F79" s="214"/>
      <c r="G79" s="214"/>
      <c r="H79" s="214"/>
    </row>
    <row r="80" spans="6:16" ht="13.5" customHeight="1" x14ac:dyDescent="0.3">
      <c r="F80" s="214"/>
      <c r="G80" s="214"/>
      <c r="H80" s="214"/>
    </row>
    <row r="81" spans="6:8" ht="13.5" customHeight="1" x14ac:dyDescent="0.3">
      <c r="F81" s="214"/>
      <c r="G81" s="214"/>
      <c r="H81" s="214"/>
    </row>
    <row r="82" spans="6:8" ht="13.5" customHeight="1" x14ac:dyDescent="0.3">
      <c r="F82" s="214"/>
      <c r="G82" s="214"/>
      <c r="H82" s="214"/>
    </row>
    <row r="83" spans="6:8" ht="13.5" customHeight="1" x14ac:dyDescent="0.3">
      <c r="F83" s="214"/>
      <c r="G83" s="214"/>
      <c r="H83" s="214"/>
    </row>
    <row r="84" spans="6:8" ht="13.5" customHeight="1" x14ac:dyDescent="0.3">
      <c r="F84" s="214"/>
      <c r="G84" s="214"/>
      <c r="H84" s="214"/>
    </row>
    <row r="85" spans="6:8" ht="13.5" customHeight="1" x14ac:dyDescent="0.3">
      <c r="F85" s="214"/>
      <c r="G85" s="214"/>
      <c r="H85" s="214"/>
    </row>
    <row r="86" spans="6:8" ht="13.5" customHeight="1" x14ac:dyDescent="0.3">
      <c r="F86" s="214"/>
      <c r="G86" s="214"/>
      <c r="H86" s="214"/>
    </row>
    <row r="87" spans="6:8" ht="9" customHeight="1" x14ac:dyDescent="0.3">
      <c r="F87" s="214"/>
      <c r="G87" s="214"/>
      <c r="H87" s="214"/>
    </row>
    <row r="88" spans="6:8" ht="13.5" customHeight="1" x14ac:dyDescent="0.3">
      <c r="F88" s="214"/>
      <c r="G88" s="214"/>
      <c r="H88" s="214"/>
    </row>
    <row r="89" spans="6:8" ht="13.5" customHeight="1" x14ac:dyDescent="0.3">
      <c r="F89" s="214"/>
      <c r="G89" s="214"/>
      <c r="H89" s="214"/>
    </row>
    <row r="99" spans="6:8" x14ac:dyDescent="0.3">
      <c r="F99" s="214"/>
      <c r="G99" s="214"/>
      <c r="H99" s="214"/>
    </row>
    <row r="100" spans="6:8" x14ac:dyDescent="0.3">
      <c r="F100" s="214"/>
      <c r="G100" s="214"/>
      <c r="H100" s="214"/>
    </row>
  </sheetData>
  <mergeCells count="7">
    <mergeCell ref="A50:H50"/>
    <mergeCell ref="A1:H1"/>
    <mergeCell ref="A3:A4"/>
    <mergeCell ref="B3:B5"/>
    <mergeCell ref="F3:F5"/>
    <mergeCell ref="C4:C5"/>
    <mergeCell ref="D4:E4"/>
  </mergeCells>
  <phoneticPr fontId="4" type="noConversion"/>
  <pageMargins left="0.57999999999999996" right="0.61" top="0.98" bottom="1" header="0.5" footer="0.5"/>
  <pageSetup paperSize="9" scale="90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E957B-94AD-4111-A51D-ACFE8308A5A6}">
  <dimension ref="A1:V50"/>
  <sheetViews>
    <sheetView view="pageBreakPreview" zoomScale="130" zoomScaleNormal="100" zoomScaleSheetLayoutView="130" workbookViewId="0">
      <selection activeCell="G47" sqref="G47"/>
    </sheetView>
  </sheetViews>
  <sheetFormatPr defaultRowHeight="16.5" x14ac:dyDescent="0.3"/>
  <cols>
    <col min="1" max="1" width="8.125" customWidth="1"/>
    <col min="2" max="2" width="14.25" bestFit="1" customWidth="1"/>
    <col min="3" max="3" width="11.375" customWidth="1"/>
    <col min="4" max="4" width="16.125" bestFit="1" customWidth="1"/>
    <col min="5" max="5" width="11.375" customWidth="1"/>
    <col min="6" max="6" width="16.125" bestFit="1" customWidth="1"/>
    <col min="7" max="8" width="11.375" customWidth="1"/>
    <col min="13" max="13" width="11.5" customWidth="1"/>
  </cols>
  <sheetData>
    <row r="1" spans="1:22" x14ac:dyDescent="0.3">
      <c r="A1" s="453" t="s">
        <v>271</v>
      </c>
      <c r="B1" s="453"/>
      <c r="C1" s="453"/>
      <c r="D1" s="453"/>
      <c r="E1" s="453"/>
      <c r="F1" s="453"/>
      <c r="G1" s="453"/>
      <c r="H1" s="453"/>
    </row>
    <row r="2" spans="1:22" x14ac:dyDescent="0.3">
      <c r="A2" s="130" t="s">
        <v>206</v>
      </c>
      <c r="B2" s="227"/>
      <c r="C2" s="227"/>
      <c r="D2" s="227"/>
      <c r="E2" s="227"/>
      <c r="F2" s="227"/>
      <c r="G2" s="227"/>
      <c r="H2" s="131"/>
    </row>
    <row r="3" spans="1:22" x14ac:dyDescent="0.3">
      <c r="A3" s="468" t="s">
        <v>221</v>
      </c>
      <c r="B3" s="470" t="s">
        <v>272</v>
      </c>
      <c r="C3" s="470" t="s">
        <v>273</v>
      </c>
      <c r="D3" s="471" t="s">
        <v>274</v>
      </c>
      <c r="E3" s="245"/>
      <c r="F3" s="471" t="s">
        <v>275</v>
      </c>
      <c r="G3" s="245"/>
      <c r="H3" s="470" t="s">
        <v>276</v>
      </c>
    </row>
    <row r="4" spans="1:22" ht="16.5" customHeight="1" x14ac:dyDescent="0.3">
      <c r="A4" s="469"/>
      <c r="B4" s="469"/>
      <c r="C4" s="469"/>
      <c r="D4" s="469"/>
      <c r="E4" s="246" t="s">
        <v>277</v>
      </c>
      <c r="F4" s="469"/>
      <c r="G4" s="246" t="s">
        <v>277</v>
      </c>
      <c r="H4" s="469"/>
    </row>
    <row r="5" spans="1:22" ht="13.5" customHeight="1" x14ac:dyDescent="0.3">
      <c r="A5" s="247"/>
      <c r="B5" s="248"/>
      <c r="C5" s="248"/>
      <c r="D5" s="248"/>
      <c r="E5" s="248"/>
      <c r="F5" s="248"/>
      <c r="G5" s="248"/>
      <c r="H5" s="248"/>
    </row>
    <row r="6" spans="1:22" ht="13.5" customHeight="1" x14ac:dyDescent="0.3">
      <c r="A6" s="171">
        <v>40909</v>
      </c>
      <c r="B6" s="237">
        <v>93.272166666666706</v>
      </c>
      <c r="C6" s="237">
        <v>95.098666666666702</v>
      </c>
      <c r="D6" s="237">
        <v>97.131857220624596</v>
      </c>
      <c r="E6" s="237">
        <v>98.681717449121606</v>
      </c>
      <c r="F6" s="237">
        <v>95.086245233503902</v>
      </c>
      <c r="G6" s="237">
        <v>92.501549600799393</v>
      </c>
      <c r="H6" s="237">
        <v>79.248682905290806</v>
      </c>
    </row>
    <row r="7" spans="1:22" ht="13.5" customHeight="1" x14ac:dyDescent="0.3">
      <c r="A7" s="171">
        <f>DATE(YEAR(A6)+1,MONTH(A6),1)</f>
        <v>41275</v>
      </c>
      <c r="B7" s="237">
        <v>94.6875</v>
      </c>
      <c r="C7" s="237">
        <v>96.1384166666667</v>
      </c>
      <c r="D7" s="237">
        <v>97.410200441600907</v>
      </c>
      <c r="E7" s="237">
        <v>98.914003426461093</v>
      </c>
      <c r="F7" s="237">
        <v>97.049685273180202</v>
      </c>
      <c r="G7" s="237">
        <v>94.934204703896697</v>
      </c>
      <c r="H7" s="237">
        <v>80.546805798853896</v>
      </c>
      <c r="O7" s="249"/>
      <c r="P7" s="249"/>
      <c r="Q7" s="249"/>
      <c r="R7" s="249"/>
      <c r="S7" s="249"/>
      <c r="T7" s="249"/>
      <c r="U7" s="249"/>
      <c r="V7" s="249"/>
    </row>
    <row r="8" spans="1:22" ht="13.5" customHeight="1" x14ac:dyDescent="0.3">
      <c r="A8" s="171">
        <f t="shared" ref="A8:A19" si="0">DATE(YEAR(A7)+1,MONTH(A7),1)</f>
        <v>41640</v>
      </c>
      <c r="B8" s="237">
        <v>95.812083333333305</v>
      </c>
      <c r="C8" s="237">
        <v>96.915999999999997</v>
      </c>
      <c r="D8" s="237">
        <v>99.243546865309298</v>
      </c>
      <c r="E8" s="237">
        <v>101.1516208190817</v>
      </c>
      <c r="F8" s="237">
        <v>98.694007124574199</v>
      </c>
      <c r="G8" s="237">
        <v>97.026934309141495</v>
      </c>
      <c r="H8" s="237">
        <v>81.787023795145899</v>
      </c>
      <c r="O8" s="249"/>
      <c r="P8" s="249"/>
      <c r="Q8" s="249"/>
      <c r="R8" s="249"/>
      <c r="S8" s="249"/>
      <c r="T8" s="249"/>
      <c r="U8" s="249"/>
      <c r="V8" s="249"/>
    </row>
    <row r="9" spans="1:22" ht="13.5" customHeight="1" x14ac:dyDescent="0.3">
      <c r="A9" s="171">
        <f t="shared" si="0"/>
        <v>42005</v>
      </c>
      <c r="B9" s="237">
        <v>96.250833333333304</v>
      </c>
      <c r="C9" s="237">
        <v>96.2588333333333</v>
      </c>
      <c r="D9" s="237">
        <v>102.41081677407971</v>
      </c>
      <c r="E9" s="237">
        <v>105.07174307375359</v>
      </c>
      <c r="F9" s="237">
        <v>100.6977743996077</v>
      </c>
      <c r="G9" s="237">
        <v>99.337418021287405</v>
      </c>
      <c r="H9" s="237">
        <v>83.477078907605602</v>
      </c>
      <c r="O9" s="249"/>
      <c r="P9" s="249"/>
      <c r="Q9" s="249"/>
      <c r="R9" s="249"/>
      <c r="S9" s="249"/>
      <c r="T9" s="249"/>
      <c r="U9" s="249"/>
      <c r="V9" s="249"/>
    </row>
    <row r="10" spans="1:22" ht="13.5" customHeight="1" x14ac:dyDescent="0.3">
      <c r="A10" s="171">
        <f t="shared" si="0"/>
        <v>42370</v>
      </c>
      <c r="B10" s="237">
        <v>97.204666666666697</v>
      </c>
      <c r="C10" s="237">
        <v>96.832999999999998</v>
      </c>
      <c r="D10" s="237">
        <v>104.5045251110767</v>
      </c>
      <c r="E10" s="237">
        <v>107.88601111377299</v>
      </c>
      <c r="F10" s="237">
        <v>102.2543958690047</v>
      </c>
      <c r="G10" s="237">
        <v>101.26889280624469</v>
      </c>
      <c r="H10" s="237">
        <v>85.639184796626296</v>
      </c>
      <c r="O10" s="249"/>
      <c r="P10" s="249"/>
      <c r="Q10" s="249"/>
      <c r="R10" s="249"/>
      <c r="S10" s="249"/>
      <c r="T10" s="249"/>
      <c r="U10" s="249"/>
      <c r="V10" s="249"/>
    </row>
    <row r="11" spans="1:22" ht="13.5" customHeight="1" x14ac:dyDescent="0.3">
      <c r="A11" s="171">
        <f t="shared" si="0"/>
        <v>42736</v>
      </c>
      <c r="B11" s="237">
        <v>99.006249999999994</v>
      </c>
      <c r="C11" s="237">
        <v>99.309250000000006</v>
      </c>
      <c r="D11" s="237">
        <v>104.00861217378031</v>
      </c>
      <c r="E11" s="237">
        <v>106.80905780441771</v>
      </c>
      <c r="F11" s="237">
        <v>101.8042988653425</v>
      </c>
      <c r="G11" s="237">
        <v>100.7397239444531</v>
      </c>
      <c r="H11" s="237">
        <v>88.044099948787206</v>
      </c>
      <c r="O11" s="249"/>
      <c r="P11" s="249"/>
      <c r="Q11" s="249"/>
      <c r="R11" s="249"/>
      <c r="S11" s="249"/>
      <c r="T11" s="249"/>
      <c r="U11" s="249"/>
      <c r="V11" s="249"/>
    </row>
    <row r="12" spans="1:22" ht="13.5" customHeight="1" x14ac:dyDescent="0.3">
      <c r="A12" s="171">
        <f t="shared" si="0"/>
        <v>43101</v>
      </c>
      <c r="B12" s="237">
        <v>100.02549999999999</v>
      </c>
      <c r="C12" s="237">
        <v>100.5366666666667</v>
      </c>
      <c r="D12" s="237">
        <v>100.1776904000231</v>
      </c>
      <c r="E12" s="237">
        <v>100.4691617205747</v>
      </c>
      <c r="F12" s="237">
        <v>96.856617341032802</v>
      </c>
      <c r="G12" s="237">
        <v>94.286575262121303</v>
      </c>
      <c r="H12" s="237">
        <v>91.105881171811802</v>
      </c>
      <c r="J12" s="250"/>
      <c r="K12" s="250"/>
      <c r="L12" s="250"/>
      <c r="M12" s="250"/>
      <c r="N12" s="250"/>
      <c r="O12" s="250"/>
      <c r="P12" s="249"/>
      <c r="Q12" s="249"/>
      <c r="R12" s="249"/>
      <c r="S12" s="249"/>
      <c r="T12" s="249"/>
      <c r="U12" s="249"/>
      <c r="V12" s="249"/>
    </row>
    <row r="13" spans="1:22" ht="13.5" customHeight="1" x14ac:dyDescent="0.3">
      <c r="A13" s="171">
        <f t="shared" si="0"/>
        <v>43466</v>
      </c>
      <c r="B13" s="237">
        <v>99.704833333333298</v>
      </c>
      <c r="C13" s="237">
        <v>99.791499999999999</v>
      </c>
      <c r="D13" s="237">
        <v>93.820351073891302</v>
      </c>
      <c r="E13" s="237">
        <v>91.685890869928102</v>
      </c>
      <c r="F13" s="237">
        <v>88.892113141030407</v>
      </c>
      <c r="G13" s="237">
        <v>84.409693184235294</v>
      </c>
      <c r="H13" s="237">
        <v>92.356510454821006</v>
      </c>
      <c r="J13" s="250"/>
      <c r="K13" s="250"/>
      <c r="L13" s="250"/>
      <c r="M13" s="250"/>
      <c r="N13" s="250"/>
      <c r="O13" s="250"/>
      <c r="P13" s="249"/>
      <c r="Q13" s="249"/>
      <c r="R13" s="249"/>
      <c r="S13" s="249"/>
      <c r="T13" s="249"/>
      <c r="U13" s="249"/>
      <c r="V13" s="249"/>
    </row>
    <row r="14" spans="1:22" ht="13.5" customHeight="1" x14ac:dyDescent="0.3">
      <c r="A14" s="171">
        <f t="shared" si="0"/>
        <v>43831</v>
      </c>
      <c r="B14" s="237">
        <v>99.998333333333306</v>
      </c>
      <c r="C14" s="237">
        <v>99.999166666666696</v>
      </c>
      <c r="D14" s="237">
        <v>95.837886559298497</v>
      </c>
      <c r="E14" s="237">
        <v>94.592742862542806</v>
      </c>
      <c r="F14" s="237">
        <v>91.946882490033104</v>
      </c>
      <c r="G14" s="237">
        <v>89.033465806091698</v>
      </c>
      <c r="H14" s="237">
        <v>93.019476273569097</v>
      </c>
      <c r="J14" s="250"/>
      <c r="K14" s="250"/>
      <c r="L14" s="250"/>
      <c r="M14" s="250"/>
      <c r="N14" s="250"/>
      <c r="O14" s="250"/>
      <c r="P14" s="249"/>
      <c r="Q14" s="249"/>
      <c r="R14" s="249"/>
      <c r="S14" s="249"/>
      <c r="T14" s="249"/>
      <c r="U14" s="249"/>
      <c r="V14" s="249"/>
    </row>
    <row r="15" spans="1:22" ht="13.5" customHeight="1" x14ac:dyDescent="0.3">
      <c r="A15" s="171">
        <f t="shared" si="0"/>
        <v>44197</v>
      </c>
      <c r="B15" s="237">
        <v>102.4908333333333</v>
      </c>
      <c r="C15" s="237">
        <v>103.2766666666667</v>
      </c>
      <c r="D15" s="237">
        <v>105.4649542443303</v>
      </c>
      <c r="E15" s="237">
        <v>107.493589736792</v>
      </c>
      <c r="F15" s="237">
        <v>104.8325579205154</v>
      </c>
      <c r="G15" s="237">
        <v>106.6216695244473</v>
      </c>
      <c r="H15" s="237">
        <v>95.004217353523998</v>
      </c>
      <c r="J15" s="250"/>
      <c r="K15" s="250"/>
      <c r="L15" s="250"/>
      <c r="M15" s="250"/>
      <c r="N15" s="250"/>
      <c r="O15" s="250"/>
      <c r="P15" s="249"/>
      <c r="Q15" s="249"/>
      <c r="R15" s="249"/>
      <c r="S15" s="249"/>
      <c r="T15" s="249"/>
      <c r="U15" s="249"/>
      <c r="V15" s="249"/>
    </row>
    <row r="16" spans="1:22" ht="13.5" customHeight="1" x14ac:dyDescent="0.3">
      <c r="A16" s="171">
        <f t="shared" si="0"/>
        <v>44562</v>
      </c>
      <c r="B16" s="237">
        <v>107.5716666666667</v>
      </c>
      <c r="C16" s="237">
        <v>109.42416666666669</v>
      </c>
      <c r="D16" s="237">
        <v>107.77315423175421</v>
      </c>
      <c r="E16" s="237">
        <v>109.7717446084915</v>
      </c>
      <c r="F16" s="237">
        <v>109.0914282668188</v>
      </c>
      <c r="G16" s="237">
        <v>111.63066389822779</v>
      </c>
      <c r="H16" s="237">
        <v>97.399908097064994</v>
      </c>
      <c r="J16" s="250"/>
      <c r="K16" s="250"/>
      <c r="L16" s="250"/>
      <c r="M16" s="250"/>
      <c r="N16" s="250"/>
      <c r="O16" s="250"/>
      <c r="P16" s="249"/>
      <c r="Q16" s="249"/>
      <c r="R16" s="249"/>
      <c r="S16" s="249"/>
      <c r="T16" s="249"/>
      <c r="U16" s="249"/>
      <c r="V16" s="249"/>
    </row>
    <row r="17" spans="1:22" ht="13.5" customHeight="1" x14ac:dyDescent="0.3">
      <c r="A17" s="171">
        <f t="shared" si="0"/>
        <v>44927</v>
      </c>
      <c r="B17" s="237">
        <v>111.425</v>
      </c>
      <c r="C17" s="237">
        <v>113.6041666666667</v>
      </c>
      <c r="D17" s="237">
        <v>98.640522169297</v>
      </c>
      <c r="E17" s="237">
        <v>98.221951340973007</v>
      </c>
      <c r="F17" s="237">
        <v>96.823254430955402</v>
      </c>
      <c r="G17" s="237">
        <v>95.793379487666897</v>
      </c>
      <c r="H17" s="237">
        <v>97.940026310979206</v>
      </c>
      <c r="J17" s="250"/>
      <c r="K17" s="250"/>
      <c r="L17" s="250"/>
      <c r="M17" s="250"/>
      <c r="N17" s="250"/>
      <c r="O17" s="250"/>
      <c r="P17" s="249"/>
      <c r="Q17" s="249"/>
      <c r="R17" s="249"/>
      <c r="S17" s="249"/>
      <c r="T17" s="249"/>
      <c r="U17" s="249"/>
      <c r="V17" s="249"/>
    </row>
    <row r="18" spans="1:22" ht="13.5" customHeight="1" x14ac:dyDescent="0.3">
      <c r="A18" s="171">
        <f t="shared" si="0"/>
        <v>45292</v>
      </c>
      <c r="B18" s="237">
        <v>113.9725</v>
      </c>
      <c r="C18" s="237">
        <v>116.5125</v>
      </c>
      <c r="D18" s="237">
        <v>98.018059298751496</v>
      </c>
      <c r="E18" s="237">
        <v>97.498222512508903</v>
      </c>
      <c r="F18" s="237">
        <v>96.147265023385103</v>
      </c>
      <c r="G18" s="237">
        <v>95.033947860180305</v>
      </c>
      <c r="H18" s="237">
        <v>98.627526996790195</v>
      </c>
      <c r="J18" s="250"/>
      <c r="K18" s="250"/>
      <c r="L18" s="250"/>
      <c r="M18" s="250"/>
      <c r="N18" s="250"/>
      <c r="O18" s="250"/>
      <c r="P18" s="249"/>
      <c r="Q18" s="249"/>
      <c r="R18" s="249"/>
      <c r="S18" s="249"/>
      <c r="T18" s="249"/>
      <c r="U18" s="249"/>
      <c r="V18" s="249"/>
    </row>
    <row r="19" spans="1:22" ht="13.5" customHeight="1" x14ac:dyDescent="0.3">
      <c r="A19" s="171">
        <f t="shared" si="0"/>
        <v>45658</v>
      </c>
      <c r="B19" s="237">
        <v>116.3683333333333</v>
      </c>
      <c r="C19" s="237">
        <v>119.2033333333333</v>
      </c>
      <c r="D19" s="237">
        <v>98.348171608824899</v>
      </c>
      <c r="E19" s="237">
        <v>97.893558389655198</v>
      </c>
      <c r="F19" s="237">
        <v>97.923036880202901</v>
      </c>
      <c r="G19" s="237">
        <v>97.366290301079303</v>
      </c>
      <c r="H19" s="237">
        <v>99.528881972430995</v>
      </c>
      <c r="J19" s="250"/>
      <c r="K19" s="250"/>
      <c r="L19" s="250"/>
      <c r="M19" s="250"/>
      <c r="N19" s="250"/>
      <c r="O19" s="250"/>
      <c r="P19" s="249"/>
      <c r="Q19" s="249"/>
      <c r="R19" s="249"/>
      <c r="S19" s="249"/>
      <c r="T19" s="249"/>
      <c r="U19" s="249"/>
      <c r="V19" s="249"/>
    </row>
    <row r="20" spans="1:22" ht="13.5" customHeight="1" x14ac:dyDescent="0.3">
      <c r="A20" s="247"/>
      <c r="B20" s="248"/>
      <c r="C20" s="248"/>
      <c r="D20" s="248"/>
      <c r="E20" s="248"/>
      <c r="F20" s="248"/>
      <c r="G20" s="248"/>
      <c r="H20" s="236"/>
      <c r="J20" s="250"/>
      <c r="K20" s="250"/>
      <c r="L20" s="250"/>
      <c r="M20" s="250"/>
      <c r="N20" s="250"/>
      <c r="O20" s="250"/>
    </row>
    <row r="21" spans="1:22" ht="12.75" customHeight="1" x14ac:dyDescent="0.3">
      <c r="A21" s="175">
        <f>DATE(YEAR(표지!O1)-2,MONTH(표지!O1)-1,1)</f>
        <v>45352</v>
      </c>
      <c r="B21" s="237">
        <v>113.87</v>
      </c>
      <c r="C21" s="237">
        <v>116.47</v>
      </c>
      <c r="D21" s="237">
        <v>98.059907455022397</v>
      </c>
      <c r="E21" s="237">
        <v>97.554235696297894</v>
      </c>
      <c r="F21" s="237">
        <v>95.771610361777405</v>
      </c>
      <c r="G21" s="237">
        <v>94.533841766003206</v>
      </c>
      <c r="H21" s="237">
        <v>98.304352865111383</v>
      </c>
      <c r="L21" s="249"/>
    </row>
    <row r="22" spans="1:22" ht="12.75" customHeight="1" x14ac:dyDescent="0.3">
      <c r="A22" s="176">
        <f t="shared" ref="A22:A30" si="1">DATE(YEAR(A21),MONTH(A21)+1,1)</f>
        <v>45383</v>
      </c>
      <c r="B22" s="237">
        <v>113.95</v>
      </c>
      <c r="C22" s="237">
        <v>116.51</v>
      </c>
      <c r="D22" s="237">
        <v>98.021896103683801</v>
      </c>
      <c r="E22" s="237">
        <v>97.511112092714697</v>
      </c>
      <c r="F22" s="237">
        <v>95.864016513355395</v>
      </c>
      <c r="G22" s="237">
        <v>94.648263980793203</v>
      </c>
      <c r="H22" s="237">
        <v>98.406537457986161</v>
      </c>
      <c r="L22" s="249"/>
    </row>
    <row r="23" spans="1:22" ht="12.75" customHeight="1" x14ac:dyDescent="0.3">
      <c r="A23" s="176">
        <f t="shared" si="1"/>
        <v>45413</v>
      </c>
      <c r="B23" s="237">
        <v>113.81</v>
      </c>
      <c r="C23" s="237">
        <v>116.24</v>
      </c>
      <c r="D23" s="237">
        <v>97.953792964762499</v>
      </c>
      <c r="E23" s="237">
        <v>97.4215788184503</v>
      </c>
      <c r="F23" s="237">
        <v>95.991923520046996</v>
      </c>
      <c r="G23" s="237">
        <v>94.820659279139505</v>
      </c>
      <c r="H23" s="237">
        <v>98.501445874360357</v>
      </c>
      <c r="L23" s="249"/>
    </row>
    <row r="24" spans="1:22" ht="12.75" customHeight="1" x14ac:dyDescent="0.3">
      <c r="A24" s="176">
        <f t="shared" si="1"/>
        <v>45444</v>
      </c>
      <c r="B24" s="237">
        <v>113.51</v>
      </c>
      <c r="C24" s="237">
        <v>115.93</v>
      </c>
      <c r="D24" s="237">
        <v>97.940679723098199</v>
      </c>
      <c r="E24" s="237">
        <v>97.399409199817001</v>
      </c>
      <c r="F24" s="237">
        <v>96.103527015304607</v>
      </c>
      <c r="G24" s="237">
        <v>94.973197053171006</v>
      </c>
      <c r="H24" s="237">
        <v>98.605623668901941</v>
      </c>
      <c r="L24" s="249"/>
    </row>
    <row r="25" spans="1:22" ht="12.75" customHeight="1" x14ac:dyDescent="0.3">
      <c r="A25" s="176">
        <f t="shared" si="1"/>
        <v>45474</v>
      </c>
      <c r="B25" s="237">
        <v>113.91</v>
      </c>
      <c r="C25" s="237">
        <v>116.23</v>
      </c>
      <c r="D25" s="237">
        <v>97.933342855058797</v>
      </c>
      <c r="E25" s="237">
        <v>97.382262959292106</v>
      </c>
      <c r="F25" s="237">
        <v>96.183329744892703</v>
      </c>
      <c r="G25" s="237">
        <v>95.081524227961694</v>
      </c>
      <c r="H25" s="237">
        <v>98.703665182556037</v>
      </c>
      <c r="L25" s="249"/>
    </row>
    <row r="26" spans="1:22" ht="12.75" customHeight="1" x14ac:dyDescent="0.3">
      <c r="A26" s="176">
        <f t="shared" si="1"/>
        <v>45505</v>
      </c>
      <c r="B26" s="237">
        <v>114.25</v>
      </c>
      <c r="C26" s="237">
        <v>116.69</v>
      </c>
      <c r="D26" s="237">
        <v>97.944163577112107</v>
      </c>
      <c r="E26" s="237">
        <v>97.394959358601497</v>
      </c>
      <c r="F26" s="237">
        <v>96.302606199426293</v>
      </c>
      <c r="G26" s="237">
        <v>95.230974851626101</v>
      </c>
      <c r="H26" s="237">
        <v>98.794612963237114</v>
      </c>
      <c r="L26" s="249"/>
    </row>
    <row r="27" spans="1:22" ht="12.75" customHeight="1" x14ac:dyDescent="0.3">
      <c r="A27" s="176">
        <f t="shared" si="1"/>
        <v>45536</v>
      </c>
      <c r="B27" s="237">
        <v>114.41</v>
      </c>
      <c r="C27" s="237">
        <v>117.26</v>
      </c>
      <c r="D27" s="237">
        <v>97.983597035207097</v>
      </c>
      <c r="E27" s="237">
        <v>97.450936306733198</v>
      </c>
      <c r="F27" s="237">
        <v>96.397103653091193</v>
      </c>
      <c r="G27" s="237">
        <v>95.359759916963199</v>
      </c>
      <c r="H27" s="237">
        <v>98.869497681104278</v>
      </c>
      <c r="L27" s="249"/>
    </row>
    <row r="28" spans="1:22" ht="12.75" customHeight="1" x14ac:dyDescent="0.3">
      <c r="A28" s="176">
        <f t="shared" si="1"/>
        <v>45566</v>
      </c>
      <c r="B28" s="237">
        <v>114.49</v>
      </c>
      <c r="C28" s="237">
        <v>117.42</v>
      </c>
      <c r="D28" s="237">
        <v>98.011196246978002</v>
      </c>
      <c r="E28" s="237">
        <v>97.485139824634203</v>
      </c>
      <c r="F28" s="237">
        <v>96.5129721051308</v>
      </c>
      <c r="G28" s="237">
        <v>95.522480509986906</v>
      </c>
      <c r="H28" s="237">
        <v>98.933498863897114</v>
      </c>
      <c r="M28" s="249"/>
    </row>
    <row r="29" spans="1:22" ht="12.75" customHeight="1" x14ac:dyDescent="0.3">
      <c r="A29" s="176">
        <f t="shared" si="1"/>
        <v>45597</v>
      </c>
      <c r="B29" s="237">
        <v>114.18</v>
      </c>
      <c r="C29" s="237">
        <v>116.89</v>
      </c>
      <c r="D29" s="237">
        <v>98.043022174326794</v>
      </c>
      <c r="E29" s="237">
        <v>97.523392610419407</v>
      </c>
      <c r="F29" s="237">
        <v>96.638388169806205</v>
      </c>
      <c r="G29" s="237">
        <v>95.685882457591205</v>
      </c>
      <c r="H29" s="237">
        <v>98.987678929572837</v>
      </c>
      <c r="M29" s="249"/>
    </row>
    <row r="30" spans="1:22" ht="12.75" customHeight="1" x14ac:dyDescent="0.3">
      <c r="A30" s="176">
        <f t="shared" si="1"/>
        <v>45627</v>
      </c>
      <c r="B30" s="237">
        <v>114.56</v>
      </c>
      <c r="C30" s="237">
        <v>116.97</v>
      </c>
      <c r="D30" s="237">
        <v>98.017433121231704</v>
      </c>
      <c r="E30" s="237">
        <v>97.490302074019198</v>
      </c>
      <c r="F30" s="237">
        <v>96.764126503606803</v>
      </c>
      <c r="G30" s="237">
        <v>95.867408883720302</v>
      </c>
      <c r="H30" s="237">
        <v>99.049662345019442</v>
      </c>
      <c r="M30" s="249"/>
    </row>
    <row r="31" spans="1:22" ht="12.75" customHeight="1" x14ac:dyDescent="0.3">
      <c r="A31" s="176"/>
      <c r="B31" s="237"/>
      <c r="C31" s="237"/>
      <c r="D31" s="237"/>
      <c r="E31" s="237"/>
      <c r="F31" s="237"/>
      <c r="G31" s="237"/>
      <c r="H31" s="237"/>
      <c r="M31" s="249"/>
    </row>
    <row r="32" spans="1:22" ht="12.75" customHeight="1" x14ac:dyDescent="0.3">
      <c r="A32" s="175">
        <f>DATE(YEAR(A30),MONTH(A30)+1,1)</f>
        <v>45658</v>
      </c>
      <c r="B32" s="237">
        <v>115.43</v>
      </c>
      <c r="C32" s="237">
        <v>118.26</v>
      </c>
      <c r="D32" s="237">
        <v>98.003562158101701</v>
      </c>
      <c r="E32" s="237">
        <v>97.472597577149998</v>
      </c>
      <c r="F32" s="237">
        <v>96.893663532478996</v>
      </c>
      <c r="G32" s="237">
        <v>96.036817992025505</v>
      </c>
      <c r="H32" s="237">
        <v>99.109715707840039</v>
      </c>
      <c r="M32" s="249"/>
    </row>
    <row r="33" spans="1:13" ht="12.75" customHeight="1" x14ac:dyDescent="0.3">
      <c r="A33" s="176">
        <f t="shared" ref="A33:A43" si="2">DATE(YEAR(A32),MONTH(A32)+1,1)</f>
        <v>45689</v>
      </c>
      <c r="B33" s="237">
        <v>115.82</v>
      </c>
      <c r="C33" s="237">
        <v>118.86</v>
      </c>
      <c r="D33" s="237">
        <v>98.027729524978994</v>
      </c>
      <c r="E33" s="237">
        <v>97.499102538951504</v>
      </c>
      <c r="F33" s="237">
        <v>97.016673742262498</v>
      </c>
      <c r="G33" s="237">
        <v>96.208801827981603</v>
      </c>
      <c r="H33" s="237">
        <v>99.177536507310236</v>
      </c>
      <c r="M33" s="249"/>
    </row>
    <row r="34" spans="1:13" ht="12.75" customHeight="1" x14ac:dyDescent="0.3">
      <c r="A34" s="176">
        <f t="shared" si="2"/>
        <v>45717</v>
      </c>
      <c r="B34" s="237">
        <v>115.94</v>
      </c>
      <c r="C34" s="237">
        <v>119.01</v>
      </c>
      <c r="D34" s="237">
        <v>98.068921072906605</v>
      </c>
      <c r="E34" s="237">
        <v>97.551224966522398</v>
      </c>
      <c r="F34" s="237">
        <v>97.224020617447593</v>
      </c>
      <c r="G34" s="237">
        <v>96.485026914276006</v>
      </c>
      <c r="H34" s="237">
        <v>99.251635172266305</v>
      </c>
      <c r="M34" s="249"/>
    </row>
    <row r="35" spans="1:13" ht="12.75" customHeight="1" x14ac:dyDescent="0.3">
      <c r="A35" s="176">
        <f t="shared" si="2"/>
        <v>45748</v>
      </c>
      <c r="B35" s="237">
        <v>116</v>
      </c>
      <c r="C35" s="237">
        <v>118.97</v>
      </c>
      <c r="D35" s="237">
        <v>98.083916547188096</v>
      </c>
      <c r="E35" s="237">
        <v>97.566551141527597</v>
      </c>
      <c r="F35" s="237">
        <v>97.387977262057902</v>
      </c>
      <c r="G35" s="237">
        <v>96.691526689916799</v>
      </c>
      <c r="H35" s="237">
        <v>99.338152605232963</v>
      </c>
      <c r="M35" s="249"/>
    </row>
    <row r="36" spans="1:13" ht="12.75" customHeight="1" x14ac:dyDescent="0.3">
      <c r="A36" s="176">
        <f t="shared" si="2"/>
        <v>45778</v>
      </c>
      <c r="B36" s="237">
        <v>115.89</v>
      </c>
      <c r="C36" s="237">
        <v>118.74</v>
      </c>
      <c r="D36" s="237">
        <v>98.084758080498105</v>
      </c>
      <c r="E36" s="237">
        <v>97.561751382594394</v>
      </c>
      <c r="F36" s="237">
        <v>97.550650844744794</v>
      </c>
      <c r="G36" s="237">
        <v>96.904273664520304</v>
      </c>
      <c r="H36" s="237">
        <v>99.416635275039241</v>
      </c>
      <c r="M36" s="249"/>
    </row>
    <row r="37" spans="1:13" ht="12.75" customHeight="1" x14ac:dyDescent="0.3">
      <c r="A37" s="176">
        <f t="shared" si="2"/>
        <v>45809</v>
      </c>
      <c r="B37" s="237">
        <v>115.89</v>
      </c>
      <c r="C37" s="237">
        <v>118.72</v>
      </c>
      <c r="D37" s="237">
        <v>98.083397637704905</v>
      </c>
      <c r="E37" s="237">
        <v>97.559328539640603</v>
      </c>
      <c r="F37" s="237">
        <v>97.724951903722996</v>
      </c>
      <c r="G37" s="237">
        <v>97.123872893812703</v>
      </c>
      <c r="H37" s="237">
        <v>99.502612452990803</v>
      </c>
      <c r="M37" s="249"/>
    </row>
    <row r="38" spans="1:13" ht="12.75" customHeight="1" x14ac:dyDescent="0.3">
      <c r="A38" s="176">
        <f t="shared" si="2"/>
        <v>45839</v>
      </c>
      <c r="B38" s="237">
        <v>116.33</v>
      </c>
      <c r="C38" s="237">
        <v>119</v>
      </c>
      <c r="D38" s="237">
        <v>98.117052927660495</v>
      </c>
      <c r="E38" s="237">
        <v>97.596155845016597</v>
      </c>
      <c r="F38" s="237">
        <v>97.915835335748298</v>
      </c>
      <c r="G38" s="237">
        <v>97.365438034574495</v>
      </c>
      <c r="H38" s="237">
        <v>99.578977299793038</v>
      </c>
      <c r="M38" s="249"/>
    </row>
    <row r="39" spans="1:13" ht="12.75" customHeight="1" x14ac:dyDescent="0.3">
      <c r="A39" s="176">
        <f t="shared" si="2"/>
        <v>45870</v>
      </c>
      <c r="B39" s="237">
        <v>116.38</v>
      </c>
      <c r="C39" s="237">
        <v>118.6</v>
      </c>
      <c r="D39" s="237">
        <v>98.207377277185998</v>
      </c>
      <c r="E39" s="237">
        <v>97.704557993033006</v>
      </c>
      <c r="F39" s="237">
        <v>98.1079489078313</v>
      </c>
      <c r="G39" s="237">
        <v>97.605830105884905</v>
      </c>
      <c r="H39" s="237">
        <v>99.65619257717934</v>
      </c>
      <c r="M39" s="249"/>
    </row>
    <row r="40" spans="1:13" ht="12.75" customHeight="1" x14ac:dyDescent="0.3">
      <c r="A40" s="176">
        <f t="shared" si="2"/>
        <v>45901</v>
      </c>
      <c r="B40" s="237">
        <v>117.03</v>
      </c>
      <c r="C40" s="237">
        <v>120.14</v>
      </c>
      <c r="D40" s="237">
        <v>98.348561860835503</v>
      </c>
      <c r="E40" s="237">
        <v>97.885640518008401</v>
      </c>
      <c r="F40" s="237">
        <v>98.311764936351395</v>
      </c>
      <c r="G40" s="237">
        <v>97.857595993521798</v>
      </c>
      <c r="H40" s="237">
        <v>99.728434004148767</v>
      </c>
      <c r="M40" s="249"/>
    </row>
    <row r="41" spans="1:13" ht="12.75" customHeight="1" x14ac:dyDescent="0.3">
      <c r="A41" s="176">
        <f t="shared" si="2"/>
        <v>45931</v>
      </c>
      <c r="B41" s="237">
        <v>117.31</v>
      </c>
      <c r="C41" s="237">
        <v>120.05</v>
      </c>
      <c r="D41" s="237">
        <v>98.625527931519301</v>
      </c>
      <c r="E41" s="237">
        <v>98.231640680226803</v>
      </c>
      <c r="F41" s="237">
        <v>98.576587159917196</v>
      </c>
      <c r="G41" s="237">
        <v>98.191549270591906</v>
      </c>
      <c r="H41" s="237">
        <v>99.795872807004343</v>
      </c>
      <c r="M41" s="249"/>
    </row>
    <row r="42" spans="1:13" ht="12.75" customHeight="1" x14ac:dyDescent="0.3">
      <c r="A42" s="176">
        <f t="shared" si="2"/>
        <v>45962</v>
      </c>
      <c r="B42" s="237">
        <v>116.98</v>
      </c>
      <c r="C42" s="237">
        <v>119.9</v>
      </c>
      <c r="D42" s="237">
        <v>98.990022639699703</v>
      </c>
      <c r="E42" s="237">
        <v>98.696528906525103</v>
      </c>
      <c r="F42" s="237">
        <v>98.922547428238104</v>
      </c>
      <c r="G42" s="237">
        <v>98.631487561244697</v>
      </c>
      <c r="H42" s="237">
        <v>99.859990978567041</v>
      </c>
      <c r="M42" s="249"/>
    </row>
    <row r="43" spans="1:13" ht="12.75" customHeight="1" x14ac:dyDescent="0.3">
      <c r="A43" s="176">
        <f t="shared" si="2"/>
        <v>45992</v>
      </c>
      <c r="B43" s="237">
        <v>117.42</v>
      </c>
      <c r="C43" s="237">
        <v>120.19</v>
      </c>
      <c r="D43" s="237">
        <v>99.537231647618796</v>
      </c>
      <c r="E43" s="237">
        <v>99.397620586666207</v>
      </c>
      <c r="F43" s="237">
        <v>99.443820891633806</v>
      </c>
      <c r="G43" s="237">
        <v>99.293262664600903</v>
      </c>
      <c r="H43" s="237">
        <v>99.930828281800359</v>
      </c>
      <c r="M43" s="249"/>
    </row>
    <row r="44" spans="1:13" ht="12.75" customHeight="1" x14ac:dyDescent="0.3">
      <c r="A44" s="176"/>
      <c r="B44" s="237"/>
      <c r="C44" s="237"/>
      <c r="D44" s="237"/>
      <c r="E44" s="237"/>
      <c r="F44" s="237"/>
      <c r="G44" s="237"/>
      <c r="H44" s="237"/>
      <c r="M44" s="249"/>
    </row>
    <row r="45" spans="1:13" ht="12.75" customHeight="1" x14ac:dyDescent="0.3">
      <c r="A45" s="175">
        <f>DATE(YEAR(A43),MONTH(A43)+1,1)</f>
        <v>46023</v>
      </c>
      <c r="B45" s="237">
        <v>118.02</v>
      </c>
      <c r="C45" s="237">
        <v>120.99</v>
      </c>
      <c r="D45" s="237">
        <v>100</v>
      </c>
      <c r="E45" s="237">
        <v>100</v>
      </c>
      <c r="F45" s="237">
        <v>100</v>
      </c>
      <c r="G45" s="237">
        <v>100</v>
      </c>
      <c r="H45" s="237">
        <v>100</v>
      </c>
      <c r="M45" s="249"/>
    </row>
    <row r="46" spans="1:13" ht="12.75" customHeight="1" x14ac:dyDescent="0.3">
      <c r="A46" s="176">
        <f t="shared" ref="A46:A47" si="3">DATE(YEAR(A45),MONTH(A45)+1,1)</f>
        <v>46054</v>
      </c>
      <c r="B46" s="237">
        <v>118.27</v>
      </c>
      <c r="C46" s="237">
        <v>121.21</v>
      </c>
      <c r="D46" s="237">
        <v>100.37610227961601</v>
      </c>
      <c r="E46" s="237">
        <v>100.467124174489</v>
      </c>
      <c r="F46" s="237">
        <v>100.38821404415501</v>
      </c>
      <c r="G46" s="237">
        <v>100.48567712362301</v>
      </c>
      <c r="H46" s="237">
        <v>100.0743372756</v>
      </c>
      <c r="M46" s="249"/>
    </row>
    <row r="47" spans="1:13" ht="12.75" customHeight="1" x14ac:dyDescent="0.3">
      <c r="A47" s="176">
        <f t="shared" si="3"/>
        <v>46082</v>
      </c>
      <c r="B47" s="237">
        <v>118.81</v>
      </c>
      <c r="C47" s="237">
        <v>122.16</v>
      </c>
      <c r="D47" s="237">
        <v>100.74184772070301</v>
      </c>
      <c r="E47" s="237">
        <v>100.93206221790599</v>
      </c>
      <c r="F47" s="237">
        <v>100.875067979688</v>
      </c>
      <c r="G47" s="237">
        <v>101.12027423964</v>
      </c>
      <c r="H47" s="237">
        <v>100.14914753630001</v>
      </c>
      <c r="M47" s="249"/>
    </row>
    <row r="48" spans="1:13" ht="7.5" customHeight="1" x14ac:dyDescent="0.3">
      <c r="A48" s="251"/>
      <c r="B48" s="252"/>
      <c r="C48" s="252"/>
      <c r="D48" s="253"/>
      <c r="E48" s="253"/>
      <c r="F48" s="253"/>
      <c r="G48" s="253"/>
      <c r="H48" s="253"/>
      <c r="M48" s="249"/>
    </row>
    <row r="49" spans="1:13" ht="15" customHeight="1" x14ac:dyDescent="0.3">
      <c r="A49" s="466" t="s">
        <v>278</v>
      </c>
      <c r="B49" s="466"/>
      <c r="C49" s="466"/>
      <c r="D49" s="466"/>
      <c r="E49" s="466"/>
      <c r="F49" s="466"/>
      <c r="G49" s="466"/>
      <c r="H49" s="466"/>
      <c r="M49" s="249"/>
    </row>
    <row r="50" spans="1:13" ht="15" customHeight="1" x14ac:dyDescent="0.3">
      <c r="A50" s="467" t="s">
        <v>279</v>
      </c>
      <c r="B50" s="467"/>
      <c r="C50" s="467"/>
      <c r="D50" s="467"/>
      <c r="E50" s="467"/>
      <c r="F50" s="467"/>
      <c r="G50" s="467"/>
      <c r="H50" s="467"/>
    </row>
  </sheetData>
  <mergeCells count="9">
    <mergeCell ref="A49:H49"/>
    <mergeCell ref="A50:H50"/>
    <mergeCell ref="A1:H1"/>
    <mergeCell ref="A3:A4"/>
    <mergeCell ref="B3:B4"/>
    <mergeCell ref="C3:C4"/>
    <mergeCell ref="D3:D4"/>
    <mergeCell ref="F3:F4"/>
    <mergeCell ref="H3:H4"/>
  </mergeCells>
  <phoneticPr fontId="4" type="noConversion"/>
  <pageMargins left="0.7" right="0.7" top="0.75" bottom="0.75" header="0.3" footer="0.3"/>
  <pageSetup paperSize="9" scale="80" orientation="portrait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865C0-A0EB-4B64-B2B0-C7BC12C31FFB}">
  <dimension ref="A1:AB63"/>
  <sheetViews>
    <sheetView view="pageBreakPreview" zoomScaleNormal="85" zoomScaleSheetLayoutView="100" workbookViewId="0">
      <selection activeCell="C2" sqref="C2"/>
    </sheetView>
  </sheetViews>
  <sheetFormatPr defaultRowHeight="16.5" x14ac:dyDescent="0.3"/>
  <cols>
    <col min="14" max="14" width="0.5" customWidth="1"/>
  </cols>
  <sheetData>
    <row r="1" spans="1:28" x14ac:dyDescent="0.3">
      <c r="A1" s="477" t="s">
        <v>280</v>
      </c>
      <c r="B1" s="477"/>
      <c r="C1" s="477"/>
      <c r="D1" s="477"/>
      <c r="E1" s="477"/>
      <c r="F1" s="477"/>
      <c r="G1" s="477"/>
      <c r="H1" s="477"/>
      <c r="I1" s="477"/>
      <c r="J1" s="477"/>
      <c r="K1" s="477"/>
      <c r="L1" s="477"/>
      <c r="M1" s="477"/>
      <c r="N1" s="254"/>
      <c r="O1" s="477" t="s">
        <v>280</v>
      </c>
      <c r="P1" s="477"/>
      <c r="Q1" s="477"/>
      <c r="R1" s="477"/>
      <c r="S1" s="477"/>
      <c r="T1" s="477"/>
      <c r="U1" s="477"/>
      <c r="V1" s="477"/>
      <c r="W1" s="477"/>
      <c r="X1" s="477"/>
      <c r="Y1" s="477"/>
      <c r="Z1" s="477"/>
      <c r="AA1" s="477"/>
      <c r="AB1" s="254"/>
    </row>
    <row r="2" spans="1:28" x14ac:dyDescent="0.3">
      <c r="A2" s="255" t="s">
        <v>206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4"/>
      <c r="O2" s="255" t="s">
        <v>206</v>
      </c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</row>
    <row r="3" spans="1:28" x14ac:dyDescent="0.2">
      <c r="A3" s="478" t="s">
        <v>221</v>
      </c>
      <c r="B3" s="472" t="s">
        <v>281</v>
      </c>
      <c r="C3" s="481"/>
      <c r="D3" s="481"/>
      <c r="E3" s="481"/>
      <c r="F3" s="481"/>
      <c r="G3" s="481"/>
      <c r="H3" s="481"/>
      <c r="I3" s="481"/>
      <c r="J3" s="481"/>
      <c r="K3" s="481"/>
      <c r="L3" s="481"/>
      <c r="M3" s="473"/>
      <c r="N3" s="257"/>
      <c r="O3" s="478" t="s">
        <v>221</v>
      </c>
      <c r="P3" s="472" t="s">
        <v>282</v>
      </c>
      <c r="Q3" s="481"/>
      <c r="R3" s="481"/>
      <c r="S3" s="481"/>
      <c r="T3" s="481"/>
      <c r="U3" s="481"/>
      <c r="V3" s="481"/>
      <c r="W3" s="481"/>
      <c r="X3" s="481"/>
      <c r="Y3" s="481"/>
      <c r="Z3" s="481"/>
      <c r="AA3" s="473"/>
      <c r="AB3" s="181"/>
    </row>
    <row r="4" spans="1:28" x14ac:dyDescent="0.3">
      <c r="A4" s="479"/>
      <c r="B4" s="475" t="s">
        <v>283</v>
      </c>
      <c r="C4" s="476"/>
      <c r="D4" s="472" t="s">
        <v>284</v>
      </c>
      <c r="E4" s="473"/>
      <c r="F4" s="472" t="s">
        <v>285</v>
      </c>
      <c r="G4" s="473"/>
      <c r="H4" s="472" t="s">
        <v>286</v>
      </c>
      <c r="I4" s="473"/>
      <c r="J4" s="472" t="s">
        <v>287</v>
      </c>
      <c r="K4" s="473"/>
      <c r="L4" s="472" t="s">
        <v>288</v>
      </c>
      <c r="M4" s="473"/>
      <c r="N4" s="258"/>
      <c r="O4" s="479"/>
      <c r="P4" s="475" t="s">
        <v>283</v>
      </c>
      <c r="Q4" s="476"/>
      <c r="R4" s="472" t="s">
        <v>284</v>
      </c>
      <c r="S4" s="473"/>
      <c r="T4" s="472" t="s">
        <v>289</v>
      </c>
      <c r="U4" s="473"/>
      <c r="V4" s="472" t="s">
        <v>290</v>
      </c>
      <c r="W4" s="473"/>
      <c r="X4" s="472" t="s">
        <v>288</v>
      </c>
      <c r="Y4" s="473"/>
      <c r="Z4" s="472" t="s">
        <v>291</v>
      </c>
      <c r="AA4" s="473"/>
      <c r="AB4" s="152"/>
    </row>
    <row r="5" spans="1:28" x14ac:dyDescent="0.2">
      <c r="A5" s="480"/>
      <c r="B5" s="259" t="s">
        <v>292</v>
      </c>
      <c r="C5" s="259" t="s">
        <v>293</v>
      </c>
      <c r="D5" s="259" t="s">
        <v>292</v>
      </c>
      <c r="E5" s="259" t="s">
        <v>293</v>
      </c>
      <c r="F5" s="259" t="s">
        <v>292</v>
      </c>
      <c r="G5" s="259" t="s">
        <v>293</v>
      </c>
      <c r="H5" s="259" t="s">
        <v>292</v>
      </c>
      <c r="I5" s="259" t="s">
        <v>293</v>
      </c>
      <c r="J5" s="259" t="s">
        <v>292</v>
      </c>
      <c r="K5" s="259" t="s">
        <v>293</v>
      </c>
      <c r="L5" s="259" t="s">
        <v>292</v>
      </c>
      <c r="M5" s="259" t="s">
        <v>293</v>
      </c>
      <c r="N5" s="257"/>
      <c r="O5" s="480"/>
      <c r="P5" s="259" t="s">
        <v>292</v>
      </c>
      <c r="Q5" s="259" t="s">
        <v>293</v>
      </c>
      <c r="R5" s="259" t="s">
        <v>292</v>
      </c>
      <c r="S5" s="259" t="s">
        <v>293</v>
      </c>
      <c r="T5" s="259" t="s">
        <v>292</v>
      </c>
      <c r="U5" s="259" t="s">
        <v>293</v>
      </c>
      <c r="V5" s="259" t="s">
        <v>292</v>
      </c>
      <c r="W5" s="259" t="s">
        <v>293</v>
      </c>
      <c r="X5" s="259" t="s">
        <v>292</v>
      </c>
      <c r="Y5" s="259" t="s">
        <v>293</v>
      </c>
      <c r="Z5" s="259" t="s">
        <v>292</v>
      </c>
      <c r="AA5" s="259" t="s">
        <v>293</v>
      </c>
      <c r="AB5" s="181"/>
    </row>
    <row r="6" spans="1:28" x14ac:dyDescent="0.2">
      <c r="A6" s="260"/>
      <c r="B6" s="260"/>
      <c r="C6" s="260"/>
      <c r="D6" s="260"/>
      <c r="E6" s="260"/>
      <c r="F6" s="260"/>
      <c r="G6" s="260"/>
      <c r="H6" s="260"/>
      <c r="I6" s="260"/>
      <c r="J6" s="260"/>
      <c r="K6" s="260"/>
      <c r="L6" s="260"/>
      <c r="M6" s="260"/>
      <c r="N6" s="257"/>
      <c r="O6" s="260"/>
      <c r="P6" s="260"/>
      <c r="Q6" s="260"/>
      <c r="R6" s="260"/>
      <c r="S6" s="260"/>
      <c r="T6" s="260"/>
      <c r="U6" s="260"/>
      <c r="V6" s="260"/>
      <c r="W6" s="260"/>
      <c r="X6" s="260"/>
      <c r="Y6" s="260"/>
      <c r="Z6" s="260"/>
      <c r="AA6" s="260"/>
      <c r="AB6" s="181"/>
    </row>
    <row r="7" spans="1:28" x14ac:dyDescent="0.2">
      <c r="A7" s="261">
        <v>41244</v>
      </c>
      <c r="B7" s="262" t="s">
        <v>228</v>
      </c>
      <c r="C7" s="262" t="s">
        <v>228</v>
      </c>
      <c r="D7" s="263">
        <v>76</v>
      </c>
      <c r="E7" s="263">
        <v>68</v>
      </c>
      <c r="F7" s="263">
        <v>83</v>
      </c>
      <c r="G7" s="263">
        <v>88</v>
      </c>
      <c r="H7" s="263">
        <v>82</v>
      </c>
      <c r="I7" s="263">
        <v>84</v>
      </c>
      <c r="J7" s="263">
        <v>105</v>
      </c>
      <c r="K7" s="263">
        <v>100</v>
      </c>
      <c r="L7" s="263">
        <v>85</v>
      </c>
      <c r="M7" s="263">
        <v>90</v>
      </c>
      <c r="N7" s="264"/>
      <c r="O7" s="265">
        <f t="shared" ref="O7:O20" si="0">A7</f>
        <v>41244</v>
      </c>
      <c r="P7" s="262" t="s">
        <v>228</v>
      </c>
      <c r="Q7" s="262" t="s">
        <v>228</v>
      </c>
      <c r="R7" s="263">
        <v>73</v>
      </c>
      <c r="S7" s="263">
        <v>73</v>
      </c>
      <c r="T7" s="263">
        <v>70</v>
      </c>
      <c r="U7" s="263">
        <v>80</v>
      </c>
      <c r="V7" s="263">
        <v>78</v>
      </c>
      <c r="W7" s="263">
        <v>78</v>
      </c>
      <c r="X7" s="263">
        <v>80</v>
      </c>
      <c r="Y7" s="263">
        <v>84</v>
      </c>
      <c r="Z7" s="263">
        <v>95</v>
      </c>
      <c r="AA7" s="263">
        <v>96</v>
      </c>
      <c r="AB7" s="266"/>
    </row>
    <row r="8" spans="1:28" x14ac:dyDescent="0.2">
      <c r="A8" s="261">
        <f>DATE(YEAR(A7)+1,MONTH(A7),1)</f>
        <v>41609</v>
      </c>
      <c r="B8" s="267">
        <v>100.2</v>
      </c>
      <c r="C8" s="267">
        <v>100.4</v>
      </c>
      <c r="D8" s="263">
        <v>78</v>
      </c>
      <c r="E8" s="263">
        <v>80</v>
      </c>
      <c r="F8" s="263">
        <v>91</v>
      </c>
      <c r="G8" s="263">
        <v>96</v>
      </c>
      <c r="H8" s="263">
        <v>83</v>
      </c>
      <c r="I8" s="263">
        <v>87</v>
      </c>
      <c r="J8" s="263">
        <v>106</v>
      </c>
      <c r="K8" s="263">
        <v>102</v>
      </c>
      <c r="L8" s="263">
        <v>90</v>
      </c>
      <c r="M8" s="263">
        <v>82</v>
      </c>
      <c r="N8" s="257"/>
      <c r="O8" s="265">
        <f t="shared" si="0"/>
        <v>41609</v>
      </c>
      <c r="P8" s="267">
        <v>107.2</v>
      </c>
      <c r="Q8" s="267">
        <v>103.8</v>
      </c>
      <c r="R8" s="263">
        <v>75</v>
      </c>
      <c r="S8" s="263">
        <v>71</v>
      </c>
      <c r="T8" s="263">
        <v>80</v>
      </c>
      <c r="U8" s="263">
        <v>79</v>
      </c>
      <c r="V8" s="263">
        <v>82</v>
      </c>
      <c r="W8" s="263">
        <v>81</v>
      </c>
      <c r="X8" s="263">
        <v>81</v>
      </c>
      <c r="Y8" s="263">
        <v>81</v>
      </c>
      <c r="Z8" s="263">
        <v>86</v>
      </c>
      <c r="AA8" s="263">
        <v>79</v>
      </c>
      <c r="AB8" s="181"/>
    </row>
    <row r="9" spans="1:28" x14ac:dyDescent="0.2">
      <c r="A9" s="261">
        <f t="shared" ref="A9:A20" si="1">DATE(YEAR(A8)+1,MONTH(A8),1)</f>
        <v>41974</v>
      </c>
      <c r="B9" s="267">
        <v>95</v>
      </c>
      <c r="C9" s="267">
        <v>93.6</v>
      </c>
      <c r="D9" s="263">
        <v>72</v>
      </c>
      <c r="E9" s="263">
        <v>68</v>
      </c>
      <c r="F9" s="263">
        <v>84</v>
      </c>
      <c r="G9" s="263">
        <v>78</v>
      </c>
      <c r="H9" s="263">
        <v>83</v>
      </c>
      <c r="I9" s="263">
        <v>82</v>
      </c>
      <c r="J9" s="263">
        <v>109</v>
      </c>
      <c r="K9" s="263">
        <v>101</v>
      </c>
      <c r="L9" s="263">
        <v>81</v>
      </c>
      <c r="M9" s="263">
        <v>75</v>
      </c>
      <c r="N9" s="257"/>
      <c r="O9" s="265">
        <f t="shared" si="0"/>
        <v>41974</v>
      </c>
      <c r="P9" s="267">
        <v>98.1</v>
      </c>
      <c r="Q9" s="267">
        <v>101.8</v>
      </c>
      <c r="R9" s="263">
        <v>64</v>
      </c>
      <c r="S9" s="263">
        <v>65</v>
      </c>
      <c r="T9" s="263">
        <v>67</v>
      </c>
      <c r="U9" s="263">
        <v>75</v>
      </c>
      <c r="V9" s="263">
        <v>76</v>
      </c>
      <c r="W9" s="263">
        <v>79</v>
      </c>
      <c r="X9" s="263">
        <v>71</v>
      </c>
      <c r="Y9" s="263">
        <v>81</v>
      </c>
      <c r="Z9" s="263">
        <v>86</v>
      </c>
      <c r="AA9" s="263">
        <v>84</v>
      </c>
      <c r="AB9" s="181"/>
    </row>
    <row r="10" spans="1:28" x14ac:dyDescent="0.2">
      <c r="A10" s="261">
        <f t="shared" si="1"/>
        <v>42339</v>
      </c>
      <c r="B10" s="267">
        <v>90.6</v>
      </c>
      <c r="C10" s="267">
        <v>94.3</v>
      </c>
      <c r="D10" s="263">
        <v>68</v>
      </c>
      <c r="E10" s="263">
        <v>71</v>
      </c>
      <c r="F10" s="263">
        <v>74</v>
      </c>
      <c r="G10" s="263">
        <v>86</v>
      </c>
      <c r="H10" s="263">
        <v>73</v>
      </c>
      <c r="I10" s="263">
        <v>85</v>
      </c>
      <c r="J10" s="263">
        <v>108</v>
      </c>
      <c r="K10" s="263">
        <v>107</v>
      </c>
      <c r="L10" s="263">
        <v>79</v>
      </c>
      <c r="M10" s="263">
        <v>79</v>
      </c>
      <c r="N10" s="257"/>
      <c r="O10" s="265">
        <f t="shared" si="0"/>
        <v>42339</v>
      </c>
      <c r="P10" s="267">
        <v>97.5</v>
      </c>
      <c r="Q10" s="267">
        <v>97.2</v>
      </c>
      <c r="R10" s="263">
        <v>61</v>
      </c>
      <c r="S10" s="263">
        <v>58</v>
      </c>
      <c r="T10" s="263">
        <v>69</v>
      </c>
      <c r="U10" s="263">
        <v>65</v>
      </c>
      <c r="V10" s="263">
        <v>71</v>
      </c>
      <c r="W10" s="263">
        <v>75</v>
      </c>
      <c r="X10" s="263">
        <v>75</v>
      </c>
      <c r="Y10" s="263">
        <v>80</v>
      </c>
      <c r="Z10" s="263">
        <v>82</v>
      </c>
      <c r="AA10" s="263">
        <v>82</v>
      </c>
      <c r="AB10" s="181"/>
    </row>
    <row r="11" spans="1:28" x14ac:dyDescent="0.2">
      <c r="A11" s="261">
        <f t="shared" si="1"/>
        <v>42705</v>
      </c>
      <c r="B11" s="267">
        <v>102.7</v>
      </c>
      <c r="C11" s="267">
        <v>93.3</v>
      </c>
      <c r="D11" s="263">
        <v>70</v>
      </c>
      <c r="E11" s="263">
        <v>59</v>
      </c>
      <c r="F11" s="263">
        <v>85</v>
      </c>
      <c r="G11" s="263">
        <v>82</v>
      </c>
      <c r="H11" s="263">
        <v>84</v>
      </c>
      <c r="I11" s="263">
        <v>74</v>
      </c>
      <c r="J11" s="263">
        <v>87</v>
      </c>
      <c r="K11" s="263">
        <v>95</v>
      </c>
      <c r="L11" s="263">
        <v>77</v>
      </c>
      <c r="M11" s="263">
        <v>72</v>
      </c>
      <c r="N11" s="257"/>
      <c r="O11" s="265">
        <f t="shared" si="0"/>
        <v>42705</v>
      </c>
      <c r="P11" s="267">
        <v>95.9</v>
      </c>
      <c r="Q11" s="267">
        <v>84.9</v>
      </c>
      <c r="R11" s="263">
        <v>59</v>
      </c>
      <c r="S11" s="263">
        <v>53</v>
      </c>
      <c r="T11" s="263">
        <v>64</v>
      </c>
      <c r="U11" s="263">
        <v>52</v>
      </c>
      <c r="V11" s="263">
        <v>71</v>
      </c>
      <c r="W11" s="263">
        <v>61</v>
      </c>
      <c r="X11" s="263">
        <v>74</v>
      </c>
      <c r="Y11" s="263">
        <v>60</v>
      </c>
      <c r="Z11" s="263">
        <v>84</v>
      </c>
      <c r="AA11" s="263">
        <v>79</v>
      </c>
      <c r="AB11" s="181"/>
    </row>
    <row r="12" spans="1:28" x14ac:dyDescent="0.2">
      <c r="A12" s="261">
        <f t="shared" si="1"/>
        <v>43070</v>
      </c>
      <c r="B12" s="267">
        <v>98.3</v>
      </c>
      <c r="C12" s="267">
        <v>92.2</v>
      </c>
      <c r="D12" s="263">
        <v>70</v>
      </c>
      <c r="E12" s="263">
        <v>61</v>
      </c>
      <c r="F12" s="263">
        <v>88</v>
      </c>
      <c r="G12" s="263">
        <v>78</v>
      </c>
      <c r="H12" s="263">
        <v>96</v>
      </c>
      <c r="I12" s="263">
        <v>83</v>
      </c>
      <c r="J12" s="263">
        <v>105</v>
      </c>
      <c r="K12" s="263">
        <v>103</v>
      </c>
      <c r="L12" s="263">
        <v>77</v>
      </c>
      <c r="M12" s="263">
        <v>77</v>
      </c>
      <c r="N12" s="257"/>
      <c r="O12" s="265">
        <f t="shared" si="0"/>
        <v>43070</v>
      </c>
      <c r="P12" s="267">
        <v>93</v>
      </c>
      <c r="Q12" s="267">
        <v>91.9</v>
      </c>
      <c r="R12" s="263">
        <v>61</v>
      </c>
      <c r="S12" s="263">
        <v>58</v>
      </c>
      <c r="T12" s="263">
        <v>62</v>
      </c>
      <c r="U12" s="263">
        <v>58</v>
      </c>
      <c r="V12" s="263">
        <v>67</v>
      </c>
      <c r="W12" s="263">
        <v>67</v>
      </c>
      <c r="X12" s="263">
        <v>68</v>
      </c>
      <c r="Y12" s="263">
        <v>73</v>
      </c>
      <c r="Z12" s="263">
        <v>95</v>
      </c>
      <c r="AA12" s="263">
        <v>85</v>
      </c>
      <c r="AB12" s="181"/>
    </row>
    <row r="13" spans="1:28" x14ac:dyDescent="0.2">
      <c r="A13" s="261">
        <f t="shared" si="1"/>
        <v>43435</v>
      </c>
      <c r="B13" s="267">
        <v>95.1</v>
      </c>
      <c r="C13" s="267">
        <v>96.8</v>
      </c>
      <c r="D13" s="263">
        <v>62</v>
      </c>
      <c r="E13" s="263">
        <v>62</v>
      </c>
      <c r="F13" s="263">
        <v>87</v>
      </c>
      <c r="G13" s="263">
        <v>92</v>
      </c>
      <c r="H13" s="263">
        <v>79</v>
      </c>
      <c r="I13" s="263">
        <v>91</v>
      </c>
      <c r="J13" s="263">
        <v>100</v>
      </c>
      <c r="K13" s="263">
        <v>106</v>
      </c>
      <c r="L13" s="263">
        <v>75</v>
      </c>
      <c r="M13" s="263">
        <v>85</v>
      </c>
      <c r="N13" s="257"/>
      <c r="O13" s="265">
        <f t="shared" si="0"/>
        <v>43435</v>
      </c>
      <c r="P13" s="267">
        <v>92.1</v>
      </c>
      <c r="Q13" s="267">
        <v>85.8</v>
      </c>
      <c r="R13" s="263">
        <v>58</v>
      </c>
      <c r="S13" s="263">
        <v>49</v>
      </c>
      <c r="T13" s="263">
        <v>62</v>
      </c>
      <c r="U13" s="263">
        <v>60</v>
      </c>
      <c r="V13" s="263">
        <v>69</v>
      </c>
      <c r="W13" s="263">
        <v>58</v>
      </c>
      <c r="X13" s="263">
        <v>65</v>
      </c>
      <c r="Y13" s="263">
        <v>64</v>
      </c>
      <c r="Z13" s="263">
        <v>71</v>
      </c>
      <c r="AA13" s="263">
        <v>86</v>
      </c>
      <c r="AB13" s="181"/>
    </row>
    <row r="14" spans="1:28" x14ac:dyDescent="0.2">
      <c r="A14" s="261">
        <f t="shared" si="1"/>
        <v>43800</v>
      </c>
      <c r="B14" s="267">
        <v>96.4</v>
      </c>
      <c r="C14" s="267">
        <v>99.5</v>
      </c>
      <c r="D14" s="263">
        <v>74</v>
      </c>
      <c r="E14" s="263">
        <v>72</v>
      </c>
      <c r="F14" s="263">
        <v>88</v>
      </c>
      <c r="G14" s="263">
        <v>97</v>
      </c>
      <c r="H14" s="263">
        <v>84</v>
      </c>
      <c r="I14" s="263">
        <v>89</v>
      </c>
      <c r="J14" s="263">
        <v>109</v>
      </c>
      <c r="K14" s="263">
        <v>101</v>
      </c>
      <c r="L14" s="263">
        <v>82</v>
      </c>
      <c r="M14" s="263">
        <v>78</v>
      </c>
      <c r="N14" s="257"/>
      <c r="O14" s="265">
        <f t="shared" si="0"/>
        <v>43800</v>
      </c>
      <c r="P14" s="267">
        <v>93.4</v>
      </c>
      <c r="Q14" s="267">
        <v>91.8</v>
      </c>
      <c r="R14" s="263">
        <v>60</v>
      </c>
      <c r="S14" s="263">
        <v>52</v>
      </c>
      <c r="T14" s="263">
        <v>59</v>
      </c>
      <c r="U14" s="263">
        <v>61</v>
      </c>
      <c r="V14" s="263">
        <v>70</v>
      </c>
      <c r="W14" s="263">
        <v>72</v>
      </c>
      <c r="X14" s="263">
        <v>69</v>
      </c>
      <c r="Y14" s="263">
        <v>70</v>
      </c>
      <c r="Z14" s="263">
        <v>75</v>
      </c>
      <c r="AA14" s="263">
        <v>77</v>
      </c>
      <c r="AB14" s="181"/>
    </row>
    <row r="15" spans="1:28" x14ac:dyDescent="0.2">
      <c r="A15" s="261">
        <f t="shared" si="1"/>
        <v>44166</v>
      </c>
      <c r="B15" s="267">
        <v>96.8</v>
      </c>
      <c r="C15" s="267">
        <v>96.2</v>
      </c>
      <c r="D15" s="263">
        <v>67</v>
      </c>
      <c r="E15" s="263">
        <v>75</v>
      </c>
      <c r="F15" s="263">
        <v>79</v>
      </c>
      <c r="G15" s="263">
        <v>78</v>
      </c>
      <c r="H15" s="263">
        <v>75</v>
      </c>
      <c r="I15" s="263">
        <v>72</v>
      </c>
      <c r="J15" s="263">
        <v>95</v>
      </c>
      <c r="K15" s="263">
        <v>98</v>
      </c>
      <c r="L15" s="263">
        <v>79</v>
      </c>
      <c r="M15" s="263">
        <v>83</v>
      </c>
      <c r="N15" s="257"/>
      <c r="O15" s="265">
        <f t="shared" si="0"/>
        <v>44166</v>
      </c>
      <c r="P15" s="267">
        <v>89.3</v>
      </c>
      <c r="Q15" s="267">
        <v>91.3</v>
      </c>
      <c r="R15" s="263">
        <v>58</v>
      </c>
      <c r="S15" s="263">
        <v>65</v>
      </c>
      <c r="T15" s="263">
        <v>58</v>
      </c>
      <c r="U15" s="263">
        <v>58</v>
      </c>
      <c r="V15" s="263">
        <v>61</v>
      </c>
      <c r="W15" s="263">
        <v>67</v>
      </c>
      <c r="X15" s="263">
        <v>66</v>
      </c>
      <c r="Y15" s="263">
        <v>65</v>
      </c>
      <c r="Z15" s="263">
        <v>93</v>
      </c>
      <c r="AA15" s="263">
        <v>83</v>
      </c>
      <c r="AB15" s="181"/>
    </row>
    <row r="16" spans="1:28" x14ac:dyDescent="0.2">
      <c r="A16" s="261">
        <f t="shared" si="1"/>
        <v>44531</v>
      </c>
      <c r="B16" s="267">
        <v>102.6</v>
      </c>
      <c r="C16" s="267">
        <v>102.2</v>
      </c>
      <c r="D16" s="263">
        <v>80</v>
      </c>
      <c r="E16" s="263">
        <v>84</v>
      </c>
      <c r="F16" s="263">
        <v>103</v>
      </c>
      <c r="G16" s="263">
        <v>105</v>
      </c>
      <c r="H16" s="263">
        <v>92</v>
      </c>
      <c r="I16" s="263">
        <v>99</v>
      </c>
      <c r="J16" s="263">
        <v>100</v>
      </c>
      <c r="K16" s="263">
        <v>102</v>
      </c>
      <c r="L16" s="263">
        <v>72</v>
      </c>
      <c r="M16" s="263">
        <v>69</v>
      </c>
      <c r="N16" s="257"/>
      <c r="O16" s="265">
        <f t="shared" si="0"/>
        <v>44531</v>
      </c>
      <c r="P16" s="267">
        <v>92.7</v>
      </c>
      <c r="Q16" s="267">
        <v>100.1</v>
      </c>
      <c r="R16" s="263">
        <v>63</v>
      </c>
      <c r="S16" s="263">
        <v>73</v>
      </c>
      <c r="T16" s="263">
        <v>64</v>
      </c>
      <c r="U16" s="263">
        <v>69</v>
      </c>
      <c r="V16" s="263">
        <v>69</v>
      </c>
      <c r="W16" s="263">
        <v>76</v>
      </c>
      <c r="X16" s="263">
        <v>62</v>
      </c>
      <c r="Y16" s="263">
        <v>76</v>
      </c>
      <c r="Z16" s="263">
        <v>76</v>
      </c>
      <c r="AA16" s="263">
        <v>80</v>
      </c>
      <c r="AB16" s="181"/>
    </row>
    <row r="17" spans="1:28" x14ac:dyDescent="0.2">
      <c r="A17" s="261">
        <f t="shared" si="1"/>
        <v>44896</v>
      </c>
      <c r="B17" s="267">
        <v>88</v>
      </c>
      <c r="C17" s="267">
        <v>85.2</v>
      </c>
      <c r="D17" s="263">
        <v>66</v>
      </c>
      <c r="E17" s="263">
        <v>61</v>
      </c>
      <c r="F17" s="263">
        <v>76</v>
      </c>
      <c r="G17" s="263">
        <v>80</v>
      </c>
      <c r="H17" s="263">
        <v>77</v>
      </c>
      <c r="I17" s="263">
        <v>73</v>
      </c>
      <c r="J17" s="263">
        <v>109</v>
      </c>
      <c r="K17" s="263">
        <v>107</v>
      </c>
      <c r="L17" s="263">
        <v>67</v>
      </c>
      <c r="M17" s="263">
        <v>61</v>
      </c>
      <c r="N17" s="257"/>
      <c r="O17" s="265">
        <f t="shared" si="0"/>
        <v>44896</v>
      </c>
      <c r="P17" s="267">
        <v>98.6</v>
      </c>
      <c r="Q17" s="267">
        <v>94.8</v>
      </c>
      <c r="R17" s="263">
        <v>64</v>
      </c>
      <c r="S17" s="263">
        <v>68</v>
      </c>
      <c r="T17" s="263">
        <v>73</v>
      </c>
      <c r="U17" s="263">
        <v>71</v>
      </c>
      <c r="V17" s="263">
        <v>73</v>
      </c>
      <c r="W17" s="263">
        <v>67</v>
      </c>
      <c r="X17" s="263">
        <v>72</v>
      </c>
      <c r="Y17" s="263">
        <v>67</v>
      </c>
      <c r="Z17" s="263">
        <v>69</v>
      </c>
      <c r="AA17" s="263">
        <v>78</v>
      </c>
      <c r="AB17" s="181"/>
    </row>
    <row r="18" spans="1:28" x14ac:dyDescent="0.2">
      <c r="A18" s="261">
        <f t="shared" si="1"/>
        <v>45261</v>
      </c>
      <c r="B18" s="267">
        <v>85.6</v>
      </c>
      <c r="C18" s="267">
        <v>90.1</v>
      </c>
      <c r="D18" s="263">
        <v>61</v>
      </c>
      <c r="E18" s="263">
        <v>61</v>
      </c>
      <c r="F18" s="263">
        <v>69</v>
      </c>
      <c r="G18" s="263">
        <v>77</v>
      </c>
      <c r="H18" s="263">
        <v>64</v>
      </c>
      <c r="I18" s="263">
        <v>80</v>
      </c>
      <c r="J18" s="263">
        <v>108</v>
      </c>
      <c r="K18" s="263">
        <v>103</v>
      </c>
      <c r="L18" s="263">
        <v>74</v>
      </c>
      <c r="M18" s="263">
        <v>71</v>
      </c>
      <c r="N18" s="257"/>
      <c r="O18" s="265">
        <f t="shared" si="0"/>
        <v>45261</v>
      </c>
      <c r="P18" s="267">
        <v>95.3</v>
      </c>
      <c r="Q18" s="267">
        <v>90</v>
      </c>
      <c r="R18" s="263">
        <v>65</v>
      </c>
      <c r="S18" s="263">
        <v>60</v>
      </c>
      <c r="T18" s="263">
        <v>66</v>
      </c>
      <c r="U18" s="263">
        <v>62</v>
      </c>
      <c r="V18" s="263">
        <v>67</v>
      </c>
      <c r="W18" s="263">
        <v>64</v>
      </c>
      <c r="X18" s="263">
        <v>70</v>
      </c>
      <c r="Y18" s="263">
        <v>64</v>
      </c>
      <c r="Z18" s="263">
        <v>69</v>
      </c>
      <c r="AA18" s="263">
        <v>67</v>
      </c>
      <c r="AB18" s="181"/>
    </row>
    <row r="19" spans="1:28" x14ac:dyDescent="0.2">
      <c r="A19" s="261">
        <f t="shared" si="1"/>
        <v>45627</v>
      </c>
      <c r="B19" s="267">
        <v>95.8</v>
      </c>
      <c r="C19" s="267">
        <v>92.1</v>
      </c>
      <c r="D19" s="263">
        <v>68</v>
      </c>
      <c r="E19" s="263">
        <v>66</v>
      </c>
      <c r="F19" s="263">
        <v>80</v>
      </c>
      <c r="G19" s="263">
        <v>78</v>
      </c>
      <c r="H19" s="263">
        <v>80</v>
      </c>
      <c r="I19" s="263">
        <v>82</v>
      </c>
      <c r="J19" s="263">
        <v>97</v>
      </c>
      <c r="K19" s="263">
        <v>103</v>
      </c>
      <c r="L19" s="263">
        <v>73</v>
      </c>
      <c r="M19" s="263">
        <v>74</v>
      </c>
      <c r="N19" s="257"/>
      <c r="O19" s="265">
        <f t="shared" si="0"/>
        <v>45627</v>
      </c>
      <c r="P19" s="267">
        <v>97.1</v>
      </c>
      <c r="Q19" s="267">
        <v>96.2</v>
      </c>
      <c r="R19" s="263">
        <v>64</v>
      </c>
      <c r="S19" s="263">
        <v>64</v>
      </c>
      <c r="T19" s="263">
        <v>71</v>
      </c>
      <c r="U19" s="263">
        <v>70</v>
      </c>
      <c r="V19" s="263">
        <v>73</v>
      </c>
      <c r="W19" s="263">
        <v>71</v>
      </c>
      <c r="X19" s="263">
        <v>68</v>
      </c>
      <c r="Y19" s="263">
        <v>72</v>
      </c>
      <c r="Z19" s="263">
        <v>70</v>
      </c>
      <c r="AA19" s="263">
        <v>69</v>
      </c>
      <c r="AB19" s="181"/>
    </row>
    <row r="20" spans="1:28" x14ac:dyDescent="0.2">
      <c r="A20" s="261">
        <f t="shared" si="1"/>
        <v>45992</v>
      </c>
      <c r="B20" s="267">
        <v>90.2</v>
      </c>
      <c r="C20" s="267">
        <v>83.5</v>
      </c>
      <c r="D20" s="263">
        <v>64</v>
      </c>
      <c r="E20" s="263">
        <v>64</v>
      </c>
      <c r="F20" s="263">
        <v>69</v>
      </c>
      <c r="G20" s="263">
        <v>67</v>
      </c>
      <c r="H20" s="263">
        <v>70</v>
      </c>
      <c r="I20" s="263">
        <v>65</v>
      </c>
      <c r="J20" s="263">
        <v>101</v>
      </c>
      <c r="K20" s="263">
        <v>111</v>
      </c>
      <c r="L20" s="263">
        <v>75</v>
      </c>
      <c r="M20" s="263">
        <v>75</v>
      </c>
      <c r="N20" s="257"/>
      <c r="O20" s="265">
        <f t="shared" si="0"/>
        <v>45992</v>
      </c>
      <c r="P20" s="267">
        <v>100.7</v>
      </c>
      <c r="Q20" s="267">
        <v>94.3</v>
      </c>
      <c r="R20" s="263">
        <v>69</v>
      </c>
      <c r="S20" s="263">
        <v>64</v>
      </c>
      <c r="T20" s="263">
        <v>75</v>
      </c>
      <c r="U20" s="263">
        <v>70</v>
      </c>
      <c r="V20" s="263">
        <v>74</v>
      </c>
      <c r="W20" s="263">
        <v>68</v>
      </c>
      <c r="X20" s="263">
        <v>73</v>
      </c>
      <c r="Y20" s="263">
        <v>68</v>
      </c>
      <c r="Z20" s="263">
        <v>73</v>
      </c>
      <c r="AA20" s="263">
        <v>67</v>
      </c>
      <c r="AB20" s="181"/>
    </row>
    <row r="21" spans="1:28" x14ac:dyDescent="0.2">
      <c r="A21" s="268"/>
      <c r="B21" s="269"/>
      <c r="C21" s="267"/>
      <c r="D21" s="270"/>
      <c r="E21" s="263"/>
      <c r="F21" s="270"/>
      <c r="G21" s="263"/>
      <c r="H21" s="270"/>
      <c r="I21" s="263"/>
      <c r="J21" s="270"/>
      <c r="K21" s="263"/>
      <c r="L21" s="270"/>
      <c r="M21" s="263"/>
      <c r="N21" s="257"/>
      <c r="O21" s="268"/>
      <c r="P21" s="267"/>
      <c r="Q21" s="267"/>
      <c r="R21" s="263"/>
      <c r="S21" s="263"/>
      <c r="T21" s="263"/>
      <c r="U21" s="263"/>
      <c r="V21" s="263"/>
      <c r="W21" s="263"/>
      <c r="X21" s="263"/>
      <c r="Y21" s="263"/>
      <c r="Z21" s="263"/>
      <c r="AA21" s="263"/>
      <c r="AB21" s="181"/>
    </row>
    <row r="22" spans="1:28" x14ac:dyDescent="0.2">
      <c r="A22" s="261">
        <f>DATE(YEAR(표지!O1)-2,MONTH(표지!O1)-1,1)</f>
        <v>45352</v>
      </c>
      <c r="B22" s="269">
        <v>86.3</v>
      </c>
      <c r="C22" s="269">
        <v>90.5</v>
      </c>
      <c r="D22" s="270">
        <v>58</v>
      </c>
      <c r="E22" s="270">
        <v>58</v>
      </c>
      <c r="F22" s="270">
        <v>76</v>
      </c>
      <c r="G22" s="270">
        <v>70</v>
      </c>
      <c r="H22" s="270">
        <v>72</v>
      </c>
      <c r="I22" s="270">
        <v>68</v>
      </c>
      <c r="J22" s="270">
        <v>111</v>
      </c>
      <c r="K22" s="270">
        <v>98</v>
      </c>
      <c r="L22" s="270">
        <v>73</v>
      </c>
      <c r="M22" s="270">
        <v>80</v>
      </c>
      <c r="N22" s="257"/>
      <c r="O22" s="261">
        <f t="shared" ref="O22:O26" si="2">A22</f>
        <v>45352</v>
      </c>
      <c r="P22" s="269">
        <v>91.7</v>
      </c>
      <c r="Q22" s="269">
        <v>87.8</v>
      </c>
      <c r="R22" s="270">
        <v>60</v>
      </c>
      <c r="S22" s="270">
        <v>56</v>
      </c>
      <c r="T22" s="270">
        <v>65</v>
      </c>
      <c r="U22" s="270">
        <v>63</v>
      </c>
      <c r="V22" s="270">
        <v>63</v>
      </c>
      <c r="W22" s="270">
        <v>62</v>
      </c>
      <c r="X22" s="270">
        <v>66</v>
      </c>
      <c r="Y22" s="270">
        <v>60</v>
      </c>
      <c r="Z22" s="270">
        <v>71</v>
      </c>
      <c r="AA22" s="270">
        <v>71</v>
      </c>
      <c r="AB22" s="181"/>
    </row>
    <row r="23" spans="1:28" x14ac:dyDescent="0.2">
      <c r="A23" s="271">
        <f t="shared" ref="A23:A24" si="3">DATE(YEAR(A22),MONTH(A22)+1,1)</f>
        <v>45383</v>
      </c>
      <c r="B23" s="269">
        <v>84.9</v>
      </c>
      <c r="C23" s="269">
        <v>89.3</v>
      </c>
      <c r="D23" s="270">
        <v>56</v>
      </c>
      <c r="E23" s="270">
        <v>65</v>
      </c>
      <c r="F23" s="270">
        <v>68</v>
      </c>
      <c r="G23" s="270">
        <v>85</v>
      </c>
      <c r="H23" s="270">
        <v>67</v>
      </c>
      <c r="I23" s="270">
        <v>75</v>
      </c>
      <c r="J23" s="270">
        <v>106</v>
      </c>
      <c r="K23" s="270">
        <v>109</v>
      </c>
      <c r="L23" s="270">
        <v>70</v>
      </c>
      <c r="M23" s="270">
        <v>74</v>
      </c>
      <c r="N23" s="257"/>
      <c r="O23" s="271">
        <f t="shared" si="2"/>
        <v>45383</v>
      </c>
      <c r="P23" s="269">
        <v>89.6</v>
      </c>
      <c r="Q23" s="269">
        <v>94.1</v>
      </c>
      <c r="R23" s="270">
        <v>57</v>
      </c>
      <c r="S23" s="270">
        <v>68</v>
      </c>
      <c r="T23" s="270">
        <v>62</v>
      </c>
      <c r="U23" s="270">
        <v>67</v>
      </c>
      <c r="V23" s="270">
        <v>62</v>
      </c>
      <c r="W23" s="270">
        <v>69</v>
      </c>
      <c r="X23" s="270">
        <v>64</v>
      </c>
      <c r="Y23" s="270">
        <v>65</v>
      </c>
      <c r="Z23" s="270">
        <v>76</v>
      </c>
      <c r="AA23" s="270">
        <v>73</v>
      </c>
      <c r="AB23" s="181"/>
    </row>
    <row r="24" spans="1:28" x14ac:dyDescent="0.2">
      <c r="A24" s="271">
        <f t="shared" si="3"/>
        <v>45413</v>
      </c>
      <c r="B24" s="269">
        <v>93.1</v>
      </c>
      <c r="C24" s="269">
        <v>89.3</v>
      </c>
      <c r="D24" s="270">
        <v>64</v>
      </c>
      <c r="E24" s="270">
        <v>62</v>
      </c>
      <c r="F24" s="270">
        <v>78</v>
      </c>
      <c r="G24" s="270">
        <v>76</v>
      </c>
      <c r="H24" s="270">
        <v>76</v>
      </c>
      <c r="I24" s="270">
        <v>68</v>
      </c>
      <c r="J24" s="270">
        <v>98</v>
      </c>
      <c r="K24" s="270">
        <v>102</v>
      </c>
      <c r="L24" s="270">
        <v>71</v>
      </c>
      <c r="M24" s="270">
        <v>75</v>
      </c>
      <c r="N24" s="257"/>
      <c r="O24" s="271">
        <f t="shared" si="2"/>
        <v>45413</v>
      </c>
      <c r="P24" s="269">
        <v>90.6</v>
      </c>
      <c r="Q24" s="269">
        <v>89</v>
      </c>
      <c r="R24" s="270">
        <v>58</v>
      </c>
      <c r="S24" s="270">
        <v>59</v>
      </c>
      <c r="T24" s="270">
        <v>69</v>
      </c>
      <c r="U24" s="270">
        <v>65</v>
      </c>
      <c r="V24" s="270">
        <v>63</v>
      </c>
      <c r="W24" s="270">
        <v>62</v>
      </c>
      <c r="X24" s="270">
        <v>61</v>
      </c>
      <c r="Y24" s="270">
        <v>61</v>
      </c>
      <c r="Z24" s="270">
        <v>75</v>
      </c>
      <c r="AA24" s="270">
        <v>76</v>
      </c>
      <c r="AB24" s="181"/>
    </row>
    <row r="25" spans="1:28" x14ac:dyDescent="0.2">
      <c r="A25" s="271">
        <f>DATE(YEAR(A24),MONTH(A24)+1,1)</f>
        <v>45444</v>
      </c>
      <c r="B25" s="269">
        <v>96.1</v>
      </c>
      <c r="C25" s="269">
        <v>90.6</v>
      </c>
      <c r="D25" s="270">
        <v>66</v>
      </c>
      <c r="E25" s="270">
        <v>67</v>
      </c>
      <c r="F25" s="270">
        <v>77</v>
      </c>
      <c r="G25" s="270">
        <v>78</v>
      </c>
      <c r="H25" s="270">
        <v>76</v>
      </c>
      <c r="I25" s="270">
        <v>74</v>
      </c>
      <c r="J25" s="270">
        <v>94</v>
      </c>
      <c r="K25" s="270">
        <v>101</v>
      </c>
      <c r="L25" s="270">
        <v>76</v>
      </c>
      <c r="M25" s="270">
        <v>69</v>
      </c>
      <c r="N25" s="257"/>
      <c r="O25" s="271">
        <f t="shared" si="2"/>
        <v>45444</v>
      </c>
      <c r="P25" s="269">
        <v>106.8</v>
      </c>
      <c r="Q25" s="269">
        <v>86.7</v>
      </c>
      <c r="R25" s="270">
        <v>77</v>
      </c>
      <c r="S25" s="270">
        <v>56</v>
      </c>
      <c r="T25" s="270">
        <v>77</v>
      </c>
      <c r="U25" s="270">
        <v>67</v>
      </c>
      <c r="V25" s="270">
        <v>82</v>
      </c>
      <c r="W25" s="270">
        <v>58</v>
      </c>
      <c r="X25" s="270">
        <v>79</v>
      </c>
      <c r="Y25" s="270">
        <v>57</v>
      </c>
      <c r="Z25" s="270">
        <v>73</v>
      </c>
      <c r="AA25" s="270">
        <v>74</v>
      </c>
      <c r="AB25" s="181"/>
    </row>
    <row r="26" spans="1:28" x14ac:dyDescent="0.2">
      <c r="A26" s="271">
        <f>DATE(YEAR(A25),MONTH(A25)+1,1)</f>
        <v>45474</v>
      </c>
      <c r="B26" s="269">
        <v>97.4</v>
      </c>
      <c r="C26" s="269">
        <v>95.2</v>
      </c>
      <c r="D26" s="270">
        <v>71</v>
      </c>
      <c r="E26" s="270">
        <v>64</v>
      </c>
      <c r="F26" s="270">
        <v>81</v>
      </c>
      <c r="G26" s="270">
        <v>79</v>
      </c>
      <c r="H26" s="270">
        <v>86</v>
      </c>
      <c r="I26" s="270">
        <v>80</v>
      </c>
      <c r="J26" s="270">
        <v>98</v>
      </c>
      <c r="K26" s="270">
        <v>95</v>
      </c>
      <c r="L26" s="270">
        <v>74</v>
      </c>
      <c r="M26" s="270">
        <v>74</v>
      </c>
      <c r="O26" s="271">
        <f t="shared" si="2"/>
        <v>45474</v>
      </c>
      <c r="P26" s="269">
        <v>102</v>
      </c>
      <c r="Q26" s="269">
        <v>102</v>
      </c>
      <c r="R26" s="270">
        <v>72</v>
      </c>
      <c r="S26" s="270">
        <v>70</v>
      </c>
      <c r="T26" s="270">
        <v>77</v>
      </c>
      <c r="U26" s="270">
        <v>74</v>
      </c>
      <c r="V26" s="270">
        <v>74</v>
      </c>
      <c r="W26" s="270">
        <v>81</v>
      </c>
      <c r="X26" s="270">
        <v>74</v>
      </c>
      <c r="Y26" s="270">
        <v>77</v>
      </c>
      <c r="Z26" s="270">
        <v>75</v>
      </c>
      <c r="AA26" s="270">
        <v>73</v>
      </c>
      <c r="AB26" s="181"/>
    </row>
    <row r="27" spans="1:28" x14ac:dyDescent="0.2">
      <c r="A27" s="271">
        <f t="shared" ref="A27:A31" si="4">DATE(YEAR(A26),MONTH(A26)+1,1)</f>
        <v>45505</v>
      </c>
      <c r="B27" s="269">
        <v>98.2</v>
      </c>
      <c r="C27" s="269">
        <v>95</v>
      </c>
      <c r="D27" s="270">
        <v>71</v>
      </c>
      <c r="E27" s="270">
        <v>67</v>
      </c>
      <c r="F27" s="270">
        <v>87</v>
      </c>
      <c r="G27" s="270">
        <v>84</v>
      </c>
      <c r="H27" s="270">
        <v>87</v>
      </c>
      <c r="I27" s="270">
        <v>84</v>
      </c>
      <c r="J27" s="270">
        <v>101</v>
      </c>
      <c r="K27" s="270">
        <v>99</v>
      </c>
      <c r="L27" s="270">
        <v>77</v>
      </c>
      <c r="M27" s="270">
        <v>72</v>
      </c>
      <c r="N27" s="257"/>
      <c r="O27" s="271">
        <f t="shared" ref="O27:O31" si="5">DATE(YEAR(O26),MONTH(O26)+1,1)</f>
        <v>45505</v>
      </c>
      <c r="P27" s="269">
        <v>96.1</v>
      </c>
      <c r="Q27" s="269">
        <v>100.8</v>
      </c>
      <c r="R27" s="270">
        <v>66</v>
      </c>
      <c r="S27" s="270">
        <v>72</v>
      </c>
      <c r="T27" s="270">
        <v>65</v>
      </c>
      <c r="U27" s="270">
        <v>79</v>
      </c>
      <c r="V27" s="270">
        <v>69</v>
      </c>
      <c r="W27" s="270">
        <v>75</v>
      </c>
      <c r="X27" s="270">
        <v>71</v>
      </c>
      <c r="Y27" s="270">
        <v>73</v>
      </c>
      <c r="Z27" s="270">
        <v>65</v>
      </c>
      <c r="AA27" s="270">
        <v>75</v>
      </c>
      <c r="AB27" s="181"/>
    </row>
    <row r="28" spans="1:28" x14ac:dyDescent="0.2">
      <c r="A28" s="271">
        <f t="shared" si="4"/>
        <v>45536</v>
      </c>
      <c r="B28" s="269">
        <v>98.8</v>
      </c>
      <c r="C28" s="269">
        <v>94.7</v>
      </c>
      <c r="D28" s="270">
        <v>69</v>
      </c>
      <c r="E28" s="270">
        <v>68</v>
      </c>
      <c r="F28" s="270">
        <v>90</v>
      </c>
      <c r="G28" s="270">
        <v>86</v>
      </c>
      <c r="H28" s="270">
        <v>89</v>
      </c>
      <c r="I28" s="270">
        <v>86</v>
      </c>
      <c r="J28" s="270">
        <v>101</v>
      </c>
      <c r="K28" s="270">
        <v>106</v>
      </c>
      <c r="L28" s="270">
        <v>77</v>
      </c>
      <c r="M28" s="270">
        <v>80</v>
      </c>
      <c r="N28" s="257"/>
      <c r="O28" s="271">
        <f t="shared" si="5"/>
        <v>45536</v>
      </c>
      <c r="P28" s="269">
        <v>92.9</v>
      </c>
      <c r="Q28" s="269">
        <v>92.8</v>
      </c>
      <c r="R28" s="270">
        <v>61</v>
      </c>
      <c r="S28" s="270">
        <v>61</v>
      </c>
      <c r="T28" s="270">
        <v>64</v>
      </c>
      <c r="U28" s="270">
        <v>65</v>
      </c>
      <c r="V28" s="270">
        <v>66</v>
      </c>
      <c r="W28" s="270">
        <v>67</v>
      </c>
      <c r="X28" s="270">
        <v>67</v>
      </c>
      <c r="Y28" s="270">
        <v>69</v>
      </c>
      <c r="Z28" s="270">
        <v>67</v>
      </c>
      <c r="AA28" s="270">
        <v>63</v>
      </c>
      <c r="AB28" s="181"/>
    </row>
    <row r="29" spans="1:28" x14ac:dyDescent="0.2">
      <c r="A29" s="271">
        <f t="shared" si="4"/>
        <v>45566</v>
      </c>
      <c r="B29" s="269">
        <v>95.1</v>
      </c>
      <c r="C29" s="269">
        <v>97.1</v>
      </c>
      <c r="D29" s="270">
        <v>65</v>
      </c>
      <c r="E29" s="270">
        <v>71</v>
      </c>
      <c r="F29" s="270">
        <v>86</v>
      </c>
      <c r="G29" s="270">
        <v>87</v>
      </c>
      <c r="H29" s="270">
        <v>89</v>
      </c>
      <c r="I29" s="270">
        <v>87</v>
      </c>
      <c r="J29" s="270">
        <v>105</v>
      </c>
      <c r="K29" s="270">
        <v>103</v>
      </c>
      <c r="L29" s="270">
        <v>74</v>
      </c>
      <c r="M29" s="270">
        <v>81</v>
      </c>
      <c r="N29" s="257"/>
      <c r="O29" s="271">
        <f t="shared" si="5"/>
        <v>45566</v>
      </c>
      <c r="P29" s="269">
        <v>96.5</v>
      </c>
      <c r="Q29" s="269">
        <v>95.1</v>
      </c>
      <c r="R29" s="270">
        <v>62</v>
      </c>
      <c r="S29" s="270">
        <v>63</v>
      </c>
      <c r="T29" s="270">
        <v>70</v>
      </c>
      <c r="U29" s="270">
        <v>68</v>
      </c>
      <c r="V29" s="270">
        <v>69</v>
      </c>
      <c r="W29" s="270">
        <v>71</v>
      </c>
      <c r="X29" s="270">
        <v>72</v>
      </c>
      <c r="Y29" s="270">
        <v>70</v>
      </c>
      <c r="Z29" s="270">
        <v>65</v>
      </c>
      <c r="AA29" s="270">
        <v>71</v>
      </c>
      <c r="AB29" s="181"/>
    </row>
    <row r="30" spans="1:28" x14ac:dyDescent="0.2">
      <c r="A30" s="271">
        <f t="shared" si="4"/>
        <v>45597</v>
      </c>
      <c r="B30" s="269">
        <v>95.8</v>
      </c>
      <c r="C30" s="269">
        <v>95.3</v>
      </c>
      <c r="D30" s="270">
        <v>66</v>
      </c>
      <c r="E30" s="270">
        <v>69</v>
      </c>
      <c r="F30" s="270">
        <v>84</v>
      </c>
      <c r="G30" s="270">
        <v>87</v>
      </c>
      <c r="H30" s="270">
        <v>83</v>
      </c>
      <c r="I30" s="270">
        <v>89</v>
      </c>
      <c r="J30" s="270">
        <v>103</v>
      </c>
      <c r="K30" s="270">
        <v>104</v>
      </c>
      <c r="L30" s="270">
        <v>79</v>
      </c>
      <c r="M30" s="270">
        <v>75</v>
      </c>
      <c r="N30" s="257"/>
      <c r="O30" s="271">
        <f t="shared" si="5"/>
        <v>45597</v>
      </c>
      <c r="P30" s="269">
        <v>96.9</v>
      </c>
      <c r="Q30" s="269">
        <v>96</v>
      </c>
      <c r="R30" s="270">
        <v>64</v>
      </c>
      <c r="S30" s="270">
        <v>63</v>
      </c>
      <c r="T30" s="270">
        <v>70</v>
      </c>
      <c r="U30" s="270">
        <v>69</v>
      </c>
      <c r="V30" s="270">
        <v>71</v>
      </c>
      <c r="W30" s="270">
        <v>72</v>
      </c>
      <c r="X30" s="270">
        <v>70</v>
      </c>
      <c r="Y30" s="270">
        <v>72</v>
      </c>
      <c r="Z30" s="270">
        <v>72</v>
      </c>
      <c r="AA30" s="270">
        <v>68</v>
      </c>
      <c r="AB30" s="181"/>
    </row>
    <row r="31" spans="1:28" x14ac:dyDescent="0.2">
      <c r="A31" s="271">
        <f t="shared" si="4"/>
        <v>45627</v>
      </c>
      <c r="B31" s="269">
        <v>95.8</v>
      </c>
      <c r="C31" s="269">
        <v>92.1</v>
      </c>
      <c r="D31" s="270">
        <v>68</v>
      </c>
      <c r="E31" s="270">
        <v>66</v>
      </c>
      <c r="F31" s="270">
        <v>80</v>
      </c>
      <c r="G31" s="270">
        <v>78</v>
      </c>
      <c r="H31" s="270">
        <v>80</v>
      </c>
      <c r="I31" s="270">
        <v>82</v>
      </c>
      <c r="J31" s="270">
        <v>97</v>
      </c>
      <c r="K31" s="270">
        <v>103</v>
      </c>
      <c r="L31" s="270">
        <v>73</v>
      </c>
      <c r="M31" s="270">
        <v>74</v>
      </c>
      <c r="N31" s="257"/>
      <c r="O31" s="271">
        <f t="shared" si="5"/>
        <v>45627</v>
      </c>
      <c r="P31" s="269">
        <v>97.1</v>
      </c>
      <c r="Q31" s="269">
        <v>96.2</v>
      </c>
      <c r="R31" s="270">
        <v>64</v>
      </c>
      <c r="S31" s="270">
        <v>64</v>
      </c>
      <c r="T31" s="270">
        <v>71</v>
      </c>
      <c r="U31" s="270">
        <v>70</v>
      </c>
      <c r="V31" s="270">
        <v>73</v>
      </c>
      <c r="W31" s="270">
        <v>71</v>
      </c>
      <c r="X31" s="270">
        <v>68</v>
      </c>
      <c r="Y31" s="270">
        <v>72</v>
      </c>
      <c r="Z31" s="270">
        <v>70</v>
      </c>
      <c r="AA31" s="270">
        <v>69</v>
      </c>
      <c r="AB31" s="181"/>
    </row>
    <row r="32" spans="1:28" x14ac:dyDescent="0.2">
      <c r="A32" s="271"/>
      <c r="B32" s="269"/>
      <c r="C32" s="269"/>
      <c r="D32" s="270"/>
      <c r="E32" s="270"/>
      <c r="F32" s="270"/>
      <c r="G32" s="270"/>
      <c r="H32" s="270"/>
      <c r="I32" s="270"/>
      <c r="J32" s="270"/>
      <c r="K32" s="270"/>
      <c r="L32" s="270"/>
      <c r="M32" s="270"/>
      <c r="N32" s="257"/>
      <c r="O32" s="271"/>
      <c r="P32" s="269"/>
      <c r="Q32" s="269"/>
      <c r="R32" s="270"/>
      <c r="S32" s="270"/>
      <c r="T32" s="270"/>
      <c r="U32" s="270"/>
      <c r="V32" s="270"/>
      <c r="W32" s="270"/>
      <c r="X32" s="270"/>
      <c r="Y32" s="270"/>
      <c r="Z32" s="270"/>
      <c r="AA32" s="270"/>
      <c r="AB32" s="181"/>
    </row>
    <row r="33" spans="1:28" x14ac:dyDescent="0.2">
      <c r="A33" s="261">
        <f>DATE(YEAR(A31),MONTH(A31)+1,1)</f>
        <v>45658</v>
      </c>
      <c r="B33" s="269">
        <v>94.5</v>
      </c>
      <c r="C33" s="269">
        <v>91.4</v>
      </c>
      <c r="D33" s="270">
        <v>61</v>
      </c>
      <c r="E33" s="270">
        <v>64</v>
      </c>
      <c r="F33" s="270">
        <v>82</v>
      </c>
      <c r="G33" s="270">
        <v>77</v>
      </c>
      <c r="H33" s="270">
        <v>83</v>
      </c>
      <c r="I33" s="270">
        <v>76</v>
      </c>
      <c r="J33" s="270">
        <v>100</v>
      </c>
      <c r="K33" s="270">
        <v>100</v>
      </c>
      <c r="L33" s="270">
        <v>74</v>
      </c>
      <c r="M33" s="270">
        <v>72</v>
      </c>
      <c r="N33" s="257"/>
      <c r="O33" s="261">
        <f>DATE(YEAR(O31),MONTH(O31)+1,1)</f>
        <v>45658</v>
      </c>
      <c r="P33" s="269">
        <v>84.8</v>
      </c>
      <c r="Q33" s="269">
        <v>92.4</v>
      </c>
      <c r="R33" s="270">
        <v>51</v>
      </c>
      <c r="S33" s="270">
        <v>57</v>
      </c>
      <c r="T33" s="270">
        <v>56</v>
      </c>
      <c r="U33" s="270">
        <v>70</v>
      </c>
      <c r="V33" s="270">
        <v>59</v>
      </c>
      <c r="W33" s="270">
        <v>67</v>
      </c>
      <c r="X33" s="270">
        <v>59</v>
      </c>
      <c r="Y33" s="270">
        <v>67</v>
      </c>
      <c r="Z33" s="270">
        <v>64</v>
      </c>
      <c r="AA33" s="270">
        <v>68</v>
      </c>
      <c r="AB33" s="181"/>
    </row>
    <row r="34" spans="1:28" x14ac:dyDescent="0.2">
      <c r="A34" s="271">
        <f t="shared" ref="A34:A48" si="6">DATE(YEAR(A33),MONTH(A33)+1,1)</f>
        <v>45689</v>
      </c>
      <c r="B34" s="269">
        <v>90.3</v>
      </c>
      <c r="C34" s="269">
        <v>90.9</v>
      </c>
      <c r="D34" s="270">
        <v>58</v>
      </c>
      <c r="E34" s="270">
        <v>62</v>
      </c>
      <c r="F34" s="270">
        <v>79</v>
      </c>
      <c r="G34" s="270">
        <v>81</v>
      </c>
      <c r="H34" s="270">
        <v>72</v>
      </c>
      <c r="I34" s="270">
        <v>81</v>
      </c>
      <c r="J34" s="270">
        <v>99</v>
      </c>
      <c r="K34" s="270">
        <v>104</v>
      </c>
      <c r="L34" s="270">
        <v>68</v>
      </c>
      <c r="M34" s="270">
        <v>72</v>
      </c>
      <c r="N34" s="257"/>
      <c r="O34" s="271">
        <f t="shared" ref="O34:O48" si="7">DATE(YEAR(O33),MONTH(O33)+1,1)</f>
        <v>45689</v>
      </c>
      <c r="P34" s="269">
        <v>91.1</v>
      </c>
      <c r="Q34" s="269">
        <v>84.3</v>
      </c>
      <c r="R34" s="270">
        <v>62</v>
      </c>
      <c r="S34" s="270">
        <v>50</v>
      </c>
      <c r="T34" s="270">
        <v>61</v>
      </c>
      <c r="U34" s="270">
        <v>58</v>
      </c>
      <c r="V34" s="270">
        <v>60</v>
      </c>
      <c r="W34" s="270">
        <v>58</v>
      </c>
      <c r="X34" s="270">
        <v>68</v>
      </c>
      <c r="Y34" s="270">
        <v>59</v>
      </c>
      <c r="Z34" s="270">
        <v>63</v>
      </c>
      <c r="AA34" s="270">
        <v>66</v>
      </c>
      <c r="AB34" s="181"/>
    </row>
    <row r="35" spans="1:28" x14ac:dyDescent="0.2">
      <c r="A35" s="271">
        <f t="shared" si="6"/>
        <v>45717</v>
      </c>
      <c r="B35" s="269">
        <v>91.4</v>
      </c>
      <c r="C35" s="269">
        <v>91.3</v>
      </c>
      <c r="D35" s="270">
        <v>65</v>
      </c>
      <c r="E35" s="270">
        <v>61</v>
      </c>
      <c r="F35" s="270">
        <v>76</v>
      </c>
      <c r="G35" s="270">
        <v>82</v>
      </c>
      <c r="H35" s="270">
        <v>75</v>
      </c>
      <c r="I35" s="270">
        <v>76</v>
      </c>
      <c r="J35" s="270">
        <v>104</v>
      </c>
      <c r="K35" s="270">
        <v>101</v>
      </c>
      <c r="L35" s="270">
        <v>75</v>
      </c>
      <c r="M35" s="270">
        <v>72</v>
      </c>
      <c r="N35" s="257"/>
      <c r="O35" s="271">
        <f t="shared" si="7"/>
        <v>45717</v>
      </c>
      <c r="P35" s="269">
        <v>94.6</v>
      </c>
      <c r="Q35" s="269">
        <v>91.1</v>
      </c>
      <c r="R35" s="270">
        <v>57</v>
      </c>
      <c r="S35" s="270">
        <v>59</v>
      </c>
      <c r="T35" s="270">
        <v>69</v>
      </c>
      <c r="U35" s="270">
        <v>65</v>
      </c>
      <c r="V35" s="270">
        <v>69</v>
      </c>
      <c r="W35" s="270">
        <v>64</v>
      </c>
      <c r="X35" s="270">
        <v>70</v>
      </c>
      <c r="Y35" s="270">
        <v>67</v>
      </c>
      <c r="Z35" s="270">
        <v>60</v>
      </c>
      <c r="AA35" s="270">
        <v>64</v>
      </c>
      <c r="AB35" s="181"/>
    </row>
    <row r="36" spans="1:28" x14ac:dyDescent="0.2">
      <c r="A36" s="271">
        <f t="shared" si="6"/>
        <v>45748</v>
      </c>
      <c r="B36" s="269">
        <v>88.6</v>
      </c>
      <c r="C36" s="269">
        <v>89.9</v>
      </c>
      <c r="D36" s="270">
        <v>59</v>
      </c>
      <c r="E36" s="270">
        <v>65</v>
      </c>
      <c r="F36" s="270">
        <v>73</v>
      </c>
      <c r="G36" s="270">
        <v>75</v>
      </c>
      <c r="H36" s="270">
        <v>76</v>
      </c>
      <c r="I36" s="270">
        <v>76</v>
      </c>
      <c r="J36" s="270">
        <v>107</v>
      </c>
      <c r="K36" s="270">
        <v>104</v>
      </c>
      <c r="L36" s="270">
        <v>74</v>
      </c>
      <c r="M36" s="270">
        <v>74</v>
      </c>
      <c r="N36" s="257"/>
      <c r="O36" s="271">
        <f t="shared" si="7"/>
        <v>45748</v>
      </c>
      <c r="P36" s="269">
        <v>91.8</v>
      </c>
      <c r="Q36" s="269">
        <v>97.4</v>
      </c>
      <c r="R36" s="270">
        <v>59</v>
      </c>
      <c r="S36" s="270">
        <v>61</v>
      </c>
      <c r="T36" s="270">
        <v>61</v>
      </c>
      <c r="U36" s="270">
        <v>73</v>
      </c>
      <c r="V36" s="270">
        <v>65</v>
      </c>
      <c r="W36" s="270">
        <v>73</v>
      </c>
      <c r="X36" s="270">
        <v>68</v>
      </c>
      <c r="Y36" s="270">
        <v>75</v>
      </c>
      <c r="Z36" s="270">
        <v>65</v>
      </c>
      <c r="AA36" s="270">
        <v>63</v>
      </c>
      <c r="AB36" s="181"/>
    </row>
    <row r="37" spans="1:28" x14ac:dyDescent="0.2">
      <c r="A37" s="271">
        <f t="shared" si="6"/>
        <v>45778</v>
      </c>
      <c r="B37" s="269">
        <v>91.2</v>
      </c>
      <c r="C37" s="269">
        <v>89.3</v>
      </c>
      <c r="D37" s="270">
        <v>63</v>
      </c>
      <c r="E37" s="270">
        <v>59</v>
      </c>
      <c r="F37" s="270">
        <v>89</v>
      </c>
      <c r="G37" s="270">
        <v>77</v>
      </c>
      <c r="H37" s="270">
        <v>75</v>
      </c>
      <c r="I37" s="270">
        <v>74</v>
      </c>
      <c r="J37" s="270">
        <v>108</v>
      </c>
      <c r="K37" s="270">
        <v>102</v>
      </c>
      <c r="L37" s="270">
        <v>73</v>
      </c>
      <c r="M37" s="270">
        <v>72</v>
      </c>
      <c r="N37" s="257"/>
      <c r="O37" s="271">
        <f t="shared" si="7"/>
        <v>45778</v>
      </c>
      <c r="P37" s="269">
        <v>90.3</v>
      </c>
      <c r="Q37" s="269">
        <v>92</v>
      </c>
      <c r="R37" s="270">
        <v>57</v>
      </c>
      <c r="S37" s="270">
        <v>58</v>
      </c>
      <c r="T37" s="270">
        <v>63</v>
      </c>
      <c r="U37" s="270">
        <v>61</v>
      </c>
      <c r="V37" s="270">
        <v>64</v>
      </c>
      <c r="W37" s="270">
        <v>66</v>
      </c>
      <c r="X37" s="270">
        <v>64</v>
      </c>
      <c r="Y37" s="270">
        <v>72</v>
      </c>
      <c r="Z37" s="270">
        <v>66</v>
      </c>
      <c r="AA37" s="270">
        <v>66</v>
      </c>
      <c r="AB37" s="181"/>
    </row>
    <row r="38" spans="1:28" x14ac:dyDescent="0.2">
      <c r="A38" s="271">
        <f t="shared" si="6"/>
        <v>45809</v>
      </c>
      <c r="B38" s="269">
        <v>92</v>
      </c>
      <c r="C38" s="269">
        <v>93.3</v>
      </c>
      <c r="D38" s="270">
        <v>63</v>
      </c>
      <c r="E38" s="270">
        <v>65</v>
      </c>
      <c r="F38" s="270">
        <v>75</v>
      </c>
      <c r="G38" s="270">
        <v>87</v>
      </c>
      <c r="H38" s="270">
        <v>77</v>
      </c>
      <c r="I38" s="270">
        <v>78</v>
      </c>
      <c r="J38" s="270">
        <v>102</v>
      </c>
      <c r="K38" s="270">
        <v>102</v>
      </c>
      <c r="L38" s="270">
        <v>75</v>
      </c>
      <c r="M38" s="270">
        <v>74</v>
      </c>
      <c r="N38" s="257"/>
      <c r="O38" s="271">
        <f t="shared" si="7"/>
        <v>45809</v>
      </c>
      <c r="P38" s="269">
        <v>87.4</v>
      </c>
      <c r="Q38" s="269">
        <v>91.2</v>
      </c>
      <c r="R38" s="270">
        <v>57</v>
      </c>
      <c r="S38" s="270">
        <v>60</v>
      </c>
      <c r="T38" s="270">
        <v>61</v>
      </c>
      <c r="U38" s="270">
        <v>63</v>
      </c>
      <c r="V38" s="270">
        <v>59</v>
      </c>
      <c r="W38" s="270">
        <v>65</v>
      </c>
      <c r="X38" s="270">
        <v>60</v>
      </c>
      <c r="Y38" s="270">
        <v>67</v>
      </c>
      <c r="Z38" s="270">
        <v>65</v>
      </c>
      <c r="AA38" s="270">
        <v>67</v>
      </c>
      <c r="AB38" s="181"/>
    </row>
    <row r="39" spans="1:28" x14ac:dyDescent="0.2">
      <c r="A39" s="271">
        <f t="shared" si="6"/>
        <v>45839</v>
      </c>
      <c r="B39" s="269">
        <v>92.2</v>
      </c>
      <c r="C39" s="269">
        <v>93.5</v>
      </c>
      <c r="D39" s="270">
        <v>62</v>
      </c>
      <c r="E39" s="270">
        <v>68</v>
      </c>
      <c r="F39" s="270">
        <v>79</v>
      </c>
      <c r="G39" s="270">
        <v>82</v>
      </c>
      <c r="H39" s="270">
        <v>77</v>
      </c>
      <c r="I39" s="270">
        <v>81</v>
      </c>
      <c r="J39" s="270">
        <v>104</v>
      </c>
      <c r="K39" s="270">
        <v>104</v>
      </c>
      <c r="L39" s="270">
        <v>77</v>
      </c>
      <c r="M39" s="270">
        <v>78</v>
      </c>
      <c r="O39" s="271">
        <f t="shared" si="7"/>
        <v>45839</v>
      </c>
      <c r="P39" s="269">
        <v>90.7</v>
      </c>
      <c r="Q39" s="269">
        <v>86.3</v>
      </c>
      <c r="R39" s="270">
        <v>60</v>
      </c>
      <c r="S39" s="270">
        <v>55</v>
      </c>
      <c r="T39" s="270">
        <v>63</v>
      </c>
      <c r="U39" s="270">
        <v>59</v>
      </c>
      <c r="V39" s="270">
        <v>63</v>
      </c>
      <c r="W39" s="270">
        <v>61</v>
      </c>
      <c r="X39" s="270">
        <v>64</v>
      </c>
      <c r="Y39" s="270">
        <v>59</v>
      </c>
      <c r="Z39" s="270">
        <v>68</v>
      </c>
      <c r="AA39" s="270">
        <v>66</v>
      </c>
      <c r="AB39" s="181"/>
    </row>
    <row r="40" spans="1:28" x14ac:dyDescent="0.2">
      <c r="A40" s="271">
        <f t="shared" si="6"/>
        <v>45870</v>
      </c>
      <c r="B40" s="269">
        <v>89.9</v>
      </c>
      <c r="C40" s="269">
        <v>91.3</v>
      </c>
      <c r="D40" s="270">
        <v>60</v>
      </c>
      <c r="E40" s="270">
        <v>63</v>
      </c>
      <c r="F40" s="270">
        <v>78</v>
      </c>
      <c r="G40" s="270">
        <v>80</v>
      </c>
      <c r="H40" s="270">
        <v>71</v>
      </c>
      <c r="I40" s="270">
        <v>73</v>
      </c>
      <c r="J40" s="270">
        <v>105</v>
      </c>
      <c r="K40" s="270">
        <v>102</v>
      </c>
      <c r="L40" s="270">
        <v>76</v>
      </c>
      <c r="M40" s="270">
        <v>76</v>
      </c>
      <c r="N40" s="257"/>
      <c r="O40" s="271">
        <f t="shared" si="7"/>
        <v>45870</v>
      </c>
      <c r="P40" s="269">
        <v>89.3</v>
      </c>
      <c r="Q40" s="269">
        <v>88.5</v>
      </c>
      <c r="R40" s="270">
        <v>59</v>
      </c>
      <c r="S40" s="270">
        <v>59</v>
      </c>
      <c r="T40" s="270">
        <v>63</v>
      </c>
      <c r="U40" s="270">
        <v>61</v>
      </c>
      <c r="V40" s="270">
        <v>64</v>
      </c>
      <c r="W40" s="270">
        <v>63</v>
      </c>
      <c r="X40" s="270">
        <v>59</v>
      </c>
      <c r="Y40" s="270">
        <v>61</v>
      </c>
      <c r="Z40" s="270">
        <v>65</v>
      </c>
      <c r="AA40" s="270">
        <v>68</v>
      </c>
      <c r="AB40" s="181"/>
    </row>
    <row r="41" spans="1:28" x14ac:dyDescent="0.2">
      <c r="A41" s="271">
        <f t="shared" si="6"/>
        <v>45901</v>
      </c>
      <c r="B41" s="269">
        <v>91.7</v>
      </c>
      <c r="C41" s="269">
        <v>90.1</v>
      </c>
      <c r="D41" s="270">
        <v>64</v>
      </c>
      <c r="E41" s="270">
        <v>62</v>
      </c>
      <c r="F41" s="270">
        <v>74</v>
      </c>
      <c r="G41" s="270">
        <v>81</v>
      </c>
      <c r="H41" s="270">
        <v>77</v>
      </c>
      <c r="I41" s="270">
        <v>75</v>
      </c>
      <c r="J41" s="270">
        <v>104</v>
      </c>
      <c r="K41" s="270">
        <v>106</v>
      </c>
      <c r="L41" s="270">
        <v>77</v>
      </c>
      <c r="M41" s="270">
        <v>77</v>
      </c>
      <c r="N41" s="257"/>
      <c r="O41" s="271">
        <f t="shared" si="7"/>
        <v>45901</v>
      </c>
      <c r="P41" s="269">
        <v>90.9</v>
      </c>
      <c r="Q41" s="269">
        <v>90.9</v>
      </c>
      <c r="R41" s="270">
        <v>63</v>
      </c>
      <c r="S41" s="270">
        <v>59</v>
      </c>
      <c r="T41" s="270">
        <v>62</v>
      </c>
      <c r="U41" s="270">
        <v>68</v>
      </c>
      <c r="V41" s="270">
        <v>63</v>
      </c>
      <c r="W41" s="270">
        <v>64</v>
      </c>
      <c r="X41" s="270">
        <v>63</v>
      </c>
      <c r="Y41" s="270">
        <v>64</v>
      </c>
      <c r="Z41" s="270">
        <v>71</v>
      </c>
      <c r="AA41" s="270">
        <v>66</v>
      </c>
      <c r="AB41" s="181"/>
    </row>
    <row r="42" spans="1:28" x14ac:dyDescent="0.2">
      <c r="A42" s="271">
        <f t="shared" si="6"/>
        <v>45931</v>
      </c>
      <c r="B42" s="269">
        <v>87.2</v>
      </c>
      <c r="C42" s="269">
        <v>86.4</v>
      </c>
      <c r="D42" s="270">
        <v>51</v>
      </c>
      <c r="E42" s="270">
        <v>57</v>
      </c>
      <c r="F42" s="270">
        <v>67</v>
      </c>
      <c r="G42" s="270">
        <v>69</v>
      </c>
      <c r="H42" s="270">
        <v>67</v>
      </c>
      <c r="I42" s="270">
        <v>71</v>
      </c>
      <c r="J42" s="270">
        <v>100</v>
      </c>
      <c r="K42" s="270">
        <v>104</v>
      </c>
      <c r="L42" s="270">
        <v>74</v>
      </c>
      <c r="M42" s="270">
        <v>73</v>
      </c>
      <c r="N42" s="257"/>
      <c r="O42" s="271">
        <f t="shared" si="7"/>
        <v>45931</v>
      </c>
      <c r="P42" s="269">
        <v>93.3</v>
      </c>
      <c r="Q42" s="269">
        <v>91</v>
      </c>
      <c r="R42" s="270">
        <v>61</v>
      </c>
      <c r="S42" s="270">
        <v>59</v>
      </c>
      <c r="T42" s="270">
        <v>65</v>
      </c>
      <c r="U42" s="270">
        <v>63</v>
      </c>
      <c r="V42" s="270">
        <v>67</v>
      </c>
      <c r="W42" s="270">
        <v>67</v>
      </c>
      <c r="X42" s="270">
        <v>67</v>
      </c>
      <c r="Y42" s="270">
        <v>65</v>
      </c>
      <c r="Z42" s="270">
        <v>65</v>
      </c>
      <c r="AA42" s="270">
        <v>67</v>
      </c>
      <c r="AB42" s="181"/>
    </row>
    <row r="43" spans="1:28" x14ac:dyDescent="0.2">
      <c r="A43" s="271">
        <f t="shared" si="6"/>
        <v>45962</v>
      </c>
      <c r="B43" s="269">
        <v>86.1</v>
      </c>
      <c r="C43" s="269">
        <v>90</v>
      </c>
      <c r="D43" s="270">
        <v>63</v>
      </c>
      <c r="E43" s="270">
        <v>56</v>
      </c>
      <c r="F43" s="270">
        <v>63</v>
      </c>
      <c r="G43" s="270">
        <v>71</v>
      </c>
      <c r="H43" s="270">
        <v>70</v>
      </c>
      <c r="I43" s="270">
        <v>74</v>
      </c>
      <c r="J43" s="270">
        <v>109</v>
      </c>
      <c r="K43" s="270">
        <v>97</v>
      </c>
      <c r="L43" s="270">
        <v>76</v>
      </c>
      <c r="M43" s="270">
        <v>72</v>
      </c>
      <c r="N43" s="257"/>
      <c r="O43" s="271">
        <f t="shared" si="7"/>
        <v>45962</v>
      </c>
      <c r="P43" s="269">
        <v>93.3</v>
      </c>
      <c r="Q43" s="269">
        <v>96.1</v>
      </c>
      <c r="R43" s="270">
        <v>64</v>
      </c>
      <c r="S43" s="270">
        <v>64</v>
      </c>
      <c r="T43" s="270">
        <v>66</v>
      </c>
      <c r="U43" s="270">
        <v>71</v>
      </c>
      <c r="V43" s="270">
        <v>66</v>
      </c>
      <c r="W43" s="270">
        <v>71</v>
      </c>
      <c r="X43" s="270">
        <v>65</v>
      </c>
      <c r="Y43" s="270">
        <v>71</v>
      </c>
      <c r="Z43" s="270">
        <v>68</v>
      </c>
      <c r="AA43" s="270">
        <v>67</v>
      </c>
      <c r="AB43" s="181"/>
    </row>
    <row r="44" spans="1:28" x14ac:dyDescent="0.2">
      <c r="A44" s="271">
        <f t="shared" si="6"/>
        <v>45992</v>
      </c>
      <c r="B44" s="269">
        <v>90.2</v>
      </c>
      <c r="C44" s="269">
        <v>83.5</v>
      </c>
      <c r="D44" s="270">
        <v>64</v>
      </c>
      <c r="E44" s="270">
        <v>64</v>
      </c>
      <c r="F44" s="270">
        <v>69</v>
      </c>
      <c r="G44" s="270">
        <v>67</v>
      </c>
      <c r="H44" s="270">
        <v>70</v>
      </c>
      <c r="I44" s="270">
        <v>65</v>
      </c>
      <c r="J44" s="270">
        <v>101</v>
      </c>
      <c r="K44" s="270">
        <v>111</v>
      </c>
      <c r="L44" s="270">
        <v>75</v>
      </c>
      <c r="M44" s="270">
        <v>75</v>
      </c>
      <c r="N44" s="257"/>
      <c r="O44" s="271">
        <f t="shared" si="7"/>
        <v>45992</v>
      </c>
      <c r="P44" s="269">
        <v>100.7</v>
      </c>
      <c r="Q44" s="269">
        <v>94.3</v>
      </c>
      <c r="R44" s="270">
        <v>69</v>
      </c>
      <c r="S44" s="270">
        <v>64</v>
      </c>
      <c r="T44" s="270">
        <v>75</v>
      </c>
      <c r="U44" s="270">
        <v>70</v>
      </c>
      <c r="V44" s="270">
        <v>74</v>
      </c>
      <c r="W44" s="270">
        <v>68</v>
      </c>
      <c r="X44" s="270">
        <v>73</v>
      </c>
      <c r="Y44" s="270">
        <v>68</v>
      </c>
      <c r="Z44" s="270">
        <v>73</v>
      </c>
      <c r="AA44" s="270">
        <v>67</v>
      </c>
      <c r="AB44" s="181"/>
    </row>
    <row r="45" spans="1:28" x14ac:dyDescent="0.2">
      <c r="A45" s="271"/>
      <c r="B45" s="269"/>
      <c r="C45" s="269"/>
      <c r="D45" s="270"/>
      <c r="E45" s="270"/>
      <c r="F45" s="270"/>
      <c r="G45" s="270"/>
      <c r="H45" s="270"/>
      <c r="I45" s="270"/>
      <c r="J45" s="270"/>
      <c r="K45" s="270"/>
      <c r="L45" s="270"/>
      <c r="M45" s="270"/>
      <c r="N45" s="257"/>
      <c r="O45" s="271"/>
      <c r="P45" s="269"/>
      <c r="Q45" s="269"/>
      <c r="R45" s="270"/>
      <c r="S45" s="270"/>
      <c r="T45" s="270"/>
      <c r="U45" s="270"/>
      <c r="V45" s="270"/>
      <c r="W45" s="270"/>
      <c r="X45" s="270"/>
      <c r="Y45" s="270"/>
      <c r="Z45" s="270"/>
      <c r="AA45" s="270"/>
      <c r="AB45" s="181"/>
    </row>
    <row r="46" spans="1:28" x14ac:dyDescent="0.2">
      <c r="A46" s="261">
        <f>DATE(YEAR(A44),MONTH(A44)+1,1)</f>
        <v>46023</v>
      </c>
      <c r="B46" s="269">
        <v>85.8</v>
      </c>
      <c r="C46" s="269">
        <v>89.9</v>
      </c>
      <c r="D46" s="270">
        <v>64</v>
      </c>
      <c r="E46" s="270">
        <v>66</v>
      </c>
      <c r="F46" s="270">
        <v>71</v>
      </c>
      <c r="G46" s="270">
        <v>68</v>
      </c>
      <c r="H46" s="270">
        <v>70</v>
      </c>
      <c r="I46" s="270">
        <v>74</v>
      </c>
      <c r="J46" s="270">
        <v>112</v>
      </c>
      <c r="K46" s="270">
        <v>102</v>
      </c>
      <c r="L46" s="270">
        <v>73</v>
      </c>
      <c r="M46" s="270">
        <v>76</v>
      </c>
      <c r="N46" s="257"/>
      <c r="O46" s="261">
        <f>DATE(YEAR(O44),MONTH(O44)+1,1)</f>
        <v>46023</v>
      </c>
      <c r="P46" s="269">
        <v>96.6</v>
      </c>
      <c r="Q46" s="269">
        <v>93.5</v>
      </c>
      <c r="R46" s="270">
        <v>63</v>
      </c>
      <c r="S46" s="270">
        <v>63</v>
      </c>
      <c r="T46" s="270">
        <v>65</v>
      </c>
      <c r="U46" s="270">
        <v>68</v>
      </c>
      <c r="V46" s="270">
        <v>71</v>
      </c>
      <c r="W46" s="270">
        <v>66</v>
      </c>
      <c r="X46" s="270">
        <v>73</v>
      </c>
      <c r="Y46" s="270">
        <v>69</v>
      </c>
      <c r="Z46" s="270">
        <v>69</v>
      </c>
      <c r="AA46" s="270">
        <v>71</v>
      </c>
      <c r="AB46" s="181"/>
    </row>
    <row r="47" spans="1:28" x14ac:dyDescent="0.2">
      <c r="A47" s="271">
        <f t="shared" si="6"/>
        <v>46054</v>
      </c>
      <c r="B47" s="269">
        <v>97.7</v>
      </c>
      <c r="C47" s="269">
        <v>86.3</v>
      </c>
      <c r="D47" s="270">
        <v>72</v>
      </c>
      <c r="E47" s="270">
        <v>66</v>
      </c>
      <c r="F47" s="270">
        <v>81</v>
      </c>
      <c r="G47" s="270">
        <v>71</v>
      </c>
      <c r="H47" s="270">
        <v>79</v>
      </c>
      <c r="I47" s="270">
        <v>72</v>
      </c>
      <c r="J47" s="270">
        <v>99</v>
      </c>
      <c r="K47" s="270">
        <v>110</v>
      </c>
      <c r="L47" s="270">
        <v>81</v>
      </c>
      <c r="M47" s="270">
        <v>75</v>
      </c>
      <c r="N47" s="257"/>
      <c r="O47" s="271">
        <f t="shared" si="7"/>
        <v>46054</v>
      </c>
      <c r="P47" s="269">
        <v>93.7</v>
      </c>
      <c r="Q47" s="269">
        <v>96.2</v>
      </c>
      <c r="R47" s="270">
        <v>64</v>
      </c>
      <c r="S47" s="270">
        <v>64</v>
      </c>
      <c r="T47" s="270">
        <v>68</v>
      </c>
      <c r="U47" s="270">
        <v>70</v>
      </c>
      <c r="V47" s="270">
        <v>64</v>
      </c>
      <c r="W47" s="270">
        <v>71</v>
      </c>
      <c r="X47" s="270">
        <v>67</v>
      </c>
      <c r="Y47" s="270">
        <v>72</v>
      </c>
      <c r="Z47" s="270">
        <v>75</v>
      </c>
      <c r="AA47" s="270">
        <v>72</v>
      </c>
      <c r="AB47" s="181"/>
    </row>
    <row r="48" spans="1:28" x14ac:dyDescent="0.2">
      <c r="A48" s="271">
        <f t="shared" si="6"/>
        <v>46082</v>
      </c>
      <c r="B48" s="269">
        <v>98.1</v>
      </c>
      <c r="C48" s="269">
        <v>95.6</v>
      </c>
      <c r="D48" s="270">
        <v>70</v>
      </c>
      <c r="E48" s="270">
        <v>73</v>
      </c>
      <c r="F48" s="270">
        <v>79</v>
      </c>
      <c r="G48" s="270">
        <v>81</v>
      </c>
      <c r="H48" s="270">
        <v>82</v>
      </c>
      <c r="I48" s="270">
        <v>79</v>
      </c>
      <c r="J48" s="270">
        <v>95</v>
      </c>
      <c r="K48" s="270">
        <v>102</v>
      </c>
      <c r="L48" s="270">
        <v>77</v>
      </c>
      <c r="M48" s="270">
        <v>82</v>
      </c>
      <c r="N48" s="257"/>
      <c r="O48" s="271">
        <f t="shared" si="7"/>
        <v>46082</v>
      </c>
      <c r="P48" s="269">
        <v>91.3</v>
      </c>
      <c r="Q48" s="269">
        <v>97</v>
      </c>
      <c r="R48" s="270">
        <v>62</v>
      </c>
      <c r="S48" s="270">
        <v>67</v>
      </c>
      <c r="T48" s="270">
        <v>62</v>
      </c>
      <c r="U48" s="270">
        <v>74</v>
      </c>
      <c r="V48" s="270">
        <v>61</v>
      </c>
      <c r="W48" s="270">
        <v>71</v>
      </c>
      <c r="X48" s="270">
        <v>67</v>
      </c>
      <c r="Y48" s="270">
        <v>70</v>
      </c>
      <c r="Z48" s="270">
        <v>72</v>
      </c>
      <c r="AA48" s="270">
        <v>75</v>
      </c>
      <c r="AB48" s="181"/>
    </row>
    <row r="49" spans="1:28" x14ac:dyDescent="0.2">
      <c r="A49" s="271">
        <f>DATE(YEAR(A48),MONTH(A48)+1,1)</f>
        <v>46113</v>
      </c>
      <c r="B49" s="269">
        <v>99.4</v>
      </c>
      <c r="C49" s="269">
        <v>94.8</v>
      </c>
      <c r="D49" s="270">
        <v>77</v>
      </c>
      <c r="E49" s="270">
        <v>66</v>
      </c>
      <c r="F49" s="270">
        <v>83</v>
      </c>
      <c r="G49" s="270">
        <v>73</v>
      </c>
      <c r="H49" s="270">
        <v>81</v>
      </c>
      <c r="I49" s="270">
        <v>76</v>
      </c>
      <c r="J49" s="270">
        <v>101</v>
      </c>
      <c r="K49" s="270">
        <v>92</v>
      </c>
      <c r="L49" s="270">
        <v>85</v>
      </c>
      <c r="M49" s="270">
        <v>73</v>
      </c>
      <c r="N49" s="257"/>
      <c r="O49" s="271">
        <f>DATE(YEAR(O48),MONTH(O48)+1,1)</f>
        <v>46113</v>
      </c>
      <c r="P49" s="269">
        <v>92.6</v>
      </c>
      <c r="Q49" s="269">
        <v>91.4</v>
      </c>
      <c r="R49" s="270">
        <v>61</v>
      </c>
      <c r="S49" s="270">
        <v>62</v>
      </c>
      <c r="T49" s="270">
        <v>67</v>
      </c>
      <c r="U49" s="270">
        <v>65</v>
      </c>
      <c r="V49" s="270">
        <v>64</v>
      </c>
      <c r="W49" s="270">
        <v>62</v>
      </c>
      <c r="X49" s="270">
        <v>66</v>
      </c>
      <c r="Y49" s="270">
        <v>68</v>
      </c>
      <c r="Z49" s="270">
        <v>70</v>
      </c>
      <c r="AA49" s="270">
        <v>72</v>
      </c>
      <c r="AB49" s="181"/>
    </row>
    <row r="50" spans="1:28" ht="4.5" customHeight="1" x14ac:dyDescent="0.2">
      <c r="A50" s="271"/>
      <c r="B50" s="272"/>
      <c r="C50" s="272"/>
      <c r="D50" s="273"/>
      <c r="E50" s="273"/>
      <c r="F50" s="273"/>
      <c r="G50" s="274"/>
      <c r="H50" s="273"/>
      <c r="I50" s="274"/>
      <c r="J50" s="273"/>
      <c r="K50" s="274"/>
      <c r="L50" s="273"/>
      <c r="M50" s="274"/>
      <c r="N50" s="257"/>
      <c r="O50" s="275"/>
      <c r="P50" s="276"/>
      <c r="Q50" s="276"/>
      <c r="R50" s="277"/>
      <c r="S50" s="277"/>
      <c r="T50" s="277"/>
      <c r="U50" s="277"/>
      <c r="V50" s="277"/>
      <c r="W50" s="277"/>
      <c r="X50" s="277"/>
      <c r="Y50" s="277"/>
      <c r="Z50" s="277"/>
      <c r="AA50" s="277"/>
      <c r="AB50" s="181"/>
    </row>
    <row r="51" spans="1:28" ht="27" customHeight="1" x14ac:dyDescent="0.2">
      <c r="A51" s="474" t="s">
        <v>294</v>
      </c>
      <c r="B51" s="474"/>
      <c r="C51" s="474"/>
      <c r="D51" s="474"/>
      <c r="E51" s="474"/>
      <c r="F51" s="474"/>
      <c r="G51" s="474"/>
      <c r="H51" s="474"/>
      <c r="I51" s="474"/>
      <c r="J51" s="474"/>
      <c r="K51" s="474"/>
      <c r="L51" s="474"/>
      <c r="M51" s="474"/>
      <c r="N51" s="278"/>
      <c r="O51" s="474" t="s">
        <v>294</v>
      </c>
      <c r="P51" s="474"/>
      <c r="Q51" s="474"/>
      <c r="R51" s="474"/>
      <c r="S51" s="474"/>
      <c r="T51" s="474"/>
      <c r="U51" s="474"/>
      <c r="V51" s="474"/>
      <c r="W51" s="474"/>
      <c r="X51" s="474"/>
      <c r="Y51" s="474"/>
      <c r="Z51" s="474"/>
      <c r="AA51" s="474"/>
      <c r="AB51" s="257"/>
    </row>
    <row r="52" spans="1:28" x14ac:dyDescent="0.2">
      <c r="A52" s="279"/>
      <c r="B52" s="280"/>
      <c r="C52" s="280"/>
      <c r="D52" s="280"/>
      <c r="E52" s="280"/>
      <c r="F52" s="280"/>
      <c r="G52" s="280"/>
      <c r="H52" s="280"/>
      <c r="I52" s="280"/>
      <c r="J52" s="280"/>
      <c r="K52" s="280"/>
      <c r="L52" s="280"/>
      <c r="M52" s="281"/>
      <c r="N52" s="257"/>
      <c r="O52" s="257"/>
      <c r="P52" s="257"/>
      <c r="Q52" s="257"/>
      <c r="R52" s="266"/>
      <c r="S52" s="266"/>
      <c r="T52" s="181"/>
      <c r="U52" s="181"/>
      <c r="V52" s="181"/>
      <c r="W52" s="181"/>
      <c r="X52" s="181"/>
      <c r="Y52" s="181"/>
      <c r="Z52" s="181"/>
      <c r="AA52" s="181"/>
      <c r="AB52" s="257"/>
    </row>
    <row r="53" spans="1:28" x14ac:dyDescent="0.3">
      <c r="A53" s="282"/>
      <c r="B53" s="282"/>
      <c r="C53" s="282"/>
      <c r="D53" s="282"/>
      <c r="E53" s="282"/>
      <c r="F53" s="282"/>
      <c r="G53" s="282"/>
      <c r="H53" s="282"/>
      <c r="I53" s="282"/>
      <c r="J53" s="282"/>
      <c r="K53" s="282"/>
      <c r="L53" s="282"/>
      <c r="M53" s="282"/>
      <c r="N53" s="282"/>
      <c r="O53" s="282"/>
      <c r="P53" s="282"/>
      <c r="Q53" s="282"/>
      <c r="R53" s="282"/>
      <c r="S53" s="282"/>
      <c r="T53" s="180"/>
      <c r="U53" s="254"/>
      <c r="V53" s="254"/>
      <c r="W53" s="254"/>
      <c r="X53" s="254"/>
      <c r="Y53" s="254"/>
      <c r="Z53" s="254"/>
      <c r="AA53" s="254"/>
      <c r="AB53" s="254"/>
    </row>
    <row r="54" spans="1:28" x14ac:dyDescent="0.3">
      <c r="A54" s="282"/>
      <c r="B54" s="282"/>
      <c r="C54" s="282"/>
      <c r="D54" s="282"/>
      <c r="E54" s="282"/>
      <c r="F54" s="282"/>
      <c r="G54" s="282"/>
      <c r="H54" s="282"/>
      <c r="I54" s="282"/>
      <c r="J54" s="282"/>
      <c r="K54" s="282"/>
      <c r="L54" s="254"/>
      <c r="M54" s="254"/>
      <c r="N54" s="254"/>
      <c r="O54" s="254"/>
      <c r="P54" s="254"/>
      <c r="Q54" s="254"/>
      <c r="R54" s="254"/>
      <c r="S54" s="254"/>
      <c r="T54" s="254"/>
      <c r="U54" s="254"/>
      <c r="V54" s="254"/>
      <c r="W54" s="254"/>
      <c r="X54" s="254"/>
      <c r="Y54" s="254"/>
      <c r="Z54" s="254"/>
      <c r="AA54" s="254"/>
      <c r="AB54" s="254"/>
    </row>
    <row r="55" spans="1:28" x14ac:dyDescent="0.3">
      <c r="A55" s="282"/>
      <c r="B55" s="282"/>
      <c r="C55" s="282"/>
      <c r="D55" s="282"/>
      <c r="E55" s="282"/>
      <c r="F55" s="282"/>
      <c r="G55" s="282"/>
      <c r="H55" s="282"/>
      <c r="I55" s="282"/>
      <c r="J55" s="282"/>
      <c r="K55" s="282"/>
      <c r="L55" s="254"/>
      <c r="M55" s="254"/>
      <c r="N55" s="254"/>
      <c r="O55" s="254"/>
      <c r="P55" s="254"/>
      <c r="Q55" s="254"/>
      <c r="R55" s="254"/>
      <c r="S55" s="254"/>
      <c r="T55" s="254"/>
      <c r="U55" s="254"/>
      <c r="V55" s="254"/>
      <c r="W55" s="254"/>
      <c r="X55" s="254"/>
      <c r="Y55" s="254"/>
      <c r="Z55" s="254"/>
      <c r="AA55" s="254"/>
      <c r="AB55" s="254"/>
    </row>
    <row r="56" spans="1:28" x14ac:dyDescent="0.3">
      <c r="A56" s="282"/>
      <c r="B56" s="282"/>
      <c r="C56" s="282"/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282"/>
      <c r="Q56" s="180"/>
      <c r="R56" s="180"/>
      <c r="S56" s="180"/>
      <c r="T56" s="180"/>
      <c r="U56" s="180"/>
      <c r="V56" s="254"/>
      <c r="W56" s="254"/>
      <c r="X56" s="254"/>
      <c r="Y56" s="254"/>
      <c r="Z56" s="254"/>
      <c r="AA56" s="254"/>
      <c r="AB56" s="254"/>
    </row>
    <row r="57" spans="1:28" x14ac:dyDescent="0.3">
      <c r="A57" s="282"/>
      <c r="B57" s="282"/>
      <c r="C57" s="282"/>
      <c r="D57" s="282"/>
      <c r="E57" s="282"/>
      <c r="F57" s="282"/>
      <c r="G57" s="282"/>
      <c r="H57" s="282"/>
      <c r="I57" s="282"/>
      <c r="J57" s="282"/>
      <c r="K57" s="282"/>
      <c r="L57" s="254"/>
      <c r="M57" s="254"/>
      <c r="N57" s="254"/>
      <c r="O57" s="254"/>
      <c r="P57" s="254"/>
      <c r="Q57" s="254"/>
      <c r="R57" s="254"/>
      <c r="S57" s="254"/>
      <c r="T57" s="254"/>
      <c r="U57" s="254"/>
      <c r="V57" s="254"/>
      <c r="W57" s="254"/>
      <c r="X57" s="254"/>
      <c r="Y57" s="254"/>
      <c r="Z57" s="254"/>
      <c r="AA57" s="254"/>
      <c r="AB57" s="254"/>
    </row>
    <row r="58" spans="1:28" x14ac:dyDescent="0.3">
      <c r="A58" s="282"/>
      <c r="B58" s="282"/>
      <c r="C58" s="282"/>
      <c r="D58" s="282"/>
      <c r="E58" s="282"/>
      <c r="F58" s="282"/>
      <c r="G58" s="282"/>
      <c r="H58" s="282"/>
      <c r="I58" s="282"/>
      <c r="J58" s="282"/>
      <c r="K58" s="282"/>
      <c r="L58" s="254"/>
      <c r="M58" s="254"/>
      <c r="N58" s="254"/>
      <c r="O58" s="254"/>
      <c r="P58" s="254"/>
      <c r="Q58" s="254"/>
      <c r="R58" s="254"/>
      <c r="S58" s="254"/>
      <c r="T58" s="254"/>
      <c r="U58" s="254"/>
      <c r="V58" s="254"/>
      <c r="W58" s="254"/>
      <c r="X58" s="254"/>
      <c r="Y58" s="254"/>
      <c r="Z58" s="254"/>
      <c r="AA58" s="254"/>
      <c r="AB58" s="254"/>
    </row>
    <row r="59" spans="1:28" x14ac:dyDescent="0.3">
      <c r="A59" s="282"/>
      <c r="B59" s="282"/>
      <c r="C59" s="282"/>
      <c r="D59" s="282"/>
      <c r="E59" s="282"/>
      <c r="F59" s="282"/>
      <c r="G59" s="282"/>
      <c r="H59" s="282"/>
      <c r="I59" s="282"/>
      <c r="J59" s="282"/>
      <c r="K59" s="282"/>
      <c r="L59" s="254"/>
      <c r="M59" s="254"/>
      <c r="N59" s="254"/>
      <c r="O59" s="254"/>
      <c r="P59" s="254"/>
      <c r="Q59" s="254"/>
      <c r="R59" s="254"/>
      <c r="S59" s="254"/>
      <c r="T59" s="254"/>
      <c r="U59" s="254"/>
      <c r="V59" s="254"/>
      <c r="W59" s="254"/>
      <c r="X59" s="254"/>
      <c r="Y59" s="254"/>
      <c r="Z59" s="254"/>
      <c r="AA59" s="254"/>
      <c r="AB59" s="254"/>
    </row>
    <row r="60" spans="1:28" x14ac:dyDescent="0.3">
      <c r="A60" s="282"/>
      <c r="B60" s="282"/>
      <c r="C60" s="282"/>
      <c r="D60" s="282"/>
      <c r="E60" s="282"/>
      <c r="F60" s="282"/>
      <c r="G60" s="282"/>
      <c r="H60" s="282"/>
      <c r="I60" s="282"/>
      <c r="J60" s="282"/>
      <c r="K60" s="282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54"/>
      <c r="Z60" s="254"/>
      <c r="AA60" s="254"/>
      <c r="AB60" s="254"/>
    </row>
    <row r="61" spans="1:28" x14ac:dyDescent="0.3">
      <c r="A61" s="180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254"/>
      <c r="M61" s="254"/>
      <c r="N61" s="254"/>
      <c r="O61" s="254"/>
      <c r="P61" s="254"/>
      <c r="Q61" s="254"/>
      <c r="R61" s="254"/>
      <c r="S61" s="254"/>
      <c r="T61" s="254"/>
      <c r="U61" s="254"/>
      <c r="V61" s="254"/>
      <c r="W61" s="254"/>
      <c r="X61" s="257"/>
      <c r="Y61" s="254"/>
      <c r="Z61" s="257"/>
      <c r="AA61" s="254"/>
      <c r="AB61" s="254"/>
    </row>
    <row r="62" spans="1:28" x14ac:dyDescent="0.3">
      <c r="A62" s="180"/>
      <c r="B62" s="180"/>
      <c r="C62" s="180"/>
      <c r="D62" s="180"/>
      <c r="E62" s="180"/>
      <c r="F62" s="180"/>
      <c r="G62" s="180"/>
      <c r="H62" s="180"/>
      <c r="I62" s="180"/>
      <c r="J62" s="180"/>
      <c r="K62" s="180"/>
      <c r="L62" s="254"/>
      <c r="M62" s="254"/>
      <c r="N62" s="254"/>
      <c r="O62" s="254"/>
      <c r="P62" s="254"/>
      <c r="Q62" s="254"/>
      <c r="R62" s="254"/>
      <c r="S62" s="254"/>
      <c r="T62" s="254"/>
      <c r="U62" s="254"/>
      <c r="V62" s="254"/>
      <c r="W62" s="254"/>
      <c r="X62" s="254"/>
      <c r="Y62" s="254"/>
      <c r="Z62" s="254"/>
      <c r="AA62" s="254"/>
      <c r="AB62" s="254"/>
    </row>
    <row r="63" spans="1:28" x14ac:dyDescent="0.3">
      <c r="A63" s="180"/>
      <c r="B63" s="180"/>
      <c r="C63" s="180"/>
      <c r="D63" s="180"/>
      <c r="E63" s="180"/>
      <c r="F63" s="180"/>
      <c r="G63" s="180"/>
      <c r="H63" s="180"/>
      <c r="I63" s="180"/>
      <c r="J63" s="180"/>
      <c r="K63" s="180"/>
      <c r="L63" s="254"/>
      <c r="M63" s="254"/>
      <c r="N63" s="254"/>
      <c r="O63" s="254"/>
      <c r="P63" s="254"/>
      <c r="Q63" s="254"/>
      <c r="R63" s="254"/>
      <c r="S63" s="254"/>
      <c r="T63" s="254"/>
      <c r="U63" s="254"/>
      <c r="V63" s="254"/>
      <c r="W63" s="254"/>
      <c r="X63" s="254"/>
      <c r="Y63" s="254"/>
      <c r="Z63" s="254"/>
      <c r="AA63" s="254"/>
      <c r="AB63" s="254"/>
    </row>
  </sheetData>
  <mergeCells count="20">
    <mergeCell ref="A1:M1"/>
    <mergeCell ref="O1:AA1"/>
    <mergeCell ref="A3:A5"/>
    <mergeCell ref="B3:M3"/>
    <mergeCell ref="O3:O5"/>
    <mergeCell ref="P3:AA3"/>
    <mergeCell ref="B4:C4"/>
    <mergeCell ref="D4:E4"/>
    <mergeCell ref="F4:G4"/>
    <mergeCell ref="H4:I4"/>
    <mergeCell ref="X4:Y4"/>
    <mergeCell ref="Z4:AA4"/>
    <mergeCell ref="A51:M51"/>
    <mergeCell ref="O51:AA51"/>
    <mergeCell ref="J4:K4"/>
    <mergeCell ref="L4:M4"/>
    <mergeCell ref="P4:Q4"/>
    <mergeCell ref="R4:S4"/>
    <mergeCell ref="T4:U4"/>
    <mergeCell ref="V4:W4"/>
  </mergeCells>
  <phoneticPr fontId="4" type="noConversion"/>
  <pageMargins left="0.7" right="0.7" top="0.75" bottom="0.75" header="0.3" footer="0.3"/>
  <pageSetup paperSize="9" scale="63" orientation="portrait" r:id="rId1"/>
  <colBreaks count="1" manualBreakCount="1">
    <brk id="13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F6873-DFAD-46E9-B812-F5719AA53D69}">
  <dimension ref="A1:X60"/>
  <sheetViews>
    <sheetView view="pageBreakPreview" zoomScaleNormal="100" zoomScaleSheetLayoutView="100" workbookViewId="0">
      <selection activeCell="G2" sqref="G2"/>
    </sheetView>
  </sheetViews>
  <sheetFormatPr defaultRowHeight="16.5" x14ac:dyDescent="0.3"/>
  <cols>
    <col min="1" max="1" width="9.25" style="283" customWidth="1"/>
    <col min="2" max="2" width="11.75" style="283" bestFit="1" customWidth="1"/>
    <col min="3" max="11" width="10.875" style="283" bestFit="1" customWidth="1"/>
    <col min="12" max="12" width="11.375" style="283" bestFit="1" customWidth="1"/>
    <col min="13" max="13" width="10.875" style="283" bestFit="1" customWidth="1"/>
    <col min="14" max="14" width="9.375" style="283" bestFit="1" customWidth="1"/>
    <col min="15" max="15" width="13" style="283" bestFit="1" customWidth="1"/>
    <col min="16" max="16" width="11.875" style="283" bestFit="1" customWidth="1"/>
    <col min="17" max="18" width="7.375" style="283" bestFit="1" customWidth="1"/>
    <col min="19" max="19" width="13" style="283" bestFit="1" customWidth="1"/>
    <col min="20" max="20" width="5" style="283" customWidth="1"/>
    <col min="21" max="21" width="5.25" style="283" customWidth="1"/>
    <col min="22" max="22" width="6.5" style="283" customWidth="1"/>
    <col min="23" max="24" width="4.875" style="283" customWidth="1"/>
    <col min="25" max="255" width="9" style="283"/>
    <col min="256" max="256" width="5" style="283" bestFit="1" customWidth="1"/>
    <col min="257" max="257" width="7.75" style="283" bestFit="1" customWidth="1"/>
    <col min="258" max="264" width="7.125" style="283" customWidth="1"/>
    <col min="265" max="265" width="8.125" style="283" customWidth="1"/>
    <col min="266" max="266" width="1" style="283" customWidth="1"/>
    <col min="267" max="267" width="9.75" style="283" bestFit="1" customWidth="1"/>
    <col min="268" max="269" width="9.875" style="283" bestFit="1" customWidth="1"/>
    <col min="270" max="270" width="7.875" style="283" customWidth="1"/>
    <col min="271" max="274" width="8.5" style="283" customWidth="1"/>
    <col min="275" max="511" width="9" style="283"/>
    <col min="512" max="512" width="5" style="283" bestFit="1" customWidth="1"/>
    <col min="513" max="513" width="7.75" style="283" bestFit="1" customWidth="1"/>
    <col min="514" max="520" width="7.125" style="283" customWidth="1"/>
    <col min="521" max="521" width="8.125" style="283" customWidth="1"/>
    <col min="522" max="522" width="1" style="283" customWidth="1"/>
    <col min="523" max="523" width="9.75" style="283" bestFit="1" customWidth="1"/>
    <col min="524" max="525" width="9.875" style="283" bestFit="1" customWidth="1"/>
    <col min="526" max="526" width="7.875" style="283" customWidth="1"/>
    <col min="527" max="530" width="8.5" style="283" customWidth="1"/>
    <col min="531" max="767" width="9" style="283"/>
    <col min="768" max="768" width="5" style="283" bestFit="1" customWidth="1"/>
    <col min="769" max="769" width="7.75" style="283" bestFit="1" customWidth="1"/>
    <col min="770" max="776" width="7.125" style="283" customWidth="1"/>
    <col min="777" max="777" width="8.125" style="283" customWidth="1"/>
    <col min="778" max="778" width="1" style="283" customWidth="1"/>
    <col min="779" max="779" width="9.75" style="283" bestFit="1" customWidth="1"/>
    <col min="780" max="781" width="9.875" style="283" bestFit="1" customWidth="1"/>
    <col min="782" max="782" width="7.875" style="283" customWidth="1"/>
    <col min="783" max="786" width="8.5" style="283" customWidth="1"/>
    <col min="787" max="1023" width="9" style="283"/>
    <col min="1024" max="1024" width="5" style="283" bestFit="1" customWidth="1"/>
    <col min="1025" max="1025" width="7.75" style="283" bestFit="1" customWidth="1"/>
    <col min="1026" max="1032" width="7.125" style="283" customWidth="1"/>
    <col min="1033" max="1033" width="8.125" style="283" customWidth="1"/>
    <col min="1034" max="1034" width="1" style="283" customWidth="1"/>
    <col min="1035" max="1035" width="9.75" style="283" bestFit="1" customWidth="1"/>
    <col min="1036" max="1037" width="9.875" style="283" bestFit="1" customWidth="1"/>
    <col min="1038" max="1038" width="7.875" style="283" customWidth="1"/>
    <col min="1039" max="1042" width="8.5" style="283" customWidth="1"/>
    <col min="1043" max="1279" width="9" style="283"/>
    <col min="1280" max="1280" width="5" style="283" bestFit="1" customWidth="1"/>
    <col min="1281" max="1281" width="7.75" style="283" bestFit="1" customWidth="1"/>
    <col min="1282" max="1288" width="7.125" style="283" customWidth="1"/>
    <col min="1289" max="1289" width="8.125" style="283" customWidth="1"/>
    <col min="1290" max="1290" width="1" style="283" customWidth="1"/>
    <col min="1291" max="1291" width="9.75" style="283" bestFit="1" customWidth="1"/>
    <col min="1292" max="1293" width="9.875" style="283" bestFit="1" customWidth="1"/>
    <col min="1294" max="1294" width="7.875" style="283" customWidth="1"/>
    <col min="1295" max="1298" width="8.5" style="283" customWidth="1"/>
    <col min="1299" max="1535" width="9" style="283"/>
    <col min="1536" max="1536" width="5" style="283" bestFit="1" customWidth="1"/>
    <col min="1537" max="1537" width="7.75" style="283" bestFit="1" customWidth="1"/>
    <col min="1538" max="1544" width="7.125" style="283" customWidth="1"/>
    <col min="1545" max="1545" width="8.125" style="283" customWidth="1"/>
    <col min="1546" max="1546" width="1" style="283" customWidth="1"/>
    <col min="1547" max="1547" width="9.75" style="283" bestFit="1" customWidth="1"/>
    <col min="1548" max="1549" width="9.875" style="283" bestFit="1" customWidth="1"/>
    <col min="1550" max="1550" width="7.875" style="283" customWidth="1"/>
    <col min="1551" max="1554" width="8.5" style="283" customWidth="1"/>
    <col min="1555" max="1791" width="9" style="283"/>
    <col min="1792" max="1792" width="5" style="283" bestFit="1" customWidth="1"/>
    <col min="1793" max="1793" width="7.75" style="283" bestFit="1" customWidth="1"/>
    <col min="1794" max="1800" width="7.125" style="283" customWidth="1"/>
    <col min="1801" max="1801" width="8.125" style="283" customWidth="1"/>
    <col min="1802" max="1802" width="1" style="283" customWidth="1"/>
    <col min="1803" max="1803" width="9.75" style="283" bestFit="1" customWidth="1"/>
    <col min="1804" max="1805" width="9.875" style="283" bestFit="1" customWidth="1"/>
    <col min="1806" max="1806" width="7.875" style="283" customWidth="1"/>
    <col min="1807" max="1810" width="8.5" style="283" customWidth="1"/>
    <col min="1811" max="2047" width="9" style="283"/>
    <col min="2048" max="2048" width="5" style="283" bestFit="1" customWidth="1"/>
    <col min="2049" max="2049" width="7.75" style="283" bestFit="1" customWidth="1"/>
    <col min="2050" max="2056" width="7.125" style="283" customWidth="1"/>
    <col min="2057" max="2057" width="8.125" style="283" customWidth="1"/>
    <col min="2058" max="2058" width="1" style="283" customWidth="1"/>
    <col min="2059" max="2059" width="9.75" style="283" bestFit="1" customWidth="1"/>
    <col min="2060" max="2061" width="9.875" style="283" bestFit="1" customWidth="1"/>
    <col min="2062" max="2062" width="7.875" style="283" customWidth="1"/>
    <col min="2063" max="2066" width="8.5" style="283" customWidth="1"/>
    <col min="2067" max="2303" width="9" style="283"/>
    <col min="2304" max="2304" width="5" style="283" bestFit="1" customWidth="1"/>
    <col min="2305" max="2305" width="7.75" style="283" bestFit="1" customWidth="1"/>
    <col min="2306" max="2312" width="7.125" style="283" customWidth="1"/>
    <col min="2313" max="2313" width="8.125" style="283" customWidth="1"/>
    <col min="2314" max="2314" width="1" style="283" customWidth="1"/>
    <col min="2315" max="2315" width="9.75" style="283" bestFit="1" customWidth="1"/>
    <col min="2316" max="2317" width="9.875" style="283" bestFit="1" customWidth="1"/>
    <col min="2318" max="2318" width="7.875" style="283" customWidth="1"/>
    <col min="2319" max="2322" width="8.5" style="283" customWidth="1"/>
    <col min="2323" max="2559" width="9" style="283"/>
    <col min="2560" max="2560" width="5" style="283" bestFit="1" customWidth="1"/>
    <col min="2561" max="2561" width="7.75" style="283" bestFit="1" customWidth="1"/>
    <col min="2562" max="2568" width="7.125" style="283" customWidth="1"/>
    <col min="2569" max="2569" width="8.125" style="283" customWidth="1"/>
    <col min="2570" max="2570" width="1" style="283" customWidth="1"/>
    <col min="2571" max="2571" width="9.75" style="283" bestFit="1" customWidth="1"/>
    <col min="2572" max="2573" width="9.875" style="283" bestFit="1" customWidth="1"/>
    <col min="2574" max="2574" width="7.875" style="283" customWidth="1"/>
    <col min="2575" max="2578" width="8.5" style="283" customWidth="1"/>
    <col min="2579" max="2815" width="9" style="283"/>
    <col min="2816" max="2816" width="5" style="283" bestFit="1" customWidth="1"/>
    <col min="2817" max="2817" width="7.75" style="283" bestFit="1" customWidth="1"/>
    <col min="2818" max="2824" width="7.125" style="283" customWidth="1"/>
    <col min="2825" max="2825" width="8.125" style="283" customWidth="1"/>
    <col min="2826" max="2826" width="1" style="283" customWidth="1"/>
    <col min="2827" max="2827" width="9.75" style="283" bestFit="1" customWidth="1"/>
    <col min="2828" max="2829" width="9.875" style="283" bestFit="1" customWidth="1"/>
    <col min="2830" max="2830" width="7.875" style="283" customWidth="1"/>
    <col min="2831" max="2834" width="8.5" style="283" customWidth="1"/>
    <col min="2835" max="3071" width="9" style="283"/>
    <col min="3072" max="3072" width="5" style="283" bestFit="1" customWidth="1"/>
    <col min="3073" max="3073" width="7.75" style="283" bestFit="1" customWidth="1"/>
    <col min="3074" max="3080" width="7.125" style="283" customWidth="1"/>
    <col min="3081" max="3081" width="8.125" style="283" customWidth="1"/>
    <col min="3082" max="3082" width="1" style="283" customWidth="1"/>
    <col min="3083" max="3083" width="9.75" style="283" bestFit="1" customWidth="1"/>
    <col min="3084" max="3085" width="9.875" style="283" bestFit="1" customWidth="1"/>
    <col min="3086" max="3086" width="7.875" style="283" customWidth="1"/>
    <col min="3087" max="3090" width="8.5" style="283" customWidth="1"/>
    <col min="3091" max="3327" width="9" style="283"/>
    <col min="3328" max="3328" width="5" style="283" bestFit="1" customWidth="1"/>
    <col min="3329" max="3329" width="7.75" style="283" bestFit="1" customWidth="1"/>
    <col min="3330" max="3336" width="7.125" style="283" customWidth="1"/>
    <col min="3337" max="3337" width="8.125" style="283" customWidth="1"/>
    <col min="3338" max="3338" width="1" style="283" customWidth="1"/>
    <col min="3339" max="3339" width="9.75" style="283" bestFit="1" customWidth="1"/>
    <col min="3340" max="3341" width="9.875" style="283" bestFit="1" customWidth="1"/>
    <col min="3342" max="3342" width="7.875" style="283" customWidth="1"/>
    <col min="3343" max="3346" width="8.5" style="283" customWidth="1"/>
    <col min="3347" max="3583" width="9" style="283"/>
    <col min="3584" max="3584" width="5" style="283" bestFit="1" customWidth="1"/>
    <col min="3585" max="3585" width="7.75" style="283" bestFit="1" customWidth="1"/>
    <col min="3586" max="3592" width="7.125" style="283" customWidth="1"/>
    <col min="3593" max="3593" width="8.125" style="283" customWidth="1"/>
    <col min="3594" max="3594" width="1" style="283" customWidth="1"/>
    <col min="3595" max="3595" width="9.75" style="283" bestFit="1" customWidth="1"/>
    <col min="3596" max="3597" width="9.875" style="283" bestFit="1" customWidth="1"/>
    <col min="3598" max="3598" width="7.875" style="283" customWidth="1"/>
    <col min="3599" max="3602" width="8.5" style="283" customWidth="1"/>
    <col min="3603" max="3839" width="9" style="283"/>
    <col min="3840" max="3840" width="5" style="283" bestFit="1" customWidth="1"/>
    <col min="3841" max="3841" width="7.75" style="283" bestFit="1" customWidth="1"/>
    <col min="3842" max="3848" width="7.125" style="283" customWidth="1"/>
    <col min="3849" max="3849" width="8.125" style="283" customWidth="1"/>
    <col min="3850" max="3850" width="1" style="283" customWidth="1"/>
    <col min="3851" max="3851" width="9.75" style="283" bestFit="1" customWidth="1"/>
    <col min="3852" max="3853" width="9.875" style="283" bestFit="1" customWidth="1"/>
    <col min="3854" max="3854" width="7.875" style="283" customWidth="1"/>
    <col min="3855" max="3858" width="8.5" style="283" customWidth="1"/>
    <col min="3859" max="4095" width="9" style="283"/>
    <col min="4096" max="4096" width="5" style="283" bestFit="1" customWidth="1"/>
    <col min="4097" max="4097" width="7.75" style="283" bestFit="1" customWidth="1"/>
    <col min="4098" max="4104" width="7.125" style="283" customWidth="1"/>
    <col min="4105" max="4105" width="8.125" style="283" customWidth="1"/>
    <col min="4106" max="4106" width="1" style="283" customWidth="1"/>
    <col min="4107" max="4107" width="9.75" style="283" bestFit="1" customWidth="1"/>
    <col min="4108" max="4109" width="9.875" style="283" bestFit="1" customWidth="1"/>
    <col min="4110" max="4110" width="7.875" style="283" customWidth="1"/>
    <col min="4111" max="4114" width="8.5" style="283" customWidth="1"/>
    <col min="4115" max="4351" width="9" style="283"/>
    <col min="4352" max="4352" width="5" style="283" bestFit="1" customWidth="1"/>
    <col min="4353" max="4353" width="7.75" style="283" bestFit="1" customWidth="1"/>
    <col min="4354" max="4360" width="7.125" style="283" customWidth="1"/>
    <col min="4361" max="4361" width="8.125" style="283" customWidth="1"/>
    <col min="4362" max="4362" width="1" style="283" customWidth="1"/>
    <col min="4363" max="4363" width="9.75" style="283" bestFit="1" customWidth="1"/>
    <col min="4364" max="4365" width="9.875" style="283" bestFit="1" customWidth="1"/>
    <col min="4366" max="4366" width="7.875" style="283" customWidth="1"/>
    <col min="4367" max="4370" width="8.5" style="283" customWidth="1"/>
    <col min="4371" max="4607" width="9" style="283"/>
    <col min="4608" max="4608" width="5" style="283" bestFit="1" customWidth="1"/>
    <col min="4609" max="4609" width="7.75" style="283" bestFit="1" customWidth="1"/>
    <col min="4610" max="4616" width="7.125" style="283" customWidth="1"/>
    <col min="4617" max="4617" width="8.125" style="283" customWidth="1"/>
    <col min="4618" max="4618" width="1" style="283" customWidth="1"/>
    <col min="4619" max="4619" width="9.75" style="283" bestFit="1" customWidth="1"/>
    <col min="4620" max="4621" width="9.875" style="283" bestFit="1" customWidth="1"/>
    <col min="4622" max="4622" width="7.875" style="283" customWidth="1"/>
    <col min="4623" max="4626" width="8.5" style="283" customWidth="1"/>
    <col min="4627" max="4863" width="9" style="283"/>
    <col min="4864" max="4864" width="5" style="283" bestFit="1" customWidth="1"/>
    <col min="4865" max="4865" width="7.75" style="283" bestFit="1" customWidth="1"/>
    <col min="4866" max="4872" width="7.125" style="283" customWidth="1"/>
    <col min="4873" max="4873" width="8.125" style="283" customWidth="1"/>
    <col min="4874" max="4874" width="1" style="283" customWidth="1"/>
    <col min="4875" max="4875" width="9.75" style="283" bestFit="1" customWidth="1"/>
    <col min="4876" max="4877" width="9.875" style="283" bestFit="1" customWidth="1"/>
    <col min="4878" max="4878" width="7.875" style="283" customWidth="1"/>
    <col min="4879" max="4882" width="8.5" style="283" customWidth="1"/>
    <col min="4883" max="5119" width="9" style="283"/>
    <col min="5120" max="5120" width="5" style="283" bestFit="1" customWidth="1"/>
    <col min="5121" max="5121" width="7.75" style="283" bestFit="1" customWidth="1"/>
    <col min="5122" max="5128" width="7.125" style="283" customWidth="1"/>
    <col min="5129" max="5129" width="8.125" style="283" customWidth="1"/>
    <col min="5130" max="5130" width="1" style="283" customWidth="1"/>
    <col min="5131" max="5131" width="9.75" style="283" bestFit="1" customWidth="1"/>
    <col min="5132" max="5133" width="9.875" style="283" bestFit="1" customWidth="1"/>
    <col min="5134" max="5134" width="7.875" style="283" customWidth="1"/>
    <col min="5135" max="5138" width="8.5" style="283" customWidth="1"/>
    <col min="5139" max="5375" width="9" style="283"/>
    <col min="5376" max="5376" width="5" style="283" bestFit="1" customWidth="1"/>
    <col min="5377" max="5377" width="7.75" style="283" bestFit="1" customWidth="1"/>
    <col min="5378" max="5384" width="7.125" style="283" customWidth="1"/>
    <col min="5385" max="5385" width="8.125" style="283" customWidth="1"/>
    <col min="5386" max="5386" width="1" style="283" customWidth="1"/>
    <col min="5387" max="5387" width="9.75" style="283" bestFit="1" customWidth="1"/>
    <col min="5388" max="5389" width="9.875" style="283" bestFit="1" customWidth="1"/>
    <col min="5390" max="5390" width="7.875" style="283" customWidth="1"/>
    <col min="5391" max="5394" width="8.5" style="283" customWidth="1"/>
    <col min="5395" max="5631" width="9" style="283"/>
    <col min="5632" max="5632" width="5" style="283" bestFit="1" customWidth="1"/>
    <col min="5633" max="5633" width="7.75" style="283" bestFit="1" customWidth="1"/>
    <col min="5634" max="5640" width="7.125" style="283" customWidth="1"/>
    <col min="5641" max="5641" width="8.125" style="283" customWidth="1"/>
    <col min="5642" max="5642" width="1" style="283" customWidth="1"/>
    <col min="5643" max="5643" width="9.75" style="283" bestFit="1" customWidth="1"/>
    <col min="5644" max="5645" width="9.875" style="283" bestFit="1" customWidth="1"/>
    <col min="5646" max="5646" width="7.875" style="283" customWidth="1"/>
    <col min="5647" max="5650" width="8.5" style="283" customWidth="1"/>
    <col min="5651" max="5887" width="9" style="283"/>
    <col min="5888" max="5888" width="5" style="283" bestFit="1" customWidth="1"/>
    <col min="5889" max="5889" width="7.75" style="283" bestFit="1" customWidth="1"/>
    <col min="5890" max="5896" width="7.125" style="283" customWidth="1"/>
    <col min="5897" max="5897" width="8.125" style="283" customWidth="1"/>
    <col min="5898" max="5898" width="1" style="283" customWidth="1"/>
    <col min="5899" max="5899" width="9.75" style="283" bestFit="1" customWidth="1"/>
    <col min="5900" max="5901" width="9.875" style="283" bestFit="1" customWidth="1"/>
    <col min="5902" max="5902" width="7.875" style="283" customWidth="1"/>
    <col min="5903" max="5906" width="8.5" style="283" customWidth="1"/>
    <col min="5907" max="6143" width="9" style="283"/>
    <col min="6144" max="6144" width="5" style="283" bestFit="1" customWidth="1"/>
    <col min="6145" max="6145" width="7.75" style="283" bestFit="1" customWidth="1"/>
    <col min="6146" max="6152" width="7.125" style="283" customWidth="1"/>
    <col min="6153" max="6153" width="8.125" style="283" customWidth="1"/>
    <col min="6154" max="6154" width="1" style="283" customWidth="1"/>
    <col min="6155" max="6155" width="9.75" style="283" bestFit="1" customWidth="1"/>
    <col min="6156" max="6157" width="9.875" style="283" bestFit="1" customWidth="1"/>
    <col min="6158" max="6158" width="7.875" style="283" customWidth="1"/>
    <col min="6159" max="6162" width="8.5" style="283" customWidth="1"/>
    <col min="6163" max="6399" width="9" style="283"/>
    <col min="6400" max="6400" width="5" style="283" bestFit="1" customWidth="1"/>
    <col min="6401" max="6401" width="7.75" style="283" bestFit="1" customWidth="1"/>
    <col min="6402" max="6408" width="7.125" style="283" customWidth="1"/>
    <col min="6409" max="6409" width="8.125" style="283" customWidth="1"/>
    <col min="6410" max="6410" width="1" style="283" customWidth="1"/>
    <col min="6411" max="6411" width="9.75" style="283" bestFit="1" customWidth="1"/>
    <col min="6412" max="6413" width="9.875" style="283" bestFit="1" customWidth="1"/>
    <col min="6414" max="6414" width="7.875" style="283" customWidth="1"/>
    <col min="6415" max="6418" width="8.5" style="283" customWidth="1"/>
    <col min="6419" max="6655" width="9" style="283"/>
    <col min="6656" max="6656" width="5" style="283" bestFit="1" customWidth="1"/>
    <col min="6657" max="6657" width="7.75" style="283" bestFit="1" customWidth="1"/>
    <col min="6658" max="6664" width="7.125" style="283" customWidth="1"/>
    <col min="6665" max="6665" width="8.125" style="283" customWidth="1"/>
    <col min="6666" max="6666" width="1" style="283" customWidth="1"/>
    <col min="6667" max="6667" width="9.75" style="283" bestFit="1" customWidth="1"/>
    <col min="6668" max="6669" width="9.875" style="283" bestFit="1" customWidth="1"/>
    <col min="6670" max="6670" width="7.875" style="283" customWidth="1"/>
    <col min="6671" max="6674" width="8.5" style="283" customWidth="1"/>
    <col min="6675" max="6911" width="9" style="283"/>
    <col min="6912" max="6912" width="5" style="283" bestFit="1" customWidth="1"/>
    <col min="6913" max="6913" width="7.75" style="283" bestFit="1" customWidth="1"/>
    <col min="6914" max="6920" width="7.125" style="283" customWidth="1"/>
    <col min="6921" max="6921" width="8.125" style="283" customWidth="1"/>
    <col min="6922" max="6922" width="1" style="283" customWidth="1"/>
    <col min="6923" max="6923" width="9.75" style="283" bestFit="1" customWidth="1"/>
    <col min="6924" max="6925" width="9.875" style="283" bestFit="1" customWidth="1"/>
    <col min="6926" max="6926" width="7.875" style="283" customWidth="1"/>
    <col min="6927" max="6930" width="8.5" style="283" customWidth="1"/>
    <col min="6931" max="7167" width="9" style="283"/>
    <col min="7168" max="7168" width="5" style="283" bestFit="1" customWidth="1"/>
    <col min="7169" max="7169" width="7.75" style="283" bestFit="1" customWidth="1"/>
    <col min="7170" max="7176" width="7.125" style="283" customWidth="1"/>
    <col min="7177" max="7177" width="8.125" style="283" customWidth="1"/>
    <col min="7178" max="7178" width="1" style="283" customWidth="1"/>
    <col min="7179" max="7179" width="9.75" style="283" bestFit="1" customWidth="1"/>
    <col min="7180" max="7181" width="9.875" style="283" bestFit="1" customWidth="1"/>
    <col min="7182" max="7182" width="7.875" style="283" customWidth="1"/>
    <col min="7183" max="7186" width="8.5" style="283" customWidth="1"/>
    <col min="7187" max="7423" width="9" style="283"/>
    <col min="7424" max="7424" width="5" style="283" bestFit="1" customWidth="1"/>
    <col min="7425" max="7425" width="7.75" style="283" bestFit="1" customWidth="1"/>
    <col min="7426" max="7432" width="7.125" style="283" customWidth="1"/>
    <col min="7433" max="7433" width="8.125" style="283" customWidth="1"/>
    <col min="7434" max="7434" width="1" style="283" customWidth="1"/>
    <col min="7435" max="7435" width="9.75" style="283" bestFit="1" customWidth="1"/>
    <col min="7436" max="7437" width="9.875" style="283" bestFit="1" customWidth="1"/>
    <col min="7438" max="7438" width="7.875" style="283" customWidth="1"/>
    <col min="7439" max="7442" width="8.5" style="283" customWidth="1"/>
    <col min="7443" max="7679" width="9" style="283"/>
    <col min="7680" max="7680" width="5" style="283" bestFit="1" customWidth="1"/>
    <col min="7681" max="7681" width="7.75" style="283" bestFit="1" customWidth="1"/>
    <col min="7682" max="7688" width="7.125" style="283" customWidth="1"/>
    <col min="7689" max="7689" width="8.125" style="283" customWidth="1"/>
    <col min="7690" max="7690" width="1" style="283" customWidth="1"/>
    <col min="7691" max="7691" width="9.75" style="283" bestFit="1" customWidth="1"/>
    <col min="7692" max="7693" width="9.875" style="283" bestFit="1" customWidth="1"/>
    <col min="7694" max="7694" width="7.875" style="283" customWidth="1"/>
    <col min="7695" max="7698" width="8.5" style="283" customWidth="1"/>
    <col min="7699" max="7935" width="9" style="283"/>
    <col min="7936" max="7936" width="5" style="283" bestFit="1" customWidth="1"/>
    <col min="7937" max="7937" width="7.75" style="283" bestFit="1" customWidth="1"/>
    <col min="7938" max="7944" width="7.125" style="283" customWidth="1"/>
    <col min="7945" max="7945" width="8.125" style="283" customWidth="1"/>
    <col min="7946" max="7946" width="1" style="283" customWidth="1"/>
    <col min="7947" max="7947" width="9.75" style="283" bestFit="1" customWidth="1"/>
    <col min="7948" max="7949" width="9.875" style="283" bestFit="1" customWidth="1"/>
    <col min="7950" max="7950" width="7.875" style="283" customWidth="1"/>
    <col min="7951" max="7954" width="8.5" style="283" customWidth="1"/>
    <col min="7955" max="8191" width="9" style="283"/>
    <col min="8192" max="8192" width="5" style="283" bestFit="1" customWidth="1"/>
    <col min="8193" max="8193" width="7.75" style="283" bestFit="1" customWidth="1"/>
    <col min="8194" max="8200" width="7.125" style="283" customWidth="1"/>
    <col min="8201" max="8201" width="8.125" style="283" customWidth="1"/>
    <col min="8202" max="8202" width="1" style="283" customWidth="1"/>
    <col min="8203" max="8203" width="9.75" style="283" bestFit="1" customWidth="1"/>
    <col min="8204" max="8205" width="9.875" style="283" bestFit="1" customWidth="1"/>
    <col min="8206" max="8206" width="7.875" style="283" customWidth="1"/>
    <col min="8207" max="8210" width="8.5" style="283" customWidth="1"/>
    <col min="8211" max="8447" width="9" style="283"/>
    <col min="8448" max="8448" width="5" style="283" bestFit="1" customWidth="1"/>
    <col min="8449" max="8449" width="7.75" style="283" bestFit="1" customWidth="1"/>
    <col min="8450" max="8456" width="7.125" style="283" customWidth="1"/>
    <col min="8457" max="8457" width="8.125" style="283" customWidth="1"/>
    <col min="8458" max="8458" width="1" style="283" customWidth="1"/>
    <col min="8459" max="8459" width="9.75" style="283" bestFit="1" customWidth="1"/>
    <col min="8460" max="8461" width="9.875" style="283" bestFit="1" customWidth="1"/>
    <col min="8462" max="8462" width="7.875" style="283" customWidth="1"/>
    <col min="8463" max="8466" width="8.5" style="283" customWidth="1"/>
    <col min="8467" max="8703" width="9" style="283"/>
    <col min="8704" max="8704" width="5" style="283" bestFit="1" customWidth="1"/>
    <col min="8705" max="8705" width="7.75" style="283" bestFit="1" customWidth="1"/>
    <col min="8706" max="8712" width="7.125" style="283" customWidth="1"/>
    <col min="8713" max="8713" width="8.125" style="283" customWidth="1"/>
    <col min="8714" max="8714" width="1" style="283" customWidth="1"/>
    <col min="8715" max="8715" width="9.75" style="283" bestFit="1" customWidth="1"/>
    <col min="8716" max="8717" width="9.875" style="283" bestFit="1" customWidth="1"/>
    <col min="8718" max="8718" width="7.875" style="283" customWidth="1"/>
    <col min="8719" max="8722" width="8.5" style="283" customWidth="1"/>
    <col min="8723" max="8959" width="9" style="283"/>
    <col min="8960" max="8960" width="5" style="283" bestFit="1" customWidth="1"/>
    <col min="8961" max="8961" width="7.75" style="283" bestFit="1" customWidth="1"/>
    <col min="8962" max="8968" width="7.125" style="283" customWidth="1"/>
    <col min="8969" max="8969" width="8.125" style="283" customWidth="1"/>
    <col min="8970" max="8970" width="1" style="283" customWidth="1"/>
    <col min="8971" max="8971" width="9.75" style="283" bestFit="1" customWidth="1"/>
    <col min="8972" max="8973" width="9.875" style="283" bestFit="1" customWidth="1"/>
    <col min="8974" max="8974" width="7.875" style="283" customWidth="1"/>
    <col min="8975" max="8978" width="8.5" style="283" customWidth="1"/>
    <col min="8979" max="9215" width="9" style="283"/>
    <col min="9216" max="9216" width="5" style="283" bestFit="1" customWidth="1"/>
    <col min="9217" max="9217" width="7.75" style="283" bestFit="1" customWidth="1"/>
    <col min="9218" max="9224" width="7.125" style="283" customWidth="1"/>
    <col min="9225" max="9225" width="8.125" style="283" customWidth="1"/>
    <col min="9226" max="9226" width="1" style="283" customWidth="1"/>
    <col min="9227" max="9227" width="9.75" style="283" bestFit="1" customWidth="1"/>
    <col min="9228" max="9229" width="9.875" style="283" bestFit="1" customWidth="1"/>
    <col min="9230" max="9230" width="7.875" style="283" customWidth="1"/>
    <col min="9231" max="9234" width="8.5" style="283" customWidth="1"/>
    <col min="9235" max="9471" width="9" style="283"/>
    <col min="9472" max="9472" width="5" style="283" bestFit="1" customWidth="1"/>
    <col min="9473" max="9473" width="7.75" style="283" bestFit="1" customWidth="1"/>
    <col min="9474" max="9480" width="7.125" style="283" customWidth="1"/>
    <col min="9481" max="9481" width="8.125" style="283" customWidth="1"/>
    <col min="9482" max="9482" width="1" style="283" customWidth="1"/>
    <col min="9483" max="9483" width="9.75" style="283" bestFit="1" customWidth="1"/>
    <col min="9484" max="9485" width="9.875" style="283" bestFit="1" customWidth="1"/>
    <col min="9486" max="9486" width="7.875" style="283" customWidth="1"/>
    <col min="9487" max="9490" width="8.5" style="283" customWidth="1"/>
    <col min="9491" max="9727" width="9" style="283"/>
    <col min="9728" max="9728" width="5" style="283" bestFit="1" customWidth="1"/>
    <col min="9729" max="9729" width="7.75" style="283" bestFit="1" customWidth="1"/>
    <col min="9730" max="9736" width="7.125" style="283" customWidth="1"/>
    <col min="9737" max="9737" width="8.125" style="283" customWidth="1"/>
    <col min="9738" max="9738" width="1" style="283" customWidth="1"/>
    <col min="9739" max="9739" width="9.75" style="283" bestFit="1" customWidth="1"/>
    <col min="9740" max="9741" width="9.875" style="283" bestFit="1" customWidth="1"/>
    <col min="9742" max="9742" width="7.875" style="283" customWidth="1"/>
    <col min="9743" max="9746" width="8.5" style="283" customWidth="1"/>
    <col min="9747" max="9983" width="9" style="283"/>
    <col min="9984" max="9984" width="5" style="283" bestFit="1" customWidth="1"/>
    <col min="9985" max="9985" width="7.75" style="283" bestFit="1" customWidth="1"/>
    <col min="9986" max="9992" width="7.125" style="283" customWidth="1"/>
    <col min="9993" max="9993" width="8.125" style="283" customWidth="1"/>
    <col min="9994" max="9994" width="1" style="283" customWidth="1"/>
    <col min="9995" max="9995" width="9.75" style="283" bestFit="1" customWidth="1"/>
    <col min="9996" max="9997" width="9.875" style="283" bestFit="1" customWidth="1"/>
    <col min="9998" max="9998" width="7.875" style="283" customWidth="1"/>
    <col min="9999" max="10002" width="8.5" style="283" customWidth="1"/>
    <col min="10003" max="10239" width="9" style="283"/>
    <col min="10240" max="10240" width="5" style="283" bestFit="1" customWidth="1"/>
    <col min="10241" max="10241" width="7.75" style="283" bestFit="1" customWidth="1"/>
    <col min="10242" max="10248" width="7.125" style="283" customWidth="1"/>
    <col min="10249" max="10249" width="8.125" style="283" customWidth="1"/>
    <col min="10250" max="10250" width="1" style="283" customWidth="1"/>
    <col min="10251" max="10251" width="9.75" style="283" bestFit="1" customWidth="1"/>
    <col min="10252" max="10253" width="9.875" style="283" bestFit="1" customWidth="1"/>
    <col min="10254" max="10254" width="7.875" style="283" customWidth="1"/>
    <col min="10255" max="10258" width="8.5" style="283" customWidth="1"/>
    <col min="10259" max="10495" width="9" style="283"/>
    <col min="10496" max="10496" width="5" style="283" bestFit="1" customWidth="1"/>
    <col min="10497" max="10497" width="7.75" style="283" bestFit="1" customWidth="1"/>
    <col min="10498" max="10504" width="7.125" style="283" customWidth="1"/>
    <col min="10505" max="10505" width="8.125" style="283" customWidth="1"/>
    <col min="10506" max="10506" width="1" style="283" customWidth="1"/>
    <col min="10507" max="10507" width="9.75" style="283" bestFit="1" customWidth="1"/>
    <col min="10508" max="10509" width="9.875" style="283" bestFit="1" customWidth="1"/>
    <col min="10510" max="10510" width="7.875" style="283" customWidth="1"/>
    <col min="10511" max="10514" width="8.5" style="283" customWidth="1"/>
    <col min="10515" max="10751" width="9" style="283"/>
    <col min="10752" max="10752" width="5" style="283" bestFit="1" customWidth="1"/>
    <col min="10753" max="10753" width="7.75" style="283" bestFit="1" customWidth="1"/>
    <col min="10754" max="10760" width="7.125" style="283" customWidth="1"/>
    <col min="10761" max="10761" width="8.125" style="283" customWidth="1"/>
    <col min="10762" max="10762" width="1" style="283" customWidth="1"/>
    <col min="10763" max="10763" width="9.75" style="283" bestFit="1" customWidth="1"/>
    <col min="10764" max="10765" width="9.875" style="283" bestFit="1" customWidth="1"/>
    <col min="10766" max="10766" width="7.875" style="283" customWidth="1"/>
    <col min="10767" max="10770" width="8.5" style="283" customWidth="1"/>
    <col min="10771" max="11007" width="9" style="283"/>
    <col min="11008" max="11008" width="5" style="283" bestFit="1" customWidth="1"/>
    <col min="11009" max="11009" width="7.75" style="283" bestFit="1" customWidth="1"/>
    <col min="11010" max="11016" width="7.125" style="283" customWidth="1"/>
    <col min="11017" max="11017" width="8.125" style="283" customWidth="1"/>
    <col min="11018" max="11018" width="1" style="283" customWidth="1"/>
    <col min="11019" max="11019" width="9.75" style="283" bestFit="1" customWidth="1"/>
    <col min="11020" max="11021" width="9.875" style="283" bestFit="1" customWidth="1"/>
    <col min="11022" max="11022" width="7.875" style="283" customWidth="1"/>
    <col min="11023" max="11026" width="8.5" style="283" customWidth="1"/>
    <col min="11027" max="11263" width="9" style="283"/>
    <col min="11264" max="11264" width="5" style="283" bestFit="1" customWidth="1"/>
    <col min="11265" max="11265" width="7.75" style="283" bestFit="1" customWidth="1"/>
    <col min="11266" max="11272" width="7.125" style="283" customWidth="1"/>
    <col min="11273" max="11273" width="8.125" style="283" customWidth="1"/>
    <col min="11274" max="11274" width="1" style="283" customWidth="1"/>
    <col min="11275" max="11275" width="9.75" style="283" bestFit="1" customWidth="1"/>
    <col min="11276" max="11277" width="9.875" style="283" bestFit="1" customWidth="1"/>
    <col min="11278" max="11278" width="7.875" style="283" customWidth="1"/>
    <col min="11279" max="11282" width="8.5" style="283" customWidth="1"/>
    <col min="11283" max="11519" width="9" style="283"/>
    <col min="11520" max="11520" width="5" style="283" bestFit="1" customWidth="1"/>
    <col min="11521" max="11521" width="7.75" style="283" bestFit="1" customWidth="1"/>
    <col min="11522" max="11528" width="7.125" style="283" customWidth="1"/>
    <col min="11529" max="11529" width="8.125" style="283" customWidth="1"/>
    <col min="11530" max="11530" width="1" style="283" customWidth="1"/>
    <col min="11531" max="11531" width="9.75" style="283" bestFit="1" customWidth="1"/>
    <col min="11532" max="11533" width="9.875" style="283" bestFit="1" customWidth="1"/>
    <col min="11534" max="11534" width="7.875" style="283" customWidth="1"/>
    <col min="11535" max="11538" width="8.5" style="283" customWidth="1"/>
    <col min="11539" max="11775" width="9" style="283"/>
    <col min="11776" max="11776" width="5" style="283" bestFit="1" customWidth="1"/>
    <col min="11777" max="11777" width="7.75" style="283" bestFit="1" customWidth="1"/>
    <col min="11778" max="11784" width="7.125" style="283" customWidth="1"/>
    <col min="11785" max="11785" width="8.125" style="283" customWidth="1"/>
    <col min="11786" max="11786" width="1" style="283" customWidth="1"/>
    <col min="11787" max="11787" width="9.75" style="283" bestFit="1" customWidth="1"/>
    <col min="11788" max="11789" width="9.875" style="283" bestFit="1" customWidth="1"/>
    <col min="11790" max="11790" width="7.875" style="283" customWidth="1"/>
    <col min="11791" max="11794" width="8.5" style="283" customWidth="1"/>
    <col min="11795" max="12031" width="9" style="283"/>
    <col min="12032" max="12032" width="5" style="283" bestFit="1" customWidth="1"/>
    <col min="12033" max="12033" width="7.75" style="283" bestFit="1" customWidth="1"/>
    <col min="12034" max="12040" width="7.125" style="283" customWidth="1"/>
    <col min="12041" max="12041" width="8.125" style="283" customWidth="1"/>
    <col min="12042" max="12042" width="1" style="283" customWidth="1"/>
    <col min="12043" max="12043" width="9.75" style="283" bestFit="1" customWidth="1"/>
    <col min="12044" max="12045" width="9.875" style="283" bestFit="1" customWidth="1"/>
    <col min="12046" max="12046" width="7.875" style="283" customWidth="1"/>
    <col min="12047" max="12050" width="8.5" style="283" customWidth="1"/>
    <col min="12051" max="12287" width="9" style="283"/>
    <col min="12288" max="12288" width="5" style="283" bestFit="1" customWidth="1"/>
    <col min="12289" max="12289" width="7.75" style="283" bestFit="1" customWidth="1"/>
    <col min="12290" max="12296" width="7.125" style="283" customWidth="1"/>
    <col min="12297" max="12297" width="8.125" style="283" customWidth="1"/>
    <col min="12298" max="12298" width="1" style="283" customWidth="1"/>
    <col min="12299" max="12299" width="9.75" style="283" bestFit="1" customWidth="1"/>
    <col min="12300" max="12301" width="9.875" style="283" bestFit="1" customWidth="1"/>
    <col min="12302" max="12302" width="7.875" style="283" customWidth="1"/>
    <col min="12303" max="12306" width="8.5" style="283" customWidth="1"/>
    <col min="12307" max="12543" width="9" style="283"/>
    <col min="12544" max="12544" width="5" style="283" bestFit="1" customWidth="1"/>
    <col min="12545" max="12545" width="7.75" style="283" bestFit="1" customWidth="1"/>
    <col min="12546" max="12552" width="7.125" style="283" customWidth="1"/>
    <col min="12553" max="12553" width="8.125" style="283" customWidth="1"/>
    <col min="12554" max="12554" width="1" style="283" customWidth="1"/>
    <col min="12555" max="12555" width="9.75" style="283" bestFit="1" customWidth="1"/>
    <col min="12556" max="12557" width="9.875" style="283" bestFit="1" customWidth="1"/>
    <col min="12558" max="12558" width="7.875" style="283" customWidth="1"/>
    <col min="12559" max="12562" width="8.5" style="283" customWidth="1"/>
    <col min="12563" max="12799" width="9" style="283"/>
    <col min="12800" max="12800" width="5" style="283" bestFit="1" customWidth="1"/>
    <col min="12801" max="12801" width="7.75" style="283" bestFit="1" customWidth="1"/>
    <col min="12802" max="12808" width="7.125" style="283" customWidth="1"/>
    <col min="12809" max="12809" width="8.125" style="283" customWidth="1"/>
    <col min="12810" max="12810" width="1" style="283" customWidth="1"/>
    <col min="12811" max="12811" width="9.75" style="283" bestFit="1" customWidth="1"/>
    <col min="12812" max="12813" width="9.875" style="283" bestFit="1" customWidth="1"/>
    <col min="12814" max="12814" width="7.875" style="283" customWidth="1"/>
    <col min="12815" max="12818" width="8.5" style="283" customWidth="1"/>
    <col min="12819" max="13055" width="9" style="283"/>
    <col min="13056" max="13056" width="5" style="283" bestFit="1" customWidth="1"/>
    <col min="13057" max="13057" width="7.75" style="283" bestFit="1" customWidth="1"/>
    <col min="13058" max="13064" width="7.125" style="283" customWidth="1"/>
    <col min="13065" max="13065" width="8.125" style="283" customWidth="1"/>
    <col min="13066" max="13066" width="1" style="283" customWidth="1"/>
    <col min="13067" max="13067" width="9.75" style="283" bestFit="1" customWidth="1"/>
    <col min="13068" max="13069" width="9.875" style="283" bestFit="1" customWidth="1"/>
    <col min="13070" max="13070" width="7.875" style="283" customWidth="1"/>
    <col min="13071" max="13074" width="8.5" style="283" customWidth="1"/>
    <col min="13075" max="13311" width="9" style="283"/>
    <col min="13312" max="13312" width="5" style="283" bestFit="1" customWidth="1"/>
    <col min="13313" max="13313" width="7.75" style="283" bestFit="1" customWidth="1"/>
    <col min="13314" max="13320" width="7.125" style="283" customWidth="1"/>
    <col min="13321" max="13321" width="8.125" style="283" customWidth="1"/>
    <col min="13322" max="13322" width="1" style="283" customWidth="1"/>
    <col min="13323" max="13323" width="9.75" style="283" bestFit="1" customWidth="1"/>
    <col min="13324" max="13325" width="9.875" style="283" bestFit="1" customWidth="1"/>
    <col min="13326" max="13326" width="7.875" style="283" customWidth="1"/>
    <col min="13327" max="13330" width="8.5" style="283" customWidth="1"/>
    <col min="13331" max="13567" width="9" style="283"/>
    <col min="13568" max="13568" width="5" style="283" bestFit="1" customWidth="1"/>
    <col min="13569" max="13569" width="7.75" style="283" bestFit="1" customWidth="1"/>
    <col min="13570" max="13576" width="7.125" style="283" customWidth="1"/>
    <col min="13577" max="13577" width="8.125" style="283" customWidth="1"/>
    <col min="13578" max="13578" width="1" style="283" customWidth="1"/>
    <col min="13579" max="13579" width="9.75" style="283" bestFit="1" customWidth="1"/>
    <col min="13580" max="13581" width="9.875" style="283" bestFit="1" customWidth="1"/>
    <col min="13582" max="13582" width="7.875" style="283" customWidth="1"/>
    <col min="13583" max="13586" width="8.5" style="283" customWidth="1"/>
    <col min="13587" max="13823" width="9" style="283"/>
    <col min="13824" max="13824" width="5" style="283" bestFit="1" customWidth="1"/>
    <col min="13825" max="13825" width="7.75" style="283" bestFit="1" customWidth="1"/>
    <col min="13826" max="13832" width="7.125" style="283" customWidth="1"/>
    <col min="13833" max="13833" width="8.125" style="283" customWidth="1"/>
    <col min="13834" max="13834" width="1" style="283" customWidth="1"/>
    <col min="13835" max="13835" width="9.75" style="283" bestFit="1" customWidth="1"/>
    <col min="13836" max="13837" width="9.875" style="283" bestFit="1" customWidth="1"/>
    <col min="13838" max="13838" width="7.875" style="283" customWidth="1"/>
    <col min="13839" max="13842" width="8.5" style="283" customWidth="1"/>
    <col min="13843" max="14079" width="9" style="283"/>
    <col min="14080" max="14080" width="5" style="283" bestFit="1" customWidth="1"/>
    <col min="14081" max="14081" width="7.75" style="283" bestFit="1" customWidth="1"/>
    <col min="14082" max="14088" width="7.125" style="283" customWidth="1"/>
    <col min="14089" max="14089" width="8.125" style="283" customWidth="1"/>
    <col min="14090" max="14090" width="1" style="283" customWidth="1"/>
    <col min="14091" max="14091" width="9.75" style="283" bestFit="1" customWidth="1"/>
    <col min="14092" max="14093" width="9.875" style="283" bestFit="1" customWidth="1"/>
    <col min="14094" max="14094" width="7.875" style="283" customWidth="1"/>
    <col min="14095" max="14098" width="8.5" style="283" customWidth="1"/>
    <col min="14099" max="14335" width="9" style="283"/>
    <col min="14336" max="14336" width="5" style="283" bestFit="1" customWidth="1"/>
    <col min="14337" max="14337" width="7.75" style="283" bestFit="1" customWidth="1"/>
    <col min="14338" max="14344" width="7.125" style="283" customWidth="1"/>
    <col min="14345" max="14345" width="8.125" style="283" customWidth="1"/>
    <col min="14346" max="14346" width="1" style="283" customWidth="1"/>
    <col min="14347" max="14347" width="9.75" style="283" bestFit="1" customWidth="1"/>
    <col min="14348" max="14349" width="9.875" style="283" bestFit="1" customWidth="1"/>
    <col min="14350" max="14350" width="7.875" style="283" customWidth="1"/>
    <col min="14351" max="14354" width="8.5" style="283" customWidth="1"/>
    <col min="14355" max="14591" width="9" style="283"/>
    <col min="14592" max="14592" width="5" style="283" bestFit="1" customWidth="1"/>
    <col min="14593" max="14593" width="7.75" style="283" bestFit="1" customWidth="1"/>
    <col min="14594" max="14600" width="7.125" style="283" customWidth="1"/>
    <col min="14601" max="14601" width="8.125" style="283" customWidth="1"/>
    <col min="14602" max="14602" width="1" style="283" customWidth="1"/>
    <col min="14603" max="14603" width="9.75" style="283" bestFit="1" customWidth="1"/>
    <col min="14604" max="14605" width="9.875" style="283" bestFit="1" customWidth="1"/>
    <col min="14606" max="14606" width="7.875" style="283" customWidth="1"/>
    <col min="14607" max="14610" width="8.5" style="283" customWidth="1"/>
    <col min="14611" max="14847" width="9" style="283"/>
    <col min="14848" max="14848" width="5" style="283" bestFit="1" customWidth="1"/>
    <col min="14849" max="14849" width="7.75" style="283" bestFit="1" customWidth="1"/>
    <col min="14850" max="14856" width="7.125" style="283" customWidth="1"/>
    <col min="14857" max="14857" width="8.125" style="283" customWidth="1"/>
    <col min="14858" max="14858" width="1" style="283" customWidth="1"/>
    <col min="14859" max="14859" width="9.75" style="283" bestFit="1" customWidth="1"/>
    <col min="14860" max="14861" width="9.875" style="283" bestFit="1" customWidth="1"/>
    <col min="14862" max="14862" width="7.875" style="283" customWidth="1"/>
    <col min="14863" max="14866" width="8.5" style="283" customWidth="1"/>
    <col min="14867" max="15103" width="9" style="283"/>
    <col min="15104" max="15104" width="5" style="283" bestFit="1" customWidth="1"/>
    <col min="15105" max="15105" width="7.75" style="283" bestFit="1" customWidth="1"/>
    <col min="15106" max="15112" width="7.125" style="283" customWidth="1"/>
    <col min="15113" max="15113" width="8.125" style="283" customWidth="1"/>
    <col min="15114" max="15114" width="1" style="283" customWidth="1"/>
    <col min="15115" max="15115" width="9.75" style="283" bestFit="1" customWidth="1"/>
    <col min="15116" max="15117" width="9.875" style="283" bestFit="1" customWidth="1"/>
    <col min="15118" max="15118" width="7.875" style="283" customWidth="1"/>
    <col min="15119" max="15122" width="8.5" style="283" customWidth="1"/>
    <col min="15123" max="15359" width="9" style="283"/>
    <col min="15360" max="15360" width="5" style="283" bestFit="1" customWidth="1"/>
    <col min="15361" max="15361" width="7.75" style="283" bestFit="1" customWidth="1"/>
    <col min="15362" max="15368" width="7.125" style="283" customWidth="1"/>
    <col min="15369" max="15369" width="8.125" style="283" customWidth="1"/>
    <col min="15370" max="15370" width="1" style="283" customWidth="1"/>
    <col min="15371" max="15371" width="9.75" style="283" bestFit="1" customWidth="1"/>
    <col min="15372" max="15373" width="9.875" style="283" bestFit="1" customWidth="1"/>
    <col min="15374" max="15374" width="7.875" style="283" customWidth="1"/>
    <col min="15375" max="15378" width="8.5" style="283" customWidth="1"/>
    <col min="15379" max="15615" width="9" style="283"/>
    <col min="15616" max="15616" width="5" style="283" bestFit="1" customWidth="1"/>
    <col min="15617" max="15617" width="7.75" style="283" bestFit="1" customWidth="1"/>
    <col min="15618" max="15624" width="7.125" style="283" customWidth="1"/>
    <col min="15625" max="15625" width="8.125" style="283" customWidth="1"/>
    <col min="15626" max="15626" width="1" style="283" customWidth="1"/>
    <col min="15627" max="15627" width="9.75" style="283" bestFit="1" customWidth="1"/>
    <col min="15628" max="15629" width="9.875" style="283" bestFit="1" customWidth="1"/>
    <col min="15630" max="15630" width="7.875" style="283" customWidth="1"/>
    <col min="15631" max="15634" width="8.5" style="283" customWidth="1"/>
    <col min="15635" max="15871" width="9" style="283"/>
    <col min="15872" max="15872" width="5" style="283" bestFit="1" customWidth="1"/>
    <col min="15873" max="15873" width="7.75" style="283" bestFit="1" customWidth="1"/>
    <col min="15874" max="15880" width="7.125" style="283" customWidth="1"/>
    <col min="15881" max="15881" width="8.125" style="283" customWidth="1"/>
    <col min="15882" max="15882" width="1" style="283" customWidth="1"/>
    <col min="15883" max="15883" width="9.75" style="283" bestFit="1" customWidth="1"/>
    <col min="15884" max="15885" width="9.875" style="283" bestFit="1" customWidth="1"/>
    <col min="15886" max="15886" width="7.875" style="283" customWidth="1"/>
    <col min="15887" max="15890" width="8.5" style="283" customWidth="1"/>
    <col min="15891" max="16127" width="9" style="283"/>
    <col min="16128" max="16128" width="5" style="283" bestFit="1" customWidth="1"/>
    <col min="16129" max="16129" width="7.75" style="283" bestFit="1" customWidth="1"/>
    <col min="16130" max="16136" width="7.125" style="283" customWidth="1"/>
    <col min="16137" max="16137" width="8.125" style="283" customWidth="1"/>
    <col min="16138" max="16138" width="1" style="283" customWidth="1"/>
    <col min="16139" max="16139" width="9.75" style="283" bestFit="1" customWidth="1"/>
    <col min="16140" max="16141" width="9.875" style="283" bestFit="1" customWidth="1"/>
    <col min="16142" max="16142" width="7.875" style="283" customWidth="1"/>
    <col min="16143" max="16146" width="8.5" style="283" customWidth="1"/>
    <col min="16147" max="16384" width="9" style="283"/>
  </cols>
  <sheetData>
    <row r="1" spans="1:13" x14ac:dyDescent="0.3">
      <c r="A1" s="482" t="s">
        <v>295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</row>
    <row r="2" spans="1:13" s="286" customFormat="1" ht="11.25" x14ac:dyDescent="0.2">
      <c r="A2" s="255" t="s">
        <v>206</v>
      </c>
      <c r="B2" s="284"/>
      <c r="C2" s="284"/>
      <c r="D2" s="284"/>
      <c r="E2" s="284"/>
      <c r="F2" s="284"/>
      <c r="G2" s="284"/>
      <c r="H2" s="284"/>
      <c r="I2" s="284"/>
      <c r="J2" s="285"/>
      <c r="K2" s="285"/>
    </row>
    <row r="3" spans="1:13" s="288" customFormat="1" ht="36" customHeight="1" x14ac:dyDescent="0.3">
      <c r="A3" s="287" t="s">
        <v>296</v>
      </c>
      <c r="B3" s="287" t="s">
        <v>297</v>
      </c>
      <c r="C3" s="287" t="s">
        <v>298</v>
      </c>
      <c r="D3" s="287" t="s">
        <v>299</v>
      </c>
      <c r="E3" s="287" t="s">
        <v>300</v>
      </c>
      <c r="F3" s="287" t="s">
        <v>301</v>
      </c>
      <c r="G3" s="287" t="s">
        <v>302</v>
      </c>
      <c r="H3" s="287" t="s">
        <v>303</v>
      </c>
      <c r="I3" s="287" t="s">
        <v>304</v>
      </c>
      <c r="J3" s="287" t="s">
        <v>305</v>
      </c>
      <c r="K3" s="287" t="s">
        <v>306</v>
      </c>
      <c r="L3" s="287" t="s">
        <v>307</v>
      </c>
      <c r="M3" s="287" t="s">
        <v>308</v>
      </c>
    </row>
    <row r="4" spans="1:13" s="293" customFormat="1" ht="13.5" customHeight="1" x14ac:dyDescent="0.3">
      <c r="A4" s="289"/>
      <c r="B4" s="290"/>
      <c r="C4" s="291"/>
      <c r="D4" s="291"/>
      <c r="E4" s="291"/>
      <c r="F4" s="291"/>
      <c r="G4" s="291"/>
      <c r="H4" s="291"/>
      <c r="I4" s="291"/>
      <c r="J4" s="292"/>
      <c r="K4" s="292"/>
      <c r="L4" s="291"/>
      <c r="M4" s="291"/>
    </row>
    <row r="5" spans="1:13" s="293" customFormat="1" ht="13.5" customHeight="1" x14ac:dyDescent="0.3">
      <c r="A5" s="261">
        <v>41244</v>
      </c>
      <c r="B5" s="290">
        <v>96</v>
      </c>
      <c r="C5" s="291">
        <v>80</v>
      </c>
      <c r="D5" s="291">
        <v>91</v>
      </c>
      <c r="E5" s="291">
        <v>95</v>
      </c>
      <c r="F5" s="291">
        <v>64</v>
      </c>
      <c r="G5" s="291">
        <v>79</v>
      </c>
      <c r="H5" s="291">
        <v>81</v>
      </c>
      <c r="I5" s="291">
        <v>134</v>
      </c>
      <c r="J5" s="292" t="s">
        <v>228</v>
      </c>
      <c r="K5" s="292" t="s">
        <v>228</v>
      </c>
      <c r="L5" s="291">
        <v>93</v>
      </c>
      <c r="M5" s="291">
        <v>109</v>
      </c>
    </row>
    <row r="6" spans="1:13" s="293" customFormat="1" ht="13.5" customHeight="1" x14ac:dyDescent="0.3">
      <c r="A6" s="261">
        <f>DATE(YEAR(A5)+1,MONTH(A5),1)</f>
        <v>41609</v>
      </c>
      <c r="B6" s="290">
        <v>107.6</v>
      </c>
      <c r="C6" s="291">
        <v>94</v>
      </c>
      <c r="D6" s="291">
        <v>98</v>
      </c>
      <c r="E6" s="291">
        <v>97</v>
      </c>
      <c r="F6" s="291">
        <v>84</v>
      </c>
      <c r="G6" s="291">
        <v>100</v>
      </c>
      <c r="H6" s="291">
        <v>94</v>
      </c>
      <c r="I6" s="291">
        <v>136</v>
      </c>
      <c r="J6" s="291">
        <v>115</v>
      </c>
      <c r="K6" s="291">
        <v>117</v>
      </c>
      <c r="L6" s="291">
        <v>97</v>
      </c>
      <c r="M6" s="291">
        <v>111</v>
      </c>
    </row>
    <row r="7" spans="1:13" s="293" customFormat="1" ht="13.5" customHeight="1" x14ac:dyDescent="0.3">
      <c r="A7" s="261">
        <f t="shared" ref="A7:A18" si="0">DATE(YEAR(A6)+1,MONTH(A6),1)</f>
        <v>41974</v>
      </c>
      <c r="B7" s="290">
        <v>99.8</v>
      </c>
      <c r="C7" s="291">
        <v>88</v>
      </c>
      <c r="D7" s="291">
        <v>93</v>
      </c>
      <c r="E7" s="291">
        <v>98</v>
      </c>
      <c r="F7" s="291">
        <v>69</v>
      </c>
      <c r="G7" s="291">
        <v>82</v>
      </c>
      <c r="H7" s="291">
        <v>78</v>
      </c>
      <c r="I7" s="291">
        <v>129</v>
      </c>
      <c r="J7" s="291">
        <v>124</v>
      </c>
      <c r="K7" s="291">
        <v>113</v>
      </c>
      <c r="L7" s="291">
        <v>90</v>
      </c>
      <c r="M7" s="291">
        <v>106</v>
      </c>
    </row>
    <row r="8" spans="1:13" s="293" customFormat="1" ht="13.5" customHeight="1" x14ac:dyDescent="0.3">
      <c r="A8" s="261">
        <f t="shared" si="0"/>
        <v>42339</v>
      </c>
      <c r="B8" s="290">
        <v>100.6</v>
      </c>
      <c r="C8" s="291">
        <v>87</v>
      </c>
      <c r="D8" s="291">
        <v>95</v>
      </c>
      <c r="E8" s="291">
        <v>97</v>
      </c>
      <c r="F8" s="291">
        <v>70</v>
      </c>
      <c r="G8" s="291">
        <v>82</v>
      </c>
      <c r="H8" s="291">
        <v>79</v>
      </c>
      <c r="I8" s="291">
        <v>134</v>
      </c>
      <c r="J8" s="291">
        <v>108</v>
      </c>
      <c r="K8" s="291">
        <v>108</v>
      </c>
      <c r="L8" s="291">
        <v>119</v>
      </c>
      <c r="M8" s="291">
        <v>109</v>
      </c>
    </row>
    <row r="9" spans="1:13" s="293" customFormat="1" ht="13.5" customHeight="1" x14ac:dyDescent="0.3">
      <c r="A9" s="261">
        <f t="shared" si="0"/>
        <v>42705</v>
      </c>
      <c r="B9" s="290">
        <v>91.2</v>
      </c>
      <c r="C9" s="291">
        <v>83</v>
      </c>
      <c r="D9" s="291">
        <v>88</v>
      </c>
      <c r="E9" s="291">
        <v>93</v>
      </c>
      <c r="F9" s="291">
        <v>52</v>
      </c>
      <c r="G9" s="291">
        <v>68</v>
      </c>
      <c r="H9" s="291">
        <v>64</v>
      </c>
      <c r="I9" s="291">
        <v>134</v>
      </c>
      <c r="J9" s="291">
        <v>105</v>
      </c>
      <c r="K9" s="291">
        <v>105</v>
      </c>
      <c r="L9" s="291">
        <v>120</v>
      </c>
      <c r="M9" s="291">
        <v>103</v>
      </c>
    </row>
    <row r="10" spans="1:13" s="293" customFormat="1" ht="13.5" customHeight="1" x14ac:dyDescent="0.3">
      <c r="A10" s="261">
        <f t="shared" si="0"/>
        <v>43070</v>
      </c>
      <c r="B10" s="290">
        <v>105.6</v>
      </c>
      <c r="C10" s="291">
        <v>87</v>
      </c>
      <c r="D10" s="291">
        <v>98</v>
      </c>
      <c r="E10" s="291">
        <v>100</v>
      </c>
      <c r="F10" s="291">
        <v>83</v>
      </c>
      <c r="G10" s="291">
        <v>97</v>
      </c>
      <c r="H10" s="291">
        <v>90</v>
      </c>
      <c r="I10" s="291">
        <v>138</v>
      </c>
      <c r="J10" s="291">
        <v>105</v>
      </c>
      <c r="K10" s="291">
        <v>114</v>
      </c>
      <c r="L10" s="291">
        <v>129</v>
      </c>
      <c r="M10" s="291">
        <v>109</v>
      </c>
    </row>
    <row r="11" spans="1:13" s="293" customFormat="1" ht="13.5" customHeight="1" x14ac:dyDescent="0.3">
      <c r="A11" s="261">
        <f t="shared" si="0"/>
        <v>43435</v>
      </c>
      <c r="B11" s="290">
        <v>89.8</v>
      </c>
      <c r="C11" s="291">
        <v>82</v>
      </c>
      <c r="D11" s="291">
        <v>85</v>
      </c>
      <c r="E11" s="291">
        <v>89</v>
      </c>
      <c r="F11" s="291">
        <v>58</v>
      </c>
      <c r="G11" s="291">
        <v>70</v>
      </c>
      <c r="H11" s="291">
        <v>68</v>
      </c>
      <c r="I11" s="291">
        <v>142</v>
      </c>
      <c r="J11" s="291">
        <v>79</v>
      </c>
      <c r="K11" s="291">
        <v>107</v>
      </c>
      <c r="L11" s="291">
        <v>133</v>
      </c>
      <c r="M11" s="291">
        <v>103</v>
      </c>
    </row>
    <row r="12" spans="1:13" s="293" customFormat="1" ht="13.5" customHeight="1" x14ac:dyDescent="0.3">
      <c r="A12" s="261">
        <f t="shared" si="0"/>
        <v>43800</v>
      </c>
      <c r="B12" s="290">
        <v>95.8</v>
      </c>
      <c r="C12" s="291">
        <v>88</v>
      </c>
      <c r="D12" s="291">
        <v>88</v>
      </c>
      <c r="E12" s="291">
        <v>92</v>
      </c>
      <c r="F12" s="291">
        <v>71</v>
      </c>
      <c r="G12" s="291">
        <v>80</v>
      </c>
      <c r="H12" s="291">
        <v>80</v>
      </c>
      <c r="I12" s="291">
        <v>122</v>
      </c>
      <c r="J12" s="291">
        <v>128</v>
      </c>
      <c r="K12" s="291">
        <v>109</v>
      </c>
      <c r="L12" s="291">
        <v>93</v>
      </c>
      <c r="M12" s="291">
        <v>103</v>
      </c>
    </row>
    <row r="13" spans="1:13" s="293" customFormat="1" ht="13.5" customHeight="1" x14ac:dyDescent="0.3">
      <c r="A13" s="261">
        <f t="shared" si="0"/>
        <v>44166</v>
      </c>
      <c r="B13" s="290">
        <v>85.4</v>
      </c>
      <c r="C13" s="291">
        <v>80</v>
      </c>
      <c r="D13" s="291">
        <v>83</v>
      </c>
      <c r="E13" s="291">
        <v>84</v>
      </c>
      <c r="F13" s="291">
        <v>56</v>
      </c>
      <c r="G13" s="291">
        <v>77</v>
      </c>
      <c r="H13" s="291">
        <v>66</v>
      </c>
      <c r="I13" s="291">
        <v>130</v>
      </c>
      <c r="J13" s="291">
        <v>141</v>
      </c>
      <c r="K13" s="291">
        <v>102</v>
      </c>
      <c r="L13" s="291">
        <v>96</v>
      </c>
      <c r="M13" s="291">
        <v>94</v>
      </c>
    </row>
    <row r="14" spans="1:13" s="293" customFormat="1" ht="13.5" customHeight="1" x14ac:dyDescent="0.3">
      <c r="A14" s="261">
        <f t="shared" si="0"/>
        <v>44531</v>
      </c>
      <c r="B14" s="290">
        <v>102.8</v>
      </c>
      <c r="C14" s="291">
        <v>92</v>
      </c>
      <c r="D14" s="291">
        <v>93</v>
      </c>
      <c r="E14" s="291">
        <v>95</v>
      </c>
      <c r="F14" s="291">
        <v>80</v>
      </c>
      <c r="G14" s="291">
        <v>91</v>
      </c>
      <c r="H14" s="291">
        <v>86</v>
      </c>
      <c r="I14" s="291">
        <v>144</v>
      </c>
      <c r="J14" s="291">
        <v>114</v>
      </c>
      <c r="K14" s="291">
        <v>112</v>
      </c>
      <c r="L14" s="291">
        <v>137</v>
      </c>
      <c r="M14" s="291">
        <v>108</v>
      </c>
    </row>
    <row r="15" spans="1:13" s="293" customFormat="1" ht="13.5" customHeight="1" x14ac:dyDescent="0.3">
      <c r="A15" s="261">
        <f t="shared" si="0"/>
        <v>44896</v>
      </c>
      <c r="B15" s="290">
        <v>90.7</v>
      </c>
      <c r="C15" s="291">
        <v>84</v>
      </c>
      <c r="D15" s="291">
        <v>84</v>
      </c>
      <c r="E15" s="291">
        <v>90</v>
      </c>
      <c r="F15" s="291">
        <v>57</v>
      </c>
      <c r="G15" s="291">
        <v>67</v>
      </c>
      <c r="H15" s="291">
        <v>71</v>
      </c>
      <c r="I15" s="291">
        <v>140</v>
      </c>
      <c r="J15" s="291">
        <v>67</v>
      </c>
      <c r="K15" s="291">
        <v>113</v>
      </c>
      <c r="L15" s="291">
        <v>128</v>
      </c>
      <c r="M15" s="291">
        <v>106</v>
      </c>
    </row>
    <row r="16" spans="1:13" s="293" customFormat="1" ht="13.5" customHeight="1" x14ac:dyDescent="0.3">
      <c r="A16" s="261">
        <f t="shared" si="0"/>
        <v>45261</v>
      </c>
      <c r="B16" s="290">
        <v>99.8</v>
      </c>
      <c r="C16" s="291">
        <v>89</v>
      </c>
      <c r="D16" s="291">
        <v>91</v>
      </c>
      <c r="E16" s="291">
        <v>97</v>
      </c>
      <c r="F16" s="291">
        <v>71</v>
      </c>
      <c r="G16" s="291">
        <v>80</v>
      </c>
      <c r="H16" s="291">
        <v>80</v>
      </c>
      <c r="I16" s="291">
        <v>132</v>
      </c>
      <c r="J16" s="291">
        <v>93</v>
      </c>
      <c r="K16" s="291">
        <v>114</v>
      </c>
      <c r="L16" s="291">
        <v>103</v>
      </c>
      <c r="M16" s="291">
        <v>108</v>
      </c>
    </row>
    <row r="17" spans="1:13" s="293" customFormat="1" ht="13.5" customHeight="1" x14ac:dyDescent="0.3">
      <c r="A17" s="261">
        <f t="shared" si="0"/>
        <v>45627</v>
      </c>
      <c r="B17" s="290">
        <v>92.8</v>
      </c>
      <c r="C17" s="291">
        <v>85</v>
      </c>
      <c r="D17" s="291">
        <v>88</v>
      </c>
      <c r="E17" s="291">
        <v>94</v>
      </c>
      <c r="F17" s="291">
        <v>59</v>
      </c>
      <c r="G17" s="291">
        <v>66</v>
      </c>
      <c r="H17" s="291">
        <v>71</v>
      </c>
      <c r="I17" s="291">
        <v>135</v>
      </c>
      <c r="J17" s="291">
        <v>102</v>
      </c>
      <c r="K17" s="291">
        <v>113</v>
      </c>
      <c r="L17" s="291">
        <v>89</v>
      </c>
      <c r="M17" s="291">
        <v>104</v>
      </c>
    </row>
    <row r="18" spans="1:13" s="293" customFormat="1" ht="13.5" customHeight="1" x14ac:dyDescent="0.3">
      <c r="A18" s="261">
        <f t="shared" si="0"/>
        <v>45992</v>
      </c>
      <c r="B18" s="290">
        <v>108.9</v>
      </c>
      <c r="C18" s="291">
        <v>94</v>
      </c>
      <c r="D18" s="291">
        <v>97</v>
      </c>
      <c r="E18" s="291">
        <v>101</v>
      </c>
      <c r="F18" s="291">
        <v>90</v>
      </c>
      <c r="G18" s="291">
        <v>97</v>
      </c>
      <c r="H18" s="291">
        <v>89</v>
      </c>
      <c r="I18" s="291">
        <v>141</v>
      </c>
      <c r="J18" s="291">
        <v>126</v>
      </c>
      <c r="K18" s="291">
        <v>121</v>
      </c>
      <c r="L18" s="291">
        <v>101</v>
      </c>
      <c r="M18" s="291">
        <v>111</v>
      </c>
    </row>
    <row r="19" spans="1:13" s="293" customFormat="1" ht="13.5" customHeight="1" x14ac:dyDescent="0.3">
      <c r="A19" s="263"/>
      <c r="B19" s="290"/>
      <c r="C19" s="291"/>
      <c r="D19" s="291"/>
      <c r="E19" s="291"/>
      <c r="F19" s="291"/>
      <c r="G19" s="291"/>
      <c r="H19" s="291"/>
      <c r="I19" s="291"/>
      <c r="J19" s="291"/>
      <c r="K19" s="291"/>
      <c r="L19" s="291"/>
      <c r="M19" s="291"/>
    </row>
    <row r="20" spans="1:13" s="293" customFormat="1" ht="13.5" customHeight="1" x14ac:dyDescent="0.3">
      <c r="A20" s="261">
        <f>DATE(YEAR(표지!O1)-2,MONTH(표지!O1)-1,1)</f>
        <v>45352</v>
      </c>
      <c r="B20" s="290">
        <v>102.6</v>
      </c>
      <c r="C20" s="291">
        <v>90</v>
      </c>
      <c r="D20" s="291">
        <v>92</v>
      </c>
      <c r="E20" s="291">
        <v>99</v>
      </c>
      <c r="F20" s="291">
        <v>76</v>
      </c>
      <c r="G20" s="291">
        <v>87</v>
      </c>
      <c r="H20" s="291">
        <v>85</v>
      </c>
      <c r="I20" s="291">
        <v>134</v>
      </c>
      <c r="J20" s="291">
        <v>95</v>
      </c>
      <c r="K20" s="291">
        <v>115</v>
      </c>
      <c r="L20" s="291">
        <v>93</v>
      </c>
      <c r="M20" s="291">
        <v>109</v>
      </c>
    </row>
    <row r="21" spans="1:13" s="293" customFormat="1" ht="13.5" customHeight="1" x14ac:dyDescent="0.3">
      <c r="A21" s="271">
        <f t="shared" ref="A21:A29" si="1">DATE(YEAR(A20),MONTH(A20)+1,1)</f>
        <v>45383</v>
      </c>
      <c r="B21" s="290">
        <v>100.8</v>
      </c>
      <c r="C21" s="291">
        <v>90</v>
      </c>
      <c r="D21" s="291">
        <v>93</v>
      </c>
      <c r="E21" s="291">
        <v>96</v>
      </c>
      <c r="F21" s="291">
        <v>72</v>
      </c>
      <c r="G21" s="291">
        <v>86</v>
      </c>
      <c r="H21" s="291">
        <v>87</v>
      </c>
      <c r="I21" s="291">
        <v>133</v>
      </c>
      <c r="J21" s="291">
        <v>99</v>
      </c>
      <c r="K21" s="291">
        <v>116</v>
      </c>
      <c r="L21" s="291">
        <v>94</v>
      </c>
      <c r="M21" s="291">
        <v>107</v>
      </c>
    </row>
    <row r="22" spans="1:13" s="293" customFormat="1" ht="13.5" customHeight="1" x14ac:dyDescent="0.3">
      <c r="A22" s="271">
        <f t="shared" si="1"/>
        <v>45413</v>
      </c>
      <c r="B22" s="290">
        <v>98.7</v>
      </c>
      <c r="C22" s="291">
        <v>89</v>
      </c>
      <c r="D22" s="291">
        <v>90</v>
      </c>
      <c r="E22" s="291">
        <v>95</v>
      </c>
      <c r="F22" s="291">
        <v>74</v>
      </c>
      <c r="G22" s="291">
        <v>84</v>
      </c>
      <c r="H22" s="291">
        <v>83</v>
      </c>
      <c r="I22" s="291">
        <v>133</v>
      </c>
      <c r="J22" s="291">
        <v>106</v>
      </c>
      <c r="K22" s="291">
        <v>114</v>
      </c>
      <c r="L22" s="291">
        <v>98</v>
      </c>
      <c r="M22" s="291">
        <v>104</v>
      </c>
    </row>
    <row r="23" spans="1:13" s="293" customFormat="1" ht="13.5" customHeight="1" x14ac:dyDescent="0.3">
      <c r="A23" s="271">
        <f t="shared" si="1"/>
        <v>45444</v>
      </c>
      <c r="B23" s="290">
        <v>101.5</v>
      </c>
      <c r="C23" s="291">
        <v>89</v>
      </c>
      <c r="D23" s="291">
        <v>94</v>
      </c>
      <c r="E23" s="291">
        <v>96</v>
      </c>
      <c r="F23" s="291">
        <v>75</v>
      </c>
      <c r="G23" s="291">
        <v>87</v>
      </c>
      <c r="H23" s="291">
        <v>84</v>
      </c>
      <c r="I23" s="291">
        <v>132</v>
      </c>
      <c r="J23" s="291">
        <v>106</v>
      </c>
      <c r="K23" s="291">
        <v>115</v>
      </c>
      <c r="L23" s="291">
        <v>96</v>
      </c>
      <c r="M23" s="291">
        <v>108</v>
      </c>
    </row>
    <row r="24" spans="1:13" s="293" customFormat="1" ht="13.5" customHeight="1" x14ac:dyDescent="0.3">
      <c r="A24" s="271">
        <f t="shared" si="1"/>
        <v>45474</v>
      </c>
      <c r="B24" s="290">
        <v>103.5</v>
      </c>
      <c r="C24" s="291">
        <v>89</v>
      </c>
      <c r="D24" s="291">
        <v>94</v>
      </c>
      <c r="E24" s="291">
        <v>99</v>
      </c>
      <c r="F24" s="291">
        <v>80</v>
      </c>
      <c r="G24" s="291">
        <v>89</v>
      </c>
      <c r="H24" s="291">
        <v>90</v>
      </c>
      <c r="I24" s="291">
        <v>127</v>
      </c>
      <c r="J24" s="291">
        <v>111</v>
      </c>
      <c r="K24" s="291">
        <v>116</v>
      </c>
      <c r="L24" s="291">
        <v>92</v>
      </c>
      <c r="M24" s="291">
        <v>109</v>
      </c>
    </row>
    <row r="25" spans="1:13" s="293" customFormat="1" ht="13.5" customHeight="1" x14ac:dyDescent="0.3">
      <c r="A25" s="271">
        <f t="shared" si="1"/>
        <v>45505</v>
      </c>
      <c r="B25" s="290">
        <v>103.7</v>
      </c>
      <c r="C25" s="291">
        <v>91</v>
      </c>
      <c r="D25" s="291">
        <v>95</v>
      </c>
      <c r="E25" s="291">
        <v>99</v>
      </c>
      <c r="F25" s="291">
        <v>80</v>
      </c>
      <c r="G25" s="291">
        <v>86</v>
      </c>
      <c r="H25" s="291">
        <v>84</v>
      </c>
      <c r="I25" s="291">
        <v>130</v>
      </c>
      <c r="J25" s="291">
        <v>119</v>
      </c>
      <c r="K25" s="291">
        <v>117</v>
      </c>
      <c r="L25" s="291">
        <v>91</v>
      </c>
      <c r="M25" s="291">
        <v>108</v>
      </c>
    </row>
    <row r="26" spans="1:13" s="293" customFormat="1" ht="13.5" customHeight="1" x14ac:dyDescent="0.3">
      <c r="A26" s="271">
        <f t="shared" si="1"/>
        <v>45536</v>
      </c>
      <c r="B26" s="290">
        <v>101.1</v>
      </c>
      <c r="C26" s="291">
        <v>91</v>
      </c>
      <c r="D26" s="291">
        <v>93</v>
      </c>
      <c r="E26" s="291">
        <v>97</v>
      </c>
      <c r="F26" s="291">
        <v>77</v>
      </c>
      <c r="G26" s="291">
        <v>83</v>
      </c>
      <c r="H26" s="291">
        <v>84</v>
      </c>
      <c r="I26" s="291">
        <v>134</v>
      </c>
      <c r="J26" s="291">
        <v>121</v>
      </c>
      <c r="K26" s="291">
        <v>116</v>
      </c>
      <c r="L26" s="291">
        <v>86</v>
      </c>
      <c r="M26" s="291">
        <v>105</v>
      </c>
    </row>
    <row r="27" spans="1:13" s="293" customFormat="1" ht="13.5" customHeight="1" x14ac:dyDescent="0.3">
      <c r="A27" s="271">
        <f t="shared" si="1"/>
        <v>45566</v>
      </c>
      <c r="B27" s="290">
        <v>98.1</v>
      </c>
      <c r="C27" s="291">
        <v>87</v>
      </c>
      <c r="D27" s="291">
        <v>91</v>
      </c>
      <c r="E27" s="291">
        <v>95</v>
      </c>
      <c r="F27" s="291">
        <v>74</v>
      </c>
      <c r="G27" s="291">
        <v>82</v>
      </c>
      <c r="H27" s="291">
        <v>84</v>
      </c>
      <c r="I27" s="291">
        <v>131</v>
      </c>
      <c r="J27" s="291">
        <v>116</v>
      </c>
      <c r="K27" s="291">
        <v>115</v>
      </c>
      <c r="L27" s="291">
        <v>83</v>
      </c>
      <c r="M27" s="291">
        <v>104</v>
      </c>
    </row>
    <row r="28" spans="1:13" s="293" customFormat="1" ht="13.5" customHeight="1" x14ac:dyDescent="0.3">
      <c r="A28" s="271">
        <f t="shared" si="1"/>
        <v>45597</v>
      </c>
      <c r="B28" s="290">
        <v>98.3</v>
      </c>
      <c r="C28" s="291">
        <v>89</v>
      </c>
      <c r="D28" s="291">
        <v>90</v>
      </c>
      <c r="E28" s="291">
        <v>96</v>
      </c>
      <c r="F28" s="291">
        <v>71</v>
      </c>
      <c r="G28" s="291">
        <v>77</v>
      </c>
      <c r="H28" s="291">
        <v>79</v>
      </c>
      <c r="I28" s="291">
        <v>136</v>
      </c>
      <c r="J28" s="291">
        <v>110</v>
      </c>
      <c r="K28" s="291">
        <v>116</v>
      </c>
      <c r="L28" s="291">
        <v>90</v>
      </c>
      <c r="M28" s="291">
        <v>106</v>
      </c>
    </row>
    <row r="29" spans="1:13" s="293" customFormat="1" ht="13.5" customHeight="1" x14ac:dyDescent="0.3">
      <c r="A29" s="271">
        <f t="shared" si="1"/>
        <v>45627</v>
      </c>
      <c r="B29" s="290">
        <v>92.8</v>
      </c>
      <c r="C29" s="291">
        <v>85</v>
      </c>
      <c r="D29" s="291">
        <v>88</v>
      </c>
      <c r="E29" s="291">
        <v>94</v>
      </c>
      <c r="F29" s="291">
        <v>59</v>
      </c>
      <c r="G29" s="291">
        <v>66</v>
      </c>
      <c r="H29" s="291">
        <v>71</v>
      </c>
      <c r="I29" s="291">
        <v>135</v>
      </c>
      <c r="J29" s="291">
        <v>102</v>
      </c>
      <c r="K29" s="291">
        <v>113</v>
      </c>
      <c r="L29" s="291">
        <v>89</v>
      </c>
      <c r="M29" s="291">
        <v>104</v>
      </c>
    </row>
    <row r="30" spans="1:13" s="293" customFormat="1" ht="13.5" customHeight="1" x14ac:dyDescent="0.3">
      <c r="A30" s="271"/>
      <c r="B30" s="290"/>
      <c r="C30" s="291"/>
      <c r="D30" s="291"/>
      <c r="E30" s="291"/>
      <c r="F30" s="291"/>
      <c r="G30" s="291"/>
      <c r="H30" s="291"/>
      <c r="I30" s="291"/>
      <c r="J30" s="291"/>
      <c r="K30" s="291"/>
      <c r="L30" s="291"/>
      <c r="M30" s="291"/>
    </row>
    <row r="31" spans="1:13" s="293" customFormat="1" ht="13.5" customHeight="1" x14ac:dyDescent="0.3">
      <c r="A31" s="261">
        <f>DATE(YEAR(A29),MONTH(A29)+1,1)</f>
        <v>45658</v>
      </c>
      <c r="B31" s="290">
        <v>90.4</v>
      </c>
      <c r="C31" s="291">
        <v>85</v>
      </c>
      <c r="D31" s="291">
        <v>88</v>
      </c>
      <c r="E31" s="291">
        <v>92</v>
      </c>
      <c r="F31" s="291">
        <v>51</v>
      </c>
      <c r="G31" s="291">
        <v>61</v>
      </c>
      <c r="H31" s="291">
        <v>67</v>
      </c>
      <c r="I31" s="291">
        <v>140</v>
      </c>
      <c r="J31" s="291">
        <v>95</v>
      </c>
      <c r="K31" s="291">
        <v>112</v>
      </c>
      <c r="L31" s="291">
        <v>91</v>
      </c>
      <c r="M31" s="291">
        <v>103</v>
      </c>
    </row>
    <row r="32" spans="1:13" s="293" customFormat="1" ht="13.5" customHeight="1" x14ac:dyDescent="0.3">
      <c r="A32" s="271">
        <f t="shared" ref="A32:A38" si="2">DATE(YEAR(A31),MONTH(A31)+1,1)</f>
        <v>45689</v>
      </c>
      <c r="B32" s="290">
        <v>93.1</v>
      </c>
      <c r="C32" s="291">
        <v>87</v>
      </c>
      <c r="D32" s="291">
        <v>87</v>
      </c>
      <c r="E32" s="291">
        <v>92</v>
      </c>
      <c r="F32" s="291">
        <v>56</v>
      </c>
      <c r="G32" s="291">
        <v>69</v>
      </c>
      <c r="H32" s="291">
        <v>70</v>
      </c>
      <c r="I32" s="291">
        <v>140</v>
      </c>
      <c r="J32" s="291">
        <v>100</v>
      </c>
      <c r="K32" s="291">
        <v>113</v>
      </c>
      <c r="L32" s="291">
        <v>96</v>
      </c>
      <c r="M32" s="291">
        <v>106</v>
      </c>
    </row>
    <row r="33" spans="1:13" s="293" customFormat="1" ht="13.5" customHeight="1" x14ac:dyDescent="0.3">
      <c r="A33" s="271">
        <f t="shared" si="2"/>
        <v>45717</v>
      </c>
      <c r="B33" s="290">
        <v>92.1</v>
      </c>
      <c r="C33" s="291">
        <v>85</v>
      </c>
      <c r="D33" s="291">
        <v>89</v>
      </c>
      <c r="E33" s="291">
        <v>92</v>
      </c>
      <c r="F33" s="291">
        <v>57</v>
      </c>
      <c r="G33" s="291">
        <v>71</v>
      </c>
      <c r="H33" s="291">
        <v>69</v>
      </c>
      <c r="I33" s="291">
        <v>138</v>
      </c>
      <c r="J33" s="291">
        <v>103</v>
      </c>
      <c r="K33" s="291">
        <v>114</v>
      </c>
      <c r="L33" s="291">
        <v>87</v>
      </c>
      <c r="M33" s="291">
        <v>101</v>
      </c>
    </row>
    <row r="34" spans="1:13" s="293" customFormat="1" ht="13.5" customHeight="1" x14ac:dyDescent="0.3">
      <c r="A34" s="271">
        <f t="shared" si="2"/>
        <v>45748</v>
      </c>
      <c r="B34" s="290">
        <v>92.8</v>
      </c>
      <c r="C34" s="291">
        <v>85</v>
      </c>
      <c r="D34" s="291">
        <v>88</v>
      </c>
      <c r="E34" s="291">
        <v>93</v>
      </c>
      <c r="F34" s="291">
        <v>56</v>
      </c>
      <c r="G34" s="291">
        <v>69</v>
      </c>
      <c r="H34" s="291">
        <v>72</v>
      </c>
      <c r="I34" s="291">
        <v>143</v>
      </c>
      <c r="J34" s="291">
        <v>107</v>
      </c>
      <c r="K34" s="291">
        <v>113</v>
      </c>
      <c r="L34" s="291">
        <v>97</v>
      </c>
      <c r="M34" s="291">
        <v>105</v>
      </c>
    </row>
    <row r="35" spans="1:13" s="293" customFormat="1" ht="13.5" customHeight="1" x14ac:dyDescent="0.3">
      <c r="A35" s="271">
        <f t="shared" si="2"/>
        <v>45778</v>
      </c>
      <c r="B35" s="290">
        <v>99.6</v>
      </c>
      <c r="C35" s="291">
        <v>88</v>
      </c>
      <c r="D35" s="291">
        <v>94</v>
      </c>
      <c r="E35" s="291">
        <v>98</v>
      </c>
      <c r="F35" s="291">
        <v>63</v>
      </c>
      <c r="G35" s="291">
        <v>83</v>
      </c>
      <c r="H35" s="291">
        <v>80</v>
      </c>
      <c r="I35" s="291">
        <v>136</v>
      </c>
      <c r="J35" s="291">
        <v>112</v>
      </c>
      <c r="K35" s="291">
        <v>115</v>
      </c>
      <c r="L35" s="291">
        <v>94</v>
      </c>
      <c r="M35" s="291">
        <v>106</v>
      </c>
    </row>
    <row r="36" spans="1:13" s="293" customFormat="1" ht="13.5" customHeight="1" x14ac:dyDescent="0.3">
      <c r="A36" s="271">
        <f t="shared" si="2"/>
        <v>45809</v>
      </c>
      <c r="B36" s="290">
        <v>106.6</v>
      </c>
      <c r="C36" s="291">
        <v>90</v>
      </c>
      <c r="D36" s="291">
        <v>100</v>
      </c>
      <c r="E36" s="291">
        <v>99</v>
      </c>
      <c r="F36" s="291">
        <v>72</v>
      </c>
      <c r="G36" s="291">
        <v>104</v>
      </c>
      <c r="H36" s="291">
        <v>96</v>
      </c>
      <c r="I36" s="291">
        <v>133</v>
      </c>
      <c r="J36" s="291">
        <v>121</v>
      </c>
      <c r="K36" s="291">
        <v>119</v>
      </c>
      <c r="L36" s="291">
        <v>83</v>
      </c>
      <c r="M36" s="291">
        <v>110</v>
      </c>
    </row>
    <row r="37" spans="1:13" s="293" customFormat="1" ht="13.5" customHeight="1" x14ac:dyDescent="0.3">
      <c r="A37" s="271">
        <f t="shared" si="2"/>
        <v>45839</v>
      </c>
      <c r="B37" s="290">
        <v>108.1</v>
      </c>
      <c r="C37" s="291">
        <v>92</v>
      </c>
      <c r="D37" s="291">
        <v>99</v>
      </c>
      <c r="E37" s="291">
        <v>100</v>
      </c>
      <c r="F37" s="291">
        <v>82</v>
      </c>
      <c r="G37" s="291">
        <v>100</v>
      </c>
      <c r="H37" s="291">
        <v>92</v>
      </c>
      <c r="I37" s="291">
        <v>134</v>
      </c>
      <c r="J37" s="291">
        <v>110</v>
      </c>
      <c r="K37" s="291">
        <v>120</v>
      </c>
      <c r="L37" s="291">
        <v>93</v>
      </c>
      <c r="M37" s="291">
        <v>111</v>
      </c>
    </row>
    <row r="38" spans="1:13" s="293" customFormat="1" ht="13.5" customHeight="1" x14ac:dyDescent="0.3">
      <c r="A38" s="271">
        <f t="shared" si="2"/>
        <v>45870</v>
      </c>
      <c r="B38" s="290">
        <v>110.4</v>
      </c>
      <c r="C38" s="291">
        <v>95</v>
      </c>
      <c r="D38" s="291">
        <v>99</v>
      </c>
      <c r="E38" s="291">
        <v>102</v>
      </c>
      <c r="F38" s="291">
        <v>91</v>
      </c>
      <c r="G38" s="291">
        <v>97</v>
      </c>
      <c r="H38" s="291">
        <v>87</v>
      </c>
      <c r="I38" s="291">
        <v>138</v>
      </c>
      <c r="J38" s="291">
        <v>113</v>
      </c>
      <c r="K38" s="291">
        <v>119</v>
      </c>
      <c r="L38" s="291">
        <v>93</v>
      </c>
      <c r="M38" s="291">
        <v>112</v>
      </c>
    </row>
    <row r="39" spans="1:13" s="293" customFormat="1" ht="13.5" customHeight="1" x14ac:dyDescent="0.3">
      <c r="A39" s="271">
        <f>DATE(YEAR(A38),MONTH(A38)+1,1)</f>
        <v>45901</v>
      </c>
      <c r="B39" s="290">
        <v>107</v>
      </c>
      <c r="C39" s="291">
        <v>94</v>
      </c>
      <c r="D39" s="291">
        <v>99</v>
      </c>
      <c r="E39" s="291">
        <v>98</v>
      </c>
      <c r="F39" s="291">
        <v>89</v>
      </c>
      <c r="G39" s="291">
        <v>95</v>
      </c>
      <c r="H39" s="291">
        <v>86</v>
      </c>
      <c r="I39" s="291">
        <v>137</v>
      </c>
      <c r="J39" s="291">
        <v>117</v>
      </c>
      <c r="K39" s="291">
        <v>120</v>
      </c>
      <c r="L39" s="291">
        <v>89</v>
      </c>
      <c r="M39" s="291">
        <v>107</v>
      </c>
    </row>
    <row r="40" spans="1:13" s="293" customFormat="1" ht="13.5" customHeight="1" x14ac:dyDescent="0.3">
      <c r="A40" s="271">
        <f>DATE(YEAR(A39),MONTH(A39)+1,1)</f>
        <v>45931</v>
      </c>
      <c r="B40" s="290">
        <v>107.2</v>
      </c>
      <c r="C40" s="291">
        <v>95</v>
      </c>
      <c r="D40" s="291">
        <v>96</v>
      </c>
      <c r="E40" s="291">
        <v>99</v>
      </c>
      <c r="F40" s="291">
        <v>89</v>
      </c>
      <c r="G40" s="291">
        <v>93</v>
      </c>
      <c r="H40" s="291">
        <v>89</v>
      </c>
      <c r="I40" s="291">
        <v>138</v>
      </c>
      <c r="J40" s="291">
        <v>126</v>
      </c>
      <c r="K40" s="291">
        <v>119</v>
      </c>
      <c r="L40" s="291">
        <v>97</v>
      </c>
      <c r="M40" s="291">
        <v>109</v>
      </c>
    </row>
    <row r="41" spans="1:13" s="293" customFormat="1" ht="13.5" customHeight="1" x14ac:dyDescent="0.3">
      <c r="A41" s="271">
        <f>DATE(YEAR(A40),MONTH(A40)+1,1)</f>
        <v>45962</v>
      </c>
      <c r="B41" s="290">
        <v>110.8</v>
      </c>
      <c r="C41" s="291">
        <v>95</v>
      </c>
      <c r="D41" s="291">
        <v>99</v>
      </c>
      <c r="E41" s="291">
        <v>101</v>
      </c>
      <c r="F41" s="291">
        <v>97</v>
      </c>
      <c r="G41" s="291">
        <v>102</v>
      </c>
      <c r="H41" s="291">
        <v>92</v>
      </c>
      <c r="I41" s="291">
        <v>139</v>
      </c>
      <c r="J41" s="291">
        <v>126</v>
      </c>
      <c r="K41" s="291">
        <v>121</v>
      </c>
      <c r="L41" s="291">
        <v>98</v>
      </c>
      <c r="M41" s="291">
        <v>110</v>
      </c>
    </row>
    <row r="42" spans="1:13" s="293" customFormat="1" ht="13.5" customHeight="1" x14ac:dyDescent="0.3">
      <c r="A42" s="271">
        <f>DATE(YEAR(A41),MONTH(A41)+1,1)</f>
        <v>45992</v>
      </c>
      <c r="B42" s="290">
        <v>108.9</v>
      </c>
      <c r="C42" s="291">
        <v>94</v>
      </c>
      <c r="D42" s="291">
        <v>97</v>
      </c>
      <c r="E42" s="291">
        <v>101</v>
      </c>
      <c r="F42" s="291">
        <v>90</v>
      </c>
      <c r="G42" s="291">
        <v>97</v>
      </c>
      <c r="H42" s="291">
        <v>89</v>
      </c>
      <c r="I42" s="291">
        <v>141</v>
      </c>
      <c r="J42" s="291">
        <v>126</v>
      </c>
      <c r="K42" s="291">
        <v>121</v>
      </c>
      <c r="L42" s="291">
        <v>101</v>
      </c>
      <c r="M42" s="291">
        <v>111</v>
      </c>
    </row>
    <row r="43" spans="1:13" s="293" customFormat="1" ht="13.5" customHeight="1" x14ac:dyDescent="0.3">
      <c r="A43" s="271"/>
      <c r="B43" s="290"/>
      <c r="C43" s="291"/>
      <c r="D43" s="291"/>
      <c r="E43" s="291"/>
      <c r="F43" s="291"/>
      <c r="G43" s="291"/>
      <c r="H43" s="291"/>
      <c r="I43" s="291"/>
      <c r="J43" s="291"/>
      <c r="K43" s="291"/>
      <c r="L43" s="291"/>
      <c r="M43" s="291"/>
    </row>
    <row r="44" spans="1:13" s="293" customFormat="1" ht="13.5" customHeight="1" x14ac:dyDescent="0.3">
      <c r="A44" s="261">
        <f>DATE(YEAR(A42),MONTH(A42)+1,1)</f>
        <v>46023</v>
      </c>
      <c r="B44" s="290">
        <v>112.1</v>
      </c>
      <c r="C44" s="291">
        <v>96</v>
      </c>
      <c r="D44" s="291">
        <v>100</v>
      </c>
      <c r="E44" s="291">
        <v>103</v>
      </c>
      <c r="F44" s="291">
        <v>93</v>
      </c>
      <c r="G44" s="291">
        <v>100</v>
      </c>
      <c r="H44" s="291">
        <v>87</v>
      </c>
      <c r="I44" s="291">
        <v>139</v>
      </c>
      <c r="J44" s="291">
        <v>128</v>
      </c>
      <c r="K44" s="291">
        <v>121</v>
      </c>
      <c r="L44" s="291">
        <v>104</v>
      </c>
      <c r="M44" s="291">
        <v>113</v>
      </c>
    </row>
    <row r="45" spans="1:13" s="293" customFormat="1" ht="13.5" customHeight="1" x14ac:dyDescent="0.3">
      <c r="A45" s="271">
        <f t="shared" ref="A45:A47" si="3">DATE(YEAR(A44),MONTH(A44)+1,1)</f>
        <v>46054</v>
      </c>
      <c r="B45" s="290">
        <v>111.6</v>
      </c>
      <c r="C45" s="291">
        <v>94</v>
      </c>
      <c r="D45" s="291">
        <v>100</v>
      </c>
      <c r="E45" s="291">
        <v>102</v>
      </c>
      <c r="F45" s="291">
        <v>93</v>
      </c>
      <c r="G45" s="291">
        <v>101</v>
      </c>
      <c r="H45" s="291">
        <v>90</v>
      </c>
      <c r="I45" s="291">
        <v>140</v>
      </c>
      <c r="J45" s="291">
        <v>118</v>
      </c>
      <c r="K45" s="291">
        <v>120</v>
      </c>
      <c r="L45" s="291">
        <v>104</v>
      </c>
      <c r="M45" s="291">
        <v>114</v>
      </c>
    </row>
    <row r="46" spans="1:13" s="293" customFormat="1" ht="13.5" customHeight="1" x14ac:dyDescent="0.3">
      <c r="A46" s="271">
        <f t="shared" si="3"/>
        <v>46082</v>
      </c>
      <c r="B46" s="290">
        <v>107.6</v>
      </c>
      <c r="C46" s="291">
        <v>95</v>
      </c>
      <c r="D46" s="291">
        <v>97</v>
      </c>
      <c r="E46" s="291">
        <v>100</v>
      </c>
      <c r="F46" s="291">
        <v>85</v>
      </c>
      <c r="G46" s="291">
        <v>89</v>
      </c>
      <c r="H46" s="291">
        <v>87</v>
      </c>
      <c r="I46" s="291">
        <v>141</v>
      </c>
      <c r="J46" s="291">
        <v>107</v>
      </c>
      <c r="K46" s="291">
        <v>119</v>
      </c>
      <c r="L46" s="291">
        <v>108</v>
      </c>
      <c r="M46" s="291">
        <v>112</v>
      </c>
    </row>
    <row r="47" spans="1:13" s="293" customFormat="1" ht="13.5" customHeight="1" x14ac:dyDescent="0.3">
      <c r="A47" s="271">
        <f t="shared" si="3"/>
        <v>46113</v>
      </c>
      <c r="B47" s="290">
        <v>98.8</v>
      </c>
      <c r="C47" s="291">
        <v>88</v>
      </c>
      <c r="D47" s="291">
        <v>92</v>
      </c>
      <c r="E47" s="291">
        <v>95</v>
      </c>
      <c r="F47" s="291">
        <v>66</v>
      </c>
      <c r="G47" s="291">
        <v>80</v>
      </c>
      <c r="H47" s="291">
        <v>81</v>
      </c>
      <c r="I47" s="291">
        <v>146</v>
      </c>
      <c r="J47" s="291">
        <v>112</v>
      </c>
      <c r="K47" s="291">
        <v>116</v>
      </c>
      <c r="L47" s="291">
        <v>116</v>
      </c>
      <c r="M47" s="291">
        <v>109</v>
      </c>
    </row>
    <row r="48" spans="1:13" s="293" customFormat="1" ht="5.0999999999999996" customHeight="1" x14ac:dyDescent="0.3">
      <c r="A48" s="271"/>
      <c r="B48" s="294"/>
      <c r="C48" s="294"/>
      <c r="D48" s="294"/>
      <c r="E48" s="294"/>
      <c r="F48" s="294"/>
      <c r="G48" s="294"/>
      <c r="H48" s="294"/>
      <c r="I48" s="294"/>
      <c r="J48" s="294"/>
      <c r="K48" s="294"/>
      <c r="L48" s="294"/>
      <c r="M48" s="295"/>
    </row>
    <row r="49" spans="1:24" s="293" customFormat="1" ht="12.75" customHeight="1" x14ac:dyDescent="0.2">
      <c r="A49" s="483" t="s">
        <v>309</v>
      </c>
      <c r="B49" s="483"/>
      <c r="C49" s="483"/>
      <c r="D49" s="483"/>
      <c r="E49" s="483"/>
      <c r="F49" s="483"/>
      <c r="G49" s="483"/>
      <c r="H49" s="483"/>
      <c r="I49" s="483"/>
      <c r="J49" s="483"/>
      <c r="K49" s="483"/>
      <c r="L49" s="484"/>
      <c r="M49" s="296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8"/>
    </row>
    <row r="50" spans="1:24" s="293" customFormat="1" ht="15.95" customHeight="1" x14ac:dyDescent="0.2">
      <c r="A50" s="299"/>
      <c r="B50" s="280"/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  <c r="N50" s="300"/>
      <c r="O50" s="297"/>
      <c r="P50" s="297"/>
      <c r="Q50" s="297"/>
      <c r="R50" s="297"/>
      <c r="S50" s="297"/>
      <c r="T50" s="297"/>
      <c r="U50" s="297"/>
      <c r="V50" s="297"/>
      <c r="W50" s="297"/>
      <c r="X50" s="298"/>
    </row>
    <row r="51" spans="1:24" s="293" customFormat="1" ht="15.95" customHeight="1" x14ac:dyDescent="0.2">
      <c r="A51" s="299"/>
      <c r="B51" s="301"/>
      <c r="C51" s="302"/>
      <c r="D51" s="302"/>
      <c r="E51" s="302"/>
      <c r="F51" s="302"/>
      <c r="G51" s="302"/>
      <c r="H51" s="302"/>
      <c r="I51" s="302"/>
      <c r="J51" s="302"/>
      <c r="K51" s="302"/>
      <c r="L51" s="302"/>
      <c r="M51" s="302"/>
      <c r="N51" s="300"/>
      <c r="O51" s="297"/>
      <c r="P51" s="297"/>
      <c r="Q51" s="297"/>
      <c r="R51" s="297"/>
      <c r="S51" s="297"/>
      <c r="T51" s="297"/>
      <c r="U51" s="297"/>
      <c r="V51" s="297"/>
      <c r="W51" s="297"/>
      <c r="X51" s="298"/>
    </row>
    <row r="52" spans="1:24" s="293" customFormat="1" ht="15.95" customHeight="1" x14ac:dyDescent="0.2">
      <c r="A52" s="299"/>
      <c r="B52" s="280"/>
      <c r="C52" s="280"/>
      <c r="D52" s="280"/>
      <c r="E52" s="280"/>
      <c r="F52" s="280"/>
      <c r="G52" s="280"/>
      <c r="H52" s="280"/>
      <c r="I52" s="280"/>
      <c r="J52" s="280"/>
      <c r="K52" s="280"/>
      <c r="L52" s="280"/>
      <c r="M52" s="280"/>
      <c r="N52" s="300"/>
      <c r="O52" s="297"/>
      <c r="P52" s="297"/>
      <c r="Q52" s="297"/>
      <c r="R52" s="297"/>
      <c r="S52" s="297"/>
      <c r="T52" s="297"/>
      <c r="U52" s="297"/>
      <c r="V52" s="297"/>
      <c r="W52" s="297"/>
      <c r="X52" s="298"/>
    </row>
    <row r="53" spans="1:24" s="293" customFormat="1" ht="15.95" customHeight="1" x14ac:dyDescent="0.2">
      <c r="A53" s="299"/>
      <c r="B53" s="280"/>
      <c r="C53" s="280"/>
      <c r="D53" s="280"/>
      <c r="E53" s="280"/>
      <c r="F53" s="280"/>
      <c r="G53" s="280"/>
      <c r="H53" s="280"/>
      <c r="I53" s="280"/>
      <c r="J53" s="280"/>
      <c r="K53" s="280"/>
      <c r="L53" s="280"/>
      <c r="M53" s="280"/>
      <c r="N53" s="300"/>
      <c r="O53" s="297"/>
      <c r="P53" s="297"/>
      <c r="Q53" s="297"/>
      <c r="R53" s="297"/>
      <c r="S53" s="297"/>
      <c r="T53" s="297"/>
      <c r="U53" s="297"/>
      <c r="V53" s="297"/>
      <c r="W53" s="297"/>
      <c r="X53" s="298"/>
    </row>
    <row r="54" spans="1:24" s="293" customFormat="1" ht="15.95" customHeight="1" x14ac:dyDescent="0.2">
      <c r="A54" s="299"/>
      <c r="B54" s="280"/>
      <c r="C54" s="280"/>
      <c r="D54" s="280"/>
      <c r="E54" s="280"/>
      <c r="F54" s="280"/>
      <c r="G54" s="280"/>
      <c r="H54" s="280"/>
      <c r="I54" s="280"/>
      <c r="J54" s="280"/>
      <c r="K54" s="280"/>
      <c r="L54" s="280"/>
      <c r="M54" s="280"/>
      <c r="N54" s="300"/>
      <c r="O54" s="297"/>
      <c r="P54" s="297"/>
      <c r="Q54" s="297"/>
      <c r="R54" s="297"/>
      <c r="S54" s="297"/>
      <c r="T54" s="297"/>
      <c r="U54" s="297"/>
      <c r="V54" s="297"/>
      <c r="W54" s="297"/>
      <c r="X54" s="298"/>
    </row>
    <row r="55" spans="1:24" x14ac:dyDescent="0.3">
      <c r="A55" s="303"/>
      <c r="B55" s="303"/>
      <c r="C55" s="303"/>
      <c r="D55" s="303"/>
      <c r="E55" s="303"/>
      <c r="F55" s="303"/>
      <c r="G55" s="303"/>
      <c r="H55" s="303"/>
      <c r="I55" s="303"/>
      <c r="J55" s="303"/>
      <c r="K55" s="303"/>
      <c r="L55" s="303"/>
      <c r="M55" s="303"/>
      <c r="N55" s="303"/>
      <c r="O55" s="303"/>
      <c r="P55" s="303"/>
      <c r="Q55" s="303"/>
      <c r="R55" s="303"/>
    </row>
    <row r="56" spans="1:24" x14ac:dyDescent="0.3">
      <c r="A56" s="303"/>
      <c r="B56" s="303"/>
      <c r="C56" s="303"/>
      <c r="D56" s="303"/>
      <c r="E56" s="303"/>
      <c r="F56" s="303"/>
      <c r="G56" s="303"/>
      <c r="H56" s="303"/>
      <c r="I56" s="303"/>
      <c r="J56" s="303"/>
      <c r="K56" s="303"/>
      <c r="L56" s="303"/>
      <c r="M56" s="303"/>
      <c r="N56" s="303"/>
      <c r="O56" s="303"/>
      <c r="P56" s="303"/>
      <c r="Q56" s="303"/>
      <c r="R56" s="303"/>
    </row>
    <row r="57" spans="1:24" x14ac:dyDescent="0.3">
      <c r="A57" s="303"/>
      <c r="B57" s="303"/>
      <c r="C57" s="303"/>
      <c r="D57" s="303"/>
      <c r="E57" s="303"/>
      <c r="F57" s="303"/>
      <c r="G57" s="303"/>
      <c r="H57" s="303"/>
      <c r="I57" s="303"/>
      <c r="J57" s="303"/>
      <c r="K57" s="303"/>
      <c r="L57" s="303"/>
      <c r="M57" s="303"/>
      <c r="N57" s="303"/>
      <c r="O57" s="303"/>
      <c r="P57" s="303"/>
      <c r="Q57" s="303"/>
      <c r="R57" s="303"/>
    </row>
    <row r="58" spans="1:24" x14ac:dyDescent="0.3">
      <c r="A58" s="303"/>
      <c r="B58" s="303"/>
      <c r="C58" s="303"/>
      <c r="D58" s="303"/>
      <c r="E58" s="303"/>
      <c r="F58" s="303"/>
      <c r="G58" s="303"/>
      <c r="H58" s="303"/>
      <c r="I58" s="303"/>
      <c r="J58" s="303"/>
      <c r="K58" s="303"/>
      <c r="L58" s="303"/>
      <c r="M58" s="303"/>
      <c r="N58" s="303"/>
      <c r="O58" s="303"/>
      <c r="P58" s="303"/>
      <c r="Q58" s="303"/>
      <c r="R58" s="303"/>
    </row>
    <row r="59" spans="1:24" x14ac:dyDescent="0.3">
      <c r="A59" s="303"/>
      <c r="B59" s="303"/>
      <c r="C59" s="303"/>
      <c r="D59" s="303"/>
      <c r="E59" s="303"/>
      <c r="F59" s="303"/>
      <c r="G59" s="303"/>
      <c r="H59" s="303"/>
      <c r="I59" s="303"/>
      <c r="J59" s="303"/>
      <c r="K59" s="303"/>
      <c r="L59" s="303"/>
      <c r="M59" s="303"/>
      <c r="N59" s="304"/>
      <c r="O59" s="303"/>
      <c r="P59" s="303"/>
      <c r="Q59" s="303"/>
      <c r="R59" s="303"/>
    </row>
    <row r="60" spans="1:24" x14ac:dyDescent="0.3">
      <c r="A60" s="303"/>
      <c r="B60" s="303"/>
      <c r="C60" s="303"/>
      <c r="D60" s="303"/>
      <c r="E60" s="303"/>
      <c r="F60" s="303"/>
      <c r="G60" s="303"/>
      <c r="H60" s="303"/>
      <c r="I60" s="303"/>
      <c r="J60" s="303"/>
      <c r="K60" s="303"/>
      <c r="L60" s="303"/>
      <c r="M60" s="303"/>
      <c r="N60" s="304"/>
      <c r="O60" s="303"/>
      <c r="P60" s="303"/>
      <c r="Q60" s="303"/>
      <c r="R60" s="303"/>
    </row>
  </sheetData>
  <mergeCells count="2">
    <mergeCell ref="A1:L1"/>
    <mergeCell ref="A49:L49"/>
  </mergeCells>
  <phoneticPr fontId="4" type="noConversion"/>
  <pageMargins left="0.75" right="0.75" top="1" bottom="1" header="0.5" footer="0.5"/>
  <pageSetup paperSize="9" scale="56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032F0-75DD-42F4-8790-51D67C600004}">
  <dimension ref="A1:T123"/>
  <sheetViews>
    <sheetView view="pageBreakPreview" zoomScaleNormal="100" zoomScaleSheetLayoutView="100" workbookViewId="0">
      <selection activeCell="G2" sqref="G2"/>
    </sheetView>
  </sheetViews>
  <sheetFormatPr defaultRowHeight="13.5" x14ac:dyDescent="0.25"/>
  <cols>
    <col min="1" max="1" width="7.125" style="211" customWidth="1"/>
    <col min="2" max="6" width="12.75" style="224" customWidth="1"/>
    <col min="7" max="7" width="3.25" style="211" customWidth="1"/>
    <col min="8" max="10" width="9" style="211"/>
    <col min="11" max="11" width="9.875" style="211" customWidth="1"/>
    <col min="12" max="246" width="9" style="211"/>
    <col min="247" max="247" width="7.5" style="211" customWidth="1"/>
    <col min="248" max="249" width="8.75" style="211" customWidth="1"/>
    <col min="250" max="250" width="8" style="211" customWidth="1"/>
    <col min="251" max="251" width="7.125" style="211" customWidth="1"/>
    <col min="252" max="256" width="5.75" style="211" customWidth="1"/>
    <col min="257" max="257" width="7" style="211" customWidth="1"/>
    <col min="258" max="261" width="5.75" style="211" customWidth="1"/>
    <col min="262" max="262" width="6.375" style="211" customWidth="1"/>
    <col min="263" max="263" width="1.125" style="211" customWidth="1"/>
    <col min="264" max="502" width="9" style="211"/>
    <col min="503" max="503" width="7.5" style="211" customWidth="1"/>
    <col min="504" max="505" width="8.75" style="211" customWidth="1"/>
    <col min="506" max="506" width="8" style="211" customWidth="1"/>
    <col min="507" max="507" width="7.125" style="211" customWidth="1"/>
    <col min="508" max="512" width="5.75" style="211" customWidth="1"/>
    <col min="513" max="513" width="7" style="211" customWidth="1"/>
    <col min="514" max="517" width="5.75" style="211" customWidth="1"/>
    <col min="518" max="518" width="6.375" style="211" customWidth="1"/>
    <col min="519" max="519" width="1.125" style="211" customWidth="1"/>
    <col min="520" max="758" width="9" style="211"/>
    <col min="759" max="759" width="7.5" style="211" customWidth="1"/>
    <col min="760" max="761" width="8.75" style="211" customWidth="1"/>
    <col min="762" max="762" width="8" style="211" customWidth="1"/>
    <col min="763" max="763" width="7.125" style="211" customWidth="1"/>
    <col min="764" max="768" width="5.75" style="211" customWidth="1"/>
    <col min="769" max="769" width="7" style="211" customWidth="1"/>
    <col min="770" max="773" width="5.75" style="211" customWidth="1"/>
    <col min="774" max="774" width="6.375" style="211" customWidth="1"/>
    <col min="775" max="775" width="1.125" style="211" customWidth="1"/>
    <col min="776" max="1014" width="9" style="211"/>
    <col min="1015" max="1015" width="7.5" style="211" customWidth="1"/>
    <col min="1016" max="1017" width="8.75" style="211" customWidth="1"/>
    <col min="1018" max="1018" width="8" style="211" customWidth="1"/>
    <col min="1019" max="1019" width="7.125" style="211" customWidth="1"/>
    <col min="1020" max="1024" width="5.75" style="211" customWidth="1"/>
    <col min="1025" max="1025" width="7" style="211" customWidth="1"/>
    <col min="1026" max="1029" width="5.75" style="211" customWidth="1"/>
    <col min="1030" max="1030" width="6.375" style="211" customWidth="1"/>
    <col min="1031" max="1031" width="1.125" style="211" customWidth="1"/>
    <col min="1032" max="1270" width="9" style="211"/>
    <col min="1271" max="1271" width="7.5" style="211" customWidth="1"/>
    <col min="1272" max="1273" width="8.75" style="211" customWidth="1"/>
    <col min="1274" max="1274" width="8" style="211" customWidth="1"/>
    <col min="1275" max="1275" width="7.125" style="211" customWidth="1"/>
    <col min="1276" max="1280" width="5.75" style="211" customWidth="1"/>
    <col min="1281" max="1281" width="7" style="211" customWidth="1"/>
    <col min="1282" max="1285" width="5.75" style="211" customWidth="1"/>
    <col min="1286" max="1286" width="6.375" style="211" customWidth="1"/>
    <col min="1287" max="1287" width="1.125" style="211" customWidth="1"/>
    <col min="1288" max="1526" width="9" style="211"/>
    <col min="1527" max="1527" width="7.5" style="211" customWidth="1"/>
    <col min="1528" max="1529" width="8.75" style="211" customWidth="1"/>
    <col min="1530" max="1530" width="8" style="211" customWidth="1"/>
    <col min="1531" max="1531" width="7.125" style="211" customWidth="1"/>
    <col min="1532" max="1536" width="5.75" style="211" customWidth="1"/>
    <col min="1537" max="1537" width="7" style="211" customWidth="1"/>
    <col min="1538" max="1541" width="5.75" style="211" customWidth="1"/>
    <col min="1542" max="1542" width="6.375" style="211" customWidth="1"/>
    <col min="1543" max="1543" width="1.125" style="211" customWidth="1"/>
    <col min="1544" max="1782" width="9" style="211"/>
    <col min="1783" max="1783" width="7.5" style="211" customWidth="1"/>
    <col min="1784" max="1785" width="8.75" style="211" customWidth="1"/>
    <col min="1786" max="1786" width="8" style="211" customWidth="1"/>
    <col min="1787" max="1787" width="7.125" style="211" customWidth="1"/>
    <col min="1788" max="1792" width="5.75" style="211" customWidth="1"/>
    <col min="1793" max="1793" width="7" style="211" customWidth="1"/>
    <col min="1794" max="1797" width="5.75" style="211" customWidth="1"/>
    <col min="1798" max="1798" width="6.375" style="211" customWidth="1"/>
    <col min="1799" max="1799" width="1.125" style="211" customWidth="1"/>
    <col min="1800" max="2038" width="9" style="211"/>
    <col min="2039" max="2039" width="7.5" style="211" customWidth="1"/>
    <col min="2040" max="2041" width="8.75" style="211" customWidth="1"/>
    <col min="2042" max="2042" width="8" style="211" customWidth="1"/>
    <col min="2043" max="2043" width="7.125" style="211" customWidth="1"/>
    <col min="2044" max="2048" width="5.75" style="211" customWidth="1"/>
    <col min="2049" max="2049" width="7" style="211" customWidth="1"/>
    <col min="2050" max="2053" width="5.75" style="211" customWidth="1"/>
    <col min="2054" max="2054" width="6.375" style="211" customWidth="1"/>
    <col min="2055" max="2055" width="1.125" style="211" customWidth="1"/>
    <col min="2056" max="2294" width="9" style="211"/>
    <col min="2295" max="2295" width="7.5" style="211" customWidth="1"/>
    <col min="2296" max="2297" width="8.75" style="211" customWidth="1"/>
    <col min="2298" max="2298" width="8" style="211" customWidth="1"/>
    <col min="2299" max="2299" width="7.125" style="211" customWidth="1"/>
    <col min="2300" max="2304" width="5.75" style="211" customWidth="1"/>
    <col min="2305" max="2305" width="7" style="211" customWidth="1"/>
    <col min="2306" max="2309" width="5.75" style="211" customWidth="1"/>
    <col min="2310" max="2310" width="6.375" style="211" customWidth="1"/>
    <col min="2311" max="2311" width="1.125" style="211" customWidth="1"/>
    <col min="2312" max="2550" width="9" style="211"/>
    <col min="2551" max="2551" width="7.5" style="211" customWidth="1"/>
    <col min="2552" max="2553" width="8.75" style="211" customWidth="1"/>
    <col min="2554" max="2554" width="8" style="211" customWidth="1"/>
    <col min="2555" max="2555" width="7.125" style="211" customWidth="1"/>
    <col min="2556" max="2560" width="5.75" style="211" customWidth="1"/>
    <col min="2561" max="2561" width="7" style="211" customWidth="1"/>
    <col min="2562" max="2565" width="5.75" style="211" customWidth="1"/>
    <col min="2566" max="2566" width="6.375" style="211" customWidth="1"/>
    <col min="2567" max="2567" width="1.125" style="211" customWidth="1"/>
    <col min="2568" max="2806" width="9" style="211"/>
    <col min="2807" max="2807" width="7.5" style="211" customWidth="1"/>
    <col min="2808" max="2809" width="8.75" style="211" customWidth="1"/>
    <col min="2810" max="2810" width="8" style="211" customWidth="1"/>
    <col min="2811" max="2811" width="7.125" style="211" customWidth="1"/>
    <col min="2812" max="2816" width="5.75" style="211" customWidth="1"/>
    <col min="2817" max="2817" width="7" style="211" customWidth="1"/>
    <col min="2818" max="2821" width="5.75" style="211" customWidth="1"/>
    <col min="2822" max="2822" width="6.375" style="211" customWidth="1"/>
    <col min="2823" max="2823" width="1.125" style="211" customWidth="1"/>
    <col min="2824" max="3062" width="9" style="211"/>
    <col min="3063" max="3063" width="7.5" style="211" customWidth="1"/>
    <col min="3064" max="3065" width="8.75" style="211" customWidth="1"/>
    <col min="3066" max="3066" width="8" style="211" customWidth="1"/>
    <col min="3067" max="3067" width="7.125" style="211" customWidth="1"/>
    <col min="3068" max="3072" width="5.75" style="211" customWidth="1"/>
    <col min="3073" max="3073" width="7" style="211" customWidth="1"/>
    <col min="3074" max="3077" width="5.75" style="211" customWidth="1"/>
    <col min="3078" max="3078" width="6.375" style="211" customWidth="1"/>
    <col min="3079" max="3079" width="1.125" style="211" customWidth="1"/>
    <col min="3080" max="3318" width="9" style="211"/>
    <col min="3319" max="3319" width="7.5" style="211" customWidth="1"/>
    <col min="3320" max="3321" width="8.75" style="211" customWidth="1"/>
    <col min="3322" max="3322" width="8" style="211" customWidth="1"/>
    <col min="3323" max="3323" width="7.125" style="211" customWidth="1"/>
    <col min="3324" max="3328" width="5.75" style="211" customWidth="1"/>
    <col min="3329" max="3329" width="7" style="211" customWidth="1"/>
    <col min="3330" max="3333" width="5.75" style="211" customWidth="1"/>
    <col min="3334" max="3334" width="6.375" style="211" customWidth="1"/>
    <col min="3335" max="3335" width="1.125" style="211" customWidth="1"/>
    <col min="3336" max="3574" width="9" style="211"/>
    <col min="3575" max="3575" width="7.5" style="211" customWidth="1"/>
    <col min="3576" max="3577" width="8.75" style="211" customWidth="1"/>
    <col min="3578" max="3578" width="8" style="211" customWidth="1"/>
    <col min="3579" max="3579" width="7.125" style="211" customWidth="1"/>
    <col min="3580" max="3584" width="5.75" style="211" customWidth="1"/>
    <col min="3585" max="3585" width="7" style="211" customWidth="1"/>
    <col min="3586" max="3589" width="5.75" style="211" customWidth="1"/>
    <col min="3590" max="3590" width="6.375" style="211" customWidth="1"/>
    <col min="3591" max="3591" width="1.125" style="211" customWidth="1"/>
    <col min="3592" max="3830" width="9" style="211"/>
    <col min="3831" max="3831" width="7.5" style="211" customWidth="1"/>
    <col min="3832" max="3833" width="8.75" style="211" customWidth="1"/>
    <col min="3834" max="3834" width="8" style="211" customWidth="1"/>
    <col min="3835" max="3835" width="7.125" style="211" customWidth="1"/>
    <col min="3836" max="3840" width="5.75" style="211" customWidth="1"/>
    <col min="3841" max="3841" width="7" style="211" customWidth="1"/>
    <col min="3842" max="3845" width="5.75" style="211" customWidth="1"/>
    <col min="3846" max="3846" width="6.375" style="211" customWidth="1"/>
    <col min="3847" max="3847" width="1.125" style="211" customWidth="1"/>
    <col min="3848" max="4086" width="9" style="211"/>
    <col min="4087" max="4087" width="7.5" style="211" customWidth="1"/>
    <col min="4088" max="4089" width="8.75" style="211" customWidth="1"/>
    <col min="4090" max="4090" width="8" style="211" customWidth="1"/>
    <col min="4091" max="4091" width="7.125" style="211" customWidth="1"/>
    <col min="4092" max="4096" width="5.75" style="211" customWidth="1"/>
    <col min="4097" max="4097" width="7" style="211" customWidth="1"/>
    <col min="4098" max="4101" width="5.75" style="211" customWidth="1"/>
    <col min="4102" max="4102" width="6.375" style="211" customWidth="1"/>
    <col min="4103" max="4103" width="1.125" style="211" customWidth="1"/>
    <col min="4104" max="4342" width="9" style="211"/>
    <col min="4343" max="4343" width="7.5" style="211" customWidth="1"/>
    <col min="4344" max="4345" width="8.75" style="211" customWidth="1"/>
    <col min="4346" max="4346" width="8" style="211" customWidth="1"/>
    <col min="4347" max="4347" width="7.125" style="211" customWidth="1"/>
    <col min="4348" max="4352" width="5.75" style="211" customWidth="1"/>
    <col min="4353" max="4353" width="7" style="211" customWidth="1"/>
    <col min="4354" max="4357" width="5.75" style="211" customWidth="1"/>
    <col min="4358" max="4358" width="6.375" style="211" customWidth="1"/>
    <col min="4359" max="4359" width="1.125" style="211" customWidth="1"/>
    <col min="4360" max="4598" width="9" style="211"/>
    <col min="4599" max="4599" width="7.5" style="211" customWidth="1"/>
    <col min="4600" max="4601" width="8.75" style="211" customWidth="1"/>
    <col min="4602" max="4602" width="8" style="211" customWidth="1"/>
    <col min="4603" max="4603" width="7.125" style="211" customWidth="1"/>
    <col min="4604" max="4608" width="5.75" style="211" customWidth="1"/>
    <col min="4609" max="4609" width="7" style="211" customWidth="1"/>
    <col min="4610" max="4613" width="5.75" style="211" customWidth="1"/>
    <col min="4614" max="4614" width="6.375" style="211" customWidth="1"/>
    <col min="4615" max="4615" width="1.125" style="211" customWidth="1"/>
    <col min="4616" max="4854" width="9" style="211"/>
    <col min="4855" max="4855" width="7.5" style="211" customWidth="1"/>
    <col min="4856" max="4857" width="8.75" style="211" customWidth="1"/>
    <col min="4858" max="4858" width="8" style="211" customWidth="1"/>
    <col min="4859" max="4859" width="7.125" style="211" customWidth="1"/>
    <col min="4860" max="4864" width="5.75" style="211" customWidth="1"/>
    <col min="4865" max="4865" width="7" style="211" customWidth="1"/>
    <col min="4866" max="4869" width="5.75" style="211" customWidth="1"/>
    <col min="4870" max="4870" width="6.375" style="211" customWidth="1"/>
    <col min="4871" max="4871" width="1.125" style="211" customWidth="1"/>
    <col min="4872" max="5110" width="9" style="211"/>
    <col min="5111" max="5111" width="7.5" style="211" customWidth="1"/>
    <col min="5112" max="5113" width="8.75" style="211" customWidth="1"/>
    <col min="5114" max="5114" width="8" style="211" customWidth="1"/>
    <col min="5115" max="5115" width="7.125" style="211" customWidth="1"/>
    <col min="5116" max="5120" width="5.75" style="211" customWidth="1"/>
    <col min="5121" max="5121" width="7" style="211" customWidth="1"/>
    <col min="5122" max="5125" width="5.75" style="211" customWidth="1"/>
    <col min="5126" max="5126" width="6.375" style="211" customWidth="1"/>
    <col min="5127" max="5127" width="1.125" style="211" customWidth="1"/>
    <col min="5128" max="5366" width="9" style="211"/>
    <col min="5367" max="5367" width="7.5" style="211" customWidth="1"/>
    <col min="5368" max="5369" width="8.75" style="211" customWidth="1"/>
    <col min="5370" max="5370" width="8" style="211" customWidth="1"/>
    <col min="5371" max="5371" width="7.125" style="211" customWidth="1"/>
    <col min="5372" max="5376" width="5.75" style="211" customWidth="1"/>
    <col min="5377" max="5377" width="7" style="211" customWidth="1"/>
    <col min="5378" max="5381" width="5.75" style="211" customWidth="1"/>
    <col min="5382" max="5382" width="6.375" style="211" customWidth="1"/>
    <col min="5383" max="5383" width="1.125" style="211" customWidth="1"/>
    <col min="5384" max="5622" width="9" style="211"/>
    <col min="5623" max="5623" width="7.5" style="211" customWidth="1"/>
    <col min="5624" max="5625" width="8.75" style="211" customWidth="1"/>
    <col min="5626" max="5626" width="8" style="211" customWidth="1"/>
    <col min="5627" max="5627" width="7.125" style="211" customWidth="1"/>
    <col min="5628" max="5632" width="5.75" style="211" customWidth="1"/>
    <col min="5633" max="5633" width="7" style="211" customWidth="1"/>
    <col min="5634" max="5637" width="5.75" style="211" customWidth="1"/>
    <col min="5638" max="5638" width="6.375" style="211" customWidth="1"/>
    <col min="5639" max="5639" width="1.125" style="211" customWidth="1"/>
    <col min="5640" max="5878" width="9" style="211"/>
    <col min="5879" max="5879" width="7.5" style="211" customWidth="1"/>
    <col min="5880" max="5881" width="8.75" style="211" customWidth="1"/>
    <col min="5882" max="5882" width="8" style="211" customWidth="1"/>
    <col min="5883" max="5883" width="7.125" style="211" customWidth="1"/>
    <col min="5884" max="5888" width="5.75" style="211" customWidth="1"/>
    <col min="5889" max="5889" width="7" style="211" customWidth="1"/>
    <col min="5890" max="5893" width="5.75" style="211" customWidth="1"/>
    <col min="5894" max="5894" width="6.375" style="211" customWidth="1"/>
    <col min="5895" max="5895" width="1.125" style="211" customWidth="1"/>
    <col min="5896" max="6134" width="9" style="211"/>
    <col min="6135" max="6135" width="7.5" style="211" customWidth="1"/>
    <col min="6136" max="6137" width="8.75" style="211" customWidth="1"/>
    <col min="6138" max="6138" width="8" style="211" customWidth="1"/>
    <col min="6139" max="6139" width="7.125" style="211" customWidth="1"/>
    <col min="6140" max="6144" width="5.75" style="211" customWidth="1"/>
    <col min="6145" max="6145" width="7" style="211" customWidth="1"/>
    <col min="6146" max="6149" width="5.75" style="211" customWidth="1"/>
    <col min="6150" max="6150" width="6.375" style="211" customWidth="1"/>
    <col min="6151" max="6151" width="1.125" style="211" customWidth="1"/>
    <col min="6152" max="6390" width="9" style="211"/>
    <col min="6391" max="6391" width="7.5" style="211" customWidth="1"/>
    <col min="6392" max="6393" width="8.75" style="211" customWidth="1"/>
    <col min="6394" max="6394" width="8" style="211" customWidth="1"/>
    <col min="6395" max="6395" width="7.125" style="211" customWidth="1"/>
    <col min="6396" max="6400" width="5.75" style="211" customWidth="1"/>
    <col min="6401" max="6401" width="7" style="211" customWidth="1"/>
    <col min="6402" max="6405" width="5.75" style="211" customWidth="1"/>
    <col min="6406" max="6406" width="6.375" style="211" customWidth="1"/>
    <col min="6407" max="6407" width="1.125" style="211" customWidth="1"/>
    <col min="6408" max="6646" width="9" style="211"/>
    <col min="6647" max="6647" width="7.5" style="211" customWidth="1"/>
    <col min="6648" max="6649" width="8.75" style="211" customWidth="1"/>
    <col min="6650" max="6650" width="8" style="211" customWidth="1"/>
    <col min="6651" max="6651" width="7.125" style="211" customWidth="1"/>
    <col min="6652" max="6656" width="5.75" style="211" customWidth="1"/>
    <col min="6657" max="6657" width="7" style="211" customWidth="1"/>
    <col min="6658" max="6661" width="5.75" style="211" customWidth="1"/>
    <col min="6662" max="6662" width="6.375" style="211" customWidth="1"/>
    <col min="6663" max="6663" width="1.125" style="211" customWidth="1"/>
    <col min="6664" max="6902" width="9" style="211"/>
    <col min="6903" max="6903" width="7.5" style="211" customWidth="1"/>
    <col min="6904" max="6905" width="8.75" style="211" customWidth="1"/>
    <col min="6906" max="6906" width="8" style="211" customWidth="1"/>
    <col min="6907" max="6907" width="7.125" style="211" customWidth="1"/>
    <col min="6908" max="6912" width="5.75" style="211" customWidth="1"/>
    <col min="6913" max="6913" width="7" style="211" customWidth="1"/>
    <col min="6914" max="6917" width="5.75" style="211" customWidth="1"/>
    <col min="6918" max="6918" width="6.375" style="211" customWidth="1"/>
    <col min="6919" max="6919" width="1.125" style="211" customWidth="1"/>
    <col min="6920" max="7158" width="9" style="211"/>
    <col min="7159" max="7159" width="7.5" style="211" customWidth="1"/>
    <col min="7160" max="7161" width="8.75" style="211" customWidth="1"/>
    <col min="7162" max="7162" width="8" style="211" customWidth="1"/>
    <col min="7163" max="7163" width="7.125" style="211" customWidth="1"/>
    <col min="7164" max="7168" width="5.75" style="211" customWidth="1"/>
    <col min="7169" max="7169" width="7" style="211" customWidth="1"/>
    <col min="7170" max="7173" width="5.75" style="211" customWidth="1"/>
    <col min="7174" max="7174" width="6.375" style="211" customWidth="1"/>
    <col min="7175" max="7175" width="1.125" style="211" customWidth="1"/>
    <col min="7176" max="7414" width="9" style="211"/>
    <col min="7415" max="7415" width="7.5" style="211" customWidth="1"/>
    <col min="7416" max="7417" width="8.75" style="211" customWidth="1"/>
    <col min="7418" max="7418" width="8" style="211" customWidth="1"/>
    <col min="7419" max="7419" width="7.125" style="211" customWidth="1"/>
    <col min="7420" max="7424" width="5.75" style="211" customWidth="1"/>
    <col min="7425" max="7425" width="7" style="211" customWidth="1"/>
    <col min="7426" max="7429" width="5.75" style="211" customWidth="1"/>
    <col min="7430" max="7430" width="6.375" style="211" customWidth="1"/>
    <col min="7431" max="7431" width="1.125" style="211" customWidth="1"/>
    <col min="7432" max="7670" width="9" style="211"/>
    <col min="7671" max="7671" width="7.5" style="211" customWidth="1"/>
    <col min="7672" max="7673" width="8.75" style="211" customWidth="1"/>
    <col min="7674" max="7674" width="8" style="211" customWidth="1"/>
    <col min="7675" max="7675" width="7.125" style="211" customWidth="1"/>
    <col min="7676" max="7680" width="5.75" style="211" customWidth="1"/>
    <col min="7681" max="7681" width="7" style="211" customWidth="1"/>
    <col min="7682" max="7685" width="5.75" style="211" customWidth="1"/>
    <col min="7686" max="7686" width="6.375" style="211" customWidth="1"/>
    <col min="7687" max="7687" width="1.125" style="211" customWidth="1"/>
    <col min="7688" max="7926" width="9" style="211"/>
    <col min="7927" max="7927" width="7.5" style="211" customWidth="1"/>
    <col min="7928" max="7929" width="8.75" style="211" customWidth="1"/>
    <col min="7930" max="7930" width="8" style="211" customWidth="1"/>
    <col min="7931" max="7931" width="7.125" style="211" customWidth="1"/>
    <col min="7932" max="7936" width="5.75" style="211" customWidth="1"/>
    <col min="7937" max="7937" width="7" style="211" customWidth="1"/>
    <col min="7938" max="7941" width="5.75" style="211" customWidth="1"/>
    <col min="7942" max="7942" width="6.375" style="211" customWidth="1"/>
    <col min="7943" max="7943" width="1.125" style="211" customWidth="1"/>
    <col min="7944" max="8182" width="9" style="211"/>
    <col min="8183" max="8183" width="7.5" style="211" customWidth="1"/>
    <col min="8184" max="8185" width="8.75" style="211" customWidth="1"/>
    <col min="8186" max="8186" width="8" style="211" customWidth="1"/>
    <col min="8187" max="8187" width="7.125" style="211" customWidth="1"/>
    <col min="8188" max="8192" width="5.75" style="211" customWidth="1"/>
    <col min="8193" max="8193" width="7" style="211" customWidth="1"/>
    <col min="8194" max="8197" width="5.75" style="211" customWidth="1"/>
    <col min="8198" max="8198" width="6.375" style="211" customWidth="1"/>
    <col min="8199" max="8199" width="1.125" style="211" customWidth="1"/>
    <col min="8200" max="8438" width="9" style="211"/>
    <col min="8439" max="8439" width="7.5" style="211" customWidth="1"/>
    <col min="8440" max="8441" width="8.75" style="211" customWidth="1"/>
    <col min="8442" max="8442" width="8" style="211" customWidth="1"/>
    <col min="8443" max="8443" width="7.125" style="211" customWidth="1"/>
    <col min="8444" max="8448" width="5.75" style="211" customWidth="1"/>
    <col min="8449" max="8449" width="7" style="211" customWidth="1"/>
    <col min="8450" max="8453" width="5.75" style="211" customWidth="1"/>
    <col min="8454" max="8454" width="6.375" style="211" customWidth="1"/>
    <col min="8455" max="8455" width="1.125" style="211" customWidth="1"/>
    <col min="8456" max="8694" width="9" style="211"/>
    <col min="8695" max="8695" width="7.5" style="211" customWidth="1"/>
    <col min="8696" max="8697" width="8.75" style="211" customWidth="1"/>
    <col min="8698" max="8698" width="8" style="211" customWidth="1"/>
    <col min="8699" max="8699" width="7.125" style="211" customWidth="1"/>
    <col min="8700" max="8704" width="5.75" style="211" customWidth="1"/>
    <col min="8705" max="8705" width="7" style="211" customWidth="1"/>
    <col min="8706" max="8709" width="5.75" style="211" customWidth="1"/>
    <col min="8710" max="8710" width="6.375" style="211" customWidth="1"/>
    <col min="8711" max="8711" width="1.125" style="211" customWidth="1"/>
    <col min="8712" max="8950" width="9" style="211"/>
    <col min="8951" max="8951" width="7.5" style="211" customWidth="1"/>
    <col min="8952" max="8953" width="8.75" style="211" customWidth="1"/>
    <col min="8954" max="8954" width="8" style="211" customWidth="1"/>
    <col min="8955" max="8955" width="7.125" style="211" customWidth="1"/>
    <col min="8956" max="8960" width="5.75" style="211" customWidth="1"/>
    <col min="8961" max="8961" width="7" style="211" customWidth="1"/>
    <col min="8962" max="8965" width="5.75" style="211" customWidth="1"/>
    <col min="8966" max="8966" width="6.375" style="211" customWidth="1"/>
    <col min="8967" max="8967" width="1.125" style="211" customWidth="1"/>
    <col min="8968" max="9206" width="9" style="211"/>
    <col min="9207" max="9207" width="7.5" style="211" customWidth="1"/>
    <col min="9208" max="9209" width="8.75" style="211" customWidth="1"/>
    <col min="9210" max="9210" width="8" style="211" customWidth="1"/>
    <col min="9211" max="9211" width="7.125" style="211" customWidth="1"/>
    <col min="9212" max="9216" width="5.75" style="211" customWidth="1"/>
    <col min="9217" max="9217" width="7" style="211" customWidth="1"/>
    <col min="9218" max="9221" width="5.75" style="211" customWidth="1"/>
    <col min="9222" max="9222" width="6.375" style="211" customWidth="1"/>
    <col min="9223" max="9223" width="1.125" style="211" customWidth="1"/>
    <col min="9224" max="9462" width="9" style="211"/>
    <col min="9463" max="9463" width="7.5" style="211" customWidth="1"/>
    <col min="9464" max="9465" width="8.75" style="211" customWidth="1"/>
    <col min="9466" max="9466" width="8" style="211" customWidth="1"/>
    <col min="9467" max="9467" width="7.125" style="211" customWidth="1"/>
    <col min="9468" max="9472" width="5.75" style="211" customWidth="1"/>
    <col min="9473" max="9473" width="7" style="211" customWidth="1"/>
    <col min="9474" max="9477" width="5.75" style="211" customWidth="1"/>
    <col min="9478" max="9478" width="6.375" style="211" customWidth="1"/>
    <col min="9479" max="9479" width="1.125" style="211" customWidth="1"/>
    <col min="9480" max="9718" width="9" style="211"/>
    <col min="9719" max="9719" width="7.5" style="211" customWidth="1"/>
    <col min="9720" max="9721" width="8.75" style="211" customWidth="1"/>
    <col min="9722" max="9722" width="8" style="211" customWidth="1"/>
    <col min="9723" max="9723" width="7.125" style="211" customWidth="1"/>
    <col min="9724" max="9728" width="5.75" style="211" customWidth="1"/>
    <col min="9729" max="9729" width="7" style="211" customWidth="1"/>
    <col min="9730" max="9733" width="5.75" style="211" customWidth="1"/>
    <col min="9734" max="9734" width="6.375" style="211" customWidth="1"/>
    <col min="9735" max="9735" width="1.125" style="211" customWidth="1"/>
    <col min="9736" max="9974" width="9" style="211"/>
    <col min="9975" max="9975" width="7.5" style="211" customWidth="1"/>
    <col min="9976" max="9977" width="8.75" style="211" customWidth="1"/>
    <col min="9978" max="9978" width="8" style="211" customWidth="1"/>
    <col min="9979" max="9979" width="7.125" style="211" customWidth="1"/>
    <col min="9980" max="9984" width="5.75" style="211" customWidth="1"/>
    <col min="9985" max="9985" width="7" style="211" customWidth="1"/>
    <col min="9986" max="9989" width="5.75" style="211" customWidth="1"/>
    <col min="9990" max="9990" width="6.375" style="211" customWidth="1"/>
    <col min="9991" max="9991" width="1.125" style="211" customWidth="1"/>
    <col min="9992" max="10230" width="9" style="211"/>
    <col min="10231" max="10231" width="7.5" style="211" customWidth="1"/>
    <col min="10232" max="10233" width="8.75" style="211" customWidth="1"/>
    <col min="10234" max="10234" width="8" style="211" customWidth="1"/>
    <col min="10235" max="10235" width="7.125" style="211" customWidth="1"/>
    <col min="10236" max="10240" width="5.75" style="211" customWidth="1"/>
    <col min="10241" max="10241" width="7" style="211" customWidth="1"/>
    <col min="10242" max="10245" width="5.75" style="211" customWidth="1"/>
    <col min="10246" max="10246" width="6.375" style="211" customWidth="1"/>
    <col min="10247" max="10247" width="1.125" style="211" customWidth="1"/>
    <col min="10248" max="10486" width="9" style="211"/>
    <col min="10487" max="10487" width="7.5" style="211" customWidth="1"/>
    <col min="10488" max="10489" width="8.75" style="211" customWidth="1"/>
    <col min="10490" max="10490" width="8" style="211" customWidth="1"/>
    <col min="10491" max="10491" width="7.125" style="211" customWidth="1"/>
    <col min="10492" max="10496" width="5.75" style="211" customWidth="1"/>
    <col min="10497" max="10497" width="7" style="211" customWidth="1"/>
    <col min="10498" max="10501" width="5.75" style="211" customWidth="1"/>
    <col min="10502" max="10502" width="6.375" style="211" customWidth="1"/>
    <col min="10503" max="10503" width="1.125" style="211" customWidth="1"/>
    <col min="10504" max="10742" width="9" style="211"/>
    <col min="10743" max="10743" width="7.5" style="211" customWidth="1"/>
    <col min="10744" max="10745" width="8.75" style="211" customWidth="1"/>
    <col min="10746" max="10746" width="8" style="211" customWidth="1"/>
    <col min="10747" max="10747" width="7.125" style="211" customWidth="1"/>
    <col min="10748" max="10752" width="5.75" style="211" customWidth="1"/>
    <col min="10753" max="10753" width="7" style="211" customWidth="1"/>
    <col min="10754" max="10757" width="5.75" style="211" customWidth="1"/>
    <col min="10758" max="10758" width="6.375" style="211" customWidth="1"/>
    <col min="10759" max="10759" width="1.125" style="211" customWidth="1"/>
    <col min="10760" max="10998" width="9" style="211"/>
    <col min="10999" max="10999" width="7.5" style="211" customWidth="1"/>
    <col min="11000" max="11001" width="8.75" style="211" customWidth="1"/>
    <col min="11002" max="11002" width="8" style="211" customWidth="1"/>
    <col min="11003" max="11003" width="7.125" style="211" customWidth="1"/>
    <col min="11004" max="11008" width="5.75" style="211" customWidth="1"/>
    <col min="11009" max="11009" width="7" style="211" customWidth="1"/>
    <col min="11010" max="11013" width="5.75" style="211" customWidth="1"/>
    <col min="11014" max="11014" width="6.375" style="211" customWidth="1"/>
    <col min="11015" max="11015" width="1.125" style="211" customWidth="1"/>
    <col min="11016" max="11254" width="9" style="211"/>
    <col min="11255" max="11255" width="7.5" style="211" customWidth="1"/>
    <col min="11256" max="11257" width="8.75" style="211" customWidth="1"/>
    <col min="11258" max="11258" width="8" style="211" customWidth="1"/>
    <col min="11259" max="11259" width="7.125" style="211" customWidth="1"/>
    <col min="11260" max="11264" width="5.75" style="211" customWidth="1"/>
    <col min="11265" max="11265" width="7" style="211" customWidth="1"/>
    <col min="11266" max="11269" width="5.75" style="211" customWidth="1"/>
    <col min="11270" max="11270" width="6.375" style="211" customWidth="1"/>
    <col min="11271" max="11271" width="1.125" style="211" customWidth="1"/>
    <col min="11272" max="11510" width="9" style="211"/>
    <col min="11511" max="11511" width="7.5" style="211" customWidth="1"/>
    <col min="11512" max="11513" width="8.75" style="211" customWidth="1"/>
    <col min="11514" max="11514" width="8" style="211" customWidth="1"/>
    <col min="11515" max="11515" width="7.125" style="211" customWidth="1"/>
    <col min="11516" max="11520" width="5.75" style="211" customWidth="1"/>
    <col min="11521" max="11521" width="7" style="211" customWidth="1"/>
    <col min="11522" max="11525" width="5.75" style="211" customWidth="1"/>
    <col min="11526" max="11526" width="6.375" style="211" customWidth="1"/>
    <col min="11527" max="11527" width="1.125" style="211" customWidth="1"/>
    <col min="11528" max="11766" width="9" style="211"/>
    <col min="11767" max="11767" width="7.5" style="211" customWidth="1"/>
    <col min="11768" max="11769" width="8.75" style="211" customWidth="1"/>
    <col min="11770" max="11770" width="8" style="211" customWidth="1"/>
    <col min="11771" max="11771" width="7.125" style="211" customWidth="1"/>
    <col min="11772" max="11776" width="5.75" style="211" customWidth="1"/>
    <col min="11777" max="11777" width="7" style="211" customWidth="1"/>
    <col min="11778" max="11781" width="5.75" style="211" customWidth="1"/>
    <col min="11782" max="11782" width="6.375" style="211" customWidth="1"/>
    <col min="11783" max="11783" width="1.125" style="211" customWidth="1"/>
    <col min="11784" max="12022" width="9" style="211"/>
    <col min="12023" max="12023" width="7.5" style="211" customWidth="1"/>
    <col min="12024" max="12025" width="8.75" style="211" customWidth="1"/>
    <col min="12026" max="12026" width="8" style="211" customWidth="1"/>
    <col min="12027" max="12027" width="7.125" style="211" customWidth="1"/>
    <col min="12028" max="12032" width="5.75" style="211" customWidth="1"/>
    <col min="12033" max="12033" width="7" style="211" customWidth="1"/>
    <col min="12034" max="12037" width="5.75" style="211" customWidth="1"/>
    <col min="12038" max="12038" width="6.375" style="211" customWidth="1"/>
    <col min="12039" max="12039" width="1.125" style="211" customWidth="1"/>
    <col min="12040" max="12278" width="9" style="211"/>
    <col min="12279" max="12279" width="7.5" style="211" customWidth="1"/>
    <col min="12280" max="12281" width="8.75" style="211" customWidth="1"/>
    <col min="12282" max="12282" width="8" style="211" customWidth="1"/>
    <col min="12283" max="12283" width="7.125" style="211" customWidth="1"/>
    <col min="12284" max="12288" width="5.75" style="211" customWidth="1"/>
    <col min="12289" max="12289" width="7" style="211" customWidth="1"/>
    <col min="12290" max="12293" width="5.75" style="211" customWidth="1"/>
    <col min="12294" max="12294" width="6.375" style="211" customWidth="1"/>
    <col min="12295" max="12295" width="1.125" style="211" customWidth="1"/>
    <col min="12296" max="12534" width="9" style="211"/>
    <col min="12535" max="12535" width="7.5" style="211" customWidth="1"/>
    <col min="12536" max="12537" width="8.75" style="211" customWidth="1"/>
    <col min="12538" max="12538" width="8" style="211" customWidth="1"/>
    <col min="12539" max="12539" width="7.125" style="211" customWidth="1"/>
    <col min="12540" max="12544" width="5.75" style="211" customWidth="1"/>
    <col min="12545" max="12545" width="7" style="211" customWidth="1"/>
    <col min="12546" max="12549" width="5.75" style="211" customWidth="1"/>
    <col min="12550" max="12550" width="6.375" style="211" customWidth="1"/>
    <col min="12551" max="12551" width="1.125" style="211" customWidth="1"/>
    <col min="12552" max="12790" width="9" style="211"/>
    <col min="12791" max="12791" width="7.5" style="211" customWidth="1"/>
    <col min="12792" max="12793" width="8.75" style="211" customWidth="1"/>
    <col min="12794" max="12794" width="8" style="211" customWidth="1"/>
    <col min="12795" max="12795" width="7.125" style="211" customWidth="1"/>
    <col min="12796" max="12800" width="5.75" style="211" customWidth="1"/>
    <col min="12801" max="12801" width="7" style="211" customWidth="1"/>
    <col min="12802" max="12805" width="5.75" style="211" customWidth="1"/>
    <col min="12806" max="12806" width="6.375" style="211" customWidth="1"/>
    <col min="12807" max="12807" width="1.125" style="211" customWidth="1"/>
    <col min="12808" max="13046" width="9" style="211"/>
    <col min="13047" max="13047" width="7.5" style="211" customWidth="1"/>
    <col min="13048" max="13049" width="8.75" style="211" customWidth="1"/>
    <col min="13050" max="13050" width="8" style="211" customWidth="1"/>
    <col min="13051" max="13051" width="7.125" style="211" customWidth="1"/>
    <col min="13052" max="13056" width="5.75" style="211" customWidth="1"/>
    <col min="13057" max="13057" width="7" style="211" customWidth="1"/>
    <col min="13058" max="13061" width="5.75" style="211" customWidth="1"/>
    <col min="13062" max="13062" width="6.375" style="211" customWidth="1"/>
    <col min="13063" max="13063" width="1.125" style="211" customWidth="1"/>
    <col min="13064" max="13302" width="9" style="211"/>
    <col min="13303" max="13303" width="7.5" style="211" customWidth="1"/>
    <col min="13304" max="13305" width="8.75" style="211" customWidth="1"/>
    <col min="13306" max="13306" width="8" style="211" customWidth="1"/>
    <col min="13307" max="13307" width="7.125" style="211" customWidth="1"/>
    <col min="13308" max="13312" width="5.75" style="211" customWidth="1"/>
    <col min="13313" max="13313" width="7" style="211" customWidth="1"/>
    <col min="13314" max="13317" width="5.75" style="211" customWidth="1"/>
    <col min="13318" max="13318" width="6.375" style="211" customWidth="1"/>
    <col min="13319" max="13319" width="1.125" style="211" customWidth="1"/>
    <col min="13320" max="13558" width="9" style="211"/>
    <col min="13559" max="13559" width="7.5" style="211" customWidth="1"/>
    <col min="13560" max="13561" width="8.75" style="211" customWidth="1"/>
    <col min="13562" max="13562" width="8" style="211" customWidth="1"/>
    <col min="13563" max="13563" width="7.125" style="211" customWidth="1"/>
    <col min="13564" max="13568" width="5.75" style="211" customWidth="1"/>
    <col min="13569" max="13569" width="7" style="211" customWidth="1"/>
    <col min="13570" max="13573" width="5.75" style="211" customWidth="1"/>
    <col min="13574" max="13574" width="6.375" style="211" customWidth="1"/>
    <col min="13575" max="13575" width="1.125" style="211" customWidth="1"/>
    <col min="13576" max="13814" width="9" style="211"/>
    <col min="13815" max="13815" width="7.5" style="211" customWidth="1"/>
    <col min="13816" max="13817" width="8.75" style="211" customWidth="1"/>
    <col min="13818" max="13818" width="8" style="211" customWidth="1"/>
    <col min="13819" max="13819" width="7.125" style="211" customWidth="1"/>
    <col min="13820" max="13824" width="5.75" style="211" customWidth="1"/>
    <col min="13825" max="13825" width="7" style="211" customWidth="1"/>
    <col min="13826" max="13829" width="5.75" style="211" customWidth="1"/>
    <col min="13830" max="13830" width="6.375" style="211" customWidth="1"/>
    <col min="13831" max="13831" width="1.125" style="211" customWidth="1"/>
    <col min="13832" max="14070" width="9" style="211"/>
    <col min="14071" max="14071" width="7.5" style="211" customWidth="1"/>
    <col min="14072" max="14073" width="8.75" style="211" customWidth="1"/>
    <col min="14074" max="14074" width="8" style="211" customWidth="1"/>
    <col min="14075" max="14075" width="7.125" style="211" customWidth="1"/>
    <col min="14076" max="14080" width="5.75" style="211" customWidth="1"/>
    <col min="14081" max="14081" width="7" style="211" customWidth="1"/>
    <col min="14082" max="14085" width="5.75" style="211" customWidth="1"/>
    <col min="14086" max="14086" width="6.375" style="211" customWidth="1"/>
    <col min="14087" max="14087" width="1.125" style="211" customWidth="1"/>
    <col min="14088" max="14326" width="9" style="211"/>
    <col min="14327" max="14327" width="7.5" style="211" customWidth="1"/>
    <col min="14328" max="14329" width="8.75" style="211" customWidth="1"/>
    <col min="14330" max="14330" width="8" style="211" customWidth="1"/>
    <col min="14331" max="14331" width="7.125" style="211" customWidth="1"/>
    <col min="14332" max="14336" width="5.75" style="211" customWidth="1"/>
    <col min="14337" max="14337" width="7" style="211" customWidth="1"/>
    <col min="14338" max="14341" width="5.75" style="211" customWidth="1"/>
    <col min="14342" max="14342" width="6.375" style="211" customWidth="1"/>
    <col min="14343" max="14343" width="1.125" style="211" customWidth="1"/>
    <col min="14344" max="14582" width="9" style="211"/>
    <col min="14583" max="14583" width="7.5" style="211" customWidth="1"/>
    <col min="14584" max="14585" width="8.75" style="211" customWidth="1"/>
    <col min="14586" max="14586" width="8" style="211" customWidth="1"/>
    <col min="14587" max="14587" width="7.125" style="211" customWidth="1"/>
    <col min="14588" max="14592" width="5.75" style="211" customWidth="1"/>
    <col min="14593" max="14593" width="7" style="211" customWidth="1"/>
    <col min="14594" max="14597" width="5.75" style="211" customWidth="1"/>
    <col min="14598" max="14598" width="6.375" style="211" customWidth="1"/>
    <col min="14599" max="14599" width="1.125" style="211" customWidth="1"/>
    <col min="14600" max="14838" width="9" style="211"/>
    <col min="14839" max="14839" width="7.5" style="211" customWidth="1"/>
    <col min="14840" max="14841" width="8.75" style="211" customWidth="1"/>
    <col min="14842" max="14842" width="8" style="211" customWidth="1"/>
    <col min="14843" max="14843" width="7.125" style="211" customWidth="1"/>
    <col min="14844" max="14848" width="5.75" style="211" customWidth="1"/>
    <col min="14849" max="14849" width="7" style="211" customWidth="1"/>
    <col min="14850" max="14853" width="5.75" style="211" customWidth="1"/>
    <col min="14854" max="14854" width="6.375" style="211" customWidth="1"/>
    <col min="14855" max="14855" width="1.125" style="211" customWidth="1"/>
    <col min="14856" max="15094" width="9" style="211"/>
    <col min="15095" max="15095" width="7.5" style="211" customWidth="1"/>
    <col min="15096" max="15097" width="8.75" style="211" customWidth="1"/>
    <col min="15098" max="15098" width="8" style="211" customWidth="1"/>
    <col min="15099" max="15099" width="7.125" style="211" customWidth="1"/>
    <col min="15100" max="15104" width="5.75" style="211" customWidth="1"/>
    <col min="15105" max="15105" width="7" style="211" customWidth="1"/>
    <col min="15106" max="15109" width="5.75" style="211" customWidth="1"/>
    <col min="15110" max="15110" width="6.375" style="211" customWidth="1"/>
    <col min="15111" max="15111" width="1.125" style="211" customWidth="1"/>
    <col min="15112" max="15350" width="9" style="211"/>
    <col min="15351" max="15351" width="7.5" style="211" customWidth="1"/>
    <col min="15352" max="15353" width="8.75" style="211" customWidth="1"/>
    <col min="15354" max="15354" width="8" style="211" customWidth="1"/>
    <col min="15355" max="15355" width="7.125" style="211" customWidth="1"/>
    <col min="15356" max="15360" width="5.75" style="211" customWidth="1"/>
    <col min="15361" max="15361" width="7" style="211" customWidth="1"/>
    <col min="15362" max="15365" width="5.75" style="211" customWidth="1"/>
    <col min="15366" max="15366" width="6.375" style="211" customWidth="1"/>
    <col min="15367" max="15367" width="1.125" style="211" customWidth="1"/>
    <col min="15368" max="15606" width="9" style="211"/>
    <col min="15607" max="15607" width="7.5" style="211" customWidth="1"/>
    <col min="15608" max="15609" width="8.75" style="211" customWidth="1"/>
    <col min="15610" max="15610" width="8" style="211" customWidth="1"/>
    <col min="15611" max="15611" width="7.125" style="211" customWidth="1"/>
    <col min="15612" max="15616" width="5.75" style="211" customWidth="1"/>
    <col min="15617" max="15617" width="7" style="211" customWidth="1"/>
    <col min="15618" max="15621" width="5.75" style="211" customWidth="1"/>
    <col min="15622" max="15622" width="6.375" style="211" customWidth="1"/>
    <col min="15623" max="15623" width="1.125" style="211" customWidth="1"/>
    <col min="15624" max="15862" width="9" style="211"/>
    <col min="15863" max="15863" width="7.5" style="211" customWidth="1"/>
    <col min="15864" max="15865" width="8.75" style="211" customWidth="1"/>
    <col min="15866" max="15866" width="8" style="211" customWidth="1"/>
    <col min="15867" max="15867" width="7.125" style="211" customWidth="1"/>
    <col min="15868" max="15872" width="5.75" style="211" customWidth="1"/>
    <col min="15873" max="15873" width="7" style="211" customWidth="1"/>
    <col min="15874" max="15877" width="5.75" style="211" customWidth="1"/>
    <col min="15878" max="15878" width="6.375" style="211" customWidth="1"/>
    <col min="15879" max="15879" width="1.125" style="211" customWidth="1"/>
    <col min="15880" max="16118" width="9" style="211"/>
    <col min="16119" max="16119" width="7.5" style="211" customWidth="1"/>
    <col min="16120" max="16121" width="8.75" style="211" customWidth="1"/>
    <col min="16122" max="16122" width="8" style="211" customWidth="1"/>
    <col min="16123" max="16123" width="7.125" style="211" customWidth="1"/>
    <col min="16124" max="16128" width="5.75" style="211" customWidth="1"/>
    <col min="16129" max="16129" width="7" style="211" customWidth="1"/>
    <col min="16130" max="16133" width="5.75" style="211" customWidth="1"/>
    <col min="16134" max="16134" width="6.375" style="211" customWidth="1"/>
    <col min="16135" max="16135" width="1.125" style="211" customWidth="1"/>
    <col min="16136" max="16384" width="9" style="211"/>
  </cols>
  <sheetData>
    <row r="1" spans="1:11" s="209" customFormat="1" ht="16.5" x14ac:dyDescent="0.2">
      <c r="A1" s="453" t="s">
        <v>310</v>
      </c>
      <c r="B1" s="453"/>
      <c r="C1" s="453"/>
      <c r="D1" s="453"/>
      <c r="E1" s="453"/>
      <c r="F1" s="453"/>
    </row>
    <row r="2" spans="1:11" ht="13.5" customHeight="1" x14ac:dyDescent="0.25">
      <c r="A2" s="130" t="s">
        <v>206</v>
      </c>
      <c r="B2" s="210"/>
      <c r="C2" s="210"/>
      <c r="D2" s="210"/>
      <c r="E2" s="210"/>
      <c r="F2" s="131" t="s">
        <v>311</v>
      </c>
    </row>
    <row r="3" spans="1:11" s="214" customFormat="1" ht="18" customHeight="1" x14ac:dyDescent="0.3">
      <c r="A3" s="232" t="s">
        <v>221</v>
      </c>
      <c r="B3" s="305" t="s">
        <v>312</v>
      </c>
      <c r="C3" s="305" t="s">
        <v>313</v>
      </c>
      <c r="D3" s="305" t="s">
        <v>314</v>
      </c>
      <c r="E3" s="305" t="s">
        <v>315</v>
      </c>
      <c r="F3" s="305" t="s">
        <v>316</v>
      </c>
    </row>
    <row r="4" spans="1:11" s="214" customFormat="1" ht="13.5" customHeight="1" x14ac:dyDescent="0.3">
      <c r="A4" s="218"/>
      <c r="B4" s="306"/>
      <c r="C4" s="306"/>
      <c r="D4" s="306"/>
      <c r="E4" s="306"/>
      <c r="F4" s="306"/>
    </row>
    <row r="5" spans="1:11" ht="13.5" customHeight="1" x14ac:dyDescent="0.25">
      <c r="A5" s="171">
        <v>40909</v>
      </c>
      <c r="B5" s="306">
        <v>42275</v>
      </c>
      <c r="C5" s="306">
        <v>36306</v>
      </c>
      <c r="D5" s="306">
        <v>1378</v>
      </c>
      <c r="E5" s="306">
        <v>4395</v>
      </c>
      <c r="F5" s="306">
        <v>196</v>
      </c>
    </row>
    <row r="6" spans="1:11" ht="13.5" customHeight="1" x14ac:dyDescent="0.25">
      <c r="A6" s="171">
        <f>DATE(YEAR(A5)+1,MONTH(A5),1)</f>
        <v>41275</v>
      </c>
      <c r="B6" s="306">
        <v>40722</v>
      </c>
      <c r="C6" s="306">
        <v>34647</v>
      </c>
      <c r="D6" s="306">
        <v>1417</v>
      </c>
      <c r="E6" s="306">
        <v>4479</v>
      </c>
      <c r="F6" s="306">
        <v>179</v>
      </c>
    </row>
    <row r="7" spans="1:11" ht="13.5" customHeight="1" x14ac:dyDescent="0.25">
      <c r="A7" s="171">
        <f t="shared" ref="A7:A18" si="0">DATE(YEAR(A6)+1,MONTH(A6),1)</f>
        <v>41640</v>
      </c>
      <c r="B7" s="306">
        <v>44758</v>
      </c>
      <c r="C7" s="306">
        <v>38549</v>
      </c>
      <c r="D7" s="306">
        <v>1206</v>
      </c>
      <c r="E7" s="306">
        <v>4801</v>
      </c>
      <c r="F7" s="306">
        <v>202</v>
      </c>
    </row>
    <row r="8" spans="1:11" ht="13.5" customHeight="1" x14ac:dyDescent="0.25">
      <c r="A8" s="171">
        <f t="shared" si="0"/>
        <v>42005</v>
      </c>
      <c r="B8" s="306">
        <v>47892</v>
      </c>
      <c r="C8" s="306">
        <v>41363</v>
      </c>
      <c r="D8" s="306">
        <v>1158</v>
      </c>
      <c r="E8" s="306">
        <v>5118</v>
      </c>
      <c r="F8" s="306">
        <v>253</v>
      </c>
    </row>
    <row r="9" spans="1:11" ht="13.5" customHeight="1" x14ac:dyDescent="0.25">
      <c r="A9" s="171">
        <f t="shared" si="0"/>
        <v>42370</v>
      </c>
      <c r="B9" s="306">
        <v>47012</v>
      </c>
      <c r="C9" s="306">
        <v>41289</v>
      </c>
      <c r="D9" s="306">
        <v>918</v>
      </c>
      <c r="E9" s="306">
        <v>4594</v>
      </c>
      <c r="F9" s="306">
        <v>211</v>
      </c>
    </row>
    <row r="10" spans="1:11" ht="13.5" customHeight="1" x14ac:dyDescent="0.25">
      <c r="A10" s="171">
        <f t="shared" si="0"/>
        <v>42736</v>
      </c>
      <c r="B10" s="306">
        <v>43862</v>
      </c>
      <c r="C10" s="306">
        <v>37882</v>
      </c>
      <c r="D10" s="306">
        <v>890</v>
      </c>
      <c r="E10" s="306">
        <v>4873</v>
      </c>
      <c r="F10" s="306">
        <v>217</v>
      </c>
    </row>
    <row r="11" spans="1:11" ht="13.5" customHeight="1" x14ac:dyDescent="0.25">
      <c r="A11" s="171">
        <f t="shared" si="0"/>
        <v>43101</v>
      </c>
      <c r="B11" s="306">
        <v>41404</v>
      </c>
      <c r="C11" s="306">
        <v>35741</v>
      </c>
      <c r="D11" s="306">
        <v>884</v>
      </c>
      <c r="E11" s="306">
        <v>4530</v>
      </c>
      <c r="F11" s="306">
        <v>249</v>
      </c>
    </row>
    <row r="12" spans="1:11" ht="13.5" customHeight="1" x14ac:dyDescent="0.25">
      <c r="A12" s="171">
        <f t="shared" si="0"/>
        <v>43466</v>
      </c>
      <c r="B12" s="306">
        <v>39216</v>
      </c>
      <c r="C12" s="306">
        <v>33863</v>
      </c>
      <c r="D12" s="306">
        <v>820</v>
      </c>
      <c r="E12" s="306">
        <v>4304</v>
      </c>
      <c r="F12" s="306">
        <v>229</v>
      </c>
      <c r="I12" s="307"/>
      <c r="J12" s="308"/>
      <c r="K12" s="309"/>
    </row>
    <row r="13" spans="1:11" ht="13.5" customHeight="1" x14ac:dyDescent="0.25">
      <c r="A13" s="171">
        <f t="shared" si="0"/>
        <v>43831</v>
      </c>
      <c r="B13" s="306">
        <v>43344</v>
      </c>
      <c r="C13" s="306">
        <v>38205</v>
      </c>
      <c r="D13" s="306">
        <v>627</v>
      </c>
      <c r="E13" s="306">
        <v>4273</v>
      </c>
      <c r="F13" s="306">
        <v>239</v>
      </c>
      <c r="I13" s="307"/>
      <c r="J13" s="308"/>
      <c r="K13" s="309"/>
    </row>
    <row r="14" spans="1:11" ht="13.5" customHeight="1" x14ac:dyDescent="0.25">
      <c r="A14" s="171">
        <f t="shared" si="0"/>
        <v>44197</v>
      </c>
      <c r="B14" s="306">
        <v>37550</v>
      </c>
      <c r="C14" s="306">
        <v>32695</v>
      </c>
      <c r="D14" s="306">
        <v>418</v>
      </c>
      <c r="E14" s="306">
        <v>4100</v>
      </c>
      <c r="F14" s="306">
        <v>337</v>
      </c>
      <c r="I14" s="307"/>
      <c r="J14" s="308"/>
      <c r="K14" s="309"/>
    </row>
    <row r="15" spans="1:11" ht="13.5" customHeight="1" x14ac:dyDescent="0.25">
      <c r="A15" s="171">
        <f t="shared" si="0"/>
        <v>44562</v>
      </c>
      <c r="B15" s="306">
        <v>35953</v>
      </c>
      <c r="C15" s="306">
        <v>30760</v>
      </c>
      <c r="D15" s="306">
        <v>464</v>
      </c>
      <c r="E15" s="306">
        <v>4434</v>
      </c>
      <c r="F15" s="306">
        <v>295</v>
      </c>
      <c r="I15" s="307"/>
      <c r="J15" s="308"/>
      <c r="K15" s="309"/>
    </row>
    <row r="16" spans="1:11" ht="13.5" customHeight="1" x14ac:dyDescent="0.25">
      <c r="A16" s="171">
        <f t="shared" si="0"/>
        <v>44927</v>
      </c>
      <c r="B16" s="306">
        <v>44458</v>
      </c>
      <c r="C16" s="306">
        <v>39145</v>
      </c>
      <c r="D16" s="306">
        <v>524</v>
      </c>
      <c r="E16" s="306">
        <v>4570</v>
      </c>
      <c r="F16" s="306">
        <v>219</v>
      </c>
      <c r="I16" s="307"/>
      <c r="J16" s="308"/>
      <c r="K16" s="309"/>
    </row>
    <row r="17" spans="1:14" ht="13.5" customHeight="1" x14ac:dyDescent="0.25">
      <c r="A17" s="171">
        <f t="shared" si="0"/>
        <v>45292</v>
      </c>
      <c r="B17" s="306">
        <v>37567</v>
      </c>
      <c r="C17" s="306">
        <v>33458</v>
      </c>
      <c r="D17" s="306">
        <v>588</v>
      </c>
      <c r="E17" s="306">
        <v>3362</v>
      </c>
      <c r="F17" s="306">
        <v>159</v>
      </c>
      <c r="I17" s="307"/>
      <c r="J17" s="308"/>
      <c r="K17" s="309"/>
    </row>
    <row r="18" spans="1:14" ht="13.5" customHeight="1" x14ac:dyDescent="0.25">
      <c r="A18" s="171">
        <f t="shared" si="0"/>
        <v>45658</v>
      </c>
      <c r="B18" s="306">
        <v>39862</v>
      </c>
      <c r="C18" s="306">
        <v>35985</v>
      </c>
      <c r="D18" s="306">
        <v>642</v>
      </c>
      <c r="E18" s="306">
        <v>3088</v>
      </c>
      <c r="F18" s="306">
        <v>147</v>
      </c>
      <c r="I18" s="307"/>
      <c r="J18" s="308"/>
      <c r="K18" s="309"/>
    </row>
    <row r="19" spans="1:14" ht="13.5" customHeight="1" x14ac:dyDescent="0.25">
      <c r="A19" s="187"/>
      <c r="B19" s="310"/>
      <c r="C19" s="310"/>
      <c r="D19" s="310"/>
      <c r="E19" s="310"/>
      <c r="F19" s="310"/>
      <c r="I19" s="307"/>
      <c r="J19" s="308"/>
      <c r="K19" s="309"/>
    </row>
    <row r="20" spans="1:14" ht="13.5" customHeight="1" x14ac:dyDescent="0.25">
      <c r="A20" s="175">
        <f>DATE(YEAR(표지!O1)-2,MONTH(표지!O1)-1,1)</f>
        <v>45352</v>
      </c>
      <c r="B20" s="206">
        <v>3143</v>
      </c>
      <c r="C20" s="206">
        <v>2729</v>
      </c>
      <c r="D20" s="206">
        <v>30</v>
      </c>
      <c r="E20" s="206">
        <v>366</v>
      </c>
      <c r="F20" s="206">
        <v>18</v>
      </c>
      <c r="I20" s="307"/>
      <c r="J20" s="308"/>
      <c r="K20" s="309"/>
      <c r="L20" s="309"/>
      <c r="M20" s="309"/>
      <c r="N20" s="307"/>
    </row>
    <row r="21" spans="1:14" ht="13.5" customHeight="1" x14ac:dyDescent="0.25">
      <c r="A21" s="176">
        <f t="shared" ref="A21:A25" si="1">DATE(YEAR(A20),MONTH(A20)+1,1)</f>
        <v>45383</v>
      </c>
      <c r="B21" s="206">
        <v>3117</v>
      </c>
      <c r="C21" s="206">
        <v>2730</v>
      </c>
      <c r="D21" s="206">
        <v>42</v>
      </c>
      <c r="E21" s="206">
        <v>325</v>
      </c>
      <c r="F21" s="206">
        <v>20</v>
      </c>
      <c r="I21" s="307"/>
      <c r="J21" s="308"/>
      <c r="K21" s="309"/>
      <c r="L21" s="309"/>
      <c r="M21" s="309"/>
      <c r="N21" s="307"/>
    </row>
    <row r="22" spans="1:14" ht="13.5" customHeight="1" x14ac:dyDescent="0.25">
      <c r="A22" s="176">
        <f t="shared" si="1"/>
        <v>45413</v>
      </c>
      <c r="B22" s="206">
        <v>3116</v>
      </c>
      <c r="C22" s="206">
        <v>2773</v>
      </c>
      <c r="D22" s="206">
        <v>44</v>
      </c>
      <c r="E22" s="206">
        <v>283</v>
      </c>
      <c r="F22" s="206">
        <v>16</v>
      </c>
      <c r="I22" s="307"/>
      <c r="J22" s="308"/>
      <c r="K22" s="309"/>
      <c r="L22" s="309"/>
      <c r="M22" s="309"/>
      <c r="N22" s="307"/>
    </row>
    <row r="23" spans="1:14" ht="13.5" customHeight="1" x14ac:dyDescent="0.25">
      <c r="A23" s="176">
        <f t="shared" si="1"/>
        <v>45444</v>
      </c>
      <c r="B23" s="206">
        <v>2918</v>
      </c>
      <c r="C23" s="206">
        <v>2589</v>
      </c>
      <c r="D23" s="206">
        <v>38</v>
      </c>
      <c r="E23" s="206">
        <v>274</v>
      </c>
      <c r="F23" s="206">
        <v>17</v>
      </c>
      <c r="I23" s="307"/>
      <c r="J23" s="308"/>
      <c r="K23" s="309"/>
      <c r="L23" s="309"/>
      <c r="M23" s="309"/>
      <c r="N23" s="307"/>
    </row>
    <row r="24" spans="1:14" ht="13.5" customHeight="1" x14ac:dyDescent="0.25">
      <c r="A24" s="176">
        <f t="shared" si="1"/>
        <v>45474</v>
      </c>
      <c r="B24" s="206">
        <v>3246</v>
      </c>
      <c r="C24" s="206">
        <v>2863</v>
      </c>
      <c r="D24" s="206">
        <v>53</v>
      </c>
      <c r="E24" s="206">
        <v>312</v>
      </c>
      <c r="F24" s="206">
        <v>18</v>
      </c>
      <c r="I24" s="307"/>
      <c r="J24" s="308"/>
      <c r="K24" s="309"/>
      <c r="L24" s="309"/>
      <c r="M24" s="309"/>
      <c r="N24" s="307"/>
    </row>
    <row r="25" spans="1:14" ht="13.5" customHeight="1" x14ac:dyDescent="0.25">
      <c r="A25" s="176">
        <f t="shared" si="1"/>
        <v>45505</v>
      </c>
      <c r="B25" s="206">
        <v>2510</v>
      </c>
      <c r="C25" s="206">
        <v>2255</v>
      </c>
      <c r="D25" s="206">
        <v>43</v>
      </c>
      <c r="E25" s="206">
        <v>203</v>
      </c>
      <c r="F25" s="206">
        <v>9</v>
      </c>
      <c r="I25" s="307"/>
      <c r="J25" s="308"/>
      <c r="K25" s="309"/>
      <c r="L25" s="309"/>
      <c r="M25" s="309"/>
      <c r="N25" s="307"/>
    </row>
    <row r="26" spans="1:14" ht="13.5" customHeight="1" x14ac:dyDescent="0.25">
      <c r="A26" s="176">
        <f>DATE(YEAR(A25),MONTH(A25)+1,1)</f>
        <v>45536</v>
      </c>
      <c r="B26" s="206">
        <v>3007</v>
      </c>
      <c r="C26" s="206">
        <v>2762</v>
      </c>
      <c r="D26" s="206">
        <v>35</v>
      </c>
      <c r="E26" s="206">
        <v>205</v>
      </c>
      <c r="F26" s="206">
        <v>5</v>
      </c>
      <c r="I26" s="307"/>
      <c r="J26" s="308"/>
      <c r="K26" s="309"/>
      <c r="L26" s="309"/>
      <c r="M26" s="309"/>
      <c r="N26" s="307"/>
    </row>
    <row r="27" spans="1:14" ht="13.5" customHeight="1" x14ac:dyDescent="0.25">
      <c r="A27" s="176">
        <f>DATE(YEAR(A26),MONTH(A26)+1,1)</f>
        <v>45566</v>
      </c>
      <c r="B27" s="206">
        <v>3237</v>
      </c>
      <c r="C27" s="206">
        <v>2907</v>
      </c>
      <c r="D27" s="206">
        <v>53</v>
      </c>
      <c r="E27" s="206">
        <v>261</v>
      </c>
      <c r="F27" s="206">
        <v>16</v>
      </c>
      <c r="I27" s="307"/>
      <c r="J27" s="308"/>
      <c r="K27" s="309"/>
      <c r="L27" s="309"/>
      <c r="M27" s="309"/>
      <c r="N27" s="307"/>
    </row>
    <row r="28" spans="1:14" ht="13.5" customHeight="1" x14ac:dyDescent="0.25">
      <c r="A28" s="176">
        <f>DATE(YEAR(A27),MONTH(A27)+1,1)</f>
        <v>45597</v>
      </c>
      <c r="B28" s="206">
        <v>3327</v>
      </c>
      <c r="C28" s="206">
        <v>3010</v>
      </c>
      <c r="D28" s="206">
        <v>58</v>
      </c>
      <c r="E28" s="206">
        <v>249</v>
      </c>
      <c r="F28" s="206">
        <v>10</v>
      </c>
      <c r="I28" s="307"/>
      <c r="J28" s="308"/>
      <c r="K28" s="309"/>
      <c r="L28" s="309"/>
      <c r="M28" s="309"/>
      <c r="N28" s="307"/>
    </row>
    <row r="29" spans="1:14" ht="13.5" customHeight="1" x14ac:dyDescent="0.25">
      <c r="A29" s="176">
        <f>DATE(YEAR(A28),MONTH(A28)+1,1)</f>
        <v>45627</v>
      </c>
      <c r="B29" s="206">
        <v>3295</v>
      </c>
      <c r="C29" s="206">
        <v>2926</v>
      </c>
      <c r="D29" s="206">
        <v>100</v>
      </c>
      <c r="E29" s="206">
        <v>264</v>
      </c>
      <c r="F29" s="206">
        <v>5</v>
      </c>
      <c r="I29" s="307"/>
      <c r="J29" s="308"/>
      <c r="K29" s="309"/>
      <c r="L29" s="309"/>
      <c r="M29" s="309"/>
      <c r="N29" s="307"/>
    </row>
    <row r="30" spans="1:14" ht="13.5" customHeight="1" x14ac:dyDescent="0.25">
      <c r="A30" s="176"/>
      <c r="B30" s="206"/>
      <c r="C30" s="206"/>
      <c r="D30" s="206"/>
      <c r="E30" s="206"/>
      <c r="F30" s="206"/>
      <c r="I30" s="307"/>
      <c r="J30" s="308"/>
      <c r="K30" s="309"/>
      <c r="L30" s="309"/>
      <c r="M30" s="309"/>
      <c r="N30" s="307"/>
    </row>
    <row r="31" spans="1:14" ht="13.5" customHeight="1" x14ac:dyDescent="0.25">
      <c r="A31" s="175">
        <f>DATE(YEAR(A29),MONTH(A29)+1,1)</f>
        <v>45658</v>
      </c>
      <c r="B31" s="206">
        <v>3308</v>
      </c>
      <c r="C31" s="206">
        <v>3040</v>
      </c>
      <c r="D31" s="206">
        <v>42</v>
      </c>
      <c r="E31" s="206">
        <v>212</v>
      </c>
      <c r="F31" s="206">
        <v>14</v>
      </c>
      <c r="I31" s="307"/>
      <c r="J31" s="308"/>
      <c r="K31" s="309"/>
      <c r="L31" s="309"/>
      <c r="M31" s="309"/>
      <c r="N31" s="307"/>
    </row>
    <row r="32" spans="1:14" ht="13.5" customHeight="1" x14ac:dyDescent="0.25">
      <c r="A32" s="176">
        <f t="shared" ref="A32:A38" si="2">DATE(YEAR(A31),MONTH(A31)+1,1)</f>
        <v>45689</v>
      </c>
      <c r="B32" s="206">
        <v>3426</v>
      </c>
      <c r="C32" s="206">
        <v>3123</v>
      </c>
      <c r="D32" s="206">
        <v>49</v>
      </c>
      <c r="E32" s="206">
        <v>241</v>
      </c>
      <c r="F32" s="206">
        <v>13</v>
      </c>
      <c r="I32" s="307"/>
      <c r="J32" s="308"/>
      <c r="K32" s="309"/>
      <c r="L32" s="309"/>
      <c r="M32" s="309"/>
      <c r="N32" s="307"/>
    </row>
    <row r="33" spans="1:20" ht="13.5" customHeight="1" x14ac:dyDescent="0.25">
      <c r="A33" s="176">
        <f t="shared" si="2"/>
        <v>45717</v>
      </c>
      <c r="B33" s="206">
        <v>3408</v>
      </c>
      <c r="C33" s="206">
        <v>3053</v>
      </c>
      <c r="D33" s="206">
        <v>82</v>
      </c>
      <c r="E33" s="206">
        <v>261</v>
      </c>
      <c r="F33" s="206">
        <v>12</v>
      </c>
      <c r="I33" s="307"/>
      <c r="J33" s="308"/>
      <c r="K33" s="309"/>
      <c r="L33" s="309"/>
      <c r="M33" s="309"/>
      <c r="N33" s="307"/>
    </row>
    <row r="34" spans="1:20" ht="13.5" customHeight="1" x14ac:dyDescent="0.25">
      <c r="A34" s="176">
        <f t="shared" si="2"/>
        <v>45748</v>
      </c>
      <c r="B34" s="206">
        <v>3914</v>
      </c>
      <c r="C34" s="206">
        <v>3520</v>
      </c>
      <c r="D34" s="206">
        <v>81</v>
      </c>
      <c r="E34" s="206">
        <v>296</v>
      </c>
      <c r="F34" s="206">
        <v>17</v>
      </c>
      <c r="I34" s="307"/>
      <c r="J34" s="308"/>
      <c r="K34" s="309"/>
      <c r="L34" s="309"/>
      <c r="M34" s="309"/>
      <c r="N34" s="307"/>
    </row>
    <row r="35" spans="1:20" ht="13.5" customHeight="1" x14ac:dyDescent="0.25">
      <c r="A35" s="176">
        <f t="shared" si="2"/>
        <v>45778</v>
      </c>
      <c r="B35" s="206">
        <v>3214</v>
      </c>
      <c r="C35" s="206">
        <v>2905</v>
      </c>
      <c r="D35" s="206">
        <v>44</v>
      </c>
      <c r="E35" s="206">
        <v>256</v>
      </c>
      <c r="F35" s="206">
        <v>9</v>
      </c>
      <c r="I35" s="307"/>
      <c r="J35" s="308"/>
      <c r="K35" s="309"/>
      <c r="L35" s="309"/>
      <c r="M35" s="309"/>
      <c r="N35" s="307"/>
    </row>
    <row r="36" spans="1:20" ht="13.5" customHeight="1" x14ac:dyDescent="0.25">
      <c r="A36" s="176">
        <f t="shared" si="2"/>
        <v>45809</v>
      </c>
      <c r="B36" s="206">
        <v>3369</v>
      </c>
      <c r="C36" s="206">
        <v>3066</v>
      </c>
      <c r="D36" s="206">
        <v>48</v>
      </c>
      <c r="E36" s="206">
        <v>247</v>
      </c>
      <c r="F36" s="206">
        <v>8</v>
      </c>
      <c r="I36" s="307"/>
      <c r="J36" s="308"/>
      <c r="K36" s="309"/>
      <c r="L36" s="309"/>
      <c r="M36" s="309"/>
      <c r="N36" s="307"/>
    </row>
    <row r="37" spans="1:20" ht="13.5" customHeight="1" x14ac:dyDescent="0.25">
      <c r="A37" s="176">
        <f t="shared" si="2"/>
        <v>45839</v>
      </c>
      <c r="B37" s="206">
        <v>3480</v>
      </c>
      <c r="C37" s="206">
        <v>3081</v>
      </c>
      <c r="D37" s="206">
        <v>60</v>
      </c>
      <c r="E37" s="206">
        <v>323</v>
      </c>
      <c r="F37" s="206">
        <v>16</v>
      </c>
      <c r="I37" s="307"/>
      <c r="J37" s="308"/>
      <c r="K37" s="309"/>
      <c r="L37" s="309"/>
      <c r="M37" s="309"/>
      <c r="N37" s="307"/>
    </row>
    <row r="38" spans="1:20" ht="13.5" customHeight="1" x14ac:dyDescent="0.25">
      <c r="A38" s="176">
        <f t="shared" si="2"/>
        <v>45870</v>
      </c>
      <c r="B38" s="206">
        <v>2728</v>
      </c>
      <c r="C38" s="206">
        <v>2436</v>
      </c>
      <c r="D38" s="206">
        <v>38</v>
      </c>
      <c r="E38" s="206">
        <v>244</v>
      </c>
      <c r="F38" s="206">
        <v>10</v>
      </c>
      <c r="I38" s="307"/>
      <c r="J38" s="308"/>
      <c r="K38" s="309"/>
      <c r="L38" s="309"/>
      <c r="M38" s="309"/>
      <c r="N38" s="307"/>
    </row>
    <row r="39" spans="1:20" ht="13.5" customHeight="1" x14ac:dyDescent="0.25">
      <c r="A39" s="176">
        <f>DATE(YEAR(A38),MONTH(A38)+1,1)</f>
        <v>45901</v>
      </c>
      <c r="B39" s="206">
        <v>3183</v>
      </c>
      <c r="C39" s="206">
        <v>2851</v>
      </c>
      <c r="D39" s="206">
        <v>66</v>
      </c>
      <c r="E39" s="206">
        <v>248</v>
      </c>
      <c r="F39" s="206">
        <v>18</v>
      </c>
      <c r="I39" s="307"/>
      <c r="J39" s="308"/>
      <c r="K39" s="309"/>
      <c r="L39" s="309"/>
      <c r="M39" s="309"/>
      <c r="N39" s="307"/>
    </row>
    <row r="40" spans="1:20" ht="13.5" customHeight="1" x14ac:dyDescent="0.25">
      <c r="A40" s="176">
        <f>DATE(YEAR(A39),MONTH(A39)+1,1)</f>
        <v>45931</v>
      </c>
      <c r="B40" s="206">
        <v>2832</v>
      </c>
      <c r="C40" s="206">
        <v>2535</v>
      </c>
      <c r="D40" s="206">
        <v>53</v>
      </c>
      <c r="E40" s="206">
        <v>237</v>
      </c>
      <c r="F40" s="206">
        <v>7</v>
      </c>
      <c r="I40" s="307"/>
      <c r="J40" s="308"/>
      <c r="K40" s="309"/>
      <c r="L40" s="309"/>
      <c r="M40" s="309"/>
      <c r="N40" s="307"/>
    </row>
    <row r="41" spans="1:20" ht="13.5" customHeight="1" x14ac:dyDescent="0.25">
      <c r="A41" s="176">
        <f>DATE(YEAR(A40),MONTH(A40)+1,1)</f>
        <v>45962</v>
      </c>
      <c r="B41" s="206">
        <v>3646</v>
      </c>
      <c r="C41" s="206">
        <v>3324</v>
      </c>
      <c r="D41" s="206">
        <v>34</v>
      </c>
      <c r="E41" s="206">
        <v>274</v>
      </c>
      <c r="F41" s="206">
        <v>14</v>
      </c>
      <c r="I41" s="307"/>
      <c r="J41" s="308"/>
      <c r="K41" s="309"/>
      <c r="L41" s="309"/>
      <c r="M41" s="309"/>
      <c r="N41" s="307"/>
    </row>
    <row r="42" spans="1:20" ht="13.5" customHeight="1" x14ac:dyDescent="0.25">
      <c r="A42" s="176">
        <f>DATE(YEAR(A41),MONTH(A41)+1,1)</f>
        <v>45992</v>
      </c>
      <c r="B42" s="206">
        <v>3354</v>
      </c>
      <c r="C42" s="206">
        <v>3051</v>
      </c>
      <c r="D42" s="206">
        <v>45</v>
      </c>
      <c r="E42" s="206">
        <v>249</v>
      </c>
      <c r="F42" s="206">
        <v>9</v>
      </c>
      <c r="I42" s="307"/>
      <c r="J42" s="308"/>
      <c r="K42" s="309"/>
      <c r="L42" s="309"/>
      <c r="M42" s="309"/>
      <c r="N42" s="307"/>
    </row>
    <row r="43" spans="1:20" ht="13.5" customHeight="1" x14ac:dyDescent="0.25">
      <c r="A43" s="176"/>
      <c r="B43" s="206"/>
      <c r="C43" s="206"/>
      <c r="D43" s="206"/>
      <c r="E43" s="206"/>
      <c r="F43" s="206"/>
      <c r="I43" s="307"/>
      <c r="J43" s="308"/>
      <c r="K43" s="309"/>
      <c r="L43" s="309"/>
      <c r="M43" s="309"/>
      <c r="N43" s="307"/>
    </row>
    <row r="44" spans="1:20" ht="13.5" customHeight="1" x14ac:dyDescent="0.25">
      <c r="A44" s="175">
        <f>DATE(YEAR(A42),MONTH(A42)+1,1)</f>
        <v>46023</v>
      </c>
      <c r="B44" s="206">
        <v>2944</v>
      </c>
      <c r="C44" s="206">
        <v>2696</v>
      </c>
      <c r="D44" s="206">
        <v>34</v>
      </c>
      <c r="E44" s="206">
        <v>201</v>
      </c>
      <c r="F44" s="206">
        <v>13</v>
      </c>
      <c r="I44" s="307"/>
      <c r="J44" s="308"/>
      <c r="K44" s="309"/>
      <c r="L44" s="309"/>
      <c r="M44" s="309"/>
      <c r="N44" s="307"/>
    </row>
    <row r="45" spans="1:20" ht="13.5" customHeight="1" x14ac:dyDescent="0.25">
      <c r="A45" s="176">
        <f t="shared" ref="A45:A46" si="3">DATE(YEAR(A44),MONTH(A44)+1,1)</f>
        <v>46054</v>
      </c>
      <c r="B45" s="206">
        <v>2585</v>
      </c>
      <c r="C45" s="206">
        <v>2239</v>
      </c>
      <c r="D45" s="206">
        <v>18</v>
      </c>
      <c r="E45" s="206">
        <v>315</v>
      </c>
      <c r="F45" s="206">
        <v>13</v>
      </c>
      <c r="I45" s="307"/>
      <c r="J45" s="308"/>
      <c r="K45" s="309"/>
      <c r="L45" s="309"/>
      <c r="M45" s="309"/>
      <c r="N45" s="307"/>
    </row>
    <row r="46" spans="1:20" ht="13.5" customHeight="1" x14ac:dyDescent="0.25">
      <c r="A46" s="176">
        <f t="shared" si="3"/>
        <v>46082</v>
      </c>
      <c r="B46" s="206">
        <v>3235</v>
      </c>
      <c r="C46" s="206">
        <v>2846</v>
      </c>
      <c r="D46" s="206">
        <v>36</v>
      </c>
      <c r="E46" s="206">
        <v>344</v>
      </c>
      <c r="F46" s="206">
        <v>9</v>
      </c>
      <c r="I46" s="307"/>
      <c r="J46" s="308"/>
      <c r="K46" s="309"/>
      <c r="L46" s="309"/>
      <c r="M46" s="309"/>
      <c r="N46" s="307"/>
    </row>
    <row r="47" spans="1:20" ht="6" customHeight="1" x14ac:dyDescent="0.25">
      <c r="A47" s="222"/>
      <c r="B47" s="223"/>
      <c r="C47" s="223"/>
      <c r="D47" s="223"/>
      <c r="E47" s="223"/>
      <c r="F47" s="223"/>
      <c r="I47" s="307"/>
      <c r="J47" s="308"/>
      <c r="N47" s="225"/>
    </row>
    <row r="48" spans="1:20" ht="13.5" customHeight="1" x14ac:dyDescent="0.25">
      <c r="A48" s="211" t="s">
        <v>317</v>
      </c>
      <c r="I48" s="225"/>
      <c r="J48" s="308"/>
      <c r="N48" s="225"/>
      <c r="O48" s="225"/>
      <c r="P48" s="225"/>
      <c r="Q48" s="225"/>
      <c r="R48" s="225"/>
      <c r="S48" s="225"/>
      <c r="T48" s="225"/>
    </row>
    <row r="49" spans="2:20" ht="13.5" customHeight="1" x14ac:dyDescent="0.25">
      <c r="I49" s="225"/>
      <c r="J49" s="308"/>
      <c r="O49" s="225"/>
      <c r="P49" s="225"/>
      <c r="Q49" s="225"/>
      <c r="R49" s="225"/>
      <c r="S49" s="225"/>
      <c r="T49" s="225"/>
    </row>
    <row r="50" spans="2:20" ht="13.5" customHeight="1" x14ac:dyDescent="0.25">
      <c r="J50" s="308"/>
    </row>
    <row r="51" spans="2:20" ht="13.5" customHeight="1" x14ac:dyDescent="0.25">
      <c r="O51" s="309"/>
    </row>
    <row r="52" spans="2:20" ht="13.5" customHeight="1" x14ac:dyDescent="0.25"/>
    <row r="53" spans="2:20" ht="13.5" customHeight="1" x14ac:dyDescent="0.25">
      <c r="G53" s="224"/>
      <c r="H53" s="224"/>
      <c r="I53" s="224"/>
    </row>
    <row r="54" spans="2:20" ht="13.5" customHeight="1" x14ac:dyDescent="0.25"/>
    <row r="55" spans="2:20" ht="13.5" customHeight="1" x14ac:dyDescent="0.25"/>
    <row r="56" spans="2:20" ht="13.5" customHeight="1" x14ac:dyDescent="0.25"/>
    <row r="57" spans="2:20" ht="13.5" customHeight="1" x14ac:dyDescent="0.25"/>
    <row r="58" spans="2:20" ht="13.5" customHeight="1" x14ac:dyDescent="0.25"/>
    <row r="59" spans="2:20" ht="13.5" customHeight="1" x14ac:dyDescent="0.25">
      <c r="B59" s="225"/>
      <c r="C59" s="225"/>
      <c r="D59" s="225"/>
      <c r="E59" s="225"/>
      <c r="F59" s="225"/>
    </row>
    <row r="60" spans="2:20" ht="13.5" customHeight="1" x14ac:dyDescent="0.25"/>
    <row r="61" spans="2:20" ht="13.5" customHeight="1" x14ac:dyDescent="0.25">
      <c r="B61" s="211"/>
      <c r="C61" s="211"/>
      <c r="D61" s="211"/>
      <c r="E61" s="211"/>
      <c r="F61" s="211"/>
    </row>
    <row r="62" spans="2:20" ht="13.5" customHeight="1" x14ac:dyDescent="0.25">
      <c r="B62" s="211"/>
      <c r="C62" s="211"/>
      <c r="D62" s="211"/>
      <c r="E62" s="211"/>
      <c r="F62" s="211"/>
    </row>
    <row r="63" spans="2:20" ht="13.5" customHeight="1" x14ac:dyDescent="0.25">
      <c r="B63" s="211"/>
      <c r="C63" s="211"/>
      <c r="D63" s="211"/>
      <c r="E63" s="211"/>
      <c r="F63" s="211"/>
    </row>
    <row r="64" spans="2:20" ht="13.5" customHeight="1" x14ac:dyDescent="0.25">
      <c r="B64" s="211"/>
      <c r="C64" s="211"/>
      <c r="D64" s="211"/>
      <c r="E64" s="211"/>
      <c r="F64" s="211"/>
    </row>
    <row r="65" spans="2:6" ht="13.5" customHeight="1" x14ac:dyDescent="0.25">
      <c r="B65" s="211"/>
      <c r="C65" s="211"/>
      <c r="D65" s="211"/>
      <c r="E65" s="211"/>
      <c r="F65" s="211"/>
    </row>
    <row r="66" spans="2:6" ht="13.5" customHeight="1" x14ac:dyDescent="0.25">
      <c r="B66" s="211"/>
      <c r="C66" s="211"/>
      <c r="D66" s="211"/>
      <c r="E66" s="211"/>
      <c r="F66" s="211"/>
    </row>
    <row r="67" spans="2:6" ht="13.5" customHeight="1" x14ac:dyDescent="0.25">
      <c r="B67" s="211"/>
      <c r="C67" s="211"/>
      <c r="D67" s="211"/>
      <c r="E67" s="211"/>
      <c r="F67" s="211"/>
    </row>
    <row r="68" spans="2:6" ht="13.5" customHeight="1" x14ac:dyDescent="0.25">
      <c r="B68" s="211"/>
      <c r="C68" s="211"/>
      <c r="D68" s="211"/>
      <c r="E68" s="211"/>
      <c r="F68" s="211"/>
    </row>
    <row r="69" spans="2:6" ht="13.5" customHeight="1" x14ac:dyDescent="0.25">
      <c r="B69" s="211"/>
      <c r="C69" s="211"/>
      <c r="D69" s="211"/>
      <c r="E69" s="211"/>
      <c r="F69" s="211"/>
    </row>
    <row r="70" spans="2:6" ht="13.5" customHeight="1" x14ac:dyDescent="0.25">
      <c r="B70" s="211"/>
      <c r="C70" s="211"/>
      <c r="D70" s="211"/>
      <c r="E70" s="211"/>
      <c r="F70" s="211"/>
    </row>
    <row r="71" spans="2:6" ht="13.5" customHeight="1" x14ac:dyDescent="0.25">
      <c r="B71" s="211"/>
      <c r="C71" s="211"/>
      <c r="D71" s="211"/>
      <c r="E71" s="211"/>
      <c r="F71" s="211"/>
    </row>
    <row r="72" spans="2:6" ht="13.5" customHeight="1" x14ac:dyDescent="0.25">
      <c r="B72" s="211"/>
      <c r="C72" s="211"/>
      <c r="D72" s="211"/>
      <c r="E72" s="211"/>
      <c r="F72" s="211"/>
    </row>
    <row r="73" spans="2:6" ht="13.5" customHeight="1" x14ac:dyDescent="0.25">
      <c r="B73" s="211"/>
      <c r="C73" s="211"/>
      <c r="D73" s="211"/>
      <c r="E73" s="211"/>
      <c r="F73" s="211"/>
    </row>
    <row r="74" spans="2:6" ht="9" customHeight="1" x14ac:dyDescent="0.25">
      <c r="B74" s="211"/>
      <c r="C74" s="211"/>
      <c r="D74" s="211"/>
      <c r="E74" s="211"/>
      <c r="F74" s="211"/>
    </row>
    <row r="75" spans="2:6" ht="13.5" customHeight="1" x14ac:dyDescent="0.25">
      <c r="B75" s="211"/>
      <c r="C75" s="211"/>
      <c r="D75" s="211"/>
      <c r="E75" s="211"/>
      <c r="F75" s="211"/>
    </row>
    <row r="76" spans="2:6" ht="13.5" customHeight="1" x14ac:dyDescent="0.25">
      <c r="B76" s="211"/>
      <c r="C76" s="211"/>
      <c r="D76" s="211"/>
      <c r="E76" s="211"/>
      <c r="F76" s="211"/>
    </row>
    <row r="77" spans="2:6" ht="13.5" customHeight="1" x14ac:dyDescent="0.25">
      <c r="B77" s="211"/>
      <c r="C77" s="211"/>
      <c r="D77" s="211"/>
      <c r="E77" s="211"/>
      <c r="F77" s="211"/>
    </row>
    <row r="78" spans="2:6" ht="13.5" customHeight="1" x14ac:dyDescent="0.25">
      <c r="B78" s="211"/>
      <c r="C78" s="211"/>
      <c r="D78" s="211"/>
      <c r="E78" s="211"/>
      <c r="F78" s="211"/>
    </row>
    <row r="79" spans="2:6" ht="13.5" customHeight="1" x14ac:dyDescent="0.25">
      <c r="B79" s="211"/>
      <c r="C79" s="211"/>
      <c r="D79" s="211"/>
      <c r="E79" s="211"/>
      <c r="F79" s="211"/>
    </row>
    <row r="80" spans="2:6" ht="13.5" customHeight="1" x14ac:dyDescent="0.25">
      <c r="B80" s="211"/>
      <c r="C80" s="211"/>
      <c r="D80" s="211"/>
      <c r="E80" s="211"/>
      <c r="F80" s="211"/>
    </row>
    <row r="81" spans="2:6" ht="13.5" customHeight="1" x14ac:dyDescent="0.25">
      <c r="B81" s="211"/>
      <c r="C81" s="211"/>
      <c r="D81" s="211"/>
      <c r="E81" s="211"/>
      <c r="F81" s="211"/>
    </row>
    <row r="82" spans="2:6" ht="13.5" customHeight="1" x14ac:dyDescent="0.25">
      <c r="B82" s="211"/>
      <c r="C82" s="211"/>
      <c r="D82" s="211"/>
      <c r="E82" s="211"/>
      <c r="F82" s="211"/>
    </row>
    <row r="83" spans="2:6" ht="13.5" customHeight="1" x14ac:dyDescent="0.25">
      <c r="B83" s="211"/>
      <c r="C83" s="211"/>
      <c r="D83" s="211"/>
      <c r="E83" s="211"/>
      <c r="F83" s="211"/>
    </row>
    <row r="84" spans="2:6" ht="13.5" customHeight="1" x14ac:dyDescent="0.25">
      <c r="B84" s="211"/>
      <c r="C84" s="211"/>
      <c r="D84" s="211"/>
      <c r="E84" s="211"/>
      <c r="F84" s="211"/>
    </row>
    <row r="85" spans="2:6" ht="13.5" customHeight="1" x14ac:dyDescent="0.25">
      <c r="B85" s="211"/>
      <c r="C85" s="211"/>
      <c r="D85" s="211"/>
      <c r="E85" s="211"/>
      <c r="F85" s="211"/>
    </row>
    <row r="86" spans="2:6" ht="13.5" customHeight="1" x14ac:dyDescent="0.25">
      <c r="B86" s="211"/>
      <c r="C86" s="211"/>
      <c r="D86" s="211"/>
      <c r="E86" s="211"/>
      <c r="F86" s="211"/>
    </row>
    <row r="87" spans="2:6" ht="9" customHeight="1" x14ac:dyDescent="0.25">
      <c r="B87" s="211"/>
      <c r="C87" s="211"/>
      <c r="D87" s="211"/>
      <c r="E87" s="211"/>
      <c r="F87" s="211"/>
    </row>
    <row r="88" spans="2:6" ht="13.5" customHeight="1" x14ac:dyDescent="0.25">
      <c r="B88" s="211"/>
      <c r="C88" s="211"/>
      <c r="D88" s="211"/>
      <c r="E88" s="211"/>
      <c r="F88" s="211"/>
    </row>
    <row r="89" spans="2:6" ht="13.5" customHeight="1" x14ac:dyDescent="0.25">
      <c r="B89" s="211"/>
      <c r="C89" s="211"/>
      <c r="D89" s="211"/>
      <c r="E89" s="211"/>
      <c r="F89" s="211"/>
    </row>
    <row r="90" spans="2:6" ht="13.5" customHeight="1" x14ac:dyDescent="0.25">
      <c r="B90" s="211"/>
      <c r="C90" s="211"/>
      <c r="D90" s="211"/>
      <c r="E90" s="211"/>
      <c r="F90" s="211"/>
    </row>
    <row r="91" spans="2:6" ht="13.5" customHeight="1" x14ac:dyDescent="0.25">
      <c r="B91" s="211"/>
      <c r="C91" s="211"/>
      <c r="D91" s="211"/>
      <c r="E91" s="211"/>
      <c r="F91" s="211"/>
    </row>
    <row r="92" spans="2:6" ht="13.5" customHeight="1" x14ac:dyDescent="0.25">
      <c r="B92" s="211"/>
      <c r="C92" s="211"/>
      <c r="D92" s="211"/>
      <c r="E92" s="211"/>
      <c r="F92" s="211"/>
    </row>
    <row r="93" spans="2:6" ht="13.5" customHeight="1" x14ac:dyDescent="0.25">
      <c r="B93" s="211"/>
      <c r="C93" s="211"/>
      <c r="D93" s="211"/>
      <c r="E93" s="211"/>
      <c r="F93" s="211"/>
    </row>
    <row r="94" spans="2:6" ht="13.5" customHeight="1" x14ac:dyDescent="0.25">
      <c r="B94" s="211"/>
      <c r="C94" s="211"/>
      <c r="D94" s="211"/>
      <c r="E94" s="211"/>
      <c r="F94" s="211"/>
    </row>
    <row r="95" spans="2:6" ht="13.5" customHeight="1" x14ac:dyDescent="0.25">
      <c r="B95" s="211"/>
      <c r="C95" s="211"/>
      <c r="D95" s="211"/>
      <c r="E95" s="211"/>
      <c r="F95" s="211"/>
    </row>
    <row r="96" spans="2:6" ht="13.5" customHeight="1" x14ac:dyDescent="0.25">
      <c r="B96" s="211"/>
      <c r="C96" s="211"/>
      <c r="D96" s="211"/>
      <c r="E96" s="211"/>
      <c r="F96" s="211"/>
    </row>
    <row r="97" spans="2:6" ht="13.5" customHeight="1" x14ac:dyDescent="0.25">
      <c r="B97" s="211"/>
      <c r="C97" s="211"/>
      <c r="D97" s="211"/>
      <c r="E97" s="211"/>
      <c r="F97" s="211"/>
    </row>
    <row r="98" spans="2:6" ht="13.5" customHeight="1" x14ac:dyDescent="0.25">
      <c r="B98" s="211"/>
      <c r="C98" s="211"/>
      <c r="D98" s="211"/>
      <c r="E98" s="211"/>
      <c r="F98" s="211"/>
    </row>
    <row r="99" spans="2:6" ht="13.5" customHeight="1" x14ac:dyDescent="0.25">
      <c r="B99" s="211"/>
      <c r="C99" s="211"/>
      <c r="D99" s="211"/>
      <c r="E99" s="211"/>
      <c r="F99" s="211"/>
    </row>
    <row r="100" spans="2:6" ht="9" customHeight="1" x14ac:dyDescent="0.25">
      <c r="B100" s="211"/>
      <c r="C100" s="211"/>
      <c r="D100" s="211"/>
      <c r="E100" s="211"/>
      <c r="F100" s="211"/>
    </row>
    <row r="101" spans="2:6" ht="13.5" customHeight="1" x14ac:dyDescent="0.25">
      <c r="B101" s="211"/>
      <c r="C101" s="211"/>
      <c r="D101" s="211"/>
      <c r="E101" s="211"/>
      <c r="F101" s="211"/>
    </row>
    <row r="102" spans="2:6" ht="13.5" customHeight="1" x14ac:dyDescent="0.25">
      <c r="B102" s="211"/>
      <c r="C102" s="211"/>
      <c r="D102" s="211"/>
      <c r="E102" s="211"/>
      <c r="F102" s="211"/>
    </row>
    <row r="103" spans="2:6" ht="13.5" customHeight="1" x14ac:dyDescent="0.25">
      <c r="B103" s="211"/>
      <c r="C103" s="211"/>
      <c r="D103" s="211"/>
      <c r="E103" s="211"/>
      <c r="F103" s="211"/>
    </row>
    <row r="104" spans="2:6" ht="13.5" customHeight="1" x14ac:dyDescent="0.25">
      <c r="B104" s="211"/>
      <c r="C104" s="211"/>
      <c r="D104" s="211"/>
      <c r="E104" s="211"/>
      <c r="F104" s="211"/>
    </row>
    <row r="105" spans="2:6" ht="13.5" customHeight="1" x14ac:dyDescent="0.25">
      <c r="B105" s="211"/>
      <c r="C105" s="211"/>
      <c r="D105" s="211"/>
      <c r="E105" s="211"/>
      <c r="F105" s="211"/>
    </row>
    <row r="106" spans="2:6" ht="13.5" customHeight="1" x14ac:dyDescent="0.25">
      <c r="B106" s="211"/>
      <c r="C106" s="211"/>
      <c r="D106" s="211"/>
      <c r="E106" s="211"/>
      <c r="F106" s="211"/>
    </row>
    <row r="107" spans="2:6" ht="13.5" customHeight="1" x14ac:dyDescent="0.25">
      <c r="B107" s="211"/>
      <c r="C107" s="211"/>
      <c r="D107" s="211"/>
      <c r="E107" s="211"/>
      <c r="F107" s="211"/>
    </row>
    <row r="108" spans="2:6" ht="13.5" customHeight="1" x14ac:dyDescent="0.25">
      <c r="B108" s="211"/>
      <c r="C108" s="211"/>
      <c r="D108" s="211"/>
      <c r="E108" s="211"/>
      <c r="F108" s="211"/>
    </row>
    <row r="109" spans="2:6" ht="13.5" customHeight="1" x14ac:dyDescent="0.25">
      <c r="B109" s="211"/>
      <c r="C109" s="211"/>
      <c r="D109" s="211"/>
      <c r="E109" s="211"/>
      <c r="F109" s="211"/>
    </row>
    <row r="110" spans="2:6" ht="13.5" customHeight="1" x14ac:dyDescent="0.25">
      <c r="B110" s="211"/>
      <c r="C110" s="211"/>
      <c r="D110" s="211"/>
      <c r="E110" s="211"/>
      <c r="F110" s="211"/>
    </row>
    <row r="111" spans="2:6" ht="13.5" customHeight="1" x14ac:dyDescent="0.25">
      <c r="B111" s="211"/>
      <c r="C111" s="211"/>
      <c r="D111" s="211"/>
      <c r="E111" s="211"/>
      <c r="F111" s="211"/>
    </row>
    <row r="112" spans="2:6" ht="13.5" customHeight="1" x14ac:dyDescent="0.25">
      <c r="B112" s="211"/>
      <c r="C112" s="211"/>
      <c r="D112" s="211"/>
      <c r="E112" s="211"/>
      <c r="F112" s="211"/>
    </row>
    <row r="113" spans="2:6" ht="13.5" customHeight="1" x14ac:dyDescent="0.25">
      <c r="B113" s="211"/>
      <c r="C113" s="211"/>
      <c r="D113" s="211"/>
      <c r="E113" s="211"/>
      <c r="F113" s="211"/>
    </row>
    <row r="114" spans="2:6" ht="13.5" customHeight="1" x14ac:dyDescent="0.25">
      <c r="B114" s="211"/>
      <c r="C114" s="211"/>
      <c r="D114" s="211"/>
      <c r="E114" s="211"/>
      <c r="F114" s="211"/>
    </row>
    <row r="115" spans="2:6" ht="13.5" customHeight="1" x14ac:dyDescent="0.25">
      <c r="B115" s="211"/>
      <c r="C115" s="211"/>
      <c r="D115" s="211"/>
      <c r="E115" s="211"/>
      <c r="F115" s="211"/>
    </row>
    <row r="116" spans="2:6" ht="13.5" customHeight="1" x14ac:dyDescent="0.25">
      <c r="B116" s="211"/>
      <c r="C116" s="211"/>
      <c r="D116" s="211"/>
      <c r="E116" s="211"/>
      <c r="F116" s="211"/>
    </row>
    <row r="117" spans="2:6" ht="13.5" customHeight="1" x14ac:dyDescent="0.25">
      <c r="B117" s="211"/>
      <c r="C117" s="211"/>
      <c r="D117" s="211"/>
      <c r="E117" s="211"/>
      <c r="F117" s="211"/>
    </row>
    <row r="118" spans="2:6" ht="13.5" customHeight="1" x14ac:dyDescent="0.25">
      <c r="B118" s="211"/>
      <c r="C118" s="211"/>
      <c r="D118" s="211"/>
      <c r="E118" s="211"/>
      <c r="F118" s="211"/>
    </row>
    <row r="119" spans="2:6" ht="13.5" customHeight="1" x14ac:dyDescent="0.25">
      <c r="B119" s="211"/>
      <c r="C119" s="211"/>
      <c r="D119" s="211"/>
      <c r="E119" s="211"/>
      <c r="F119" s="211"/>
    </row>
    <row r="120" spans="2:6" ht="13.5" customHeight="1" x14ac:dyDescent="0.25">
      <c r="B120" s="211"/>
      <c r="C120" s="211"/>
      <c r="D120" s="211"/>
      <c r="E120" s="211"/>
      <c r="F120" s="211"/>
    </row>
    <row r="121" spans="2:6" ht="13.5" customHeight="1" x14ac:dyDescent="0.25">
      <c r="B121" s="211"/>
      <c r="C121" s="211"/>
      <c r="D121" s="211"/>
      <c r="E121" s="211"/>
      <c r="F121" s="211"/>
    </row>
    <row r="122" spans="2:6" ht="13.5" customHeight="1" x14ac:dyDescent="0.25">
      <c r="B122" s="211"/>
      <c r="C122" s="211"/>
      <c r="D122" s="211"/>
      <c r="E122" s="211"/>
      <c r="F122" s="211"/>
    </row>
    <row r="123" spans="2:6" ht="13.5" customHeight="1" x14ac:dyDescent="0.25">
      <c r="B123" s="211"/>
      <c r="C123" s="211"/>
      <c r="D123" s="211"/>
      <c r="E123" s="211"/>
      <c r="F123" s="211"/>
    </row>
  </sheetData>
  <mergeCells count="1">
    <mergeCell ref="A1:F1"/>
  </mergeCells>
  <phoneticPr fontId="4" type="noConversion"/>
  <pageMargins left="0.75" right="0.75" top="1" bottom="1" header="0.5" footer="0.5"/>
  <pageSetup paperSize="9" scale="7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E0341-8093-4E3F-8F08-60AD6A01A361}">
  <dimension ref="A1:O88"/>
  <sheetViews>
    <sheetView view="pageBreakPreview" zoomScale="85" zoomScaleNormal="100" zoomScaleSheetLayoutView="85" workbookViewId="0">
      <selection activeCell="G2" sqref="G2"/>
    </sheetView>
  </sheetViews>
  <sheetFormatPr defaultRowHeight="13.5" x14ac:dyDescent="0.25"/>
  <cols>
    <col min="1" max="1" width="9.5" style="214" customWidth="1"/>
    <col min="2" max="2" width="17" style="214" customWidth="1"/>
    <col min="3" max="3" width="13.875" style="214" customWidth="1"/>
    <col min="4" max="4" width="13.125" style="214" customWidth="1"/>
    <col min="5" max="7" width="9.75" style="214" customWidth="1"/>
    <col min="8" max="8" width="11.625" style="211" customWidth="1"/>
    <col min="9" max="9" width="1.625" style="214" customWidth="1"/>
    <col min="10" max="10" width="9" style="214"/>
    <col min="11" max="11" width="14.875" style="214" customWidth="1"/>
    <col min="12" max="12" width="14.5" style="214" customWidth="1"/>
    <col min="13" max="13" width="14.875" style="214" customWidth="1"/>
    <col min="14" max="14" width="15.375" style="214" customWidth="1"/>
    <col min="15" max="15" width="17.25" style="214" customWidth="1"/>
    <col min="16" max="16" width="9" style="214"/>
    <col min="17" max="17" width="12.25" style="214" customWidth="1"/>
    <col min="18" max="18" width="13" style="214" customWidth="1"/>
    <col min="19" max="257" width="9" style="214"/>
    <col min="258" max="258" width="9.5" style="214" customWidth="1"/>
    <col min="259" max="264" width="11.625" style="214" customWidth="1"/>
    <col min="265" max="265" width="1.625" style="214" customWidth="1"/>
    <col min="266" max="513" width="9" style="214"/>
    <col min="514" max="514" width="9.5" style="214" customWidth="1"/>
    <col min="515" max="520" width="11.625" style="214" customWidth="1"/>
    <col min="521" max="521" width="1.625" style="214" customWidth="1"/>
    <col min="522" max="769" width="9" style="214"/>
    <col min="770" max="770" width="9.5" style="214" customWidth="1"/>
    <col min="771" max="776" width="11.625" style="214" customWidth="1"/>
    <col min="777" max="777" width="1.625" style="214" customWidth="1"/>
    <col min="778" max="1025" width="9" style="214"/>
    <col min="1026" max="1026" width="9.5" style="214" customWidth="1"/>
    <col min="1027" max="1032" width="11.625" style="214" customWidth="1"/>
    <col min="1033" max="1033" width="1.625" style="214" customWidth="1"/>
    <col min="1034" max="1281" width="9" style="214"/>
    <col min="1282" max="1282" width="9.5" style="214" customWidth="1"/>
    <col min="1283" max="1288" width="11.625" style="214" customWidth="1"/>
    <col min="1289" max="1289" width="1.625" style="214" customWidth="1"/>
    <col min="1290" max="1537" width="9" style="214"/>
    <col min="1538" max="1538" width="9.5" style="214" customWidth="1"/>
    <col min="1539" max="1544" width="11.625" style="214" customWidth="1"/>
    <col min="1545" max="1545" width="1.625" style="214" customWidth="1"/>
    <col min="1546" max="1793" width="9" style="214"/>
    <col min="1794" max="1794" width="9.5" style="214" customWidth="1"/>
    <col min="1795" max="1800" width="11.625" style="214" customWidth="1"/>
    <col min="1801" max="1801" width="1.625" style="214" customWidth="1"/>
    <col min="1802" max="2049" width="9" style="214"/>
    <col min="2050" max="2050" width="9.5" style="214" customWidth="1"/>
    <col min="2051" max="2056" width="11.625" style="214" customWidth="1"/>
    <col min="2057" max="2057" width="1.625" style="214" customWidth="1"/>
    <col min="2058" max="2305" width="9" style="214"/>
    <col min="2306" max="2306" width="9.5" style="214" customWidth="1"/>
    <col min="2307" max="2312" width="11.625" style="214" customWidth="1"/>
    <col min="2313" max="2313" width="1.625" style="214" customWidth="1"/>
    <col min="2314" max="2561" width="9" style="214"/>
    <col min="2562" max="2562" width="9.5" style="214" customWidth="1"/>
    <col min="2563" max="2568" width="11.625" style="214" customWidth="1"/>
    <col min="2569" max="2569" width="1.625" style="214" customWidth="1"/>
    <col min="2570" max="2817" width="9" style="214"/>
    <col min="2818" max="2818" width="9.5" style="214" customWidth="1"/>
    <col min="2819" max="2824" width="11.625" style="214" customWidth="1"/>
    <col min="2825" max="2825" width="1.625" style="214" customWidth="1"/>
    <col min="2826" max="3073" width="9" style="214"/>
    <col min="3074" max="3074" width="9.5" style="214" customWidth="1"/>
    <col min="3075" max="3080" width="11.625" style="214" customWidth="1"/>
    <col min="3081" max="3081" width="1.625" style="214" customWidth="1"/>
    <col min="3082" max="3329" width="9" style="214"/>
    <col min="3330" max="3330" width="9.5" style="214" customWidth="1"/>
    <col min="3331" max="3336" width="11.625" style="214" customWidth="1"/>
    <col min="3337" max="3337" width="1.625" style="214" customWidth="1"/>
    <col min="3338" max="3585" width="9" style="214"/>
    <col min="3586" max="3586" width="9.5" style="214" customWidth="1"/>
    <col min="3587" max="3592" width="11.625" style="214" customWidth="1"/>
    <col min="3593" max="3593" width="1.625" style="214" customWidth="1"/>
    <col min="3594" max="3841" width="9" style="214"/>
    <col min="3842" max="3842" width="9.5" style="214" customWidth="1"/>
    <col min="3843" max="3848" width="11.625" style="214" customWidth="1"/>
    <col min="3849" max="3849" width="1.625" style="214" customWidth="1"/>
    <col min="3850" max="4097" width="9" style="214"/>
    <col min="4098" max="4098" width="9.5" style="214" customWidth="1"/>
    <col min="4099" max="4104" width="11.625" style="214" customWidth="1"/>
    <col min="4105" max="4105" width="1.625" style="214" customWidth="1"/>
    <col min="4106" max="4353" width="9" style="214"/>
    <col min="4354" max="4354" width="9.5" style="214" customWidth="1"/>
    <col min="4355" max="4360" width="11.625" style="214" customWidth="1"/>
    <col min="4361" max="4361" width="1.625" style="214" customWidth="1"/>
    <col min="4362" max="4609" width="9" style="214"/>
    <col min="4610" max="4610" width="9.5" style="214" customWidth="1"/>
    <col min="4611" max="4616" width="11.625" style="214" customWidth="1"/>
    <col min="4617" max="4617" width="1.625" style="214" customWidth="1"/>
    <col min="4618" max="4865" width="9" style="214"/>
    <col min="4866" max="4866" width="9.5" style="214" customWidth="1"/>
    <col min="4867" max="4872" width="11.625" style="214" customWidth="1"/>
    <col min="4873" max="4873" width="1.625" style="214" customWidth="1"/>
    <col min="4874" max="5121" width="9" style="214"/>
    <col min="5122" max="5122" width="9.5" style="214" customWidth="1"/>
    <col min="5123" max="5128" width="11.625" style="214" customWidth="1"/>
    <col min="5129" max="5129" width="1.625" style="214" customWidth="1"/>
    <col min="5130" max="5377" width="9" style="214"/>
    <col min="5378" max="5378" width="9.5" style="214" customWidth="1"/>
    <col min="5379" max="5384" width="11.625" style="214" customWidth="1"/>
    <col min="5385" max="5385" width="1.625" style="214" customWidth="1"/>
    <col min="5386" max="5633" width="9" style="214"/>
    <col min="5634" max="5634" width="9.5" style="214" customWidth="1"/>
    <col min="5635" max="5640" width="11.625" style="214" customWidth="1"/>
    <col min="5641" max="5641" width="1.625" style="214" customWidth="1"/>
    <col min="5642" max="5889" width="9" style="214"/>
    <col min="5890" max="5890" width="9.5" style="214" customWidth="1"/>
    <col min="5891" max="5896" width="11.625" style="214" customWidth="1"/>
    <col min="5897" max="5897" width="1.625" style="214" customWidth="1"/>
    <col min="5898" max="6145" width="9" style="214"/>
    <col min="6146" max="6146" width="9.5" style="214" customWidth="1"/>
    <col min="6147" max="6152" width="11.625" style="214" customWidth="1"/>
    <col min="6153" max="6153" width="1.625" style="214" customWidth="1"/>
    <col min="6154" max="6401" width="9" style="214"/>
    <col min="6402" max="6402" width="9.5" style="214" customWidth="1"/>
    <col min="6403" max="6408" width="11.625" style="214" customWidth="1"/>
    <col min="6409" max="6409" width="1.625" style="214" customWidth="1"/>
    <col min="6410" max="6657" width="9" style="214"/>
    <col min="6658" max="6658" width="9.5" style="214" customWidth="1"/>
    <col min="6659" max="6664" width="11.625" style="214" customWidth="1"/>
    <col min="6665" max="6665" width="1.625" style="214" customWidth="1"/>
    <col min="6666" max="6913" width="9" style="214"/>
    <col min="6914" max="6914" width="9.5" style="214" customWidth="1"/>
    <col min="6915" max="6920" width="11.625" style="214" customWidth="1"/>
    <col min="6921" max="6921" width="1.625" style="214" customWidth="1"/>
    <col min="6922" max="7169" width="9" style="214"/>
    <col min="7170" max="7170" width="9.5" style="214" customWidth="1"/>
    <col min="7171" max="7176" width="11.625" style="214" customWidth="1"/>
    <col min="7177" max="7177" width="1.625" style="214" customWidth="1"/>
    <col min="7178" max="7425" width="9" style="214"/>
    <col min="7426" max="7426" width="9.5" style="214" customWidth="1"/>
    <col min="7427" max="7432" width="11.625" style="214" customWidth="1"/>
    <col min="7433" max="7433" width="1.625" style="214" customWidth="1"/>
    <col min="7434" max="7681" width="9" style="214"/>
    <col min="7682" max="7682" width="9.5" style="214" customWidth="1"/>
    <col min="7683" max="7688" width="11.625" style="214" customWidth="1"/>
    <col min="7689" max="7689" width="1.625" style="214" customWidth="1"/>
    <col min="7690" max="7937" width="9" style="214"/>
    <col min="7938" max="7938" width="9.5" style="214" customWidth="1"/>
    <col min="7939" max="7944" width="11.625" style="214" customWidth="1"/>
    <col min="7945" max="7945" width="1.625" style="214" customWidth="1"/>
    <col min="7946" max="8193" width="9" style="214"/>
    <col min="8194" max="8194" width="9.5" style="214" customWidth="1"/>
    <col min="8195" max="8200" width="11.625" style="214" customWidth="1"/>
    <col min="8201" max="8201" width="1.625" style="214" customWidth="1"/>
    <col min="8202" max="8449" width="9" style="214"/>
    <col min="8450" max="8450" width="9.5" style="214" customWidth="1"/>
    <col min="8451" max="8456" width="11.625" style="214" customWidth="1"/>
    <col min="8457" max="8457" width="1.625" style="214" customWidth="1"/>
    <col min="8458" max="8705" width="9" style="214"/>
    <col min="8706" max="8706" width="9.5" style="214" customWidth="1"/>
    <col min="8707" max="8712" width="11.625" style="214" customWidth="1"/>
    <col min="8713" max="8713" width="1.625" style="214" customWidth="1"/>
    <col min="8714" max="8961" width="9" style="214"/>
    <col min="8962" max="8962" width="9.5" style="214" customWidth="1"/>
    <col min="8963" max="8968" width="11.625" style="214" customWidth="1"/>
    <col min="8969" max="8969" width="1.625" style="214" customWidth="1"/>
    <col min="8970" max="9217" width="9" style="214"/>
    <col min="9218" max="9218" width="9.5" style="214" customWidth="1"/>
    <col min="9219" max="9224" width="11.625" style="214" customWidth="1"/>
    <col min="9225" max="9225" width="1.625" style="214" customWidth="1"/>
    <col min="9226" max="9473" width="9" style="214"/>
    <col min="9474" max="9474" width="9.5" style="214" customWidth="1"/>
    <col min="9475" max="9480" width="11.625" style="214" customWidth="1"/>
    <col min="9481" max="9481" width="1.625" style="214" customWidth="1"/>
    <col min="9482" max="9729" width="9" style="214"/>
    <col min="9730" max="9730" width="9.5" style="214" customWidth="1"/>
    <col min="9731" max="9736" width="11.625" style="214" customWidth="1"/>
    <col min="9737" max="9737" width="1.625" style="214" customWidth="1"/>
    <col min="9738" max="9985" width="9" style="214"/>
    <col min="9986" max="9986" width="9.5" style="214" customWidth="1"/>
    <col min="9987" max="9992" width="11.625" style="214" customWidth="1"/>
    <col min="9993" max="9993" width="1.625" style="214" customWidth="1"/>
    <col min="9994" max="10241" width="9" style="214"/>
    <col min="10242" max="10242" width="9.5" style="214" customWidth="1"/>
    <col min="10243" max="10248" width="11.625" style="214" customWidth="1"/>
    <col min="10249" max="10249" width="1.625" style="214" customWidth="1"/>
    <col min="10250" max="10497" width="9" style="214"/>
    <col min="10498" max="10498" width="9.5" style="214" customWidth="1"/>
    <col min="10499" max="10504" width="11.625" style="214" customWidth="1"/>
    <col min="10505" max="10505" width="1.625" style="214" customWidth="1"/>
    <col min="10506" max="10753" width="9" style="214"/>
    <col min="10754" max="10754" width="9.5" style="214" customWidth="1"/>
    <col min="10755" max="10760" width="11.625" style="214" customWidth="1"/>
    <col min="10761" max="10761" width="1.625" style="214" customWidth="1"/>
    <col min="10762" max="11009" width="9" style="214"/>
    <col min="11010" max="11010" width="9.5" style="214" customWidth="1"/>
    <col min="11011" max="11016" width="11.625" style="214" customWidth="1"/>
    <col min="11017" max="11017" width="1.625" style="214" customWidth="1"/>
    <col min="11018" max="11265" width="9" style="214"/>
    <col min="11266" max="11266" width="9.5" style="214" customWidth="1"/>
    <col min="11267" max="11272" width="11.625" style="214" customWidth="1"/>
    <col min="11273" max="11273" width="1.625" style="214" customWidth="1"/>
    <col min="11274" max="11521" width="9" style="214"/>
    <col min="11522" max="11522" width="9.5" style="214" customWidth="1"/>
    <col min="11523" max="11528" width="11.625" style="214" customWidth="1"/>
    <col min="11529" max="11529" width="1.625" style="214" customWidth="1"/>
    <col min="11530" max="11777" width="9" style="214"/>
    <col min="11778" max="11778" width="9.5" style="214" customWidth="1"/>
    <col min="11779" max="11784" width="11.625" style="214" customWidth="1"/>
    <col min="11785" max="11785" width="1.625" style="214" customWidth="1"/>
    <col min="11786" max="12033" width="9" style="214"/>
    <col min="12034" max="12034" width="9.5" style="214" customWidth="1"/>
    <col min="12035" max="12040" width="11.625" style="214" customWidth="1"/>
    <col min="12041" max="12041" width="1.625" style="214" customWidth="1"/>
    <col min="12042" max="12289" width="9" style="214"/>
    <col min="12290" max="12290" width="9.5" style="214" customWidth="1"/>
    <col min="12291" max="12296" width="11.625" style="214" customWidth="1"/>
    <col min="12297" max="12297" width="1.625" style="214" customWidth="1"/>
    <col min="12298" max="12545" width="9" style="214"/>
    <col min="12546" max="12546" width="9.5" style="214" customWidth="1"/>
    <col min="12547" max="12552" width="11.625" style="214" customWidth="1"/>
    <col min="12553" max="12553" width="1.625" style="214" customWidth="1"/>
    <col min="12554" max="12801" width="9" style="214"/>
    <col min="12802" max="12802" width="9.5" style="214" customWidth="1"/>
    <col min="12803" max="12808" width="11.625" style="214" customWidth="1"/>
    <col min="12809" max="12809" width="1.625" style="214" customWidth="1"/>
    <col min="12810" max="13057" width="9" style="214"/>
    <col min="13058" max="13058" width="9.5" style="214" customWidth="1"/>
    <col min="13059" max="13064" width="11.625" style="214" customWidth="1"/>
    <col min="13065" max="13065" width="1.625" style="214" customWidth="1"/>
    <col min="13066" max="13313" width="9" style="214"/>
    <col min="13314" max="13314" width="9.5" style="214" customWidth="1"/>
    <col min="13315" max="13320" width="11.625" style="214" customWidth="1"/>
    <col min="13321" max="13321" width="1.625" style="214" customWidth="1"/>
    <col min="13322" max="13569" width="9" style="214"/>
    <col min="13570" max="13570" width="9.5" style="214" customWidth="1"/>
    <col min="13571" max="13576" width="11.625" style="214" customWidth="1"/>
    <col min="13577" max="13577" width="1.625" style="214" customWidth="1"/>
    <col min="13578" max="13825" width="9" style="214"/>
    <col min="13826" max="13826" width="9.5" style="214" customWidth="1"/>
    <col min="13827" max="13832" width="11.625" style="214" customWidth="1"/>
    <col min="13833" max="13833" width="1.625" style="214" customWidth="1"/>
    <col min="13834" max="14081" width="9" style="214"/>
    <col min="14082" max="14082" width="9.5" style="214" customWidth="1"/>
    <col min="14083" max="14088" width="11.625" style="214" customWidth="1"/>
    <col min="14089" max="14089" width="1.625" style="214" customWidth="1"/>
    <col min="14090" max="14337" width="9" style="214"/>
    <col min="14338" max="14338" width="9.5" style="214" customWidth="1"/>
    <col min="14339" max="14344" width="11.625" style="214" customWidth="1"/>
    <col min="14345" max="14345" width="1.625" style="214" customWidth="1"/>
    <col min="14346" max="14593" width="9" style="214"/>
    <col min="14594" max="14594" width="9.5" style="214" customWidth="1"/>
    <col min="14595" max="14600" width="11.625" style="214" customWidth="1"/>
    <col min="14601" max="14601" width="1.625" style="214" customWidth="1"/>
    <col min="14602" max="14849" width="9" style="214"/>
    <col min="14850" max="14850" width="9.5" style="214" customWidth="1"/>
    <col min="14851" max="14856" width="11.625" style="214" customWidth="1"/>
    <col min="14857" max="14857" width="1.625" style="214" customWidth="1"/>
    <col min="14858" max="15105" width="9" style="214"/>
    <col min="15106" max="15106" width="9.5" style="214" customWidth="1"/>
    <col min="15107" max="15112" width="11.625" style="214" customWidth="1"/>
    <col min="15113" max="15113" width="1.625" style="214" customWidth="1"/>
    <col min="15114" max="15361" width="9" style="214"/>
    <col min="15362" max="15362" width="9.5" style="214" customWidth="1"/>
    <col min="15363" max="15368" width="11.625" style="214" customWidth="1"/>
    <col min="15369" max="15369" width="1.625" style="214" customWidth="1"/>
    <col min="15370" max="15617" width="9" style="214"/>
    <col min="15618" max="15618" width="9.5" style="214" customWidth="1"/>
    <col min="15619" max="15624" width="11.625" style="214" customWidth="1"/>
    <col min="15625" max="15625" width="1.625" style="214" customWidth="1"/>
    <col min="15626" max="15873" width="9" style="214"/>
    <col min="15874" max="15874" width="9.5" style="214" customWidth="1"/>
    <col min="15875" max="15880" width="11.625" style="214" customWidth="1"/>
    <col min="15881" max="15881" width="1.625" style="214" customWidth="1"/>
    <col min="15882" max="16129" width="9" style="214"/>
    <col min="16130" max="16130" width="9.5" style="214" customWidth="1"/>
    <col min="16131" max="16136" width="11.625" style="214" customWidth="1"/>
    <col min="16137" max="16137" width="1.625" style="214" customWidth="1"/>
    <col min="16138" max="16384" width="9" style="214"/>
  </cols>
  <sheetData>
    <row r="1" spans="1:12" s="226" customFormat="1" ht="14.45" customHeight="1" x14ac:dyDescent="0.3">
      <c r="A1" s="453" t="s">
        <v>318</v>
      </c>
      <c r="B1" s="453"/>
      <c r="C1" s="453"/>
      <c r="D1" s="453"/>
      <c r="E1" s="453"/>
      <c r="F1" s="453"/>
      <c r="G1" s="453"/>
      <c r="H1" s="453"/>
    </row>
    <row r="2" spans="1:12" s="226" customFormat="1" ht="12" customHeight="1" x14ac:dyDescent="0.3">
      <c r="A2" s="130" t="s">
        <v>206</v>
      </c>
      <c r="B2" s="227"/>
      <c r="C2" s="227"/>
      <c r="D2" s="227"/>
      <c r="E2" s="227"/>
      <c r="F2" s="227"/>
      <c r="G2" s="227"/>
      <c r="H2" s="131" t="s">
        <v>319</v>
      </c>
    </row>
    <row r="3" spans="1:12" ht="14.25" customHeight="1" x14ac:dyDescent="0.3">
      <c r="A3" s="426" t="s">
        <v>221</v>
      </c>
      <c r="B3" s="460" t="s">
        <v>320</v>
      </c>
      <c r="C3" s="229"/>
      <c r="D3" s="229"/>
      <c r="E3" s="229"/>
      <c r="F3" s="229"/>
      <c r="G3" s="229"/>
      <c r="H3" s="311"/>
    </row>
    <row r="4" spans="1:12" ht="13.5" customHeight="1" x14ac:dyDescent="0.3">
      <c r="A4" s="427"/>
      <c r="B4" s="434"/>
      <c r="C4" s="460" t="s">
        <v>321</v>
      </c>
      <c r="D4" s="460" t="s">
        <v>322</v>
      </c>
      <c r="E4" s="465"/>
      <c r="F4" s="465"/>
      <c r="G4" s="465"/>
      <c r="H4" s="430"/>
    </row>
    <row r="5" spans="1:12" ht="16.5" customHeight="1" x14ac:dyDescent="0.3">
      <c r="A5" s="164"/>
      <c r="B5" s="461"/>
      <c r="C5" s="461"/>
      <c r="D5" s="461"/>
      <c r="E5" s="232" t="s">
        <v>323</v>
      </c>
      <c r="F5" s="233" t="s">
        <v>324</v>
      </c>
      <c r="G5" s="232" t="s">
        <v>325</v>
      </c>
      <c r="H5" s="312" t="s">
        <v>326</v>
      </c>
    </row>
    <row r="6" spans="1:12" s="144" customFormat="1" ht="14.1" customHeight="1" x14ac:dyDescent="0.3">
      <c r="A6" s="172"/>
      <c r="B6" s="306"/>
      <c r="C6" s="306"/>
      <c r="D6" s="306"/>
      <c r="E6" s="306"/>
      <c r="F6" s="306"/>
      <c r="G6" s="306"/>
      <c r="H6" s="306"/>
      <c r="L6" s="313"/>
    </row>
    <row r="7" spans="1:12" s="144" customFormat="1" ht="14.1" customHeight="1" x14ac:dyDescent="0.3">
      <c r="A7" s="171">
        <v>40909</v>
      </c>
      <c r="B7" s="206">
        <v>29362726</v>
      </c>
      <c r="C7" s="206">
        <v>1415435</v>
      </c>
      <c r="D7" s="206">
        <f>SUM(E7:H7)</f>
        <v>27947275</v>
      </c>
      <c r="E7" s="206">
        <v>3812795</v>
      </c>
      <c r="F7" s="206">
        <v>77375</v>
      </c>
      <c r="G7" s="206">
        <v>20414</v>
      </c>
      <c r="H7" s="206">
        <v>24036691</v>
      </c>
      <c r="L7" s="313"/>
    </row>
    <row r="8" spans="1:12" s="144" customFormat="1" ht="14.1" customHeight="1" x14ac:dyDescent="0.3">
      <c r="A8" s="171">
        <f>DATE(YEAR(A7)+1,MONTH(A7),1)</f>
        <v>41275</v>
      </c>
      <c r="B8" s="206">
        <v>29992967</v>
      </c>
      <c r="C8" s="206">
        <v>1445228</v>
      </c>
      <c r="D8" s="206">
        <f t="shared" ref="D8:D27" si="0">SUM(E8:H8)</f>
        <v>28547727</v>
      </c>
      <c r="E8" s="206">
        <v>4092144</v>
      </c>
      <c r="F8" s="206">
        <v>80826</v>
      </c>
      <c r="G8" s="206">
        <v>20044</v>
      </c>
      <c r="H8" s="206">
        <v>24354713</v>
      </c>
      <c r="L8" s="313"/>
    </row>
    <row r="9" spans="1:12" s="144" customFormat="1" ht="14.1" customHeight="1" x14ac:dyDescent="0.3">
      <c r="A9" s="171">
        <f t="shared" ref="A9:A20" si="1">DATE(YEAR(A8)+1,MONTH(A8),1)</f>
        <v>41640</v>
      </c>
      <c r="B9" s="206">
        <v>30115123.763999999</v>
      </c>
      <c r="C9" s="206">
        <v>1419552.2150000001</v>
      </c>
      <c r="D9" s="206">
        <f t="shared" si="0"/>
        <v>28695571.548999999</v>
      </c>
      <c r="E9" s="206">
        <v>3812092.4369999999</v>
      </c>
      <c r="F9" s="206">
        <v>79595.86</v>
      </c>
      <c r="G9" s="206">
        <v>19389.009999999998</v>
      </c>
      <c r="H9" s="206">
        <v>24784494.241999999</v>
      </c>
      <c r="L9" s="313"/>
    </row>
    <row r="10" spans="1:12" s="144" customFormat="1" ht="14.1" customHeight="1" x14ac:dyDescent="0.3">
      <c r="A10" s="171">
        <f t="shared" si="1"/>
        <v>42005</v>
      </c>
      <c r="B10" s="206">
        <v>30286139.754999999</v>
      </c>
      <c r="C10" s="206">
        <v>1450240.808</v>
      </c>
      <c r="D10" s="206">
        <f t="shared" si="0"/>
        <v>28835898.947000001</v>
      </c>
      <c r="E10" s="206">
        <v>3928437.787</v>
      </c>
      <c r="F10" s="206">
        <v>74015.304000000004</v>
      </c>
      <c r="G10" s="206">
        <v>20660.608</v>
      </c>
      <c r="H10" s="206">
        <v>24812785.248</v>
      </c>
      <c r="L10" s="313"/>
    </row>
    <row r="11" spans="1:12" s="144" customFormat="1" ht="14.1" customHeight="1" x14ac:dyDescent="0.3">
      <c r="A11" s="171">
        <f t="shared" si="1"/>
        <v>42370</v>
      </c>
      <c r="B11" s="206">
        <v>32095216.598000001</v>
      </c>
      <c r="C11" s="206">
        <v>1488488.942</v>
      </c>
      <c r="D11" s="206">
        <f t="shared" si="0"/>
        <v>30606727.655999999</v>
      </c>
      <c r="E11" s="206">
        <v>4293295.6129999999</v>
      </c>
      <c r="F11" s="206">
        <v>76078.528999999995</v>
      </c>
      <c r="G11" s="206">
        <v>21516.296999999999</v>
      </c>
      <c r="H11" s="206">
        <v>26215837.217</v>
      </c>
      <c r="L11" s="313"/>
    </row>
    <row r="12" spans="1:12" s="144" customFormat="1" ht="14.1" customHeight="1" x14ac:dyDescent="0.3">
      <c r="A12" s="171">
        <f t="shared" si="1"/>
        <v>42736</v>
      </c>
      <c r="B12" s="206">
        <v>31609849.693</v>
      </c>
      <c r="C12" s="206">
        <v>1487142.8910000001</v>
      </c>
      <c r="D12" s="206">
        <f t="shared" si="0"/>
        <v>30122706.801999997</v>
      </c>
      <c r="E12" s="206">
        <v>4139250.6439999999</v>
      </c>
      <c r="F12" s="206">
        <v>80220.861000000004</v>
      </c>
      <c r="G12" s="206">
        <v>20103.397000000001</v>
      </c>
      <c r="H12" s="206">
        <v>25883131.899999999</v>
      </c>
      <c r="L12" s="313"/>
    </row>
    <row r="13" spans="1:12" s="144" customFormat="1" ht="14.1" customHeight="1" x14ac:dyDescent="0.3">
      <c r="A13" s="171">
        <f t="shared" si="1"/>
        <v>43101</v>
      </c>
      <c r="B13" s="206">
        <v>33748169.232000001</v>
      </c>
      <c r="C13" s="206">
        <v>1552258.5789999999</v>
      </c>
      <c r="D13" s="206">
        <f t="shared" si="0"/>
        <v>32195910.652999997</v>
      </c>
      <c r="E13" s="206">
        <v>4285255.1880000001</v>
      </c>
      <c r="F13" s="206">
        <v>83071.186000000002</v>
      </c>
      <c r="G13" s="206">
        <v>16310.221</v>
      </c>
      <c r="H13" s="206">
        <v>27811274.057999998</v>
      </c>
      <c r="L13" s="313"/>
    </row>
    <row r="14" spans="1:12" s="144" customFormat="1" ht="14.1" customHeight="1" x14ac:dyDescent="0.3">
      <c r="A14" s="171">
        <f t="shared" si="1"/>
        <v>43466</v>
      </c>
      <c r="B14" s="206">
        <v>34138998.538000003</v>
      </c>
      <c r="C14" s="206">
        <v>1546257.1029999999</v>
      </c>
      <c r="D14" s="206">
        <f t="shared" si="0"/>
        <v>32592741.435000002</v>
      </c>
      <c r="E14" s="206">
        <v>4055987.9040000001</v>
      </c>
      <c r="F14" s="206">
        <v>80392.274000000005</v>
      </c>
      <c r="G14" s="206">
        <v>13075.799000000001</v>
      </c>
      <c r="H14" s="206">
        <v>28443285.458000001</v>
      </c>
      <c r="L14" s="313"/>
    </row>
    <row r="15" spans="1:12" ht="14.1" customHeight="1" x14ac:dyDescent="0.3">
      <c r="A15" s="171">
        <f t="shared" si="1"/>
        <v>43831</v>
      </c>
      <c r="B15" s="206">
        <v>33157834.460000001</v>
      </c>
      <c r="C15" s="206">
        <v>1611701.7279999999</v>
      </c>
      <c r="D15" s="206">
        <f t="shared" si="0"/>
        <v>31546132.732000001</v>
      </c>
      <c r="E15" s="206">
        <v>3882246.2570000002</v>
      </c>
      <c r="F15" s="206">
        <v>80505.332999999999</v>
      </c>
      <c r="G15" s="206">
        <v>14901.495999999999</v>
      </c>
      <c r="H15" s="206">
        <v>27568479.646000002</v>
      </c>
      <c r="K15" s="144"/>
      <c r="L15" s="313"/>
    </row>
    <row r="16" spans="1:12" ht="14.1" customHeight="1" x14ac:dyDescent="0.3">
      <c r="A16" s="171">
        <f t="shared" si="1"/>
        <v>44197</v>
      </c>
      <c r="B16" s="206">
        <v>33593122.987000003</v>
      </c>
      <c r="C16" s="206">
        <v>1638729.6740000001</v>
      </c>
      <c r="D16" s="206">
        <f t="shared" si="0"/>
        <v>31954393.313000001</v>
      </c>
      <c r="E16" s="206">
        <v>4017680.84</v>
      </c>
      <c r="F16" s="206">
        <v>90321.351999999999</v>
      </c>
      <c r="G16" s="206">
        <v>15116.934999999999</v>
      </c>
      <c r="H16" s="206">
        <v>27831274.186000001</v>
      </c>
      <c r="K16" s="144"/>
      <c r="L16" s="313"/>
    </row>
    <row r="17" spans="1:15" ht="14.1" customHeight="1" x14ac:dyDescent="0.3">
      <c r="A17" s="171">
        <f t="shared" si="1"/>
        <v>44562</v>
      </c>
      <c r="B17" s="206">
        <v>32919180.715999998</v>
      </c>
      <c r="C17" s="206">
        <v>1648160.6170000001</v>
      </c>
      <c r="D17" s="206">
        <f t="shared" si="0"/>
        <v>31271020.098999999</v>
      </c>
      <c r="E17" s="206">
        <v>4043108.4840000002</v>
      </c>
      <c r="F17" s="206">
        <v>92980.126000000004</v>
      </c>
      <c r="G17" s="206">
        <v>13921.323</v>
      </c>
      <c r="H17" s="206">
        <v>27121010.166000001</v>
      </c>
      <c r="K17" s="144"/>
      <c r="L17" s="313"/>
    </row>
    <row r="18" spans="1:15" ht="14.1" customHeight="1" x14ac:dyDescent="0.3">
      <c r="A18" s="171">
        <f t="shared" si="1"/>
        <v>44927</v>
      </c>
      <c r="B18" s="206">
        <v>31826126.695</v>
      </c>
      <c r="C18" s="206">
        <v>1655911.5090000001</v>
      </c>
      <c r="D18" s="206">
        <f t="shared" si="0"/>
        <v>30170215.186000001</v>
      </c>
      <c r="E18" s="206">
        <v>4057121.0249999999</v>
      </c>
      <c r="F18" s="206">
        <v>88936.842999999993</v>
      </c>
      <c r="G18" s="206">
        <v>12193.044</v>
      </c>
      <c r="H18" s="206">
        <v>26011964.274</v>
      </c>
      <c r="K18" s="144"/>
      <c r="L18" s="313"/>
    </row>
    <row r="19" spans="1:15" ht="14.1" customHeight="1" x14ac:dyDescent="0.3">
      <c r="A19" s="171">
        <f t="shared" si="1"/>
        <v>45292</v>
      </c>
      <c r="B19" s="206">
        <v>31919080.791999999</v>
      </c>
      <c r="C19" s="206">
        <v>1765790.6189999999</v>
      </c>
      <c r="D19" s="206">
        <f t="shared" si="0"/>
        <v>30153290.173</v>
      </c>
      <c r="E19" s="206">
        <v>4437338.0290000001</v>
      </c>
      <c r="F19" s="206">
        <v>91837.384000000005</v>
      </c>
      <c r="G19" s="206">
        <v>11714.976000000001</v>
      </c>
      <c r="H19" s="206">
        <v>25612399.784000002</v>
      </c>
      <c r="K19" s="144"/>
      <c r="L19" s="313"/>
    </row>
    <row r="20" spans="1:15" ht="14.1" customHeight="1" x14ac:dyDescent="0.3">
      <c r="A20" s="171">
        <f t="shared" si="1"/>
        <v>45658</v>
      </c>
      <c r="B20" s="206">
        <v>30098712.699999999</v>
      </c>
      <c r="C20" s="206">
        <v>1789594.9569999999</v>
      </c>
      <c r="D20" s="206">
        <f t="shared" si="0"/>
        <v>28309117.743000001</v>
      </c>
      <c r="E20" s="206">
        <v>4569456.3849999998</v>
      </c>
      <c r="F20" s="206">
        <v>91301.43</v>
      </c>
      <c r="G20" s="206">
        <v>10799.17</v>
      </c>
      <c r="H20" s="206">
        <v>23637560.758000001</v>
      </c>
      <c r="K20" s="144"/>
      <c r="L20" s="313"/>
    </row>
    <row r="21" spans="1:15" ht="14.1" customHeight="1" x14ac:dyDescent="0.25">
      <c r="A21" s="166"/>
      <c r="B21" s="306"/>
      <c r="C21" s="306"/>
      <c r="D21" s="306"/>
      <c r="E21" s="306"/>
      <c r="F21" s="306"/>
      <c r="G21" s="306"/>
      <c r="H21" s="306"/>
      <c r="K21" s="144"/>
    </row>
    <row r="22" spans="1:15" s="144" customFormat="1" ht="14.1" customHeight="1" x14ac:dyDescent="0.3">
      <c r="A22" s="175">
        <f>DATE(YEAR(표지!O1)-2,MONTH(표지!O1)-1,1)</f>
        <v>45352</v>
      </c>
      <c r="B22" s="206">
        <v>2644196.0070000002</v>
      </c>
      <c r="C22" s="206">
        <v>129879.697</v>
      </c>
      <c r="D22" s="206">
        <f t="shared" si="0"/>
        <v>2514316.31</v>
      </c>
      <c r="E22" s="206">
        <v>341553.201</v>
      </c>
      <c r="F22" s="206">
        <v>6964.3710000000001</v>
      </c>
      <c r="G22" s="206">
        <v>1005.426</v>
      </c>
      <c r="H22" s="206">
        <v>2164793.3119999999</v>
      </c>
      <c r="I22" s="314"/>
      <c r="K22" s="315"/>
      <c r="L22" s="193"/>
      <c r="M22" s="315"/>
      <c r="N22" s="315"/>
      <c r="O22" s="315"/>
    </row>
    <row r="23" spans="1:15" ht="14.1" customHeight="1" x14ac:dyDescent="0.3">
      <c r="A23" s="176">
        <f t="shared" ref="A23:A26" si="2">DATE(YEAR(A22),MONTH(A22)+1,1)</f>
        <v>45383</v>
      </c>
      <c r="B23" s="206">
        <v>2534292.6430000002</v>
      </c>
      <c r="C23" s="206">
        <v>130146.93700000001</v>
      </c>
      <c r="D23" s="206">
        <f t="shared" si="0"/>
        <v>2404145.7059999998</v>
      </c>
      <c r="E23" s="206">
        <v>335991.67300000001</v>
      </c>
      <c r="F23" s="206">
        <v>6574.549</v>
      </c>
      <c r="G23" s="206">
        <v>929.26700000000005</v>
      </c>
      <c r="H23" s="206">
        <v>2060650.2169999999</v>
      </c>
      <c r="K23" s="316"/>
      <c r="L23" s="317"/>
    </row>
    <row r="24" spans="1:15" ht="14.1" customHeight="1" x14ac:dyDescent="0.3">
      <c r="A24" s="176">
        <f t="shared" si="2"/>
        <v>45413</v>
      </c>
      <c r="B24" s="206">
        <v>2654905.2349999999</v>
      </c>
      <c r="C24" s="206">
        <v>121083.94</v>
      </c>
      <c r="D24" s="206">
        <f t="shared" si="0"/>
        <v>2533821.2949999999</v>
      </c>
      <c r="E24" s="206">
        <v>334043.891</v>
      </c>
      <c r="F24" s="206">
        <v>5701.0309999999999</v>
      </c>
      <c r="G24" s="206">
        <v>1026.06</v>
      </c>
      <c r="H24" s="206">
        <v>2193050.3130000001</v>
      </c>
      <c r="K24" s="316"/>
      <c r="L24" s="317"/>
    </row>
    <row r="25" spans="1:15" ht="14.1" customHeight="1" x14ac:dyDescent="0.3">
      <c r="A25" s="176">
        <f t="shared" si="2"/>
        <v>45444</v>
      </c>
      <c r="B25" s="206">
        <v>2589963.4890000001</v>
      </c>
      <c r="C25" s="206">
        <v>124467.166</v>
      </c>
      <c r="D25" s="206">
        <f t="shared" si="0"/>
        <v>2465496.3229999999</v>
      </c>
      <c r="E25" s="206">
        <v>344642.47100000002</v>
      </c>
      <c r="F25" s="206">
        <v>6436.2879999999996</v>
      </c>
      <c r="G25" s="206">
        <v>1007.039</v>
      </c>
      <c r="H25" s="206">
        <v>2113410.5249999999</v>
      </c>
      <c r="K25" s="316"/>
      <c r="L25" s="317"/>
    </row>
    <row r="26" spans="1:15" ht="14.1" customHeight="1" x14ac:dyDescent="0.3">
      <c r="A26" s="176">
        <f t="shared" si="2"/>
        <v>45474</v>
      </c>
      <c r="B26" s="206">
        <v>2835277.1179999998</v>
      </c>
      <c r="C26" s="206">
        <v>147499.49600000001</v>
      </c>
      <c r="D26" s="206">
        <f>SUM(E26:H26)</f>
        <v>2687777.622</v>
      </c>
      <c r="E26" s="206">
        <v>398583.43800000002</v>
      </c>
      <c r="F26" s="206">
        <v>7035.78</v>
      </c>
      <c r="G26" s="206">
        <v>1001.726</v>
      </c>
      <c r="H26" s="206">
        <v>2281156.6779999998</v>
      </c>
      <c r="K26" s="316"/>
      <c r="L26" s="317"/>
    </row>
    <row r="27" spans="1:15" ht="14.1" customHeight="1" x14ac:dyDescent="0.3">
      <c r="A27" s="176">
        <f>DATE(YEAR(A26),MONTH(A26)+1,1)</f>
        <v>45505</v>
      </c>
      <c r="B27" s="206">
        <v>2862344.929</v>
      </c>
      <c r="C27" s="206">
        <v>214872.766</v>
      </c>
      <c r="D27" s="206">
        <f t="shared" si="0"/>
        <v>2647472.1630000002</v>
      </c>
      <c r="E27" s="206">
        <v>456938.07799999998</v>
      </c>
      <c r="F27" s="206">
        <v>10402.173000000001</v>
      </c>
      <c r="G27" s="206">
        <v>976.24900000000002</v>
      </c>
      <c r="H27" s="206">
        <v>2179155.6630000002</v>
      </c>
      <c r="K27" s="316"/>
      <c r="L27" s="317"/>
    </row>
    <row r="28" spans="1:15" ht="14.1" customHeight="1" x14ac:dyDescent="0.3">
      <c r="A28" s="176">
        <f>DATE(YEAR(A27),MONTH(A27)+1,1)</f>
        <v>45536</v>
      </c>
      <c r="B28" s="206">
        <v>2782183.4160000002</v>
      </c>
      <c r="C28" s="206">
        <v>205550.45</v>
      </c>
      <c r="D28" s="206">
        <f>SUM(E28:H28)</f>
        <v>2576632.966</v>
      </c>
      <c r="E28" s="206">
        <v>412419.08100000001</v>
      </c>
      <c r="F28" s="206">
        <v>10428.727999999999</v>
      </c>
      <c r="G28" s="206">
        <v>864.58399999999995</v>
      </c>
      <c r="H28" s="206">
        <v>2152920.5729999999</v>
      </c>
      <c r="K28" s="316"/>
      <c r="L28" s="317"/>
    </row>
    <row r="29" spans="1:15" ht="14.1" customHeight="1" x14ac:dyDescent="0.3">
      <c r="A29" s="176">
        <f>DATE(YEAR(A28),MONTH(A28)+1,1)</f>
        <v>45566</v>
      </c>
      <c r="B29" s="206">
        <v>2787292.6639999999</v>
      </c>
      <c r="C29" s="206">
        <v>148987.58900000001</v>
      </c>
      <c r="D29" s="206">
        <f t="shared" ref="D29:D40" si="3">SUM(E29:H29)</f>
        <v>2638305.0749999997</v>
      </c>
      <c r="E29" s="206">
        <v>366379.96500000003</v>
      </c>
      <c r="F29" s="206">
        <v>7659.4210000000003</v>
      </c>
      <c r="G29" s="206">
        <v>1055.5650000000001</v>
      </c>
      <c r="H29" s="206">
        <v>2263210.1239999998</v>
      </c>
    </row>
    <row r="30" spans="1:15" ht="14.1" customHeight="1" x14ac:dyDescent="0.3">
      <c r="A30" s="176">
        <f>DATE(YEAR(A29),MONTH(A29)+1,1)</f>
        <v>45597</v>
      </c>
      <c r="B30" s="206">
        <v>2483059.4989999998</v>
      </c>
      <c r="C30" s="206">
        <v>127995.18</v>
      </c>
      <c r="D30" s="206">
        <f t="shared" si="3"/>
        <v>2355064.3190000001</v>
      </c>
      <c r="E30" s="206">
        <v>377129.99200000003</v>
      </c>
      <c r="F30" s="206">
        <v>7659.5680000000002</v>
      </c>
      <c r="G30" s="206">
        <v>984.29499999999996</v>
      </c>
      <c r="H30" s="206">
        <v>1969290.4639999999</v>
      </c>
    </row>
    <row r="31" spans="1:15" ht="14.1" customHeight="1" x14ac:dyDescent="0.3">
      <c r="A31" s="176">
        <f>DATE(YEAR(A30),MONTH(A30)+1,1)</f>
        <v>45627</v>
      </c>
      <c r="B31" s="206">
        <v>2501774.6009999998</v>
      </c>
      <c r="C31" s="206">
        <v>130184.476</v>
      </c>
      <c r="D31" s="206">
        <f t="shared" si="3"/>
        <v>2371590.125</v>
      </c>
      <c r="E31" s="206">
        <v>352261.76799999998</v>
      </c>
      <c r="F31" s="206">
        <v>6654.3190000000004</v>
      </c>
      <c r="G31" s="206">
        <v>1070.6199999999999</v>
      </c>
      <c r="H31" s="206">
        <v>2011603.4180000001</v>
      </c>
    </row>
    <row r="32" spans="1:15" ht="14.1" customHeight="1" x14ac:dyDescent="0.3">
      <c r="A32" s="176"/>
      <c r="B32" s="206"/>
      <c r="C32" s="206"/>
      <c r="D32" s="206"/>
      <c r="E32" s="206"/>
      <c r="F32" s="206"/>
      <c r="G32" s="206"/>
      <c r="H32" s="206"/>
    </row>
    <row r="33" spans="1:8" ht="14.1" customHeight="1" x14ac:dyDescent="0.3">
      <c r="A33" s="175">
        <f>DATE(YEAR(A31),MONTH(A31)+1,1)</f>
        <v>45658</v>
      </c>
      <c r="B33" s="206">
        <v>2532245.1069999998</v>
      </c>
      <c r="C33" s="206">
        <v>144007.348</v>
      </c>
      <c r="D33" s="206">
        <f t="shared" ref="D33:D34" si="4">SUM(E33:H33)</f>
        <v>2388237.7590000001</v>
      </c>
      <c r="E33" s="206">
        <v>411622.74599999998</v>
      </c>
      <c r="F33" s="206">
        <v>8115.2889999999998</v>
      </c>
      <c r="G33" s="206">
        <v>1014.1369999999999</v>
      </c>
      <c r="H33" s="206">
        <v>1967485.5870000001</v>
      </c>
    </row>
    <row r="34" spans="1:8" ht="13.5" customHeight="1" x14ac:dyDescent="0.3">
      <c r="A34" s="176">
        <f t="shared" ref="A34:A44" si="5">DATE(YEAR(A33),MONTH(A33)+1,1)</f>
        <v>45689</v>
      </c>
      <c r="B34" s="206">
        <v>2344108.2259999998</v>
      </c>
      <c r="C34" s="206">
        <v>146784.71599999999</v>
      </c>
      <c r="D34" s="206">
        <f t="shared" si="4"/>
        <v>2197323.5099999998</v>
      </c>
      <c r="E34" s="206">
        <v>404237.62800000003</v>
      </c>
      <c r="F34" s="206">
        <v>8568.8330000000005</v>
      </c>
      <c r="G34" s="206">
        <v>983.67399999999998</v>
      </c>
      <c r="H34" s="206">
        <v>1783533.375</v>
      </c>
    </row>
    <row r="35" spans="1:8" ht="13.5" customHeight="1" x14ac:dyDescent="0.3">
      <c r="A35" s="176">
        <f t="shared" si="5"/>
        <v>45717</v>
      </c>
      <c r="B35" s="206">
        <v>2451879.7540000002</v>
      </c>
      <c r="C35" s="206">
        <v>127847.20299999999</v>
      </c>
      <c r="D35" s="206">
        <f t="shared" si="3"/>
        <v>2324032.551</v>
      </c>
      <c r="E35" s="206">
        <v>366366.93</v>
      </c>
      <c r="F35" s="206">
        <v>7115.3530000000001</v>
      </c>
      <c r="G35" s="206">
        <v>1015.025</v>
      </c>
      <c r="H35" s="206">
        <v>1949535.243</v>
      </c>
    </row>
    <row r="36" spans="1:8" ht="13.5" customHeight="1" x14ac:dyDescent="0.3">
      <c r="A36" s="176">
        <f t="shared" si="5"/>
        <v>45748</v>
      </c>
      <c r="B36" s="206">
        <v>2536601.6239999998</v>
      </c>
      <c r="C36" s="206">
        <v>131178.98199999999</v>
      </c>
      <c r="D36" s="206">
        <f t="shared" si="3"/>
        <v>2405422.642</v>
      </c>
      <c r="E36" s="206">
        <v>389629.47899999999</v>
      </c>
      <c r="F36" s="206">
        <v>6361.8959999999997</v>
      </c>
      <c r="G36" s="206">
        <v>985.88699999999994</v>
      </c>
      <c r="H36" s="206">
        <v>2008445.38</v>
      </c>
    </row>
    <row r="37" spans="1:8" ht="13.5" customHeight="1" x14ac:dyDescent="0.3">
      <c r="A37" s="176">
        <f t="shared" si="5"/>
        <v>45778</v>
      </c>
      <c r="B37" s="206">
        <v>2533581.202</v>
      </c>
      <c r="C37" s="206">
        <v>121883.08100000001</v>
      </c>
      <c r="D37" s="206">
        <f t="shared" si="3"/>
        <v>2411698.1209999998</v>
      </c>
      <c r="E37" s="206">
        <v>287028.23499999999</v>
      </c>
      <c r="F37" s="206">
        <v>5711.7669999999998</v>
      </c>
      <c r="G37" s="206">
        <v>954.327</v>
      </c>
      <c r="H37" s="206">
        <v>2118003.7919999999</v>
      </c>
    </row>
    <row r="38" spans="1:8" ht="13.5" customHeight="1" x14ac:dyDescent="0.3">
      <c r="A38" s="176">
        <f t="shared" si="5"/>
        <v>45809</v>
      </c>
      <c r="B38" s="206">
        <v>2464921.44</v>
      </c>
      <c r="C38" s="206">
        <v>127377.584</v>
      </c>
      <c r="D38" s="206">
        <f t="shared" si="3"/>
        <v>2337543.8560000001</v>
      </c>
      <c r="E38" s="206">
        <v>364230.31</v>
      </c>
      <c r="F38" s="206">
        <v>6336.2889999999998</v>
      </c>
      <c r="G38" s="206">
        <v>918.25</v>
      </c>
      <c r="H38" s="206">
        <v>1966059.007</v>
      </c>
    </row>
    <row r="39" spans="1:8" ht="13.5" customHeight="1" x14ac:dyDescent="0.3">
      <c r="A39" s="176">
        <f t="shared" si="5"/>
        <v>45839</v>
      </c>
      <c r="B39" s="206">
        <v>2652720.4649999999</v>
      </c>
      <c r="C39" s="206">
        <v>165723.72099999999</v>
      </c>
      <c r="D39" s="206">
        <f>SUM(E39:H39)</f>
        <v>2486996.7439999999</v>
      </c>
      <c r="E39" s="206">
        <v>408689.33299999998</v>
      </c>
      <c r="F39" s="206">
        <v>7507.3689999999997</v>
      </c>
      <c r="G39" s="206">
        <v>931.11</v>
      </c>
      <c r="H39" s="206">
        <v>2069868.932</v>
      </c>
    </row>
    <row r="40" spans="1:8" ht="13.5" customHeight="1" x14ac:dyDescent="0.3">
      <c r="A40" s="176">
        <f t="shared" si="5"/>
        <v>45870</v>
      </c>
      <c r="B40" s="206">
        <v>2723485.5970000001</v>
      </c>
      <c r="C40" s="206">
        <v>205927.05</v>
      </c>
      <c r="D40" s="206">
        <f t="shared" si="3"/>
        <v>2517558.5469999998</v>
      </c>
      <c r="E40" s="206">
        <v>416744.17099999997</v>
      </c>
      <c r="F40" s="206">
        <v>9470.5310000000009</v>
      </c>
      <c r="G40" s="206">
        <v>831.80399999999997</v>
      </c>
      <c r="H40" s="206">
        <v>2090512.041</v>
      </c>
    </row>
    <row r="41" spans="1:8" ht="13.5" customHeight="1" x14ac:dyDescent="0.3">
      <c r="A41" s="176">
        <f t="shared" si="5"/>
        <v>45901</v>
      </c>
      <c r="B41" s="206">
        <v>2701688.5430000001</v>
      </c>
      <c r="C41" s="206">
        <v>212661.02499999999</v>
      </c>
      <c r="D41" s="206">
        <f>SUM(E41:H41)</f>
        <v>2489027.5180000002</v>
      </c>
      <c r="E41" s="206">
        <v>428986.05</v>
      </c>
      <c r="F41" s="206">
        <v>10209.093999999999</v>
      </c>
      <c r="G41" s="206">
        <v>884.14</v>
      </c>
      <c r="H41" s="206">
        <v>2048948.2339999999</v>
      </c>
    </row>
    <row r="42" spans="1:8" ht="13.5" customHeight="1" x14ac:dyDescent="0.3">
      <c r="A42" s="176">
        <f t="shared" si="5"/>
        <v>45931</v>
      </c>
      <c r="B42" s="206">
        <v>2473235.77</v>
      </c>
      <c r="C42" s="206">
        <v>141908.75899999999</v>
      </c>
      <c r="D42" s="206">
        <f t="shared" ref="D42:D44" si="6">SUM(E42:H42)</f>
        <v>2331327.0109999999</v>
      </c>
      <c r="E42" s="206">
        <v>371313.76899999997</v>
      </c>
      <c r="F42" s="206">
        <v>7542.3220000000001</v>
      </c>
      <c r="G42" s="206">
        <v>619.654</v>
      </c>
      <c r="H42" s="206">
        <v>1951851.2660000001</v>
      </c>
    </row>
    <row r="43" spans="1:8" ht="13.5" customHeight="1" x14ac:dyDescent="0.3">
      <c r="A43" s="176">
        <f t="shared" si="5"/>
        <v>45962</v>
      </c>
      <c r="B43" s="206">
        <v>2281092.6869999999</v>
      </c>
      <c r="C43" s="206">
        <v>131665.87599999999</v>
      </c>
      <c r="D43" s="206">
        <f t="shared" si="6"/>
        <v>2149426.8109999998</v>
      </c>
      <c r="E43" s="206">
        <v>358346.51699999999</v>
      </c>
      <c r="F43" s="206">
        <v>7657.0649999999996</v>
      </c>
      <c r="G43" s="206">
        <v>752.03499999999997</v>
      </c>
      <c r="H43" s="206">
        <v>1782671.1939999999</v>
      </c>
    </row>
    <row r="44" spans="1:8" ht="13.5" customHeight="1" x14ac:dyDescent="0.3">
      <c r="A44" s="176">
        <f t="shared" si="5"/>
        <v>45992</v>
      </c>
      <c r="B44" s="206">
        <v>2403152.2850000001</v>
      </c>
      <c r="C44" s="206">
        <v>132629.61199999999</v>
      </c>
      <c r="D44" s="206">
        <f t="shared" si="6"/>
        <v>2270522.673</v>
      </c>
      <c r="E44" s="206">
        <v>362261.217</v>
      </c>
      <c r="F44" s="206">
        <v>6705.6220000000003</v>
      </c>
      <c r="G44" s="206">
        <v>909.12699999999995</v>
      </c>
      <c r="H44" s="206">
        <v>1900646.7069999999</v>
      </c>
    </row>
    <row r="45" spans="1:8" ht="13.5" customHeight="1" x14ac:dyDescent="0.3">
      <c r="A45" s="176"/>
      <c r="B45" s="206"/>
      <c r="C45" s="206"/>
      <c r="D45" s="206"/>
      <c r="E45" s="206"/>
      <c r="F45" s="206"/>
      <c r="G45" s="206"/>
      <c r="H45" s="206"/>
    </row>
    <row r="46" spans="1:8" ht="13.5" customHeight="1" x14ac:dyDescent="0.3">
      <c r="A46" s="175">
        <f>DATE(YEAR(A44),MONTH(A44)+1,1)</f>
        <v>46023</v>
      </c>
      <c r="B46" s="206">
        <v>2532401.3280000002</v>
      </c>
      <c r="C46" s="206">
        <v>146144.033</v>
      </c>
      <c r="D46" s="206">
        <f t="shared" ref="D46:D47" si="7">SUM(E46:H46)</f>
        <v>2386257.2949999999</v>
      </c>
      <c r="E46" s="206">
        <v>401423.34499999997</v>
      </c>
      <c r="F46" s="206">
        <v>8169.7929999999997</v>
      </c>
      <c r="G46" s="206">
        <v>830.84900000000005</v>
      </c>
      <c r="H46" s="206">
        <v>1975833.308</v>
      </c>
    </row>
    <row r="47" spans="1:8" ht="13.5" customHeight="1" x14ac:dyDescent="0.3">
      <c r="A47" s="176">
        <f t="shared" ref="A47" si="8">DATE(YEAR(A46),MONTH(A46)+1,1)</f>
        <v>46054</v>
      </c>
      <c r="B47" s="206">
        <v>2261521.378</v>
      </c>
      <c r="C47" s="206">
        <v>148422.27100000001</v>
      </c>
      <c r="D47" s="206">
        <f t="shared" si="7"/>
        <v>2113099.1069999998</v>
      </c>
      <c r="E47" s="206">
        <v>382600.17200000002</v>
      </c>
      <c r="F47" s="206">
        <v>8550.1679999999997</v>
      </c>
      <c r="G47" s="206">
        <v>796.65599999999995</v>
      </c>
      <c r="H47" s="206">
        <v>1721152.111</v>
      </c>
    </row>
    <row r="48" spans="1:8" ht="5.25" customHeight="1" x14ac:dyDescent="0.3">
      <c r="A48" s="318"/>
      <c r="B48" s="319"/>
      <c r="C48" s="319"/>
      <c r="D48" s="319"/>
      <c r="E48" s="319"/>
      <c r="F48" s="319"/>
      <c r="G48" s="319"/>
      <c r="H48" s="319"/>
    </row>
    <row r="49" spans="1:8" ht="15" customHeight="1" x14ac:dyDescent="0.3">
      <c r="A49" s="466" t="s">
        <v>327</v>
      </c>
      <c r="B49" s="466"/>
      <c r="C49" s="466"/>
      <c r="D49" s="466"/>
      <c r="E49" s="466"/>
      <c r="F49" s="466"/>
      <c r="G49" s="466"/>
      <c r="H49" s="466"/>
    </row>
    <row r="50" spans="1:8" ht="13.5" customHeight="1" x14ac:dyDescent="0.25">
      <c r="A50" s="211" t="s">
        <v>328</v>
      </c>
      <c r="B50" s="144"/>
      <c r="C50" s="144"/>
      <c r="D50" s="144"/>
      <c r="E50" s="144"/>
      <c r="F50" s="144"/>
      <c r="G50" s="144"/>
      <c r="H50" s="144"/>
    </row>
    <row r="51" spans="1:8" ht="13.5" customHeight="1" x14ac:dyDescent="0.25">
      <c r="A51" s="320" t="s">
        <v>329</v>
      </c>
    </row>
    <row r="52" spans="1:8" ht="13.5" customHeight="1" x14ac:dyDescent="0.25">
      <c r="G52" s="321"/>
    </row>
    <row r="53" spans="1:8" ht="13.5" customHeight="1" x14ac:dyDescent="0.3">
      <c r="H53" s="214"/>
    </row>
    <row r="54" spans="1:8" ht="13.5" customHeight="1" x14ac:dyDescent="0.25"/>
    <row r="55" spans="1:8" ht="13.5" customHeight="1" x14ac:dyDescent="0.3">
      <c r="H55" s="214"/>
    </row>
    <row r="56" spans="1:8" ht="13.5" customHeight="1" x14ac:dyDescent="0.25"/>
    <row r="57" spans="1:8" ht="13.5" customHeight="1" x14ac:dyDescent="0.25"/>
    <row r="58" spans="1:8" ht="13.5" customHeight="1" x14ac:dyDescent="0.25"/>
    <row r="59" spans="1:8" ht="13.5" customHeight="1" x14ac:dyDescent="0.25"/>
    <row r="60" spans="1:8" ht="13.5" customHeight="1" x14ac:dyDescent="0.25"/>
    <row r="61" spans="1:8" ht="13.5" customHeight="1" x14ac:dyDescent="0.25"/>
    <row r="62" spans="1:8" ht="9" customHeight="1" x14ac:dyDescent="0.25"/>
    <row r="63" spans="1:8" ht="13.5" customHeight="1" x14ac:dyDescent="0.25"/>
    <row r="64" spans="1:8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9" customHeight="1" x14ac:dyDescent="0.25"/>
    <row r="76" ht="13.5" customHeight="1" x14ac:dyDescent="0.25"/>
    <row r="77" ht="13.5" customHeight="1" x14ac:dyDescent="0.25"/>
    <row r="88" ht="9" customHeight="1" x14ac:dyDescent="0.25"/>
  </sheetData>
  <mergeCells count="8">
    <mergeCell ref="A49:H49"/>
    <mergeCell ref="A1:H1"/>
    <mergeCell ref="A3:A4"/>
    <mergeCell ref="B3:B5"/>
    <mergeCell ref="C4:C5"/>
    <mergeCell ref="D4:D5"/>
    <mergeCell ref="E4:F4"/>
    <mergeCell ref="G4:H4"/>
  </mergeCells>
  <phoneticPr fontId="4" type="noConversion"/>
  <pageMargins left="0.57999999999999996" right="0.61" top="0.98" bottom="1" header="0.5" footer="0.5"/>
  <pageSetup paperSize="9" scale="87"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FA88B-2951-4E6B-9606-685EEC4249D8}">
  <dimension ref="A1:AD346"/>
  <sheetViews>
    <sheetView view="pageBreakPreview" zoomScale="85" zoomScaleNormal="100" zoomScaleSheetLayoutView="85" workbookViewId="0">
      <selection activeCell="G2" sqref="G2"/>
    </sheetView>
  </sheetViews>
  <sheetFormatPr defaultRowHeight="16.5" x14ac:dyDescent="0.3"/>
  <cols>
    <col min="1" max="3" width="9" style="9"/>
    <col min="4" max="4" width="10.625" style="9" customWidth="1"/>
    <col min="5" max="6" width="9" style="9"/>
    <col min="7" max="7" width="12.625" style="9" customWidth="1"/>
    <col min="8" max="8" width="15.5" style="9" customWidth="1"/>
    <col min="9" max="9" width="16.375" style="9" customWidth="1"/>
    <col min="10" max="10" width="12.125" style="9" customWidth="1"/>
    <col min="11" max="11" width="14.75" style="9" bestFit="1" customWidth="1"/>
    <col min="12" max="12" width="16.625" style="9" bestFit="1" customWidth="1"/>
    <col min="13" max="13" width="9" style="9"/>
    <col min="14" max="14" width="11.75" style="9" customWidth="1"/>
    <col min="15" max="15" width="10" style="9" customWidth="1"/>
    <col min="16" max="18" width="9" style="9"/>
    <col min="19" max="19" width="10.5" style="9" bestFit="1" customWidth="1"/>
    <col min="20" max="20" width="9" style="9"/>
    <col min="21" max="21" width="8.375" style="9" bestFit="1" customWidth="1"/>
    <col min="22" max="22" width="12.75" style="9" bestFit="1" customWidth="1"/>
    <col min="23" max="23" width="15.125" style="9" bestFit="1" customWidth="1"/>
    <col min="24" max="24" width="17" style="9" bestFit="1" customWidth="1"/>
    <col min="25" max="25" width="10.125" style="9" bestFit="1" customWidth="1"/>
    <col min="26" max="26" width="14.125" style="9" bestFit="1" customWidth="1"/>
    <col min="27" max="27" width="16.25" style="9" bestFit="1" customWidth="1"/>
    <col min="28" max="28" width="10.25" style="9" customWidth="1"/>
    <col min="29" max="29" width="11.75" style="9" bestFit="1" customWidth="1"/>
    <col min="30" max="16384" width="9" style="9"/>
  </cols>
  <sheetData>
    <row r="1" spans="1:30" x14ac:dyDescent="0.3">
      <c r="A1" s="477" t="s">
        <v>330</v>
      </c>
      <c r="B1" s="477"/>
      <c r="C1" s="477"/>
      <c r="D1" s="477"/>
      <c r="E1" s="477"/>
      <c r="F1" s="477"/>
      <c r="G1" s="477"/>
      <c r="H1" s="477"/>
      <c r="I1" s="477"/>
      <c r="J1" s="477"/>
      <c r="K1" s="477"/>
      <c r="L1" s="477"/>
      <c r="M1" s="477"/>
      <c r="N1" s="477"/>
      <c r="O1" s="477"/>
      <c r="P1" s="477" t="s">
        <v>330</v>
      </c>
      <c r="Q1" s="477"/>
      <c r="R1" s="477"/>
      <c r="S1" s="477"/>
      <c r="T1" s="477"/>
      <c r="U1" s="477"/>
      <c r="V1" s="477"/>
      <c r="W1" s="477"/>
      <c r="X1" s="477"/>
      <c r="Y1" s="477"/>
      <c r="Z1" s="477"/>
      <c r="AA1" s="477"/>
      <c r="AB1" s="477"/>
      <c r="AC1" s="477"/>
      <c r="AD1" s="477"/>
    </row>
    <row r="2" spans="1:30" x14ac:dyDescent="0.3">
      <c r="A2" s="258" t="s">
        <v>206</v>
      </c>
      <c r="B2" s="256"/>
      <c r="C2" s="256"/>
      <c r="D2" s="256"/>
      <c r="E2" s="256"/>
      <c r="F2" s="256"/>
      <c r="G2" s="256"/>
      <c r="H2" s="256"/>
      <c r="I2" s="254"/>
      <c r="O2" s="322" t="s">
        <v>331</v>
      </c>
      <c r="P2" s="258" t="s">
        <v>206</v>
      </c>
      <c r="AD2" s="322" t="s">
        <v>331</v>
      </c>
    </row>
    <row r="3" spans="1:30" x14ac:dyDescent="0.3">
      <c r="A3" s="486" t="s">
        <v>332</v>
      </c>
      <c r="B3" s="486" t="s">
        <v>333</v>
      </c>
      <c r="C3" s="486"/>
      <c r="D3" s="486"/>
      <c r="E3" s="486"/>
      <c r="F3" s="486"/>
      <c r="G3" s="486"/>
      <c r="H3" s="486"/>
      <c r="I3" s="486"/>
      <c r="J3" s="486"/>
      <c r="K3" s="486"/>
      <c r="L3" s="486"/>
      <c r="M3" s="486"/>
      <c r="N3" s="486"/>
      <c r="O3" s="486"/>
      <c r="P3" s="478" t="s">
        <v>332</v>
      </c>
      <c r="Q3" s="472" t="s">
        <v>326</v>
      </c>
      <c r="R3" s="481"/>
      <c r="S3" s="481"/>
      <c r="T3" s="481"/>
      <c r="U3" s="481"/>
      <c r="V3" s="481"/>
      <c r="W3" s="481"/>
      <c r="X3" s="481"/>
      <c r="Y3" s="481"/>
      <c r="Z3" s="481"/>
      <c r="AA3" s="481"/>
      <c r="AB3" s="481"/>
      <c r="AC3" s="481"/>
      <c r="AD3" s="473"/>
    </row>
    <row r="4" spans="1:30" ht="22.5" x14ac:dyDescent="0.3">
      <c r="A4" s="486"/>
      <c r="B4" s="323" t="s">
        <v>334</v>
      </c>
      <c r="C4" s="323" t="s">
        <v>335</v>
      </c>
      <c r="D4" s="323" t="s">
        <v>336</v>
      </c>
      <c r="E4" s="323" t="s">
        <v>337</v>
      </c>
      <c r="F4" s="323" t="s">
        <v>338</v>
      </c>
      <c r="G4" s="323" t="s">
        <v>339</v>
      </c>
      <c r="H4" s="323" t="s">
        <v>340</v>
      </c>
      <c r="I4" s="323" t="s">
        <v>341</v>
      </c>
      <c r="J4" s="323" t="s">
        <v>342</v>
      </c>
      <c r="K4" s="324" t="s">
        <v>343</v>
      </c>
      <c r="L4" s="323" t="s">
        <v>344</v>
      </c>
      <c r="M4" s="323" t="s">
        <v>345</v>
      </c>
      <c r="N4" s="323" t="s">
        <v>346</v>
      </c>
      <c r="O4" s="323" t="s">
        <v>347</v>
      </c>
      <c r="P4" s="480"/>
      <c r="Q4" s="323" t="s">
        <v>334</v>
      </c>
      <c r="R4" s="323" t="s">
        <v>335</v>
      </c>
      <c r="S4" s="323" t="s">
        <v>336</v>
      </c>
      <c r="T4" s="323" t="s">
        <v>337</v>
      </c>
      <c r="U4" s="323" t="s">
        <v>338</v>
      </c>
      <c r="V4" s="323" t="s">
        <v>339</v>
      </c>
      <c r="W4" s="323" t="s">
        <v>340</v>
      </c>
      <c r="X4" s="325" t="s">
        <v>341</v>
      </c>
      <c r="Y4" s="325" t="s">
        <v>342</v>
      </c>
      <c r="Z4" s="326" t="s">
        <v>343</v>
      </c>
      <c r="AA4" s="325" t="s">
        <v>344</v>
      </c>
      <c r="AB4" s="325" t="s">
        <v>345</v>
      </c>
      <c r="AC4" s="325" t="s">
        <v>346</v>
      </c>
      <c r="AD4" s="325" t="s">
        <v>347</v>
      </c>
    </row>
    <row r="5" spans="1:30" x14ac:dyDescent="0.3">
      <c r="A5" s="327"/>
      <c r="B5" s="328"/>
      <c r="C5" s="328"/>
      <c r="D5" s="328"/>
      <c r="E5" s="329"/>
      <c r="F5" s="328"/>
      <c r="G5" s="328"/>
      <c r="H5" s="329"/>
      <c r="I5" s="325"/>
      <c r="J5" s="325"/>
      <c r="K5" s="326"/>
      <c r="L5" s="325"/>
      <c r="M5" s="325"/>
      <c r="N5" s="325"/>
      <c r="O5" s="330"/>
      <c r="P5" s="331"/>
      <c r="Q5" s="332"/>
      <c r="R5" s="333"/>
      <c r="S5" s="334"/>
      <c r="T5" s="335"/>
      <c r="U5" s="333"/>
      <c r="V5" s="336"/>
      <c r="W5" s="337"/>
      <c r="X5" s="338"/>
      <c r="Y5" s="338"/>
      <c r="Z5" s="339"/>
      <c r="AA5" s="338"/>
      <c r="AB5" s="338"/>
      <c r="AC5" s="338"/>
      <c r="AD5" s="340"/>
    </row>
    <row r="6" spans="1:30" x14ac:dyDescent="0.3">
      <c r="A6" s="263">
        <v>2014</v>
      </c>
      <c r="B6" s="341" t="s">
        <v>348</v>
      </c>
      <c r="C6" s="341" t="s">
        <v>348</v>
      </c>
      <c r="D6" s="341" t="s">
        <v>348</v>
      </c>
      <c r="E6" s="341" t="s">
        <v>348</v>
      </c>
      <c r="F6" s="341" t="s">
        <v>348</v>
      </c>
      <c r="G6" s="341" t="s">
        <v>348</v>
      </c>
      <c r="H6" s="341" t="s">
        <v>348</v>
      </c>
      <c r="I6" s="341" t="s">
        <v>348</v>
      </c>
      <c r="J6" s="341" t="s">
        <v>348</v>
      </c>
      <c r="K6" s="341" t="s">
        <v>348</v>
      </c>
      <c r="L6" s="341" t="s">
        <v>348</v>
      </c>
      <c r="M6" s="341" t="s">
        <v>348</v>
      </c>
      <c r="N6" s="341" t="s">
        <v>348</v>
      </c>
      <c r="O6" s="341" t="s">
        <v>348</v>
      </c>
      <c r="P6" s="342">
        <f>A6</f>
        <v>2014</v>
      </c>
      <c r="Q6" s="343">
        <v>135.6</v>
      </c>
      <c r="R6" s="343">
        <v>42.44</v>
      </c>
      <c r="S6" s="343">
        <v>29.28</v>
      </c>
      <c r="T6" s="343">
        <v>107.61</v>
      </c>
      <c r="U6" s="344">
        <v>131</v>
      </c>
      <c r="V6" s="343">
        <v>-2.88</v>
      </c>
      <c r="W6" s="344">
        <v>-3.95</v>
      </c>
      <c r="X6" s="343">
        <v>0.83</v>
      </c>
      <c r="Y6" s="345">
        <v>-346.45</v>
      </c>
      <c r="Z6" s="343">
        <v>2.61</v>
      </c>
      <c r="AA6" s="344">
        <v>10.99</v>
      </c>
      <c r="AB6" s="344">
        <v>-10.98</v>
      </c>
      <c r="AC6" s="344">
        <v>7.21</v>
      </c>
      <c r="AD6" s="346">
        <v>2.12</v>
      </c>
    </row>
    <row r="7" spans="1:30" x14ac:dyDescent="0.3">
      <c r="A7" s="263">
        <v>2015</v>
      </c>
      <c r="B7" s="341" t="s">
        <v>348</v>
      </c>
      <c r="C7" s="341" t="s">
        <v>348</v>
      </c>
      <c r="D7" s="341" t="s">
        <v>348</v>
      </c>
      <c r="E7" s="341" t="s">
        <v>348</v>
      </c>
      <c r="F7" s="341" t="s">
        <v>348</v>
      </c>
      <c r="G7" s="341" t="s">
        <v>348</v>
      </c>
      <c r="H7" s="341" t="s">
        <v>348</v>
      </c>
      <c r="I7" s="341" t="s">
        <v>348</v>
      </c>
      <c r="J7" s="341" t="s">
        <v>348</v>
      </c>
      <c r="K7" s="341" t="s">
        <v>348</v>
      </c>
      <c r="L7" s="341" t="s">
        <v>348</v>
      </c>
      <c r="M7" s="341" t="s">
        <v>348</v>
      </c>
      <c r="N7" s="341" t="s">
        <v>348</v>
      </c>
      <c r="O7" s="341" t="s">
        <v>348</v>
      </c>
      <c r="P7" s="342">
        <f t="shared" ref="P7:P16" si="0">A7</f>
        <v>2015</v>
      </c>
      <c r="Q7" s="343">
        <v>130.03</v>
      </c>
      <c r="R7" s="343">
        <v>43.47</v>
      </c>
      <c r="S7" s="343">
        <v>31.24</v>
      </c>
      <c r="T7" s="343">
        <v>109.32</v>
      </c>
      <c r="U7" s="344">
        <v>135.07</v>
      </c>
      <c r="V7" s="343">
        <v>-0.61</v>
      </c>
      <c r="W7" s="344">
        <v>-1.75</v>
      </c>
      <c r="X7" s="343">
        <v>0.8</v>
      </c>
      <c r="Y7" s="345">
        <v>-77.23</v>
      </c>
      <c r="Z7" s="343">
        <v>2.41</v>
      </c>
      <c r="AA7" s="344">
        <v>11.6</v>
      </c>
      <c r="AB7" s="344">
        <v>1.76</v>
      </c>
      <c r="AC7" s="344">
        <v>4.2</v>
      </c>
      <c r="AD7" s="346">
        <v>-0.31</v>
      </c>
    </row>
    <row r="8" spans="1:30" x14ac:dyDescent="0.3">
      <c r="A8" s="263">
        <v>2016</v>
      </c>
      <c r="B8" s="341" t="s">
        <v>348</v>
      </c>
      <c r="C8" s="341" t="s">
        <v>348</v>
      </c>
      <c r="D8" s="341" t="s">
        <v>348</v>
      </c>
      <c r="E8" s="341" t="s">
        <v>348</v>
      </c>
      <c r="F8" s="341" t="s">
        <v>348</v>
      </c>
      <c r="G8" s="341" t="s">
        <v>348</v>
      </c>
      <c r="H8" s="341" t="s">
        <v>348</v>
      </c>
      <c r="I8" s="341" t="s">
        <v>348</v>
      </c>
      <c r="J8" s="341" t="s">
        <v>348</v>
      </c>
      <c r="K8" s="341" t="s">
        <v>348</v>
      </c>
      <c r="L8" s="341" t="s">
        <v>348</v>
      </c>
      <c r="M8" s="341" t="s">
        <v>348</v>
      </c>
      <c r="N8" s="341" t="s">
        <v>348</v>
      </c>
      <c r="O8" s="341" t="s">
        <v>348</v>
      </c>
      <c r="P8" s="342">
        <f t="shared" si="0"/>
        <v>2016</v>
      </c>
      <c r="Q8" s="343">
        <v>111.34</v>
      </c>
      <c r="R8" s="343">
        <v>47.32</v>
      </c>
      <c r="S8" s="343">
        <v>30.97</v>
      </c>
      <c r="T8" s="343">
        <v>105.82</v>
      </c>
      <c r="U8" s="344">
        <v>128.28</v>
      </c>
      <c r="V8" s="344">
        <v>3.7</v>
      </c>
      <c r="W8" s="344">
        <v>2.48</v>
      </c>
      <c r="X8" s="343">
        <v>0.97</v>
      </c>
      <c r="Y8" s="345">
        <v>380.7</v>
      </c>
      <c r="Z8" s="343">
        <v>2.5299999999999998</v>
      </c>
      <c r="AA8" s="344">
        <v>12.82</v>
      </c>
      <c r="AB8" s="344">
        <v>-8.7899999999999991</v>
      </c>
      <c r="AC8" s="344">
        <v>5.58</v>
      </c>
      <c r="AD8" s="346">
        <v>0.47</v>
      </c>
    </row>
    <row r="9" spans="1:30" x14ac:dyDescent="0.3">
      <c r="A9" s="263">
        <f>A8+1</f>
        <v>2017</v>
      </c>
      <c r="B9" s="341">
        <v>121.16</v>
      </c>
      <c r="C9" s="341">
        <v>45.22</v>
      </c>
      <c r="D9" s="341">
        <v>34.659999999999997</v>
      </c>
      <c r="E9" s="341">
        <v>113.99</v>
      </c>
      <c r="F9" s="341">
        <v>146.59</v>
      </c>
      <c r="G9" s="341">
        <v>4.4400000000000004</v>
      </c>
      <c r="H9" s="341">
        <v>7.08</v>
      </c>
      <c r="I9" s="341">
        <v>1.77</v>
      </c>
      <c r="J9" s="341">
        <v>250.82</v>
      </c>
      <c r="K9" s="341">
        <v>3.24</v>
      </c>
      <c r="L9" s="341">
        <v>15.64</v>
      </c>
      <c r="M9" s="341">
        <v>-4.45</v>
      </c>
      <c r="N9" s="341">
        <v>-1.79</v>
      </c>
      <c r="O9" s="341">
        <v>1.24</v>
      </c>
      <c r="P9" s="342">
        <f t="shared" si="0"/>
        <v>2017</v>
      </c>
      <c r="Q9" s="343">
        <v>86.33</v>
      </c>
      <c r="R9" s="345">
        <v>47.32</v>
      </c>
      <c r="S9" s="343">
        <v>30.97</v>
      </c>
      <c r="T9" s="344">
        <v>105.82</v>
      </c>
      <c r="U9" s="344">
        <v>128.28</v>
      </c>
      <c r="V9" s="344">
        <v>3.7</v>
      </c>
      <c r="W9" s="344">
        <v>2.48</v>
      </c>
      <c r="X9" s="343">
        <v>0.97</v>
      </c>
      <c r="Y9" s="345">
        <v>380.7</v>
      </c>
      <c r="Z9" s="343">
        <v>2.5299999999999998</v>
      </c>
      <c r="AA9" s="344">
        <v>12.82</v>
      </c>
      <c r="AB9" s="344">
        <v>-8.7899999999999991</v>
      </c>
      <c r="AC9" s="344">
        <v>5.58</v>
      </c>
      <c r="AD9" s="346">
        <v>0.47</v>
      </c>
    </row>
    <row r="10" spans="1:30" x14ac:dyDescent="0.3">
      <c r="A10" s="263">
        <f>A9+1</f>
        <v>2018</v>
      </c>
      <c r="B10" s="341">
        <v>115.71</v>
      </c>
      <c r="C10" s="341">
        <v>46.36</v>
      </c>
      <c r="D10" s="341">
        <v>33.79</v>
      </c>
      <c r="E10" s="341">
        <v>117.98</v>
      </c>
      <c r="F10" s="341">
        <v>142.41</v>
      </c>
      <c r="G10" s="341">
        <v>3.04</v>
      </c>
      <c r="H10" s="341">
        <v>1.49</v>
      </c>
      <c r="I10" s="341">
        <v>1.89</v>
      </c>
      <c r="J10" s="341">
        <v>160.46</v>
      </c>
      <c r="K10" s="341">
        <v>3.53</v>
      </c>
      <c r="L10" s="341">
        <v>14.72</v>
      </c>
      <c r="M10" s="341">
        <v>-1.44</v>
      </c>
      <c r="N10" s="341">
        <v>0.64</v>
      </c>
      <c r="O10" s="341">
        <v>0.87</v>
      </c>
      <c r="P10" s="342">
        <f t="shared" si="0"/>
        <v>2018</v>
      </c>
      <c r="Q10" s="343">
        <v>81.45</v>
      </c>
      <c r="R10" s="343">
        <v>55.11</v>
      </c>
      <c r="S10" s="343">
        <v>24.99</v>
      </c>
      <c r="T10" s="343">
        <v>115.69</v>
      </c>
      <c r="U10" s="343">
        <v>111.58</v>
      </c>
      <c r="V10" s="343">
        <v>2.84</v>
      </c>
      <c r="W10" s="343">
        <v>2.16</v>
      </c>
      <c r="X10" s="343">
        <v>1.18</v>
      </c>
      <c r="Y10" s="343">
        <v>241.34</v>
      </c>
      <c r="Z10" s="343">
        <v>3.24</v>
      </c>
      <c r="AA10" s="343">
        <v>11.38</v>
      </c>
      <c r="AB10" s="343">
        <v>-1.49</v>
      </c>
      <c r="AC10" s="343">
        <v>-0.1</v>
      </c>
      <c r="AD10" s="343">
        <v>1.03</v>
      </c>
    </row>
    <row r="11" spans="1:30" x14ac:dyDescent="0.3">
      <c r="A11" s="263">
        <f t="shared" ref="A11:A16" si="1">A10+1</f>
        <v>2019</v>
      </c>
      <c r="B11" s="341">
        <v>146.04</v>
      </c>
      <c r="C11" s="341">
        <v>40.64</v>
      </c>
      <c r="D11" s="341">
        <v>39.08</v>
      </c>
      <c r="E11" s="341">
        <v>124.61</v>
      </c>
      <c r="F11" s="341">
        <v>159.81</v>
      </c>
      <c r="G11" s="341">
        <v>4.1399999999999997</v>
      </c>
      <c r="H11" s="341">
        <v>2.64</v>
      </c>
      <c r="I11" s="341">
        <v>1.9</v>
      </c>
      <c r="J11" s="341">
        <v>217.57</v>
      </c>
      <c r="K11" s="341">
        <v>3.62</v>
      </c>
      <c r="L11" s="341">
        <v>17.5</v>
      </c>
      <c r="M11" s="341">
        <v>1.95</v>
      </c>
      <c r="N11" s="341">
        <v>5.36</v>
      </c>
      <c r="O11" s="341">
        <v>2.82</v>
      </c>
      <c r="P11" s="342">
        <f t="shared" si="0"/>
        <v>2019</v>
      </c>
      <c r="Q11" s="343">
        <v>83.34</v>
      </c>
      <c r="R11" s="343">
        <v>54.54</v>
      </c>
      <c r="S11" s="343">
        <v>26.64</v>
      </c>
      <c r="T11" s="343">
        <v>124.55</v>
      </c>
      <c r="U11" s="343">
        <v>111.67</v>
      </c>
      <c r="V11" s="343">
        <v>4.25</v>
      </c>
      <c r="W11" s="343">
        <v>3.42</v>
      </c>
      <c r="X11" s="343">
        <v>1</v>
      </c>
      <c r="Y11" s="343">
        <v>424.17</v>
      </c>
      <c r="Z11" s="343">
        <v>3.48</v>
      </c>
      <c r="AA11" s="343">
        <v>11.98</v>
      </c>
      <c r="AB11" s="343">
        <v>2.78</v>
      </c>
      <c r="AC11" s="343">
        <v>3.51</v>
      </c>
      <c r="AD11" s="343">
        <v>2.19</v>
      </c>
    </row>
    <row r="12" spans="1:30" x14ac:dyDescent="0.3">
      <c r="A12" s="263">
        <f t="shared" si="1"/>
        <v>2020</v>
      </c>
      <c r="B12" s="341">
        <v>155.05000000000001</v>
      </c>
      <c r="C12" s="341">
        <v>39.21</v>
      </c>
      <c r="D12" s="341">
        <v>38.33</v>
      </c>
      <c r="E12" s="341">
        <v>122.31</v>
      </c>
      <c r="F12" s="341">
        <v>163.36000000000001</v>
      </c>
      <c r="G12" s="341">
        <v>2.83</v>
      </c>
      <c r="H12" s="341">
        <v>-2.96</v>
      </c>
      <c r="I12" s="341">
        <v>1.94</v>
      </c>
      <c r="J12" s="341">
        <v>145.78</v>
      </c>
      <c r="K12" s="341">
        <v>3.39</v>
      </c>
      <c r="L12" s="341">
        <v>16.18</v>
      </c>
      <c r="M12" s="341">
        <v>0.59</v>
      </c>
      <c r="N12" s="341">
        <v>5.0599999999999996</v>
      </c>
      <c r="O12" s="341">
        <v>3.65</v>
      </c>
      <c r="P12" s="342">
        <f t="shared" si="0"/>
        <v>2020</v>
      </c>
      <c r="Q12" s="343">
        <v>97.79</v>
      </c>
      <c r="R12" s="343">
        <v>50.56</v>
      </c>
      <c r="S12" s="343">
        <v>29.01</v>
      </c>
      <c r="T12" s="343">
        <v>124.16</v>
      </c>
      <c r="U12" s="343">
        <v>115.55</v>
      </c>
      <c r="V12" s="343">
        <v>3.12</v>
      </c>
      <c r="W12" s="343">
        <v>1.38</v>
      </c>
      <c r="X12" s="343">
        <v>1.0900000000000001</v>
      </c>
      <c r="Y12" s="343">
        <v>285.83</v>
      </c>
      <c r="Z12" s="343">
        <v>3.18</v>
      </c>
      <c r="AA12" s="343">
        <v>12.05</v>
      </c>
      <c r="AB12" s="343">
        <v>4.17</v>
      </c>
      <c r="AC12" s="343">
        <v>5.4</v>
      </c>
      <c r="AD12" s="343">
        <v>6.2</v>
      </c>
    </row>
    <row r="13" spans="1:30" x14ac:dyDescent="0.3">
      <c r="A13" s="263">
        <f t="shared" si="1"/>
        <v>2021</v>
      </c>
      <c r="B13" s="341">
        <v>158.18</v>
      </c>
      <c r="C13" s="341">
        <v>38.729999999999997</v>
      </c>
      <c r="D13" s="341">
        <v>38.049999999999997</v>
      </c>
      <c r="E13" s="341">
        <v>125.53</v>
      </c>
      <c r="F13" s="341">
        <v>159.01</v>
      </c>
      <c r="G13" s="341">
        <v>3.25</v>
      </c>
      <c r="H13" s="341">
        <v>3.29</v>
      </c>
      <c r="I13" s="341">
        <v>1.57</v>
      </c>
      <c r="J13" s="341">
        <v>207.29</v>
      </c>
      <c r="K13" s="341">
        <v>2.95</v>
      </c>
      <c r="L13" s="341">
        <v>14.11</v>
      </c>
      <c r="M13" s="341">
        <v>15.01</v>
      </c>
      <c r="N13" s="341">
        <v>4.8899999999999997</v>
      </c>
      <c r="O13" s="341">
        <v>11.2</v>
      </c>
      <c r="P13" s="342">
        <f t="shared" si="0"/>
        <v>2021</v>
      </c>
      <c r="Q13" s="343">
        <v>100.36</v>
      </c>
      <c r="R13" s="343">
        <v>49.91</v>
      </c>
      <c r="S13" s="343">
        <v>25.01</v>
      </c>
      <c r="T13" s="343">
        <v>125.81</v>
      </c>
      <c r="U13" s="343">
        <v>112.62</v>
      </c>
      <c r="V13" s="343">
        <v>3.55</v>
      </c>
      <c r="W13" s="343">
        <v>4.03</v>
      </c>
      <c r="X13" s="343">
        <v>0.83</v>
      </c>
      <c r="Y13" s="343">
        <v>427.09</v>
      </c>
      <c r="Z13" s="343">
        <v>2.8</v>
      </c>
      <c r="AA13" s="343">
        <v>10.5</v>
      </c>
      <c r="AB13" s="343">
        <v>18.829999999999998</v>
      </c>
      <c r="AC13" s="343">
        <v>2.71</v>
      </c>
      <c r="AD13" s="343">
        <v>11.33</v>
      </c>
    </row>
    <row r="14" spans="1:30" x14ac:dyDescent="0.3">
      <c r="A14" s="263">
        <f t="shared" si="1"/>
        <v>2022</v>
      </c>
      <c r="B14" s="341">
        <v>162.26</v>
      </c>
      <c r="C14" s="341">
        <v>38.130000000000003</v>
      </c>
      <c r="D14" s="341">
        <v>37.090000000000003</v>
      </c>
      <c r="E14" s="341">
        <v>119.75</v>
      </c>
      <c r="F14" s="341">
        <v>161.15</v>
      </c>
      <c r="G14" s="341">
        <v>3.55</v>
      </c>
      <c r="H14" s="341">
        <v>3.16</v>
      </c>
      <c r="I14" s="341">
        <v>1.64</v>
      </c>
      <c r="J14" s="341">
        <v>216.76</v>
      </c>
      <c r="K14" s="341">
        <v>3.35</v>
      </c>
      <c r="L14" s="341">
        <v>13.31</v>
      </c>
      <c r="M14" s="341">
        <v>18.3</v>
      </c>
      <c r="N14" s="341">
        <v>6.34</v>
      </c>
      <c r="O14" s="341">
        <v>11.32</v>
      </c>
      <c r="P14" s="342">
        <f t="shared" si="0"/>
        <v>2022</v>
      </c>
      <c r="Q14" s="343">
        <v>108.19</v>
      </c>
      <c r="R14" s="343">
        <v>48.03</v>
      </c>
      <c r="S14" s="343">
        <v>22.98</v>
      </c>
      <c r="T14" s="343">
        <v>116.87</v>
      </c>
      <c r="U14" s="343">
        <v>115.96</v>
      </c>
      <c r="V14" s="343">
        <v>3.81</v>
      </c>
      <c r="W14" s="343">
        <v>4.13</v>
      </c>
      <c r="X14" s="343">
        <v>0.87</v>
      </c>
      <c r="Y14" s="343">
        <v>436.21</v>
      </c>
      <c r="Z14" s="343">
        <v>3.51</v>
      </c>
      <c r="AA14" s="343">
        <v>9.91</v>
      </c>
      <c r="AB14" s="343">
        <v>16.03</v>
      </c>
      <c r="AC14" s="343">
        <v>3.88</v>
      </c>
      <c r="AD14" s="343">
        <v>8.91</v>
      </c>
    </row>
    <row r="15" spans="1:30" x14ac:dyDescent="0.3">
      <c r="A15" s="263">
        <f t="shared" si="1"/>
        <v>2023</v>
      </c>
      <c r="B15" s="341">
        <v>163.81</v>
      </c>
      <c r="C15" s="341">
        <v>37.909999999999997</v>
      </c>
      <c r="D15" s="341">
        <v>38.61</v>
      </c>
      <c r="E15" s="341">
        <v>113.44</v>
      </c>
      <c r="F15" s="341">
        <v>164.12</v>
      </c>
      <c r="G15" s="341">
        <v>2.83</v>
      </c>
      <c r="H15" s="341">
        <v>1.97</v>
      </c>
      <c r="I15" s="341">
        <v>1.93</v>
      </c>
      <c r="J15" s="341">
        <v>146.44</v>
      </c>
      <c r="K15" s="341">
        <v>3.94</v>
      </c>
      <c r="L15" s="341">
        <v>13.93</v>
      </c>
      <c r="M15" s="341">
        <v>3.81</v>
      </c>
      <c r="N15" s="341">
        <v>15.16</v>
      </c>
      <c r="O15" s="341">
        <v>2.68</v>
      </c>
      <c r="P15" s="342">
        <f t="shared" si="0"/>
        <v>2023</v>
      </c>
      <c r="Q15" s="343">
        <v>114.92</v>
      </c>
      <c r="R15" s="343">
        <v>46.53</v>
      </c>
      <c r="S15" s="343">
        <v>25.01</v>
      </c>
      <c r="T15" s="343">
        <v>111.69</v>
      </c>
      <c r="U15" s="343">
        <v>119.14</v>
      </c>
      <c r="V15" s="343">
        <v>2.63</v>
      </c>
      <c r="W15" s="343">
        <v>2.06</v>
      </c>
      <c r="X15" s="343">
        <v>1.18</v>
      </c>
      <c r="Y15" s="343">
        <v>222.51</v>
      </c>
      <c r="Z15" s="343">
        <v>4.82</v>
      </c>
      <c r="AA15" s="343">
        <v>10.38</v>
      </c>
      <c r="AB15" s="343">
        <v>4.16</v>
      </c>
      <c r="AC15" s="343">
        <v>4.6399999999999997</v>
      </c>
      <c r="AD15" s="343">
        <v>3.54</v>
      </c>
    </row>
    <row r="16" spans="1:30" x14ac:dyDescent="0.3">
      <c r="A16" s="263">
        <f t="shared" si="1"/>
        <v>2024</v>
      </c>
      <c r="B16" s="341">
        <v>170.94</v>
      </c>
      <c r="C16" s="341">
        <v>36.909999999999997</v>
      </c>
      <c r="D16" s="341">
        <v>37.979999999999997</v>
      </c>
      <c r="E16" s="341">
        <v>106.71</v>
      </c>
      <c r="F16" s="341">
        <v>170.16</v>
      </c>
      <c r="G16" s="341">
        <v>3.84</v>
      </c>
      <c r="H16" s="341">
        <v>2.5</v>
      </c>
      <c r="I16" s="341">
        <v>2.04</v>
      </c>
      <c r="J16" s="341">
        <v>188.63</v>
      </c>
      <c r="K16" s="341">
        <v>4.07</v>
      </c>
      <c r="L16" s="341">
        <v>14.05</v>
      </c>
      <c r="M16" s="341">
        <v>5.97</v>
      </c>
      <c r="N16" s="341">
        <v>10.09</v>
      </c>
      <c r="O16" s="341">
        <v>9.77</v>
      </c>
      <c r="P16" s="342">
        <f t="shared" si="0"/>
        <v>2024</v>
      </c>
      <c r="Q16" s="343">
        <v>119.53</v>
      </c>
      <c r="R16" s="343">
        <v>45.55</v>
      </c>
      <c r="S16" s="343">
        <v>22.23</v>
      </c>
      <c r="T16" s="343">
        <v>106.69</v>
      </c>
      <c r="U16" s="343">
        <v>123.72</v>
      </c>
      <c r="V16" s="343">
        <v>3.26</v>
      </c>
      <c r="W16" s="343">
        <v>2.4500000000000002</v>
      </c>
      <c r="X16" s="343">
        <v>1.25</v>
      </c>
      <c r="Y16" s="343">
        <v>261.55</v>
      </c>
      <c r="Z16" s="343">
        <v>5.31</v>
      </c>
      <c r="AA16" s="343">
        <v>10.63</v>
      </c>
      <c r="AB16" s="343">
        <v>9.65</v>
      </c>
      <c r="AC16" s="343">
        <v>8.39</v>
      </c>
      <c r="AD16" s="343">
        <v>9.75</v>
      </c>
    </row>
    <row r="17" spans="1:30" ht="6.75" customHeight="1" x14ac:dyDescent="0.3">
      <c r="A17" s="347"/>
      <c r="B17" s="347"/>
      <c r="C17" s="347"/>
      <c r="D17" s="347"/>
      <c r="E17" s="347"/>
      <c r="F17" s="347"/>
      <c r="G17" s="347"/>
      <c r="H17" s="347"/>
      <c r="I17" s="347"/>
      <c r="J17" s="347"/>
      <c r="K17" s="347"/>
      <c r="L17" s="347"/>
      <c r="M17" s="347"/>
      <c r="N17" s="347"/>
      <c r="O17" s="348"/>
      <c r="P17" s="348"/>
      <c r="Q17" s="347"/>
      <c r="R17" s="347"/>
      <c r="S17" s="347"/>
      <c r="T17" s="347"/>
      <c r="U17" s="347"/>
      <c r="V17" s="347"/>
      <c r="W17" s="347"/>
      <c r="X17" s="347"/>
      <c r="Y17" s="347"/>
      <c r="Z17" s="347"/>
      <c r="AA17" s="347"/>
      <c r="AB17" s="347"/>
      <c r="AC17" s="347"/>
      <c r="AD17" s="347"/>
    </row>
    <row r="18" spans="1:30" ht="93" customHeight="1" x14ac:dyDescent="0.2">
      <c r="A18" s="485" t="s">
        <v>349</v>
      </c>
      <c r="B18" s="485"/>
      <c r="C18" s="485"/>
      <c r="D18" s="485"/>
      <c r="E18" s="485"/>
      <c r="F18" s="485"/>
      <c r="G18" s="485"/>
      <c r="H18" s="485"/>
      <c r="I18" s="485"/>
      <c r="J18" s="485"/>
      <c r="K18" s="485"/>
      <c r="L18" s="485"/>
      <c r="M18" s="485"/>
      <c r="N18" s="485"/>
      <c r="O18" s="485"/>
      <c r="P18" s="485" t="s">
        <v>349</v>
      </c>
      <c r="Q18" s="485"/>
      <c r="R18" s="485"/>
      <c r="S18" s="485"/>
      <c r="T18" s="485"/>
      <c r="U18" s="485"/>
      <c r="V18" s="485"/>
      <c r="W18" s="485"/>
      <c r="X18" s="485"/>
      <c r="Y18" s="485"/>
      <c r="Z18" s="485"/>
      <c r="AA18" s="485"/>
      <c r="AB18" s="485"/>
      <c r="AC18" s="485"/>
      <c r="AD18" s="485"/>
    </row>
    <row r="196" spans="4:6" ht="27" x14ac:dyDescent="0.3">
      <c r="D196" s="9" ph="1"/>
    </row>
    <row r="197" spans="4:6" ht="27" x14ac:dyDescent="0.3">
      <c r="F197" s="9" ph="1"/>
    </row>
    <row r="198" spans="4:6" ht="27" x14ac:dyDescent="0.3">
      <c r="D198" s="9" ph="1"/>
      <c r="F198" s="9" ph="1"/>
    </row>
    <row r="199" spans="4:6" ht="27" x14ac:dyDescent="0.3">
      <c r="F199" s="9" ph="1"/>
    </row>
    <row r="200" spans="4:6" ht="27" x14ac:dyDescent="0.3">
      <c r="F200" s="9" ph="1"/>
    </row>
    <row r="201" spans="4:6" ht="27" x14ac:dyDescent="0.3">
      <c r="F201" s="9" ph="1"/>
    </row>
    <row r="202" spans="4:6" ht="27" x14ac:dyDescent="0.3">
      <c r="F202" s="9" ph="1"/>
    </row>
    <row r="203" spans="4:6" ht="27" x14ac:dyDescent="0.3">
      <c r="F203" s="9" ph="1"/>
    </row>
    <row r="204" spans="4:6" ht="27" x14ac:dyDescent="0.3">
      <c r="F204" s="9" ph="1"/>
    </row>
    <row r="205" spans="4:6" ht="27" x14ac:dyDescent="0.3">
      <c r="F205" s="9" ph="1"/>
    </row>
    <row r="209" spans="4:6" ht="27" x14ac:dyDescent="0.3">
      <c r="D209" s="9" ph="1"/>
    </row>
    <row r="210" spans="4:6" ht="27" x14ac:dyDescent="0.3">
      <c r="D210" s="9" ph="1"/>
    </row>
    <row r="211" spans="4:6" ht="27" x14ac:dyDescent="0.3">
      <c r="D211" s="9" ph="1"/>
    </row>
    <row r="212" spans="4:6" ht="27" x14ac:dyDescent="0.3">
      <c r="D212" s="9" ph="1"/>
    </row>
    <row r="213" spans="4:6" ht="27" x14ac:dyDescent="0.3">
      <c r="D213" s="9" ph="1"/>
    </row>
    <row r="214" spans="4:6" ht="27" x14ac:dyDescent="0.3">
      <c r="D214" s="9" ph="1"/>
    </row>
    <row r="215" spans="4:6" ht="27" x14ac:dyDescent="0.3">
      <c r="F215" s="9" ph="1"/>
    </row>
    <row r="216" spans="4:6" ht="27" x14ac:dyDescent="0.3">
      <c r="F216" s="9" ph="1"/>
    </row>
    <row r="217" spans="4:6" ht="27" x14ac:dyDescent="0.3">
      <c r="F217" s="9" ph="1"/>
    </row>
    <row r="218" spans="4:6" ht="27" x14ac:dyDescent="0.3">
      <c r="F218" s="9" ph="1"/>
    </row>
    <row r="222" spans="4:6" ht="27" x14ac:dyDescent="0.3">
      <c r="D222" s="9" ph="1"/>
    </row>
    <row r="223" spans="4:6" ht="27" x14ac:dyDescent="0.3">
      <c r="D223" s="9" ph="1"/>
    </row>
    <row r="224" spans="4:6" ht="27" x14ac:dyDescent="0.3">
      <c r="D224" s="9" ph="1"/>
    </row>
    <row r="225" spans="4:6" ht="27" x14ac:dyDescent="0.3">
      <c r="D225" s="9" ph="1"/>
    </row>
    <row r="226" spans="4:6" ht="27" x14ac:dyDescent="0.3">
      <c r="D226" s="9" ph="1"/>
    </row>
    <row r="227" spans="4:6" ht="27" x14ac:dyDescent="0.3">
      <c r="D227" s="9" ph="1"/>
    </row>
    <row r="228" spans="4:6" ht="27" x14ac:dyDescent="0.3">
      <c r="D228" s="9" ph="1"/>
    </row>
    <row r="229" spans="4:6" ht="27" x14ac:dyDescent="0.3">
      <c r="F229" s="9" ph="1"/>
    </row>
    <row r="230" spans="4:6" ht="27" x14ac:dyDescent="0.3">
      <c r="D230" s="9" ph="1"/>
      <c r="F230" s="9" ph="1"/>
    </row>
    <row r="231" spans="4:6" ht="27" x14ac:dyDescent="0.3">
      <c r="F231" s="9" ph="1"/>
    </row>
    <row r="232" spans="4:6" ht="27" x14ac:dyDescent="0.3">
      <c r="F232" s="9" ph="1"/>
    </row>
    <row r="233" spans="4:6" ht="27" x14ac:dyDescent="0.3">
      <c r="F233" s="9" ph="1"/>
    </row>
    <row r="234" spans="4:6" ht="27" x14ac:dyDescent="0.3">
      <c r="F234" s="9" ph="1"/>
    </row>
    <row r="235" spans="4:6" ht="27" x14ac:dyDescent="0.3">
      <c r="F235" s="9" ph="1"/>
    </row>
    <row r="236" spans="4:6" ht="27" x14ac:dyDescent="0.3">
      <c r="F236" s="9" ph="1"/>
    </row>
    <row r="237" spans="4:6" ht="27" x14ac:dyDescent="0.3">
      <c r="F237" s="9" ph="1"/>
    </row>
    <row r="241" spans="4:6" ht="27" x14ac:dyDescent="0.3">
      <c r="D241" s="9" ph="1"/>
    </row>
    <row r="242" spans="4:6" ht="27" x14ac:dyDescent="0.3">
      <c r="D242" s="9" ph="1"/>
    </row>
    <row r="243" spans="4:6" ht="27" x14ac:dyDescent="0.3">
      <c r="D243" s="9" ph="1"/>
    </row>
    <row r="244" spans="4:6" ht="27" x14ac:dyDescent="0.3">
      <c r="D244" s="9" ph="1"/>
    </row>
    <row r="245" spans="4:6" ht="27" x14ac:dyDescent="0.3">
      <c r="D245" s="9" ph="1"/>
    </row>
    <row r="246" spans="4:6" ht="27" x14ac:dyDescent="0.3">
      <c r="D246" s="9" ph="1"/>
    </row>
    <row r="247" spans="4:6" ht="27" x14ac:dyDescent="0.3">
      <c r="F247" s="9" ph="1"/>
    </row>
    <row r="248" spans="4:6" ht="27" x14ac:dyDescent="0.3">
      <c r="F248" s="9" ph="1"/>
    </row>
    <row r="249" spans="4:6" ht="27" x14ac:dyDescent="0.3">
      <c r="F249" s="9" ph="1"/>
    </row>
    <row r="250" spans="4:6" ht="27" x14ac:dyDescent="0.3">
      <c r="F250" s="9" ph="1"/>
    </row>
    <row r="254" spans="4:6" ht="27" x14ac:dyDescent="0.3">
      <c r="D254" s="9" ph="1"/>
    </row>
    <row r="255" spans="4:6" ht="27" x14ac:dyDescent="0.3">
      <c r="D255" s="9" ph="1"/>
    </row>
    <row r="256" spans="4:6" ht="27" x14ac:dyDescent="0.3">
      <c r="D256" s="9" ph="1"/>
    </row>
    <row r="257" spans="4:6" ht="27" x14ac:dyDescent="0.3">
      <c r="D257" s="9" ph="1"/>
    </row>
    <row r="258" spans="4:6" ht="27" x14ac:dyDescent="0.3">
      <c r="D258" s="9" ph="1"/>
    </row>
    <row r="259" spans="4:6" ht="27" x14ac:dyDescent="0.3">
      <c r="D259" s="9" ph="1"/>
    </row>
    <row r="260" spans="4:6" ht="27" x14ac:dyDescent="0.3">
      <c r="F260" s="9" ph="1"/>
    </row>
    <row r="261" spans="4:6" ht="27" x14ac:dyDescent="0.3">
      <c r="F261" s="9" ph="1"/>
    </row>
    <row r="262" spans="4:6" ht="27" x14ac:dyDescent="0.3">
      <c r="F262" s="9" ph="1"/>
    </row>
    <row r="263" spans="4:6" ht="27" x14ac:dyDescent="0.3">
      <c r="F263" s="9" ph="1"/>
    </row>
    <row r="264" spans="4:6" ht="27" x14ac:dyDescent="0.3">
      <c r="F264" s="9" ph="1"/>
    </row>
    <row r="265" spans="4:6" ht="27" x14ac:dyDescent="0.3">
      <c r="F265" s="9" ph="1"/>
    </row>
    <row r="266" spans="4:6" ht="27" x14ac:dyDescent="0.3">
      <c r="F266" s="9" ph="1"/>
    </row>
    <row r="267" spans="4:6" ht="27" x14ac:dyDescent="0.3">
      <c r="D267" s="9" ph="1"/>
    </row>
    <row r="268" spans="4:6" ht="27" x14ac:dyDescent="0.3">
      <c r="D268" s="9" ph="1"/>
    </row>
    <row r="269" spans="4:6" ht="27" x14ac:dyDescent="0.3">
      <c r="D269" s="9" ph="1"/>
    </row>
    <row r="270" spans="4:6" ht="27" x14ac:dyDescent="0.3">
      <c r="F270" s="9" ph="1"/>
    </row>
    <row r="271" spans="4:6" ht="27" x14ac:dyDescent="0.3">
      <c r="F271" s="9" ph="1"/>
    </row>
    <row r="272" spans="4:6" ht="27" x14ac:dyDescent="0.3">
      <c r="F272" s="9" ph="1"/>
    </row>
    <row r="273" spans="6:6" ht="27" x14ac:dyDescent="0.3">
      <c r="F273" s="9" ph="1"/>
    </row>
    <row r="274" spans="6:6" ht="27" x14ac:dyDescent="0.3">
      <c r="F274" s="9" ph="1"/>
    </row>
    <row r="275" spans="6:6" ht="27" x14ac:dyDescent="0.3">
      <c r="F275" s="9" ph="1"/>
    </row>
    <row r="276" spans="6:6" ht="27" x14ac:dyDescent="0.3">
      <c r="F276" s="9" ph="1"/>
    </row>
    <row r="277" spans="6:6" ht="27" x14ac:dyDescent="0.3">
      <c r="F277" s="9" ph="1"/>
    </row>
    <row r="278" spans="6:6" ht="27" x14ac:dyDescent="0.3">
      <c r="F278" s="9" ph="1"/>
    </row>
    <row r="279" spans="6:6" ht="27" x14ac:dyDescent="0.3">
      <c r="F279" s="9" ph="1"/>
    </row>
    <row r="280" spans="6:6" ht="27" x14ac:dyDescent="0.3">
      <c r="F280" s="9" ph="1"/>
    </row>
    <row r="281" spans="6:6" ht="27" x14ac:dyDescent="0.3">
      <c r="F281" s="9" ph="1"/>
    </row>
    <row r="282" spans="6:6" ht="27" x14ac:dyDescent="0.3">
      <c r="F282" s="9" ph="1"/>
    </row>
    <row r="283" spans="6:6" ht="27" x14ac:dyDescent="0.3">
      <c r="F283" s="9" ph="1"/>
    </row>
    <row r="284" spans="6:6" ht="27" x14ac:dyDescent="0.3">
      <c r="F284" s="9" ph="1"/>
    </row>
    <row r="285" spans="6:6" ht="27" x14ac:dyDescent="0.3">
      <c r="F285" s="9" ph="1"/>
    </row>
    <row r="286" spans="6:6" ht="27" x14ac:dyDescent="0.3">
      <c r="F286" s="9" ph="1"/>
    </row>
    <row r="287" spans="6:6" ht="27" x14ac:dyDescent="0.3">
      <c r="F287" s="9" ph="1"/>
    </row>
    <row r="288" spans="6:6" ht="27" x14ac:dyDescent="0.3">
      <c r="F288" s="9" ph="1"/>
    </row>
    <row r="289" spans="6:6" ht="27" x14ac:dyDescent="0.3">
      <c r="F289" s="9" ph="1"/>
    </row>
    <row r="290" spans="6:6" ht="27" x14ac:dyDescent="0.3">
      <c r="F290" s="9" ph="1"/>
    </row>
    <row r="291" spans="6:6" ht="27" x14ac:dyDescent="0.3">
      <c r="F291" s="9" ph="1"/>
    </row>
    <row r="292" spans="6:6" ht="27" x14ac:dyDescent="0.3">
      <c r="F292" s="9" ph="1"/>
    </row>
    <row r="293" spans="6:6" ht="27" x14ac:dyDescent="0.3">
      <c r="F293" s="9" ph="1"/>
    </row>
    <row r="294" spans="6:6" ht="27" x14ac:dyDescent="0.3">
      <c r="F294" s="9" ph="1"/>
    </row>
    <row r="295" spans="6:6" ht="27" x14ac:dyDescent="0.3">
      <c r="F295" s="9" ph="1"/>
    </row>
    <row r="296" spans="6:6" ht="27" x14ac:dyDescent="0.3">
      <c r="F296" s="9" ph="1"/>
    </row>
    <row r="297" spans="6:6" ht="27" x14ac:dyDescent="0.3">
      <c r="F297" s="9" ph="1"/>
    </row>
    <row r="298" spans="6:6" ht="27" x14ac:dyDescent="0.3">
      <c r="F298" s="9" ph="1"/>
    </row>
    <row r="299" spans="6:6" ht="27" x14ac:dyDescent="0.3">
      <c r="F299" s="9" ph="1"/>
    </row>
    <row r="300" spans="6:6" ht="27" x14ac:dyDescent="0.3">
      <c r="F300" s="9" ph="1"/>
    </row>
    <row r="301" spans="6:6" ht="27" x14ac:dyDescent="0.3">
      <c r="F301" s="9" ph="1"/>
    </row>
    <row r="302" spans="6:6" ht="27" x14ac:dyDescent="0.3">
      <c r="F302" s="9" ph="1"/>
    </row>
    <row r="303" spans="6:6" ht="27" x14ac:dyDescent="0.3">
      <c r="F303" s="9" ph="1"/>
    </row>
    <row r="304" spans="6:6" ht="27" x14ac:dyDescent="0.3">
      <c r="F304" s="9" ph="1"/>
    </row>
    <row r="305" spans="6:6" ht="27" x14ac:dyDescent="0.3">
      <c r="F305" s="9" ph="1"/>
    </row>
    <row r="306" spans="6:6" ht="27" x14ac:dyDescent="0.3">
      <c r="F306" s="9" ph="1"/>
    </row>
    <row r="307" spans="6:6" ht="27" x14ac:dyDescent="0.3">
      <c r="F307" s="9" ph="1"/>
    </row>
    <row r="308" spans="6:6" ht="27" x14ac:dyDescent="0.3">
      <c r="F308" s="9" ph="1"/>
    </row>
    <row r="309" spans="6:6" ht="27" x14ac:dyDescent="0.3">
      <c r="F309" s="9" ph="1"/>
    </row>
    <row r="310" spans="6:6" ht="27" x14ac:dyDescent="0.3">
      <c r="F310" s="9" ph="1"/>
    </row>
    <row r="311" spans="6:6" ht="27" x14ac:dyDescent="0.3">
      <c r="F311" s="9" ph="1"/>
    </row>
    <row r="312" spans="6:6" ht="27" x14ac:dyDescent="0.3">
      <c r="F312" s="9" ph="1"/>
    </row>
    <row r="313" spans="6:6" ht="27" x14ac:dyDescent="0.3">
      <c r="F313" s="9" ph="1"/>
    </row>
    <row r="314" spans="6:6" ht="27" x14ac:dyDescent="0.3">
      <c r="F314" s="9" ph="1"/>
    </row>
    <row r="315" spans="6:6" ht="27" x14ac:dyDescent="0.3">
      <c r="F315" s="9" ph="1"/>
    </row>
    <row r="316" spans="6:6" ht="27" x14ac:dyDescent="0.3">
      <c r="F316" s="9" ph="1"/>
    </row>
    <row r="317" spans="6:6" ht="27" x14ac:dyDescent="0.3">
      <c r="F317" s="9" ph="1"/>
    </row>
    <row r="318" spans="6:6" ht="27" x14ac:dyDescent="0.3">
      <c r="F318" s="9" ph="1"/>
    </row>
    <row r="319" spans="6:6" ht="27" x14ac:dyDescent="0.3">
      <c r="F319" s="9" ph="1"/>
    </row>
    <row r="320" spans="6:6" ht="27" x14ac:dyDescent="0.3">
      <c r="F320" s="9" ph="1"/>
    </row>
    <row r="321" spans="6:6" ht="27" x14ac:dyDescent="0.3">
      <c r="F321" s="9" ph="1"/>
    </row>
    <row r="322" spans="6:6" ht="27" x14ac:dyDescent="0.3">
      <c r="F322" s="9" ph="1"/>
    </row>
    <row r="323" spans="6:6" ht="27" x14ac:dyDescent="0.3">
      <c r="F323" s="9" ph="1"/>
    </row>
    <row r="324" spans="6:6" ht="27" x14ac:dyDescent="0.3">
      <c r="F324" s="9" ph="1"/>
    </row>
    <row r="325" spans="6:6" ht="27" x14ac:dyDescent="0.3">
      <c r="F325" s="9" ph="1"/>
    </row>
    <row r="326" spans="6:6" ht="27" x14ac:dyDescent="0.3">
      <c r="F326" s="9" ph="1"/>
    </row>
    <row r="327" spans="6:6" ht="27" x14ac:dyDescent="0.3">
      <c r="F327" s="9" ph="1"/>
    </row>
    <row r="328" spans="6:6" ht="27" x14ac:dyDescent="0.3">
      <c r="F328" s="9" ph="1"/>
    </row>
    <row r="329" spans="6:6" ht="27" x14ac:dyDescent="0.3">
      <c r="F329" s="9" ph="1"/>
    </row>
    <row r="330" spans="6:6" ht="27" x14ac:dyDescent="0.3">
      <c r="F330" s="9" ph="1"/>
    </row>
    <row r="331" spans="6:6" ht="27" x14ac:dyDescent="0.3">
      <c r="F331" s="9" ph="1"/>
    </row>
    <row r="332" spans="6:6" ht="27" x14ac:dyDescent="0.3">
      <c r="F332" s="9" ph="1"/>
    </row>
    <row r="333" spans="6:6" ht="27" x14ac:dyDescent="0.3">
      <c r="F333" s="9" ph="1"/>
    </row>
    <row r="334" spans="6:6" ht="27" x14ac:dyDescent="0.3">
      <c r="F334" s="9" ph="1"/>
    </row>
    <row r="335" spans="6:6" ht="27" x14ac:dyDescent="0.3">
      <c r="F335" s="9" ph="1"/>
    </row>
    <row r="336" spans="6:6" ht="27" x14ac:dyDescent="0.3">
      <c r="F336" s="9" ph="1"/>
    </row>
    <row r="337" spans="6:6" ht="27" x14ac:dyDescent="0.3">
      <c r="F337" s="9" ph="1"/>
    </row>
    <row r="338" spans="6:6" ht="27" x14ac:dyDescent="0.3">
      <c r="F338" s="9" ph="1"/>
    </row>
    <row r="339" spans="6:6" ht="27" x14ac:dyDescent="0.3">
      <c r="F339" s="9" ph="1"/>
    </row>
    <row r="340" spans="6:6" ht="27" x14ac:dyDescent="0.3">
      <c r="F340" s="9" ph="1"/>
    </row>
    <row r="341" spans="6:6" ht="27" x14ac:dyDescent="0.3">
      <c r="F341" s="9" ph="1"/>
    </row>
    <row r="342" spans="6:6" ht="27" x14ac:dyDescent="0.3">
      <c r="F342" s="9" ph="1"/>
    </row>
    <row r="343" spans="6:6" ht="27" x14ac:dyDescent="0.3">
      <c r="F343" s="9" ph="1"/>
    </row>
    <row r="344" spans="6:6" ht="27" x14ac:dyDescent="0.3">
      <c r="F344" s="9" ph="1"/>
    </row>
    <row r="345" spans="6:6" ht="27" x14ac:dyDescent="0.3">
      <c r="F345" s="9" ph="1"/>
    </row>
    <row r="346" spans="6:6" ht="27" x14ac:dyDescent="0.3">
      <c r="F346" s="9" ph="1"/>
    </row>
  </sheetData>
  <mergeCells count="8">
    <mergeCell ref="A18:O18"/>
    <mergeCell ref="P18:AD18"/>
    <mergeCell ref="A1:O1"/>
    <mergeCell ref="P1:AD1"/>
    <mergeCell ref="A3:A4"/>
    <mergeCell ref="B3:O3"/>
    <mergeCell ref="P3:P4"/>
    <mergeCell ref="Q3:AD3"/>
  </mergeCells>
  <phoneticPr fontId="4" type="noConversion"/>
  <pageMargins left="0.7" right="0.7" top="0.75" bottom="0.75" header="0.3" footer="0.3"/>
  <pageSetup paperSize="9" scale="44" orientation="portrait" r:id="rId1"/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11</vt:i4>
      </vt:variant>
    </vt:vector>
  </HeadingPairs>
  <TitlesOfParts>
    <vt:vector size="26" baseType="lpstr">
      <vt:lpstr>표지</vt:lpstr>
      <vt:lpstr>1.1. 한국은행 계정</vt:lpstr>
      <vt:lpstr>1.2~3.여수신 등</vt:lpstr>
      <vt:lpstr>1.4.어음부도율</vt:lpstr>
      <vt:lpstr>2.1.제조업 생산·출하·재고지수</vt:lpstr>
      <vt:lpstr>2.2.대형소매점 판매액지수</vt:lpstr>
      <vt:lpstr>2.3.건축 허가·착공 면적 등</vt:lpstr>
      <vt:lpstr>2.4.수출입</vt:lpstr>
      <vt:lpstr>2.5.취업자수 및 실업률</vt:lpstr>
      <vt:lpstr>2.6.물가</vt:lpstr>
      <vt:lpstr>2.7.기업경기지수</vt:lpstr>
      <vt:lpstr>2.8.소비자동향지수</vt:lpstr>
      <vt:lpstr>2.9.자동차 신규등록대수</vt:lpstr>
      <vt:lpstr>2.10.전력 사용량</vt:lpstr>
      <vt:lpstr>2.11.기업경영분석</vt:lpstr>
      <vt:lpstr>'1.1. 한국은행 계정'!Print_Area</vt:lpstr>
      <vt:lpstr>'1.2~3.여수신 등'!Print_Area</vt:lpstr>
      <vt:lpstr>'2.1.제조업 생산·출하·재고지수'!Print_Area</vt:lpstr>
      <vt:lpstr>'2.10.전력 사용량'!Print_Area</vt:lpstr>
      <vt:lpstr>'2.11.기업경영분석'!Print_Area</vt:lpstr>
      <vt:lpstr>'2.2.대형소매점 판매액지수'!Print_Area</vt:lpstr>
      <vt:lpstr>'2.3.건축 허가·착공 면적 등'!Print_Area</vt:lpstr>
      <vt:lpstr>'2.4.수출입'!Print_Area</vt:lpstr>
      <vt:lpstr>'2.5.취업자수 및 실업률'!Print_Area</vt:lpstr>
      <vt:lpstr>'2.8.소비자동향지수'!Print_Area</vt:lpstr>
      <vt:lpstr>'2.9.자동차 신규등록대수'!Print_Area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조세영</dc:creator>
  <cp:lastModifiedBy>조세영</cp:lastModifiedBy>
  <dcterms:created xsi:type="dcterms:W3CDTF">2026-05-07T04:49:46Z</dcterms:created>
  <dcterms:modified xsi:type="dcterms:W3CDTF">2026-05-07T04:59:45Z</dcterms:modified>
</cp:coreProperties>
</file>