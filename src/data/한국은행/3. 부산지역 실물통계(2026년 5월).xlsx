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S:\부산경제조사팀\01. 실물경제동향\2026\2026.5월\게시용\"/>
    </mc:Choice>
  </mc:AlternateContent>
  <xr:revisionPtr revIDLastSave="0" documentId="13_ncr:1_{0F5FCDDF-6B06-4A98-9232-63B9081B6F95}" xr6:coauthVersionLast="36" xr6:coauthVersionMax="36" xr10:uidLastSave="{00000000-0000-0000-0000-000000000000}"/>
  <bookViews>
    <workbookView xWindow="0" yWindow="0" windowWidth="16200" windowHeight="8055" tabRatio="833" xr2:uid="{00000000-000D-0000-FFFF-FFFF00000000}"/>
  </bookViews>
  <sheets>
    <sheet name="1.제조업 생산활동" sheetId="735" r:id="rId1"/>
    <sheet name="2.소매판매액지수, 대형소매점 판매액지수 및 서비스업 생" sheetId="736" r:id="rId2"/>
    <sheet name="3.건설활동" sheetId="737" r:id="rId3"/>
    <sheet name="4.수출입" sheetId="738" r:id="rId4"/>
    <sheet name="5.취업자수 및 실업률" sheetId="739" r:id="rId5"/>
    <sheet name="6.소비자물가, 주택 및 토지가격지수" sheetId="740" r:id="rId6"/>
    <sheet name="7. 기업경기지수" sheetId="741" r:id="rId7"/>
    <sheet name="8. 소비자동향지수" sheetId="742" r:id="rId8"/>
    <sheet name="9.자동차 신규등록대수" sheetId="743" r:id="rId9"/>
    <sheet name="10. 전력사용량" sheetId="744" r:id="rId10"/>
    <sheet name="11. 지역고유통계" sheetId="745" r:id="rId11"/>
  </sheets>
  <definedNames>
    <definedName name="_xlnm.Print_Area" localSheetId="9">'10. 전력사용량'!$A$1:$H$79</definedName>
    <definedName name="_xlnm.Print_Area" localSheetId="1">'2.소매판매액지수, 대형소매점 판매액지수 및 서비스업 생'!$A$1:$F$81</definedName>
    <definedName name="_xlnm.Print_Area" localSheetId="2">'3.건설활동'!$A$1:$K$79</definedName>
    <definedName name="_xlnm.Print_Area" localSheetId="3">'4.수출입'!$A$1:$K$81</definedName>
    <definedName name="_xlnm.Print_Area" localSheetId="4">'5.취업자수 및 실업률'!$A$1:$H$82</definedName>
    <definedName name="_xlnm.Print_Area" localSheetId="5">'6.소비자물가, 주택 및 토지가격지수'!$A$1:$H$80</definedName>
    <definedName name="_xlnm.Print_Area" localSheetId="6">'7. 기업경기지수'!$A$1:$M$141</definedName>
    <definedName name="_xlnm.Print_Area" localSheetId="8">'9.자동차 신규등록대수'!$A$1:$F$78</definedName>
  </definedNames>
  <calcPr calcId="191029"/>
</workbook>
</file>

<file path=xl/calcChain.xml><?xml version="1.0" encoding="utf-8"?>
<calcChain xmlns="http://schemas.openxmlformats.org/spreadsheetml/2006/main">
  <c r="A77" i="745" l="1"/>
  <c r="A76" i="743"/>
  <c r="A137" i="742"/>
  <c r="A71" i="742"/>
  <c r="A138" i="741"/>
  <c r="A71" i="741"/>
  <c r="A77" i="740"/>
  <c r="A77" i="739"/>
  <c r="A76" i="737"/>
  <c r="A76" i="736"/>
  <c r="A78" i="735"/>
  <c r="A76" i="745" l="1"/>
  <c r="A136" i="742" l="1"/>
  <c r="A137" i="741"/>
  <c r="A76" i="740"/>
  <c r="A76" i="739"/>
  <c r="A75" i="737"/>
  <c r="A75" i="736"/>
  <c r="A77" i="735"/>
  <c r="A75" i="745" l="1"/>
  <c r="A75" i="743"/>
  <c r="A135" i="742"/>
  <c r="A136" i="741"/>
  <c r="A75" i="740"/>
  <c r="A75" i="739"/>
  <c r="A74" i="737"/>
  <c r="A74" i="736"/>
  <c r="A76" i="735"/>
  <c r="B67" i="744" l="1"/>
  <c r="A42" i="744"/>
  <c r="A43" i="744" s="1"/>
  <c r="A44" i="744" s="1"/>
  <c r="A45" i="744" s="1"/>
  <c r="A46" i="744" s="1"/>
  <c r="A47" i="744" s="1"/>
  <c r="A48" i="744" s="1"/>
  <c r="A49" i="744" s="1"/>
  <c r="A50" i="744" s="1"/>
  <c r="A51" i="744" s="1"/>
  <c r="A52" i="744" s="1"/>
  <c r="A53" i="744" s="1"/>
  <c r="A54" i="744" s="1"/>
  <c r="A55" i="744" s="1"/>
  <c r="A56" i="744" s="1"/>
  <c r="A57" i="744" s="1"/>
  <c r="A58" i="744" s="1"/>
  <c r="A59" i="744" s="1"/>
  <c r="A60" i="744" s="1"/>
  <c r="A61" i="744" s="1"/>
  <c r="A62" i="744" s="1"/>
  <c r="A63" i="744" s="1"/>
  <c r="A64" i="744" s="1"/>
  <c r="A65" i="744" s="1"/>
  <c r="A66" i="744" s="1"/>
  <c r="A67" i="744" s="1"/>
  <c r="A68" i="744" s="1"/>
  <c r="A69" i="744" s="1"/>
  <c r="A70" i="744" s="1"/>
  <c r="A71" i="744" s="1"/>
  <c r="A74" i="740" l="1"/>
  <c r="A74" i="743" l="1"/>
  <c r="A73" i="743"/>
  <c r="A134" i="742" l="1"/>
  <c r="A133" i="742"/>
  <c r="A135" i="741" l="1"/>
  <c r="A134" i="741"/>
  <c r="A74" i="739" l="1"/>
  <c r="A73" i="739"/>
  <c r="A44" i="739"/>
  <c r="A45" i="739" s="1"/>
  <c r="A46" i="739" s="1"/>
  <c r="A47" i="739" s="1"/>
  <c r="A48" i="739" s="1"/>
  <c r="A49" i="739" s="1"/>
  <c r="A50" i="739" s="1"/>
  <c r="A61" i="742" l="1"/>
  <c r="A62" i="742" s="1"/>
  <c r="A63" i="742" s="1"/>
  <c r="A64" i="742" s="1"/>
  <c r="A65" i="742" s="1"/>
  <c r="A66" i="742" l="1"/>
  <c r="A67" i="742" s="1"/>
  <c r="A68" i="742" s="1"/>
  <c r="A69" i="742" s="1"/>
  <c r="A70" i="742" s="1"/>
  <c r="A66" i="736"/>
  <c r="A67" i="736" s="1"/>
  <c r="A68" i="736" l="1"/>
  <c r="A69" i="736" s="1"/>
  <c r="A59" i="741"/>
  <c r="A60" i="741" s="1"/>
  <c r="A61" i="741" s="1"/>
  <c r="A70" i="736" l="1"/>
  <c r="A62" i="741"/>
  <c r="A63" i="741" s="1"/>
  <c r="A64" i="741" s="1"/>
  <c r="A65" i="741" s="1"/>
  <c r="A66" i="741" s="1"/>
  <c r="A67" i="741" s="1"/>
  <c r="A68" i="741" s="1"/>
  <c r="A69" i="741" s="1"/>
  <c r="A70" i="741" s="1"/>
  <c r="A127" i="742"/>
  <c r="A128" i="742" s="1"/>
  <c r="A129" i="742" s="1"/>
  <c r="A130" i="742" s="1"/>
  <c r="A131" i="742" s="1"/>
  <c r="A132" i="742" s="1"/>
  <c r="A71" i="736" l="1"/>
  <c r="A72" i="736" s="1"/>
  <c r="A73" i="736" s="1"/>
  <c r="A68" i="745"/>
  <c r="A69" i="745" s="1"/>
  <c r="A70" i="745" s="1"/>
  <c r="A71" i="745" s="1"/>
  <c r="A72" i="745" s="1"/>
  <c r="A73" i="745" s="1"/>
  <c r="A74" i="745" s="1"/>
  <c r="A67" i="743" l="1"/>
  <c r="A68" i="743" s="1"/>
  <c r="A69" i="743" s="1"/>
  <c r="A70" i="743" s="1"/>
  <c r="A71" i="743" s="1"/>
  <c r="A72" i="743" s="1"/>
  <c r="A68" i="735" l="1"/>
  <c r="A69" i="735" s="1"/>
  <c r="A70" i="735" s="1"/>
  <c r="A71" i="735" s="1"/>
  <c r="A72" i="735" s="1"/>
  <c r="A73" i="735" s="1"/>
  <c r="A74" i="735" s="1"/>
  <c r="A75" i="735" s="1"/>
  <c r="A45" i="742" l="1"/>
  <c r="A46" i="742" s="1"/>
  <c r="A47" i="742" s="1"/>
  <c r="A48" i="742" s="1"/>
  <c r="A49" i="742" s="1"/>
  <c r="A50" i="742" s="1"/>
  <c r="A51" i="742" s="1"/>
  <c r="A52" i="742" s="1"/>
  <c r="A53" i="742" s="1"/>
  <c r="A54" i="742" s="1"/>
  <c r="A45" i="741"/>
  <c r="A46" i="741" s="1"/>
  <c r="A47" i="741" s="1"/>
  <c r="A48" i="741" s="1"/>
  <c r="A49" i="741" s="1"/>
  <c r="A50" i="741" s="1"/>
  <c r="A51" i="741" s="1"/>
  <c r="A52" i="741" s="1"/>
  <c r="A53" i="741" s="1"/>
  <c r="A54" i="741" s="1"/>
  <c r="A49" i="736" l="1"/>
  <c r="A51" i="735"/>
  <c r="A37" i="742" l="1"/>
  <c r="A38" i="742" s="1"/>
  <c r="A39" i="742" s="1"/>
  <c r="A40" i="742" s="1"/>
  <c r="A41" i="742" s="1"/>
  <c r="A42" i="742" s="1"/>
  <c r="A43" i="742" s="1"/>
  <c r="A38" i="741"/>
  <c r="A39" i="741" s="1"/>
  <c r="A40" i="741" s="1"/>
  <c r="A41" i="741" s="1"/>
  <c r="A42" i="741" s="1"/>
  <c r="A43" i="741" s="1"/>
  <c r="A43" i="737" l="1"/>
  <c r="A44" i="737" s="1"/>
  <c r="A45" i="737" s="1"/>
  <c r="A46" i="737" s="1"/>
  <c r="A47" i="737" s="1"/>
  <c r="A48" i="737" s="1"/>
  <c r="A49" i="737" s="1"/>
  <c r="A50" i="737" s="1"/>
  <c r="A51" i="737" s="1"/>
  <c r="A52" i="737" s="1"/>
  <c r="A53" i="737" s="1"/>
  <c r="A54" i="737" s="1"/>
  <c r="A55" i="737" s="1"/>
  <c r="A56" i="737" s="1"/>
  <c r="A57" i="737" s="1"/>
  <c r="A58" i="737" s="1"/>
  <c r="A59" i="737" s="1"/>
  <c r="A60" i="737" s="1"/>
  <c r="A61" i="737" s="1"/>
  <c r="A62" i="737" s="1"/>
  <c r="A63" i="737" s="1"/>
  <c r="A64" i="737" s="1"/>
  <c r="A65" i="737" s="1"/>
  <c r="A66" i="737" s="1"/>
  <c r="A67" i="737" s="1"/>
  <c r="A68" i="737" l="1"/>
  <c r="A69" i="737" s="1"/>
  <c r="A70" i="737" s="1"/>
  <c r="A71" i="737" s="1"/>
  <c r="A72" i="737" s="1"/>
  <c r="A73" i="737" s="1"/>
  <c r="A40" i="740"/>
  <c r="A41" i="740" s="1"/>
  <c r="A42" i="740" s="1"/>
  <c r="A43" i="740" s="1"/>
  <c r="A44" i="740" s="1"/>
  <c r="A45" i="740" s="1"/>
  <c r="A46" i="740" s="1"/>
  <c r="A47" i="740" s="1"/>
  <c r="A48" i="740" s="1"/>
  <c r="A49" i="740" s="1"/>
  <c r="A50" i="740" s="1"/>
  <c r="A51" i="740" s="1"/>
  <c r="A52" i="740" s="1"/>
  <c r="A53" i="740" l="1"/>
  <c r="A54" i="740" s="1"/>
  <c r="A55" i="740" s="1"/>
  <c r="A56" i="740" s="1"/>
  <c r="A57" i="740" s="1"/>
  <c r="A58" i="740" s="1"/>
  <c r="A59" i="740" s="1"/>
  <c r="A60" i="740" s="1"/>
  <c r="A61" i="740" s="1"/>
  <c r="A62" i="740" s="1"/>
  <c r="A63" i="740" s="1"/>
  <c r="A64" i="740" s="1"/>
  <c r="A65" i="740" s="1"/>
  <c r="A66" i="740" s="1"/>
  <c r="A67" i="740" s="1"/>
  <c r="A68" i="740" s="1"/>
  <c r="A69" i="740" s="1"/>
  <c r="A70" i="740" s="1"/>
  <c r="A71" i="740" s="1"/>
  <c r="A72" i="740" s="1"/>
  <c r="A73" i="740" s="1"/>
  <c r="A39" i="745"/>
  <c r="A40" i="745" s="1"/>
  <c r="A43" i="743"/>
  <c r="A44" i="743" s="1"/>
  <c r="A45" i="743" s="1"/>
  <c r="A46" i="743" s="1"/>
  <c r="A47" i="743" s="1"/>
  <c r="A48" i="743" s="1"/>
  <c r="A49" i="743" s="1"/>
  <c r="A50" i="743" s="1"/>
  <c r="A51" i="743" s="1"/>
  <c r="A52" i="743" s="1"/>
  <c r="A53" i="743" s="1"/>
  <c r="A54" i="743" s="1"/>
  <c r="A55" i="743" s="1"/>
  <c r="A56" i="743" s="1"/>
  <c r="A57" i="743" s="1"/>
  <c r="A58" i="743" s="1"/>
  <c r="A59" i="743" s="1"/>
  <c r="A60" i="743" s="1"/>
  <c r="A61" i="743" s="1"/>
  <c r="A103" i="742"/>
  <c r="A104" i="742" s="1"/>
  <c r="A105" i="742" s="1"/>
  <c r="A106" i="742" s="1"/>
  <c r="A107" i="742" s="1"/>
  <c r="A108" i="742" s="1"/>
  <c r="A109" i="742" s="1"/>
  <c r="A110" i="742" s="1"/>
  <c r="A111" i="742" s="1"/>
  <c r="A112" i="742" s="1"/>
  <c r="A113" i="742" s="1"/>
  <c r="A114" i="742" s="1"/>
  <c r="A115" i="742" s="1"/>
  <c r="A116" i="742" s="1"/>
  <c r="A117" i="742" s="1"/>
  <c r="A118" i="742" s="1"/>
  <c r="A119" i="742" s="1"/>
  <c r="A120" i="742" s="1"/>
  <c r="A121" i="742" s="1"/>
  <c r="A104" i="741"/>
  <c r="A105" i="741" s="1"/>
  <c r="A106" i="741" s="1"/>
  <c r="A107" i="741" s="1"/>
  <c r="A108" i="741" s="1"/>
  <c r="A109" i="741" s="1"/>
  <c r="A110" i="741" s="1"/>
  <c r="A111" i="741" s="1"/>
  <c r="A112" i="741" s="1"/>
  <c r="A113" i="741" s="1"/>
  <c r="A114" i="741" s="1"/>
  <c r="A115" i="741" s="1"/>
  <c r="A116" i="741" s="1"/>
  <c r="A117" i="741" s="1"/>
  <c r="A118" i="741" s="1"/>
  <c r="A119" i="741" s="1"/>
  <c r="A120" i="741" s="1"/>
  <c r="A121" i="741" s="1"/>
  <c r="A122" i="741" s="1"/>
  <c r="A123" i="741" s="1"/>
  <c r="A124" i="741" s="1"/>
  <c r="A125" i="741" s="1"/>
  <c r="A126" i="741" s="1"/>
  <c r="A127" i="741" s="1"/>
  <c r="A128" i="741" s="1"/>
  <c r="A129" i="741" s="1"/>
  <c r="A130" i="741" s="1"/>
  <c r="A131" i="741" s="1"/>
  <c r="A132" i="741" s="1"/>
  <c r="A133" i="741" s="1"/>
  <c r="A44" i="738"/>
  <c r="A51" i="739" l="1"/>
  <c r="A52" i="739" s="1"/>
  <c r="A53" i="739" s="1"/>
  <c r="A54" i="739" s="1"/>
  <c r="A55" i="739" s="1"/>
  <c r="A56" i="739" s="1"/>
  <c r="A57" i="739" s="1"/>
  <c r="A58" i="739" s="1"/>
  <c r="A59" i="739" s="1"/>
  <c r="A60" i="739" s="1"/>
  <c r="A61" i="739" s="1"/>
  <c r="A62" i="739" s="1"/>
  <c r="A63" i="739" s="1"/>
  <c r="A64" i="739" s="1"/>
  <c r="A65" i="739" s="1"/>
  <c r="A66" i="739" s="1"/>
  <c r="A67" i="739" s="1"/>
  <c r="A68" i="739" s="1"/>
  <c r="A69" i="739" s="1"/>
  <c r="A70" i="739" s="1"/>
  <c r="A71" i="739" s="1"/>
  <c r="A72" i="739" s="1"/>
  <c r="A41" i="745"/>
  <c r="A45" i="738"/>
  <c r="A46" i="738" s="1"/>
  <c r="A47" i="738" s="1"/>
  <c r="A48" i="738" s="1"/>
  <c r="A49" i="738" s="1"/>
  <c r="A50" i="738" s="1"/>
  <c r="A51" i="738" s="1"/>
  <c r="A52" i="738" s="1"/>
  <c r="A53" i="738" s="1"/>
  <c r="A54" i="738" s="1"/>
  <c r="A55" i="738" s="1"/>
  <c r="A56" i="738" s="1"/>
  <c r="A57" i="738" s="1"/>
  <c r="A58" i="738" s="1"/>
  <c r="A59" i="738" s="1"/>
  <c r="A60" i="738" s="1"/>
  <c r="A61" i="738" s="1"/>
  <c r="A62" i="738" s="1"/>
  <c r="A63" i="738" s="1"/>
  <c r="A64" i="738" s="1"/>
  <c r="A65" i="738" s="1"/>
  <c r="A66" i="738" s="1"/>
  <c r="A67" i="738" s="1"/>
  <c r="A68" i="738" s="1"/>
  <c r="A69" i="738" s="1"/>
  <c r="A42" i="745" l="1"/>
  <c r="A43" i="745" l="1"/>
  <c r="A44" i="745" l="1"/>
  <c r="A45" i="745" l="1"/>
  <c r="A46" i="745" s="1"/>
  <c r="A47" i="745" s="1"/>
  <c r="A48" i="745" s="1"/>
  <c r="A49" i="745" s="1"/>
  <c r="A50" i="745" s="1"/>
  <c r="A51" i="745" s="1"/>
  <c r="A52" i="745" s="1"/>
  <c r="A53" i="745" s="1"/>
  <c r="A54" i="745" s="1"/>
  <c r="A55" i="745" s="1"/>
  <c r="A56" i="745" s="1"/>
  <c r="A57" i="745" s="1"/>
  <c r="A58" i="745" s="1"/>
  <c r="A59" i="745" s="1"/>
  <c r="A60" i="745" s="1"/>
  <c r="A61" i="745" s="1"/>
  <c r="A62" i="745" s="1"/>
  <c r="A63" i="745" s="1"/>
  <c r="A64" i="745" s="1"/>
  <c r="A65" i="745" s="1"/>
</calcChain>
</file>

<file path=xl/sharedStrings.xml><?xml version="1.0" encoding="utf-8"?>
<sst xmlns="http://schemas.openxmlformats.org/spreadsheetml/2006/main" count="364" uniqueCount="166">
  <si>
    <t>연월중</t>
  </si>
  <si>
    <t>계</t>
    <phoneticPr fontId="27" type="noConversion"/>
  </si>
  <si>
    <t>제조업</t>
    <phoneticPr fontId="27" type="noConversion"/>
  </si>
  <si>
    <t>1. 제조업 생산·출하·재고지수</t>
    <phoneticPr fontId="27" type="noConversion"/>
  </si>
  <si>
    <t>(부산지역)</t>
    <phoneticPr fontId="27" type="noConversion"/>
  </si>
  <si>
    <t>연월중</t>
    <phoneticPr fontId="27" type="noConversion"/>
  </si>
  <si>
    <t>제                    조                    업</t>
    <phoneticPr fontId="27" type="noConversion"/>
  </si>
  <si>
    <t>원지수</t>
    <phoneticPr fontId="27" type="noConversion"/>
  </si>
  <si>
    <t>계절변동</t>
    <phoneticPr fontId="27" type="noConversion"/>
  </si>
  <si>
    <t>조정지수</t>
    <phoneticPr fontId="27" type="noConversion"/>
  </si>
  <si>
    <t>-</t>
  </si>
  <si>
    <t>2. 소매판매액 지수, 대형소매점 판매액지수 및 서비스업 생산지수</t>
    <phoneticPr fontId="27" type="noConversion"/>
  </si>
  <si>
    <t>(부산지역)</t>
    <phoneticPr fontId="27" type="noConversion"/>
  </si>
  <si>
    <r>
      <t>소매판매액
  지수</t>
    </r>
    <r>
      <rPr>
        <vertAlign val="superscript"/>
        <sz val="10"/>
        <rFont val="돋움"/>
        <family val="3"/>
        <charset val="129"/>
      </rPr>
      <t>1)2)</t>
    </r>
    <phoneticPr fontId="27" type="noConversion"/>
  </si>
  <si>
    <r>
      <t>대형소매점 판매액지수</t>
    </r>
    <r>
      <rPr>
        <vertAlign val="superscript"/>
        <sz val="10"/>
        <rFont val="돋움"/>
        <family val="3"/>
        <charset val="129"/>
      </rPr>
      <t>1)3)</t>
    </r>
    <phoneticPr fontId="27" type="noConversion"/>
  </si>
  <si>
    <t>백화점</t>
  </si>
  <si>
    <t>대형마트</t>
  </si>
  <si>
    <t>`</t>
    <phoneticPr fontId="27" type="noConversion"/>
  </si>
  <si>
    <t>3.건축허가·착공면적, 건설 수주액 및 미분양주택</t>
    <phoneticPr fontId="27" type="noConversion"/>
  </si>
  <si>
    <t>건축
허가
면적</t>
    <phoneticPr fontId="27" type="noConversion"/>
  </si>
  <si>
    <t>건축
착공
면적</t>
    <phoneticPr fontId="27" type="noConversion"/>
  </si>
  <si>
    <r>
      <t>건설
수주액</t>
    </r>
    <r>
      <rPr>
        <vertAlign val="superscript"/>
        <sz val="10"/>
        <rFont val="돋움"/>
        <family val="3"/>
        <charset val="129"/>
      </rPr>
      <t>1)</t>
    </r>
    <phoneticPr fontId="27" type="noConversion"/>
  </si>
  <si>
    <r>
      <t>미분양
주택</t>
    </r>
    <r>
      <rPr>
        <vertAlign val="superscript"/>
        <sz val="10"/>
        <rFont val="돋움"/>
        <family val="3"/>
        <charset val="129"/>
      </rPr>
      <t>2)</t>
    </r>
    <phoneticPr fontId="27" type="noConversion"/>
  </si>
  <si>
    <t>(백만달러)</t>
    <phoneticPr fontId="27" type="noConversion"/>
  </si>
  <si>
    <t>1차</t>
    <phoneticPr fontId="27" type="noConversion"/>
  </si>
  <si>
    <t>중간재</t>
    <phoneticPr fontId="27" type="noConversion"/>
  </si>
  <si>
    <t>자본재</t>
    <phoneticPr fontId="27" type="noConversion"/>
  </si>
  <si>
    <t>소비재</t>
    <phoneticPr fontId="27" type="noConversion"/>
  </si>
  <si>
    <t>소비재</t>
  </si>
  <si>
    <t>산품</t>
    <phoneticPr fontId="27" type="noConversion"/>
  </si>
  <si>
    <r>
      <t>· 기타</t>
    </r>
    <r>
      <rPr>
        <vertAlign val="superscript"/>
        <sz val="10"/>
        <rFont val="돋움"/>
        <family val="3"/>
        <charset val="129"/>
      </rPr>
      <t>2)</t>
    </r>
    <phoneticPr fontId="27" type="noConversion"/>
  </si>
  <si>
    <t xml:space="preserve">          2) 군경용 제품 등 포함</t>
    <phoneticPr fontId="27" type="noConversion"/>
  </si>
  <si>
    <t xml:space="preserve"> 자료 : 한국무역협회</t>
    <phoneticPr fontId="27" type="noConversion"/>
  </si>
  <si>
    <r>
      <t>5. 취업자수</t>
    </r>
    <r>
      <rPr>
        <b/>
        <vertAlign val="superscript"/>
        <sz val="11"/>
        <rFont val="돋움"/>
        <family val="3"/>
        <charset val="129"/>
      </rPr>
      <t>1)</t>
    </r>
    <r>
      <rPr>
        <b/>
        <sz val="11"/>
        <rFont val="돋움"/>
        <family val="3"/>
        <charset val="129"/>
      </rPr>
      <t xml:space="preserve"> 및 실업률</t>
    </r>
    <r>
      <rPr>
        <b/>
        <vertAlign val="superscript"/>
        <sz val="11"/>
        <rFont val="돋움"/>
        <family val="3"/>
        <charset val="129"/>
      </rPr>
      <t>1)</t>
    </r>
    <phoneticPr fontId="27" type="noConversion"/>
  </si>
  <si>
    <t>(천명, %)</t>
    <phoneticPr fontId="27" type="noConversion"/>
  </si>
  <si>
    <r>
      <t>15세 이상
인구</t>
    </r>
    <r>
      <rPr>
        <vertAlign val="superscript"/>
        <sz val="10"/>
        <rFont val="돋움"/>
        <family val="3"/>
        <charset val="129"/>
      </rPr>
      <t>2)</t>
    </r>
    <phoneticPr fontId="27" type="noConversion"/>
  </si>
  <si>
    <t xml:space="preserve">경제활동 인구     </t>
    <phoneticPr fontId="27" type="noConversion"/>
  </si>
  <si>
    <t>경제활동</t>
    <phoneticPr fontId="27" type="noConversion"/>
  </si>
  <si>
    <t>고용률</t>
    <phoneticPr fontId="27" type="noConversion"/>
  </si>
  <si>
    <t>실업률</t>
    <phoneticPr fontId="27" type="noConversion"/>
  </si>
  <si>
    <t>취업자</t>
    <phoneticPr fontId="27" type="noConversion"/>
  </si>
  <si>
    <t>실업자</t>
    <phoneticPr fontId="27" type="noConversion"/>
  </si>
  <si>
    <t>참가율</t>
    <phoneticPr fontId="27" type="noConversion"/>
  </si>
  <si>
    <t xml:space="preserve">   주 : 1) 기간평균, 구직기간 4주 기준,  </t>
    <phoneticPr fontId="27" type="noConversion"/>
  </si>
  <si>
    <t>6. 소비자물가, 주택 및 토지가격지수</t>
    <phoneticPr fontId="27" type="noConversion"/>
  </si>
  <si>
    <r>
      <t>소비자
물가지수</t>
    </r>
    <r>
      <rPr>
        <vertAlign val="superscript"/>
        <sz val="10"/>
        <rFont val="돋움"/>
        <family val="3"/>
        <charset val="129"/>
      </rPr>
      <t>1)</t>
    </r>
    <phoneticPr fontId="27" type="noConversion"/>
  </si>
  <si>
    <r>
      <t>생활
물가지수</t>
    </r>
    <r>
      <rPr>
        <vertAlign val="superscript"/>
        <sz val="10"/>
        <rFont val="돋움"/>
        <family val="3"/>
        <charset val="129"/>
      </rPr>
      <t>1)</t>
    </r>
    <phoneticPr fontId="27" type="noConversion"/>
  </si>
  <si>
    <r>
      <t>주택매매
가격지수</t>
    </r>
    <r>
      <rPr>
        <vertAlign val="superscript"/>
        <sz val="10"/>
        <rFont val="돋움"/>
        <family val="3"/>
        <charset val="129"/>
      </rPr>
      <t>2)</t>
    </r>
    <phoneticPr fontId="27" type="noConversion"/>
  </si>
  <si>
    <r>
      <t>주택전세
가격지수</t>
    </r>
    <r>
      <rPr>
        <vertAlign val="superscript"/>
        <sz val="10"/>
        <rFont val="돋움"/>
        <family val="3"/>
        <charset val="129"/>
      </rPr>
      <t>2)</t>
    </r>
    <phoneticPr fontId="27" type="noConversion"/>
  </si>
  <si>
    <t>아파트</t>
    <phoneticPr fontId="27" type="noConversion"/>
  </si>
  <si>
    <t>연월중</t>
    <phoneticPr fontId="100" type="noConversion"/>
  </si>
  <si>
    <t>업황</t>
    <phoneticPr fontId="27" type="noConversion"/>
  </si>
  <si>
    <t>매출</t>
    <phoneticPr fontId="27" type="noConversion"/>
  </si>
  <si>
    <t>채산성</t>
    <phoneticPr fontId="27" type="noConversion"/>
  </si>
  <si>
    <t>설비투자</t>
    <phoneticPr fontId="27" type="noConversion"/>
  </si>
  <si>
    <t>자금사정</t>
    <phoneticPr fontId="27" type="noConversion"/>
  </si>
  <si>
    <t>인력사정</t>
    <phoneticPr fontId="27" type="noConversion"/>
  </si>
  <si>
    <t>실적</t>
    <phoneticPr fontId="27" type="noConversion"/>
  </si>
  <si>
    <t>전망</t>
    <phoneticPr fontId="27" type="noConversion"/>
  </si>
  <si>
    <t>전망</t>
    <phoneticPr fontId="100" type="noConversion"/>
  </si>
  <si>
    <t>비제조업</t>
    <phoneticPr fontId="100" type="noConversion"/>
  </si>
  <si>
    <t>업황</t>
    <phoneticPr fontId="100" type="noConversion"/>
  </si>
  <si>
    <t>자금사정</t>
    <phoneticPr fontId="100" type="noConversion"/>
  </si>
  <si>
    <t xml:space="preserve">  실적</t>
    <phoneticPr fontId="100" type="noConversion"/>
  </si>
  <si>
    <t xml:space="preserve">  전망</t>
    <phoneticPr fontId="100" type="noConversion"/>
  </si>
  <si>
    <t>전망</t>
  </si>
  <si>
    <t>실적</t>
    <phoneticPr fontId="100" type="noConversion"/>
  </si>
  <si>
    <t xml:space="preserve">  자료 : 한국은행</t>
    <phoneticPr fontId="100" type="noConversion"/>
  </si>
  <si>
    <t>현재</t>
  </si>
  <si>
    <t>생활</t>
  </si>
  <si>
    <t>가계</t>
  </si>
  <si>
    <t>향후</t>
  </si>
  <si>
    <t>취업</t>
  </si>
  <si>
    <t>금리</t>
  </si>
  <si>
    <t>물가</t>
  </si>
  <si>
    <t>주택</t>
    <phoneticPr fontId="27" type="noConversion"/>
  </si>
  <si>
    <t>임금</t>
    <phoneticPr fontId="27" type="noConversion"/>
  </si>
  <si>
    <t>형편</t>
  </si>
  <si>
    <t>수입</t>
  </si>
  <si>
    <t>경기</t>
  </si>
  <si>
    <t>기회</t>
  </si>
  <si>
    <t>수준</t>
  </si>
  <si>
    <t>가격</t>
    <phoneticPr fontId="27" type="noConversion"/>
  </si>
  <si>
    <t>수준</t>
    <phoneticPr fontId="27" type="noConversion"/>
  </si>
  <si>
    <t>판단</t>
  </si>
  <si>
    <t>소비지출전망</t>
    <phoneticPr fontId="27" type="noConversion"/>
  </si>
  <si>
    <t>내구재</t>
  </si>
  <si>
    <t>의류비</t>
  </si>
  <si>
    <t>외식비</t>
  </si>
  <si>
    <t>여행비</t>
  </si>
  <si>
    <t>교육비</t>
  </si>
  <si>
    <t>의료
보건비</t>
  </si>
  <si>
    <t>교양오락
문화비</t>
  </si>
  <si>
    <t>교통
통신비</t>
  </si>
  <si>
    <t>주거비</t>
  </si>
  <si>
    <t>자료 : 한국은행</t>
    <phoneticPr fontId="28" type="noConversion"/>
  </si>
  <si>
    <t>9. 자동차 신규등록대수</t>
  </si>
  <si>
    <t>(대)</t>
    <phoneticPr fontId="27" type="noConversion"/>
  </si>
  <si>
    <t>합계</t>
    <phoneticPr fontId="27" type="noConversion"/>
  </si>
  <si>
    <t>승용차</t>
    <phoneticPr fontId="27" type="noConversion"/>
  </si>
  <si>
    <t>승합차</t>
    <phoneticPr fontId="27" type="noConversion"/>
  </si>
  <si>
    <t>화물차</t>
    <phoneticPr fontId="27" type="noConversion"/>
  </si>
  <si>
    <t>특수차</t>
    <phoneticPr fontId="27" type="noConversion"/>
  </si>
  <si>
    <t xml:space="preserve"> 자료 : 국토교통부</t>
  </si>
  <si>
    <t>10. 전력사용량</t>
    <phoneticPr fontId="27" type="noConversion"/>
  </si>
  <si>
    <t>용도별</t>
    <phoneticPr fontId="27" type="noConversion"/>
  </si>
  <si>
    <t>가정용</t>
    <phoneticPr fontId="27" type="noConversion"/>
  </si>
  <si>
    <t>공공용</t>
    <phoneticPr fontId="27" type="noConversion"/>
  </si>
  <si>
    <t>서비스업</t>
    <phoneticPr fontId="27" type="noConversion"/>
  </si>
  <si>
    <t>농림어업</t>
    <phoneticPr fontId="27" type="noConversion"/>
  </si>
  <si>
    <t>광업</t>
    <phoneticPr fontId="27" type="noConversion"/>
  </si>
  <si>
    <t xml:space="preserve"> 자료 : 한국전력</t>
    <phoneticPr fontId="27" type="noConversion"/>
  </si>
  <si>
    <t>11. 기타 통계</t>
    <phoneticPr fontId="27" type="noConversion"/>
  </si>
  <si>
    <t>수출</t>
    <phoneticPr fontId="27" type="noConversion"/>
  </si>
  <si>
    <t>수입</t>
    <phoneticPr fontId="27" type="noConversion"/>
  </si>
  <si>
    <t>환적</t>
    <phoneticPr fontId="27" type="noConversion"/>
  </si>
  <si>
    <t>내항</t>
    <phoneticPr fontId="27" type="noConversion"/>
  </si>
  <si>
    <t>부산항 컨테이너 처리실적(천TEU)</t>
    <phoneticPr fontId="27" type="noConversion"/>
  </si>
  <si>
    <t xml:space="preserve">            추계인구의 과거 시계열 자료가 보정됨에 따라 고용통계(2000년 7월 ~ 2017년 12월) 수치가 조정됨(2018.2.14) </t>
    <phoneticPr fontId="27" type="noConversion"/>
  </si>
  <si>
    <t xml:space="preserve">    주 : 1) MTI 코드 기준 개정(2017.1월)</t>
    <phoneticPr fontId="27" type="noConversion"/>
  </si>
  <si>
    <t xml:space="preserve">    주 : 1) 월별통계는 잠정치로 연간 확정치와 차이가 존재할 수 있음</t>
    <phoneticPr fontId="27" type="noConversion"/>
  </si>
  <si>
    <r>
      <t>연월중</t>
    </r>
    <r>
      <rPr>
        <vertAlign val="superscript"/>
        <sz val="10"/>
        <rFont val="돋움"/>
        <family val="3"/>
        <charset val="129"/>
      </rPr>
      <t>1)</t>
    </r>
    <phoneticPr fontId="27" type="noConversion"/>
  </si>
  <si>
    <t>자료 : 국토교통부(건축허가·착공면적, 미분양주택), 통계청(건설수주액)</t>
    <phoneticPr fontId="27" type="noConversion"/>
  </si>
  <si>
    <r>
      <t>4. 수출입</t>
    </r>
    <r>
      <rPr>
        <b/>
        <vertAlign val="superscript"/>
        <sz val="11"/>
        <rFont val="돋움"/>
        <family val="3"/>
        <charset val="129"/>
      </rPr>
      <t>1)</t>
    </r>
    <phoneticPr fontId="27" type="noConversion"/>
  </si>
  <si>
    <t xml:space="preserve"> 주 : 1) 전망은 해당월에 조사한 6개월 후 전망치임</t>
    <phoneticPr fontId="27" type="noConversion"/>
  </si>
  <si>
    <r>
      <t>(천m</t>
    </r>
    <r>
      <rPr>
        <vertAlign val="superscript"/>
        <sz val="9"/>
        <rFont val="돋움"/>
        <family val="3"/>
        <charset val="129"/>
      </rPr>
      <t>2</t>
    </r>
    <r>
      <rPr>
        <sz val="9"/>
        <rFont val="돋움"/>
        <family val="3"/>
        <charset val="129"/>
      </rPr>
      <t>, 억원, 호)</t>
    </r>
    <phoneticPr fontId="27" type="noConversion"/>
  </si>
  <si>
    <t xml:space="preserve"> </t>
    <phoneticPr fontId="27" type="noConversion"/>
  </si>
  <si>
    <r>
      <t>7. 기업경기지수</t>
    </r>
    <r>
      <rPr>
        <b/>
        <vertAlign val="superscript"/>
        <sz val="11"/>
        <rFont val="돋움"/>
        <family val="3"/>
        <charset val="129"/>
      </rPr>
      <t>1)2)</t>
    </r>
    <phoneticPr fontId="27" type="noConversion"/>
  </si>
  <si>
    <t xml:space="preserve">     주 : 1) 전망은 해당월에 조사한 익월 전망치임         2) 연간지수는 말월기준</t>
    <phoneticPr fontId="27" type="noConversion"/>
  </si>
  <si>
    <r>
      <t>소비자
심리
지수</t>
    </r>
    <r>
      <rPr>
        <vertAlign val="superscript"/>
        <sz val="10"/>
        <rFont val="돋움"/>
        <family val="3"/>
        <charset val="129"/>
      </rPr>
      <t>3)</t>
    </r>
    <phoneticPr fontId="27" type="noConversion"/>
  </si>
  <si>
    <r>
      <t>8. 소비자동향지수</t>
    </r>
    <r>
      <rPr>
        <b/>
        <vertAlign val="superscript"/>
        <sz val="11"/>
        <rFont val="돋움"/>
        <family val="3"/>
        <charset val="129"/>
      </rPr>
      <t>1)2)</t>
    </r>
    <phoneticPr fontId="27" type="noConversion"/>
  </si>
  <si>
    <t xml:space="preserve">         3) 매년 1월 실시하는 소비자심리지수의 표준화 구간 연장으로 과거 시계열이 수정됨</t>
    <phoneticPr fontId="27" type="noConversion"/>
  </si>
  <si>
    <t xml:space="preserve">         2) 연간지수는 말월기준</t>
    <phoneticPr fontId="27" type="noConversion"/>
  </si>
  <si>
    <t>연월중</t>
    <phoneticPr fontId="27" type="noConversion"/>
  </si>
  <si>
    <t>(GWh)</t>
    <phoneticPr fontId="27" type="noConversion"/>
  </si>
  <si>
    <t>(주거용)</t>
    <phoneticPr fontId="27" type="noConversion"/>
  </si>
  <si>
    <t>(공업용)</t>
    <phoneticPr fontId="27" type="noConversion"/>
  </si>
  <si>
    <t>(상업용)</t>
    <phoneticPr fontId="27" type="noConversion"/>
  </si>
  <si>
    <t>(2020=100)</t>
    <phoneticPr fontId="27" type="noConversion"/>
  </si>
  <si>
    <t xml:space="preserve">    주 : 1) 불변지수  </t>
  </si>
  <si>
    <t>(2020=100)</t>
    <phoneticPr fontId="27" type="noConversion"/>
  </si>
  <si>
    <t xml:space="preserve">          3) 2020=100, 최근 2개월은 잠정치, 연간보정시 과거시계열이 수정됨</t>
    <phoneticPr fontId="27" type="noConversion"/>
  </si>
  <si>
    <r>
      <t>서비스업
  생산지수</t>
    </r>
    <r>
      <rPr>
        <vertAlign val="superscript"/>
        <sz val="10"/>
        <rFont val="돋움"/>
        <family val="3"/>
        <charset val="129"/>
      </rPr>
      <t>1)2)</t>
    </r>
    <phoneticPr fontId="27" type="noConversion"/>
  </si>
  <si>
    <t xml:space="preserve">          2) 2020=100, 분기중 지수, 최근 분기는 잠정치, 연간보정시 과거 시계열이 수정됨 </t>
    <phoneticPr fontId="27" type="noConversion"/>
  </si>
  <si>
    <t xml:space="preserve">   주 : 1) (생산실적/생산능력) x 100, 2024년 2분기부터 분기별 공표</t>
    <phoneticPr fontId="27" type="noConversion"/>
  </si>
  <si>
    <t xml:space="preserve">         2) MTI코드 72</t>
    <phoneticPr fontId="27" type="noConversion"/>
  </si>
  <si>
    <r>
      <t>녹산국가
산업단지
가동률</t>
    </r>
    <r>
      <rPr>
        <vertAlign val="superscript"/>
        <sz val="9"/>
        <rFont val="돋움"/>
        <family val="3"/>
        <charset val="129"/>
      </rPr>
      <t>1)</t>
    </r>
    <r>
      <rPr>
        <sz val="9"/>
        <rFont val="돋움"/>
        <family val="3"/>
        <charset val="129"/>
      </rPr>
      <t xml:space="preserve">
(%)</t>
    </r>
    <phoneticPr fontId="27" type="noConversion"/>
  </si>
  <si>
    <r>
      <t>산업기계
수입</t>
    </r>
    <r>
      <rPr>
        <vertAlign val="superscript"/>
        <sz val="9"/>
        <rFont val="돋움"/>
        <family val="3"/>
        <charset val="129"/>
      </rPr>
      <t>2)</t>
    </r>
    <r>
      <rPr>
        <sz val="9"/>
        <rFont val="돋움"/>
        <family val="3"/>
        <charset val="129"/>
      </rPr>
      <t xml:space="preserve">
(백만달러)</t>
    </r>
    <phoneticPr fontId="27" type="noConversion"/>
  </si>
  <si>
    <t>자료 : 한국산업단지공단(녹산국가 산업단지 가동률), 해양수산부(부산항 컨테이너 처리실적), 한국무역협회(산업기계·내수용자본재 수입)</t>
    <phoneticPr fontId="27" type="noConversion"/>
  </si>
  <si>
    <t>-</t>
    <phoneticPr fontId="104" type="noConversion"/>
  </si>
  <si>
    <t>자료 : 국가데이터처</t>
    <phoneticPr fontId="27" type="noConversion"/>
  </si>
  <si>
    <t xml:space="preserve"> 자료 : 국가데이터처</t>
    <phoneticPr fontId="27" type="noConversion"/>
  </si>
  <si>
    <t>자료 : 국가데이터처</t>
    <phoneticPr fontId="27" type="noConversion"/>
  </si>
  <si>
    <t xml:space="preserve"> 자료 : 국가데이터처(소비자물가지수, 생활물가지수), 한국부동산원(주택매매가격지수, 주택전세가격지수, 토지가격지수)</t>
    <phoneticPr fontId="27" type="noConversion"/>
  </si>
  <si>
    <t xml:space="preserve">         2) 현역군인, 사회복무요원, 형이 확정된 교도소 수감자 등은 제외</t>
    <phoneticPr fontId="27" type="noConversion"/>
  </si>
  <si>
    <r>
      <t>Ⅱ. 부산지역 실물통계</t>
    </r>
    <r>
      <rPr>
        <b/>
        <vertAlign val="superscript"/>
        <sz val="14"/>
        <rFont val="돋움"/>
        <family val="3"/>
        <charset val="129"/>
      </rPr>
      <t>1)</t>
    </r>
    <phoneticPr fontId="27" type="noConversion"/>
  </si>
  <si>
    <t xml:space="preserve">         2) 최근 2개월은 잠정치,  재고지수는 기말 기준, 연간보정시 과거 시계열이 수정됨</t>
    <phoneticPr fontId="27" type="noConversion"/>
  </si>
  <si>
    <r>
      <t>생산지수</t>
    </r>
    <r>
      <rPr>
        <vertAlign val="superscript"/>
        <sz val="10"/>
        <rFont val="돋움"/>
        <family val="3"/>
        <charset val="129"/>
      </rPr>
      <t>2)</t>
    </r>
    <phoneticPr fontId="27" type="noConversion"/>
  </si>
  <si>
    <r>
      <t>출하지수</t>
    </r>
    <r>
      <rPr>
        <vertAlign val="superscript"/>
        <sz val="10"/>
        <rFont val="돋움"/>
        <family val="3"/>
        <charset val="129"/>
      </rPr>
      <t>2)</t>
    </r>
    <phoneticPr fontId="27" type="noConversion"/>
  </si>
  <si>
    <r>
      <t>재고지수</t>
    </r>
    <r>
      <rPr>
        <vertAlign val="superscript"/>
        <sz val="10"/>
        <rFont val="돋움"/>
        <family val="3"/>
        <charset val="129"/>
      </rPr>
      <t>2)</t>
    </r>
    <phoneticPr fontId="27" type="noConversion"/>
  </si>
  <si>
    <t>-</t>
    <phoneticPr fontId="104" type="noConversion"/>
  </si>
  <si>
    <r>
      <t>토지
가격지수</t>
    </r>
    <r>
      <rPr>
        <vertAlign val="superscript"/>
        <sz val="10"/>
        <rFont val="돋움"/>
        <family val="3"/>
        <charset val="129"/>
      </rPr>
      <t>2)</t>
    </r>
    <phoneticPr fontId="27" type="noConversion"/>
  </si>
  <si>
    <t xml:space="preserve">    주 : 1) 2020 = 100   2) 2026.1 = 100, 연간지수는 말월기준</t>
    <phoneticPr fontId="27" type="noConversion"/>
  </si>
  <si>
    <t xml:space="preserve">   주 : 1) 최근 2개월은 잠정치, 연간보정시 과거 시계열이 수정됨        2) 기말 기준</t>
    <phoneticPr fontId="27" type="noConversion"/>
  </si>
  <si>
    <t>-</t>
    <phoneticPr fontId="104" type="noConversion"/>
  </si>
  <si>
    <t xml:space="preserve">   주 : 1) 2026년 5월 「최근 부산지역 실물경제 동향」 발표 시점(5.14일) 기준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</si>
</sst>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1" formatCode="_-* #,##0_-;\-* #,##0_-;_-* &quot;-&quot;_-;_-@_-"/>
    <numFmt numFmtId="176" formatCode="0.0_ "/>
    <numFmt numFmtId="177" formatCode="#,##0_ "/>
    <numFmt numFmtId="178" formatCode="#,##0;[Red]#,##0"/>
    <numFmt numFmtId="179" formatCode="0_ "/>
    <numFmt numFmtId="180" formatCode="0_);[Red]\(0\)"/>
    <numFmt numFmtId="181" formatCode="0.0_);[Red]\(0.0\)"/>
    <numFmt numFmtId="182" formatCode="#,##0_);[Red]\(#,##0\)"/>
    <numFmt numFmtId="183" formatCode="#,##0_ ;[Red]\-#,##0\ "/>
    <numFmt numFmtId="184" formatCode="#,##0.0_);[Red]\(#,##0.0\)"/>
    <numFmt numFmtId="185" formatCode="#,##0.0_ ;[Red]\-#,##0.0\ "/>
    <numFmt numFmtId="186" formatCode="#,##0.0"/>
    <numFmt numFmtId="187" formatCode="#."/>
    <numFmt numFmtId="188" formatCode="_ * #,##0_ ;_ * \-#,##0_ ;_ * &quot;-&quot;_ ;_ @_ "/>
    <numFmt numFmtId="189" formatCode="_ * #,##0.00_ ;_ * \-#,##0.00_ ;_ * &quot;-&quot;??_ ;_ @_ "/>
    <numFmt numFmtId="190" formatCode="_(&quot;$&quot;* #,##0_);_(&quot;$&quot;* \(#,##0\);_(&quot;$&quot;* &quot;-&quot;_);_(@_)"/>
    <numFmt numFmtId="191" formatCode="_(&quot;$&quot;* #,##0.00_);_(&quot;$&quot;* \(#,##0.00\);_(&quot;$&quot;* &quot;-&quot;??_);_(@_)"/>
    <numFmt numFmtId="192" formatCode="&quot;RM&quot;#,##0_);[Red]\(&quot;RM&quot;#,##0\)"/>
    <numFmt numFmtId="193" formatCode="0.00000"/>
    <numFmt numFmtId="194" formatCode="_(* #,##0_);_(* \(#,##0\);_(* &quot;-&quot;_);_(@_)"/>
    <numFmt numFmtId="195" formatCode="#,##0.000"/>
    <numFmt numFmtId="196" formatCode="0.000000"/>
    <numFmt numFmtId="197" formatCode="0.00000000"/>
    <numFmt numFmtId="198" formatCode="0.0_ ;[Red]\-0.0\ "/>
    <numFmt numFmtId="199" formatCode="#,##0.0_ "/>
    <numFmt numFmtId="200" formatCode="_-* #,##0.0_-;\-* #,##0.0_-;_-* &quot;-&quot;?_-;_-@_-"/>
    <numFmt numFmtId="201" formatCode="0_ ;[Red]\-0\ "/>
    <numFmt numFmtId="202" formatCode="#,##0.00_ "/>
    <numFmt numFmtId="203" formatCode="0.00_ ;[Red]\-0.00\ "/>
    <numFmt numFmtId="204" formatCode="#,##0.0;[Red]#,##0.0"/>
    <numFmt numFmtId="205" formatCode="#,##0.000_ "/>
    <numFmt numFmtId="206" formatCode="m\ "/>
  </numFmts>
  <fonts count="10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0"/>
      <name val="바탕"/>
      <family val="1"/>
      <charset val="129"/>
    </font>
    <font>
      <sz val="9"/>
      <name val="바탕"/>
      <family val="1"/>
      <charset val="129"/>
    </font>
    <font>
      <sz val="9"/>
      <name val="돋움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돋움"/>
      <family val="3"/>
      <charset val="129"/>
    </font>
    <font>
      <sz val="9"/>
      <name val="돋움체"/>
      <family val="3"/>
      <charset val="129"/>
    </font>
    <font>
      <vertAlign val="superscript"/>
      <sz val="10"/>
      <name val="돋움"/>
      <family val="3"/>
      <charset val="129"/>
    </font>
    <font>
      <sz val="10"/>
      <name val="HY신명조"/>
      <family val="1"/>
      <charset val="129"/>
    </font>
    <font>
      <b/>
      <vertAlign val="superscript"/>
      <sz val="11"/>
      <name val="돋움"/>
      <family val="3"/>
      <charset val="129"/>
    </font>
    <font>
      <b/>
      <sz val="14"/>
      <name val="돋움"/>
      <family val="3"/>
      <charset val="129"/>
    </font>
    <font>
      <sz val="10"/>
      <name val="돋움체"/>
      <family val="3"/>
      <charset val="129"/>
    </font>
    <font>
      <b/>
      <sz val="10"/>
      <name val="MS Sans Serif"/>
      <family val="2"/>
    </font>
    <font>
      <sz val="12"/>
      <name val="¹UAAA¼"/>
      <family val="3"/>
      <charset val="129"/>
    </font>
    <font>
      <sz val="1"/>
      <color indexed="16"/>
      <name val="Courier"/>
      <family val="3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"/>
      <color indexed="16"/>
      <name val="Courier"/>
      <family val="3"/>
    </font>
    <font>
      <sz val="12"/>
      <name val="굴림체"/>
      <family val="3"/>
      <charset val="129"/>
    </font>
    <font>
      <sz val="1"/>
      <color indexed="8"/>
      <name val="Courier"/>
      <family val="3"/>
    </font>
    <font>
      <sz val="10"/>
      <name val="MS Sans Serif"/>
      <family val="2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color indexed="19"/>
      <name val="맑은 고딕"/>
      <family val="3"/>
      <charset val="129"/>
    </font>
    <font>
      <sz val="12"/>
      <name val="뼻뮝"/>
      <family val="1"/>
      <charset val="129"/>
    </font>
    <font>
      <b/>
      <sz val="15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2"/>
      <name val="바탕체"/>
      <family val="1"/>
      <charset val="129"/>
    </font>
    <font>
      <sz val="10"/>
      <color indexed="8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</font>
    <font>
      <u/>
      <sz val="11"/>
      <color theme="10"/>
      <name val="돋움"/>
      <family val="3"/>
      <charset val="129"/>
    </font>
    <font>
      <b/>
      <sz val="9"/>
      <name val="돋움"/>
      <family val="3"/>
      <charset val="129"/>
    </font>
    <font>
      <sz val="8"/>
      <name val="돋움체"/>
      <family val="3"/>
      <charset val="129"/>
    </font>
    <font>
      <sz val="8"/>
      <name val="굴림"/>
      <family val="3"/>
      <charset val="129"/>
    </font>
    <font>
      <sz val="8"/>
      <name val="바탕"/>
      <family val="1"/>
      <charset val="129"/>
    </font>
    <font>
      <sz val="10"/>
      <name val="굴림"/>
      <family val="3"/>
      <charset val="129"/>
    </font>
    <font>
      <sz val="9"/>
      <name val="Arial"/>
      <family val="2"/>
    </font>
    <font>
      <sz val="11"/>
      <name val="바탕"/>
      <family val="1"/>
      <charset val="129"/>
    </font>
    <font>
      <sz val="10"/>
      <color indexed="8"/>
      <name val="돋움"/>
      <family val="3"/>
      <charset val="129"/>
    </font>
    <font>
      <sz val="8"/>
      <name val="HY신명조"/>
      <family val="1"/>
      <charset val="129"/>
    </font>
    <font>
      <sz val="9"/>
      <color indexed="8"/>
      <name val="돋움"/>
      <family val="3"/>
      <charset val="129"/>
    </font>
    <font>
      <vertAlign val="superscript"/>
      <sz val="9"/>
      <name val="돋움"/>
      <family val="3"/>
      <charset val="129"/>
    </font>
    <font>
      <b/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vertAlign val="superscript"/>
      <sz val="14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A5A5A5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4363">
    <xf numFmtId="0" fontId="0" fillId="0" borderId="0"/>
    <xf numFmtId="0" fontId="57" fillId="0" borderId="0" applyNumberFormat="0" applyFill="0" applyBorder="0" applyAlignment="0" applyProtection="0"/>
    <xf numFmtId="0" fontId="33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77" fillId="2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/>
    <xf numFmtId="187" fontId="59" fillId="0" borderId="0">
      <protection locked="0"/>
    </xf>
    <xf numFmtId="188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7" fontId="59" fillId="0" borderId="0">
      <protection locked="0"/>
    </xf>
    <xf numFmtId="190" fontId="60" fillId="0" borderId="0" applyFont="0" applyFill="0" applyBorder="0" applyAlignment="0" applyProtection="0"/>
    <xf numFmtId="191" fontId="60" fillId="0" borderId="0" applyFont="0" applyFill="0" applyBorder="0" applyAlignment="0" applyProtection="0"/>
    <xf numFmtId="187" fontId="59" fillId="0" borderId="0">
      <protection locked="0"/>
    </xf>
    <xf numFmtId="187" fontId="59" fillId="0" borderId="0">
      <protection locked="0"/>
    </xf>
    <xf numFmtId="38" fontId="61" fillId="18" borderId="0" applyNumberFormat="0" applyBorder="0" applyAlignment="0" applyProtection="0"/>
    <xf numFmtId="0" fontId="62" fillId="0" borderId="1" applyNumberFormat="0" applyAlignment="0" applyProtection="0">
      <alignment horizontal="left" vertical="center"/>
    </xf>
    <xf numFmtId="0" fontId="62" fillId="0" borderId="2">
      <alignment horizontal="left" vertical="center"/>
    </xf>
    <xf numFmtId="187" fontId="63" fillId="0" borderId="0">
      <protection locked="0"/>
    </xf>
    <xf numFmtId="187" fontId="63" fillId="0" borderId="0">
      <protection locked="0"/>
    </xf>
    <xf numFmtId="10" fontId="61" fillId="19" borderId="3" applyNumberFormat="0" applyBorder="0" applyAlignment="0" applyProtection="0"/>
    <xf numFmtId="192" fontId="64" fillId="0" borderId="0"/>
    <xf numFmtId="0" fontId="60" fillId="0" borderId="0"/>
    <xf numFmtId="187" fontId="59" fillId="0" borderId="0">
      <protection locked="0"/>
    </xf>
    <xf numFmtId="10" fontId="60" fillId="0" borderId="0" applyFont="0" applyFill="0" applyBorder="0" applyAlignment="0" applyProtection="0"/>
    <xf numFmtId="187" fontId="59" fillId="0" borderId="4">
      <protection locked="0"/>
    </xf>
    <xf numFmtId="0" fontId="34" fillId="20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36" fillId="26" borderId="5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36" fillId="26" borderId="5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36" fillId="26" borderId="5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0" fontId="80" fillId="27" borderId="43" applyNumberFormat="0" applyAlignment="0" applyProtection="0">
      <alignment vertical="center"/>
    </xf>
    <xf numFmtId="193" fontId="26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37" fillId="3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65" fillId="0" borderId="0">
      <protection locked="0"/>
    </xf>
    <xf numFmtId="3" fontId="66" fillId="0" borderId="6">
      <alignment horizontal="center"/>
    </xf>
    <xf numFmtId="0" fontId="65" fillId="0" borderId="0"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40" fontId="68" fillId="0" borderId="0" applyFont="0" applyFill="0" applyBorder="0" applyAlignment="0" applyProtection="0"/>
    <xf numFmtId="38" fontId="68" fillId="0" borderId="0" applyFont="0" applyFill="0" applyBorder="0" applyAlignment="0" applyProtection="0"/>
    <xf numFmtId="0" fontId="32" fillId="8" borderId="7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6" fillId="8" borderId="7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60" fillId="8" borderId="7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6" fillId="8" borderId="7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25" fillId="32" borderId="44" applyNumberFormat="0" applyFont="0" applyAlignment="0" applyProtection="0">
      <alignment vertical="center"/>
    </xf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38" fillId="25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70" fillId="0" borderId="0"/>
    <xf numFmtId="0" fontId="39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40" fillId="28" borderId="8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40" fillId="28" borderId="8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40" fillId="28" borderId="8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0" fontId="83" fillId="33" borderId="45" applyNumberFormat="0" applyAlignment="0" applyProtection="0">
      <alignment vertical="center"/>
    </xf>
    <xf numFmtId="41" fontId="26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64" fillId="0" borderId="0" applyFont="0" applyFill="0" applyBorder="0" applyAlignment="0" applyProtection="0"/>
    <xf numFmtId="194" fontId="60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0" fontId="41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84" fillId="0" borderId="12" applyNumberFormat="0" applyFill="0" applyAlignment="0" applyProtection="0">
      <alignment vertical="center"/>
    </xf>
    <xf numFmtId="0" fontId="43" fillId="7" borderId="5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43" fillId="7" borderId="5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43" fillId="7" borderId="5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0" fontId="85" fillId="10" borderId="43" applyNumberFormat="0" applyAlignment="0" applyProtection="0">
      <alignment vertical="center"/>
    </xf>
    <xf numFmtId="4" fontId="65" fillId="0" borderId="0">
      <protection locked="0"/>
    </xf>
    <xf numFmtId="195" fontId="26" fillId="0" borderId="0">
      <protection locked="0"/>
    </xf>
    <xf numFmtId="0" fontId="44" fillId="0" borderId="0" applyNumberFormat="0" applyFill="0" applyBorder="0" applyAlignment="0" applyProtection="0">
      <alignment vertical="center"/>
    </xf>
    <xf numFmtId="0" fontId="45" fillId="0" borderId="13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45" fillId="0" borderId="13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45" fillId="0" borderId="13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7" fillId="0" borderId="17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47" fillId="0" borderId="17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47" fillId="0" borderId="17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49" fillId="26" borderId="19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49" fillId="26" borderId="19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49" fillId="26" borderId="19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0" fontId="87" fillId="27" borderId="46" applyNumberFormat="0" applyAlignment="0" applyProtection="0">
      <alignment vertical="center"/>
    </xf>
    <xf numFmtId="188" fontId="75" fillId="0" borderId="0" applyFont="0" applyFill="0" applyBorder="0" applyAlignment="0" applyProtection="0"/>
    <xf numFmtId="189" fontId="75" fillId="0" borderId="0" applyFont="0" applyFill="0" applyBorder="0" applyAlignment="0" applyProtection="0"/>
    <xf numFmtId="196" fontId="26" fillId="0" borderId="0">
      <protection locked="0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8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8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60" fillId="0" borderId="0"/>
    <xf numFmtId="0" fontId="77" fillId="0" borderId="0">
      <alignment vertical="center"/>
    </xf>
    <xf numFmtId="0" fontId="77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8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53" fillId="0" borderId="0"/>
    <xf numFmtId="0" fontId="56" fillId="0" borderId="0"/>
    <xf numFmtId="0" fontId="26" fillId="0" borderId="0">
      <alignment vertical="center"/>
    </xf>
    <xf numFmtId="0" fontId="77" fillId="0" borderId="0">
      <alignment vertical="center"/>
    </xf>
    <xf numFmtId="0" fontId="26" fillId="0" borderId="0">
      <alignment vertical="center"/>
    </xf>
    <xf numFmtId="0" fontId="56" fillId="0" borderId="0"/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56" fillId="0" borderId="0"/>
    <xf numFmtId="0" fontId="26" fillId="0" borderId="0">
      <alignment vertical="center"/>
    </xf>
    <xf numFmtId="0" fontId="64" fillId="0" borderId="0"/>
    <xf numFmtId="0" fontId="56" fillId="0" borderId="0"/>
    <xf numFmtId="0" fontId="60" fillId="0" borderId="0"/>
    <xf numFmtId="0" fontId="56" fillId="0" borderId="0"/>
    <xf numFmtId="0" fontId="25" fillId="0" borderId="0">
      <alignment vertical="center"/>
    </xf>
    <xf numFmtId="0" fontId="25" fillId="0" borderId="0">
      <alignment vertical="center"/>
    </xf>
    <xf numFmtId="0" fontId="56" fillId="0" borderId="0"/>
    <xf numFmtId="0" fontId="25" fillId="0" borderId="0">
      <alignment vertical="center"/>
    </xf>
    <xf numFmtId="0" fontId="56" fillId="0" borderId="0"/>
    <xf numFmtId="0" fontId="26" fillId="0" borderId="0"/>
    <xf numFmtId="0" fontId="56" fillId="0" borderId="0"/>
    <xf numFmtId="0" fontId="56" fillId="0" borderId="0"/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90" fillId="0" borderId="0" applyFont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56" fillId="0" borderId="0"/>
    <xf numFmtId="0" fontId="26" fillId="0" borderId="0">
      <alignment vertical="center"/>
    </xf>
    <xf numFmtId="0" fontId="77" fillId="0" borderId="0">
      <alignment vertical="center"/>
    </xf>
    <xf numFmtId="0" fontId="60" fillId="0" borderId="0"/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6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6" fillId="0" borderId="0"/>
    <xf numFmtId="0" fontId="77" fillId="0" borderId="0">
      <alignment vertical="center"/>
    </xf>
    <xf numFmtId="0" fontId="56" fillId="0" borderId="0"/>
    <xf numFmtId="0" fontId="77" fillId="0" borderId="0">
      <alignment vertical="center"/>
    </xf>
    <xf numFmtId="0" fontId="77" fillId="0" borderId="0">
      <alignment vertical="center"/>
    </xf>
    <xf numFmtId="0" fontId="76" fillId="0" borderId="0"/>
    <xf numFmtId="0" fontId="60" fillId="0" borderId="0"/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6" fillId="0" borderId="0"/>
    <xf numFmtId="0" fontId="7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77" fillId="0" borderId="0">
      <alignment vertical="center"/>
    </xf>
    <xf numFmtId="0" fontId="26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56" fillId="0" borderId="0"/>
    <xf numFmtId="0" fontId="77" fillId="0" borderId="0">
      <alignment vertical="center"/>
    </xf>
    <xf numFmtId="0" fontId="77" fillId="0" borderId="0">
      <alignment vertical="center"/>
    </xf>
    <xf numFmtId="0" fontId="91" fillId="0" borderId="0" applyNumberFormat="0" applyFill="0" applyBorder="0" applyAlignment="0" applyProtection="0"/>
    <xf numFmtId="0" fontId="65" fillId="0" borderId="20">
      <protection locked="0"/>
    </xf>
    <xf numFmtId="197" fontId="26" fillId="0" borderId="0">
      <protection locked="0"/>
    </xf>
    <xf numFmtId="186" fontId="26" fillId="0" borderId="0">
      <protection locked="0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6" fillId="0" borderId="0"/>
    <xf numFmtId="0" fontId="26" fillId="0" borderId="0">
      <alignment vertical="center"/>
    </xf>
    <xf numFmtId="0" fontId="26" fillId="0" borderId="0"/>
    <xf numFmtId="0" fontId="89" fillId="0" borderId="0">
      <alignment vertical="center"/>
    </xf>
    <xf numFmtId="0" fontId="7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64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6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64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6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64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64">
    <xf numFmtId="0" fontId="0" fillId="0" borderId="0" xfId="0"/>
    <xf numFmtId="177" fontId="31" fillId="0" borderId="22" xfId="0" applyNumberFormat="1" applyFont="1" applyBorder="1" applyAlignment="1">
      <alignment vertical="center"/>
    </xf>
    <xf numFmtId="177" fontId="31" fillId="0" borderId="22" xfId="0" applyNumberFormat="1" applyFont="1" applyBorder="1" applyAlignment="1">
      <alignment horizontal="right" vertical="center"/>
    </xf>
    <xf numFmtId="0" fontId="31" fillId="0" borderId="0" xfId="0" applyFont="1" applyAlignment="1">
      <alignment horizontal="center" vertical="center"/>
    </xf>
    <xf numFmtId="177" fontId="31" fillId="0" borderId="0" xfId="0" applyNumberFormat="1" applyFont="1" applyBorder="1" applyAlignment="1">
      <alignment horizontal="right" vertical="center"/>
    </xf>
    <xf numFmtId="177" fontId="31" fillId="0" borderId="0" xfId="0" applyNumberFormat="1" applyFont="1" applyBorder="1" applyAlignment="1">
      <alignment vertical="center"/>
    </xf>
    <xf numFmtId="177" fontId="31" fillId="0" borderId="23" xfId="0" applyNumberFormat="1" applyFont="1" applyBorder="1" applyAlignment="1">
      <alignment horizontal="right" vertical="center"/>
    </xf>
    <xf numFmtId="41" fontId="31" fillId="0" borderId="23" xfId="0" applyNumberFormat="1" applyFont="1" applyBorder="1" applyAlignment="1">
      <alignment horizontal="right" vertical="center"/>
    </xf>
    <xf numFmtId="0" fontId="27" fillId="0" borderId="0" xfId="0" applyFont="1" applyBorder="1"/>
    <xf numFmtId="0" fontId="27" fillId="0" borderId="0" xfId="0" applyFont="1"/>
    <xf numFmtId="0" fontId="27" fillId="0" borderId="0" xfId="0" applyFont="1" applyBorder="1" applyAlignment="1">
      <alignment vertical="center"/>
    </xf>
    <xf numFmtId="0" fontId="50" fillId="0" borderId="24" xfId="0" applyFont="1" applyBorder="1" applyAlignment="1">
      <alignment horizontal="center"/>
    </xf>
    <xf numFmtId="182" fontId="31" fillId="0" borderId="0" xfId="0" applyNumberFormat="1" applyFont="1"/>
    <xf numFmtId="0" fontId="26" fillId="0" borderId="0" xfId="0" applyFont="1" applyAlignment="1">
      <alignment vertical="top"/>
    </xf>
    <xf numFmtId="0" fontId="50" fillId="0" borderId="0" xfId="0" applyFont="1"/>
    <xf numFmtId="0" fontId="50" fillId="0" borderId="0" xfId="0" applyFont="1" applyBorder="1" applyAlignment="1">
      <alignment horizontal="center" vertical="center"/>
    </xf>
    <xf numFmtId="0" fontId="50" fillId="0" borderId="25" xfId="0" applyFont="1" applyBorder="1" applyAlignment="1">
      <alignment horizontal="center" vertical="top"/>
    </xf>
    <xf numFmtId="0" fontId="27" fillId="0" borderId="0" xfId="0" applyFont="1" applyBorder="1" applyAlignment="1">
      <alignment horizontal="right" vertical="center"/>
    </xf>
    <xf numFmtId="177" fontId="31" fillId="0" borderId="23" xfId="0" applyNumberFormat="1" applyFont="1" applyBorder="1" applyAlignment="1">
      <alignment vertical="center"/>
    </xf>
    <xf numFmtId="0" fontId="31" fillId="0" borderId="0" xfId="0" applyFont="1" applyBorder="1" applyAlignment="1"/>
    <xf numFmtId="0" fontId="50" fillId="0" borderId="26" xfId="0" applyFont="1" applyBorder="1" applyAlignment="1">
      <alignment horizontal="center" vertical="center"/>
    </xf>
    <xf numFmtId="0" fontId="55" fillId="0" borderId="0" xfId="0" applyFont="1"/>
    <xf numFmtId="0" fontId="28" fillId="0" borderId="0" xfId="0" applyFont="1" applyAlignment="1"/>
    <xf numFmtId="0" fontId="28" fillId="0" borderId="0" xfId="0" applyFont="1" applyBorder="1" applyAlignment="1"/>
    <xf numFmtId="177" fontId="31" fillId="0" borderId="22" xfId="0" applyNumberFormat="1" applyFont="1" applyFill="1" applyBorder="1" applyAlignment="1">
      <alignment horizontal="right" vertical="center"/>
    </xf>
    <xf numFmtId="0" fontId="0" fillId="0" borderId="0" xfId="0" applyAlignment="1"/>
    <xf numFmtId="0" fontId="0" fillId="0" borderId="0" xfId="0" applyFont="1" applyBorder="1" applyAlignment="1"/>
    <xf numFmtId="0" fontId="92" fillId="0" borderId="0" xfId="0" applyFont="1" applyAlignment="1"/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Border="1" applyAlignment="1">
      <alignment horizontal="right"/>
    </xf>
    <xf numFmtId="0" fontId="29" fillId="0" borderId="0" xfId="0" applyFont="1" applyAlignment="1">
      <alignment horizontal="center" vertical="center"/>
    </xf>
    <xf numFmtId="0" fontId="31" fillId="0" borderId="22" xfId="0" applyFont="1" applyBorder="1" applyAlignment="1">
      <alignment horizontal="center"/>
    </xf>
    <xf numFmtId="0" fontId="31" fillId="0" borderId="23" xfId="0" applyFont="1" applyBorder="1" applyAlignment="1">
      <alignment horizontal="center"/>
    </xf>
    <xf numFmtId="0" fontId="31" fillId="0" borderId="25" xfId="0" applyFont="1" applyBorder="1" applyAlignment="1">
      <alignment horizontal="center" vertical="top" shrinkToFit="1"/>
    </xf>
    <xf numFmtId="0" fontId="31" fillId="0" borderId="34" xfId="0" applyFont="1" applyBorder="1" applyAlignment="1">
      <alignment horizontal="center" vertical="top" shrinkToFit="1"/>
    </xf>
    <xf numFmtId="176" fontId="31" fillId="0" borderId="22" xfId="0" applyNumberFormat="1" applyFont="1" applyBorder="1" applyAlignment="1">
      <alignment horizontal="right" vertical="center"/>
    </xf>
    <xf numFmtId="0" fontId="30" fillId="0" borderId="0" xfId="0" applyFont="1" applyBorder="1" applyAlignment="1">
      <alignment horizontal="right" vertical="center"/>
    </xf>
    <xf numFmtId="176" fontId="30" fillId="0" borderId="0" xfId="0" applyNumberFormat="1" applyFont="1" applyBorder="1" applyAlignment="1">
      <alignment horizontal="right" vertical="center"/>
    </xf>
    <xf numFmtId="176" fontId="31" fillId="0" borderId="22" xfId="0" applyNumberFormat="1" applyFont="1" applyBorder="1" applyAlignment="1" applyProtection="1">
      <alignment horizontal="right" vertical="center"/>
      <protection locked="0"/>
    </xf>
    <xf numFmtId="3" fontId="30" fillId="0" borderId="0" xfId="0" applyNumberFormat="1" applyFont="1" applyBorder="1" applyAlignment="1">
      <alignment horizontal="right" vertical="center"/>
    </xf>
    <xf numFmtId="0" fontId="31" fillId="0" borderId="0" xfId="0" applyFont="1" applyBorder="1" applyAlignment="1">
      <alignment horizontal="right" vertical="center"/>
    </xf>
    <xf numFmtId="176" fontId="31" fillId="0" borderId="23" xfId="0" applyNumberFormat="1" applyFont="1" applyBorder="1" applyAlignment="1">
      <alignment horizontal="right" vertical="center"/>
    </xf>
    <xf numFmtId="184" fontId="27" fillId="0" borderId="0" xfId="0" applyNumberFormat="1" applyFont="1" applyBorder="1" applyAlignment="1">
      <alignment vertical="center"/>
    </xf>
    <xf numFmtId="181" fontId="31" fillId="0" borderId="0" xfId="0" applyNumberFormat="1" applyFont="1" applyBorder="1" applyAlignment="1">
      <alignment horizontal="right" vertical="center"/>
    </xf>
    <xf numFmtId="0" fontId="27" fillId="0" borderId="0" xfId="0" applyFont="1" applyAlignment="1">
      <alignment vertical="top"/>
    </xf>
    <xf numFmtId="0" fontId="27" fillId="0" borderId="0" xfId="0" applyFont="1" applyBorder="1" applyAlignment="1">
      <alignment vertical="top"/>
    </xf>
    <xf numFmtId="0" fontId="93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98" fontId="94" fillId="0" borderId="0" xfId="0" applyNumberFormat="1" applyFont="1"/>
    <xf numFmtId="0" fontId="95" fillId="0" borderId="0" xfId="0" applyFont="1" applyBorder="1" applyAlignment="1">
      <alignment horizontal="right" vertical="center"/>
    </xf>
    <xf numFmtId="0" fontId="94" fillId="0" borderId="0" xfId="0" applyFont="1"/>
    <xf numFmtId="0" fontId="51" fillId="0" borderId="0" xfId="0" applyFont="1"/>
    <xf numFmtId="176" fontId="96" fillId="0" borderId="0" xfId="0" applyNumberFormat="1" applyFont="1"/>
    <xf numFmtId="176" fontId="96" fillId="0" borderId="0" xfId="0" applyNumberFormat="1" applyFont="1" applyBorder="1"/>
    <xf numFmtId="0" fontId="96" fillId="0" borderId="0" xfId="0" applyFont="1"/>
    <xf numFmtId="199" fontId="97" fillId="0" borderId="0" xfId="0" applyNumberFormat="1" applyFont="1"/>
    <xf numFmtId="176" fontId="31" fillId="0" borderId="0" xfId="0" applyNumberFormat="1" applyFont="1"/>
    <xf numFmtId="176" fontId="31" fillId="0" borderId="0" xfId="0" applyNumberFormat="1" applyFont="1" applyBorder="1" applyAlignment="1">
      <alignment horizontal="right" vertical="center"/>
    </xf>
    <xf numFmtId="0" fontId="98" fillId="0" borderId="0" xfId="0" applyFont="1"/>
    <xf numFmtId="0" fontId="98" fillId="0" borderId="0" xfId="0" applyFont="1" applyBorder="1"/>
    <xf numFmtId="181" fontId="28" fillId="0" borderId="0" xfId="0" applyNumberFormat="1" applyFont="1" applyBorder="1" applyAlignment="1">
      <alignment vertical="top"/>
    </xf>
    <xf numFmtId="181" fontId="0" fillId="0" borderId="0" xfId="0" applyNumberFormat="1" applyFont="1" applyAlignment="1">
      <alignment vertical="top"/>
    </xf>
    <xf numFmtId="181" fontId="0" fillId="0" borderId="0" xfId="0" applyNumberFormat="1" applyFont="1" applyBorder="1" applyAlignment="1">
      <alignment vertical="top"/>
    </xf>
    <xf numFmtId="0" fontId="0" fillId="0" borderId="0" xfId="0" applyFont="1" applyAlignment="1">
      <alignment vertical="top"/>
    </xf>
    <xf numFmtId="183" fontId="50" fillId="0" borderId="0" xfId="0" applyNumberFormat="1" applyFont="1" applyBorder="1" applyAlignment="1">
      <alignment horizontal="center" vertical="center"/>
    </xf>
    <xf numFmtId="181" fontId="92" fillId="0" borderId="0" xfId="0" applyNumberFormat="1" applyFont="1" applyBorder="1" applyAlignment="1">
      <alignment vertical="top"/>
    </xf>
    <xf numFmtId="181" fontId="31" fillId="0" borderId="0" xfId="0" applyNumberFormat="1" applyFont="1" applyAlignment="1"/>
    <xf numFmtId="181" fontId="31" fillId="0" borderId="0" xfId="0" applyNumberFormat="1" applyFont="1" applyBorder="1" applyAlignment="1">
      <alignment horizontal="right"/>
    </xf>
    <xf numFmtId="181" fontId="31" fillId="0" borderId="0" xfId="0" applyNumberFormat="1" applyFont="1"/>
    <xf numFmtId="0" fontId="31" fillId="0" borderId="0" xfId="0" applyFont="1"/>
    <xf numFmtId="181" fontId="50" fillId="0" borderId="0" xfId="0" applyNumberFormat="1" applyFont="1" applyBorder="1" applyAlignment="1">
      <alignment horizontal="center" vertical="center" wrapText="1"/>
    </xf>
    <xf numFmtId="181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81" fontId="50" fillId="0" borderId="25" xfId="0" applyNumberFormat="1" applyFont="1" applyBorder="1" applyAlignment="1">
      <alignment horizontal="center"/>
    </xf>
    <xf numFmtId="181" fontId="50" fillId="0" borderId="26" xfId="0" applyNumberFormat="1" applyFont="1" applyBorder="1" applyAlignment="1">
      <alignment horizontal="center" vertical="center"/>
    </xf>
    <xf numFmtId="181" fontId="50" fillId="0" borderId="0" xfId="0" applyNumberFormat="1" applyFont="1" applyBorder="1" applyAlignment="1">
      <alignment horizontal="center" vertical="center"/>
    </xf>
    <xf numFmtId="181" fontId="31" fillId="0" borderId="21" xfId="0" applyNumberFormat="1" applyFont="1" applyBorder="1" applyAlignment="1">
      <alignment horizontal="right" vertical="center"/>
    </xf>
    <xf numFmtId="181" fontId="95" fillId="0" borderId="0" xfId="0" applyNumberFormat="1" applyFont="1" applyAlignment="1">
      <alignment horizontal="right" vertical="center"/>
    </xf>
    <xf numFmtId="41" fontId="95" fillId="0" borderId="0" xfId="0" applyNumberFormat="1" applyFont="1" applyAlignment="1">
      <alignment horizontal="right" vertical="center"/>
    </xf>
    <xf numFmtId="181" fontId="31" fillId="0" borderId="22" xfId="0" applyNumberFormat="1" applyFont="1" applyBorder="1" applyAlignment="1">
      <alignment horizontal="right" vertical="center"/>
    </xf>
    <xf numFmtId="199" fontId="31" fillId="0" borderId="21" xfId="0" applyNumberFormat="1" applyFont="1" applyBorder="1" applyAlignment="1">
      <alignment horizontal="right" vertical="center"/>
    </xf>
    <xf numFmtId="199" fontId="31" fillId="0" borderId="22" xfId="0" applyNumberFormat="1" applyFont="1" applyBorder="1" applyAlignment="1">
      <alignment horizontal="right" vertical="center"/>
    </xf>
    <xf numFmtId="199" fontId="31" fillId="0" borderId="23" xfId="0" applyNumberFormat="1" applyFont="1" applyBorder="1" applyAlignment="1">
      <alignment horizontal="right" vertical="center"/>
    </xf>
    <xf numFmtId="199" fontId="31" fillId="0" borderId="0" xfId="0" applyNumberFormat="1" applyFont="1" applyBorder="1" applyAlignment="1">
      <alignment horizontal="right" vertical="center"/>
    </xf>
    <xf numFmtId="181" fontId="30" fillId="0" borderId="0" xfId="0" applyNumberFormat="1" applyFont="1" applyBorder="1" applyAlignment="1">
      <alignment horizontal="right" vertical="center"/>
    </xf>
    <xf numFmtId="185" fontId="95" fillId="0" borderId="0" xfId="0" applyNumberFormat="1" applyFont="1" applyAlignment="1">
      <alignment horizontal="right" vertical="center"/>
    </xf>
    <xf numFmtId="185" fontId="30" fillId="0" borderId="0" xfId="0" applyNumberFormat="1" applyFont="1" applyBorder="1" applyAlignment="1">
      <alignment horizontal="right" vertical="center"/>
    </xf>
    <xf numFmtId="181" fontId="27" fillId="0" borderId="0" xfId="0" applyNumberFormat="1" applyFont="1" applyBorder="1" applyAlignment="1">
      <alignment vertical="center"/>
    </xf>
    <xf numFmtId="181" fontId="31" fillId="0" borderId="0" xfId="0" applyNumberFormat="1" applyFont="1" applyBorder="1" applyAlignment="1">
      <alignment vertical="center"/>
    </xf>
    <xf numFmtId="0" fontId="51" fillId="0" borderId="0" xfId="0" applyFont="1" applyBorder="1"/>
    <xf numFmtId="181" fontId="51" fillId="0" borderId="0" xfId="0" applyNumberFormat="1" applyFont="1" applyBorder="1"/>
    <xf numFmtId="181" fontId="0" fillId="0" borderId="0" xfId="0" applyNumberFormat="1"/>
    <xf numFmtId="181" fontId="0" fillId="0" borderId="0" xfId="0" applyNumberFormat="1" applyBorder="1"/>
    <xf numFmtId="181" fontId="31" fillId="0" borderId="0" xfId="0" applyNumberFormat="1" applyFont="1" applyBorder="1" applyAlignment="1">
      <alignment horizontal="right" vertical="top"/>
    </xf>
    <xf numFmtId="181" fontId="27" fillId="0" borderId="0" xfId="0" applyNumberFormat="1" applyFont="1" applyAlignment="1">
      <alignment vertical="top"/>
    </xf>
    <xf numFmtId="181" fontId="27" fillId="0" borderId="0" xfId="0" applyNumberFormat="1" applyFont="1" applyBorder="1" applyAlignment="1">
      <alignment vertical="top"/>
    </xf>
    <xf numFmtId="181" fontId="26" fillId="0" borderId="0" xfId="0" applyNumberFormat="1" applyFont="1" applyAlignment="1">
      <alignment vertical="top"/>
    </xf>
    <xf numFmtId="0" fontId="0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198" fontId="50" fillId="0" borderId="0" xfId="0" applyNumberFormat="1" applyFont="1" applyAlignment="1">
      <alignment vertical="center"/>
    </xf>
    <xf numFmtId="198" fontId="0" fillId="0" borderId="0" xfId="0" applyNumberFormat="1" applyFont="1" applyAlignment="1">
      <alignment vertical="center"/>
    </xf>
    <xf numFmtId="0" fontId="50" fillId="0" borderId="42" xfId="0" applyNumberFormat="1" applyFont="1" applyBorder="1" applyAlignment="1">
      <alignment horizontal="center" vertical="center"/>
    </xf>
    <xf numFmtId="0" fontId="50" fillId="0" borderId="31" xfId="0" applyNumberFormat="1" applyFont="1" applyBorder="1" applyAlignment="1">
      <alignment horizontal="center" vertical="center"/>
    </xf>
    <xf numFmtId="198" fontId="50" fillId="0" borderId="0" xfId="0" applyNumberFormat="1" applyFont="1"/>
    <xf numFmtId="198" fontId="0" fillId="0" borderId="0" xfId="0" applyNumberFormat="1" applyFont="1"/>
    <xf numFmtId="0" fontId="0" fillId="0" borderId="0" xfId="0" applyFont="1"/>
    <xf numFmtId="4" fontId="50" fillId="0" borderId="0" xfId="0" applyNumberFormat="1" applyFont="1"/>
    <xf numFmtId="177" fontId="50" fillId="0" borderId="0" xfId="0" applyNumberFormat="1" applyFont="1"/>
    <xf numFmtId="3" fontId="50" fillId="0" borderId="0" xfId="0" applyNumberFormat="1" applyFont="1"/>
    <xf numFmtId="180" fontId="50" fillId="0" borderId="0" xfId="0" applyNumberFormat="1" applyFont="1"/>
    <xf numFmtId="198" fontId="27" fillId="0" borderId="0" xfId="0" applyNumberFormat="1" applyFont="1"/>
    <xf numFmtId="201" fontId="27" fillId="0" borderId="0" xfId="0" applyNumberFormat="1" applyFont="1"/>
    <xf numFmtId="3" fontId="50" fillId="0" borderId="0" xfId="0" applyNumberFormat="1" applyFont="1" applyBorder="1"/>
    <xf numFmtId="198" fontId="0" fillId="0" borderId="0" xfId="0" applyNumberFormat="1" applyFont="1" applyBorder="1"/>
    <xf numFmtId="0" fontId="0" fillId="0" borderId="0" xfId="0" applyFont="1" applyBorder="1"/>
    <xf numFmtId="202" fontId="50" fillId="0" borderId="0" xfId="0" applyNumberFormat="1" applyFont="1" applyBorder="1"/>
    <xf numFmtId="0" fontId="50" fillId="0" borderId="0" xfId="0" applyFont="1" applyBorder="1"/>
    <xf numFmtId="179" fontId="50" fillId="0" borderId="0" xfId="0" applyNumberFormat="1" applyFont="1" applyBorder="1"/>
    <xf numFmtId="198" fontId="50" fillId="0" borderId="0" xfId="0" applyNumberFormat="1" applyFont="1" applyBorder="1" applyAlignment="1">
      <alignment vertical="center"/>
    </xf>
    <xf numFmtId="198" fontId="27" fillId="0" borderId="0" xfId="0" applyNumberFormat="1" applyFont="1" applyBorder="1" applyAlignment="1">
      <alignment vertical="center"/>
    </xf>
    <xf numFmtId="177" fontId="0" fillId="0" borderId="0" xfId="0" applyNumberFormat="1" applyFont="1" applyBorder="1"/>
    <xf numFmtId="198" fontId="50" fillId="0" borderId="0" xfId="0" applyNumberFormat="1" applyFont="1" applyBorder="1"/>
    <xf numFmtId="0" fontId="31" fillId="0" borderId="0" xfId="0" applyFont="1" applyBorder="1"/>
    <xf numFmtId="198" fontId="31" fillId="0" borderId="0" xfId="0" applyNumberFormat="1" applyFont="1"/>
    <xf numFmtId="203" fontId="31" fillId="0" borderId="0" xfId="0" applyNumberFormat="1" applyFont="1"/>
    <xf numFmtId="177" fontId="50" fillId="0" borderId="0" xfId="0" applyNumberFormat="1" applyFont="1" applyBorder="1"/>
    <xf numFmtId="177" fontId="0" fillId="0" borderId="0" xfId="0" applyNumberFormat="1" applyFont="1"/>
    <xf numFmtId="4" fontId="50" fillId="0" borderId="0" xfId="0" applyNumberFormat="1" applyFont="1" applyBorder="1"/>
    <xf numFmtId="182" fontId="50" fillId="0" borderId="0" xfId="0" applyNumberFormat="1" applyFont="1"/>
    <xf numFmtId="0" fontId="50" fillId="0" borderId="0" xfId="0" applyFont="1" applyBorder="1" applyAlignment="1">
      <alignment vertical="center"/>
    </xf>
    <xf numFmtId="203" fontId="50" fillId="0" borderId="0" xfId="0" applyNumberFormat="1" applyFont="1"/>
    <xf numFmtId="178" fontId="0" fillId="0" borderId="0" xfId="0" applyNumberFormat="1" applyFont="1"/>
    <xf numFmtId="177" fontId="31" fillId="0" borderId="0" xfId="0" applyNumberFormat="1" applyFont="1" applyBorder="1" applyAlignment="1">
      <alignment horizontal="right"/>
    </xf>
    <xf numFmtId="0" fontId="50" fillId="0" borderId="0" xfId="0" applyFont="1" applyBorder="1" applyAlignment="1"/>
    <xf numFmtId="177" fontId="50" fillId="0" borderId="36" xfId="0" applyNumberFormat="1" applyFont="1" applyBorder="1" applyAlignment="1">
      <alignment horizontal="center" vertical="center"/>
    </xf>
    <xf numFmtId="177" fontId="50" fillId="0" borderId="0" xfId="0" applyNumberFormat="1" applyFont="1" applyBorder="1" applyAlignment="1">
      <alignment horizontal="center" vertical="center"/>
    </xf>
    <xf numFmtId="198" fontId="31" fillId="0" borderId="0" xfId="0" applyNumberFormat="1" applyFont="1" applyAlignment="1">
      <alignment horizontal="center" vertical="center"/>
    </xf>
    <xf numFmtId="177" fontId="50" fillId="0" borderId="34" xfId="0" applyNumberFormat="1" applyFont="1" applyBorder="1" applyAlignment="1">
      <alignment horizontal="center" vertical="top"/>
    </xf>
    <xf numFmtId="177" fontId="50" fillId="0" borderId="25" xfId="0" applyNumberFormat="1" applyFont="1" applyBorder="1" applyAlignment="1">
      <alignment horizontal="center" vertical="top"/>
    </xf>
    <xf numFmtId="177" fontId="50" fillId="0" borderId="0" xfId="0" applyNumberFormat="1" applyFont="1" applyBorder="1" applyAlignment="1">
      <alignment horizontal="center" vertical="top"/>
    </xf>
    <xf numFmtId="177" fontId="27" fillId="0" borderId="0" xfId="0" applyNumberFormat="1" applyFont="1" applyAlignment="1">
      <alignment horizontal="right" vertical="center"/>
    </xf>
    <xf numFmtId="198" fontId="27" fillId="0" borderId="0" xfId="0" applyNumberFormat="1" applyFont="1" applyAlignment="1">
      <alignment horizontal="right" vertical="center"/>
    </xf>
    <xf numFmtId="41" fontId="51" fillId="0" borderId="0" xfId="1589" applyFont="1" applyBorder="1" applyAlignment="1">
      <alignment horizontal="right" vertical="center"/>
    </xf>
    <xf numFmtId="179" fontId="27" fillId="0" borderId="0" xfId="0" applyNumberFormat="1" applyFont="1" applyAlignment="1">
      <alignment horizontal="right" vertical="center"/>
    </xf>
    <xf numFmtId="179" fontId="31" fillId="0" borderId="0" xfId="0" applyNumberFormat="1" applyFont="1" applyBorder="1" applyAlignment="1">
      <alignment horizontal="right" vertical="center"/>
    </xf>
    <xf numFmtId="178" fontId="27" fillId="0" borderId="0" xfId="0" applyNumberFormat="1" applyFont="1" applyBorder="1" applyAlignment="1">
      <alignment vertical="center"/>
    </xf>
    <xf numFmtId="178" fontId="27" fillId="0" borderId="0" xfId="0" applyNumberFormat="1" applyFont="1" applyBorder="1" applyAlignment="1"/>
    <xf numFmtId="177" fontId="27" fillId="0" borderId="0" xfId="0" applyNumberFormat="1" applyFont="1" applyBorder="1" applyAlignment="1"/>
    <xf numFmtId="177" fontId="27" fillId="0" borderId="0" xfId="0" applyNumberFormat="1" applyFont="1" applyBorder="1"/>
    <xf numFmtId="177" fontId="27" fillId="0" borderId="0" xfId="0" applyNumberFormat="1" applyFont="1" applyBorder="1" applyAlignment="1">
      <alignment vertical="top"/>
    </xf>
    <xf numFmtId="180" fontId="27" fillId="0" borderId="0" xfId="0" applyNumberFormat="1" applyFont="1" applyBorder="1" applyAlignment="1">
      <alignment vertical="top"/>
    </xf>
    <xf numFmtId="178" fontId="31" fillId="0" borderId="0" xfId="0" applyNumberFormat="1" applyFont="1" applyBorder="1" applyAlignment="1"/>
    <xf numFmtId="177" fontId="31" fillId="0" borderId="0" xfId="0" applyNumberFormat="1" applyFont="1" applyBorder="1" applyAlignment="1"/>
    <xf numFmtId="0" fontId="0" fillId="0" borderId="0" xfId="0" applyFont="1" applyBorder="1" applyAlignment="1">
      <alignment vertical="top"/>
    </xf>
    <xf numFmtId="0" fontId="0" fillId="0" borderId="0" xfId="0" applyNumberFormat="1" applyFont="1"/>
    <xf numFmtId="198" fontId="31" fillId="0" borderId="0" xfId="0" applyNumberFormat="1" applyFont="1" applyBorder="1" applyAlignment="1">
      <alignment horizontal="right" vertical="center"/>
    </xf>
    <xf numFmtId="198" fontId="31" fillId="0" borderId="0" xfId="0" applyNumberFormat="1" applyFont="1" applyBorder="1"/>
    <xf numFmtId="198" fontId="0" fillId="0" borderId="0" xfId="0" applyNumberFormat="1" applyFont="1" applyBorder="1" applyAlignment="1">
      <alignment vertical="top"/>
    </xf>
    <xf numFmtId="179" fontId="27" fillId="0" borderId="0" xfId="0" applyNumberFormat="1" applyFont="1" applyBorder="1" applyAlignment="1">
      <alignment horizontal="right" vertical="center"/>
    </xf>
    <xf numFmtId="177" fontId="27" fillId="0" borderId="0" xfId="0" applyNumberFormat="1" applyFont="1" applyBorder="1" applyAlignment="1">
      <alignment horizontal="right" vertical="center"/>
    </xf>
    <xf numFmtId="178" fontId="0" fillId="0" borderId="0" xfId="0" applyNumberFormat="1" applyFont="1" applyAlignment="1">
      <alignment vertical="center"/>
    </xf>
    <xf numFmtId="0" fontId="0" fillId="0" borderId="0" xfId="0" applyFont="1" applyBorder="1" applyAlignment="1">
      <alignment vertical="center"/>
    </xf>
    <xf numFmtId="177" fontId="0" fillId="0" borderId="0" xfId="0" applyNumberFormat="1" applyFont="1" applyBorder="1" applyAlignment="1">
      <alignment horizontal="right" vertical="center"/>
    </xf>
    <xf numFmtId="178" fontId="50" fillId="0" borderId="0" xfId="0" applyNumberFormat="1" applyFont="1" applyBorder="1" applyAlignment="1">
      <alignment horizontal="center" vertical="center"/>
    </xf>
    <xf numFmtId="0" fontId="50" fillId="0" borderId="25" xfId="0" applyFont="1" applyBorder="1" applyAlignment="1">
      <alignment vertical="center"/>
    </xf>
    <xf numFmtId="199" fontId="31" fillId="0" borderId="0" xfId="0" applyNumberFormat="1" applyFont="1" applyBorder="1" applyAlignment="1">
      <alignment horizontal="center" vertical="center"/>
    </xf>
    <xf numFmtId="202" fontId="27" fillId="0" borderId="0" xfId="0" applyNumberFormat="1" applyFont="1" applyAlignment="1">
      <alignment horizontal="right" vertical="center"/>
    </xf>
    <xf numFmtId="199" fontId="27" fillId="0" borderId="0" xfId="0" applyNumberFormat="1" applyFont="1" applyAlignment="1">
      <alignment horizontal="right" vertical="center"/>
    </xf>
    <xf numFmtId="4" fontId="31" fillId="0" borderId="0" xfId="0" applyNumberFormat="1" applyFont="1" applyBorder="1" applyAlignment="1">
      <alignment horizontal="right" vertical="center"/>
    </xf>
    <xf numFmtId="179" fontId="31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 applyProtection="1"/>
    <xf numFmtId="0" fontId="27" fillId="0" borderId="0" xfId="0" applyFont="1" applyAlignment="1">
      <alignment vertical="center" wrapText="1"/>
    </xf>
    <xf numFmtId="178" fontId="0" fillId="0" borderId="0" xfId="0" applyNumberFormat="1" applyFont="1" applyBorder="1"/>
    <xf numFmtId="204" fontId="0" fillId="0" borderId="0" xfId="0" applyNumberFormat="1" applyFont="1"/>
    <xf numFmtId="182" fontId="31" fillId="0" borderId="0" xfId="0" applyNumberFormat="1" applyFont="1" applyBorder="1" applyAlignment="1" applyProtection="1"/>
    <xf numFmtId="204" fontId="0" fillId="0" borderId="0" xfId="0" applyNumberFormat="1" applyFont="1" applyBorder="1"/>
    <xf numFmtId="177" fontId="0" fillId="0" borderId="0" xfId="0" applyNumberFormat="1" applyFont="1" applyAlignment="1">
      <alignment horizontal="right" vertical="center"/>
    </xf>
    <xf numFmtId="199" fontId="0" fillId="0" borderId="0" xfId="0" applyNumberFormat="1" applyFont="1"/>
    <xf numFmtId="199" fontId="0" fillId="0" borderId="0" xfId="0" applyNumberFormat="1" applyFont="1" applyBorder="1"/>
    <xf numFmtId="178" fontId="28" fillId="0" borderId="0" xfId="0" applyNumberFormat="1" applyFont="1" applyBorder="1" applyAlignment="1" applyProtection="1">
      <alignment vertical="top"/>
    </xf>
    <xf numFmtId="0" fontId="0" fillId="0" borderId="0" xfId="0" applyFont="1" applyProtection="1"/>
    <xf numFmtId="0" fontId="0" fillId="0" borderId="0" xfId="0" applyFont="1" applyBorder="1" applyProtection="1"/>
    <xf numFmtId="199" fontId="0" fillId="0" borderId="0" xfId="0" applyNumberFormat="1" applyFont="1" applyProtection="1"/>
    <xf numFmtId="178" fontId="0" fillId="0" borderId="0" xfId="0" applyNumberFormat="1" applyFont="1" applyProtection="1"/>
    <xf numFmtId="0" fontId="0" fillId="0" borderId="0" xfId="0" applyFont="1" applyBorder="1" applyAlignment="1" applyProtection="1">
      <alignment horizontal="right"/>
    </xf>
    <xf numFmtId="178" fontId="50" fillId="0" borderId="42" xfId="0" applyNumberFormat="1" applyFont="1" applyBorder="1" applyAlignment="1" applyProtection="1">
      <alignment vertical="center"/>
    </xf>
    <xf numFmtId="199" fontId="31" fillId="0" borderId="0" xfId="0" applyNumberFormat="1" applyFont="1" applyAlignment="1" applyProtection="1">
      <alignment horizontal="center" vertical="center"/>
    </xf>
    <xf numFmtId="0" fontId="31" fillId="0" borderId="0" xfId="0" applyFont="1" applyAlignment="1" applyProtection="1">
      <alignment horizontal="center" vertical="center"/>
    </xf>
    <xf numFmtId="181" fontId="31" fillId="0" borderId="0" xfId="0" applyNumberFormat="1" applyFont="1" applyAlignment="1" applyProtection="1">
      <alignment horizontal="right" vertical="center"/>
    </xf>
    <xf numFmtId="199" fontId="31" fillId="0" borderId="22" xfId="0" applyNumberFormat="1" applyFont="1" applyBorder="1" applyAlignment="1" applyProtection="1">
      <alignment horizontal="right" vertical="center"/>
    </xf>
    <xf numFmtId="0" fontId="27" fillId="0" borderId="0" xfId="0" applyFont="1" applyAlignment="1" applyProtection="1">
      <alignment horizontal="right" vertical="center"/>
    </xf>
    <xf numFmtId="199" fontId="27" fillId="0" borderId="0" xfId="0" applyNumberFormat="1" applyFont="1" applyAlignment="1" applyProtection="1">
      <alignment horizontal="right" vertical="center"/>
    </xf>
    <xf numFmtId="176" fontId="27" fillId="0" borderId="0" xfId="0" applyNumberFormat="1" applyFont="1" applyAlignment="1" applyProtection="1">
      <alignment horizontal="right" vertical="center"/>
    </xf>
    <xf numFmtId="0" fontId="27" fillId="0" borderId="0" xfId="0" applyFont="1" applyBorder="1" applyAlignment="1" applyProtection="1"/>
    <xf numFmtId="199" fontId="31" fillId="0" borderId="0" xfId="0" applyNumberFormat="1" applyFont="1" applyBorder="1" applyAlignment="1" applyProtection="1">
      <alignment horizontal="right" vertical="center"/>
    </xf>
    <xf numFmtId="199" fontId="31" fillId="0" borderId="38" xfId="0" applyNumberFormat="1" applyFont="1" applyBorder="1" applyAlignment="1" applyProtection="1">
      <alignment horizontal="right" vertical="center"/>
    </xf>
    <xf numFmtId="178" fontId="27" fillId="0" borderId="0" xfId="0" applyNumberFormat="1" applyFont="1" applyBorder="1" applyAlignment="1" applyProtection="1">
      <alignment vertical="center"/>
    </xf>
    <xf numFmtId="182" fontId="27" fillId="0" borderId="0" xfId="0" applyNumberFormat="1" applyFont="1" applyBorder="1" applyAlignment="1">
      <alignment vertical="top"/>
    </xf>
    <xf numFmtId="0" fontId="31" fillId="0" borderId="0" xfId="0" applyFont="1" applyBorder="1" applyProtection="1"/>
    <xf numFmtId="204" fontId="0" fillId="0" borderId="0" xfId="0" applyNumberFormat="1" applyFont="1" applyProtection="1"/>
    <xf numFmtId="178" fontId="0" fillId="0" borderId="0" xfId="0" applyNumberFormat="1" applyFont="1" applyBorder="1" applyProtection="1"/>
    <xf numFmtId="0" fontId="99" fillId="0" borderId="0" xfId="2129" applyFont="1" applyAlignment="1">
      <alignment horizontal="left"/>
    </xf>
    <xf numFmtId="0" fontId="99" fillId="0" borderId="0" xfId="2129" applyFont="1">
      <alignment vertical="center"/>
    </xf>
    <xf numFmtId="0" fontId="99" fillId="0" borderId="0" xfId="2129" applyFont="1" applyBorder="1">
      <alignment vertical="center"/>
    </xf>
    <xf numFmtId="199" fontId="31" fillId="0" borderId="0" xfId="0" applyNumberFormat="1" applyFont="1" applyBorder="1" applyAlignment="1" applyProtection="1">
      <alignment horizontal="center" vertical="center"/>
    </xf>
    <xf numFmtId="181" fontId="50" fillId="0" borderId="26" xfId="1595" applyNumberFormat="1" applyFont="1" applyFill="1" applyBorder="1" applyAlignment="1">
      <alignment horizontal="center" vertical="center" wrapText="1"/>
    </xf>
    <xf numFmtId="181" fontId="50" fillId="0" borderId="26" xfId="2315" applyNumberFormat="1" applyFont="1" applyBorder="1" applyAlignment="1">
      <alignment horizontal="center" vertical="center" wrapText="1"/>
    </xf>
    <xf numFmtId="177" fontId="31" fillId="0" borderId="22" xfId="2151" applyNumberFormat="1" applyFont="1" applyBorder="1" applyAlignment="1">
      <alignment horizontal="right"/>
    </xf>
    <xf numFmtId="177" fontId="31" fillId="0" borderId="23" xfId="2151" applyNumberFormat="1" applyFont="1" applyBorder="1" applyAlignment="1">
      <alignment horizontal="right"/>
    </xf>
    <xf numFmtId="180" fontId="27" fillId="0" borderId="0" xfId="0" applyNumberFormat="1" applyFont="1" applyBorder="1" applyAlignment="1">
      <alignment vertical="center"/>
    </xf>
    <xf numFmtId="201" fontId="27" fillId="0" borderId="0" xfId="0" applyNumberFormat="1" applyFont="1" applyAlignment="1" applyProtection="1">
      <alignment horizontal="right" vertical="center"/>
    </xf>
    <xf numFmtId="179" fontId="27" fillId="0" borderId="0" xfId="2315" quotePrefix="1" applyNumberFormat="1" applyFont="1" applyBorder="1" applyAlignment="1">
      <alignment vertical="center"/>
    </xf>
    <xf numFmtId="177" fontId="27" fillId="0" borderId="0" xfId="2151" applyNumberFormat="1" applyFont="1" applyBorder="1" applyAlignment="1">
      <alignment horizontal="left" indent="2"/>
    </xf>
    <xf numFmtId="177" fontId="27" fillId="0" borderId="0" xfId="2151" applyNumberFormat="1" applyFont="1" applyBorder="1" applyAlignment="1">
      <alignment horizontal="left"/>
    </xf>
    <xf numFmtId="177" fontId="27" fillId="0" borderId="0" xfId="2151" applyNumberFormat="1" applyFont="1" applyBorder="1" applyAlignment="1">
      <alignment horizontal="right"/>
    </xf>
    <xf numFmtId="177" fontId="27" fillId="0" borderId="0" xfId="2151" applyNumberFormat="1" applyFont="1" applyBorder="1"/>
    <xf numFmtId="0" fontId="50" fillId="0" borderId="0" xfId="0" applyFont="1" applyBorder="1" applyAlignment="1">
      <alignment vertical="top"/>
    </xf>
    <xf numFmtId="0" fontId="0" fillId="0" borderId="0" xfId="2316" applyFont="1" applyAlignment="1">
      <alignment vertical="center"/>
    </xf>
    <xf numFmtId="0" fontId="50" fillId="0" borderId="0" xfId="2316" applyFont="1" applyAlignment="1">
      <alignment vertical="center"/>
    </xf>
    <xf numFmtId="0" fontId="50" fillId="0" borderId="0" xfId="2316" applyFont="1" applyAlignment="1">
      <alignment horizontal="center" vertical="center"/>
    </xf>
    <xf numFmtId="0" fontId="31" fillId="0" borderId="0" xfId="2316" applyFont="1" applyAlignment="1">
      <alignment vertical="center"/>
    </xf>
    <xf numFmtId="0" fontId="50" fillId="0" borderId="33" xfId="2316" applyFont="1" applyBorder="1" applyAlignment="1">
      <alignment horizontal="center" wrapText="1"/>
    </xf>
    <xf numFmtId="0" fontId="50" fillId="0" borderId="24" xfId="2316" applyFont="1" applyBorder="1" applyAlignment="1">
      <alignment horizontal="center" wrapText="1"/>
    </xf>
    <xf numFmtId="0" fontId="50" fillId="0" borderId="23" xfId="2316" applyFont="1" applyBorder="1" applyAlignment="1">
      <alignment horizontal="center" vertical="center" wrapText="1"/>
    </xf>
    <xf numFmtId="0" fontId="50" fillId="0" borderId="22" xfId="2316" applyFont="1" applyBorder="1" applyAlignment="1">
      <alignment horizontal="center" vertical="center" wrapText="1"/>
    </xf>
    <xf numFmtId="0" fontId="50" fillId="0" borderId="0" xfId="2316" applyFont="1" applyBorder="1" applyAlignment="1">
      <alignment vertical="center"/>
    </xf>
    <xf numFmtId="0" fontId="50" fillId="0" borderId="34" xfId="2316" applyFont="1" applyBorder="1" applyAlignment="1">
      <alignment horizontal="center" vertical="top" wrapText="1"/>
    </xf>
    <xf numFmtId="0" fontId="50" fillId="0" borderId="25" xfId="2316" applyFont="1" applyBorder="1" applyAlignment="1">
      <alignment horizontal="center" vertical="top" wrapText="1"/>
    </xf>
    <xf numFmtId="0" fontId="0" fillId="0" borderId="0" xfId="2316" applyFont="1" applyBorder="1" applyAlignment="1">
      <alignment vertical="center"/>
    </xf>
    <xf numFmtId="177" fontId="31" fillId="0" borderId="22" xfId="2316" applyNumberFormat="1" applyFont="1" applyBorder="1" applyAlignment="1">
      <alignment vertical="center"/>
    </xf>
    <xf numFmtId="177" fontId="31" fillId="0" borderId="21" xfId="2316" applyNumberFormat="1" applyFont="1" applyBorder="1" applyAlignment="1">
      <alignment vertical="center"/>
    </xf>
    <xf numFmtId="177" fontId="31" fillId="0" borderId="23" xfId="2316" applyNumberFormat="1" applyFont="1" applyBorder="1" applyAlignment="1">
      <alignment vertical="center"/>
    </xf>
    <xf numFmtId="176" fontId="50" fillId="0" borderId="0" xfId="2316" applyNumberFormat="1" applyFont="1" applyAlignment="1">
      <alignment vertical="center"/>
    </xf>
    <xf numFmtId="177" fontId="101" fillId="0" borderId="22" xfId="2316" applyNumberFormat="1" applyFont="1" applyBorder="1" applyAlignment="1">
      <alignment vertical="center"/>
    </xf>
    <xf numFmtId="177" fontId="101" fillId="0" borderId="21" xfId="2316" applyNumberFormat="1" applyFont="1" applyBorder="1" applyAlignment="1">
      <alignment vertical="center"/>
    </xf>
    <xf numFmtId="179" fontId="50" fillId="0" borderId="0" xfId="2316" applyNumberFormat="1" applyFont="1" applyAlignment="1">
      <alignment vertical="center"/>
    </xf>
    <xf numFmtId="0" fontId="50" fillId="0" borderId="40" xfId="2316" applyFont="1" applyBorder="1" applyAlignment="1">
      <alignment vertical="center" wrapText="1"/>
    </xf>
    <xf numFmtId="0" fontId="31" fillId="0" borderId="26" xfId="2316" applyFont="1" applyBorder="1" applyAlignment="1">
      <alignment horizontal="center" vertical="center" wrapText="1"/>
    </xf>
    <xf numFmtId="0" fontId="31" fillId="0" borderId="39" xfId="2316" applyFont="1" applyBorder="1" applyAlignment="1">
      <alignment horizontal="center" vertical="center" wrapText="1"/>
    </xf>
    <xf numFmtId="0" fontId="50" fillId="0" borderId="0" xfId="2316" applyFont="1" applyAlignment="1">
      <alignment horizontal="right" vertical="center"/>
    </xf>
    <xf numFmtId="0" fontId="31" fillId="0" borderId="0" xfId="0" applyFont="1" applyBorder="1" applyAlignment="1">
      <alignment horizontal="center" vertical="center"/>
    </xf>
    <xf numFmtId="177" fontId="31" fillId="0" borderId="22" xfId="0" applyNumberFormat="1" applyFont="1" applyBorder="1" applyAlignment="1" applyProtection="1">
      <alignment horizontal="right" vertical="center"/>
    </xf>
    <xf numFmtId="177" fontId="31" fillId="0" borderId="23" xfId="0" applyNumberFormat="1" applyFont="1" applyBorder="1" applyAlignment="1" applyProtection="1">
      <alignment horizontal="right" vertical="center"/>
    </xf>
    <xf numFmtId="176" fontId="27" fillId="0" borderId="0" xfId="0" applyNumberFormat="1" applyFont="1" applyBorder="1" applyAlignment="1" applyProtection="1">
      <alignment horizontal="right" vertical="center"/>
    </xf>
    <xf numFmtId="41" fontId="27" fillId="0" borderId="0" xfId="1589" applyFont="1" applyBorder="1" applyAlignment="1">
      <alignment horizontal="left" vertical="center"/>
    </xf>
    <xf numFmtId="199" fontId="27" fillId="0" borderId="0" xfId="0" applyNumberFormat="1" applyFont="1" applyBorder="1" applyAlignment="1" applyProtection="1">
      <alignment horizontal="right" vertical="center"/>
    </xf>
    <xf numFmtId="41" fontId="31" fillId="0" borderId="0" xfId="1589" applyFont="1" applyBorder="1" applyAlignment="1">
      <alignment horizontal="right" vertical="center"/>
    </xf>
    <xf numFmtId="41" fontId="31" fillId="0" borderId="0" xfId="1591" applyFont="1" applyBorder="1" applyAlignment="1">
      <alignment horizontal="right" vertical="center"/>
    </xf>
    <xf numFmtId="3" fontId="31" fillId="0" borderId="0" xfId="2317" applyNumberFormat="1" applyFont="1" applyFill="1">
      <alignment vertical="center"/>
    </xf>
    <xf numFmtId="179" fontId="31" fillId="0" borderId="0" xfId="0" quotePrefix="1" applyNumberFormat="1" applyFont="1" applyBorder="1" applyAlignment="1">
      <alignment horizontal="right" vertical="center"/>
    </xf>
    <xf numFmtId="179" fontId="31" fillId="0" borderId="38" xfId="0" applyNumberFormat="1" applyFont="1" applyBorder="1" applyAlignment="1">
      <alignment horizontal="right" vertical="center"/>
    </xf>
    <xf numFmtId="178" fontId="28" fillId="0" borderId="0" xfId="0" applyNumberFormat="1" applyFont="1" applyBorder="1" applyAlignment="1">
      <alignment vertical="top" wrapText="1"/>
    </xf>
    <xf numFmtId="177" fontId="31" fillId="0" borderId="26" xfId="0" applyNumberFormat="1" applyFont="1" applyBorder="1" applyAlignment="1">
      <alignment horizontal="center" vertical="center"/>
    </xf>
    <xf numFmtId="177" fontId="31" fillId="0" borderId="39" xfId="0" applyNumberFormat="1" applyFont="1" applyBorder="1" applyAlignment="1">
      <alignment horizontal="center" vertical="center"/>
    </xf>
    <xf numFmtId="177" fontId="31" fillId="0" borderId="0" xfId="0" applyNumberFormat="1" applyFont="1" applyBorder="1" applyAlignment="1">
      <alignment horizontal="center" vertical="center"/>
    </xf>
    <xf numFmtId="177" fontId="0" fillId="0" borderId="0" xfId="0" applyNumberFormat="1" applyFont="1" applyAlignment="1">
      <alignment horizontal="right"/>
    </xf>
    <xf numFmtId="198" fontId="28" fillId="0" borderId="0" xfId="0" applyNumberFormat="1" applyFont="1" applyAlignment="1">
      <alignment vertical="center"/>
    </xf>
    <xf numFmtId="185" fontId="28" fillId="0" borderId="0" xfId="0" applyNumberFormat="1" applyFont="1" applyAlignment="1">
      <alignment vertical="center"/>
    </xf>
    <xf numFmtId="183" fontId="28" fillId="0" borderId="0" xfId="0" applyNumberFormat="1" applyFont="1" applyAlignment="1">
      <alignment vertical="center"/>
    </xf>
    <xf numFmtId="205" fontId="28" fillId="0" borderId="0" xfId="0" applyNumberFormat="1" applyFont="1" applyAlignment="1">
      <alignment vertical="center"/>
    </xf>
    <xf numFmtId="185" fontId="0" fillId="0" borderId="0" xfId="0" applyNumberFormat="1" applyFont="1"/>
    <xf numFmtId="205" fontId="0" fillId="0" borderId="0" xfId="0" applyNumberFormat="1" applyFont="1"/>
    <xf numFmtId="0" fontId="50" fillId="0" borderId="0" xfId="0" applyFont="1" applyAlignment="1">
      <alignment horizontal="center" vertical="center"/>
    </xf>
    <xf numFmtId="185" fontId="50" fillId="0" borderId="0" xfId="0" applyNumberFormat="1" applyFont="1" applyAlignment="1">
      <alignment horizontal="center" vertical="center"/>
    </xf>
    <xf numFmtId="205" fontId="50" fillId="0" borderId="0" xfId="0" applyNumberFormat="1" applyFont="1" applyAlignment="1">
      <alignment horizontal="center" vertical="center"/>
    </xf>
    <xf numFmtId="185" fontId="31" fillId="0" borderId="0" xfId="0" applyNumberFormat="1" applyFont="1" applyBorder="1" applyAlignment="1">
      <alignment horizontal="right" vertical="center"/>
    </xf>
    <xf numFmtId="205" fontId="31" fillId="0" borderId="0" xfId="0" applyNumberFormat="1" applyFont="1" applyBorder="1" applyAlignment="1">
      <alignment horizontal="right" vertical="center"/>
    </xf>
    <xf numFmtId="202" fontId="31" fillId="0" borderId="0" xfId="0" applyNumberFormat="1" applyFont="1" applyBorder="1" applyAlignment="1">
      <alignment horizontal="right" vertical="center"/>
    </xf>
    <xf numFmtId="200" fontId="31" fillId="0" borderId="22" xfId="0" applyNumberFormat="1" applyFont="1" applyBorder="1" applyAlignment="1">
      <alignment horizontal="right" vertical="center"/>
    </xf>
    <xf numFmtId="180" fontId="31" fillId="0" borderId="0" xfId="0" applyNumberFormat="1" applyFont="1" applyBorder="1" applyAlignment="1">
      <alignment horizontal="right" vertical="center"/>
    </xf>
    <xf numFmtId="183" fontId="31" fillId="0" borderId="0" xfId="0" applyNumberFormat="1" applyFont="1" applyBorder="1" applyAlignment="1">
      <alignment horizontal="right" vertical="center"/>
    </xf>
    <xf numFmtId="41" fontId="27" fillId="0" borderId="0" xfId="1589" applyNumberFormat="1" applyFont="1" applyBorder="1" applyAlignment="1">
      <alignment horizontal="right" vertical="center"/>
    </xf>
    <xf numFmtId="185" fontId="27" fillId="0" borderId="0" xfId="0" applyNumberFormat="1" applyFont="1" applyBorder="1" applyAlignment="1">
      <alignment horizontal="right" vertical="center"/>
    </xf>
    <xf numFmtId="183" fontId="27" fillId="0" borderId="0" xfId="0" applyNumberFormat="1" applyFont="1" applyAlignment="1"/>
    <xf numFmtId="205" fontId="27" fillId="0" borderId="0" xfId="0" applyNumberFormat="1" applyFont="1" applyAlignment="1"/>
    <xf numFmtId="0" fontId="27" fillId="0" borderId="0" xfId="0" applyFont="1" applyAlignment="1"/>
    <xf numFmtId="41" fontId="31" fillId="0" borderId="0" xfId="1589" applyNumberFormat="1" applyFont="1" applyBorder="1" applyAlignment="1">
      <alignment horizontal="right" vertical="center"/>
    </xf>
    <xf numFmtId="183" fontId="27" fillId="0" borderId="0" xfId="0" applyNumberFormat="1" applyFont="1"/>
    <xf numFmtId="205" fontId="27" fillId="0" borderId="0" xfId="0" applyNumberFormat="1" applyFont="1"/>
    <xf numFmtId="183" fontId="50" fillId="0" borderId="0" xfId="0" applyNumberFormat="1" applyFont="1"/>
    <xf numFmtId="205" fontId="50" fillId="0" borderId="0" xfId="0" applyNumberFormat="1" applyFont="1"/>
    <xf numFmtId="176" fontId="50" fillId="0" borderId="0" xfId="0" applyNumberFormat="1" applyFont="1"/>
    <xf numFmtId="185" fontId="50" fillId="0" borderId="0" xfId="0" applyNumberFormat="1" applyFont="1"/>
    <xf numFmtId="183" fontId="0" fillId="0" borderId="0" xfId="0" applyNumberFormat="1" applyFont="1"/>
    <xf numFmtId="38" fontId="31" fillId="0" borderId="0" xfId="0" applyNumberFormat="1" applyFont="1" applyBorder="1" applyAlignment="1">
      <alignment horizontal="right" vertical="center"/>
    </xf>
    <xf numFmtId="4" fontId="27" fillId="0" borderId="0" xfId="0" applyNumberFormat="1" applyFont="1" applyBorder="1" applyAlignment="1">
      <alignment horizontal="right" vertical="center"/>
    </xf>
    <xf numFmtId="200" fontId="31" fillId="0" borderId="0" xfId="0" applyNumberFormat="1" applyFont="1" applyBorder="1" applyAlignment="1">
      <alignment horizontal="right" vertical="center"/>
    </xf>
    <xf numFmtId="200" fontId="27" fillId="0" borderId="0" xfId="0" applyNumberFormat="1" applyFont="1" applyBorder="1" applyAlignment="1">
      <alignment horizontal="right" vertical="center"/>
    </xf>
    <xf numFmtId="185" fontId="27" fillId="0" borderId="0" xfId="0" applyNumberFormat="1" applyFont="1" applyAlignment="1"/>
    <xf numFmtId="185" fontId="27" fillId="0" borderId="0" xfId="0" applyNumberFormat="1" applyFont="1"/>
    <xf numFmtId="181" fontId="31" fillId="0" borderId="23" xfId="0" applyNumberFormat="1" applyFont="1" applyBorder="1" applyAlignment="1">
      <alignment horizontal="right" vertical="top"/>
    </xf>
    <xf numFmtId="177" fontId="101" fillId="0" borderId="23" xfId="2316" applyNumberFormat="1" applyFont="1" applyBorder="1" applyAlignment="1">
      <alignment vertical="center"/>
    </xf>
    <xf numFmtId="199" fontId="31" fillId="0" borderId="22" xfId="0" applyNumberFormat="1" applyFont="1" applyFill="1" applyBorder="1" applyAlignment="1" applyProtection="1">
      <alignment horizontal="right" vertical="center"/>
    </xf>
    <xf numFmtId="0" fontId="0" fillId="0" borderId="0" xfId="2151" applyFont="1" applyBorder="1"/>
    <xf numFmtId="0" fontId="50" fillId="0" borderId="0" xfId="2151" applyFont="1" applyBorder="1" applyAlignment="1">
      <alignment horizontal="center" vertical="center"/>
    </xf>
    <xf numFmtId="0" fontId="50" fillId="0" borderId="0" xfId="2151" applyFont="1" applyBorder="1"/>
    <xf numFmtId="180" fontId="27" fillId="0" borderId="0" xfId="0" applyNumberFormat="1" applyFont="1" applyBorder="1" applyAlignment="1" applyProtection="1">
      <alignment horizontal="right" vertical="center"/>
    </xf>
    <xf numFmtId="201" fontId="27" fillId="0" borderId="0" xfId="0" applyNumberFormat="1" applyFont="1" applyBorder="1" applyAlignment="1" applyProtection="1">
      <alignment horizontal="right" vertical="center"/>
    </xf>
    <xf numFmtId="177" fontId="31" fillId="0" borderId="21" xfId="2151" applyNumberFormat="1" applyFont="1" applyBorder="1" applyAlignment="1">
      <alignment horizontal="right"/>
    </xf>
    <xf numFmtId="177" fontId="31" fillId="0" borderId="0" xfId="2151" applyNumberFormat="1" applyFont="1" applyBorder="1" applyAlignment="1">
      <alignment horizontal="right"/>
    </xf>
    <xf numFmtId="0" fontId="0" fillId="0" borderId="23" xfId="2316" applyFont="1" applyBorder="1" applyAlignment="1">
      <alignment vertical="center"/>
    </xf>
    <xf numFmtId="0" fontId="0" fillId="0" borderId="0" xfId="2316" applyFont="1" applyFill="1" applyAlignment="1">
      <alignment vertical="center"/>
    </xf>
    <xf numFmtId="0" fontId="31" fillId="0" borderId="0" xfId="2316" applyFont="1" applyFill="1" applyAlignment="1">
      <alignment vertical="center"/>
    </xf>
    <xf numFmtId="176" fontId="101" fillId="0" borderId="23" xfId="2316" applyNumberFormat="1" applyFont="1" applyFill="1" applyBorder="1" applyAlignment="1">
      <alignment vertical="center"/>
    </xf>
    <xf numFmtId="41" fontId="31" fillId="0" borderId="23" xfId="2316" applyNumberFormat="1" applyFont="1" applyFill="1" applyBorder="1" applyAlignment="1">
      <alignment vertical="center"/>
    </xf>
    <xf numFmtId="180" fontId="27" fillId="0" borderId="0" xfId="0" applyNumberFormat="1" applyFont="1" applyFill="1" applyBorder="1" applyAlignment="1">
      <alignment vertical="center"/>
    </xf>
    <xf numFmtId="0" fontId="50" fillId="0" borderId="39" xfId="2314" applyFont="1" applyBorder="1" applyAlignment="1">
      <alignment horizontal="center" vertical="center"/>
    </xf>
    <xf numFmtId="0" fontId="50" fillId="0" borderId="42" xfId="0" applyFont="1" applyBorder="1" applyAlignment="1"/>
    <xf numFmtId="0" fontId="50" fillId="0" borderId="31" xfId="0" applyFont="1" applyBorder="1" applyAlignment="1"/>
    <xf numFmtId="0" fontId="28" fillId="0" borderId="0" xfId="0" applyFont="1" applyBorder="1" applyAlignment="1">
      <alignment vertical="top"/>
    </xf>
    <xf numFmtId="0" fontId="50" fillId="0" borderId="0" xfId="0" applyFont="1" applyAlignment="1"/>
    <xf numFmtId="0" fontId="27" fillId="0" borderId="0" xfId="0" applyFont="1" applyBorder="1" applyAlignment="1">
      <alignment horizontal="left" vertical="center"/>
    </xf>
    <xf numFmtId="0" fontId="28" fillId="0" borderId="0" xfId="0" applyFont="1" applyAlignment="1">
      <alignment vertical="top"/>
    </xf>
    <xf numFmtId="0" fontId="50" fillId="0" borderId="0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178" fontId="28" fillId="0" borderId="0" xfId="0" applyNumberFormat="1" applyFont="1" applyBorder="1" applyAlignment="1">
      <alignment vertical="top"/>
    </xf>
    <xf numFmtId="178" fontId="28" fillId="0" borderId="0" xfId="0" applyNumberFormat="1" applyFont="1" applyBorder="1" applyAlignment="1">
      <alignment vertical="center"/>
    </xf>
    <xf numFmtId="181" fontId="50" fillId="0" borderId="39" xfId="1595" applyNumberFormat="1" applyFont="1" applyFill="1" applyBorder="1" applyAlignment="1">
      <alignment horizontal="center" vertical="center" wrapText="1"/>
    </xf>
    <xf numFmtId="0" fontId="50" fillId="0" borderId="40" xfId="2316" applyFont="1" applyBorder="1" applyAlignment="1">
      <alignment horizontal="center" vertical="center" wrapText="1"/>
    </xf>
    <xf numFmtId="41" fontId="31" fillId="0" borderId="21" xfId="0" applyNumberFormat="1" applyFont="1" applyBorder="1" applyAlignment="1">
      <alignment horizontal="right" vertical="center"/>
    </xf>
    <xf numFmtId="41" fontId="31" fillId="0" borderId="21" xfId="1589" applyNumberFormat="1" applyFont="1" applyBorder="1" applyAlignment="1">
      <alignment horizontal="right" vertical="center"/>
    </xf>
    <xf numFmtId="41" fontId="31" fillId="0" borderId="21" xfId="0" applyNumberFormat="1" applyFont="1" applyBorder="1" applyAlignment="1">
      <alignment horizontal="center" vertical="center"/>
    </xf>
    <xf numFmtId="0" fontId="31" fillId="0" borderId="21" xfId="0" applyNumberFormat="1" applyFont="1" applyBorder="1" applyAlignment="1">
      <alignment horizontal="center" vertical="center"/>
    </xf>
    <xf numFmtId="41" fontId="31" fillId="0" borderId="21" xfId="2316" applyNumberFormat="1" applyFont="1" applyBorder="1" applyAlignment="1">
      <alignment horizontal="right" vertical="center"/>
    </xf>
    <xf numFmtId="183" fontId="31" fillId="0" borderId="0" xfId="0" applyNumberFormat="1" applyFont="1" applyBorder="1" applyAlignment="1">
      <alignment horizontal="right"/>
    </xf>
    <xf numFmtId="181" fontId="31" fillId="0" borderId="0" xfId="0" applyNumberFormat="1" applyFont="1" applyBorder="1" applyAlignment="1" applyProtection="1">
      <alignment horizontal="right" vertical="center"/>
    </xf>
    <xf numFmtId="0" fontId="50" fillId="0" borderId="26" xfId="0" applyFont="1" applyBorder="1" applyAlignment="1" applyProtection="1">
      <alignment horizontal="center" vertical="center"/>
    </xf>
    <xf numFmtId="14" fontId="31" fillId="0" borderId="0" xfId="0" applyNumberFormat="1" applyFont="1" applyBorder="1" applyAlignment="1">
      <alignment horizontal="right" vertical="center"/>
    </xf>
    <xf numFmtId="41" fontId="30" fillId="0" borderId="0" xfId="0" applyNumberFormat="1" applyFont="1" applyBorder="1" applyAlignment="1">
      <alignment horizontal="right" vertical="center"/>
    </xf>
    <xf numFmtId="200" fontId="31" fillId="0" borderId="23" xfId="0" applyNumberFormat="1" applyFont="1" applyBorder="1" applyAlignment="1" applyProtection="1">
      <alignment horizontal="right" vertical="center"/>
      <protection locked="0"/>
    </xf>
    <xf numFmtId="200" fontId="31" fillId="0" borderId="23" xfId="0" applyNumberFormat="1" applyFont="1" applyBorder="1" applyAlignment="1">
      <alignment horizontal="right" vertical="top"/>
    </xf>
    <xf numFmtId="181" fontId="27" fillId="0" borderId="0" xfId="0" applyNumberFormat="1" applyFont="1" applyAlignment="1">
      <alignment horizontal="right" vertical="center"/>
    </xf>
    <xf numFmtId="181" fontId="0" fillId="0" borderId="0" xfId="0" applyNumberFormat="1" applyFont="1" applyBorder="1"/>
    <xf numFmtId="181" fontId="27" fillId="0" borderId="0" xfId="0" applyNumberFormat="1" applyFont="1" applyAlignment="1" applyProtection="1">
      <alignment horizontal="right" vertical="center"/>
    </xf>
    <xf numFmtId="181" fontId="31" fillId="0" borderId="0" xfId="0" applyNumberFormat="1" applyFont="1" applyAlignment="1" applyProtection="1">
      <alignment horizontal="center" vertical="center"/>
    </xf>
    <xf numFmtId="0" fontId="31" fillId="0" borderId="21" xfId="2316" applyNumberFormat="1" applyFont="1" applyBorder="1" applyAlignment="1">
      <alignment horizontal="center" vertical="center"/>
    </xf>
    <xf numFmtId="206" fontId="31" fillId="0" borderId="21" xfId="1589" applyNumberFormat="1" applyFont="1" applyBorder="1" applyAlignment="1">
      <alignment horizontal="right" vertical="center"/>
    </xf>
    <xf numFmtId="177" fontId="31" fillId="0" borderId="22" xfId="0" quotePrefix="1" applyNumberFormat="1" applyFont="1" applyBorder="1" applyAlignment="1">
      <alignment horizontal="right" vertical="center"/>
    </xf>
    <xf numFmtId="181" fontId="31" fillId="0" borderId="22" xfId="0" applyNumberFormat="1" applyFont="1" applyBorder="1" applyAlignment="1" applyProtection="1">
      <alignment horizontal="right" vertical="center"/>
    </xf>
    <xf numFmtId="0" fontId="31" fillId="0" borderId="0" xfId="0" applyNumberFormat="1" applyFont="1" applyBorder="1" applyAlignment="1">
      <alignment horizontal="right" vertical="center"/>
    </xf>
    <xf numFmtId="0" fontId="55" fillId="0" borderId="0" xfId="0" applyFont="1" applyAlignment="1">
      <alignment vertical="center"/>
    </xf>
    <xf numFmtId="14" fontId="27" fillId="0" borderId="0" xfId="0" applyNumberFormat="1" applyFont="1" applyBorder="1" applyAlignment="1"/>
    <xf numFmtId="182" fontId="31" fillId="0" borderId="22" xfId="0" applyNumberFormat="1" applyFont="1" applyFill="1" applyBorder="1" applyAlignment="1">
      <alignment horizontal="right" vertical="center"/>
    </xf>
    <xf numFmtId="182" fontId="31" fillId="0" borderId="22" xfId="0" applyNumberFormat="1" applyFont="1" applyBorder="1" applyAlignment="1">
      <alignment horizontal="right" vertical="center"/>
    </xf>
    <xf numFmtId="206" fontId="31" fillId="0" borderId="21" xfId="1589" applyNumberFormat="1" applyFont="1" applyFill="1" applyBorder="1" applyAlignment="1">
      <alignment horizontal="right" vertical="center"/>
    </xf>
    <xf numFmtId="0" fontId="55" fillId="0" borderId="0" xfId="0" applyFont="1" applyAlignment="1">
      <alignment vertical="center"/>
    </xf>
    <xf numFmtId="0" fontId="50" fillId="0" borderId="0" xfId="0" applyFont="1" applyBorder="1" applyAlignment="1">
      <alignment horizontal="center" vertical="center"/>
    </xf>
    <xf numFmtId="0" fontId="50" fillId="0" borderId="41" xfId="0" applyFont="1" applyBorder="1" applyAlignment="1">
      <alignment horizontal="center" vertical="center"/>
    </xf>
    <xf numFmtId="178" fontId="28" fillId="0" borderId="0" xfId="0" applyNumberFormat="1" applyFont="1" applyBorder="1" applyAlignment="1">
      <alignment vertical="top"/>
    </xf>
    <xf numFmtId="0" fontId="0" fillId="0" borderId="0" xfId="0" applyFont="1" applyAlignment="1"/>
    <xf numFmtId="0" fontId="50" fillId="0" borderId="21" xfId="0" applyFont="1" applyBorder="1" applyAlignment="1">
      <alignment horizontal="center" vertical="center"/>
    </xf>
    <xf numFmtId="0" fontId="50" fillId="0" borderId="32" xfId="0" applyFont="1" applyBorder="1" applyAlignment="1"/>
    <xf numFmtId="0" fontId="50" fillId="0" borderId="33" xfId="0" applyFont="1" applyBorder="1" applyAlignment="1">
      <alignment horizontal="center" vertical="center"/>
    </xf>
    <xf numFmtId="0" fontId="50" fillId="0" borderId="23" xfId="0" applyFont="1" applyBorder="1" applyAlignment="1">
      <alignment horizontal="center" vertical="center"/>
    </xf>
    <xf numFmtId="0" fontId="50" fillId="0" borderId="34" xfId="0" applyFont="1" applyBorder="1" applyAlignment="1">
      <alignment horizontal="center" vertical="center"/>
    </xf>
    <xf numFmtId="177" fontId="50" fillId="0" borderId="35" xfId="0" applyNumberFormat="1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176" fontId="50" fillId="0" borderId="0" xfId="2316" applyNumberFormat="1" applyFont="1" applyBorder="1" applyAlignment="1">
      <alignment vertical="center"/>
    </xf>
    <xf numFmtId="177" fontId="50" fillId="0" borderId="0" xfId="2316" applyNumberFormat="1" applyFont="1" applyBorder="1" applyAlignment="1">
      <alignment vertical="center"/>
    </xf>
    <xf numFmtId="177" fontId="31" fillId="0" borderId="22" xfId="0" applyNumberFormat="1" applyFont="1" applyFill="1" applyBorder="1" applyAlignment="1" applyProtection="1">
      <alignment horizontal="right" vertical="center"/>
    </xf>
    <xf numFmtId="177" fontId="31" fillId="0" borderId="23" xfId="0" applyNumberFormat="1" applyFont="1" applyFill="1" applyBorder="1" applyAlignment="1" applyProtection="1">
      <alignment horizontal="right" vertical="center"/>
    </xf>
    <xf numFmtId="177" fontId="31" fillId="0" borderId="22" xfId="0" applyNumberFormat="1" applyFont="1" applyFill="1" applyBorder="1" applyAlignment="1">
      <alignment vertical="center"/>
    </xf>
    <xf numFmtId="177" fontId="31" fillId="0" borderId="23" xfId="0" applyNumberFormat="1" applyFont="1" applyFill="1" applyBorder="1" applyAlignment="1">
      <alignment vertical="center"/>
    </xf>
    <xf numFmtId="177" fontId="103" fillId="0" borderId="0" xfId="0" applyNumberFormat="1" applyFont="1" applyAlignment="1">
      <alignment horizontal="right" vertical="center"/>
    </xf>
    <xf numFmtId="177" fontId="31" fillId="0" borderId="23" xfId="0" applyNumberFormat="1" applyFont="1" applyFill="1" applyBorder="1" applyAlignment="1">
      <alignment horizontal="right" vertical="center"/>
    </xf>
    <xf numFmtId="0" fontId="28" fillId="0" borderId="0" xfId="0" applyFont="1"/>
    <xf numFmtId="0" fontId="92" fillId="0" borderId="0" xfId="0" applyFont="1" applyAlignment="1">
      <alignment horizontal="center" vertical="center"/>
    </xf>
    <xf numFmtId="177" fontId="92" fillId="0" borderId="0" xfId="0" applyNumberFormat="1" applyFont="1" applyBorder="1" applyAlignment="1">
      <alignment horizontal="right" vertical="center"/>
    </xf>
    <xf numFmtId="177" fontId="103" fillId="0" borderId="0" xfId="0" applyNumberFormat="1" applyFont="1" applyBorder="1" applyAlignment="1">
      <alignment horizontal="right" vertical="center"/>
    </xf>
    <xf numFmtId="179" fontId="103" fillId="0" borderId="0" xfId="0" applyNumberFormat="1" applyFont="1" applyBorder="1" applyAlignment="1">
      <alignment horizontal="right" vertical="center"/>
    </xf>
    <xf numFmtId="0" fontId="92" fillId="0" borderId="0" xfId="0" applyFont="1" applyBorder="1" applyAlignment="1">
      <alignment horizontal="right" vertical="center"/>
    </xf>
    <xf numFmtId="177" fontId="92" fillId="0" borderId="0" xfId="0" applyNumberFormat="1" applyFont="1" applyBorder="1" applyAlignment="1">
      <alignment vertical="center"/>
    </xf>
    <xf numFmtId="3" fontId="92" fillId="0" borderId="0" xfId="2318" applyNumberFormat="1" applyFont="1" applyFill="1">
      <alignment vertical="center"/>
    </xf>
    <xf numFmtId="41" fontId="103" fillId="0" borderId="0" xfId="1589" applyFont="1" applyAlignment="1">
      <alignment horizontal="right" vertical="center"/>
    </xf>
    <xf numFmtId="41" fontId="92" fillId="0" borderId="0" xfId="1589" applyFont="1" applyBorder="1" applyAlignment="1">
      <alignment horizontal="right" vertical="center"/>
    </xf>
    <xf numFmtId="41" fontId="103" fillId="0" borderId="0" xfId="1589" applyFont="1" applyBorder="1" applyAlignment="1">
      <alignment horizontal="right" vertical="center"/>
    </xf>
    <xf numFmtId="176" fontId="31" fillId="0" borderId="22" xfId="0" applyNumberFormat="1" applyFont="1" applyFill="1" applyBorder="1" applyAlignment="1">
      <alignment horizontal="right" vertical="center"/>
    </xf>
    <xf numFmtId="183" fontId="31" fillId="0" borderId="22" xfId="0" applyNumberFormat="1" applyFont="1" applyFill="1" applyBorder="1" applyAlignment="1">
      <alignment horizontal="right" vertical="center"/>
    </xf>
    <xf numFmtId="183" fontId="31" fillId="0" borderId="23" xfId="0" applyNumberFormat="1" applyFont="1" applyFill="1" applyBorder="1" applyAlignment="1">
      <alignment horizontal="right" vertical="center"/>
    </xf>
    <xf numFmtId="200" fontId="31" fillId="0" borderId="22" xfId="0" applyNumberFormat="1" applyFont="1" applyFill="1" applyBorder="1" applyAlignment="1">
      <alignment horizontal="right" vertical="center"/>
    </xf>
    <xf numFmtId="200" fontId="101" fillId="0" borderId="22" xfId="0" applyNumberFormat="1" applyFont="1" applyFill="1" applyBorder="1" applyAlignment="1">
      <alignment horizontal="right" vertical="center"/>
    </xf>
    <xf numFmtId="183" fontId="31" fillId="0" borderId="0" xfId="0" applyNumberFormat="1" applyFont="1" applyFill="1" applyBorder="1" applyAlignment="1">
      <alignment horizontal="right" vertical="center"/>
    </xf>
    <xf numFmtId="180" fontId="31" fillId="0" borderId="0" xfId="0" applyNumberFormat="1" applyFont="1" applyFill="1" applyBorder="1" applyAlignment="1">
      <alignment horizontal="right" vertical="center"/>
    </xf>
    <xf numFmtId="206" fontId="31" fillId="0" borderId="0" xfId="1589" applyNumberFormat="1" applyFont="1" applyBorder="1" applyAlignment="1">
      <alignment horizontal="right" vertical="center"/>
    </xf>
    <xf numFmtId="200" fontId="31" fillId="0" borderId="0" xfId="0" quotePrefix="1" applyNumberFormat="1" applyFont="1" applyBorder="1" applyAlignment="1">
      <alignment horizontal="right" vertical="center"/>
    </xf>
    <xf numFmtId="200" fontId="31" fillId="0" borderId="0" xfId="0" quotePrefix="1" applyNumberFormat="1" applyFont="1" applyBorder="1" applyAlignment="1" applyProtection="1">
      <alignment horizontal="right" vertical="center"/>
      <protection locked="0"/>
    </xf>
    <xf numFmtId="182" fontId="31" fillId="0" borderId="0" xfId="1591" applyNumberFormat="1" applyFont="1" applyFill="1" applyBorder="1" applyAlignment="1">
      <alignment horizontal="right" vertical="center"/>
    </xf>
    <xf numFmtId="177" fontId="31" fillId="0" borderId="0" xfId="0" applyNumberFormat="1" applyFont="1" applyFill="1" applyBorder="1" applyAlignment="1">
      <alignment horizontal="right" vertical="center"/>
    </xf>
    <xf numFmtId="41" fontId="31" fillId="0" borderId="0" xfId="2316" applyNumberFormat="1" applyFont="1" applyFill="1" applyBorder="1" applyAlignment="1">
      <alignment vertical="center"/>
    </xf>
    <xf numFmtId="177" fontId="31" fillId="0" borderId="0" xfId="2316" applyNumberFormat="1" applyFont="1" applyBorder="1" applyAlignment="1">
      <alignment vertical="center"/>
    </xf>
    <xf numFmtId="184" fontId="31" fillId="0" borderId="0" xfId="0" applyNumberFormat="1" applyFont="1" applyFill="1" applyBorder="1" applyAlignment="1">
      <alignment horizontal="right" vertical="center"/>
    </xf>
    <xf numFmtId="41" fontId="27" fillId="0" borderId="0" xfId="2316" applyNumberFormat="1" applyFont="1" applyBorder="1" applyAlignment="1">
      <alignment vertical="top"/>
    </xf>
    <xf numFmtId="177" fontId="31" fillId="0" borderId="22" xfId="0" applyNumberFormat="1" applyFont="1" applyBorder="1" applyAlignment="1">
      <alignment horizontal="right" vertical="center"/>
    </xf>
    <xf numFmtId="177" fontId="31" fillId="0" borderId="0" xfId="0" applyNumberFormat="1" applyFont="1" applyBorder="1" applyAlignment="1">
      <alignment vertical="center"/>
    </xf>
    <xf numFmtId="177" fontId="31" fillId="0" borderId="23" xfId="0" applyNumberFormat="1" applyFont="1" applyBorder="1" applyAlignment="1">
      <alignment horizontal="right" vertical="center"/>
    </xf>
    <xf numFmtId="177" fontId="31" fillId="0" borderId="22" xfId="0" applyNumberFormat="1" applyFont="1" applyFill="1" applyBorder="1" applyAlignment="1">
      <alignment horizontal="right" vertical="center"/>
    </xf>
    <xf numFmtId="0" fontId="31" fillId="0" borderId="0" xfId="0" applyFont="1" applyBorder="1" applyAlignment="1">
      <alignment horizontal="right" vertical="center"/>
    </xf>
    <xf numFmtId="176" fontId="31" fillId="0" borderId="0" xfId="0" applyNumberFormat="1" applyFont="1" applyBorder="1" applyAlignment="1">
      <alignment horizontal="right" vertical="center"/>
    </xf>
    <xf numFmtId="199" fontId="31" fillId="0" borderId="22" xfId="0" applyNumberFormat="1" applyFont="1" applyBorder="1" applyAlignment="1">
      <alignment horizontal="right" vertical="center"/>
    </xf>
    <xf numFmtId="199" fontId="31" fillId="0" borderId="23" xfId="0" applyNumberFormat="1" applyFont="1" applyBorder="1" applyAlignment="1">
      <alignment horizontal="right" vertical="center"/>
    </xf>
    <xf numFmtId="199" fontId="31" fillId="0" borderId="0" xfId="0" applyNumberFormat="1" applyFont="1" applyBorder="1" applyAlignment="1">
      <alignment horizontal="right" vertical="center"/>
    </xf>
    <xf numFmtId="179" fontId="31" fillId="0" borderId="0" xfId="0" applyNumberFormat="1" applyFont="1" applyBorder="1" applyAlignment="1">
      <alignment horizontal="right" vertical="center"/>
    </xf>
    <xf numFmtId="4" fontId="31" fillId="0" borderId="0" xfId="0" applyNumberFormat="1" applyFont="1" applyBorder="1" applyAlignment="1">
      <alignment horizontal="right" vertical="center"/>
    </xf>
    <xf numFmtId="0" fontId="27" fillId="0" borderId="0" xfId="0" applyFont="1" applyBorder="1" applyAlignment="1" applyProtection="1"/>
    <xf numFmtId="199" fontId="31" fillId="0" borderId="0" xfId="0" applyNumberFormat="1" applyFont="1" applyBorder="1" applyAlignment="1" applyProtection="1">
      <alignment horizontal="center" vertical="center"/>
    </xf>
    <xf numFmtId="205" fontId="31" fillId="0" borderId="0" xfId="0" applyNumberFormat="1" applyFont="1" applyBorder="1" applyAlignment="1">
      <alignment horizontal="right" vertical="center"/>
    </xf>
    <xf numFmtId="183" fontId="31" fillId="0" borderId="0" xfId="0" applyNumberFormat="1" applyFont="1" applyBorder="1" applyAlignment="1">
      <alignment horizontal="right" vertical="center"/>
    </xf>
    <xf numFmtId="181" fontId="31" fillId="0" borderId="23" xfId="0" applyNumberFormat="1" applyFont="1" applyBorder="1" applyAlignment="1">
      <alignment horizontal="right" vertical="top"/>
    </xf>
    <xf numFmtId="181" fontId="31" fillId="0" borderId="0" xfId="0" applyNumberFormat="1" applyFont="1" applyBorder="1" applyAlignment="1" applyProtection="1">
      <alignment horizontal="right" vertical="center"/>
    </xf>
    <xf numFmtId="14" fontId="31" fillId="0" borderId="0" xfId="0" applyNumberFormat="1" applyFont="1" applyBorder="1" applyAlignment="1">
      <alignment horizontal="right" vertical="center"/>
    </xf>
    <xf numFmtId="181" fontId="31" fillId="0" borderId="22" xfId="0" applyNumberFormat="1" applyFont="1" applyBorder="1" applyAlignment="1" applyProtection="1">
      <alignment horizontal="right" vertical="center"/>
    </xf>
    <xf numFmtId="206" fontId="31" fillId="0" borderId="0" xfId="1589" applyNumberFormat="1" applyFont="1" applyFill="1" applyBorder="1" applyAlignment="1">
      <alignment horizontal="right" vertical="center"/>
    </xf>
    <xf numFmtId="181" fontId="95" fillId="0" borderId="0" xfId="0" applyNumberFormat="1" applyFont="1" applyBorder="1" applyAlignment="1">
      <alignment horizontal="right" vertical="center"/>
    </xf>
    <xf numFmtId="177" fontId="31" fillId="0" borderId="0" xfId="0" applyNumberFormat="1" applyFont="1" applyFill="1" applyBorder="1" applyAlignment="1" applyProtection="1">
      <alignment horizontal="right" vertical="center"/>
    </xf>
    <xf numFmtId="0" fontId="96" fillId="0" borderId="0" xfId="0" applyFont="1" applyBorder="1"/>
    <xf numFmtId="0" fontId="0" fillId="0" borderId="0" xfId="0" applyBorder="1"/>
    <xf numFmtId="185" fontId="95" fillId="0" borderId="0" xfId="0" applyNumberFormat="1" applyFont="1" applyBorder="1" applyAlignment="1">
      <alignment horizontal="right" vertical="center"/>
    </xf>
    <xf numFmtId="41" fontId="95" fillId="0" borderId="0" xfId="0" applyNumberFormat="1" applyFont="1" applyBorder="1" applyAlignment="1">
      <alignment horizontal="right" vertical="center"/>
    </xf>
    <xf numFmtId="206" fontId="31" fillId="0" borderId="0" xfId="1591" applyNumberFormat="1" applyFont="1" applyBorder="1" applyAlignment="1">
      <alignment horizontal="right" vertical="center"/>
    </xf>
    <xf numFmtId="181" fontId="31" fillId="0" borderId="0" xfId="2171" applyNumberFormat="1" applyFont="1" applyBorder="1" applyAlignment="1" applyProtection="1">
      <alignment horizontal="right" vertical="center"/>
    </xf>
    <xf numFmtId="206" fontId="31" fillId="0" borderId="38" xfId="1591" applyNumberFormat="1" applyFont="1" applyBorder="1" applyAlignment="1">
      <alignment horizontal="right" vertical="center"/>
    </xf>
    <xf numFmtId="181" fontId="50" fillId="0" borderId="39" xfId="1595" applyNumberFormat="1" applyFont="1" applyFill="1" applyBorder="1" applyAlignment="1">
      <alignment horizontal="center" vertical="center" wrapText="1"/>
    </xf>
    <xf numFmtId="181" fontId="50" fillId="0" borderId="30" xfId="1595" applyNumberFormat="1" applyFont="1" applyFill="1" applyBorder="1" applyAlignment="1">
      <alignment horizontal="center" vertical="center" wrapText="1"/>
    </xf>
    <xf numFmtId="181" fontId="50" fillId="0" borderId="29" xfId="1595" applyNumberFormat="1" applyFont="1" applyFill="1" applyBorder="1" applyAlignment="1">
      <alignment horizontal="center" vertical="center" wrapText="1"/>
    </xf>
    <xf numFmtId="38" fontId="31" fillId="0" borderId="0" xfId="2972" applyNumberFormat="1" applyFont="1" applyBorder="1" applyAlignment="1">
      <alignment horizontal="right" vertical="center"/>
    </xf>
    <xf numFmtId="177" fontId="31" fillId="0" borderId="0" xfId="2972" applyNumberFormat="1" applyFont="1" applyBorder="1" applyAlignment="1">
      <alignment horizontal="right" vertical="center"/>
    </xf>
    <xf numFmtId="177" fontId="31" fillId="0" borderId="0" xfId="2171" applyNumberFormat="1" applyFont="1" applyBorder="1" applyAlignment="1">
      <alignment horizontal="right" vertical="center"/>
    </xf>
    <xf numFmtId="181" fontId="31" fillId="0" borderId="23" xfId="2171" applyNumberFormat="1" applyFont="1" applyBorder="1" applyAlignment="1">
      <alignment horizontal="right" vertical="top"/>
    </xf>
    <xf numFmtId="181" fontId="31" fillId="0" borderId="22" xfId="2171" applyNumberFormat="1" applyFont="1" applyBorder="1" applyAlignment="1" applyProtection="1">
      <alignment horizontal="right" vertical="center"/>
    </xf>
    <xf numFmtId="206" fontId="31" fillId="0" borderId="21" xfId="1591" applyNumberFormat="1" applyFont="1" applyBorder="1" applyAlignment="1">
      <alignment horizontal="right" vertical="center"/>
    </xf>
    <xf numFmtId="180" fontId="31" fillId="0" borderId="23" xfId="2972" applyNumberFormat="1" applyFont="1" applyFill="1" applyBorder="1" applyAlignment="1">
      <alignment horizontal="right" vertical="center"/>
    </xf>
    <xf numFmtId="181" fontId="31" fillId="0" borderId="0" xfId="0" applyNumberFormat="1" applyFont="1" applyFill="1" applyBorder="1" applyAlignment="1">
      <alignment horizontal="right" vertical="center"/>
    </xf>
    <xf numFmtId="177" fontId="27" fillId="0" borderId="0" xfId="0" applyNumberFormat="1" applyFont="1" applyFill="1" applyBorder="1"/>
    <xf numFmtId="181" fontId="27" fillId="0" borderId="0" xfId="0" applyNumberFormat="1" applyFont="1" applyFill="1" applyBorder="1" applyAlignment="1">
      <alignment vertical="center"/>
    </xf>
    <xf numFmtId="199" fontId="31" fillId="0" borderId="0" xfId="0" applyNumberFormat="1" applyFont="1" applyFill="1" applyBorder="1" applyAlignment="1">
      <alignment horizontal="right" vertical="center"/>
    </xf>
    <xf numFmtId="199" fontId="31" fillId="0" borderId="38" xfId="0" applyNumberFormat="1" applyFont="1" applyBorder="1" applyAlignment="1">
      <alignment horizontal="right" vertical="center"/>
    </xf>
    <xf numFmtId="206" fontId="31" fillId="0" borderId="47" xfId="1589" applyNumberFormat="1" applyFont="1" applyBorder="1" applyAlignment="1">
      <alignment horizontal="right" vertical="center"/>
    </xf>
    <xf numFmtId="206" fontId="31" fillId="0" borderId="47" xfId="1589" applyNumberFormat="1" applyFont="1" applyFill="1" applyBorder="1" applyAlignment="1">
      <alignment horizontal="right" vertical="center"/>
    </xf>
    <xf numFmtId="177" fontId="31" fillId="0" borderId="22" xfId="2972" applyNumberFormat="1" applyFont="1" applyBorder="1" applyAlignment="1">
      <alignment horizontal="right" vertical="center"/>
    </xf>
    <xf numFmtId="177" fontId="31" fillId="0" borderId="23" xfId="2972" applyNumberFormat="1" applyFont="1" applyBorder="1" applyAlignment="1">
      <alignment horizontal="right" vertical="center"/>
    </xf>
    <xf numFmtId="41" fontId="31" fillId="0" borderId="0" xfId="1593" applyFont="1" applyFill="1" applyBorder="1" applyAlignment="1">
      <alignment horizontal="right" vertical="center"/>
    </xf>
    <xf numFmtId="182" fontId="31" fillId="0" borderId="0" xfId="2972" applyNumberFormat="1" applyFont="1" applyFill="1" applyBorder="1" applyAlignment="1">
      <alignment horizontal="right" vertical="center"/>
    </xf>
    <xf numFmtId="180" fontId="31" fillId="0" borderId="0" xfId="2972" applyNumberFormat="1" applyFont="1" applyFill="1" applyBorder="1" applyAlignment="1">
      <alignment horizontal="right" vertical="center"/>
    </xf>
    <xf numFmtId="177" fontId="31" fillId="0" borderId="22" xfId="0" applyNumberFormat="1" applyFont="1" applyFill="1" applyBorder="1" applyAlignment="1">
      <alignment horizontal="right" vertical="center"/>
    </xf>
    <xf numFmtId="177" fontId="31" fillId="0" borderId="23" xfId="0" applyNumberFormat="1" applyFont="1" applyFill="1" applyBorder="1" applyAlignment="1">
      <alignment horizontal="right" vertical="center"/>
    </xf>
    <xf numFmtId="177" fontId="31" fillId="0" borderId="22" xfId="0" applyNumberFormat="1" applyFont="1" applyFill="1" applyBorder="1" applyAlignment="1">
      <alignment horizontal="right" vertical="center"/>
    </xf>
    <xf numFmtId="177" fontId="31" fillId="0" borderId="23" xfId="0" applyNumberFormat="1" applyFont="1" applyFill="1" applyBorder="1" applyAlignment="1">
      <alignment horizontal="right" vertical="center"/>
    </xf>
    <xf numFmtId="199" fontId="31" fillId="0" borderId="21" xfId="0" applyNumberFormat="1" applyFont="1" applyBorder="1" applyAlignment="1">
      <alignment horizontal="right" vertical="center"/>
    </xf>
    <xf numFmtId="199" fontId="31" fillId="0" borderId="22" xfId="0" applyNumberFormat="1" applyFont="1" applyBorder="1" applyAlignment="1">
      <alignment horizontal="right" vertical="center"/>
    </xf>
    <xf numFmtId="199" fontId="31" fillId="0" borderId="23" xfId="0" applyNumberFormat="1" applyFont="1" applyBorder="1" applyAlignment="1">
      <alignment horizontal="right" vertical="center"/>
    </xf>
    <xf numFmtId="181" fontId="31" fillId="0" borderId="23" xfId="0" applyNumberFormat="1" applyFont="1" applyBorder="1" applyAlignment="1">
      <alignment horizontal="right" vertical="top"/>
    </xf>
    <xf numFmtId="181" fontId="31" fillId="0" borderId="22" xfId="0" applyNumberFormat="1" applyFont="1" applyBorder="1" applyAlignment="1" applyProtection="1">
      <alignment horizontal="right" vertical="center"/>
    </xf>
    <xf numFmtId="181" fontId="31" fillId="0" borderId="23" xfId="2171" applyNumberFormat="1" applyFont="1" applyBorder="1" applyAlignment="1">
      <alignment horizontal="right" vertical="top"/>
    </xf>
    <xf numFmtId="181" fontId="31" fillId="0" borderId="22" xfId="2171" applyNumberFormat="1" applyFont="1" applyBorder="1" applyAlignment="1" applyProtection="1">
      <alignment horizontal="right" vertical="center"/>
    </xf>
    <xf numFmtId="199" fontId="31" fillId="0" borderId="22" xfId="0" applyNumberFormat="1" applyFont="1" applyBorder="1" applyAlignment="1">
      <alignment horizontal="right" vertical="center"/>
    </xf>
    <xf numFmtId="199" fontId="31" fillId="0" borderId="22" xfId="0" applyNumberFormat="1" applyFont="1" applyBorder="1" applyAlignment="1" applyProtection="1">
      <alignment horizontal="right" vertical="center"/>
    </xf>
    <xf numFmtId="176" fontId="31" fillId="0" borderId="0" xfId="0" applyNumberFormat="1" applyFont="1" applyBorder="1" applyAlignment="1" applyProtection="1">
      <alignment horizontal="right" vertical="center"/>
      <protection locked="0"/>
    </xf>
    <xf numFmtId="177" fontId="101" fillId="0" borderId="0" xfId="2316" applyNumberFormat="1" applyFont="1" applyBorder="1" applyAlignment="1">
      <alignment vertical="center"/>
    </xf>
    <xf numFmtId="177" fontId="31" fillId="0" borderId="38" xfId="2151" applyNumberFormat="1" applyFont="1" applyBorder="1" applyAlignment="1">
      <alignment horizontal="right"/>
    </xf>
    <xf numFmtId="206" fontId="31" fillId="0" borderId="38" xfId="1589" applyNumberFormat="1" applyFont="1" applyBorder="1" applyAlignment="1">
      <alignment horizontal="right" vertical="center"/>
    </xf>
    <xf numFmtId="177" fontId="31" fillId="0" borderId="38" xfId="0" applyNumberFormat="1" applyFont="1" applyFill="1" applyBorder="1" applyAlignment="1">
      <alignment horizontal="right" vertical="center"/>
    </xf>
    <xf numFmtId="176" fontId="31" fillId="0" borderId="38" xfId="0" applyNumberFormat="1" applyFont="1" applyBorder="1" applyAlignment="1">
      <alignment horizontal="right" vertical="center"/>
    </xf>
    <xf numFmtId="176" fontId="31" fillId="0" borderId="38" xfId="0" applyNumberFormat="1" applyFont="1" applyBorder="1" applyAlignment="1" applyProtection="1">
      <alignment horizontal="right" vertical="center"/>
      <protection locked="0"/>
    </xf>
    <xf numFmtId="200" fontId="31" fillId="0" borderId="0" xfId="0" applyNumberFormat="1" applyFont="1" applyBorder="1" applyAlignment="1" applyProtection="1">
      <alignment horizontal="right" vertical="center"/>
      <protection locked="0"/>
    </xf>
    <xf numFmtId="182" fontId="31" fillId="0" borderId="0" xfId="0" applyNumberFormat="1" applyFont="1" applyBorder="1" applyAlignment="1">
      <alignment horizontal="right" vertical="center"/>
    </xf>
    <xf numFmtId="182" fontId="31" fillId="0" borderId="38" xfId="0" applyNumberFormat="1" applyFont="1" applyBorder="1" applyAlignment="1">
      <alignment horizontal="right" vertical="center"/>
    </xf>
    <xf numFmtId="177" fontId="31" fillId="0" borderId="38" xfId="0" applyNumberFormat="1" applyFont="1" applyBorder="1" applyAlignment="1">
      <alignment horizontal="right" vertical="center"/>
    </xf>
    <xf numFmtId="41" fontId="31" fillId="0" borderId="38" xfId="2316" applyNumberFormat="1" applyFont="1" applyFill="1" applyBorder="1" applyAlignment="1">
      <alignment vertical="center"/>
    </xf>
    <xf numFmtId="177" fontId="31" fillId="0" borderId="38" xfId="2316" applyNumberFormat="1" applyFont="1" applyBorder="1" applyAlignment="1">
      <alignment vertical="center"/>
    </xf>
    <xf numFmtId="177" fontId="31" fillId="0" borderId="38" xfId="0" applyNumberFormat="1" applyFont="1" applyFill="1" applyBorder="1" applyAlignment="1" applyProtection="1">
      <alignment horizontal="right" vertical="center"/>
    </xf>
    <xf numFmtId="176" fontId="31" fillId="0" borderId="0" xfId="0" applyNumberFormat="1" applyFont="1" applyFill="1" applyBorder="1" applyAlignment="1">
      <alignment horizontal="right" vertical="center"/>
    </xf>
    <xf numFmtId="183" fontId="31" fillId="0" borderId="38" xfId="0" applyNumberFormat="1" applyFont="1" applyFill="1" applyBorder="1" applyAlignment="1">
      <alignment horizontal="right" vertical="center"/>
    </xf>
    <xf numFmtId="180" fontId="31" fillId="0" borderId="38" xfId="2972" applyNumberFormat="1" applyFont="1" applyFill="1" applyBorder="1" applyAlignment="1">
      <alignment horizontal="right" vertical="center"/>
    </xf>
    <xf numFmtId="200" fontId="31" fillId="0" borderId="38" xfId="0" quotePrefix="1" applyNumberFormat="1" applyFont="1" applyBorder="1" applyAlignment="1" applyProtection="1">
      <alignment horizontal="right" vertical="center"/>
      <protection locked="0"/>
    </xf>
    <xf numFmtId="176" fontId="31" fillId="0" borderId="0" xfId="0" quotePrefix="1" applyNumberFormat="1" applyFont="1" applyFill="1" applyBorder="1" applyAlignment="1">
      <alignment horizontal="right" vertical="center"/>
    </xf>
    <xf numFmtId="198" fontId="27" fillId="0" borderId="0" xfId="0" applyNumberFormat="1" applyFont="1" applyBorder="1" applyAlignment="1">
      <alignment horizontal="right" vertical="center"/>
    </xf>
    <xf numFmtId="177" fontId="31" fillId="0" borderId="48" xfId="0" applyNumberFormat="1" applyFont="1" applyBorder="1" applyAlignment="1">
      <alignment horizontal="right" vertical="center"/>
    </xf>
    <xf numFmtId="181" fontId="31" fillId="0" borderId="0" xfId="2171" applyNumberFormat="1" applyFont="1" applyBorder="1" applyAlignment="1">
      <alignment horizontal="right" vertical="top"/>
    </xf>
    <xf numFmtId="0" fontId="55" fillId="0" borderId="0" xfId="0" applyFont="1" applyAlignment="1">
      <alignment vertical="center"/>
    </xf>
    <xf numFmtId="0" fontId="28" fillId="0" borderId="0" xfId="0" applyFont="1" applyAlignment="1">
      <alignment vertical="top"/>
    </xf>
    <xf numFmtId="0" fontId="50" fillId="0" borderId="41" xfId="0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0" fontId="50" fillId="0" borderId="28" xfId="0" applyFont="1" applyBorder="1" applyAlignment="1">
      <alignment horizontal="center" vertical="center"/>
    </xf>
    <xf numFmtId="0" fontId="50" fillId="0" borderId="42" xfId="0" applyFont="1" applyBorder="1" applyAlignment="1">
      <alignment horizontal="center" vertical="center"/>
    </xf>
    <xf numFmtId="0" fontId="50" fillId="0" borderId="39" xfId="0" applyFont="1" applyBorder="1" applyAlignment="1">
      <alignment horizontal="center" vertical="center"/>
    </xf>
    <xf numFmtId="0" fontId="50" fillId="0" borderId="29" xfId="0" applyFont="1" applyBorder="1" applyAlignment="1">
      <alignment horizontal="center" vertical="center"/>
    </xf>
    <xf numFmtId="0" fontId="50" fillId="0" borderId="30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50" fillId="0" borderId="31" xfId="0" applyFont="1" applyBorder="1" applyAlignment="1">
      <alignment horizontal="center" vertical="center"/>
    </xf>
    <xf numFmtId="181" fontId="50" fillId="0" borderId="41" xfId="0" applyNumberFormat="1" applyFont="1" applyBorder="1" applyAlignment="1">
      <alignment horizontal="center" vertical="center" wrapText="1"/>
    </xf>
    <xf numFmtId="181" fontId="50" fillId="0" borderId="31" xfId="0" applyNumberFormat="1" applyFont="1" applyBorder="1" applyAlignment="1">
      <alignment horizontal="center" vertical="center"/>
    </xf>
    <xf numFmtId="181" fontId="50" fillId="0" borderId="33" xfId="0" applyNumberFormat="1" applyFont="1" applyBorder="1" applyAlignment="1">
      <alignment horizontal="center" vertical="center" wrapText="1"/>
    </xf>
    <xf numFmtId="181" fontId="50" fillId="0" borderId="40" xfId="0" applyNumberFormat="1" applyFont="1" applyBorder="1" applyAlignment="1">
      <alignment horizontal="center" vertical="center" wrapText="1"/>
    </xf>
    <xf numFmtId="0" fontId="50" fillId="0" borderId="33" xfId="0" applyNumberFormat="1" applyFont="1" applyBorder="1" applyAlignment="1">
      <alignment horizontal="center" vertical="center" wrapText="1"/>
    </xf>
    <xf numFmtId="0" fontId="50" fillId="0" borderId="34" xfId="0" applyNumberFormat="1" applyFont="1" applyBorder="1" applyAlignment="1">
      <alignment horizontal="center" vertical="center"/>
    </xf>
    <xf numFmtId="0" fontId="50" fillId="0" borderId="24" xfId="0" applyNumberFormat="1" applyFont="1" applyBorder="1" applyAlignment="1">
      <alignment horizontal="center" vertical="center" wrapText="1"/>
    </xf>
    <xf numFmtId="0" fontId="50" fillId="0" borderId="25" xfId="0" applyNumberFormat="1" applyFont="1" applyBorder="1" applyAlignment="1">
      <alignment horizontal="center" vertical="center"/>
    </xf>
    <xf numFmtId="178" fontId="50" fillId="0" borderId="33" xfId="0" applyNumberFormat="1" applyFont="1" applyBorder="1" applyAlignment="1">
      <alignment horizontal="center" vertical="center"/>
    </xf>
    <xf numFmtId="178" fontId="50" fillId="0" borderId="34" xfId="0" applyNumberFormat="1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78" fontId="28" fillId="0" borderId="0" xfId="0" applyNumberFormat="1" applyFont="1" applyBorder="1" applyAlignment="1">
      <alignment vertical="center"/>
    </xf>
    <xf numFmtId="0" fontId="50" fillId="0" borderId="40" xfId="0" applyFont="1" applyBorder="1" applyAlignment="1">
      <alignment horizontal="center" vertical="center"/>
    </xf>
    <xf numFmtId="0" fontId="50" fillId="0" borderId="27" xfId="0" applyFont="1" applyBorder="1" applyAlignment="1">
      <alignment horizontal="center" vertical="center"/>
    </xf>
    <xf numFmtId="0" fontId="50" fillId="0" borderId="33" xfId="0" applyFont="1" applyBorder="1" applyAlignment="1">
      <alignment horizontal="center" vertical="center" wrapText="1"/>
    </xf>
    <xf numFmtId="0" fontId="50" fillId="0" borderId="34" xfId="0" applyFont="1" applyBorder="1" applyAlignment="1">
      <alignment horizontal="center" vertical="center"/>
    </xf>
    <xf numFmtId="0" fontId="50" fillId="0" borderId="33" xfId="0" applyFont="1" applyBorder="1" applyAlignment="1">
      <alignment horizontal="center" vertical="center"/>
    </xf>
    <xf numFmtId="0" fontId="50" fillId="0" borderId="33" xfId="0" applyFont="1" applyFill="1" applyBorder="1" applyAlignment="1" applyProtection="1">
      <alignment horizontal="center" vertical="center" wrapText="1"/>
    </xf>
    <xf numFmtId="0" fontId="50" fillId="0" borderId="34" xfId="0" applyFont="1" applyFill="1" applyBorder="1" applyAlignment="1" applyProtection="1">
      <alignment horizontal="center" vertical="center"/>
    </xf>
    <xf numFmtId="0" fontId="31" fillId="0" borderId="41" xfId="0" applyFont="1" applyBorder="1" applyAlignment="1" applyProtection="1">
      <alignment horizontal="center" vertical="center"/>
    </xf>
    <xf numFmtId="0" fontId="31" fillId="0" borderId="32" xfId="0" applyFont="1" applyBorder="1" applyAlignment="1" applyProtection="1">
      <alignment vertical="center"/>
    </xf>
    <xf numFmtId="178" fontId="50" fillId="0" borderId="24" xfId="0" applyNumberFormat="1" applyFont="1" applyBorder="1" applyAlignment="1" applyProtection="1">
      <alignment horizontal="center" vertical="center" wrapText="1"/>
    </xf>
    <xf numFmtId="178" fontId="50" fillId="0" borderId="25" xfId="0" applyNumberFormat="1" applyFont="1" applyBorder="1" applyAlignment="1" applyProtection="1">
      <alignment horizontal="center" vertical="center"/>
    </xf>
    <xf numFmtId="0" fontId="50" fillId="0" borderId="33" xfId="0" applyFont="1" applyBorder="1" applyAlignment="1" applyProtection="1">
      <alignment horizontal="center" vertical="center" wrapText="1"/>
    </xf>
    <xf numFmtId="0" fontId="50" fillId="0" borderId="34" xfId="0" applyFont="1" applyBorder="1" applyAlignment="1" applyProtection="1">
      <alignment horizontal="center" vertical="center"/>
    </xf>
    <xf numFmtId="0" fontId="50" fillId="0" borderId="41" xfId="2314" applyFont="1" applyBorder="1" applyAlignment="1">
      <alignment horizontal="center" vertical="center"/>
    </xf>
    <xf numFmtId="0" fontId="50" fillId="0" borderId="32" xfId="2314" applyFont="1" applyBorder="1" applyAlignment="1">
      <alignment horizontal="center" vertical="center"/>
    </xf>
    <xf numFmtId="181" fontId="50" fillId="0" borderId="28" xfId="1595" applyNumberFormat="1" applyFont="1" applyFill="1" applyBorder="1" applyAlignment="1">
      <alignment horizontal="center" vertical="center"/>
    </xf>
    <xf numFmtId="181" fontId="50" fillId="0" borderId="42" xfId="1595" applyNumberFormat="1" applyFont="1" applyFill="1" applyBorder="1" applyAlignment="1">
      <alignment horizontal="center" vertical="center"/>
    </xf>
    <xf numFmtId="181" fontId="50" fillId="0" borderId="27" xfId="1595" applyNumberFormat="1" applyFont="1" applyFill="1" applyBorder="1" applyAlignment="1">
      <alignment horizontal="center" vertical="center" wrapText="1"/>
    </xf>
    <xf numFmtId="181" fontId="50" fillId="0" borderId="32" xfId="1595" applyNumberFormat="1" applyFont="1" applyFill="1" applyBorder="1" applyAlignment="1">
      <alignment horizontal="center" vertical="center" wrapText="1"/>
    </xf>
    <xf numFmtId="181" fontId="50" fillId="0" borderId="34" xfId="1595" applyNumberFormat="1" applyFont="1" applyFill="1" applyBorder="1" applyAlignment="1">
      <alignment horizontal="center" vertical="center" wrapText="1"/>
    </xf>
    <xf numFmtId="181" fontId="50" fillId="0" borderId="34" xfId="1595" applyNumberFormat="1" applyFont="1" applyFill="1" applyBorder="1" applyAlignment="1">
      <alignment horizontal="center" vertical="top" wrapText="1"/>
    </xf>
    <xf numFmtId="181" fontId="50" fillId="0" borderId="27" xfId="1595" applyNumberFormat="1" applyFont="1" applyFill="1" applyBorder="1" applyAlignment="1">
      <alignment horizontal="center" vertical="top" wrapText="1"/>
    </xf>
    <xf numFmtId="0" fontId="50" fillId="0" borderId="21" xfId="2314" applyFont="1" applyBorder="1" applyAlignment="1">
      <alignment horizontal="center" vertical="center"/>
    </xf>
    <xf numFmtId="181" fontId="50" fillId="0" borderId="39" xfId="1595" applyNumberFormat="1" applyFont="1" applyFill="1" applyBorder="1" applyAlignment="1">
      <alignment horizontal="center" vertical="center" wrapText="1"/>
    </xf>
    <xf numFmtId="181" fontId="50" fillId="0" borderId="30" xfId="1595" applyNumberFormat="1" applyFont="1" applyFill="1" applyBorder="1" applyAlignment="1">
      <alignment horizontal="center" vertical="center" wrapText="1"/>
    </xf>
    <xf numFmtId="181" fontId="50" fillId="0" borderId="29" xfId="1595" applyNumberFormat="1" applyFont="1" applyFill="1" applyBorder="1" applyAlignment="1">
      <alignment horizontal="center" vertical="center" wrapText="1"/>
    </xf>
    <xf numFmtId="0" fontId="50" fillId="0" borderId="41" xfId="2316" applyFont="1" applyBorder="1" applyAlignment="1">
      <alignment horizontal="center" vertical="center"/>
    </xf>
    <xf numFmtId="0" fontId="50" fillId="0" borderId="24" xfId="2316" applyFont="1" applyFill="1" applyBorder="1" applyAlignment="1">
      <alignment horizontal="center" vertical="center" wrapText="1"/>
    </xf>
    <xf numFmtId="0" fontId="50" fillId="0" borderId="24" xfId="2316" applyFont="1" applyFill="1" applyBorder="1" applyAlignment="1">
      <alignment horizontal="center" vertical="center"/>
    </xf>
    <xf numFmtId="0" fontId="50" fillId="0" borderId="25" xfId="2316" applyFont="1" applyFill="1" applyBorder="1" applyAlignment="1">
      <alignment horizontal="center" vertical="center"/>
    </xf>
    <xf numFmtId="0" fontId="50" fillId="0" borderId="32" xfId="2316" applyFont="1" applyBorder="1" applyAlignment="1">
      <alignment horizontal="center" vertical="center"/>
    </xf>
    <xf numFmtId="0" fontId="31" fillId="0" borderId="33" xfId="2316" applyFont="1" applyBorder="1" applyAlignment="1">
      <alignment horizontal="center" vertical="center" wrapText="1"/>
    </xf>
    <xf numFmtId="0" fontId="31" fillId="0" borderId="40" xfId="2316" applyFont="1" applyBorder="1" applyAlignment="1">
      <alignment horizontal="center" vertical="center" wrapText="1"/>
    </xf>
    <xf numFmtId="0" fontId="31" fillId="0" borderId="34" xfId="2316" applyFont="1" applyBorder="1" applyAlignment="1">
      <alignment horizontal="center" vertical="center" wrapText="1"/>
    </xf>
    <xf numFmtId="0" fontId="31" fillId="0" borderId="27" xfId="2316" applyFont="1" applyBorder="1" applyAlignment="1">
      <alignment horizontal="center" vertical="center" wrapText="1"/>
    </xf>
    <xf numFmtId="0" fontId="50" fillId="0" borderId="32" xfId="0" applyFont="1" applyBorder="1" applyAlignment="1"/>
    <xf numFmtId="0" fontId="50" fillId="0" borderId="24" xfId="0" applyFont="1" applyBorder="1" applyAlignment="1">
      <alignment horizontal="center" vertical="center"/>
    </xf>
    <xf numFmtId="0" fontId="50" fillId="0" borderId="25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27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198" fontId="31" fillId="0" borderId="24" xfId="0" applyNumberFormat="1" applyFont="1" applyBorder="1" applyAlignment="1">
      <alignment horizontal="center" vertical="top" wrapText="1"/>
    </xf>
    <xf numFmtId="198" fontId="31" fillId="0" borderId="22" xfId="0" applyNumberFormat="1" applyFont="1" applyBorder="1" applyAlignment="1">
      <alignment horizontal="center" vertical="top"/>
    </xf>
    <xf numFmtId="198" fontId="31" fillId="0" borderId="25" xfId="0" applyNumberFormat="1" applyFont="1" applyBorder="1" applyAlignment="1">
      <alignment horizontal="center" vertical="top"/>
    </xf>
    <xf numFmtId="0" fontId="31" fillId="0" borderId="41" xfId="0" applyFont="1" applyBorder="1" applyAlignment="1">
      <alignment horizontal="center" vertical="center"/>
    </xf>
    <xf numFmtId="183" fontId="31" fillId="0" borderId="33" xfId="0" applyNumberFormat="1" applyFont="1" applyBorder="1" applyAlignment="1">
      <alignment horizontal="center" vertical="center" wrapText="1"/>
    </xf>
    <xf numFmtId="183" fontId="31" fillId="0" borderId="23" xfId="0" applyNumberFormat="1" applyFont="1" applyBorder="1" applyAlignment="1">
      <alignment horizontal="center" vertical="center" wrapText="1"/>
    </xf>
    <xf numFmtId="183" fontId="31" fillId="0" borderId="34" xfId="0" applyNumberFormat="1" applyFont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/>
    </xf>
    <xf numFmtId="178" fontId="31" fillId="0" borderId="35" xfId="0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200" fontId="31" fillId="0" borderId="38" xfId="0" applyNumberFormat="1" applyFont="1" applyBorder="1" applyAlignment="1" applyProtection="1">
      <alignment horizontal="right" vertical="center"/>
      <protection locked="0"/>
    </xf>
    <xf numFmtId="206" fontId="31" fillId="0" borderId="38" xfId="1591" applyNumberFormat="1" applyFont="1" applyFill="1" applyBorder="1" applyAlignment="1">
      <alignment horizontal="right" vertical="center"/>
    </xf>
    <xf numFmtId="181" fontId="31" fillId="0" borderId="38" xfId="2171" applyNumberFormat="1" applyFont="1" applyFill="1" applyBorder="1" applyAlignment="1" applyProtection="1">
      <alignment horizontal="right" vertical="center"/>
    </xf>
    <xf numFmtId="181" fontId="31" fillId="0" borderId="38" xfId="2171" applyNumberFormat="1" applyFont="1" applyFill="1" applyBorder="1" applyAlignment="1">
      <alignment horizontal="right" vertical="top"/>
    </xf>
    <xf numFmtId="176" fontId="31" fillId="0" borderId="38" xfId="0" quotePrefix="1" applyNumberFormat="1" applyFont="1" applyFill="1" applyBorder="1" applyAlignment="1">
      <alignment horizontal="right" vertical="center"/>
    </xf>
  </cellXfs>
  <cellStyles count="4363">
    <cellStyle name="_x000a_386grabber=M" xfId="1" xr:uid="{00000000-0005-0000-0000-000000000000}"/>
    <cellStyle name="20% - 강조색1" xfId="2" builtinId="30" customBuiltin="1"/>
    <cellStyle name="20% - 강조색1 10" xfId="3" xr:uid="{00000000-0005-0000-0000-000002000000}"/>
    <cellStyle name="20% - 강조색1 11" xfId="4" xr:uid="{00000000-0005-0000-0000-000003000000}"/>
    <cellStyle name="20% - 강조색1 12" xfId="5" xr:uid="{00000000-0005-0000-0000-000004000000}"/>
    <cellStyle name="20% - 강조색1 13" xfId="6" xr:uid="{00000000-0005-0000-0000-000005000000}"/>
    <cellStyle name="20% - 강조색1 14" xfId="7" xr:uid="{00000000-0005-0000-0000-000006000000}"/>
    <cellStyle name="20% - 강조색1 15" xfId="8" xr:uid="{00000000-0005-0000-0000-000007000000}"/>
    <cellStyle name="20% - 강조색1 16" xfId="9" xr:uid="{00000000-0005-0000-0000-000008000000}"/>
    <cellStyle name="20% - 강조색1 17" xfId="10" xr:uid="{00000000-0005-0000-0000-000009000000}"/>
    <cellStyle name="20% - 강조색1 18" xfId="11" xr:uid="{00000000-0005-0000-0000-00000A000000}"/>
    <cellStyle name="20% - 강조색1 19" xfId="12" xr:uid="{00000000-0005-0000-0000-00000B000000}"/>
    <cellStyle name="20% - 강조색1 2" xfId="13" xr:uid="{00000000-0005-0000-0000-00000C000000}"/>
    <cellStyle name="20% - 강조색1 2 2" xfId="14" xr:uid="{00000000-0005-0000-0000-00000D000000}"/>
    <cellStyle name="20% - 강조색1 2_2.소매판매액지수, 대형소매점 판매액지수 및 서비스업 생" xfId="15" xr:uid="{00000000-0005-0000-0000-00000E000000}"/>
    <cellStyle name="20% - 강조색1 20" xfId="16" xr:uid="{00000000-0005-0000-0000-00000F000000}"/>
    <cellStyle name="20% - 강조색1 21" xfId="17" xr:uid="{00000000-0005-0000-0000-000010000000}"/>
    <cellStyle name="20% - 강조색1 22" xfId="18" xr:uid="{00000000-0005-0000-0000-000011000000}"/>
    <cellStyle name="20% - 강조색1 23" xfId="19" xr:uid="{00000000-0005-0000-0000-000012000000}"/>
    <cellStyle name="20% - 강조색1 24" xfId="20" xr:uid="{00000000-0005-0000-0000-000013000000}"/>
    <cellStyle name="20% - 강조색1 25" xfId="21" xr:uid="{00000000-0005-0000-0000-000014000000}"/>
    <cellStyle name="20% - 강조색1 26" xfId="22" xr:uid="{00000000-0005-0000-0000-000015000000}"/>
    <cellStyle name="20% - 강조색1 27" xfId="23" xr:uid="{00000000-0005-0000-0000-000016000000}"/>
    <cellStyle name="20% - 강조색1 28" xfId="24" xr:uid="{00000000-0005-0000-0000-000017000000}"/>
    <cellStyle name="20% - 강조색1 29" xfId="25" xr:uid="{00000000-0005-0000-0000-000018000000}"/>
    <cellStyle name="20% - 강조색1 3" xfId="26" xr:uid="{00000000-0005-0000-0000-000019000000}"/>
    <cellStyle name="20% - 강조색1 3 2" xfId="27" xr:uid="{00000000-0005-0000-0000-00001A000000}"/>
    <cellStyle name="20% - 강조색1 3_2.소매판매액지수, 대형소매점 판매액지수 및 서비스업 생" xfId="28" xr:uid="{00000000-0005-0000-0000-00001B000000}"/>
    <cellStyle name="20% - 강조색1 30" xfId="29" xr:uid="{00000000-0005-0000-0000-00001C000000}"/>
    <cellStyle name="20% - 강조색1 31" xfId="30" xr:uid="{00000000-0005-0000-0000-00001D000000}"/>
    <cellStyle name="20% - 강조색1 32" xfId="31" xr:uid="{00000000-0005-0000-0000-00001E000000}"/>
    <cellStyle name="20% - 강조색1 33" xfId="32" xr:uid="{00000000-0005-0000-0000-00001F000000}"/>
    <cellStyle name="20% - 강조색1 34" xfId="33" xr:uid="{00000000-0005-0000-0000-000020000000}"/>
    <cellStyle name="20% - 강조색1 35" xfId="34" xr:uid="{00000000-0005-0000-0000-000021000000}"/>
    <cellStyle name="20% - 강조색1 36" xfId="35" xr:uid="{00000000-0005-0000-0000-000022000000}"/>
    <cellStyle name="20% - 강조색1 37" xfId="36" xr:uid="{00000000-0005-0000-0000-000023000000}"/>
    <cellStyle name="20% - 강조색1 38" xfId="37" xr:uid="{00000000-0005-0000-0000-000024000000}"/>
    <cellStyle name="20% - 강조색1 39" xfId="38" xr:uid="{00000000-0005-0000-0000-000025000000}"/>
    <cellStyle name="20% - 강조색1 4" xfId="39" xr:uid="{00000000-0005-0000-0000-000026000000}"/>
    <cellStyle name="20% - 강조색1 40" xfId="40" xr:uid="{00000000-0005-0000-0000-000027000000}"/>
    <cellStyle name="20% - 강조색1 41" xfId="41" xr:uid="{00000000-0005-0000-0000-000028000000}"/>
    <cellStyle name="20% - 강조색1 42" xfId="42" xr:uid="{00000000-0005-0000-0000-000029000000}"/>
    <cellStyle name="20% - 강조색1 43" xfId="43" xr:uid="{00000000-0005-0000-0000-00002A000000}"/>
    <cellStyle name="20% - 강조색1 44" xfId="44" xr:uid="{00000000-0005-0000-0000-00002B000000}"/>
    <cellStyle name="20% - 강조색1 45" xfId="45" xr:uid="{00000000-0005-0000-0000-00002C000000}"/>
    <cellStyle name="20% - 강조색1 46" xfId="46" xr:uid="{00000000-0005-0000-0000-00002D000000}"/>
    <cellStyle name="20% - 강조색1 5" xfId="47" xr:uid="{00000000-0005-0000-0000-00002E000000}"/>
    <cellStyle name="20% - 강조색1 6" xfId="48" xr:uid="{00000000-0005-0000-0000-00002F000000}"/>
    <cellStyle name="20% - 강조색1 7" xfId="49" xr:uid="{00000000-0005-0000-0000-000030000000}"/>
    <cellStyle name="20% - 강조색1 8" xfId="50" xr:uid="{00000000-0005-0000-0000-000031000000}"/>
    <cellStyle name="20% - 강조색1 9" xfId="51" xr:uid="{00000000-0005-0000-0000-000032000000}"/>
    <cellStyle name="20% - 강조색2" xfId="52" builtinId="34" customBuiltin="1"/>
    <cellStyle name="20% - 강조색2 10" xfId="53" xr:uid="{00000000-0005-0000-0000-000034000000}"/>
    <cellStyle name="20% - 강조색2 11" xfId="54" xr:uid="{00000000-0005-0000-0000-000035000000}"/>
    <cellStyle name="20% - 강조색2 12" xfId="55" xr:uid="{00000000-0005-0000-0000-000036000000}"/>
    <cellStyle name="20% - 강조색2 13" xfId="56" xr:uid="{00000000-0005-0000-0000-000037000000}"/>
    <cellStyle name="20% - 강조색2 14" xfId="57" xr:uid="{00000000-0005-0000-0000-000038000000}"/>
    <cellStyle name="20% - 강조색2 15" xfId="58" xr:uid="{00000000-0005-0000-0000-000039000000}"/>
    <cellStyle name="20% - 강조색2 16" xfId="59" xr:uid="{00000000-0005-0000-0000-00003A000000}"/>
    <cellStyle name="20% - 강조색2 17" xfId="60" xr:uid="{00000000-0005-0000-0000-00003B000000}"/>
    <cellStyle name="20% - 강조색2 18" xfId="61" xr:uid="{00000000-0005-0000-0000-00003C000000}"/>
    <cellStyle name="20% - 강조색2 19" xfId="62" xr:uid="{00000000-0005-0000-0000-00003D000000}"/>
    <cellStyle name="20% - 강조색2 2" xfId="63" xr:uid="{00000000-0005-0000-0000-00003E000000}"/>
    <cellStyle name="20% - 강조색2 2 2" xfId="64" xr:uid="{00000000-0005-0000-0000-00003F000000}"/>
    <cellStyle name="20% - 강조색2 2_2.소매판매액지수, 대형소매점 판매액지수 및 서비스업 생" xfId="65" xr:uid="{00000000-0005-0000-0000-000040000000}"/>
    <cellStyle name="20% - 강조색2 20" xfId="66" xr:uid="{00000000-0005-0000-0000-000041000000}"/>
    <cellStyle name="20% - 강조색2 21" xfId="67" xr:uid="{00000000-0005-0000-0000-000042000000}"/>
    <cellStyle name="20% - 강조색2 22" xfId="68" xr:uid="{00000000-0005-0000-0000-000043000000}"/>
    <cellStyle name="20% - 강조색2 23" xfId="69" xr:uid="{00000000-0005-0000-0000-000044000000}"/>
    <cellStyle name="20% - 강조색2 24" xfId="70" xr:uid="{00000000-0005-0000-0000-000045000000}"/>
    <cellStyle name="20% - 강조색2 25" xfId="71" xr:uid="{00000000-0005-0000-0000-000046000000}"/>
    <cellStyle name="20% - 강조색2 26" xfId="72" xr:uid="{00000000-0005-0000-0000-000047000000}"/>
    <cellStyle name="20% - 강조색2 27" xfId="73" xr:uid="{00000000-0005-0000-0000-000048000000}"/>
    <cellStyle name="20% - 강조색2 28" xfId="74" xr:uid="{00000000-0005-0000-0000-000049000000}"/>
    <cellStyle name="20% - 강조색2 29" xfId="75" xr:uid="{00000000-0005-0000-0000-00004A000000}"/>
    <cellStyle name="20% - 강조색2 3" xfId="76" xr:uid="{00000000-0005-0000-0000-00004B000000}"/>
    <cellStyle name="20% - 강조색2 3 2" xfId="77" xr:uid="{00000000-0005-0000-0000-00004C000000}"/>
    <cellStyle name="20% - 강조색2 3_2.소매판매액지수, 대형소매점 판매액지수 및 서비스업 생" xfId="78" xr:uid="{00000000-0005-0000-0000-00004D000000}"/>
    <cellStyle name="20% - 강조색2 30" xfId="79" xr:uid="{00000000-0005-0000-0000-00004E000000}"/>
    <cellStyle name="20% - 강조색2 31" xfId="80" xr:uid="{00000000-0005-0000-0000-00004F000000}"/>
    <cellStyle name="20% - 강조색2 32" xfId="81" xr:uid="{00000000-0005-0000-0000-000050000000}"/>
    <cellStyle name="20% - 강조색2 33" xfId="82" xr:uid="{00000000-0005-0000-0000-000051000000}"/>
    <cellStyle name="20% - 강조색2 34" xfId="83" xr:uid="{00000000-0005-0000-0000-000052000000}"/>
    <cellStyle name="20% - 강조색2 35" xfId="84" xr:uid="{00000000-0005-0000-0000-000053000000}"/>
    <cellStyle name="20% - 강조색2 36" xfId="85" xr:uid="{00000000-0005-0000-0000-000054000000}"/>
    <cellStyle name="20% - 강조색2 37" xfId="86" xr:uid="{00000000-0005-0000-0000-000055000000}"/>
    <cellStyle name="20% - 강조색2 38" xfId="87" xr:uid="{00000000-0005-0000-0000-000056000000}"/>
    <cellStyle name="20% - 강조색2 39" xfId="88" xr:uid="{00000000-0005-0000-0000-000057000000}"/>
    <cellStyle name="20% - 강조색2 4" xfId="89" xr:uid="{00000000-0005-0000-0000-000058000000}"/>
    <cellStyle name="20% - 강조색2 40" xfId="90" xr:uid="{00000000-0005-0000-0000-000059000000}"/>
    <cellStyle name="20% - 강조색2 41" xfId="91" xr:uid="{00000000-0005-0000-0000-00005A000000}"/>
    <cellStyle name="20% - 강조색2 42" xfId="92" xr:uid="{00000000-0005-0000-0000-00005B000000}"/>
    <cellStyle name="20% - 강조색2 43" xfId="93" xr:uid="{00000000-0005-0000-0000-00005C000000}"/>
    <cellStyle name="20% - 강조색2 44" xfId="94" xr:uid="{00000000-0005-0000-0000-00005D000000}"/>
    <cellStyle name="20% - 강조색2 45" xfId="95" xr:uid="{00000000-0005-0000-0000-00005E000000}"/>
    <cellStyle name="20% - 강조색2 46" xfId="96" xr:uid="{00000000-0005-0000-0000-00005F000000}"/>
    <cellStyle name="20% - 강조색2 5" xfId="97" xr:uid="{00000000-0005-0000-0000-000060000000}"/>
    <cellStyle name="20% - 강조색2 6" xfId="98" xr:uid="{00000000-0005-0000-0000-000061000000}"/>
    <cellStyle name="20% - 강조색2 7" xfId="99" xr:uid="{00000000-0005-0000-0000-000062000000}"/>
    <cellStyle name="20% - 강조색2 8" xfId="100" xr:uid="{00000000-0005-0000-0000-000063000000}"/>
    <cellStyle name="20% - 강조색2 9" xfId="101" xr:uid="{00000000-0005-0000-0000-000064000000}"/>
    <cellStyle name="20% - 강조색3" xfId="102" builtinId="38" customBuiltin="1"/>
    <cellStyle name="20% - 강조색3 10" xfId="103" xr:uid="{00000000-0005-0000-0000-000066000000}"/>
    <cellStyle name="20% - 강조색3 11" xfId="104" xr:uid="{00000000-0005-0000-0000-000067000000}"/>
    <cellStyle name="20% - 강조색3 12" xfId="105" xr:uid="{00000000-0005-0000-0000-000068000000}"/>
    <cellStyle name="20% - 강조색3 13" xfId="106" xr:uid="{00000000-0005-0000-0000-000069000000}"/>
    <cellStyle name="20% - 강조색3 14" xfId="107" xr:uid="{00000000-0005-0000-0000-00006A000000}"/>
    <cellStyle name="20% - 강조색3 15" xfId="108" xr:uid="{00000000-0005-0000-0000-00006B000000}"/>
    <cellStyle name="20% - 강조색3 16" xfId="109" xr:uid="{00000000-0005-0000-0000-00006C000000}"/>
    <cellStyle name="20% - 강조색3 17" xfId="110" xr:uid="{00000000-0005-0000-0000-00006D000000}"/>
    <cellStyle name="20% - 강조색3 18" xfId="111" xr:uid="{00000000-0005-0000-0000-00006E000000}"/>
    <cellStyle name="20% - 강조색3 19" xfId="112" xr:uid="{00000000-0005-0000-0000-00006F000000}"/>
    <cellStyle name="20% - 강조색3 2" xfId="113" xr:uid="{00000000-0005-0000-0000-000070000000}"/>
    <cellStyle name="20% - 강조색3 2 2" xfId="114" xr:uid="{00000000-0005-0000-0000-000071000000}"/>
    <cellStyle name="20% - 강조색3 2_2.소매판매액지수, 대형소매점 판매액지수 및 서비스업 생" xfId="115" xr:uid="{00000000-0005-0000-0000-000072000000}"/>
    <cellStyle name="20% - 강조색3 20" xfId="116" xr:uid="{00000000-0005-0000-0000-000073000000}"/>
    <cellStyle name="20% - 강조색3 21" xfId="117" xr:uid="{00000000-0005-0000-0000-000074000000}"/>
    <cellStyle name="20% - 강조색3 22" xfId="118" xr:uid="{00000000-0005-0000-0000-000075000000}"/>
    <cellStyle name="20% - 강조색3 23" xfId="119" xr:uid="{00000000-0005-0000-0000-000076000000}"/>
    <cellStyle name="20% - 강조색3 24" xfId="120" xr:uid="{00000000-0005-0000-0000-000077000000}"/>
    <cellStyle name="20% - 강조색3 25" xfId="121" xr:uid="{00000000-0005-0000-0000-000078000000}"/>
    <cellStyle name="20% - 강조색3 26" xfId="122" xr:uid="{00000000-0005-0000-0000-000079000000}"/>
    <cellStyle name="20% - 강조색3 27" xfId="123" xr:uid="{00000000-0005-0000-0000-00007A000000}"/>
    <cellStyle name="20% - 강조색3 28" xfId="124" xr:uid="{00000000-0005-0000-0000-00007B000000}"/>
    <cellStyle name="20% - 강조색3 29" xfId="125" xr:uid="{00000000-0005-0000-0000-00007C000000}"/>
    <cellStyle name="20% - 강조색3 3" xfId="126" xr:uid="{00000000-0005-0000-0000-00007D000000}"/>
    <cellStyle name="20% - 강조색3 3 2" xfId="127" xr:uid="{00000000-0005-0000-0000-00007E000000}"/>
    <cellStyle name="20% - 강조색3 3_2.소매판매액지수, 대형소매점 판매액지수 및 서비스업 생" xfId="128" xr:uid="{00000000-0005-0000-0000-00007F000000}"/>
    <cellStyle name="20% - 강조색3 30" xfId="129" xr:uid="{00000000-0005-0000-0000-000080000000}"/>
    <cellStyle name="20% - 강조색3 31" xfId="130" xr:uid="{00000000-0005-0000-0000-000081000000}"/>
    <cellStyle name="20% - 강조색3 32" xfId="131" xr:uid="{00000000-0005-0000-0000-000082000000}"/>
    <cellStyle name="20% - 강조색3 33" xfId="132" xr:uid="{00000000-0005-0000-0000-000083000000}"/>
    <cellStyle name="20% - 강조색3 34" xfId="133" xr:uid="{00000000-0005-0000-0000-000084000000}"/>
    <cellStyle name="20% - 강조색3 35" xfId="134" xr:uid="{00000000-0005-0000-0000-000085000000}"/>
    <cellStyle name="20% - 강조색3 36" xfId="135" xr:uid="{00000000-0005-0000-0000-000086000000}"/>
    <cellStyle name="20% - 강조색3 37" xfId="136" xr:uid="{00000000-0005-0000-0000-000087000000}"/>
    <cellStyle name="20% - 강조색3 38" xfId="137" xr:uid="{00000000-0005-0000-0000-000088000000}"/>
    <cellStyle name="20% - 강조색3 39" xfId="138" xr:uid="{00000000-0005-0000-0000-000089000000}"/>
    <cellStyle name="20% - 강조색3 4" xfId="139" xr:uid="{00000000-0005-0000-0000-00008A000000}"/>
    <cellStyle name="20% - 강조색3 40" xfId="140" xr:uid="{00000000-0005-0000-0000-00008B000000}"/>
    <cellStyle name="20% - 강조색3 41" xfId="141" xr:uid="{00000000-0005-0000-0000-00008C000000}"/>
    <cellStyle name="20% - 강조색3 42" xfId="142" xr:uid="{00000000-0005-0000-0000-00008D000000}"/>
    <cellStyle name="20% - 강조색3 43" xfId="143" xr:uid="{00000000-0005-0000-0000-00008E000000}"/>
    <cellStyle name="20% - 강조색3 44" xfId="144" xr:uid="{00000000-0005-0000-0000-00008F000000}"/>
    <cellStyle name="20% - 강조색3 45" xfId="145" xr:uid="{00000000-0005-0000-0000-000090000000}"/>
    <cellStyle name="20% - 강조색3 46" xfId="146" xr:uid="{00000000-0005-0000-0000-000091000000}"/>
    <cellStyle name="20% - 강조색3 5" xfId="147" xr:uid="{00000000-0005-0000-0000-000092000000}"/>
    <cellStyle name="20% - 강조색3 6" xfId="148" xr:uid="{00000000-0005-0000-0000-000093000000}"/>
    <cellStyle name="20% - 강조색3 7" xfId="149" xr:uid="{00000000-0005-0000-0000-000094000000}"/>
    <cellStyle name="20% - 강조색3 8" xfId="150" xr:uid="{00000000-0005-0000-0000-000095000000}"/>
    <cellStyle name="20% - 강조색3 9" xfId="151" xr:uid="{00000000-0005-0000-0000-000096000000}"/>
    <cellStyle name="20% - 강조색4" xfId="152" builtinId="42" customBuiltin="1"/>
    <cellStyle name="20% - 강조색4 10" xfId="153" xr:uid="{00000000-0005-0000-0000-000098000000}"/>
    <cellStyle name="20% - 강조색4 11" xfId="154" xr:uid="{00000000-0005-0000-0000-000099000000}"/>
    <cellStyle name="20% - 강조색4 12" xfId="155" xr:uid="{00000000-0005-0000-0000-00009A000000}"/>
    <cellStyle name="20% - 강조색4 13" xfId="156" xr:uid="{00000000-0005-0000-0000-00009B000000}"/>
    <cellStyle name="20% - 강조색4 14" xfId="157" xr:uid="{00000000-0005-0000-0000-00009C000000}"/>
    <cellStyle name="20% - 강조색4 15" xfId="158" xr:uid="{00000000-0005-0000-0000-00009D000000}"/>
    <cellStyle name="20% - 강조색4 16" xfId="159" xr:uid="{00000000-0005-0000-0000-00009E000000}"/>
    <cellStyle name="20% - 강조색4 17" xfId="160" xr:uid="{00000000-0005-0000-0000-00009F000000}"/>
    <cellStyle name="20% - 강조색4 18" xfId="161" xr:uid="{00000000-0005-0000-0000-0000A0000000}"/>
    <cellStyle name="20% - 강조색4 19" xfId="162" xr:uid="{00000000-0005-0000-0000-0000A1000000}"/>
    <cellStyle name="20% - 강조색4 2" xfId="163" xr:uid="{00000000-0005-0000-0000-0000A2000000}"/>
    <cellStyle name="20% - 강조색4 2 2" xfId="164" xr:uid="{00000000-0005-0000-0000-0000A3000000}"/>
    <cellStyle name="20% - 강조색4 2_2.소매판매액지수, 대형소매점 판매액지수 및 서비스업 생" xfId="165" xr:uid="{00000000-0005-0000-0000-0000A4000000}"/>
    <cellStyle name="20% - 강조색4 20" xfId="166" xr:uid="{00000000-0005-0000-0000-0000A5000000}"/>
    <cellStyle name="20% - 강조색4 21" xfId="167" xr:uid="{00000000-0005-0000-0000-0000A6000000}"/>
    <cellStyle name="20% - 강조색4 22" xfId="168" xr:uid="{00000000-0005-0000-0000-0000A7000000}"/>
    <cellStyle name="20% - 강조색4 23" xfId="169" xr:uid="{00000000-0005-0000-0000-0000A8000000}"/>
    <cellStyle name="20% - 강조색4 24" xfId="170" xr:uid="{00000000-0005-0000-0000-0000A9000000}"/>
    <cellStyle name="20% - 강조색4 25" xfId="171" xr:uid="{00000000-0005-0000-0000-0000AA000000}"/>
    <cellStyle name="20% - 강조색4 26" xfId="172" xr:uid="{00000000-0005-0000-0000-0000AB000000}"/>
    <cellStyle name="20% - 강조색4 27" xfId="173" xr:uid="{00000000-0005-0000-0000-0000AC000000}"/>
    <cellStyle name="20% - 강조색4 28" xfId="174" xr:uid="{00000000-0005-0000-0000-0000AD000000}"/>
    <cellStyle name="20% - 강조색4 29" xfId="175" xr:uid="{00000000-0005-0000-0000-0000AE000000}"/>
    <cellStyle name="20% - 강조색4 3" xfId="176" xr:uid="{00000000-0005-0000-0000-0000AF000000}"/>
    <cellStyle name="20% - 강조색4 3 2" xfId="177" xr:uid="{00000000-0005-0000-0000-0000B0000000}"/>
    <cellStyle name="20% - 강조색4 3_2.소매판매액지수, 대형소매점 판매액지수 및 서비스업 생" xfId="178" xr:uid="{00000000-0005-0000-0000-0000B1000000}"/>
    <cellStyle name="20% - 강조색4 30" xfId="179" xr:uid="{00000000-0005-0000-0000-0000B2000000}"/>
    <cellStyle name="20% - 강조색4 31" xfId="180" xr:uid="{00000000-0005-0000-0000-0000B3000000}"/>
    <cellStyle name="20% - 강조색4 32" xfId="181" xr:uid="{00000000-0005-0000-0000-0000B4000000}"/>
    <cellStyle name="20% - 강조색4 33" xfId="182" xr:uid="{00000000-0005-0000-0000-0000B5000000}"/>
    <cellStyle name="20% - 강조색4 34" xfId="183" xr:uid="{00000000-0005-0000-0000-0000B6000000}"/>
    <cellStyle name="20% - 강조색4 35" xfId="184" xr:uid="{00000000-0005-0000-0000-0000B7000000}"/>
    <cellStyle name="20% - 강조색4 36" xfId="185" xr:uid="{00000000-0005-0000-0000-0000B8000000}"/>
    <cellStyle name="20% - 강조색4 37" xfId="186" xr:uid="{00000000-0005-0000-0000-0000B9000000}"/>
    <cellStyle name="20% - 강조색4 38" xfId="187" xr:uid="{00000000-0005-0000-0000-0000BA000000}"/>
    <cellStyle name="20% - 강조색4 39" xfId="188" xr:uid="{00000000-0005-0000-0000-0000BB000000}"/>
    <cellStyle name="20% - 강조색4 4" xfId="189" xr:uid="{00000000-0005-0000-0000-0000BC000000}"/>
    <cellStyle name="20% - 강조색4 40" xfId="190" xr:uid="{00000000-0005-0000-0000-0000BD000000}"/>
    <cellStyle name="20% - 강조색4 41" xfId="191" xr:uid="{00000000-0005-0000-0000-0000BE000000}"/>
    <cellStyle name="20% - 강조색4 42" xfId="192" xr:uid="{00000000-0005-0000-0000-0000BF000000}"/>
    <cellStyle name="20% - 강조색4 43" xfId="193" xr:uid="{00000000-0005-0000-0000-0000C0000000}"/>
    <cellStyle name="20% - 강조색4 44" xfId="194" xr:uid="{00000000-0005-0000-0000-0000C1000000}"/>
    <cellStyle name="20% - 강조색4 45" xfId="195" xr:uid="{00000000-0005-0000-0000-0000C2000000}"/>
    <cellStyle name="20% - 강조색4 46" xfId="196" xr:uid="{00000000-0005-0000-0000-0000C3000000}"/>
    <cellStyle name="20% - 강조색4 5" xfId="197" xr:uid="{00000000-0005-0000-0000-0000C4000000}"/>
    <cellStyle name="20% - 강조색4 6" xfId="198" xr:uid="{00000000-0005-0000-0000-0000C5000000}"/>
    <cellStyle name="20% - 강조색4 7" xfId="199" xr:uid="{00000000-0005-0000-0000-0000C6000000}"/>
    <cellStyle name="20% - 강조색4 8" xfId="200" xr:uid="{00000000-0005-0000-0000-0000C7000000}"/>
    <cellStyle name="20% - 강조색4 9" xfId="201" xr:uid="{00000000-0005-0000-0000-0000C8000000}"/>
    <cellStyle name="20% - 강조색5" xfId="202" builtinId="46" customBuiltin="1"/>
    <cellStyle name="20% - 강조색5 10" xfId="203" xr:uid="{00000000-0005-0000-0000-0000CA000000}"/>
    <cellStyle name="20% - 강조색5 11" xfId="204" xr:uid="{00000000-0005-0000-0000-0000CB000000}"/>
    <cellStyle name="20% - 강조색5 12" xfId="205" xr:uid="{00000000-0005-0000-0000-0000CC000000}"/>
    <cellStyle name="20% - 강조색5 13" xfId="206" xr:uid="{00000000-0005-0000-0000-0000CD000000}"/>
    <cellStyle name="20% - 강조색5 14" xfId="207" xr:uid="{00000000-0005-0000-0000-0000CE000000}"/>
    <cellStyle name="20% - 강조색5 15" xfId="208" xr:uid="{00000000-0005-0000-0000-0000CF000000}"/>
    <cellStyle name="20% - 강조색5 16" xfId="209" xr:uid="{00000000-0005-0000-0000-0000D0000000}"/>
    <cellStyle name="20% - 강조색5 17" xfId="210" xr:uid="{00000000-0005-0000-0000-0000D1000000}"/>
    <cellStyle name="20% - 강조색5 18" xfId="211" xr:uid="{00000000-0005-0000-0000-0000D2000000}"/>
    <cellStyle name="20% - 강조색5 19" xfId="212" xr:uid="{00000000-0005-0000-0000-0000D3000000}"/>
    <cellStyle name="20% - 강조색5 2" xfId="213" xr:uid="{00000000-0005-0000-0000-0000D4000000}"/>
    <cellStyle name="20% - 강조색5 2 2" xfId="214" xr:uid="{00000000-0005-0000-0000-0000D5000000}"/>
    <cellStyle name="20% - 강조색5 2_2.소매판매액지수, 대형소매점 판매액지수 및 서비스업 생" xfId="215" xr:uid="{00000000-0005-0000-0000-0000D6000000}"/>
    <cellStyle name="20% - 강조색5 20" xfId="216" xr:uid="{00000000-0005-0000-0000-0000D7000000}"/>
    <cellStyle name="20% - 강조색5 21" xfId="217" xr:uid="{00000000-0005-0000-0000-0000D8000000}"/>
    <cellStyle name="20% - 강조색5 22" xfId="218" xr:uid="{00000000-0005-0000-0000-0000D9000000}"/>
    <cellStyle name="20% - 강조색5 23" xfId="219" xr:uid="{00000000-0005-0000-0000-0000DA000000}"/>
    <cellStyle name="20% - 강조색5 24" xfId="220" xr:uid="{00000000-0005-0000-0000-0000DB000000}"/>
    <cellStyle name="20% - 강조색5 25" xfId="221" xr:uid="{00000000-0005-0000-0000-0000DC000000}"/>
    <cellStyle name="20% - 강조색5 26" xfId="222" xr:uid="{00000000-0005-0000-0000-0000DD000000}"/>
    <cellStyle name="20% - 강조색5 27" xfId="223" xr:uid="{00000000-0005-0000-0000-0000DE000000}"/>
    <cellStyle name="20% - 강조색5 28" xfId="224" xr:uid="{00000000-0005-0000-0000-0000DF000000}"/>
    <cellStyle name="20% - 강조색5 29" xfId="225" xr:uid="{00000000-0005-0000-0000-0000E0000000}"/>
    <cellStyle name="20% - 강조색5 3" xfId="226" xr:uid="{00000000-0005-0000-0000-0000E1000000}"/>
    <cellStyle name="20% - 강조색5 3 2" xfId="227" xr:uid="{00000000-0005-0000-0000-0000E2000000}"/>
    <cellStyle name="20% - 강조색5 3_2.소매판매액지수, 대형소매점 판매액지수 및 서비스업 생" xfId="228" xr:uid="{00000000-0005-0000-0000-0000E3000000}"/>
    <cellStyle name="20% - 강조색5 30" xfId="229" xr:uid="{00000000-0005-0000-0000-0000E4000000}"/>
    <cellStyle name="20% - 강조색5 31" xfId="230" xr:uid="{00000000-0005-0000-0000-0000E5000000}"/>
    <cellStyle name="20% - 강조색5 32" xfId="231" xr:uid="{00000000-0005-0000-0000-0000E6000000}"/>
    <cellStyle name="20% - 강조색5 33" xfId="232" xr:uid="{00000000-0005-0000-0000-0000E7000000}"/>
    <cellStyle name="20% - 강조색5 34" xfId="233" xr:uid="{00000000-0005-0000-0000-0000E8000000}"/>
    <cellStyle name="20% - 강조색5 35" xfId="234" xr:uid="{00000000-0005-0000-0000-0000E9000000}"/>
    <cellStyle name="20% - 강조색5 36" xfId="235" xr:uid="{00000000-0005-0000-0000-0000EA000000}"/>
    <cellStyle name="20% - 강조색5 37" xfId="236" xr:uid="{00000000-0005-0000-0000-0000EB000000}"/>
    <cellStyle name="20% - 강조색5 38" xfId="237" xr:uid="{00000000-0005-0000-0000-0000EC000000}"/>
    <cellStyle name="20% - 강조색5 39" xfId="238" xr:uid="{00000000-0005-0000-0000-0000ED000000}"/>
    <cellStyle name="20% - 강조색5 4" xfId="239" xr:uid="{00000000-0005-0000-0000-0000EE000000}"/>
    <cellStyle name="20% - 강조색5 40" xfId="240" xr:uid="{00000000-0005-0000-0000-0000EF000000}"/>
    <cellStyle name="20% - 강조색5 41" xfId="241" xr:uid="{00000000-0005-0000-0000-0000F0000000}"/>
    <cellStyle name="20% - 강조색5 42" xfId="242" xr:uid="{00000000-0005-0000-0000-0000F1000000}"/>
    <cellStyle name="20% - 강조색5 43" xfId="243" xr:uid="{00000000-0005-0000-0000-0000F2000000}"/>
    <cellStyle name="20% - 강조색5 44" xfId="244" xr:uid="{00000000-0005-0000-0000-0000F3000000}"/>
    <cellStyle name="20% - 강조색5 45" xfId="245" xr:uid="{00000000-0005-0000-0000-0000F4000000}"/>
    <cellStyle name="20% - 강조색5 46" xfId="246" xr:uid="{00000000-0005-0000-0000-0000F5000000}"/>
    <cellStyle name="20% - 강조색5 5" xfId="247" xr:uid="{00000000-0005-0000-0000-0000F6000000}"/>
    <cellStyle name="20% - 강조색5 6" xfId="248" xr:uid="{00000000-0005-0000-0000-0000F7000000}"/>
    <cellStyle name="20% - 강조색5 7" xfId="249" xr:uid="{00000000-0005-0000-0000-0000F8000000}"/>
    <cellStyle name="20% - 강조색5 8" xfId="250" xr:uid="{00000000-0005-0000-0000-0000F9000000}"/>
    <cellStyle name="20% - 강조색5 9" xfId="251" xr:uid="{00000000-0005-0000-0000-0000FA000000}"/>
    <cellStyle name="20% - 강조색6" xfId="252" builtinId="50" customBuiltin="1"/>
    <cellStyle name="20% - 강조색6 10" xfId="253" xr:uid="{00000000-0005-0000-0000-0000FC000000}"/>
    <cellStyle name="20% - 강조색6 11" xfId="254" xr:uid="{00000000-0005-0000-0000-0000FD000000}"/>
    <cellStyle name="20% - 강조색6 12" xfId="255" xr:uid="{00000000-0005-0000-0000-0000FE000000}"/>
    <cellStyle name="20% - 강조색6 13" xfId="256" xr:uid="{00000000-0005-0000-0000-0000FF000000}"/>
    <cellStyle name="20% - 강조색6 14" xfId="257" xr:uid="{00000000-0005-0000-0000-000000010000}"/>
    <cellStyle name="20% - 강조색6 15" xfId="258" xr:uid="{00000000-0005-0000-0000-000001010000}"/>
    <cellStyle name="20% - 강조색6 16" xfId="259" xr:uid="{00000000-0005-0000-0000-000002010000}"/>
    <cellStyle name="20% - 강조색6 17" xfId="260" xr:uid="{00000000-0005-0000-0000-000003010000}"/>
    <cellStyle name="20% - 강조색6 18" xfId="261" xr:uid="{00000000-0005-0000-0000-000004010000}"/>
    <cellStyle name="20% - 강조색6 19" xfId="262" xr:uid="{00000000-0005-0000-0000-000005010000}"/>
    <cellStyle name="20% - 강조색6 2" xfId="263" xr:uid="{00000000-0005-0000-0000-000006010000}"/>
    <cellStyle name="20% - 강조색6 2 2" xfId="264" xr:uid="{00000000-0005-0000-0000-000007010000}"/>
    <cellStyle name="20% - 강조색6 2_2.소매판매액지수, 대형소매점 판매액지수 및 서비스업 생" xfId="265" xr:uid="{00000000-0005-0000-0000-000008010000}"/>
    <cellStyle name="20% - 강조색6 20" xfId="266" xr:uid="{00000000-0005-0000-0000-000009010000}"/>
    <cellStyle name="20% - 강조색6 21" xfId="267" xr:uid="{00000000-0005-0000-0000-00000A010000}"/>
    <cellStyle name="20% - 강조색6 22" xfId="268" xr:uid="{00000000-0005-0000-0000-00000B010000}"/>
    <cellStyle name="20% - 강조색6 23" xfId="269" xr:uid="{00000000-0005-0000-0000-00000C010000}"/>
    <cellStyle name="20% - 강조색6 24" xfId="270" xr:uid="{00000000-0005-0000-0000-00000D010000}"/>
    <cellStyle name="20% - 강조색6 25" xfId="271" xr:uid="{00000000-0005-0000-0000-00000E010000}"/>
    <cellStyle name="20% - 강조색6 26" xfId="272" xr:uid="{00000000-0005-0000-0000-00000F010000}"/>
    <cellStyle name="20% - 강조색6 27" xfId="273" xr:uid="{00000000-0005-0000-0000-000010010000}"/>
    <cellStyle name="20% - 강조색6 28" xfId="274" xr:uid="{00000000-0005-0000-0000-000011010000}"/>
    <cellStyle name="20% - 강조색6 29" xfId="275" xr:uid="{00000000-0005-0000-0000-000012010000}"/>
    <cellStyle name="20% - 강조색6 3" xfId="276" xr:uid="{00000000-0005-0000-0000-000013010000}"/>
    <cellStyle name="20% - 강조색6 3 2" xfId="277" xr:uid="{00000000-0005-0000-0000-000014010000}"/>
    <cellStyle name="20% - 강조색6 3_2.소매판매액지수, 대형소매점 판매액지수 및 서비스업 생" xfId="278" xr:uid="{00000000-0005-0000-0000-000015010000}"/>
    <cellStyle name="20% - 강조색6 30" xfId="279" xr:uid="{00000000-0005-0000-0000-000016010000}"/>
    <cellStyle name="20% - 강조색6 31" xfId="280" xr:uid="{00000000-0005-0000-0000-000017010000}"/>
    <cellStyle name="20% - 강조색6 32" xfId="281" xr:uid="{00000000-0005-0000-0000-000018010000}"/>
    <cellStyle name="20% - 강조색6 33" xfId="282" xr:uid="{00000000-0005-0000-0000-000019010000}"/>
    <cellStyle name="20% - 강조색6 34" xfId="283" xr:uid="{00000000-0005-0000-0000-00001A010000}"/>
    <cellStyle name="20% - 강조색6 35" xfId="284" xr:uid="{00000000-0005-0000-0000-00001B010000}"/>
    <cellStyle name="20% - 강조색6 36" xfId="285" xr:uid="{00000000-0005-0000-0000-00001C010000}"/>
    <cellStyle name="20% - 강조색6 37" xfId="286" xr:uid="{00000000-0005-0000-0000-00001D010000}"/>
    <cellStyle name="20% - 강조색6 38" xfId="287" xr:uid="{00000000-0005-0000-0000-00001E010000}"/>
    <cellStyle name="20% - 강조색6 39" xfId="288" xr:uid="{00000000-0005-0000-0000-00001F010000}"/>
    <cellStyle name="20% - 강조색6 4" xfId="289" xr:uid="{00000000-0005-0000-0000-000020010000}"/>
    <cellStyle name="20% - 강조색6 40" xfId="290" xr:uid="{00000000-0005-0000-0000-000021010000}"/>
    <cellStyle name="20% - 강조색6 41" xfId="291" xr:uid="{00000000-0005-0000-0000-000022010000}"/>
    <cellStyle name="20% - 강조색6 42" xfId="292" xr:uid="{00000000-0005-0000-0000-000023010000}"/>
    <cellStyle name="20% - 강조색6 43" xfId="293" xr:uid="{00000000-0005-0000-0000-000024010000}"/>
    <cellStyle name="20% - 강조색6 44" xfId="294" xr:uid="{00000000-0005-0000-0000-000025010000}"/>
    <cellStyle name="20% - 강조색6 45" xfId="295" xr:uid="{00000000-0005-0000-0000-000026010000}"/>
    <cellStyle name="20% - 강조색6 46" xfId="296" xr:uid="{00000000-0005-0000-0000-000027010000}"/>
    <cellStyle name="20% - 강조색6 5" xfId="297" xr:uid="{00000000-0005-0000-0000-000028010000}"/>
    <cellStyle name="20% - 강조색6 6" xfId="298" xr:uid="{00000000-0005-0000-0000-000029010000}"/>
    <cellStyle name="20% - 강조색6 7" xfId="299" xr:uid="{00000000-0005-0000-0000-00002A010000}"/>
    <cellStyle name="20% - 강조색6 8" xfId="300" xr:uid="{00000000-0005-0000-0000-00002B010000}"/>
    <cellStyle name="20% - 강조색6 9" xfId="301" xr:uid="{00000000-0005-0000-0000-00002C010000}"/>
    <cellStyle name="40% - 강조색1" xfId="302" builtinId="31" customBuiltin="1"/>
    <cellStyle name="40% - 강조색1 10" xfId="303" xr:uid="{00000000-0005-0000-0000-00002E010000}"/>
    <cellStyle name="40% - 강조색1 11" xfId="304" xr:uid="{00000000-0005-0000-0000-00002F010000}"/>
    <cellStyle name="40% - 강조색1 12" xfId="305" xr:uid="{00000000-0005-0000-0000-000030010000}"/>
    <cellStyle name="40% - 강조색1 13" xfId="306" xr:uid="{00000000-0005-0000-0000-000031010000}"/>
    <cellStyle name="40% - 강조색1 14" xfId="307" xr:uid="{00000000-0005-0000-0000-000032010000}"/>
    <cellStyle name="40% - 강조색1 15" xfId="308" xr:uid="{00000000-0005-0000-0000-000033010000}"/>
    <cellStyle name="40% - 강조색1 16" xfId="309" xr:uid="{00000000-0005-0000-0000-000034010000}"/>
    <cellStyle name="40% - 강조색1 17" xfId="310" xr:uid="{00000000-0005-0000-0000-000035010000}"/>
    <cellStyle name="40% - 강조색1 18" xfId="311" xr:uid="{00000000-0005-0000-0000-000036010000}"/>
    <cellStyle name="40% - 강조색1 19" xfId="312" xr:uid="{00000000-0005-0000-0000-000037010000}"/>
    <cellStyle name="40% - 강조색1 2" xfId="313" xr:uid="{00000000-0005-0000-0000-000038010000}"/>
    <cellStyle name="40% - 강조색1 2 2" xfId="314" xr:uid="{00000000-0005-0000-0000-000039010000}"/>
    <cellStyle name="40% - 강조색1 2_2.소매판매액지수, 대형소매점 판매액지수 및 서비스업 생" xfId="315" xr:uid="{00000000-0005-0000-0000-00003A010000}"/>
    <cellStyle name="40% - 강조색1 20" xfId="316" xr:uid="{00000000-0005-0000-0000-00003B010000}"/>
    <cellStyle name="40% - 강조색1 21" xfId="317" xr:uid="{00000000-0005-0000-0000-00003C010000}"/>
    <cellStyle name="40% - 강조색1 22" xfId="318" xr:uid="{00000000-0005-0000-0000-00003D010000}"/>
    <cellStyle name="40% - 강조색1 23" xfId="319" xr:uid="{00000000-0005-0000-0000-00003E010000}"/>
    <cellStyle name="40% - 강조색1 24" xfId="320" xr:uid="{00000000-0005-0000-0000-00003F010000}"/>
    <cellStyle name="40% - 강조색1 25" xfId="321" xr:uid="{00000000-0005-0000-0000-000040010000}"/>
    <cellStyle name="40% - 강조색1 26" xfId="322" xr:uid="{00000000-0005-0000-0000-000041010000}"/>
    <cellStyle name="40% - 강조색1 27" xfId="323" xr:uid="{00000000-0005-0000-0000-000042010000}"/>
    <cellStyle name="40% - 강조색1 28" xfId="324" xr:uid="{00000000-0005-0000-0000-000043010000}"/>
    <cellStyle name="40% - 강조색1 29" xfId="325" xr:uid="{00000000-0005-0000-0000-000044010000}"/>
    <cellStyle name="40% - 강조색1 3" xfId="326" xr:uid="{00000000-0005-0000-0000-000045010000}"/>
    <cellStyle name="40% - 강조색1 3 2" xfId="327" xr:uid="{00000000-0005-0000-0000-000046010000}"/>
    <cellStyle name="40% - 강조색1 3_2.소매판매액지수, 대형소매점 판매액지수 및 서비스업 생" xfId="328" xr:uid="{00000000-0005-0000-0000-000047010000}"/>
    <cellStyle name="40% - 강조색1 30" xfId="329" xr:uid="{00000000-0005-0000-0000-000048010000}"/>
    <cellStyle name="40% - 강조색1 31" xfId="330" xr:uid="{00000000-0005-0000-0000-000049010000}"/>
    <cellStyle name="40% - 강조색1 32" xfId="331" xr:uid="{00000000-0005-0000-0000-00004A010000}"/>
    <cellStyle name="40% - 강조색1 33" xfId="332" xr:uid="{00000000-0005-0000-0000-00004B010000}"/>
    <cellStyle name="40% - 강조색1 34" xfId="333" xr:uid="{00000000-0005-0000-0000-00004C010000}"/>
    <cellStyle name="40% - 강조색1 35" xfId="334" xr:uid="{00000000-0005-0000-0000-00004D010000}"/>
    <cellStyle name="40% - 강조색1 36" xfId="335" xr:uid="{00000000-0005-0000-0000-00004E010000}"/>
    <cellStyle name="40% - 강조색1 37" xfId="336" xr:uid="{00000000-0005-0000-0000-00004F010000}"/>
    <cellStyle name="40% - 강조색1 38" xfId="337" xr:uid="{00000000-0005-0000-0000-000050010000}"/>
    <cellStyle name="40% - 강조색1 39" xfId="338" xr:uid="{00000000-0005-0000-0000-000051010000}"/>
    <cellStyle name="40% - 강조색1 4" xfId="339" xr:uid="{00000000-0005-0000-0000-000052010000}"/>
    <cellStyle name="40% - 강조색1 40" xfId="340" xr:uid="{00000000-0005-0000-0000-000053010000}"/>
    <cellStyle name="40% - 강조색1 41" xfId="341" xr:uid="{00000000-0005-0000-0000-000054010000}"/>
    <cellStyle name="40% - 강조색1 42" xfId="342" xr:uid="{00000000-0005-0000-0000-000055010000}"/>
    <cellStyle name="40% - 강조색1 43" xfId="343" xr:uid="{00000000-0005-0000-0000-000056010000}"/>
    <cellStyle name="40% - 강조색1 44" xfId="344" xr:uid="{00000000-0005-0000-0000-000057010000}"/>
    <cellStyle name="40% - 강조색1 45" xfId="345" xr:uid="{00000000-0005-0000-0000-000058010000}"/>
    <cellStyle name="40% - 강조색1 46" xfId="346" xr:uid="{00000000-0005-0000-0000-000059010000}"/>
    <cellStyle name="40% - 강조색1 5" xfId="347" xr:uid="{00000000-0005-0000-0000-00005A010000}"/>
    <cellStyle name="40% - 강조색1 6" xfId="348" xr:uid="{00000000-0005-0000-0000-00005B010000}"/>
    <cellStyle name="40% - 강조색1 7" xfId="349" xr:uid="{00000000-0005-0000-0000-00005C010000}"/>
    <cellStyle name="40% - 강조색1 8" xfId="350" xr:uid="{00000000-0005-0000-0000-00005D010000}"/>
    <cellStyle name="40% - 강조색1 9" xfId="351" xr:uid="{00000000-0005-0000-0000-00005E010000}"/>
    <cellStyle name="40% - 강조색2" xfId="352" builtinId="35" customBuiltin="1"/>
    <cellStyle name="40% - 강조색2 10" xfId="353" xr:uid="{00000000-0005-0000-0000-000060010000}"/>
    <cellStyle name="40% - 강조색2 11" xfId="354" xr:uid="{00000000-0005-0000-0000-000061010000}"/>
    <cellStyle name="40% - 강조색2 12" xfId="355" xr:uid="{00000000-0005-0000-0000-000062010000}"/>
    <cellStyle name="40% - 강조색2 13" xfId="356" xr:uid="{00000000-0005-0000-0000-000063010000}"/>
    <cellStyle name="40% - 강조색2 14" xfId="357" xr:uid="{00000000-0005-0000-0000-000064010000}"/>
    <cellStyle name="40% - 강조색2 15" xfId="358" xr:uid="{00000000-0005-0000-0000-000065010000}"/>
    <cellStyle name="40% - 강조색2 16" xfId="359" xr:uid="{00000000-0005-0000-0000-000066010000}"/>
    <cellStyle name="40% - 강조색2 17" xfId="360" xr:uid="{00000000-0005-0000-0000-000067010000}"/>
    <cellStyle name="40% - 강조색2 18" xfId="361" xr:uid="{00000000-0005-0000-0000-000068010000}"/>
    <cellStyle name="40% - 강조색2 19" xfId="362" xr:uid="{00000000-0005-0000-0000-000069010000}"/>
    <cellStyle name="40% - 강조색2 2" xfId="363" xr:uid="{00000000-0005-0000-0000-00006A010000}"/>
    <cellStyle name="40% - 강조색2 2 2" xfId="364" xr:uid="{00000000-0005-0000-0000-00006B010000}"/>
    <cellStyle name="40% - 강조색2 2_2.소매판매액지수, 대형소매점 판매액지수 및 서비스업 생" xfId="365" xr:uid="{00000000-0005-0000-0000-00006C010000}"/>
    <cellStyle name="40% - 강조색2 20" xfId="366" xr:uid="{00000000-0005-0000-0000-00006D010000}"/>
    <cellStyle name="40% - 강조색2 21" xfId="367" xr:uid="{00000000-0005-0000-0000-00006E010000}"/>
    <cellStyle name="40% - 강조색2 22" xfId="368" xr:uid="{00000000-0005-0000-0000-00006F010000}"/>
    <cellStyle name="40% - 강조색2 23" xfId="369" xr:uid="{00000000-0005-0000-0000-000070010000}"/>
    <cellStyle name="40% - 강조색2 24" xfId="370" xr:uid="{00000000-0005-0000-0000-000071010000}"/>
    <cellStyle name="40% - 강조색2 25" xfId="371" xr:uid="{00000000-0005-0000-0000-000072010000}"/>
    <cellStyle name="40% - 강조색2 26" xfId="372" xr:uid="{00000000-0005-0000-0000-000073010000}"/>
    <cellStyle name="40% - 강조색2 27" xfId="373" xr:uid="{00000000-0005-0000-0000-000074010000}"/>
    <cellStyle name="40% - 강조색2 28" xfId="374" xr:uid="{00000000-0005-0000-0000-000075010000}"/>
    <cellStyle name="40% - 강조색2 29" xfId="375" xr:uid="{00000000-0005-0000-0000-000076010000}"/>
    <cellStyle name="40% - 강조색2 3" xfId="376" xr:uid="{00000000-0005-0000-0000-000077010000}"/>
    <cellStyle name="40% - 강조색2 3 2" xfId="377" xr:uid="{00000000-0005-0000-0000-000078010000}"/>
    <cellStyle name="40% - 강조색2 3_2.소매판매액지수, 대형소매점 판매액지수 및 서비스업 생" xfId="378" xr:uid="{00000000-0005-0000-0000-000079010000}"/>
    <cellStyle name="40% - 강조색2 30" xfId="379" xr:uid="{00000000-0005-0000-0000-00007A010000}"/>
    <cellStyle name="40% - 강조색2 31" xfId="380" xr:uid="{00000000-0005-0000-0000-00007B010000}"/>
    <cellStyle name="40% - 강조색2 32" xfId="381" xr:uid="{00000000-0005-0000-0000-00007C010000}"/>
    <cellStyle name="40% - 강조색2 33" xfId="382" xr:uid="{00000000-0005-0000-0000-00007D010000}"/>
    <cellStyle name="40% - 강조색2 34" xfId="383" xr:uid="{00000000-0005-0000-0000-00007E010000}"/>
    <cellStyle name="40% - 강조색2 35" xfId="384" xr:uid="{00000000-0005-0000-0000-00007F010000}"/>
    <cellStyle name="40% - 강조색2 36" xfId="385" xr:uid="{00000000-0005-0000-0000-000080010000}"/>
    <cellStyle name="40% - 강조색2 37" xfId="386" xr:uid="{00000000-0005-0000-0000-000081010000}"/>
    <cellStyle name="40% - 강조색2 38" xfId="387" xr:uid="{00000000-0005-0000-0000-000082010000}"/>
    <cellStyle name="40% - 강조색2 39" xfId="388" xr:uid="{00000000-0005-0000-0000-000083010000}"/>
    <cellStyle name="40% - 강조색2 4" xfId="389" xr:uid="{00000000-0005-0000-0000-000084010000}"/>
    <cellStyle name="40% - 강조색2 40" xfId="390" xr:uid="{00000000-0005-0000-0000-000085010000}"/>
    <cellStyle name="40% - 강조색2 41" xfId="391" xr:uid="{00000000-0005-0000-0000-000086010000}"/>
    <cellStyle name="40% - 강조색2 42" xfId="392" xr:uid="{00000000-0005-0000-0000-000087010000}"/>
    <cellStyle name="40% - 강조색2 43" xfId="393" xr:uid="{00000000-0005-0000-0000-000088010000}"/>
    <cellStyle name="40% - 강조색2 44" xfId="394" xr:uid="{00000000-0005-0000-0000-000089010000}"/>
    <cellStyle name="40% - 강조색2 45" xfId="395" xr:uid="{00000000-0005-0000-0000-00008A010000}"/>
    <cellStyle name="40% - 강조색2 46" xfId="396" xr:uid="{00000000-0005-0000-0000-00008B010000}"/>
    <cellStyle name="40% - 강조색2 5" xfId="397" xr:uid="{00000000-0005-0000-0000-00008C010000}"/>
    <cellStyle name="40% - 강조색2 6" xfId="398" xr:uid="{00000000-0005-0000-0000-00008D010000}"/>
    <cellStyle name="40% - 강조색2 7" xfId="399" xr:uid="{00000000-0005-0000-0000-00008E010000}"/>
    <cellStyle name="40% - 강조색2 8" xfId="400" xr:uid="{00000000-0005-0000-0000-00008F010000}"/>
    <cellStyle name="40% - 강조색2 9" xfId="401" xr:uid="{00000000-0005-0000-0000-000090010000}"/>
    <cellStyle name="40% - 강조색3" xfId="402" builtinId="39" customBuiltin="1"/>
    <cellStyle name="40% - 강조색3 10" xfId="403" xr:uid="{00000000-0005-0000-0000-000092010000}"/>
    <cellStyle name="40% - 강조색3 11" xfId="404" xr:uid="{00000000-0005-0000-0000-000093010000}"/>
    <cellStyle name="40% - 강조색3 12" xfId="405" xr:uid="{00000000-0005-0000-0000-000094010000}"/>
    <cellStyle name="40% - 강조색3 13" xfId="406" xr:uid="{00000000-0005-0000-0000-000095010000}"/>
    <cellStyle name="40% - 강조색3 14" xfId="407" xr:uid="{00000000-0005-0000-0000-000096010000}"/>
    <cellStyle name="40% - 강조색3 15" xfId="408" xr:uid="{00000000-0005-0000-0000-000097010000}"/>
    <cellStyle name="40% - 강조색3 16" xfId="409" xr:uid="{00000000-0005-0000-0000-000098010000}"/>
    <cellStyle name="40% - 강조색3 17" xfId="410" xr:uid="{00000000-0005-0000-0000-000099010000}"/>
    <cellStyle name="40% - 강조색3 18" xfId="411" xr:uid="{00000000-0005-0000-0000-00009A010000}"/>
    <cellStyle name="40% - 강조색3 19" xfId="412" xr:uid="{00000000-0005-0000-0000-00009B010000}"/>
    <cellStyle name="40% - 강조색3 2" xfId="413" xr:uid="{00000000-0005-0000-0000-00009C010000}"/>
    <cellStyle name="40% - 강조색3 2 2" xfId="414" xr:uid="{00000000-0005-0000-0000-00009D010000}"/>
    <cellStyle name="40% - 강조색3 2_2.소매판매액지수, 대형소매점 판매액지수 및 서비스업 생" xfId="415" xr:uid="{00000000-0005-0000-0000-00009E010000}"/>
    <cellStyle name="40% - 강조색3 20" xfId="416" xr:uid="{00000000-0005-0000-0000-00009F010000}"/>
    <cellStyle name="40% - 강조색3 21" xfId="417" xr:uid="{00000000-0005-0000-0000-0000A0010000}"/>
    <cellStyle name="40% - 강조색3 22" xfId="418" xr:uid="{00000000-0005-0000-0000-0000A1010000}"/>
    <cellStyle name="40% - 강조색3 23" xfId="419" xr:uid="{00000000-0005-0000-0000-0000A2010000}"/>
    <cellStyle name="40% - 강조색3 24" xfId="420" xr:uid="{00000000-0005-0000-0000-0000A3010000}"/>
    <cellStyle name="40% - 강조색3 25" xfId="421" xr:uid="{00000000-0005-0000-0000-0000A4010000}"/>
    <cellStyle name="40% - 강조색3 26" xfId="422" xr:uid="{00000000-0005-0000-0000-0000A5010000}"/>
    <cellStyle name="40% - 강조색3 27" xfId="423" xr:uid="{00000000-0005-0000-0000-0000A6010000}"/>
    <cellStyle name="40% - 강조색3 28" xfId="424" xr:uid="{00000000-0005-0000-0000-0000A7010000}"/>
    <cellStyle name="40% - 강조색3 29" xfId="425" xr:uid="{00000000-0005-0000-0000-0000A8010000}"/>
    <cellStyle name="40% - 강조색3 3" xfId="426" xr:uid="{00000000-0005-0000-0000-0000A9010000}"/>
    <cellStyle name="40% - 강조색3 3 2" xfId="427" xr:uid="{00000000-0005-0000-0000-0000AA010000}"/>
    <cellStyle name="40% - 강조색3 3_2.소매판매액지수, 대형소매점 판매액지수 및 서비스업 생" xfId="428" xr:uid="{00000000-0005-0000-0000-0000AB010000}"/>
    <cellStyle name="40% - 강조색3 30" xfId="429" xr:uid="{00000000-0005-0000-0000-0000AC010000}"/>
    <cellStyle name="40% - 강조색3 31" xfId="430" xr:uid="{00000000-0005-0000-0000-0000AD010000}"/>
    <cellStyle name="40% - 강조색3 32" xfId="431" xr:uid="{00000000-0005-0000-0000-0000AE010000}"/>
    <cellStyle name="40% - 강조색3 33" xfId="432" xr:uid="{00000000-0005-0000-0000-0000AF010000}"/>
    <cellStyle name="40% - 강조색3 34" xfId="433" xr:uid="{00000000-0005-0000-0000-0000B0010000}"/>
    <cellStyle name="40% - 강조색3 35" xfId="434" xr:uid="{00000000-0005-0000-0000-0000B1010000}"/>
    <cellStyle name="40% - 강조색3 36" xfId="435" xr:uid="{00000000-0005-0000-0000-0000B2010000}"/>
    <cellStyle name="40% - 강조색3 37" xfId="436" xr:uid="{00000000-0005-0000-0000-0000B3010000}"/>
    <cellStyle name="40% - 강조색3 38" xfId="437" xr:uid="{00000000-0005-0000-0000-0000B4010000}"/>
    <cellStyle name="40% - 강조색3 39" xfId="438" xr:uid="{00000000-0005-0000-0000-0000B5010000}"/>
    <cellStyle name="40% - 강조색3 4" xfId="439" xr:uid="{00000000-0005-0000-0000-0000B6010000}"/>
    <cellStyle name="40% - 강조색3 40" xfId="440" xr:uid="{00000000-0005-0000-0000-0000B7010000}"/>
    <cellStyle name="40% - 강조색3 41" xfId="441" xr:uid="{00000000-0005-0000-0000-0000B8010000}"/>
    <cellStyle name="40% - 강조색3 42" xfId="442" xr:uid="{00000000-0005-0000-0000-0000B9010000}"/>
    <cellStyle name="40% - 강조색3 43" xfId="443" xr:uid="{00000000-0005-0000-0000-0000BA010000}"/>
    <cellStyle name="40% - 강조색3 44" xfId="444" xr:uid="{00000000-0005-0000-0000-0000BB010000}"/>
    <cellStyle name="40% - 강조색3 45" xfId="445" xr:uid="{00000000-0005-0000-0000-0000BC010000}"/>
    <cellStyle name="40% - 강조색3 46" xfId="446" xr:uid="{00000000-0005-0000-0000-0000BD010000}"/>
    <cellStyle name="40% - 강조색3 5" xfId="447" xr:uid="{00000000-0005-0000-0000-0000BE010000}"/>
    <cellStyle name="40% - 강조색3 6" xfId="448" xr:uid="{00000000-0005-0000-0000-0000BF010000}"/>
    <cellStyle name="40% - 강조색3 7" xfId="449" xr:uid="{00000000-0005-0000-0000-0000C0010000}"/>
    <cellStyle name="40% - 강조색3 8" xfId="450" xr:uid="{00000000-0005-0000-0000-0000C1010000}"/>
    <cellStyle name="40% - 강조색3 9" xfId="451" xr:uid="{00000000-0005-0000-0000-0000C2010000}"/>
    <cellStyle name="40% - 강조색4" xfId="452" builtinId="43" customBuiltin="1"/>
    <cellStyle name="40% - 강조색4 10" xfId="453" xr:uid="{00000000-0005-0000-0000-0000C4010000}"/>
    <cellStyle name="40% - 강조색4 11" xfId="454" xr:uid="{00000000-0005-0000-0000-0000C5010000}"/>
    <cellStyle name="40% - 강조색4 12" xfId="455" xr:uid="{00000000-0005-0000-0000-0000C6010000}"/>
    <cellStyle name="40% - 강조색4 13" xfId="456" xr:uid="{00000000-0005-0000-0000-0000C7010000}"/>
    <cellStyle name="40% - 강조색4 14" xfId="457" xr:uid="{00000000-0005-0000-0000-0000C8010000}"/>
    <cellStyle name="40% - 강조색4 15" xfId="458" xr:uid="{00000000-0005-0000-0000-0000C9010000}"/>
    <cellStyle name="40% - 강조색4 16" xfId="459" xr:uid="{00000000-0005-0000-0000-0000CA010000}"/>
    <cellStyle name="40% - 강조색4 17" xfId="460" xr:uid="{00000000-0005-0000-0000-0000CB010000}"/>
    <cellStyle name="40% - 강조색4 18" xfId="461" xr:uid="{00000000-0005-0000-0000-0000CC010000}"/>
    <cellStyle name="40% - 강조색4 19" xfId="462" xr:uid="{00000000-0005-0000-0000-0000CD010000}"/>
    <cellStyle name="40% - 강조색4 2" xfId="463" xr:uid="{00000000-0005-0000-0000-0000CE010000}"/>
    <cellStyle name="40% - 강조색4 2 2" xfId="464" xr:uid="{00000000-0005-0000-0000-0000CF010000}"/>
    <cellStyle name="40% - 강조색4 2_2.소매판매액지수, 대형소매점 판매액지수 및 서비스업 생" xfId="465" xr:uid="{00000000-0005-0000-0000-0000D0010000}"/>
    <cellStyle name="40% - 강조색4 20" xfId="466" xr:uid="{00000000-0005-0000-0000-0000D1010000}"/>
    <cellStyle name="40% - 강조색4 21" xfId="467" xr:uid="{00000000-0005-0000-0000-0000D2010000}"/>
    <cellStyle name="40% - 강조색4 22" xfId="468" xr:uid="{00000000-0005-0000-0000-0000D3010000}"/>
    <cellStyle name="40% - 강조색4 23" xfId="469" xr:uid="{00000000-0005-0000-0000-0000D4010000}"/>
    <cellStyle name="40% - 강조색4 24" xfId="470" xr:uid="{00000000-0005-0000-0000-0000D5010000}"/>
    <cellStyle name="40% - 강조색4 25" xfId="471" xr:uid="{00000000-0005-0000-0000-0000D6010000}"/>
    <cellStyle name="40% - 강조색4 26" xfId="472" xr:uid="{00000000-0005-0000-0000-0000D7010000}"/>
    <cellStyle name="40% - 강조색4 27" xfId="473" xr:uid="{00000000-0005-0000-0000-0000D8010000}"/>
    <cellStyle name="40% - 강조색4 28" xfId="474" xr:uid="{00000000-0005-0000-0000-0000D9010000}"/>
    <cellStyle name="40% - 강조색4 29" xfId="475" xr:uid="{00000000-0005-0000-0000-0000DA010000}"/>
    <cellStyle name="40% - 강조색4 3" xfId="476" xr:uid="{00000000-0005-0000-0000-0000DB010000}"/>
    <cellStyle name="40% - 강조색4 3 2" xfId="477" xr:uid="{00000000-0005-0000-0000-0000DC010000}"/>
    <cellStyle name="40% - 강조색4 3_2.소매판매액지수, 대형소매점 판매액지수 및 서비스업 생" xfId="478" xr:uid="{00000000-0005-0000-0000-0000DD010000}"/>
    <cellStyle name="40% - 강조색4 30" xfId="479" xr:uid="{00000000-0005-0000-0000-0000DE010000}"/>
    <cellStyle name="40% - 강조색4 31" xfId="480" xr:uid="{00000000-0005-0000-0000-0000DF010000}"/>
    <cellStyle name="40% - 강조색4 32" xfId="481" xr:uid="{00000000-0005-0000-0000-0000E0010000}"/>
    <cellStyle name="40% - 강조색4 33" xfId="482" xr:uid="{00000000-0005-0000-0000-0000E1010000}"/>
    <cellStyle name="40% - 강조색4 34" xfId="483" xr:uid="{00000000-0005-0000-0000-0000E2010000}"/>
    <cellStyle name="40% - 강조색4 35" xfId="484" xr:uid="{00000000-0005-0000-0000-0000E3010000}"/>
    <cellStyle name="40% - 강조색4 36" xfId="485" xr:uid="{00000000-0005-0000-0000-0000E4010000}"/>
    <cellStyle name="40% - 강조색4 37" xfId="486" xr:uid="{00000000-0005-0000-0000-0000E5010000}"/>
    <cellStyle name="40% - 강조색4 38" xfId="487" xr:uid="{00000000-0005-0000-0000-0000E6010000}"/>
    <cellStyle name="40% - 강조색4 39" xfId="488" xr:uid="{00000000-0005-0000-0000-0000E7010000}"/>
    <cellStyle name="40% - 강조색4 4" xfId="489" xr:uid="{00000000-0005-0000-0000-0000E8010000}"/>
    <cellStyle name="40% - 강조색4 40" xfId="490" xr:uid="{00000000-0005-0000-0000-0000E9010000}"/>
    <cellStyle name="40% - 강조색4 41" xfId="491" xr:uid="{00000000-0005-0000-0000-0000EA010000}"/>
    <cellStyle name="40% - 강조색4 42" xfId="492" xr:uid="{00000000-0005-0000-0000-0000EB010000}"/>
    <cellStyle name="40% - 강조색4 43" xfId="493" xr:uid="{00000000-0005-0000-0000-0000EC010000}"/>
    <cellStyle name="40% - 강조색4 44" xfId="494" xr:uid="{00000000-0005-0000-0000-0000ED010000}"/>
    <cellStyle name="40% - 강조색4 45" xfId="495" xr:uid="{00000000-0005-0000-0000-0000EE010000}"/>
    <cellStyle name="40% - 강조색4 46" xfId="496" xr:uid="{00000000-0005-0000-0000-0000EF010000}"/>
    <cellStyle name="40% - 강조색4 5" xfId="497" xr:uid="{00000000-0005-0000-0000-0000F0010000}"/>
    <cellStyle name="40% - 강조색4 6" xfId="498" xr:uid="{00000000-0005-0000-0000-0000F1010000}"/>
    <cellStyle name="40% - 강조색4 7" xfId="499" xr:uid="{00000000-0005-0000-0000-0000F2010000}"/>
    <cellStyle name="40% - 강조색4 8" xfId="500" xr:uid="{00000000-0005-0000-0000-0000F3010000}"/>
    <cellStyle name="40% - 강조색4 9" xfId="501" xr:uid="{00000000-0005-0000-0000-0000F4010000}"/>
    <cellStyle name="40% - 강조색5" xfId="502" builtinId="47" customBuiltin="1"/>
    <cellStyle name="40% - 강조색5 10" xfId="503" xr:uid="{00000000-0005-0000-0000-0000F6010000}"/>
    <cellStyle name="40% - 강조색5 11" xfId="504" xr:uid="{00000000-0005-0000-0000-0000F7010000}"/>
    <cellStyle name="40% - 강조색5 12" xfId="505" xr:uid="{00000000-0005-0000-0000-0000F8010000}"/>
    <cellStyle name="40% - 강조색5 13" xfId="506" xr:uid="{00000000-0005-0000-0000-0000F9010000}"/>
    <cellStyle name="40% - 강조색5 14" xfId="507" xr:uid="{00000000-0005-0000-0000-0000FA010000}"/>
    <cellStyle name="40% - 강조색5 15" xfId="508" xr:uid="{00000000-0005-0000-0000-0000FB010000}"/>
    <cellStyle name="40% - 강조색5 16" xfId="509" xr:uid="{00000000-0005-0000-0000-0000FC010000}"/>
    <cellStyle name="40% - 강조색5 17" xfId="510" xr:uid="{00000000-0005-0000-0000-0000FD010000}"/>
    <cellStyle name="40% - 강조색5 18" xfId="511" xr:uid="{00000000-0005-0000-0000-0000FE010000}"/>
    <cellStyle name="40% - 강조색5 19" xfId="512" xr:uid="{00000000-0005-0000-0000-0000FF010000}"/>
    <cellStyle name="40% - 강조색5 2" xfId="513" xr:uid="{00000000-0005-0000-0000-000000020000}"/>
    <cellStyle name="40% - 강조색5 2 2" xfId="514" xr:uid="{00000000-0005-0000-0000-000001020000}"/>
    <cellStyle name="40% - 강조색5 2_2.소매판매액지수, 대형소매점 판매액지수 및 서비스업 생" xfId="515" xr:uid="{00000000-0005-0000-0000-000002020000}"/>
    <cellStyle name="40% - 강조색5 20" xfId="516" xr:uid="{00000000-0005-0000-0000-000003020000}"/>
    <cellStyle name="40% - 강조색5 21" xfId="517" xr:uid="{00000000-0005-0000-0000-000004020000}"/>
    <cellStyle name="40% - 강조색5 22" xfId="518" xr:uid="{00000000-0005-0000-0000-000005020000}"/>
    <cellStyle name="40% - 강조색5 23" xfId="519" xr:uid="{00000000-0005-0000-0000-000006020000}"/>
    <cellStyle name="40% - 강조색5 24" xfId="520" xr:uid="{00000000-0005-0000-0000-000007020000}"/>
    <cellStyle name="40% - 강조색5 25" xfId="521" xr:uid="{00000000-0005-0000-0000-000008020000}"/>
    <cellStyle name="40% - 강조색5 26" xfId="522" xr:uid="{00000000-0005-0000-0000-000009020000}"/>
    <cellStyle name="40% - 강조색5 27" xfId="523" xr:uid="{00000000-0005-0000-0000-00000A020000}"/>
    <cellStyle name="40% - 강조색5 28" xfId="524" xr:uid="{00000000-0005-0000-0000-00000B020000}"/>
    <cellStyle name="40% - 강조색5 29" xfId="525" xr:uid="{00000000-0005-0000-0000-00000C020000}"/>
    <cellStyle name="40% - 강조색5 3" xfId="526" xr:uid="{00000000-0005-0000-0000-00000D020000}"/>
    <cellStyle name="40% - 강조색5 3 2" xfId="527" xr:uid="{00000000-0005-0000-0000-00000E020000}"/>
    <cellStyle name="40% - 강조색5 3_2.소매판매액지수, 대형소매점 판매액지수 및 서비스업 생" xfId="528" xr:uid="{00000000-0005-0000-0000-00000F020000}"/>
    <cellStyle name="40% - 강조색5 30" xfId="529" xr:uid="{00000000-0005-0000-0000-000010020000}"/>
    <cellStyle name="40% - 강조색5 31" xfId="530" xr:uid="{00000000-0005-0000-0000-000011020000}"/>
    <cellStyle name="40% - 강조색5 32" xfId="531" xr:uid="{00000000-0005-0000-0000-000012020000}"/>
    <cellStyle name="40% - 강조색5 33" xfId="532" xr:uid="{00000000-0005-0000-0000-000013020000}"/>
    <cellStyle name="40% - 강조색5 34" xfId="533" xr:uid="{00000000-0005-0000-0000-000014020000}"/>
    <cellStyle name="40% - 강조색5 35" xfId="534" xr:uid="{00000000-0005-0000-0000-000015020000}"/>
    <cellStyle name="40% - 강조색5 36" xfId="535" xr:uid="{00000000-0005-0000-0000-000016020000}"/>
    <cellStyle name="40% - 강조색5 37" xfId="536" xr:uid="{00000000-0005-0000-0000-000017020000}"/>
    <cellStyle name="40% - 강조색5 38" xfId="537" xr:uid="{00000000-0005-0000-0000-000018020000}"/>
    <cellStyle name="40% - 강조색5 39" xfId="538" xr:uid="{00000000-0005-0000-0000-000019020000}"/>
    <cellStyle name="40% - 강조색5 4" xfId="539" xr:uid="{00000000-0005-0000-0000-00001A020000}"/>
    <cellStyle name="40% - 강조색5 40" xfId="540" xr:uid="{00000000-0005-0000-0000-00001B020000}"/>
    <cellStyle name="40% - 강조색5 41" xfId="541" xr:uid="{00000000-0005-0000-0000-00001C020000}"/>
    <cellStyle name="40% - 강조색5 42" xfId="542" xr:uid="{00000000-0005-0000-0000-00001D020000}"/>
    <cellStyle name="40% - 강조색5 43" xfId="543" xr:uid="{00000000-0005-0000-0000-00001E020000}"/>
    <cellStyle name="40% - 강조색5 44" xfId="544" xr:uid="{00000000-0005-0000-0000-00001F020000}"/>
    <cellStyle name="40% - 강조색5 45" xfId="545" xr:uid="{00000000-0005-0000-0000-000020020000}"/>
    <cellStyle name="40% - 강조색5 46" xfId="546" xr:uid="{00000000-0005-0000-0000-000021020000}"/>
    <cellStyle name="40% - 강조색5 5" xfId="547" xr:uid="{00000000-0005-0000-0000-000022020000}"/>
    <cellStyle name="40% - 강조색5 6" xfId="548" xr:uid="{00000000-0005-0000-0000-000023020000}"/>
    <cellStyle name="40% - 강조색5 7" xfId="549" xr:uid="{00000000-0005-0000-0000-000024020000}"/>
    <cellStyle name="40% - 강조색5 8" xfId="550" xr:uid="{00000000-0005-0000-0000-000025020000}"/>
    <cellStyle name="40% - 강조색5 9" xfId="551" xr:uid="{00000000-0005-0000-0000-000026020000}"/>
    <cellStyle name="40% - 강조색6" xfId="552" builtinId="51" customBuiltin="1"/>
    <cellStyle name="40% - 강조색6 10" xfId="553" xr:uid="{00000000-0005-0000-0000-000028020000}"/>
    <cellStyle name="40% - 강조색6 11" xfId="554" xr:uid="{00000000-0005-0000-0000-000029020000}"/>
    <cellStyle name="40% - 강조색6 12" xfId="555" xr:uid="{00000000-0005-0000-0000-00002A020000}"/>
    <cellStyle name="40% - 강조색6 13" xfId="556" xr:uid="{00000000-0005-0000-0000-00002B020000}"/>
    <cellStyle name="40% - 강조색6 14" xfId="557" xr:uid="{00000000-0005-0000-0000-00002C020000}"/>
    <cellStyle name="40% - 강조색6 15" xfId="558" xr:uid="{00000000-0005-0000-0000-00002D020000}"/>
    <cellStyle name="40% - 강조색6 16" xfId="559" xr:uid="{00000000-0005-0000-0000-00002E020000}"/>
    <cellStyle name="40% - 강조색6 17" xfId="560" xr:uid="{00000000-0005-0000-0000-00002F020000}"/>
    <cellStyle name="40% - 강조색6 18" xfId="561" xr:uid="{00000000-0005-0000-0000-000030020000}"/>
    <cellStyle name="40% - 강조색6 19" xfId="562" xr:uid="{00000000-0005-0000-0000-000031020000}"/>
    <cellStyle name="40% - 강조색6 2" xfId="563" xr:uid="{00000000-0005-0000-0000-000032020000}"/>
    <cellStyle name="40% - 강조색6 2 2" xfId="564" xr:uid="{00000000-0005-0000-0000-000033020000}"/>
    <cellStyle name="40% - 강조색6 2_2.소매판매액지수, 대형소매점 판매액지수 및 서비스업 생" xfId="565" xr:uid="{00000000-0005-0000-0000-000034020000}"/>
    <cellStyle name="40% - 강조색6 20" xfId="566" xr:uid="{00000000-0005-0000-0000-000035020000}"/>
    <cellStyle name="40% - 강조색6 21" xfId="567" xr:uid="{00000000-0005-0000-0000-000036020000}"/>
    <cellStyle name="40% - 강조색6 22" xfId="568" xr:uid="{00000000-0005-0000-0000-000037020000}"/>
    <cellStyle name="40% - 강조색6 23" xfId="569" xr:uid="{00000000-0005-0000-0000-000038020000}"/>
    <cellStyle name="40% - 강조색6 24" xfId="570" xr:uid="{00000000-0005-0000-0000-000039020000}"/>
    <cellStyle name="40% - 강조색6 25" xfId="571" xr:uid="{00000000-0005-0000-0000-00003A020000}"/>
    <cellStyle name="40% - 강조색6 26" xfId="572" xr:uid="{00000000-0005-0000-0000-00003B020000}"/>
    <cellStyle name="40% - 강조색6 27" xfId="573" xr:uid="{00000000-0005-0000-0000-00003C020000}"/>
    <cellStyle name="40% - 강조색6 28" xfId="574" xr:uid="{00000000-0005-0000-0000-00003D020000}"/>
    <cellStyle name="40% - 강조색6 29" xfId="575" xr:uid="{00000000-0005-0000-0000-00003E020000}"/>
    <cellStyle name="40% - 강조색6 3" xfId="576" xr:uid="{00000000-0005-0000-0000-00003F020000}"/>
    <cellStyle name="40% - 강조색6 3 2" xfId="577" xr:uid="{00000000-0005-0000-0000-000040020000}"/>
    <cellStyle name="40% - 강조색6 3_2.소매판매액지수, 대형소매점 판매액지수 및 서비스업 생" xfId="578" xr:uid="{00000000-0005-0000-0000-000041020000}"/>
    <cellStyle name="40% - 강조색6 30" xfId="579" xr:uid="{00000000-0005-0000-0000-000042020000}"/>
    <cellStyle name="40% - 강조색6 31" xfId="580" xr:uid="{00000000-0005-0000-0000-000043020000}"/>
    <cellStyle name="40% - 강조색6 32" xfId="581" xr:uid="{00000000-0005-0000-0000-000044020000}"/>
    <cellStyle name="40% - 강조색6 33" xfId="582" xr:uid="{00000000-0005-0000-0000-000045020000}"/>
    <cellStyle name="40% - 강조색6 34" xfId="583" xr:uid="{00000000-0005-0000-0000-000046020000}"/>
    <cellStyle name="40% - 강조색6 35" xfId="584" xr:uid="{00000000-0005-0000-0000-000047020000}"/>
    <cellStyle name="40% - 강조색6 36" xfId="585" xr:uid="{00000000-0005-0000-0000-000048020000}"/>
    <cellStyle name="40% - 강조색6 37" xfId="586" xr:uid="{00000000-0005-0000-0000-000049020000}"/>
    <cellStyle name="40% - 강조색6 38" xfId="587" xr:uid="{00000000-0005-0000-0000-00004A020000}"/>
    <cellStyle name="40% - 강조색6 39" xfId="588" xr:uid="{00000000-0005-0000-0000-00004B020000}"/>
    <cellStyle name="40% - 강조색6 4" xfId="589" xr:uid="{00000000-0005-0000-0000-00004C020000}"/>
    <cellStyle name="40% - 강조색6 40" xfId="590" xr:uid="{00000000-0005-0000-0000-00004D020000}"/>
    <cellStyle name="40% - 강조색6 41" xfId="591" xr:uid="{00000000-0005-0000-0000-00004E020000}"/>
    <cellStyle name="40% - 강조색6 42" xfId="592" xr:uid="{00000000-0005-0000-0000-00004F020000}"/>
    <cellStyle name="40% - 강조색6 43" xfId="593" xr:uid="{00000000-0005-0000-0000-000050020000}"/>
    <cellStyle name="40% - 강조색6 44" xfId="594" xr:uid="{00000000-0005-0000-0000-000051020000}"/>
    <cellStyle name="40% - 강조색6 45" xfId="595" xr:uid="{00000000-0005-0000-0000-000052020000}"/>
    <cellStyle name="40% - 강조색6 46" xfId="596" xr:uid="{00000000-0005-0000-0000-000053020000}"/>
    <cellStyle name="40% - 강조색6 5" xfId="597" xr:uid="{00000000-0005-0000-0000-000054020000}"/>
    <cellStyle name="40% - 강조색6 6" xfId="598" xr:uid="{00000000-0005-0000-0000-000055020000}"/>
    <cellStyle name="40% - 강조색6 7" xfId="599" xr:uid="{00000000-0005-0000-0000-000056020000}"/>
    <cellStyle name="40% - 강조색6 8" xfId="600" xr:uid="{00000000-0005-0000-0000-000057020000}"/>
    <cellStyle name="40% - 강조색6 9" xfId="601" xr:uid="{00000000-0005-0000-0000-000058020000}"/>
    <cellStyle name="60% - 강조색1" xfId="602" builtinId="32" customBuiltin="1"/>
    <cellStyle name="60% - 강조색1 10" xfId="603" xr:uid="{00000000-0005-0000-0000-00005A020000}"/>
    <cellStyle name="60% - 강조색1 11" xfId="604" xr:uid="{00000000-0005-0000-0000-00005B020000}"/>
    <cellStyle name="60% - 강조색1 12" xfId="605" xr:uid="{00000000-0005-0000-0000-00005C020000}"/>
    <cellStyle name="60% - 강조색1 13" xfId="606" xr:uid="{00000000-0005-0000-0000-00005D020000}"/>
    <cellStyle name="60% - 강조색1 14" xfId="607" xr:uid="{00000000-0005-0000-0000-00005E020000}"/>
    <cellStyle name="60% - 강조색1 15" xfId="608" xr:uid="{00000000-0005-0000-0000-00005F020000}"/>
    <cellStyle name="60% - 강조색1 16" xfId="609" xr:uid="{00000000-0005-0000-0000-000060020000}"/>
    <cellStyle name="60% - 강조색1 17" xfId="610" xr:uid="{00000000-0005-0000-0000-000061020000}"/>
    <cellStyle name="60% - 강조색1 18" xfId="611" xr:uid="{00000000-0005-0000-0000-000062020000}"/>
    <cellStyle name="60% - 강조색1 19" xfId="612" xr:uid="{00000000-0005-0000-0000-000063020000}"/>
    <cellStyle name="60% - 강조색1 2" xfId="613" xr:uid="{00000000-0005-0000-0000-000064020000}"/>
    <cellStyle name="60% - 강조색1 2 2" xfId="614" xr:uid="{00000000-0005-0000-0000-000065020000}"/>
    <cellStyle name="60% - 강조색1 2_2.소매판매액지수, 대형소매점 판매액지수 및 서비스업 생" xfId="615" xr:uid="{00000000-0005-0000-0000-000066020000}"/>
    <cellStyle name="60% - 강조색1 20" xfId="616" xr:uid="{00000000-0005-0000-0000-000067020000}"/>
    <cellStyle name="60% - 강조색1 21" xfId="617" xr:uid="{00000000-0005-0000-0000-000068020000}"/>
    <cellStyle name="60% - 강조색1 22" xfId="618" xr:uid="{00000000-0005-0000-0000-000069020000}"/>
    <cellStyle name="60% - 강조색1 23" xfId="619" xr:uid="{00000000-0005-0000-0000-00006A020000}"/>
    <cellStyle name="60% - 강조색1 24" xfId="620" xr:uid="{00000000-0005-0000-0000-00006B020000}"/>
    <cellStyle name="60% - 강조색1 25" xfId="621" xr:uid="{00000000-0005-0000-0000-00006C020000}"/>
    <cellStyle name="60% - 강조색1 26" xfId="622" xr:uid="{00000000-0005-0000-0000-00006D020000}"/>
    <cellStyle name="60% - 강조색1 27" xfId="623" xr:uid="{00000000-0005-0000-0000-00006E020000}"/>
    <cellStyle name="60% - 강조색1 28" xfId="624" xr:uid="{00000000-0005-0000-0000-00006F020000}"/>
    <cellStyle name="60% - 강조색1 29" xfId="625" xr:uid="{00000000-0005-0000-0000-000070020000}"/>
    <cellStyle name="60% - 강조색1 3" xfId="626" xr:uid="{00000000-0005-0000-0000-000071020000}"/>
    <cellStyle name="60% - 강조색1 3 2" xfId="627" xr:uid="{00000000-0005-0000-0000-000072020000}"/>
    <cellStyle name="60% - 강조색1 3_2.소매판매액지수, 대형소매점 판매액지수 및 서비스업 생" xfId="628" xr:uid="{00000000-0005-0000-0000-000073020000}"/>
    <cellStyle name="60% - 강조색1 30" xfId="629" xr:uid="{00000000-0005-0000-0000-000074020000}"/>
    <cellStyle name="60% - 강조색1 31" xfId="630" xr:uid="{00000000-0005-0000-0000-000075020000}"/>
    <cellStyle name="60% - 강조색1 32" xfId="631" xr:uid="{00000000-0005-0000-0000-000076020000}"/>
    <cellStyle name="60% - 강조색1 33" xfId="632" xr:uid="{00000000-0005-0000-0000-000077020000}"/>
    <cellStyle name="60% - 강조색1 34" xfId="633" xr:uid="{00000000-0005-0000-0000-000078020000}"/>
    <cellStyle name="60% - 강조색1 35" xfId="634" xr:uid="{00000000-0005-0000-0000-000079020000}"/>
    <cellStyle name="60% - 강조색1 36" xfId="635" xr:uid="{00000000-0005-0000-0000-00007A020000}"/>
    <cellStyle name="60% - 강조색1 37" xfId="636" xr:uid="{00000000-0005-0000-0000-00007B020000}"/>
    <cellStyle name="60% - 강조색1 38" xfId="637" xr:uid="{00000000-0005-0000-0000-00007C020000}"/>
    <cellStyle name="60% - 강조색1 39" xfId="638" xr:uid="{00000000-0005-0000-0000-00007D020000}"/>
    <cellStyle name="60% - 강조색1 4" xfId="639" xr:uid="{00000000-0005-0000-0000-00007E020000}"/>
    <cellStyle name="60% - 강조색1 40" xfId="640" xr:uid="{00000000-0005-0000-0000-00007F020000}"/>
    <cellStyle name="60% - 강조색1 41" xfId="641" xr:uid="{00000000-0005-0000-0000-000080020000}"/>
    <cellStyle name="60% - 강조색1 42" xfId="642" xr:uid="{00000000-0005-0000-0000-000081020000}"/>
    <cellStyle name="60% - 강조색1 43" xfId="643" xr:uid="{00000000-0005-0000-0000-000082020000}"/>
    <cellStyle name="60% - 강조색1 44" xfId="644" xr:uid="{00000000-0005-0000-0000-000083020000}"/>
    <cellStyle name="60% - 강조색1 45" xfId="645" xr:uid="{00000000-0005-0000-0000-000084020000}"/>
    <cellStyle name="60% - 강조색1 46" xfId="646" xr:uid="{00000000-0005-0000-0000-000085020000}"/>
    <cellStyle name="60% - 강조색1 5" xfId="647" xr:uid="{00000000-0005-0000-0000-000086020000}"/>
    <cellStyle name="60% - 강조색1 6" xfId="648" xr:uid="{00000000-0005-0000-0000-000087020000}"/>
    <cellStyle name="60% - 강조색1 7" xfId="649" xr:uid="{00000000-0005-0000-0000-000088020000}"/>
    <cellStyle name="60% - 강조색1 8" xfId="650" xr:uid="{00000000-0005-0000-0000-000089020000}"/>
    <cellStyle name="60% - 강조색1 9" xfId="651" xr:uid="{00000000-0005-0000-0000-00008A020000}"/>
    <cellStyle name="60% - 강조색2" xfId="652" builtinId="36" customBuiltin="1"/>
    <cellStyle name="60% - 강조색2 10" xfId="653" xr:uid="{00000000-0005-0000-0000-00008C020000}"/>
    <cellStyle name="60% - 강조색2 11" xfId="654" xr:uid="{00000000-0005-0000-0000-00008D020000}"/>
    <cellStyle name="60% - 강조색2 12" xfId="655" xr:uid="{00000000-0005-0000-0000-00008E020000}"/>
    <cellStyle name="60% - 강조색2 13" xfId="656" xr:uid="{00000000-0005-0000-0000-00008F020000}"/>
    <cellStyle name="60% - 강조색2 14" xfId="657" xr:uid="{00000000-0005-0000-0000-000090020000}"/>
    <cellStyle name="60% - 강조색2 15" xfId="658" xr:uid="{00000000-0005-0000-0000-000091020000}"/>
    <cellStyle name="60% - 강조색2 16" xfId="659" xr:uid="{00000000-0005-0000-0000-000092020000}"/>
    <cellStyle name="60% - 강조색2 17" xfId="660" xr:uid="{00000000-0005-0000-0000-000093020000}"/>
    <cellStyle name="60% - 강조색2 18" xfId="661" xr:uid="{00000000-0005-0000-0000-000094020000}"/>
    <cellStyle name="60% - 강조색2 19" xfId="662" xr:uid="{00000000-0005-0000-0000-000095020000}"/>
    <cellStyle name="60% - 강조색2 2" xfId="663" xr:uid="{00000000-0005-0000-0000-000096020000}"/>
    <cellStyle name="60% - 강조색2 2 2" xfId="664" xr:uid="{00000000-0005-0000-0000-000097020000}"/>
    <cellStyle name="60% - 강조색2 2_2.소매판매액지수, 대형소매점 판매액지수 및 서비스업 생" xfId="665" xr:uid="{00000000-0005-0000-0000-000098020000}"/>
    <cellStyle name="60% - 강조색2 20" xfId="666" xr:uid="{00000000-0005-0000-0000-000099020000}"/>
    <cellStyle name="60% - 강조색2 21" xfId="667" xr:uid="{00000000-0005-0000-0000-00009A020000}"/>
    <cellStyle name="60% - 강조색2 22" xfId="668" xr:uid="{00000000-0005-0000-0000-00009B020000}"/>
    <cellStyle name="60% - 강조색2 23" xfId="669" xr:uid="{00000000-0005-0000-0000-00009C020000}"/>
    <cellStyle name="60% - 강조색2 24" xfId="670" xr:uid="{00000000-0005-0000-0000-00009D020000}"/>
    <cellStyle name="60% - 강조색2 25" xfId="671" xr:uid="{00000000-0005-0000-0000-00009E020000}"/>
    <cellStyle name="60% - 강조색2 26" xfId="672" xr:uid="{00000000-0005-0000-0000-00009F020000}"/>
    <cellStyle name="60% - 강조색2 27" xfId="673" xr:uid="{00000000-0005-0000-0000-0000A0020000}"/>
    <cellStyle name="60% - 강조색2 28" xfId="674" xr:uid="{00000000-0005-0000-0000-0000A1020000}"/>
    <cellStyle name="60% - 강조색2 29" xfId="675" xr:uid="{00000000-0005-0000-0000-0000A2020000}"/>
    <cellStyle name="60% - 강조색2 3" xfId="676" xr:uid="{00000000-0005-0000-0000-0000A3020000}"/>
    <cellStyle name="60% - 강조색2 3 2" xfId="677" xr:uid="{00000000-0005-0000-0000-0000A4020000}"/>
    <cellStyle name="60% - 강조색2 3_2.소매판매액지수, 대형소매점 판매액지수 및 서비스업 생" xfId="678" xr:uid="{00000000-0005-0000-0000-0000A5020000}"/>
    <cellStyle name="60% - 강조색2 30" xfId="679" xr:uid="{00000000-0005-0000-0000-0000A6020000}"/>
    <cellStyle name="60% - 강조색2 31" xfId="680" xr:uid="{00000000-0005-0000-0000-0000A7020000}"/>
    <cellStyle name="60% - 강조색2 32" xfId="681" xr:uid="{00000000-0005-0000-0000-0000A8020000}"/>
    <cellStyle name="60% - 강조색2 33" xfId="682" xr:uid="{00000000-0005-0000-0000-0000A9020000}"/>
    <cellStyle name="60% - 강조색2 34" xfId="683" xr:uid="{00000000-0005-0000-0000-0000AA020000}"/>
    <cellStyle name="60% - 강조색2 35" xfId="684" xr:uid="{00000000-0005-0000-0000-0000AB020000}"/>
    <cellStyle name="60% - 강조색2 36" xfId="685" xr:uid="{00000000-0005-0000-0000-0000AC020000}"/>
    <cellStyle name="60% - 강조색2 37" xfId="686" xr:uid="{00000000-0005-0000-0000-0000AD020000}"/>
    <cellStyle name="60% - 강조색2 38" xfId="687" xr:uid="{00000000-0005-0000-0000-0000AE020000}"/>
    <cellStyle name="60% - 강조색2 39" xfId="688" xr:uid="{00000000-0005-0000-0000-0000AF020000}"/>
    <cellStyle name="60% - 강조색2 4" xfId="689" xr:uid="{00000000-0005-0000-0000-0000B0020000}"/>
    <cellStyle name="60% - 강조색2 40" xfId="690" xr:uid="{00000000-0005-0000-0000-0000B1020000}"/>
    <cellStyle name="60% - 강조색2 41" xfId="691" xr:uid="{00000000-0005-0000-0000-0000B2020000}"/>
    <cellStyle name="60% - 강조색2 42" xfId="692" xr:uid="{00000000-0005-0000-0000-0000B3020000}"/>
    <cellStyle name="60% - 강조색2 43" xfId="693" xr:uid="{00000000-0005-0000-0000-0000B4020000}"/>
    <cellStyle name="60% - 강조색2 44" xfId="694" xr:uid="{00000000-0005-0000-0000-0000B5020000}"/>
    <cellStyle name="60% - 강조색2 45" xfId="695" xr:uid="{00000000-0005-0000-0000-0000B6020000}"/>
    <cellStyle name="60% - 강조색2 46" xfId="696" xr:uid="{00000000-0005-0000-0000-0000B7020000}"/>
    <cellStyle name="60% - 강조색2 5" xfId="697" xr:uid="{00000000-0005-0000-0000-0000B8020000}"/>
    <cellStyle name="60% - 강조색2 6" xfId="698" xr:uid="{00000000-0005-0000-0000-0000B9020000}"/>
    <cellStyle name="60% - 강조색2 7" xfId="699" xr:uid="{00000000-0005-0000-0000-0000BA020000}"/>
    <cellStyle name="60% - 강조색2 8" xfId="700" xr:uid="{00000000-0005-0000-0000-0000BB020000}"/>
    <cellStyle name="60% - 강조색2 9" xfId="701" xr:uid="{00000000-0005-0000-0000-0000BC020000}"/>
    <cellStyle name="60% - 강조색3" xfId="702" builtinId="40" customBuiltin="1"/>
    <cellStyle name="60% - 강조색3 10" xfId="703" xr:uid="{00000000-0005-0000-0000-0000BE020000}"/>
    <cellStyle name="60% - 강조색3 11" xfId="704" xr:uid="{00000000-0005-0000-0000-0000BF020000}"/>
    <cellStyle name="60% - 강조색3 12" xfId="705" xr:uid="{00000000-0005-0000-0000-0000C0020000}"/>
    <cellStyle name="60% - 강조색3 13" xfId="706" xr:uid="{00000000-0005-0000-0000-0000C1020000}"/>
    <cellStyle name="60% - 강조색3 14" xfId="707" xr:uid="{00000000-0005-0000-0000-0000C2020000}"/>
    <cellStyle name="60% - 강조색3 15" xfId="708" xr:uid="{00000000-0005-0000-0000-0000C3020000}"/>
    <cellStyle name="60% - 강조색3 16" xfId="709" xr:uid="{00000000-0005-0000-0000-0000C4020000}"/>
    <cellStyle name="60% - 강조색3 17" xfId="710" xr:uid="{00000000-0005-0000-0000-0000C5020000}"/>
    <cellStyle name="60% - 강조색3 18" xfId="711" xr:uid="{00000000-0005-0000-0000-0000C6020000}"/>
    <cellStyle name="60% - 강조색3 19" xfId="712" xr:uid="{00000000-0005-0000-0000-0000C7020000}"/>
    <cellStyle name="60% - 강조색3 2" xfId="713" xr:uid="{00000000-0005-0000-0000-0000C8020000}"/>
    <cellStyle name="60% - 강조색3 2 2" xfId="714" xr:uid="{00000000-0005-0000-0000-0000C9020000}"/>
    <cellStyle name="60% - 강조색3 2_2.소매판매액지수, 대형소매점 판매액지수 및 서비스업 생" xfId="715" xr:uid="{00000000-0005-0000-0000-0000CA020000}"/>
    <cellStyle name="60% - 강조색3 20" xfId="716" xr:uid="{00000000-0005-0000-0000-0000CB020000}"/>
    <cellStyle name="60% - 강조색3 21" xfId="717" xr:uid="{00000000-0005-0000-0000-0000CC020000}"/>
    <cellStyle name="60% - 강조색3 22" xfId="718" xr:uid="{00000000-0005-0000-0000-0000CD020000}"/>
    <cellStyle name="60% - 강조색3 23" xfId="719" xr:uid="{00000000-0005-0000-0000-0000CE020000}"/>
    <cellStyle name="60% - 강조색3 24" xfId="720" xr:uid="{00000000-0005-0000-0000-0000CF020000}"/>
    <cellStyle name="60% - 강조색3 25" xfId="721" xr:uid="{00000000-0005-0000-0000-0000D0020000}"/>
    <cellStyle name="60% - 강조색3 26" xfId="722" xr:uid="{00000000-0005-0000-0000-0000D1020000}"/>
    <cellStyle name="60% - 강조색3 27" xfId="723" xr:uid="{00000000-0005-0000-0000-0000D2020000}"/>
    <cellStyle name="60% - 강조색3 28" xfId="724" xr:uid="{00000000-0005-0000-0000-0000D3020000}"/>
    <cellStyle name="60% - 강조색3 29" xfId="725" xr:uid="{00000000-0005-0000-0000-0000D4020000}"/>
    <cellStyle name="60% - 강조색3 3" xfId="726" xr:uid="{00000000-0005-0000-0000-0000D5020000}"/>
    <cellStyle name="60% - 강조색3 3 2" xfId="727" xr:uid="{00000000-0005-0000-0000-0000D6020000}"/>
    <cellStyle name="60% - 강조색3 3_2.소매판매액지수, 대형소매점 판매액지수 및 서비스업 생" xfId="728" xr:uid="{00000000-0005-0000-0000-0000D7020000}"/>
    <cellStyle name="60% - 강조색3 30" xfId="729" xr:uid="{00000000-0005-0000-0000-0000D8020000}"/>
    <cellStyle name="60% - 강조색3 31" xfId="730" xr:uid="{00000000-0005-0000-0000-0000D9020000}"/>
    <cellStyle name="60% - 강조색3 32" xfId="731" xr:uid="{00000000-0005-0000-0000-0000DA020000}"/>
    <cellStyle name="60% - 강조색3 33" xfId="732" xr:uid="{00000000-0005-0000-0000-0000DB020000}"/>
    <cellStyle name="60% - 강조색3 34" xfId="733" xr:uid="{00000000-0005-0000-0000-0000DC020000}"/>
    <cellStyle name="60% - 강조색3 35" xfId="734" xr:uid="{00000000-0005-0000-0000-0000DD020000}"/>
    <cellStyle name="60% - 강조색3 36" xfId="735" xr:uid="{00000000-0005-0000-0000-0000DE020000}"/>
    <cellStyle name="60% - 강조색3 37" xfId="736" xr:uid="{00000000-0005-0000-0000-0000DF020000}"/>
    <cellStyle name="60% - 강조색3 38" xfId="737" xr:uid="{00000000-0005-0000-0000-0000E0020000}"/>
    <cellStyle name="60% - 강조색3 39" xfId="738" xr:uid="{00000000-0005-0000-0000-0000E1020000}"/>
    <cellStyle name="60% - 강조색3 4" xfId="739" xr:uid="{00000000-0005-0000-0000-0000E2020000}"/>
    <cellStyle name="60% - 강조색3 40" xfId="740" xr:uid="{00000000-0005-0000-0000-0000E3020000}"/>
    <cellStyle name="60% - 강조색3 41" xfId="741" xr:uid="{00000000-0005-0000-0000-0000E4020000}"/>
    <cellStyle name="60% - 강조색3 42" xfId="742" xr:uid="{00000000-0005-0000-0000-0000E5020000}"/>
    <cellStyle name="60% - 강조색3 43" xfId="743" xr:uid="{00000000-0005-0000-0000-0000E6020000}"/>
    <cellStyle name="60% - 강조색3 44" xfId="744" xr:uid="{00000000-0005-0000-0000-0000E7020000}"/>
    <cellStyle name="60% - 강조색3 45" xfId="745" xr:uid="{00000000-0005-0000-0000-0000E8020000}"/>
    <cellStyle name="60% - 강조색3 46" xfId="746" xr:uid="{00000000-0005-0000-0000-0000E9020000}"/>
    <cellStyle name="60% - 강조색3 5" xfId="747" xr:uid="{00000000-0005-0000-0000-0000EA020000}"/>
    <cellStyle name="60% - 강조색3 6" xfId="748" xr:uid="{00000000-0005-0000-0000-0000EB020000}"/>
    <cellStyle name="60% - 강조색3 7" xfId="749" xr:uid="{00000000-0005-0000-0000-0000EC020000}"/>
    <cellStyle name="60% - 강조색3 8" xfId="750" xr:uid="{00000000-0005-0000-0000-0000ED020000}"/>
    <cellStyle name="60% - 강조색3 9" xfId="751" xr:uid="{00000000-0005-0000-0000-0000EE020000}"/>
    <cellStyle name="60% - 강조색4" xfId="752" builtinId="44" customBuiltin="1"/>
    <cellStyle name="60% - 강조색4 10" xfId="753" xr:uid="{00000000-0005-0000-0000-0000F0020000}"/>
    <cellStyle name="60% - 강조색4 11" xfId="754" xr:uid="{00000000-0005-0000-0000-0000F1020000}"/>
    <cellStyle name="60% - 강조색4 12" xfId="755" xr:uid="{00000000-0005-0000-0000-0000F2020000}"/>
    <cellStyle name="60% - 강조색4 13" xfId="756" xr:uid="{00000000-0005-0000-0000-0000F3020000}"/>
    <cellStyle name="60% - 강조색4 14" xfId="757" xr:uid="{00000000-0005-0000-0000-0000F4020000}"/>
    <cellStyle name="60% - 강조색4 15" xfId="758" xr:uid="{00000000-0005-0000-0000-0000F5020000}"/>
    <cellStyle name="60% - 강조색4 16" xfId="759" xr:uid="{00000000-0005-0000-0000-0000F6020000}"/>
    <cellStyle name="60% - 강조색4 17" xfId="760" xr:uid="{00000000-0005-0000-0000-0000F7020000}"/>
    <cellStyle name="60% - 강조색4 18" xfId="761" xr:uid="{00000000-0005-0000-0000-0000F8020000}"/>
    <cellStyle name="60% - 강조색4 19" xfId="762" xr:uid="{00000000-0005-0000-0000-0000F9020000}"/>
    <cellStyle name="60% - 강조색4 2" xfId="763" xr:uid="{00000000-0005-0000-0000-0000FA020000}"/>
    <cellStyle name="60% - 강조색4 2 2" xfId="764" xr:uid="{00000000-0005-0000-0000-0000FB020000}"/>
    <cellStyle name="60% - 강조색4 2_2.소매판매액지수, 대형소매점 판매액지수 및 서비스업 생" xfId="765" xr:uid="{00000000-0005-0000-0000-0000FC020000}"/>
    <cellStyle name="60% - 강조색4 20" xfId="766" xr:uid="{00000000-0005-0000-0000-0000FD020000}"/>
    <cellStyle name="60% - 강조색4 21" xfId="767" xr:uid="{00000000-0005-0000-0000-0000FE020000}"/>
    <cellStyle name="60% - 강조색4 22" xfId="768" xr:uid="{00000000-0005-0000-0000-0000FF020000}"/>
    <cellStyle name="60% - 강조색4 23" xfId="769" xr:uid="{00000000-0005-0000-0000-000000030000}"/>
    <cellStyle name="60% - 강조색4 24" xfId="770" xr:uid="{00000000-0005-0000-0000-000001030000}"/>
    <cellStyle name="60% - 강조색4 25" xfId="771" xr:uid="{00000000-0005-0000-0000-000002030000}"/>
    <cellStyle name="60% - 강조색4 26" xfId="772" xr:uid="{00000000-0005-0000-0000-000003030000}"/>
    <cellStyle name="60% - 강조색4 27" xfId="773" xr:uid="{00000000-0005-0000-0000-000004030000}"/>
    <cellStyle name="60% - 강조색4 28" xfId="774" xr:uid="{00000000-0005-0000-0000-000005030000}"/>
    <cellStyle name="60% - 강조색4 29" xfId="775" xr:uid="{00000000-0005-0000-0000-000006030000}"/>
    <cellStyle name="60% - 강조색4 3" xfId="776" xr:uid="{00000000-0005-0000-0000-000007030000}"/>
    <cellStyle name="60% - 강조색4 3 2" xfId="777" xr:uid="{00000000-0005-0000-0000-000008030000}"/>
    <cellStyle name="60% - 강조색4 3_2.소매판매액지수, 대형소매점 판매액지수 및 서비스업 생" xfId="778" xr:uid="{00000000-0005-0000-0000-000009030000}"/>
    <cellStyle name="60% - 강조색4 30" xfId="779" xr:uid="{00000000-0005-0000-0000-00000A030000}"/>
    <cellStyle name="60% - 강조색4 31" xfId="780" xr:uid="{00000000-0005-0000-0000-00000B030000}"/>
    <cellStyle name="60% - 강조색4 32" xfId="781" xr:uid="{00000000-0005-0000-0000-00000C030000}"/>
    <cellStyle name="60% - 강조색4 33" xfId="782" xr:uid="{00000000-0005-0000-0000-00000D030000}"/>
    <cellStyle name="60% - 강조색4 34" xfId="783" xr:uid="{00000000-0005-0000-0000-00000E030000}"/>
    <cellStyle name="60% - 강조색4 35" xfId="784" xr:uid="{00000000-0005-0000-0000-00000F030000}"/>
    <cellStyle name="60% - 강조색4 36" xfId="785" xr:uid="{00000000-0005-0000-0000-000010030000}"/>
    <cellStyle name="60% - 강조색4 37" xfId="786" xr:uid="{00000000-0005-0000-0000-000011030000}"/>
    <cellStyle name="60% - 강조색4 38" xfId="787" xr:uid="{00000000-0005-0000-0000-000012030000}"/>
    <cellStyle name="60% - 강조색4 39" xfId="788" xr:uid="{00000000-0005-0000-0000-000013030000}"/>
    <cellStyle name="60% - 강조색4 4" xfId="789" xr:uid="{00000000-0005-0000-0000-000014030000}"/>
    <cellStyle name="60% - 강조색4 40" xfId="790" xr:uid="{00000000-0005-0000-0000-000015030000}"/>
    <cellStyle name="60% - 강조색4 41" xfId="791" xr:uid="{00000000-0005-0000-0000-000016030000}"/>
    <cellStyle name="60% - 강조색4 42" xfId="792" xr:uid="{00000000-0005-0000-0000-000017030000}"/>
    <cellStyle name="60% - 강조색4 43" xfId="793" xr:uid="{00000000-0005-0000-0000-000018030000}"/>
    <cellStyle name="60% - 강조색4 44" xfId="794" xr:uid="{00000000-0005-0000-0000-000019030000}"/>
    <cellStyle name="60% - 강조색4 45" xfId="795" xr:uid="{00000000-0005-0000-0000-00001A030000}"/>
    <cellStyle name="60% - 강조색4 46" xfId="796" xr:uid="{00000000-0005-0000-0000-00001B030000}"/>
    <cellStyle name="60% - 강조색4 5" xfId="797" xr:uid="{00000000-0005-0000-0000-00001C030000}"/>
    <cellStyle name="60% - 강조색4 6" xfId="798" xr:uid="{00000000-0005-0000-0000-00001D030000}"/>
    <cellStyle name="60% - 강조색4 7" xfId="799" xr:uid="{00000000-0005-0000-0000-00001E030000}"/>
    <cellStyle name="60% - 강조색4 8" xfId="800" xr:uid="{00000000-0005-0000-0000-00001F030000}"/>
    <cellStyle name="60% - 강조색4 9" xfId="801" xr:uid="{00000000-0005-0000-0000-000020030000}"/>
    <cellStyle name="60% - 강조색5" xfId="802" builtinId="48" customBuiltin="1"/>
    <cellStyle name="60% - 강조색5 10" xfId="803" xr:uid="{00000000-0005-0000-0000-000022030000}"/>
    <cellStyle name="60% - 강조색5 11" xfId="804" xr:uid="{00000000-0005-0000-0000-000023030000}"/>
    <cellStyle name="60% - 강조색5 12" xfId="805" xr:uid="{00000000-0005-0000-0000-000024030000}"/>
    <cellStyle name="60% - 강조색5 13" xfId="806" xr:uid="{00000000-0005-0000-0000-000025030000}"/>
    <cellStyle name="60% - 강조색5 14" xfId="807" xr:uid="{00000000-0005-0000-0000-000026030000}"/>
    <cellStyle name="60% - 강조색5 15" xfId="808" xr:uid="{00000000-0005-0000-0000-000027030000}"/>
    <cellStyle name="60% - 강조색5 16" xfId="809" xr:uid="{00000000-0005-0000-0000-000028030000}"/>
    <cellStyle name="60% - 강조색5 17" xfId="810" xr:uid="{00000000-0005-0000-0000-000029030000}"/>
    <cellStyle name="60% - 강조색5 18" xfId="811" xr:uid="{00000000-0005-0000-0000-00002A030000}"/>
    <cellStyle name="60% - 강조색5 19" xfId="812" xr:uid="{00000000-0005-0000-0000-00002B030000}"/>
    <cellStyle name="60% - 강조색5 2" xfId="813" xr:uid="{00000000-0005-0000-0000-00002C030000}"/>
    <cellStyle name="60% - 강조색5 2 2" xfId="814" xr:uid="{00000000-0005-0000-0000-00002D030000}"/>
    <cellStyle name="60% - 강조색5 2_2.소매판매액지수, 대형소매점 판매액지수 및 서비스업 생" xfId="815" xr:uid="{00000000-0005-0000-0000-00002E030000}"/>
    <cellStyle name="60% - 강조색5 20" xfId="816" xr:uid="{00000000-0005-0000-0000-00002F030000}"/>
    <cellStyle name="60% - 강조색5 21" xfId="817" xr:uid="{00000000-0005-0000-0000-000030030000}"/>
    <cellStyle name="60% - 강조색5 22" xfId="818" xr:uid="{00000000-0005-0000-0000-000031030000}"/>
    <cellStyle name="60% - 강조색5 23" xfId="819" xr:uid="{00000000-0005-0000-0000-000032030000}"/>
    <cellStyle name="60% - 강조색5 24" xfId="820" xr:uid="{00000000-0005-0000-0000-000033030000}"/>
    <cellStyle name="60% - 강조색5 25" xfId="821" xr:uid="{00000000-0005-0000-0000-000034030000}"/>
    <cellStyle name="60% - 강조색5 26" xfId="822" xr:uid="{00000000-0005-0000-0000-000035030000}"/>
    <cellStyle name="60% - 강조색5 27" xfId="823" xr:uid="{00000000-0005-0000-0000-000036030000}"/>
    <cellStyle name="60% - 강조색5 28" xfId="824" xr:uid="{00000000-0005-0000-0000-000037030000}"/>
    <cellStyle name="60% - 강조색5 29" xfId="825" xr:uid="{00000000-0005-0000-0000-000038030000}"/>
    <cellStyle name="60% - 강조색5 3" xfId="826" xr:uid="{00000000-0005-0000-0000-000039030000}"/>
    <cellStyle name="60% - 강조색5 3 2" xfId="827" xr:uid="{00000000-0005-0000-0000-00003A030000}"/>
    <cellStyle name="60% - 강조색5 3_2.소매판매액지수, 대형소매점 판매액지수 및 서비스업 생" xfId="828" xr:uid="{00000000-0005-0000-0000-00003B030000}"/>
    <cellStyle name="60% - 강조색5 30" xfId="829" xr:uid="{00000000-0005-0000-0000-00003C030000}"/>
    <cellStyle name="60% - 강조색5 31" xfId="830" xr:uid="{00000000-0005-0000-0000-00003D030000}"/>
    <cellStyle name="60% - 강조색5 32" xfId="831" xr:uid="{00000000-0005-0000-0000-00003E030000}"/>
    <cellStyle name="60% - 강조색5 33" xfId="832" xr:uid="{00000000-0005-0000-0000-00003F030000}"/>
    <cellStyle name="60% - 강조색5 34" xfId="833" xr:uid="{00000000-0005-0000-0000-000040030000}"/>
    <cellStyle name="60% - 강조색5 35" xfId="834" xr:uid="{00000000-0005-0000-0000-000041030000}"/>
    <cellStyle name="60% - 강조색5 36" xfId="835" xr:uid="{00000000-0005-0000-0000-000042030000}"/>
    <cellStyle name="60% - 강조색5 37" xfId="836" xr:uid="{00000000-0005-0000-0000-000043030000}"/>
    <cellStyle name="60% - 강조색5 38" xfId="837" xr:uid="{00000000-0005-0000-0000-000044030000}"/>
    <cellStyle name="60% - 강조색5 39" xfId="838" xr:uid="{00000000-0005-0000-0000-000045030000}"/>
    <cellStyle name="60% - 강조색5 4" xfId="839" xr:uid="{00000000-0005-0000-0000-000046030000}"/>
    <cellStyle name="60% - 강조색5 40" xfId="840" xr:uid="{00000000-0005-0000-0000-000047030000}"/>
    <cellStyle name="60% - 강조색5 41" xfId="841" xr:uid="{00000000-0005-0000-0000-000048030000}"/>
    <cellStyle name="60% - 강조색5 42" xfId="842" xr:uid="{00000000-0005-0000-0000-000049030000}"/>
    <cellStyle name="60% - 강조색5 43" xfId="843" xr:uid="{00000000-0005-0000-0000-00004A030000}"/>
    <cellStyle name="60% - 강조색5 44" xfId="844" xr:uid="{00000000-0005-0000-0000-00004B030000}"/>
    <cellStyle name="60% - 강조색5 45" xfId="845" xr:uid="{00000000-0005-0000-0000-00004C030000}"/>
    <cellStyle name="60% - 강조색5 46" xfId="846" xr:uid="{00000000-0005-0000-0000-00004D030000}"/>
    <cellStyle name="60% - 강조색5 5" xfId="847" xr:uid="{00000000-0005-0000-0000-00004E030000}"/>
    <cellStyle name="60% - 강조색5 6" xfId="848" xr:uid="{00000000-0005-0000-0000-00004F030000}"/>
    <cellStyle name="60% - 강조색5 7" xfId="849" xr:uid="{00000000-0005-0000-0000-000050030000}"/>
    <cellStyle name="60% - 강조색5 8" xfId="850" xr:uid="{00000000-0005-0000-0000-000051030000}"/>
    <cellStyle name="60% - 강조색5 9" xfId="851" xr:uid="{00000000-0005-0000-0000-000052030000}"/>
    <cellStyle name="60% - 강조색6" xfId="852" builtinId="52" customBuiltin="1"/>
    <cellStyle name="60% - 강조색6 10" xfId="853" xr:uid="{00000000-0005-0000-0000-000054030000}"/>
    <cellStyle name="60% - 강조색6 11" xfId="854" xr:uid="{00000000-0005-0000-0000-000055030000}"/>
    <cellStyle name="60% - 강조색6 12" xfId="855" xr:uid="{00000000-0005-0000-0000-000056030000}"/>
    <cellStyle name="60% - 강조색6 13" xfId="856" xr:uid="{00000000-0005-0000-0000-000057030000}"/>
    <cellStyle name="60% - 강조색6 14" xfId="857" xr:uid="{00000000-0005-0000-0000-000058030000}"/>
    <cellStyle name="60% - 강조색6 15" xfId="858" xr:uid="{00000000-0005-0000-0000-000059030000}"/>
    <cellStyle name="60% - 강조색6 16" xfId="859" xr:uid="{00000000-0005-0000-0000-00005A030000}"/>
    <cellStyle name="60% - 강조색6 17" xfId="860" xr:uid="{00000000-0005-0000-0000-00005B030000}"/>
    <cellStyle name="60% - 강조색6 18" xfId="861" xr:uid="{00000000-0005-0000-0000-00005C030000}"/>
    <cellStyle name="60% - 강조색6 19" xfId="862" xr:uid="{00000000-0005-0000-0000-00005D030000}"/>
    <cellStyle name="60% - 강조색6 2" xfId="863" xr:uid="{00000000-0005-0000-0000-00005E030000}"/>
    <cellStyle name="60% - 강조색6 2 2" xfId="864" xr:uid="{00000000-0005-0000-0000-00005F030000}"/>
    <cellStyle name="60% - 강조색6 2_2.소매판매액지수, 대형소매점 판매액지수 및 서비스업 생" xfId="865" xr:uid="{00000000-0005-0000-0000-000060030000}"/>
    <cellStyle name="60% - 강조색6 20" xfId="866" xr:uid="{00000000-0005-0000-0000-000061030000}"/>
    <cellStyle name="60% - 강조색6 21" xfId="867" xr:uid="{00000000-0005-0000-0000-000062030000}"/>
    <cellStyle name="60% - 강조색6 22" xfId="868" xr:uid="{00000000-0005-0000-0000-000063030000}"/>
    <cellStyle name="60% - 강조색6 23" xfId="869" xr:uid="{00000000-0005-0000-0000-000064030000}"/>
    <cellStyle name="60% - 강조색6 24" xfId="870" xr:uid="{00000000-0005-0000-0000-000065030000}"/>
    <cellStyle name="60% - 강조색6 25" xfId="871" xr:uid="{00000000-0005-0000-0000-000066030000}"/>
    <cellStyle name="60% - 강조색6 26" xfId="872" xr:uid="{00000000-0005-0000-0000-000067030000}"/>
    <cellStyle name="60% - 강조색6 27" xfId="873" xr:uid="{00000000-0005-0000-0000-000068030000}"/>
    <cellStyle name="60% - 강조색6 28" xfId="874" xr:uid="{00000000-0005-0000-0000-000069030000}"/>
    <cellStyle name="60% - 강조색6 29" xfId="875" xr:uid="{00000000-0005-0000-0000-00006A030000}"/>
    <cellStyle name="60% - 강조색6 3" xfId="876" xr:uid="{00000000-0005-0000-0000-00006B030000}"/>
    <cellStyle name="60% - 강조색6 3 2" xfId="877" xr:uid="{00000000-0005-0000-0000-00006C030000}"/>
    <cellStyle name="60% - 강조색6 3_2.소매판매액지수, 대형소매점 판매액지수 및 서비스업 생" xfId="878" xr:uid="{00000000-0005-0000-0000-00006D030000}"/>
    <cellStyle name="60% - 강조색6 30" xfId="879" xr:uid="{00000000-0005-0000-0000-00006E030000}"/>
    <cellStyle name="60% - 강조색6 31" xfId="880" xr:uid="{00000000-0005-0000-0000-00006F030000}"/>
    <cellStyle name="60% - 강조색6 32" xfId="881" xr:uid="{00000000-0005-0000-0000-000070030000}"/>
    <cellStyle name="60% - 강조색6 33" xfId="882" xr:uid="{00000000-0005-0000-0000-000071030000}"/>
    <cellStyle name="60% - 강조색6 34" xfId="883" xr:uid="{00000000-0005-0000-0000-000072030000}"/>
    <cellStyle name="60% - 강조색6 35" xfId="884" xr:uid="{00000000-0005-0000-0000-000073030000}"/>
    <cellStyle name="60% - 강조색6 36" xfId="885" xr:uid="{00000000-0005-0000-0000-000074030000}"/>
    <cellStyle name="60% - 강조색6 37" xfId="886" xr:uid="{00000000-0005-0000-0000-000075030000}"/>
    <cellStyle name="60% - 강조색6 38" xfId="887" xr:uid="{00000000-0005-0000-0000-000076030000}"/>
    <cellStyle name="60% - 강조색6 39" xfId="888" xr:uid="{00000000-0005-0000-0000-000077030000}"/>
    <cellStyle name="60% - 강조색6 4" xfId="889" xr:uid="{00000000-0005-0000-0000-000078030000}"/>
    <cellStyle name="60% - 강조색6 40" xfId="890" xr:uid="{00000000-0005-0000-0000-000079030000}"/>
    <cellStyle name="60% - 강조색6 41" xfId="891" xr:uid="{00000000-0005-0000-0000-00007A030000}"/>
    <cellStyle name="60% - 강조색6 42" xfId="892" xr:uid="{00000000-0005-0000-0000-00007B030000}"/>
    <cellStyle name="60% - 강조색6 43" xfId="893" xr:uid="{00000000-0005-0000-0000-00007C030000}"/>
    <cellStyle name="60% - 강조색6 44" xfId="894" xr:uid="{00000000-0005-0000-0000-00007D030000}"/>
    <cellStyle name="60% - 강조색6 45" xfId="895" xr:uid="{00000000-0005-0000-0000-00007E030000}"/>
    <cellStyle name="60% - 강조색6 46" xfId="896" xr:uid="{00000000-0005-0000-0000-00007F030000}"/>
    <cellStyle name="60% - 강조색6 5" xfId="897" xr:uid="{00000000-0005-0000-0000-000080030000}"/>
    <cellStyle name="60% - 강조색6 6" xfId="898" xr:uid="{00000000-0005-0000-0000-000081030000}"/>
    <cellStyle name="60% - 강조색6 7" xfId="899" xr:uid="{00000000-0005-0000-0000-000082030000}"/>
    <cellStyle name="60% - 강조색6 8" xfId="900" xr:uid="{00000000-0005-0000-0000-000083030000}"/>
    <cellStyle name="60% - 강조색6 9" xfId="901" xr:uid="{00000000-0005-0000-0000-000084030000}"/>
    <cellStyle name="AeE­ [0]_INQUIRY ¿μ¾÷AßAø " xfId="902" xr:uid="{00000000-0005-0000-0000-000085030000}"/>
    <cellStyle name="AeE­_INQUIRY ¿μ¾÷AßAø " xfId="903" xr:uid="{00000000-0005-0000-0000-000086030000}"/>
    <cellStyle name="AÞ¸¶ [0]_INQUIRY ¿μ¾÷AßAø " xfId="904" xr:uid="{00000000-0005-0000-0000-000087030000}"/>
    <cellStyle name="AÞ¸¶_INQUIRY ¿μ¾÷AßAø " xfId="905" xr:uid="{00000000-0005-0000-0000-000088030000}"/>
    <cellStyle name="C￥AØ_¿μ¾÷CoE² " xfId="906" xr:uid="{00000000-0005-0000-0000-000089030000}"/>
    <cellStyle name="Comma" xfId="907" xr:uid="{00000000-0005-0000-0000-00008A030000}"/>
    <cellStyle name="Comma [0]_ SG&amp;A Bridge " xfId="908" xr:uid="{00000000-0005-0000-0000-00008B030000}"/>
    <cellStyle name="Comma_ SG&amp;A Bridge " xfId="909" xr:uid="{00000000-0005-0000-0000-00008C030000}"/>
    <cellStyle name="Currency" xfId="910" xr:uid="{00000000-0005-0000-0000-00008D030000}"/>
    <cellStyle name="Currency [0]_ SG&amp;A Bridge " xfId="911" xr:uid="{00000000-0005-0000-0000-00008E030000}"/>
    <cellStyle name="Currency_ SG&amp;A Bridge " xfId="912" xr:uid="{00000000-0005-0000-0000-00008F030000}"/>
    <cellStyle name="Date" xfId="913" xr:uid="{00000000-0005-0000-0000-000090030000}"/>
    <cellStyle name="Fixed" xfId="914" xr:uid="{00000000-0005-0000-0000-000091030000}"/>
    <cellStyle name="Grey" xfId="915" xr:uid="{00000000-0005-0000-0000-000092030000}"/>
    <cellStyle name="Header1" xfId="916" xr:uid="{00000000-0005-0000-0000-000093030000}"/>
    <cellStyle name="Header2" xfId="917" xr:uid="{00000000-0005-0000-0000-000094030000}"/>
    <cellStyle name="Heading1" xfId="918" xr:uid="{00000000-0005-0000-0000-000095030000}"/>
    <cellStyle name="Heading2" xfId="919" xr:uid="{00000000-0005-0000-0000-000096030000}"/>
    <cellStyle name="Input [yellow]" xfId="920" xr:uid="{00000000-0005-0000-0000-000097030000}"/>
    <cellStyle name="Normal - Style1" xfId="921" xr:uid="{00000000-0005-0000-0000-000098030000}"/>
    <cellStyle name="Normal_ SG&amp;A Bridge " xfId="922" xr:uid="{00000000-0005-0000-0000-000099030000}"/>
    <cellStyle name="Percent" xfId="923" xr:uid="{00000000-0005-0000-0000-00009A030000}"/>
    <cellStyle name="Percent [2]" xfId="924" xr:uid="{00000000-0005-0000-0000-00009B030000}"/>
    <cellStyle name="Total" xfId="925" xr:uid="{00000000-0005-0000-0000-00009C030000}"/>
    <cellStyle name="강조색1" xfId="926" builtinId="29" customBuiltin="1"/>
    <cellStyle name="강조색1 10" xfId="927" xr:uid="{00000000-0005-0000-0000-00009E030000}"/>
    <cellStyle name="강조색1 11" xfId="928" xr:uid="{00000000-0005-0000-0000-00009F030000}"/>
    <cellStyle name="강조색1 12" xfId="929" xr:uid="{00000000-0005-0000-0000-0000A0030000}"/>
    <cellStyle name="강조색1 13" xfId="930" xr:uid="{00000000-0005-0000-0000-0000A1030000}"/>
    <cellStyle name="강조색1 14" xfId="931" xr:uid="{00000000-0005-0000-0000-0000A2030000}"/>
    <cellStyle name="강조색1 15" xfId="932" xr:uid="{00000000-0005-0000-0000-0000A3030000}"/>
    <cellStyle name="강조색1 16" xfId="933" xr:uid="{00000000-0005-0000-0000-0000A4030000}"/>
    <cellStyle name="강조색1 17" xfId="934" xr:uid="{00000000-0005-0000-0000-0000A5030000}"/>
    <cellStyle name="강조색1 18" xfId="935" xr:uid="{00000000-0005-0000-0000-0000A6030000}"/>
    <cellStyle name="강조색1 19" xfId="936" xr:uid="{00000000-0005-0000-0000-0000A7030000}"/>
    <cellStyle name="강조색1 2" xfId="937" xr:uid="{00000000-0005-0000-0000-0000A8030000}"/>
    <cellStyle name="강조색1 2 2" xfId="938" xr:uid="{00000000-0005-0000-0000-0000A9030000}"/>
    <cellStyle name="강조색1 2_2.소매판매액지수, 대형소매점 판매액지수 및 서비스업 생" xfId="939" xr:uid="{00000000-0005-0000-0000-0000AA030000}"/>
    <cellStyle name="강조색1 20" xfId="940" xr:uid="{00000000-0005-0000-0000-0000AB030000}"/>
    <cellStyle name="강조색1 21" xfId="941" xr:uid="{00000000-0005-0000-0000-0000AC030000}"/>
    <cellStyle name="강조색1 22" xfId="942" xr:uid="{00000000-0005-0000-0000-0000AD030000}"/>
    <cellStyle name="강조색1 23" xfId="943" xr:uid="{00000000-0005-0000-0000-0000AE030000}"/>
    <cellStyle name="강조색1 24" xfId="944" xr:uid="{00000000-0005-0000-0000-0000AF030000}"/>
    <cellStyle name="강조색1 25" xfId="945" xr:uid="{00000000-0005-0000-0000-0000B0030000}"/>
    <cellStyle name="강조색1 26" xfId="946" xr:uid="{00000000-0005-0000-0000-0000B1030000}"/>
    <cellStyle name="강조색1 27" xfId="947" xr:uid="{00000000-0005-0000-0000-0000B2030000}"/>
    <cellStyle name="강조색1 28" xfId="948" xr:uid="{00000000-0005-0000-0000-0000B3030000}"/>
    <cellStyle name="강조색1 29" xfId="949" xr:uid="{00000000-0005-0000-0000-0000B4030000}"/>
    <cellStyle name="강조색1 3" xfId="950" xr:uid="{00000000-0005-0000-0000-0000B5030000}"/>
    <cellStyle name="강조색1 3 2" xfId="951" xr:uid="{00000000-0005-0000-0000-0000B6030000}"/>
    <cellStyle name="강조색1 3_2.소매판매액지수, 대형소매점 판매액지수 및 서비스업 생" xfId="952" xr:uid="{00000000-0005-0000-0000-0000B7030000}"/>
    <cellStyle name="강조색1 30" xfId="953" xr:uid="{00000000-0005-0000-0000-0000B8030000}"/>
    <cellStyle name="강조색1 31" xfId="954" xr:uid="{00000000-0005-0000-0000-0000B9030000}"/>
    <cellStyle name="강조색1 32" xfId="955" xr:uid="{00000000-0005-0000-0000-0000BA030000}"/>
    <cellStyle name="강조색1 33" xfId="956" xr:uid="{00000000-0005-0000-0000-0000BB030000}"/>
    <cellStyle name="강조색1 34" xfId="957" xr:uid="{00000000-0005-0000-0000-0000BC030000}"/>
    <cellStyle name="강조색1 35" xfId="958" xr:uid="{00000000-0005-0000-0000-0000BD030000}"/>
    <cellStyle name="강조색1 36" xfId="959" xr:uid="{00000000-0005-0000-0000-0000BE030000}"/>
    <cellStyle name="강조색1 37" xfId="960" xr:uid="{00000000-0005-0000-0000-0000BF030000}"/>
    <cellStyle name="강조색1 38" xfId="961" xr:uid="{00000000-0005-0000-0000-0000C0030000}"/>
    <cellStyle name="강조색1 39" xfId="962" xr:uid="{00000000-0005-0000-0000-0000C1030000}"/>
    <cellStyle name="강조색1 4" xfId="963" xr:uid="{00000000-0005-0000-0000-0000C2030000}"/>
    <cellStyle name="강조색1 40" xfId="964" xr:uid="{00000000-0005-0000-0000-0000C3030000}"/>
    <cellStyle name="강조색1 41" xfId="965" xr:uid="{00000000-0005-0000-0000-0000C4030000}"/>
    <cellStyle name="강조색1 42" xfId="966" xr:uid="{00000000-0005-0000-0000-0000C5030000}"/>
    <cellStyle name="강조색1 43" xfId="967" xr:uid="{00000000-0005-0000-0000-0000C6030000}"/>
    <cellStyle name="강조색1 44" xfId="968" xr:uid="{00000000-0005-0000-0000-0000C7030000}"/>
    <cellStyle name="강조색1 45" xfId="969" xr:uid="{00000000-0005-0000-0000-0000C8030000}"/>
    <cellStyle name="강조색1 46" xfId="970" xr:uid="{00000000-0005-0000-0000-0000C9030000}"/>
    <cellStyle name="강조색1 5" xfId="971" xr:uid="{00000000-0005-0000-0000-0000CA030000}"/>
    <cellStyle name="강조색1 6" xfId="972" xr:uid="{00000000-0005-0000-0000-0000CB030000}"/>
    <cellStyle name="강조색1 7" xfId="973" xr:uid="{00000000-0005-0000-0000-0000CC030000}"/>
    <cellStyle name="강조색1 8" xfId="974" xr:uid="{00000000-0005-0000-0000-0000CD030000}"/>
    <cellStyle name="강조색1 9" xfId="975" xr:uid="{00000000-0005-0000-0000-0000CE030000}"/>
    <cellStyle name="강조색2" xfId="976" builtinId="33" customBuiltin="1"/>
    <cellStyle name="강조색2 10" xfId="977" xr:uid="{00000000-0005-0000-0000-0000D0030000}"/>
    <cellStyle name="강조색2 11" xfId="978" xr:uid="{00000000-0005-0000-0000-0000D1030000}"/>
    <cellStyle name="강조색2 12" xfId="979" xr:uid="{00000000-0005-0000-0000-0000D2030000}"/>
    <cellStyle name="강조색2 13" xfId="980" xr:uid="{00000000-0005-0000-0000-0000D3030000}"/>
    <cellStyle name="강조색2 14" xfId="981" xr:uid="{00000000-0005-0000-0000-0000D4030000}"/>
    <cellStyle name="강조색2 15" xfId="982" xr:uid="{00000000-0005-0000-0000-0000D5030000}"/>
    <cellStyle name="강조색2 16" xfId="983" xr:uid="{00000000-0005-0000-0000-0000D6030000}"/>
    <cellStyle name="강조색2 17" xfId="984" xr:uid="{00000000-0005-0000-0000-0000D7030000}"/>
    <cellStyle name="강조색2 18" xfId="985" xr:uid="{00000000-0005-0000-0000-0000D8030000}"/>
    <cellStyle name="강조색2 19" xfId="986" xr:uid="{00000000-0005-0000-0000-0000D9030000}"/>
    <cellStyle name="강조색2 2" xfId="987" xr:uid="{00000000-0005-0000-0000-0000DA030000}"/>
    <cellStyle name="강조색2 2 2" xfId="988" xr:uid="{00000000-0005-0000-0000-0000DB030000}"/>
    <cellStyle name="강조색2 2_2.소매판매액지수, 대형소매점 판매액지수 및 서비스업 생" xfId="989" xr:uid="{00000000-0005-0000-0000-0000DC030000}"/>
    <cellStyle name="강조색2 20" xfId="990" xr:uid="{00000000-0005-0000-0000-0000DD030000}"/>
    <cellStyle name="강조색2 21" xfId="991" xr:uid="{00000000-0005-0000-0000-0000DE030000}"/>
    <cellStyle name="강조색2 22" xfId="992" xr:uid="{00000000-0005-0000-0000-0000DF030000}"/>
    <cellStyle name="강조색2 23" xfId="993" xr:uid="{00000000-0005-0000-0000-0000E0030000}"/>
    <cellStyle name="강조색2 24" xfId="994" xr:uid="{00000000-0005-0000-0000-0000E1030000}"/>
    <cellStyle name="강조색2 25" xfId="995" xr:uid="{00000000-0005-0000-0000-0000E2030000}"/>
    <cellStyle name="강조색2 26" xfId="996" xr:uid="{00000000-0005-0000-0000-0000E3030000}"/>
    <cellStyle name="강조색2 27" xfId="997" xr:uid="{00000000-0005-0000-0000-0000E4030000}"/>
    <cellStyle name="강조색2 28" xfId="998" xr:uid="{00000000-0005-0000-0000-0000E5030000}"/>
    <cellStyle name="강조색2 29" xfId="999" xr:uid="{00000000-0005-0000-0000-0000E6030000}"/>
    <cellStyle name="강조색2 3" xfId="1000" xr:uid="{00000000-0005-0000-0000-0000E7030000}"/>
    <cellStyle name="강조색2 3 2" xfId="1001" xr:uid="{00000000-0005-0000-0000-0000E8030000}"/>
    <cellStyle name="강조색2 3_2.소매판매액지수, 대형소매점 판매액지수 및 서비스업 생" xfId="1002" xr:uid="{00000000-0005-0000-0000-0000E9030000}"/>
    <cellStyle name="강조색2 30" xfId="1003" xr:uid="{00000000-0005-0000-0000-0000EA030000}"/>
    <cellStyle name="강조색2 31" xfId="1004" xr:uid="{00000000-0005-0000-0000-0000EB030000}"/>
    <cellStyle name="강조색2 32" xfId="1005" xr:uid="{00000000-0005-0000-0000-0000EC030000}"/>
    <cellStyle name="강조색2 33" xfId="1006" xr:uid="{00000000-0005-0000-0000-0000ED030000}"/>
    <cellStyle name="강조색2 34" xfId="1007" xr:uid="{00000000-0005-0000-0000-0000EE030000}"/>
    <cellStyle name="강조색2 35" xfId="1008" xr:uid="{00000000-0005-0000-0000-0000EF030000}"/>
    <cellStyle name="강조색2 36" xfId="1009" xr:uid="{00000000-0005-0000-0000-0000F0030000}"/>
    <cellStyle name="강조색2 37" xfId="1010" xr:uid="{00000000-0005-0000-0000-0000F1030000}"/>
    <cellStyle name="강조색2 38" xfId="1011" xr:uid="{00000000-0005-0000-0000-0000F2030000}"/>
    <cellStyle name="강조색2 39" xfId="1012" xr:uid="{00000000-0005-0000-0000-0000F3030000}"/>
    <cellStyle name="강조색2 4" xfId="1013" xr:uid="{00000000-0005-0000-0000-0000F4030000}"/>
    <cellStyle name="강조색2 40" xfId="1014" xr:uid="{00000000-0005-0000-0000-0000F5030000}"/>
    <cellStyle name="강조색2 41" xfId="1015" xr:uid="{00000000-0005-0000-0000-0000F6030000}"/>
    <cellStyle name="강조색2 42" xfId="1016" xr:uid="{00000000-0005-0000-0000-0000F7030000}"/>
    <cellStyle name="강조색2 43" xfId="1017" xr:uid="{00000000-0005-0000-0000-0000F8030000}"/>
    <cellStyle name="강조색2 44" xfId="1018" xr:uid="{00000000-0005-0000-0000-0000F9030000}"/>
    <cellStyle name="강조색2 45" xfId="1019" xr:uid="{00000000-0005-0000-0000-0000FA030000}"/>
    <cellStyle name="강조색2 46" xfId="1020" xr:uid="{00000000-0005-0000-0000-0000FB030000}"/>
    <cellStyle name="강조색2 5" xfId="1021" xr:uid="{00000000-0005-0000-0000-0000FC030000}"/>
    <cellStyle name="강조색2 6" xfId="1022" xr:uid="{00000000-0005-0000-0000-0000FD030000}"/>
    <cellStyle name="강조색2 7" xfId="1023" xr:uid="{00000000-0005-0000-0000-0000FE030000}"/>
    <cellStyle name="강조색2 8" xfId="1024" xr:uid="{00000000-0005-0000-0000-0000FF030000}"/>
    <cellStyle name="강조색2 9" xfId="1025" xr:uid="{00000000-0005-0000-0000-000000040000}"/>
    <cellStyle name="강조색3" xfId="1026" builtinId="37" customBuiltin="1"/>
    <cellStyle name="강조색3 10" xfId="1027" xr:uid="{00000000-0005-0000-0000-000002040000}"/>
    <cellStyle name="강조색3 11" xfId="1028" xr:uid="{00000000-0005-0000-0000-000003040000}"/>
    <cellStyle name="강조색3 12" xfId="1029" xr:uid="{00000000-0005-0000-0000-000004040000}"/>
    <cellStyle name="강조색3 13" xfId="1030" xr:uid="{00000000-0005-0000-0000-000005040000}"/>
    <cellStyle name="강조색3 14" xfId="1031" xr:uid="{00000000-0005-0000-0000-000006040000}"/>
    <cellStyle name="강조색3 15" xfId="1032" xr:uid="{00000000-0005-0000-0000-000007040000}"/>
    <cellStyle name="강조색3 16" xfId="1033" xr:uid="{00000000-0005-0000-0000-000008040000}"/>
    <cellStyle name="강조색3 17" xfId="1034" xr:uid="{00000000-0005-0000-0000-000009040000}"/>
    <cellStyle name="강조색3 18" xfId="1035" xr:uid="{00000000-0005-0000-0000-00000A040000}"/>
    <cellStyle name="강조색3 19" xfId="1036" xr:uid="{00000000-0005-0000-0000-00000B040000}"/>
    <cellStyle name="강조색3 2" xfId="1037" xr:uid="{00000000-0005-0000-0000-00000C040000}"/>
    <cellStyle name="강조색3 2 2" xfId="1038" xr:uid="{00000000-0005-0000-0000-00000D040000}"/>
    <cellStyle name="강조색3 2_2.소매판매액지수, 대형소매점 판매액지수 및 서비스업 생" xfId="1039" xr:uid="{00000000-0005-0000-0000-00000E040000}"/>
    <cellStyle name="강조색3 20" xfId="1040" xr:uid="{00000000-0005-0000-0000-00000F040000}"/>
    <cellStyle name="강조색3 21" xfId="1041" xr:uid="{00000000-0005-0000-0000-000010040000}"/>
    <cellStyle name="강조색3 22" xfId="1042" xr:uid="{00000000-0005-0000-0000-000011040000}"/>
    <cellStyle name="강조색3 23" xfId="1043" xr:uid="{00000000-0005-0000-0000-000012040000}"/>
    <cellStyle name="강조색3 24" xfId="1044" xr:uid="{00000000-0005-0000-0000-000013040000}"/>
    <cellStyle name="강조색3 25" xfId="1045" xr:uid="{00000000-0005-0000-0000-000014040000}"/>
    <cellStyle name="강조색3 26" xfId="1046" xr:uid="{00000000-0005-0000-0000-000015040000}"/>
    <cellStyle name="강조색3 27" xfId="1047" xr:uid="{00000000-0005-0000-0000-000016040000}"/>
    <cellStyle name="강조색3 28" xfId="1048" xr:uid="{00000000-0005-0000-0000-000017040000}"/>
    <cellStyle name="강조색3 29" xfId="1049" xr:uid="{00000000-0005-0000-0000-000018040000}"/>
    <cellStyle name="강조색3 3" xfId="1050" xr:uid="{00000000-0005-0000-0000-000019040000}"/>
    <cellStyle name="강조색3 3 2" xfId="1051" xr:uid="{00000000-0005-0000-0000-00001A040000}"/>
    <cellStyle name="강조색3 3_2.소매판매액지수, 대형소매점 판매액지수 및 서비스업 생" xfId="1052" xr:uid="{00000000-0005-0000-0000-00001B040000}"/>
    <cellStyle name="강조색3 30" xfId="1053" xr:uid="{00000000-0005-0000-0000-00001C040000}"/>
    <cellStyle name="강조색3 31" xfId="1054" xr:uid="{00000000-0005-0000-0000-00001D040000}"/>
    <cellStyle name="강조색3 32" xfId="1055" xr:uid="{00000000-0005-0000-0000-00001E040000}"/>
    <cellStyle name="강조색3 33" xfId="1056" xr:uid="{00000000-0005-0000-0000-00001F040000}"/>
    <cellStyle name="강조색3 34" xfId="1057" xr:uid="{00000000-0005-0000-0000-000020040000}"/>
    <cellStyle name="강조색3 35" xfId="1058" xr:uid="{00000000-0005-0000-0000-000021040000}"/>
    <cellStyle name="강조색3 36" xfId="1059" xr:uid="{00000000-0005-0000-0000-000022040000}"/>
    <cellStyle name="강조색3 37" xfId="1060" xr:uid="{00000000-0005-0000-0000-000023040000}"/>
    <cellStyle name="강조색3 38" xfId="1061" xr:uid="{00000000-0005-0000-0000-000024040000}"/>
    <cellStyle name="강조색3 39" xfId="1062" xr:uid="{00000000-0005-0000-0000-000025040000}"/>
    <cellStyle name="강조색3 4" xfId="1063" xr:uid="{00000000-0005-0000-0000-000026040000}"/>
    <cellStyle name="강조색3 40" xfId="1064" xr:uid="{00000000-0005-0000-0000-000027040000}"/>
    <cellStyle name="강조색3 41" xfId="1065" xr:uid="{00000000-0005-0000-0000-000028040000}"/>
    <cellStyle name="강조색3 42" xfId="1066" xr:uid="{00000000-0005-0000-0000-000029040000}"/>
    <cellStyle name="강조색3 43" xfId="1067" xr:uid="{00000000-0005-0000-0000-00002A040000}"/>
    <cellStyle name="강조색3 44" xfId="1068" xr:uid="{00000000-0005-0000-0000-00002B040000}"/>
    <cellStyle name="강조색3 45" xfId="1069" xr:uid="{00000000-0005-0000-0000-00002C040000}"/>
    <cellStyle name="강조색3 46" xfId="1070" xr:uid="{00000000-0005-0000-0000-00002D040000}"/>
    <cellStyle name="강조색3 5" xfId="1071" xr:uid="{00000000-0005-0000-0000-00002E040000}"/>
    <cellStyle name="강조색3 6" xfId="1072" xr:uid="{00000000-0005-0000-0000-00002F040000}"/>
    <cellStyle name="강조색3 7" xfId="1073" xr:uid="{00000000-0005-0000-0000-000030040000}"/>
    <cellStyle name="강조색3 8" xfId="1074" xr:uid="{00000000-0005-0000-0000-000031040000}"/>
    <cellStyle name="강조색3 9" xfId="1075" xr:uid="{00000000-0005-0000-0000-000032040000}"/>
    <cellStyle name="강조색4" xfId="1076" builtinId="41" customBuiltin="1"/>
    <cellStyle name="강조색4 10" xfId="1077" xr:uid="{00000000-0005-0000-0000-000034040000}"/>
    <cellStyle name="강조색4 11" xfId="1078" xr:uid="{00000000-0005-0000-0000-000035040000}"/>
    <cellStyle name="강조색4 12" xfId="1079" xr:uid="{00000000-0005-0000-0000-000036040000}"/>
    <cellStyle name="강조색4 13" xfId="1080" xr:uid="{00000000-0005-0000-0000-000037040000}"/>
    <cellStyle name="강조색4 14" xfId="1081" xr:uid="{00000000-0005-0000-0000-000038040000}"/>
    <cellStyle name="강조색4 15" xfId="1082" xr:uid="{00000000-0005-0000-0000-000039040000}"/>
    <cellStyle name="강조색4 16" xfId="1083" xr:uid="{00000000-0005-0000-0000-00003A040000}"/>
    <cellStyle name="강조색4 17" xfId="1084" xr:uid="{00000000-0005-0000-0000-00003B040000}"/>
    <cellStyle name="강조색4 18" xfId="1085" xr:uid="{00000000-0005-0000-0000-00003C040000}"/>
    <cellStyle name="강조색4 19" xfId="1086" xr:uid="{00000000-0005-0000-0000-00003D040000}"/>
    <cellStyle name="강조색4 2" xfId="1087" xr:uid="{00000000-0005-0000-0000-00003E040000}"/>
    <cellStyle name="강조색4 2 2" xfId="1088" xr:uid="{00000000-0005-0000-0000-00003F040000}"/>
    <cellStyle name="강조색4 2_2.소매판매액지수, 대형소매점 판매액지수 및 서비스업 생" xfId="1089" xr:uid="{00000000-0005-0000-0000-000040040000}"/>
    <cellStyle name="강조색4 20" xfId="1090" xr:uid="{00000000-0005-0000-0000-000041040000}"/>
    <cellStyle name="강조색4 21" xfId="1091" xr:uid="{00000000-0005-0000-0000-000042040000}"/>
    <cellStyle name="강조색4 22" xfId="1092" xr:uid="{00000000-0005-0000-0000-000043040000}"/>
    <cellStyle name="강조색4 23" xfId="1093" xr:uid="{00000000-0005-0000-0000-000044040000}"/>
    <cellStyle name="강조색4 24" xfId="1094" xr:uid="{00000000-0005-0000-0000-000045040000}"/>
    <cellStyle name="강조색4 25" xfId="1095" xr:uid="{00000000-0005-0000-0000-000046040000}"/>
    <cellStyle name="강조색4 26" xfId="1096" xr:uid="{00000000-0005-0000-0000-000047040000}"/>
    <cellStyle name="강조색4 27" xfId="1097" xr:uid="{00000000-0005-0000-0000-000048040000}"/>
    <cellStyle name="강조색4 28" xfId="1098" xr:uid="{00000000-0005-0000-0000-000049040000}"/>
    <cellStyle name="강조색4 29" xfId="1099" xr:uid="{00000000-0005-0000-0000-00004A040000}"/>
    <cellStyle name="강조색4 3" xfId="1100" xr:uid="{00000000-0005-0000-0000-00004B040000}"/>
    <cellStyle name="강조색4 3 2" xfId="1101" xr:uid="{00000000-0005-0000-0000-00004C040000}"/>
    <cellStyle name="강조색4 3_2.소매판매액지수, 대형소매점 판매액지수 및 서비스업 생" xfId="1102" xr:uid="{00000000-0005-0000-0000-00004D040000}"/>
    <cellStyle name="강조색4 30" xfId="1103" xr:uid="{00000000-0005-0000-0000-00004E040000}"/>
    <cellStyle name="강조색4 31" xfId="1104" xr:uid="{00000000-0005-0000-0000-00004F040000}"/>
    <cellStyle name="강조색4 32" xfId="1105" xr:uid="{00000000-0005-0000-0000-000050040000}"/>
    <cellStyle name="강조색4 33" xfId="1106" xr:uid="{00000000-0005-0000-0000-000051040000}"/>
    <cellStyle name="강조색4 34" xfId="1107" xr:uid="{00000000-0005-0000-0000-000052040000}"/>
    <cellStyle name="강조색4 35" xfId="1108" xr:uid="{00000000-0005-0000-0000-000053040000}"/>
    <cellStyle name="강조색4 36" xfId="1109" xr:uid="{00000000-0005-0000-0000-000054040000}"/>
    <cellStyle name="강조색4 37" xfId="1110" xr:uid="{00000000-0005-0000-0000-000055040000}"/>
    <cellStyle name="강조색4 38" xfId="1111" xr:uid="{00000000-0005-0000-0000-000056040000}"/>
    <cellStyle name="강조색4 39" xfId="1112" xr:uid="{00000000-0005-0000-0000-000057040000}"/>
    <cellStyle name="강조색4 4" xfId="1113" xr:uid="{00000000-0005-0000-0000-000058040000}"/>
    <cellStyle name="강조색4 40" xfId="1114" xr:uid="{00000000-0005-0000-0000-000059040000}"/>
    <cellStyle name="강조색4 41" xfId="1115" xr:uid="{00000000-0005-0000-0000-00005A040000}"/>
    <cellStyle name="강조색4 42" xfId="1116" xr:uid="{00000000-0005-0000-0000-00005B040000}"/>
    <cellStyle name="강조색4 43" xfId="1117" xr:uid="{00000000-0005-0000-0000-00005C040000}"/>
    <cellStyle name="강조색4 44" xfId="1118" xr:uid="{00000000-0005-0000-0000-00005D040000}"/>
    <cellStyle name="강조색4 45" xfId="1119" xr:uid="{00000000-0005-0000-0000-00005E040000}"/>
    <cellStyle name="강조색4 46" xfId="1120" xr:uid="{00000000-0005-0000-0000-00005F040000}"/>
    <cellStyle name="강조색4 5" xfId="1121" xr:uid="{00000000-0005-0000-0000-000060040000}"/>
    <cellStyle name="강조색4 6" xfId="1122" xr:uid="{00000000-0005-0000-0000-000061040000}"/>
    <cellStyle name="강조색4 7" xfId="1123" xr:uid="{00000000-0005-0000-0000-000062040000}"/>
    <cellStyle name="강조색4 8" xfId="1124" xr:uid="{00000000-0005-0000-0000-000063040000}"/>
    <cellStyle name="강조색4 9" xfId="1125" xr:uid="{00000000-0005-0000-0000-000064040000}"/>
    <cellStyle name="강조색5" xfId="1126" builtinId="45" customBuiltin="1"/>
    <cellStyle name="강조색5 10" xfId="1127" xr:uid="{00000000-0005-0000-0000-000066040000}"/>
    <cellStyle name="강조색5 11" xfId="1128" xr:uid="{00000000-0005-0000-0000-000067040000}"/>
    <cellStyle name="강조색5 12" xfId="1129" xr:uid="{00000000-0005-0000-0000-000068040000}"/>
    <cellStyle name="강조색5 13" xfId="1130" xr:uid="{00000000-0005-0000-0000-000069040000}"/>
    <cellStyle name="강조색5 14" xfId="1131" xr:uid="{00000000-0005-0000-0000-00006A040000}"/>
    <cellStyle name="강조색5 15" xfId="1132" xr:uid="{00000000-0005-0000-0000-00006B040000}"/>
    <cellStyle name="강조색5 16" xfId="1133" xr:uid="{00000000-0005-0000-0000-00006C040000}"/>
    <cellStyle name="강조색5 17" xfId="1134" xr:uid="{00000000-0005-0000-0000-00006D040000}"/>
    <cellStyle name="강조색5 18" xfId="1135" xr:uid="{00000000-0005-0000-0000-00006E040000}"/>
    <cellStyle name="강조색5 19" xfId="1136" xr:uid="{00000000-0005-0000-0000-00006F040000}"/>
    <cellStyle name="강조색5 2" xfId="1137" xr:uid="{00000000-0005-0000-0000-000070040000}"/>
    <cellStyle name="강조색5 2 2" xfId="1138" xr:uid="{00000000-0005-0000-0000-000071040000}"/>
    <cellStyle name="강조색5 2_2.소매판매액지수, 대형소매점 판매액지수 및 서비스업 생" xfId="1139" xr:uid="{00000000-0005-0000-0000-000072040000}"/>
    <cellStyle name="강조색5 20" xfId="1140" xr:uid="{00000000-0005-0000-0000-000073040000}"/>
    <cellStyle name="강조색5 21" xfId="1141" xr:uid="{00000000-0005-0000-0000-000074040000}"/>
    <cellStyle name="강조색5 22" xfId="1142" xr:uid="{00000000-0005-0000-0000-000075040000}"/>
    <cellStyle name="강조색5 23" xfId="1143" xr:uid="{00000000-0005-0000-0000-000076040000}"/>
    <cellStyle name="강조색5 24" xfId="1144" xr:uid="{00000000-0005-0000-0000-000077040000}"/>
    <cellStyle name="강조색5 25" xfId="1145" xr:uid="{00000000-0005-0000-0000-000078040000}"/>
    <cellStyle name="강조색5 26" xfId="1146" xr:uid="{00000000-0005-0000-0000-000079040000}"/>
    <cellStyle name="강조색5 27" xfId="1147" xr:uid="{00000000-0005-0000-0000-00007A040000}"/>
    <cellStyle name="강조색5 28" xfId="1148" xr:uid="{00000000-0005-0000-0000-00007B040000}"/>
    <cellStyle name="강조색5 29" xfId="1149" xr:uid="{00000000-0005-0000-0000-00007C040000}"/>
    <cellStyle name="강조색5 3" xfId="1150" xr:uid="{00000000-0005-0000-0000-00007D040000}"/>
    <cellStyle name="강조색5 3 2" xfId="1151" xr:uid="{00000000-0005-0000-0000-00007E040000}"/>
    <cellStyle name="강조색5 3_2.소매판매액지수, 대형소매점 판매액지수 및 서비스업 생" xfId="1152" xr:uid="{00000000-0005-0000-0000-00007F040000}"/>
    <cellStyle name="강조색5 30" xfId="1153" xr:uid="{00000000-0005-0000-0000-000080040000}"/>
    <cellStyle name="강조색5 31" xfId="1154" xr:uid="{00000000-0005-0000-0000-000081040000}"/>
    <cellStyle name="강조색5 32" xfId="1155" xr:uid="{00000000-0005-0000-0000-000082040000}"/>
    <cellStyle name="강조색5 33" xfId="1156" xr:uid="{00000000-0005-0000-0000-000083040000}"/>
    <cellStyle name="강조색5 34" xfId="1157" xr:uid="{00000000-0005-0000-0000-000084040000}"/>
    <cellStyle name="강조색5 35" xfId="1158" xr:uid="{00000000-0005-0000-0000-000085040000}"/>
    <cellStyle name="강조색5 36" xfId="1159" xr:uid="{00000000-0005-0000-0000-000086040000}"/>
    <cellStyle name="강조색5 37" xfId="1160" xr:uid="{00000000-0005-0000-0000-000087040000}"/>
    <cellStyle name="강조색5 38" xfId="1161" xr:uid="{00000000-0005-0000-0000-000088040000}"/>
    <cellStyle name="강조색5 39" xfId="1162" xr:uid="{00000000-0005-0000-0000-000089040000}"/>
    <cellStyle name="강조색5 4" xfId="1163" xr:uid="{00000000-0005-0000-0000-00008A040000}"/>
    <cellStyle name="강조색5 40" xfId="1164" xr:uid="{00000000-0005-0000-0000-00008B040000}"/>
    <cellStyle name="강조색5 41" xfId="1165" xr:uid="{00000000-0005-0000-0000-00008C040000}"/>
    <cellStyle name="강조색5 42" xfId="1166" xr:uid="{00000000-0005-0000-0000-00008D040000}"/>
    <cellStyle name="강조색5 43" xfId="1167" xr:uid="{00000000-0005-0000-0000-00008E040000}"/>
    <cellStyle name="강조색5 44" xfId="1168" xr:uid="{00000000-0005-0000-0000-00008F040000}"/>
    <cellStyle name="강조색5 45" xfId="1169" xr:uid="{00000000-0005-0000-0000-000090040000}"/>
    <cellStyle name="강조색5 46" xfId="1170" xr:uid="{00000000-0005-0000-0000-000091040000}"/>
    <cellStyle name="강조색5 5" xfId="1171" xr:uid="{00000000-0005-0000-0000-000092040000}"/>
    <cellStyle name="강조색5 6" xfId="1172" xr:uid="{00000000-0005-0000-0000-000093040000}"/>
    <cellStyle name="강조색5 7" xfId="1173" xr:uid="{00000000-0005-0000-0000-000094040000}"/>
    <cellStyle name="강조색5 8" xfId="1174" xr:uid="{00000000-0005-0000-0000-000095040000}"/>
    <cellStyle name="강조색5 9" xfId="1175" xr:uid="{00000000-0005-0000-0000-000096040000}"/>
    <cellStyle name="강조색6" xfId="1176" builtinId="49" customBuiltin="1"/>
    <cellStyle name="강조색6 10" xfId="1177" xr:uid="{00000000-0005-0000-0000-000098040000}"/>
    <cellStyle name="강조색6 11" xfId="1178" xr:uid="{00000000-0005-0000-0000-000099040000}"/>
    <cellStyle name="강조색6 12" xfId="1179" xr:uid="{00000000-0005-0000-0000-00009A040000}"/>
    <cellStyle name="강조색6 13" xfId="1180" xr:uid="{00000000-0005-0000-0000-00009B040000}"/>
    <cellStyle name="강조색6 14" xfId="1181" xr:uid="{00000000-0005-0000-0000-00009C040000}"/>
    <cellStyle name="강조색6 15" xfId="1182" xr:uid="{00000000-0005-0000-0000-00009D040000}"/>
    <cellStyle name="강조색6 16" xfId="1183" xr:uid="{00000000-0005-0000-0000-00009E040000}"/>
    <cellStyle name="강조색6 17" xfId="1184" xr:uid="{00000000-0005-0000-0000-00009F040000}"/>
    <cellStyle name="강조색6 18" xfId="1185" xr:uid="{00000000-0005-0000-0000-0000A0040000}"/>
    <cellStyle name="강조색6 19" xfId="1186" xr:uid="{00000000-0005-0000-0000-0000A1040000}"/>
    <cellStyle name="강조색6 2" xfId="1187" xr:uid="{00000000-0005-0000-0000-0000A2040000}"/>
    <cellStyle name="강조색6 2 2" xfId="1188" xr:uid="{00000000-0005-0000-0000-0000A3040000}"/>
    <cellStyle name="강조색6 2_2.소매판매액지수, 대형소매점 판매액지수 및 서비스업 생" xfId="1189" xr:uid="{00000000-0005-0000-0000-0000A4040000}"/>
    <cellStyle name="강조색6 20" xfId="1190" xr:uid="{00000000-0005-0000-0000-0000A5040000}"/>
    <cellStyle name="강조색6 21" xfId="1191" xr:uid="{00000000-0005-0000-0000-0000A6040000}"/>
    <cellStyle name="강조색6 22" xfId="1192" xr:uid="{00000000-0005-0000-0000-0000A7040000}"/>
    <cellStyle name="강조색6 23" xfId="1193" xr:uid="{00000000-0005-0000-0000-0000A8040000}"/>
    <cellStyle name="강조색6 24" xfId="1194" xr:uid="{00000000-0005-0000-0000-0000A9040000}"/>
    <cellStyle name="강조색6 25" xfId="1195" xr:uid="{00000000-0005-0000-0000-0000AA040000}"/>
    <cellStyle name="강조색6 26" xfId="1196" xr:uid="{00000000-0005-0000-0000-0000AB040000}"/>
    <cellStyle name="강조색6 27" xfId="1197" xr:uid="{00000000-0005-0000-0000-0000AC040000}"/>
    <cellStyle name="강조색6 28" xfId="1198" xr:uid="{00000000-0005-0000-0000-0000AD040000}"/>
    <cellStyle name="강조색6 29" xfId="1199" xr:uid="{00000000-0005-0000-0000-0000AE040000}"/>
    <cellStyle name="강조색6 3" xfId="1200" xr:uid="{00000000-0005-0000-0000-0000AF040000}"/>
    <cellStyle name="강조색6 3 2" xfId="1201" xr:uid="{00000000-0005-0000-0000-0000B0040000}"/>
    <cellStyle name="강조색6 3_2.소매판매액지수, 대형소매점 판매액지수 및 서비스업 생" xfId="1202" xr:uid="{00000000-0005-0000-0000-0000B1040000}"/>
    <cellStyle name="강조색6 30" xfId="1203" xr:uid="{00000000-0005-0000-0000-0000B2040000}"/>
    <cellStyle name="강조색6 31" xfId="1204" xr:uid="{00000000-0005-0000-0000-0000B3040000}"/>
    <cellStyle name="강조색6 32" xfId="1205" xr:uid="{00000000-0005-0000-0000-0000B4040000}"/>
    <cellStyle name="강조색6 33" xfId="1206" xr:uid="{00000000-0005-0000-0000-0000B5040000}"/>
    <cellStyle name="강조색6 34" xfId="1207" xr:uid="{00000000-0005-0000-0000-0000B6040000}"/>
    <cellStyle name="강조색6 35" xfId="1208" xr:uid="{00000000-0005-0000-0000-0000B7040000}"/>
    <cellStyle name="강조색6 36" xfId="1209" xr:uid="{00000000-0005-0000-0000-0000B8040000}"/>
    <cellStyle name="강조색6 37" xfId="1210" xr:uid="{00000000-0005-0000-0000-0000B9040000}"/>
    <cellStyle name="강조색6 38" xfId="1211" xr:uid="{00000000-0005-0000-0000-0000BA040000}"/>
    <cellStyle name="강조색6 39" xfId="1212" xr:uid="{00000000-0005-0000-0000-0000BB040000}"/>
    <cellStyle name="강조색6 4" xfId="1213" xr:uid="{00000000-0005-0000-0000-0000BC040000}"/>
    <cellStyle name="강조색6 40" xfId="1214" xr:uid="{00000000-0005-0000-0000-0000BD040000}"/>
    <cellStyle name="강조색6 41" xfId="1215" xr:uid="{00000000-0005-0000-0000-0000BE040000}"/>
    <cellStyle name="강조색6 42" xfId="1216" xr:uid="{00000000-0005-0000-0000-0000BF040000}"/>
    <cellStyle name="강조색6 43" xfId="1217" xr:uid="{00000000-0005-0000-0000-0000C0040000}"/>
    <cellStyle name="강조색6 44" xfId="1218" xr:uid="{00000000-0005-0000-0000-0000C1040000}"/>
    <cellStyle name="강조색6 45" xfId="1219" xr:uid="{00000000-0005-0000-0000-0000C2040000}"/>
    <cellStyle name="강조색6 46" xfId="1220" xr:uid="{00000000-0005-0000-0000-0000C3040000}"/>
    <cellStyle name="강조색6 5" xfId="1221" xr:uid="{00000000-0005-0000-0000-0000C4040000}"/>
    <cellStyle name="강조색6 6" xfId="1222" xr:uid="{00000000-0005-0000-0000-0000C5040000}"/>
    <cellStyle name="강조색6 7" xfId="1223" xr:uid="{00000000-0005-0000-0000-0000C6040000}"/>
    <cellStyle name="강조색6 8" xfId="1224" xr:uid="{00000000-0005-0000-0000-0000C7040000}"/>
    <cellStyle name="강조색6 9" xfId="1225" xr:uid="{00000000-0005-0000-0000-0000C8040000}"/>
    <cellStyle name="경고문" xfId="1226" builtinId="11" customBuiltin="1"/>
    <cellStyle name="경고문 10" xfId="1227" xr:uid="{00000000-0005-0000-0000-0000CA040000}"/>
    <cellStyle name="경고문 11" xfId="1228" xr:uid="{00000000-0005-0000-0000-0000CB040000}"/>
    <cellStyle name="경고문 12" xfId="1229" xr:uid="{00000000-0005-0000-0000-0000CC040000}"/>
    <cellStyle name="경고문 13" xfId="1230" xr:uid="{00000000-0005-0000-0000-0000CD040000}"/>
    <cellStyle name="경고문 14" xfId="1231" xr:uid="{00000000-0005-0000-0000-0000CE040000}"/>
    <cellStyle name="경고문 15" xfId="1232" xr:uid="{00000000-0005-0000-0000-0000CF040000}"/>
    <cellStyle name="경고문 16" xfId="1233" xr:uid="{00000000-0005-0000-0000-0000D0040000}"/>
    <cellStyle name="경고문 17" xfId="1234" xr:uid="{00000000-0005-0000-0000-0000D1040000}"/>
    <cellStyle name="경고문 18" xfId="1235" xr:uid="{00000000-0005-0000-0000-0000D2040000}"/>
    <cellStyle name="경고문 19" xfId="1236" xr:uid="{00000000-0005-0000-0000-0000D3040000}"/>
    <cellStyle name="경고문 2" xfId="1237" xr:uid="{00000000-0005-0000-0000-0000D4040000}"/>
    <cellStyle name="경고문 2 2" xfId="1238" xr:uid="{00000000-0005-0000-0000-0000D5040000}"/>
    <cellStyle name="경고문 2_2.소매판매액지수, 대형소매점 판매액지수 및 서비스업 생" xfId="1239" xr:uid="{00000000-0005-0000-0000-0000D6040000}"/>
    <cellStyle name="경고문 20" xfId="1240" xr:uid="{00000000-0005-0000-0000-0000D7040000}"/>
    <cellStyle name="경고문 21" xfId="1241" xr:uid="{00000000-0005-0000-0000-0000D8040000}"/>
    <cellStyle name="경고문 22" xfId="1242" xr:uid="{00000000-0005-0000-0000-0000D9040000}"/>
    <cellStyle name="경고문 23" xfId="1243" xr:uid="{00000000-0005-0000-0000-0000DA040000}"/>
    <cellStyle name="경고문 24" xfId="1244" xr:uid="{00000000-0005-0000-0000-0000DB040000}"/>
    <cellStyle name="경고문 25" xfId="1245" xr:uid="{00000000-0005-0000-0000-0000DC040000}"/>
    <cellStyle name="경고문 26" xfId="1246" xr:uid="{00000000-0005-0000-0000-0000DD040000}"/>
    <cellStyle name="경고문 27" xfId="1247" xr:uid="{00000000-0005-0000-0000-0000DE040000}"/>
    <cellStyle name="경고문 28" xfId="1248" xr:uid="{00000000-0005-0000-0000-0000DF040000}"/>
    <cellStyle name="경고문 29" xfId="1249" xr:uid="{00000000-0005-0000-0000-0000E0040000}"/>
    <cellStyle name="경고문 3" xfId="1250" xr:uid="{00000000-0005-0000-0000-0000E1040000}"/>
    <cellStyle name="경고문 3 2" xfId="1251" xr:uid="{00000000-0005-0000-0000-0000E2040000}"/>
    <cellStyle name="경고문 3_2.소매판매액지수, 대형소매점 판매액지수 및 서비스업 생" xfId="1252" xr:uid="{00000000-0005-0000-0000-0000E3040000}"/>
    <cellStyle name="경고문 30" xfId="1253" xr:uid="{00000000-0005-0000-0000-0000E4040000}"/>
    <cellStyle name="경고문 31" xfId="1254" xr:uid="{00000000-0005-0000-0000-0000E5040000}"/>
    <cellStyle name="경고문 32" xfId="1255" xr:uid="{00000000-0005-0000-0000-0000E6040000}"/>
    <cellStyle name="경고문 33" xfId="1256" xr:uid="{00000000-0005-0000-0000-0000E7040000}"/>
    <cellStyle name="경고문 34" xfId="1257" xr:uid="{00000000-0005-0000-0000-0000E8040000}"/>
    <cellStyle name="경고문 35" xfId="1258" xr:uid="{00000000-0005-0000-0000-0000E9040000}"/>
    <cellStyle name="경고문 36" xfId="1259" xr:uid="{00000000-0005-0000-0000-0000EA040000}"/>
    <cellStyle name="경고문 37" xfId="1260" xr:uid="{00000000-0005-0000-0000-0000EB040000}"/>
    <cellStyle name="경고문 38" xfId="1261" xr:uid="{00000000-0005-0000-0000-0000EC040000}"/>
    <cellStyle name="경고문 39" xfId="1262" xr:uid="{00000000-0005-0000-0000-0000ED040000}"/>
    <cellStyle name="경고문 4" xfId="1263" xr:uid="{00000000-0005-0000-0000-0000EE040000}"/>
    <cellStyle name="경고문 40" xfId="1264" xr:uid="{00000000-0005-0000-0000-0000EF040000}"/>
    <cellStyle name="경고문 41" xfId="1265" xr:uid="{00000000-0005-0000-0000-0000F0040000}"/>
    <cellStyle name="경고문 42" xfId="1266" xr:uid="{00000000-0005-0000-0000-0000F1040000}"/>
    <cellStyle name="경고문 43" xfId="1267" xr:uid="{00000000-0005-0000-0000-0000F2040000}"/>
    <cellStyle name="경고문 44" xfId="1268" xr:uid="{00000000-0005-0000-0000-0000F3040000}"/>
    <cellStyle name="경고문 45" xfId="1269" xr:uid="{00000000-0005-0000-0000-0000F4040000}"/>
    <cellStyle name="경고문 46" xfId="1270" xr:uid="{00000000-0005-0000-0000-0000F5040000}"/>
    <cellStyle name="경고문 5" xfId="1271" xr:uid="{00000000-0005-0000-0000-0000F6040000}"/>
    <cellStyle name="경고문 6" xfId="1272" xr:uid="{00000000-0005-0000-0000-0000F7040000}"/>
    <cellStyle name="경고문 7" xfId="1273" xr:uid="{00000000-0005-0000-0000-0000F8040000}"/>
    <cellStyle name="경고문 8" xfId="1274" xr:uid="{00000000-0005-0000-0000-0000F9040000}"/>
    <cellStyle name="경고문 9" xfId="1275" xr:uid="{00000000-0005-0000-0000-0000FA040000}"/>
    <cellStyle name="계산" xfId="1276" builtinId="22" customBuiltin="1"/>
    <cellStyle name="계산 10" xfId="1277" xr:uid="{00000000-0005-0000-0000-0000FC040000}"/>
    <cellStyle name="계산 11" xfId="1278" xr:uid="{00000000-0005-0000-0000-0000FD040000}"/>
    <cellStyle name="계산 12" xfId="1279" xr:uid="{00000000-0005-0000-0000-0000FE040000}"/>
    <cellStyle name="계산 13" xfId="1280" xr:uid="{00000000-0005-0000-0000-0000FF040000}"/>
    <cellStyle name="계산 14" xfId="1281" xr:uid="{00000000-0005-0000-0000-000000050000}"/>
    <cellStyle name="계산 15" xfId="1282" xr:uid="{00000000-0005-0000-0000-000001050000}"/>
    <cellStyle name="계산 16" xfId="1283" xr:uid="{00000000-0005-0000-0000-000002050000}"/>
    <cellStyle name="계산 17" xfId="1284" xr:uid="{00000000-0005-0000-0000-000003050000}"/>
    <cellStyle name="계산 18" xfId="1285" xr:uid="{00000000-0005-0000-0000-000004050000}"/>
    <cellStyle name="계산 19" xfId="1286" xr:uid="{00000000-0005-0000-0000-000005050000}"/>
    <cellStyle name="계산 2" xfId="1287" xr:uid="{00000000-0005-0000-0000-000006050000}"/>
    <cellStyle name="계산 2 2" xfId="1288" xr:uid="{00000000-0005-0000-0000-000007050000}"/>
    <cellStyle name="계산 2_2.소매판매액지수, 대형소매점 판매액지수 및 서비스업 생" xfId="1289" xr:uid="{00000000-0005-0000-0000-000008050000}"/>
    <cellStyle name="계산 20" xfId="1290" xr:uid="{00000000-0005-0000-0000-000009050000}"/>
    <cellStyle name="계산 21" xfId="1291" xr:uid="{00000000-0005-0000-0000-00000A050000}"/>
    <cellStyle name="계산 22" xfId="1292" xr:uid="{00000000-0005-0000-0000-00000B050000}"/>
    <cellStyle name="계산 23" xfId="1293" xr:uid="{00000000-0005-0000-0000-00000C050000}"/>
    <cellStyle name="계산 24" xfId="1294" xr:uid="{00000000-0005-0000-0000-00000D050000}"/>
    <cellStyle name="계산 25" xfId="1295" xr:uid="{00000000-0005-0000-0000-00000E050000}"/>
    <cellStyle name="계산 26" xfId="1296" xr:uid="{00000000-0005-0000-0000-00000F050000}"/>
    <cellStyle name="계산 27" xfId="1297" xr:uid="{00000000-0005-0000-0000-000010050000}"/>
    <cellStyle name="계산 28" xfId="1298" xr:uid="{00000000-0005-0000-0000-000011050000}"/>
    <cellStyle name="계산 29" xfId="1299" xr:uid="{00000000-0005-0000-0000-000012050000}"/>
    <cellStyle name="계산 3" xfId="1300" xr:uid="{00000000-0005-0000-0000-000013050000}"/>
    <cellStyle name="계산 3 2" xfId="1301" xr:uid="{00000000-0005-0000-0000-000014050000}"/>
    <cellStyle name="계산 3_2.소매판매액지수, 대형소매점 판매액지수 및 서비스업 생" xfId="1302" xr:uid="{00000000-0005-0000-0000-000015050000}"/>
    <cellStyle name="계산 30" xfId="1303" xr:uid="{00000000-0005-0000-0000-000016050000}"/>
    <cellStyle name="계산 31" xfId="1304" xr:uid="{00000000-0005-0000-0000-000017050000}"/>
    <cellStyle name="계산 32" xfId="1305" xr:uid="{00000000-0005-0000-0000-000018050000}"/>
    <cellStyle name="계산 33" xfId="1306" xr:uid="{00000000-0005-0000-0000-000019050000}"/>
    <cellStyle name="계산 34" xfId="1307" xr:uid="{00000000-0005-0000-0000-00001A050000}"/>
    <cellStyle name="계산 35" xfId="1308" xr:uid="{00000000-0005-0000-0000-00001B050000}"/>
    <cellStyle name="계산 36" xfId="1309" xr:uid="{00000000-0005-0000-0000-00001C050000}"/>
    <cellStyle name="계산 37" xfId="1310" xr:uid="{00000000-0005-0000-0000-00001D050000}"/>
    <cellStyle name="계산 38" xfId="1311" xr:uid="{00000000-0005-0000-0000-00001E050000}"/>
    <cellStyle name="계산 39" xfId="1312" xr:uid="{00000000-0005-0000-0000-00001F050000}"/>
    <cellStyle name="계산 4" xfId="1313" xr:uid="{00000000-0005-0000-0000-000020050000}"/>
    <cellStyle name="계산 40" xfId="1314" xr:uid="{00000000-0005-0000-0000-000021050000}"/>
    <cellStyle name="계산 41" xfId="1315" xr:uid="{00000000-0005-0000-0000-000022050000}"/>
    <cellStyle name="계산 42" xfId="1316" xr:uid="{00000000-0005-0000-0000-000023050000}"/>
    <cellStyle name="계산 43" xfId="1317" xr:uid="{00000000-0005-0000-0000-000024050000}"/>
    <cellStyle name="계산 44" xfId="1318" xr:uid="{00000000-0005-0000-0000-000025050000}"/>
    <cellStyle name="계산 45" xfId="1319" xr:uid="{00000000-0005-0000-0000-000026050000}"/>
    <cellStyle name="계산 46" xfId="1320" xr:uid="{00000000-0005-0000-0000-000027050000}"/>
    <cellStyle name="계산 5" xfId="1321" xr:uid="{00000000-0005-0000-0000-000028050000}"/>
    <cellStyle name="계산 6" xfId="1322" xr:uid="{00000000-0005-0000-0000-000029050000}"/>
    <cellStyle name="계산 7" xfId="1323" xr:uid="{00000000-0005-0000-0000-00002A050000}"/>
    <cellStyle name="계산 8" xfId="1324" xr:uid="{00000000-0005-0000-0000-00002B050000}"/>
    <cellStyle name="계산 9" xfId="1325" xr:uid="{00000000-0005-0000-0000-00002C050000}"/>
    <cellStyle name="고정소숫점" xfId="1326" xr:uid="{00000000-0005-0000-0000-00002D050000}"/>
    <cellStyle name="고정출력1" xfId="1327" xr:uid="{00000000-0005-0000-0000-00002E050000}"/>
    <cellStyle name="고정출력2" xfId="1328" xr:uid="{00000000-0005-0000-0000-00002F050000}"/>
    <cellStyle name="나쁨" xfId="1329" builtinId="27" customBuiltin="1"/>
    <cellStyle name="나쁨 10" xfId="1330" xr:uid="{00000000-0005-0000-0000-000031050000}"/>
    <cellStyle name="나쁨 11" xfId="1331" xr:uid="{00000000-0005-0000-0000-000032050000}"/>
    <cellStyle name="나쁨 12" xfId="1332" xr:uid="{00000000-0005-0000-0000-000033050000}"/>
    <cellStyle name="나쁨 13" xfId="1333" xr:uid="{00000000-0005-0000-0000-000034050000}"/>
    <cellStyle name="나쁨 14" xfId="1334" xr:uid="{00000000-0005-0000-0000-000035050000}"/>
    <cellStyle name="나쁨 15" xfId="1335" xr:uid="{00000000-0005-0000-0000-000036050000}"/>
    <cellStyle name="나쁨 16" xfId="1336" xr:uid="{00000000-0005-0000-0000-000037050000}"/>
    <cellStyle name="나쁨 17" xfId="1337" xr:uid="{00000000-0005-0000-0000-000038050000}"/>
    <cellStyle name="나쁨 18" xfId="1338" xr:uid="{00000000-0005-0000-0000-000039050000}"/>
    <cellStyle name="나쁨 19" xfId="1339" xr:uid="{00000000-0005-0000-0000-00003A050000}"/>
    <cellStyle name="나쁨 2" xfId="1340" xr:uid="{00000000-0005-0000-0000-00003B050000}"/>
    <cellStyle name="나쁨 2 2" xfId="1341" xr:uid="{00000000-0005-0000-0000-00003C050000}"/>
    <cellStyle name="나쁨 2_2.소매판매액지수, 대형소매점 판매액지수 및 서비스업 생" xfId="1342" xr:uid="{00000000-0005-0000-0000-00003D050000}"/>
    <cellStyle name="나쁨 20" xfId="1343" xr:uid="{00000000-0005-0000-0000-00003E050000}"/>
    <cellStyle name="나쁨 21" xfId="1344" xr:uid="{00000000-0005-0000-0000-00003F050000}"/>
    <cellStyle name="나쁨 22" xfId="1345" xr:uid="{00000000-0005-0000-0000-000040050000}"/>
    <cellStyle name="나쁨 23" xfId="1346" xr:uid="{00000000-0005-0000-0000-000041050000}"/>
    <cellStyle name="나쁨 24" xfId="1347" xr:uid="{00000000-0005-0000-0000-000042050000}"/>
    <cellStyle name="나쁨 25" xfId="1348" xr:uid="{00000000-0005-0000-0000-000043050000}"/>
    <cellStyle name="나쁨 26" xfId="1349" xr:uid="{00000000-0005-0000-0000-000044050000}"/>
    <cellStyle name="나쁨 27" xfId="1350" xr:uid="{00000000-0005-0000-0000-000045050000}"/>
    <cellStyle name="나쁨 28" xfId="1351" xr:uid="{00000000-0005-0000-0000-000046050000}"/>
    <cellStyle name="나쁨 29" xfId="1352" xr:uid="{00000000-0005-0000-0000-000047050000}"/>
    <cellStyle name="나쁨 3" xfId="1353" xr:uid="{00000000-0005-0000-0000-000048050000}"/>
    <cellStyle name="나쁨 3 2" xfId="1354" xr:uid="{00000000-0005-0000-0000-000049050000}"/>
    <cellStyle name="나쁨 3_2.소매판매액지수, 대형소매점 판매액지수 및 서비스업 생" xfId="1355" xr:uid="{00000000-0005-0000-0000-00004A050000}"/>
    <cellStyle name="나쁨 30" xfId="1356" xr:uid="{00000000-0005-0000-0000-00004B050000}"/>
    <cellStyle name="나쁨 31" xfId="1357" xr:uid="{00000000-0005-0000-0000-00004C050000}"/>
    <cellStyle name="나쁨 32" xfId="1358" xr:uid="{00000000-0005-0000-0000-00004D050000}"/>
    <cellStyle name="나쁨 33" xfId="1359" xr:uid="{00000000-0005-0000-0000-00004E050000}"/>
    <cellStyle name="나쁨 34" xfId="1360" xr:uid="{00000000-0005-0000-0000-00004F050000}"/>
    <cellStyle name="나쁨 35" xfId="1361" xr:uid="{00000000-0005-0000-0000-000050050000}"/>
    <cellStyle name="나쁨 36" xfId="1362" xr:uid="{00000000-0005-0000-0000-000051050000}"/>
    <cellStyle name="나쁨 37" xfId="1363" xr:uid="{00000000-0005-0000-0000-000052050000}"/>
    <cellStyle name="나쁨 38" xfId="1364" xr:uid="{00000000-0005-0000-0000-000053050000}"/>
    <cellStyle name="나쁨 39" xfId="1365" xr:uid="{00000000-0005-0000-0000-000054050000}"/>
    <cellStyle name="나쁨 4" xfId="1366" xr:uid="{00000000-0005-0000-0000-000055050000}"/>
    <cellStyle name="나쁨 40" xfId="1367" xr:uid="{00000000-0005-0000-0000-000056050000}"/>
    <cellStyle name="나쁨 41" xfId="1368" xr:uid="{00000000-0005-0000-0000-000057050000}"/>
    <cellStyle name="나쁨 42" xfId="1369" xr:uid="{00000000-0005-0000-0000-000058050000}"/>
    <cellStyle name="나쁨 43" xfId="1370" xr:uid="{00000000-0005-0000-0000-000059050000}"/>
    <cellStyle name="나쁨 44" xfId="1371" xr:uid="{00000000-0005-0000-0000-00005A050000}"/>
    <cellStyle name="나쁨 45" xfId="1372" xr:uid="{00000000-0005-0000-0000-00005B050000}"/>
    <cellStyle name="나쁨 46" xfId="1373" xr:uid="{00000000-0005-0000-0000-00005C050000}"/>
    <cellStyle name="나쁨 5" xfId="1374" xr:uid="{00000000-0005-0000-0000-00005D050000}"/>
    <cellStyle name="나쁨 6" xfId="1375" xr:uid="{00000000-0005-0000-0000-00005E050000}"/>
    <cellStyle name="나쁨 7" xfId="1376" xr:uid="{00000000-0005-0000-0000-00005F050000}"/>
    <cellStyle name="나쁨 8" xfId="1377" xr:uid="{00000000-0005-0000-0000-000060050000}"/>
    <cellStyle name="나쁨 9" xfId="1378" xr:uid="{00000000-0005-0000-0000-000061050000}"/>
    <cellStyle name="날짜" xfId="1379" xr:uid="{00000000-0005-0000-0000-000062050000}"/>
    <cellStyle name="내역서" xfId="1380" xr:uid="{00000000-0005-0000-0000-000063050000}"/>
    <cellStyle name="달러" xfId="1381" xr:uid="{00000000-0005-0000-0000-000064050000}"/>
    <cellStyle name="뒤에 오는 하이퍼링크_③인구&amp;용량 검토(옹진군)" xfId="1382" xr:uid="{00000000-0005-0000-0000-000065050000}"/>
    <cellStyle name="똿뗦먛귟 [0.00]_PRODUCT DETAIL Q1" xfId="1383" xr:uid="{00000000-0005-0000-0000-000066050000}"/>
    <cellStyle name="똿뗦먛귟_PRODUCT DETAIL Q1" xfId="1384" xr:uid="{00000000-0005-0000-0000-000067050000}"/>
    <cellStyle name="메모" xfId="1385" builtinId="10" customBuiltin="1"/>
    <cellStyle name="메모 10" xfId="1386" xr:uid="{00000000-0005-0000-0000-000069050000}"/>
    <cellStyle name="메모 11" xfId="1387" xr:uid="{00000000-0005-0000-0000-00006A050000}"/>
    <cellStyle name="메모 12" xfId="1388" xr:uid="{00000000-0005-0000-0000-00006B050000}"/>
    <cellStyle name="메모 13" xfId="1389" xr:uid="{00000000-0005-0000-0000-00006C050000}"/>
    <cellStyle name="메모 14" xfId="1390" xr:uid="{00000000-0005-0000-0000-00006D050000}"/>
    <cellStyle name="메모 15" xfId="1391" xr:uid="{00000000-0005-0000-0000-00006E050000}"/>
    <cellStyle name="메모 16" xfId="1392" xr:uid="{00000000-0005-0000-0000-00006F050000}"/>
    <cellStyle name="메모 17" xfId="1393" xr:uid="{00000000-0005-0000-0000-000070050000}"/>
    <cellStyle name="메모 18" xfId="1394" xr:uid="{00000000-0005-0000-0000-000071050000}"/>
    <cellStyle name="메모 19" xfId="1395" xr:uid="{00000000-0005-0000-0000-000072050000}"/>
    <cellStyle name="메모 2" xfId="1396" xr:uid="{00000000-0005-0000-0000-000073050000}"/>
    <cellStyle name="메모 2 2" xfId="1397" xr:uid="{00000000-0005-0000-0000-000074050000}"/>
    <cellStyle name="메모 2 3" xfId="1398" xr:uid="{00000000-0005-0000-0000-000075050000}"/>
    <cellStyle name="메모 2_2.소매판매액지수, 대형소매점 판매액지수 및 서비스업 생" xfId="1399" xr:uid="{00000000-0005-0000-0000-000076050000}"/>
    <cellStyle name="메모 20" xfId="1400" xr:uid="{00000000-0005-0000-0000-000077050000}"/>
    <cellStyle name="메모 21" xfId="1401" xr:uid="{00000000-0005-0000-0000-000078050000}"/>
    <cellStyle name="메모 22" xfId="1402" xr:uid="{00000000-0005-0000-0000-000079050000}"/>
    <cellStyle name="메모 23" xfId="1403" xr:uid="{00000000-0005-0000-0000-00007A050000}"/>
    <cellStyle name="메모 24" xfId="1404" xr:uid="{00000000-0005-0000-0000-00007B050000}"/>
    <cellStyle name="메모 25" xfId="1405" xr:uid="{00000000-0005-0000-0000-00007C050000}"/>
    <cellStyle name="메모 26" xfId="1406" xr:uid="{00000000-0005-0000-0000-00007D050000}"/>
    <cellStyle name="메모 27" xfId="1407" xr:uid="{00000000-0005-0000-0000-00007E050000}"/>
    <cellStyle name="메모 28" xfId="1408" xr:uid="{00000000-0005-0000-0000-00007F050000}"/>
    <cellStyle name="메모 29" xfId="1409" xr:uid="{00000000-0005-0000-0000-000080050000}"/>
    <cellStyle name="메모 3" xfId="1410" xr:uid="{00000000-0005-0000-0000-000081050000}"/>
    <cellStyle name="메모 3 2" xfId="1411" xr:uid="{00000000-0005-0000-0000-000082050000}"/>
    <cellStyle name="메모 3_2.소매판매액지수, 대형소매점 판매액지수 및 서비스업 생" xfId="1412" xr:uid="{00000000-0005-0000-0000-000083050000}"/>
    <cellStyle name="메모 30" xfId="1413" xr:uid="{00000000-0005-0000-0000-000084050000}"/>
    <cellStyle name="메모 31" xfId="1414" xr:uid="{00000000-0005-0000-0000-000085050000}"/>
    <cellStyle name="메모 32" xfId="1415" xr:uid="{00000000-0005-0000-0000-000086050000}"/>
    <cellStyle name="메모 33" xfId="1416" xr:uid="{00000000-0005-0000-0000-000087050000}"/>
    <cellStyle name="메모 34" xfId="1417" xr:uid="{00000000-0005-0000-0000-000088050000}"/>
    <cellStyle name="메모 35" xfId="1418" xr:uid="{00000000-0005-0000-0000-000089050000}"/>
    <cellStyle name="메모 36" xfId="1419" xr:uid="{00000000-0005-0000-0000-00008A050000}"/>
    <cellStyle name="메모 37" xfId="1420" xr:uid="{00000000-0005-0000-0000-00008B050000}"/>
    <cellStyle name="메모 38" xfId="1421" xr:uid="{00000000-0005-0000-0000-00008C050000}"/>
    <cellStyle name="메모 39" xfId="1422" xr:uid="{00000000-0005-0000-0000-00008D050000}"/>
    <cellStyle name="메모 4" xfId="1423" xr:uid="{00000000-0005-0000-0000-00008E050000}"/>
    <cellStyle name="메모 40" xfId="1424" xr:uid="{00000000-0005-0000-0000-00008F050000}"/>
    <cellStyle name="메모 41" xfId="1425" xr:uid="{00000000-0005-0000-0000-000090050000}"/>
    <cellStyle name="메모 42" xfId="1426" xr:uid="{00000000-0005-0000-0000-000091050000}"/>
    <cellStyle name="메모 43" xfId="1427" xr:uid="{00000000-0005-0000-0000-000092050000}"/>
    <cellStyle name="메모 44" xfId="1428" xr:uid="{00000000-0005-0000-0000-000093050000}"/>
    <cellStyle name="메모 45" xfId="1429" xr:uid="{00000000-0005-0000-0000-000094050000}"/>
    <cellStyle name="메모 46" xfId="1430" xr:uid="{00000000-0005-0000-0000-000095050000}"/>
    <cellStyle name="메모 5" xfId="1431" xr:uid="{00000000-0005-0000-0000-000096050000}"/>
    <cellStyle name="메모 6" xfId="1432" xr:uid="{00000000-0005-0000-0000-000097050000}"/>
    <cellStyle name="메모 7" xfId="1433" xr:uid="{00000000-0005-0000-0000-000098050000}"/>
    <cellStyle name="메모 8" xfId="1434" xr:uid="{00000000-0005-0000-0000-000099050000}"/>
    <cellStyle name="메모 9" xfId="1435" xr:uid="{00000000-0005-0000-0000-00009A050000}"/>
    <cellStyle name="믅됞 [0.00]_PRODUCT DETAIL Q1" xfId="1436" xr:uid="{00000000-0005-0000-0000-00009B050000}"/>
    <cellStyle name="믅됞_PRODUCT DETAIL Q1" xfId="1437" xr:uid="{00000000-0005-0000-0000-00009C050000}"/>
    <cellStyle name="보통" xfId="1438" builtinId="28" customBuiltin="1"/>
    <cellStyle name="보통 10" xfId="1439" xr:uid="{00000000-0005-0000-0000-00009E050000}"/>
    <cellStyle name="보통 11" xfId="1440" xr:uid="{00000000-0005-0000-0000-00009F050000}"/>
    <cellStyle name="보통 12" xfId="1441" xr:uid="{00000000-0005-0000-0000-0000A0050000}"/>
    <cellStyle name="보통 13" xfId="1442" xr:uid="{00000000-0005-0000-0000-0000A1050000}"/>
    <cellStyle name="보통 14" xfId="1443" xr:uid="{00000000-0005-0000-0000-0000A2050000}"/>
    <cellStyle name="보통 15" xfId="1444" xr:uid="{00000000-0005-0000-0000-0000A3050000}"/>
    <cellStyle name="보통 16" xfId="1445" xr:uid="{00000000-0005-0000-0000-0000A4050000}"/>
    <cellStyle name="보통 17" xfId="1446" xr:uid="{00000000-0005-0000-0000-0000A5050000}"/>
    <cellStyle name="보통 18" xfId="1447" xr:uid="{00000000-0005-0000-0000-0000A6050000}"/>
    <cellStyle name="보통 19" xfId="1448" xr:uid="{00000000-0005-0000-0000-0000A7050000}"/>
    <cellStyle name="보통 2" xfId="1449" xr:uid="{00000000-0005-0000-0000-0000A8050000}"/>
    <cellStyle name="보통 2 2" xfId="1450" xr:uid="{00000000-0005-0000-0000-0000A9050000}"/>
    <cellStyle name="보통 2_2.소매판매액지수, 대형소매점 판매액지수 및 서비스업 생" xfId="1451" xr:uid="{00000000-0005-0000-0000-0000AA050000}"/>
    <cellStyle name="보통 20" xfId="1452" xr:uid="{00000000-0005-0000-0000-0000AB050000}"/>
    <cellStyle name="보통 21" xfId="1453" xr:uid="{00000000-0005-0000-0000-0000AC050000}"/>
    <cellStyle name="보통 22" xfId="1454" xr:uid="{00000000-0005-0000-0000-0000AD050000}"/>
    <cellStyle name="보통 23" xfId="1455" xr:uid="{00000000-0005-0000-0000-0000AE050000}"/>
    <cellStyle name="보통 24" xfId="1456" xr:uid="{00000000-0005-0000-0000-0000AF050000}"/>
    <cellStyle name="보통 25" xfId="1457" xr:uid="{00000000-0005-0000-0000-0000B0050000}"/>
    <cellStyle name="보통 26" xfId="1458" xr:uid="{00000000-0005-0000-0000-0000B1050000}"/>
    <cellStyle name="보통 27" xfId="1459" xr:uid="{00000000-0005-0000-0000-0000B2050000}"/>
    <cellStyle name="보통 28" xfId="1460" xr:uid="{00000000-0005-0000-0000-0000B3050000}"/>
    <cellStyle name="보통 29" xfId="1461" xr:uid="{00000000-0005-0000-0000-0000B4050000}"/>
    <cellStyle name="보통 3" xfId="1462" xr:uid="{00000000-0005-0000-0000-0000B5050000}"/>
    <cellStyle name="보통 3 2" xfId="1463" xr:uid="{00000000-0005-0000-0000-0000B6050000}"/>
    <cellStyle name="보통 3_2.소매판매액지수, 대형소매점 판매액지수 및 서비스업 생" xfId="1464" xr:uid="{00000000-0005-0000-0000-0000B7050000}"/>
    <cellStyle name="보통 30" xfId="1465" xr:uid="{00000000-0005-0000-0000-0000B8050000}"/>
    <cellStyle name="보통 31" xfId="1466" xr:uid="{00000000-0005-0000-0000-0000B9050000}"/>
    <cellStyle name="보통 32" xfId="1467" xr:uid="{00000000-0005-0000-0000-0000BA050000}"/>
    <cellStyle name="보통 33" xfId="1468" xr:uid="{00000000-0005-0000-0000-0000BB050000}"/>
    <cellStyle name="보통 34" xfId="1469" xr:uid="{00000000-0005-0000-0000-0000BC050000}"/>
    <cellStyle name="보통 35" xfId="1470" xr:uid="{00000000-0005-0000-0000-0000BD050000}"/>
    <cellStyle name="보통 36" xfId="1471" xr:uid="{00000000-0005-0000-0000-0000BE050000}"/>
    <cellStyle name="보통 37" xfId="1472" xr:uid="{00000000-0005-0000-0000-0000BF050000}"/>
    <cellStyle name="보통 38" xfId="1473" xr:uid="{00000000-0005-0000-0000-0000C0050000}"/>
    <cellStyle name="보통 39" xfId="1474" xr:uid="{00000000-0005-0000-0000-0000C1050000}"/>
    <cellStyle name="보통 4" xfId="1475" xr:uid="{00000000-0005-0000-0000-0000C2050000}"/>
    <cellStyle name="보통 40" xfId="1476" xr:uid="{00000000-0005-0000-0000-0000C3050000}"/>
    <cellStyle name="보통 41" xfId="1477" xr:uid="{00000000-0005-0000-0000-0000C4050000}"/>
    <cellStyle name="보통 42" xfId="1478" xr:uid="{00000000-0005-0000-0000-0000C5050000}"/>
    <cellStyle name="보통 43" xfId="1479" xr:uid="{00000000-0005-0000-0000-0000C6050000}"/>
    <cellStyle name="보통 44" xfId="1480" xr:uid="{00000000-0005-0000-0000-0000C7050000}"/>
    <cellStyle name="보통 45" xfId="1481" xr:uid="{00000000-0005-0000-0000-0000C8050000}"/>
    <cellStyle name="보통 46" xfId="1482" xr:uid="{00000000-0005-0000-0000-0000C9050000}"/>
    <cellStyle name="보통 5" xfId="1483" xr:uid="{00000000-0005-0000-0000-0000CA050000}"/>
    <cellStyle name="보통 6" xfId="1484" xr:uid="{00000000-0005-0000-0000-0000CB050000}"/>
    <cellStyle name="보통 7" xfId="1485" xr:uid="{00000000-0005-0000-0000-0000CC050000}"/>
    <cellStyle name="보통 8" xfId="1486" xr:uid="{00000000-0005-0000-0000-0000CD050000}"/>
    <cellStyle name="보통 9" xfId="1487" xr:uid="{00000000-0005-0000-0000-0000CE050000}"/>
    <cellStyle name="뷭?_BOOKSHIP" xfId="1488" xr:uid="{00000000-0005-0000-0000-0000CF050000}"/>
    <cellStyle name="설명 텍스트" xfId="1489" builtinId="53" customBuiltin="1"/>
    <cellStyle name="설명 텍스트 10" xfId="1490" xr:uid="{00000000-0005-0000-0000-0000D1050000}"/>
    <cellStyle name="설명 텍스트 11" xfId="1491" xr:uid="{00000000-0005-0000-0000-0000D2050000}"/>
    <cellStyle name="설명 텍스트 12" xfId="1492" xr:uid="{00000000-0005-0000-0000-0000D3050000}"/>
    <cellStyle name="설명 텍스트 13" xfId="1493" xr:uid="{00000000-0005-0000-0000-0000D4050000}"/>
    <cellStyle name="설명 텍스트 14" xfId="1494" xr:uid="{00000000-0005-0000-0000-0000D5050000}"/>
    <cellStyle name="설명 텍스트 15" xfId="1495" xr:uid="{00000000-0005-0000-0000-0000D6050000}"/>
    <cellStyle name="설명 텍스트 16" xfId="1496" xr:uid="{00000000-0005-0000-0000-0000D7050000}"/>
    <cellStyle name="설명 텍스트 17" xfId="1497" xr:uid="{00000000-0005-0000-0000-0000D8050000}"/>
    <cellStyle name="설명 텍스트 18" xfId="1498" xr:uid="{00000000-0005-0000-0000-0000D9050000}"/>
    <cellStyle name="설명 텍스트 19" xfId="1499" xr:uid="{00000000-0005-0000-0000-0000DA050000}"/>
    <cellStyle name="설명 텍스트 2" xfId="1500" xr:uid="{00000000-0005-0000-0000-0000DB050000}"/>
    <cellStyle name="설명 텍스트 2 2" xfId="1501" xr:uid="{00000000-0005-0000-0000-0000DC050000}"/>
    <cellStyle name="설명 텍스트 2_2.소매판매액지수, 대형소매점 판매액지수 및 서비스업 생" xfId="1502" xr:uid="{00000000-0005-0000-0000-0000DD050000}"/>
    <cellStyle name="설명 텍스트 20" xfId="1503" xr:uid="{00000000-0005-0000-0000-0000DE050000}"/>
    <cellStyle name="설명 텍스트 21" xfId="1504" xr:uid="{00000000-0005-0000-0000-0000DF050000}"/>
    <cellStyle name="설명 텍스트 22" xfId="1505" xr:uid="{00000000-0005-0000-0000-0000E0050000}"/>
    <cellStyle name="설명 텍스트 23" xfId="1506" xr:uid="{00000000-0005-0000-0000-0000E1050000}"/>
    <cellStyle name="설명 텍스트 24" xfId="1507" xr:uid="{00000000-0005-0000-0000-0000E2050000}"/>
    <cellStyle name="설명 텍스트 25" xfId="1508" xr:uid="{00000000-0005-0000-0000-0000E3050000}"/>
    <cellStyle name="설명 텍스트 26" xfId="1509" xr:uid="{00000000-0005-0000-0000-0000E4050000}"/>
    <cellStyle name="설명 텍스트 27" xfId="1510" xr:uid="{00000000-0005-0000-0000-0000E5050000}"/>
    <cellStyle name="설명 텍스트 28" xfId="1511" xr:uid="{00000000-0005-0000-0000-0000E6050000}"/>
    <cellStyle name="설명 텍스트 29" xfId="1512" xr:uid="{00000000-0005-0000-0000-0000E7050000}"/>
    <cellStyle name="설명 텍스트 3" xfId="1513" xr:uid="{00000000-0005-0000-0000-0000E8050000}"/>
    <cellStyle name="설명 텍스트 3 2" xfId="1514" xr:uid="{00000000-0005-0000-0000-0000E9050000}"/>
    <cellStyle name="설명 텍스트 3_2.소매판매액지수, 대형소매점 판매액지수 및 서비스업 생" xfId="1515" xr:uid="{00000000-0005-0000-0000-0000EA050000}"/>
    <cellStyle name="설명 텍스트 30" xfId="1516" xr:uid="{00000000-0005-0000-0000-0000EB050000}"/>
    <cellStyle name="설명 텍스트 31" xfId="1517" xr:uid="{00000000-0005-0000-0000-0000EC050000}"/>
    <cellStyle name="설명 텍스트 32" xfId="1518" xr:uid="{00000000-0005-0000-0000-0000ED050000}"/>
    <cellStyle name="설명 텍스트 33" xfId="1519" xr:uid="{00000000-0005-0000-0000-0000EE050000}"/>
    <cellStyle name="설명 텍스트 34" xfId="1520" xr:uid="{00000000-0005-0000-0000-0000EF050000}"/>
    <cellStyle name="설명 텍스트 35" xfId="1521" xr:uid="{00000000-0005-0000-0000-0000F0050000}"/>
    <cellStyle name="설명 텍스트 36" xfId="1522" xr:uid="{00000000-0005-0000-0000-0000F1050000}"/>
    <cellStyle name="설명 텍스트 37" xfId="1523" xr:uid="{00000000-0005-0000-0000-0000F2050000}"/>
    <cellStyle name="설명 텍스트 38" xfId="1524" xr:uid="{00000000-0005-0000-0000-0000F3050000}"/>
    <cellStyle name="설명 텍스트 39" xfId="1525" xr:uid="{00000000-0005-0000-0000-0000F4050000}"/>
    <cellStyle name="설명 텍스트 4" xfId="1526" xr:uid="{00000000-0005-0000-0000-0000F5050000}"/>
    <cellStyle name="설명 텍스트 40" xfId="1527" xr:uid="{00000000-0005-0000-0000-0000F6050000}"/>
    <cellStyle name="설명 텍스트 41" xfId="1528" xr:uid="{00000000-0005-0000-0000-0000F7050000}"/>
    <cellStyle name="설명 텍스트 42" xfId="1529" xr:uid="{00000000-0005-0000-0000-0000F8050000}"/>
    <cellStyle name="설명 텍스트 43" xfId="1530" xr:uid="{00000000-0005-0000-0000-0000F9050000}"/>
    <cellStyle name="설명 텍스트 44" xfId="1531" xr:uid="{00000000-0005-0000-0000-0000FA050000}"/>
    <cellStyle name="설명 텍스트 45" xfId="1532" xr:uid="{00000000-0005-0000-0000-0000FB050000}"/>
    <cellStyle name="설명 텍스트 46" xfId="1533" xr:uid="{00000000-0005-0000-0000-0000FC050000}"/>
    <cellStyle name="설명 텍스트 5" xfId="1534" xr:uid="{00000000-0005-0000-0000-0000FD050000}"/>
    <cellStyle name="설명 텍스트 6" xfId="1535" xr:uid="{00000000-0005-0000-0000-0000FE050000}"/>
    <cellStyle name="설명 텍스트 7" xfId="1536" xr:uid="{00000000-0005-0000-0000-0000FF050000}"/>
    <cellStyle name="설명 텍스트 8" xfId="1537" xr:uid="{00000000-0005-0000-0000-000000060000}"/>
    <cellStyle name="설명 텍스트 9" xfId="1538" xr:uid="{00000000-0005-0000-0000-000001060000}"/>
    <cellStyle name="셀 확인" xfId="1539" builtinId="23" customBuiltin="1"/>
    <cellStyle name="셀 확인 10" xfId="1540" xr:uid="{00000000-0005-0000-0000-000003060000}"/>
    <cellStyle name="셀 확인 11" xfId="1541" xr:uid="{00000000-0005-0000-0000-000004060000}"/>
    <cellStyle name="셀 확인 12" xfId="1542" xr:uid="{00000000-0005-0000-0000-000005060000}"/>
    <cellStyle name="셀 확인 13" xfId="1543" xr:uid="{00000000-0005-0000-0000-000006060000}"/>
    <cellStyle name="셀 확인 14" xfId="1544" xr:uid="{00000000-0005-0000-0000-000007060000}"/>
    <cellStyle name="셀 확인 15" xfId="1545" xr:uid="{00000000-0005-0000-0000-000008060000}"/>
    <cellStyle name="셀 확인 16" xfId="1546" xr:uid="{00000000-0005-0000-0000-000009060000}"/>
    <cellStyle name="셀 확인 17" xfId="1547" xr:uid="{00000000-0005-0000-0000-00000A060000}"/>
    <cellStyle name="셀 확인 18" xfId="1548" xr:uid="{00000000-0005-0000-0000-00000B060000}"/>
    <cellStyle name="셀 확인 19" xfId="1549" xr:uid="{00000000-0005-0000-0000-00000C060000}"/>
    <cellStyle name="셀 확인 2" xfId="1550" xr:uid="{00000000-0005-0000-0000-00000D060000}"/>
    <cellStyle name="셀 확인 2 2" xfId="1551" xr:uid="{00000000-0005-0000-0000-00000E060000}"/>
    <cellStyle name="셀 확인 2_2.소매판매액지수, 대형소매점 판매액지수 및 서비스업 생" xfId="1552" xr:uid="{00000000-0005-0000-0000-00000F060000}"/>
    <cellStyle name="셀 확인 20" xfId="1553" xr:uid="{00000000-0005-0000-0000-000010060000}"/>
    <cellStyle name="셀 확인 21" xfId="1554" xr:uid="{00000000-0005-0000-0000-000011060000}"/>
    <cellStyle name="셀 확인 22" xfId="1555" xr:uid="{00000000-0005-0000-0000-000012060000}"/>
    <cellStyle name="셀 확인 23" xfId="1556" xr:uid="{00000000-0005-0000-0000-000013060000}"/>
    <cellStyle name="셀 확인 24" xfId="1557" xr:uid="{00000000-0005-0000-0000-000014060000}"/>
    <cellStyle name="셀 확인 25" xfId="1558" xr:uid="{00000000-0005-0000-0000-000015060000}"/>
    <cellStyle name="셀 확인 26" xfId="1559" xr:uid="{00000000-0005-0000-0000-000016060000}"/>
    <cellStyle name="셀 확인 27" xfId="1560" xr:uid="{00000000-0005-0000-0000-000017060000}"/>
    <cellStyle name="셀 확인 28" xfId="1561" xr:uid="{00000000-0005-0000-0000-000018060000}"/>
    <cellStyle name="셀 확인 29" xfId="1562" xr:uid="{00000000-0005-0000-0000-000019060000}"/>
    <cellStyle name="셀 확인 3" xfId="1563" xr:uid="{00000000-0005-0000-0000-00001A060000}"/>
    <cellStyle name="셀 확인 3 2" xfId="1564" xr:uid="{00000000-0005-0000-0000-00001B060000}"/>
    <cellStyle name="셀 확인 3_2.소매판매액지수, 대형소매점 판매액지수 및 서비스업 생" xfId="1565" xr:uid="{00000000-0005-0000-0000-00001C060000}"/>
    <cellStyle name="셀 확인 30" xfId="1566" xr:uid="{00000000-0005-0000-0000-00001D060000}"/>
    <cellStyle name="셀 확인 31" xfId="1567" xr:uid="{00000000-0005-0000-0000-00001E060000}"/>
    <cellStyle name="셀 확인 32" xfId="1568" xr:uid="{00000000-0005-0000-0000-00001F060000}"/>
    <cellStyle name="셀 확인 33" xfId="1569" xr:uid="{00000000-0005-0000-0000-000020060000}"/>
    <cellStyle name="셀 확인 34" xfId="1570" xr:uid="{00000000-0005-0000-0000-000021060000}"/>
    <cellStyle name="셀 확인 35" xfId="1571" xr:uid="{00000000-0005-0000-0000-000022060000}"/>
    <cellStyle name="셀 확인 36" xfId="1572" xr:uid="{00000000-0005-0000-0000-000023060000}"/>
    <cellStyle name="셀 확인 37" xfId="1573" xr:uid="{00000000-0005-0000-0000-000024060000}"/>
    <cellStyle name="셀 확인 38" xfId="1574" xr:uid="{00000000-0005-0000-0000-000025060000}"/>
    <cellStyle name="셀 확인 39" xfId="1575" xr:uid="{00000000-0005-0000-0000-000026060000}"/>
    <cellStyle name="셀 확인 4" xfId="1576" xr:uid="{00000000-0005-0000-0000-000027060000}"/>
    <cellStyle name="셀 확인 40" xfId="1577" xr:uid="{00000000-0005-0000-0000-000028060000}"/>
    <cellStyle name="셀 확인 41" xfId="1578" xr:uid="{00000000-0005-0000-0000-000029060000}"/>
    <cellStyle name="셀 확인 42" xfId="1579" xr:uid="{00000000-0005-0000-0000-00002A060000}"/>
    <cellStyle name="셀 확인 43" xfId="1580" xr:uid="{00000000-0005-0000-0000-00002B060000}"/>
    <cellStyle name="셀 확인 44" xfId="1581" xr:uid="{00000000-0005-0000-0000-00002C060000}"/>
    <cellStyle name="셀 확인 45" xfId="1582" xr:uid="{00000000-0005-0000-0000-00002D060000}"/>
    <cellStyle name="셀 확인 46" xfId="1583" xr:uid="{00000000-0005-0000-0000-00002E060000}"/>
    <cellStyle name="셀 확인 5" xfId="1584" xr:uid="{00000000-0005-0000-0000-00002F060000}"/>
    <cellStyle name="셀 확인 6" xfId="1585" xr:uid="{00000000-0005-0000-0000-000030060000}"/>
    <cellStyle name="셀 확인 7" xfId="1586" xr:uid="{00000000-0005-0000-0000-000031060000}"/>
    <cellStyle name="셀 확인 8" xfId="1587" xr:uid="{00000000-0005-0000-0000-000032060000}"/>
    <cellStyle name="셀 확인 9" xfId="1588" xr:uid="{00000000-0005-0000-0000-000033060000}"/>
    <cellStyle name="쉼표 [0]" xfId="1589" builtinId="6"/>
    <cellStyle name="쉼표 [0] 2" xfId="1590" xr:uid="{00000000-0005-0000-0000-000035060000}"/>
    <cellStyle name="쉼표 [0] 2 2" xfId="1591" xr:uid="{00000000-0005-0000-0000-000036060000}"/>
    <cellStyle name="쉼표 [0] 2 2 2" xfId="1592" xr:uid="{00000000-0005-0000-0000-000037060000}"/>
    <cellStyle name="쉼표 [0] 2 2 2 2" xfId="2627" xr:uid="{00000000-0005-0000-0000-000037060000}"/>
    <cellStyle name="쉼표 [0] 2 2 2 2 2" xfId="3323" xr:uid="{00000000-0005-0000-0000-000037060000}"/>
    <cellStyle name="쉼표 [0] 2 2 2 2 3" xfId="4018" xr:uid="{00000000-0005-0000-0000-000037060000}"/>
    <cellStyle name="쉼표 [0] 2 2 2 3" xfId="2976" xr:uid="{00000000-0005-0000-0000-000037060000}"/>
    <cellStyle name="쉼표 [0] 2 2 2 4" xfId="3671" xr:uid="{00000000-0005-0000-0000-000037060000}"/>
    <cellStyle name="쉼표 [0] 2 2 3" xfId="1593" xr:uid="{00000000-0005-0000-0000-000038060000}"/>
    <cellStyle name="쉼표 [0] 2 2 3 2" xfId="2628" xr:uid="{00000000-0005-0000-0000-000038060000}"/>
    <cellStyle name="쉼표 [0] 2 2 3 2 2" xfId="3324" xr:uid="{00000000-0005-0000-0000-000038060000}"/>
    <cellStyle name="쉼표 [0] 2 2 3 2 3" xfId="4019" xr:uid="{00000000-0005-0000-0000-000038060000}"/>
    <cellStyle name="쉼표 [0] 2 2 3 3" xfId="2977" xr:uid="{00000000-0005-0000-0000-000038060000}"/>
    <cellStyle name="쉼표 [0] 2 2 3 4" xfId="3672" xr:uid="{00000000-0005-0000-0000-000038060000}"/>
    <cellStyle name="쉼표 [0] 2 2 4" xfId="2626" xr:uid="{00000000-0005-0000-0000-000036060000}"/>
    <cellStyle name="쉼표 [0] 2 2 4 2" xfId="3322" xr:uid="{00000000-0005-0000-0000-000036060000}"/>
    <cellStyle name="쉼표 [0] 2 2 4 3" xfId="4017" xr:uid="{00000000-0005-0000-0000-000036060000}"/>
    <cellStyle name="쉼표 [0] 2 2 5" xfId="2975" xr:uid="{00000000-0005-0000-0000-000036060000}"/>
    <cellStyle name="쉼표 [0] 2 2 6" xfId="3670" xr:uid="{00000000-0005-0000-0000-000036060000}"/>
    <cellStyle name="쉼표 [0] 2 3" xfId="1594" xr:uid="{00000000-0005-0000-0000-000039060000}"/>
    <cellStyle name="쉼표 [0] 2 3 2" xfId="2629" xr:uid="{00000000-0005-0000-0000-000039060000}"/>
    <cellStyle name="쉼표 [0] 2 3 2 2" xfId="3325" xr:uid="{00000000-0005-0000-0000-000039060000}"/>
    <cellStyle name="쉼표 [0] 2 3 2 3" xfId="4020" xr:uid="{00000000-0005-0000-0000-000039060000}"/>
    <cellStyle name="쉼표 [0] 2 3 3" xfId="2978" xr:uid="{00000000-0005-0000-0000-000039060000}"/>
    <cellStyle name="쉼표 [0] 2 3 4" xfId="3673" xr:uid="{00000000-0005-0000-0000-000039060000}"/>
    <cellStyle name="쉼표 [0] 2 4" xfId="1595" xr:uid="{00000000-0005-0000-0000-00003A060000}"/>
    <cellStyle name="쉼표 [0] 2 4 2" xfId="1596" xr:uid="{00000000-0005-0000-0000-00003B060000}"/>
    <cellStyle name="쉼표 [0] 2 4 2 2" xfId="2631" xr:uid="{00000000-0005-0000-0000-00003B060000}"/>
    <cellStyle name="쉼표 [0] 2 4 2 2 2" xfId="3327" xr:uid="{00000000-0005-0000-0000-00003B060000}"/>
    <cellStyle name="쉼표 [0] 2 4 2 2 3" xfId="4022" xr:uid="{00000000-0005-0000-0000-00003B060000}"/>
    <cellStyle name="쉼표 [0] 2 4 2 3" xfId="2980" xr:uid="{00000000-0005-0000-0000-00003B060000}"/>
    <cellStyle name="쉼표 [0] 2 4 2 4" xfId="3675" xr:uid="{00000000-0005-0000-0000-00003B060000}"/>
    <cellStyle name="쉼표 [0] 2 4 3" xfId="2630" xr:uid="{00000000-0005-0000-0000-00003A060000}"/>
    <cellStyle name="쉼표 [0] 2 4 3 2" xfId="3326" xr:uid="{00000000-0005-0000-0000-00003A060000}"/>
    <cellStyle name="쉼표 [0] 2 4 3 3" xfId="4021" xr:uid="{00000000-0005-0000-0000-00003A060000}"/>
    <cellStyle name="쉼표 [0] 2 4 4" xfId="2979" xr:uid="{00000000-0005-0000-0000-00003A060000}"/>
    <cellStyle name="쉼표 [0] 2 4 5" xfId="3674" xr:uid="{00000000-0005-0000-0000-00003A060000}"/>
    <cellStyle name="쉼표 [0] 2 5" xfId="1597" xr:uid="{00000000-0005-0000-0000-00003C060000}"/>
    <cellStyle name="쉼표 [0] 2 5 2" xfId="2632" xr:uid="{00000000-0005-0000-0000-00003C060000}"/>
    <cellStyle name="쉼표 [0] 2 5 2 2" xfId="3328" xr:uid="{00000000-0005-0000-0000-00003C060000}"/>
    <cellStyle name="쉼표 [0] 2 5 2 3" xfId="4023" xr:uid="{00000000-0005-0000-0000-00003C060000}"/>
    <cellStyle name="쉼표 [0] 2 5 3" xfId="2981" xr:uid="{00000000-0005-0000-0000-00003C060000}"/>
    <cellStyle name="쉼표 [0] 2 5 4" xfId="3676" xr:uid="{00000000-0005-0000-0000-00003C060000}"/>
    <cellStyle name="쉼표 [0] 2 6" xfId="1598" xr:uid="{00000000-0005-0000-0000-00003D060000}"/>
    <cellStyle name="쉼표 [0] 2 6 2" xfId="2633" xr:uid="{00000000-0005-0000-0000-00003D060000}"/>
    <cellStyle name="쉼표 [0] 2 6 2 2" xfId="3329" xr:uid="{00000000-0005-0000-0000-00003D060000}"/>
    <cellStyle name="쉼표 [0] 2 6 2 3" xfId="4024" xr:uid="{00000000-0005-0000-0000-00003D060000}"/>
    <cellStyle name="쉼표 [0] 2 7" xfId="2625" xr:uid="{00000000-0005-0000-0000-000035060000}"/>
    <cellStyle name="쉼표 [0] 2 7 2" xfId="3321" xr:uid="{00000000-0005-0000-0000-000035060000}"/>
    <cellStyle name="쉼표 [0] 2 7 3" xfId="4016" xr:uid="{00000000-0005-0000-0000-000035060000}"/>
    <cellStyle name="쉼표 [0] 2 8" xfId="2974" xr:uid="{00000000-0005-0000-0000-000035060000}"/>
    <cellStyle name="쉼표 [0] 2 9" xfId="3669" xr:uid="{00000000-0005-0000-0000-000035060000}"/>
    <cellStyle name="쉼표 [0] 3" xfId="1599" xr:uid="{00000000-0005-0000-0000-00003E060000}"/>
    <cellStyle name="쉼표 [0] 3 2" xfId="2634" xr:uid="{00000000-0005-0000-0000-00003E060000}"/>
    <cellStyle name="쉼표 [0] 3 2 2" xfId="3330" xr:uid="{00000000-0005-0000-0000-00003E060000}"/>
    <cellStyle name="쉼표 [0] 3 2 3" xfId="4025" xr:uid="{00000000-0005-0000-0000-00003E060000}"/>
    <cellStyle name="쉼표 [0] 3 3" xfId="2982" xr:uid="{00000000-0005-0000-0000-00003E060000}"/>
    <cellStyle name="쉼표 [0] 3 4" xfId="3677" xr:uid="{00000000-0005-0000-0000-00003E060000}"/>
    <cellStyle name="쉼표 [0] 4" xfId="1600" xr:uid="{00000000-0005-0000-0000-00003F060000}"/>
    <cellStyle name="쉼표 [0] 4 2" xfId="2635" xr:uid="{00000000-0005-0000-0000-00003F060000}"/>
    <cellStyle name="쉼표 [0] 4 2 2" xfId="3331" xr:uid="{00000000-0005-0000-0000-00003F060000}"/>
    <cellStyle name="쉼표 [0] 4 2 3" xfId="4026" xr:uid="{00000000-0005-0000-0000-00003F060000}"/>
    <cellStyle name="쉼표 [0] 4 3" xfId="2983" xr:uid="{00000000-0005-0000-0000-00003F060000}"/>
    <cellStyle name="쉼표 [0] 4 4" xfId="3678" xr:uid="{00000000-0005-0000-0000-00003F060000}"/>
    <cellStyle name="쉼표 [0] 5" xfId="2313" xr:uid="{00000000-0005-0000-0000-000011090000}"/>
    <cellStyle name="쉼표 [0] 5 2" xfId="2334" xr:uid="{E38A2779-4441-4C5A-AAFA-D69047FB89F2}"/>
    <cellStyle name="쉼표 [0] 5 2 2" xfId="2355" xr:uid="{7BB48BD4-B50A-4F05-A2F4-064B2CFF3491}"/>
    <cellStyle name="쉼표 [0] 5 2 2 2" xfId="2375" xr:uid="{21705EF4-3FA8-4E82-9F32-7C93C4ADC7DF}"/>
    <cellStyle name="쉼표 [0] 5 2 2 2 2" xfId="2395" xr:uid="{A8FD32FB-550D-42F5-9865-1C983134533B}"/>
    <cellStyle name="쉼표 [0] 5 2 2 2 2 2" xfId="2415" xr:uid="{6D789578-07D8-4746-B36E-37BD99AF4617}"/>
    <cellStyle name="쉼표 [0] 5 2 2 2 2 2 2" xfId="2435" xr:uid="{C918259A-9034-4C85-807D-424131365094}"/>
    <cellStyle name="쉼표 [0] 5 2 2 2 2 2 2 2" xfId="2455" xr:uid="{6D328248-4FDC-40DE-96EB-2AFEFD8AB9AF}"/>
    <cellStyle name="쉼표 [0] 5 2 2 2 2 2 2 2 2" xfId="2803" xr:uid="{6D328248-4FDC-40DE-96EB-2AFEFD8AB9AF}"/>
    <cellStyle name="쉼표 [0] 5 2 2 2 2 2 2 2 2 2" xfId="3499" xr:uid="{6D328248-4FDC-40DE-96EB-2AFEFD8AB9AF}"/>
    <cellStyle name="쉼표 [0] 5 2 2 2 2 2 2 2 2 3" xfId="4194" xr:uid="{6D328248-4FDC-40DE-96EB-2AFEFD8AB9AF}"/>
    <cellStyle name="쉼표 [0] 5 2 2 2 2 2 2 2 3" xfId="3151" xr:uid="{6D328248-4FDC-40DE-96EB-2AFEFD8AB9AF}"/>
    <cellStyle name="쉼표 [0] 5 2 2 2 2 2 2 2 4" xfId="3846" xr:uid="{6D328248-4FDC-40DE-96EB-2AFEFD8AB9AF}"/>
    <cellStyle name="쉼표 [0] 5 2 2 2 2 2 2 3" xfId="2783" xr:uid="{C918259A-9034-4C85-807D-424131365094}"/>
    <cellStyle name="쉼표 [0] 5 2 2 2 2 2 2 3 2" xfId="3479" xr:uid="{C918259A-9034-4C85-807D-424131365094}"/>
    <cellStyle name="쉼표 [0] 5 2 2 2 2 2 2 3 3" xfId="4174" xr:uid="{C918259A-9034-4C85-807D-424131365094}"/>
    <cellStyle name="쉼표 [0] 5 2 2 2 2 2 2 4" xfId="3131" xr:uid="{C918259A-9034-4C85-807D-424131365094}"/>
    <cellStyle name="쉼표 [0] 5 2 2 2 2 2 2 5" xfId="3826" xr:uid="{C918259A-9034-4C85-807D-424131365094}"/>
    <cellStyle name="쉼표 [0] 5 2 2 2 2 2 3" xfId="2763" xr:uid="{6D789578-07D8-4746-B36E-37BD99AF4617}"/>
    <cellStyle name="쉼표 [0] 5 2 2 2 2 2 3 2" xfId="3459" xr:uid="{6D789578-07D8-4746-B36E-37BD99AF4617}"/>
    <cellStyle name="쉼표 [0] 5 2 2 2 2 2 3 3" xfId="4154" xr:uid="{6D789578-07D8-4746-B36E-37BD99AF4617}"/>
    <cellStyle name="쉼표 [0] 5 2 2 2 2 2 4" xfId="3111" xr:uid="{6D789578-07D8-4746-B36E-37BD99AF4617}"/>
    <cellStyle name="쉼표 [0] 5 2 2 2 2 2 5" xfId="3806" xr:uid="{6D789578-07D8-4746-B36E-37BD99AF4617}"/>
    <cellStyle name="쉼표 [0] 5 2 2 2 2 3" xfId="2475" xr:uid="{E14A3335-E556-4870-BFA5-496010FBDCB7}"/>
    <cellStyle name="쉼표 [0] 5 2 2 2 2 3 10" xfId="3171" xr:uid="{E14A3335-E556-4870-BFA5-496010FBDCB7}"/>
    <cellStyle name="쉼표 [0] 5 2 2 2 2 3 11" xfId="3866" xr:uid="{E14A3335-E556-4870-BFA5-496010FBDCB7}"/>
    <cellStyle name="쉼표 [0] 5 2 2 2 2 3 2" xfId="2495" xr:uid="{F4DCD7B6-0A6E-4A22-B006-4B32EC5488A7}"/>
    <cellStyle name="쉼표 [0] 5 2 2 2 2 3 2 2" xfId="2843" xr:uid="{F4DCD7B6-0A6E-4A22-B006-4B32EC5488A7}"/>
    <cellStyle name="쉼표 [0] 5 2 2 2 2 3 2 2 2" xfId="3539" xr:uid="{F4DCD7B6-0A6E-4A22-B006-4B32EC5488A7}"/>
    <cellStyle name="쉼표 [0] 5 2 2 2 2 3 2 2 3" xfId="4234" xr:uid="{F4DCD7B6-0A6E-4A22-B006-4B32EC5488A7}"/>
    <cellStyle name="쉼표 [0] 5 2 2 2 2 3 2 3" xfId="3191" xr:uid="{F4DCD7B6-0A6E-4A22-B006-4B32EC5488A7}"/>
    <cellStyle name="쉼표 [0] 5 2 2 2 2 3 2 4" xfId="3886" xr:uid="{F4DCD7B6-0A6E-4A22-B006-4B32EC5488A7}"/>
    <cellStyle name="쉼표 [0] 5 2 2 2 2 3 3" xfId="2517" xr:uid="{46292BE1-DF40-4100-A5EA-878E507A70FD}"/>
    <cellStyle name="쉼표 [0] 5 2 2 2 2 3 3 2" xfId="2865" xr:uid="{46292BE1-DF40-4100-A5EA-878E507A70FD}"/>
    <cellStyle name="쉼표 [0] 5 2 2 2 2 3 3 2 2" xfId="3561" xr:uid="{46292BE1-DF40-4100-A5EA-878E507A70FD}"/>
    <cellStyle name="쉼표 [0] 5 2 2 2 2 3 3 2 3" xfId="4256" xr:uid="{46292BE1-DF40-4100-A5EA-878E507A70FD}"/>
    <cellStyle name="쉼표 [0] 5 2 2 2 2 3 3 3" xfId="3213" xr:uid="{46292BE1-DF40-4100-A5EA-878E507A70FD}"/>
    <cellStyle name="쉼표 [0] 5 2 2 2 2 3 3 4" xfId="3908" xr:uid="{46292BE1-DF40-4100-A5EA-878E507A70FD}"/>
    <cellStyle name="쉼표 [0] 5 2 2 2 2 3 4" xfId="2536" xr:uid="{BD5C0B39-AC59-4662-B105-3F31A13F3D13}"/>
    <cellStyle name="쉼표 [0] 5 2 2 2 2 3 4 2" xfId="2884" xr:uid="{BD5C0B39-AC59-4662-B105-3F31A13F3D13}"/>
    <cellStyle name="쉼표 [0] 5 2 2 2 2 3 4 2 2" xfId="3580" xr:uid="{BD5C0B39-AC59-4662-B105-3F31A13F3D13}"/>
    <cellStyle name="쉼표 [0] 5 2 2 2 2 3 4 2 3" xfId="4275" xr:uid="{BD5C0B39-AC59-4662-B105-3F31A13F3D13}"/>
    <cellStyle name="쉼표 [0] 5 2 2 2 2 3 4 3" xfId="3232" xr:uid="{BD5C0B39-AC59-4662-B105-3F31A13F3D13}"/>
    <cellStyle name="쉼표 [0] 5 2 2 2 2 3 4 4" xfId="3927" xr:uid="{BD5C0B39-AC59-4662-B105-3F31A13F3D13}"/>
    <cellStyle name="쉼표 [0] 5 2 2 2 2 3 5" xfId="2557" xr:uid="{FF47209D-7028-4C73-98E0-E896D135A547}"/>
    <cellStyle name="쉼표 [0] 5 2 2 2 2 3 5 2" xfId="2905" xr:uid="{FF47209D-7028-4C73-98E0-E896D135A547}"/>
    <cellStyle name="쉼표 [0] 5 2 2 2 2 3 5 2 2" xfId="3601" xr:uid="{FF47209D-7028-4C73-98E0-E896D135A547}"/>
    <cellStyle name="쉼표 [0] 5 2 2 2 2 3 5 2 3" xfId="4296" xr:uid="{FF47209D-7028-4C73-98E0-E896D135A547}"/>
    <cellStyle name="쉼표 [0] 5 2 2 2 2 3 5 3" xfId="3253" xr:uid="{FF47209D-7028-4C73-98E0-E896D135A547}"/>
    <cellStyle name="쉼표 [0] 5 2 2 2 2 3 5 4" xfId="3948" xr:uid="{FF47209D-7028-4C73-98E0-E896D135A547}"/>
    <cellStyle name="쉼표 [0] 5 2 2 2 2 3 6" xfId="2578" xr:uid="{EBCE362E-E3C6-434D-A7AF-EE412F6324E6}"/>
    <cellStyle name="쉼표 [0] 5 2 2 2 2 3 6 2" xfId="2926" xr:uid="{EBCE362E-E3C6-434D-A7AF-EE412F6324E6}"/>
    <cellStyle name="쉼표 [0] 5 2 2 2 2 3 6 2 2" xfId="3622" xr:uid="{EBCE362E-E3C6-434D-A7AF-EE412F6324E6}"/>
    <cellStyle name="쉼표 [0] 5 2 2 2 2 3 6 2 3" xfId="4317" xr:uid="{EBCE362E-E3C6-434D-A7AF-EE412F6324E6}"/>
    <cellStyle name="쉼표 [0] 5 2 2 2 2 3 6 3" xfId="3274" xr:uid="{EBCE362E-E3C6-434D-A7AF-EE412F6324E6}"/>
    <cellStyle name="쉼표 [0] 5 2 2 2 2 3 6 4" xfId="3969" xr:uid="{EBCE362E-E3C6-434D-A7AF-EE412F6324E6}"/>
    <cellStyle name="쉼표 [0] 5 2 2 2 2 3 7" xfId="2597" xr:uid="{9C1BAB27-BD99-4EDD-B629-56EDF7273EBA}"/>
    <cellStyle name="쉼표 [0] 5 2 2 2 2 3 7 2" xfId="2945" xr:uid="{9C1BAB27-BD99-4EDD-B629-56EDF7273EBA}"/>
    <cellStyle name="쉼표 [0] 5 2 2 2 2 3 7 2 2" xfId="3641" xr:uid="{9C1BAB27-BD99-4EDD-B629-56EDF7273EBA}"/>
    <cellStyle name="쉼표 [0] 5 2 2 2 2 3 7 2 3" xfId="4336" xr:uid="{9C1BAB27-BD99-4EDD-B629-56EDF7273EBA}"/>
    <cellStyle name="쉼표 [0] 5 2 2 2 2 3 7 3" xfId="3293" xr:uid="{9C1BAB27-BD99-4EDD-B629-56EDF7273EBA}"/>
    <cellStyle name="쉼표 [0] 5 2 2 2 2 3 7 4" xfId="3988" xr:uid="{9C1BAB27-BD99-4EDD-B629-56EDF7273EBA}"/>
    <cellStyle name="쉼표 [0] 5 2 2 2 2 3 8" xfId="2619" xr:uid="{AD21679C-1FE8-4D46-9E15-05435CD4A6FD}"/>
    <cellStyle name="쉼표 [0] 5 2 2 2 2 3 8 2" xfId="2967" xr:uid="{AD21679C-1FE8-4D46-9E15-05435CD4A6FD}"/>
    <cellStyle name="쉼표 [0] 5 2 2 2 2 3 8 2 2" xfId="3663" xr:uid="{AD21679C-1FE8-4D46-9E15-05435CD4A6FD}"/>
    <cellStyle name="쉼표 [0] 5 2 2 2 2 3 8 2 3" xfId="4358" xr:uid="{AD21679C-1FE8-4D46-9E15-05435CD4A6FD}"/>
    <cellStyle name="쉼표 [0] 5 2 2 2 2 3 8 3" xfId="3315" xr:uid="{AD21679C-1FE8-4D46-9E15-05435CD4A6FD}"/>
    <cellStyle name="쉼표 [0] 5 2 2 2 2 3 8 4" xfId="4010" xr:uid="{AD21679C-1FE8-4D46-9E15-05435CD4A6FD}"/>
    <cellStyle name="쉼표 [0] 5 2 2 2 2 3 9" xfId="2823" xr:uid="{E14A3335-E556-4870-BFA5-496010FBDCB7}"/>
    <cellStyle name="쉼표 [0] 5 2 2 2 2 3 9 2" xfId="3519" xr:uid="{E14A3335-E556-4870-BFA5-496010FBDCB7}"/>
    <cellStyle name="쉼표 [0] 5 2 2 2 2 3 9 3" xfId="4214" xr:uid="{E14A3335-E556-4870-BFA5-496010FBDCB7}"/>
    <cellStyle name="쉼표 [0] 5 2 2 2 2 4" xfId="2743" xr:uid="{A8FD32FB-550D-42F5-9865-1C983134533B}"/>
    <cellStyle name="쉼표 [0] 5 2 2 2 2 4 2" xfId="3439" xr:uid="{A8FD32FB-550D-42F5-9865-1C983134533B}"/>
    <cellStyle name="쉼표 [0] 5 2 2 2 2 4 3" xfId="4134" xr:uid="{A8FD32FB-550D-42F5-9865-1C983134533B}"/>
    <cellStyle name="쉼표 [0] 5 2 2 2 2 5" xfId="3091" xr:uid="{A8FD32FB-550D-42F5-9865-1C983134533B}"/>
    <cellStyle name="쉼표 [0] 5 2 2 2 2 6" xfId="3786" xr:uid="{A8FD32FB-550D-42F5-9865-1C983134533B}"/>
    <cellStyle name="쉼표 [0] 5 2 2 2 3" xfId="2723" xr:uid="{21705EF4-3FA8-4E82-9F32-7C93C4ADC7DF}"/>
    <cellStyle name="쉼표 [0] 5 2 2 2 3 2" xfId="3419" xr:uid="{21705EF4-3FA8-4E82-9F32-7C93C4ADC7DF}"/>
    <cellStyle name="쉼표 [0] 5 2 2 2 3 3" xfId="4114" xr:uid="{21705EF4-3FA8-4E82-9F32-7C93C4ADC7DF}"/>
    <cellStyle name="쉼표 [0] 5 2 2 2 4" xfId="3071" xr:uid="{21705EF4-3FA8-4E82-9F32-7C93C4ADC7DF}"/>
    <cellStyle name="쉼표 [0] 5 2 2 2 5" xfId="3766" xr:uid="{21705EF4-3FA8-4E82-9F32-7C93C4ADC7DF}"/>
    <cellStyle name="쉼표 [0] 5 2 2 3" xfId="2703" xr:uid="{7BB48BD4-B50A-4F05-A2F4-064B2CFF3491}"/>
    <cellStyle name="쉼표 [0] 5 2 2 3 2" xfId="3399" xr:uid="{7BB48BD4-B50A-4F05-A2F4-064B2CFF3491}"/>
    <cellStyle name="쉼표 [0] 5 2 2 3 3" xfId="4094" xr:uid="{7BB48BD4-B50A-4F05-A2F4-064B2CFF3491}"/>
    <cellStyle name="쉼표 [0] 5 2 2 4" xfId="3051" xr:uid="{7BB48BD4-B50A-4F05-A2F4-064B2CFF3491}"/>
    <cellStyle name="쉼표 [0] 5 2 2 5" xfId="3746" xr:uid="{7BB48BD4-B50A-4F05-A2F4-064B2CFF3491}"/>
    <cellStyle name="쉼표 [0] 5 2 3" xfId="2682" xr:uid="{E38A2779-4441-4C5A-AAFA-D69047FB89F2}"/>
    <cellStyle name="쉼표 [0] 5 2 3 2" xfId="3378" xr:uid="{E38A2779-4441-4C5A-AAFA-D69047FB89F2}"/>
    <cellStyle name="쉼표 [0] 5 2 3 3" xfId="4073" xr:uid="{E38A2779-4441-4C5A-AAFA-D69047FB89F2}"/>
    <cellStyle name="쉼표 [0] 5 2 4" xfId="3030" xr:uid="{E38A2779-4441-4C5A-AAFA-D69047FB89F2}"/>
    <cellStyle name="쉼표 [0] 5 2 5" xfId="3725" xr:uid="{E38A2779-4441-4C5A-AAFA-D69047FB89F2}"/>
    <cellStyle name="쉼표 [0] 5 3" xfId="2666" xr:uid="{00000000-0005-0000-0000-000011090000}"/>
    <cellStyle name="쉼표 [0] 5 3 2" xfId="3362" xr:uid="{00000000-0005-0000-0000-000011090000}"/>
    <cellStyle name="쉼표 [0] 5 3 3" xfId="4057" xr:uid="{00000000-0005-0000-0000-000011090000}"/>
    <cellStyle name="쉼표 [0] 5 4" xfId="3014" xr:uid="{00000000-0005-0000-0000-000011090000}"/>
    <cellStyle name="쉼표 [0] 5 5" xfId="3709" xr:uid="{00000000-0005-0000-0000-000011090000}"/>
    <cellStyle name="쉼표 [0] 6" xfId="2501" xr:uid="{8CF625DC-615E-4289-8558-6FC40B635201}"/>
    <cellStyle name="쉼표 [0] 6 2" xfId="2849" xr:uid="{8CF625DC-615E-4289-8558-6FC40B635201}"/>
    <cellStyle name="쉼표 [0] 6 2 2" xfId="3545" xr:uid="{8CF625DC-615E-4289-8558-6FC40B635201}"/>
    <cellStyle name="쉼표 [0] 6 2 3" xfId="4240" xr:uid="{8CF625DC-615E-4289-8558-6FC40B635201}"/>
    <cellStyle name="쉼표 [0] 6 3" xfId="3197" xr:uid="{8CF625DC-615E-4289-8558-6FC40B635201}"/>
    <cellStyle name="쉼표 [0] 6 4" xfId="3892" xr:uid="{8CF625DC-615E-4289-8558-6FC40B635201}"/>
    <cellStyle name="쉼표 [0] 7" xfId="2624" xr:uid="{00000000-0005-0000-0000-0000440A0000}"/>
    <cellStyle name="쉼표 [0] 7 2" xfId="3320" xr:uid="{00000000-0005-0000-0000-0000440A0000}"/>
    <cellStyle name="쉼표 [0] 7 3" xfId="4015" xr:uid="{00000000-0005-0000-0000-0000440A0000}"/>
    <cellStyle name="쉼표 [0] 8" xfId="2973" xr:uid="{00000000-0005-0000-0000-0000A30B0000}"/>
    <cellStyle name="쉼표 [0] 9" xfId="3668" xr:uid="{00000000-0005-0000-0000-0000A20B0000}"/>
    <cellStyle name="연결된 셀" xfId="1601" builtinId="24" customBuiltin="1"/>
    <cellStyle name="연결된 셀 10" xfId="1602" xr:uid="{00000000-0005-0000-0000-000041060000}"/>
    <cellStyle name="연결된 셀 11" xfId="1603" xr:uid="{00000000-0005-0000-0000-000042060000}"/>
    <cellStyle name="연결된 셀 12" xfId="1604" xr:uid="{00000000-0005-0000-0000-000043060000}"/>
    <cellStyle name="연결된 셀 13" xfId="1605" xr:uid="{00000000-0005-0000-0000-000044060000}"/>
    <cellStyle name="연결된 셀 14" xfId="1606" xr:uid="{00000000-0005-0000-0000-000045060000}"/>
    <cellStyle name="연결된 셀 15" xfId="1607" xr:uid="{00000000-0005-0000-0000-000046060000}"/>
    <cellStyle name="연결된 셀 16" xfId="1608" xr:uid="{00000000-0005-0000-0000-000047060000}"/>
    <cellStyle name="연결된 셀 17" xfId="1609" xr:uid="{00000000-0005-0000-0000-000048060000}"/>
    <cellStyle name="연결된 셀 18" xfId="1610" xr:uid="{00000000-0005-0000-0000-000049060000}"/>
    <cellStyle name="연결된 셀 19" xfId="1611" xr:uid="{00000000-0005-0000-0000-00004A060000}"/>
    <cellStyle name="연결된 셀 2" xfId="1612" xr:uid="{00000000-0005-0000-0000-00004B060000}"/>
    <cellStyle name="연결된 셀 2 2" xfId="1613" xr:uid="{00000000-0005-0000-0000-00004C060000}"/>
    <cellStyle name="연결된 셀 2_2.소매판매액지수, 대형소매점 판매액지수 및 서비스업 생" xfId="1614" xr:uid="{00000000-0005-0000-0000-00004D060000}"/>
    <cellStyle name="연결된 셀 20" xfId="1615" xr:uid="{00000000-0005-0000-0000-00004E060000}"/>
    <cellStyle name="연결된 셀 21" xfId="1616" xr:uid="{00000000-0005-0000-0000-00004F060000}"/>
    <cellStyle name="연결된 셀 22" xfId="1617" xr:uid="{00000000-0005-0000-0000-000050060000}"/>
    <cellStyle name="연결된 셀 23" xfId="1618" xr:uid="{00000000-0005-0000-0000-000051060000}"/>
    <cellStyle name="연결된 셀 24" xfId="1619" xr:uid="{00000000-0005-0000-0000-000052060000}"/>
    <cellStyle name="연결된 셀 25" xfId="1620" xr:uid="{00000000-0005-0000-0000-000053060000}"/>
    <cellStyle name="연결된 셀 26" xfId="1621" xr:uid="{00000000-0005-0000-0000-000054060000}"/>
    <cellStyle name="연결된 셀 27" xfId="1622" xr:uid="{00000000-0005-0000-0000-000055060000}"/>
    <cellStyle name="연결된 셀 28" xfId="1623" xr:uid="{00000000-0005-0000-0000-000056060000}"/>
    <cellStyle name="연결된 셀 29" xfId="1624" xr:uid="{00000000-0005-0000-0000-000057060000}"/>
    <cellStyle name="연결된 셀 3" xfId="1625" xr:uid="{00000000-0005-0000-0000-000058060000}"/>
    <cellStyle name="연결된 셀 3 2" xfId="1626" xr:uid="{00000000-0005-0000-0000-000059060000}"/>
    <cellStyle name="연결된 셀 3_2.소매판매액지수, 대형소매점 판매액지수 및 서비스업 생" xfId="1627" xr:uid="{00000000-0005-0000-0000-00005A060000}"/>
    <cellStyle name="연결된 셀 30" xfId="1628" xr:uid="{00000000-0005-0000-0000-00005B060000}"/>
    <cellStyle name="연결된 셀 31" xfId="1629" xr:uid="{00000000-0005-0000-0000-00005C060000}"/>
    <cellStyle name="연결된 셀 32" xfId="1630" xr:uid="{00000000-0005-0000-0000-00005D060000}"/>
    <cellStyle name="연결된 셀 33" xfId="1631" xr:uid="{00000000-0005-0000-0000-00005E060000}"/>
    <cellStyle name="연결된 셀 34" xfId="1632" xr:uid="{00000000-0005-0000-0000-00005F060000}"/>
    <cellStyle name="연결된 셀 35" xfId="1633" xr:uid="{00000000-0005-0000-0000-000060060000}"/>
    <cellStyle name="연결된 셀 36" xfId="1634" xr:uid="{00000000-0005-0000-0000-000061060000}"/>
    <cellStyle name="연결된 셀 37" xfId="1635" xr:uid="{00000000-0005-0000-0000-000062060000}"/>
    <cellStyle name="연결된 셀 38" xfId="1636" xr:uid="{00000000-0005-0000-0000-000063060000}"/>
    <cellStyle name="연결된 셀 39" xfId="1637" xr:uid="{00000000-0005-0000-0000-000064060000}"/>
    <cellStyle name="연결된 셀 4" xfId="1638" xr:uid="{00000000-0005-0000-0000-000065060000}"/>
    <cellStyle name="연결된 셀 40" xfId="1639" xr:uid="{00000000-0005-0000-0000-000066060000}"/>
    <cellStyle name="연결된 셀 41" xfId="1640" xr:uid="{00000000-0005-0000-0000-000067060000}"/>
    <cellStyle name="연결된 셀 42" xfId="1641" xr:uid="{00000000-0005-0000-0000-000068060000}"/>
    <cellStyle name="연결된 셀 43" xfId="1642" xr:uid="{00000000-0005-0000-0000-000069060000}"/>
    <cellStyle name="연결된 셀 44" xfId="1643" xr:uid="{00000000-0005-0000-0000-00006A060000}"/>
    <cellStyle name="연결된 셀 45" xfId="1644" xr:uid="{00000000-0005-0000-0000-00006B060000}"/>
    <cellStyle name="연결된 셀 46" xfId="1645" xr:uid="{00000000-0005-0000-0000-00006C060000}"/>
    <cellStyle name="연결된 셀 5" xfId="1646" xr:uid="{00000000-0005-0000-0000-00006D060000}"/>
    <cellStyle name="연결된 셀 6" xfId="1647" xr:uid="{00000000-0005-0000-0000-00006E060000}"/>
    <cellStyle name="연결된 셀 7" xfId="1648" xr:uid="{00000000-0005-0000-0000-00006F060000}"/>
    <cellStyle name="연결된 셀 8" xfId="1649" xr:uid="{00000000-0005-0000-0000-000070060000}"/>
    <cellStyle name="연결된 셀 9" xfId="1650" xr:uid="{00000000-0005-0000-0000-000071060000}"/>
    <cellStyle name="요약" xfId="1651" builtinId="25" customBuiltin="1"/>
    <cellStyle name="요약 10" xfId="1652" xr:uid="{00000000-0005-0000-0000-000073060000}"/>
    <cellStyle name="요약 11" xfId="1653" xr:uid="{00000000-0005-0000-0000-000074060000}"/>
    <cellStyle name="요약 12" xfId="1654" xr:uid="{00000000-0005-0000-0000-000075060000}"/>
    <cellStyle name="요약 13" xfId="1655" xr:uid="{00000000-0005-0000-0000-000076060000}"/>
    <cellStyle name="요약 14" xfId="1656" xr:uid="{00000000-0005-0000-0000-000077060000}"/>
    <cellStyle name="요약 15" xfId="1657" xr:uid="{00000000-0005-0000-0000-000078060000}"/>
    <cellStyle name="요약 16" xfId="1658" xr:uid="{00000000-0005-0000-0000-000079060000}"/>
    <cellStyle name="요약 17" xfId="1659" xr:uid="{00000000-0005-0000-0000-00007A060000}"/>
    <cellStyle name="요약 18" xfId="1660" xr:uid="{00000000-0005-0000-0000-00007B060000}"/>
    <cellStyle name="요약 19" xfId="1661" xr:uid="{00000000-0005-0000-0000-00007C060000}"/>
    <cellStyle name="요약 2" xfId="1662" xr:uid="{00000000-0005-0000-0000-00007D060000}"/>
    <cellStyle name="요약 2 2" xfId="1663" xr:uid="{00000000-0005-0000-0000-00007E060000}"/>
    <cellStyle name="요약 2_2.소매판매액지수, 대형소매점 판매액지수 및 서비스업 생" xfId="1664" xr:uid="{00000000-0005-0000-0000-00007F060000}"/>
    <cellStyle name="요약 20" xfId="1665" xr:uid="{00000000-0005-0000-0000-000080060000}"/>
    <cellStyle name="요약 21" xfId="1666" xr:uid="{00000000-0005-0000-0000-000081060000}"/>
    <cellStyle name="요약 22" xfId="1667" xr:uid="{00000000-0005-0000-0000-000082060000}"/>
    <cellStyle name="요약 23" xfId="1668" xr:uid="{00000000-0005-0000-0000-000083060000}"/>
    <cellStyle name="요약 24" xfId="1669" xr:uid="{00000000-0005-0000-0000-000084060000}"/>
    <cellStyle name="요약 25" xfId="1670" xr:uid="{00000000-0005-0000-0000-000085060000}"/>
    <cellStyle name="요약 26" xfId="1671" xr:uid="{00000000-0005-0000-0000-000086060000}"/>
    <cellStyle name="요약 27" xfId="1672" xr:uid="{00000000-0005-0000-0000-000087060000}"/>
    <cellStyle name="요약 28" xfId="1673" xr:uid="{00000000-0005-0000-0000-000088060000}"/>
    <cellStyle name="요약 29" xfId="1674" xr:uid="{00000000-0005-0000-0000-000089060000}"/>
    <cellStyle name="요약 3" xfId="1675" xr:uid="{00000000-0005-0000-0000-00008A060000}"/>
    <cellStyle name="요약 3 2" xfId="1676" xr:uid="{00000000-0005-0000-0000-00008B060000}"/>
    <cellStyle name="요약 3_2.소매판매액지수, 대형소매점 판매액지수 및 서비스업 생" xfId="1677" xr:uid="{00000000-0005-0000-0000-00008C060000}"/>
    <cellStyle name="요약 30" xfId="1678" xr:uid="{00000000-0005-0000-0000-00008D060000}"/>
    <cellStyle name="요약 31" xfId="1679" xr:uid="{00000000-0005-0000-0000-00008E060000}"/>
    <cellStyle name="요약 32" xfId="1680" xr:uid="{00000000-0005-0000-0000-00008F060000}"/>
    <cellStyle name="요약 33" xfId="1681" xr:uid="{00000000-0005-0000-0000-000090060000}"/>
    <cellStyle name="요약 34" xfId="1682" xr:uid="{00000000-0005-0000-0000-000091060000}"/>
    <cellStyle name="요약 35" xfId="1683" xr:uid="{00000000-0005-0000-0000-000092060000}"/>
    <cellStyle name="요약 36" xfId="1684" xr:uid="{00000000-0005-0000-0000-000093060000}"/>
    <cellStyle name="요약 37" xfId="1685" xr:uid="{00000000-0005-0000-0000-000094060000}"/>
    <cellStyle name="요약 38" xfId="1686" xr:uid="{00000000-0005-0000-0000-000095060000}"/>
    <cellStyle name="요약 39" xfId="1687" xr:uid="{00000000-0005-0000-0000-000096060000}"/>
    <cellStyle name="요약 4" xfId="1688" xr:uid="{00000000-0005-0000-0000-000097060000}"/>
    <cellStyle name="요약 40" xfId="1689" xr:uid="{00000000-0005-0000-0000-000098060000}"/>
    <cellStyle name="요약 41" xfId="1690" xr:uid="{00000000-0005-0000-0000-000099060000}"/>
    <cellStyle name="요약 42" xfId="1691" xr:uid="{00000000-0005-0000-0000-00009A060000}"/>
    <cellStyle name="요약 43" xfId="1692" xr:uid="{00000000-0005-0000-0000-00009B060000}"/>
    <cellStyle name="요약 44" xfId="1693" xr:uid="{00000000-0005-0000-0000-00009C060000}"/>
    <cellStyle name="요약 45" xfId="1694" xr:uid="{00000000-0005-0000-0000-00009D060000}"/>
    <cellStyle name="요약 46" xfId="1695" xr:uid="{00000000-0005-0000-0000-00009E060000}"/>
    <cellStyle name="요약 5" xfId="1696" xr:uid="{00000000-0005-0000-0000-00009F060000}"/>
    <cellStyle name="요약 6" xfId="1697" xr:uid="{00000000-0005-0000-0000-0000A0060000}"/>
    <cellStyle name="요약 7" xfId="1698" xr:uid="{00000000-0005-0000-0000-0000A1060000}"/>
    <cellStyle name="요약 8" xfId="1699" xr:uid="{00000000-0005-0000-0000-0000A2060000}"/>
    <cellStyle name="요약 9" xfId="1700" xr:uid="{00000000-0005-0000-0000-0000A3060000}"/>
    <cellStyle name="입력" xfId="1701" builtinId="20" customBuiltin="1"/>
    <cellStyle name="입력 10" xfId="1702" xr:uid="{00000000-0005-0000-0000-0000A5060000}"/>
    <cellStyle name="입력 11" xfId="1703" xr:uid="{00000000-0005-0000-0000-0000A6060000}"/>
    <cellStyle name="입력 12" xfId="1704" xr:uid="{00000000-0005-0000-0000-0000A7060000}"/>
    <cellStyle name="입력 13" xfId="1705" xr:uid="{00000000-0005-0000-0000-0000A8060000}"/>
    <cellStyle name="입력 14" xfId="1706" xr:uid="{00000000-0005-0000-0000-0000A9060000}"/>
    <cellStyle name="입력 15" xfId="1707" xr:uid="{00000000-0005-0000-0000-0000AA060000}"/>
    <cellStyle name="입력 16" xfId="1708" xr:uid="{00000000-0005-0000-0000-0000AB060000}"/>
    <cellStyle name="입력 17" xfId="1709" xr:uid="{00000000-0005-0000-0000-0000AC060000}"/>
    <cellStyle name="입력 18" xfId="1710" xr:uid="{00000000-0005-0000-0000-0000AD060000}"/>
    <cellStyle name="입력 19" xfId="1711" xr:uid="{00000000-0005-0000-0000-0000AE060000}"/>
    <cellStyle name="입력 2" xfId="1712" xr:uid="{00000000-0005-0000-0000-0000AF060000}"/>
    <cellStyle name="입력 2 2" xfId="1713" xr:uid="{00000000-0005-0000-0000-0000B0060000}"/>
    <cellStyle name="입력 2_2.소매판매액지수, 대형소매점 판매액지수 및 서비스업 생" xfId="1714" xr:uid="{00000000-0005-0000-0000-0000B1060000}"/>
    <cellStyle name="입력 20" xfId="1715" xr:uid="{00000000-0005-0000-0000-0000B2060000}"/>
    <cellStyle name="입력 21" xfId="1716" xr:uid="{00000000-0005-0000-0000-0000B3060000}"/>
    <cellStyle name="입력 22" xfId="1717" xr:uid="{00000000-0005-0000-0000-0000B4060000}"/>
    <cellStyle name="입력 23" xfId="1718" xr:uid="{00000000-0005-0000-0000-0000B5060000}"/>
    <cellStyle name="입력 24" xfId="1719" xr:uid="{00000000-0005-0000-0000-0000B6060000}"/>
    <cellStyle name="입력 25" xfId="1720" xr:uid="{00000000-0005-0000-0000-0000B7060000}"/>
    <cellStyle name="입력 26" xfId="1721" xr:uid="{00000000-0005-0000-0000-0000B8060000}"/>
    <cellStyle name="입력 27" xfId="1722" xr:uid="{00000000-0005-0000-0000-0000B9060000}"/>
    <cellStyle name="입력 28" xfId="1723" xr:uid="{00000000-0005-0000-0000-0000BA060000}"/>
    <cellStyle name="입력 29" xfId="1724" xr:uid="{00000000-0005-0000-0000-0000BB060000}"/>
    <cellStyle name="입력 3" xfId="1725" xr:uid="{00000000-0005-0000-0000-0000BC060000}"/>
    <cellStyle name="입력 3 2" xfId="1726" xr:uid="{00000000-0005-0000-0000-0000BD060000}"/>
    <cellStyle name="입력 3_2.소매판매액지수, 대형소매점 판매액지수 및 서비스업 생" xfId="1727" xr:uid="{00000000-0005-0000-0000-0000BE060000}"/>
    <cellStyle name="입력 30" xfId="1728" xr:uid="{00000000-0005-0000-0000-0000BF060000}"/>
    <cellStyle name="입력 31" xfId="1729" xr:uid="{00000000-0005-0000-0000-0000C0060000}"/>
    <cellStyle name="입력 32" xfId="1730" xr:uid="{00000000-0005-0000-0000-0000C1060000}"/>
    <cellStyle name="입력 33" xfId="1731" xr:uid="{00000000-0005-0000-0000-0000C2060000}"/>
    <cellStyle name="입력 34" xfId="1732" xr:uid="{00000000-0005-0000-0000-0000C3060000}"/>
    <cellStyle name="입력 35" xfId="1733" xr:uid="{00000000-0005-0000-0000-0000C4060000}"/>
    <cellStyle name="입력 36" xfId="1734" xr:uid="{00000000-0005-0000-0000-0000C5060000}"/>
    <cellStyle name="입력 37" xfId="1735" xr:uid="{00000000-0005-0000-0000-0000C6060000}"/>
    <cellStyle name="입력 38" xfId="1736" xr:uid="{00000000-0005-0000-0000-0000C7060000}"/>
    <cellStyle name="입력 39" xfId="1737" xr:uid="{00000000-0005-0000-0000-0000C8060000}"/>
    <cellStyle name="입력 4" xfId="1738" xr:uid="{00000000-0005-0000-0000-0000C9060000}"/>
    <cellStyle name="입력 40" xfId="1739" xr:uid="{00000000-0005-0000-0000-0000CA060000}"/>
    <cellStyle name="입력 41" xfId="1740" xr:uid="{00000000-0005-0000-0000-0000CB060000}"/>
    <cellStyle name="입력 42" xfId="1741" xr:uid="{00000000-0005-0000-0000-0000CC060000}"/>
    <cellStyle name="입력 43" xfId="1742" xr:uid="{00000000-0005-0000-0000-0000CD060000}"/>
    <cellStyle name="입력 44" xfId="1743" xr:uid="{00000000-0005-0000-0000-0000CE060000}"/>
    <cellStyle name="입력 45" xfId="1744" xr:uid="{00000000-0005-0000-0000-0000CF060000}"/>
    <cellStyle name="입력 46" xfId="1745" xr:uid="{00000000-0005-0000-0000-0000D0060000}"/>
    <cellStyle name="입력 5" xfId="1746" xr:uid="{00000000-0005-0000-0000-0000D1060000}"/>
    <cellStyle name="입력 6" xfId="1747" xr:uid="{00000000-0005-0000-0000-0000D2060000}"/>
    <cellStyle name="입력 7" xfId="1748" xr:uid="{00000000-0005-0000-0000-0000D3060000}"/>
    <cellStyle name="입력 8" xfId="1749" xr:uid="{00000000-0005-0000-0000-0000D4060000}"/>
    <cellStyle name="입력 9" xfId="1750" xr:uid="{00000000-0005-0000-0000-0000D5060000}"/>
    <cellStyle name="자리수" xfId="1751" xr:uid="{00000000-0005-0000-0000-0000D6060000}"/>
    <cellStyle name="자리수0" xfId="1752" xr:uid="{00000000-0005-0000-0000-0000D7060000}"/>
    <cellStyle name="제목" xfId="1753" builtinId="15" customBuiltin="1"/>
    <cellStyle name="제목 1" xfId="1754" builtinId="16" customBuiltin="1"/>
    <cellStyle name="제목 1 10" xfId="1755" xr:uid="{00000000-0005-0000-0000-0000DA060000}"/>
    <cellStyle name="제목 1 11" xfId="1756" xr:uid="{00000000-0005-0000-0000-0000DB060000}"/>
    <cellStyle name="제목 1 12" xfId="1757" xr:uid="{00000000-0005-0000-0000-0000DC060000}"/>
    <cellStyle name="제목 1 13" xfId="1758" xr:uid="{00000000-0005-0000-0000-0000DD060000}"/>
    <cellStyle name="제목 1 14" xfId="1759" xr:uid="{00000000-0005-0000-0000-0000DE060000}"/>
    <cellStyle name="제목 1 15" xfId="1760" xr:uid="{00000000-0005-0000-0000-0000DF060000}"/>
    <cellStyle name="제목 1 16" xfId="1761" xr:uid="{00000000-0005-0000-0000-0000E0060000}"/>
    <cellStyle name="제목 1 17" xfId="1762" xr:uid="{00000000-0005-0000-0000-0000E1060000}"/>
    <cellStyle name="제목 1 18" xfId="1763" xr:uid="{00000000-0005-0000-0000-0000E2060000}"/>
    <cellStyle name="제목 1 19" xfId="1764" xr:uid="{00000000-0005-0000-0000-0000E3060000}"/>
    <cellStyle name="제목 1 2" xfId="1765" xr:uid="{00000000-0005-0000-0000-0000E4060000}"/>
    <cellStyle name="제목 1 2 2" xfId="1766" xr:uid="{00000000-0005-0000-0000-0000E5060000}"/>
    <cellStyle name="제목 1 2_2.소매판매액지수, 대형소매점 판매액지수 및 서비스업 생" xfId="1767" xr:uid="{00000000-0005-0000-0000-0000E6060000}"/>
    <cellStyle name="제목 1 20" xfId="1768" xr:uid="{00000000-0005-0000-0000-0000E7060000}"/>
    <cellStyle name="제목 1 21" xfId="1769" xr:uid="{00000000-0005-0000-0000-0000E8060000}"/>
    <cellStyle name="제목 1 22" xfId="1770" xr:uid="{00000000-0005-0000-0000-0000E9060000}"/>
    <cellStyle name="제목 1 23" xfId="1771" xr:uid="{00000000-0005-0000-0000-0000EA060000}"/>
    <cellStyle name="제목 1 24" xfId="1772" xr:uid="{00000000-0005-0000-0000-0000EB060000}"/>
    <cellStyle name="제목 1 25" xfId="1773" xr:uid="{00000000-0005-0000-0000-0000EC060000}"/>
    <cellStyle name="제목 1 26" xfId="1774" xr:uid="{00000000-0005-0000-0000-0000ED060000}"/>
    <cellStyle name="제목 1 27" xfId="1775" xr:uid="{00000000-0005-0000-0000-0000EE060000}"/>
    <cellStyle name="제목 1 28" xfId="1776" xr:uid="{00000000-0005-0000-0000-0000EF060000}"/>
    <cellStyle name="제목 1 29" xfId="1777" xr:uid="{00000000-0005-0000-0000-0000F0060000}"/>
    <cellStyle name="제목 1 3" xfId="1778" xr:uid="{00000000-0005-0000-0000-0000F1060000}"/>
    <cellStyle name="제목 1 3 2" xfId="1779" xr:uid="{00000000-0005-0000-0000-0000F2060000}"/>
    <cellStyle name="제목 1 3_2.소매판매액지수, 대형소매점 판매액지수 및 서비스업 생" xfId="1780" xr:uid="{00000000-0005-0000-0000-0000F3060000}"/>
    <cellStyle name="제목 1 30" xfId="1781" xr:uid="{00000000-0005-0000-0000-0000F4060000}"/>
    <cellStyle name="제목 1 31" xfId="1782" xr:uid="{00000000-0005-0000-0000-0000F5060000}"/>
    <cellStyle name="제목 1 32" xfId="1783" xr:uid="{00000000-0005-0000-0000-0000F6060000}"/>
    <cellStyle name="제목 1 33" xfId="1784" xr:uid="{00000000-0005-0000-0000-0000F7060000}"/>
    <cellStyle name="제목 1 34" xfId="1785" xr:uid="{00000000-0005-0000-0000-0000F8060000}"/>
    <cellStyle name="제목 1 35" xfId="1786" xr:uid="{00000000-0005-0000-0000-0000F9060000}"/>
    <cellStyle name="제목 1 36" xfId="1787" xr:uid="{00000000-0005-0000-0000-0000FA060000}"/>
    <cellStyle name="제목 1 37" xfId="1788" xr:uid="{00000000-0005-0000-0000-0000FB060000}"/>
    <cellStyle name="제목 1 38" xfId="1789" xr:uid="{00000000-0005-0000-0000-0000FC060000}"/>
    <cellStyle name="제목 1 39" xfId="1790" xr:uid="{00000000-0005-0000-0000-0000FD060000}"/>
    <cellStyle name="제목 1 4" xfId="1791" xr:uid="{00000000-0005-0000-0000-0000FE060000}"/>
    <cellStyle name="제목 1 40" xfId="1792" xr:uid="{00000000-0005-0000-0000-0000FF060000}"/>
    <cellStyle name="제목 1 41" xfId="1793" xr:uid="{00000000-0005-0000-0000-000000070000}"/>
    <cellStyle name="제목 1 42" xfId="1794" xr:uid="{00000000-0005-0000-0000-000001070000}"/>
    <cellStyle name="제목 1 43" xfId="1795" xr:uid="{00000000-0005-0000-0000-000002070000}"/>
    <cellStyle name="제목 1 44" xfId="1796" xr:uid="{00000000-0005-0000-0000-000003070000}"/>
    <cellStyle name="제목 1 45" xfId="1797" xr:uid="{00000000-0005-0000-0000-000004070000}"/>
    <cellStyle name="제목 1 46" xfId="1798" xr:uid="{00000000-0005-0000-0000-000005070000}"/>
    <cellStyle name="제목 1 5" xfId="1799" xr:uid="{00000000-0005-0000-0000-000006070000}"/>
    <cellStyle name="제목 1 6" xfId="1800" xr:uid="{00000000-0005-0000-0000-000007070000}"/>
    <cellStyle name="제목 1 7" xfId="1801" xr:uid="{00000000-0005-0000-0000-000008070000}"/>
    <cellStyle name="제목 1 8" xfId="1802" xr:uid="{00000000-0005-0000-0000-000009070000}"/>
    <cellStyle name="제목 1 9" xfId="1803" xr:uid="{00000000-0005-0000-0000-00000A070000}"/>
    <cellStyle name="제목 10" xfId="1804" xr:uid="{00000000-0005-0000-0000-00000B070000}"/>
    <cellStyle name="제목 11" xfId="1805" xr:uid="{00000000-0005-0000-0000-00000C070000}"/>
    <cellStyle name="제목 12" xfId="1806" xr:uid="{00000000-0005-0000-0000-00000D070000}"/>
    <cellStyle name="제목 13" xfId="1807" xr:uid="{00000000-0005-0000-0000-00000E070000}"/>
    <cellStyle name="제목 14" xfId="1808" xr:uid="{00000000-0005-0000-0000-00000F070000}"/>
    <cellStyle name="제목 15" xfId="1809" xr:uid="{00000000-0005-0000-0000-000010070000}"/>
    <cellStyle name="제목 16" xfId="1810" xr:uid="{00000000-0005-0000-0000-000011070000}"/>
    <cellStyle name="제목 17" xfId="1811" xr:uid="{00000000-0005-0000-0000-000012070000}"/>
    <cellStyle name="제목 18" xfId="1812" xr:uid="{00000000-0005-0000-0000-000013070000}"/>
    <cellStyle name="제목 19" xfId="1813" xr:uid="{00000000-0005-0000-0000-000014070000}"/>
    <cellStyle name="제목 2" xfId="1814" builtinId="17" customBuiltin="1"/>
    <cellStyle name="제목 2 10" xfId="1815" xr:uid="{00000000-0005-0000-0000-000016070000}"/>
    <cellStyle name="제목 2 11" xfId="1816" xr:uid="{00000000-0005-0000-0000-000017070000}"/>
    <cellStyle name="제목 2 12" xfId="1817" xr:uid="{00000000-0005-0000-0000-000018070000}"/>
    <cellStyle name="제목 2 13" xfId="1818" xr:uid="{00000000-0005-0000-0000-000019070000}"/>
    <cellStyle name="제목 2 14" xfId="1819" xr:uid="{00000000-0005-0000-0000-00001A070000}"/>
    <cellStyle name="제목 2 15" xfId="1820" xr:uid="{00000000-0005-0000-0000-00001B070000}"/>
    <cellStyle name="제목 2 16" xfId="1821" xr:uid="{00000000-0005-0000-0000-00001C070000}"/>
    <cellStyle name="제목 2 17" xfId="1822" xr:uid="{00000000-0005-0000-0000-00001D070000}"/>
    <cellStyle name="제목 2 18" xfId="1823" xr:uid="{00000000-0005-0000-0000-00001E070000}"/>
    <cellStyle name="제목 2 19" xfId="1824" xr:uid="{00000000-0005-0000-0000-00001F070000}"/>
    <cellStyle name="제목 2 2" xfId="1825" xr:uid="{00000000-0005-0000-0000-000020070000}"/>
    <cellStyle name="제목 2 2 2" xfId="1826" xr:uid="{00000000-0005-0000-0000-000021070000}"/>
    <cellStyle name="제목 2 2_2.소매판매액지수, 대형소매점 판매액지수 및 서비스업 생" xfId="1827" xr:uid="{00000000-0005-0000-0000-000022070000}"/>
    <cellStyle name="제목 2 20" xfId="1828" xr:uid="{00000000-0005-0000-0000-000023070000}"/>
    <cellStyle name="제목 2 21" xfId="1829" xr:uid="{00000000-0005-0000-0000-000024070000}"/>
    <cellStyle name="제목 2 22" xfId="1830" xr:uid="{00000000-0005-0000-0000-000025070000}"/>
    <cellStyle name="제목 2 23" xfId="1831" xr:uid="{00000000-0005-0000-0000-000026070000}"/>
    <cellStyle name="제목 2 24" xfId="1832" xr:uid="{00000000-0005-0000-0000-000027070000}"/>
    <cellStyle name="제목 2 25" xfId="1833" xr:uid="{00000000-0005-0000-0000-000028070000}"/>
    <cellStyle name="제목 2 26" xfId="1834" xr:uid="{00000000-0005-0000-0000-000029070000}"/>
    <cellStyle name="제목 2 27" xfId="1835" xr:uid="{00000000-0005-0000-0000-00002A070000}"/>
    <cellStyle name="제목 2 28" xfId="1836" xr:uid="{00000000-0005-0000-0000-00002B070000}"/>
    <cellStyle name="제목 2 29" xfId="1837" xr:uid="{00000000-0005-0000-0000-00002C070000}"/>
    <cellStyle name="제목 2 3" xfId="1838" xr:uid="{00000000-0005-0000-0000-00002D070000}"/>
    <cellStyle name="제목 2 3 2" xfId="1839" xr:uid="{00000000-0005-0000-0000-00002E070000}"/>
    <cellStyle name="제목 2 3_2.소매판매액지수, 대형소매점 판매액지수 및 서비스업 생" xfId="1840" xr:uid="{00000000-0005-0000-0000-00002F070000}"/>
    <cellStyle name="제목 2 30" xfId="1841" xr:uid="{00000000-0005-0000-0000-000030070000}"/>
    <cellStyle name="제목 2 31" xfId="1842" xr:uid="{00000000-0005-0000-0000-000031070000}"/>
    <cellStyle name="제목 2 32" xfId="1843" xr:uid="{00000000-0005-0000-0000-000032070000}"/>
    <cellStyle name="제목 2 33" xfId="1844" xr:uid="{00000000-0005-0000-0000-000033070000}"/>
    <cellStyle name="제목 2 34" xfId="1845" xr:uid="{00000000-0005-0000-0000-000034070000}"/>
    <cellStyle name="제목 2 35" xfId="1846" xr:uid="{00000000-0005-0000-0000-000035070000}"/>
    <cellStyle name="제목 2 36" xfId="1847" xr:uid="{00000000-0005-0000-0000-000036070000}"/>
    <cellStyle name="제목 2 37" xfId="1848" xr:uid="{00000000-0005-0000-0000-000037070000}"/>
    <cellStyle name="제목 2 38" xfId="1849" xr:uid="{00000000-0005-0000-0000-000038070000}"/>
    <cellStyle name="제목 2 39" xfId="1850" xr:uid="{00000000-0005-0000-0000-000039070000}"/>
    <cellStyle name="제목 2 4" xfId="1851" xr:uid="{00000000-0005-0000-0000-00003A070000}"/>
    <cellStyle name="제목 2 40" xfId="1852" xr:uid="{00000000-0005-0000-0000-00003B070000}"/>
    <cellStyle name="제목 2 41" xfId="1853" xr:uid="{00000000-0005-0000-0000-00003C070000}"/>
    <cellStyle name="제목 2 42" xfId="1854" xr:uid="{00000000-0005-0000-0000-00003D070000}"/>
    <cellStyle name="제목 2 43" xfId="1855" xr:uid="{00000000-0005-0000-0000-00003E070000}"/>
    <cellStyle name="제목 2 44" xfId="1856" xr:uid="{00000000-0005-0000-0000-00003F070000}"/>
    <cellStyle name="제목 2 45" xfId="1857" xr:uid="{00000000-0005-0000-0000-000040070000}"/>
    <cellStyle name="제목 2 46" xfId="1858" xr:uid="{00000000-0005-0000-0000-000041070000}"/>
    <cellStyle name="제목 2 5" xfId="1859" xr:uid="{00000000-0005-0000-0000-000042070000}"/>
    <cellStyle name="제목 2 6" xfId="1860" xr:uid="{00000000-0005-0000-0000-000043070000}"/>
    <cellStyle name="제목 2 7" xfId="1861" xr:uid="{00000000-0005-0000-0000-000044070000}"/>
    <cellStyle name="제목 2 8" xfId="1862" xr:uid="{00000000-0005-0000-0000-000045070000}"/>
    <cellStyle name="제목 2 9" xfId="1863" xr:uid="{00000000-0005-0000-0000-000046070000}"/>
    <cellStyle name="제목 20" xfId="1864" xr:uid="{00000000-0005-0000-0000-000047070000}"/>
    <cellStyle name="제목 21" xfId="1865" xr:uid="{00000000-0005-0000-0000-000048070000}"/>
    <cellStyle name="제목 22" xfId="1866" xr:uid="{00000000-0005-0000-0000-000049070000}"/>
    <cellStyle name="제목 23" xfId="1867" xr:uid="{00000000-0005-0000-0000-00004A070000}"/>
    <cellStyle name="제목 24" xfId="1868" xr:uid="{00000000-0005-0000-0000-00004B070000}"/>
    <cellStyle name="제목 25" xfId="1869" xr:uid="{00000000-0005-0000-0000-00004C070000}"/>
    <cellStyle name="제목 26" xfId="1870" xr:uid="{00000000-0005-0000-0000-00004D070000}"/>
    <cellStyle name="제목 27" xfId="1871" xr:uid="{00000000-0005-0000-0000-00004E070000}"/>
    <cellStyle name="제목 28" xfId="1872" xr:uid="{00000000-0005-0000-0000-00004F070000}"/>
    <cellStyle name="제목 29" xfId="1873" xr:uid="{00000000-0005-0000-0000-000050070000}"/>
    <cellStyle name="제목 3" xfId="1874" builtinId="18" customBuiltin="1"/>
    <cellStyle name="제목 3 10" xfId="1875" xr:uid="{00000000-0005-0000-0000-000052070000}"/>
    <cellStyle name="제목 3 11" xfId="1876" xr:uid="{00000000-0005-0000-0000-000053070000}"/>
    <cellStyle name="제목 3 12" xfId="1877" xr:uid="{00000000-0005-0000-0000-000054070000}"/>
    <cellStyle name="제목 3 13" xfId="1878" xr:uid="{00000000-0005-0000-0000-000055070000}"/>
    <cellStyle name="제목 3 14" xfId="1879" xr:uid="{00000000-0005-0000-0000-000056070000}"/>
    <cellStyle name="제목 3 15" xfId="1880" xr:uid="{00000000-0005-0000-0000-000057070000}"/>
    <cellStyle name="제목 3 16" xfId="1881" xr:uid="{00000000-0005-0000-0000-000058070000}"/>
    <cellStyle name="제목 3 17" xfId="1882" xr:uid="{00000000-0005-0000-0000-000059070000}"/>
    <cellStyle name="제목 3 18" xfId="1883" xr:uid="{00000000-0005-0000-0000-00005A070000}"/>
    <cellStyle name="제목 3 19" xfId="1884" xr:uid="{00000000-0005-0000-0000-00005B070000}"/>
    <cellStyle name="제목 3 2" xfId="1885" xr:uid="{00000000-0005-0000-0000-00005C070000}"/>
    <cellStyle name="제목 3 2 2" xfId="1886" xr:uid="{00000000-0005-0000-0000-00005D070000}"/>
    <cellStyle name="제목 3 2_2.소매판매액지수, 대형소매점 판매액지수 및 서비스업 생" xfId="1887" xr:uid="{00000000-0005-0000-0000-00005E070000}"/>
    <cellStyle name="제목 3 20" xfId="1888" xr:uid="{00000000-0005-0000-0000-00005F070000}"/>
    <cellStyle name="제목 3 21" xfId="1889" xr:uid="{00000000-0005-0000-0000-000060070000}"/>
    <cellStyle name="제목 3 22" xfId="1890" xr:uid="{00000000-0005-0000-0000-000061070000}"/>
    <cellStyle name="제목 3 23" xfId="1891" xr:uid="{00000000-0005-0000-0000-000062070000}"/>
    <cellStyle name="제목 3 24" xfId="1892" xr:uid="{00000000-0005-0000-0000-000063070000}"/>
    <cellStyle name="제목 3 25" xfId="1893" xr:uid="{00000000-0005-0000-0000-000064070000}"/>
    <cellStyle name="제목 3 26" xfId="1894" xr:uid="{00000000-0005-0000-0000-000065070000}"/>
    <cellStyle name="제목 3 27" xfId="1895" xr:uid="{00000000-0005-0000-0000-000066070000}"/>
    <cellStyle name="제목 3 28" xfId="1896" xr:uid="{00000000-0005-0000-0000-000067070000}"/>
    <cellStyle name="제목 3 29" xfId="1897" xr:uid="{00000000-0005-0000-0000-000068070000}"/>
    <cellStyle name="제목 3 3" xfId="1898" xr:uid="{00000000-0005-0000-0000-000069070000}"/>
    <cellStyle name="제목 3 3 2" xfId="1899" xr:uid="{00000000-0005-0000-0000-00006A070000}"/>
    <cellStyle name="제목 3 3_2.소매판매액지수, 대형소매점 판매액지수 및 서비스업 생" xfId="1900" xr:uid="{00000000-0005-0000-0000-00006B070000}"/>
    <cellStyle name="제목 3 30" xfId="1901" xr:uid="{00000000-0005-0000-0000-00006C070000}"/>
    <cellStyle name="제목 3 31" xfId="1902" xr:uid="{00000000-0005-0000-0000-00006D070000}"/>
    <cellStyle name="제목 3 32" xfId="1903" xr:uid="{00000000-0005-0000-0000-00006E070000}"/>
    <cellStyle name="제목 3 33" xfId="1904" xr:uid="{00000000-0005-0000-0000-00006F070000}"/>
    <cellStyle name="제목 3 34" xfId="1905" xr:uid="{00000000-0005-0000-0000-000070070000}"/>
    <cellStyle name="제목 3 35" xfId="1906" xr:uid="{00000000-0005-0000-0000-000071070000}"/>
    <cellStyle name="제목 3 36" xfId="1907" xr:uid="{00000000-0005-0000-0000-000072070000}"/>
    <cellStyle name="제목 3 37" xfId="1908" xr:uid="{00000000-0005-0000-0000-000073070000}"/>
    <cellStyle name="제목 3 38" xfId="1909" xr:uid="{00000000-0005-0000-0000-000074070000}"/>
    <cellStyle name="제목 3 39" xfId="1910" xr:uid="{00000000-0005-0000-0000-000075070000}"/>
    <cellStyle name="제목 3 4" xfId="1911" xr:uid="{00000000-0005-0000-0000-000076070000}"/>
    <cellStyle name="제목 3 40" xfId="1912" xr:uid="{00000000-0005-0000-0000-000077070000}"/>
    <cellStyle name="제목 3 41" xfId="1913" xr:uid="{00000000-0005-0000-0000-000078070000}"/>
    <cellStyle name="제목 3 42" xfId="1914" xr:uid="{00000000-0005-0000-0000-000079070000}"/>
    <cellStyle name="제목 3 43" xfId="1915" xr:uid="{00000000-0005-0000-0000-00007A070000}"/>
    <cellStyle name="제목 3 44" xfId="1916" xr:uid="{00000000-0005-0000-0000-00007B070000}"/>
    <cellStyle name="제목 3 45" xfId="1917" xr:uid="{00000000-0005-0000-0000-00007C070000}"/>
    <cellStyle name="제목 3 46" xfId="1918" xr:uid="{00000000-0005-0000-0000-00007D070000}"/>
    <cellStyle name="제목 3 5" xfId="1919" xr:uid="{00000000-0005-0000-0000-00007E070000}"/>
    <cellStyle name="제목 3 6" xfId="1920" xr:uid="{00000000-0005-0000-0000-00007F070000}"/>
    <cellStyle name="제목 3 7" xfId="1921" xr:uid="{00000000-0005-0000-0000-000080070000}"/>
    <cellStyle name="제목 3 8" xfId="1922" xr:uid="{00000000-0005-0000-0000-000081070000}"/>
    <cellStyle name="제목 3 9" xfId="1923" xr:uid="{00000000-0005-0000-0000-000082070000}"/>
    <cellStyle name="제목 30" xfId="1924" xr:uid="{00000000-0005-0000-0000-000083070000}"/>
    <cellStyle name="제목 31" xfId="1925" xr:uid="{00000000-0005-0000-0000-000084070000}"/>
    <cellStyle name="제목 32" xfId="1926" xr:uid="{00000000-0005-0000-0000-000085070000}"/>
    <cellStyle name="제목 33" xfId="1927" xr:uid="{00000000-0005-0000-0000-000086070000}"/>
    <cellStyle name="제목 34" xfId="1928" xr:uid="{00000000-0005-0000-0000-000087070000}"/>
    <cellStyle name="제목 35" xfId="1929" xr:uid="{00000000-0005-0000-0000-000088070000}"/>
    <cellStyle name="제목 36" xfId="1930" xr:uid="{00000000-0005-0000-0000-000089070000}"/>
    <cellStyle name="제목 37" xfId="1931" xr:uid="{00000000-0005-0000-0000-00008A070000}"/>
    <cellStyle name="제목 38" xfId="1932" xr:uid="{00000000-0005-0000-0000-00008B070000}"/>
    <cellStyle name="제목 39" xfId="1933" xr:uid="{00000000-0005-0000-0000-00008C070000}"/>
    <cellStyle name="제목 4" xfId="1934" builtinId="19" customBuiltin="1"/>
    <cellStyle name="제목 4 10" xfId="1935" xr:uid="{00000000-0005-0000-0000-00008E070000}"/>
    <cellStyle name="제목 4 11" xfId="1936" xr:uid="{00000000-0005-0000-0000-00008F070000}"/>
    <cellStyle name="제목 4 12" xfId="1937" xr:uid="{00000000-0005-0000-0000-000090070000}"/>
    <cellStyle name="제목 4 13" xfId="1938" xr:uid="{00000000-0005-0000-0000-000091070000}"/>
    <cellStyle name="제목 4 14" xfId="1939" xr:uid="{00000000-0005-0000-0000-000092070000}"/>
    <cellStyle name="제목 4 15" xfId="1940" xr:uid="{00000000-0005-0000-0000-000093070000}"/>
    <cellStyle name="제목 4 16" xfId="1941" xr:uid="{00000000-0005-0000-0000-000094070000}"/>
    <cellStyle name="제목 4 17" xfId="1942" xr:uid="{00000000-0005-0000-0000-000095070000}"/>
    <cellStyle name="제목 4 18" xfId="1943" xr:uid="{00000000-0005-0000-0000-000096070000}"/>
    <cellStyle name="제목 4 19" xfId="1944" xr:uid="{00000000-0005-0000-0000-000097070000}"/>
    <cellStyle name="제목 4 2" xfId="1945" xr:uid="{00000000-0005-0000-0000-000098070000}"/>
    <cellStyle name="제목 4 2 2" xfId="1946" xr:uid="{00000000-0005-0000-0000-000099070000}"/>
    <cellStyle name="제목 4 2_2.소매판매액지수, 대형소매점 판매액지수 및 서비스업 생" xfId="1947" xr:uid="{00000000-0005-0000-0000-00009A070000}"/>
    <cellStyle name="제목 4 20" xfId="1948" xr:uid="{00000000-0005-0000-0000-00009B070000}"/>
    <cellStyle name="제목 4 21" xfId="1949" xr:uid="{00000000-0005-0000-0000-00009C070000}"/>
    <cellStyle name="제목 4 22" xfId="1950" xr:uid="{00000000-0005-0000-0000-00009D070000}"/>
    <cellStyle name="제목 4 23" xfId="1951" xr:uid="{00000000-0005-0000-0000-00009E070000}"/>
    <cellStyle name="제목 4 24" xfId="1952" xr:uid="{00000000-0005-0000-0000-00009F070000}"/>
    <cellStyle name="제목 4 25" xfId="1953" xr:uid="{00000000-0005-0000-0000-0000A0070000}"/>
    <cellStyle name="제목 4 26" xfId="1954" xr:uid="{00000000-0005-0000-0000-0000A1070000}"/>
    <cellStyle name="제목 4 27" xfId="1955" xr:uid="{00000000-0005-0000-0000-0000A2070000}"/>
    <cellStyle name="제목 4 28" xfId="1956" xr:uid="{00000000-0005-0000-0000-0000A3070000}"/>
    <cellStyle name="제목 4 29" xfId="1957" xr:uid="{00000000-0005-0000-0000-0000A4070000}"/>
    <cellStyle name="제목 4 3" xfId="1958" xr:uid="{00000000-0005-0000-0000-0000A5070000}"/>
    <cellStyle name="제목 4 3 2" xfId="1959" xr:uid="{00000000-0005-0000-0000-0000A6070000}"/>
    <cellStyle name="제목 4 3_2.소매판매액지수, 대형소매점 판매액지수 및 서비스업 생" xfId="1960" xr:uid="{00000000-0005-0000-0000-0000A7070000}"/>
    <cellStyle name="제목 4 30" xfId="1961" xr:uid="{00000000-0005-0000-0000-0000A8070000}"/>
    <cellStyle name="제목 4 31" xfId="1962" xr:uid="{00000000-0005-0000-0000-0000A9070000}"/>
    <cellStyle name="제목 4 32" xfId="1963" xr:uid="{00000000-0005-0000-0000-0000AA070000}"/>
    <cellStyle name="제목 4 33" xfId="1964" xr:uid="{00000000-0005-0000-0000-0000AB070000}"/>
    <cellStyle name="제목 4 34" xfId="1965" xr:uid="{00000000-0005-0000-0000-0000AC070000}"/>
    <cellStyle name="제목 4 35" xfId="1966" xr:uid="{00000000-0005-0000-0000-0000AD070000}"/>
    <cellStyle name="제목 4 36" xfId="1967" xr:uid="{00000000-0005-0000-0000-0000AE070000}"/>
    <cellStyle name="제목 4 37" xfId="1968" xr:uid="{00000000-0005-0000-0000-0000AF070000}"/>
    <cellStyle name="제목 4 38" xfId="1969" xr:uid="{00000000-0005-0000-0000-0000B0070000}"/>
    <cellStyle name="제목 4 39" xfId="1970" xr:uid="{00000000-0005-0000-0000-0000B1070000}"/>
    <cellStyle name="제목 4 4" xfId="1971" xr:uid="{00000000-0005-0000-0000-0000B2070000}"/>
    <cellStyle name="제목 4 40" xfId="1972" xr:uid="{00000000-0005-0000-0000-0000B3070000}"/>
    <cellStyle name="제목 4 41" xfId="1973" xr:uid="{00000000-0005-0000-0000-0000B4070000}"/>
    <cellStyle name="제목 4 42" xfId="1974" xr:uid="{00000000-0005-0000-0000-0000B5070000}"/>
    <cellStyle name="제목 4 43" xfId="1975" xr:uid="{00000000-0005-0000-0000-0000B6070000}"/>
    <cellStyle name="제목 4 44" xfId="1976" xr:uid="{00000000-0005-0000-0000-0000B7070000}"/>
    <cellStyle name="제목 4 45" xfId="1977" xr:uid="{00000000-0005-0000-0000-0000B8070000}"/>
    <cellStyle name="제목 4 46" xfId="1978" xr:uid="{00000000-0005-0000-0000-0000B9070000}"/>
    <cellStyle name="제목 4 5" xfId="1979" xr:uid="{00000000-0005-0000-0000-0000BA070000}"/>
    <cellStyle name="제목 4 6" xfId="1980" xr:uid="{00000000-0005-0000-0000-0000BB070000}"/>
    <cellStyle name="제목 4 7" xfId="1981" xr:uid="{00000000-0005-0000-0000-0000BC070000}"/>
    <cellStyle name="제목 4 8" xfId="1982" xr:uid="{00000000-0005-0000-0000-0000BD070000}"/>
    <cellStyle name="제목 4 9" xfId="1983" xr:uid="{00000000-0005-0000-0000-0000BE070000}"/>
    <cellStyle name="제목 40" xfId="1984" xr:uid="{00000000-0005-0000-0000-0000BF070000}"/>
    <cellStyle name="제목 41" xfId="1985" xr:uid="{00000000-0005-0000-0000-0000C0070000}"/>
    <cellStyle name="제목 42" xfId="1986" xr:uid="{00000000-0005-0000-0000-0000C1070000}"/>
    <cellStyle name="제목 43" xfId="1987" xr:uid="{00000000-0005-0000-0000-0000C2070000}"/>
    <cellStyle name="제목 44" xfId="1988" xr:uid="{00000000-0005-0000-0000-0000C3070000}"/>
    <cellStyle name="제목 45" xfId="1989" xr:uid="{00000000-0005-0000-0000-0000C4070000}"/>
    <cellStyle name="제목 46" xfId="1990" xr:uid="{00000000-0005-0000-0000-0000C5070000}"/>
    <cellStyle name="제목 47" xfId="1991" xr:uid="{00000000-0005-0000-0000-0000C6070000}"/>
    <cellStyle name="제목 48" xfId="1992" xr:uid="{00000000-0005-0000-0000-0000C7070000}"/>
    <cellStyle name="제목 49" xfId="1993" xr:uid="{00000000-0005-0000-0000-0000C8070000}"/>
    <cellStyle name="제목 5" xfId="1994" xr:uid="{00000000-0005-0000-0000-0000C9070000}"/>
    <cellStyle name="제목 5 2" xfId="1995" xr:uid="{00000000-0005-0000-0000-0000CA070000}"/>
    <cellStyle name="제목 5_2.소매판매액지수, 대형소매점 판매액지수 및 서비스업 생" xfId="1996" xr:uid="{00000000-0005-0000-0000-0000CB070000}"/>
    <cellStyle name="제목 6" xfId="1997" xr:uid="{00000000-0005-0000-0000-0000CC070000}"/>
    <cellStyle name="제목 6 2" xfId="1998" xr:uid="{00000000-0005-0000-0000-0000CD070000}"/>
    <cellStyle name="제목 6_2.소매판매액지수, 대형소매점 판매액지수 및 서비스업 생" xfId="1999" xr:uid="{00000000-0005-0000-0000-0000CE070000}"/>
    <cellStyle name="제목 7" xfId="2000" xr:uid="{00000000-0005-0000-0000-0000CF070000}"/>
    <cellStyle name="제목 8" xfId="2001" xr:uid="{00000000-0005-0000-0000-0000D0070000}"/>
    <cellStyle name="제목 9" xfId="2002" xr:uid="{00000000-0005-0000-0000-0000D1070000}"/>
    <cellStyle name="좋음" xfId="2003" builtinId="26" customBuiltin="1"/>
    <cellStyle name="좋음 10" xfId="2004" xr:uid="{00000000-0005-0000-0000-0000D3070000}"/>
    <cellStyle name="좋음 11" xfId="2005" xr:uid="{00000000-0005-0000-0000-0000D4070000}"/>
    <cellStyle name="좋음 12" xfId="2006" xr:uid="{00000000-0005-0000-0000-0000D5070000}"/>
    <cellStyle name="좋음 13" xfId="2007" xr:uid="{00000000-0005-0000-0000-0000D6070000}"/>
    <cellStyle name="좋음 14" xfId="2008" xr:uid="{00000000-0005-0000-0000-0000D7070000}"/>
    <cellStyle name="좋음 15" xfId="2009" xr:uid="{00000000-0005-0000-0000-0000D8070000}"/>
    <cellStyle name="좋음 16" xfId="2010" xr:uid="{00000000-0005-0000-0000-0000D9070000}"/>
    <cellStyle name="좋음 17" xfId="2011" xr:uid="{00000000-0005-0000-0000-0000DA070000}"/>
    <cellStyle name="좋음 18" xfId="2012" xr:uid="{00000000-0005-0000-0000-0000DB070000}"/>
    <cellStyle name="좋음 19" xfId="2013" xr:uid="{00000000-0005-0000-0000-0000DC070000}"/>
    <cellStyle name="좋음 2" xfId="2014" xr:uid="{00000000-0005-0000-0000-0000DD070000}"/>
    <cellStyle name="좋음 2 2" xfId="2015" xr:uid="{00000000-0005-0000-0000-0000DE070000}"/>
    <cellStyle name="좋음 2_2.소매판매액지수, 대형소매점 판매액지수 및 서비스업 생" xfId="2016" xr:uid="{00000000-0005-0000-0000-0000DF070000}"/>
    <cellStyle name="좋음 20" xfId="2017" xr:uid="{00000000-0005-0000-0000-0000E0070000}"/>
    <cellStyle name="좋음 21" xfId="2018" xr:uid="{00000000-0005-0000-0000-0000E1070000}"/>
    <cellStyle name="좋음 22" xfId="2019" xr:uid="{00000000-0005-0000-0000-0000E2070000}"/>
    <cellStyle name="좋음 23" xfId="2020" xr:uid="{00000000-0005-0000-0000-0000E3070000}"/>
    <cellStyle name="좋음 24" xfId="2021" xr:uid="{00000000-0005-0000-0000-0000E4070000}"/>
    <cellStyle name="좋음 25" xfId="2022" xr:uid="{00000000-0005-0000-0000-0000E5070000}"/>
    <cellStyle name="좋음 26" xfId="2023" xr:uid="{00000000-0005-0000-0000-0000E6070000}"/>
    <cellStyle name="좋음 27" xfId="2024" xr:uid="{00000000-0005-0000-0000-0000E7070000}"/>
    <cellStyle name="좋음 28" xfId="2025" xr:uid="{00000000-0005-0000-0000-0000E8070000}"/>
    <cellStyle name="좋음 29" xfId="2026" xr:uid="{00000000-0005-0000-0000-0000E9070000}"/>
    <cellStyle name="좋음 3" xfId="2027" xr:uid="{00000000-0005-0000-0000-0000EA070000}"/>
    <cellStyle name="좋음 3 2" xfId="2028" xr:uid="{00000000-0005-0000-0000-0000EB070000}"/>
    <cellStyle name="좋음 3_2.소매판매액지수, 대형소매점 판매액지수 및 서비스업 생" xfId="2029" xr:uid="{00000000-0005-0000-0000-0000EC070000}"/>
    <cellStyle name="좋음 30" xfId="2030" xr:uid="{00000000-0005-0000-0000-0000ED070000}"/>
    <cellStyle name="좋음 31" xfId="2031" xr:uid="{00000000-0005-0000-0000-0000EE070000}"/>
    <cellStyle name="좋음 32" xfId="2032" xr:uid="{00000000-0005-0000-0000-0000EF070000}"/>
    <cellStyle name="좋음 33" xfId="2033" xr:uid="{00000000-0005-0000-0000-0000F0070000}"/>
    <cellStyle name="좋음 34" xfId="2034" xr:uid="{00000000-0005-0000-0000-0000F1070000}"/>
    <cellStyle name="좋음 35" xfId="2035" xr:uid="{00000000-0005-0000-0000-0000F2070000}"/>
    <cellStyle name="좋음 36" xfId="2036" xr:uid="{00000000-0005-0000-0000-0000F3070000}"/>
    <cellStyle name="좋음 37" xfId="2037" xr:uid="{00000000-0005-0000-0000-0000F4070000}"/>
    <cellStyle name="좋음 38" xfId="2038" xr:uid="{00000000-0005-0000-0000-0000F5070000}"/>
    <cellStyle name="좋음 39" xfId="2039" xr:uid="{00000000-0005-0000-0000-0000F6070000}"/>
    <cellStyle name="좋음 4" xfId="2040" xr:uid="{00000000-0005-0000-0000-0000F7070000}"/>
    <cellStyle name="좋음 40" xfId="2041" xr:uid="{00000000-0005-0000-0000-0000F8070000}"/>
    <cellStyle name="좋음 41" xfId="2042" xr:uid="{00000000-0005-0000-0000-0000F9070000}"/>
    <cellStyle name="좋음 42" xfId="2043" xr:uid="{00000000-0005-0000-0000-0000FA070000}"/>
    <cellStyle name="좋음 43" xfId="2044" xr:uid="{00000000-0005-0000-0000-0000FB070000}"/>
    <cellStyle name="좋음 44" xfId="2045" xr:uid="{00000000-0005-0000-0000-0000FC070000}"/>
    <cellStyle name="좋음 45" xfId="2046" xr:uid="{00000000-0005-0000-0000-0000FD070000}"/>
    <cellStyle name="좋음 46" xfId="2047" xr:uid="{00000000-0005-0000-0000-0000FE070000}"/>
    <cellStyle name="좋음 5" xfId="2048" xr:uid="{00000000-0005-0000-0000-0000FF070000}"/>
    <cellStyle name="좋음 6" xfId="2049" xr:uid="{00000000-0005-0000-0000-000000080000}"/>
    <cellStyle name="좋음 7" xfId="2050" xr:uid="{00000000-0005-0000-0000-000001080000}"/>
    <cellStyle name="좋음 8" xfId="2051" xr:uid="{00000000-0005-0000-0000-000002080000}"/>
    <cellStyle name="좋음 9" xfId="2052" xr:uid="{00000000-0005-0000-0000-000003080000}"/>
    <cellStyle name="출력" xfId="2053" builtinId="21" customBuiltin="1"/>
    <cellStyle name="출력 10" xfId="2054" xr:uid="{00000000-0005-0000-0000-000005080000}"/>
    <cellStyle name="출력 11" xfId="2055" xr:uid="{00000000-0005-0000-0000-000006080000}"/>
    <cellStyle name="출력 12" xfId="2056" xr:uid="{00000000-0005-0000-0000-000007080000}"/>
    <cellStyle name="출력 13" xfId="2057" xr:uid="{00000000-0005-0000-0000-000008080000}"/>
    <cellStyle name="출력 14" xfId="2058" xr:uid="{00000000-0005-0000-0000-000009080000}"/>
    <cellStyle name="출력 15" xfId="2059" xr:uid="{00000000-0005-0000-0000-00000A080000}"/>
    <cellStyle name="출력 16" xfId="2060" xr:uid="{00000000-0005-0000-0000-00000B080000}"/>
    <cellStyle name="출력 17" xfId="2061" xr:uid="{00000000-0005-0000-0000-00000C080000}"/>
    <cellStyle name="출력 18" xfId="2062" xr:uid="{00000000-0005-0000-0000-00000D080000}"/>
    <cellStyle name="출력 19" xfId="2063" xr:uid="{00000000-0005-0000-0000-00000E080000}"/>
    <cellStyle name="출력 2" xfId="2064" xr:uid="{00000000-0005-0000-0000-00000F080000}"/>
    <cellStyle name="출력 2 2" xfId="2065" xr:uid="{00000000-0005-0000-0000-000010080000}"/>
    <cellStyle name="출력 2_2.소매판매액지수, 대형소매점 판매액지수 및 서비스업 생" xfId="2066" xr:uid="{00000000-0005-0000-0000-000011080000}"/>
    <cellStyle name="출력 20" xfId="2067" xr:uid="{00000000-0005-0000-0000-000012080000}"/>
    <cellStyle name="출력 21" xfId="2068" xr:uid="{00000000-0005-0000-0000-000013080000}"/>
    <cellStyle name="출력 22" xfId="2069" xr:uid="{00000000-0005-0000-0000-000014080000}"/>
    <cellStyle name="출력 23" xfId="2070" xr:uid="{00000000-0005-0000-0000-000015080000}"/>
    <cellStyle name="출력 24" xfId="2071" xr:uid="{00000000-0005-0000-0000-000016080000}"/>
    <cellStyle name="출력 25" xfId="2072" xr:uid="{00000000-0005-0000-0000-000017080000}"/>
    <cellStyle name="출력 26" xfId="2073" xr:uid="{00000000-0005-0000-0000-000018080000}"/>
    <cellStyle name="출력 27" xfId="2074" xr:uid="{00000000-0005-0000-0000-000019080000}"/>
    <cellStyle name="출력 28" xfId="2075" xr:uid="{00000000-0005-0000-0000-00001A080000}"/>
    <cellStyle name="출력 29" xfId="2076" xr:uid="{00000000-0005-0000-0000-00001B080000}"/>
    <cellStyle name="출력 3" xfId="2077" xr:uid="{00000000-0005-0000-0000-00001C080000}"/>
    <cellStyle name="출력 3 2" xfId="2078" xr:uid="{00000000-0005-0000-0000-00001D080000}"/>
    <cellStyle name="출력 3_2.소매판매액지수, 대형소매점 판매액지수 및 서비스업 생" xfId="2079" xr:uid="{00000000-0005-0000-0000-00001E080000}"/>
    <cellStyle name="출력 30" xfId="2080" xr:uid="{00000000-0005-0000-0000-00001F080000}"/>
    <cellStyle name="출력 31" xfId="2081" xr:uid="{00000000-0005-0000-0000-000020080000}"/>
    <cellStyle name="출력 32" xfId="2082" xr:uid="{00000000-0005-0000-0000-000021080000}"/>
    <cellStyle name="출력 33" xfId="2083" xr:uid="{00000000-0005-0000-0000-000022080000}"/>
    <cellStyle name="출력 34" xfId="2084" xr:uid="{00000000-0005-0000-0000-000023080000}"/>
    <cellStyle name="출력 35" xfId="2085" xr:uid="{00000000-0005-0000-0000-000024080000}"/>
    <cellStyle name="출력 36" xfId="2086" xr:uid="{00000000-0005-0000-0000-000025080000}"/>
    <cellStyle name="출력 37" xfId="2087" xr:uid="{00000000-0005-0000-0000-000026080000}"/>
    <cellStyle name="출력 38" xfId="2088" xr:uid="{00000000-0005-0000-0000-000027080000}"/>
    <cellStyle name="출력 39" xfId="2089" xr:uid="{00000000-0005-0000-0000-000028080000}"/>
    <cellStyle name="출력 4" xfId="2090" xr:uid="{00000000-0005-0000-0000-000029080000}"/>
    <cellStyle name="출력 40" xfId="2091" xr:uid="{00000000-0005-0000-0000-00002A080000}"/>
    <cellStyle name="출력 41" xfId="2092" xr:uid="{00000000-0005-0000-0000-00002B080000}"/>
    <cellStyle name="출력 42" xfId="2093" xr:uid="{00000000-0005-0000-0000-00002C080000}"/>
    <cellStyle name="출력 43" xfId="2094" xr:uid="{00000000-0005-0000-0000-00002D080000}"/>
    <cellStyle name="출력 44" xfId="2095" xr:uid="{00000000-0005-0000-0000-00002E080000}"/>
    <cellStyle name="출력 45" xfId="2096" xr:uid="{00000000-0005-0000-0000-00002F080000}"/>
    <cellStyle name="출력 46" xfId="2097" xr:uid="{00000000-0005-0000-0000-000030080000}"/>
    <cellStyle name="출력 5" xfId="2098" xr:uid="{00000000-0005-0000-0000-000031080000}"/>
    <cellStyle name="출력 6" xfId="2099" xr:uid="{00000000-0005-0000-0000-000032080000}"/>
    <cellStyle name="출력 7" xfId="2100" xr:uid="{00000000-0005-0000-0000-000033080000}"/>
    <cellStyle name="출력 8" xfId="2101" xr:uid="{00000000-0005-0000-0000-000034080000}"/>
    <cellStyle name="출력 9" xfId="2102" xr:uid="{00000000-0005-0000-0000-000035080000}"/>
    <cellStyle name="콤마 [0]_(1.토)" xfId="2103" xr:uid="{00000000-0005-0000-0000-000036080000}"/>
    <cellStyle name="콤마_(1.토)" xfId="2104" xr:uid="{00000000-0005-0000-0000-000037080000}"/>
    <cellStyle name="퍼센트" xfId="2105" xr:uid="{00000000-0005-0000-0000-000038080000}"/>
    <cellStyle name="표준" xfId="0" builtinId="0"/>
    <cellStyle name="표준 10" xfId="2106" xr:uid="{00000000-0005-0000-0000-00003A080000}"/>
    <cellStyle name="표준 10 2" xfId="2107" xr:uid="{00000000-0005-0000-0000-00003B080000}"/>
    <cellStyle name="표준 10 3" xfId="2108" xr:uid="{00000000-0005-0000-0000-00003C080000}"/>
    <cellStyle name="표준 10 4" xfId="2109" xr:uid="{00000000-0005-0000-0000-00003D080000}"/>
    <cellStyle name="표준 100" xfId="2311" xr:uid="{00000000-0005-0000-0000-00000B090000}"/>
    <cellStyle name="표준 100 2" xfId="2338" xr:uid="{EE86F854-DCB6-464C-B4E0-AEB3C55CCF68}"/>
    <cellStyle name="표준 100 2 2" xfId="2359" xr:uid="{BBF57A04-EA36-4254-B469-CF011C73C12E}"/>
    <cellStyle name="표준 100 2 2 2" xfId="2379" xr:uid="{9F91A77E-2E3F-427C-A393-24800AACCEF8}"/>
    <cellStyle name="표준 100 2 2 2 2" xfId="2399" xr:uid="{6D494166-A418-4A2F-A597-F5FC78EB138E}"/>
    <cellStyle name="표준 100 2 2 2 2 2" xfId="2419" xr:uid="{E2235221-28A2-44EE-8777-9AD5EBC73348}"/>
    <cellStyle name="표준 100 2 2 2 2 2 2" xfId="2439" xr:uid="{8173C105-F2AA-4A42-B3E5-B749036B88B3}"/>
    <cellStyle name="표준 100 2 2 2 2 2 2 2" xfId="2459" xr:uid="{303361C0-687D-4BFB-AB05-61698299D97E}"/>
    <cellStyle name="표준 100 2 2 2 2 2 2 2 10" xfId="2807" xr:uid="{303361C0-687D-4BFB-AB05-61698299D97E}"/>
    <cellStyle name="표준 100 2 2 2 2 2 2 2 10 2" xfId="3503" xr:uid="{303361C0-687D-4BFB-AB05-61698299D97E}"/>
    <cellStyle name="표준 100 2 2 2 2 2 2 2 10 3" xfId="4198" xr:uid="{303361C0-687D-4BFB-AB05-61698299D97E}"/>
    <cellStyle name="표준 100 2 2 2 2 2 2 2 11" xfId="3155" xr:uid="{303361C0-687D-4BFB-AB05-61698299D97E}"/>
    <cellStyle name="표준 100 2 2 2 2 2 2 2 12" xfId="3850" xr:uid="{303361C0-687D-4BFB-AB05-61698299D97E}"/>
    <cellStyle name="표준 100 2 2 2 2 2 2 2 2" xfId="2479" xr:uid="{5B82E7D2-1206-435D-8D94-7CC9A9C44401}"/>
    <cellStyle name="표준 100 2 2 2 2 2 2 2 2 2" xfId="2827" xr:uid="{5B82E7D2-1206-435D-8D94-7CC9A9C44401}"/>
    <cellStyle name="표준 100 2 2 2 2 2 2 2 2 2 2" xfId="3523" xr:uid="{5B82E7D2-1206-435D-8D94-7CC9A9C44401}"/>
    <cellStyle name="표준 100 2 2 2 2 2 2 2 2 2 3" xfId="4218" xr:uid="{5B82E7D2-1206-435D-8D94-7CC9A9C44401}"/>
    <cellStyle name="표준 100 2 2 2 2 2 2 2 2 3" xfId="3175" xr:uid="{5B82E7D2-1206-435D-8D94-7CC9A9C44401}"/>
    <cellStyle name="표준 100 2 2 2 2 2 2 2 2 4" xfId="3870" xr:uid="{5B82E7D2-1206-435D-8D94-7CC9A9C44401}"/>
    <cellStyle name="표준 100 2 2 2 2 2 2 2 3" xfId="2499" xr:uid="{63DDD7A1-B064-49DB-A2D4-7E6C5F924AB7}"/>
    <cellStyle name="표준 100 2 2 2 2 2 2 2 3 2" xfId="2847" xr:uid="{63DDD7A1-B064-49DB-A2D4-7E6C5F924AB7}"/>
    <cellStyle name="표준 100 2 2 2 2 2 2 2 3 2 2" xfId="3543" xr:uid="{63DDD7A1-B064-49DB-A2D4-7E6C5F924AB7}"/>
    <cellStyle name="표준 100 2 2 2 2 2 2 2 3 2 3" xfId="4238" xr:uid="{63DDD7A1-B064-49DB-A2D4-7E6C5F924AB7}"/>
    <cellStyle name="표준 100 2 2 2 2 2 2 2 3 3" xfId="3195" xr:uid="{63DDD7A1-B064-49DB-A2D4-7E6C5F924AB7}"/>
    <cellStyle name="표준 100 2 2 2 2 2 2 2 3 4" xfId="3890" xr:uid="{63DDD7A1-B064-49DB-A2D4-7E6C5F924AB7}"/>
    <cellStyle name="표준 100 2 2 2 2 2 2 2 4" xfId="2521" xr:uid="{2BC0E7C0-BFC9-4C5D-8846-0492CBE7DEDB}"/>
    <cellStyle name="표준 100 2 2 2 2 2 2 2 4 2" xfId="2869" xr:uid="{2BC0E7C0-BFC9-4C5D-8846-0492CBE7DEDB}"/>
    <cellStyle name="표준 100 2 2 2 2 2 2 2 4 2 2" xfId="3565" xr:uid="{2BC0E7C0-BFC9-4C5D-8846-0492CBE7DEDB}"/>
    <cellStyle name="표준 100 2 2 2 2 2 2 2 4 2 3" xfId="4260" xr:uid="{2BC0E7C0-BFC9-4C5D-8846-0492CBE7DEDB}"/>
    <cellStyle name="표준 100 2 2 2 2 2 2 2 4 3" xfId="3217" xr:uid="{2BC0E7C0-BFC9-4C5D-8846-0492CBE7DEDB}"/>
    <cellStyle name="표준 100 2 2 2 2 2 2 2 4 4" xfId="3912" xr:uid="{2BC0E7C0-BFC9-4C5D-8846-0492CBE7DEDB}"/>
    <cellStyle name="표준 100 2 2 2 2 2 2 2 5" xfId="2542" xr:uid="{4652E3A7-FBBF-452D-965A-15812B43FD5A}"/>
    <cellStyle name="표준 100 2 2 2 2 2 2 2 5 2" xfId="2890" xr:uid="{4652E3A7-FBBF-452D-965A-15812B43FD5A}"/>
    <cellStyle name="표준 100 2 2 2 2 2 2 2 5 2 2" xfId="3586" xr:uid="{4652E3A7-FBBF-452D-965A-15812B43FD5A}"/>
    <cellStyle name="표준 100 2 2 2 2 2 2 2 5 2 3" xfId="4281" xr:uid="{4652E3A7-FBBF-452D-965A-15812B43FD5A}"/>
    <cellStyle name="표준 100 2 2 2 2 2 2 2 5 3" xfId="3238" xr:uid="{4652E3A7-FBBF-452D-965A-15812B43FD5A}"/>
    <cellStyle name="표준 100 2 2 2 2 2 2 2 5 4" xfId="3933" xr:uid="{4652E3A7-FBBF-452D-965A-15812B43FD5A}"/>
    <cellStyle name="표준 100 2 2 2 2 2 2 2 6" xfId="2563" xr:uid="{D9D75F95-C296-4051-9B35-ADC84805EC4C}"/>
    <cellStyle name="표준 100 2 2 2 2 2 2 2 6 2" xfId="2911" xr:uid="{D9D75F95-C296-4051-9B35-ADC84805EC4C}"/>
    <cellStyle name="표준 100 2 2 2 2 2 2 2 6 2 2" xfId="3607" xr:uid="{D9D75F95-C296-4051-9B35-ADC84805EC4C}"/>
    <cellStyle name="표준 100 2 2 2 2 2 2 2 6 2 3" xfId="4302" xr:uid="{D9D75F95-C296-4051-9B35-ADC84805EC4C}"/>
    <cellStyle name="표준 100 2 2 2 2 2 2 2 6 3" xfId="3259" xr:uid="{D9D75F95-C296-4051-9B35-ADC84805EC4C}"/>
    <cellStyle name="표준 100 2 2 2 2 2 2 2 6 4" xfId="3954" xr:uid="{D9D75F95-C296-4051-9B35-ADC84805EC4C}"/>
    <cellStyle name="표준 100 2 2 2 2 2 2 2 7" xfId="2584" xr:uid="{1873357E-B45B-40CD-8C8B-D74E78CE5471}"/>
    <cellStyle name="표준 100 2 2 2 2 2 2 2 7 2" xfId="2932" xr:uid="{1873357E-B45B-40CD-8C8B-D74E78CE5471}"/>
    <cellStyle name="표준 100 2 2 2 2 2 2 2 7 2 2" xfId="3628" xr:uid="{1873357E-B45B-40CD-8C8B-D74E78CE5471}"/>
    <cellStyle name="표준 100 2 2 2 2 2 2 2 7 2 3" xfId="4323" xr:uid="{1873357E-B45B-40CD-8C8B-D74E78CE5471}"/>
    <cellStyle name="표준 100 2 2 2 2 2 2 2 7 3" xfId="3280" xr:uid="{1873357E-B45B-40CD-8C8B-D74E78CE5471}"/>
    <cellStyle name="표준 100 2 2 2 2 2 2 2 7 4" xfId="3975" xr:uid="{1873357E-B45B-40CD-8C8B-D74E78CE5471}"/>
    <cellStyle name="표준 100 2 2 2 2 2 2 2 8" xfId="2603" xr:uid="{314912EE-B9D7-4E54-A0C5-AB9077A2AE4E}"/>
    <cellStyle name="표준 100 2 2 2 2 2 2 2 8 2" xfId="2951" xr:uid="{314912EE-B9D7-4E54-A0C5-AB9077A2AE4E}"/>
    <cellStyle name="표준 100 2 2 2 2 2 2 2 8 2 2" xfId="3647" xr:uid="{314912EE-B9D7-4E54-A0C5-AB9077A2AE4E}"/>
    <cellStyle name="표준 100 2 2 2 2 2 2 2 8 2 3" xfId="4342" xr:uid="{314912EE-B9D7-4E54-A0C5-AB9077A2AE4E}"/>
    <cellStyle name="표준 100 2 2 2 2 2 2 2 8 3" xfId="3299" xr:uid="{314912EE-B9D7-4E54-A0C5-AB9077A2AE4E}"/>
    <cellStyle name="표준 100 2 2 2 2 2 2 2 8 4" xfId="3994" xr:uid="{314912EE-B9D7-4E54-A0C5-AB9077A2AE4E}"/>
    <cellStyle name="표준 100 2 2 2 2 2 2 2 9" xfId="2623" xr:uid="{33B72FE5-FB1D-4FE6-9366-DDCC4FB2EDA7}"/>
    <cellStyle name="표준 100 2 2 2 2 2 2 2 9 2" xfId="2971" xr:uid="{33B72FE5-FB1D-4FE6-9366-DDCC4FB2EDA7}"/>
    <cellStyle name="표준 100 2 2 2 2 2 2 2 9 2 2" xfId="3667" xr:uid="{33B72FE5-FB1D-4FE6-9366-DDCC4FB2EDA7}"/>
    <cellStyle name="표준 100 2 2 2 2 2 2 2 9 2 3" xfId="4362" xr:uid="{33B72FE5-FB1D-4FE6-9366-DDCC4FB2EDA7}"/>
    <cellStyle name="표준 100 2 2 2 2 2 2 2 9 3" xfId="3319" xr:uid="{33B72FE5-FB1D-4FE6-9366-DDCC4FB2EDA7}"/>
    <cellStyle name="표준 100 2 2 2 2 2 2 2 9 4" xfId="4014" xr:uid="{33B72FE5-FB1D-4FE6-9366-DDCC4FB2EDA7}"/>
    <cellStyle name="표준 100 2 2 2 2 2 2 3" xfId="2787" xr:uid="{8173C105-F2AA-4A42-B3E5-B749036B88B3}"/>
    <cellStyle name="표준 100 2 2 2 2 2 2 3 2" xfId="3483" xr:uid="{8173C105-F2AA-4A42-B3E5-B749036B88B3}"/>
    <cellStyle name="표준 100 2 2 2 2 2 2 3 3" xfId="4178" xr:uid="{8173C105-F2AA-4A42-B3E5-B749036B88B3}"/>
    <cellStyle name="표준 100 2 2 2 2 2 2 4" xfId="3135" xr:uid="{8173C105-F2AA-4A42-B3E5-B749036B88B3}"/>
    <cellStyle name="표준 100 2 2 2 2 2 2 5" xfId="3830" xr:uid="{8173C105-F2AA-4A42-B3E5-B749036B88B3}"/>
    <cellStyle name="표준 100 2 2 2 2 2 3" xfId="2767" xr:uid="{E2235221-28A2-44EE-8777-9AD5EBC73348}"/>
    <cellStyle name="표준 100 2 2 2 2 2 3 2" xfId="3463" xr:uid="{E2235221-28A2-44EE-8777-9AD5EBC73348}"/>
    <cellStyle name="표준 100 2 2 2 2 2 3 3" xfId="4158" xr:uid="{E2235221-28A2-44EE-8777-9AD5EBC73348}"/>
    <cellStyle name="표준 100 2 2 2 2 2 4" xfId="3115" xr:uid="{E2235221-28A2-44EE-8777-9AD5EBC73348}"/>
    <cellStyle name="표준 100 2 2 2 2 2 5" xfId="3810" xr:uid="{E2235221-28A2-44EE-8777-9AD5EBC73348}"/>
    <cellStyle name="표준 100 2 2 2 2 3" xfId="2747" xr:uid="{6D494166-A418-4A2F-A597-F5FC78EB138E}"/>
    <cellStyle name="표준 100 2 2 2 2 3 2" xfId="3443" xr:uid="{6D494166-A418-4A2F-A597-F5FC78EB138E}"/>
    <cellStyle name="표준 100 2 2 2 2 3 3" xfId="4138" xr:uid="{6D494166-A418-4A2F-A597-F5FC78EB138E}"/>
    <cellStyle name="표준 100 2 2 2 2 4" xfId="3095" xr:uid="{6D494166-A418-4A2F-A597-F5FC78EB138E}"/>
    <cellStyle name="표준 100 2 2 2 2 5" xfId="3790" xr:uid="{6D494166-A418-4A2F-A597-F5FC78EB138E}"/>
    <cellStyle name="표준 100 2 2 2 3" xfId="2727" xr:uid="{9F91A77E-2E3F-427C-A393-24800AACCEF8}"/>
    <cellStyle name="표준 100 2 2 2 3 2" xfId="3423" xr:uid="{9F91A77E-2E3F-427C-A393-24800AACCEF8}"/>
    <cellStyle name="표준 100 2 2 2 3 3" xfId="4118" xr:uid="{9F91A77E-2E3F-427C-A393-24800AACCEF8}"/>
    <cellStyle name="표준 100 2 2 2 4" xfId="3075" xr:uid="{9F91A77E-2E3F-427C-A393-24800AACCEF8}"/>
    <cellStyle name="표준 100 2 2 2 5" xfId="3770" xr:uid="{9F91A77E-2E3F-427C-A393-24800AACCEF8}"/>
    <cellStyle name="표준 100 2 2 3" xfId="2707" xr:uid="{BBF57A04-EA36-4254-B469-CF011C73C12E}"/>
    <cellStyle name="표준 100 2 2 3 2" xfId="3403" xr:uid="{BBF57A04-EA36-4254-B469-CF011C73C12E}"/>
    <cellStyle name="표준 100 2 2 3 3" xfId="4098" xr:uid="{BBF57A04-EA36-4254-B469-CF011C73C12E}"/>
    <cellStyle name="표준 100 2 2 4" xfId="3055" xr:uid="{BBF57A04-EA36-4254-B469-CF011C73C12E}"/>
    <cellStyle name="표준 100 2 2 5" xfId="3750" xr:uid="{BBF57A04-EA36-4254-B469-CF011C73C12E}"/>
    <cellStyle name="표준 100 2 3" xfId="2686" xr:uid="{EE86F854-DCB6-464C-B4E0-AEB3C55CCF68}"/>
    <cellStyle name="표준 100 2 3 2" xfId="3382" xr:uid="{EE86F854-DCB6-464C-B4E0-AEB3C55CCF68}"/>
    <cellStyle name="표준 100 2 3 3" xfId="4077" xr:uid="{EE86F854-DCB6-464C-B4E0-AEB3C55CCF68}"/>
    <cellStyle name="표준 100 2 4" xfId="3034" xr:uid="{EE86F854-DCB6-464C-B4E0-AEB3C55CCF68}"/>
    <cellStyle name="표준 100 2 5" xfId="3729" xr:uid="{EE86F854-DCB6-464C-B4E0-AEB3C55CCF68}"/>
    <cellStyle name="표준 100 3" xfId="2664" xr:uid="{00000000-0005-0000-0000-00000B090000}"/>
    <cellStyle name="표준 100 3 2" xfId="3360" xr:uid="{00000000-0005-0000-0000-00000B090000}"/>
    <cellStyle name="표준 100 3 3" xfId="4055" xr:uid="{00000000-0005-0000-0000-00000B090000}"/>
    <cellStyle name="표준 100 4" xfId="3012" xr:uid="{00000000-0005-0000-0000-00000B090000}"/>
    <cellStyle name="표준 100 5" xfId="3707" xr:uid="{00000000-0005-0000-0000-00000B090000}"/>
    <cellStyle name="표준 101" xfId="2312" xr:uid="{00000000-0005-0000-0000-000012090000}"/>
    <cellStyle name="표준 101 2" xfId="2665" xr:uid="{00000000-0005-0000-0000-000012090000}"/>
    <cellStyle name="표준 101 2 2" xfId="3361" xr:uid="{00000000-0005-0000-0000-000012090000}"/>
    <cellStyle name="표준 101 2 3" xfId="4056" xr:uid="{00000000-0005-0000-0000-000012090000}"/>
    <cellStyle name="표준 101 3" xfId="3013" xr:uid="{00000000-0005-0000-0000-000012090000}"/>
    <cellStyle name="표준 101 4" xfId="3708" xr:uid="{00000000-0005-0000-0000-000012090000}"/>
    <cellStyle name="표준 102" xfId="2339" xr:uid="{00000000-0005-0000-0000-000027090000}"/>
    <cellStyle name="표준 102 2" xfId="2687" xr:uid="{00000000-0005-0000-0000-000027090000}"/>
    <cellStyle name="표준 102 2 2" xfId="3383" xr:uid="{00000000-0005-0000-0000-000027090000}"/>
    <cellStyle name="표준 102 2 3" xfId="4078" xr:uid="{00000000-0005-0000-0000-000027090000}"/>
    <cellStyle name="표준 102 3" xfId="3035" xr:uid="{00000000-0005-0000-0000-000027090000}"/>
    <cellStyle name="표준 102 4" xfId="3730" xr:uid="{00000000-0005-0000-0000-000027090000}"/>
    <cellStyle name="표준 103" xfId="2500" xr:uid="{5B5B352A-4B82-447F-8D3D-C555EAEB7748}"/>
    <cellStyle name="표준 103 2" xfId="2848" xr:uid="{5B5B352A-4B82-447F-8D3D-C555EAEB7748}"/>
    <cellStyle name="표준 103 2 2" xfId="3544" xr:uid="{5B5B352A-4B82-447F-8D3D-C555EAEB7748}"/>
    <cellStyle name="표준 103 2 3" xfId="4239" xr:uid="{5B5B352A-4B82-447F-8D3D-C555EAEB7748}"/>
    <cellStyle name="표준 103 3" xfId="3196" xr:uid="{5B5B352A-4B82-447F-8D3D-C555EAEB7748}"/>
    <cellStyle name="표준 103 4" xfId="3891" xr:uid="{5B5B352A-4B82-447F-8D3D-C555EAEB7748}"/>
    <cellStyle name="표준 104" xfId="2535" xr:uid="{31A6F40F-2DC0-4221-9BE0-0FF43C53F968}"/>
    <cellStyle name="표준 104 2" xfId="2556" xr:uid="{3C41F2A9-D0AC-4EB1-AACF-96DF75AE89FE}"/>
    <cellStyle name="표준 104 2 2" xfId="2904" xr:uid="{3C41F2A9-D0AC-4EB1-AACF-96DF75AE89FE}"/>
    <cellStyle name="표준 104 2 2 2" xfId="3600" xr:uid="{3C41F2A9-D0AC-4EB1-AACF-96DF75AE89FE}"/>
    <cellStyle name="표준 104 2 2 3" xfId="4295" xr:uid="{3C41F2A9-D0AC-4EB1-AACF-96DF75AE89FE}"/>
    <cellStyle name="표준 104 2 3" xfId="3252" xr:uid="{3C41F2A9-D0AC-4EB1-AACF-96DF75AE89FE}"/>
    <cellStyle name="표준 104 2 4" xfId="3947" xr:uid="{3C41F2A9-D0AC-4EB1-AACF-96DF75AE89FE}"/>
    <cellStyle name="표준 104 3" xfId="2577" xr:uid="{1D33B3C4-6EF5-4DEC-96AA-4AE135D2CF68}"/>
    <cellStyle name="표준 104 3 2" xfId="2925" xr:uid="{1D33B3C4-6EF5-4DEC-96AA-4AE135D2CF68}"/>
    <cellStyle name="표준 104 3 2 2" xfId="3621" xr:uid="{1D33B3C4-6EF5-4DEC-96AA-4AE135D2CF68}"/>
    <cellStyle name="표준 104 3 2 3" xfId="4316" xr:uid="{1D33B3C4-6EF5-4DEC-96AA-4AE135D2CF68}"/>
    <cellStyle name="표준 104 3 3" xfId="3273" xr:uid="{1D33B3C4-6EF5-4DEC-96AA-4AE135D2CF68}"/>
    <cellStyle name="표준 104 3 4" xfId="3968" xr:uid="{1D33B3C4-6EF5-4DEC-96AA-4AE135D2CF68}"/>
    <cellStyle name="표준 104 4" xfId="2883" xr:uid="{31A6F40F-2DC0-4221-9BE0-0FF43C53F968}"/>
    <cellStyle name="표준 104 4 2" xfId="3579" xr:uid="{31A6F40F-2DC0-4221-9BE0-0FF43C53F968}"/>
    <cellStyle name="표준 104 4 3" xfId="4274" xr:uid="{31A6F40F-2DC0-4221-9BE0-0FF43C53F968}"/>
    <cellStyle name="표준 104 5" xfId="3231" xr:uid="{31A6F40F-2DC0-4221-9BE0-0FF43C53F968}"/>
    <cellStyle name="표준 104 6" xfId="3926" xr:uid="{31A6F40F-2DC0-4221-9BE0-0FF43C53F968}"/>
    <cellStyle name="표준 105" xfId="2604" xr:uid="{00000000-0005-0000-0000-0000300A0000}"/>
    <cellStyle name="표준 105 2" xfId="2952" xr:uid="{00000000-0005-0000-0000-0000300A0000}"/>
    <cellStyle name="표준 105 2 2" xfId="3648" xr:uid="{00000000-0005-0000-0000-0000300A0000}"/>
    <cellStyle name="표준 105 2 3" xfId="4343" xr:uid="{00000000-0005-0000-0000-0000300A0000}"/>
    <cellStyle name="표준 105 3" xfId="3300" xr:uid="{00000000-0005-0000-0000-0000300A0000}"/>
    <cellStyle name="표준 105 4" xfId="3995" xr:uid="{00000000-0005-0000-0000-0000300A0000}"/>
    <cellStyle name="표준 108" xfId="2972" xr:uid="{60CF86CB-DF75-4DB0-A6AB-3F8BFBFC1C37}"/>
    <cellStyle name="표준 11" xfId="2110" xr:uid="{00000000-0005-0000-0000-00003E080000}"/>
    <cellStyle name="표준 11 2" xfId="2111" xr:uid="{00000000-0005-0000-0000-00003F080000}"/>
    <cellStyle name="표준 11 3" xfId="2112" xr:uid="{00000000-0005-0000-0000-000040080000}"/>
    <cellStyle name="표준 116" xfId="2113" xr:uid="{00000000-0005-0000-0000-000041080000}"/>
    <cellStyle name="표준 117" xfId="2114" xr:uid="{00000000-0005-0000-0000-000042080000}"/>
    <cellStyle name="표준 118" xfId="2115" xr:uid="{00000000-0005-0000-0000-000043080000}"/>
    <cellStyle name="표준 119" xfId="2116" xr:uid="{00000000-0005-0000-0000-000044080000}"/>
    <cellStyle name="표준 12" xfId="2117" xr:uid="{00000000-0005-0000-0000-000045080000}"/>
    <cellStyle name="표준 12 2" xfId="2118" xr:uid="{00000000-0005-0000-0000-000046080000}"/>
    <cellStyle name="표준 12 3" xfId="2119" xr:uid="{00000000-0005-0000-0000-000047080000}"/>
    <cellStyle name="표준 120" xfId="2120" xr:uid="{00000000-0005-0000-0000-000048080000}"/>
    <cellStyle name="표준 121" xfId="2121" xr:uid="{00000000-0005-0000-0000-000049080000}"/>
    <cellStyle name="표준 122" xfId="2122" xr:uid="{00000000-0005-0000-0000-00004A080000}"/>
    <cellStyle name="표준 123" xfId="2123" xr:uid="{00000000-0005-0000-0000-00004B080000}"/>
    <cellStyle name="표준 125" xfId="2124" xr:uid="{00000000-0005-0000-0000-00004C080000}"/>
    <cellStyle name="표준 127" xfId="2125" xr:uid="{00000000-0005-0000-0000-00004D080000}"/>
    <cellStyle name="표준 128" xfId="2126" xr:uid="{00000000-0005-0000-0000-00004E080000}"/>
    <cellStyle name="표준 129" xfId="2127" xr:uid="{00000000-0005-0000-0000-00004F080000}"/>
    <cellStyle name="표준 13" xfId="2128" xr:uid="{00000000-0005-0000-0000-000050080000}"/>
    <cellStyle name="표준 13 2" xfId="2129" xr:uid="{00000000-0005-0000-0000-000051080000}"/>
    <cellStyle name="표준 13 3" xfId="2130" xr:uid="{00000000-0005-0000-0000-000052080000}"/>
    <cellStyle name="표준 13 3 2" xfId="2131" xr:uid="{00000000-0005-0000-0000-000053080000}"/>
    <cellStyle name="표준 13 4" xfId="2132" xr:uid="{00000000-0005-0000-0000-000054080000}"/>
    <cellStyle name="표준 13 5" xfId="2133" xr:uid="{00000000-0005-0000-0000-000055080000}"/>
    <cellStyle name="표준 13 6" xfId="2134" xr:uid="{00000000-0005-0000-0000-000056080000}"/>
    <cellStyle name="표준 13_1.제조업 생산활동" xfId="2135" xr:uid="{00000000-0005-0000-0000-000057080000}"/>
    <cellStyle name="표준 130" xfId="2136" xr:uid="{00000000-0005-0000-0000-000058080000}"/>
    <cellStyle name="표준 131" xfId="2137" xr:uid="{00000000-0005-0000-0000-000059080000}"/>
    <cellStyle name="표준 132" xfId="2138" xr:uid="{00000000-0005-0000-0000-00005A080000}"/>
    <cellStyle name="표준 133" xfId="2139" xr:uid="{00000000-0005-0000-0000-00005B080000}"/>
    <cellStyle name="표준 14" xfId="2140" xr:uid="{00000000-0005-0000-0000-00005C080000}"/>
    <cellStyle name="표준 15" xfId="2141" xr:uid="{00000000-0005-0000-0000-00005D080000}"/>
    <cellStyle name="표준 15 2" xfId="2142" xr:uid="{00000000-0005-0000-0000-00005E080000}"/>
    <cellStyle name="표준 16" xfId="2143" xr:uid="{00000000-0005-0000-0000-00005F080000}"/>
    <cellStyle name="표준 17" xfId="2144" xr:uid="{00000000-0005-0000-0000-000060080000}"/>
    <cellStyle name="표준 18" xfId="2145" xr:uid="{00000000-0005-0000-0000-000061080000}"/>
    <cellStyle name="표준 19" xfId="2146" xr:uid="{00000000-0005-0000-0000-000062080000}"/>
    <cellStyle name="표준 2" xfId="2147" xr:uid="{00000000-0005-0000-0000-000063080000}"/>
    <cellStyle name="표준 2 10" xfId="2148" xr:uid="{00000000-0005-0000-0000-000064080000}"/>
    <cellStyle name="표준 2 11" xfId="2149" xr:uid="{00000000-0005-0000-0000-000065080000}"/>
    <cellStyle name="표준 2 12" xfId="2150" xr:uid="{00000000-0005-0000-0000-000066080000}"/>
    <cellStyle name="표준 2 13" xfId="2151" xr:uid="{00000000-0005-0000-0000-000067080000}"/>
    <cellStyle name="표준 2 13 2" xfId="2152" xr:uid="{00000000-0005-0000-0000-000068080000}"/>
    <cellStyle name="표준 2 14" xfId="2153" xr:uid="{00000000-0005-0000-0000-000069080000}"/>
    <cellStyle name="표준 2 2" xfId="2154" xr:uid="{00000000-0005-0000-0000-00006A080000}"/>
    <cellStyle name="표준 2 2 2" xfId="2155" xr:uid="{00000000-0005-0000-0000-00006B080000}"/>
    <cellStyle name="표준 2 2 3" xfId="2156" xr:uid="{00000000-0005-0000-0000-00006C080000}"/>
    <cellStyle name="표준 2 2 4" xfId="2157" xr:uid="{00000000-0005-0000-0000-00006D080000}"/>
    <cellStyle name="표준 2 2 5" xfId="2158" xr:uid="{00000000-0005-0000-0000-00006E080000}"/>
    <cellStyle name="표준 2 3" xfId="2159" xr:uid="{00000000-0005-0000-0000-00006F080000}"/>
    <cellStyle name="표준 2 3 2" xfId="2160" xr:uid="{00000000-0005-0000-0000-000070080000}"/>
    <cellStyle name="표준 2 3 3" xfId="2161" xr:uid="{00000000-0005-0000-0000-000071080000}"/>
    <cellStyle name="표준 2 4" xfId="2162" xr:uid="{00000000-0005-0000-0000-000072080000}"/>
    <cellStyle name="표준 2 4 2" xfId="2163" xr:uid="{00000000-0005-0000-0000-000073080000}"/>
    <cellStyle name="표준 2 5" xfId="2164" xr:uid="{00000000-0005-0000-0000-000074080000}"/>
    <cellStyle name="표준 2 5 2" xfId="2165" xr:uid="{00000000-0005-0000-0000-000075080000}"/>
    <cellStyle name="표준 2 6" xfId="2166" xr:uid="{00000000-0005-0000-0000-000076080000}"/>
    <cellStyle name="표준 2 6 2" xfId="2167" xr:uid="{00000000-0005-0000-0000-000077080000}"/>
    <cellStyle name="표준 2 6 3" xfId="2168" xr:uid="{00000000-0005-0000-0000-000078080000}"/>
    <cellStyle name="표준 2 7" xfId="2169" xr:uid="{00000000-0005-0000-0000-000079080000}"/>
    <cellStyle name="표준 2 7 2" xfId="2170" xr:uid="{00000000-0005-0000-0000-00007A080000}"/>
    <cellStyle name="표준 2 8" xfId="2171" xr:uid="{00000000-0005-0000-0000-00007B080000}"/>
    <cellStyle name="표준 2 8 2" xfId="2172" xr:uid="{00000000-0005-0000-0000-00007C080000}"/>
    <cellStyle name="표준 2 9" xfId="2173" xr:uid="{00000000-0005-0000-0000-00007D080000}"/>
    <cellStyle name="표준 2_1.제조업 생산활동" xfId="2174" xr:uid="{00000000-0005-0000-0000-00007E080000}"/>
    <cellStyle name="표준 20" xfId="2175" xr:uid="{00000000-0005-0000-0000-00007F080000}"/>
    <cellStyle name="표준 21" xfId="2176" xr:uid="{00000000-0005-0000-0000-000080080000}"/>
    <cellStyle name="표준 22" xfId="2177" xr:uid="{00000000-0005-0000-0000-000081080000}"/>
    <cellStyle name="표준 22 2" xfId="2178" xr:uid="{00000000-0005-0000-0000-000082080000}"/>
    <cellStyle name="표준 23" xfId="2179" xr:uid="{00000000-0005-0000-0000-000083080000}"/>
    <cellStyle name="표준 24" xfId="2180" xr:uid="{00000000-0005-0000-0000-000084080000}"/>
    <cellStyle name="표준 24 2" xfId="2181" xr:uid="{00000000-0005-0000-0000-000085080000}"/>
    <cellStyle name="표준 24 3" xfId="2182" xr:uid="{00000000-0005-0000-0000-000086080000}"/>
    <cellStyle name="표준 24 4" xfId="2183" xr:uid="{00000000-0005-0000-0000-000087080000}"/>
    <cellStyle name="표준 24 5" xfId="2184" xr:uid="{00000000-0005-0000-0000-000088080000}"/>
    <cellStyle name="표준 25" xfId="2185" xr:uid="{00000000-0005-0000-0000-000089080000}"/>
    <cellStyle name="표준 25 2" xfId="2186" xr:uid="{00000000-0005-0000-0000-00008A080000}"/>
    <cellStyle name="표준 25 3" xfId="2187" xr:uid="{00000000-0005-0000-0000-00008B080000}"/>
    <cellStyle name="표준 25 4" xfId="2188" xr:uid="{00000000-0005-0000-0000-00008C080000}"/>
    <cellStyle name="표준 25 5" xfId="2189" xr:uid="{00000000-0005-0000-0000-00008D080000}"/>
    <cellStyle name="표준 26" xfId="2190" xr:uid="{00000000-0005-0000-0000-00008E080000}"/>
    <cellStyle name="표준 27" xfId="2191" xr:uid="{00000000-0005-0000-0000-00008F080000}"/>
    <cellStyle name="표준 28" xfId="2283" xr:uid="{00000000-0005-0000-0000-000090080000}"/>
    <cellStyle name="표준 28 2" xfId="2636" xr:uid="{00000000-0005-0000-0000-000090080000}"/>
    <cellStyle name="표준 28 2 2" xfId="3332" xr:uid="{00000000-0005-0000-0000-000090080000}"/>
    <cellStyle name="표준 28 2 3" xfId="4027" xr:uid="{00000000-0005-0000-0000-000090080000}"/>
    <cellStyle name="표준 28 3" xfId="2984" xr:uid="{00000000-0005-0000-0000-000090080000}"/>
    <cellStyle name="표준 28 4" xfId="3679" xr:uid="{00000000-0005-0000-0000-000090080000}"/>
    <cellStyle name="표준 29" xfId="2284" xr:uid="{00000000-0005-0000-0000-000091080000}"/>
    <cellStyle name="표준 29 2" xfId="2637" xr:uid="{00000000-0005-0000-0000-000091080000}"/>
    <cellStyle name="표준 29 2 2" xfId="3333" xr:uid="{00000000-0005-0000-0000-000091080000}"/>
    <cellStyle name="표준 29 2 3" xfId="4028" xr:uid="{00000000-0005-0000-0000-000091080000}"/>
    <cellStyle name="표준 29 3" xfId="2985" xr:uid="{00000000-0005-0000-0000-000091080000}"/>
    <cellStyle name="표준 29 4" xfId="3680" xr:uid="{00000000-0005-0000-0000-000091080000}"/>
    <cellStyle name="표준 3" xfId="2192" xr:uid="{00000000-0005-0000-0000-000092080000}"/>
    <cellStyle name="표준 3 2" xfId="2193" xr:uid="{00000000-0005-0000-0000-000093080000}"/>
    <cellStyle name="표준 3 2 2" xfId="2194" xr:uid="{00000000-0005-0000-0000-000094080000}"/>
    <cellStyle name="표준 3 3" xfId="2195" xr:uid="{00000000-0005-0000-0000-000095080000}"/>
    <cellStyle name="표준 3 3 2" xfId="2196" xr:uid="{00000000-0005-0000-0000-000096080000}"/>
    <cellStyle name="표준 3 4" xfId="2197" xr:uid="{00000000-0005-0000-0000-000097080000}"/>
    <cellStyle name="표준 3 4 2" xfId="2198" xr:uid="{00000000-0005-0000-0000-000098080000}"/>
    <cellStyle name="표준 3 5" xfId="2199" xr:uid="{00000000-0005-0000-0000-000099080000}"/>
    <cellStyle name="표준 3 6" xfId="2200" xr:uid="{00000000-0005-0000-0000-00009A080000}"/>
    <cellStyle name="표준 3_3.건설활동" xfId="2201" xr:uid="{00000000-0005-0000-0000-00009B080000}"/>
    <cellStyle name="표준 30" xfId="2202" xr:uid="{00000000-0005-0000-0000-00009C080000}"/>
    <cellStyle name="표준 31" xfId="2203" xr:uid="{00000000-0005-0000-0000-00009D080000}"/>
    <cellStyle name="표준 32" xfId="2204" xr:uid="{00000000-0005-0000-0000-00009E080000}"/>
    <cellStyle name="표준 33" xfId="2205" xr:uid="{00000000-0005-0000-0000-00009F080000}"/>
    <cellStyle name="표준 34" xfId="2206" xr:uid="{00000000-0005-0000-0000-0000A0080000}"/>
    <cellStyle name="표준 35" xfId="2207" xr:uid="{00000000-0005-0000-0000-0000A1080000}"/>
    <cellStyle name="표준 36" xfId="2208" xr:uid="{00000000-0005-0000-0000-0000A2080000}"/>
    <cellStyle name="표준 37" xfId="2209" xr:uid="{00000000-0005-0000-0000-0000A3080000}"/>
    <cellStyle name="표준 38" xfId="2210" xr:uid="{00000000-0005-0000-0000-0000A4080000}"/>
    <cellStyle name="표준 39" xfId="2211" xr:uid="{00000000-0005-0000-0000-0000A5080000}"/>
    <cellStyle name="표준 4" xfId="2212" xr:uid="{00000000-0005-0000-0000-0000A6080000}"/>
    <cellStyle name="표준 4 2" xfId="2213" xr:uid="{00000000-0005-0000-0000-0000A7080000}"/>
    <cellStyle name="표준 4 2 2" xfId="2214" xr:uid="{00000000-0005-0000-0000-0000A8080000}"/>
    <cellStyle name="표준 4 3" xfId="2215" xr:uid="{00000000-0005-0000-0000-0000A9080000}"/>
    <cellStyle name="표준 4 3 2" xfId="2216" xr:uid="{00000000-0005-0000-0000-0000AA080000}"/>
    <cellStyle name="표준 4 4" xfId="2217" xr:uid="{00000000-0005-0000-0000-0000AB080000}"/>
    <cellStyle name="표준 4 5" xfId="2218" xr:uid="{00000000-0005-0000-0000-0000AC080000}"/>
    <cellStyle name="표준 4 6" xfId="2219" xr:uid="{00000000-0005-0000-0000-0000AD080000}"/>
    <cellStyle name="표준 4_1.제조업 생산활동" xfId="2220" xr:uid="{00000000-0005-0000-0000-0000AE080000}"/>
    <cellStyle name="표준 40" xfId="2221" xr:uid="{00000000-0005-0000-0000-0000AF080000}"/>
    <cellStyle name="표준 41" xfId="2222" xr:uid="{00000000-0005-0000-0000-0000B0080000}"/>
    <cellStyle name="표준 42" xfId="2223" xr:uid="{00000000-0005-0000-0000-0000B1080000}"/>
    <cellStyle name="표준 43" xfId="2224" xr:uid="{00000000-0005-0000-0000-0000B2080000}"/>
    <cellStyle name="표준 44" xfId="2225" xr:uid="{00000000-0005-0000-0000-0000B3080000}"/>
    <cellStyle name="표준 45" xfId="2226" xr:uid="{00000000-0005-0000-0000-0000B4080000}"/>
    <cellStyle name="표준 46" xfId="2227" xr:uid="{00000000-0005-0000-0000-0000B5080000}"/>
    <cellStyle name="표준 47" xfId="2228" xr:uid="{00000000-0005-0000-0000-0000B6080000}"/>
    <cellStyle name="표준 48" xfId="2229" xr:uid="{00000000-0005-0000-0000-0000B7080000}"/>
    <cellStyle name="표준 49" xfId="2230" xr:uid="{00000000-0005-0000-0000-0000B8080000}"/>
    <cellStyle name="표준 5" xfId="2231" xr:uid="{00000000-0005-0000-0000-0000B9080000}"/>
    <cellStyle name="표준 5 2" xfId="2232" xr:uid="{00000000-0005-0000-0000-0000BA080000}"/>
    <cellStyle name="표준 5 3" xfId="2233" xr:uid="{00000000-0005-0000-0000-0000BB080000}"/>
    <cellStyle name="표준 50" xfId="2234" xr:uid="{00000000-0005-0000-0000-0000BC080000}"/>
    <cellStyle name="표준 51" xfId="2235" xr:uid="{00000000-0005-0000-0000-0000BD080000}"/>
    <cellStyle name="표준 52" xfId="2236" xr:uid="{00000000-0005-0000-0000-0000BE080000}"/>
    <cellStyle name="표준 53" xfId="2237" xr:uid="{00000000-0005-0000-0000-0000BF080000}"/>
    <cellStyle name="표준 54" xfId="2238" xr:uid="{00000000-0005-0000-0000-0000C0080000}"/>
    <cellStyle name="표준 55" xfId="2239" xr:uid="{00000000-0005-0000-0000-0000C1080000}"/>
    <cellStyle name="표준 56" xfId="2240" xr:uid="{00000000-0005-0000-0000-0000C2080000}"/>
    <cellStyle name="표준 57" xfId="2241" xr:uid="{00000000-0005-0000-0000-0000C3080000}"/>
    <cellStyle name="표준 58" xfId="2242" xr:uid="{00000000-0005-0000-0000-0000C4080000}"/>
    <cellStyle name="표준 59" xfId="2243" xr:uid="{00000000-0005-0000-0000-0000C5080000}"/>
    <cellStyle name="표준 6" xfId="2244" xr:uid="{00000000-0005-0000-0000-0000C6080000}"/>
    <cellStyle name="표준 6 2" xfId="2245" xr:uid="{00000000-0005-0000-0000-0000C7080000}"/>
    <cellStyle name="표준 6 2 2" xfId="2246" xr:uid="{00000000-0005-0000-0000-0000C8080000}"/>
    <cellStyle name="표준 6 3" xfId="2247" xr:uid="{00000000-0005-0000-0000-0000C9080000}"/>
    <cellStyle name="표준 60" xfId="2248" xr:uid="{00000000-0005-0000-0000-0000CA080000}"/>
    <cellStyle name="표준 61" xfId="2249" xr:uid="{00000000-0005-0000-0000-0000CB080000}"/>
    <cellStyle name="표준 62" xfId="2250" xr:uid="{00000000-0005-0000-0000-0000CC080000}"/>
    <cellStyle name="표준 63" xfId="2251" xr:uid="{00000000-0005-0000-0000-0000CD080000}"/>
    <cellStyle name="표준 64" xfId="2252" xr:uid="{00000000-0005-0000-0000-0000CE080000}"/>
    <cellStyle name="표준 65" xfId="2253" xr:uid="{00000000-0005-0000-0000-0000CF080000}"/>
    <cellStyle name="표준 66" xfId="2254" xr:uid="{00000000-0005-0000-0000-0000D0080000}"/>
    <cellStyle name="표준 67" xfId="2255" xr:uid="{00000000-0005-0000-0000-0000D1080000}"/>
    <cellStyle name="표준 68" xfId="2285" xr:uid="{00000000-0005-0000-0000-0000D2080000}"/>
    <cellStyle name="표준 68 2" xfId="2638" xr:uid="{00000000-0005-0000-0000-0000D2080000}"/>
    <cellStyle name="표준 68 2 2" xfId="3334" xr:uid="{00000000-0005-0000-0000-0000D2080000}"/>
    <cellStyle name="표준 68 2 3" xfId="4029" xr:uid="{00000000-0005-0000-0000-0000D2080000}"/>
    <cellStyle name="표준 68 3" xfId="2986" xr:uid="{00000000-0005-0000-0000-0000D2080000}"/>
    <cellStyle name="표준 68 4" xfId="3681" xr:uid="{00000000-0005-0000-0000-0000D2080000}"/>
    <cellStyle name="표준 69" xfId="2256" xr:uid="{00000000-0005-0000-0000-0000D3080000}"/>
    <cellStyle name="표준 7" xfId="2257" xr:uid="{00000000-0005-0000-0000-0000D4080000}"/>
    <cellStyle name="표준 7 2" xfId="2258" xr:uid="{00000000-0005-0000-0000-0000D5080000}"/>
    <cellStyle name="표준 7 3" xfId="2259" xr:uid="{00000000-0005-0000-0000-0000D6080000}"/>
    <cellStyle name="표준 7 3 2" xfId="2260" xr:uid="{00000000-0005-0000-0000-0000D7080000}"/>
    <cellStyle name="표준 7 3 3" xfId="2261" xr:uid="{00000000-0005-0000-0000-0000D8080000}"/>
    <cellStyle name="표준 7 4" xfId="2262" xr:uid="{00000000-0005-0000-0000-0000D9080000}"/>
    <cellStyle name="표준 7 5" xfId="2263" xr:uid="{00000000-0005-0000-0000-0000DA080000}"/>
    <cellStyle name="표준 7_1.제조업 생산활동" xfId="2264" xr:uid="{00000000-0005-0000-0000-0000DB080000}"/>
    <cellStyle name="표준 70" xfId="2265" xr:uid="{00000000-0005-0000-0000-0000DC080000}"/>
    <cellStyle name="표준 71" xfId="2266" xr:uid="{00000000-0005-0000-0000-0000DD080000}"/>
    <cellStyle name="표준 72" xfId="2267" xr:uid="{00000000-0005-0000-0000-0000DE080000}"/>
    <cellStyle name="표준 73" xfId="2268" xr:uid="{00000000-0005-0000-0000-0000DF080000}"/>
    <cellStyle name="표준 74" xfId="2269" xr:uid="{00000000-0005-0000-0000-0000E0080000}"/>
    <cellStyle name="표준 75" xfId="2286" xr:uid="{00000000-0005-0000-0000-0000E1080000}"/>
    <cellStyle name="표준 75 2" xfId="2332" xr:uid="{5629CB64-6C52-439E-985D-2D45DE67A1F5}"/>
    <cellStyle name="표준 75 2 2" xfId="2353" xr:uid="{4853A636-A1E6-442C-8847-956E8948BD6F}"/>
    <cellStyle name="표준 75 2 2 2" xfId="2373" xr:uid="{049C5873-4908-4B9E-BCD8-F2634E010091}"/>
    <cellStyle name="표준 75 2 2 2 2" xfId="2393" xr:uid="{5AB2B299-EE9D-4A37-AD48-44FB971DF399}"/>
    <cellStyle name="표준 75 2 2 2 2 2" xfId="2413" xr:uid="{DCFC9B25-A83E-4864-899E-5E3E2C365769}"/>
    <cellStyle name="표준 75 2 2 2 2 2 2" xfId="2433" xr:uid="{BECC9213-0DCD-4534-A7A3-F5704565A3C7}"/>
    <cellStyle name="표준 75 2 2 2 2 2 2 2" xfId="2453" xr:uid="{FFE326F8-1B18-40F1-B325-51207E94E81F}"/>
    <cellStyle name="표준 75 2 2 2 2 2 2 2 2" xfId="2801" xr:uid="{FFE326F8-1B18-40F1-B325-51207E94E81F}"/>
    <cellStyle name="표준 75 2 2 2 2 2 2 2 2 2" xfId="3497" xr:uid="{FFE326F8-1B18-40F1-B325-51207E94E81F}"/>
    <cellStyle name="표준 75 2 2 2 2 2 2 2 2 3" xfId="4192" xr:uid="{FFE326F8-1B18-40F1-B325-51207E94E81F}"/>
    <cellStyle name="표준 75 2 2 2 2 2 2 2 3" xfId="3149" xr:uid="{FFE326F8-1B18-40F1-B325-51207E94E81F}"/>
    <cellStyle name="표준 75 2 2 2 2 2 2 2 4" xfId="3844" xr:uid="{FFE326F8-1B18-40F1-B325-51207E94E81F}"/>
    <cellStyle name="표준 75 2 2 2 2 2 2 3" xfId="2781" xr:uid="{BECC9213-0DCD-4534-A7A3-F5704565A3C7}"/>
    <cellStyle name="표준 75 2 2 2 2 2 2 3 2" xfId="3477" xr:uid="{BECC9213-0DCD-4534-A7A3-F5704565A3C7}"/>
    <cellStyle name="표준 75 2 2 2 2 2 2 3 3" xfId="4172" xr:uid="{BECC9213-0DCD-4534-A7A3-F5704565A3C7}"/>
    <cellStyle name="표준 75 2 2 2 2 2 2 4" xfId="3129" xr:uid="{BECC9213-0DCD-4534-A7A3-F5704565A3C7}"/>
    <cellStyle name="표준 75 2 2 2 2 2 2 5" xfId="3824" xr:uid="{BECC9213-0DCD-4534-A7A3-F5704565A3C7}"/>
    <cellStyle name="표준 75 2 2 2 2 2 3" xfId="2761" xr:uid="{DCFC9B25-A83E-4864-899E-5E3E2C365769}"/>
    <cellStyle name="표준 75 2 2 2 2 2 3 2" xfId="3457" xr:uid="{DCFC9B25-A83E-4864-899E-5E3E2C365769}"/>
    <cellStyle name="표준 75 2 2 2 2 2 3 3" xfId="4152" xr:uid="{DCFC9B25-A83E-4864-899E-5E3E2C365769}"/>
    <cellStyle name="표준 75 2 2 2 2 2 4" xfId="3109" xr:uid="{DCFC9B25-A83E-4864-899E-5E3E2C365769}"/>
    <cellStyle name="표준 75 2 2 2 2 2 5" xfId="3804" xr:uid="{DCFC9B25-A83E-4864-899E-5E3E2C365769}"/>
    <cellStyle name="표준 75 2 2 2 2 3" xfId="2473" xr:uid="{7F1D307E-F5DC-4ADF-A039-AB44DDC9D2B6}"/>
    <cellStyle name="표준 75 2 2 2 2 3 10" xfId="3169" xr:uid="{7F1D307E-F5DC-4ADF-A039-AB44DDC9D2B6}"/>
    <cellStyle name="표준 75 2 2 2 2 3 11" xfId="3864" xr:uid="{7F1D307E-F5DC-4ADF-A039-AB44DDC9D2B6}"/>
    <cellStyle name="표준 75 2 2 2 2 3 2" xfId="2493" xr:uid="{32741D3E-A549-450D-8918-0701B972B7EA}"/>
    <cellStyle name="표준 75 2 2 2 2 3 2 2" xfId="2841" xr:uid="{32741D3E-A549-450D-8918-0701B972B7EA}"/>
    <cellStyle name="표준 75 2 2 2 2 3 2 2 2" xfId="3537" xr:uid="{32741D3E-A549-450D-8918-0701B972B7EA}"/>
    <cellStyle name="표준 75 2 2 2 2 3 2 2 3" xfId="4232" xr:uid="{32741D3E-A549-450D-8918-0701B972B7EA}"/>
    <cellStyle name="표준 75 2 2 2 2 3 2 3" xfId="3189" xr:uid="{32741D3E-A549-450D-8918-0701B972B7EA}"/>
    <cellStyle name="표준 75 2 2 2 2 3 2 4" xfId="3884" xr:uid="{32741D3E-A549-450D-8918-0701B972B7EA}"/>
    <cellStyle name="표준 75 2 2 2 2 3 3" xfId="2515" xr:uid="{FAE71C67-FC99-47C0-825B-D703A671B8E0}"/>
    <cellStyle name="표준 75 2 2 2 2 3 3 2" xfId="2863" xr:uid="{FAE71C67-FC99-47C0-825B-D703A671B8E0}"/>
    <cellStyle name="표준 75 2 2 2 2 3 3 2 2" xfId="3559" xr:uid="{FAE71C67-FC99-47C0-825B-D703A671B8E0}"/>
    <cellStyle name="표준 75 2 2 2 2 3 3 2 3" xfId="4254" xr:uid="{FAE71C67-FC99-47C0-825B-D703A671B8E0}"/>
    <cellStyle name="표준 75 2 2 2 2 3 3 3" xfId="3211" xr:uid="{FAE71C67-FC99-47C0-825B-D703A671B8E0}"/>
    <cellStyle name="표준 75 2 2 2 2 3 3 4" xfId="3906" xr:uid="{FAE71C67-FC99-47C0-825B-D703A671B8E0}"/>
    <cellStyle name="표준 75 2 2 2 2 3 4" xfId="2538" xr:uid="{F14737F1-FEB8-4228-B648-CD63ACE109AF}"/>
    <cellStyle name="표준 75 2 2 2 2 3 4 2" xfId="2886" xr:uid="{F14737F1-FEB8-4228-B648-CD63ACE109AF}"/>
    <cellStyle name="표준 75 2 2 2 2 3 4 2 2" xfId="3582" xr:uid="{F14737F1-FEB8-4228-B648-CD63ACE109AF}"/>
    <cellStyle name="표준 75 2 2 2 2 3 4 2 3" xfId="4277" xr:uid="{F14737F1-FEB8-4228-B648-CD63ACE109AF}"/>
    <cellStyle name="표준 75 2 2 2 2 3 4 3" xfId="3234" xr:uid="{F14737F1-FEB8-4228-B648-CD63ACE109AF}"/>
    <cellStyle name="표준 75 2 2 2 2 3 4 4" xfId="3929" xr:uid="{F14737F1-FEB8-4228-B648-CD63ACE109AF}"/>
    <cellStyle name="표준 75 2 2 2 2 3 5" xfId="2559" xr:uid="{63B38714-FAA5-441F-8E15-DC948DE009F5}"/>
    <cellStyle name="표준 75 2 2 2 2 3 5 2" xfId="2907" xr:uid="{63B38714-FAA5-441F-8E15-DC948DE009F5}"/>
    <cellStyle name="표준 75 2 2 2 2 3 5 2 2" xfId="3603" xr:uid="{63B38714-FAA5-441F-8E15-DC948DE009F5}"/>
    <cellStyle name="표준 75 2 2 2 2 3 5 2 3" xfId="4298" xr:uid="{63B38714-FAA5-441F-8E15-DC948DE009F5}"/>
    <cellStyle name="표준 75 2 2 2 2 3 5 3" xfId="3255" xr:uid="{63B38714-FAA5-441F-8E15-DC948DE009F5}"/>
    <cellStyle name="표준 75 2 2 2 2 3 5 4" xfId="3950" xr:uid="{63B38714-FAA5-441F-8E15-DC948DE009F5}"/>
    <cellStyle name="표준 75 2 2 2 2 3 6" xfId="2580" xr:uid="{C9F56D7E-B1BB-407A-B940-23D15B972961}"/>
    <cellStyle name="표준 75 2 2 2 2 3 6 2" xfId="2928" xr:uid="{C9F56D7E-B1BB-407A-B940-23D15B972961}"/>
    <cellStyle name="표준 75 2 2 2 2 3 6 2 2" xfId="3624" xr:uid="{C9F56D7E-B1BB-407A-B940-23D15B972961}"/>
    <cellStyle name="표준 75 2 2 2 2 3 6 2 3" xfId="4319" xr:uid="{C9F56D7E-B1BB-407A-B940-23D15B972961}"/>
    <cellStyle name="표준 75 2 2 2 2 3 6 3" xfId="3276" xr:uid="{C9F56D7E-B1BB-407A-B940-23D15B972961}"/>
    <cellStyle name="표준 75 2 2 2 2 3 6 4" xfId="3971" xr:uid="{C9F56D7E-B1BB-407A-B940-23D15B972961}"/>
    <cellStyle name="표준 75 2 2 2 2 3 7" xfId="2599" xr:uid="{0DFB4FB5-5EBD-4E35-8904-9FDEE342D063}"/>
    <cellStyle name="표준 75 2 2 2 2 3 7 2" xfId="2947" xr:uid="{0DFB4FB5-5EBD-4E35-8904-9FDEE342D063}"/>
    <cellStyle name="표준 75 2 2 2 2 3 7 2 2" xfId="3643" xr:uid="{0DFB4FB5-5EBD-4E35-8904-9FDEE342D063}"/>
    <cellStyle name="표준 75 2 2 2 2 3 7 2 3" xfId="4338" xr:uid="{0DFB4FB5-5EBD-4E35-8904-9FDEE342D063}"/>
    <cellStyle name="표준 75 2 2 2 2 3 7 3" xfId="3295" xr:uid="{0DFB4FB5-5EBD-4E35-8904-9FDEE342D063}"/>
    <cellStyle name="표준 75 2 2 2 2 3 7 4" xfId="3990" xr:uid="{0DFB4FB5-5EBD-4E35-8904-9FDEE342D063}"/>
    <cellStyle name="표준 75 2 2 2 2 3 8" xfId="2617" xr:uid="{E9D7F68E-F7D9-4163-AAE7-32DEDF675AD3}"/>
    <cellStyle name="표준 75 2 2 2 2 3 8 2" xfId="2965" xr:uid="{E9D7F68E-F7D9-4163-AAE7-32DEDF675AD3}"/>
    <cellStyle name="표준 75 2 2 2 2 3 8 2 2" xfId="3661" xr:uid="{E9D7F68E-F7D9-4163-AAE7-32DEDF675AD3}"/>
    <cellStyle name="표준 75 2 2 2 2 3 8 2 3" xfId="4356" xr:uid="{E9D7F68E-F7D9-4163-AAE7-32DEDF675AD3}"/>
    <cellStyle name="표준 75 2 2 2 2 3 8 3" xfId="3313" xr:uid="{E9D7F68E-F7D9-4163-AAE7-32DEDF675AD3}"/>
    <cellStyle name="표준 75 2 2 2 2 3 8 4" xfId="4008" xr:uid="{E9D7F68E-F7D9-4163-AAE7-32DEDF675AD3}"/>
    <cellStyle name="표준 75 2 2 2 2 3 9" xfId="2821" xr:uid="{7F1D307E-F5DC-4ADF-A039-AB44DDC9D2B6}"/>
    <cellStyle name="표준 75 2 2 2 2 3 9 2" xfId="3517" xr:uid="{7F1D307E-F5DC-4ADF-A039-AB44DDC9D2B6}"/>
    <cellStyle name="표준 75 2 2 2 2 3 9 3" xfId="4212" xr:uid="{7F1D307E-F5DC-4ADF-A039-AB44DDC9D2B6}"/>
    <cellStyle name="표준 75 2 2 2 2 4" xfId="2741" xr:uid="{5AB2B299-EE9D-4A37-AD48-44FB971DF399}"/>
    <cellStyle name="표준 75 2 2 2 2 4 2" xfId="3437" xr:uid="{5AB2B299-EE9D-4A37-AD48-44FB971DF399}"/>
    <cellStyle name="표준 75 2 2 2 2 4 3" xfId="4132" xr:uid="{5AB2B299-EE9D-4A37-AD48-44FB971DF399}"/>
    <cellStyle name="표준 75 2 2 2 2 5" xfId="3089" xr:uid="{5AB2B299-EE9D-4A37-AD48-44FB971DF399}"/>
    <cellStyle name="표준 75 2 2 2 2 6" xfId="3784" xr:uid="{5AB2B299-EE9D-4A37-AD48-44FB971DF399}"/>
    <cellStyle name="표준 75 2 2 2 3" xfId="2721" xr:uid="{049C5873-4908-4B9E-BCD8-F2634E010091}"/>
    <cellStyle name="표준 75 2 2 2 3 2" xfId="3417" xr:uid="{049C5873-4908-4B9E-BCD8-F2634E010091}"/>
    <cellStyle name="표준 75 2 2 2 3 3" xfId="4112" xr:uid="{049C5873-4908-4B9E-BCD8-F2634E010091}"/>
    <cellStyle name="표준 75 2 2 2 4" xfId="3069" xr:uid="{049C5873-4908-4B9E-BCD8-F2634E010091}"/>
    <cellStyle name="표준 75 2 2 2 5" xfId="3764" xr:uid="{049C5873-4908-4B9E-BCD8-F2634E010091}"/>
    <cellStyle name="표준 75 2 2 3" xfId="2701" xr:uid="{4853A636-A1E6-442C-8847-956E8948BD6F}"/>
    <cellStyle name="표준 75 2 2 3 2" xfId="3397" xr:uid="{4853A636-A1E6-442C-8847-956E8948BD6F}"/>
    <cellStyle name="표준 75 2 2 3 3" xfId="4092" xr:uid="{4853A636-A1E6-442C-8847-956E8948BD6F}"/>
    <cellStyle name="표준 75 2 2 4" xfId="3049" xr:uid="{4853A636-A1E6-442C-8847-956E8948BD6F}"/>
    <cellStyle name="표준 75 2 2 5" xfId="3744" xr:uid="{4853A636-A1E6-442C-8847-956E8948BD6F}"/>
    <cellStyle name="표준 75 2 3" xfId="2680" xr:uid="{5629CB64-6C52-439E-985D-2D45DE67A1F5}"/>
    <cellStyle name="표준 75 2 3 2" xfId="3376" xr:uid="{5629CB64-6C52-439E-985D-2D45DE67A1F5}"/>
    <cellStyle name="표준 75 2 3 3" xfId="4071" xr:uid="{5629CB64-6C52-439E-985D-2D45DE67A1F5}"/>
    <cellStyle name="표준 75 2 4" xfId="3028" xr:uid="{5629CB64-6C52-439E-985D-2D45DE67A1F5}"/>
    <cellStyle name="표준 75 2 5" xfId="3723" xr:uid="{5629CB64-6C52-439E-985D-2D45DE67A1F5}"/>
    <cellStyle name="표준 75 3" xfId="2639" xr:uid="{00000000-0005-0000-0000-0000E1080000}"/>
    <cellStyle name="표준 75 3 2" xfId="3335" xr:uid="{00000000-0005-0000-0000-0000E1080000}"/>
    <cellStyle name="표준 75 3 3" xfId="4030" xr:uid="{00000000-0005-0000-0000-0000E1080000}"/>
    <cellStyle name="표준 75 4" xfId="2987" xr:uid="{00000000-0005-0000-0000-0000E1080000}"/>
    <cellStyle name="표준 75 5" xfId="3682" xr:uid="{00000000-0005-0000-0000-0000E1080000}"/>
    <cellStyle name="표준 76" xfId="2287" xr:uid="{00000000-0005-0000-0000-0000E2080000}"/>
    <cellStyle name="표준 76 2" xfId="2333" xr:uid="{1F5BB5A4-53D5-4C7F-BFF8-7931D5ED6F3E}"/>
    <cellStyle name="표준 76 2 2" xfId="2354" xr:uid="{8015B7C6-7D71-47F1-B7B9-C11059469F8C}"/>
    <cellStyle name="표준 76 2 2 2" xfId="2374" xr:uid="{A29489B2-A3D8-419B-9A25-8CA4363195C2}"/>
    <cellStyle name="표준 76 2 2 2 2" xfId="2394" xr:uid="{4738D4DB-E343-41F0-A933-11C5B418DAEC}"/>
    <cellStyle name="표준 76 2 2 2 2 2" xfId="2414" xr:uid="{728DBF3B-2EA8-4BFF-9C56-D06B51663A15}"/>
    <cellStyle name="표준 76 2 2 2 2 2 2" xfId="2434" xr:uid="{DEF462A5-D6D2-4B15-AD45-F74E866F9DC9}"/>
    <cellStyle name="표준 76 2 2 2 2 2 2 2" xfId="2454" xr:uid="{207530B3-FC22-4813-864B-53EBD3937097}"/>
    <cellStyle name="표준 76 2 2 2 2 2 2 2 2" xfId="2802" xr:uid="{207530B3-FC22-4813-864B-53EBD3937097}"/>
    <cellStyle name="표준 76 2 2 2 2 2 2 2 2 2" xfId="3498" xr:uid="{207530B3-FC22-4813-864B-53EBD3937097}"/>
    <cellStyle name="표준 76 2 2 2 2 2 2 2 2 3" xfId="4193" xr:uid="{207530B3-FC22-4813-864B-53EBD3937097}"/>
    <cellStyle name="표준 76 2 2 2 2 2 2 2 3" xfId="3150" xr:uid="{207530B3-FC22-4813-864B-53EBD3937097}"/>
    <cellStyle name="표준 76 2 2 2 2 2 2 2 4" xfId="3845" xr:uid="{207530B3-FC22-4813-864B-53EBD3937097}"/>
    <cellStyle name="표준 76 2 2 2 2 2 2 3" xfId="2782" xr:uid="{DEF462A5-D6D2-4B15-AD45-F74E866F9DC9}"/>
    <cellStyle name="표준 76 2 2 2 2 2 2 3 2" xfId="3478" xr:uid="{DEF462A5-D6D2-4B15-AD45-F74E866F9DC9}"/>
    <cellStyle name="표준 76 2 2 2 2 2 2 3 3" xfId="4173" xr:uid="{DEF462A5-D6D2-4B15-AD45-F74E866F9DC9}"/>
    <cellStyle name="표준 76 2 2 2 2 2 2 4" xfId="3130" xr:uid="{DEF462A5-D6D2-4B15-AD45-F74E866F9DC9}"/>
    <cellStyle name="표준 76 2 2 2 2 2 2 5" xfId="3825" xr:uid="{DEF462A5-D6D2-4B15-AD45-F74E866F9DC9}"/>
    <cellStyle name="표준 76 2 2 2 2 2 3" xfId="2762" xr:uid="{728DBF3B-2EA8-4BFF-9C56-D06B51663A15}"/>
    <cellStyle name="표준 76 2 2 2 2 2 3 2" xfId="3458" xr:uid="{728DBF3B-2EA8-4BFF-9C56-D06B51663A15}"/>
    <cellStyle name="표준 76 2 2 2 2 2 3 3" xfId="4153" xr:uid="{728DBF3B-2EA8-4BFF-9C56-D06B51663A15}"/>
    <cellStyle name="표준 76 2 2 2 2 2 4" xfId="3110" xr:uid="{728DBF3B-2EA8-4BFF-9C56-D06B51663A15}"/>
    <cellStyle name="표준 76 2 2 2 2 2 5" xfId="3805" xr:uid="{728DBF3B-2EA8-4BFF-9C56-D06B51663A15}"/>
    <cellStyle name="표준 76 2 2 2 2 3" xfId="2474" xr:uid="{F34B0FCA-20A2-4691-89D7-0673300D6B70}"/>
    <cellStyle name="표준 76 2 2 2 2 3 10" xfId="3170" xr:uid="{F34B0FCA-20A2-4691-89D7-0673300D6B70}"/>
    <cellStyle name="표준 76 2 2 2 2 3 11" xfId="3865" xr:uid="{F34B0FCA-20A2-4691-89D7-0673300D6B70}"/>
    <cellStyle name="표준 76 2 2 2 2 3 2" xfId="2494" xr:uid="{0D342129-A19B-4EEC-80BC-AC6672E34196}"/>
    <cellStyle name="표준 76 2 2 2 2 3 2 2" xfId="2842" xr:uid="{0D342129-A19B-4EEC-80BC-AC6672E34196}"/>
    <cellStyle name="표준 76 2 2 2 2 3 2 2 2" xfId="3538" xr:uid="{0D342129-A19B-4EEC-80BC-AC6672E34196}"/>
    <cellStyle name="표준 76 2 2 2 2 3 2 2 3" xfId="4233" xr:uid="{0D342129-A19B-4EEC-80BC-AC6672E34196}"/>
    <cellStyle name="표준 76 2 2 2 2 3 2 3" xfId="3190" xr:uid="{0D342129-A19B-4EEC-80BC-AC6672E34196}"/>
    <cellStyle name="표준 76 2 2 2 2 3 2 4" xfId="3885" xr:uid="{0D342129-A19B-4EEC-80BC-AC6672E34196}"/>
    <cellStyle name="표준 76 2 2 2 2 3 3" xfId="2516" xr:uid="{BDAE68AF-CA7A-4108-8A92-48DC751589D8}"/>
    <cellStyle name="표준 76 2 2 2 2 3 3 2" xfId="2864" xr:uid="{BDAE68AF-CA7A-4108-8A92-48DC751589D8}"/>
    <cellStyle name="표준 76 2 2 2 2 3 3 2 2" xfId="3560" xr:uid="{BDAE68AF-CA7A-4108-8A92-48DC751589D8}"/>
    <cellStyle name="표준 76 2 2 2 2 3 3 2 3" xfId="4255" xr:uid="{BDAE68AF-CA7A-4108-8A92-48DC751589D8}"/>
    <cellStyle name="표준 76 2 2 2 2 3 3 3" xfId="3212" xr:uid="{BDAE68AF-CA7A-4108-8A92-48DC751589D8}"/>
    <cellStyle name="표준 76 2 2 2 2 3 3 4" xfId="3907" xr:uid="{BDAE68AF-CA7A-4108-8A92-48DC751589D8}"/>
    <cellStyle name="표준 76 2 2 2 2 3 4" xfId="2537" xr:uid="{D53DAC0D-BA22-4F4C-9895-2D25ED7C7EAB}"/>
    <cellStyle name="표준 76 2 2 2 2 3 4 2" xfId="2885" xr:uid="{D53DAC0D-BA22-4F4C-9895-2D25ED7C7EAB}"/>
    <cellStyle name="표준 76 2 2 2 2 3 4 2 2" xfId="3581" xr:uid="{D53DAC0D-BA22-4F4C-9895-2D25ED7C7EAB}"/>
    <cellStyle name="표준 76 2 2 2 2 3 4 2 3" xfId="4276" xr:uid="{D53DAC0D-BA22-4F4C-9895-2D25ED7C7EAB}"/>
    <cellStyle name="표준 76 2 2 2 2 3 4 3" xfId="3233" xr:uid="{D53DAC0D-BA22-4F4C-9895-2D25ED7C7EAB}"/>
    <cellStyle name="표준 76 2 2 2 2 3 4 4" xfId="3928" xr:uid="{D53DAC0D-BA22-4F4C-9895-2D25ED7C7EAB}"/>
    <cellStyle name="표준 76 2 2 2 2 3 5" xfId="2558" xr:uid="{DD097380-166D-4AA0-8E45-C0DD34E8A65E}"/>
    <cellStyle name="표준 76 2 2 2 2 3 5 2" xfId="2906" xr:uid="{DD097380-166D-4AA0-8E45-C0DD34E8A65E}"/>
    <cellStyle name="표준 76 2 2 2 2 3 5 2 2" xfId="3602" xr:uid="{DD097380-166D-4AA0-8E45-C0DD34E8A65E}"/>
    <cellStyle name="표준 76 2 2 2 2 3 5 2 3" xfId="4297" xr:uid="{DD097380-166D-4AA0-8E45-C0DD34E8A65E}"/>
    <cellStyle name="표준 76 2 2 2 2 3 5 3" xfId="3254" xr:uid="{DD097380-166D-4AA0-8E45-C0DD34E8A65E}"/>
    <cellStyle name="표준 76 2 2 2 2 3 5 4" xfId="3949" xr:uid="{DD097380-166D-4AA0-8E45-C0DD34E8A65E}"/>
    <cellStyle name="표준 76 2 2 2 2 3 6" xfId="2579" xr:uid="{5295394C-9389-4FC5-9B21-F1A305A300D3}"/>
    <cellStyle name="표준 76 2 2 2 2 3 6 2" xfId="2927" xr:uid="{5295394C-9389-4FC5-9B21-F1A305A300D3}"/>
    <cellStyle name="표준 76 2 2 2 2 3 6 2 2" xfId="3623" xr:uid="{5295394C-9389-4FC5-9B21-F1A305A300D3}"/>
    <cellStyle name="표준 76 2 2 2 2 3 6 2 3" xfId="4318" xr:uid="{5295394C-9389-4FC5-9B21-F1A305A300D3}"/>
    <cellStyle name="표준 76 2 2 2 2 3 6 3" xfId="3275" xr:uid="{5295394C-9389-4FC5-9B21-F1A305A300D3}"/>
    <cellStyle name="표준 76 2 2 2 2 3 6 4" xfId="3970" xr:uid="{5295394C-9389-4FC5-9B21-F1A305A300D3}"/>
    <cellStyle name="표준 76 2 2 2 2 3 7" xfId="2598" xr:uid="{B88CB0DB-EA2C-4416-8335-6D953221FC9D}"/>
    <cellStyle name="표준 76 2 2 2 2 3 7 2" xfId="2946" xr:uid="{B88CB0DB-EA2C-4416-8335-6D953221FC9D}"/>
    <cellStyle name="표준 76 2 2 2 2 3 7 2 2" xfId="3642" xr:uid="{B88CB0DB-EA2C-4416-8335-6D953221FC9D}"/>
    <cellStyle name="표준 76 2 2 2 2 3 7 2 3" xfId="4337" xr:uid="{B88CB0DB-EA2C-4416-8335-6D953221FC9D}"/>
    <cellStyle name="표준 76 2 2 2 2 3 7 3" xfId="3294" xr:uid="{B88CB0DB-EA2C-4416-8335-6D953221FC9D}"/>
    <cellStyle name="표준 76 2 2 2 2 3 7 4" xfId="3989" xr:uid="{B88CB0DB-EA2C-4416-8335-6D953221FC9D}"/>
    <cellStyle name="표준 76 2 2 2 2 3 8" xfId="2618" xr:uid="{A7770B93-DDF7-4714-8C40-539230A5FE52}"/>
    <cellStyle name="표준 76 2 2 2 2 3 8 2" xfId="2966" xr:uid="{A7770B93-DDF7-4714-8C40-539230A5FE52}"/>
    <cellStyle name="표준 76 2 2 2 2 3 8 2 2" xfId="3662" xr:uid="{A7770B93-DDF7-4714-8C40-539230A5FE52}"/>
    <cellStyle name="표준 76 2 2 2 2 3 8 2 3" xfId="4357" xr:uid="{A7770B93-DDF7-4714-8C40-539230A5FE52}"/>
    <cellStyle name="표준 76 2 2 2 2 3 8 3" xfId="3314" xr:uid="{A7770B93-DDF7-4714-8C40-539230A5FE52}"/>
    <cellStyle name="표준 76 2 2 2 2 3 8 4" xfId="4009" xr:uid="{A7770B93-DDF7-4714-8C40-539230A5FE52}"/>
    <cellStyle name="표준 76 2 2 2 2 3 9" xfId="2822" xr:uid="{F34B0FCA-20A2-4691-89D7-0673300D6B70}"/>
    <cellStyle name="표준 76 2 2 2 2 3 9 2" xfId="3518" xr:uid="{F34B0FCA-20A2-4691-89D7-0673300D6B70}"/>
    <cellStyle name="표준 76 2 2 2 2 3 9 3" xfId="4213" xr:uid="{F34B0FCA-20A2-4691-89D7-0673300D6B70}"/>
    <cellStyle name="표준 76 2 2 2 2 4" xfId="2742" xr:uid="{4738D4DB-E343-41F0-A933-11C5B418DAEC}"/>
    <cellStyle name="표준 76 2 2 2 2 4 2" xfId="3438" xr:uid="{4738D4DB-E343-41F0-A933-11C5B418DAEC}"/>
    <cellStyle name="표준 76 2 2 2 2 4 3" xfId="4133" xr:uid="{4738D4DB-E343-41F0-A933-11C5B418DAEC}"/>
    <cellStyle name="표준 76 2 2 2 2 5" xfId="3090" xr:uid="{4738D4DB-E343-41F0-A933-11C5B418DAEC}"/>
    <cellStyle name="표준 76 2 2 2 2 6" xfId="3785" xr:uid="{4738D4DB-E343-41F0-A933-11C5B418DAEC}"/>
    <cellStyle name="표준 76 2 2 2 3" xfId="2722" xr:uid="{A29489B2-A3D8-419B-9A25-8CA4363195C2}"/>
    <cellStyle name="표준 76 2 2 2 3 2" xfId="3418" xr:uid="{A29489B2-A3D8-419B-9A25-8CA4363195C2}"/>
    <cellStyle name="표준 76 2 2 2 3 3" xfId="4113" xr:uid="{A29489B2-A3D8-419B-9A25-8CA4363195C2}"/>
    <cellStyle name="표준 76 2 2 2 4" xfId="3070" xr:uid="{A29489B2-A3D8-419B-9A25-8CA4363195C2}"/>
    <cellStyle name="표준 76 2 2 2 5" xfId="3765" xr:uid="{A29489B2-A3D8-419B-9A25-8CA4363195C2}"/>
    <cellStyle name="표준 76 2 2 3" xfId="2702" xr:uid="{8015B7C6-7D71-47F1-B7B9-C11059469F8C}"/>
    <cellStyle name="표준 76 2 2 3 2" xfId="3398" xr:uid="{8015B7C6-7D71-47F1-B7B9-C11059469F8C}"/>
    <cellStyle name="표준 76 2 2 3 3" xfId="4093" xr:uid="{8015B7C6-7D71-47F1-B7B9-C11059469F8C}"/>
    <cellStyle name="표준 76 2 2 4" xfId="3050" xr:uid="{8015B7C6-7D71-47F1-B7B9-C11059469F8C}"/>
    <cellStyle name="표준 76 2 2 5" xfId="3745" xr:uid="{8015B7C6-7D71-47F1-B7B9-C11059469F8C}"/>
    <cellStyle name="표준 76 2 3" xfId="2681" xr:uid="{1F5BB5A4-53D5-4C7F-BFF8-7931D5ED6F3E}"/>
    <cellStyle name="표준 76 2 3 2" xfId="3377" xr:uid="{1F5BB5A4-53D5-4C7F-BFF8-7931D5ED6F3E}"/>
    <cellStyle name="표준 76 2 3 3" xfId="4072" xr:uid="{1F5BB5A4-53D5-4C7F-BFF8-7931D5ED6F3E}"/>
    <cellStyle name="표준 76 2 4" xfId="3029" xr:uid="{1F5BB5A4-53D5-4C7F-BFF8-7931D5ED6F3E}"/>
    <cellStyle name="표준 76 2 5" xfId="3724" xr:uid="{1F5BB5A4-53D5-4C7F-BFF8-7931D5ED6F3E}"/>
    <cellStyle name="표준 76 3" xfId="2640" xr:uid="{00000000-0005-0000-0000-0000E2080000}"/>
    <cellStyle name="표준 76 3 2" xfId="3336" xr:uid="{00000000-0005-0000-0000-0000E2080000}"/>
    <cellStyle name="표준 76 3 3" xfId="4031" xr:uid="{00000000-0005-0000-0000-0000E2080000}"/>
    <cellStyle name="표준 76 4" xfId="2988" xr:uid="{00000000-0005-0000-0000-0000E2080000}"/>
    <cellStyle name="표준 76 5" xfId="3683" xr:uid="{00000000-0005-0000-0000-0000E2080000}"/>
    <cellStyle name="표준 77" xfId="2288" xr:uid="{00000000-0005-0000-0000-0000E3080000}"/>
    <cellStyle name="표준 77 2" xfId="2335" xr:uid="{7E7AE890-849B-40B7-9D54-8CB0CA802792}"/>
    <cellStyle name="표준 77 2 2" xfId="2356" xr:uid="{A8714B6C-D97D-4C76-B790-E676F0DE6879}"/>
    <cellStyle name="표준 77 2 2 2" xfId="2376" xr:uid="{BCF54014-F0E9-4133-A49B-1AC089A9BEDC}"/>
    <cellStyle name="표준 77 2 2 2 2" xfId="2396" xr:uid="{3CDF1259-9E5B-4643-A4DC-D023A4466FB8}"/>
    <cellStyle name="표준 77 2 2 2 2 2" xfId="2416" xr:uid="{5A911AA7-01D1-4CF0-AA53-DCE8B389D7F1}"/>
    <cellStyle name="표준 77 2 2 2 2 2 2" xfId="2436" xr:uid="{2E09F32D-1315-4AFE-93CA-DDDDA7B80407}"/>
    <cellStyle name="표준 77 2 2 2 2 2 2 2" xfId="2456" xr:uid="{84AF0A6D-6381-4100-82C8-676AC4C11C94}"/>
    <cellStyle name="표준 77 2 2 2 2 2 2 2 2" xfId="2804" xr:uid="{84AF0A6D-6381-4100-82C8-676AC4C11C94}"/>
    <cellStyle name="표준 77 2 2 2 2 2 2 2 2 2" xfId="3500" xr:uid="{84AF0A6D-6381-4100-82C8-676AC4C11C94}"/>
    <cellStyle name="표준 77 2 2 2 2 2 2 2 2 3" xfId="4195" xr:uid="{84AF0A6D-6381-4100-82C8-676AC4C11C94}"/>
    <cellStyle name="표준 77 2 2 2 2 2 2 2 3" xfId="3152" xr:uid="{84AF0A6D-6381-4100-82C8-676AC4C11C94}"/>
    <cellStyle name="표준 77 2 2 2 2 2 2 2 4" xfId="3847" xr:uid="{84AF0A6D-6381-4100-82C8-676AC4C11C94}"/>
    <cellStyle name="표준 77 2 2 2 2 2 2 3" xfId="2784" xr:uid="{2E09F32D-1315-4AFE-93CA-DDDDA7B80407}"/>
    <cellStyle name="표준 77 2 2 2 2 2 2 3 2" xfId="3480" xr:uid="{2E09F32D-1315-4AFE-93CA-DDDDA7B80407}"/>
    <cellStyle name="표준 77 2 2 2 2 2 2 3 3" xfId="4175" xr:uid="{2E09F32D-1315-4AFE-93CA-DDDDA7B80407}"/>
    <cellStyle name="표준 77 2 2 2 2 2 2 4" xfId="3132" xr:uid="{2E09F32D-1315-4AFE-93CA-DDDDA7B80407}"/>
    <cellStyle name="표준 77 2 2 2 2 2 2 5" xfId="3827" xr:uid="{2E09F32D-1315-4AFE-93CA-DDDDA7B80407}"/>
    <cellStyle name="표준 77 2 2 2 2 2 3" xfId="2764" xr:uid="{5A911AA7-01D1-4CF0-AA53-DCE8B389D7F1}"/>
    <cellStyle name="표준 77 2 2 2 2 2 3 2" xfId="3460" xr:uid="{5A911AA7-01D1-4CF0-AA53-DCE8B389D7F1}"/>
    <cellStyle name="표준 77 2 2 2 2 2 3 3" xfId="4155" xr:uid="{5A911AA7-01D1-4CF0-AA53-DCE8B389D7F1}"/>
    <cellStyle name="표준 77 2 2 2 2 2 4" xfId="3112" xr:uid="{5A911AA7-01D1-4CF0-AA53-DCE8B389D7F1}"/>
    <cellStyle name="표준 77 2 2 2 2 2 5" xfId="3807" xr:uid="{5A911AA7-01D1-4CF0-AA53-DCE8B389D7F1}"/>
    <cellStyle name="표준 77 2 2 2 2 3" xfId="2476" xr:uid="{570BF470-6D10-44A6-95FA-9BAE2CF9E9AA}"/>
    <cellStyle name="표준 77 2 2 2 2 3 10" xfId="3172" xr:uid="{570BF470-6D10-44A6-95FA-9BAE2CF9E9AA}"/>
    <cellStyle name="표준 77 2 2 2 2 3 11" xfId="3867" xr:uid="{570BF470-6D10-44A6-95FA-9BAE2CF9E9AA}"/>
    <cellStyle name="표준 77 2 2 2 2 3 2" xfId="2496" xr:uid="{3AEE2BD5-AC65-4544-AB66-DA4636D5392A}"/>
    <cellStyle name="표준 77 2 2 2 2 3 2 2" xfId="2844" xr:uid="{3AEE2BD5-AC65-4544-AB66-DA4636D5392A}"/>
    <cellStyle name="표준 77 2 2 2 2 3 2 2 2" xfId="3540" xr:uid="{3AEE2BD5-AC65-4544-AB66-DA4636D5392A}"/>
    <cellStyle name="표준 77 2 2 2 2 3 2 2 3" xfId="4235" xr:uid="{3AEE2BD5-AC65-4544-AB66-DA4636D5392A}"/>
    <cellStyle name="표준 77 2 2 2 2 3 2 3" xfId="3192" xr:uid="{3AEE2BD5-AC65-4544-AB66-DA4636D5392A}"/>
    <cellStyle name="표준 77 2 2 2 2 3 2 4" xfId="3887" xr:uid="{3AEE2BD5-AC65-4544-AB66-DA4636D5392A}"/>
    <cellStyle name="표준 77 2 2 2 2 3 3" xfId="2518" xr:uid="{FD7D0FFF-8532-46E7-9F0E-6D891A1E063C}"/>
    <cellStyle name="표준 77 2 2 2 2 3 3 2" xfId="2866" xr:uid="{FD7D0FFF-8532-46E7-9F0E-6D891A1E063C}"/>
    <cellStyle name="표준 77 2 2 2 2 3 3 2 2" xfId="3562" xr:uid="{FD7D0FFF-8532-46E7-9F0E-6D891A1E063C}"/>
    <cellStyle name="표준 77 2 2 2 2 3 3 2 3" xfId="4257" xr:uid="{FD7D0FFF-8532-46E7-9F0E-6D891A1E063C}"/>
    <cellStyle name="표준 77 2 2 2 2 3 3 3" xfId="3214" xr:uid="{FD7D0FFF-8532-46E7-9F0E-6D891A1E063C}"/>
    <cellStyle name="표준 77 2 2 2 2 3 3 4" xfId="3909" xr:uid="{FD7D0FFF-8532-46E7-9F0E-6D891A1E063C}"/>
    <cellStyle name="표준 77 2 2 2 2 3 4" xfId="2539" xr:uid="{7B1C8831-470E-4A56-AA8D-8A88C92659FA}"/>
    <cellStyle name="표준 77 2 2 2 2 3 4 2" xfId="2887" xr:uid="{7B1C8831-470E-4A56-AA8D-8A88C92659FA}"/>
    <cellStyle name="표준 77 2 2 2 2 3 4 2 2" xfId="3583" xr:uid="{7B1C8831-470E-4A56-AA8D-8A88C92659FA}"/>
    <cellStyle name="표준 77 2 2 2 2 3 4 2 3" xfId="4278" xr:uid="{7B1C8831-470E-4A56-AA8D-8A88C92659FA}"/>
    <cellStyle name="표준 77 2 2 2 2 3 4 3" xfId="3235" xr:uid="{7B1C8831-470E-4A56-AA8D-8A88C92659FA}"/>
    <cellStyle name="표준 77 2 2 2 2 3 4 4" xfId="3930" xr:uid="{7B1C8831-470E-4A56-AA8D-8A88C92659FA}"/>
    <cellStyle name="표준 77 2 2 2 2 3 5" xfId="2560" xr:uid="{69BD76E5-280A-4535-BC46-1C53E0DEE203}"/>
    <cellStyle name="표준 77 2 2 2 2 3 5 2" xfId="2908" xr:uid="{69BD76E5-280A-4535-BC46-1C53E0DEE203}"/>
    <cellStyle name="표준 77 2 2 2 2 3 5 2 2" xfId="3604" xr:uid="{69BD76E5-280A-4535-BC46-1C53E0DEE203}"/>
    <cellStyle name="표준 77 2 2 2 2 3 5 2 3" xfId="4299" xr:uid="{69BD76E5-280A-4535-BC46-1C53E0DEE203}"/>
    <cellStyle name="표준 77 2 2 2 2 3 5 3" xfId="3256" xr:uid="{69BD76E5-280A-4535-BC46-1C53E0DEE203}"/>
    <cellStyle name="표준 77 2 2 2 2 3 5 4" xfId="3951" xr:uid="{69BD76E5-280A-4535-BC46-1C53E0DEE203}"/>
    <cellStyle name="표준 77 2 2 2 2 3 6" xfId="2581" xr:uid="{1E14E3CB-21F7-4BAF-A19A-B7D05DE62A3D}"/>
    <cellStyle name="표준 77 2 2 2 2 3 6 2" xfId="2929" xr:uid="{1E14E3CB-21F7-4BAF-A19A-B7D05DE62A3D}"/>
    <cellStyle name="표준 77 2 2 2 2 3 6 2 2" xfId="3625" xr:uid="{1E14E3CB-21F7-4BAF-A19A-B7D05DE62A3D}"/>
    <cellStyle name="표준 77 2 2 2 2 3 6 2 3" xfId="4320" xr:uid="{1E14E3CB-21F7-4BAF-A19A-B7D05DE62A3D}"/>
    <cellStyle name="표준 77 2 2 2 2 3 6 3" xfId="3277" xr:uid="{1E14E3CB-21F7-4BAF-A19A-B7D05DE62A3D}"/>
    <cellStyle name="표준 77 2 2 2 2 3 6 4" xfId="3972" xr:uid="{1E14E3CB-21F7-4BAF-A19A-B7D05DE62A3D}"/>
    <cellStyle name="표준 77 2 2 2 2 3 7" xfId="2600" xr:uid="{5A941C01-8087-4B61-941C-6821AC968849}"/>
    <cellStyle name="표준 77 2 2 2 2 3 7 2" xfId="2948" xr:uid="{5A941C01-8087-4B61-941C-6821AC968849}"/>
    <cellStyle name="표준 77 2 2 2 2 3 7 2 2" xfId="3644" xr:uid="{5A941C01-8087-4B61-941C-6821AC968849}"/>
    <cellStyle name="표준 77 2 2 2 2 3 7 2 3" xfId="4339" xr:uid="{5A941C01-8087-4B61-941C-6821AC968849}"/>
    <cellStyle name="표준 77 2 2 2 2 3 7 3" xfId="3296" xr:uid="{5A941C01-8087-4B61-941C-6821AC968849}"/>
    <cellStyle name="표준 77 2 2 2 2 3 7 4" xfId="3991" xr:uid="{5A941C01-8087-4B61-941C-6821AC968849}"/>
    <cellStyle name="표준 77 2 2 2 2 3 8" xfId="2620" xr:uid="{629B1523-A536-489F-BC6D-904599B93573}"/>
    <cellStyle name="표준 77 2 2 2 2 3 8 2" xfId="2968" xr:uid="{629B1523-A536-489F-BC6D-904599B93573}"/>
    <cellStyle name="표준 77 2 2 2 2 3 8 2 2" xfId="3664" xr:uid="{629B1523-A536-489F-BC6D-904599B93573}"/>
    <cellStyle name="표준 77 2 2 2 2 3 8 2 3" xfId="4359" xr:uid="{629B1523-A536-489F-BC6D-904599B93573}"/>
    <cellStyle name="표준 77 2 2 2 2 3 8 3" xfId="3316" xr:uid="{629B1523-A536-489F-BC6D-904599B93573}"/>
    <cellStyle name="표준 77 2 2 2 2 3 8 4" xfId="4011" xr:uid="{629B1523-A536-489F-BC6D-904599B93573}"/>
    <cellStyle name="표준 77 2 2 2 2 3 9" xfId="2824" xr:uid="{570BF470-6D10-44A6-95FA-9BAE2CF9E9AA}"/>
    <cellStyle name="표준 77 2 2 2 2 3 9 2" xfId="3520" xr:uid="{570BF470-6D10-44A6-95FA-9BAE2CF9E9AA}"/>
    <cellStyle name="표준 77 2 2 2 2 3 9 3" xfId="4215" xr:uid="{570BF470-6D10-44A6-95FA-9BAE2CF9E9AA}"/>
    <cellStyle name="표준 77 2 2 2 2 4" xfId="2744" xr:uid="{3CDF1259-9E5B-4643-A4DC-D023A4466FB8}"/>
    <cellStyle name="표준 77 2 2 2 2 4 2" xfId="3440" xr:uid="{3CDF1259-9E5B-4643-A4DC-D023A4466FB8}"/>
    <cellStyle name="표준 77 2 2 2 2 4 3" xfId="4135" xr:uid="{3CDF1259-9E5B-4643-A4DC-D023A4466FB8}"/>
    <cellStyle name="표준 77 2 2 2 2 5" xfId="3092" xr:uid="{3CDF1259-9E5B-4643-A4DC-D023A4466FB8}"/>
    <cellStyle name="표준 77 2 2 2 2 6" xfId="3787" xr:uid="{3CDF1259-9E5B-4643-A4DC-D023A4466FB8}"/>
    <cellStyle name="표준 77 2 2 2 3" xfId="2724" xr:uid="{BCF54014-F0E9-4133-A49B-1AC089A9BEDC}"/>
    <cellStyle name="표준 77 2 2 2 3 2" xfId="3420" xr:uid="{BCF54014-F0E9-4133-A49B-1AC089A9BEDC}"/>
    <cellStyle name="표준 77 2 2 2 3 3" xfId="4115" xr:uid="{BCF54014-F0E9-4133-A49B-1AC089A9BEDC}"/>
    <cellStyle name="표준 77 2 2 2 4" xfId="3072" xr:uid="{BCF54014-F0E9-4133-A49B-1AC089A9BEDC}"/>
    <cellStyle name="표준 77 2 2 2 5" xfId="3767" xr:uid="{BCF54014-F0E9-4133-A49B-1AC089A9BEDC}"/>
    <cellStyle name="표준 77 2 2 3" xfId="2704" xr:uid="{A8714B6C-D97D-4C76-B790-E676F0DE6879}"/>
    <cellStyle name="표준 77 2 2 3 2" xfId="3400" xr:uid="{A8714B6C-D97D-4C76-B790-E676F0DE6879}"/>
    <cellStyle name="표준 77 2 2 3 3" xfId="4095" xr:uid="{A8714B6C-D97D-4C76-B790-E676F0DE6879}"/>
    <cellStyle name="표준 77 2 2 4" xfId="3052" xr:uid="{A8714B6C-D97D-4C76-B790-E676F0DE6879}"/>
    <cellStyle name="표준 77 2 2 5" xfId="3747" xr:uid="{A8714B6C-D97D-4C76-B790-E676F0DE6879}"/>
    <cellStyle name="표준 77 2 3" xfId="2683" xr:uid="{7E7AE890-849B-40B7-9D54-8CB0CA802792}"/>
    <cellStyle name="표준 77 2 3 2" xfId="3379" xr:uid="{7E7AE890-849B-40B7-9D54-8CB0CA802792}"/>
    <cellStyle name="표준 77 2 3 3" xfId="4074" xr:uid="{7E7AE890-849B-40B7-9D54-8CB0CA802792}"/>
    <cellStyle name="표준 77 2 4" xfId="3031" xr:uid="{7E7AE890-849B-40B7-9D54-8CB0CA802792}"/>
    <cellStyle name="표준 77 2 5" xfId="3726" xr:uid="{7E7AE890-849B-40B7-9D54-8CB0CA802792}"/>
    <cellStyle name="표준 77 3" xfId="2641" xr:uid="{00000000-0005-0000-0000-0000E3080000}"/>
    <cellStyle name="표준 77 3 2" xfId="3337" xr:uid="{00000000-0005-0000-0000-0000E3080000}"/>
    <cellStyle name="표준 77 3 3" xfId="4032" xr:uid="{00000000-0005-0000-0000-0000E3080000}"/>
    <cellStyle name="표준 77 4" xfId="2989" xr:uid="{00000000-0005-0000-0000-0000E3080000}"/>
    <cellStyle name="표준 77 5" xfId="3684" xr:uid="{00000000-0005-0000-0000-0000E3080000}"/>
    <cellStyle name="표준 78" xfId="2289" xr:uid="{00000000-0005-0000-0000-0000E4080000}"/>
    <cellStyle name="표준 78 2" xfId="2336" xr:uid="{425A652A-D703-4348-B06B-7C4BEE08159E}"/>
    <cellStyle name="표준 78 2 2" xfId="2357" xr:uid="{3F409639-2200-4D48-A9FE-7948918CF7F5}"/>
    <cellStyle name="표준 78 2 2 2" xfId="2377" xr:uid="{3C9ED9E7-771D-46DD-AF19-D8E06C1216E4}"/>
    <cellStyle name="표준 78 2 2 2 2" xfId="2397" xr:uid="{9767EC93-836A-468E-9288-0CDF7B7C8872}"/>
    <cellStyle name="표준 78 2 2 2 2 2" xfId="2417" xr:uid="{5AE997C2-5DB1-4394-81B2-E6BDA4B6D8DD}"/>
    <cellStyle name="표준 78 2 2 2 2 2 2" xfId="2437" xr:uid="{CEC18406-3F49-4FAB-96A4-BCC7D792FFF3}"/>
    <cellStyle name="표준 78 2 2 2 2 2 2 2" xfId="2457" xr:uid="{04AE65C0-13F5-42B5-94EF-16591635441B}"/>
    <cellStyle name="표준 78 2 2 2 2 2 2 2 2" xfId="2805" xr:uid="{04AE65C0-13F5-42B5-94EF-16591635441B}"/>
    <cellStyle name="표준 78 2 2 2 2 2 2 2 2 2" xfId="3501" xr:uid="{04AE65C0-13F5-42B5-94EF-16591635441B}"/>
    <cellStyle name="표준 78 2 2 2 2 2 2 2 2 3" xfId="4196" xr:uid="{04AE65C0-13F5-42B5-94EF-16591635441B}"/>
    <cellStyle name="표준 78 2 2 2 2 2 2 2 3" xfId="3153" xr:uid="{04AE65C0-13F5-42B5-94EF-16591635441B}"/>
    <cellStyle name="표준 78 2 2 2 2 2 2 2 4" xfId="3848" xr:uid="{04AE65C0-13F5-42B5-94EF-16591635441B}"/>
    <cellStyle name="표준 78 2 2 2 2 2 2 3" xfId="2785" xr:uid="{CEC18406-3F49-4FAB-96A4-BCC7D792FFF3}"/>
    <cellStyle name="표준 78 2 2 2 2 2 2 3 2" xfId="3481" xr:uid="{CEC18406-3F49-4FAB-96A4-BCC7D792FFF3}"/>
    <cellStyle name="표준 78 2 2 2 2 2 2 3 3" xfId="4176" xr:uid="{CEC18406-3F49-4FAB-96A4-BCC7D792FFF3}"/>
    <cellStyle name="표준 78 2 2 2 2 2 2 4" xfId="3133" xr:uid="{CEC18406-3F49-4FAB-96A4-BCC7D792FFF3}"/>
    <cellStyle name="표준 78 2 2 2 2 2 2 5" xfId="3828" xr:uid="{CEC18406-3F49-4FAB-96A4-BCC7D792FFF3}"/>
    <cellStyle name="표준 78 2 2 2 2 2 3" xfId="2765" xr:uid="{5AE997C2-5DB1-4394-81B2-E6BDA4B6D8DD}"/>
    <cellStyle name="표준 78 2 2 2 2 2 3 2" xfId="3461" xr:uid="{5AE997C2-5DB1-4394-81B2-E6BDA4B6D8DD}"/>
    <cellStyle name="표준 78 2 2 2 2 2 3 3" xfId="4156" xr:uid="{5AE997C2-5DB1-4394-81B2-E6BDA4B6D8DD}"/>
    <cellStyle name="표준 78 2 2 2 2 2 4" xfId="3113" xr:uid="{5AE997C2-5DB1-4394-81B2-E6BDA4B6D8DD}"/>
    <cellStyle name="표준 78 2 2 2 2 2 5" xfId="3808" xr:uid="{5AE997C2-5DB1-4394-81B2-E6BDA4B6D8DD}"/>
    <cellStyle name="표준 78 2 2 2 2 3" xfId="2477" xr:uid="{8496F7EC-44EA-459A-A3DB-7110E092A622}"/>
    <cellStyle name="표준 78 2 2 2 2 3 10" xfId="3173" xr:uid="{8496F7EC-44EA-459A-A3DB-7110E092A622}"/>
    <cellStyle name="표준 78 2 2 2 2 3 11" xfId="3868" xr:uid="{8496F7EC-44EA-459A-A3DB-7110E092A622}"/>
    <cellStyle name="표준 78 2 2 2 2 3 2" xfId="2497" xr:uid="{AF06A7D8-4975-464C-AB58-FE084226610B}"/>
    <cellStyle name="표준 78 2 2 2 2 3 2 2" xfId="2845" xr:uid="{AF06A7D8-4975-464C-AB58-FE084226610B}"/>
    <cellStyle name="표준 78 2 2 2 2 3 2 2 2" xfId="3541" xr:uid="{AF06A7D8-4975-464C-AB58-FE084226610B}"/>
    <cellStyle name="표준 78 2 2 2 2 3 2 2 3" xfId="4236" xr:uid="{AF06A7D8-4975-464C-AB58-FE084226610B}"/>
    <cellStyle name="표준 78 2 2 2 2 3 2 3" xfId="3193" xr:uid="{AF06A7D8-4975-464C-AB58-FE084226610B}"/>
    <cellStyle name="표준 78 2 2 2 2 3 2 4" xfId="3888" xr:uid="{AF06A7D8-4975-464C-AB58-FE084226610B}"/>
    <cellStyle name="표준 78 2 2 2 2 3 3" xfId="2519" xr:uid="{1A003B0C-AE65-4FC4-9BA9-536CD52747CB}"/>
    <cellStyle name="표준 78 2 2 2 2 3 3 2" xfId="2867" xr:uid="{1A003B0C-AE65-4FC4-9BA9-536CD52747CB}"/>
    <cellStyle name="표준 78 2 2 2 2 3 3 2 2" xfId="3563" xr:uid="{1A003B0C-AE65-4FC4-9BA9-536CD52747CB}"/>
    <cellStyle name="표준 78 2 2 2 2 3 3 2 3" xfId="4258" xr:uid="{1A003B0C-AE65-4FC4-9BA9-536CD52747CB}"/>
    <cellStyle name="표준 78 2 2 2 2 3 3 3" xfId="3215" xr:uid="{1A003B0C-AE65-4FC4-9BA9-536CD52747CB}"/>
    <cellStyle name="표준 78 2 2 2 2 3 3 4" xfId="3910" xr:uid="{1A003B0C-AE65-4FC4-9BA9-536CD52747CB}"/>
    <cellStyle name="표준 78 2 2 2 2 3 4" xfId="2540" xr:uid="{2B69F84F-250A-4615-B68D-0B955C13A8F7}"/>
    <cellStyle name="표준 78 2 2 2 2 3 4 2" xfId="2888" xr:uid="{2B69F84F-250A-4615-B68D-0B955C13A8F7}"/>
    <cellStyle name="표준 78 2 2 2 2 3 4 2 2" xfId="3584" xr:uid="{2B69F84F-250A-4615-B68D-0B955C13A8F7}"/>
    <cellStyle name="표준 78 2 2 2 2 3 4 2 3" xfId="4279" xr:uid="{2B69F84F-250A-4615-B68D-0B955C13A8F7}"/>
    <cellStyle name="표준 78 2 2 2 2 3 4 3" xfId="3236" xr:uid="{2B69F84F-250A-4615-B68D-0B955C13A8F7}"/>
    <cellStyle name="표준 78 2 2 2 2 3 4 4" xfId="3931" xr:uid="{2B69F84F-250A-4615-B68D-0B955C13A8F7}"/>
    <cellStyle name="표준 78 2 2 2 2 3 5" xfId="2561" xr:uid="{8457E561-CD26-4378-A42A-C49D4A38B462}"/>
    <cellStyle name="표준 78 2 2 2 2 3 5 2" xfId="2909" xr:uid="{8457E561-CD26-4378-A42A-C49D4A38B462}"/>
    <cellStyle name="표준 78 2 2 2 2 3 5 2 2" xfId="3605" xr:uid="{8457E561-CD26-4378-A42A-C49D4A38B462}"/>
    <cellStyle name="표준 78 2 2 2 2 3 5 2 3" xfId="4300" xr:uid="{8457E561-CD26-4378-A42A-C49D4A38B462}"/>
    <cellStyle name="표준 78 2 2 2 2 3 5 3" xfId="3257" xr:uid="{8457E561-CD26-4378-A42A-C49D4A38B462}"/>
    <cellStyle name="표준 78 2 2 2 2 3 5 4" xfId="3952" xr:uid="{8457E561-CD26-4378-A42A-C49D4A38B462}"/>
    <cellStyle name="표준 78 2 2 2 2 3 6" xfId="2582" xr:uid="{F30A0219-42CD-43D7-8857-E26961B85E30}"/>
    <cellStyle name="표준 78 2 2 2 2 3 6 2" xfId="2930" xr:uid="{F30A0219-42CD-43D7-8857-E26961B85E30}"/>
    <cellStyle name="표준 78 2 2 2 2 3 6 2 2" xfId="3626" xr:uid="{F30A0219-42CD-43D7-8857-E26961B85E30}"/>
    <cellStyle name="표준 78 2 2 2 2 3 6 2 3" xfId="4321" xr:uid="{F30A0219-42CD-43D7-8857-E26961B85E30}"/>
    <cellStyle name="표준 78 2 2 2 2 3 6 3" xfId="3278" xr:uid="{F30A0219-42CD-43D7-8857-E26961B85E30}"/>
    <cellStyle name="표준 78 2 2 2 2 3 6 4" xfId="3973" xr:uid="{F30A0219-42CD-43D7-8857-E26961B85E30}"/>
    <cellStyle name="표준 78 2 2 2 2 3 7" xfId="2601" xr:uid="{49D79392-56E3-4FB0-92BB-2EC94F38B1B9}"/>
    <cellStyle name="표준 78 2 2 2 2 3 7 2" xfId="2949" xr:uid="{49D79392-56E3-4FB0-92BB-2EC94F38B1B9}"/>
    <cellStyle name="표준 78 2 2 2 2 3 7 2 2" xfId="3645" xr:uid="{49D79392-56E3-4FB0-92BB-2EC94F38B1B9}"/>
    <cellStyle name="표준 78 2 2 2 2 3 7 2 3" xfId="4340" xr:uid="{49D79392-56E3-4FB0-92BB-2EC94F38B1B9}"/>
    <cellStyle name="표준 78 2 2 2 2 3 7 3" xfId="3297" xr:uid="{49D79392-56E3-4FB0-92BB-2EC94F38B1B9}"/>
    <cellStyle name="표준 78 2 2 2 2 3 7 4" xfId="3992" xr:uid="{49D79392-56E3-4FB0-92BB-2EC94F38B1B9}"/>
    <cellStyle name="표준 78 2 2 2 2 3 8" xfId="2621" xr:uid="{C35FD7A9-E319-4DAA-A6C6-35472556164B}"/>
    <cellStyle name="표준 78 2 2 2 2 3 8 2" xfId="2969" xr:uid="{C35FD7A9-E319-4DAA-A6C6-35472556164B}"/>
    <cellStyle name="표준 78 2 2 2 2 3 8 2 2" xfId="3665" xr:uid="{C35FD7A9-E319-4DAA-A6C6-35472556164B}"/>
    <cellStyle name="표준 78 2 2 2 2 3 8 2 3" xfId="4360" xr:uid="{C35FD7A9-E319-4DAA-A6C6-35472556164B}"/>
    <cellStyle name="표준 78 2 2 2 2 3 8 3" xfId="3317" xr:uid="{C35FD7A9-E319-4DAA-A6C6-35472556164B}"/>
    <cellStyle name="표준 78 2 2 2 2 3 8 4" xfId="4012" xr:uid="{C35FD7A9-E319-4DAA-A6C6-35472556164B}"/>
    <cellStyle name="표준 78 2 2 2 2 3 9" xfId="2825" xr:uid="{8496F7EC-44EA-459A-A3DB-7110E092A622}"/>
    <cellStyle name="표준 78 2 2 2 2 3 9 2" xfId="3521" xr:uid="{8496F7EC-44EA-459A-A3DB-7110E092A622}"/>
    <cellStyle name="표준 78 2 2 2 2 3 9 3" xfId="4216" xr:uid="{8496F7EC-44EA-459A-A3DB-7110E092A622}"/>
    <cellStyle name="표준 78 2 2 2 2 4" xfId="2745" xr:uid="{9767EC93-836A-468E-9288-0CDF7B7C8872}"/>
    <cellStyle name="표준 78 2 2 2 2 4 2" xfId="3441" xr:uid="{9767EC93-836A-468E-9288-0CDF7B7C8872}"/>
    <cellStyle name="표준 78 2 2 2 2 4 3" xfId="4136" xr:uid="{9767EC93-836A-468E-9288-0CDF7B7C8872}"/>
    <cellStyle name="표준 78 2 2 2 2 5" xfId="3093" xr:uid="{9767EC93-836A-468E-9288-0CDF7B7C8872}"/>
    <cellStyle name="표준 78 2 2 2 2 6" xfId="3788" xr:uid="{9767EC93-836A-468E-9288-0CDF7B7C8872}"/>
    <cellStyle name="표준 78 2 2 2 3" xfId="2725" xr:uid="{3C9ED9E7-771D-46DD-AF19-D8E06C1216E4}"/>
    <cellStyle name="표준 78 2 2 2 3 2" xfId="3421" xr:uid="{3C9ED9E7-771D-46DD-AF19-D8E06C1216E4}"/>
    <cellStyle name="표준 78 2 2 2 3 3" xfId="4116" xr:uid="{3C9ED9E7-771D-46DD-AF19-D8E06C1216E4}"/>
    <cellStyle name="표준 78 2 2 2 4" xfId="3073" xr:uid="{3C9ED9E7-771D-46DD-AF19-D8E06C1216E4}"/>
    <cellStyle name="표준 78 2 2 2 5" xfId="3768" xr:uid="{3C9ED9E7-771D-46DD-AF19-D8E06C1216E4}"/>
    <cellStyle name="표준 78 2 2 3" xfId="2705" xr:uid="{3F409639-2200-4D48-A9FE-7948918CF7F5}"/>
    <cellStyle name="표준 78 2 2 3 2" xfId="3401" xr:uid="{3F409639-2200-4D48-A9FE-7948918CF7F5}"/>
    <cellStyle name="표준 78 2 2 3 3" xfId="4096" xr:uid="{3F409639-2200-4D48-A9FE-7948918CF7F5}"/>
    <cellStyle name="표준 78 2 2 4" xfId="3053" xr:uid="{3F409639-2200-4D48-A9FE-7948918CF7F5}"/>
    <cellStyle name="표준 78 2 2 5" xfId="3748" xr:uid="{3F409639-2200-4D48-A9FE-7948918CF7F5}"/>
    <cellStyle name="표준 78 2 3" xfId="2684" xr:uid="{425A652A-D703-4348-B06B-7C4BEE08159E}"/>
    <cellStyle name="표준 78 2 3 2" xfId="3380" xr:uid="{425A652A-D703-4348-B06B-7C4BEE08159E}"/>
    <cellStyle name="표준 78 2 3 3" xfId="4075" xr:uid="{425A652A-D703-4348-B06B-7C4BEE08159E}"/>
    <cellStyle name="표준 78 2 4" xfId="3032" xr:uid="{425A652A-D703-4348-B06B-7C4BEE08159E}"/>
    <cellStyle name="표준 78 2 5" xfId="3727" xr:uid="{425A652A-D703-4348-B06B-7C4BEE08159E}"/>
    <cellStyle name="표준 78 3" xfId="2642" xr:uid="{00000000-0005-0000-0000-0000E4080000}"/>
    <cellStyle name="표준 78 3 2" xfId="3338" xr:uid="{00000000-0005-0000-0000-0000E4080000}"/>
    <cellStyle name="표준 78 3 3" xfId="4033" xr:uid="{00000000-0005-0000-0000-0000E4080000}"/>
    <cellStyle name="표준 78 4" xfId="2990" xr:uid="{00000000-0005-0000-0000-0000E4080000}"/>
    <cellStyle name="표준 78 5" xfId="3685" xr:uid="{00000000-0005-0000-0000-0000E4080000}"/>
    <cellStyle name="표준 79" xfId="2290" xr:uid="{00000000-0005-0000-0000-0000E5080000}"/>
    <cellStyle name="표준 79 2" xfId="2337" xr:uid="{BB98D8D1-6358-476B-8A4E-533FBB84735E}"/>
    <cellStyle name="표준 79 2 2" xfId="2358" xr:uid="{35AFCCF5-7B07-4FEF-B3AA-A990C8318155}"/>
    <cellStyle name="표준 79 2 2 2" xfId="2378" xr:uid="{6A8351C5-021D-4CF3-980D-83BA986D45AB}"/>
    <cellStyle name="표준 79 2 2 2 2" xfId="2398" xr:uid="{4DBFE8D0-6795-451F-A6EF-AA3CF42878E1}"/>
    <cellStyle name="표준 79 2 2 2 2 2" xfId="2418" xr:uid="{E870A50C-F4FE-4C5A-90C0-91BED7741A76}"/>
    <cellStyle name="표준 79 2 2 2 2 2 2" xfId="2438" xr:uid="{DF531E06-8DDD-4928-AC8C-EF209080D32D}"/>
    <cellStyle name="표준 79 2 2 2 2 2 2 2" xfId="2458" xr:uid="{C3BB43C5-C4EC-4EC4-A05A-53D573C9FBBD}"/>
    <cellStyle name="표준 79 2 2 2 2 2 2 2 2" xfId="2806" xr:uid="{C3BB43C5-C4EC-4EC4-A05A-53D573C9FBBD}"/>
    <cellStyle name="표준 79 2 2 2 2 2 2 2 2 2" xfId="3502" xr:uid="{C3BB43C5-C4EC-4EC4-A05A-53D573C9FBBD}"/>
    <cellStyle name="표준 79 2 2 2 2 2 2 2 2 3" xfId="4197" xr:uid="{C3BB43C5-C4EC-4EC4-A05A-53D573C9FBBD}"/>
    <cellStyle name="표준 79 2 2 2 2 2 2 2 3" xfId="3154" xr:uid="{C3BB43C5-C4EC-4EC4-A05A-53D573C9FBBD}"/>
    <cellStyle name="표준 79 2 2 2 2 2 2 2 4" xfId="3849" xr:uid="{C3BB43C5-C4EC-4EC4-A05A-53D573C9FBBD}"/>
    <cellStyle name="표준 79 2 2 2 2 2 2 3" xfId="2786" xr:uid="{DF531E06-8DDD-4928-AC8C-EF209080D32D}"/>
    <cellStyle name="표준 79 2 2 2 2 2 2 3 2" xfId="3482" xr:uid="{DF531E06-8DDD-4928-AC8C-EF209080D32D}"/>
    <cellStyle name="표준 79 2 2 2 2 2 2 3 3" xfId="4177" xr:uid="{DF531E06-8DDD-4928-AC8C-EF209080D32D}"/>
    <cellStyle name="표준 79 2 2 2 2 2 2 4" xfId="3134" xr:uid="{DF531E06-8DDD-4928-AC8C-EF209080D32D}"/>
    <cellStyle name="표준 79 2 2 2 2 2 2 5" xfId="3829" xr:uid="{DF531E06-8DDD-4928-AC8C-EF209080D32D}"/>
    <cellStyle name="표준 79 2 2 2 2 2 3" xfId="2766" xr:uid="{E870A50C-F4FE-4C5A-90C0-91BED7741A76}"/>
    <cellStyle name="표준 79 2 2 2 2 2 3 2" xfId="3462" xr:uid="{E870A50C-F4FE-4C5A-90C0-91BED7741A76}"/>
    <cellStyle name="표준 79 2 2 2 2 2 3 3" xfId="4157" xr:uid="{E870A50C-F4FE-4C5A-90C0-91BED7741A76}"/>
    <cellStyle name="표준 79 2 2 2 2 2 4" xfId="3114" xr:uid="{E870A50C-F4FE-4C5A-90C0-91BED7741A76}"/>
    <cellStyle name="표준 79 2 2 2 2 2 5" xfId="3809" xr:uid="{E870A50C-F4FE-4C5A-90C0-91BED7741A76}"/>
    <cellStyle name="표준 79 2 2 2 2 3" xfId="2478" xr:uid="{09AB6B7C-860A-4B52-96AF-39FDBA10EFCB}"/>
    <cellStyle name="표준 79 2 2 2 2 3 10" xfId="3174" xr:uid="{09AB6B7C-860A-4B52-96AF-39FDBA10EFCB}"/>
    <cellStyle name="표준 79 2 2 2 2 3 11" xfId="3869" xr:uid="{09AB6B7C-860A-4B52-96AF-39FDBA10EFCB}"/>
    <cellStyle name="표준 79 2 2 2 2 3 2" xfId="2498" xr:uid="{1DF12665-0474-40D5-BBDB-54512BA62E24}"/>
    <cellStyle name="표준 79 2 2 2 2 3 2 2" xfId="2846" xr:uid="{1DF12665-0474-40D5-BBDB-54512BA62E24}"/>
    <cellStyle name="표준 79 2 2 2 2 3 2 2 2" xfId="3542" xr:uid="{1DF12665-0474-40D5-BBDB-54512BA62E24}"/>
    <cellStyle name="표준 79 2 2 2 2 3 2 2 3" xfId="4237" xr:uid="{1DF12665-0474-40D5-BBDB-54512BA62E24}"/>
    <cellStyle name="표준 79 2 2 2 2 3 2 3" xfId="3194" xr:uid="{1DF12665-0474-40D5-BBDB-54512BA62E24}"/>
    <cellStyle name="표준 79 2 2 2 2 3 2 4" xfId="3889" xr:uid="{1DF12665-0474-40D5-BBDB-54512BA62E24}"/>
    <cellStyle name="표준 79 2 2 2 2 3 3" xfId="2520" xr:uid="{BBA01686-F3D1-4643-B1F0-C0E9C7969393}"/>
    <cellStyle name="표준 79 2 2 2 2 3 3 2" xfId="2868" xr:uid="{BBA01686-F3D1-4643-B1F0-C0E9C7969393}"/>
    <cellStyle name="표준 79 2 2 2 2 3 3 2 2" xfId="3564" xr:uid="{BBA01686-F3D1-4643-B1F0-C0E9C7969393}"/>
    <cellStyle name="표준 79 2 2 2 2 3 3 2 3" xfId="4259" xr:uid="{BBA01686-F3D1-4643-B1F0-C0E9C7969393}"/>
    <cellStyle name="표준 79 2 2 2 2 3 3 3" xfId="3216" xr:uid="{BBA01686-F3D1-4643-B1F0-C0E9C7969393}"/>
    <cellStyle name="표준 79 2 2 2 2 3 3 4" xfId="3911" xr:uid="{BBA01686-F3D1-4643-B1F0-C0E9C7969393}"/>
    <cellStyle name="표준 79 2 2 2 2 3 4" xfId="2541" xr:uid="{69637A96-02C9-42B5-A525-1ADCC4E742AA}"/>
    <cellStyle name="표준 79 2 2 2 2 3 4 2" xfId="2889" xr:uid="{69637A96-02C9-42B5-A525-1ADCC4E742AA}"/>
    <cellStyle name="표준 79 2 2 2 2 3 4 2 2" xfId="3585" xr:uid="{69637A96-02C9-42B5-A525-1ADCC4E742AA}"/>
    <cellStyle name="표준 79 2 2 2 2 3 4 2 3" xfId="4280" xr:uid="{69637A96-02C9-42B5-A525-1ADCC4E742AA}"/>
    <cellStyle name="표준 79 2 2 2 2 3 4 3" xfId="3237" xr:uid="{69637A96-02C9-42B5-A525-1ADCC4E742AA}"/>
    <cellStyle name="표준 79 2 2 2 2 3 4 4" xfId="3932" xr:uid="{69637A96-02C9-42B5-A525-1ADCC4E742AA}"/>
    <cellStyle name="표준 79 2 2 2 2 3 5" xfId="2562" xr:uid="{75A7EACC-AFCA-49B2-9B39-27FD04D77598}"/>
    <cellStyle name="표준 79 2 2 2 2 3 5 2" xfId="2910" xr:uid="{75A7EACC-AFCA-49B2-9B39-27FD04D77598}"/>
    <cellStyle name="표준 79 2 2 2 2 3 5 2 2" xfId="3606" xr:uid="{75A7EACC-AFCA-49B2-9B39-27FD04D77598}"/>
    <cellStyle name="표준 79 2 2 2 2 3 5 2 3" xfId="4301" xr:uid="{75A7EACC-AFCA-49B2-9B39-27FD04D77598}"/>
    <cellStyle name="표준 79 2 2 2 2 3 5 3" xfId="3258" xr:uid="{75A7EACC-AFCA-49B2-9B39-27FD04D77598}"/>
    <cellStyle name="표준 79 2 2 2 2 3 5 4" xfId="3953" xr:uid="{75A7EACC-AFCA-49B2-9B39-27FD04D77598}"/>
    <cellStyle name="표준 79 2 2 2 2 3 6" xfId="2583" xr:uid="{001B71CE-A343-432B-AA8E-8A21F28FC938}"/>
    <cellStyle name="표준 79 2 2 2 2 3 6 2" xfId="2931" xr:uid="{001B71CE-A343-432B-AA8E-8A21F28FC938}"/>
    <cellStyle name="표준 79 2 2 2 2 3 6 2 2" xfId="3627" xr:uid="{001B71CE-A343-432B-AA8E-8A21F28FC938}"/>
    <cellStyle name="표준 79 2 2 2 2 3 6 2 3" xfId="4322" xr:uid="{001B71CE-A343-432B-AA8E-8A21F28FC938}"/>
    <cellStyle name="표준 79 2 2 2 2 3 6 3" xfId="3279" xr:uid="{001B71CE-A343-432B-AA8E-8A21F28FC938}"/>
    <cellStyle name="표준 79 2 2 2 2 3 6 4" xfId="3974" xr:uid="{001B71CE-A343-432B-AA8E-8A21F28FC938}"/>
    <cellStyle name="표준 79 2 2 2 2 3 7" xfId="2602" xr:uid="{59F4CD9A-265B-45A9-9914-A3A2DE42B0C4}"/>
    <cellStyle name="표준 79 2 2 2 2 3 7 2" xfId="2950" xr:uid="{59F4CD9A-265B-45A9-9914-A3A2DE42B0C4}"/>
    <cellStyle name="표준 79 2 2 2 2 3 7 2 2" xfId="3646" xr:uid="{59F4CD9A-265B-45A9-9914-A3A2DE42B0C4}"/>
    <cellStyle name="표준 79 2 2 2 2 3 7 2 3" xfId="4341" xr:uid="{59F4CD9A-265B-45A9-9914-A3A2DE42B0C4}"/>
    <cellStyle name="표준 79 2 2 2 2 3 7 3" xfId="3298" xr:uid="{59F4CD9A-265B-45A9-9914-A3A2DE42B0C4}"/>
    <cellStyle name="표준 79 2 2 2 2 3 7 4" xfId="3993" xr:uid="{59F4CD9A-265B-45A9-9914-A3A2DE42B0C4}"/>
    <cellStyle name="표준 79 2 2 2 2 3 8" xfId="2622" xr:uid="{1A134AC7-10A8-4F17-9B23-EE4BC0AB7BE0}"/>
    <cellStyle name="표준 79 2 2 2 2 3 8 2" xfId="2970" xr:uid="{1A134AC7-10A8-4F17-9B23-EE4BC0AB7BE0}"/>
    <cellStyle name="표준 79 2 2 2 2 3 8 2 2" xfId="3666" xr:uid="{1A134AC7-10A8-4F17-9B23-EE4BC0AB7BE0}"/>
    <cellStyle name="표준 79 2 2 2 2 3 8 2 3" xfId="4361" xr:uid="{1A134AC7-10A8-4F17-9B23-EE4BC0AB7BE0}"/>
    <cellStyle name="표준 79 2 2 2 2 3 8 3" xfId="3318" xr:uid="{1A134AC7-10A8-4F17-9B23-EE4BC0AB7BE0}"/>
    <cellStyle name="표준 79 2 2 2 2 3 8 4" xfId="4013" xr:uid="{1A134AC7-10A8-4F17-9B23-EE4BC0AB7BE0}"/>
    <cellStyle name="표준 79 2 2 2 2 3 9" xfId="2826" xr:uid="{09AB6B7C-860A-4B52-96AF-39FDBA10EFCB}"/>
    <cellStyle name="표준 79 2 2 2 2 3 9 2" xfId="3522" xr:uid="{09AB6B7C-860A-4B52-96AF-39FDBA10EFCB}"/>
    <cellStyle name="표준 79 2 2 2 2 3 9 3" xfId="4217" xr:uid="{09AB6B7C-860A-4B52-96AF-39FDBA10EFCB}"/>
    <cellStyle name="표준 79 2 2 2 2 4" xfId="2746" xr:uid="{4DBFE8D0-6795-451F-A6EF-AA3CF42878E1}"/>
    <cellStyle name="표준 79 2 2 2 2 4 2" xfId="3442" xr:uid="{4DBFE8D0-6795-451F-A6EF-AA3CF42878E1}"/>
    <cellStyle name="표준 79 2 2 2 2 4 3" xfId="4137" xr:uid="{4DBFE8D0-6795-451F-A6EF-AA3CF42878E1}"/>
    <cellStyle name="표준 79 2 2 2 2 5" xfId="3094" xr:uid="{4DBFE8D0-6795-451F-A6EF-AA3CF42878E1}"/>
    <cellStyle name="표준 79 2 2 2 2 6" xfId="3789" xr:uid="{4DBFE8D0-6795-451F-A6EF-AA3CF42878E1}"/>
    <cellStyle name="표준 79 2 2 2 3" xfId="2726" xr:uid="{6A8351C5-021D-4CF3-980D-83BA986D45AB}"/>
    <cellStyle name="표준 79 2 2 2 3 2" xfId="3422" xr:uid="{6A8351C5-021D-4CF3-980D-83BA986D45AB}"/>
    <cellStyle name="표준 79 2 2 2 3 3" xfId="4117" xr:uid="{6A8351C5-021D-4CF3-980D-83BA986D45AB}"/>
    <cellStyle name="표준 79 2 2 2 4" xfId="3074" xr:uid="{6A8351C5-021D-4CF3-980D-83BA986D45AB}"/>
    <cellStyle name="표준 79 2 2 2 5" xfId="3769" xr:uid="{6A8351C5-021D-4CF3-980D-83BA986D45AB}"/>
    <cellStyle name="표준 79 2 2 3" xfId="2706" xr:uid="{35AFCCF5-7B07-4FEF-B3AA-A990C8318155}"/>
    <cellStyle name="표준 79 2 2 3 2" xfId="3402" xr:uid="{35AFCCF5-7B07-4FEF-B3AA-A990C8318155}"/>
    <cellStyle name="표준 79 2 2 3 3" xfId="4097" xr:uid="{35AFCCF5-7B07-4FEF-B3AA-A990C8318155}"/>
    <cellStyle name="표준 79 2 2 4" xfId="3054" xr:uid="{35AFCCF5-7B07-4FEF-B3AA-A990C8318155}"/>
    <cellStyle name="표준 79 2 2 5" xfId="3749" xr:uid="{35AFCCF5-7B07-4FEF-B3AA-A990C8318155}"/>
    <cellStyle name="표준 79 2 3" xfId="2685" xr:uid="{BB98D8D1-6358-476B-8A4E-533FBB84735E}"/>
    <cellStyle name="표준 79 2 3 2" xfId="3381" xr:uid="{BB98D8D1-6358-476B-8A4E-533FBB84735E}"/>
    <cellStyle name="표준 79 2 3 3" xfId="4076" xr:uid="{BB98D8D1-6358-476B-8A4E-533FBB84735E}"/>
    <cellStyle name="표준 79 2 4" xfId="3033" xr:uid="{BB98D8D1-6358-476B-8A4E-533FBB84735E}"/>
    <cellStyle name="표준 79 2 5" xfId="3728" xr:uid="{BB98D8D1-6358-476B-8A4E-533FBB84735E}"/>
    <cellStyle name="표준 79 3" xfId="2643" xr:uid="{00000000-0005-0000-0000-0000E5080000}"/>
    <cellStyle name="표준 79 3 2" xfId="3339" xr:uid="{00000000-0005-0000-0000-0000E5080000}"/>
    <cellStyle name="표준 79 3 3" xfId="4034" xr:uid="{00000000-0005-0000-0000-0000E5080000}"/>
    <cellStyle name="표준 79 4" xfId="2991" xr:uid="{00000000-0005-0000-0000-0000E5080000}"/>
    <cellStyle name="표준 79 5" xfId="3686" xr:uid="{00000000-0005-0000-0000-0000E5080000}"/>
    <cellStyle name="표준 8" xfId="2270" xr:uid="{00000000-0005-0000-0000-0000E6080000}"/>
    <cellStyle name="표준 8 2" xfId="2271" xr:uid="{00000000-0005-0000-0000-0000E7080000}"/>
    <cellStyle name="표준 8 3" xfId="2272" xr:uid="{00000000-0005-0000-0000-0000E8080000}"/>
    <cellStyle name="표준 8 4" xfId="2273" xr:uid="{00000000-0005-0000-0000-0000E9080000}"/>
    <cellStyle name="표준 80" xfId="2291" xr:uid="{00000000-0005-0000-0000-0000F7080000}"/>
    <cellStyle name="표준 80 2" xfId="2319" xr:uid="{4C4BEB06-4F66-400B-9823-113349C3016B}"/>
    <cellStyle name="표준 80 2 2" xfId="2340" xr:uid="{DD24F947-5B72-42F2-B59A-2105142A536A}"/>
    <cellStyle name="표준 80 2 2 2" xfId="2360" xr:uid="{C4199180-CEA6-4992-974C-ADF94843C890}"/>
    <cellStyle name="표준 80 2 2 2 2" xfId="2380" xr:uid="{8F299D67-09C3-4CD5-B145-AA688311D216}"/>
    <cellStyle name="표준 80 2 2 2 2 2" xfId="2400" xr:uid="{1C9339C4-F426-4F5C-83E4-02D4AA74390E}"/>
    <cellStyle name="표준 80 2 2 2 2 2 2" xfId="2420" xr:uid="{F6314505-9A39-4DED-80B7-31BB50D652C2}"/>
    <cellStyle name="표준 80 2 2 2 2 2 2 2" xfId="2440" xr:uid="{34C249A4-732A-402A-BC1D-2BECEB268649}"/>
    <cellStyle name="표준 80 2 2 2 2 2 2 2 10" xfId="2788" xr:uid="{34C249A4-732A-402A-BC1D-2BECEB268649}"/>
    <cellStyle name="표준 80 2 2 2 2 2 2 2 10 2" xfId="3484" xr:uid="{34C249A4-732A-402A-BC1D-2BECEB268649}"/>
    <cellStyle name="표준 80 2 2 2 2 2 2 2 10 3" xfId="4179" xr:uid="{34C249A4-732A-402A-BC1D-2BECEB268649}"/>
    <cellStyle name="표준 80 2 2 2 2 2 2 2 11" xfId="3136" xr:uid="{34C249A4-732A-402A-BC1D-2BECEB268649}"/>
    <cellStyle name="표준 80 2 2 2 2 2 2 2 12" xfId="3831" xr:uid="{34C249A4-732A-402A-BC1D-2BECEB268649}"/>
    <cellStyle name="표준 80 2 2 2 2 2 2 2 2" xfId="2460" xr:uid="{76DC53F4-CE7A-4962-9EEB-071EBD96C52B}"/>
    <cellStyle name="표준 80 2 2 2 2 2 2 2 2 2" xfId="2808" xr:uid="{76DC53F4-CE7A-4962-9EEB-071EBD96C52B}"/>
    <cellStyle name="표준 80 2 2 2 2 2 2 2 2 2 2" xfId="3504" xr:uid="{76DC53F4-CE7A-4962-9EEB-071EBD96C52B}"/>
    <cellStyle name="표준 80 2 2 2 2 2 2 2 2 2 3" xfId="4199" xr:uid="{76DC53F4-CE7A-4962-9EEB-071EBD96C52B}"/>
    <cellStyle name="표준 80 2 2 2 2 2 2 2 2 3" xfId="3156" xr:uid="{76DC53F4-CE7A-4962-9EEB-071EBD96C52B}"/>
    <cellStyle name="표준 80 2 2 2 2 2 2 2 2 4" xfId="3851" xr:uid="{76DC53F4-CE7A-4962-9EEB-071EBD96C52B}"/>
    <cellStyle name="표준 80 2 2 2 2 2 2 2 3" xfId="2480" xr:uid="{63B4332E-DCD8-4E52-B254-D6E028ED6283}"/>
    <cellStyle name="표준 80 2 2 2 2 2 2 2 3 2" xfId="2828" xr:uid="{63B4332E-DCD8-4E52-B254-D6E028ED6283}"/>
    <cellStyle name="표준 80 2 2 2 2 2 2 2 3 2 2" xfId="3524" xr:uid="{63B4332E-DCD8-4E52-B254-D6E028ED6283}"/>
    <cellStyle name="표준 80 2 2 2 2 2 2 2 3 2 3" xfId="4219" xr:uid="{63B4332E-DCD8-4E52-B254-D6E028ED6283}"/>
    <cellStyle name="표준 80 2 2 2 2 2 2 2 3 3" xfId="3176" xr:uid="{63B4332E-DCD8-4E52-B254-D6E028ED6283}"/>
    <cellStyle name="표준 80 2 2 2 2 2 2 2 3 4" xfId="3871" xr:uid="{63B4332E-DCD8-4E52-B254-D6E028ED6283}"/>
    <cellStyle name="표준 80 2 2 2 2 2 2 2 4" xfId="2502" xr:uid="{D5EED3D5-1DB5-4BDD-BAB6-1757457A124B}"/>
    <cellStyle name="표준 80 2 2 2 2 2 2 2 4 2" xfId="2850" xr:uid="{D5EED3D5-1DB5-4BDD-BAB6-1757457A124B}"/>
    <cellStyle name="표준 80 2 2 2 2 2 2 2 4 2 2" xfId="3546" xr:uid="{D5EED3D5-1DB5-4BDD-BAB6-1757457A124B}"/>
    <cellStyle name="표준 80 2 2 2 2 2 2 2 4 2 3" xfId="4241" xr:uid="{D5EED3D5-1DB5-4BDD-BAB6-1757457A124B}"/>
    <cellStyle name="표준 80 2 2 2 2 2 2 2 4 3" xfId="3198" xr:uid="{D5EED3D5-1DB5-4BDD-BAB6-1757457A124B}"/>
    <cellStyle name="표준 80 2 2 2 2 2 2 2 4 4" xfId="3893" xr:uid="{D5EED3D5-1DB5-4BDD-BAB6-1757457A124B}"/>
    <cellStyle name="표준 80 2 2 2 2 2 2 2 5" xfId="2527" xr:uid="{683FB7F1-B8E0-4B09-9BA3-27FE89C51052}"/>
    <cellStyle name="표준 80 2 2 2 2 2 2 2 5 2" xfId="2875" xr:uid="{683FB7F1-B8E0-4B09-9BA3-27FE89C51052}"/>
    <cellStyle name="표준 80 2 2 2 2 2 2 2 5 2 2" xfId="3571" xr:uid="{683FB7F1-B8E0-4B09-9BA3-27FE89C51052}"/>
    <cellStyle name="표준 80 2 2 2 2 2 2 2 5 2 3" xfId="4266" xr:uid="{683FB7F1-B8E0-4B09-9BA3-27FE89C51052}"/>
    <cellStyle name="표준 80 2 2 2 2 2 2 2 5 3" xfId="3223" xr:uid="{683FB7F1-B8E0-4B09-9BA3-27FE89C51052}"/>
    <cellStyle name="표준 80 2 2 2 2 2 2 2 5 4" xfId="3918" xr:uid="{683FB7F1-B8E0-4B09-9BA3-27FE89C51052}"/>
    <cellStyle name="표준 80 2 2 2 2 2 2 2 6" xfId="2548" xr:uid="{98D98A38-029C-4988-B2B5-A95167A446D7}"/>
    <cellStyle name="표준 80 2 2 2 2 2 2 2 6 2" xfId="2896" xr:uid="{98D98A38-029C-4988-B2B5-A95167A446D7}"/>
    <cellStyle name="표준 80 2 2 2 2 2 2 2 6 2 2" xfId="3592" xr:uid="{98D98A38-029C-4988-B2B5-A95167A446D7}"/>
    <cellStyle name="표준 80 2 2 2 2 2 2 2 6 2 3" xfId="4287" xr:uid="{98D98A38-029C-4988-B2B5-A95167A446D7}"/>
    <cellStyle name="표준 80 2 2 2 2 2 2 2 6 3" xfId="3244" xr:uid="{98D98A38-029C-4988-B2B5-A95167A446D7}"/>
    <cellStyle name="표준 80 2 2 2 2 2 2 2 6 4" xfId="3939" xr:uid="{98D98A38-029C-4988-B2B5-A95167A446D7}"/>
    <cellStyle name="표준 80 2 2 2 2 2 2 2 7" xfId="2569" xr:uid="{4E89DE6A-C757-4901-B1C3-C485C06A7B58}"/>
    <cellStyle name="표준 80 2 2 2 2 2 2 2 7 2" xfId="2917" xr:uid="{4E89DE6A-C757-4901-B1C3-C485C06A7B58}"/>
    <cellStyle name="표준 80 2 2 2 2 2 2 2 7 2 2" xfId="3613" xr:uid="{4E89DE6A-C757-4901-B1C3-C485C06A7B58}"/>
    <cellStyle name="표준 80 2 2 2 2 2 2 2 7 2 3" xfId="4308" xr:uid="{4E89DE6A-C757-4901-B1C3-C485C06A7B58}"/>
    <cellStyle name="표준 80 2 2 2 2 2 2 2 7 3" xfId="3265" xr:uid="{4E89DE6A-C757-4901-B1C3-C485C06A7B58}"/>
    <cellStyle name="표준 80 2 2 2 2 2 2 2 7 4" xfId="3960" xr:uid="{4E89DE6A-C757-4901-B1C3-C485C06A7B58}"/>
    <cellStyle name="표준 80 2 2 2 2 2 2 2 8" xfId="2590" xr:uid="{F0CE4CB1-A6A4-4DF4-9F71-B95DF087313A}"/>
    <cellStyle name="표준 80 2 2 2 2 2 2 2 8 2" xfId="2938" xr:uid="{F0CE4CB1-A6A4-4DF4-9F71-B95DF087313A}"/>
    <cellStyle name="표준 80 2 2 2 2 2 2 2 8 2 2" xfId="3634" xr:uid="{F0CE4CB1-A6A4-4DF4-9F71-B95DF087313A}"/>
    <cellStyle name="표준 80 2 2 2 2 2 2 2 8 2 3" xfId="4329" xr:uid="{F0CE4CB1-A6A4-4DF4-9F71-B95DF087313A}"/>
    <cellStyle name="표준 80 2 2 2 2 2 2 2 8 3" xfId="3286" xr:uid="{F0CE4CB1-A6A4-4DF4-9F71-B95DF087313A}"/>
    <cellStyle name="표준 80 2 2 2 2 2 2 2 8 4" xfId="3981" xr:uid="{F0CE4CB1-A6A4-4DF4-9F71-B95DF087313A}"/>
    <cellStyle name="표준 80 2 2 2 2 2 2 2 9" xfId="2605" xr:uid="{8FA468AD-0127-41E9-BF1C-7981D5D79BD9}"/>
    <cellStyle name="표준 80 2 2 2 2 2 2 2 9 2" xfId="2953" xr:uid="{8FA468AD-0127-41E9-BF1C-7981D5D79BD9}"/>
    <cellStyle name="표준 80 2 2 2 2 2 2 2 9 2 2" xfId="3649" xr:uid="{8FA468AD-0127-41E9-BF1C-7981D5D79BD9}"/>
    <cellStyle name="표준 80 2 2 2 2 2 2 2 9 2 3" xfId="4344" xr:uid="{8FA468AD-0127-41E9-BF1C-7981D5D79BD9}"/>
    <cellStyle name="표준 80 2 2 2 2 2 2 2 9 3" xfId="3301" xr:uid="{8FA468AD-0127-41E9-BF1C-7981D5D79BD9}"/>
    <cellStyle name="표준 80 2 2 2 2 2 2 2 9 4" xfId="3996" xr:uid="{8FA468AD-0127-41E9-BF1C-7981D5D79BD9}"/>
    <cellStyle name="표준 80 2 2 2 2 2 2 3" xfId="2768" xr:uid="{F6314505-9A39-4DED-80B7-31BB50D652C2}"/>
    <cellStyle name="표준 80 2 2 2 2 2 2 3 2" xfId="3464" xr:uid="{F6314505-9A39-4DED-80B7-31BB50D652C2}"/>
    <cellStyle name="표준 80 2 2 2 2 2 2 3 3" xfId="4159" xr:uid="{F6314505-9A39-4DED-80B7-31BB50D652C2}"/>
    <cellStyle name="표준 80 2 2 2 2 2 2 4" xfId="3116" xr:uid="{F6314505-9A39-4DED-80B7-31BB50D652C2}"/>
    <cellStyle name="표준 80 2 2 2 2 2 2 5" xfId="3811" xr:uid="{F6314505-9A39-4DED-80B7-31BB50D652C2}"/>
    <cellStyle name="표준 80 2 2 2 2 2 3" xfId="2748" xr:uid="{1C9339C4-F426-4F5C-83E4-02D4AA74390E}"/>
    <cellStyle name="표준 80 2 2 2 2 2 3 2" xfId="3444" xr:uid="{1C9339C4-F426-4F5C-83E4-02D4AA74390E}"/>
    <cellStyle name="표준 80 2 2 2 2 2 3 3" xfId="4139" xr:uid="{1C9339C4-F426-4F5C-83E4-02D4AA74390E}"/>
    <cellStyle name="표준 80 2 2 2 2 2 4" xfId="3096" xr:uid="{1C9339C4-F426-4F5C-83E4-02D4AA74390E}"/>
    <cellStyle name="표준 80 2 2 2 2 2 5" xfId="3791" xr:uid="{1C9339C4-F426-4F5C-83E4-02D4AA74390E}"/>
    <cellStyle name="표준 80 2 2 2 2 3" xfId="2728" xr:uid="{8F299D67-09C3-4CD5-B145-AA688311D216}"/>
    <cellStyle name="표준 80 2 2 2 2 3 2" xfId="3424" xr:uid="{8F299D67-09C3-4CD5-B145-AA688311D216}"/>
    <cellStyle name="표준 80 2 2 2 2 3 3" xfId="4119" xr:uid="{8F299D67-09C3-4CD5-B145-AA688311D216}"/>
    <cellStyle name="표준 80 2 2 2 2 4" xfId="3076" xr:uid="{8F299D67-09C3-4CD5-B145-AA688311D216}"/>
    <cellStyle name="표준 80 2 2 2 2 5" xfId="3771" xr:uid="{8F299D67-09C3-4CD5-B145-AA688311D216}"/>
    <cellStyle name="표준 80 2 2 2 3" xfId="2708" xr:uid="{C4199180-CEA6-4992-974C-ADF94843C890}"/>
    <cellStyle name="표준 80 2 2 2 3 2" xfId="3404" xr:uid="{C4199180-CEA6-4992-974C-ADF94843C890}"/>
    <cellStyle name="표준 80 2 2 2 3 3" xfId="4099" xr:uid="{C4199180-CEA6-4992-974C-ADF94843C890}"/>
    <cellStyle name="표준 80 2 2 2 4" xfId="3056" xr:uid="{C4199180-CEA6-4992-974C-ADF94843C890}"/>
    <cellStyle name="표준 80 2 2 2 5" xfId="3751" xr:uid="{C4199180-CEA6-4992-974C-ADF94843C890}"/>
    <cellStyle name="표준 80 2 2 3" xfId="2688" xr:uid="{DD24F947-5B72-42F2-B59A-2105142A536A}"/>
    <cellStyle name="표준 80 2 2 3 2" xfId="3384" xr:uid="{DD24F947-5B72-42F2-B59A-2105142A536A}"/>
    <cellStyle name="표준 80 2 2 3 3" xfId="4079" xr:uid="{DD24F947-5B72-42F2-B59A-2105142A536A}"/>
    <cellStyle name="표준 80 2 2 4" xfId="3036" xr:uid="{DD24F947-5B72-42F2-B59A-2105142A536A}"/>
    <cellStyle name="표준 80 2 2 5" xfId="3731" xr:uid="{DD24F947-5B72-42F2-B59A-2105142A536A}"/>
    <cellStyle name="표준 80 2 3" xfId="2667" xr:uid="{4C4BEB06-4F66-400B-9823-113349C3016B}"/>
    <cellStyle name="표준 80 2 3 2" xfId="3363" xr:uid="{4C4BEB06-4F66-400B-9823-113349C3016B}"/>
    <cellStyle name="표준 80 2 3 3" xfId="4058" xr:uid="{4C4BEB06-4F66-400B-9823-113349C3016B}"/>
    <cellStyle name="표준 80 2 4" xfId="3015" xr:uid="{4C4BEB06-4F66-400B-9823-113349C3016B}"/>
    <cellStyle name="표준 80 2 5" xfId="3710" xr:uid="{4C4BEB06-4F66-400B-9823-113349C3016B}"/>
    <cellStyle name="표준 80 3" xfId="2644" xr:uid="{00000000-0005-0000-0000-0000F7080000}"/>
    <cellStyle name="표준 80 3 2" xfId="3340" xr:uid="{00000000-0005-0000-0000-0000F7080000}"/>
    <cellStyle name="표준 80 3 3" xfId="4035" xr:uid="{00000000-0005-0000-0000-0000F7080000}"/>
    <cellStyle name="표준 80 4" xfId="2992" xr:uid="{00000000-0005-0000-0000-0000F7080000}"/>
    <cellStyle name="표준 80 5" xfId="3687" xr:uid="{00000000-0005-0000-0000-0000F7080000}"/>
    <cellStyle name="표준 81" xfId="2292" xr:uid="{00000000-0005-0000-0000-0000F8080000}"/>
    <cellStyle name="표준 81 2" xfId="2320" xr:uid="{0E647547-5081-41F2-AF85-F1460BE2783F}"/>
    <cellStyle name="표준 81 2 2" xfId="2341" xr:uid="{1F72FB20-1967-4338-BC0F-AD296F08364D}"/>
    <cellStyle name="표준 81 2 2 2" xfId="2361" xr:uid="{46B63EE7-B80E-462B-B65A-B9ED64DAC200}"/>
    <cellStyle name="표준 81 2 2 2 2" xfId="2381" xr:uid="{240B4AE0-3B2E-4C8F-BC1C-3BE9C12EB13E}"/>
    <cellStyle name="표준 81 2 2 2 2 2" xfId="2401" xr:uid="{74608F8D-ECE4-4798-887B-D3BC72C04CA1}"/>
    <cellStyle name="표준 81 2 2 2 2 2 2" xfId="2421" xr:uid="{27720043-2AFE-4990-B8E7-C99EE33915F8}"/>
    <cellStyle name="표준 81 2 2 2 2 2 2 2" xfId="2441" xr:uid="{0D1352AA-BA0B-4FF9-826F-9540D4E58A34}"/>
    <cellStyle name="표준 81 2 2 2 2 2 2 2 10" xfId="2789" xr:uid="{0D1352AA-BA0B-4FF9-826F-9540D4E58A34}"/>
    <cellStyle name="표준 81 2 2 2 2 2 2 2 10 2" xfId="3485" xr:uid="{0D1352AA-BA0B-4FF9-826F-9540D4E58A34}"/>
    <cellStyle name="표준 81 2 2 2 2 2 2 2 10 3" xfId="4180" xr:uid="{0D1352AA-BA0B-4FF9-826F-9540D4E58A34}"/>
    <cellStyle name="표준 81 2 2 2 2 2 2 2 11" xfId="3137" xr:uid="{0D1352AA-BA0B-4FF9-826F-9540D4E58A34}"/>
    <cellStyle name="표준 81 2 2 2 2 2 2 2 12" xfId="3832" xr:uid="{0D1352AA-BA0B-4FF9-826F-9540D4E58A34}"/>
    <cellStyle name="표준 81 2 2 2 2 2 2 2 2" xfId="2461" xr:uid="{C03C523F-DFBF-4C7C-B963-D2117D07FB55}"/>
    <cellStyle name="표준 81 2 2 2 2 2 2 2 2 2" xfId="2809" xr:uid="{C03C523F-DFBF-4C7C-B963-D2117D07FB55}"/>
    <cellStyle name="표준 81 2 2 2 2 2 2 2 2 2 2" xfId="3505" xr:uid="{C03C523F-DFBF-4C7C-B963-D2117D07FB55}"/>
    <cellStyle name="표준 81 2 2 2 2 2 2 2 2 2 3" xfId="4200" xr:uid="{C03C523F-DFBF-4C7C-B963-D2117D07FB55}"/>
    <cellStyle name="표준 81 2 2 2 2 2 2 2 2 3" xfId="3157" xr:uid="{C03C523F-DFBF-4C7C-B963-D2117D07FB55}"/>
    <cellStyle name="표준 81 2 2 2 2 2 2 2 2 4" xfId="3852" xr:uid="{C03C523F-DFBF-4C7C-B963-D2117D07FB55}"/>
    <cellStyle name="표준 81 2 2 2 2 2 2 2 3" xfId="2481" xr:uid="{185D9BA0-F718-431A-88F2-5C42DE14B5C9}"/>
    <cellStyle name="표준 81 2 2 2 2 2 2 2 3 2" xfId="2829" xr:uid="{185D9BA0-F718-431A-88F2-5C42DE14B5C9}"/>
    <cellStyle name="표준 81 2 2 2 2 2 2 2 3 2 2" xfId="3525" xr:uid="{185D9BA0-F718-431A-88F2-5C42DE14B5C9}"/>
    <cellStyle name="표준 81 2 2 2 2 2 2 2 3 2 3" xfId="4220" xr:uid="{185D9BA0-F718-431A-88F2-5C42DE14B5C9}"/>
    <cellStyle name="표준 81 2 2 2 2 2 2 2 3 3" xfId="3177" xr:uid="{185D9BA0-F718-431A-88F2-5C42DE14B5C9}"/>
    <cellStyle name="표준 81 2 2 2 2 2 2 2 3 4" xfId="3872" xr:uid="{185D9BA0-F718-431A-88F2-5C42DE14B5C9}"/>
    <cellStyle name="표준 81 2 2 2 2 2 2 2 4" xfId="2503" xr:uid="{F7B66F34-F240-49B4-8D0E-BB3E46B54B8A}"/>
    <cellStyle name="표준 81 2 2 2 2 2 2 2 4 2" xfId="2851" xr:uid="{F7B66F34-F240-49B4-8D0E-BB3E46B54B8A}"/>
    <cellStyle name="표준 81 2 2 2 2 2 2 2 4 2 2" xfId="3547" xr:uid="{F7B66F34-F240-49B4-8D0E-BB3E46B54B8A}"/>
    <cellStyle name="표준 81 2 2 2 2 2 2 2 4 2 3" xfId="4242" xr:uid="{F7B66F34-F240-49B4-8D0E-BB3E46B54B8A}"/>
    <cellStyle name="표준 81 2 2 2 2 2 2 2 4 3" xfId="3199" xr:uid="{F7B66F34-F240-49B4-8D0E-BB3E46B54B8A}"/>
    <cellStyle name="표준 81 2 2 2 2 2 2 2 4 4" xfId="3894" xr:uid="{F7B66F34-F240-49B4-8D0E-BB3E46B54B8A}"/>
    <cellStyle name="표준 81 2 2 2 2 2 2 2 5" xfId="2526" xr:uid="{9417F08B-8C5A-4D36-8C56-755B8FC936CC}"/>
    <cellStyle name="표준 81 2 2 2 2 2 2 2 5 2" xfId="2874" xr:uid="{9417F08B-8C5A-4D36-8C56-755B8FC936CC}"/>
    <cellStyle name="표준 81 2 2 2 2 2 2 2 5 2 2" xfId="3570" xr:uid="{9417F08B-8C5A-4D36-8C56-755B8FC936CC}"/>
    <cellStyle name="표준 81 2 2 2 2 2 2 2 5 2 3" xfId="4265" xr:uid="{9417F08B-8C5A-4D36-8C56-755B8FC936CC}"/>
    <cellStyle name="표준 81 2 2 2 2 2 2 2 5 3" xfId="3222" xr:uid="{9417F08B-8C5A-4D36-8C56-755B8FC936CC}"/>
    <cellStyle name="표준 81 2 2 2 2 2 2 2 5 4" xfId="3917" xr:uid="{9417F08B-8C5A-4D36-8C56-755B8FC936CC}"/>
    <cellStyle name="표준 81 2 2 2 2 2 2 2 6" xfId="2547" xr:uid="{A2953AFF-F729-46BC-99E2-E1B5A7A536FA}"/>
    <cellStyle name="표준 81 2 2 2 2 2 2 2 6 2" xfId="2895" xr:uid="{A2953AFF-F729-46BC-99E2-E1B5A7A536FA}"/>
    <cellStyle name="표준 81 2 2 2 2 2 2 2 6 2 2" xfId="3591" xr:uid="{A2953AFF-F729-46BC-99E2-E1B5A7A536FA}"/>
    <cellStyle name="표준 81 2 2 2 2 2 2 2 6 2 3" xfId="4286" xr:uid="{A2953AFF-F729-46BC-99E2-E1B5A7A536FA}"/>
    <cellStyle name="표준 81 2 2 2 2 2 2 2 6 3" xfId="3243" xr:uid="{A2953AFF-F729-46BC-99E2-E1B5A7A536FA}"/>
    <cellStyle name="표준 81 2 2 2 2 2 2 2 6 4" xfId="3938" xr:uid="{A2953AFF-F729-46BC-99E2-E1B5A7A536FA}"/>
    <cellStyle name="표준 81 2 2 2 2 2 2 2 7" xfId="2568" xr:uid="{2551204D-A4C2-4E28-B121-99868C086F94}"/>
    <cellStyle name="표준 81 2 2 2 2 2 2 2 7 2" xfId="2916" xr:uid="{2551204D-A4C2-4E28-B121-99868C086F94}"/>
    <cellStyle name="표준 81 2 2 2 2 2 2 2 7 2 2" xfId="3612" xr:uid="{2551204D-A4C2-4E28-B121-99868C086F94}"/>
    <cellStyle name="표준 81 2 2 2 2 2 2 2 7 2 3" xfId="4307" xr:uid="{2551204D-A4C2-4E28-B121-99868C086F94}"/>
    <cellStyle name="표준 81 2 2 2 2 2 2 2 7 3" xfId="3264" xr:uid="{2551204D-A4C2-4E28-B121-99868C086F94}"/>
    <cellStyle name="표준 81 2 2 2 2 2 2 2 7 4" xfId="3959" xr:uid="{2551204D-A4C2-4E28-B121-99868C086F94}"/>
    <cellStyle name="표준 81 2 2 2 2 2 2 2 8" xfId="2589" xr:uid="{4A35EFD0-74D3-4539-B996-9075B4DA712C}"/>
    <cellStyle name="표준 81 2 2 2 2 2 2 2 8 2" xfId="2937" xr:uid="{4A35EFD0-74D3-4539-B996-9075B4DA712C}"/>
    <cellStyle name="표준 81 2 2 2 2 2 2 2 8 2 2" xfId="3633" xr:uid="{4A35EFD0-74D3-4539-B996-9075B4DA712C}"/>
    <cellStyle name="표준 81 2 2 2 2 2 2 2 8 2 3" xfId="4328" xr:uid="{4A35EFD0-74D3-4539-B996-9075B4DA712C}"/>
    <cellStyle name="표준 81 2 2 2 2 2 2 2 8 3" xfId="3285" xr:uid="{4A35EFD0-74D3-4539-B996-9075B4DA712C}"/>
    <cellStyle name="표준 81 2 2 2 2 2 2 2 8 4" xfId="3980" xr:uid="{4A35EFD0-74D3-4539-B996-9075B4DA712C}"/>
    <cellStyle name="표준 81 2 2 2 2 2 2 2 9" xfId="2606" xr:uid="{A03E6205-BB0E-45DA-BC1E-B1BB045F9B7A}"/>
    <cellStyle name="표준 81 2 2 2 2 2 2 2 9 2" xfId="2954" xr:uid="{A03E6205-BB0E-45DA-BC1E-B1BB045F9B7A}"/>
    <cellStyle name="표준 81 2 2 2 2 2 2 2 9 2 2" xfId="3650" xr:uid="{A03E6205-BB0E-45DA-BC1E-B1BB045F9B7A}"/>
    <cellStyle name="표준 81 2 2 2 2 2 2 2 9 2 3" xfId="4345" xr:uid="{A03E6205-BB0E-45DA-BC1E-B1BB045F9B7A}"/>
    <cellStyle name="표준 81 2 2 2 2 2 2 2 9 3" xfId="3302" xr:uid="{A03E6205-BB0E-45DA-BC1E-B1BB045F9B7A}"/>
    <cellStyle name="표준 81 2 2 2 2 2 2 2 9 4" xfId="3997" xr:uid="{A03E6205-BB0E-45DA-BC1E-B1BB045F9B7A}"/>
    <cellStyle name="표준 81 2 2 2 2 2 2 3" xfId="2769" xr:uid="{27720043-2AFE-4990-B8E7-C99EE33915F8}"/>
    <cellStyle name="표준 81 2 2 2 2 2 2 3 2" xfId="3465" xr:uid="{27720043-2AFE-4990-B8E7-C99EE33915F8}"/>
    <cellStyle name="표준 81 2 2 2 2 2 2 3 3" xfId="4160" xr:uid="{27720043-2AFE-4990-B8E7-C99EE33915F8}"/>
    <cellStyle name="표준 81 2 2 2 2 2 2 4" xfId="3117" xr:uid="{27720043-2AFE-4990-B8E7-C99EE33915F8}"/>
    <cellStyle name="표준 81 2 2 2 2 2 2 5" xfId="3812" xr:uid="{27720043-2AFE-4990-B8E7-C99EE33915F8}"/>
    <cellStyle name="표준 81 2 2 2 2 2 3" xfId="2749" xr:uid="{74608F8D-ECE4-4798-887B-D3BC72C04CA1}"/>
    <cellStyle name="표준 81 2 2 2 2 2 3 2" xfId="3445" xr:uid="{74608F8D-ECE4-4798-887B-D3BC72C04CA1}"/>
    <cellStyle name="표준 81 2 2 2 2 2 3 3" xfId="4140" xr:uid="{74608F8D-ECE4-4798-887B-D3BC72C04CA1}"/>
    <cellStyle name="표준 81 2 2 2 2 2 4" xfId="3097" xr:uid="{74608F8D-ECE4-4798-887B-D3BC72C04CA1}"/>
    <cellStyle name="표준 81 2 2 2 2 2 5" xfId="3792" xr:uid="{74608F8D-ECE4-4798-887B-D3BC72C04CA1}"/>
    <cellStyle name="표준 81 2 2 2 2 3" xfId="2729" xr:uid="{240B4AE0-3B2E-4C8F-BC1C-3BE9C12EB13E}"/>
    <cellStyle name="표준 81 2 2 2 2 3 2" xfId="3425" xr:uid="{240B4AE0-3B2E-4C8F-BC1C-3BE9C12EB13E}"/>
    <cellStyle name="표준 81 2 2 2 2 3 3" xfId="4120" xr:uid="{240B4AE0-3B2E-4C8F-BC1C-3BE9C12EB13E}"/>
    <cellStyle name="표준 81 2 2 2 2 4" xfId="3077" xr:uid="{240B4AE0-3B2E-4C8F-BC1C-3BE9C12EB13E}"/>
    <cellStyle name="표준 81 2 2 2 2 5" xfId="3772" xr:uid="{240B4AE0-3B2E-4C8F-BC1C-3BE9C12EB13E}"/>
    <cellStyle name="표준 81 2 2 2 3" xfId="2709" xr:uid="{46B63EE7-B80E-462B-B65A-B9ED64DAC200}"/>
    <cellStyle name="표준 81 2 2 2 3 2" xfId="3405" xr:uid="{46B63EE7-B80E-462B-B65A-B9ED64DAC200}"/>
    <cellStyle name="표준 81 2 2 2 3 3" xfId="4100" xr:uid="{46B63EE7-B80E-462B-B65A-B9ED64DAC200}"/>
    <cellStyle name="표준 81 2 2 2 4" xfId="3057" xr:uid="{46B63EE7-B80E-462B-B65A-B9ED64DAC200}"/>
    <cellStyle name="표준 81 2 2 2 5" xfId="3752" xr:uid="{46B63EE7-B80E-462B-B65A-B9ED64DAC200}"/>
    <cellStyle name="표준 81 2 2 3" xfId="2689" xr:uid="{1F72FB20-1967-4338-BC0F-AD296F08364D}"/>
    <cellStyle name="표준 81 2 2 3 2" xfId="3385" xr:uid="{1F72FB20-1967-4338-BC0F-AD296F08364D}"/>
    <cellStyle name="표준 81 2 2 3 3" xfId="4080" xr:uid="{1F72FB20-1967-4338-BC0F-AD296F08364D}"/>
    <cellStyle name="표준 81 2 2 4" xfId="3037" xr:uid="{1F72FB20-1967-4338-BC0F-AD296F08364D}"/>
    <cellStyle name="표준 81 2 2 5" xfId="3732" xr:uid="{1F72FB20-1967-4338-BC0F-AD296F08364D}"/>
    <cellStyle name="표준 81 2 3" xfId="2668" xr:uid="{0E647547-5081-41F2-AF85-F1460BE2783F}"/>
    <cellStyle name="표준 81 2 3 2" xfId="3364" xr:uid="{0E647547-5081-41F2-AF85-F1460BE2783F}"/>
    <cellStyle name="표준 81 2 3 3" xfId="4059" xr:uid="{0E647547-5081-41F2-AF85-F1460BE2783F}"/>
    <cellStyle name="표준 81 2 4" xfId="3016" xr:uid="{0E647547-5081-41F2-AF85-F1460BE2783F}"/>
    <cellStyle name="표준 81 2 5" xfId="3711" xr:uid="{0E647547-5081-41F2-AF85-F1460BE2783F}"/>
    <cellStyle name="표준 81 3" xfId="2645" xr:uid="{00000000-0005-0000-0000-0000F8080000}"/>
    <cellStyle name="표준 81 3 2" xfId="3341" xr:uid="{00000000-0005-0000-0000-0000F8080000}"/>
    <cellStyle name="표준 81 3 3" xfId="4036" xr:uid="{00000000-0005-0000-0000-0000F8080000}"/>
    <cellStyle name="표준 81 4" xfId="2993" xr:uid="{00000000-0005-0000-0000-0000F8080000}"/>
    <cellStyle name="표준 81 5" xfId="3688" xr:uid="{00000000-0005-0000-0000-0000F8080000}"/>
    <cellStyle name="표준 82" xfId="2293" xr:uid="{00000000-0005-0000-0000-0000F9080000}"/>
    <cellStyle name="표준 82 2" xfId="2321" xr:uid="{4155BBCF-21FD-4684-9160-62BD30C5A13C}"/>
    <cellStyle name="표준 82 2 2" xfId="2342" xr:uid="{24069D66-15CD-4640-91DA-C92EFEC50CBE}"/>
    <cellStyle name="표준 82 2 2 2" xfId="2362" xr:uid="{CFDF7360-5169-4DB8-85C6-462F43FD49D3}"/>
    <cellStyle name="표준 82 2 2 2 2" xfId="2382" xr:uid="{864D8B75-B5C0-45E4-A914-40E27F678A06}"/>
    <cellStyle name="표준 82 2 2 2 2 2" xfId="2402" xr:uid="{1B0C8BB4-F049-4D56-894E-B7D7918E254E}"/>
    <cellStyle name="표준 82 2 2 2 2 2 2" xfId="2422" xr:uid="{BC8EF845-3DDD-4D9D-971F-FF1DF3EBD338}"/>
    <cellStyle name="표준 82 2 2 2 2 2 2 2" xfId="2442" xr:uid="{E91F49AD-D6ED-4982-AE23-C5315C309902}"/>
    <cellStyle name="표준 82 2 2 2 2 2 2 2 10" xfId="2790" xr:uid="{E91F49AD-D6ED-4982-AE23-C5315C309902}"/>
    <cellStyle name="표준 82 2 2 2 2 2 2 2 10 2" xfId="3486" xr:uid="{E91F49AD-D6ED-4982-AE23-C5315C309902}"/>
    <cellStyle name="표준 82 2 2 2 2 2 2 2 10 3" xfId="4181" xr:uid="{E91F49AD-D6ED-4982-AE23-C5315C309902}"/>
    <cellStyle name="표준 82 2 2 2 2 2 2 2 11" xfId="3138" xr:uid="{E91F49AD-D6ED-4982-AE23-C5315C309902}"/>
    <cellStyle name="표준 82 2 2 2 2 2 2 2 12" xfId="3833" xr:uid="{E91F49AD-D6ED-4982-AE23-C5315C309902}"/>
    <cellStyle name="표준 82 2 2 2 2 2 2 2 2" xfId="2462" xr:uid="{1DBAAE44-3AEC-4C8B-9B25-80B9CF0E6C9F}"/>
    <cellStyle name="표준 82 2 2 2 2 2 2 2 2 2" xfId="2810" xr:uid="{1DBAAE44-3AEC-4C8B-9B25-80B9CF0E6C9F}"/>
    <cellStyle name="표준 82 2 2 2 2 2 2 2 2 2 2" xfId="3506" xr:uid="{1DBAAE44-3AEC-4C8B-9B25-80B9CF0E6C9F}"/>
    <cellStyle name="표준 82 2 2 2 2 2 2 2 2 2 3" xfId="4201" xr:uid="{1DBAAE44-3AEC-4C8B-9B25-80B9CF0E6C9F}"/>
    <cellStyle name="표준 82 2 2 2 2 2 2 2 2 3" xfId="3158" xr:uid="{1DBAAE44-3AEC-4C8B-9B25-80B9CF0E6C9F}"/>
    <cellStyle name="표준 82 2 2 2 2 2 2 2 2 4" xfId="3853" xr:uid="{1DBAAE44-3AEC-4C8B-9B25-80B9CF0E6C9F}"/>
    <cellStyle name="표준 82 2 2 2 2 2 2 2 3" xfId="2482" xr:uid="{0BFD6ED8-B398-4CB8-A3D3-96C630086E4C}"/>
    <cellStyle name="표준 82 2 2 2 2 2 2 2 3 2" xfId="2830" xr:uid="{0BFD6ED8-B398-4CB8-A3D3-96C630086E4C}"/>
    <cellStyle name="표준 82 2 2 2 2 2 2 2 3 2 2" xfId="3526" xr:uid="{0BFD6ED8-B398-4CB8-A3D3-96C630086E4C}"/>
    <cellStyle name="표준 82 2 2 2 2 2 2 2 3 2 3" xfId="4221" xr:uid="{0BFD6ED8-B398-4CB8-A3D3-96C630086E4C}"/>
    <cellStyle name="표준 82 2 2 2 2 2 2 2 3 3" xfId="3178" xr:uid="{0BFD6ED8-B398-4CB8-A3D3-96C630086E4C}"/>
    <cellStyle name="표준 82 2 2 2 2 2 2 2 3 4" xfId="3873" xr:uid="{0BFD6ED8-B398-4CB8-A3D3-96C630086E4C}"/>
    <cellStyle name="표준 82 2 2 2 2 2 2 2 4" xfId="2504" xr:uid="{FEDEA4B4-946A-4D3A-8084-D2F77D99E42F}"/>
    <cellStyle name="표준 82 2 2 2 2 2 2 2 4 2" xfId="2852" xr:uid="{FEDEA4B4-946A-4D3A-8084-D2F77D99E42F}"/>
    <cellStyle name="표준 82 2 2 2 2 2 2 2 4 2 2" xfId="3548" xr:uid="{FEDEA4B4-946A-4D3A-8084-D2F77D99E42F}"/>
    <cellStyle name="표준 82 2 2 2 2 2 2 2 4 2 3" xfId="4243" xr:uid="{FEDEA4B4-946A-4D3A-8084-D2F77D99E42F}"/>
    <cellStyle name="표준 82 2 2 2 2 2 2 2 4 3" xfId="3200" xr:uid="{FEDEA4B4-946A-4D3A-8084-D2F77D99E42F}"/>
    <cellStyle name="표준 82 2 2 2 2 2 2 2 4 4" xfId="3895" xr:uid="{FEDEA4B4-946A-4D3A-8084-D2F77D99E42F}"/>
    <cellStyle name="표준 82 2 2 2 2 2 2 2 5" xfId="2525" xr:uid="{DC44C4DA-AAF7-445A-9D35-5A24B697CB87}"/>
    <cellStyle name="표준 82 2 2 2 2 2 2 2 5 2" xfId="2873" xr:uid="{DC44C4DA-AAF7-445A-9D35-5A24B697CB87}"/>
    <cellStyle name="표준 82 2 2 2 2 2 2 2 5 2 2" xfId="3569" xr:uid="{DC44C4DA-AAF7-445A-9D35-5A24B697CB87}"/>
    <cellStyle name="표준 82 2 2 2 2 2 2 2 5 2 3" xfId="4264" xr:uid="{DC44C4DA-AAF7-445A-9D35-5A24B697CB87}"/>
    <cellStyle name="표준 82 2 2 2 2 2 2 2 5 3" xfId="3221" xr:uid="{DC44C4DA-AAF7-445A-9D35-5A24B697CB87}"/>
    <cellStyle name="표준 82 2 2 2 2 2 2 2 5 4" xfId="3916" xr:uid="{DC44C4DA-AAF7-445A-9D35-5A24B697CB87}"/>
    <cellStyle name="표준 82 2 2 2 2 2 2 2 6" xfId="2546" xr:uid="{6CDCF1DB-50D3-4AFE-B77C-22E2E5196968}"/>
    <cellStyle name="표준 82 2 2 2 2 2 2 2 6 2" xfId="2894" xr:uid="{6CDCF1DB-50D3-4AFE-B77C-22E2E5196968}"/>
    <cellStyle name="표준 82 2 2 2 2 2 2 2 6 2 2" xfId="3590" xr:uid="{6CDCF1DB-50D3-4AFE-B77C-22E2E5196968}"/>
    <cellStyle name="표준 82 2 2 2 2 2 2 2 6 2 3" xfId="4285" xr:uid="{6CDCF1DB-50D3-4AFE-B77C-22E2E5196968}"/>
    <cellStyle name="표준 82 2 2 2 2 2 2 2 6 3" xfId="3242" xr:uid="{6CDCF1DB-50D3-4AFE-B77C-22E2E5196968}"/>
    <cellStyle name="표준 82 2 2 2 2 2 2 2 6 4" xfId="3937" xr:uid="{6CDCF1DB-50D3-4AFE-B77C-22E2E5196968}"/>
    <cellStyle name="표준 82 2 2 2 2 2 2 2 7" xfId="2567" xr:uid="{ED07296B-72D0-4766-8957-E342231F96E8}"/>
    <cellStyle name="표준 82 2 2 2 2 2 2 2 7 2" xfId="2915" xr:uid="{ED07296B-72D0-4766-8957-E342231F96E8}"/>
    <cellStyle name="표준 82 2 2 2 2 2 2 2 7 2 2" xfId="3611" xr:uid="{ED07296B-72D0-4766-8957-E342231F96E8}"/>
    <cellStyle name="표준 82 2 2 2 2 2 2 2 7 2 3" xfId="4306" xr:uid="{ED07296B-72D0-4766-8957-E342231F96E8}"/>
    <cellStyle name="표준 82 2 2 2 2 2 2 2 7 3" xfId="3263" xr:uid="{ED07296B-72D0-4766-8957-E342231F96E8}"/>
    <cellStyle name="표준 82 2 2 2 2 2 2 2 7 4" xfId="3958" xr:uid="{ED07296B-72D0-4766-8957-E342231F96E8}"/>
    <cellStyle name="표준 82 2 2 2 2 2 2 2 8" xfId="2588" xr:uid="{98DCDDC4-B344-48A7-B315-9038763A2160}"/>
    <cellStyle name="표준 82 2 2 2 2 2 2 2 8 2" xfId="2936" xr:uid="{98DCDDC4-B344-48A7-B315-9038763A2160}"/>
    <cellStyle name="표준 82 2 2 2 2 2 2 2 8 2 2" xfId="3632" xr:uid="{98DCDDC4-B344-48A7-B315-9038763A2160}"/>
    <cellStyle name="표준 82 2 2 2 2 2 2 2 8 2 3" xfId="4327" xr:uid="{98DCDDC4-B344-48A7-B315-9038763A2160}"/>
    <cellStyle name="표준 82 2 2 2 2 2 2 2 8 3" xfId="3284" xr:uid="{98DCDDC4-B344-48A7-B315-9038763A2160}"/>
    <cellStyle name="표준 82 2 2 2 2 2 2 2 8 4" xfId="3979" xr:uid="{98DCDDC4-B344-48A7-B315-9038763A2160}"/>
    <cellStyle name="표준 82 2 2 2 2 2 2 2 9" xfId="2607" xr:uid="{1783E162-90B4-4564-993E-445F0DA417C7}"/>
    <cellStyle name="표준 82 2 2 2 2 2 2 2 9 2" xfId="2955" xr:uid="{1783E162-90B4-4564-993E-445F0DA417C7}"/>
    <cellStyle name="표준 82 2 2 2 2 2 2 2 9 2 2" xfId="3651" xr:uid="{1783E162-90B4-4564-993E-445F0DA417C7}"/>
    <cellStyle name="표준 82 2 2 2 2 2 2 2 9 2 3" xfId="4346" xr:uid="{1783E162-90B4-4564-993E-445F0DA417C7}"/>
    <cellStyle name="표준 82 2 2 2 2 2 2 2 9 3" xfId="3303" xr:uid="{1783E162-90B4-4564-993E-445F0DA417C7}"/>
    <cellStyle name="표준 82 2 2 2 2 2 2 2 9 4" xfId="3998" xr:uid="{1783E162-90B4-4564-993E-445F0DA417C7}"/>
    <cellStyle name="표준 82 2 2 2 2 2 2 3" xfId="2770" xr:uid="{BC8EF845-3DDD-4D9D-971F-FF1DF3EBD338}"/>
    <cellStyle name="표준 82 2 2 2 2 2 2 3 2" xfId="3466" xr:uid="{BC8EF845-3DDD-4D9D-971F-FF1DF3EBD338}"/>
    <cellStyle name="표준 82 2 2 2 2 2 2 3 3" xfId="4161" xr:uid="{BC8EF845-3DDD-4D9D-971F-FF1DF3EBD338}"/>
    <cellStyle name="표준 82 2 2 2 2 2 2 4" xfId="3118" xr:uid="{BC8EF845-3DDD-4D9D-971F-FF1DF3EBD338}"/>
    <cellStyle name="표준 82 2 2 2 2 2 2 5" xfId="3813" xr:uid="{BC8EF845-3DDD-4D9D-971F-FF1DF3EBD338}"/>
    <cellStyle name="표준 82 2 2 2 2 2 3" xfId="2750" xr:uid="{1B0C8BB4-F049-4D56-894E-B7D7918E254E}"/>
    <cellStyle name="표준 82 2 2 2 2 2 3 2" xfId="3446" xr:uid="{1B0C8BB4-F049-4D56-894E-B7D7918E254E}"/>
    <cellStyle name="표준 82 2 2 2 2 2 3 3" xfId="4141" xr:uid="{1B0C8BB4-F049-4D56-894E-B7D7918E254E}"/>
    <cellStyle name="표준 82 2 2 2 2 2 4" xfId="3098" xr:uid="{1B0C8BB4-F049-4D56-894E-B7D7918E254E}"/>
    <cellStyle name="표준 82 2 2 2 2 2 5" xfId="3793" xr:uid="{1B0C8BB4-F049-4D56-894E-B7D7918E254E}"/>
    <cellStyle name="표준 82 2 2 2 2 3" xfId="2730" xr:uid="{864D8B75-B5C0-45E4-A914-40E27F678A06}"/>
    <cellStyle name="표준 82 2 2 2 2 3 2" xfId="3426" xr:uid="{864D8B75-B5C0-45E4-A914-40E27F678A06}"/>
    <cellStyle name="표준 82 2 2 2 2 3 3" xfId="4121" xr:uid="{864D8B75-B5C0-45E4-A914-40E27F678A06}"/>
    <cellStyle name="표준 82 2 2 2 2 4" xfId="3078" xr:uid="{864D8B75-B5C0-45E4-A914-40E27F678A06}"/>
    <cellStyle name="표준 82 2 2 2 2 5" xfId="3773" xr:uid="{864D8B75-B5C0-45E4-A914-40E27F678A06}"/>
    <cellStyle name="표준 82 2 2 2 3" xfId="2710" xr:uid="{CFDF7360-5169-4DB8-85C6-462F43FD49D3}"/>
    <cellStyle name="표준 82 2 2 2 3 2" xfId="3406" xr:uid="{CFDF7360-5169-4DB8-85C6-462F43FD49D3}"/>
    <cellStyle name="표준 82 2 2 2 3 3" xfId="4101" xr:uid="{CFDF7360-5169-4DB8-85C6-462F43FD49D3}"/>
    <cellStyle name="표준 82 2 2 2 4" xfId="3058" xr:uid="{CFDF7360-5169-4DB8-85C6-462F43FD49D3}"/>
    <cellStyle name="표준 82 2 2 2 5" xfId="3753" xr:uid="{CFDF7360-5169-4DB8-85C6-462F43FD49D3}"/>
    <cellStyle name="표준 82 2 2 3" xfId="2690" xr:uid="{24069D66-15CD-4640-91DA-C92EFEC50CBE}"/>
    <cellStyle name="표준 82 2 2 3 2" xfId="3386" xr:uid="{24069D66-15CD-4640-91DA-C92EFEC50CBE}"/>
    <cellStyle name="표준 82 2 2 3 3" xfId="4081" xr:uid="{24069D66-15CD-4640-91DA-C92EFEC50CBE}"/>
    <cellStyle name="표준 82 2 2 4" xfId="3038" xr:uid="{24069D66-15CD-4640-91DA-C92EFEC50CBE}"/>
    <cellStyle name="표준 82 2 2 5" xfId="3733" xr:uid="{24069D66-15CD-4640-91DA-C92EFEC50CBE}"/>
    <cellStyle name="표준 82 2 3" xfId="2669" xr:uid="{4155BBCF-21FD-4684-9160-62BD30C5A13C}"/>
    <cellStyle name="표준 82 2 3 2" xfId="3365" xr:uid="{4155BBCF-21FD-4684-9160-62BD30C5A13C}"/>
    <cellStyle name="표준 82 2 3 3" xfId="4060" xr:uid="{4155BBCF-21FD-4684-9160-62BD30C5A13C}"/>
    <cellStyle name="표준 82 2 4" xfId="3017" xr:uid="{4155BBCF-21FD-4684-9160-62BD30C5A13C}"/>
    <cellStyle name="표준 82 2 5" xfId="3712" xr:uid="{4155BBCF-21FD-4684-9160-62BD30C5A13C}"/>
    <cellStyle name="표준 82 3" xfId="2646" xr:uid="{00000000-0005-0000-0000-0000F9080000}"/>
    <cellStyle name="표준 82 3 2" xfId="3342" xr:uid="{00000000-0005-0000-0000-0000F9080000}"/>
    <cellStyle name="표준 82 3 3" xfId="4037" xr:uid="{00000000-0005-0000-0000-0000F9080000}"/>
    <cellStyle name="표준 82 4" xfId="2994" xr:uid="{00000000-0005-0000-0000-0000F9080000}"/>
    <cellStyle name="표준 82 5" xfId="3689" xr:uid="{00000000-0005-0000-0000-0000F9080000}"/>
    <cellStyle name="표준 83" xfId="2294" xr:uid="{00000000-0005-0000-0000-0000FA080000}"/>
    <cellStyle name="표준 83 2" xfId="2322" xr:uid="{12D44A64-5B2F-4F93-BB50-CC4050596E27}"/>
    <cellStyle name="표준 83 2 2" xfId="2343" xr:uid="{BB4487AA-0D4D-4D59-90B5-898B9C1F01D3}"/>
    <cellStyle name="표준 83 2 2 2" xfId="2363" xr:uid="{CC0BB99A-1F1C-4C59-8F93-981EBD4D35F2}"/>
    <cellStyle name="표준 83 2 2 2 2" xfId="2383" xr:uid="{715744CB-0C2F-4C23-90C4-B3BDC867E35D}"/>
    <cellStyle name="표준 83 2 2 2 2 2" xfId="2403" xr:uid="{225CFC36-0A38-4604-BA3A-AC2E80FBAE01}"/>
    <cellStyle name="표준 83 2 2 2 2 2 2" xfId="2423" xr:uid="{A30DEA4A-B638-4435-9F21-D73DF179EAD8}"/>
    <cellStyle name="표준 83 2 2 2 2 2 2 2" xfId="2443" xr:uid="{0334C403-2328-4839-9C22-5CF49D948613}"/>
    <cellStyle name="표준 83 2 2 2 2 2 2 2 10" xfId="2791" xr:uid="{0334C403-2328-4839-9C22-5CF49D948613}"/>
    <cellStyle name="표준 83 2 2 2 2 2 2 2 10 2" xfId="3487" xr:uid="{0334C403-2328-4839-9C22-5CF49D948613}"/>
    <cellStyle name="표준 83 2 2 2 2 2 2 2 10 3" xfId="4182" xr:uid="{0334C403-2328-4839-9C22-5CF49D948613}"/>
    <cellStyle name="표준 83 2 2 2 2 2 2 2 11" xfId="3139" xr:uid="{0334C403-2328-4839-9C22-5CF49D948613}"/>
    <cellStyle name="표준 83 2 2 2 2 2 2 2 12" xfId="3834" xr:uid="{0334C403-2328-4839-9C22-5CF49D948613}"/>
    <cellStyle name="표준 83 2 2 2 2 2 2 2 2" xfId="2463" xr:uid="{6735D5A2-E8C9-462B-B8C2-0EFDD8A34FC6}"/>
    <cellStyle name="표준 83 2 2 2 2 2 2 2 2 2" xfId="2811" xr:uid="{6735D5A2-E8C9-462B-B8C2-0EFDD8A34FC6}"/>
    <cellStyle name="표준 83 2 2 2 2 2 2 2 2 2 2" xfId="3507" xr:uid="{6735D5A2-E8C9-462B-B8C2-0EFDD8A34FC6}"/>
    <cellStyle name="표준 83 2 2 2 2 2 2 2 2 2 3" xfId="4202" xr:uid="{6735D5A2-E8C9-462B-B8C2-0EFDD8A34FC6}"/>
    <cellStyle name="표준 83 2 2 2 2 2 2 2 2 3" xfId="3159" xr:uid="{6735D5A2-E8C9-462B-B8C2-0EFDD8A34FC6}"/>
    <cellStyle name="표준 83 2 2 2 2 2 2 2 2 4" xfId="3854" xr:uid="{6735D5A2-E8C9-462B-B8C2-0EFDD8A34FC6}"/>
    <cellStyle name="표준 83 2 2 2 2 2 2 2 3" xfId="2483" xr:uid="{77764D77-28AB-4455-91D9-88AA85A5B073}"/>
    <cellStyle name="표준 83 2 2 2 2 2 2 2 3 2" xfId="2831" xr:uid="{77764D77-28AB-4455-91D9-88AA85A5B073}"/>
    <cellStyle name="표준 83 2 2 2 2 2 2 2 3 2 2" xfId="3527" xr:uid="{77764D77-28AB-4455-91D9-88AA85A5B073}"/>
    <cellStyle name="표준 83 2 2 2 2 2 2 2 3 2 3" xfId="4222" xr:uid="{77764D77-28AB-4455-91D9-88AA85A5B073}"/>
    <cellStyle name="표준 83 2 2 2 2 2 2 2 3 3" xfId="3179" xr:uid="{77764D77-28AB-4455-91D9-88AA85A5B073}"/>
    <cellStyle name="표준 83 2 2 2 2 2 2 2 3 4" xfId="3874" xr:uid="{77764D77-28AB-4455-91D9-88AA85A5B073}"/>
    <cellStyle name="표준 83 2 2 2 2 2 2 2 4" xfId="2505" xr:uid="{F8DBCCAF-BAB7-4750-A28E-7D2F48A5CE1F}"/>
    <cellStyle name="표준 83 2 2 2 2 2 2 2 4 2" xfId="2853" xr:uid="{F8DBCCAF-BAB7-4750-A28E-7D2F48A5CE1F}"/>
    <cellStyle name="표준 83 2 2 2 2 2 2 2 4 2 2" xfId="3549" xr:uid="{F8DBCCAF-BAB7-4750-A28E-7D2F48A5CE1F}"/>
    <cellStyle name="표준 83 2 2 2 2 2 2 2 4 2 3" xfId="4244" xr:uid="{F8DBCCAF-BAB7-4750-A28E-7D2F48A5CE1F}"/>
    <cellStyle name="표준 83 2 2 2 2 2 2 2 4 3" xfId="3201" xr:uid="{F8DBCCAF-BAB7-4750-A28E-7D2F48A5CE1F}"/>
    <cellStyle name="표준 83 2 2 2 2 2 2 2 4 4" xfId="3896" xr:uid="{F8DBCCAF-BAB7-4750-A28E-7D2F48A5CE1F}"/>
    <cellStyle name="표준 83 2 2 2 2 2 2 2 5" xfId="2524" xr:uid="{602355FB-BF14-46F2-B4A1-97C379072AEC}"/>
    <cellStyle name="표준 83 2 2 2 2 2 2 2 5 2" xfId="2872" xr:uid="{602355FB-BF14-46F2-B4A1-97C379072AEC}"/>
    <cellStyle name="표준 83 2 2 2 2 2 2 2 5 2 2" xfId="3568" xr:uid="{602355FB-BF14-46F2-B4A1-97C379072AEC}"/>
    <cellStyle name="표준 83 2 2 2 2 2 2 2 5 2 3" xfId="4263" xr:uid="{602355FB-BF14-46F2-B4A1-97C379072AEC}"/>
    <cellStyle name="표준 83 2 2 2 2 2 2 2 5 3" xfId="3220" xr:uid="{602355FB-BF14-46F2-B4A1-97C379072AEC}"/>
    <cellStyle name="표준 83 2 2 2 2 2 2 2 5 4" xfId="3915" xr:uid="{602355FB-BF14-46F2-B4A1-97C379072AEC}"/>
    <cellStyle name="표준 83 2 2 2 2 2 2 2 6" xfId="2545" xr:uid="{1358576A-EA40-4D59-B875-61C807579354}"/>
    <cellStyle name="표준 83 2 2 2 2 2 2 2 6 2" xfId="2893" xr:uid="{1358576A-EA40-4D59-B875-61C807579354}"/>
    <cellStyle name="표준 83 2 2 2 2 2 2 2 6 2 2" xfId="3589" xr:uid="{1358576A-EA40-4D59-B875-61C807579354}"/>
    <cellStyle name="표준 83 2 2 2 2 2 2 2 6 2 3" xfId="4284" xr:uid="{1358576A-EA40-4D59-B875-61C807579354}"/>
    <cellStyle name="표준 83 2 2 2 2 2 2 2 6 3" xfId="3241" xr:uid="{1358576A-EA40-4D59-B875-61C807579354}"/>
    <cellStyle name="표준 83 2 2 2 2 2 2 2 6 4" xfId="3936" xr:uid="{1358576A-EA40-4D59-B875-61C807579354}"/>
    <cellStyle name="표준 83 2 2 2 2 2 2 2 7" xfId="2566" xr:uid="{70B2639E-B461-4D90-8F69-8F35CB43B550}"/>
    <cellStyle name="표준 83 2 2 2 2 2 2 2 7 2" xfId="2914" xr:uid="{70B2639E-B461-4D90-8F69-8F35CB43B550}"/>
    <cellStyle name="표준 83 2 2 2 2 2 2 2 7 2 2" xfId="3610" xr:uid="{70B2639E-B461-4D90-8F69-8F35CB43B550}"/>
    <cellStyle name="표준 83 2 2 2 2 2 2 2 7 2 3" xfId="4305" xr:uid="{70B2639E-B461-4D90-8F69-8F35CB43B550}"/>
    <cellStyle name="표준 83 2 2 2 2 2 2 2 7 3" xfId="3262" xr:uid="{70B2639E-B461-4D90-8F69-8F35CB43B550}"/>
    <cellStyle name="표준 83 2 2 2 2 2 2 2 7 4" xfId="3957" xr:uid="{70B2639E-B461-4D90-8F69-8F35CB43B550}"/>
    <cellStyle name="표준 83 2 2 2 2 2 2 2 8" xfId="2587" xr:uid="{810040EC-6E8E-48F1-9C4A-871FD503B173}"/>
    <cellStyle name="표준 83 2 2 2 2 2 2 2 8 2" xfId="2935" xr:uid="{810040EC-6E8E-48F1-9C4A-871FD503B173}"/>
    <cellStyle name="표준 83 2 2 2 2 2 2 2 8 2 2" xfId="3631" xr:uid="{810040EC-6E8E-48F1-9C4A-871FD503B173}"/>
    <cellStyle name="표준 83 2 2 2 2 2 2 2 8 2 3" xfId="4326" xr:uid="{810040EC-6E8E-48F1-9C4A-871FD503B173}"/>
    <cellStyle name="표준 83 2 2 2 2 2 2 2 8 3" xfId="3283" xr:uid="{810040EC-6E8E-48F1-9C4A-871FD503B173}"/>
    <cellStyle name="표준 83 2 2 2 2 2 2 2 8 4" xfId="3978" xr:uid="{810040EC-6E8E-48F1-9C4A-871FD503B173}"/>
    <cellStyle name="표준 83 2 2 2 2 2 2 2 9" xfId="2608" xr:uid="{2C275732-E829-4F11-87BE-78CFC7F479B2}"/>
    <cellStyle name="표준 83 2 2 2 2 2 2 2 9 2" xfId="2956" xr:uid="{2C275732-E829-4F11-87BE-78CFC7F479B2}"/>
    <cellStyle name="표준 83 2 2 2 2 2 2 2 9 2 2" xfId="3652" xr:uid="{2C275732-E829-4F11-87BE-78CFC7F479B2}"/>
    <cellStyle name="표준 83 2 2 2 2 2 2 2 9 2 3" xfId="4347" xr:uid="{2C275732-E829-4F11-87BE-78CFC7F479B2}"/>
    <cellStyle name="표준 83 2 2 2 2 2 2 2 9 3" xfId="3304" xr:uid="{2C275732-E829-4F11-87BE-78CFC7F479B2}"/>
    <cellStyle name="표준 83 2 2 2 2 2 2 2 9 4" xfId="3999" xr:uid="{2C275732-E829-4F11-87BE-78CFC7F479B2}"/>
    <cellStyle name="표준 83 2 2 2 2 2 2 3" xfId="2771" xr:uid="{A30DEA4A-B638-4435-9F21-D73DF179EAD8}"/>
    <cellStyle name="표준 83 2 2 2 2 2 2 3 2" xfId="3467" xr:uid="{A30DEA4A-B638-4435-9F21-D73DF179EAD8}"/>
    <cellStyle name="표준 83 2 2 2 2 2 2 3 3" xfId="4162" xr:uid="{A30DEA4A-B638-4435-9F21-D73DF179EAD8}"/>
    <cellStyle name="표준 83 2 2 2 2 2 2 4" xfId="3119" xr:uid="{A30DEA4A-B638-4435-9F21-D73DF179EAD8}"/>
    <cellStyle name="표준 83 2 2 2 2 2 2 5" xfId="3814" xr:uid="{A30DEA4A-B638-4435-9F21-D73DF179EAD8}"/>
    <cellStyle name="표준 83 2 2 2 2 2 3" xfId="2751" xr:uid="{225CFC36-0A38-4604-BA3A-AC2E80FBAE01}"/>
    <cellStyle name="표준 83 2 2 2 2 2 3 2" xfId="3447" xr:uid="{225CFC36-0A38-4604-BA3A-AC2E80FBAE01}"/>
    <cellStyle name="표준 83 2 2 2 2 2 3 3" xfId="4142" xr:uid="{225CFC36-0A38-4604-BA3A-AC2E80FBAE01}"/>
    <cellStyle name="표준 83 2 2 2 2 2 4" xfId="3099" xr:uid="{225CFC36-0A38-4604-BA3A-AC2E80FBAE01}"/>
    <cellStyle name="표준 83 2 2 2 2 2 5" xfId="3794" xr:uid="{225CFC36-0A38-4604-BA3A-AC2E80FBAE01}"/>
    <cellStyle name="표준 83 2 2 2 2 3" xfId="2731" xr:uid="{715744CB-0C2F-4C23-90C4-B3BDC867E35D}"/>
    <cellStyle name="표준 83 2 2 2 2 3 2" xfId="3427" xr:uid="{715744CB-0C2F-4C23-90C4-B3BDC867E35D}"/>
    <cellStyle name="표준 83 2 2 2 2 3 3" xfId="4122" xr:uid="{715744CB-0C2F-4C23-90C4-B3BDC867E35D}"/>
    <cellStyle name="표준 83 2 2 2 2 4" xfId="3079" xr:uid="{715744CB-0C2F-4C23-90C4-B3BDC867E35D}"/>
    <cellStyle name="표준 83 2 2 2 2 5" xfId="3774" xr:uid="{715744CB-0C2F-4C23-90C4-B3BDC867E35D}"/>
    <cellStyle name="표준 83 2 2 2 3" xfId="2711" xr:uid="{CC0BB99A-1F1C-4C59-8F93-981EBD4D35F2}"/>
    <cellStyle name="표준 83 2 2 2 3 2" xfId="3407" xr:uid="{CC0BB99A-1F1C-4C59-8F93-981EBD4D35F2}"/>
    <cellStyle name="표준 83 2 2 2 3 3" xfId="4102" xr:uid="{CC0BB99A-1F1C-4C59-8F93-981EBD4D35F2}"/>
    <cellStyle name="표준 83 2 2 2 4" xfId="3059" xr:uid="{CC0BB99A-1F1C-4C59-8F93-981EBD4D35F2}"/>
    <cellStyle name="표준 83 2 2 2 5" xfId="3754" xr:uid="{CC0BB99A-1F1C-4C59-8F93-981EBD4D35F2}"/>
    <cellStyle name="표준 83 2 2 3" xfId="2691" xr:uid="{BB4487AA-0D4D-4D59-90B5-898B9C1F01D3}"/>
    <cellStyle name="표준 83 2 2 3 2" xfId="3387" xr:uid="{BB4487AA-0D4D-4D59-90B5-898B9C1F01D3}"/>
    <cellStyle name="표준 83 2 2 3 3" xfId="4082" xr:uid="{BB4487AA-0D4D-4D59-90B5-898B9C1F01D3}"/>
    <cellStyle name="표준 83 2 2 4" xfId="3039" xr:uid="{BB4487AA-0D4D-4D59-90B5-898B9C1F01D3}"/>
    <cellStyle name="표준 83 2 2 5" xfId="3734" xr:uid="{BB4487AA-0D4D-4D59-90B5-898B9C1F01D3}"/>
    <cellStyle name="표준 83 2 3" xfId="2670" xr:uid="{12D44A64-5B2F-4F93-BB50-CC4050596E27}"/>
    <cellStyle name="표준 83 2 3 2" xfId="3366" xr:uid="{12D44A64-5B2F-4F93-BB50-CC4050596E27}"/>
    <cellStyle name="표준 83 2 3 3" xfId="4061" xr:uid="{12D44A64-5B2F-4F93-BB50-CC4050596E27}"/>
    <cellStyle name="표준 83 2 4" xfId="3018" xr:uid="{12D44A64-5B2F-4F93-BB50-CC4050596E27}"/>
    <cellStyle name="표준 83 2 5" xfId="3713" xr:uid="{12D44A64-5B2F-4F93-BB50-CC4050596E27}"/>
    <cellStyle name="표준 83 3" xfId="2647" xr:uid="{00000000-0005-0000-0000-0000FA080000}"/>
    <cellStyle name="표준 83 3 2" xfId="3343" xr:uid="{00000000-0005-0000-0000-0000FA080000}"/>
    <cellStyle name="표준 83 3 3" xfId="4038" xr:uid="{00000000-0005-0000-0000-0000FA080000}"/>
    <cellStyle name="표준 83 4" xfId="2995" xr:uid="{00000000-0005-0000-0000-0000FA080000}"/>
    <cellStyle name="표준 83 5" xfId="3690" xr:uid="{00000000-0005-0000-0000-0000FA080000}"/>
    <cellStyle name="표준 84" xfId="2295" xr:uid="{00000000-0005-0000-0000-0000FB080000}"/>
    <cellStyle name="표준 84 2" xfId="2323" xr:uid="{1CD7A67A-1B2B-488F-AC1E-8315E809ECBA}"/>
    <cellStyle name="표준 84 2 2" xfId="2344" xr:uid="{60DA0864-2458-4ABA-B91D-986F13564D8F}"/>
    <cellStyle name="표준 84 2 2 2" xfId="2364" xr:uid="{F3A0B196-503B-4645-9B6B-17FDC2DF6634}"/>
    <cellStyle name="표준 84 2 2 2 2" xfId="2384" xr:uid="{B20DA2B6-F5CF-4355-B873-278AE0D0156F}"/>
    <cellStyle name="표준 84 2 2 2 2 2" xfId="2404" xr:uid="{691256A7-62FB-40B3-A406-D70F9F42744E}"/>
    <cellStyle name="표준 84 2 2 2 2 2 2" xfId="2424" xr:uid="{22F3BC23-41DA-4FF4-97FE-66EE140D40EC}"/>
    <cellStyle name="표준 84 2 2 2 2 2 2 2" xfId="2444" xr:uid="{91F1190B-704C-4052-B266-CA71BF025464}"/>
    <cellStyle name="표준 84 2 2 2 2 2 2 2 10" xfId="2792" xr:uid="{91F1190B-704C-4052-B266-CA71BF025464}"/>
    <cellStyle name="표준 84 2 2 2 2 2 2 2 10 2" xfId="3488" xr:uid="{91F1190B-704C-4052-B266-CA71BF025464}"/>
    <cellStyle name="표준 84 2 2 2 2 2 2 2 10 3" xfId="4183" xr:uid="{91F1190B-704C-4052-B266-CA71BF025464}"/>
    <cellStyle name="표준 84 2 2 2 2 2 2 2 11" xfId="3140" xr:uid="{91F1190B-704C-4052-B266-CA71BF025464}"/>
    <cellStyle name="표준 84 2 2 2 2 2 2 2 12" xfId="3835" xr:uid="{91F1190B-704C-4052-B266-CA71BF025464}"/>
    <cellStyle name="표준 84 2 2 2 2 2 2 2 2" xfId="2464" xr:uid="{FA43ADDD-9367-471D-8A1D-6D815173DB14}"/>
    <cellStyle name="표준 84 2 2 2 2 2 2 2 2 2" xfId="2812" xr:uid="{FA43ADDD-9367-471D-8A1D-6D815173DB14}"/>
    <cellStyle name="표준 84 2 2 2 2 2 2 2 2 2 2" xfId="3508" xr:uid="{FA43ADDD-9367-471D-8A1D-6D815173DB14}"/>
    <cellStyle name="표준 84 2 2 2 2 2 2 2 2 2 3" xfId="4203" xr:uid="{FA43ADDD-9367-471D-8A1D-6D815173DB14}"/>
    <cellStyle name="표준 84 2 2 2 2 2 2 2 2 3" xfId="3160" xr:uid="{FA43ADDD-9367-471D-8A1D-6D815173DB14}"/>
    <cellStyle name="표준 84 2 2 2 2 2 2 2 2 4" xfId="3855" xr:uid="{FA43ADDD-9367-471D-8A1D-6D815173DB14}"/>
    <cellStyle name="표준 84 2 2 2 2 2 2 2 3" xfId="2484" xr:uid="{3879E2D3-F6CF-484C-9EAC-120879CD8E95}"/>
    <cellStyle name="표준 84 2 2 2 2 2 2 2 3 2" xfId="2832" xr:uid="{3879E2D3-F6CF-484C-9EAC-120879CD8E95}"/>
    <cellStyle name="표준 84 2 2 2 2 2 2 2 3 2 2" xfId="3528" xr:uid="{3879E2D3-F6CF-484C-9EAC-120879CD8E95}"/>
    <cellStyle name="표준 84 2 2 2 2 2 2 2 3 2 3" xfId="4223" xr:uid="{3879E2D3-F6CF-484C-9EAC-120879CD8E95}"/>
    <cellStyle name="표준 84 2 2 2 2 2 2 2 3 3" xfId="3180" xr:uid="{3879E2D3-F6CF-484C-9EAC-120879CD8E95}"/>
    <cellStyle name="표준 84 2 2 2 2 2 2 2 3 4" xfId="3875" xr:uid="{3879E2D3-F6CF-484C-9EAC-120879CD8E95}"/>
    <cellStyle name="표준 84 2 2 2 2 2 2 2 4" xfId="2506" xr:uid="{23B084D9-553C-4167-BB39-9A10DDA908A8}"/>
    <cellStyle name="표준 84 2 2 2 2 2 2 2 4 2" xfId="2854" xr:uid="{23B084D9-553C-4167-BB39-9A10DDA908A8}"/>
    <cellStyle name="표준 84 2 2 2 2 2 2 2 4 2 2" xfId="3550" xr:uid="{23B084D9-553C-4167-BB39-9A10DDA908A8}"/>
    <cellStyle name="표준 84 2 2 2 2 2 2 2 4 2 3" xfId="4245" xr:uid="{23B084D9-553C-4167-BB39-9A10DDA908A8}"/>
    <cellStyle name="표준 84 2 2 2 2 2 2 2 4 3" xfId="3202" xr:uid="{23B084D9-553C-4167-BB39-9A10DDA908A8}"/>
    <cellStyle name="표준 84 2 2 2 2 2 2 2 4 4" xfId="3897" xr:uid="{23B084D9-553C-4167-BB39-9A10DDA908A8}"/>
    <cellStyle name="표준 84 2 2 2 2 2 2 2 5" xfId="2523" xr:uid="{76CA19AC-B2D5-49F4-A93B-85D8AE3DAFC0}"/>
    <cellStyle name="표준 84 2 2 2 2 2 2 2 5 2" xfId="2871" xr:uid="{76CA19AC-B2D5-49F4-A93B-85D8AE3DAFC0}"/>
    <cellStyle name="표준 84 2 2 2 2 2 2 2 5 2 2" xfId="3567" xr:uid="{76CA19AC-B2D5-49F4-A93B-85D8AE3DAFC0}"/>
    <cellStyle name="표준 84 2 2 2 2 2 2 2 5 2 3" xfId="4262" xr:uid="{76CA19AC-B2D5-49F4-A93B-85D8AE3DAFC0}"/>
    <cellStyle name="표준 84 2 2 2 2 2 2 2 5 3" xfId="3219" xr:uid="{76CA19AC-B2D5-49F4-A93B-85D8AE3DAFC0}"/>
    <cellStyle name="표준 84 2 2 2 2 2 2 2 5 4" xfId="3914" xr:uid="{76CA19AC-B2D5-49F4-A93B-85D8AE3DAFC0}"/>
    <cellStyle name="표준 84 2 2 2 2 2 2 2 6" xfId="2544" xr:uid="{17328300-72FE-4EA6-ABE3-3D685DDF102D}"/>
    <cellStyle name="표준 84 2 2 2 2 2 2 2 6 2" xfId="2892" xr:uid="{17328300-72FE-4EA6-ABE3-3D685DDF102D}"/>
    <cellStyle name="표준 84 2 2 2 2 2 2 2 6 2 2" xfId="3588" xr:uid="{17328300-72FE-4EA6-ABE3-3D685DDF102D}"/>
    <cellStyle name="표준 84 2 2 2 2 2 2 2 6 2 3" xfId="4283" xr:uid="{17328300-72FE-4EA6-ABE3-3D685DDF102D}"/>
    <cellStyle name="표준 84 2 2 2 2 2 2 2 6 3" xfId="3240" xr:uid="{17328300-72FE-4EA6-ABE3-3D685DDF102D}"/>
    <cellStyle name="표준 84 2 2 2 2 2 2 2 6 4" xfId="3935" xr:uid="{17328300-72FE-4EA6-ABE3-3D685DDF102D}"/>
    <cellStyle name="표준 84 2 2 2 2 2 2 2 7" xfId="2565" xr:uid="{D9DA55D7-3C46-48A1-AA04-6211865E8075}"/>
    <cellStyle name="표준 84 2 2 2 2 2 2 2 7 2" xfId="2913" xr:uid="{D9DA55D7-3C46-48A1-AA04-6211865E8075}"/>
    <cellStyle name="표준 84 2 2 2 2 2 2 2 7 2 2" xfId="3609" xr:uid="{D9DA55D7-3C46-48A1-AA04-6211865E8075}"/>
    <cellStyle name="표준 84 2 2 2 2 2 2 2 7 2 3" xfId="4304" xr:uid="{D9DA55D7-3C46-48A1-AA04-6211865E8075}"/>
    <cellStyle name="표준 84 2 2 2 2 2 2 2 7 3" xfId="3261" xr:uid="{D9DA55D7-3C46-48A1-AA04-6211865E8075}"/>
    <cellStyle name="표준 84 2 2 2 2 2 2 2 7 4" xfId="3956" xr:uid="{D9DA55D7-3C46-48A1-AA04-6211865E8075}"/>
    <cellStyle name="표준 84 2 2 2 2 2 2 2 8" xfId="2586" xr:uid="{77BC8C96-F783-4330-B5C6-260441A5A619}"/>
    <cellStyle name="표준 84 2 2 2 2 2 2 2 8 2" xfId="2934" xr:uid="{77BC8C96-F783-4330-B5C6-260441A5A619}"/>
    <cellStyle name="표준 84 2 2 2 2 2 2 2 8 2 2" xfId="3630" xr:uid="{77BC8C96-F783-4330-B5C6-260441A5A619}"/>
    <cellStyle name="표준 84 2 2 2 2 2 2 2 8 2 3" xfId="4325" xr:uid="{77BC8C96-F783-4330-B5C6-260441A5A619}"/>
    <cellStyle name="표준 84 2 2 2 2 2 2 2 8 3" xfId="3282" xr:uid="{77BC8C96-F783-4330-B5C6-260441A5A619}"/>
    <cellStyle name="표준 84 2 2 2 2 2 2 2 8 4" xfId="3977" xr:uid="{77BC8C96-F783-4330-B5C6-260441A5A619}"/>
    <cellStyle name="표준 84 2 2 2 2 2 2 2 9" xfId="2609" xr:uid="{7D16A3D1-34BA-4B76-860C-083AFAF4A612}"/>
    <cellStyle name="표준 84 2 2 2 2 2 2 2 9 2" xfId="2957" xr:uid="{7D16A3D1-34BA-4B76-860C-083AFAF4A612}"/>
    <cellStyle name="표준 84 2 2 2 2 2 2 2 9 2 2" xfId="3653" xr:uid="{7D16A3D1-34BA-4B76-860C-083AFAF4A612}"/>
    <cellStyle name="표준 84 2 2 2 2 2 2 2 9 2 3" xfId="4348" xr:uid="{7D16A3D1-34BA-4B76-860C-083AFAF4A612}"/>
    <cellStyle name="표준 84 2 2 2 2 2 2 2 9 3" xfId="3305" xr:uid="{7D16A3D1-34BA-4B76-860C-083AFAF4A612}"/>
    <cellStyle name="표준 84 2 2 2 2 2 2 2 9 4" xfId="4000" xr:uid="{7D16A3D1-34BA-4B76-860C-083AFAF4A612}"/>
    <cellStyle name="표준 84 2 2 2 2 2 2 3" xfId="2772" xr:uid="{22F3BC23-41DA-4FF4-97FE-66EE140D40EC}"/>
    <cellStyle name="표준 84 2 2 2 2 2 2 3 2" xfId="3468" xr:uid="{22F3BC23-41DA-4FF4-97FE-66EE140D40EC}"/>
    <cellStyle name="표준 84 2 2 2 2 2 2 3 3" xfId="4163" xr:uid="{22F3BC23-41DA-4FF4-97FE-66EE140D40EC}"/>
    <cellStyle name="표준 84 2 2 2 2 2 2 4" xfId="3120" xr:uid="{22F3BC23-41DA-4FF4-97FE-66EE140D40EC}"/>
    <cellStyle name="표준 84 2 2 2 2 2 2 5" xfId="3815" xr:uid="{22F3BC23-41DA-4FF4-97FE-66EE140D40EC}"/>
    <cellStyle name="표준 84 2 2 2 2 2 3" xfId="2752" xr:uid="{691256A7-62FB-40B3-A406-D70F9F42744E}"/>
    <cellStyle name="표준 84 2 2 2 2 2 3 2" xfId="3448" xr:uid="{691256A7-62FB-40B3-A406-D70F9F42744E}"/>
    <cellStyle name="표준 84 2 2 2 2 2 3 3" xfId="4143" xr:uid="{691256A7-62FB-40B3-A406-D70F9F42744E}"/>
    <cellStyle name="표준 84 2 2 2 2 2 4" xfId="3100" xr:uid="{691256A7-62FB-40B3-A406-D70F9F42744E}"/>
    <cellStyle name="표준 84 2 2 2 2 2 5" xfId="3795" xr:uid="{691256A7-62FB-40B3-A406-D70F9F42744E}"/>
    <cellStyle name="표준 84 2 2 2 2 3" xfId="2732" xr:uid="{B20DA2B6-F5CF-4355-B873-278AE0D0156F}"/>
    <cellStyle name="표준 84 2 2 2 2 3 2" xfId="3428" xr:uid="{B20DA2B6-F5CF-4355-B873-278AE0D0156F}"/>
    <cellStyle name="표준 84 2 2 2 2 3 3" xfId="4123" xr:uid="{B20DA2B6-F5CF-4355-B873-278AE0D0156F}"/>
    <cellStyle name="표준 84 2 2 2 2 4" xfId="3080" xr:uid="{B20DA2B6-F5CF-4355-B873-278AE0D0156F}"/>
    <cellStyle name="표준 84 2 2 2 2 5" xfId="3775" xr:uid="{B20DA2B6-F5CF-4355-B873-278AE0D0156F}"/>
    <cellStyle name="표준 84 2 2 2 3" xfId="2712" xr:uid="{F3A0B196-503B-4645-9B6B-17FDC2DF6634}"/>
    <cellStyle name="표준 84 2 2 2 3 2" xfId="3408" xr:uid="{F3A0B196-503B-4645-9B6B-17FDC2DF6634}"/>
    <cellStyle name="표준 84 2 2 2 3 3" xfId="4103" xr:uid="{F3A0B196-503B-4645-9B6B-17FDC2DF6634}"/>
    <cellStyle name="표준 84 2 2 2 4" xfId="3060" xr:uid="{F3A0B196-503B-4645-9B6B-17FDC2DF6634}"/>
    <cellStyle name="표준 84 2 2 2 5" xfId="3755" xr:uid="{F3A0B196-503B-4645-9B6B-17FDC2DF6634}"/>
    <cellStyle name="표준 84 2 2 3" xfId="2692" xr:uid="{60DA0864-2458-4ABA-B91D-986F13564D8F}"/>
    <cellStyle name="표준 84 2 2 3 2" xfId="3388" xr:uid="{60DA0864-2458-4ABA-B91D-986F13564D8F}"/>
    <cellStyle name="표준 84 2 2 3 3" xfId="4083" xr:uid="{60DA0864-2458-4ABA-B91D-986F13564D8F}"/>
    <cellStyle name="표준 84 2 2 4" xfId="3040" xr:uid="{60DA0864-2458-4ABA-B91D-986F13564D8F}"/>
    <cellStyle name="표준 84 2 2 5" xfId="3735" xr:uid="{60DA0864-2458-4ABA-B91D-986F13564D8F}"/>
    <cellStyle name="표준 84 2 3" xfId="2671" xr:uid="{1CD7A67A-1B2B-488F-AC1E-8315E809ECBA}"/>
    <cellStyle name="표준 84 2 3 2" xfId="3367" xr:uid="{1CD7A67A-1B2B-488F-AC1E-8315E809ECBA}"/>
    <cellStyle name="표준 84 2 3 3" xfId="4062" xr:uid="{1CD7A67A-1B2B-488F-AC1E-8315E809ECBA}"/>
    <cellStyle name="표준 84 2 4" xfId="3019" xr:uid="{1CD7A67A-1B2B-488F-AC1E-8315E809ECBA}"/>
    <cellStyle name="표준 84 2 5" xfId="3714" xr:uid="{1CD7A67A-1B2B-488F-AC1E-8315E809ECBA}"/>
    <cellStyle name="표준 84 3" xfId="2648" xr:uid="{00000000-0005-0000-0000-0000FB080000}"/>
    <cellStyle name="표준 84 3 2" xfId="3344" xr:uid="{00000000-0005-0000-0000-0000FB080000}"/>
    <cellStyle name="표준 84 3 3" xfId="4039" xr:uid="{00000000-0005-0000-0000-0000FB080000}"/>
    <cellStyle name="표준 84 4" xfId="2996" xr:uid="{00000000-0005-0000-0000-0000FB080000}"/>
    <cellStyle name="표준 84 5" xfId="3691" xr:uid="{00000000-0005-0000-0000-0000FB080000}"/>
    <cellStyle name="표준 85" xfId="2296" xr:uid="{00000000-0005-0000-0000-0000FC080000}"/>
    <cellStyle name="표준 85 2" xfId="2324" xr:uid="{80B4B5A2-D6F8-46BB-99A9-A289B72966DD}"/>
    <cellStyle name="표준 85 2 2" xfId="2345" xr:uid="{ED326A97-8F97-4D80-B696-ABCD9A126CB4}"/>
    <cellStyle name="표준 85 2 2 2" xfId="2365" xr:uid="{BFD7F552-BCCB-4238-A8E6-2A47F9FE5764}"/>
    <cellStyle name="표준 85 2 2 2 2" xfId="2385" xr:uid="{99442E91-8B9D-41E0-96D1-C5D708AF07D7}"/>
    <cellStyle name="표준 85 2 2 2 2 2" xfId="2405" xr:uid="{4EF300B7-5E6D-4B62-A01E-19FB866FE5FB}"/>
    <cellStyle name="표준 85 2 2 2 2 2 2" xfId="2425" xr:uid="{6DF8EC5B-E3FB-4B86-B244-37659549F04B}"/>
    <cellStyle name="표준 85 2 2 2 2 2 2 2" xfId="2445" xr:uid="{C7F63EB5-3A9B-4E57-A574-C1DE692C968D}"/>
    <cellStyle name="표준 85 2 2 2 2 2 2 2 10" xfId="2793" xr:uid="{C7F63EB5-3A9B-4E57-A574-C1DE692C968D}"/>
    <cellStyle name="표준 85 2 2 2 2 2 2 2 10 2" xfId="3489" xr:uid="{C7F63EB5-3A9B-4E57-A574-C1DE692C968D}"/>
    <cellStyle name="표준 85 2 2 2 2 2 2 2 10 3" xfId="4184" xr:uid="{C7F63EB5-3A9B-4E57-A574-C1DE692C968D}"/>
    <cellStyle name="표준 85 2 2 2 2 2 2 2 11" xfId="3141" xr:uid="{C7F63EB5-3A9B-4E57-A574-C1DE692C968D}"/>
    <cellStyle name="표준 85 2 2 2 2 2 2 2 12" xfId="3836" xr:uid="{C7F63EB5-3A9B-4E57-A574-C1DE692C968D}"/>
    <cellStyle name="표준 85 2 2 2 2 2 2 2 2" xfId="2465" xr:uid="{33DB8455-1550-4859-A0A4-DD7FA8D659B1}"/>
    <cellStyle name="표준 85 2 2 2 2 2 2 2 2 2" xfId="2813" xr:uid="{33DB8455-1550-4859-A0A4-DD7FA8D659B1}"/>
    <cellStyle name="표준 85 2 2 2 2 2 2 2 2 2 2" xfId="3509" xr:uid="{33DB8455-1550-4859-A0A4-DD7FA8D659B1}"/>
    <cellStyle name="표준 85 2 2 2 2 2 2 2 2 2 3" xfId="4204" xr:uid="{33DB8455-1550-4859-A0A4-DD7FA8D659B1}"/>
    <cellStyle name="표준 85 2 2 2 2 2 2 2 2 3" xfId="3161" xr:uid="{33DB8455-1550-4859-A0A4-DD7FA8D659B1}"/>
    <cellStyle name="표준 85 2 2 2 2 2 2 2 2 4" xfId="3856" xr:uid="{33DB8455-1550-4859-A0A4-DD7FA8D659B1}"/>
    <cellStyle name="표준 85 2 2 2 2 2 2 2 3" xfId="2485" xr:uid="{823A72E4-C8FD-49D4-A5B3-6ABEFF0B0022}"/>
    <cellStyle name="표준 85 2 2 2 2 2 2 2 3 2" xfId="2833" xr:uid="{823A72E4-C8FD-49D4-A5B3-6ABEFF0B0022}"/>
    <cellStyle name="표준 85 2 2 2 2 2 2 2 3 2 2" xfId="3529" xr:uid="{823A72E4-C8FD-49D4-A5B3-6ABEFF0B0022}"/>
    <cellStyle name="표준 85 2 2 2 2 2 2 2 3 2 3" xfId="4224" xr:uid="{823A72E4-C8FD-49D4-A5B3-6ABEFF0B0022}"/>
    <cellStyle name="표준 85 2 2 2 2 2 2 2 3 3" xfId="3181" xr:uid="{823A72E4-C8FD-49D4-A5B3-6ABEFF0B0022}"/>
    <cellStyle name="표준 85 2 2 2 2 2 2 2 3 4" xfId="3876" xr:uid="{823A72E4-C8FD-49D4-A5B3-6ABEFF0B0022}"/>
    <cellStyle name="표준 85 2 2 2 2 2 2 2 4" xfId="2507" xr:uid="{D7778176-C596-406A-AFB9-02A1182A199B}"/>
    <cellStyle name="표준 85 2 2 2 2 2 2 2 4 2" xfId="2855" xr:uid="{D7778176-C596-406A-AFB9-02A1182A199B}"/>
    <cellStyle name="표준 85 2 2 2 2 2 2 2 4 2 2" xfId="3551" xr:uid="{D7778176-C596-406A-AFB9-02A1182A199B}"/>
    <cellStyle name="표준 85 2 2 2 2 2 2 2 4 2 3" xfId="4246" xr:uid="{D7778176-C596-406A-AFB9-02A1182A199B}"/>
    <cellStyle name="표준 85 2 2 2 2 2 2 2 4 3" xfId="3203" xr:uid="{D7778176-C596-406A-AFB9-02A1182A199B}"/>
    <cellStyle name="표준 85 2 2 2 2 2 2 2 4 4" xfId="3898" xr:uid="{D7778176-C596-406A-AFB9-02A1182A199B}"/>
    <cellStyle name="표준 85 2 2 2 2 2 2 2 5" xfId="2522" xr:uid="{4A3D7264-C86B-4F12-B381-02350BBF8635}"/>
    <cellStyle name="표준 85 2 2 2 2 2 2 2 5 2" xfId="2870" xr:uid="{4A3D7264-C86B-4F12-B381-02350BBF8635}"/>
    <cellStyle name="표준 85 2 2 2 2 2 2 2 5 2 2" xfId="3566" xr:uid="{4A3D7264-C86B-4F12-B381-02350BBF8635}"/>
    <cellStyle name="표준 85 2 2 2 2 2 2 2 5 2 3" xfId="4261" xr:uid="{4A3D7264-C86B-4F12-B381-02350BBF8635}"/>
    <cellStyle name="표준 85 2 2 2 2 2 2 2 5 3" xfId="3218" xr:uid="{4A3D7264-C86B-4F12-B381-02350BBF8635}"/>
    <cellStyle name="표준 85 2 2 2 2 2 2 2 5 4" xfId="3913" xr:uid="{4A3D7264-C86B-4F12-B381-02350BBF8635}"/>
    <cellStyle name="표준 85 2 2 2 2 2 2 2 6" xfId="2543" xr:uid="{B0AC5C46-A39E-41C1-9879-038D082BA973}"/>
    <cellStyle name="표준 85 2 2 2 2 2 2 2 6 2" xfId="2891" xr:uid="{B0AC5C46-A39E-41C1-9879-038D082BA973}"/>
    <cellStyle name="표준 85 2 2 2 2 2 2 2 6 2 2" xfId="3587" xr:uid="{B0AC5C46-A39E-41C1-9879-038D082BA973}"/>
    <cellStyle name="표준 85 2 2 2 2 2 2 2 6 2 3" xfId="4282" xr:uid="{B0AC5C46-A39E-41C1-9879-038D082BA973}"/>
    <cellStyle name="표준 85 2 2 2 2 2 2 2 6 3" xfId="3239" xr:uid="{B0AC5C46-A39E-41C1-9879-038D082BA973}"/>
    <cellStyle name="표준 85 2 2 2 2 2 2 2 6 4" xfId="3934" xr:uid="{B0AC5C46-A39E-41C1-9879-038D082BA973}"/>
    <cellStyle name="표준 85 2 2 2 2 2 2 2 7" xfId="2564" xr:uid="{C2515035-445D-4934-85BD-D811DA848EEC}"/>
    <cellStyle name="표준 85 2 2 2 2 2 2 2 7 2" xfId="2912" xr:uid="{C2515035-445D-4934-85BD-D811DA848EEC}"/>
    <cellStyle name="표준 85 2 2 2 2 2 2 2 7 2 2" xfId="3608" xr:uid="{C2515035-445D-4934-85BD-D811DA848EEC}"/>
    <cellStyle name="표준 85 2 2 2 2 2 2 2 7 2 3" xfId="4303" xr:uid="{C2515035-445D-4934-85BD-D811DA848EEC}"/>
    <cellStyle name="표준 85 2 2 2 2 2 2 2 7 3" xfId="3260" xr:uid="{C2515035-445D-4934-85BD-D811DA848EEC}"/>
    <cellStyle name="표준 85 2 2 2 2 2 2 2 7 4" xfId="3955" xr:uid="{C2515035-445D-4934-85BD-D811DA848EEC}"/>
    <cellStyle name="표준 85 2 2 2 2 2 2 2 8" xfId="2585" xr:uid="{2B83D072-1C98-4287-8021-BA3A59C71A3C}"/>
    <cellStyle name="표준 85 2 2 2 2 2 2 2 8 2" xfId="2933" xr:uid="{2B83D072-1C98-4287-8021-BA3A59C71A3C}"/>
    <cellStyle name="표준 85 2 2 2 2 2 2 2 8 2 2" xfId="3629" xr:uid="{2B83D072-1C98-4287-8021-BA3A59C71A3C}"/>
    <cellStyle name="표준 85 2 2 2 2 2 2 2 8 2 3" xfId="4324" xr:uid="{2B83D072-1C98-4287-8021-BA3A59C71A3C}"/>
    <cellStyle name="표준 85 2 2 2 2 2 2 2 8 3" xfId="3281" xr:uid="{2B83D072-1C98-4287-8021-BA3A59C71A3C}"/>
    <cellStyle name="표준 85 2 2 2 2 2 2 2 8 4" xfId="3976" xr:uid="{2B83D072-1C98-4287-8021-BA3A59C71A3C}"/>
    <cellStyle name="표준 85 2 2 2 2 2 2 2 9" xfId="2610" xr:uid="{E662B6A4-4339-447E-BC61-70EF1BE60358}"/>
    <cellStyle name="표준 85 2 2 2 2 2 2 2 9 2" xfId="2958" xr:uid="{E662B6A4-4339-447E-BC61-70EF1BE60358}"/>
    <cellStyle name="표준 85 2 2 2 2 2 2 2 9 2 2" xfId="3654" xr:uid="{E662B6A4-4339-447E-BC61-70EF1BE60358}"/>
    <cellStyle name="표준 85 2 2 2 2 2 2 2 9 2 3" xfId="4349" xr:uid="{E662B6A4-4339-447E-BC61-70EF1BE60358}"/>
    <cellStyle name="표준 85 2 2 2 2 2 2 2 9 3" xfId="3306" xr:uid="{E662B6A4-4339-447E-BC61-70EF1BE60358}"/>
    <cellStyle name="표준 85 2 2 2 2 2 2 2 9 4" xfId="4001" xr:uid="{E662B6A4-4339-447E-BC61-70EF1BE60358}"/>
    <cellStyle name="표준 85 2 2 2 2 2 2 3" xfId="2773" xr:uid="{6DF8EC5B-E3FB-4B86-B244-37659549F04B}"/>
    <cellStyle name="표준 85 2 2 2 2 2 2 3 2" xfId="3469" xr:uid="{6DF8EC5B-E3FB-4B86-B244-37659549F04B}"/>
    <cellStyle name="표준 85 2 2 2 2 2 2 3 3" xfId="4164" xr:uid="{6DF8EC5B-E3FB-4B86-B244-37659549F04B}"/>
    <cellStyle name="표준 85 2 2 2 2 2 2 4" xfId="3121" xr:uid="{6DF8EC5B-E3FB-4B86-B244-37659549F04B}"/>
    <cellStyle name="표준 85 2 2 2 2 2 2 5" xfId="3816" xr:uid="{6DF8EC5B-E3FB-4B86-B244-37659549F04B}"/>
    <cellStyle name="표준 85 2 2 2 2 2 3" xfId="2753" xr:uid="{4EF300B7-5E6D-4B62-A01E-19FB866FE5FB}"/>
    <cellStyle name="표준 85 2 2 2 2 2 3 2" xfId="3449" xr:uid="{4EF300B7-5E6D-4B62-A01E-19FB866FE5FB}"/>
    <cellStyle name="표준 85 2 2 2 2 2 3 3" xfId="4144" xr:uid="{4EF300B7-5E6D-4B62-A01E-19FB866FE5FB}"/>
    <cellStyle name="표준 85 2 2 2 2 2 4" xfId="3101" xr:uid="{4EF300B7-5E6D-4B62-A01E-19FB866FE5FB}"/>
    <cellStyle name="표준 85 2 2 2 2 2 5" xfId="3796" xr:uid="{4EF300B7-5E6D-4B62-A01E-19FB866FE5FB}"/>
    <cellStyle name="표준 85 2 2 2 2 3" xfId="2733" xr:uid="{99442E91-8B9D-41E0-96D1-C5D708AF07D7}"/>
    <cellStyle name="표준 85 2 2 2 2 3 2" xfId="3429" xr:uid="{99442E91-8B9D-41E0-96D1-C5D708AF07D7}"/>
    <cellStyle name="표준 85 2 2 2 2 3 3" xfId="4124" xr:uid="{99442E91-8B9D-41E0-96D1-C5D708AF07D7}"/>
    <cellStyle name="표준 85 2 2 2 2 4" xfId="3081" xr:uid="{99442E91-8B9D-41E0-96D1-C5D708AF07D7}"/>
    <cellStyle name="표준 85 2 2 2 2 5" xfId="3776" xr:uid="{99442E91-8B9D-41E0-96D1-C5D708AF07D7}"/>
    <cellStyle name="표준 85 2 2 2 3" xfId="2713" xr:uid="{BFD7F552-BCCB-4238-A8E6-2A47F9FE5764}"/>
    <cellStyle name="표준 85 2 2 2 3 2" xfId="3409" xr:uid="{BFD7F552-BCCB-4238-A8E6-2A47F9FE5764}"/>
    <cellStyle name="표준 85 2 2 2 3 3" xfId="4104" xr:uid="{BFD7F552-BCCB-4238-A8E6-2A47F9FE5764}"/>
    <cellStyle name="표준 85 2 2 2 4" xfId="3061" xr:uid="{BFD7F552-BCCB-4238-A8E6-2A47F9FE5764}"/>
    <cellStyle name="표준 85 2 2 2 5" xfId="3756" xr:uid="{BFD7F552-BCCB-4238-A8E6-2A47F9FE5764}"/>
    <cellStyle name="표준 85 2 2 3" xfId="2693" xr:uid="{ED326A97-8F97-4D80-B696-ABCD9A126CB4}"/>
    <cellStyle name="표준 85 2 2 3 2" xfId="3389" xr:uid="{ED326A97-8F97-4D80-B696-ABCD9A126CB4}"/>
    <cellStyle name="표준 85 2 2 3 3" xfId="4084" xr:uid="{ED326A97-8F97-4D80-B696-ABCD9A126CB4}"/>
    <cellStyle name="표준 85 2 2 4" xfId="3041" xr:uid="{ED326A97-8F97-4D80-B696-ABCD9A126CB4}"/>
    <cellStyle name="표준 85 2 2 5" xfId="3736" xr:uid="{ED326A97-8F97-4D80-B696-ABCD9A126CB4}"/>
    <cellStyle name="표준 85 2 3" xfId="2672" xr:uid="{80B4B5A2-D6F8-46BB-99A9-A289B72966DD}"/>
    <cellStyle name="표준 85 2 3 2" xfId="3368" xr:uid="{80B4B5A2-D6F8-46BB-99A9-A289B72966DD}"/>
    <cellStyle name="표준 85 2 3 3" xfId="4063" xr:uid="{80B4B5A2-D6F8-46BB-99A9-A289B72966DD}"/>
    <cellStyle name="표준 85 2 4" xfId="3020" xr:uid="{80B4B5A2-D6F8-46BB-99A9-A289B72966DD}"/>
    <cellStyle name="표준 85 2 5" xfId="3715" xr:uid="{80B4B5A2-D6F8-46BB-99A9-A289B72966DD}"/>
    <cellStyle name="표준 85 3" xfId="2649" xr:uid="{00000000-0005-0000-0000-0000FC080000}"/>
    <cellStyle name="표준 85 3 2" xfId="3345" xr:uid="{00000000-0005-0000-0000-0000FC080000}"/>
    <cellStyle name="표준 85 3 3" xfId="4040" xr:uid="{00000000-0005-0000-0000-0000FC080000}"/>
    <cellStyle name="표준 85 4" xfId="2997" xr:uid="{00000000-0005-0000-0000-0000FC080000}"/>
    <cellStyle name="표준 85 5" xfId="3692" xr:uid="{00000000-0005-0000-0000-0000FC080000}"/>
    <cellStyle name="표준 86" xfId="2297" xr:uid="{00000000-0005-0000-0000-0000FD080000}"/>
    <cellStyle name="표준 86 2" xfId="2325" xr:uid="{104F3D13-B7AB-4C1F-A45A-19771D29EBD0}"/>
    <cellStyle name="표준 86 2 2" xfId="2346" xr:uid="{29AE7853-C8C0-4D7E-B1A9-A6D549C110A6}"/>
    <cellStyle name="표준 86 2 2 2" xfId="2366" xr:uid="{02DA92E9-5C2D-4F9A-BA78-9D99AE8554A3}"/>
    <cellStyle name="표준 86 2 2 2 2" xfId="2386" xr:uid="{17F02BE5-EE0B-46BF-9DEB-B770FBE17D70}"/>
    <cellStyle name="표준 86 2 2 2 2 2" xfId="2406" xr:uid="{34B056ED-BF3B-4DC4-BB98-D4117606500E}"/>
    <cellStyle name="표준 86 2 2 2 2 2 2" xfId="2426" xr:uid="{B73A3905-491D-48FF-AE18-E485145E02D8}"/>
    <cellStyle name="표준 86 2 2 2 2 2 2 2" xfId="2446" xr:uid="{4807B859-FD78-44B7-BFFA-52972D761095}"/>
    <cellStyle name="표준 86 2 2 2 2 2 2 2 10" xfId="2794" xr:uid="{4807B859-FD78-44B7-BFFA-52972D761095}"/>
    <cellStyle name="표준 86 2 2 2 2 2 2 2 10 2" xfId="3490" xr:uid="{4807B859-FD78-44B7-BFFA-52972D761095}"/>
    <cellStyle name="표준 86 2 2 2 2 2 2 2 10 3" xfId="4185" xr:uid="{4807B859-FD78-44B7-BFFA-52972D761095}"/>
    <cellStyle name="표준 86 2 2 2 2 2 2 2 11" xfId="3142" xr:uid="{4807B859-FD78-44B7-BFFA-52972D761095}"/>
    <cellStyle name="표준 86 2 2 2 2 2 2 2 12" xfId="3837" xr:uid="{4807B859-FD78-44B7-BFFA-52972D761095}"/>
    <cellStyle name="표준 86 2 2 2 2 2 2 2 2" xfId="2466" xr:uid="{8C2FDD4E-0F24-4968-B773-1C6FC5E83CDE}"/>
    <cellStyle name="표준 86 2 2 2 2 2 2 2 2 2" xfId="2814" xr:uid="{8C2FDD4E-0F24-4968-B773-1C6FC5E83CDE}"/>
    <cellStyle name="표준 86 2 2 2 2 2 2 2 2 2 2" xfId="3510" xr:uid="{8C2FDD4E-0F24-4968-B773-1C6FC5E83CDE}"/>
    <cellStyle name="표준 86 2 2 2 2 2 2 2 2 2 3" xfId="4205" xr:uid="{8C2FDD4E-0F24-4968-B773-1C6FC5E83CDE}"/>
    <cellStyle name="표준 86 2 2 2 2 2 2 2 2 3" xfId="3162" xr:uid="{8C2FDD4E-0F24-4968-B773-1C6FC5E83CDE}"/>
    <cellStyle name="표준 86 2 2 2 2 2 2 2 2 4" xfId="3857" xr:uid="{8C2FDD4E-0F24-4968-B773-1C6FC5E83CDE}"/>
    <cellStyle name="표준 86 2 2 2 2 2 2 2 3" xfId="2486" xr:uid="{92E2F3FE-D807-4D10-9063-34B017F70366}"/>
    <cellStyle name="표준 86 2 2 2 2 2 2 2 3 2" xfId="2834" xr:uid="{92E2F3FE-D807-4D10-9063-34B017F70366}"/>
    <cellStyle name="표준 86 2 2 2 2 2 2 2 3 2 2" xfId="3530" xr:uid="{92E2F3FE-D807-4D10-9063-34B017F70366}"/>
    <cellStyle name="표준 86 2 2 2 2 2 2 2 3 2 3" xfId="4225" xr:uid="{92E2F3FE-D807-4D10-9063-34B017F70366}"/>
    <cellStyle name="표준 86 2 2 2 2 2 2 2 3 3" xfId="3182" xr:uid="{92E2F3FE-D807-4D10-9063-34B017F70366}"/>
    <cellStyle name="표준 86 2 2 2 2 2 2 2 3 4" xfId="3877" xr:uid="{92E2F3FE-D807-4D10-9063-34B017F70366}"/>
    <cellStyle name="표준 86 2 2 2 2 2 2 2 4" xfId="2508" xr:uid="{9D33B593-993E-426F-A324-D88C62769CDC}"/>
    <cellStyle name="표준 86 2 2 2 2 2 2 2 4 2" xfId="2856" xr:uid="{9D33B593-993E-426F-A324-D88C62769CDC}"/>
    <cellStyle name="표준 86 2 2 2 2 2 2 2 4 2 2" xfId="3552" xr:uid="{9D33B593-993E-426F-A324-D88C62769CDC}"/>
    <cellStyle name="표준 86 2 2 2 2 2 2 2 4 2 3" xfId="4247" xr:uid="{9D33B593-993E-426F-A324-D88C62769CDC}"/>
    <cellStyle name="표준 86 2 2 2 2 2 2 2 4 3" xfId="3204" xr:uid="{9D33B593-993E-426F-A324-D88C62769CDC}"/>
    <cellStyle name="표준 86 2 2 2 2 2 2 2 4 4" xfId="3899" xr:uid="{9D33B593-993E-426F-A324-D88C62769CDC}"/>
    <cellStyle name="표준 86 2 2 2 2 2 2 2 5" xfId="2530" xr:uid="{A8E049F1-1397-4D1D-889A-881F62E6E1DF}"/>
    <cellStyle name="표준 86 2 2 2 2 2 2 2 5 2" xfId="2878" xr:uid="{A8E049F1-1397-4D1D-889A-881F62E6E1DF}"/>
    <cellStyle name="표준 86 2 2 2 2 2 2 2 5 2 2" xfId="3574" xr:uid="{A8E049F1-1397-4D1D-889A-881F62E6E1DF}"/>
    <cellStyle name="표준 86 2 2 2 2 2 2 2 5 2 3" xfId="4269" xr:uid="{A8E049F1-1397-4D1D-889A-881F62E6E1DF}"/>
    <cellStyle name="표준 86 2 2 2 2 2 2 2 5 3" xfId="3226" xr:uid="{A8E049F1-1397-4D1D-889A-881F62E6E1DF}"/>
    <cellStyle name="표준 86 2 2 2 2 2 2 2 5 4" xfId="3921" xr:uid="{A8E049F1-1397-4D1D-889A-881F62E6E1DF}"/>
    <cellStyle name="표준 86 2 2 2 2 2 2 2 6" xfId="2551" xr:uid="{E246A2BD-FD18-4C4D-964E-DA4CD00F3F28}"/>
    <cellStyle name="표준 86 2 2 2 2 2 2 2 6 2" xfId="2899" xr:uid="{E246A2BD-FD18-4C4D-964E-DA4CD00F3F28}"/>
    <cellStyle name="표준 86 2 2 2 2 2 2 2 6 2 2" xfId="3595" xr:uid="{E246A2BD-FD18-4C4D-964E-DA4CD00F3F28}"/>
    <cellStyle name="표준 86 2 2 2 2 2 2 2 6 2 3" xfId="4290" xr:uid="{E246A2BD-FD18-4C4D-964E-DA4CD00F3F28}"/>
    <cellStyle name="표준 86 2 2 2 2 2 2 2 6 3" xfId="3247" xr:uid="{E246A2BD-FD18-4C4D-964E-DA4CD00F3F28}"/>
    <cellStyle name="표준 86 2 2 2 2 2 2 2 6 4" xfId="3942" xr:uid="{E246A2BD-FD18-4C4D-964E-DA4CD00F3F28}"/>
    <cellStyle name="표준 86 2 2 2 2 2 2 2 7" xfId="2572" xr:uid="{E9555EA3-1DE6-4523-AC57-442771818F51}"/>
    <cellStyle name="표준 86 2 2 2 2 2 2 2 7 2" xfId="2920" xr:uid="{E9555EA3-1DE6-4523-AC57-442771818F51}"/>
    <cellStyle name="표준 86 2 2 2 2 2 2 2 7 2 2" xfId="3616" xr:uid="{E9555EA3-1DE6-4523-AC57-442771818F51}"/>
    <cellStyle name="표준 86 2 2 2 2 2 2 2 7 2 3" xfId="4311" xr:uid="{E9555EA3-1DE6-4523-AC57-442771818F51}"/>
    <cellStyle name="표준 86 2 2 2 2 2 2 2 7 3" xfId="3268" xr:uid="{E9555EA3-1DE6-4523-AC57-442771818F51}"/>
    <cellStyle name="표준 86 2 2 2 2 2 2 2 7 4" xfId="3963" xr:uid="{E9555EA3-1DE6-4523-AC57-442771818F51}"/>
    <cellStyle name="표준 86 2 2 2 2 2 2 2 8" xfId="2592" xr:uid="{48E0CEAD-52C7-44F2-BAEB-CB2CFB12B871}"/>
    <cellStyle name="표준 86 2 2 2 2 2 2 2 8 2" xfId="2940" xr:uid="{48E0CEAD-52C7-44F2-BAEB-CB2CFB12B871}"/>
    <cellStyle name="표준 86 2 2 2 2 2 2 2 8 2 2" xfId="3636" xr:uid="{48E0CEAD-52C7-44F2-BAEB-CB2CFB12B871}"/>
    <cellStyle name="표준 86 2 2 2 2 2 2 2 8 2 3" xfId="4331" xr:uid="{48E0CEAD-52C7-44F2-BAEB-CB2CFB12B871}"/>
    <cellStyle name="표준 86 2 2 2 2 2 2 2 8 3" xfId="3288" xr:uid="{48E0CEAD-52C7-44F2-BAEB-CB2CFB12B871}"/>
    <cellStyle name="표준 86 2 2 2 2 2 2 2 8 4" xfId="3983" xr:uid="{48E0CEAD-52C7-44F2-BAEB-CB2CFB12B871}"/>
    <cellStyle name="표준 86 2 2 2 2 2 2 2 9" xfId="2611" xr:uid="{B0AA1B38-FC07-4FB2-9151-11107D81C1A4}"/>
    <cellStyle name="표준 86 2 2 2 2 2 2 2 9 2" xfId="2959" xr:uid="{B0AA1B38-FC07-4FB2-9151-11107D81C1A4}"/>
    <cellStyle name="표준 86 2 2 2 2 2 2 2 9 2 2" xfId="3655" xr:uid="{B0AA1B38-FC07-4FB2-9151-11107D81C1A4}"/>
    <cellStyle name="표준 86 2 2 2 2 2 2 2 9 2 3" xfId="4350" xr:uid="{B0AA1B38-FC07-4FB2-9151-11107D81C1A4}"/>
    <cellStyle name="표준 86 2 2 2 2 2 2 2 9 3" xfId="3307" xr:uid="{B0AA1B38-FC07-4FB2-9151-11107D81C1A4}"/>
    <cellStyle name="표준 86 2 2 2 2 2 2 2 9 4" xfId="4002" xr:uid="{B0AA1B38-FC07-4FB2-9151-11107D81C1A4}"/>
    <cellStyle name="표준 86 2 2 2 2 2 2 3" xfId="2774" xr:uid="{B73A3905-491D-48FF-AE18-E485145E02D8}"/>
    <cellStyle name="표준 86 2 2 2 2 2 2 3 2" xfId="3470" xr:uid="{B73A3905-491D-48FF-AE18-E485145E02D8}"/>
    <cellStyle name="표준 86 2 2 2 2 2 2 3 3" xfId="4165" xr:uid="{B73A3905-491D-48FF-AE18-E485145E02D8}"/>
    <cellStyle name="표준 86 2 2 2 2 2 2 4" xfId="3122" xr:uid="{B73A3905-491D-48FF-AE18-E485145E02D8}"/>
    <cellStyle name="표준 86 2 2 2 2 2 2 5" xfId="3817" xr:uid="{B73A3905-491D-48FF-AE18-E485145E02D8}"/>
    <cellStyle name="표준 86 2 2 2 2 2 3" xfId="2754" xr:uid="{34B056ED-BF3B-4DC4-BB98-D4117606500E}"/>
    <cellStyle name="표준 86 2 2 2 2 2 3 2" xfId="3450" xr:uid="{34B056ED-BF3B-4DC4-BB98-D4117606500E}"/>
    <cellStyle name="표준 86 2 2 2 2 2 3 3" xfId="4145" xr:uid="{34B056ED-BF3B-4DC4-BB98-D4117606500E}"/>
    <cellStyle name="표준 86 2 2 2 2 2 4" xfId="3102" xr:uid="{34B056ED-BF3B-4DC4-BB98-D4117606500E}"/>
    <cellStyle name="표준 86 2 2 2 2 2 5" xfId="3797" xr:uid="{34B056ED-BF3B-4DC4-BB98-D4117606500E}"/>
    <cellStyle name="표준 86 2 2 2 2 3" xfId="2734" xr:uid="{17F02BE5-EE0B-46BF-9DEB-B770FBE17D70}"/>
    <cellStyle name="표준 86 2 2 2 2 3 2" xfId="3430" xr:uid="{17F02BE5-EE0B-46BF-9DEB-B770FBE17D70}"/>
    <cellStyle name="표준 86 2 2 2 2 3 3" xfId="4125" xr:uid="{17F02BE5-EE0B-46BF-9DEB-B770FBE17D70}"/>
    <cellStyle name="표준 86 2 2 2 2 4" xfId="3082" xr:uid="{17F02BE5-EE0B-46BF-9DEB-B770FBE17D70}"/>
    <cellStyle name="표준 86 2 2 2 2 5" xfId="3777" xr:uid="{17F02BE5-EE0B-46BF-9DEB-B770FBE17D70}"/>
    <cellStyle name="표준 86 2 2 2 3" xfId="2714" xr:uid="{02DA92E9-5C2D-4F9A-BA78-9D99AE8554A3}"/>
    <cellStyle name="표준 86 2 2 2 3 2" xfId="3410" xr:uid="{02DA92E9-5C2D-4F9A-BA78-9D99AE8554A3}"/>
    <cellStyle name="표준 86 2 2 2 3 3" xfId="4105" xr:uid="{02DA92E9-5C2D-4F9A-BA78-9D99AE8554A3}"/>
    <cellStyle name="표준 86 2 2 2 4" xfId="3062" xr:uid="{02DA92E9-5C2D-4F9A-BA78-9D99AE8554A3}"/>
    <cellStyle name="표준 86 2 2 2 5" xfId="3757" xr:uid="{02DA92E9-5C2D-4F9A-BA78-9D99AE8554A3}"/>
    <cellStyle name="표준 86 2 2 3" xfId="2694" xr:uid="{29AE7853-C8C0-4D7E-B1A9-A6D549C110A6}"/>
    <cellStyle name="표준 86 2 2 3 2" xfId="3390" xr:uid="{29AE7853-C8C0-4D7E-B1A9-A6D549C110A6}"/>
    <cellStyle name="표준 86 2 2 3 3" xfId="4085" xr:uid="{29AE7853-C8C0-4D7E-B1A9-A6D549C110A6}"/>
    <cellStyle name="표준 86 2 2 4" xfId="3042" xr:uid="{29AE7853-C8C0-4D7E-B1A9-A6D549C110A6}"/>
    <cellStyle name="표준 86 2 2 5" xfId="3737" xr:uid="{29AE7853-C8C0-4D7E-B1A9-A6D549C110A6}"/>
    <cellStyle name="표준 86 2 3" xfId="2673" xr:uid="{104F3D13-B7AB-4C1F-A45A-19771D29EBD0}"/>
    <cellStyle name="표준 86 2 3 2" xfId="3369" xr:uid="{104F3D13-B7AB-4C1F-A45A-19771D29EBD0}"/>
    <cellStyle name="표준 86 2 3 3" xfId="4064" xr:uid="{104F3D13-B7AB-4C1F-A45A-19771D29EBD0}"/>
    <cellStyle name="표준 86 2 4" xfId="3021" xr:uid="{104F3D13-B7AB-4C1F-A45A-19771D29EBD0}"/>
    <cellStyle name="표준 86 2 5" xfId="3716" xr:uid="{104F3D13-B7AB-4C1F-A45A-19771D29EBD0}"/>
    <cellStyle name="표준 86 3" xfId="2650" xr:uid="{00000000-0005-0000-0000-0000FD080000}"/>
    <cellStyle name="표준 86 3 2" xfId="3346" xr:uid="{00000000-0005-0000-0000-0000FD080000}"/>
    <cellStyle name="표준 86 3 3" xfId="4041" xr:uid="{00000000-0005-0000-0000-0000FD080000}"/>
    <cellStyle name="표준 86 4" xfId="2998" xr:uid="{00000000-0005-0000-0000-0000FD080000}"/>
    <cellStyle name="표준 86 5" xfId="3693" xr:uid="{00000000-0005-0000-0000-0000FD080000}"/>
    <cellStyle name="표준 87" xfId="2298" xr:uid="{00000000-0005-0000-0000-0000FE080000}"/>
    <cellStyle name="표준 87 2" xfId="2326" xr:uid="{1AE0D053-90E7-415B-A252-4CEC71C1FE50}"/>
    <cellStyle name="표준 87 2 2" xfId="2347" xr:uid="{8D602932-F7B5-4D21-A609-4E5AE0F79703}"/>
    <cellStyle name="표준 87 2 2 2" xfId="2367" xr:uid="{2215502A-7ED5-4352-837A-9C24D49B01FD}"/>
    <cellStyle name="표준 87 2 2 2 2" xfId="2387" xr:uid="{CF477F59-3EC3-4C6E-8065-96555D5C5E8F}"/>
    <cellStyle name="표준 87 2 2 2 2 2" xfId="2407" xr:uid="{A5FB1CCA-EE21-4287-B022-59D6AD753329}"/>
    <cellStyle name="표준 87 2 2 2 2 2 2" xfId="2427" xr:uid="{6584DB71-783D-4DA9-83EE-28E7F0C8A8CA}"/>
    <cellStyle name="표준 87 2 2 2 2 2 2 2" xfId="2447" xr:uid="{BDAE79F3-2DF6-43EF-A65E-25ED51B7B4C4}"/>
    <cellStyle name="표준 87 2 2 2 2 2 2 2 10" xfId="3838" xr:uid="{BDAE79F3-2DF6-43EF-A65E-25ED51B7B4C4}"/>
    <cellStyle name="표준 87 2 2 2 2 2 2 2 2" xfId="2467" xr:uid="{026C9DE8-2031-4062-87EF-A97423057C9E}"/>
    <cellStyle name="표준 87 2 2 2 2 2 2 2 2 2" xfId="2815" xr:uid="{026C9DE8-2031-4062-87EF-A97423057C9E}"/>
    <cellStyle name="표준 87 2 2 2 2 2 2 2 2 2 2" xfId="3511" xr:uid="{026C9DE8-2031-4062-87EF-A97423057C9E}"/>
    <cellStyle name="표준 87 2 2 2 2 2 2 2 2 2 3" xfId="4206" xr:uid="{026C9DE8-2031-4062-87EF-A97423057C9E}"/>
    <cellStyle name="표준 87 2 2 2 2 2 2 2 2 3" xfId="3163" xr:uid="{026C9DE8-2031-4062-87EF-A97423057C9E}"/>
    <cellStyle name="표준 87 2 2 2 2 2 2 2 2 4" xfId="3858" xr:uid="{026C9DE8-2031-4062-87EF-A97423057C9E}"/>
    <cellStyle name="표준 87 2 2 2 2 2 2 2 3" xfId="2487" xr:uid="{AF21D3E9-69D1-4489-8AC6-EA56B03392C2}"/>
    <cellStyle name="표준 87 2 2 2 2 2 2 2 3 2" xfId="2835" xr:uid="{AF21D3E9-69D1-4489-8AC6-EA56B03392C2}"/>
    <cellStyle name="표준 87 2 2 2 2 2 2 2 3 2 2" xfId="3531" xr:uid="{AF21D3E9-69D1-4489-8AC6-EA56B03392C2}"/>
    <cellStyle name="표준 87 2 2 2 2 2 2 2 3 2 3" xfId="4226" xr:uid="{AF21D3E9-69D1-4489-8AC6-EA56B03392C2}"/>
    <cellStyle name="표준 87 2 2 2 2 2 2 2 3 3" xfId="3183" xr:uid="{AF21D3E9-69D1-4489-8AC6-EA56B03392C2}"/>
    <cellStyle name="표준 87 2 2 2 2 2 2 2 3 4" xfId="3878" xr:uid="{AF21D3E9-69D1-4489-8AC6-EA56B03392C2}"/>
    <cellStyle name="표준 87 2 2 2 2 2 2 2 4" xfId="2509" xr:uid="{5622487D-7232-4887-8C1A-87CFBFBA7D11}"/>
    <cellStyle name="표준 87 2 2 2 2 2 2 2 4 2" xfId="2857" xr:uid="{5622487D-7232-4887-8C1A-87CFBFBA7D11}"/>
    <cellStyle name="표준 87 2 2 2 2 2 2 2 4 2 2" xfId="3553" xr:uid="{5622487D-7232-4887-8C1A-87CFBFBA7D11}"/>
    <cellStyle name="표준 87 2 2 2 2 2 2 2 4 2 3" xfId="4248" xr:uid="{5622487D-7232-4887-8C1A-87CFBFBA7D11}"/>
    <cellStyle name="표준 87 2 2 2 2 2 2 2 4 3" xfId="3205" xr:uid="{5622487D-7232-4887-8C1A-87CFBFBA7D11}"/>
    <cellStyle name="표준 87 2 2 2 2 2 2 2 4 4" xfId="3900" xr:uid="{5622487D-7232-4887-8C1A-87CFBFBA7D11}"/>
    <cellStyle name="표준 87 2 2 2 2 2 2 2 5" xfId="2529" xr:uid="{EDD7A574-22C7-4F6E-BD47-698AC35ECB94}"/>
    <cellStyle name="표준 87 2 2 2 2 2 2 2 5 2" xfId="2877" xr:uid="{EDD7A574-22C7-4F6E-BD47-698AC35ECB94}"/>
    <cellStyle name="표준 87 2 2 2 2 2 2 2 5 2 2" xfId="3573" xr:uid="{EDD7A574-22C7-4F6E-BD47-698AC35ECB94}"/>
    <cellStyle name="표준 87 2 2 2 2 2 2 2 5 2 3" xfId="4268" xr:uid="{EDD7A574-22C7-4F6E-BD47-698AC35ECB94}"/>
    <cellStyle name="표준 87 2 2 2 2 2 2 2 5 3" xfId="3225" xr:uid="{EDD7A574-22C7-4F6E-BD47-698AC35ECB94}"/>
    <cellStyle name="표준 87 2 2 2 2 2 2 2 5 4" xfId="3920" xr:uid="{EDD7A574-22C7-4F6E-BD47-698AC35ECB94}"/>
    <cellStyle name="표준 87 2 2 2 2 2 2 2 6" xfId="2550" xr:uid="{962C7A9E-D472-4945-AABA-81EDED51D28C}"/>
    <cellStyle name="표준 87 2 2 2 2 2 2 2 6 2" xfId="2898" xr:uid="{962C7A9E-D472-4945-AABA-81EDED51D28C}"/>
    <cellStyle name="표준 87 2 2 2 2 2 2 2 6 2 2" xfId="3594" xr:uid="{962C7A9E-D472-4945-AABA-81EDED51D28C}"/>
    <cellStyle name="표준 87 2 2 2 2 2 2 2 6 2 3" xfId="4289" xr:uid="{962C7A9E-D472-4945-AABA-81EDED51D28C}"/>
    <cellStyle name="표준 87 2 2 2 2 2 2 2 6 3" xfId="3246" xr:uid="{962C7A9E-D472-4945-AABA-81EDED51D28C}"/>
    <cellStyle name="표준 87 2 2 2 2 2 2 2 6 4" xfId="3941" xr:uid="{962C7A9E-D472-4945-AABA-81EDED51D28C}"/>
    <cellStyle name="표준 87 2 2 2 2 2 2 2 7" xfId="2571" xr:uid="{298FD592-EA43-48D5-8198-94E5BBC22133}"/>
    <cellStyle name="표준 87 2 2 2 2 2 2 2 7 2" xfId="2919" xr:uid="{298FD592-EA43-48D5-8198-94E5BBC22133}"/>
    <cellStyle name="표준 87 2 2 2 2 2 2 2 7 2 2" xfId="3615" xr:uid="{298FD592-EA43-48D5-8198-94E5BBC22133}"/>
    <cellStyle name="표준 87 2 2 2 2 2 2 2 7 2 3" xfId="4310" xr:uid="{298FD592-EA43-48D5-8198-94E5BBC22133}"/>
    <cellStyle name="표준 87 2 2 2 2 2 2 2 7 3" xfId="3267" xr:uid="{298FD592-EA43-48D5-8198-94E5BBC22133}"/>
    <cellStyle name="표준 87 2 2 2 2 2 2 2 7 4" xfId="3962" xr:uid="{298FD592-EA43-48D5-8198-94E5BBC22133}"/>
    <cellStyle name="표준 87 2 2 2 2 2 2 2 8" xfId="2795" xr:uid="{BDAE79F3-2DF6-43EF-A65E-25ED51B7B4C4}"/>
    <cellStyle name="표준 87 2 2 2 2 2 2 2 8 2" xfId="3491" xr:uid="{BDAE79F3-2DF6-43EF-A65E-25ED51B7B4C4}"/>
    <cellStyle name="표준 87 2 2 2 2 2 2 2 8 3" xfId="4186" xr:uid="{BDAE79F3-2DF6-43EF-A65E-25ED51B7B4C4}"/>
    <cellStyle name="표준 87 2 2 2 2 2 2 2 9" xfId="3143" xr:uid="{BDAE79F3-2DF6-43EF-A65E-25ED51B7B4C4}"/>
    <cellStyle name="표준 87 2 2 2 2 2 2 3" xfId="2775" xr:uid="{6584DB71-783D-4DA9-83EE-28E7F0C8A8CA}"/>
    <cellStyle name="표준 87 2 2 2 2 2 2 3 2" xfId="3471" xr:uid="{6584DB71-783D-4DA9-83EE-28E7F0C8A8CA}"/>
    <cellStyle name="표준 87 2 2 2 2 2 2 3 3" xfId="4166" xr:uid="{6584DB71-783D-4DA9-83EE-28E7F0C8A8CA}"/>
    <cellStyle name="표준 87 2 2 2 2 2 2 4" xfId="3123" xr:uid="{6584DB71-783D-4DA9-83EE-28E7F0C8A8CA}"/>
    <cellStyle name="표준 87 2 2 2 2 2 2 5" xfId="3818" xr:uid="{6584DB71-783D-4DA9-83EE-28E7F0C8A8CA}"/>
    <cellStyle name="표준 87 2 2 2 2 2 3" xfId="2755" xr:uid="{A5FB1CCA-EE21-4287-B022-59D6AD753329}"/>
    <cellStyle name="표준 87 2 2 2 2 2 3 2" xfId="3451" xr:uid="{A5FB1CCA-EE21-4287-B022-59D6AD753329}"/>
    <cellStyle name="표준 87 2 2 2 2 2 3 3" xfId="4146" xr:uid="{A5FB1CCA-EE21-4287-B022-59D6AD753329}"/>
    <cellStyle name="표준 87 2 2 2 2 2 4" xfId="3103" xr:uid="{A5FB1CCA-EE21-4287-B022-59D6AD753329}"/>
    <cellStyle name="표준 87 2 2 2 2 2 5" xfId="3798" xr:uid="{A5FB1CCA-EE21-4287-B022-59D6AD753329}"/>
    <cellStyle name="표준 87 2 2 2 2 3" xfId="2735" xr:uid="{CF477F59-3EC3-4C6E-8065-96555D5C5E8F}"/>
    <cellStyle name="표준 87 2 2 2 2 3 2" xfId="3431" xr:uid="{CF477F59-3EC3-4C6E-8065-96555D5C5E8F}"/>
    <cellStyle name="표준 87 2 2 2 2 3 3" xfId="4126" xr:uid="{CF477F59-3EC3-4C6E-8065-96555D5C5E8F}"/>
    <cellStyle name="표준 87 2 2 2 2 4" xfId="3083" xr:uid="{CF477F59-3EC3-4C6E-8065-96555D5C5E8F}"/>
    <cellStyle name="표준 87 2 2 2 2 5" xfId="3778" xr:uid="{CF477F59-3EC3-4C6E-8065-96555D5C5E8F}"/>
    <cellStyle name="표준 87 2 2 2 3" xfId="2715" xr:uid="{2215502A-7ED5-4352-837A-9C24D49B01FD}"/>
    <cellStyle name="표준 87 2 2 2 3 2" xfId="3411" xr:uid="{2215502A-7ED5-4352-837A-9C24D49B01FD}"/>
    <cellStyle name="표준 87 2 2 2 3 3" xfId="4106" xr:uid="{2215502A-7ED5-4352-837A-9C24D49B01FD}"/>
    <cellStyle name="표준 87 2 2 2 4" xfId="3063" xr:uid="{2215502A-7ED5-4352-837A-9C24D49B01FD}"/>
    <cellStyle name="표준 87 2 2 2 5" xfId="3758" xr:uid="{2215502A-7ED5-4352-837A-9C24D49B01FD}"/>
    <cellStyle name="표준 87 2 2 3" xfId="2695" xr:uid="{8D602932-F7B5-4D21-A609-4E5AE0F79703}"/>
    <cellStyle name="표준 87 2 2 3 2" xfId="3391" xr:uid="{8D602932-F7B5-4D21-A609-4E5AE0F79703}"/>
    <cellStyle name="표준 87 2 2 3 3" xfId="4086" xr:uid="{8D602932-F7B5-4D21-A609-4E5AE0F79703}"/>
    <cellStyle name="표준 87 2 2 4" xfId="3043" xr:uid="{8D602932-F7B5-4D21-A609-4E5AE0F79703}"/>
    <cellStyle name="표준 87 2 2 5" xfId="3738" xr:uid="{8D602932-F7B5-4D21-A609-4E5AE0F79703}"/>
    <cellStyle name="표준 87 2 3" xfId="2674" xr:uid="{1AE0D053-90E7-415B-A252-4CEC71C1FE50}"/>
    <cellStyle name="표준 87 2 3 2" xfId="3370" xr:uid="{1AE0D053-90E7-415B-A252-4CEC71C1FE50}"/>
    <cellStyle name="표준 87 2 3 3" xfId="4065" xr:uid="{1AE0D053-90E7-415B-A252-4CEC71C1FE50}"/>
    <cellStyle name="표준 87 2 4" xfId="3022" xr:uid="{1AE0D053-90E7-415B-A252-4CEC71C1FE50}"/>
    <cellStyle name="표준 87 2 5" xfId="3717" xr:uid="{1AE0D053-90E7-415B-A252-4CEC71C1FE50}"/>
    <cellStyle name="표준 87 3" xfId="2651" xr:uid="{00000000-0005-0000-0000-0000FE080000}"/>
    <cellStyle name="표준 87 3 2" xfId="3347" xr:uid="{00000000-0005-0000-0000-0000FE080000}"/>
    <cellStyle name="표준 87 3 3" xfId="4042" xr:uid="{00000000-0005-0000-0000-0000FE080000}"/>
    <cellStyle name="표준 87 4" xfId="2999" xr:uid="{00000000-0005-0000-0000-0000FE080000}"/>
    <cellStyle name="표준 87 5" xfId="3694" xr:uid="{00000000-0005-0000-0000-0000FE080000}"/>
    <cellStyle name="표준 88" xfId="2299" xr:uid="{00000000-0005-0000-0000-0000FF080000}"/>
    <cellStyle name="표준 88 2" xfId="2327" xr:uid="{4AFD7C86-4E37-4E4E-9C02-E5E6C6D6CAF3}"/>
    <cellStyle name="표준 88 2 2" xfId="2348" xr:uid="{757ABE2A-9859-4A86-B453-34CC3339EDB6}"/>
    <cellStyle name="표준 88 2 2 2" xfId="2368" xr:uid="{20E6BF05-0658-4FFA-80F0-5CF1DE4D46DF}"/>
    <cellStyle name="표준 88 2 2 2 2" xfId="2388" xr:uid="{8949440C-267C-4D83-A666-A430334FB926}"/>
    <cellStyle name="표준 88 2 2 2 2 2" xfId="2408" xr:uid="{AA4179B7-BB68-445E-AC2C-C9E5F0C02951}"/>
    <cellStyle name="표준 88 2 2 2 2 2 2" xfId="2428" xr:uid="{6EFEDCA2-5D1C-4972-BCC1-5DF8235E4C31}"/>
    <cellStyle name="표준 88 2 2 2 2 2 2 2" xfId="2448" xr:uid="{E09475E5-1DA6-439D-AC54-B8344E5A4F7A}"/>
    <cellStyle name="표준 88 2 2 2 2 2 2 2 10" xfId="2796" xr:uid="{E09475E5-1DA6-439D-AC54-B8344E5A4F7A}"/>
    <cellStyle name="표준 88 2 2 2 2 2 2 2 10 2" xfId="3492" xr:uid="{E09475E5-1DA6-439D-AC54-B8344E5A4F7A}"/>
    <cellStyle name="표준 88 2 2 2 2 2 2 2 10 3" xfId="4187" xr:uid="{E09475E5-1DA6-439D-AC54-B8344E5A4F7A}"/>
    <cellStyle name="표준 88 2 2 2 2 2 2 2 11" xfId="3144" xr:uid="{E09475E5-1DA6-439D-AC54-B8344E5A4F7A}"/>
    <cellStyle name="표준 88 2 2 2 2 2 2 2 12" xfId="3839" xr:uid="{E09475E5-1DA6-439D-AC54-B8344E5A4F7A}"/>
    <cellStyle name="표준 88 2 2 2 2 2 2 2 2" xfId="2468" xr:uid="{212FA3DE-A86C-4FF0-8824-FC2245BF475E}"/>
    <cellStyle name="표준 88 2 2 2 2 2 2 2 2 2" xfId="2816" xr:uid="{212FA3DE-A86C-4FF0-8824-FC2245BF475E}"/>
    <cellStyle name="표준 88 2 2 2 2 2 2 2 2 2 2" xfId="3512" xr:uid="{212FA3DE-A86C-4FF0-8824-FC2245BF475E}"/>
    <cellStyle name="표준 88 2 2 2 2 2 2 2 2 2 3" xfId="4207" xr:uid="{212FA3DE-A86C-4FF0-8824-FC2245BF475E}"/>
    <cellStyle name="표준 88 2 2 2 2 2 2 2 2 3" xfId="3164" xr:uid="{212FA3DE-A86C-4FF0-8824-FC2245BF475E}"/>
    <cellStyle name="표준 88 2 2 2 2 2 2 2 2 4" xfId="3859" xr:uid="{212FA3DE-A86C-4FF0-8824-FC2245BF475E}"/>
    <cellStyle name="표준 88 2 2 2 2 2 2 2 3" xfId="2488" xr:uid="{E6643B91-41BA-471E-9C36-ED917BF1A93B}"/>
    <cellStyle name="표준 88 2 2 2 2 2 2 2 3 2" xfId="2836" xr:uid="{E6643B91-41BA-471E-9C36-ED917BF1A93B}"/>
    <cellStyle name="표준 88 2 2 2 2 2 2 2 3 2 2" xfId="3532" xr:uid="{E6643B91-41BA-471E-9C36-ED917BF1A93B}"/>
    <cellStyle name="표준 88 2 2 2 2 2 2 2 3 2 3" xfId="4227" xr:uid="{E6643B91-41BA-471E-9C36-ED917BF1A93B}"/>
    <cellStyle name="표준 88 2 2 2 2 2 2 2 3 3" xfId="3184" xr:uid="{E6643B91-41BA-471E-9C36-ED917BF1A93B}"/>
    <cellStyle name="표준 88 2 2 2 2 2 2 2 3 4" xfId="3879" xr:uid="{E6643B91-41BA-471E-9C36-ED917BF1A93B}"/>
    <cellStyle name="표준 88 2 2 2 2 2 2 2 4" xfId="2510" xr:uid="{D2791BA8-F2C5-475D-B15F-7DC0C34044AC}"/>
    <cellStyle name="표준 88 2 2 2 2 2 2 2 4 2" xfId="2858" xr:uid="{D2791BA8-F2C5-475D-B15F-7DC0C34044AC}"/>
    <cellStyle name="표준 88 2 2 2 2 2 2 2 4 2 2" xfId="3554" xr:uid="{D2791BA8-F2C5-475D-B15F-7DC0C34044AC}"/>
    <cellStyle name="표준 88 2 2 2 2 2 2 2 4 2 3" xfId="4249" xr:uid="{D2791BA8-F2C5-475D-B15F-7DC0C34044AC}"/>
    <cellStyle name="표준 88 2 2 2 2 2 2 2 4 3" xfId="3206" xr:uid="{D2791BA8-F2C5-475D-B15F-7DC0C34044AC}"/>
    <cellStyle name="표준 88 2 2 2 2 2 2 2 4 4" xfId="3901" xr:uid="{D2791BA8-F2C5-475D-B15F-7DC0C34044AC}"/>
    <cellStyle name="표준 88 2 2 2 2 2 2 2 5" xfId="2528" xr:uid="{9BADF2FE-15C5-4389-A625-C6F31CB15810}"/>
    <cellStyle name="표준 88 2 2 2 2 2 2 2 5 2" xfId="2876" xr:uid="{9BADF2FE-15C5-4389-A625-C6F31CB15810}"/>
    <cellStyle name="표준 88 2 2 2 2 2 2 2 5 2 2" xfId="3572" xr:uid="{9BADF2FE-15C5-4389-A625-C6F31CB15810}"/>
    <cellStyle name="표준 88 2 2 2 2 2 2 2 5 2 3" xfId="4267" xr:uid="{9BADF2FE-15C5-4389-A625-C6F31CB15810}"/>
    <cellStyle name="표준 88 2 2 2 2 2 2 2 5 3" xfId="3224" xr:uid="{9BADF2FE-15C5-4389-A625-C6F31CB15810}"/>
    <cellStyle name="표준 88 2 2 2 2 2 2 2 5 4" xfId="3919" xr:uid="{9BADF2FE-15C5-4389-A625-C6F31CB15810}"/>
    <cellStyle name="표준 88 2 2 2 2 2 2 2 6" xfId="2549" xr:uid="{D1D8389F-5182-4BF1-9874-A7294D314B37}"/>
    <cellStyle name="표준 88 2 2 2 2 2 2 2 6 2" xfId="2897" xr:uid="{D1D8389F-5182-4BF1-9874-A7294D314B37}"/>
    <cellStyle name="표준 88 2 2 2 2 2 2 2 6 2 2" xfId="3593" xr:uid="{D1D8389F-5182-4BF1-9874-A7294D314B37}"/>
    <cellStyle name="표준 88 2 2 2 2 2 2 2 6 2 3" xfId="4288" xr:uid="{D1D8389F-5182-4BF1-9874-A7294D314B37}"/>
    <cellStyle name="표준 88 2 2 2 2 2 2 2 6 3" xfId="3245" xr:uid="{D1D8389F-5182-4BF1-9874-A7294D314B37}"/>
    <cellStyle name="표준 88 2 2 2 2 2 2 2 6 4" xfId="3940" xr:uid="{D1D8389F-5182-4BF1-9874-A7294D314B37}"/>
    <cellStyle name="표준 88 2 2 2 2 2 2 2 7" xfId="2570" xr:uid="{DF5FD9BC-685E-4703-95BB-2B8A0439FA29}"/>
    <cellStyle name="표준 88 2 2 2 2 2 2 2 7 2" xfId="2918" xr:uid="{DF5FD9BC-685E-4703-95BB-2B8A0439FA29}"/>
    <cellStyle name="표준 88 2 2 2 2 2 2 2 7 2 2" xfId="3614" xr:uid="{DF5FD9BC-685E-4703-95BB-2B8A0439FA29}"/>
    <cellStyle name="표준 88 2 2 2 2 2 2 2 7 2 3" xfId="4309" xr:uid="{DF5FD9BC-685E-4703-95BB-2B8A0439FA29}"/>
    <cellStyle name="표준 88 2 2 2 2 2 2 2 7 3" xfId="3266" xr:uid="{DF5FD9BC-685E-4703-95BB-2B8A0439FA29}"/>
    <cellStyle name="표준 88 2 2 2 2 2 2 2 7 4" xfId="3961" xr:uid="{DF5FD9BC-685E-4703-95BB-2B8A0439FA29}"/>
    <cellStyle name="표준 88 2 2 2 2 2 2 2 8" xfId="2591" xr:uid="{F0CFDF70-E1EA-4B25-AD39-995E8D4893BE}"/>
    <cellStyle name="표준 88 2 2 2 2 2 2 2 8 2" xfId="2939" xr:uid="{F0CFDF70-E1EA-4B25-AD39-995E8D4893BE}"/>
    <cellStyle name="표준 88 2 2 2 2 2 2 2 8 2 2" xfId="3635" xr:uid="{F0CFDF70-E1EA-4B25-AD39-995E8D4893BE}"/>
    <cellStyle name="표준 88 2 2 2 2 2 2 2 8 2 3" xfId="4330" xr:uid="{F0CFDF70-E1EA-4B25-AD39-995E8D4893BE}"/>
    <cellStyle name="표준 88 2 2 2 2 2 2 2 8 3" xfId="3287" xr:uid="{F0CFDF70-E1EA-4B25-AD39-995E8D4893BE}"/>
    <cellStyle name="표준 88 2 2 2 2 2 2 2 8 4" xfId="3982" xr:uid="{F0CFDF70-E1EA-4B25-AD39-995E8D4893BE}"/>
    <cellStyle name="표준 88 2 2 2 2 2 2 2 9" xfId="2612" xr:uid="{9A2C4207-EA60-4BAB-A296-E121BC46E211}"/>
    <cellStyle name="표준 88 2 2 2 2 2 2 2 9 2" xfId="2960" xr:uid="{9A2C4207-EA60-4BAB-A296-E121BC46E211}"/>
    <cellStyle name="표준 88 2 2 2 2 2 2 2 9 2 2" xfId="3656" xr:uid="{9A2C4207-EA60-4BAB-A296-E121BC46E211}"/>
    <cellStyle name="표준 88 2 2 2 2 2 2 2 9 2 3" xfId="4351" xr:uid="{9A2C4207-EA60-4BAB-A296-E121BC46E211}"/>
    <cellStyle name="표준 88 2 2 2 2 2 2 2 9 3" xfId="3308" xr:uid="{9A2C4207-EA60-4BAB-A296-E121BC46E211}"/>
    <cellStyle name="표준 88 2 2 2 2 2 2 2 9 4" xfId="4003" xr:uid="{9A2C4207-EA60-4BAB-A296-E121BC46E211}"/>
    <cellStyle name="표준 88 2 2 2 2 2 2 3" xfId="2776" xr:uid="{6EFEDCA2-5D1C-4972-BCC1-5DF8235E4C31}"/>
    <cellStyle name="표준 88 2 2 2 2 2 2 3 2" xfId="3472" xr:uid="{6EFEDCA2-5D1C-4972-BCC1-5DF8235E4C31}"/>
    <cellStyle name="표준 88 2 2 2 2 2 2 3 3" xfId="4167" xr:uid="{6EFEDCA2-5D1C-4972-BCC1-5DF8235E4C31}"/>
    <cellStyle name="표준 88 2 2 2 2 2 2 4" xfId="3124" xr:uid="{6EFEDCA2-5D1C-4972-BCC1-5DF8235E4C31}"/>
    <cellStyle name="표준 88 2 2 2 2 2 2 5" xfId="3819" xr:uid="{6EFEDCA2-5D1C-4972-BCC1-5DF8235E4C31}"/>
    <cellStyle name="표준 88 2 2 2 2 2 3" xfId="2756" xr:uid="{AA4179B7-BB68-445E-AC2C-C9E5F0C02951}"/>
    <cellStyle name="표준 88 2 2 2 2 2 3 2" xfId="3452" xr:uid="{AA4179B7-BB68-445E-AC2C-C9E5F0C02951}"/>
    <cellStyle name="표준 88 2 2 2 2 2 3 3" xfId="4147" xr:uid="{AA4179B7-BB68-445E-AC2C-C9E5F0C02951}"/>
    <cellStyle name="표준 88 2 2 2 2 2 4" xfId="3104" xr:uid="{AA4179B7-BB68-445E-AC2C-C9E5F0C02951}"/>
    <cellStyle name="표준 88 2 2 2 2 2 5" xfId="3799" xr:uid="{AA4179B7-BB68-445E-AC2C-C9E5F0C02951}"/>
    <cellStyle name="표준 88 2 2 2 2 3" xfId="2736" xr:uid="{8949440C-267C-4D83-A666-A430334FB926}"/>
    <cellStyle name="표준 88 2 2 2 2 3 2" xfId="3432" xr:uid="{8949440C-267C-4D83-A666-A430334FB926}"/>
    <cellStyle name="표준 88 2 2 2 2 3 3" xfId="4127" xr:uid="{8949440C-267C-4D83-A666-A430334FB926}"/>
    <cellStyle name="표준 88 2 2 2 2 4" xfId="3084" xr:uid="{8949440C-267C-4D83-A666-A430334FB926}"/>
    <cellStyle name="표준 88 2 2 2 2 5" xfId="3779" xr:uid="{8949440C-267C-4D83-A666-A430334FB926}"/>
    <cellStyle name="표준 88 2 2 2 3" xfId="2716" xr:uid="{20E6BF05-0658-4FFA-80F0-5CF1DE4D46DF}"/>
    <cellStyle name="표준 88 2 2 2 3 2" xfId="3412" xr:uid="{20E6BF05-0658-4FFA-80F0-5CF1DE4D46DF}"/>
    <cellStyle name="표준 88 2 2 2 3 3" xfId="4107" xr:uid="{20E6BF05-0658-4FFA-80F0-5CF1DE4D46DF}"/>
    <cellStyle name="표준 88 2 2 2 4" xfId="3064" xr:uid="{20E6BF05-0658-4FFA-80F0-5CF1DE4D46DF}"/>
    <cellStyle name="표준 88 2 2 2 5" xfId="3759" xr:uid="{20E6BF05-0658-4FFA-80F0-5CF1DE4D46DF}"/>
    <cellStyle name="표준 88 2 2 3" xfId="2696" xr:uid="{757ABE2A-9859-4A86-B453-34CC3339EDB6}"/>
    <cellStyle name="표준 88 2 2 3 2" xfId="3392" xr:uid="{757ABE2A-9859-4A86-B453-34CC3339EDB6}"/>
    <cellStyle name="표준 88 2 2 3 3" xfId="4087" xr:uid="{757ABE2A-9859-4A86-B453-34CC3339EDB6}"/>
    <cellStyle name="표준 88 2 2 4" xfId="3044" xr:uid="{757ABE2A-9859-4A86-B453-34CC3339EDB6}"/>
    <cellStyle name="표준 88 2 2 5" xfId="3739" xr:uid="{757ABE2A-9859-4A86-B453-34CC3339EDB6}"/>
    <cellStyle name="표준 88 2 3" xfId="2675" xr:uid="{4AFD7C86-4E37-4E4E-9C02-E5E6C6D6CAF3}"/>
    <cellStyle name="표준 88 2 3 2" xfId="3371" xr:uid="{4AFD7C86-4E37-4E4E-9C02-E5E6C6D6CAF3}"/>
    <cellStyle name="표준 88 2 3 3" xfId="4066" xr:uid="{4AFD7C86-4E37-4E4E-9C02-E5E6C6D6CAF3}"/>
    <cellStyle name="표준 88 2 4" xfId="3023" xr:uid="{4AFD7C86-4E37-4E4E-9C02-E5E6C6D6CAF3}"/>
    <cellStyle name="표준 88 2 5" xfId="3718" xr:uid="{4AFD7C86-4E37-4E4E-9C02-E5E6C6D6CAF3}"/>
    <cellStyle name="표준 88 3" xfId="2652" xr:uid="{00000000-0005-0000-0000-0000FF080000}"/>
    <cellStyle name="표준 88 3 2" xfId="3348" xr:uid="{00000000-0005-0000-0000-0000FF080000}"/>
    <cellStyle name="표준 88 3 3" xfId="4043" xr:uid="{00000000-0005-0000-0000-0000FF080000}"/>
    <cellStyle name="표준 88 4" xfId="3000" xr:uid="{00000000-0005-0000-0000-0000FF080000}"/>
    <cellStyle name="표준 88 5" xfId="3695" xr:uid="{00000000-0005-0000-0000-0000FF080000}"/>
    <cellStyle name="표준 89" xfId="2300" xr:uid="{00000000-0005-0000-0000-000000090000}"/>
    <cellStyle name="표준 89 2" xfId="2653" xr:uid="{00000000-0005-0000-0000-000000090000}"/>
    <cellStyle name="표준 89 2 2" xfId="3349" xr:uid="{00000000-0005-0000-0000-000000090000}"/>
    <cellStyle name="표준 89 2 3" xfId="4044" xr:uid="{00000000-0005-0000-0000-000000090000}"/>
    <cellStyle name="표준 89 3" xfId="3001" xr:uid="{00000000-0005-0000-0000-000000090000}"/>
    <cellStyle name="표준 89 4" xfId="3696" xr:uid="{00000000-0005-0000-0000-000000090000}"/>
    <cellStyle name="표준 9" xfId="2274" xr:uid="{00000000-0005-0000-0000-0000EA080000}"/>
    <cellStyle name="표준 9 2" xfId="2275" xr:uid="{00000000-0005-0000-0000-0000EB080000}"/>
    <cellStyle name="표준 9 2 2" xfId="2276" xr:uid="{00000000-0005-0000-0000-0000EC080000}"/>
    <cellStyle name="표준 9 3" xfId="2277" xr:uid="{00000000-0005-0000-0000-0000ED080000}"/>
    <cellStyle name="표준 9 4" xfId="2278" xr:uid="{00000000-0005-0000-0000-0000EE080000}"/>
    <cellStyle name="표준 90" xfId="2301" xr:uid="{00000000-0005-0000-0000-000001090000}"/>
    <cellStyle name="표준 90 2" xfId="2654" xr:uid="{00000000-0005-0000-0000-000001090000}"/>
    <cellStyle name="표준 90 2 2" xfId="3350" xr:uid="{00000000-0005-0000-0000-000001090000}"/>
    <cellStyle name="표준 90 2 3" xfId="4045" xr:uid="{00000000-0005-0000-0000-000001090000}"/>
    <cellStyle name="표준 90 3" xfId="3002" xr:uid="{00000000-0005-0000-0000-000001090000}"/>
    <cellStyle name="표준 90 4" xfId="3697" xr:uid="{00000000-0005-0000-0000-000001090000}"/>
    <cellStyle name="표준 91" xfId="2302" xr:uid="{00000000-0005-0000-0000-000002090000}"/>
    <cellStyle name="표준 91 2" xfId="2328" xr:uid="{11337E8B-9793-428C-A72A-920E3E70AA15}"/>
    <cellStyle name="표준 91 2 2" xfId="2349" xr:uid="{0466C025-E8FE-4004-987C-A2B90DCFC92D}"/>
    <cellStyle name="표준 91 2 2 2" xfId="2369" xr:uid="{0B370E5A-A6D6-4C49-AEB8-A95B14D4A05A}"/>
    <cellStyle name="표준 91 2 2 2 2" xfId="2389" xr:uid="{C0651FBE-14EC-4AE7-B2EA-6C3572870915}"/>
    <cellStyle name="표준 91 2 2 2 2 2" xfId="2409" xr:uid="{6107B22E-F0B9-4B32-AB11-ECA860A60C4B}"/>
    <cellStyle name="표준 91 2 2 2 2 2 2" xfId="2429" xr:uid="{A8B2A5F9-A05E-4E44-A7B5-9D43E836A4F9}"/>
    <cellStyle name="표준 91 2 2 2 2 2 2 2" xfId="2449" xr:uid="{29859608-8E9A-4FC9-96B9-D13843024669}"/>
    <cellStyle name="표준 91 2 2 2 2 2 2 2 10" xfId="2797" xr:uid="{29859608-8E9A-4FC9-96B9-D13843024669}"/>
    <cellStyle name="표준 91 2 2 2 2 2 2 2 10 2" xfId="3493" xr:uid="{29859608-8E9A-4FC9-96B9-D13843024669}"/>
    <cellStyle name="표준 91 2 2 2 2 2 2 2 10 3" xfId="4188" xr:uid="{29859608-8E9A-4FC9-96B9-D13843024669}"/>
    <cellStyle name="표준 91 2 2 2 2 2 2 2 11" xfId="3145" xr:uid="{29859608-8E9A-4FC9-96B9-D13843024669}"/>
    <cellStyle name="표준 91 2 2 2 2 2 2 2 12" xfId="3840" xr:uid="{29859608-8E9A-4FC9-96B9-D13843024669}"/>
    <cellStyle name="표준 91 2 2 2 2 2 2 2 2" xfId="2469" xr:uid="{F53DCEF5-736F-4415-85BB-7F390065EA79}"/>
    <cellStyle name="표준 91 2 2 2 2 2 2 2 2 2" xfId="2817" xr:uid="{F53DCEF5-736F-4415-85BB-7F390065EA79}"/>
    <cellStyle name="표준 91 2 2 2 2 2 2 2 2 2 2" xfId="3513" xr:uid="{F53DCEF5-736F-4415-85BB-7F390065EA79}"/>
    <cellStyle name="표준 91 2 2 2 2 2 2 2 2 2 3" xfId="4208" xr:uid="{F53DCEF5-736F-4415-85BB-7F390065EA79}"/>
    <cellStyle name="표준 91 2 2 2 2 2 2 2 2 3" xfId="3165" xr:uid="{F53DCEF5-736F-4415-85BB-7F390065EA79}"/>
    <cellStyle name="표준 91 2 2 2 2 2 2 2 2 4" xfId="3860" xr:uid="{F53DCEF5-736F-4415-85BB-7F390065EA79}"/>
    <cellStyle name="표준 91 2 2 2 2 2 2 2 3" xfId="2489" xr:uid="{9917B46C-B09F-435E-95B9-2F08D836E9AA}"/>
    <cellStyle name="표준 91 2 2 2 2 2 2 2 3 2" xfId="2837" xr:uid="{9917B46C-B09F-435E-95B9-2F08D836E9AA}"/>
    <cellStyle name="표준 91 2 2 2 2 2 2 2 3 2 2" xfId="3533" xr:uid="{9917B46C-B09F-435E-95B9-2F08D836E9AA}"/>
    <cellStyle name="표준 91 2 2 2 2 2 2 2 3 2 3" xfId="4228" xr:uid="{9917B46C-B09F-435E-95B9-2F08D836E9AA}"/>
    <cellStyle name="표준 91 2 2 2 2 2 2 2 3 3" xfId="3185" xr:uid="{9917B46C-B09F-435E-95B9-2F08D836E9AA}"/>
    <cellStyle name="표준 91 2 2 2 2 2 2 2 3 4" xfId="3880" xr:uid="{9917B46C-B09F-435E-95B9-2F08D836E9AA}"/>
    <cellStyle name="표준 91 2 2 2 2 2 2 2 4" xfId="2511" xr:uid="{7F27B234-1FB8-4FE6-8E2A-AF28444234FF}"/>
    <cellStyle name="표준 91 2 2 2 2 2 2 2 4 2" xfId="2859" xr:uid="{7F27B234-1FB8-4FE6-8E2A-AF28444234FF}"/>
    <cellStyle name="표준 91 2 2 2 2 2 2 2 4 2 2" xfId="3555" xr:uid="{7F27B234-1FB8-4FE6-8E2A-AF28444234FF}"/>
    <cellStyle name="표준 91 2 2 2 2 2 2 2 4 2 3" xfId="4250" xr:uid="{7F27B234-1FB8-4FE6-8E2A-AF28444234FF}"/>
    <cellStyle name="표준 91 2 2 2 2 2 2 2 4 3" xfId="3207" xr:uid="{7F27B234-1FB8-4FE6-8E2A-AF28444234FF}"/>
    <cellStyle name="표준 91 2 2 2 2 2 2 2 4 4" xfId="3902" xr:uid="{7F27B234-1FB8-4FE6-8E2A-AF28444234FF}"/>
    <cellStyle name="표준 91 2 2 2 2 2 2 2 5" xfId="2534" xr:uid="{95142AEB-62A7-408B-AFAC-D036FA2B721C}"/>
    <cellStyle name="표준 91 2 2 2 2 2 2 2 5 2" xfId="2882" xr:uid="{95142AEB-62A7-408B-AFAC-D036FA2B721C}"/>
    <cellStyle name="표준 91 2 2 2 2 2 2 2 5 2 2" xfId="3578" xr:uid="{95142AEB-62A7-408B-AFAC-D036FA2B721C}"/>
    <cellStyle name="표준 91 2 2 2 2 2 2 2 5 2 3" xfId="4273" xr:uid="{95142AEB-62A7-408B-AFAC-D036FA2B721C}"/>
    <cellStyle name="표준 91 2 2 2 2 2 2 2 5 3" xfId="3230" xr:uid="{95142AEB-62A7-408B-AFAC-D036FA2B721C}"/>
    <cellStyle name="표준 91 2 2 2 2 2 2 2 5 4" xfId="3925" xr:uid="{95142AEB-62A7-408B-AFAC-D036FA2B721C}"/>
    <cellStyle name="표준 91 2 2 2 2 2 2 2 6" xfId="2555" xr:uid="{66CDE6A4-0B6B-4845-9DAE-9E2D05565412}"/>
    <cellStyle name="표준 91 2 2 2 2 2 2 2 6 2" xfId="2903" xr:uid="{66CDE6A4-0B6B-4845-9DAE-9E2D05565412}"/>
    <cellStyle name="표준 91 2 2 2 2 2 2 2 6 2 2" xfId="3599" xr:uid="{66CDE6A4-0B6B-4845-9DAE-9E2D05565412}"/>
    <cellStyle name="표준 91 2 2 2 2 2 2 2 6 2 3" xfId="4294" xr:uid="{66CDE6A4-0B6B-4845-9DAE-9E2D05565412}"/>
    <cellStyle name="표준 91 2 2 2 2 2 2 2 6 3" xfId="3251" xr:uid="{66CDE6A4-0B6B-4845-9DAE-9E2D05565412}"/>
    <cellStyle name="표준 91 2 2 2 2 2 2 2 6 4" xfId="3946" xr:uid="{66CDE6A4-0B6B-4845-9DAE-9E2D05565412}"/>
    <cellStyle name="표준 91 2 2 2 2 2 2 2 7" xfId="2576" xr:uid="{C6174A55-D3E7-4429-BBC8-3155B84F30D7}"/>
    <cellStyle name="표준 91 2 2 2 2 2 2 2 7 2" xfId="2924" xr:uid="{C6174A55-D3E7-4429-BBC8-3155B84F30D7}"/>
    <cellStyle name="표준 91 2 2 2 2 2 2 2 7 2 2" xfId="3620" xr:uid="{C6174A55-D3E7-4429-BBC8-3155B84F30D7}"/>
    <cellStyle name="표준 91 2 2 2 2 2 2 2 7 2 3" xfId="4315" xr:uid="{C6174A55-D3E7-4429-BBC8-3155B84F30D7}"/>
    <cellStyle name="표준 91 2 2 2 2 2 2 2 7 3" xfId="3272" xr:uid="{C6174A55-D3E7-4429-BBC8-3155B84F30D7}"/>
    <cellStyle name="표준 91 2 2 2 2 2 2 2 7 4" xfId="3967" xr:uid="{C6174A55-D3E7-4429-BBC8-3155B84F30D7}"/>
    <cellStyle name="표준 91 2 2 2 2 2 2 2 8" xfId="2596" xr:uid="{B156B798-7F75-466A-AE5A-4FD51225FEBC}"/>
    <cellStyle name="표준 91 2 2 2 2 2 2 2 8 2" xfId="2944" xr:uid="{B156B798-7F75-466A-AE5A-4FD51225FEBC}"/>
    <cellStyle name="표준 91 2 2 2 2 2 2 2 8 2 2" xfId="3640" xr:uid="{B156B798-7F75-466A-AE5A-4FD51225FEBC}"/>
    <cellStyle name="표준 91 2 2 2 2 2 2 2 8 2 3" xfId="4335" xr:uid="{B156B798-7F75-466A-AE5A-4FD51225FEBC}"/>
    <cellStyle name="표준 91 2 2 2 2 2 2 2 8 3" xfId="3292" xr:uid="{B156B798-7F75-466A-AE5A-4FD51225FEBC}"/>
    <cellStyle name="표준 91 2 2 2 2 2 2 2 8 4" xfId="3987" xr:uid="{B156B798-7F75-466A-AE5A-4FD51225FEBC}"/>
    <cellStyle name="표준 91 2 2 2 2 2 2 2 9" xfId="2613" xr:uid="{C1EF41BE-2AE2-4FCB-8C50-4E1EA18907F7}"/>
    <cellStyle name="표준 91 2 2 2 2 2 2 2 9 2" xfId="2961" xr:uid="{C1EF41BE-2AE2-4FCB-8C50-4E1EA18907F7}"/>
    <cellStyle name="표준 91 2 2 2 2 2 2 2 9 2 2" xfId="3657" xr:uid="{C1EF41BE-2AE2-4FCB-8C50-4E1EA18907F7}"/>
    <cellStyle name="표준 91 2 2 2 2 2 2 2 9 2 3" xfId="4352" xr:uid="{C1EF41BE-2AE2-4FCB-8C50-4E1EA18907F7}"/>
    <cellStyle name="표준 91 2 2 2 2 2 2 2 9 3" xfId="3309" xr:uid="{C1EF41BE-2AE2-4FCB-8C50-4E1EA18907F7}"/>
    <cellStyle name="표준 91 2 2 2 2 2 2 2 9 4" xfId="4004" xr:uid="{C1EF41BE-2AE2-4FCB-8C50-4E1EA18907F7}"/>
    <cellStyle name="표준 91 2 2 2 2 2 2 3" xfId="2777" xr:uid="{A8B2A5F9-A05E-4E44-A7B5-9D43E836A4F9}"/>
    <cellStyle name="표준 91 2 2 2 2 2 2 3 2" xfId="3473" xr:uid="{A8B2A5F9-A05E-4E44-A7B5-9D43E836A4F9}"/>
    <cellStyle name="표준 91 2 2 2 2 2 2 3 3" xfId="4168" xr:uid="{A8B2A5F9-A05E-4E44-A7B5-9D43E836A4F9}"/>
    <cellStyle name="표준 91 2 2 2 2 2 2 4" xfId="3125" xr:uid="{A8B2A5F9-A05E-4E44-A7B5-9D43E836A4F9}"/>
    <cellStyle name="표준 91 2 2 2 2 2 2 5" xfId="3820" xr:uid="{A8B2A5F9-A05E-4E44-A7B5-9D43E836A4F9}"/>
    <cellStyle name="표준 91 2 2 2 2 2 3" xfId="2757" xr:uid="{6107B22E-F0B9-4B32-AB11-ECA860A60C4B}"/>
    <cellStyle name="표준 91 2 2 2 2 2 3 2" xfId="3453" xr:uid="{6107B22E-F0B9-4B32-AB11-ECA860A60C4B}"/>
    <cellStyle name="표준 91 2 2 2 2 2 3 3" xfId="4148" xr:uid="{6107B22E-F0B9-4B32-AB11-ECA860A60C4B}"/>
    <cellStyle name="표준 91 2 2 2 2 2 4" xfId="3105" xr:uid="{6107B22E-F0B9-4B32-AB11-ECA860A60C4B}"/>
    <cellStyle name="표준 91 2 2 2 2 2 5" xfId="3800" xr:uid="{6107B22E-F0B9-4B32-AB11-ECA860A60C4B}"/>
    <cellStyle name="표준 91 2 2 2 2 3" xfId="2737" xr:uid="{C0651FBE-14EC-4AE7-B2EA-6C3572870915}"/>
    <cellStyle name="표준 91 2 2 2 2 3 2" xfId="3433" xr:uid="{C0651FBE-14EC-4AE7-B2EA-6C3572870915}"/>
    <cellStyle name="표준 91 2 2 2 2 3 3" xfId="4128" xr:uid="{C0651FBE-14EC-4AE7-B2EA-6C3572870915}"/>
    <cellStyle name="표준 91 2 2 2 2 4" xfId="3085" xr:uid="{C0651FBE-14EC-4AE7-B2EA-6C3572870915}"/>
    <cellStyle name="표준 91 2 2 2 2 5" xfId="3780" xr:uid="{C0651FBE-14EC-4AE7-B2EA-6C3572870915}"/>
    <cellStyle name="표준 91 2 2 2 3" xfId="2717" xr:uid="{0B370E5A-A6D6-4C49-AEB8-A95B14D4A05A}"/>
    <cellStyle name="표준 91 2 2 2 3 2" xfId="3413" xr:uid="{0B370E5A-A6D6-4C49-AEB8-A95B14D4A05A}"/>
    <cellStyle name="표준 91 2 2 2 3 3" xfId="4108" xr:uid="{0B370E5A-A6D6-4C49-AEB8-A95B14D4A05A}"/>
    <cellStyle name="표준 91 2 2 2 4" xfId="3065" xr:uid="{0B370E5A-A6D6-4C49-AEB8-A95B14D4A05A}"/>
    <cellStyle name="표준 91 2 2 2 5" xfId="3760" xr:uid="{0B370E5A-A6D6-4C49-AEB8-A95B14D4A05A}"/>
    <cellStyle name="표준 91 2 2 3" xfId="2697" xr:uid="{0466C025-E8FE-4004-987C-A2B90DCFC92D}"/>
    <cellStyle name="표준 91 2 2 3 2" xfId="3393" xr:uid="{0466C025-E8FE-4004-987C-A2B90DCFC92D}"/>
    <cellStyle name="표준 91 2 2 3 3" xfId="4088" xr:uid="{0466C025-E8FE-4004-987C-A2B90DCFC92D}"/>
    <cellStyle name="표준 91 2 2 4" xfId="3045" xr:uid="{0466C025-E8FE-4004-987C-A2B90DCFC92D}"/>
    <cellStyle name="표준 91 2 2 5" xfId="3740" xr:uid="{0466C025-E8FE-4004-987C-A2B90DCFC92D}"/>
    <cellStyle name="표준 91 2 3" xfId="2676" xr:uid="{11337E8B-9793-428C-A72A-920E3E70AA15}"/>
    <cellStyle name="표준 91 2 3 2" xfId="3372" xr:uid="{11337E8B-9793-428C-A72A-920E3E70AA15}"/>
    <cellStyle name="표준 91 2 3 3" xfId="4067" xr:uid="{11337E8B-9793-428C-A72A-920E3E70AA15}"/>
    <cellStyle name="표준 91 2 4" xfId="3024" xr:uid="{11337E8B-9793-428C-A72A-920E3E70AA15}"/>
    <cellStyle name="표준 91 2 5" xfId="3719" xr:uid="{11337E8B-9793-428C-A72A-920E3E70AA15}"/>
    <cellStyle name="표준 91 3" xfId="2655" xr:uid="{00000000-0005-0000-0000-000002090000}"/>
    <cellStyle name="표준 91 3 2" xfId="3351" xr:uid="{00000000-0005-0000-0000-000002090000}"/>
    <cellStyle name="표준 91 3 3" xfId="4046" xr:uid="{00000000-0005-0000-0000-000002090000}"/>
    <cellStyle name="표준 91 4" xfId="3003" xr:uid="{00000000-0005-0000-0000-000002090000}"/>
    <cellStyle name="표준 91 5" xfId="3698" xr:uid="{00000000-0005-0000-0000-000002090000}"/>
    <cellStyle name="표준 92" xfId="2303" xr:uid="{00000000-0005-0000-0000-000003090000}"/>
    <cellStyle name="표준 92 2" xfId="2329" xr:uid="{E402409B-EB4C-45E8-961F-82949F457FE2}"/>
    <cellStyle name="표준 92 2 2" xfId="2350" xr:uid="{7DB5CFAB-06BE-43F2-86D5-C95DFD79794F}"/>
    <cellStyle name="표준 92 2 2 2" xfId="2370" xr:uid="{A9B5CDAD-F45E-49DA-BEC7-953B8A2D9B29}"/>
    <cellStyle name="표준 92 2 2 2 2" xfId="2390" xr:uid="{775B7467-5AA4-470A-BE73-62D82572AA41}"/>
    <cellStyle name="표준 92 2 2 2 2 2" xfId="2410" xr:uid="{3A6694C7-1034-4586-8640-B05A67F486B7}"/>
    <cellStyle name="표준 92 2 2 2 2 2 2" xfId="2430" xr:uid="{921E3FD7-8D84-4317-ABB8-2457F3A398C8}"/>
    <cellStyle name="표준 92 2 2 2 2 2 2 2" xfId="2450" xr:uid="{65790524-AE84-4E5E-A2E8-9F9938F41F08}"/>
    <cellStyle name="표준 92 2 2 2 2 2 2 2 10" xfId="2798" xr:uid="{65790524-AE84-4E5E-A2E8-9F9938F41F08}"/>
    <cellStyle name="표준 92 2 2 2 2 2 2 2 10 2" xfId="3494" xr:uid="{65790524-AE84-4E5E-A2E8-9F9938F41F08}"/>
    <cellStyle name="표준 92 2 2 2 2 2 2 2 10 3" xfId="4189" xr:uid="{65790524-AE84-4E5E-A2E8-9F9938F41F08}"/>
    <cellStyle name="표준 92 2 2 2 2 2 2 2 11" xfId="3146" xr:uid="{65790524-AE84-4E5E-A2E8-9F9938F41F08}"/>
    <cellStyle name="표준 92 2 2 2 2 2 2 2 12" xfId="3841" xr:uid="{65790524-AE84-4E5E-A2E8-9F9938F41F08}"/>
    <cellStyle name="표준 92 2 2 2 2 2 2 2 2" xfId="2470" xr:uid="{42E10BCB-91F6-4BA4-9ACE-36E02EF40C96}"/>
    <cellStyle name="표준 92 2 2 2 2 2 2 2 2 2" xfId="2818" xr:uid="{42E10BCB-91F6-4BA4-9ACE-36E02EF40C96}"/>
    <cellStyle name="표준 92 2 2 2 2 2 2 2 2 2 2" xfId="3514" xr:uid="{42E10BCB-91F6-4BA4-9ACE-36E02EF40C96}"/>
    <cellStyle name="표준 92 2 2 2 2 2 2 2 2 2 3" xfId="4209" xr:uid="{42E10BCB-91F6-4BA4-9ACE-36E02EF40C96}"/>
    <cellStyle name="표준 92 2 2 2 2 2 2 2 2 3" xfId="3166" xr:uid="{42E10BCB-91F6-4BA4-9ACE-36E02EF40C96}"/>
    <cellStyle name="표준 92 2 2 2 2 2 2 2 2 4" xfId="3861" xr:uid="{42E10BCB-91F6-4BA4-9ACE-36E02EF40C96}"/>
    <cellStyle name="표준 92 2 2 2 2 2 2 2 3" xfId="2490" xr:uid="{F55B600B-D489-4937-9DA1-84E6AA583527}"/>
    <cellStyle name="표준 92 2 2 2 2 2 2 2 3 2" xfId="2838" xr:uid="{F55B600B-D489-4937-9DA1-84E6AA583527}"/>
    <cellStyle name="표준 92 2 2 2 2 2 2 2 3 2 2" xfId="3534" xr:uid="{F55B600B-D489-4937-9DA1-84E6AA583527}"/>
    <cellStyle name="표준 92 2 2 2 2 2 2 2 3 2 3" xfId="4229" xr:uid="{F55B600B-D489-4937-9DA1-84E6AA583527}"/>
    <cellStyle name="표준 92 2 2 2 2 2 2 2 3 3" xfId="3186" xr:uid="{F55B600B-D489-4937-9DA1-84E6AA583527}"/>
    <cellStyle name="표준 92 2 2 2 2 2 2 2 3 4" xfId="3881" xr:uid="{F55B600B-D489-4937-9DA1-84E6AA583527}"/>
    <cellStyle name="표준 92 2 2 2 2 2 2 2 4" xfId="2512" xr:uid="{6BD2D017-3765-408D-B2A8-FE758D1E611F}"/>
    <cellStyle name="표준 92 2 2 2 2 2 2 2 4 2" xfId="2860" xr:uid="{6BD2D017-3765-408D-B2A8-FE758D1E611F}"/>
    <cellStyle name="표준 92 2 2 2 2 2 2 2 4 2 2" xfId="3556" xr:uid="{6BD2D017-3765-408D-B2A8-FE758D1E611F}"/>
    <cellStyle name="표준 92 2 2 2 2 2 2 2 4 2 3" xfId="4251" xr:uid="{6BD2D017-3765-408D-B2A8-FE758D1E611F}"/>
    <cellStyle name="표준 92 2 2 2 2 2 2 2 4 3" xfId="3208" xr:uid="{6BD2D017-3765-408D-B2A8-FE758D1E611F}"/>
    <cellStyle name="표준 92 2 2 2 2 2 2 2 4 4" xfId="3903" xr:uid="{6BD2D017-3765-408D-B2A8-FE758D1E611F}"/>
    <cellStyle name="표준 92 2 2 2 2 2 2 2 5" xfId="2533" xr:uid="{77428610-5F1D-4D16-A5FF-C9CC05AB3C3F}"/>
    <cellStyle name="표준 92 2 2 2 2 2 2 2 5 2" xfId="2881" xr:uid="{77428610-5F1D-4D16-A5FF-C9CC05AB3C3F}"/>
    <cellStyle name="표준 92 2 2 2 2 2 2 2 5 2 2" xfId="3577" xr:uid="{77428610-5F1D-4D16-A5FF-C9CC05AB3C3F}"/>
    <cellStyle name="표준 92 2 2 2 2 2 2 2 5 2 3" xfId="4272" xr:uid="{77428610-5F1D-4D16-A5FF-C9CC05AB3C3F}"/>
    <cellStyle name="표준 92 2 2 2 2 2 2 2 5 3" xfId="3229" xr:uid="{77428610-5F1D-4D16-A5FF-C9CC05AB3C3F}"/>
    <cellStyle name="표준 92 2 2 2 2 2 2 2 5 4" xfId="3924" xr:uid="{77428610-5F1D-4D16-A5FF-C9CC05AB3C3F}"/>
    <cellStyle name="표준 92 2 2 2 2 2 2 2 6" xfId="2554" xr:uid="{D0A72396-AF45-4D99-9BF5-3955F200AD9C}"/>
    <cellStyle name="표준 92 2 2 2 2 2 2 2 6 2" xfId="2902" xr:uid="{D0A72396-AF45-4D99-9BF5-3955F200AD9C}"/>
    <cellStyle name="표준 92 2 2 2 2 2 2 2 6 2 2" xfId="3598" xr:uid="{D0A72396-AF45-4D99-9BF5-3955F200AD9C}"/>
    <cellStyle name="표준 92 2 2 2 2 2 2 2 6 2 3" xfId="4293" xr:uid="{D0A72396-AF45-4D99-9BF5-3955F200AD9C}"/>
    <cellStyle name="표준 92 2 2 2 2 2 2 2 6 3" xfId="3250" xr:uid="{D0A72396-AF45-4D99-9BF5-3955F200AD9C}"/>
    <cellStyle name="표준 92 2 2 2 2 2 2 2 6 4" xfId="3945" xr:uid="{D0A72396-AF45-4D99-9BF5-3955F200AD9C}"/>
    <cellStyle name="표준 92 2 2 2 2 2 2 2 7" xfId="2575" xr:uid="{AD430D44-416B-4C81-A2AF-4405CF659A86}"/>
    <cellStyle name="표준 92 2 2 2 2 2 2 2 7 2" xfId="2923" xr:uid="{AD430D44-416B-4C81-A2AF-4405CF659A86}"/>
    <cellStyle name="표준 92 2 2 2 2 2 2 2 7 2 2" xfId="3619" xr:uid="{AD430D44-416B-4C81-A2AF-4405CF659A86}"/>
    <cellStyle name="표준 92 2 2 2 2 2 2 2 7 2 3" xfId="4314" xr:uid="{AD430D44-416B-4C81-A2AF-4405CF659A86}"/>
    <cellStyle name="표준 92 2 2 2 2 2 2 2 7 3" xfId="3271" xr:uid="{AD430D44-416B-4C81-A2AF-4405CF659A86}"/>
    <cellStyle name="표준 92 2 2 2 2 2 2 2 7 4" xfId="3966" xr:uid="{AD430D44-416B-4C81-A2AF-4405CF659A86}"/>
    <cellStyle name="표준 92 2 2 2 2 2 2 2 8" xfId="2595" xr:uid="{41F6CE08-EC1A-409D-AA56-8071DA128AF9}"/>
    <cellStyle name="표준 92 2 2 2 2 2 2 2 8 2" xfId="2943" xr:uid="{41F6CE08-EC1A-409D-AA56-8071DA128AF9}"/>
    <cellStyle name="표준 92 2 2 2 2 2 2 2 8 2 2" xfId="3639" xr:uid="{41F6CE08-EC1A-409D-AA56-8071DA128AF9}"/>
    <cellStyle name="표준 92 2 2 2 2 2 2 2 8 2 3" xfId="4334" xr:uid="{41F6CE08-EC1A-409D-AA56-8071DA128AF9}"/>
    <cellStyle name="표준 92 2 2 2 2 2 2 2 8 3" xfId="3291" xr:uid="{41F6CE08-EC1A-409D-AA56-8071DA128AF9}"/>
    <cellStyle name="표준 92 2 2 2 2 2 2 2 8 4" xfId="3986" xr:uid="{41F6CE08-EC1A-409D-AA56-8071DA128AF9}"/>
    <cellStyle name="표준 92 2 2 2 2 2 2 2 9" xfId="2614" xr:uid="{B9AAFB76-A0F6-4BF0-9A7D-D60E71776894}"/>
    <cellStyle name="표준 92 2 2 2 2 2 2 2 9 2" xfId="2962" xr:uid="{B9AAFB76-A0F6-4BF0-9A7D-D60E71776894}"/>
    <cellStyle name="표준 92 2 2 2 2 2 2 2 9 2 2" xfId="3658" xr:uid="{B9AAFB76-A0F6-4BF0-9A7D-D60E71776894}"/>
    <cellStyle name="표준 92 2 2 2 2 2 2 2 9 2 3" xfId="4353" xr:uid="{B9AAFB76-A0F6-4BF0-9A7D-D60E71776894}"/>
    <cellStyle name="표준 92 2 2 2 2 2 2 2 9 3" xfId="3310" xr:uid="{B9AAFB76-A0F6-4BF0-9A7D-D60E71776894}"/>
    <cellStyle name="표준 92 2 2 2 2 2 2 2 9 4" xfId="4005" xr:uid="{B9AAFB76-A0F6-4BF0-9A7D-D60E71776894}"/>
    <cellStyle name="표준 92 2 2 2 2 2 2 3" xfId="2778" xr:uid="{921E3FD7-8D84-4317-ABB8-2457F3A398C8}"/>
    <cellStyle name="표준 92 2 2 2 2 2 2 3 2" xfId="3474" xr:uid="{921E3FD7-8D84-4317-ABB8-2457F3A398C8}"/>
    <cellStyle name="표준 92 2 2 2 2 2 2 3 3" xfId="4169" xr:uid="{921E3FD7-8D84-4317-ABB8-2457F3A398C8}"/>
    <cellStyle name="표준 92 2 2 2 2 2 2 4" xfId="3126" xr:uid="{921E3FD7-8D84-4317-ABB8-2457F3A398C8}"/>
    <cellStyle name="표준 92 2 2 2 2 2 2 5" xfId="3821" xr:uid="{921E3FD7-8D84-4317-ABB8-2457F3A398C8}"/>
    <cellStyle name="표준 92 2 2 2 2 2 3" xfId="2758" xr:uid="{3A6694C7-1034-4586-8640-B05A67F486B7}"/>
    <cellStyle name="표준 92 2 2 2 2 2 3 2" xfId="3454" xr:uid="{3A6694C7-1034-4586-8640-B05A67F486B7}"/>
    <cellStyle name="표준 92 2 2 2 2 2 3 3" xfId="4149" xr:uid="{3A6694C7-1034-4586-8640-B05A67F486B7}"/>
    <cellStyle name="표준 92 2 2 2 2 2 4" xfId="3106" xr:uid="{3A6694C7-1034-4586-8640-B05A67F486B7}"/>
    <cellStyle name="표준 92 2 2 2 2 2 5" xfId="3801" xr:uid="{3A6694C7-1034-4586-8640-B05A67F486B7}"/>
    <cellStyle name="표준 92 2 2 2 2 3" xfId="2738" xr:uid="{775B7467-5AA4-470A-BE73-62D82572AA41}"/>
    <cellStyle name="표준 92 2 2 2 2 3 2" xfId="3434" xr:uid="{775B7467-5AA4-470A-BE73-62D82572AA41}"/>
    <cellStyle name="표준 92 2 2 2 2 3 3" xfId="4129" xr:uid="{775B7467-5AA4-470A-BE73-62D82572AA41}"/>
    <cellStyle name="표준 92 2 2 2 2 4" xfId="3086" xr:uid="{775B7467-5AA4-470A-BE73-62D82572AA41}"/>
    <cellStyle name="표준 92 2 2 2 2 5" xfId="3781" xr:uid="{775B7467-5AA4-470A-BE73-62D82572AA41}"/>
    <cellStyle name="표준 92 2 2 2 3" xfId="2718" xr:uid="{A9B5CDAD-F45E-49DA-BEC7-953B8A2D9B29}"/>
    <cellStyle name="표준 92 2 2 2 3 2" xfId="3414" xr:uid="{A9B5CDAD-F45E-49DA-BEC7-953B8A2D9B29}"/>
    <cellStyle name="표준 92 2 2 2 3 3" xfId="4109" xr:uid="{A9B5CDAD-F45E-49DA-BEC7-953B8A2D9B29}"/>
    <cellStyle name="표준 92 2 2 2 4" xfId="3066" xr:uid="{A9B5CDAD-F45E-49DA-BEC7-953B8A2D9B29}"/>
    <cellStyle name="표준 92 2 2 2 5" xfId="3761" xr:uid="{A9B5CDAD-F45E-49DA-BEC7-953B8A2D9B29}"/>
    <cellStyle name="표준 92 2 2 3" xfId="2698" xr:uid="{7DB5CFAB-06BE-43F2-86D5-C95DFD79794F}"/>
    <cellStyle name="표준 92 2 2 3 2" xfId="3394" xr:uid="{7DB5CFAB-06BE-43F2-86D5-C95DFD79794F}"/>
    <cellStyle name="표준 92 2 2 3 3" xfId="4089" xr:uid="{7DB5CFAB-06BE-43F2-86D5-C95DFD79794F}"/>
    <cellStyle name="표준 92 2 2 4" xfId="3046" xr:uid="{7DB5CFAB-06BE-43F2-86D5-C95DFD79794F}"/>
    <cellStyle name="표준 92 2 2 5" xfId="3741" xr:uid="{7DB5CFAB-06BE-43F2-86D5-C95DFD79794F}"/>
    <cellStyle name="표준 92 2 3" xfId="2677" xr:uid="{E402409B-EB4C-45E8-961F-82949F457FE2}"/>
    <cellStyle name="표준 92 2 3 2" xfId="3373" xr:uid="{E402409B-EB4C-45E8-961F-82949F457FE2}"/>
    <cellStyle name="표준 92 2 3 3" xfId="4068" xr:uid="{E402409B-EB4C-45E8-961F-82949F457FE2}"/>
    <cellStyle name="표준 92 2 4" xfId="3025" xr:uid="{E402409B-EB4C-45E8-961F-82949F457FE2}"/>
    <cellStyle name="표준 92 2 5" xfId="3720" xr:uid="{E402409B-EB4C-45E8-961F-82949F457FE2}"/>
    <cellStyle name="표준 92 3" xfId="2656" xr:uid="{00000000-0005-0000-0000-000003090000}"/>
    <cellStyle name="표준 92 3 2" xfId="3352" xr:uid="{00000000-0005-0000-0000-000003090000}"/>
    <cellStyle name="표준 92 3 3" xfId="4047" xr:uid="{00000000-0005-0000-0000-000003090000}"/>
    <cellStyle name="표준 92 4" xfId="3004" xr:uid="{00000000-0005-0000-0000-000003090000}"/>
    <cellStyle name="표준 92 5" xfId="3699" xr:uid="{00000000-0005-0000-0000-000003090000}"/>
    <cellStyle name="표준 93" xfId="2304" xr:uid="{00000000-0005-0000-0000-000004090000}"/>
    <cellStyle name="표준 93 2" xfId="2330" xr:uid="{2531CB50-6455-4EC7-A9B2-FC4815890C7B}"/>
    <cellStyle name="표준 93 2 2" xfId="2351" xr:uid="{DBD26053-5D20-4C33-95F7-86F81932DFF6}"/>
    <cellStyle name="표준 93 2 2 2" xfId="2371" xr:uid="{D86AD566-8A17-4DDA-BA13-407590A81EA9}"/>
    <cellStyle name="표준 93 2 2 2 2" xfId="2391" xr:uid="{F1E85E89-0DF8-4C89-998A-936BB933DB30}"/>
    <cellStyle name="표준 93 2 2 2 2 2" xfId="2411" xr:uid="{0921F0EA-6DB5-4024-A8AC-C561222507EB}"/>
    <cellStyle name="표준 93 2 2 2 2 2 2" xfId="2431" xr:uid="{13FAC847-70CB-4F85-BE25-58F0A1F2335A}"/>
    <cellStyle name="표준 93 2 2 2 2 2 2 2" xfId="2451" xr:uid="{5F5E723E-F168-45B7-8C9B-DBF3C9C78F18}"/>
    <cellStyle name="표준 93 2 2 2 2 2 2 2 10" xfId="2799" xr:uid="{5F5E723E-F168-45B7-8C9B-DBF3C9C78F18}"/>
    <cellStyle name="표준 93 2 2 2 2 2 2 2 10 2" xfId="3495" xr:uid="{5F5E723E-F168-45B7-8C9B-DBF3C9C78F18}"/>
    <cellStyle name="표준 93 2 2 2 2 2 2 2 10 3" xfId="4190" xr:uid="{5F5E723E-F168-45B7-8C9B-DBF3C9C78F18}"/>
    <cellStyle name="표준 93 2 2 2 2 2 2 2 11" xfId="3147" xr:uid="{5F5E723E-F168-45B7-8C9B-DBF3C9C78F18}"/>
    <cellStyle name="표준 93 2 2 2 2 2 2 2 12" xfId="3842" xr:uid="{5F5E723E-F168-45B7-8C9B-DBF3C9C78F18}"/>
    <cellStyle name="표준 93 2 2 2 2 2 2 2 2" xfId="2471" xr:uid="{293FD0A7-9FC3-4CEF-8B93-B3BF4282C9F8}"/>
    <cellStyle name="표준 93 2 2 2 2 2 2 2 2 2" xfId="2819" xr:uid="{293FD0A7-9FC3-4CEF-8B93-B3BF4282C9F8}"/>
    <cellStyle name="표준 93 2 2 2 2 2 2 2 2 2 2" xfId="3515" xr:uid="{293FD0A7-9FC3-4CEF-8B93-B3BF4282C9F8}"/>
    <cellStyle name="표준 93 2 2 2 2 2 2 2 2 2 3" xfId="4210" xr:uid="{293FD0A7-9FC3-4CEF-8B93-B3BF4282C9F8}"/>
    <cellStyle name="표준 93 2 2 2 2 2 2 2 2 3" xfId="3167" xr:uid="{293FD0A7-9FC3-4CEF-8B93-B3BF4282C9F8}"/>
    <cellStyle name="표준 93 2 2 2 2 2 2 2 2 4" xfId="3862" xr:uid="{293FD0A7-9FC3-4CEF-8B93-B3BF4282C9F8}"/>
    <cellStyle name="표준 93 2 2 2 2 2 2 2 3" xfId="2491" xr:uid="{ADC94452-4CC1-43A8-A9FF-B074A1AD1BE8}"/>
    <cellStyle name="표준 93 2 2 2 2 2 2 2 3 2" xfId="2839" xr:uid="{ADC94452-4CC1-43A8-A9FF-B074A1AD1BE8}"/>
    <cellStyle name="표준 93 2 2 2 2 2 2 2 3 2 2" xfId="3535" xr:uid="{ADC94452-4CC1-43A8-A9FF-B074A1AD1BE8}"/>
    <cellStyle name="표준 93 2 2 2 2 2 2 2 3 2 3" xfId="4230" xr:uid="{ADC94452-4CC1-43A8-A9FF-B074A1AD1BE8}"/>
    <cellStyle name="표준 93 2 2 2 2 2 2 2 3 3" xfId="3187" xr:uid="{ADC94452-4CC1-43A8-A9FF-B074A1AD1BE8}"/>
    <cellStyle name="표준 93 2 2 2 2 2 2 2 3 4" xfId="3882" xr:uid="{ADC94452-4CC1-43A8-A9FF-B074A1AD1BE8}"/>
    <cellStyle name="표준 93 2 2 2 2 2 2 2 4" xfId="2513" xr:uid="{78BD4B9B-A8E5-4FA8-BE98-0403178D6DDC}"/>
    <cellStyle name="표준 93 2 2 2 2 2 2 2 4 2" xfId="2861" xr:uid="{78BD4B9B-A8E5-4FA8-BE98-0403178D6DDC}"/>
    <cellStyle name="표준 93 2 2 2 2 2 2 2 4 2 2" xfId="3557" xr:uid="{78BD4B9B-A8E5-4FA8-BE98-0403178D6DDC}"/>
    <cellStyle name="표준 93 2 2 2 2 2 2 2 4 2 3" xfId="4252" xr:uid="{78BD4B9B-A8E5-4FA8-BE98-0403178D6DDC}"/>
    <cellStyle name="표준 93 2 2 2 2 2 2 2 4 3" xfId="3209" xr:uid="{78BD4B9B-A8E5-4FA8-BE98-0403178D6DDC}"/>
    <cellStyle name="표준 93 2 2 2 2 2 2 2 4 4" xfId="3904" xr:uid="{78BD4B9B-A8E5-4FA8-BE98-0403178D6DDC}"/>
    <cellStyle name="표준 93 2 2 2 2 2 2 2 5" xfId="2532" xr:uid="{5671E70E-ECF9-4E3F-BD7D-6DD43407F474}"/>
    <cellStyle name="표준 93 2 2 2 2 2 2 2 5 2" xfId="2880" xr:uid="{5671E70E-ECF9-4E3F-BD7D-6DD43407F474}"/>
    <cellStyle name="표준 93 2 2 2 2 2 2 2 5 2 2" xfId="3576" xr:uid="{5671E70E-ECF9-4E3F-BD7D-6DD43407F474}"/>
    <cellStyle name="표준 93 2 2 2 2 2 2 2 5 2 3" xfId="4271" xr:uid="{5671E70E-ECF9-4E3F-BD7D-6DD43407F474}"/>
    <cellStyle name="표준 93 2 2 2 2 2 2 2 5 3" xfId="3228" xr:uid="{5671E70E-ECF9-4E3F-BD7D-6DD43407F474}"/>
    <cellStyle name="표준 93 2 2 2 2 2 2 2 5 4" xfId="3923" xr:uid="{5671E70E-ECF9-4E3F-BD7D-6DD43407F474}"/>
    <cellStyle name="표준 93 2 2 2 2 2 2 2 6" xfId="2553" xr:uid="{591AD8F2-E26C-4C98-A86D-3B0E74085430}"/>
    <cellStyle name="표준 93 2 2 2 2 2 2 2 6 2" xfId="2901" xr:uid="{591AD8F2-E26C-4C98-A86D-3B0E74085430}"/>
    <cellStyle name="표준 93 2 2 2 2 2 2 2 6 2 2" xfId="3597" xr:uid="{591AD8F2-E26C-4C98-A86D-3B0E74085430}"/>
    <cellStyle name="표준 93 2 2 2 2 2 2 2 6 2 3" xfId="4292" xr:uid="{591AD8F2-E26C-4C98-A86D-3B0E74085430}"/>
    <cellStyle name="표준 93 2 2 2 2 2 2 2 6 3" xfId="3249" xr:uid="{591AD8F2-E26C-4C98-A86D-3B0E74085430}"/>
    <cellStyle name="표준 93 2 2 2 2 2 2 2 6 4" xfId="3944" xr:uid="{591AD8F2-E26C-4C98-A86D-3B0E74085430}"/>
    <cellStyle name="표준 93 2 2 2 2 2 2 2 7" xfId="2574" xr:uid="{FFBA6264-A61E-4873-AA87-0C63C98F5892}"/>
    <cellStyle name="표준 93 2 2 2 2 2 2 2 7 2" xfId="2922" xr:uid="{FFBA6264-A61E-4873-AA87-0C63C98F5892}"/>
    <cellStyle name="표준 93 2 2 2 2 2 2 2 7 2 2" xfId="3618" xr:uid="{FFBA6264-A61E-4873-AA87-0C63C98F5892}"/>
    <cellStyle name="표준 93 2 2 2 2 2 2 2 7 2 3" xfId="4313" xr:uid="{FFBA6264-A61E-4873-AA87-0C63C98F5892}"/>
    <cellStyle name="표준 93 2 2 2 2 2 2 2 7 3" xfId="3270" xr:uid="{FFBA6264-A61E-4873-AA87-0C63C98F5892}"/>
    <cellStyle name="표준 93 2 2 2 2 2 2 2 7 4" xfId="3965" xr:uid="{FFBA6264-A61E-4873-AA87-0C63C98F5892}"/>
    <cellStyle name="표준 93 2 2 2 2 2 2 2 8" xfId="2594" xr:uid="{ABDAC705-B685-4476-8DDD-A74302B6B17D}"/>
    <cellStyle name="표준 93 2 2 2 2 2 2 2 8 2" xfId="2942" xr:uid="{ABDAC705-B685-4476-8DDD-A74302B6B17D}"/>
    <cellStyle name="표준 93 2 2 2 2 2 2 2 8 2 2" xfId="3638" xr:uid="{ABDAC705-B685-4476-8DDD-A74302B6B17D}"/>
    <cellStyle name="표준 93 2 2 2 2 2 2 2 8 2 3" xfId="4333" xr:uid="{ABDAC705-B685-4476-8DDD-A74302B6B17D}"/>
    <cellStyle name="표준 93 2 2 2 2 2 2 2 8 3" xfId="3290" xr:uid="{ABDAC705-B685-4476-8DDD-A74302B6B17D}"/>
    <cellStyle name="표준 93 2 2 2 2 2 2 2 8 4" xfId="3985" xr:uid="{ABDAC705-B685-4476-8DDD-A74302B6B17D}"/>
    <cellStyle name="표준 93 2 2 2 2 2 2 2 9" xfId="2615" xr:uid="{5E7E8CDB-4DD6-4146-B294-22FBEA411934}"/>
    <cellStyle name="표준 93 2 2 2 2 2 2 2 9 2" xfId="2963" xr:uid="{5E7E8CDB-4DD6-4146-B294-22FBEA411934}"/>
    <cellStyle name="표준 93 2 2 2 2 2 2 2 9 2 2" xfId="3659" xr:uid="{5E7E8CDB-4DD6-4146-B294-22FBEA411934}"/>
    <cellStyle name="표준 93 2 2 2 2 2 2 2 9 2 3" xfId="4354" xr:uid="{5E7E8CDB-4DD6-4146-B294-22FBEA411934}"/>
    <cellStyle name="표준 93 2 2 2 2 2 2 2 9 3" xfId="3311" xr:uid="{5E7E8CDB-4DD6-4146-B294-22FBEA411934}"/>
    <cellStyle name="표준 93 2 2 2 2 2 2 2 9 4" xfId="4006" xr:uid="{5E7E8CDB-4DD6-4146-B294-22FBEA411934}"/>
    <cellStyle name="표준 93 2 2 2 2 2 2 3" xfId="2779" xr:uid="{13FAC847-70CB-4F85-BE25-58F0A1F2335A}"/>
    <cellStyle name="표준 93 2 2 2 2 2 2 3 2" xfId="3475" xr:uid="{13FAC847-70CB-4F85-BE25-58F0A1F2335A}"/>
    <cellStyle name="표준 93 2 2 2 2 2 2 3 3" xfId="4170" xr:uid="{13FAC847-70CB-4F85-BE25-58F0A1F2335A}"/>
    <cellStyle name="표준 93 2 2 2 2 2 2 4" xfId="3127" xr:uid="{13FAC847-70CB-4F85-BE25-58F0A1F2335A}"/>
    <cellStyle name="표준 93 2 2 2 2 2 2 5" xfId="3822" xr:uid="{13FAC847-70CB-4F85-BE25-58F0A1F2335A}"/>
    <cellStyle name="표준 93 2 2 2 2 2 3" xfId="2759" xr:uid="{0921F0EA-6DB5-4024-A8AC-C561222507EB}"/>
    <cellStyle name="표준 93 2 2 2 2 2 3 2" xfId="3455" xr:uid="{0921F0EA-6DB5-4024-A8AC-C561222507EB}"/>
    <cellStyle name="표준 93 2 2 2 2 2 3 3" xfId="4150" xr:uid="{0921F0EA-6DB5-4024-A8AC-C561222507EB}"/>
    <cellStyle name="표준 93 2 2 2 2 2 4" xfId="3107" xr:uid="{0921F0EA-6DB5-4024-A8AC-C561222507EB}"/>
    <cellStyle name="표준 93 2 2 2 2 2 5" xfId="3802" xr:uid="{0921F0EA-6DB5-4024-A8AC-C561222507EB}"/>
    <cellStyle name="표준 93 2 2 2 2 3" xfId="2739" xr:uid="{F1E85E89-0DF8-4C89-998A-936BB933DB30}"/>
    <cellStyle name="표준 93 2 2 2 2 3 2" xfId="3435" xr:uid="{F1E85E89-0DF8-4C89-998A-936BB933DB30}"/>
    <cellStyle name="표준 93 2 2 2 2 3 3" xfId="4130" xr:uid="{F1E85E89-0DF8-4C89-998A-936BB933DB30}"/>
    <cellStyle name="표준 93 2 2 2 2 4" xfId="3087" xr:uid="{F1E85E89-0DF8-4C89-998A-936BB933DB30}"/>
    <cellStyle name="표준 93 2 2 2 2 5" xfId="3782" xr:uid="{F1E85E89-0DF8-4C89-998A-936BB933DB30}"/>
    <cellStyle name="표준 93 2 2 2 3" xfId="2719" xr:uid="{D86AD566-8A17-4DDA-BA13-407590A81EA9}"/>
    <cellStyle name="표준 93 2 2 2 3 2" xfId="3415" xr:uid="{D86AD566-8A17-4DDA-BA13-407590A81EA9}"/>
    <cellStyle name="표준 93 2 2 2 3 3" xfId="4110" xr:uid="{D86AD566-8A17-4DDA-BA13-407590A81EA9}"/>
    <cellStyle name="표준 93 2 2 2 4" xfId="3067" xr:uid="{D86AD566-8A17-4DDA-BA13-407590A81EA9}"/>
    <cellStyle name="표준 93 2 2 2 5" xfId="3762" xr:uid="{D86AD566-8A17-4DDA-BA13-407590A81EA9}"/>
    <cellStyle name="표준 93 2 2 3" xfId="2699" xr:uid="{DBD26053-5D20-4C33-95F7-86F81932DFF6}"/>
    <cellStyle name="표준 93 2 2 3 2" xfId="3395" xr:uid="{DBD26053-5D20-4C33-95F7-86F81932DFF6}"/>
    <cellStyle name="표준 93 2 2 3 3" xfId="4090" xr:uid="{DBD26053-5D20-4C33-95F7-86F81932DFF6}"/>
    <cellStyle name="표준 93 2 2 4" xfId="3047" xr:uid="{DBD26053-5D20-4C33-95F7-86F81932DFF6}"/>
    <cellStyle name="표준 93 2 2 5" xfId="3742" xr:uid="{DBD26053-5D20-4C33-95F7-86F81932DFF6}"/>
    <cellStyle name="표준 93 2 3" xfId="2678" xr:uid="{2531CB50-6455-4EC7-A9B2-FC4815890C7B}"/>
    <cellStyle name="표준 93 2 3 2" xfId="3374" xr:uid="{2531CB50-6455-4EC7-A9B2-FC4815890C7B}"/>
    <cellStyle name="표준 93 2 3 3" xfId="4069" xr:uid="{2531CB50-6455-4EC7-A9B2-FC4815890C7B}"/>
    <cellStyle name="표준 93 2 4" xfId="3026" xr:uid="{2531CB50-6455-4EC7-A9B2-FC4815890C7B}"/>
    <cellStyle name="표준 93 2 5" xfId="3721" xr:uid="{2531CB50-6455-4EC7-A9B2-FC4815890C7B}"/>
    <cellStyle name="표준 93 3" xfId="2657" xr:uid="{00000000-0005-0000-0000-000004090000}"/>
    <cellStyle name="표준 93 3 2" xfId="3353" xr:uid="{00000000-0005-0000-0000-000004090000}"/>
    <cellStyle name="표준 93 3 3" xfId="4048" xr:uid="{00000000-0005-0000-0000-000004090000}"/>
    <cellStyle name="표준 93 4" xfId="3005" xr:uid="{00000000-0005-0000-0000-000004090000}"/>
    <cellStyle name="표준 93 5" xfId="3700" xr:uid="{00000000-0005-0000-0000-000004090000}"/>
    <cellStyle name="표준 94" xfId="2305" xr:uid="{00000000-0005-0000-0000-000005090000}"/>
    <cellStyle name="표준 94 2" xfId="2331" xr:uid="{13CF5E88-77CC-4DE4-8435-3FFF065C6810}"/>
    <cellStyle name="표준 94 2 2" xfId="2352" xr:uid="{65DC6419-4455-4531-9804-CA1C82532F83}"/>
    <cellStyle name="표준 94 2 2 2" xfId="2372" xr:uid="{FE68047D-374E-4D16-A0CA-CE3180F46CB0}"/>
    <cellStyle name="표준 94 2 2 2 2" xfId="2392" xr:uid="{4A00455E-C7A9-44EA-A0F3-87E7E110895B}"/>
    <cellStyle name="표준 94 2 2 2 2 2" xfId="2412" xr:uid="{F459FE12-B489-48A9-849F-F3D212451A2F}"/>
    <cellStyle name="표준 94 2 2 2 2 2 2" xfId="2432" xr:uid="{082164B1-DB1F-444A-A68C-6E482CE5145A}"/>
    <cellStyle name="표준 94 2 2 2 2 2 2 2" xfId="2452" xr:uid="{7EB67C28-BEF8-4EB5-8870-2ED62E7BC148}"/>
    <cellStyle name="표준 94 2 2 2 2 2 2 2 10" xfId="2800" xr:uid="{7EB67C28-BEF8-4EB5-8870-2ED62E7BC148}"/>
    <cellStyle name="표준 94 2 2 2 2 2 2 2 10 2" xfId="3496" xr:uid="{7EB67C28-BEF8-4EB5-8870-2ED62E7BC148}"/>
    <cellStyle name="표준 94 2 2 2 2 2 2 2 10 3" xfId="4191" xr:uid="{7EB67C28-BEF8-4EB5-8870-2ED62E7BC148}"/>
    <cellStyle name="표준 94 2 2 2 2 2 2 2 11" xfId="3148" xr:uid="{7EB67C28-BEF8-4EB5-8870-2ED62E7BC148}"/>
    <cellStyle name="표준 94 2 2 2 2 2 2 2 12" xfId="3843" xr:uid="{7EB67C28-BEF8-4EB5-8870-2ED62E7BC148}"/>
    <cellStyle name="표준 94 2 2 2 2 2 2 2 2" xfId="2472" xr:uid="{5212E96B-8239-43A3-B022-7FDAA5C353FC}"/>
    <cellStyle name="표준 94 2 2 2 2 2 2 2 2 2" xfId="2820" xr:uid="{5212E96B-8239-43A3-B022-7FDAA5C353FC}"/>
    <cellStyle name="표준 94 2 2 2 2 2 2 2 2 2 2" xfId="3516" xr:uid="{5212E96B-8239-43A3-B022-7FDAA5C353FC}"/>
    <cellStyle name="표준 94 2 2 2 2 2 2 2 2 2 3" xfId="4211" xr:uid="{5212E96B-8239-43A3-B022-7FDAA5C353FC}"/>
    <cellStyle name="표준 94 2 2 2 2 2 2 2 2 3" xfId="3168" xr:uid="{5212E96B-8239-43A3-B022-7FDAA5C353FC}"/>
    <cellStyle name="표준 94 2 2 2 2 2 2 2 2 4" xfId="3863" xr:uid="{5212E96B-8239-43A3-B022-7FDAA5C353FC}"/>
    <cellStyle name="표준 94 2 2 2 2 2 2 2 3" xfId="2492" xr:uid="{FD071F5B-1D1A-4C60-90F6-C3E63B1E6005}"/>
    <cellStyle name="표준 94 2 2 2 2 2 2 2 3 2" xfId="2840" xr:uid="{FD071F5B-1D1A-4C60-90F6-C3E63B1E6005}"/>
    <cellStyle name="표준 94 2 2 2 2 2 2 2 3 2 2" xfId="3536" xr:uid="{FD071F5B-1D1A-4C60-90F6-C3E63B1E6005}"/>
    <cellStyle name="표준 94 2 2 2 2 2 2 2 3 2 3" xfId="4231" xr:uid="{FD071F5B-1D1A-4C60-90F6-C3E63B1E6005}"/>
    <cellStyle name="표준 94 2 2 2 2 2 2 2 3 3" xfId="3188" xr:uid="{FD071F5B-1D1A-4C60-90F6-C3E63B1E6005}"/>
    <cellStyle name="표준 94 2 2 2 2 2 2 2 3 4" xfId="3883" xr:uid="{FD071F5B-1D1A-4C60-90F6-C3E63B1E6005}"/>
    <cellStyle name="표준 94 2 2 2 2 2 2 2 4" xfId="2514" xr:uid="{8C4B1B8A-BFCE-4F60-AF4B-D95E6C04A447}"/>
    <cellStyle name="표준 94 2 2 2 2 2 2 2 4 2" xfId="2862" xr:uid="{8C4B1B8A-BFCE-4F60-AF4B-D95E6C04A447}"/>
    <cellStyle name="표준 94 2 2 2 2 2 2 2 4 2 2" xfId="3558" xr:uid="{8C4B1B8A-BFCE-4F60-AF4B-D95E6C04A447}"/>
    <cellStyle name="표준 94 2 2 2 2 2 2 2 4 2 3" xfId="4253" xr:uid="{8C4B1B8A-BFCE-4F60-AF4B-D95E6C04A447}"/>
    <cellStyle name="표준 94 2 2 2 2 2 2 2 4 3" xfId="3210" xr:uid="{8C4B1B8A-BFCE-4F60-AF4B-D95E6C04A447}"/>
    <cellStyle name="표준 94 2 2 2 2 2 2 2 4 4" xfId="3905" xr:uid="{8C4B1B8A-BFCE-4F60-AF4B-D95E6C04A447}"/>
    <cellStyle name="표준 94 2 2 2 2 2 2 2 5" xfId="2531" xr:uid="{98D20F36-AC15-4005-93A5-17D6770A7875}"/>
    <cellStyle name="표준 94 2 2 2 2 2 2 2 5 2" xfId="2879" xr:uid="{98D20F36-AC15-4005-93A5-17D6770A7875}"/>
    <cellStyle name="표준 94 2 2 2 2 2 2 2 5 2 2" xfId="3575" xr:uid="{98D20F36-AC15-4005-93A5-17D6770A7875}"/>
    <cellStyle name="표준 94 2 2 2 2 2 2 2 5 2 3" xfId="4270" xr:uid="{98D20F36-AC15-4005-93A5-17D6770A7875}"/>
    <cellStyle name="표준 94 2 2 2 2 2 2 2 5 3" xfId="3227" xr:uid="{98D20F36-AC15-4005-93A5-17D6770A7875}"/>
    <cellStyle name="표준 94 2 2 2 2 2 2 2 5 4" xfId="3922" xr:uid="{98D20F36-AC15-4005-93A5-17D6770A7875}"/>
    <cellStyle name="표준 94 2 2 2 2 2 2 2 6" xfId="2552" xr:uid="{5E04C589-6BF5-4E67-80A9-966AED247304}"/>
    <cellStyle name="표준 94 2 2 2 2 2 2 2 6 2" xfId="2900" xr:uid="{5E04C589-6BF5-4E67-80A9-966AED247304}"/>
    <cellStyle name="표준 94 2 2 2 2 2 2 2 6 2 2" xfId="3596" xr:uid="{5E04C589-6BF5-4E67-80A9-966AED247304}"/>
    <cellStyle name="표준 94 2 2 2 2 2 2 2 6 2 3" xfId="4291" xr:uid="{5E04C589-6BF5-4E67-80A9-966AED247304}"/>
    <cellStyle name="표준 94 2 2 2 2 2 2 2 6 3" xfId="3248" xr:uid="{5E04C589-6BF5-4E67-80A9-966AED247304}"/>
    <cellStyle name="표준 94 2 2 2 2 2 2 2 6 4" xfId="3943" xr:uid="{5E04C589-6BF5-4E67-80A9-966AED247304}"/>
    <cellStyle name="표준 94 2 2 2 2 2 2 2 7" xfId="2573" xr:uid="{17D98FCC-FBAA-48D0-867A-9A11EA7DE1F8}"/>
    <cellStyle name="표준 94 2 2 2 2 2 2 2 7 2" xfId="2921" xr:uid="{17D98FCC-FBAA-48D0-867A-9A11EA7DE1F8}"/>
    <cellStyle name="표준 94 2 2 2 2 2 2 2 7 2 2" xfId="3617" xr:uid="{17D98FCC-FBAA-48D0-867A-9A11EA7DE1F8}"/>
    <cellStyle name="표준 94 2 2 2 2 2 2 2 7 2 3" xfId="4312" xr:uid="{17D98FCC-FBAA-48D0-867A-9A11EA7DE1F8}"/>
    <cellStyle name="표준 94 2 2 2 2 2 2 2 7 3" xfId="3269" xr:uid="{17D98FCC-FBAA-48D0-867A-9A11EA7DE1F8}"/>
    <cellStyle name="표준 94 2 2 2 2 2 2 2 7 4" xfId="3964" xr:uid="{17D98FCC-FBAA-48D0-867A-9A11EA7DE1F8}"/>
    <cellStyle name="표준 94 2 2 2 2 2 2 2 8" xfId="2593" xr:uid="{DAA9236E-0E05-4145-89E3-E14935CFC177}"/>
    <cellStyle name="표준 94 2 2 2 2 2 2 2 8 2" xfId="2941" xr:uid="{DAA9236E-0E05-4145-89E3-E14935CFC177}"/>
    <cellStyle name="표준 94 2 2 2 2 2 2 2 8 2 2" xfId="3637" xr:uid="{DAA9236E-0E05-4145-89E3-E14935CFC177}"/>
    <cellStyle name="표준 94 2 2 2 2 2 2 2 8 2 3" xfId="4332" xr:uid="{DAA9236E-0E05-4145-89E3-E14935CFC177}"/>
    <cellStyle name="표준 94 2 2 2 2 2 2 2 8 3" xfId="3289" xr:uid="{DAA9236E-0E05-4145-89E3-E14935CFC177}"/>
    <cellStyle name="표준 94 2 2 2 2 2 2 2 8 4" xfId="3984" xr:uid="{DAA9236E-0E05-4145-89E3-E14935CFC177}"/>
    <cellStyle name="표준 94 2 2 2 2 2 2 2 9" xfId="2616" xr:uid="{48924E73-242F-4F1A-8D95-B1F0E72C899C}"/>
    <cellStyle name="표준 94 2 2 2 2 2 2 2 9 2" xfId="2964" xr:uid="{48924E73-242F-4F1A-8D95-B1F0E72C899C}"/>
    <cellStyle name="표준 94 2 2 2 2 2 2 2 9 2 2" xfId="3660" xr:uid="{48924E73-242F-4F1A-8D95-B1F0E72C899C}"/>
    <cellStyle name="표준 94 2 2 2 2 2 2 2 9 2 3" xfId="4355" xr:uid="{48924E73-242F-4F1A-8D95-B1F0E72C899C}"/>
    <cellStyle name="표준 94 2 2 2 2 2 2 2 9 3" xfId="3312" xr:uid="{48924E73-242F-4F1A-8D95-B1F0E72C899C}"/>
    <cellStyle name="표준 94 2 2 2 2 2 2 2 9 4" xfId="4007" xr:uid="{48924E73-242F-4F1A-8D95-B1F0E72C899C}"/>
    <cellStyle name="표준 94 2 2 2 2 2 2 3" xfId="2780" xr:uid="{082164B1-DB1F-444A-A68C-6E482CE5145A}"/>
    <cellStyle name="표준 94 2 2 2 2 2 2 3 2" xfId="3476" xr:uid="{082164B1-DB1F-444A-A68C-6E482CE5145A}"/>
    <cellStyle name="표준 94 2 2 2 2 2 2 3 3" xfId="4171" xr:uid="{082164B1-DB1F-444A-A68C-6E482CE5145A}"/>
    <cellStyle name="표준 94 2 2 2 2 2 2 4" xfId="3128" xr:uid="{082164B1-DB1F-444A-A68C-6E482CE5145A}"/>
    <cellStyle name="표준 94 2 2 2 2 2 2 5" xfId="3823" xr:uid="{082164B1-DB1F-444A-A68C-6E482CE5145A}"/>
    <cellStyle name="표준 94 2 2 2 2 2 3" xfId="2760" xr:uid="{F459FE12-B489-48A9-849F-F3D212451A2F}"/>
    <cellStyle name="표준 94 2 2 2 2 2 3 2" xfId="3456" xr:uid="{F459FE12-B489-48A9-849F-F3D212451A2F}"/>
    <cellStyle name="표준 94 2 2 2 2 2 3 3" xfId="4151" xr:uid="{F459FE12-B489-48A9-849F-F3D212451A2F}"/>
    <cellStyle name="표준 94 2 2 2 2 2 4" xfId="3108" xr:uid="{F459FE12-B489-48A9-849F-F3D212451A2F}"/>
    <cellStyle name="표준 94 2 2 2 2 2 5" xfId="3803" xr:uid="{F459FE12-B489-48A9-849F-F3D212451A2F}"/>
    <cellStyle name="표준 94 2 2 2 2 3" xfId="2740" xr:uid="{4A00455E-C7A9-44EA-A0F3-87E7E110895B}"/>
    <cellStyle name="표준 94 2 2 2 2 3 2" xfId="3436" xr:uid="{4A00455E-C7A9-44EA-A0F3-87E7E110895B}"/>
    <cellStyle name="표준 94 2 2 2 2 3 3" xfId="4131" xr:uid="{4A00455E-C7A9-44EA-A0F3-87E7E110895B}"/>
    <cellStyle name="표준 94 2 2 2 2 4" xfId="3088" xr:uid="{4A00455E-C7A9-44EA-A0F3-87E7E110895B}"/>
    <cellStyle name="표준 94 2 2 2 2 5" xfId="3783" xr:uid="{4A00455E-C7A9-44EA-A0F3-87E7E110895B}"/>
    <cellStyle name="표준 94 2 2 2 3" xfId="2720" xr:uid="{FE68047D-374E-4D16-A0CA-CE3180F46CB0}"/>
    <cellStyle name="표준 94 2 2 2 3 2" xfId="3416" xr:uid="{FE68047D-374E-4D16-A0CA-CE3180F46CB0}"/>
    <cellStyle name="표준 94 2 2 2 3 3" xfId="4111" xr:uid="{FE68047D-374E-4D16-A0CA-CE3180F46CB0}"/>
    <cellStyle name="표준 94 2 2 2 4" xfId="3068" xr:uid="{FE68047D-374E-4D16-A0CA-CE3180F46CB0}"/>
    <cellStyle name="표준 94 2 2 2 5" xfId="3763" xr:uid="{FE68047D-374E-4D16-A0CA-CE3180F46CB0}"/>
    <cellStyle name="표준 94 2 2 3" xfId="2700" xr:uid="{65DC6419-4455-4531-9804-CA1C82532F83}"/>
    <cellStyle name="표준 94 2 2 3 2" xfId="3396" xr:uid="{65DC6419-4455-4531-9804-CA1C82532F83}"/>
    <cellStyle name="표준 94 2 2 3 3" xfId="4091" xr:uid="{65DC6419-4455-4531-9804-CA1C82532F83}"/>
    <cellStyle name="표준 94 2 2 4" xfId="3048" xr:uid="{65DC6419-4455-4531-9804-CA1C82532F83}"/>
    <cellStyle name="표준 94 2 2 5" xfId="3743" xr:uid="{65DC6419-4455-4531-9804-CA1C82532F83}"/>
    <cellStyle name="표준 94 2 3" xfId="2679" xr:uid="{13CF5E88-77CC-4DE4-8435-3FFF065C6810}"/>
    <cellStyle name="표준 94 2 3 2" xfId="3375" xr:uid="{13CF5E88-77CC-4DE4-8435-3FFF065C6810}"/>
    <cellStyle name="표준 94 2 3 3" xfId="4070" xr:uid="{13CF5E88-77CC-4DE4-8435-3FFF065C6810}"/>
    <cellStyle name="표준 94 2 4" xfId="3027" xr:uid="{13CF5E88-77CC-4DE4-8435-3FFF065C6810}"/>
    <cellStyle name="표준 94 2 5" xfId="3722" xr:uid="{13CF5E88-77CC-4DE4-8435-3FFF065C6810}"/>
    <cellStyle name="표준 94 3" xfId="2658" xr:uid="{00000000-0005-0000-0000-000005090000}"/>
    <cellStyle name="표준 94 3 2" xfId="3354" xr:uid="{00000000-0005-0000-0000-000005090000}"/>
    <cellStyle name="표준 94 3 3" xfId="4049" xr:uid="{00000000-0005-0000-0000-000005090000}"/>
    <cellStyle name="표준 94 4" xfId="3006" xr:uid="{00000000-0005-0000-0000-000005090000}"/>
    <cellStyle name="표준 94 5" xfId="3701" xr:uid="{00000000-0005-0000-0000-000005090000}"/>
    <cellStyle name="표준 95" xfId="2306" xr:uid="{00000000-0005-0000-0000-000006090000}"/>
    <cellStyle name="표준 95 2" xfId="2659" xr:uid="{00000000-0005-0000-0000-000006090000}"/>
    <cellStyle name="표준 95 2 2" xfId="3355" xr:uid="{00000000-0005-0000-0000-000006090000}"/>
    <cellStyle name="표준 95 2 3" xfId="4050" xr:uid="{00000000-0005-0000-0000-000006090000}"/>
    <cellStyle name="표준 95 3" xfId="3007" xr:uid="{00000000-0005-0000-0000-000006090000}"/>
    <cellStyle name="표준 95 4" xfId="3702" xr:uid="{00000000-0005-0000-0000-000006090000}"/>
    <cellStyle name="표준 96" xfId="2307" xr:uid="{00000000-0005-0000-0000-000007090000}"/>
    <cellStyle name="표준 96 2" xfId="2660" xr:uid="{00000000-0005-0000-0000-000007090000}"/>
    <cellStyle name="표준 96 2 2" xfId="3356" xr:uid="{00000000-0005-0000-0000-000007090000}"/>
    <cellStyle name="표준 96 2 3" xfId="4051" xr:uid="{00000000-0005-0000-0000-000007090000}"/>
    <cellStyle name="표준 96 3" xfId="3008" xr:uid="{00000000-0005-0000-0000-000007090000}"/>
    <cellStyle name="표준 96 4" xfId="3703" xr:uid="{00000000-0005-0000-0000-000007090000}"/>
    <cellStyle name="표준 97" xfId="2308" xr:uid="{00000000-0005-0000-0000-000008090000}"/>
    <cellStyle name="표준 97 2" xfId="2661" xr:uid="{00000000-0005-0000-0000-000008090000}"/>
    <cellStyle name="표준 97 2 2" xfId="3357" xr:uid="{00000000-0005-0000-0000-000008090000}"/>
    <cellStyle name="표준 97 2 3" xfId="4052" xr:uid="{00000000-0005-0000-0000-000008090000}"/>
    <cellStyle name="표준 97 3" xfId="3009" xr:uid="{00000000-0005-0000-0000-000008090000}"/>
    <cellStyle name="표준 97 4" xfId="3704" xr:uid="{00000000-0005-0000-0000-000008090000}"/>
    <cellStyle name="표준 98" xfId="2309" xr:uid="{00000000-0005-0000-0000-000009090000}"/>
    <cellStyle name="표준 98 2" xfId="2662" xr:uid="{00000000-0005-0000-0000-000009090000}"/>
    <cellStyle name="표준 98 2 2" xfId="3358" xr:uid="{00000000-0005-0000-0000-000009090000}"/>
    <cellStyle name="표준 98 2 3" xfId="4053" xr:uid="{00000000-0005-0000-0000-000009090000}"/>
    <cellStyle name="표준 98 3" xfId="3010" xr:uid="{00000000-0005-0000-0000-000009090000}"/>
    <cellStyle name="표준 98 4" xfId="3705" xr:uid="{00000000-0005-0000-0000-000009090000}"/>
    <cellStyle name="표준 99" xfId="2310" xr:uid="{00000000-0005-0000-0000-00000A090000}"/>
    <cellStyle name="표준 99 2" xfId="2663" xr:uid="{00000000-0005-0000-0000-00000A090000}"/>
    <cellStyle name="표준 99 2 2" xfId="3359" xr:uid="{00000000-0005-0000-0000-00000A090000}"/>
    <cellStyle name="표준 99 2 3" xfId="4054" xr:uid="{00000000-0005-0000-0000-00000A090000}"/>
    <cellStyle name="표준 99 3" xfId="3011" xr:uid="{00000000-0005-0000-0000-00000A090000}"/>
    <cellStyle name="표준 99 4" xfId="3706" xr:uid="{00000000-0005-0000-0000-00000A090000}"/>
    <cellStyle name="표준_10. 전력사용량" xfId="2318" xr:uid="{8A570AD9-DB15-4F0E-A85C-6E5483DE3944}"/>
    <cellStyle name="표준_9.자동차 신규등록대수" xfId="2317" xr:uid="{0CD31FF7-6084-4A60-8EA8-5F5D44C3CA3A}"/>
    <cellStyle name="표준_P_A08_기업경기 및 소비자동향조사(사식완료162-163) 2" xfId="2316" xr:uid="{9DB3DF28-B649-452B-B5EF-E69936C0D7ED}"/>
    <cellStyle name="표준_국내편 4월 종합" xfId="2315" xr:uid="{5C468E02-36EA-4B55-8A8C-C054A7DD32C2}"/>
    <cellStyle name="표준_실물통계편(200409)" xfId="2314" xr:uid="{846B7B58-B64D-4431-8982-FCBCBB02C62C}"/>
    <cellStyle name="하이퍼링크 2" xfId="2279" xr:uid="{00000000-0005-0000-0000-0000EF080000}"/>
    <cellStyle name="합산" xfId="2280" xr:uid="{00000000-0005-0000-0000-0000F0080000}"/>
    <cellStyle name="화폐기호" xfId="2281" xr:uid="{00000000-0005-0000-0000-0000F1080000}"/>
    <cellStyle name="화폐기호0" xfId="2282" xr:uid="{00000000-0005-0000-0000-0000F2080000}"/>
  </cellStyles>
  <dxfs count="265"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  <dxf>
      <numFmt numFmtId="207" formatCode="yyyy\.\ m\ "/>
    </dxf>
  </dxfs>
  <tableStyles count="0" defaultTableStyle="TableStyleMedium9" defaultPivotStyle="PivotStyleLight16"/>
  <colors>
    <mruColors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74544</xdr:rowOff>
    </xdr:from>
    <xdr:to>
      <xdr:col>7</xdr:col>
      <xdr:colOff>662609</xdr:colOff>
      <xdr:row>3</xdr:row>
      <xdr:rowOff>107675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55F407-DEBE-4B91-8F80-E443D36D1072}"/>
            </a:ext>
          </a:extLst>
        </xdr:cNvPr>
        <xdr:cNvSpPr txBox="1"/>
      </xdr:nvSpPr>
      <xdr:spPr>
        <a:xfrm>
          <a:off x="1068457" y="74544"/>
          <a:ext cx="5449956" cy="55493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ko-K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안내</a:t>
          </a:r>
          <a:r>
            <a:rPr lang="en-US" altLang="ko-K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2025.8</a:t>
          </a:r>
          <a:r>
            <a:rPr lang="ko-KR" altLang="ko-K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월호부터 중소제조업 평균 가동률</a:t>
          </a:r>
          <a:r>
            <a:rPr lang="en-US" altLang="ko-K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자료</a:t>
          </a:r>
          <a:r>
            <a:rPr lang="en-US" altLang="ko-K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중소기업중앙회 부산울산지역본부</a:t>
          </a:r>
          <a:r>
            <a:rPr lang="en-US" altLang="ko-K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ko-K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은</a:t>
          </a:r>
          <a:endParaRPr lang="ko-KR" altLang="ko-KR" sz="1050">
            <a:effectLst/>
          </a:endParaRPr>
        </a:p>
        <a:p>
          <a:r>
            <a:rPr lang="ko-KR" altLang="ko-K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자료제공처의 사정으로 더이상 공표되지 않음을 안내드리니 참고하시기 바랍니다</a:t>
          </a:r>
          <a:r>
            <a:rPr lang="en-US" altLang="ko-K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sz="1050">
            <a:effectLst/>
          </a:endParaRPr>
        </a:p>
        <a:p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83F1-1266-493D-820E-3DA3EC98F9AE}">
  <sheetPr>
    <pageSetUpPr fitToPage="1"/>
  </sheetPr>
  <dimension ref="A1:Y362"/>
  <sheetViews>
    <sheetView tabSelected="1" view="pageBreakPreview" zoomScale="115" zoomScaleNormal="100" zoomScaleSheetLayoutView="115" workbookViewId="0">
      <pane xSplit="1" ySplit="8" topLeftCell="B9" activePane="bottomRight" state="frozen"/>
      <selection activeCell="E19" sqref="E19"/>
      <selection pane="topRight" activeCell="E19" sqref="E19"/>
      <selection pane="bottomLeft" activeCell="E19" sqref="E19"/>
      <selection pane="bottomRight" sqref="A1:G1"/>
    </sheetView>
  </sheetViews>
  <sheetFormatPr defaultRowHeight="13.5"/>
  <cols>
    <col min="1" max="1" width="9.109375" style="52" customWidth="1"/>
    <col min="2" max="6" width="10.77734375" style="59" customWidth="1"/>
    <col min="7" max="7" width="10.77734375" style="60" customWidth="1"/>
    <col min="8" max="8" width="4.88671875" customWidth="1"/>
    <col min="9" max="9" width="8.77734375" customWidth="1"/>
    <col min="10" max="12" width="4.88671875" customWidth="1"/>
    <col min="13" max="18" width="5.5546875" customWidth="1"/>
    <col min="19" max="19" width="4.77734375" customWidth="1"/>
    <col min="20" max="30" width="4.88671875" bestFit="1" customWidth="1"/>
    <col min="257" max="257" width="7.77734375" customWidth="1"/>
    <col min="258" max="263" width="8.77734375" customWidth="1"/>
    <col min="264" max="269" width="4.88671875" customWidth="1"/>
    <col min="270" max="270" width="5.5546875" customWidth="1"/>
    <col min="271" max="272" width="4.88671875" bestFit="1" customWidth="1"/>
    <col min="273" max="273" width="3.6640625" customWidth="1"/>
    <col min="274" max="274" width="3.5546875" customWidth="1"/>
    <col min="275" max="275" width="4.77734375" customWidth="1"/>
    <col min="276" max="277" width="4.88671875" bestFit="1" customWidth="1"/>
    <col min="513" max="513" width="7.77734375" customWidth="1"/>
    <col min="514" max="519" width="8.77734375" customWidth="1"/>
    <col min="520" max="525" width="4.88671875" customWidth="1"/>
    <col min="526" max="526" width="5.5546875" customWidth="1"/>
    <col min="527" max="528" width="4.88671875" bestFit="1" customWidth="1"/>
    <col min="529" max="529" width="3.6640625" customWidth="1"/>
    <col min="530" max="530" width="3.5546875" customWidth="1"/>
    <col min="531" max="531" width="4.77734375" customWidth="1"/>
    <col min="532" max="533" width="4.88671875" bestFit="1" customWidth="1"/>
    <col min="769" max="769" width="7.77734375" customWidth="1"/>
    <col min="770" max="775" width="8.77734375" customWidth="1"/>
    <col min="776" max="781" width="4.88671875" customWidth="1"/>
    <col min="782" max="782" width="5.5546875" customWidth="1"/>
    <col min="783" max="784" width="4.88671875" bestFit="1" customWidth="1"/>
    <col min="785" max="785" width="3.6640625" customWidth="1"/>
    <col min="786" max="786" width="3.5546875" customWidth="1"/>
    <col min="787" max="787" width="4.77734375" customWidth="1"/>
    <col min="788" max="789" width="4.88671875" bestFit="1" customWidth="1"/>
    <col min="1025" max="1025" width="7.77734375" customWidth="1"/>
    <col min="1026" max="1031" width="8.77734375" customWidth="1"/>
    <col min="1032" max="1037" width="4.88671875" customWidth="1"/>
    <col min="1038" max="1038" width="5.5546875" customWidth="1"/>
    <col min="1039" max="1040" width="4.88671875" bestFit="1" customWidth="1"/>
    <col min="1041" max="1041" width="3.6640625" customWidth="1"/>
    <col min="1042" max="1042" width="3.5546875" customWidth="1"/>
    <col min="1043" max="1043" width="4.77734375" customWidth="1"/>
    <col min="1044" max="1045" width="4.88671875" bestFit="1" customWidth="1"/>
    <col min="1281" max="1281" width="7.77734375" customWidth="1"/>
    <col min="1282" max="1287" width="8.77734375" customWidth="1"/>
    <col min="1288" max="1293" width="4.88671875" customWidth="1"/>
    <col min="1294" max="1294" width="5.5546875" customWidth="1"/>
    <col min="1295" max="1296" width="4.88671875" bestFit="1" customWidth="1"/>
    <col min="1297" max="1297" width="3.6640625" customWidth="1"/>
    <col min="1298" max="1298" width="3.5546875" customWidth="1"/>
    <col min="1299" max="1299" width="4.77734375" customWidth="1"/>
    <col min="1300" max="1301" width="4.88671875" bestFit="1" customWidth="1"/>
    <col min="1537" max="1537" width="7.77734375" customWidth="1"/>
    <col min="1538" max="1543" width="8.77734375" customWidth="1"/>
    <col min="1544" max="1549" width="4.88671875" customWidth="1"/>
    <col min="1550" max="1550" width="5.5546875" customWidth="1"/>
    <col min="1551" max="1552" width="4.88671875" bestFit="1" customWidth="1"/>
    <col min="1553" max="1553" width="3.6640625" customWidth="1"/>
    <col min="1554" max="1554" width="3.5546875" customWidth="1"/>
    <col min="1555" max="1555" width="4.77734375" customWidth="1"/>
    <col min="1556" max="1557" width="4.88671875" bestFit="1" customWidth="1"/>
    <col min="1793" max="1793" width="7.77734375" customWidth="1"/>
    <col min="1794" max="1799" width="8.77734375" customWidth="1"/>
    <col min="1800" max="1805" width="4.88671875" customWidth="1"/>
    <col min="1806" max="1806" width="5.5546875" customWidth="1"/>
    <col min="1807" max="1808" width="4.88671875" bestFit="1" customWidth="1"/>
    <col min="1809" max="1809" width="3.6640625" customWidth="1"/>
    <col min="1810" max="1810" width="3.5546875" customWidth="1"/>
    <col min="1811" max="1811" width="4.77734375" customWidth="1"/>
    <col min="1812" max="1813" width="4.88671875" bestFit="1" customWidth="1"/>
    <col min="2049" max="2049" width="7.77734375" customWidth="1"/>
    <col min="2050" max="2055" width="8.77734375" customWidth="1"/>
    <col min="2056" max="2061" width="4.88671875" customWidth="1"/>
    <col min="2062" max="2062" width="5.5546875" customWidth="1"/>
    <col min="2063" max="2064" width="4.88671875" bestFit="1" customWidth="1"/>
    <col min="2065" max="2065" width="3.6640625" customWidth="1"/>
    <col min="2066" max="2066" width="3.5546875" customWidth="1"/>
    <col min="2067" max="2067" width="4.77734375" customWidth="1"/>
    <col min="2068" max="2069" width="4.88671875" bestFit="1" customWidth="1"/>
    <col min="2305" max="2305" width="7.77734375" customWidth="1"/>
    <col min="2306" max="2311" width="8.77734375" customWidth="1"/>
    <col min="2312" max="2317" width="4.88671875" customWidth="1"/>
    <col min="2318" max="2318" width="5.5546875" customWidth="1"/>
    <col min="2319" max="2320" width="4.88671875" bestFit="1" customWidth="1"/>
    <col min="2321" max="2321" width="3.6640625" customWidth="1"/>
    <col min="2322" max="2322" width="3.5546875" customWidth="1"/>
    <col min="2323" max="2323" width="4.77734375" customWidth="1"/>
    <col min="2324" max="2325" width="4.88671875" bestFit="1" customWidth="1"/>
    <col min="2561" max="2561" width="7.77734375" customWidth="1"/>
    <col min="2562" max="2567" width="8.77734375" customWidth="1"/>
    <col min="2568" max="2573" width="4.88671875" customWidth="1"/>
    <col min="2574" max="2574" width="5.5546875" customWidth="1"/>
    <col min="2575" max="2576" width="4.88671875" bestFit="1" customWidth="1"/>
    <col min="2577" max="2577" width="3.6640625" customWidth="1"/>
    <col min="2578" max="2578" width="3.5546875" customWidth="1"/>
    <col min="2579" max="2579" width="4.77734375" customWidth="1"/>
    <col min="2580" max="2581" width="4.88671875" bestFit="1" customWidth="1"/>
    <col min="2817" max="2817" width="7.77734375" customWidth="1"/>
    <col min="2818" max="2823" width="8.77734375" customWidth="1"/>
    <col min="2824" max="2829" width="4.88671875" customWidth="1"/>
    <col min="2830" max="2830" width="5.5546875" customWidth="1"/>
    <col min="2831" max="2832" width="4.88671875" bestFit="1" customWidth="1"/>
    <col min="2833" max="2833" width="3.6640625" customWidth="1"/>
    <col min="2834" max="2834" width="3.5546875" customWidth="1"/>
    <col min="2835" max="2835" width="4.77734375" customWidth="1"/>
    <col min="2836" max="2837" width="4.88671875" bestFit="1" customWidth="1"/>
    <col min="3073" max="3073" width="7.77734375" customWidth="1"/>
    <col min="3074" max="3079" width="8.77734375" customWidth="1"/>
    <col min="3080" max="3085" width="4.88671875" customWidth="1"/>
    <col min="3086" max="3086" width="5.5546875" customWidth="1"/>
    <col min="3087" max="3088" width="4.88671875" bestFit="1" customWidth="1"/>
    <col min="3089" max="3089" width="3.6640625" customWidth="1"/>
    <col min="3090" max="3090" width="3.5546875" customWidth="1"/>
    <col min="3091" max="3091" width="4.77734375" customWidth="1"/>
    <col min="3092" max="3093" width="4.88671875" bestFit="1" customWidth="1"/>
    <col min="3329" max="3329" width="7.77734375" customWidth="1"/>
    <col min="3330" max="3335" width="8.77734375" customWidth="1"/>
    <col min="3336" max="3341" width="4.88671875" customWidth="1"/>
    <col min="3342" max="3342" width="5.5546875" customWidth="1"/>
    <col min="3343" max="3344" width="4.88671875" bestFit="1" customWidth="1"/>
    <col min="3345" max="3345" width="3.6640625" customWidth="1"/>
    <col min="3346" max="3346" width="3.5546875" customWidth="1"/>
    <col min="3347" max="3347" width="4.77734375" customWidth="1"/>
    <col min="3348" max="3349" width="4.88671875" bestFit="1" customWidth="1"/>
    <col min="3585" max="3585" width="7.77734375" customWidth="1"/>
    <col min="3586" max="3591" width="8.77734375" customWidth="1"/>
    <col min="3592" max="3597" width="4.88671875" customWidth="1"/>
    <col min="3598" max="3598" width="5.5546875" customWidth="1"/>
    <col min="3599" max="3600" width="4.88671875" bestFit="1" customWidth="1"/>
    <col min="3601" max="3601" width="3.6640625" customWidth="1"/>
    <col min="3602" max="3602" width="3.5546875" customWidth="1"/>
    <col min="3603" max="3603" width="4.77734375" customWidth="1"/>
    <col min="3604" max="3605" width="4.88671875" bestFit="1" customWidth="1"/>
    <col min="3841" max="3841" width="7.77734375" customWidth="1"/>
    <col min="3842" max="3847" width="8.77734375" customWidth="1"/>
    <col min="3848" max="3853" width="4.88671875" customWidth="1"/>
    <col min="3854" max="3854" width="5.5546875" customWidth="1"/>
    <col min="3855" max="3856" width="4.88671875" bestFit="1" customWidth="1"/>
    <col min="3857" max="3857" width="3.6640625" customWidth="1"/>
    <col min="3858" max="3858" width="3.5546875" customWidth="1"/>
    <col min="3859" max="3859" width="4.77734375" customWidth="1"/>
    <col min="3860" max="3861" width="4.88671875" bestFit="1" customWidth="1"/>
    <col min="4097" max="4097" width="7.77734375" customWidth="1"/>
    <col min="4098" max="4103" width="8.77734375" customWidth="1"/>
    <col min="4104" max="4109" width="4.88671875" customWidth="1"/>
    <col min="4110" max="4110" width="5.5546875" customWidth="1"/>
    <col min="4111" max="4112" width="4.88671875" bestFit="1" customWidth="1"/>
    <col min="4113" max="4113" width="3.6640625" customWidth="1"/>
    <col min="4114" max="4114" width="3.5546875" customWidth="1"/>
    <col min="4115" max="4115" width="4.77734375" customWidth="1"/>
    <col min="4116" max="4117" width="4.88671875" bestFit="1" customWidth="1"/>
    <col min="4353" max="4353" width="7.77734375" customWidth="1"/>
    <col min="4354" max="4359" width="8.77734375" customWidth="1"/>
    <col min="4360" max="4365" width="4.88671875" customWidth="1"/>
    <col min="4366" max="4366" width="5.5546875" customWidth="1"/>
    <col min="4367" max="4368" width="4.88671875" bestFit="1" customWidth="1"/>
    <col min="4369" max="4369" width="3.6640625" customWidth="1"/>
    <col min="4370" max="4370" width="3.5546875" customWidth="1"/>
    <col min="4371" max="4371" width="4.77734375" customWidth="1"/>
    <col min="4372" max="4373" width="4.88671875" bestFit="1" customWidth="1"/>
    <col min="4609" max="4609" width="7.77734375" customWidth="1"/>
    <col min="4610" max="4615" width="8.77734375" customWidth="1"/>
    <col min="4616" max="4621" width="4.88671875" customWidth="1"/>
    <col min="4622" max="4622" width="5.5546875" customWidth="1"/>
    <col min="4623" max="4624" width="4.88671875" bestFit="1" customWidth="1"/>
    <col min="4625" max="4625" width="3.6640625" customWidth="1"/>
    <col min="4626" max="4626" width="3.5546875" customWidth="1"/>
    <col min="4627" max="4627" width="4.77734375" customWidth="1"/>
    <col min="4628" max="4629" width="4.88671875" bestFit="1" customWidth="1"/>
    <col min="4865" max="4865" width="7.77734375" customWidth="1"/>
    <col min="4866" max="4871" width="8.77734375" customWidth="1"/>
    <col min="4872" max="4877" width="4.88671875" customWidth="1"/>
    <col min="4878" max="4878" width="5.5546875" customWidth="1"/>
    <col min="4879" max="4880" width="4.88671875" bestFit="1" customWidth="1"/>
    <col min="4881" max="4881" width="3.6640625" customWidth="1"/>
    <col min="4882" max="4882" width="3.5546875" customWidth="1"/>
    <col min="4883" max="4883" width="4.77734375" customWidth="1"/>
    <col min="4884" max="4885" width="4.88671875" bestFit="1" customWidth="1"/>
    <col min="5121" max="5121" width="7.77734375" customWidth="1"/>
    <col min="5122" max="5127" width="8.77734375" customWidth="1"/>
    <col min="5128" max="5133" width="4.88671875" customWidth="1"/>
    <col min="5134" max="5134" width="5.5546875" customWidth="1"/>
    <col min="5135" max="5136" width="4.88671875" bestFit="1" customWidth="1"/>
    <col min="5137" max="5137" width="3.6640625" customWidth="1"/>
    <col min="5138" max="5138" width="3.5546875" customWidth="1"/>
    <col min="5139" max="5139" width="4.77734375" customWidth="1"/>
    <col min="5140" max="5141" width="4.88671875" bestFit="1" customWidth="1"/>
    <col min="5377" max="5377" width="7.77734375" customWidth="1"/>
    <col min="5378" max="5383" width="8.77734375" customWidth="1"/>
    <col min="5384" max="5389" width="4.88671875" customWidth="1"/>
    <col min="5390" max="5390" width="5.5546875" customWidth="1"/>
    <col min="5391" max="5392" width="4.88671875" bestFit="1" customWidth="1"/>
    <col min="5393" max="5393" width="3.6640625" customWidth="1"/>
    <col min="5394" max="5394" width="3.5546875" customWidth="1"/>
    <col min="5395" max="5395" width="4.77734375" customWidth="1"/>
    <col min="5396" max="5397" width="4.88671875" bestFit="1" customWidth="1"/>
    <col min="5633" max="5633" width="7.77734375" customWidth="1"/>
    <col min="5634" max="5639" width="8.77734375" customWidth="1"/>
    <col min="5640" max="5645" width="4.88671875" customWidth="1"/>
    <col min="5646" max="5646" width="5.5546875" customWidth="1"/>
    <col min="5647" max="5648" width="4.88671875" bestFit="1" customWidth="1"/>
    <col min="5649" max="5649" width="3.6640625" customWidth="1"/>
    <col min="5650" max="5650" width="3.5546875" customWidth="1"/>
    <col min="5651" max="5651" width="4.77734375" customWidth="1"/>
    <col min="5652" max="5653" width="4.88671875" bestFit="1" customWidth="1"/>
    <col min="5889" max="5889" width="7.77734375" customWidth="1"/>
    <col min="5890" max="5895" width="8.77734375" customWidth="1"/>
    <col min="5896" max="5901" width="4.88671875" customWidth="1"/>
    <col min="5902" max="5902" width="5.5546875" customWidth="1"/>
    <col min="5903" max="5904" width="4.88671875" bestFit="1" customWidth="1"/>
    <col min="5905" max="5905" width="3.6640625" customWidth="1"/>
    <col min="5906" max="5906" width="3.5546875" customWidth="1"/>
    <col min="5907" max="5907" width="4.77734375" customWidth="1"/>
    <col min="5908" max="5909" width="4.88671875" bestFit="1" customWidth="1"/>
    <col min="6145" max="6145" width="7.77734375" customWidth="1"/>
    <col min="6146" max="6151" width="8.77734375" customWidth="1"/>
    <col min="6152" max="6157" width="4.88671875" customWidth="1"/>
    <col min="6158" max="6158" width="5.5546875" customWidth="1"/>
    <col min="6159" max="6160" width="4.88671875" bestFit="1" customWidth="1"/>
    <col min="6161" max="6161" width="3.6640625" customWidth="1"/>
    <col min="6162" max="6162" width="3.5546875" customWidth="1"/>
    <col min="6163" max="6163" width="4.77734375" customWidth="1"/>
    <col min="6164" max="6165" width="4.88671875" bestFit="1" customWidth="1"/>
    <col min="6401" max="6401" width="7.77734375" customWidth="1"/>
    <col min="6402" max="6407" width="8.77734375" customWidth="1"/>
    <col min="6408" max="6413" width="4.88671875" customWidth="1"/>
    <col min="6414" max="6414" width="5.5546875" customWidth="1"/>
    <col min="6415" max="6416" width="4.88671875" bestFit="1" customWidth="1"/>
    <col min="6417" max="6417" width="3.6640625" customWidth="1"/>
    <col min="6418" max="6418" width="3.5546875" customWidth="1"/>
    <col min="6419" max="6419" width="4.77734375" customWidth="1"/>
    <col min="6420" max="6421" width="4.88671875" bestFit="1" customWidth="1"/>
    <col min="6657" max="6657" width="7.77734375" customWidth="1"/>
    <col min="6658" max="6663" width="8.77734375" customWidth="1"/>
    <col min="6664" max="6669" width="4.88671875" customWidth="1"/>
    <col min="6670" max="6670" width="5.5546875" customWidth="1"/>
    <col min="6671" max="6672" width="4.88671875" bestFit="1" customWidth="1"/>
    <col min="6673" max="6673" width="3.6640625" customWidth="1"/>
    <col min="6674" max="6674" width="3.5546875" customWidth="1"/>
    <col min="6675" max="6675" width="4.77734375" customWidth="1"/>
    <col min="6676" max="6677" width="4.88671875" bestFit="1" customWidth="1"/>
    <col min="6913" max="6913" width="7.77734375" customWidth="1"/>
    <col min="6914" max="6919" width="8.77734375" customWidth="1"/>
    <col min="6920" max="6925" width="4.88671875" customWidth="1"/>
    <col min="6926" max="6926" width="5.5546875" customWidth="1"/>
    <col min="6927" max="6928" width="4.88671875" bestFit="1" customWidth="1"/>
    <col min="6929" max="6929" width="3.6640625" customWidth="1"/>
    <col min="6930" max="6930" width="3.5546875" customWidth="1"/>
    <col min="6931" max="6931" width="4.77734375" customWidth="1"/>
    <col min="6932" max="6933" width="4.88671875" bestFit="1" customWidth="1"/>
    <col min="7169" max="7169" width="7.77734375" customWidth="1"/>
    <col min="7170" max="7175" width="8.77734375" customWidth="1"/>
    <col min="7176" max="7181" width="4.88671875" customWidth="1"/>
    <col min="7182" max="7182" width="5.5546875" customWidth="1"/>
    <col min="7183" max="7184" width="4.88671875" bestFit="1" customWidth="1"/>
    <col min="7185" max="7185" width="3.6640625" customWidth="1"/>
    <col min="7186" max="7186" width="3.5546875" customWidth="1"/>
    <col min="7187" max="7187" width="4.77734375" customWidth="1"/>
    <col min="7188" max="7189" width="4.88671875" bestFit="1" customWidth="1"/>
    <col min="7425" max="7425" width="7.77734375" customWidth="1"/>
    <col min="7426" max="7431" width="8.77734375" customWidth="1"/>
    <col min="7432" max="7437" width="4.88671875" customWidth="1"/>
    <col min="7438" max="7438" width="5.5546875" customWidth="1"/>
    <col min="7439" max="7440" width="4.88671875" bestFit="1" customWidth="1"/>
    <col min="7441" max="7441" width="3.6640625" customWidth="1"/>
    <col min="7442" max="7442" width="3.5546875" customWidth="1"/>
    <col min="7443" max="7443" width="4.77734375" customWidth="1"/>
    <col min="7444" max="7445" width="4.88671875" bestFit="1" customWidth="1"/>
    <col min="7681" max="7681" width="7.77734375" customWidth="1"/>
    <col min="7682" max="7687" width="8.77734375" customWidth="1"/>
    <col min="7688" max="7693" width="4.88671875" customWidth="1"/>
    <col min="7694" max="7694" width="5.5546875" customWidth="1"/>
    <col min="7695" max="7696" width="4.88671875" bestFit="1" customWidth="1"/>
    <col min="7697" max="7697" width="3.6640625" customWidth="1"/>
    <col min="7698" max="7698" width="3.5546875" customWidth="1"/>
    <col min="7699" max="7699" width="4.77734375" customWidth="1"/>
    <col min="7700" max="7701" width="4.88671875" bestFit="1" customWidth="1"/>
    <col min="7937" max="7937" width="7.77734375" customWidth="1"/>
    <col min="7938" max="7943" width="8.77734375" customWidth="1"/>
    <col min="7944" max="7949" width="4.88671875" customWidth="1"/>
    <col min="7950" max="7950" width="5.5546875" customWidth="1"/>
    <col min="7951" max="7952" width="4.88671875" bestFit="1" customWidth="1"/>
    <col min="7953" max="7953" width="3.6640625" customWidth="1"/>
    <col min="7954" max="7954" width="3.5546875" customWidth="1"/>
    <col min="7955" max="7955" width="4.77734375" customWidth="1"/>
    <col min="7956" max="7957" width="4.88671875" bestFit="1" customWidth="1"/>
    <col min="8193" max="8193" width="7.77734375" customWidth="1"/>
    <col min="8194" max="8199" width="8.77734375" customWidth="1"/>
    <col min="8200" max="8205" width="4.88671875" customWidth="1"/>
    <col min="8206" max="8206" width="5.5546875" customWidth="1"/>
    <col min="8207" max="8208" width="4.88671875" bestFit="1" customWidth="1"/>
    <col min="8209" max="8209" width="3.6640625" customWidth="1"/>
    <col min="8210" max="8210" width="3.5546875" customWidth="1"/>
    <col min="8211" max="8211" width="4.77734375" customWidth="1"/>
    <col min="8212" max="8213" width="4.88671875" bestFit="1" customWidth="1"/>
    <col min="8449" max="8449" width="7.77734375" customWidth="1"/>
    <col min="8450" max="8455" width="8.77734375" customWidth="1"/>
    <col min="8456" max="8461" width="4.88671875" customWidth="1"/>
    <col min="8462" max="8462" width="5.5546875" customWidth="1"/>
    <col min="8463" max="8464" width="4.88671875" bestFit="1" customWidth="1"/>
    <col min="8465" max="8465" width="3.6640625" customWidth="1"/>
    <col min="8466" max="8466" width="3.5546875" customWidth="1"/>
    <col min="8467" max="8467" width="4.77734375" customWidth="1"/>
    <col min="8468" max="8469" width="4.88671875" bestFit="1" customWidth="1"/>
    <col min="8705" max="8705" width="7.77734375" customWidth="1"/>
    <col min="8706" max="8711" width="8.77734375" customWidth="1"/>
    <col min="8712" max="8717" width="4.88671875" customWidth="1"/>
    <col min="8718" max="8718" width="5.5546875" customWidth="1"/>
    <col min="8719" max="8720" width="4.88671875" bestFit="1" customWidth="1"/>
    <col min="8721" max="8721" width="3.6640625" customWidth="1"/>
    <col min="8722" max="8722" width="3.5546875" customWidth="1"/>
    <col min="8723" max="8723" width="4.77734375" customWidth="1"/>
    <col min="8724" max="8725" width="4.88671875" bestFit="1" customWidth="1"/>
    <col min="8961" max="8961" width="7.77734375" customWidth="1"/>
    <col min="8962" max="8967" width="8.77734375" customWidth="1"/>
    <col min="8968" max="8973" width="4.88671875" customWidth="1"/>
    <col min="8974" max="8974" width="5.5546875" customWidth="1"/>
    <col min="8975" max="8976" width="4.88671875" bestFit="1" customWidth="1"/>
    <col min="8977" max="8977" width="3.6640625" customWidth="1"/>
    <col min="8978" max="8978" width="3.5546875" customWidth="1"/>
    <col min="8979" max="8979" width="4.77734375" customWidth="1"/>
    <col min="8980" max="8981" width="4.88671875" bestFit="1" customWidth="1"/>
    <col min="9217" max="9217" width="7.77734375" customWidth="1"/>
    <col min="9218" max="9223" width="8.77734375" customWidth="1"/>
    <col min="9224" max="9229" width="4.88671875" customWidth="1"/>
    <col min="9230" max="9230" width="5.5546875" customWidth="1"/>
    <col min="9231" max="9232" width="4.88671875" bestFit="1" customWidth="1"/>
    <col min="9233" max="9233" width="3.6640625" customWidth="1"/>
    <col min="9234" max="9234" width="3.5546875" customWidth="1"/>
    <col min="9235" max="9235" width="4.77734375" customWidth="1"/>
    <col min="9236" max="9237" width="4.88671875" bestFit="1" customWidth="1"/>
    <col min="9473" max="9473" width="7.77734375" customWidth="1"/>
    <col min="9474" max="9479" width="8.77734375" customWidth="1"/>
    <col min="9480" max="9485" width="4.88671875" customWidth="1"/>
    <col min="9486" max="9486" width="5.5546875" customWidth="1"/>
    <col min="9487" max="9488" width="4.88671875" bestFit="1" customWidth="1"/>
    <col min="9489" max="9489" width="3.6640625" customWidth="1"/>
    <col min="9490" max="9490" width="3.5546875" customWidth="1"/>
    <col min="9491" max="9491" width="4.77734375" customWidth="1"/>
    <col min="9492" max="9493" width="4.88671875" bestFit="1" customWidth="1"/>
    <col min="9729" max="9729" width="7.77734375" customWidth="1"/>
    <col min="9730" max="9735" width="8.77734375" customWidth="1"/>
    <col min="9736" max="9741" width="4.88671875" customWidth="1"/>
    <col min="9742" max="9742" width="5.5546875" customWidth="1"/>
    <col min="9743" max="9744" width="4.88671875" bestFit="1" customWidth="1"/>
    <col min="9745" max="9745" width="3.6640625" customWidth="1"/>
    <col min="9746" max="9746" width="3.5546875" customWidth="1"/>
    <col min="9747" max="9747" width="4.77734375" customWidth="1"/>
    <col min="9748" max="9749" width="4.88671875" bestFit="1" customWidth="1"/>
    <col min="9985" max="9985" width="7.77734375" customWidth="1"/>
    <col min="9986" max="9991" width="8.77734375" customWidth="1"/>
    <col min="9992" max="9997" width="4.88671875" customWidth="1"/>
    <col min="9998" max="9998" width="5.5546875" customWidth="1"/>
    <col min="9999" max="10000" width="4.88671875" bestFit="1" customWidth="1"/>
    <col min="10001" max="10001" width="3.6640625" customWidth="1"/>
    <col min="10002" max="10002" width="3.5546875" customWidth="1"/>
    <col min="10003" max="10003" width="4.77734375" customWidth="1"/>
    <col min="10004" max="10005" width="4.88671875" bestFit="1" customWidth="1"/>
    <col min="10241" max="10241" width="7.77734375" customWidth="1"/>
    <col min="10242" max="10247" width="8.77734375" customWidth="1"/>
    <col min="10248" max="10253" width="4.88671875" customWidth="1"/>
    <col min="10254" max="10254" width="5.5546875" customWidth="1"/>
    <col min="10255" max="10256" width="4.88671875" bestFit="1" customWidth="1"/>
    <col min="10257" max="10257" width="3.6640625" customWidth="1"/>
    <col min="10258" max="10258" width="3.5546875" customWidth="1"/>
    <col min="10259" max="10259" width="4.77734375" customWidth="1"/>
    <col min="10260" max="10261" width="4.88671875" bestFit="1" customWidth="1"/>
    <col min="10497" max="10497" width="7.77734375" customWidth="1"/>
    <col min="10498" max="10503" width="8.77734375" customWidth="1"/>
    <col min="10504" max="10509" width="4.88671875" customWidth="1"/>
    <col min="10510" max="10510" width="5.5546875" customWidth="1"/>
    <col min="10511" max="10512" width="4.88671875" bestFit="1" customWidth="1"/>
    <col min="10513" max="10513" width="3.6640625" customWidth="1"/>
    <col min="10514" max="10514" width="3.5546875" customWidth="1"/>
    <col min="10515" max="10515" width="4.77734375" customWidth="1"/>
    <col min="10516" max="10517" width="4.88671875" bestFit="1" customWidth="1"/>
    <col min="10753" max="10753" width="7.77734375" customWidth="1"/>
    <col min="10754" max="10759" width="8.77734375" customWidth="1"/>
    <col min="10760" max="10765" width="4.88671875" customWidth="1"/>
    <col min="10766" max="10766" width="5.5546875" customWidth="1"/>
    <col min="10767" max="10768" width="4.88671875" bestFit="1" customWidth="1"/>
    <col min="10769" max="10769" width="3.6640625" customWidth="1"/>
    <col min="10770" max="10770" width="3.5546875" customWidth="1"/>
    <col min="10771" max="10771" width="4.77734375" customWidth="1"/>
    <col min="10772" max="10773" width="4.88671875" bestFit="1" customWidth="1"/>
    <col min="11009" max="11009" width="7.77734375" customWidth="1"/>
    <col min="11010" max="11015" width="8.77734375" customWidth="1"/>
    <col min="11016" max="11021" width="4.88671875" customWidth="1"/>
    <col min="11022" max="11022" width="5.5546875" customWidth="1"/>
    <col min="11023" max="11024" width="4.88671875" bestFit="1" customWidth="1"/>
    <col min="11025" max="11025" width="3.6640625" customWidth="1"/>
    <col min="11026" max="11026" width="3.5546875" customWidth="1"/>
    <col min="11027" max="11027" width="4.77734375" customWidth="1"/>
    <col min="11028" max="11029" width="4.88671875" bestFit="1" customWidth="1"/>
    <col min="11265" max="11265" width="7.77734375" customWidth="1"/>
    <col min="11266" max="11271" width="8.77734375" customWidth="1"/>
    <col min="11272" max="11277" width="4.88671875" customWidth="1"/>
    <col min="11278" max="11278" width="5.5546875" customWidth="1"/>
    <col min="11279" max="11280" width="4.88671875" bestFit="1" customWidth="1"/>
    <col min="11281" max="11281" width="3.6640625" customWidth="1"/>
    <col min="11282" max="11282" width="3.5546875" customWidth="1"/>
    <col min="11283" max="11283" width="4.77734375" customWidth="1"/>
    <col min="11284" max="11285" width="4.88671875" bestFit="1" customWidth="1"/>
    <col min="11521" max="11521" width="7.77734375" customWidth="1"/>
    <col min="11522" max="11527" width="8.77734375" customWidth="1"/>
    <col min="11528" max="11533" width="4.88671875" customWidth="1"/>
    <col min="11534" max="11534" width="5.5546875" customWidth="1"/>
    <col min="11535" max="11536" width="4.88671875" bestFit="1" customWidth="1"/>
    <col min="11537" max="11537" width="3.6640625" customWidth="1"/>
    <col min="11538" max="11538" width="3.5546875" customWidth="1"/>
    <col min="11539" max="11539" width="4.77734375" customWidth="1"/>
    <col min="11540" max="11541" width="4.88671875" bestFit="1" customWidth="1"/>
    <col min="11777" max="11777" width="7.77734375" customWidth="1"/>
    <col min="11778" max="11783" width="8.77734375" customWidth="1"/>
    <col min="11784" max="11789" width="4.88671875" customWidth="1"/>
    <col min="11790" max="11790" width="5.5546875" customWidth="1"/>
    <col min="11791" max="11792" width="4.88671875" bestFit="1" customWidth="1"/>
    <col min="11793" max="11793" width="3.6640625" customWidth="1"/>
    <col min="11794" max="11794" width="3.5546875" customWidth="1"/>
    <col min="11795" max="11795" width="4.77734375" customWidth="1"/>
    <col min="11796" max="11797" width="4.88671875" bestFit="1" customWidth="1"/>
    <col min="12033" max="12033" width="7.77734375" customWidth="1"/>
    <col min="12034" max="12039" width="8.77734375" customWidth="1"/>
    <col min="12040" max="12045" width="4.88671875" customWidth="1"/>
    <col min="12046" max="12046" width="5.5546875" customWidth="1"/>
    <col min="12047" max="12048" width="4.88671875" bestFit="1" customWidth="1"/>
    <col min="12049" max="12049" width="3.6640625" customWidth="1"/>
    <col min="12050" max="12050" width="3.5546875" customWidth="1"/>
    <col min="12051" max="12051" width="4.77734375" customWidth="1"/>
    <col min="12052" max="12053" width="4.88671875" bestFit="1" customWidth="1"/>
    <col min="12289" max="12289" width="7.77734375" customWidth="1"/>
    <col min="12290" max="12295" width="8.77734375" customWidth="1"/>
    <col min="12296" max="12301" width="4.88671875" customWidth="1"/>
    <col min="12302" max="12302" width="5.5546875" customWidth="1"/>
    <col min="12303" max="12304" width="4.88671875" bestFit="1" customWidth="1"/>
    <col min="12305" max="12305" width="3.6640625" customWidth="1"/>
    <col min="12306" max="12306" width="3.5546875" customWidth="1"/>
    <col min="12307" max="12307" width="4.77734375" customWidth="1"/>
    <col min="12308" max="12309" width="4.88671875" bestFit="1" customWidth="1"/>
    <col min="12545" max="12545" width="7.77734375" customWidth="1"/>
    <col min="12546" max="12551" width="8.77734375" customWidth="1"/>
    <col min="12552" max="12557" width="4.88671875" customWidth="1"/>
    <col min="12558" max="12558" width="5.5546875" customWidth="1"/>
    <col min="12559" max="12560" width="4.88671875" bestFit="1" customWidth="1"/>
    <col min="12561" max="12561" width="3.6640625" customWidth="1"/>
    <col min="12562" max="12562" width="3.5546875" customWidth="1"/>
    <col min="12563" max="12563" width="4.77734375" customWidth="1"/>
    <col min="12564" max="12565" width="4.88671875" bestFit="1" customWidth="1"/>
    <col min="12801" max="12801" width="7.77734375" customWidth="1"/>
    <col min="12802" max="12807" width="8.77734375" customWidth="1"/>
    <col min="12808" max="12813" width="4.88671875" customWidth="1"/>
    <col min="12814" max="12814" width="5.5546875" customWidth="1"/>
    <col min="12815" max="12816" width="4.88671875" bestFit="1" customWidth="1"/>
    <col min="12817" max="12817" width="3.6640625" customWidth="1"/>
    <col min="12818" max="12818" width="3.5546875" customWidth="1"/>
    <col min="12819" max="12819" width="4.77734375" customWidth="1"/>
    <col min="12820" max="12821" width="4.88671875" bestFit="1" customWidth="1"/>
    <col min="13057" max="13057" width="7.77734375" customWidth="1"/>
    <col min="13058" max="13063" width="8.77734375" customWidth="1"/>
    <col min="13064" max="13069" width="4.88671875" customWidth="1"/>
    <col min="13070" max="13070" width="5.5546875" customWidth="1"/>
    <col min="13071" max="13072" width="4.88671875" bestFit="1" customWidth="1"/>
    <col min="13073" max="13073" width="3.6640625" customWidth="1"/>
    <col min="13074" max="13074" width="3.5546875" customWidth="1"/>
    <col min="13075" max="13075" width="4.77734375" customWidth="1"/>
    <col min="13076" max="13077" width="4.88671875" bestFit="1" customWidth="1"/>
    <col min="13313" max="13313" width="7.77734375" customWidth="1"/>
    <col min="13314" max="13319" width="8.77734375" customWidth="1"/>
    <col min="13320" max="13325" width="4.88671875" customWidth="1"/>
    <col min="13326" max="13326" width="5.5546875" customWidth="1"/>
    <col min="13327" max="13328" width="4.88671875" bestFit="1" customWidth="1"/>
    <col min="13329" max="13329" width="3.6640625" customWidth="1"/>
    <col min="13330" max="13330" width="3.5546875" customWidth="1"/>
    <col min="13331" max="13331" width="4.77734375" customWidth="1"/>
    <col min="13332" max="13333" width="4.88671875" bestFit="1" customWidth="1"/>
    <col min="13569" max="13569" width="7.77734375" customWidth="1"/>
    <col min="13570" max="13575" width="8.77734375" customWidth="1"/>
    <col min="13576" max="13581" width="4.88671875" customWidth="1"/>
    <col min="13582" max="13582" width="5.5546875" customWidth="1"/>
    <col min="13583" max="13584" width="4.88671875" bestFit="1" customWidth="1"/>
    <col min="13585" max="13585" width="3.6640625" customWidth="1"/>
    <col min="13586" max="13586" width="3.5546875" customWidth="1"/>
    <col min="13587" max="13587" width="4.77734375" customWidth="1"/>
    <col min="13588" max="13589" width="4.88671875" bestFit="1" customWidth="1"/>
    <col min="13825" max="13825" width="7.77734375" customWidth="1"/>
    <col min="13826" max="13831" width="8.77734375" customWidth="1"/>
    <col min="13832" max="13837" width="4.88671875" customWidth="1"/>
    <col min="13838" max="13838" width="5.5546875" customWidth="1"/>
    <col min="13839" max="13840" width="4.88671875" bestFit="1" customWidth="1"/>
    <col min="13841" max="13841" width="3.6640625" customWidth="1"/>
    <col min="13842" max="13842" width="3.5546875" customWidth="1"/>
    <col min="13843" max="13843" width="4.77734375" customWidth="1"/>
    <col min="13844" max="13845" width="4.88671875" bestFit="1" customWidth="1"/>
    <col min="14081" max="14081" width="7.77734375" customWidth="1"/>
    <col min="14082" max="14087" width="8.77734375" customWidth="1"/>
    <col min="14088" max="14093" width="4.88671875" customWidth="1"/>
    <col min="14094" max="14094" width="5.5546875" customWidth="1"/>
    <col min="14095" max="14096" width="4.88671875" bestFit="1" customWidth="1"/>
    <col min="14097" max="14097" width="3.6640625" customWidth="1"/>
    <col min="14098" max="14098" width="3.5546875" customWidth="1"/>
    <col min="14099" max="14099" width="4.77734375" customWidth="1"/>
    <col min="14100" max="14101" width="4.88671875" bestFit="1" customWidth="1"/>
    <col min="14337" max="14337" width="7.77734375" customWidth="1"/>
    <col min="14338" max="14343" width="8.77734375" customWidth="1"/>
    <col min="14344" max="14349" width="4.88671875" customWidth="1"/>
    <col min="14350" max="14350" width="5.5546875" customWidth="1"/>
    <col min="14351" max="14352" width="4.88671875" bestFit="1" customWidth="1"/>
    <col min="14353" max="14353" width="3.6640625" customWidth="1"/>
    <col min="14354" max="14354" width="3.5546875" customWidth="1"/>
    <col min="14355" max="14355" width="4.77734375" customWidth="1"/>
    <col min="14356" max="14357" width="4.88671875" bestFit="1" customWidth="1"/>
    <col min="14593" max="14593" width="7.77734375" customWidth="1"/>
    <col min="14594" max="14599" width="8.77734375" customWidth="1"/>
    <col min="14600" max="14605" width="4.88671875" customWidth="1"/>
    <col min="14606" max="14606" width="5.5546875" customWidth="1"/>
    <col min="14607" max="14608" width="4.88671875" bestFit="1" customWidth="1"/>
    <col min="14609" max="14609" width="3.6640625" customWidth="1"/>
    <col min="14610" max="14610" width="3.5546875" customWidth="1"/>
    <col min="14611" max="14611" width="4.77734375" customWidth="1"/>
    <col min="14612" max="14613" width="4.88671875" bestFit="1" customWidth="1"/>
    <col min="14849" max="14849" width="7.77734375" customWidth="1"/>
    <col min="14850" max="14855" width="8.77734375" customWidth="1"/>
    <col min="14856" max="14861" width="4.88671875" customWidth="1"/>
    <col min="14862" max="14862" width="5.5546875" customWidth="1"/>
    <col min="14863" max="14864" width="4.88671875" bestFit="1" customWidth="1"/>
    <col min="14865" max="14865" width="3.6640625" customWidth="1"/>
    <col min="14866" max="14866" width="3.5546875" customWidth="1"/>
    <col min="14867" max="14867" width="4.77734375" customWidth="1"/>
    <col min="14868" max="14869" width="4.88671875" bestFit="1" customWidth="1"/>
    <col min="15105" max="15105" width="7.77734375" customWidth="1"/>
    <col min="15106" max="15111" width="8.77734375" customWidth="1"/>
    <col min="15112" max="15117" width="4.88671875" customWidth="1"/>
    <col min="15118" max="15118" width="5.5546875" customWidth="1"/>
    <col min="15119" max="15120" width="4.88671875" bestFit="1" customWidth="1"/>
    <col min="15121" max="15121" width="3.6640625" customWidth="1"/>
    <col min="15122" max="15122" width="3.5546875" customWidth="1"/>
    <col min="15123" max="15123" width="4.77734375" customWidth="1"/>
    <col min="15124" max="15125" width="4.88671875" bestFit="1" customWidth="1"/>
    <col min="15361" max="15361" width="7.77734375" customWidth="1"/>
    <col min="15362" max="15367" width="8.77734375" customWidth="1"/>
    <col min="15368" max="15373" width="4.88671875" customWidth="1"/>
    <col min="15374" max="15374" width="5.5546875" customWidth="1"/>
    <col min="15375" max="15376" width="4.88671875" bestFit="1" customWidth="1"/>
    <col min="15377" max="15377" width="3.6640625" customWidth="1"/>
    <col min="15378" max="15378" width="3.5546875" customWidth="1"/>
    <col min="15379" max="15379" width="4.77734375" customWidth="1"/>
    <col min="15380" max="15381" width="4.88671875" bestFit="1" customWidth="1"/>
    <col min="15617" max="15617" width="7.77734375" customWidth="1"/>
    <col min="15618" max="15623" width="8.77734375" customWidth="1"/>
    <col min="15624" max="15629" width="4.88671875" customWidth="1"/>
    <col min="15630" max="15630" width="5.5546875" customWidth="1"/>
    <col min="15631" max="15632" width="4.88671875" bestFit="1" customWidth="1"/>
    <col min="15633" max="15633" width="3.6640625" customWidth="1"/>
    <col min="15634" max="15634" width="3.5546875" customWidth="1"/>
    <col min="15635" max="15635" width="4.77734375" customWidth="1"/>
    <col min="15636" max="15637" width="4.88671875" bestFit="1" customWidth="1"/>
    <col min="15873" max="15873" width="7.77734375" customWidth="1"/>
    <col min="15874" max="15879" width="8.77734375" customWidth="1"/>
    <col min="15880" max="15885" width="4.88671875" customWidth="1"/>
    <col min="15886" max="15886" width="5.5546875" customWidth="1"/>
    <col min="15887" max="15888" width="4.88671875" bestFit="1" customWidth="1"/>
    <col min="15889" max="15889" width="3.6640625" customWidth="1"/>
    <col min="15890" max="15890" width="3.5546875" customWidth="1"/>
    <col min="15891" max="15891" width="4.77734375" customWidth="1"/>
    <col min="15892" max="15893" width="4.88671875" bestFit="1" customWidth="1"/>
    <col min="16129" max="16129" width="7.77734375" customWidth="1"/>
    <col min="16130" max="16135" width="8.77734375" customWidth="1"/>
    <col min="16136" max="16141" width="4.88671875" customWidth="1"/>
    <col min="16142" max="16142" width="5.5546875" customWidth="1"/>
    <col min="16143" max="16144" width="4.88671875" bestFit="1" customWidth="1"/>
    <col min="16145" max="16145" width="3.6640625" customWidth="1"/>
    <col min="16146" max="16146" width="3.5546875" customWidth="1"/>
    <col min="16147" max="16147" width="4.77734375" customWidth="1"/>
    <col min="16148" max="16149" width="4.88671875" bestFit="1" customWidth="1"/>
  </cols>
  <sheetData>
    <row r="1" spans="1:24" s="21" customFormat="1" ht="21.75">
      <c r="A1" s="479" t="s">
        <v>155</v>
      </c>
      <c r="B1" s="479"/>
      <c r="C1" s="479"/>
      <c r="D1" s="479"/>
      <c r="E1" s="479"/>
      <c r="F1" s="479"/>
      <c r="G1" s="479"/>
    </row>
    <row r="2" spans="1:24" s="21" customFormat="1" ht="9.9499999999999993" customHeight="1">
      <c r="A2" s="27"/>
      <c r="B2" s="22"/>
      <c r="C2" s="22"/>
      <c r="D2" s="22"/>
      <c r="E2" s="22"/>
      <c r="F2" s="22"/>
      <c r="G2" s="23"/>
    </row>
    <row r="3" spans="1:24" s="28" customFormat="1" ht="15" customHeight="1">
      <c r="A3" s="480" t="s">
        <v>3</v>
      </c>
      <c r="B3" s="480"/>
      <c r="C3" s="480"/>
      <c r="D3" s="480"/>
      <c r="E3" s="480"/>
      <c r="F3" s="480"/>
      <c r="G3" s="480"/>
    </row>
    <row r="4" spans="1:24" s="28" customFormat="1" ht="15" customHeight="1">
      <c r="A4" s="311" t="s">
        <v>4</v>
      </c>
      <c r="B4" s="29"/>
      <c r="C4" s="29"/>
      <c r="D4" s="29"/>
      <c r="E4" s="29"/>
      <c r="F4" s="29"/>
      <c r="G4" s="30" t="s">
        <v>138</v>
      </c>
    </row>
    <row r="5" spans="1:24" s="31" customFormat="1" ht="13.5" customHeight="1">
      <c r="A5" s="481" t="s">
        <v>5</v>
      </c>
      <c r="B5" s="484" t="s">
        <v>6</v>
      </c>
      <c r="C5" s="485"/>
      <c r="D5" s="485"/>
      <c r="E5" s="485"/>
      <c r="F5" s="485"/>
      <c r="G5" s="485"/>
    </row>
    <row r="6" spans="1:24" s="31" customFormat="1" ht="13.5" customHeight="1">
      <c r="A6" s="482"/>
      <c r="B6" s="486" t="s">
        <v>157</v>
      </c>
      <c r="C6" s="487"/>
      <c r="D6" s="486" t="s">
        <v>158</v>
      </c>
      <c r="E6" s="487"/>
      <c r="F6" s="486" t="s">
        <v>159</v>
      </c>
      <c r="G6" s="488"/>
    </row>
    <row r="7" spans="1:24" s="31" customFormat="1" ht="12" customHeight="1">
      <c r="A7" s="482"/>
      <c r="B7" s="489" t="s">
        <v>7</v>
      </c>
      <c r="C7" s="32" t="s">
        <v>8</v>
      </c>
      <c r="D7" s="489" t="s">
        <v>7</v>
      </c>
      <c r="E7" s="32" t="s">
        <v>8</v>
      </c>
      <c r="F7" s="489" t="s">
        <v>7</v>
      </c>
      <c r="G7" s="33" t="s">
        <v>8</v>
      </c>
    </row>
    <row r="8" spans="1:24" s="31" customFormat="1" ht="12" customHeight="1">
      <c r="A8" s="483"/>
      <c r="B8" s="490"/>
      <c r="C8" s="34" t="s">
        <v>9</v>
      </c>
      <c r="D8" s="490"/>
      <c r="E8" s="34" t="s">
        <v>9</v>
      </c>
      <c r="F8" s="490"/>
      <c r="G8" s="35" t="s">
        <v>9</v>
      </c>
    </row>
    <row r="9" spans="1:24" s="37" customFormat="1" ht="13.5" customHeight="1">
      <c r="A9" s="323">
        <v>2009</v>
      </c>
      <c r="B9" s="36">
        <v>99.2</v>
      </c>
      <c r="C9" s="7" t="s">
        <v>10</v>
      </c>
      <c r="D9" s="36">
        <v>105.7</v>
      </c>
      <c r="E9" s="7" t="s">
        <v>10</v>
      </c>
      <c r="F9" s="36">
        <v>41.8</v>
      </c>
      <c r="G9" s="7" t="s">
        <v>10</v>
      </c>
      <c r="I9" s="32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 s="37" customFormat="1" ht="12.75" customHeight="1">
      <c r="A10" s="323">
        <v>2010</v>
      </c>
      <c r="B10" s="36">
        <v>105.8</v>
      </c>
      <c r="C10" s="7" t="s">
        <v>10</v>
      </c>
      <c r="D10" s="36">
        <v>110.6</v>
      </c>
      <c r="E10" s="7" t="s">
        <v>10</v>
      </c>
      <c r="F10" s="36">
        <v>40</v>
      </c>
      <c r="G10" s="7" t="s">
        <v>10</v>
      </c>
      <c r="I10" s="32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s="37" customFormat="1" ht="13.5" customHeight="1">
      <c r="A11" s="323">
        <v>2011</v>
      </c>
      <c r="B11" s="36">
        <v>107.7</v>
      </c>
      <c r="C11" s="7" t="s">
        <v>10</v>
      </c>
      <c r="D11" s="36">
        <v>111.4</v>
      </c>
      <c r="E11" s="7" t="s">
        <v>10</v>
      </c>
      <c r="F11" s="36">
        <v>44.3</v>
      </c>
      <c r="G11" s="7" t="s">
        <v>10</v>
      </c>
      <c r="I11" s="328"/>
      <c r="K11" s="40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s="37" customFormat="1" ht="13.5" customHeight="1">
      <c r="A12" s="323">
        <v>2012</v>
      </c>
      <c r="B12" s="36">
        <v>107.8</v>
      </c>
      <c r="C12" s="7" t="s">
        <v>10</v>
      </c>
      <c r="D12" s="36">
        <v>107.1</v>
      </c>
      <c r="E12" s="7" t="s">
        <v>10</v>
      </c>
      <c r="F12" s="36">
        <v>44.1</v>
      </c>
      <c r="G12" s="7" t="s">
        <v>10</v>
      </c>
      <c r="I12" s="328"/>
      <c r="K12" s="40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 s="37" customFormat="1" ht="13.5" customHeight="1">
      <c r="A13" s="323">
        <v>2013</v>
      </c>
      <c r="B13" s="36">
        <v>105.8</v>
      </c>
      <c r="C13" s="7" t="s">
        <v>10</v>
      </c>
      <c r="D13" s="36">
        <v>104.8</v>
      </c>
      <c r="E13" s="7" t="s">
        <v>10</v>
      </c>
      <c r="F13" s="36">
        <v>52.6</v>
      </c>
      <c r="G13" s="7" t="s">
        <v>10</v>
      </c>
      <c r="I13" s="328"/>
      <c r="K13" s="40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 s="37" customFormat="1" ht="13.5" customHeight="1">
      <c r="A14" s="323">
        <v>2014</v>
      </c>
      <c r="B14" s="36">
        <v>107.9</v>
      </c>
      <c r="C14" s="7" t="s">
        <v>10</v>
      </c>
      <c r="D14" s="36">
        <v>107.1</v>
      </c>
      <c r="E14" s="7" t="s">
        <v>10</v>
      </c>
      <c r="F14" s="36">
        <v>57.9</v>
      </c>
      <c r="G14" s="7" t="s">
        <v>10</v>
      </c>
      <c r="I14" s="328"/>
      <c r="K14" s="40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 s="37" customFormat="1" ht="13.5" customHeight="1">
      <c r="A15" s="323">
        <v>2015</v>
      </c>
      <c r="B15" s="36">
        <v>116.8</v>
      </c>
      <c r="C15" s="7" t="s">
        <v>10</v>
      </c>
      <c r="D15" s="36">
        <v>117.5</v>
      </c>
      <c r="E15" s="7" t="s">
        <v>10</v>
      </c>
      <c r="F15" s="36">
        <v>51.3</v>
      </c>
      <c r="G15" s="7" t="s">
        <v>10</v>
      </c>
      <c r="I15" s="328"/>
      <c r="K15" s="40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s="37" customFormat="1" ht="13.5" customHeight="1">
      <c r="A16" s="323">
        <v>2016</v>
      </c>
      <c r="B16" s="36">
        <v>122.6</v>
      </c>
      <c r="C16" s="7" t="s">
        <v>10</v>
      </c>
      <c r="D16" s="36">
        <v>127.5</v>
      </c>
      <c r="E16" s="7" t="s">
        <v>10</v>
      </c>
      <c r="F16" s="36">
        <v>60.9</v>
      </c>
      <c r="G16" s="7" t="s">
        <v>10</v>
      </c>
      <c r="I16" s="328"/>
      <c r="K16" s="40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5" s="41" customFormat="1" ht="13.5" customHeight="1">
      <c r="A17" s="323">
        <v>2017</v>
      </c>
      <c r="B17" s="36">
        <v>114.7</v>
      </c>
      <c r="C17" s="7" t="s">
        <v>10</v>
      </c>
      <c r="D17" s="36">
        <v>118.6</v>
      </c>
      <c r="E17" s="7" t="s">
        <v>10</v>
      </c>
      <c r="F17" s="36">
        <v>64.400000000000006</v>
      </c>
      <c r="G17" s="7" t="s">
        <v>10</v>
      </c>
      <c r="H17" s="37"/>
      <c r="I17" s="328"/>
      <c r="J17" s="37"/>
      <c r="K17" s="40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5" s="41" customFormat="1" ht="13.5" customHeight="1">
      <c r="A18" s="323">
        <v>2018</v>
      </c>
      <c r="B18" s="36">
        <v>111.1</v>
      </c>
      <c r="C18" s="7" t="s">
        <v>10</v>
      </c>
      <c r="D18" s="36">
        <v>112.5</v>
      </c>
      <c r="E18" s="7" t="s">
        <v>10</v>
      </c>
      <c r="F18" s="36">
        <v>62</v>
      </c>
      <c r="G18" s="7" t="s">
        <v>10</v>
      </c>
      <c r="H18" s="37"/>
      <c r="I18" s="328"/>
      <c r="J18" s="37"/>
      <c r="K18" s="40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5" s="41" customFormat="1" ht="13.5" customHeight="1">
      <c r="A19" s="323">
        <v>2019</v>
      </c>
      <c r="B19" s="36">
        <v>108.2</v>
      </c>
      <c r="C19" s="7" t="s">
        <v>10</v>
      </c>
      <c r="D19" s="36">
        <v>107.6</v>
      </c>
      <c r="E19" s="7" t="s">
        <v>10</v>
      </c>
      <c r="F19" s="36">
        <v>63.4</v>
      </c>
      <c r="G19" s="7" t="s">
        <v>10</v>
      </c>
      <c r="H19" s="37"/>
      <c r="I19" s="328"/>
      <c r="J19" s="37"/>
      <c r="K19" s="40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5" s="41" customFormat="1" ht="13.5" customHeight="1">
      <c r="A20" s="323">
        <v>2020</v>
      </c>
      <c r="B20" s="36">
        <v>100</v>
      </c>
      <c r="C20" s="7" t="s">
        <v>10</v>
      </c>
      <c r="D20" s="36">
        <v>100</v>
      </c>
      <c r="E20" s="7" t="s">
        <v>10</v>
      </c>
      <c r="F20" s="36">
        <v>91.5</v>
      </c>
      <c r="G20" s="7" t="s">
        <v>10</v>
      </c>
      <c r="H20" s="37"/>
      <c r="I20" s="328"/>
      <c r="J20" s="37"/>
      <c r="K20" s="40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5" s="41" customFormat="1" ht="13.5" customHeight="1">
      <c r="A21" s="323">
        <v>2021</v>
      </c>
      <c r="B21" s="36">
        <v>107.7</v>
      </c>
      <c r="C21" s="7" t="s">
        <v>10</v>
      </c>
      <c r="D21" s="36">
        <v>107.5</v>
      </c>
      <c r="E21" s="7" t="s">
        <v>10</v>
      </c>
      <c r="F21" s="36">
        <v>121.6</v>
      </c>
      <c r="G21" s="7" t="s">
        <v>10</v>
      </c>
      <c r="H21" s="37"/>
      <c r="I21" s="328"/>
      <c r="J21" s="37"/>
      <c r="K21" s="40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5" s="41" customFormat="1" ht="13.5" customHeight="1">
      <c r="A22" s="323">
        <v>2022</v>
      </c>
      <c r="B22" s="36">
        <v>117.9</v>
      </c>
      <c r="C22" s="7" t="s">
        <v>10</v>
      </c>
      <c r="D22" s="36">
        <v>117.9</v>
      </c>
      <c r="E22" s="7" t="s">
        <v>10</v>
      </c>
      <c r="F22" s="36">
        <v>137.4</v>
      </c>
      <c r="G22" s="7" t="s">
        <v>10</v>
      </c>
      <c r="H22" s="37"/>
      <c r="I22" s="328"/>
      <c r="J22" s="37"/>
      <c r="K22" s="40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5" s="41" customFormat="1" ht="13.5" customHeight="1">
      <c r="A23" s="323">
        <v>2023</v>
      </c>
      <c r="B23" s="36">
        <v>110.6</v>
      </c>
      <c r="C23" s="7" t="s">
        <v>10</v>
      </c>
      <c r="D23" s="36">
        <v>117.1</v>
      </c>
      <c r="E23" s="7" t="s">
        <v>10</v>
      </c>
      <c r="F23" s="36">
        <v>136.19999999999999</v>
      </c>
      <c r="G23" s="7" t="s">
        <v>10</v>
      </c>
      <c r="H23" s="37"/>
      <c r="I23" s="328"/>
      <c r="J23" s="37"/>
      <c r="K23" s="40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5" s="397" customFormat="1" ht="13.5" customHeight="1">
      <c r="A24" s="323">
        <v>2024</v>
      </c>
      <c r="B24" s="36">
        <v>113.6</v>
      </c>
      <c r="C24" s="7" t="s">
        <v>10</v>
      </c>
      <c r="D24" s="36">
        <v>119.2</v>
      </c>
      <c r="E24" s="7" t="s">
        <v>10</v>
      </c>
      <c r="F24" s="36">
        <v>148.9</v>
      </c>
      <c r="G24" s="7" t="s">
        <v>10</v>
      </c>
      <c r="H24" s="37"/>
      <c r="I24" s="410"/>
      <c r="J24" s="37"/>
      <c r="K24" s="40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5" s="41" customFormat="1" ht="12.75" customHeight="1">
      <c r="A25" s="323">
        <v>2025</v>
      </c>
      <c r="B25" s="36">
        <v>111.3</v>
      </c>
      <c r="C25" s="7" t="s">
        <v>10</v>
      </c>
      <c r="D25" s="36">
        <v>114.2</v>
      </c>
      <c r="E25" s="7" t="s">
        <v>10</v>
      </c>
      <c r="F25" s="36">
        <v>143.9</v>
      </c>
      <c r="G25" s="7" t="s">
        <v>10</v>
      </c>
      <c r="H25" s="37"/>
      <c r="I25" s="37"/>
      <c r="J25" s="37"/>
      <c r="K25" s="40"/>
      <c r="L25" s="31"/>
      <c r="M25" s="38"/>
      <c r="N25" s="38"/>
      <c r="O25" s="38"/>
      <c r="P25" s="38"/>
      <c r="Q25" s="38"/>
      <c r="R25" s="38"/>
      <c r="S25" s="38"/>
      <c r="T25" s="38"/>
    </row>
    <row r="26" spans="1:25" s="397" customFormat="1" ht="12.75" customHeight="1">
      <c r="A26" s="322"/>
      <c r="B26" s="36"/>
      <c r="C26" s="36"/>
      <c r="D26" s="36"/>
      <c r="E26" s="36"/>
      <c r="F26" s="36"/>
      <c r="G26" s="7"/>
      <c r="H26" s="37"/>
      <c r="I26" s="37"/>
      <c r="J26" s="37"/>
      <c r="K26" s="40"/>
      <c r="L26" s="31"/>
      <c r="M26" s="38"/>
      <c r="N26" s="38"/>
      <c r="O26" s="38"/>
      <c r="P26" s="38"/>
      <c r="Q26" s="38"/>
      <c r="R26" s="38"/>
      <c r="S26" s="38"/>
      <c r="T26" s="38"/>
    </row>
    <row r="27" spans="1:25" s="41" customFormat="1" ht="13.5" customHeight="1">
      <c r="A27" s="321"/>
      <c r="B27" s="36"/>
      <c r="C27" s="36"/>
      <c r="D27" s="36"/>
      <c r="E27" s="36"/>
      <c r="F27" s="39"/>
      <c r="G27" s="42"/>
      <c r="R27" s="38"/>
      <c r="S27" s="38"/>
      <c r="T27" s="38"/>
      <c r="U27" s="38"/>
      <c r="V27" s="38"/>
      <c r="W27" s="38"/>
      <c r="X27" s="38"/>
      <c r="Y27" s="38"/>
    </row>
    <row r="28" spans="1:25" s="41" customFormat="1" ht="13.5" customHeight="1">
      <c r="A28" s="337">
        <v>44562</v>
      </c>
      <c r="B28" s="36">
        <v>107.9</v>
      </c>
      <c r="C28" s="36">
        <v>114.2</v>
      </c>
      <c r="D28" s="36">
        <v>103.4</v>
      </c>
      <c r="E28" s="36">
        <v>111.4</v>
      </c>
      <c r="F28" s="39">
        <v>133.5</v>
      </c>
      <c r="G28" s="42">
        <v>137.30000000000001</v>
      </c>
      <c r="I28" s="328"/>
      <c r="S28" s="38"/>
      <c r="T28" s="38"/>
      <c r="U28" s="38"/>
      <c r="V28" s="38"/>
      <c r="W28" s="38"/>
      <c r="X28" s="38"/>
    </row>
    <row r="29" spans="1:25" s="41" customFormat="1" ht="13.5" customHeight="1">
      <c r="A29" s="337">
        <v>44593</v>
      </c>
      <c r="B29" s="36">
        <v>103.3</v>
      </c>
      <c r="C29" s="36">
        <v>112.2</v>
      </c>
      <c r="D29" s="36">
        <v>98.8</v>
      </c>
      <c r="E29" s="36">
        <v>109.2</v>
      </c>
      <c r="F29" s="39">
        <v>139.4</v>
      </c>
      <c r="G29" s="42">
        <v>139.6</v>
      </c>
      <c r="I29" s="328"/>
      <c r="R29" s="45"/>
      <c r="S29" s="38"/>
      <c r="T29" s="38"/>
      <c r="U29" s="38"/>
      <c r="V29" s="38"/>
      <c r="W29" s="38"/>
      <c r="X29" s="38"/>
    </row>
    <row r="30" spans="1:25" s="41" customFormat="1" ht="13.5" customHeight="1">
      <c r="A30" s="337">
        <v>44621</v>
      </c>
      <c r="B30" s="36">
        <v>125</v>
      </c>
      <c r="C30" s="36">
        <v>119.4</v>
      </c>
      <c r="D30" s="36">
        <v>121</v>
      </c>
      <c r="E30" s="36">
        <v>114.5</v>
      </c>
      <c r="F30" s="39">
        <v>131.4</v>
      </c>
      <c r="G30" s="42">
        <v>132.69999999999999</v>
      </c>
      <c r="I30" s="328"/>
      <c r="R30" s="51"/>
      <c r="S30" s="38"/>
      <c r="T30" s="38"/>
      <c r="U30" s="38"/>
      <c r="V30" s="38"/>
      <c r="W30" s="38"/>
      <c r="X30" s="38"/>
    </row>
    <row r="31" spans="1:25" s="41" customFormat="1" ht="13.5" customHeight="1">
      <c r="A31" s="337">
        <v>44652</v>
      </c>
      <c r="B31" s="36">
        <v>115.8</v>
      </c>
      <c r="C31" s="36">
        <v>110.8</v>
      </c>
      <c r="D31" s="36">
        <v>115.2</v>
      </c>
      <c r="E31" s="36">
        <v>111.4</v>
      </c>
      <c r="F31" s="39">
        <v>133.80000000000001</v>
      </c>
      <c r="G31" s="42">
        <v>130.80000000000001</v>
      </c>
      <c r="I31" s="328"/>
      <c r="R31" s="55"/>
      <c r="S31" s="38"/>
      <c r="T31" s="38"/>
      <c r="U31" s="38"/>
      <c r="V31" s="38"/>
      <c r="W31" s="38"/>
      <c r="X31" s="38"/>
    </row>
    <row r="32" spans="1:25" s="41" customFormat="1" ht="13.5" customHeight="1">
      <c r="A32" s="337">
        <v>44682</v>
      </c>
      <c r="B32" s="36">
        <v>117.2</v>
      </c>
      <c r="C32" s="36">
        <v>114.1</v>
      </c>
      <c r="D32" s="36">
        <v>113.1</v>
      </c>
      <c r="E32" s="36">
        <v>110.7</v>
      </c>
      <c r="F32" s="39">
        <v>141.9</v>
      </c>
      <c r="G32" s="42">
        <v>140.30000000000001</v>
      </c>
      <c r="I32" s="328"/>
      <c r="R32" s="55"/>
      <c r="S32" s="38"/>
      <c r="T32" s="38"/>
      <c r="U32" s="38"/>
      <c r="V32" s="38"/>
      <c r="W32" s="38"/>
      <c r="X32" s="38"/>
    </row>
    <row r="33" spans="1:24" s="41" customFormat="1" ht="13.5" customHeight="1">
      <c r="A33" s="337">
        <v>44713</v>
      </c>
      <c r="B33" s="36">
        <v>115.2</v>
      </c>
      <c r="C33" s="36">
        <v>116.4</v>
      </c>
      <c r="D33" s="36">
        <v>115.7</v>
      </c>
      <c r="E33" s="36">
        <v>115.3</v>
      </c>
      <c r="F33" s="36">
        <v>145.69999999999999</v>
      </c>
      <c r="G33" s="42">
        <v>147.6</v>
      </c>
      <c r="I33" s="328"/>
      <c r="R33"/>
      <c r="S33" s="38"/>
      <c r="T33" s="38"/>
      <c r="U33" s="38"/>
      <c r="V33" s="38"/>
      <c r="W33" s="38"/>
      <c r="X33" s="38"/>
    </row>
    <row r="34" spans="1:24" s="41" customFormat="1" ht="13.5" customHeight="1">
      <c r="A34" s="337">
        <v>44743</v>
      </c>
      <c r="B34" s="36">
        <v>132.19999999999999</v>
      </c>
      <c r="C34" s="36">
        <v>132.80000000000001</v>
      </c>
      <c r="D34" s="36">
        <v>130.69999999999999</v>
      </c>
      <c r="E34" s="36">
        <v>131.9</v>
      </c>
      <c r="F34" s="39">
        <v>147.9</v>
      </c>
      <c r="G34" s="42">
        <v>147</v>
      </c>
      <c r="I34" s="328"/>
      <c r="R34"/>
      <c r="S34" s="38"/>
      <c r="T34" s="38"/>
      <c r="U34" s="38"/>
      <c r="V34" s="38"/>
      <c r="W34" s="38"/>
      <c r="X34" s="38"/>
    </row>
    <row r="35" spans="1:24" s="41" customFormat="1" ht="13.5" customHeight="1">
      <c r="A35" s="337">
        <v>44774</v>
      </c>
      <c r="B35" s="36">
        <v>113.3</v>
      </c>
      <c r="C35" s="36">
        <v>120.4</v>
      </c>
      <c r="D35" s="36">
        <v>110.8</v>
      </c>
      <c r="E35" s="36">
        <v>119.2</v>
      </c>
      <c r="F35" s="39">
        <v>160</v>
      </c>
      <c r="G35" s="42">
        <v>156.1</v>
      </c>
      <c r="I35" s="328"/>
      <c r="R35"/>
      <c r="S35" s="38"/>
      <c r="T35" s="38"/>
      <c r="U35" s="38"/>
      <c r="V35" s="38"/>
      <c r="W35" s="38"/>
      <c r="X35" s="38"/>
    </row>
    <row r="36" spans="1:24" s="41" customFormat="1" ht="13.5" customHeight="1">
      <c r="A36" s="337">
        <v>44805</v>
      </c>
      <c r="B36" s="36">
        <v>117.1</v>
      </c>
      <c r="C36" s="36">
        <v>122.4</v>
      </c>
      <c r="D36" s="36">
        <v>114.6</v>
      </c>
      <c r="E36" s="36">
        <v>121.4</v>
      </c>
      <c r="F36" s="39">
        <v>167.6</v>
      </c>
      <c r="G36" s="42">
        <v>162</v>
      </c>
      <c r="I36" s="328"/>
      <c r="R36"/>
      <c r="S36" s="38"/>
      <c r="T36" s="38"/>
      <c r="U36" s="38"/>
      <c r="V36" s="38"/>
      <c r="W36" s="38"/>
      <c r="X36" s="38"/>
    </row>
    <row r="37" spans="1:24" s="41" customFormat="1" ht="13.5" customHeight="1">
      <c r="A37" s="337">
        <v>44835</v>
      </c>
      <c r="B37" s="36">
        <v>121.5</v>
      </c>
      <c r="C37" s="36">
        <v>120.2</v>
      </c>
      <c r="D37" s="36">
        <v>135.4</v>
      </c>
      <c r="E37" s="36">
        <v>133.4</v>
      </c>
      <c r="F37" s="39">
        <v>150.69999999999999</v>
      </c>
      <c r="G37" s="42">
        <v>147.4</v>
      </c>
      <c r="I37" s="328"/>
      <c r="R37"/>
      <c r="S37" s="38"/>
      <c r="T37" s="38"/>
      <c r="U37" s="38"/>
      <c r="V37" s="38"/>
      <c r="W37" s="38"/>
      <c r="X37" s="38"/>
    </row>
    <row r="38" spans="1:24" s="41" customFormat="1" ht="13.5" customHeight="1">
      <c r="A38" s="337">
        <v>44866</v>
      </c>
      <c r="B38" s="36">
        <v>125.5</v>
      </c>
      <c r="C38" s="36">
        <v>120</v>
      </c>
      <c r="D38" s="36">
        <v>136.80000000000001</v>
      </c>
      <c r="E38" s="36">
        <v>129.5</v>
      </c>
      <c r="F38" s="39">
        <v>139.69999999999999</v>
      </c>
      <c r="G38" s="42">
        <v>136.9</v>
      </c>
      <c r="I38" s="328"/>
      <c r="R38"/>
      <c r="S38" s="38"/>
      <c r="T38" s="38"/>
      <c r="U38" s="38"/>
      <c r="V38" s="38"/>
      <c r="W38" s="38"/>
      <c r="X38" s="38"/>
    </row>
    <row r="39" spans="1:24" s="41" customFormat="1" ht="13.5" customHeight="1">
      <c r="A39" s="337">
        <v>44896</v>
      </c>
      <c r="B39" s="36">
        <v>120.7</v>
      </c>
      <c r="C39" s="36">
        <v>109.4</v>
      </c>
      <c r="D39" s="36">
        <v>118.7</v>
      </c>
      <c r="E39" s="36">
        <v>103.8</v>
      </c>
      <c r="F39" s="39">
        <v>137.4</v>
      </c>
      <c r="G39" s="42">
        <v>150.5</v>
      </c>
      <c r="I39" s="328"/>
      <c r="R39"/>
      <c r="S39" s="38"/>
      <c r="T39" s="38"/>
      <c r="U39" s="38"/>
      <c r="V39" s="38"/>
      <c r="W39" s="38"/>
      <c r="X39" s="38"/>
    </row>
    <row r="40" spans="1:24" s="41" customFormat="1" ht="13.5" customHeight="1">
      <c r="A40" s="337">
        <v>44927</v>
      </c>
      <c r="B40" s="36">
        <v>103.8</v>
      </c>
      <c r="C40" s="36">
        <v>113.7</v>
      </c>
      <c r="D40" s="36">
        <v>109.8</v>
      </c>
      <c r="E40" s="36">
        <v>122</v>
      </c>
      <c r="F40" s="39">
        <v>152.30000000000001</v>
      </c>
      <c r="G40" s="42">
        <v>157.80000000000001</v>
      </c>
      <c r="I40" s="328"/>
      <c r="R40"/>
      <c r="S40" s="38"/>
      <c r="T40" s="38"/>
      <c r="U40" s="38"/>
      <c r="V40" s="38"/>
      <c r="W40" s="38"/>
      <c r="X40" s="38"/>
    </row>
    <row r="41" spans="1:24" s="41" customFormat="1" ht="13.5" customHeight="1">
      <c r="A41" s="337">
        <v>44958</v>
      </c>
      <c r="B41" s="36">
        <v>112.7</v>
      </c>
      <c r="C41" s="36">
        <v>115.3</v>
      </c>
      <c r="D41" s="36">
        <v>109.1</v>
      </c>
      <c r="E41" s="36">
        <v>114.6</v>
      </c>
      <c r="F41" s="39">
        <v>170</v>
      </c>
      <c r="G41" s="42">
        <v>167.9</v>
      </c>
      <c r="I41" s="328"/>
      <c r="R41"/>
      <c r="S41" s="38"/>
      <c r="T41" s="38"/>
      <c r="U41" s="38"/>
      <c r="V41" s="38"/>
      <c r="W41" s="38"/>
      <c r="X41" s="38"/>
    </row>
    <row r="42" spans="1:24" s="41" customFormat="1" ht="13.5" customHeight="1">
      <c r="A42" s="337">
        <v>44986</v>
      </c>
      <c r="B42" s="36">
        <v>123.8</v>
      </c>
      <c r="C42" s="36">
        <v>115.3</v>
      </c>
      <c r="D42" s="36">
        <v>137.5</v>
      </c>
      <c r="E42" s="36">
        <v>127.2</v>
      </c>
      <c r="F42" s="39">
        <v>156</v>
      </c>
      <c r="G42" s="42">
        <v>156.6</v>
      </c>
      <c r="I42" s="328"/>
      <c r="R42"/>
      <c r="S42" s="38"/>
      <c r="T42" s="38"/>
      <c r="U42" s="38"/>
      <c r="V42" s="38"/>
      <c r="W42" s="38"/>
      <c r="X42" s="38"/>
    </row>
    <row r="43" spans="1:24" s="41" customFormat="1" ht="13.5" customHeight="1">
      <c r="A43" s="337">
        <v>45017</v>
      </c>
      <c r="B43" s="36">
        <v>116.7</v>
      </c>
      <c r="C43" s="36">
        <v>114.5</v>
      </c>
      <c r="D43" s="36">
        <v>125</v>
      </c>
      <c r="E43" s="36">
        <v>123.4</v>
      </c>
      <c r="F43" s="39">
        <v>151.69999999999999</v>
      </c>
      <c r="G43" s="42">
        <v>149.19999999999999</v>
      </c>
      <c r="I43" s="328"/>
      <c r="R43"/>
      <c r="S43" s="38"/>
      <c r="T43" s="38"/>
      <c r="U43" s="38"/>
      <c r="V43" s="38"/>
      <c r="W43" s="38"/>
      <c r="X43" s="38"/>
    </row>
    <row r="44" spans="1:24" s="41" customFormat="1" ht="15" customHeight="1">
      <c r="A44" s="337">
        <v>45047</v>
      </c>
      <c r="B44" s="36">
        <v>108.6</v>
      </c>
      <c r="C44" s="36">
        <v>111.2</v>
      </c>
      <c r="D44" s="36">
        <v>117.1</v>
      </c>
      <c r="E44" s="36">
        <v>119.7</v>
      </c>
      <c r="F44" s="39">
        <v>148</v>
      </c>
      <c r="G44" s="42">
        <v>148</v>
      </c>
      <c r="I44" s="328"/>
      <c r="R44"/>
      <c r="S44" s="38"/>
      <c r="T44" s="38"/>
      <c r="U44" s="38"/>
      <c r="V44" s="38"/>
      <c r="W44" s="38"/>
      <c r="X44" s="38"/>
    </row>
    <row r="45" spans="1:24" s="41" customFormat="1" ht="15" customHeight="1">
      <c r="A45" s="337">
        <v>45078</v>
      </c>
      <c r="B45" s="36">
        <v>111.4</v>
      </c>
      <c r="C45" s="36">
        <v>109.9</v>
      </c>
      <c r="D45" s="36">
        <v>120.1</v>
      </c>
      <c r="E45" s="36">
        <v>117.4</v>
      </c>
      <c r="F45" s="39">
        <v>147.1</v>
      </c>
      <c r="G45" s="42">
        <v>148.5</v>
      </c>
      <c r="I45" s="328"/>
      <c r="N45" s="38"/>
      <c r="O45" s="38"/>
      <c r="P45" s="55"/>
      <c r="Q45"/>
      <c r="R45"/>
      <c r="S45" s="38"/>
      <c r="T45" s="38"/>
      <c r="U45" s="38"/>
      <c r="V45" s="38"/>
      <c r="W45" s="38"/>
      <c r="X45" s="38"/>
    </row>
    <row r="46" spans="1:24" s="41" customFormat="1" ht="15" customHeight="1">
      <c r="A46" s="337">
        <v>45108</v>
      </c>
      <c r="B46" s="36">
        <v>109.5</v>
      </c>
      <c r="C46" s="36">
        <v>110.1</v>
      </c>
      <c r="D46" s="36">
        <v>111.4</v>
      </c>
      <c r="E46" s="36">
        <v>112.5</v>
      </c>
      <c r="F46" s="39">
        <v>153.5</v>
      </c>
      <c r="G46" s="42">
        <v>152.80000000000001</v>
      </c>
      <c r="I46" s="328"/>
      <c r="N46" s="38"/>
      <c r="O46" s="38"/>
      <c r="P46" s="55"/>
      <c r="Q46"/>
      <c r="R46"/>
      <c r="S46" s="38"/>
      <c r="T46" s="38"/>
      <c r="U46" s="38"/>
      <c r="V46" s="38"/>
      <c r="W46" s="38"/>
      <c r="X46" s="38"/>
    </row>
    <row r="47" spans="1:24" s="41" customFormat="1" ht="15" customHeight="1">
      <c r="A47" s="337">
        <v>45139</v>
      </c>
      <c r="B47" s="36">
        <v>104.7</v>
      </c>
      <c r="C47" s="36">
        <v>110.9</v>
      </c>
      <c r="D47" s="36">
        <v>107.1</v>
      </c>
      <c r="E47" s="36">
        <v>114.9</v>
      </c>
      <c r="F47" s="39">
        <v>159.19999999999999</v>
      </c>
      <c r="G47" s="42">
        <v>155.30000000000001</v>
      </c>
      <c r="I47" s="328"/>
      <c r="N47" s="38"/>
      <c r="O47" s="38"/>
      <c r="P47" s="55"/>
      <c r="Q47"/>
      <c r="R47"/>
      <c r="S47" s="38"/>
      <c r="T47" s="38"/>
      <c r="U47" s="38"/>
      <c r="V47" s="38"/>
      <c r="W47" s="38"/>
      <c r="X47" s="38"/>
    </row>
    <row r="48" spans="1:24" s="41" customFormat="1" ht="15" customHeight="1">
      <c r="A48" s="337">
        <v>45170</v>
      </c>
      <c r="B48" s="36">
        <v>104.5</v>
      </c>
      <c r="C48" s="36">
        <v>108.4</v>
      </c>
      <c r="D48" s="36">
        <v>114.5</v>
      </c>
      <c r="E48" s="36">
        <v>120</v>
      </c>
      <c r="F48" s="39">
        <v>149.5</v>
      </c>
      <c r="G48" s="42">
        <v>144.30000000000001</v>
      </c>
      <c r="I48" s="328"/>
      <c r="N48" s="38"/>
      <c r="O48" s="38"/>
      <c r="P48" s="55"/>
      <c r="Q48"/>
      <c r="R48"/>
      <c r="S48" s="38"/>
      <c r="T48" s="38"/>
      <c r="U48" s="38"/>
      <c r="V48" s="38"/>
      <c r="W48" s="38"/>
      <c r="X48" s="38"/>
    </row>
    <row r="49" spans="1:24" s="41" customFormat="1" ht="15" customHeight="1">
      <c r="A49" s="337">
        <v>45200</v>
      </c>
      <c r="B49" s="36">
        <v>104.7</v>
      </c>
      <c r="C49" s="36">
        <v>107.1</v>
      </c>
      <c r="D49" s="36">
        <v>110.1</v>
      </c>
      <c r="E49" s="36">
        <v>112.6</v>
      </c>
      <c r="F49" s="39">
        <v>148.6</v>
      </c>
      <c r="G49" s="42">
        <v>145.69999999999999</v>
      </c>
      <c r="I49" s="328"/>
      <c r="N49" s="38"/>
      <c r="O49" s="38"/>
      <c r="P49" s="55"/>
      <c r="Q49"/>
      <c r="R49"/>
      <c r="S49" s="38"/>
      <c r="T49" s="38"/>
      <c r="U49" s="38"/>
      <c r="V49" s="38"/>
      <c r="W49" s="38"/>
      <c r="X49" s="38"/>
    </row>
    <row r="50" spans="1:24" s="41" customFormat="1" ht="15" customHeight="1">
      <c r="A50" s="337">
        <v>45231</v>
      </c>
      <c r="B50" s="36">
        <v>112.1</v>
      </c>
      <c r="C50" s="36">
        <v>107.2</v>
      </c>
      <c r="D50" s="36">
        <v>118.2</v>
      </c>
      <c r="E50" s="36">
        <v>111.8</v>
      </c>
      <c r="F50" s="39">
        <v>149.19999999999999</v>
      </c>
      <c r="G50" s="42">
        <v>146.1</v>
      </c>
      <c r="I50" s="328"/>
      <c r="N50" s="38"/>
      <c r="O50" s="38"/>
      <c r="P50" s="55"/>
      <c r="Q50"/>
      <c r="R50"/>
      <c r="S50" s="38"/>
      <c r="T50" s="38"/>
      <c r="U50" s="38"/>
      <c r="V50" s="38"/>
      <c r="W50" s="38"/>
      <c r="X50" s="38"/>
    </row>
    <row r="51" spans="1:24" s="41" customFormat="1" ht="15" customHeight="1">
      <c r="A51" s="337">
        <f>EDATE(A50,1)</f>
        <v>45261</v>
      </c>
      <c r="B51" s="36">
        <v>114.2</v>
      </c>
      <c r="C51" s="36">
        <v>108.6</v>
      </c>
      <c r="D51" s="36">
        <v>124.7</v>
      </c>
      <c r="E51" s="36">
        <v>113.3</v>
      </c>
      <c r="F51" s="39">
        <v>136.19999999999999</v>
      </c>
      <c r="G51" s="42">
        <v>150.80000000000001</v>
      </c>
      <c r="I51" s="328"/>
      <c r="N51" s="38"/>
      <c r="O51" s="38"/>
      <c r="P51" s="55"/>
      <c r="Q51"/>
      <c r="R51"/>
      <c r="S51" s="38"/>
      <c r="T51" s="38"/>
      <c r="U51" s="38"/>
      <c r="V51" s="38"/>
      <c r="W51" s="38"/>
      <c r="X51" s="38"/>
    </row>
    <row r="52" spans="1:24" s="397" customFormat="1" ht="15" customHeight="1">
      <c r="A52" s="384">
        <v>45292</v>
      </c>
      <c r="B52" s="36">
        <v>109.8</v>
      </c>
      <c r="C52" s="36">
        <v>110</v>
      </c>
      <c r="D52" s="36">
        <v>111.6</v>
      </c>
      <c r="E52" s="36">
        <v>115.3</v>
      </c>
      <c r="F52" s="39">
        <v>144.4</v>
      </c>
      <c r="G52" s="42">
        <v>146.6</v>
      </c>
      <c r="I52" s="410"/>
      <c r="N52" s="38"/>
      <c r="O52" s="38"/>
      <c r="P52" s="55"/>
      <c r="Q52"/>
      <c r="R52"/>
      <c r="S52" s="38"/>
      <c r="T52" s="38"/>
      <c r="U52" s="38"/>
      <c r="V52" s="38"/>
      <c r="W52" s="38"/>
      <c r="X52" s="38"/>
    </row>
    <row r="53" spans="1:24" s="397" customFormat="1" ht="15" customHeight="1">
      <c r="A53" s="384">
        <v>45323</v>
      </c>
      <c r="B53" s="36">
        <v>104</v>
      </c>
      <c r="C53" s="36">
        <v>113.4</v>
      </c>
      <c r="D53" s="36">
        <v>110.4</v>
      </c>
      <c r="E53" s="36">
        <v>122.3</v>
      </c>
      <c r="F53" s="39">
        <v>153.5</v>
      </c>
      <c r="G53" s="42">
        <v>153.80000000000001</v>
      </c>
      <c r="I53" s="410"/>
      <c r="N53" s="38"/>
      <c r="O53" s="38"/>
      <c r="P53" s="55"/>
      <c r="Q53"/>
      <c r="R53"/>
      <c r="S53" s="38"/>
      <c r="T53" s="38"/>
      <c r="U53" s="38"/>
      <c r="V53" s="38"/>
      <c r="W53" s="38"/>
      <c r="X53" s="38"/>
    </row>
    <row r="54" spans="1:24" s="397" customFormat="1" ht="15" customHeight="1">
      <c r="A54" s="384">
        <v>45352</v>
      </c>
      <c r="B54" s="36">
        <v>116.5</v>
      </c>
      <c r="C54" s="36">
        <v>111.1</v>
      </c>
      <c r="D54" s="36">
        <v>125.6</v>
      </c>
      <c r="E54" s="36">
        <v>118.7</v>
      </c>
      <c r="F54" s="39">
        <v>149.30000000000001</v>
      </c>
      <c r="G54" s="42">
        <v>150.6</v>
      </c>
      <c r="I54" s="410"/>
      <c r="N54" s="38"/>
      <c r="O54" s="38"/>
      <c r="P54" s="55"/>
      <c r="Q54"/>
      <c r="R54"/>
      <c r="S54" s="38"/>
      <c r="T54" s="38"/>
      <c r="U54" s="38"/>
      <c r="V54" s="38"/>
      <c r="W54" s="38"/>
      <c r="X54" s="38"/>
    </row>
    <row r="55" spans="1:24" s="397" customFormat="1" ht="15" customHeight="1">
      <c r="A55" s="384">
        <v>45383</v>
      </c>
      <c r="B55" s="36">
        <v>116</v>
      </c>
      <c r="C55" s="36">
        <v>113.9</v>
      </c>
      <c r="D55" s="36">
        <v>120</v>
      </c>
      <c r="E55" s="36">
        <v>118.4</v>
      </c>
      <c r="F55" s="39">
        <v>148.30000000000001</v>
      </c>
      <c r="G55" s="42">
        <v>146.19999999999999</v>
      </c>
      <c r="I55" s="410"/>
      <c r="N55" s="38"/>
      <c r="O55" s="38"/>
      <c r="P55" s="55"/>
      <c r="Q55"/>
      <c r="R55"/>
      <c r="S55" s="38"/>
      <c r="T55" s="38"/>
      <c r="U55" s="38"/>
      <c r="V55" s="38"/>
      <c r="W55" s="38"/>
      <c r="X55" s="38"/>
    </row>
    <row r="56" spans="1:24" s="397" customFormat="1" ht="15" customHeight="1">
      <c r="A56" s="384">
        <v>45413</v>
      </c>
      <c r="B56" s="36">
        <v>117.9</v>
      </c>
      <c r="C56" s="36">
        <v>117.9</v>
      </c>
      <c r="D56" s="36">
        <v>124.7</v>
      </c>
      <c r="E56" s="36">
        <v>124.9</v>
      </c>
      <c r="F56" s="39">
        <v>146.1</v>
      </c>
      <c r="G56" s="42">
        <v>145.6</v>
      </c>
      <c r="I56" s="410"/>
      <c r="N56" s="38"/>
      <c r="O56" s="38"/>
      <c r="P56" s="55"/>
      <c r="Q56"/>
      <c r="R56"/>
      <c r="S56" s="38"/>
      <c r="T56" s="38"/>
      <c r="U56" s="38"/>
      <c r="V56" s="38"/>
      <c r="W56" s="38"/>
      <c r="X56" s="38"/>
    </row>
    <row r="57" spans="1:24" s="397" customFormat="1" ht="15" customHeight="1">
      <c r="A57" s="384">
        <v>45444</v>
      </c>
      <c r="B57" s="36">
        <v>111.7</v>
      </c>
      <c r="C57" s="36">
        <v>113.1</v>
      </c>
      <c r="D57" s="36">
        <v>113.8</v>
      </c>
      <c r="E57" s="36">
        <v>113.7</v>
      </c>
      <c r="F57" s="39">
        <v>146.5</v>
      </c>
      <c r="G57" s="42">
        <v>148.9</v>
      </c>
      <c r="I57" s="410"/>
      <c r="N57" s="38"/>
      <c r="O57" s="38"/>
      <c r="P57" s="55"/>
      <c r="Q57"/>
      <c r="R57"/>
      <c r="S57" s="38"/>
      <c r="T57" s="38"/>
      <c r="U57" s="38"/>
      <c r="V57" s="38"/>
      <c r="W57" s="38"/>
      <c r="X57" s="38"/>
    </row>
    <row r="58" spans="1:24" s="397" customFormat="1" ht="15" customHeight="1">
      <c r="A58" s="384">
        <v>45474</v>
      </c>
      <c r="B58" s="36">
        <v>113.5</v>
      </c>
      <c r="C58" s="36">
        <v>111.5</v>
      </c>
      <c r="D58" s="36">
        <v>117.8</v>
      </c>
      <c r="E58" s="36">
        <v>116.6</v>
      </c>
      <c r="F58" s="39">
        <v>152.4</v>
      </c>
      <c r="G58" s="42">
        <v>151.1</v>
      </c>
      <c r="I58" s="410"/>
      <c r="N58" s="38"/>
      <c r="O58" s="38"/>
      <c r="P58" s="55"/>
      <c r="Q58"/>
      <c r="R58"/>
      <c r="S58" s="38"/>
      <c r="T58" s="38"/>
      <c r="U58" s="38"/>
      <c r="V58" s="38"/>
      <c r="W58" s="38"/>
      <c r="X58" s="38"/>
    </row>
    <row r="59" spans="1:24" s="397" customFormat="1" ht="15" customHeight="1">
      <c r="A59" s="384">
        <v>45505</v>
      </c>
      <c r="B59" s="36">
        <v>111.8</v>
      </c>
      <c r="C59" s="36">
        <v>118.2</v>
      </c>
      <c r="D59" s="36">
        <v>118.3</v>
      </c>
      <c r="E59" s="36">
        <v>126.6</v>
      </c>
      <c r="F59" s="36">
        <v>160.19999999999999</v>
      </c>
      <c r="G59" s="42">
        <v>156.30000000000001</v>
      </c>
      <c r="I59" s="410"/>
      <c r="N59" s="38"/>
      <c r="O59" s="38"/>
      <c r="P59" s="55"/>
      <c r="Q59"/>
      <c r="R59"/>
      <c r="S59" s="38"/>
      <c r="T59" s="38"/>
      <c r="U59" s="38"/>
      <c r="V59" s="38"/>
      <c r="W59" s="38"/>
      <c r="X59" s="38"/>
    </row>
    <row r="60" spans="1:24" s="397" customFormat="1" ht="15" customHeight="1">
      <c r="A60" s="384">
        <v>45536</v>
      </c>
      <c r="B60" s="36">
        <v>102</v>
      </c>
      <c r="C60" s="36">
        <v>109.5</v>
      </c>
      <c r="D60" s="36">
        <v>106</v>
      </c>
      <c r="E60" s="36">
        <v>115.3</v>
      </c>
      <c r="F60" s="39">
        <v>170.1</v>
      </c>
      <c r="G60" s="42">
        <v>164.7</v>
      </c>
      <c r="I60" s="410"/>
      <c r="N60" s="38"/>
      <c r="O60" s="38"/>
      <c r="P60" s="55"/>
      <c r="Q60"/>
      <c r="R60"/>
      <c r="S60" s="38"/>
      <c r="T60" s="38"/>
      <c r="U60" s="38"/>
      <c r="V60" s="38"/>
      <c r="W60" s="38"/>
      <c r="X60" s="38"/>
    </row>
    <row r="61" spans="1:24" s="397" customFormat="1" ht="15" customHeight="1">
      <c r="A61" s="384">
        <v>45566</v>
      </c>
      <c r="B61" s="36">
        <v>119.1</v>
      </c>
      <c r="C61" s="36">
        <v>117.9</v>
      </c>
      <c r="D61" s="36">
        <v>115.4</v>
      </c>
      <c r="E61" s="36">
        <v>114.3</v>
      </c>
      <c r="F61" s="39">
        <v>182.5</v>
      </c>
      <c r="G61" s="42">
        <v>177.8</v>
      </c>
      <c r="I61" s="410"/>
      <c r="N61" s="38"/>
      <c r="O61" s="38"/>
      <c r="P61" s="55"/>
      <c r="Q61"/>
      <c r="R61"/>
      <c r="S61" s="38"/>
      <c r="T61" s="38"/>
      <c r="U61" s="38"/>
      <c r="V61" s="38"/>
      <c r="W61" s="38"/>
      <c r="X61" s="38"/>
    </row>
    <row r="62" spans="1:24" s="397" customFormat="1" ht="15" customHeight="1">
      <c r="A62" s="384">
        <v>45597</v>
      </c>
      <c r="B62" s="36">
        <v>118.6</v>
      </c>
      <c r="C62" s="36">
        <v>113.4</v>
      </c>
      <c r="D62" s="36">
        <v>125.7</v>
      </c>
      <c r="E62" s="36">
        <v>118.9</v>
      </c>
      <c r="F62" s="39">
        <v>171.3</v>
      </c>
      <c r="G62" s="42">
        <v>167.6</v>
      </c>
      <c r="I62" s="410"/>
      <c r="N62" s="38"/>
      <c r="O62" s="38"/>
      <c r="P62" s="55"/>
      <c r="Q62"/>
      <c r="R62"/>
      <c r="S62" s="38"/>
      <c r="T62" s="38"/>
      <c r="U62" s="38"/>
      <c r="V62" s="38"/>
      <c r="W62" s="38"/>
      <c r="X62" s="38"/>
    </row>
    <row r="63" spans="1:24" s="397" customFormat="1" ht="15" customHeight="1">
      <c r="A63" s="384">
        <v>45627</v>
      </c>
      <c r="B63" s="36">
        <v>122.7</v>
      </c>
      <c r="C63" s="36">
        <v>116.5</v>
      </c>
      <c r="D63" s="36">
        <v>141.1</v>
      </c>
      <c r="E63" s="36">
        <v>127.8</v>
      </c>
      <c r="F63" s="39">
        <v>148.9</v>
      </c>
      <c r="G63" s="42">
        <v>164.8</v>
      </c>
      <c r="I63" s="410"/>
      <c r="N63" s="38"/>
      <c r="O63" s="38"/>
      <c r="P63" s="55"/>
      <c r="Q63"/>
      <c r="R63"/>
      <c r="S63" s="38"/>
      <c r="T63" s="38"/>
      <c r="U63" s="38"/>
      <c r="V63" s="38"/>
      <c r="W63" s="38"/>
      <c r="X63" s="38"/>
    </row>
    <row r="64" spans="1:24" s="397" customFormat="1" ht="15" customHeight="1">
      <c r="A64" s="384">
        <v>45658</v>
      </c>
      <c r="B64" s="36">
        <v>98.6</v>
      </c>
      <c r="C64" s="36">
        <v>110.6</v>
      </c>
      <c r="D64" s="36">
        <v>97.9</v>
      </c>
      <c r="E64" s="36">
        <v>111.3</v>
      </c>
      <c r="F64" s="39">
        <v>157.5</v>
      </c>
      <c r="G64" s="42">
        <v>164</v>
      </c>
      <c r="I64" s="410"/>
      <c r="N64" s="38"/>
      <c r="O64" s="38"/>
      <c r="P64" s="55"/>
      <c r="Q64"/>
      <c r="R64"/>
      <c r="S64" s="38"/>
      <c r="T64" s="38"/>
      <c r="U64" s="38"/>
      <c r="V64" s="38"/>
      <c r="W64" s="38"/>
      <c r="X64" s="38"/>
    </row>
    <row r="65" spans="1:24" s="397" customFormat="1" ht="15" customHeight="1">
      <c r="A65" s="384">
        <v>45689</v>
      </c>
      <c r="B65" s="36">
        <v>111.4</v>
      </c>
      <c r="C65" s="36">
        <v>114</v>
      </c>
      <c r="D65" s="36">
        <v>114.6</v>
      </c>
      <c r="E65" s="36">
        <v>120.3</v>
      </c>
      <c r="F65" s="39">
        <v>158.9</v>
      </c>
      <c r="G65" s="42">
        <v>156.6</v>
      </c>
      <c r="I65" s="410"/>
      <c r="N65" s="38"/>
      <c r="O65" s="38"/>
      <c r="P65" s="415"/>
      <c r="Q65" s="416"/>
      <c r="R65" s="416"/>
      <c r="S65" s="38"/>
      <c r="T65" s="38"/>
      <c r="U65" s="38"/>
      <c r="V65" s="38"/>
      <c r="W65" s="38"/>
      <c r="X65" s="38"/>
    </row>
    <row r="66" spans="1:24" s="397" customFormat="1" ht="15" customHeight="1">
      <c r="A66" s="384">
        <v>45718</v>
      </c>
      <c r="B66" s="36">
        <v>117.6</v>
      </c>
      <c r="C66" s="36">
        <v>114.9</v>
      </c>
      <c r="D66" s="36">
        <v>115.7</v>
      </c>
      <c r="E66" s="36">
        <v>111.6</v>
      </c>
      <c r="F66" s="39">
        <v>167.5</v>
      </c>
      <c r="G66" s="42">
        <v>169.7</v>
      </c>
      <c r="I66" s="410"/>
      <c r="N66" s="38"/>
      <c r="O66" s="38"/>
      <c r="P66" s="415"/>
      <c r="Q66" s="416"/>
      <c r="R66" s="416"/>
      <c r="S66" s="38"/>
      <c r="T66" s="38"/>
      <c r="U66" s="38"/>
      <c r="V66" s="38"/>
      <c r="W66" s="38"/>
      <c r="X66" s="38"/>
    </row>
    <row r="67" spans="1:24" s="397" customFormat="1" ht="15" customHeight="1">
      <c r="A67" s="337">
        <v>45748</v>
      </c>
      <c r="B67" s="36">
        <v>114.4</v>
      </c>
      <c r="C67" s="36">
        <v>109.6</v>
      </c>
      <c r="D67" s="36">
        <v>120.5</v>
      </c>
      <c r="E67" s="36">
        <v>116.4</v>
      </c>
      <c r="F67" s="39">
        <v>163.6</v>
      </c>
      <c r="G67" s="42">
        <v>160.80000000000001</v>
      </c>
      <c r="I67" s="410"/>
      <c r="N67" s="38"/>
      <c r="O67" s="38"/>
      <c r="P67" s="415"/>
      <c r="Q67" s="416"/>
      <c r="R67" s="416"/>
      <c r="S67" s="38"/>
      <c r="T67" s="38"/>
      <c r="U67" s="38"/>
      <c r="V67" s="38"/>
      <c r="W67" s="38"/>
      <c r="X67" s="38"/>
    </row>
    <row r="68" spans="1:24" s="41" customFormat="1" ht="15" customHeight="1">
      <c r="A68" s="412">
        <f t="shared" ref="A68:A72" si="0">EDATE(A67,1)</f>
        <v>45778</v>
      </c>
      <c r="B68" s="36">
        <v>105.2</v>
      </c>
      <c r="C68" s="36">
        <v>105.4</v>
      </c>
      <c r="D68" s="36">
        <v>113.4</v>
      </c>
      <c r="E68" s="36">
        <v>113.7</v>
      </c>
      <c r="F68" s="39">
        <v>158.80000000000001</v>
      </c>
      <c r="G68" s="42">
        <v>158.5</v>
      </c>
      <c r="I68" s="328"/>
      <c r="N68" s="38"/>
      <c r="O68" s="38"/>
      <c r="P68" s="55"/>
      <c r="Q68"/>
      <c r="R68"/>
      <c r="S68" s="38"/>
      <c r="T68" s="38"/>
      <c r="U68" s="38"/>
      <c r="V68" s="38"/>
      <c r="W68" s="38"/>
      <c r="X68" s="38"/>
    </row>
    <row r="69" spans="1:24" s="397" customFormat="1" ht="15" customHeight="1">
      <c r="A69" s="384">
        <f t="shared" si="0"/>
        <v>45809</v>
      </c>
      <c r="B69" s="36">
        <v>109.2</v>
      </c>
      <c r="C69" s="36">
        <v>113.4</v>
      </c>
      <c r="D69" s="36">
        <v>117.2</v>
      </c>
      <c r="E69" s="36">
        <v>119.5</v>
      </c>
      <c r="F69" s="39">
        <v>147.19999999999999</v>
      </c>
      <c r="G69" s="42">
        <v>150.6</v>
      </c>
      <c r="I69" s="410"/>
      <c r="N69" s="38"/>
      <c r="O69" s="38"/>
      <c r="P69" s="55"/>
      <c r="Q69"/>
      <c r="R69"/>
      <c r="S69" s="38"/>
      <c r="T69" s="38"/>
      <c r="U69" s="38"/>
      <c r="V69" s="38"/>
      <c r="W69" s="38"/>
      <c r="X69" s="38"/>
    </row>
    <row r="70" spans="1:24" s="397" customFormat="1" ht="15" customHeight="1">
      <c r="A70" s="337">
        <f t="shared" si="0"/>
        <v>45839</v>
      </c>
      <c r="B70" s="36">
        <v>110.1</v>
      </c>
      <c r="C70" s="36">
        <v>108.3</v>
      </c>
      <c r="D70" s="36">
        <v>107.8</v>
      </c>
      <c r="E70" s="36">
        <v>107</v>
      </c>
      <c r="F70" s="39">
        <v>151.4</v>
      </c>
      <c r="G70" s="42">
        <v>150.19999999999999</v>
      </c>
      <c r="I70" s="410"/>
      <c r="N70" s="38"/>
      <c r="O70" s="38"/>
      <c r="P70" s="55"/>
      <c r="Q70"/>
      <c r="R70"/>
      <c r="S70" s="38"/>
      <c r="T70" s="38"/>
      <c r="U70" s="38"/>
      <c r="V70" s="38"/>
      <c r="W70" s="38"/>
      <c r="X70" s="38"/>
    </row>
    <row r="71" spans="1:24" s="397" customFormat="1" ht="15" customHeight="1">
      <c r="A71" s="337">
        <f t="shared" si="0"/>
        <v>45870</v>
      </c>
      <c r="B71" s="36">
        <v>106.9</v>
      </c>
      <c r="C71" s="36">
        <v>115.6</v>
      </c>
      <c r="D71" s="36">
        <v>107.4</v>
      </c>
      <c r="E71" s="36">
        <v>117</v>
      </c>
      <c r="F71" s="39">
        <v>164.4</v>
      </c>
      <c r="G71" s="42">
        <v>161</v>
      </c>
      <c r="I71" s="410"/>
      <c r="N71" s="38"/>
      <c r="O71" s="38"/>
      <c r="P71" s="55"/>
      <c r="Q71"/>
      <c r="R71"/>
      <c r="S71" s="38"/>
      <c r="T71" s="38"/>
      <c r="U71" s="38"/>
      <c r="V71" s="38"/>
      <c r="W71" s="38"/>
      <c r="X71" s="38"/>
    </row>
    <row r="72" spans="1:24" s="397" customFormat="1" ht="15" customHeight="1">
      <c r="A72" s="337">
        <f t="shared" si="0"/>
        <v>45901</v>
      </c>
      <c r="B72" s="36">
        <v>117.7</v>
      </c>
      <c r="C72" s="36">
        <v>111.7</v>
      </c>
      <c r="D72" s="36">
        <v>112.3</v>
      </c>
      <c r="E72" s="36">
        <v>108.7</v>
      </c>
      <c r="F72" s="39">
        <v>169</v>
      </c>
      <c r="G72" s="42">
        <v>162</v>
      </c>
      <c r="I72" s="410"/>
      <c r="N72" s="38"/>
      <c r="O72" s="38"/>
      <c r="P72" s="55"/>
      <c r="Q72"/>
      <c r="R72"/>
      <c r="S72" s="38"/>
      <c r="T72" s="38"/>
      <c r="U72" s="38"/>
      <c r="V72" s="38"/>
      <c r="W72" s="38"/>
      <c r="X72" s="38"/>
    </row>
    <row r="73" spans="1:24" s="397" customFormat="1" ht="15" customHeight="1">
      <c r="A73" s="337">
        <f t="shared" ref="A73:A78" si="1">EDATE(A72,1)</f>
        <v>45931</v>
      </c>
      <c r="B73" s="36">
        <v>104.1</v>
      </c>
      <c r="C73" s="36">
        <v>111</v>
      </c>
      <c r="D73" s="36">
        <v>100.6</v>
      </c>
      <c r="E73" s="36">
        <v>107.6</v>
      </c>
      <c r="F73" s="39">
        <v>172.7</v>
      </c>
      <c r="G73" s="42">
        <v>167.8</v>
      </c>
      <c r="I73" s="410"/>
      <c r="N73" s="38"/>
      <c r="O73" s="38"/>
      <c r="P73" s="55"/>
      <c r="Q73"/>
      <c r="R73"/>
      <c r="S73" s="38"/>
      <c r="T73" s="38"/>
      <c r="U73" s="38"/>
      <c r="V73" s="38"/>
      <c r="W73" s="38"/>
      <c r="X73" s="38"/>
    </row>
    <row r="74" spans="1:24" s="397" customFormat="1" ht="15" customHeight="1">
      <c r="A74" s="337">
        <f t="shared" si="1"/>
        <v>45962</v>
      </c>
      <c r="B74" s="36">
        <v>116.7</v>
      </c>
      <c r="C74" s="36">
        <v>114.6</v>
      </c>
      <c r="D74" s="36">
        <v>116</v>
      </c>
      <c r="E74" s="36">
        <v>112.1</v>
      </c>
      <c r="F74" s="39">
        <v>178.6</v>
      </c>
      <c r="G74" s="42">
        <v>175.6</v>
      </c>
      <c r="I74" s="410"/>
      <c r="N74" s="38"/>
      <c r="O74" s="38"/>
      <c r="P74" s="55"/>
      <c r="Q74"/>
      <c r="R74"/>
      <c r="S74" s="38"/>
      <c r="T74" s="38"/>
      <c r="U74" s="38"/>
      <c r="V74" s="38"/>
      <c r="W74" s="38"/>
      <c r="X74" s="38"/>
    </row>
    <row r="75" spans="1:24" s="397" customFormat="1" ht="15" customHeight="1">
      <c r="A75" s="384">
        <f t="shared" si="1"/>
        <v>45992</v>
      </c>
      <c r="B75" s="398">
        <v>123.6</v>
      </c>
      <c r="C75" s="398">
        <v>114.2</v>
      </c>
      <c r="D75" s="398">
        <v>146.69999999999999</v>
      </c>
      <c r="E75" s="398">
        <v>129.80000000000001</v>
      </c>
      <c r="F75" s="457">
        <v>143.9</v>
      </c>
      <c r="G75" s="398">
        <v>158.30000000000001</v>
      </c>
      <c r="I75" s="410"/>
      <c r="N75" s="38"/>
      <c r="O75" s="38"/>
      <c r="P75" s="55"/>
      <c r="Q75"/>
      <c r="R75"/>
      <c r="S75" s="38"/>
      <c r="T75" s="38"/>
      <c r="U75" s="38"/>
      <c r="V75" s="38"/>
      <c r="W75" s="38"/>
      <c r="X75" s="38"/>
    </row>
    <row r="76" spans="1:24" s="397" customFormat="1" ht="15" customHeight="1">
      <c r="A76" s="337">
        <f t="shared" si="1"/>
        <v>46023</v>
      </c>
      <c r="B76" s="398">
        <v>105.3</v>
      </c>
      <c r="C76" s="398">
        <v>105.7</v>
      </c>
      <c r="D76" s="398">
        <v>104.2</v>
      </c>
      <c r="E76" s="398">
        <v>108</v>
      </c>
      <c r="F76" s="457">
        <v>147.30000000000001</v>
      </c>
      <c r="G76" s="398">
        <v>149.5</v>
      </c>
      <c r="I76" s="410"/>
      <c r="N76" s="38"/>
      <c r="O76" s="38"/>
      <c r="P76" s="55"/>
      <c r="Q76"/>
      <c r="R76"/>
      <c r="S76" s="38"/>
      <c r="T76" s="38"/>
      <c r="U76" s="38"/>
      <c r="V76" s="38"/>
      <c r="W76" s="38"/>
      <c r="X76" s="38"/>
    </row>
    <row r="77" spans="1:24" s="397" customFormat="1" ht="15" customHeight="1">
      <c r="A77" s="384">
        <f t="shared" si="1"/>
        <v>46054</v>
      </c>
      <c r="B77" s="398">
        <v>93.3</v>
      </c>
      <c r="C77" s="398">
        <v>104</v>
      </c>
      <c r="D77" s="398">
        <v>93.5</v>
      </c>
      <c r="E77" s="398">
        <v>105.3</v>
      </c>
      <c r="F77" s="457">
        <v>147.6</v>
      </c>
      <c r="G77" s="398">
        <v>148.19999999999999</v>
      </c>
      <c r="I77" s="410"/>
      <c r="N77" s="38"/>
      <c r="O77" s="38"/>
      <c r="P77" s="55"/>
      <c r="Q77"/>
      <c r="R77"/>
      <c r="S77" s="38"/>
      <c r="T77" s="38"/>
      <c r="U77" s="38"/>
      <c r="V77" s="38"/>
      <c r="W77" s="38"/>
      <c r="X77" s="38"/>
    </row>
    <row r="78" spans="1:24" s="397" customFormat="1" ht="15" customHeight="1">
      <c r="A78" s="460">
        <f t="shared" si="1"/>
        <v>46082</v>
      </c>
      <c r="B78" s="462">
        <v>119.4</v>
      </c>
      <c r="C78" s="462">
        <v>113.7</v>
      </c>
      <c r="D78" s="462">
        <v>131</v>
      </c>
      <c r="E78" s="462">
        <v>123.9</v>
      </c>
      <c r="F78" s="463">
        <v>145.1</v>
      </c>
      <c r="G78" s="462">
        <v>146.30000000000001</v>
      </c>
      <c r="I78" s="410"/>
      <c r="N78" s="38"/>
      <c r="O78" s="38"/>
      <c r="P78" s="55"/>
      <c r="Q78"/>
      <c r="R78"/>
      <c r="S78" s="38"/>
      <c r="T78" s="38"/>
      <c r="U78" s="38"/>
      <c r="V78" s="38"/>
      <c r="W78" s="38"/>
      <c r="X78" s="38"/>
    </row>
    <row r="79" spans="1:24" s="46" customFormat="1" ht="10.5" customHeight="1">
      <c r="A79" s="384"/>
      <c r="B79" s="398"/>
      <c r="C79" s="398"/>
      <c r="D79" s="398"/>
      <c r="E79" s="398"/>
      <c r="F79" s="457"/>
      <c r="G79" s="398"/>
      <c r="H79" s="397"/>
      <c r="I79" s="397"/>
      <c r="J79" s="397"/>
      <c r="K79" s="397"/>
      <c r="L79" s="397"/>
      <c r="M79" s="397"/>
      <c r="N79" s="38"/>
      <c r="O79" s="38"/>
      <c r="P79"/>
      <c r="Q79"/>
      <c r="R79"/>
    </row>
    <row r="80" spans="1:24" s="51" customFormat="1" ht="11.25" customHeight="1">
      <c r="A80" s="10" t="s">
        <v>165</v>
      </c>
      <c r="B80" s="10"/>
      <c r="C80" s="43"/>
      <c r="D80" s="43"/>
      <c r="E80" s="43"/>
      <c r="F80" s="43"/>
      <c r="G80" s="432"/>
      <c r="H80" s="41"/>
      <c r="I80" s="41"/>
      <c r="J80" s="41"/>
      <c r="K80" s="41"/>
      <c r="L80" s="41"/>
      <c r="M80" s="41"/>
      <c r="N80" s="38"/>
      <c r="O80" s="38"/>
      <c r="P80"/>
      <c r="Q80"/>
      <c r="R80"/>
    </row>
    <row r="81" spans="1:18" s="51" customFormat="1" ht="11.25" customHeight="1">
      <c r="A81" s="10" t="s">
        <v>156</v>
      </c>
      <c r="B81" s="10"/>
      <c r="C81" s="43"/>
      <c r="D81" s="43"/>
      <c r="E81" s="43"/>
      <c r="F81" s="43"/>
      <c r="G81" s="432"/>
      <c r="H81" s="397"/>
      <c r="I81" s="397"/>
      <c r="J81" s="397"/>
      <c r="K81" s="397"/>
      <c r="L81" s="397"/>
      <c r="M81" s="397"/>
      <c r="N81" s="38"/>
      <c r="O81" s="38"/>
      <c r="P81"/>
      <c r="Q81"/>
      <c r="R81"/>
    </row>
    <row r="82" spans="1:18" s="55" customFormat="1">
      <c r="A82" s="10" t="s">
        <v>150</v>
      </c>
      <c r="B82" s="10"/>
      <c r="C82" s="43"/>
      <c r="D82" s="43"/>
      <c r="E82" s="43"/>
      <c r="F82" s="43"/>
      <c r="G82" s="44"/>
      <c r="H82" s="41"/>
      <c r="I82" s="41"/>
      <c r="J82" s="41"/>
      <c r="K82" s="41"/>
      <c r="L82" s="41"/>
      <c r="M82" s="41"/>
      <c r="N82" s="38"/>
      <c r="O82" s="38"/>
      <c r="P82"/>
      <c r="Q82"/>
      <c r="R82"/>
    </row>
    <row r="83" spans="1:18" s="55" customFormat="1">
      <c r="A83" s="47"/>
      <c r="B83" s="48"/>
      <c r="C83" s="48"/>
      <c r="D83" s="48"/>
      <c r="E83" s="48"/>
      <c r="F83" s="49"/>
      <c r="G83" s="50"/>
      <c r="H83" s="41"/>
      <c r="I83" s="41"/>
      <c r="J83" s="41"/>
      <c r="K83" s="41"/>
      <c r="L83" s="41"/>
      <c r="M83" s="41"/>
      <c r="N83" s="38"/>
      <c r="O83" s="38"/>
      <c r="P83"/>
      <c r="Q83"/>
      <c r="R83"/>
    </row>
    <row r="84" spans="1:18">
      <c r="B84" s="53"/>
      <c r="C84" s="53"/>
      <c r="D84" s="53"/>
      <c r="E84" s="53"/>
      <c r="F84" s="53"/>
      <c r="G84" s="54"/>
      <c r="H84" s="41"/>
      <c r="I84" s="41"/>
      <c r="J84" s="41"/>
      <c r="K84" s="41"/>
      <c r="L84" s="41"/>
      <c r="M84" s="41"/>
      <c r="N84" s="38"/>
      <c r="O84" s="38"/>
    </row>
    <row r="85" spans="1:18" ht="14.25">
      <c r="B85" s="53"/>
      <c r="C85" s="56"/>
      <c r="D85" s="56"/>
      <c r="E85" s="56"/>
      <c r="F85" s="53"/>
      <c r="G85" s="54"/>
      <c r="H85" s="41"/>
      <c r="I85" s="41"/>
      <c r="J85" s="41"/>
      <c r="K85" s="41"/>
      <c r="L85" s="41"/>
      <c r="M85" s="41"/>
      <c r="N85" s="38"/>
      <c r="O85" s="38"/>
    </row>
    <row r="86" spans="1:18" ht="14.25">
      <c r="B86" s="57"/>
      <c r="C86" s="56"/>
      <c r="D86" s="56"/>
      <c r="E86" s="56"/>
      <c r="F86" s="53"/>
      <c r="G86" s="54"/>
      <c r="H86" s="41"/>
      <c r="I86" s="41"/>
      <c r="J86" s="41"/>
      <c r="K86" s="41"/>
      <c r="L86" s="41"/>
      <c r="M86" s="41"/>
      <c r="N86" s="38"/>
      <c r="O86" s="38"/>
    </row>
    <row r="87" spans="1:18" ht="14.25">
      <c r="B87" s="57"/>
      <c r="C87" s="56"/>
      <c r="D87" s="56"/>
      <c r="E87" s="56"/>
      <c r="F87" s="53"/>
      <c r="G87" s="54"/>
      <c r="H87" s="41"/>
      <c r="I87" s="41"/>
      <c r="J87" s="41"/>
      <c r="K87" s="41"/>
      <c r="L87" s="41"/>
      <c r="M87" s="41"/>
      <c r="N87" s="38"/>
      <c r="O87" s="38"/>
    </row>
    <row r="88" spans="1:18" ht="14.25">
      <c r="B88" s="57"/>
      <c r="C88" s="56"/>
      <c r="D88" s="56"/>
      <c r="E88" s="56"/>
      <c r="F88" s="53"/>
      <c r="G88" s="54"/>
      <c r="H88" s="41"/>
      <c r="I88" s="41"/>
      <c r="J88" s="41"/>
      <c r="K88" s="41"/>
      <c r="L88" s="41"/>
      <c r="M88" s="41"/>
      <c r="N88" s="38"/>
      <c r="O88" s="38"/>
    </row>
    <row r="89" spans="1:18" ht="14.25">
      <c r="B89" s="57"/>
      <c r="C89" s="56"/>
      <c r="D89" s="56"/>
      <c r="E89" s="56"/>
      <c r="F89" s="53"/>
      <c r="G89" s="54"/>
      <c r="H89" s="37"/>
      <c r="I89" s="41"/>
      <c r="J89" s="41"/>
      <c r="K89" s="41"/>
      <c r="L89" s="41"/>
      <c r="M89" s="41"/>
      <c r="N89" s="38"/>
      <c r="O89" s="38"/>
    </row>
    <row r="90" spans="1:18" ht="14.25">
      <c r="B90" s="57"/>
      <c r="C90" s="56"/>
      <c r="D90" s="56"/>
      <c r="E90" s="56"/>
      <c r="F90" s="53"/>
      <c r="G90" s="54"/>
      <c r="H90" s="41"/>
      <c r="I90" s="41"/>
      <c r="J90" s="41"/>
      <c r="K90" s="41"/>
      <c r="L90" s="41"/>
      <c r="M90" s="41"/>
      <c r="N90" s="38"/>
      <c r="O90" s="38"/>
    </row>
    <row r="91" spans="1:18" ht="14.25">
      <c r="B91" s="57"/>
      <c r="C91" s="56"/>
      <c r="D91" s="56"/>
      <c r="E91" s="56"/>
      <c r="F91" s="53"/>
      <c r="G91" s="54"/>
      <c r="H91" s="41"/>
      <c r="I91" s="41"/>
      <c r="J91" s="41"/>
      <c r="K91" s="41"/>
      <c r="L91" s="41"/>
      <c r="M91" s="41"/>
      <c r="N91" s="38"/>
      <c r="O91" s="38"/>
    </row>
    <row r="92" spans="1:18" ht="14.25">
      <c r="B92" s="57"/>
      <c r="C92" s="56"/>
      <c r="D92" s="56"/>
      <c r="E92" s="56"/>
      <c r="F92" s="53"/>
      <c r="G92" s="54"/>
      <c r="H92" s="41"/>
      <c r="I92" s="41"/>
      <c r="J92" s="41"/>
      <c r="K92" s="41"/>
      <c r="L92" s="41"/>
      <c r="M92" s="41"/>
      <c r="N92" s="38"/>
      <c r="O92" s="38"/>
    </row>
    <row r="93" spans="1:18" ht="14.25">
      <c r="B93" s="57"/>
      <c r="C93" s="56"/>
      <c r="D93" s="56"/>
      <c r="E93" s="56"/>
      <c r="F93" s="53"/>
      <c r="G93" s="54"/>
      <c r="H93" s="41"/>
      <c r="I93" s="41"/>
      <c r="J93" s="41"/>
      <c r="K93" s="41"/>
      <c r="L93" s="41"/>
      <c r="M93" s="41"/>
      <c r="N93" s="38"/>
      <c r="O93" s="38"/>
    </row>
    <row r="94" spans="1:18" ht="14.25">
      <c r="B94" s="57"/>
      <c r="C94" s="56"/>
      <c r="D94" s="56"/>
      <c r="E94" s="56"/>
      <c r="F94" s="53"/>
      <c r="G94" s="54"/>
      <c r="H94" s="41"/>
      <c r="I94" s="41"/>
      <c r="J94" s="41"/>
      <c r="K94" s="41"/>
      <c r="L94" s="41"/>
      <c r="M94" s="41"/>
      <c r="N94" s="38"/>
      <c r="O94" s="38"/>
    </row>
    <row r="95" spans="1:18" ht="14.25">
      <c r="A95"/>
      <c r="B95" s="57"/>
      <c r="C95" s="56"/>
      <c r="D95" s="56"/>
      <c r="E95" s="56"/>
      <c r="F95" s="53"/>
      <c r="G95" s="54"/>
      <c r="H95" s="41"/>
      <c r="I95" s="41"/>
      <c r="J95" s="41"/>
      <c r="K95" s="41"/>
      <c r="L95" s="41"/>
      <c r="M95" s="41"/>
      <c r="N95" s="38"/>
      <c r="O95" s="38"/>
    </row>
    <row r="96" spans="1:18" ht="14.25">
      <c r="A96"/>
      <c r="B96" s="57"/>
      <c r="C96" s="56"/>
      <c r="D96" s="56"/>
      <c r="E96" s="56"/>
      <c r="F96" s="53"/>
      <c r="G96" s="54"/>
      <c r="H96" s="41"/>
      <c r="I96" s="41"/>
      <c r="J96" s="41"/>
      <c r="K96" s="41"/>
      <c r="L96" s="41"/>
      <c r="M96" s="41"/>
      <c r="N96" s="38"/>
      <c r="O96" s="58"/>
    </row>
    <row r="97" spans="1:15" ht="14.25">
      <c r="A97"/>
      <c r="B97" s="57"/>
      <c r="C97" s="56"/>
      <c r="D97" s="56"/>
      <c r="E97" s="56"/>
      <c r="F97" s="53"/>
      <c r="G97" s="54"/>
      <c r="H97" s="41"/>
      <c r="I97" s="41"/>
      <c r="J97" s="41"/>
      <c r="K97" s="41"/>
      <c r="L97" s="41"/>
      <c r="M97" s="41"/>
      <c r="N97" s="38"/>
      <c r="O97" s="58"/>
    </row>
    <row r="98" spans="1:15" ht="14.25">
      <c r="A98"/>
      <c r="B98" s="57"/>
      <c r="C98" s="56"/>
      <c r="D98" s="56"/>
      <c r="E98" s="56"/>
      <c r="F98" s="53"/>
      <c r="G98" s="54"/>
      <c r="H98" s="41"/>
      <c r="I98" s="41"/>
      <c r="J98" s="41"/>
      <c r="K98" s="41"/>
      <c r="L98" s="41"/>
      <c r="M98" s="41"/>
      <c r="N98" s="38"/>
      <c r="O98" s="58"/>
    </row>
    <row r="99" spans="1:15" ht="14.25">
      <c r="A99"/>
      <c r="B99" s="57"/>
      <c r="C99" s="56"/>
      <c r="D99" s="56"/>
      <c r="E99" s="56"/>
      <c r="F99" s="53"/>
      <c r="G99" s="54"/>
      <c r="H99" s="41"/>
      <c r="I99" s="41"/>
      <c r="J99" s="41"/>
      <c r="K99" s="41"/>
      <c r="L99" s="41"/>
      <c r="M99" s="41"/>
      <c r="N99" s="38"/>
      <c r="O99" s="58"/>
    </row>
    <row r="100" spans="1:15" ht="14.25">
      <c r="A100"/>
      <c r="B100" s="57"/>
      <c r="C100" s="56"/>
      <c r="D100" s="56"/>
      <c r="E100" s="56"/>
      <c r="F100" s="53"/>
      <c r="G100" s="54"/>
      <c r="H100" s="41"/>
      <c r="I100" s="41"/>
      <c r="J100" s="41"/>
      <c r="K100" s="41"/>
      <c r="L100" s="41"/>
      <c r="M100" s="41"/>
      <c r="N100" s="38"/>
      <c r="O100" s="58"/>
    </row>
    <row r="101" spans="1:15" ht="14.25">
      <c r="A101"/>
      <c r="B101" s="57"/>
      <c r="C101" s="56"/>
      <c r="D101" s="56"/>
      <c r="E101" s="56"/>
      <c r="F101" s="53"/>
      <c r="G101" s="54"/>
      <c r="H101" s="41"/>
      <c r="I101" s="41"/>
      <c r="J101" s="41"/>
      <c r="K101" s="41"/>
      <c r="L101" s="41"/>
      <c r="M101" s="41"/>
      <c r="N101" s="38"/>
      <c r="O101" s="58"/>
    </row>
    <row r="102" spans="1:15" ht="14.25">
      <c r="A102"/>
      <c r="B102" s="57"/>
      <c r="C102" s="56"/>
      <c r="D102" s="56"/>
      <c r="E102" s="56"/>
      <c r="F102" s="53"/>
      <c r="G102" s="54"/>
      <c r="H102" s="41"/>
      <c r="I102" s="41"/>
      <c r="J102" s="41"/>
      <c r="K102" s="41"/>
      <c r="L102" s="41"/>
      <c r="M102" s="41"/>
      <c r="N102" s="38"/>
      <c r="O102" s="58"/>
    </row>
    <row r="103" spans="1:15" ht="14.25">
      <c r="A103"/>
      <c r="B103" s="57"/>
      <c r="C103" s="56"/>
      <c r="D103" s="56"/>
      <c r="E103" s="56"/>
      <c r="F103" s="53"/>
      <c r="G103" s="54"/>
      <c r="H103" s="41"/>
      <c r="I103" s="41"/>
      <c r="J103" s="41"/>
      <c r="K103" s="41"/>
      <c r="L103" s="41"/>
      <c r="M103" s="41"/>
      <c r="N103" s="38"/>
      <c r="O103" s="58"/>
    </row>
    <row r="104" spans="1:15" ht="14.25">
      <c r="A104"/>
      <c r="B104" s="57"/>
      <c r="C104" s="56"/>
      <c r="D104" s="56"/>
      <c r="E104" s="56"/>
      <c r="F104" s="53"/>
      <c r="G104" s="54"/>
      <c r="H104" s="41"/>
      <c r="I104" s="41"/>
      <c r="J104" s="41"/>
      <c r="K104" s="41"/>
      <c r="L104" s="41"/>
      <c r="M104" s="41"/>
      <c r="N104" s="38"/>
      <c r="O104" s="58"/>
    </row>
    <row r="105" spans="1:15" ht="14.25">
      <c r="A105"/>
      <c r="B105" s="57"/>
      <c r="C105" s="56"/>
      <c r="D105" s="56"/>
      <c r="E105" s="56"/>
      <c r="F105" s="53"/>
      <c r="G105" s="54"/>
      <c r="H105" s="41"/>
      <c r="I105" s="41"/>
      <c r="J105" s="41"/>
      <c r="K105" s="41"/>
      <c r="L105" s="41"/>
      <c r="M105" s="41"/>
      <c r="N105" s="38"/>
      <c r="O105" s="58"/>
    </row>
    <row r="106" spans="1:15" ht="14.25">
      <c r="A106"/>
      <c r="B106" s="57"/>
      <c r="C106" s="56"/>
      <c r="D106" s="56"/>
      <c r="E106" s="56"/>
      <c r="F106" s="53"/>
      <c r="G106" s="54"/>
      <c r="H106" s="41"/>
      <c r="I106" s="41"/>
      <c r="J106" s="41"/>
      <c r="K106" s="41"/>
      <c r="L106" s="41"/>
      <c r="M106" s="41"/>
      <c r="N106" s="38"/>
      <c r="O106" s="58"/>
    </row>
    <row r="107" spans="1:15" ht="14.25">
      <c r="A107"/>
      <c r="B107" s="57"/>
      <c r="C107" s="56"/>
      <c r="D107" s="56"/>
      <c r="E107" s="56"/>
      <c r="F107" s="53"/>
      <c r="G107" s="54"/>
      <c r="H107" s="41"/>
      <c r="I107" s="41"/>
      <c r="J107" s="41"/>
      <c r="K107" s="41"/>
      <c r="L107" s="41"/>
      <c r="M107" s="41"/>
      <c r="N107" s="38"/>
    </row>
    <row r="108" spans="1:15" ht="14.25">
      <c r="A108"/>
      <c r="B108" s="53"/>
      <c r="C108" s="56"/>
      <c r="D108" s="56"/>
      <c r="E108" s="56"/>
      <c r="F108" s="53"/>
      <c r="G108" s="54"/>
      <c r="H108" s="41"/>
      <c r="I108" s="41"/>
      <c r="J108" s="41"/>
      <c r="K108" s="41"/>
      <c r="L108" s="41"/>
      <c r="M108" s="41"/>
      <c r="N108" s="38"/>
    </row>
    <row r="109" spans="1:15" ht="14.25">
      <c r="A109"/>
      <c r="B109" s="53"/>
      <c r="C109" s="56"/>
      <c r="D109" s="56"/>
      <c r="E109" s="56"/>
      <c r="F109" s="53"/>
      <c r="G109" s="54"/>
      <c r="H109" s="41"/>
      <c r="I109" s="41"/>
      <c r="J109" s="41"/>
      <c r="K109" s="41"/>
      <c r="L109" s="41"/>
      <c r="M109" s="41"/>
      <c r="N109" s="38"/>
    </row>
    <row r="110" spans="1:15">
      <c r="A110"/>
      <c r="B110" s="53"/>
      <c r="C110" s="53"/>
      <c r="D110" s="53"/>
      <c r="E110" s="53"/>
      <c r="F110" s="53"/>
      <c r="G110" s="54"/>
      <c r="H110" s="41"/>
      <c r="I110" s="41"/>
      <c r="J110" s="41"/>
      <c r="K110" s="41"/>
      <c r="L110" s="41"/>
      <c r="M110" s="41"/>
      <c r="N110" s="38"/>
    </row>
    <row r="111" spans="1:15">
      <c r="A111"/>
      <c r="B111" s="53"/>
      <c r="C111" s="53"/>
      <c r="D111" s="53"/>
      <c r="E111" s="53"/>
      <c r="F111" s="53"/>
      <c r="G111" s="54"/>
      <c r="H111" s="41"/>
      <c r="I111" s="41"/>
      <c r="J111" s="41"/>
      <c r="K111" s="41"/>
      <c r="L111" s="41"/>
      <c r="M111" s="41"/>
      <c r="N111" s="38"/>
    </row>
    <row r="112" spans="1:15">
      <c r="A112"/>
      <c r="B112" s="53"/>
      <c r="C112" s="53"/>
      <c r="D112" s="53"/>
      <c r="E112" s="53"/>
      <c r="F112" s="53"/>
      <c r="G112" s="54"/>
      <c r="H112" s="41"/>
      <c r="I112" s="41"/>
      <c r="J112" s="41"/>
      <c r="K112" s="41"/>
      <c r="L112" s="41"/>
      <c r="M112" s="41"/>
      <c r="N112" s="38"/>
    </row>
    <row r="113" spans="1:14">
      <c r="A113"/>
      <c r="B113" s="53"/>
      <c r="C113" s="53"/>
      <c r="D113" s="53"/>
      <c r="E113" s="53"/>
      <c r="F113" s="53"/>
      <c r="G113" s="54"/>
      <c r="H113" s="41"/>
      <c r="I113" s="41"/>
      <c r="J113" s="41"/>
      <c r="K113" s="41"/>
      <c r="L113" s="41"/>
      <c r="M113" s="41"/>
      <c r="N113" s="38"/>
    </row>
    <row r="114" spans="1:14">
      <c r="A114"/>
      <c r="B114" s="53"/>
      <c r="C114" s="53"/>
      <c r="D114" s="53"/>
      <c r="E114" s="53"/>
      <c r="F114" s="53"/>
      <c r="G114" s="54"/>
      <c r="H114" s="41"/>
      <c r="I114" s="41"/>
      <c r="J114" s="41"/>
      <c r="K114" s="41"/>
      <c r="L114" s="41"/>
      <c r="M114" s="41"/>
      <c r="N114" s="38"/>
    </row>
    <row r="115" spans="1:14">
      <c r="A115"/>
      <c r="B115" s="53"/>
      <c r="C115" s="53"/>
      <c r="D115" s="53"/>
      <c r="E115" s="53"/>
      <c r="F115" s="53"/>
      <c r="G115" s="54"/>
      <c r="H115" s="41"/>
      <c r="I115" s="41"/>
      <c r="J115" s="41"/>
      <c r="K115" s="41"/>
      <c r="L115" s="41"/>
      <c r="M115" s="41"/>
      <c r="N115" s="38"/>
    </row>
    <row r="116" spans="1:14">
      <c r="A116"/>
      <c r="B116" s="53"/>
      <c r="C116" s="53"/>
      <c r="D116" s="53"/>
      <c r="E116" s="53"/>
      <c r="F116" s="53"/>
      <c r="G116" s="54"/>
      <c r="H116" s="41"/>
      <c r="I116" s="41"/>
      <c r="J116" s="41"/>
      <c r="K116" s="41"/>
      <c r="L116" s="41"/>
      <c r="M116" s="41"/>
      <c r="N116" s="38"/>
    </row>
    <row r="117" spans="1:14">
      <c r="A117"/>
      <c r="B117" s="53"/>
      <c r="C117" s="53"/>
      <c r="D117" s="53"/>
      <c r="E117" s="53"/>
      <c r="F117" s="53"/>
      <c r="G117" s="54"/>
      <c r="H117" s="41"/>
      <c r="I117" s="41"/>
      <c r="J117" s="41"/>
      <c r="K117" s="41"/>
      <c r="L117" s="41"/>
      <c r="M117" s="41"/>
      <c r="N117" s="38"/>
    </row>
    <row r="118" spans="1:14">
      <c r="A118"/>
      <c r="B118" s="53"/>
      <c r="C118" s="53"/>
      <c r="D118" s="53"/>
      <c r="E118" s="53"/>
      <c r="F118" s="53"/>
      <c r="G118" s="54"/>
      <c r="H118" s="41"/>
      <c r="I118" s="41"/>
      <c r="J118" s="41"/>
      <c r="K118" s="41"/>
      <c r="L118" s="41"/>
      <c r="M118" s="41"/>
      <c r="N118" s="38"/>
    </row>
    <row r="119" spans="1:14">
      <c r="A119"/>
      <c r="B119" s="53"/>
      <c r="C119" s="53"/>
      <c r="D119" s="53"/>
      <c r="E119" s="53"/>
      <c r="F119" s="53"/>
      <c r="G119" s="54"/>
      <c r="H119" s="41"/>
      <c r="I119" s="41"/>
      <c r="J119" s="41"/>
      <c r="K119" s="41"/>
      <c r="L119" s="41"/>
      <c r="M119" s="41"/>
      <c r="N119" s="38"/>
    </row>
    <row r="120" spans="1:14">
      <c r="A120"/>
      <c r="B120" s="53"/>
      <c r="C120" s="53"/>
      <c r="D120" s="53"/>
      <c r="E120" s="53"/>
      <c r="F120" s="53"/>
      <c r="G120" s="54"/>
      <c r="H120" s="41"/>
      <c r="I120" s="41"/>
      <c r="J120" s="41"/>
      <c r="K120" s="41"/>
      <c r="L120" s="41"/>
      <c r="M120" s="41"/>
      <c r="N120" s="38"/>
    </row>
    <row r="121" spans="1:14">
      <c r="A121"/>
      <c r="B121" s="53"/>
      <c r="C121" s="53"/>
      <c r="D121" s="53"/>
      <c r="E121" s="53"/>
      <c r="F121" s="53"/>
      <c r="G121" s="54"/>
      <c r="H121" s="41"/>
      <c r="I121" s="41"/>
      <c r="J121" s="41"/>
      <c r="K121" s="41"/>
      <c r="L121" s="41"/>
      <c r="M121" s="41"/>
      <c r="N121" s="38"/>
    </row>
    <row r="122" spans="1:14">
      <c r="A122"/>
      <c r="B122" s="53"/>
      <c r="C122" s="53"/>
      <c r="D122" s="53"/>
      <c r="E122" s="53"/>
      <c r="F122" s="53"/>
      <c r="G122" s="54"/>
      <c r="H122" s="41"/>
      <c r="I122" s="41"/>
      <c r="J122" s="41"/>
      <c r="K122" s="41"/>
      <c r="L122" s="41"/>
      <c r="M122" s="41"/>
      <c r="N122" s="38"/>
    </row>
    <row r="123" spans="1:14">
      <c r="A123"/>
      <c r="B123" s="53"/>
      <c r="C123" s="53"/>
      <c r="D123" s="53"/>
      <c r="E123" s="53"/>
      <c r="F123" s="53"/>
      <c r="G123" s="54"/>
      <c r="H123" s="41"/>
      <c r="I123" s="41"/>
      <c r="J123" s="41"/>
      <c r="K123" s="41"/>
      <c r="L123" s="41"/>
      <c r="M123" s="41"/>
      <c r="N123" s="38"/>
    </row>
    <row r="124" spans="1:14">
      <c r="A124"/>
      <c r="B124" s="53"/>
      <c r="C124" s="53"/>
      <c r="D124" s="53"/>
      <c r="E124" s="53"/>
      <c r="F124" s="53"/>
      <c r="G124" s="54"/>
      <c r="H124" s="41"/>
      <c r="I124" s="41"/>
      <c r="J124" s="41"/>
      <c r="K124" s="41"/>
      <c r="L124" s="41"/>
      <c r="M124" s="41"/>
      <c r="N124" s="38"/>
    </row>
    <row r="125" spans="1:14">
      <c r="A125"/>
      <c r="B125" s="53"/>
      <c r="C125" s="53"/>
      <c r="D125" s="53"/>
      <c r="E125" s="53"/>
      <c r="F125" s="53"/>
      <c r="G125" s="54"/>
      <c r="H125" s="41"/>
      <c r="I125" s="41"/>
      <c r="J125" s="41"/>
      <c r="K125" s="41"/>
      <c r="L125" s="41"/>
      <c r="M125" s="41"/>
      <c r="N125" s="38"/>
    </row>
    <row r="126" spans="1:14">
      <c r="A126"/>
      <c r="B126" s="53"/>
      <c r="H126" s="41"/>
      <c r="I126" s="41"/>
      <c r="J126" s="41"/>
      <c r="K126" s="41"/>
      <c r="L126" s="41"/>
      <c r="M126" s="41"/>
      <c r="N126" s="38"/>
    </row>
    <row r="127" spans="1:14">
      <c r="A127"/>
      <c r="B127" s="53"/>
      <c r="C127"/>
      <c r="D127"/>
      <c r="E127"/>
      <c r="F127"/>
      <c r="G127"/>
      <c r="H127" s="41"/>
      <c r="I127" s="41"/>
      <c r="J127" s="41"/>
      <c r="K127" s="41"/>
      <c r="L127" s="41"/>
      <c r="M127" s="41"/>
      <c r="N127" s="38"/>
    </row>
    <row r="128" spans="1:14">
      <c r="H128" s="41"/>
      <c r="I128" s="41"/>
      <c r="J128" s="41"/>
      <c r="K128" s="41"/>
      <c r="L128" s="41"/>
      <c r="M128" s="41"/>
      <c r="N128" s="38"/>
    </row>
    <row r="129" spans="1:14">
      <c r="H129" s="41"/>
      <c r="I129" s="41"/>
      <c r="J129" s="41"/>
      <c r="K129" s="41"/>
      <c r="L129" s="41"/>
      <c r="M129" s="41"/>
      <c r="N129" s="38"/>
    </row>
    <row r="130" spans="1:14">
      <c r="H130" s="41"/>
      <c r="I130" s="41"/>
      <c r="J130" s="41"/>
      <c r="K130" s="41"/>
      <c r="L130" s="41"/>
      <c r="M130" s="41"/>
      <c r="N130" s="38"/>
    </row>
    <row r="131" spans="1:14">
      <c r="H131" s="41"/>
      <c r="I131" s="41"/>
      <c r="J131" s="41"/>
      <c r="K131" s="41"/>
      <c r="L131" s="41"/>
      <c r="M131" s="41"/>
      <c r="N131" s="38"/>
    </row>
    <row r="132" spans="1:14">
      <c r="H132" s="41"/>
      <c r="I132" s="41"/>
      <c r="J132" s="41"/>
      <c r="K132" s="41"/>
      <c r="L132" s="41"/>
      <c r="M132" s="41"/>
      <c r="N132" s="38"/>
    </row>
    <row r="133" spans="1:14">
      <c r="H133" s="41"/>
      <c r="I133" s="41"/>
      <c r="J133" s="41"/>
      <c r="K133" s="41"/>
      <c r="L133" s="41"/>
      <c r="M133" s="41"/>
      <c r="N133" s="38"/>
    </row>
    <row r="134" spans="1:14">
      <c r="H134" s="41"/>
      <c r="I134" s="41"/>
      <c r="J134" s="41"/>
      <c r="K134" s="41"/>
      <c r="L134" s="41"/>
      <c r="M134" s="41"/>
      <c r="N134" s="38"/>
    </row>
    <row r="135" spans="1:14">
      <c r="H135" s="41"/>
      <c r="I135" s="41"/>
      <c r="J135" s="41"/>
      <c r="K135" s="41"/>
      <c r="L135" s="41"/>
      <c r="M135" s="41"/>
      <c r="N135" s="38"/>
    </row>
    <row r="136" spans="1:14">
      <c r="A136"/>
      <c r="B136"/>
      <c r="C136"/>
      <c r="D136"/>
      <c r="E136"/>
      <c r="F136"/>
      <c r="G136"/>
      <c r="H136" s="41"/>
      <c r="I136" s="41"/>
      <c r="J136" s="41"/>
      <c r="K136" s="41"/>
      <c r="L136" s="41"/>
      <c r="M136" s="41"/>
      <c r="N136" s="38"/>
    </row>
    <row r="137" spans="1:14">
      <c r="A137"/>
      <c r="B137"/>
      <c r="C137"/>
      <c r="D137"/>
      <c r="E137"/>
      <c r="F137"/>
      <c r="G137"/>
      <c r="H137" s="41"/>
      <c r="I137" s="41"/>
      <c r="J137" s="41"/>
      <c r="K137" s="41"/>
      <c r="L137" s="41"/>
      <c r="M137" s="41"/>
      <c r="N137" s="38"/>
    </row>
    <row r="138" spans="1:14">
      <c r="A138"/>
      <c r="B138"/>
      <c r="C138"/>
      <c r="D138"/>
      <c r="E138"/>
      <c r="F138"/>
      <c r="G138"/>
      <c r="H138" s="41"/>
      <c r="I138" s="41"/>
      <c r="J138" s="41"/>
      <c r="K138" s="41"/>
      <c r="L138" s="41"/>
      <c r="M138" s="41"/>
      <c r="N138" s="38"/>
    </row>
    <row r="139" spans="1:14">
      <c r="A139"/>
      <c r="B139"/>
      <c r="C139"/>
      <c r="D139"/>
      <c r="E139"/>
      <c r="F139"/>
      <c r="G139"/>
      <c r="H139" s="41"/>
      <c r="I139" s="41"/>
      <c r="J139" s="41"/>
      <c r="K139" s="41"/>
      <c r="L139" s="41"/>
      <c r="M139" s="41"/>
      <c r="N139" s="38"/>
    </row>
    <row r="140" spans="1:14">
      <c r="A140"/>
      <c r="B140"/>
      <c r="C140"/>
      <c r="D140"/>
      <c r="E140"/>
      <c r="F140"/>
      <c r="G140"/>
      <c r="H140" s="41"/>
      <c r="I140" s="41"/>
      <c r="J140" s="41"/>
      <c r="K140" s="41"/>
      <c r="L140" s="41"/>
      <c r="M140" s="41"/>
      <c r="N140" s="38"/>
    </row>
    <row r="141" spans="1:14">
      <c r="A141"/>
      <c r="B141"/>
      <c r="C141"/>
      <c r="D141"/>
      <c r="E141"/>
      <c r="F141"/>
      <c r="G141"/>
      <c r="H141" s="41"/>
      <c r="I141" s="41"/>
      <c r="J141" s="41"/>
      <c r="K141" s="41"/>
      <c r="L141" s="41"/>
      <c r="M141" s="41"/>
      <c r="N141" s="38"/>
    </row>
    <row r="142" spans="1:14">
      <c r="A142"/>
      <c r="B142"/>
      <c r="C142"/>
      <c r="D142"/>
      <c r="E142"/>
      <c r="F142"/>
      <c r="G142"/>
      <c r="H142" s="41"/>
      <c r="I142" s="41"/>
      <c r="J142" s="41"/>
      <c r="K142" s="41"/>
      <c r="L142" s="41"/>
      <c r="M142" s="41"/>
      <c r="N142" s="38"/>
    </row>
    <row r="143" spans="1:14">
      <c r="A143"/>
      <c r="B143"/>
      <c r="C143"/>
      <c r="D143"/>
      <c r="E143"/>
      <c r="F143"/>
      <c r="G143"/>
      <c r="H143" s="41"/>
      <c r="I143" s="41"/>
      <c r="J143" s="41"/>
      <c r="K143" s="41"/>
      <c r="L143" s="41"/>
      <c r="M143" s="41"/>
      <c r="N143" s="38"/>
    </row>
    <row r="144" spans="1:14">
      <c r="A144"/>
      <c r="B144"/>
      <c r="C144"/>
      <c r="D144"/>
      <c r="E144"/>
      <c r="F144"/>
      <c r="G144"/>
      <c r="H144" s="41"/>
      <c r="I144" s="41"/>
      <c r="J144" s="41"/>
      <c r="K144" s="41"/>
      <c r="L144" s="41"/>
      <c r="M144" s="41"/>
      <c r="N144" s="38"/>
    </row>
    <row r="145" spans="1:14">
      <c r="A145"/>
      <c r="B145"/>
      <c r="C145"/>
      <c r="D145"/>
      <c r="E145"/>
      <c r="F145"/>
      <c r="G145"/>
      <c r="H145" s="41"/>
      <c r="I145" s="41"/>
      <c r="J145" s="41"/>
      <c r="K145" s="41"/>
      <c r="L145" s="41"/>
      <c r="M145" s="41"/>
      <c r="N145" s="38"/>
    </row>
    <row r="146" spans="1:14">
      <c r="A146"/>
      <c r="B146"/>
      <c r="C146"/>
      <c r="D146"/>
      <c r="E146"/>
      <c r="F146"/>
      <c r="G146"/>
      <c r="H146" s="41"/>
      <c r="I146" s="41"/>
      <c r="J146" s="41"/>
      <c r="K146" s="41"/>
      <c r="L146" s="41"/>
      <c r="M146" s="41"/>
      <c r="N146" s="38"/>
    </row>
    <row r="147" spans="1:14">
      <c r="A147"/>
      <c r="B147"/>
      <c r="C147"/>
      <c r="D147"/>
      <c r="E147"/>
      <c r="F147"/>
      <c r="G147"/>
      <c r="H147" s="41"/>
      <c r="I147" s="41"/>
      <c r="J147" s="41"/>
      <c r="K147" s="41"/>
      <c r="L147" s="41"/>
      <c r="M147" s="41"/>
      <c r="N147" s="38"/>
    </row>
    <row r="148" spans="1:14">
      <c r="A148"/>
      <c r="B148"/>
      <c r="C148"/>
      <c r="D148"/>
      <c r="E148"/>
      <c r="F148"/>
      <c r="G148"/>
      <c r="H148" s="41"/>
      <c r="I148" s="41"/>
      <c r="J148" s="41"/>
      <c r="K148" s="41"/>
      <c r="L148" s="41"/>
      <c r="M148" s="41"/>
      <c r="N148" s="38"/>
    </row>
    <row r="149" spans="1:14">
      <c r="A149"/>
      <c r="B149"/>
      <c r="C149"/>
      <c r="D149"/>
      <c r="E149"/>
      <c r="F149"/>
      <c r="G149"/>
      <c r="H149" s="41"/>
      <c r="I149" s="41"/>
      <c r="J149" s="41"/>
      <c r="K149" s="41"/>
      <c r="L149" s="41"/>
      <c r="M149" s="41"/>
      <c r="N149" s="38"/>
    </row>
    <row r="150" spans="1:14">
      <c r="A150"/>
      <c r="B150"/>
      <c r="C150"/>
      <c r="D150"/>
      <c r="E150"/>
      <c r="F150"/>
      <c r="G150"/>
      <c r="H150" s="41"/>
      <c r="I150" s="41"/>
      <c r="J150" s="41"/>
      <c r="K150" s="41"/>
      <c r="L150" s="41"/>
      <c r="M150" s="41"/>
      <c r="N150" s="38"/>
    </row>
    <row r="151" spans="1:14">
      <c r="A151"/>
      <c r="B151"/>
      <c r="C151"/>
      <c r="D151"/>
      <c r="E151"/>
      <c r="F151"/>
      <c r="G151"/>
      <c r="H151" s="41"/>
      <c r="I151" s="41"/>
      <c r="J151" s="41"/>
      <c r="K151" s="41"/>
      <c r="L151" s="41"/>
      <c r="M151" s="41"/>
      <c r="N151" s="38"/>
    </row>
    <row r="152" spans="1:14">
      <c r="A152"/>
      <c r="B152"/>
      <c r="C152"/>
      <c r="D152"/>
      <c r="E152"/>
      <c r="F152"/>
      <c r="G152"/>
      <c r="H152" s="41"/>
      <c r="I152" s="41"/>
      <c r="J152" s="41"/>
      <c r="K152" s="41"/>
      <c r="L152" s="41"/>
      <c r="M152" s="41"/>
      <c r="N152" s="38"/>
    </row>
    <row r="153" spans="1:14">
      <c r="A153"/>
      <c r="B153"/>
      <c r="C153"/>
      <c r="D153"/>
      <c r="E153"/>
      <c r="F153"/>
      <c r="G153"/>
      <c r="H153" s="41"/>
      <c r="I153" s="41"/>
      <c r="J153" s="41"/>
      <c r="K153" s="41"/>
      <c r="L153" s="41"/>
      <c r="M153" s="41"/>
      <c r="N153" s="38"/>
    </row>
    <row r="154" spans="1:14">
      <c r="A154"/>
      <c r="B154"/>
      <c r="C154"/>
      <c r="D154"/>
      <c r="E154"/>
      <c r="F154"/>
      <c r="G154"/>
      <c r="H154" s="41"/>
      <c r="I154" s="41"/>
      <c r="J154" s="41"/>
      <c r="K154" s="41"/>
      <c r="L154" s="41"/>
      <c r="M154" s="41"/>
      <c r="N154" s="38"/>
    </row>
    <row r="155" spans="1:14">
      <c r="A155"/>
      <c r="B155"/>
      <c r="C155"/>
      <c r="D155"/>
      <c r="E155"/>
      <c r="F155"/>
      <c r="G155"/>
      <c r="H155" s="41"/>
      <c r="I155" s="41"/>
      <c r="J155" s="41"/>
      <c r="K155" s="41"/>
      <c r="L155" s="41"/>
      <c r="M155" s="41"/>
      <c r="N155" s="38"/>
    </row>
    <row r="156" spans="1:14">
      <c r="A156"/>
      <c r="B156"/>
      <c r="C156"/>
      <c r="D156"/>
      <c r="E156"/>
      <c r="F156"/>
      <c r="G156"/>
      <c r="H156" s="41"/>
      <c r="I156" s="41"/>
      <c r="J156" s="41"/>
      <c r="K156" s="41"/>
      <c r="L156" s="41"/>
      <c r="M156" s="41"/>
      <c r="N156" s="38"/>
    </row>
    <row r="157" spans="1:14">
      <c r="A157"/>
      <c r="B157"/>
      <c r="C157"/>
      <c r="D157"/>
      <c r="E157"/>
      <c r="F157"/>
      <c r="G157"/>
      <c r="H157" s="41"/>
      <c r="I157" s="41"/>
      <c r="J157" s="41"/>
      <c r="K157" s="41"/>
      <c r="L157" s="41"/>
      <c r="M157" s="41"/>
      <c r="N157" s="38"/>
    </row>
    <row r="158" spans="1:14">
      <c r="A158"/>
      <c r="B158"/>
      <c r="C158"/>
      <c r="D158"/>
      <c r="E158"/>
      <c r="F158"/>
      <c r="G158"/>
      <c r="H158" s="41"/>
      <c r="I158" s="41"/>
      <c r="J158" s="41"/>
      <c r="K158" s="41"/>
      <c r="L158" s="41"/>
      <c r="M158" s="41"/>
      <c r="N158" s="38"/>
    </row>
    <row r="159" spans="1:14">
      <c r="A159"/>
      <c r="B159"/>
      <c r="C159"/>
      <c r="D159"/>
      <c r="E159"/>
      <c r="F159"/>
      <c r="G159"/>
      <c r="H159" s="41"/>
      <c r="I159" s="41"/>
      <c r="J159" s="41"/>
      <c r="K159" s="41"/>
      <c r="L159" s="41"/>
      <c r="M159" s="41"/>
      <c r="N159" s="38"/>
    </row>
    <row r="160" spans="1:14">
      <c r="A160"/>
      <c r="B160"/>
      <c r="C160"/>
      <c r="D160"/>
      <c r="E160"/>
      <c r="F160"/>
      <c r="G160"/>
      <c r="H160" s="41"/>
      <c r="I160" s="41"/>
      <c r="J160" s="41"/>
      <c r="K160" s="41"/>
      <c r="L160" s="41"/>
      <c r="M160" s="41"/>
      <c r="N160" s="38"/>
    </row>
    <row r="161" spans="1:14">
      <c r="A161"/>
      <c r="B161"/>
      <c r="C161"/>
      <c r="D161"/>
      <c r="E161"/>
      <c r="F161"/>
      <c r="G161"/>
      <c r="H161" s="41"/>
      <c r="I161" s="41"/>
      <c r="J161" s="41"/>
      <c r="K161" s="41"/>
      <c r="L161" s="41"/>
      <c r="M161" s="41"/>
      <c r="N161" s="38"/>
    </row>
    <row r="162" spans="1:14">
      <c r="A162"/>
      <c r="B162"/>
      <c r="C162"/>
      <c r="D162"/>
      <c r="E162"/>
      <c r="F162"/>
      <c r="G162"/>
      <c r="H162" s="41"/>
      <c r="I162" s="41"/>
      <c r="J162" s="41"/>
      <c r="K162" s="41"/>
      <c r="L162" s="41"/>
      <c r="M162" s="41"/>
      <c r="N162" s="38"/>
    </row>
    <row r="163" spans="1:14">
      <c r="A163"/>
      <c r="B163"/>
      <c r="C163"/>
      <c r="D163"/>
      <c r="E163"/>
      <c r="F163"/>
      <c r="G163"/>
      <c r="H163" s="41"/>
      <c r="I163" s="41"/>
      <c r="J163" s="41"/>
      <c r="K163" s="41"/>
      <c r="L163" s="41"/>
      <c r="M163" s="41"/>
      <c r="N163" s="38"/>
    </row>
    <row r="164" spans="1:14">
      <c r="A164"/>
      <c r="B164"/>
      <c r="C164"/>
      <c r="D164"/>
      <c r="E164"/>
      <c r="F164"/>
      <c r="G164"/>
      <c r="H164" s="41"/>
      <c r="I164" s="41"/>
      <c r="J164" s="41"/>
      <c r="K164" s="41"/>
      <c r="L164" s="41"/>
      <c r="M164" s="41"/>
      <c r="N164" s="38"/>
    </row>
    <row r="165" spans="1:14">
      <c r="A165"/>
      <c r="B165"/>
      <c r="C165"/>
      <c r="D165"/>
      <c r="E165"/>
      <c r="F165"/>
      <c r="G165"/>
      <c r="H165" s="41"/>
      <c r="I165" s="41"/>
      <c r="J165" s="41"/>
      <c r="K165" s="41"/>
      <c r="L165" s="41"/>
      <c r="M165" s="41"/>
      <c r="N165" s="38"/>
    </row>
    <row r="166" spans="1:14">
      <c r="A166"/>
      <c r="B166"/>
      <c r="C166"/>
      <c r="D166"/>
      <c r="E166"/>
      <c r="F166"/>
      <c r="G166"/>
      <c r="H166" s="41"/>
      <c r="I166" s="41"/>
      <c r="J166" s="41"/>
      <c r="K166" s="41"/>
      <c r="L166" s="41"/>
      <c r="M166" s="41"/>
      <c r="N166" s="38"/>
    </row>
    <row r="167" spans="1:14">
      <c r="A167"/>
      <c r="B167"/>
      <c r="C167"/>
      <c r="D167"/>
      <c r="E167"/>
      <c r="F167"/>
      <c r="G167"/>
      <c r="H167" s="41"/>
      <c r="I167" s="41"/>
      <c r="J167" s="41"/>
      <c r="K167" s="41"/>
      <c r="L167" s="41"/>
      <c r="M167" s="41"/>
      <c r="N167" s="38"/>
    </row>
    <row r="168" spans="1:14">
      <c r="A168"/>
      <c r="B168"/>
      <c r="C168"/>
      <c r="D168"/>
      <c r="E168"/>
      <c r="F168"/>
      <c r="G168"/>
      <c r="H168" s="41"/>
      <c r="I168" s="41"/>
      <c r="J168" s="41"/>
      <c r="K168" s="41"/>
      <c r="L168" s="41"/>
      <c r="M168" s="41"/>
      <c r="N168" s="38"/>
    </row>
    <row r="169" spans="1:14">
      <c r="A169"/>
      <c r="B169"/>
      <c r="C169"/>
      <c r="D169"/>
      <c r="E169"/>
      <c r="F169"/>
      <c r="G169"/>
      <c r="H169" s="41"/>
      <c r="I169" s="41"/>
      <c r="J169" s="41"/>
      <c r="K169" s="41"/>
      <c r="L169" s="41"/>
      <c r="M169" s="41"/>
      <c r="N169" s="38"/>
    </row>
    <row r="170" spans="1:14">
      <c r="A170"/>
      <c r="B170"/>
      <c r="C170"/>
      <c r="D170"/>
      <c r="E170"/>
      <c r="F170"/>
      <c r="G170"/>
      <c r="H170" s="41"/>
      <c r="I170" s="41"/>
      <c r="J170" s="41"/>
      <c r="K170" s="41"/>
      <c r="L170" s="41"/>
      <c r="M170" s="41"/>
      <c r="N170" s="38"/>
    </row>
    <row r="171" spans="1:14">
      <c r="A171"/>
      <c r="B171"/>
      <c r="C171"/>
      <c r="D171"/>
      <c r="E171"/>
      <c r="F171"/>
      <c r="G171"/>
      <c r="H171" s="41"/>
      <c r="I171" s="41"/>
      <c r="J171" s="41"/>
      <c r="K171" s="41"/>
      <c r="L171" s="41"/>
      <c r="M171" s="41"/>
      <c r="N171" s="38"/>
    </row>
    <row r="172" spans="1:14">
      <c r="A172"/>
      <c r="B172"/>
      <c r="C172"/>
      <c r="D172"/>
      <c r="E172"/>
      <c r="F172"/>
      <c r="G172"/>
      <c r="H172" s="41"/>
      <c r="I172" s="41"/>
      <c r="J172" s="41"/>
      <c r="K172" s="41"/>
      <c r="L172" s="41"/>
      <c r="M172" s="41"/>
      <c r="N172" s="38"/>
    </row>
    <row r="173" spans="1:14">
      <c r="A173"/>
      <c r="B173"/>
      <c r="C173"/>
      <c r="D173"/>
      <c r="E173"/>
      <c r="F173"/>
      <c r="G173"/>
      <c r="H173" s="41"/>
      <c r="I173" s="41"/>
      <c r="J173" s="41"/>
      <c r="K173" s="41"/>
      <c r="L173" s="41"/>
      <c r="M173" s="41"/>
      <c r="N173" s="38"/>
    </row>
    <row r="174" spans="1:14">
      <c r="A174"/>
      <c r="B174"/>
      <c r="C174"/>
      <c r="D174"/>
      <c r="E174"/>
      <c r="F174"/>
      <c r="G174"/>
      <c r="H174" s="41"/>
      <c r="I174" s="41"/>
      <c r="J174" s="41"/>
      <c r="K174" s="41"/>
      <c r="L174" s="41"/>
      <c r="M174" s="41"/>
      <c r="N174" s="38"/>
    </row>
    <row r="175" spans="1:14">
      <c r="A175"/>
      <c r="B175"/>
      <c r="C175"/>
      <c r="D175"/>
      <c r="E175"/>
      <c r="F175"/>
      <c r="G175"/>
      <c r="H175" s="41"/>
      <c r="I175" s="41"/>
      <c r="J175" s="41"/>
      <c r="K175" s="41"/>
      <c r="L175" s="41"/>
      <c r="M175" s="41"/>
      <c r="N175" s="38"/>
    </row>
    <row r="176" spans="1:14">
      <c r="A176"/>
      <c r="B176"/>
      <c r="C176"/>
      <c r="D176"/>
      <c r="E176"/>
      <c r="F176"/>
      <c r="G176"/>
      <c r="H176" s="41"/>
      <c r="I176" s="41"/>
      <c r="J176" s="41"/>
      <c r="K176" s="41"/>
      <c r="L176" s="41"/>
      <c r="M176" s="41"/>
      <c r="N176" s="38"/>
    </row>
    <row r="177" spans="1:14">
      <c r="A177"/>
      <c r="B177"/>
      <c r="C177"/>
      <c r="D177"/>
      <c r="E177"/>
      <c r="F177"/>
      <c r="G177"/>
      <c r="H177" s="41"/>
      <c r="I177" s="41"/>
      <c r="J177" s="41"/>
      <c r="K177" s="41"/>
      <c r="L177" s="41"/>
      <c r="M177" s="41"/>
      <c r="N177" s="38"/>
    </row>
    <row r="178" spans="1:14">
      <c r="A178"/>
      <c r="B178"/>
      <c r="C178"/>
      <c r="D178"/>
      <c r="E178"/>
      <c r="F178"/>
      <c r="G178"/>
      <c r="H178" s="41"/>
      <c r="I178" s="41"/>
      <c r="J178" s="41"/>
      <c r="K178" s="41"/>
      <c r="L178" s="41"/>
      <c r="M178" s="41"/>
      <c r="N178" s="38"/>
    </row>
    <row r="179" spans="1:14">
      <c r="A179"/>
      <c r="B179"/>
      <c r="C179"/>
      <c r="D179"/>
      <c r="E179"/>
      <c r="F179"/>
      <c r="G179"/>
      <c r="H179" s="41"/>
      <c r="I179" s="41"/>
      <c r="J179" s="41"/>
      <c r="K179" s="41"/>
      <c r="L179" s="41"/>
      <c r="M179" s="41"/>
      <c r="N179" s="38"/>
    </row>
    <row r="180" spans="1:14">
      <c r="A180"/>
      <c r="B180"/>
      <c r="C180"/>
      <c r="D180"/>
      <c r="E180"/>
      <c r="F180"/>
      <c r="G180"/>
      <c r="H180" s="41"/>
      <c r="I180" s="41"/>
      <c r="J180" s="41"/>
      <c r="K180" s="41"/>
      <c r="L180" s="41"/>
      <c r="M180" s="41"/>
      <c r="N180" s="38"/>
    </row>
    <row r="181" spans="1:14">
      <c r="A181"/>
      <c r="B181"/>
      <c r="C181"/>
      <c r="D181"/>
      <c r="E181"/>
      <c r="F181"/>
      <c r="G181"/>
      <c r="H181" s="41"/>
      <c r="I181" s="41"/>
      <c r="J181" s="41"/>
      <c r="K181" s="41"/>
      <c r="L181" s="41"/>
      <c r="M181" s="41"/>
      <c r="N181" s="38"/>
    </row>
    <row r="182" spans="1:14">
      <c r="A182"/>
      <c r="B182"/>
      <c r="C182"/>
      <c r="D182"/>
      <c r="E182"/>
      <c r="F182"/>
      <c r="G182"/>
      <c r="H182" s="41"/>
      <c r="I182" s="41"/>
      <c r="J182" s="41"/>
      <c r="K182" s="41"/>
      <c r="L182" s="41"/>
      <c r="M182" s="41"/>
      <c r="N182" s="38"/>
    </row>
    <row r="183" spans="1:14">
      <c r="A183"/>
      <c r="B183"/>
      <c r="C183"/>
      <c r="D183"/>
      <c r="E183"/>
      <c r="F183"/>
      <c r="G183"/>
      <c r="H183" s="41"/>
      <c r="I183" s="41"/>
      <c r="J183" s="41"/>
      <c r="K183" s="41"/>
      <c r="L183" s="41"/>
      <c r="M183" s="41"/>
      <c r="N183" s="38"/>
    </row>
    <row r="184" spans="1:14">
      <c r="A184"/>
      <c r="B184"/>
      <c r="C184"/>
      <c r="D184"/>
      <c r="E184"/>
      <c r="F184"/>
      <c r="G184"/>
      <c r="H184" s="41"/>
      <c r="I184" s="41"/>
      <c r="J184" s="41"/>
      <c r="K184" s="41"/>
      <c r="L184" s="41"/>
      <c r="M184" s="41"/>
      <c r="N184" s="38"/>
    </row>
    <row r="185" spans="1:14">
      <c r="A185"/>
      <c r="B185"/>
      <c r="C185"/>
      <c r="D185"/>
      <c r="E185"/>
      <c r="F185"/>
      <c r="G185"/>
      <c r="H185" s="41"/>
      <c r="I185" s="41"/>
      <c r="J185" s="41"/>
      <c r="K185" s="41"/>
      <c r="L185" s="41"/>
      <c r="M185" s="41"/>
      <c r="N185" s="38"/>
    </row>
    <row r="186" spans="1:14">
      <c r="A186"/>
      <c r="B186"/>
      <c r="C186"/>
      <c r="D186"/>
      <c r="E186"/>
      <c r="F186"/>
      <c r="G186"/>
      <c r="H186" s="41"/>
      <c r="I186" s="41"/>
      <c r="J186" s="41"/>
      <c r="K186" s="41"/>
      <c r="L186" s="41"/>
      <c r="M186" s="41"/>
      <c r="N186" s="38"/>
    </row>
    <row r="187" spans="1:14">
      <c r="A187"/>
      <c r="B187"/>
      <c r="C187"/>
      <c r="D187"/>
      <c r="E187"/>
      <c r="F187"/>
      <c r="G187"/>
      <c r="H187" s="41"/>
      <c r="I187" s="41"/>
      <c r="J187" s="41"/>
      <c r="K187" s="41"/>
      <c r="L187" s="41"/>
      <c r="M187" s="41"/>
      <c r="N187" s="38"/>
    </row>
    <row r="188" spans="1:14">
      <c r="A188"/>
      <c r="B188"/>
      <c r="C188"/>
      <c r="D188"/>
      <c r="E188"/>
      <c r="F188"/>
      <c r="G188"/>
      <c r="H188" s="41"/>
      <c r="I188" s="41"/>
      <c r="J188" s="41"/>
      <c r="K188" s="41"/>
      <c r="L188" s="41"/>
      <c r="M188" s="41"/>
      <c r="N188" s="38"/>
    </row>
    <row r="189" spans="1:14">
      <c r="A189"/>
      <c r="B189"/>
      <c r="C189"/>
      <c r="D189"/>
      <c r="E189"/>
      <c r="F189"/>
      <c r="G189"/>
      <c r="H189" s="41"/>
      <c r="I189" s="41"/>
      <c r="J189" s="41"/>
      <c r="K189" s="41"/>
      <c r="L189" s="41"/>
      <c r="M189" s="41"/>
      <c r="N189" s="38"/>
    </row>
    <row r="190" spans="1:14">
      <c r="A190"/>
      <c r="B190"/>
      <c r="C190"/>
      <c r="D190"/>
      <c r="E190"/>
      <c r="F190"/>
      <c r="G190"/>
      <c r="H190" s="41"/>
      <c r="I190" s="41"/>
      <c r="J190" s="41"/>
      <c r="K190" s="41"/>
      <c r="L190" s="41"/>
      <c r="M190" s="41"/>
      <c r="N190" s="38"/>
    </row>
    <row r="191" spans="1:14">
      <c r="A191"/>
      <c r="B191"/>
      <c r="C191"/>
      <c r="D191"/>
      <c r="E191"/>
      <c r="F191"/>
      <c r="G191"/>
      <c r="H191" s="41"/>
      <c r="I191" s="41"/>
      <c r="J191" s="41"/>
      <c r="K191" s="41"/>
      <c r="L191" s="41"/>
      <c r="M191" s="41"/>
      <c r="N191" s="38"/>
    </row>
    <row r="192" spans="1:14">
      <c r="A192"/>
      <c r="B192"/>
      <c r="C192"/>
      <c r="D192"/>
      <c r="E192"/>
      <c r="F192"/>
      <c r="G192"/>
      <c r="H192" s="41"/>
      <c r="I192" s="41"/>
      <c r="J192" s="41"/>
      <c r="K192" s="41"/>
      <c r="L192" s="41"/>
      <c r="M192" s="41"/>
      <c r="N192" s="38"/>
    </row>
    <row r="193" spans="1:14">
      <c r="A193"/>
      <c r="B193"/>
      <c r="C193"/>
      <c r="D193"/>
      <c r="E193"/>
      <c r="F193"/>
      <c r="G193"/>
      <c r="H193" s="41"/>
      <c r="I193" s="41"/>
      <c r="J193" s="41"/>
      <c r="K193" s="41"/>
      <c r="L193" s="41"/>
      <c r="M193" s="41"/>
      <c r="N193" s="38"/>
    </row>
    <row r="194" spans="1:14">
      <c r="A194"/>
      <c r="B194"/>
      <c r="C194"/>
      <c r="D194"/>
      <c r="E194"/>
      <c r="F194"/>
      <c r="G194"/>
      <c r="H194" s="41"/>
      <c r="I194" s="41"/>
      <c r="J194" s="41"/>
      <c r="K194" s="41"/>
      <c r="L194" s="41"/>
      <c r="M194" s="41"/>
      <c r="N194" s="38"/>
    </row>
    <row r="195" spans="1:14">
      <c r="A195"/>
      <c r="B195"/>
      <c r="C195"/>
      <c r="D195"/>
      <c r="E195"/>
      <c r="F195"/>
      <c r="G195"/>
      <c r="I195" s="41"/>
      <c r="J195" s="41"/>
      <c r="K195" s="41"/>
      <c r="L195" s="41"/>
      <c r="M195" s="41"/>
      <c r="N195" s="38"/>
    </row>
    <row r="196" spans="1:14">
      <c r="A196"/>
      <c r="B196"/>
      <c r="C196"/>
      <c r="D196"/>
      <c r="E196"/>
      <c r="F196"/>
      <c r="G196"/>
      <c r="I196" s="41"/>
      <c r="J196" s="41"/>
      <c r="K196" s="41"/>
      <c r="L196" s="41"/>
      <c r="M196" s="41"/>
      <c r="N196" s="38"/>
    </row>
    <row r="197" spans="1:14">
      <c r="A197"/>
      <c r="B197"/>
      <c r="C197"/>
      <c r="D197"/>
      <c r="E197"/>
      <c r="F197"/>
      <c r="G197"/>
      <c r="I197" s="41"/>
      <c r="J197" s="41"/>
      <c r="K197" s="41"/>
      <c r="L197" s="41"/>
      <c r="M197" s="41"/>
      <c r="N197" s="38"/>
    </row>
    <row r="198" spans="1:14">
      <c r="A198"/>
      <c r="B198"/>
      <c r="C198"/>
      <c r="D198"/>
      <c r="E198"/>
      <c r="F198"/>
      <c r="G198"/>
      <c r="I198" s="41"/>
      <c r="J198" s="41"/>
      <c r="K198" s="41"/>
      <c r="L198" s="41"/>
      <c r="M198" s="41"/>
      <c r="N198" s="38"/>
    </row>
    <row r="199" spans="1:14">
      <c r="A199"/>
      <c r="B199"/>
      <c r="C199"/>
      <c r="D199"/>
      <c r="E199"/>
      <c r="F199"/>
      <c r="G199"/>
      <c r="I199" s="41"/>
      <c r="J199" s="41"/>
      <c r="K199" s="41"/>
      <c r="L199" s="41"/>
      <c r="M199" s="41"/>
      <c r="N199" s="38"/>
    </row>
    <row r="200" spans="1:14">
      <c r="A200"/>
      <c r="B200"/>
      <c r="C200"/>
      <c r="D200"/>
      <c r="E200"/>
      <c r="F200"/>
      <c r="G200"/>
      <c r="I200" s="41"/>
      <c r="J200" s="41"/>
      <c r="K200" s="41"/>
      <c r="L200" s="41"/>
      <c r="M200" s="41"/>
      <c r="N200" s="38"/>
    </row>
    <row r="201" spans="1:14">
      <c r="A201"/>
      <c r="B201"/>
      <c r="C201"/>
      <c r="D201"/>
      <c r="E201"/>
      <c r="F201"/>
      <c r="G201"/>
      <c r="I201" s="41"/>
      <c r="J201" s="41"/>
      <c r="K201" s="41"/>
      <c r="L201" s="41"/>
      <c r="M201" s="41"/>
      <c r="N201" s="38"/>
    </row>
    <row r="202" spans="1:14">
      <c r="A202"/>
      <c r="B202"/>
      <c r="C202"/>
      <c r="D202"/>
      <c r="E202"/>
      <c r="F202"/>
      <c r="G202"/>
      <c r="I202" s="41"/>
      <c r="J202" s="41"/>
      <c r="K202" s="41"/>
      <c r="L202" s="41"/>
      <c r="M202" s="41"/>
      <c r="N202" s="38"/>
    </row>
    <row r="203" spans="1:14">
      <c r="A203"/>
      <c r="B203"/>
      <c r="C203"/>
      <c r="D203"/>
      <c r="E203"/>
      <c r="F203"/>
      <c r="G203"/>
      <c r="I203" s="41"/>
      <c r="J203" s="41"/>
      <c r="K203" s="41"/>
      <c r="L203" s="41"/>
      <c r="M203" s="41"/>
      <c r="N203" s="38"/>
    </row>
    <row r="204" spans="1:14">
      <c r="A204"/>
      <c r="B204"/>
      <c r="C204"/>
      <c r="D204"/>
      <c r="E204"/>
      <c r="F204"/>
      <c r="G204"/>
      <c r="I204" s="41"/>
      <c r="J204" s="41"/>
      <c r="K204" s="41"/>
      <c r="L204" s="41"/>
      <c r="M204" s="41"/>
      <c r="N204" s="38"/>
    </row>
    <row r="205" spans="1:14">
      <c r="A205"/>
      <c r="B205"/>
      <c r="C205"/>
      <c r="D205"/>
      <c r="E205"/>
      <c r="F205"/>
      <c r="G205"/>
      <c r="I205" s="41"/>
      <c r="J205" s="41"/>
      <c r="K205" s="41"/>
      <c r="L205" s="41"/>
      <c r="M205" s="41"/>
      <c r="N205" s="38"/>
    </row>
    <row r="206" spans="1:14">
      <c r="A206"/>
      <c r="B206"/>
      <c r="C206"/>
      <c r="D206"/>
      <c r="E206"/>
      <c r="F206"/>
      <c r="G206"/>
      <c r="I206" s="41"/>
      <c r="J206" s="41"/>
      <c r="K206" s="41"/>
      <c r="L206" s="41"/>
      <c r="M206" s="41"/>
      <c r="N206" s="38"/>
    </row>
    <row r="207" spans="1:14">
      <c r="A207"/>
      <c r="B207"/>
      <c r="C207"/>
      <c r="D207"/>
      <c r="E207"/>
      <c r="F207"/>
      <c r="G207"/>
      <c r="I207" s="41"/>
      <c r="J207" s="41"/>
      <c r="K207" s="41"/>
      <c r="L207" s="41"/>
      <c r="M207" s="41"/>
      <c r="N207" s="38"/>
    </row>
    <row r="208" spans="1:14">
      <c r="A208"/>
      <c r="B208"/>
      <c r="C208"/>
      <c r="D208"/>
      <c r="E208"/>
      <c r="F208"/>
      <c r="G208"/>
      <c r="I208" s="41"/>
      <c r="J208" s="41"/>
      <c r="K208" s="41"/>
      <c r="L208" s="41"/>
      <c r="M208" s="41"/>
      <c r="N208" s="38"/>
    </row>
    <row r="209" spans="1:14">
      <c r="A209"/>
      <c r="B209"/>
      <c r="C209"/>
      <c r="D209"/>
      <c r="E209"/>
      <c r="F209"/>
      <c r="G209"/>
      <c r="I209" s="41"/>
      <c r="J209" s="41"/>
      <c r="K209" s="41"/>
      <c r="L209" s="41"/>
      <c r="M209" s="41"/>
      <c r="N209" s="38"/>
    </row>
    <row r="210" spans="1:14">
      <c r="A210"/>
      <c r="B210"/>
      <c r="C210"/>
      <c r="D210"/>
      <c r="E210"/>
      <c r="F210"/>
      <c r="G210"/>
      <c r="I210" s="41"/>
      <c r="J210" s="41"/>
      <c r="K210" s="41"/>
      <c r="L210" s="41"/>
      <c r="M210" s="41"/>
      <c r="N210" s="38"/>
    </row>
    <row r="211" spans="1:14">
      <c r="A211"/>
      <c r="B211"/>
      <c r="C211"/>
      <c r="D211"/>
      <c r="E211"/>
      <c r="F211"/>
      <c r="G211"/>
      <c r="I211" s="41"/>
      <c r="J211" s="41"/>
      <c r="K211" s="41"/>
      <c r="L211" s="41"/>
      <c r="M211" s="41"/>
      <c r="N211" s="38"/>
    </row>
    <row r="212" spans="1:14">
      <c r="A212"/>
      <c r="B212"/>
      <c r="C212"/>
      <c r="D212"/>
      <c r="E212"/>
      <c r="F212"/>
      <c r="G212"/>
      <c r="I212" s="41"/>
      <c r="J212" s="41"/>
      <c r="K212" s="41"/>
      <c r="L212" s="41"/>
      <c r="M212" s="41"/>
      <c r="N212" s="38"/>
    </row>
    <row r="213" spans="1:14">
      <c r="A213"/>
      <c r="B213"/>
      <c r="C213"/>
      <c r="D213"/>
      <c r="E213"/>
      <c r="F213"/>
      <c r="G213"/>
      <c r="I213" s="41"/>
      <c r="J213" s="41"/>
      <c r="K213" s="41"/>
      <c r="L213" s="41"/>
      <c r="M213" s="41"/>
      <c r="N213" s="58"/>
    </row>
    <row r="214" spans="1:14">
      <c r="A214"/>
      <c r="B214"/>
      <c r="C214"/>
      <c r="D214"/>
      <c r="E214"/>
      <c r="F214"/>
      <c r="G214"/>
      <c r="I214" s="41"/>
      <c r="J214" s="41"/>
      <c r="K214" s="41"/>
      <c r="L214" s="41"/>
      <c r="M214" s="41"/>
      <c r="N214" s="58"/>
    </row>
    <row r="215" spans="1:14">
      <c r="A215"/>
      <c r="B215"/>
      <c r="C215"/>
      <c r="D215"/>
      <c r="E215"/>
      <c r="F215"/>
      <c r="G215"/>
      <c r="I215" s="41"/>
      <c r="J215" s="41"/>
      <c r="K215" s="41"/>
      <c r="L215" s="41"/>
      <c r="M215" s="41"/>
      <c r="N215" s="58"/>
    </row>
    <row r="216" spans="1:14">
      <c r="A216"/>
      <c r="B216"/>
      <c r="C216"/>
      <c r="D216"/>
      <c r="E216"/>
      <c r="F216"/>
      <c r="G216"/>
      <c r="I216" s="41"/>
      <c r="J216" s="41"/>
      <c r="K216" s="41"/>
      <c r="L216" s="41"/>
      <c r="M216" s="58"/>
      <c r="N216" s="58"/>
    </row>
    <row r="217" spans="1:14">
      <c r="A217"/>
      <c r="B217"/>
      <c r="C217"/>
      <c r="D217"/>
      <c r="E217"/>
      <c r="F217"/>
      <c r="G217"/>
      <c r="I217" s="41"/>
      <c r="J217" s="41"/>
      <c r="K217" s="41"/>
      <c r="L217" s="41"/>
      <c r="M217" s="58"/>
      <c r="N217" s="58"/>
    </row>
    <row r="218" spans="1:14">
      <c r="A218"/>
      <c r="B218"/>
      <c r="C218"/>
      <c r="D218"/>
      <c r="E218"/>
      <c r="F218"/>
      <c r="G218"/>
      <c r="I218" s="41"/>
      <c r="J218" s="41"/>
      <c r="K218" s="41"/>
      <c r="L218" s="41"/>
      <c r="M218" s="58"/>
      <c r="N218" s="58"/>
    </row>
    <row r="219" spans="1:14">
      <c r="A219"/>
      <c r="B219"/>
      <c r="C219"/>
      <c r="D219"/>
      <c r="E219"/>
      <c r="F219"/>
      <c r="G219"/>
      <c r="I219" s="41"/>
      <c r="J219" s="41"/>
      <c r="K219" s="41"/>
      <c r="L219" s="41"/>
      <c r="M219" s="58"/>
      <c r="N219" s="58"/>
    </row>
    <row r="220" spans="1:14">
      <c r="A220"/>
      <c r="B220"/>
      <c r="C220"/>
      <c r="D220"/>
      <c r="E220"/>
      <c r="F220"/>
      <c r="G220"/>
      <c r="I220" s="41"/>
      <c r="J220" s="41"/>
      <c r="K220" s="41"/>
      <c r="L220" s="41"/>
      <c r="M220" s="58"/>
      <c r="N220" s="58"/>
    </row>
    <row r="221" spans="1:14">
      <c r="A221"/>
      <c r="B221"/>
      <c r="C221"/>
      <c r="D221"/>
      <c r="E221"/>
      <c r="F221"/>
      <c r="G221"/>
      <c r="I221" s="41"/>
      <c r="J221" s="41"/>
      <c r="K221" s="41"/>
      <c r="L221" s="41"/>
      <c r="M221" s="58"/>
      <c r="N221" s="58"/>
    </row>
    <row r="222" spans="1:14">
      <c r="A222"/>
      <c r="B222"/>
      <c r="C222"/>
      <c r="D222"/>
      <c r="E222"/>
      <c r="F222"/>
      <c r="G222"/>
      <c r="I222" s="41"/>
      <c r="J222" s="41"/>
      <c r="K222" s="41"/>
      <c r="L222" s="41"/>
      <c r="M222" s="58"/>
      <c r="N222" s="58"/>
    </row>
    <row r="223" spans="1:14">
      <c r="A223"/>
      <c r="B223"/>
      <c r="C223"/>
      <c r="D223"/>
      <c r="E223"/>
      <c r="F223"/>
      <c r="G223"/>
      <c r="I223" s="37"/>
      <c r="J223" s="41"/>
      <c r="K223" s="41"/>
      <c r="L223" s="41"/>
      <c r="M223" s="58"/>
      <c r="N223" s="58"/>
    </row>
    <row r="224" spans="1:14">
      <c r="A224"/>
      <c r="B224"/>
      <c r="C224"/>
      <c r="D224"/>
      <c r="E224"/>
      <c r="F224"/>
      <c r="G224"/>
      <c r="I224" s="41"/>
      <c r="J224" s="41"/>
      <c r="K224" s="41"/>
      <c r="L224" s="41"/>
      <c r="M224" s="58"/>
      <c r="N224" s="38"/>
    </row>
    <row r="225" spans="1:14">
      <c r="A225"/>
      <c r="B225"/>
      <c r="C225"/>
      <c r="D225"/>
      <c r="E225"/>
      <c r="F225"/>
      <c r="G225"/>
      <c r="I225" s="41"/>
      <c r="J225" s="41"/>
      <c r="K225" s="41"/>
      <c r="L225" s="41"/>
      <c r="M225" s="58"/>
      <c r="N225" s="38"/>
    </row>
    <row r="226" spans="1:14">
      <c r="A226"/>
      <c r="B226"/>
      <c r="C226"/>
      <c r="D226"/>
      <c r="E226"/>
      <c r="F226"/>
      <c r="G226"/>
      <c r="I226" s="41"/>
      <c r="J226" s="41"/>
      <c r="K226" s="41"/>
      <c r="L226" s="41"/>
      <c r="M226" s="58"/>
      <c r="N226" s="38"/>
    </row>
    <row r="227" spans="1:14">
      <c r="A227"/>
      <c r="B227"/>
      <c r="C227"/>
      <c r="D227"/>
      <c r="E227"/>
      <c r="F227"/>
      <c r="G227"/>
      <c r="I227" s="41"/>
      <c r="J227" s="41"/>
      <c r="K227" s="41"/>
      <c r="L227" s="58"/>
      <c r="M227" s="41"/>
      <c r="N227" s="38"/>
    </row>
    <row r="228" spans="1:14">
      <c r="A228"/>
      <c r="B228"/>
      <c r="C228"/>
      <c r="D228"/>
      <c r="E228"/>
      <c r="F228"/>
      <c r="G228"/>
      <c r="I228" s="41"/>
      <c r="J228" s="41"/>
      <c r="K228" s="41"/>
      <c r="L228" s="58"/>
      <c r="M228" s="41"/>
      <c r="N228" s="38"/>
    </row>
    <row r="229" spans="1:14">
      <c r="A229"/>
      <c r="B229"/>
      <c r="C229"/>
      <c r="D229"/>
      <c r="E229"/>
      <c r="F229"/>
      <c r="G229"/>
      <c r="I229" s="41"/>
      <c r="J229" s="41"/>
      <c r="K229" s="41"/>
      <c r="L229" s="58"/>
      <c r="M229" s="41"/>
      <c r="N229" s="38"/>
    </row>
    <row r="230" spans="1:14">
      <c r="A230"/>
      <c r="B230"/>
      <c r="C230"/>
      <c r="D230"/>
      <c r="E230"/>
      <c r="F230"/>
      <c r="G230"/>
      <c r="I230" s="41"/>
      <c r="J230" s="41"/>
      <c r="K230" s="41"/>
      <c r="L230" s="58"/>
      <c r="M230" s="41"/>
      <c r="N230" s="38"/>
    </row>
    <row r="231" spans="1:14">
      <c r="A231"/>
      <c r="B231"/>
      <c r="C231"/>
      <c r="D231"/>
      <c r="E231"/>
      <c r="F231"/>
      <c r="G231"/>
      <c r="I231" s="41"/>
      <c r="J231" s="41"/>
      <c r="K231" s="41"/>
      <c r="L231" s="58"/>
      <c r="M231" s="41"/>
      <c r="N231" s="38"/>
    </row>
    <row r="232" spans="1:14">
      <c r="A232"/>
      <c r="B232"/>
      <c r="C232"/>
      <c r="D232"/>
      <c r="E232"/>
      <c r="F232"/>
      <c r="G232"/>
      <c r="I232" s="41"/>
      <c r="J232" s="58"/>
      <c r="K232" s="58"/>
      <c r="L232" s="58"/>
      <c r="M232" s="41"/>
      <c r="N232" s="38"/>
    </row>
    <row r="233" spans="1:14">
      <c r="A233"/>
      <c r="B233"/>
      <c r="C233"/>
      <c r="D233"/>
      <c r="E233"/>
      <c r="F233"/>
      <c r="G233"/>
      <c r="I233" s="41"/>
      <c r="J233" s="58"/>
      <c r="K233" s="58"/>
      <c r="L233" s="58"/>
      <c r="M233" s="41"/>
      <c r="N233" s="41"/>
    </row>
    <row r="234" spans="1:14">
      <c r="A234"/>
      <c r="B234"/>
      <c r="C234"/>
      <c r="D234"/>
      <c r="E234"/>
      <c r="F234"/>
      <c r="G234"/>
      <c r="I234" s="41"/>
      <c r="J234" s="58"/>
      <c r="K234" s="58"/>
      <c r="L234" s="58"/>
      <c r="M234" s="41"/>
      <c r="N234" s="58"/>
    </row>
    <row r="235" spans="1:14">
      <c r="A235"/>
      <c r="B235"/>
      <c r="C235"/>
      <c r="D235"/>
      <c r="E235"/>
      <c r="F235"/>
      <c r="G235"/>
      <c r="I235" s="41"/>
      <c r="J235" s="58"/>
      <c r="K235" s="58"/>
      <c r="L235" s="58"/>
      <c r="M235" s="41"/>
      <c r="N235" s="58"/>
    </row>
    <row r="236" spans="1:14">
      <c r="A236"/>
      <c r="B236"/>
      <c r="C236"/>
      <c r="D236"/>
      <c r="E236"/>
      <c r="F236"/>
      <c r="G236"/>
      <c r="I236" s="41"/>
      <c r="J236" s="58"/>
      <c r="K236" s="58"/>
      <c r="L236" s="58"/>
      <c r="M236" s="41"/>
      <c r="N236" s="58"/>
    </row>
    <row r="237" spans="1:14">
      <c r="A237"/>
      <c r="B237"/>
      <c r="C237"/>
      <c r="D237"/>
      <c r="E237"/>
      <c r="F237"/>
      <c r="G237"/>
      <c r="I237" s="41"/>
      <c r="J237" s="58"/>
      <c r="K237" s="58"/>
      <c r="L237" s="58"/>
      <c r="M237" s="41"/>
      <c r="N237" s="58"/>
    </row>
    <row r="238" spans="1:14">
      <c r="A238"/>
      <c r="B238"/>
      <c r="C238"/>
      <c r="D238"/>
      <c r="E238"/>
      <c r="F238"/>
      <c r="G238"/>
      <c r="I238" s="41"/>
      <c r="J238" s="58"/>
      <c r="K238" s="58"/>
      <c r="L238" s="38"/>
      <c r="M238" s="41"/>
      <c r="N238" s="58"/>
    </row>
    <row r="239" spans="1:14">
      <c r="A239"/>
      <c r="B239"/>
      <c r="C239"/>
      <c r="D239"/>
      <c r="E239"/>
      <c r="F239"/>
      <c r="G239"/>
      <c r="I239" s="41"/>
      <c r="J239" s="58"/>
      <c r="K239" s="58"/>
      <c r="L239" s="41"/>
      <c r="M239" s="41"/>
      <c r="N239" s="58"/>
    </row>
    <row r="240" spans="1:14">
      <c r="A240"/>
      <c r="B240"/>
      <c r="C240"/>
      <c r="D240"/>
      <c r="E240"/>
      <c r="F240"/>
      <c r="G240"/>
      <c r="I240" s="41"/>
      <c r="J240" s="58"/>
      <c r="K240" s="58"/>
      <c r="L240" s="41"/>
      <c r="M240" s="41"/>
      <c r="N240" s="58"/>
    </row>
    <row r="241" spans="1:14">
      <c r="A241"/>
      <c r="B241"/>
      <c r="C241"/>
      <c r="D241"/>
      <c r="E241"/>
      <c r="F241"/>
      <c r="G241"/>
      <c r="I241" s="41"/>
      <c r="J241" s="58"/>
      <c r="K241" s="58"/>
      <c r="L241" s="41"/>
      <c r="M241" s="41"/>
      <c r="N241" s="58"/>
    </row>
    <row r="242" spans="1:14">
      <c r="A242"/>
      <c r="B242"/>
      <c r="C242"/>
      <c r="D242"/>
      <c r="E242"/>
      <c r="F242"/>
      <c r="G242"/>
      <c r="I242" s="41"/>
      <c r="J242" s="58"/>
      <c r="K242" s="58"/>
      <c r="L242" s="41"/>
      <c r="M242" s="41"/>
      <c r="N242" s="58"/>
    </row>
    <row r="243" spans="1:14">
      <c r="A243"/>
      <c r="B243"/>
      <c r="C243"/>
      <c r="D243"/>
      <c r="E243"/>
      <c r="F243"/>
      <c r="G243"/>
      <c r="I243" s="41"/>
      <c r="J243" s="37"/>
      <c r="K243" s="38"/>
      <c r="L243" s="41"/>
      <c r="M243" s="41"/>
      <c r="N243" s="58"/>
    </row>
    <row r="244" spans="1:14">
      <c r="A244"/>
      <c r="B244"/>
      <c r="C244"/>
      <c r="D244"/>
      <c r="E244"/>
      <c r="F244"/>
      <c r="G244"/>
      <c r="I244" s="41"/>
      <c r="J244" s="41"/>
      <c r="K244" s="41"/>
      <c r="L244" s="41"/>
      <c r="M244" s="41"/>
      <c r="N244" s="58"/>
    </row>
    <row r="245" spans="1:14">
      <c r="A245"/>
      <c r="B245"/>
      <c r="C245"/>
      <c r="D245"/>
      <c r="E245"/>
      <c r="F245"/>
      <c r="G245"/>
      <c r="I245" s="41"/>
      <c r="J245" s="41"/>
      <c r="K245" s="41"/>
      <c r="L245" s="41"/>
      <c r="M245" s="41"/>
      <c r="N245" s="58"/>
    </row>
    <row r="246" spans="1:14">
      <c r="A246"/>
      <c r="B246"/>
      <c r="C246"/>
      <c r="D246"/>
      <c r="E246"/>
      <c r="F246"/>
      <c r="G246"/>
      <c r="I246" s="41"/>
      <c r="J246" s="41"/>
      <c r="K246" s="41"/>
      <c r="L246" s="41"/>
      <c r="M246" s="41"/>
      <c r="N246" s="58"/>
    </row>
    <row r="247" spans="1:14">
      <c r="A247"/>
      <c r="B247"/>
      <c r="C247"/>
      <c r="D247"/>
      <c r="E247"/>
      <c r="F247"/>
      <c r="G247"/>
      <c r="I247" s="41"/>
      <c r="J247" s="41"/>
      <c r="K247" s="41"/>
      <c r="L247" s="41"/>
      <c r="M247" s="41"/>
      <c r="N247" s="58"/>
    </row>
    <row r="248" spans="1:14">
      <c r="A248"/>
      <c r="B248"/>
      <c r="C248"/>
      <c r="D248"/>
      <c r="E248"/>
      <c r="F248"/>
      <c r="G248"/>
      <c r="I248" s="41"/>
      <c r="J248" s="41"/>
      <c r="K248" s="41"/>
      <c r="L248" s="41"/>
      <c r="M248" s="41"/>
    </row>
    <row r="249" spans="1:14">
      <c r="A249"/>
      <c r="B249"/>
      <c r="C249"/>
      <c r="D249"/>
      <c r="E249"/>
      <c r="F249"/>
      <c r="G249"/>
      <c r="I249" s="41"/>
      <c r="J249" s="41"/>
      <c r="K249" s="41"/>
      <c r="L249" s="41"/>
      <c r="M249" s="41"/>
    </row>
    <row r="250" spans="1:14">
      <c r="A250"/>
      <c r="B250"/>
      <c r="C250"/>
      <c r="D250"/>
      <c r="E250"/>
      <c r="F250"/>
      <c r="G250"/>
      <c r="I250" s="41"/>
      <c r="J250" s="41"/>
      <c r="K250" s="41"/>
      <c r="L250" s="41"/>
      <c r="M250" s="41"/>
    </row>
    <row r="251" spans="1:14">
      <c r="A251"/>
      <c r="B251"/>
      <c r="C251"/>
      <c r="D251"/>
      <c r="E251"/>
      <c r="F251"/>
      <c r="G251"/>
      <c r="I251" s="41"/>
      <c r="J251" s="41"/>
      <c r="K251" s="41"/>
      <c r="L251" s="41"/>
      <c r="M251" s="41"/>
    </row>
    <row r="252" spans="1:14">
      <c r="A252"/>
      <c r="B252"/>
      <c r="C252"/>
      <c r="D252"/>
      <c r="E252"/>
      <c r="F252"/>
      <c r="G252"/>
      <c r="I252" s="41"/>
      <c r="J252" s="41"/>
      <c r="K252" s="41"/>
      <c r="L252" s="41"/>
      <c r="M252" s="41"/>
    </row>
    <row r="253" spans="1:14">
      <c r="A253"/>
      <c r="B253"/>
      <c r="C253"/>
      <c r="D253"/>
      <c r="E253"/>
      <c r="F253"/>
      <c r="G253"/>
      <c r="I253" s="41"/>
      <c r="J253" s="41"/>
      <c r="K253" s="41"/>
      <c r="L253" s="41"/>
      <c r="M253" s="41"/>
    </row>
    <row r="254" spans="1:14">
      <c r="A254"/>
      <c r="B254"/>
      <c r="C254"/>
      <c r="D254"/>
      <c r="E254"/>
      <c r="F254"/>
      <c r="G254"/>
      <c r="I254" s="41"/>
      <c r="J254" s="41"/>
      <c r="K254" s="41"/>
      <c r="L254" s="41"/>
      <c r="M254" s="41"/>
    </row>
    <row r="255" spans="1:14">
      <c r="A255"/>
      <c r="B255"/>
      <c r="C255"/>
      <c r="D255"/>
      <c r="E255"/>
      <c r="F255"/>
      <c r="G255"/>
      <c r="I255" s="41"/>
      <c r="J255" s="41"/>
      <c r="K255" s="41"/>
      <c r="L255" s="41"/>
      <c r="M255" s="41"/>
    </row>
    <row r="256" spans="1:14">
      <c r="A256"/>
      <c r="B256"/>
      <c r="C256"/>
      <c r="D256"/>
      <c r="E256"/>
      <c r="F256"/>
      <c r="G256"/>
      <c r="I256" s="41"/>
      <c r="J256" s="41"/>
      <c r="K256" s="41"/>
      <c r="L256" s="41"/>
      <c r="M256" s="41"/>
    </row>
    <row r="257" spans="1:13">
      <c r="A257"/>
      <c r="B257"/>
      <c r="C257"/>
      <c r="D257"/>
      <c r="E257"/>
      <c r="F257"/>
      <c r="G257"/>
      <c r="I257" s="41"/>
      <c r="J257" s="41"/>
      <c r="K257" s="41"/>
      <c r="L257" s="41"/>
      <c r="M257" s="41"/>
    </row>
    <row r="258" spans="1:13">
      <c r="A258"/>
      <c r="B258"/>
      <c r="C258"/>
      <c r="D258"/>
      <c r="E258"/>
      <c r="F258"/>
      <c r="G258"/>
      <c r="I258" s="41"/>
      <c r="J258" s="41"/>
      <c r="K258" s="41"/>
      <c r="L258" s="41"/>
      <c r="M258" s="41"/>
    </row>
    <row r="259" spans="1:13">
      <c r="A259"/>
      <c r="B259"/>
      <c r="C259"/>
      <c r="D259"/>
      <c r="E259"/>
      <c r="F259"/>
      <c r="G259"/>
      <c r="I259" s="41"/>
      <c r="J259" s="41"/>
      <c r="K259" s="41"/>
      <c r="L259" s="41"/>
      <c r="M259" s="41"/>
    </row>
    <row r="260" spans="1:13">
      <c r="A260"/>
      <c r="B260"/>
      <c r="C260"/>
      <c r="D260"/>
      <c r="E260"/>
      <c r="F260"/>
      <c r="G260"/>
      <c r="I260" s="41"/>
      <c r="J260" s="41"/>
      <c r="K260" s="41"/>
      <c r="L260" s="41"/>
      <c r="M260" s="41"/>
    </row>
    <row r="261" spans="1:13">
      <c r="A261"/>
      <c r="B261"/>
      <c r="C261"/>
      <c r="D261"/>
      <c r="E261"/>
      <c r="F261"/>
      <c r="G261"/>
      <c r="I261" s="41"/>
      <c r="J261" s="41"/>
      <c r="K261" s="41"/>
      <c r="L261" s="41"/>
      <c r="M261" s="41"/>
    </row>
    <row r="262" spans="1:13">
      <c r="A262"/>
      <c r="B262"/>
      <c r="C262"/>
      <c r="D262"/>
      <c r="E262"/>
      <c r="F262"/>
      <c r="G262"/>
      <c r="I262" s="41"/>
      <c r="J262" s="41"/>
      <c r="K262" s="41"/>
      <c r="L262" s="41"/>
      <c r="M262" s="41"/>
    </row>
    <row r="263" spans="1:13">
      <c r="A263"/>
      <c r="B263"/>
      <c r="C263"/>
      <c r="D263"/>
      <c r="E263"/>
      <c r="F263"/>
      <c r="G263"/>
      <c r="I263" s="41"/>
      <c r="J263" s="41"/>
      <c r="K263" s="41"/>
      <c r="L263" s="41"/>
      <c r="M263" s="41"/>
    </row>
    <row r="264" spans="1:13">
      <c r="A264"/>
      <c r="B264"/>
      <c r="C264"/>
      <c r="D264"/>
      <c r="E264"/>
      <c r="F264"/>
      <c r="G264"/>
      <c r="I264" s="41"/>
      <c r="J264" s="41"/>
      <c r="K264" s="41"/>
      <c r="L264" s="41"/>
      <c r="M264" s="41"/>
    </row>
    <row r="265" spans="1:13">
      <c r="A265"/>
      <c r="B265"/>
      <c r="C265"/>
      <c r="D265"/>
      <c r="E265"/>
      <c r="F265"/>
      <c r="G265"/>
      <c r="I265" s="41"/>
      <c r="J265" s="41"/>
      <c r="K265" s="41"/>
      <c r="L265" s="41"/>
      <c r="M265" s="41"/>
    </row>
    <row r="266" spans="1:13">
      <c r="A266"/>
      <c r="B266"/>
      <c r="C266"/>
      <c r="D266"/>
      <c r="E266"/>
      <c r="F266"/>
      <c r="G266"/>
      <c r="I266" s="41"/>
      <c r="J266" s="41"/>
      <c r="K266" s="41"/>
      <c r="L266" s="41"/>
      <c r="M266" s="41"/>
    </row>
    <row r="267" spans="1:13">
      <c r="A267"/>
      <c r="B267"/>
      <c r="C267"/>
      <c r="D267"/>
      <c r="E267"/>
      <c r="F267"/>
      <c r="G267"/>
      <c r="I267" s="41"/>
      <c r="J267" s="41"/>
      <c r="K267" s="41"/>
      <c r="L267" s="41"/>
      <c r="M267" s="41"/>
    </row>
    <row r="268" spans="1:13">
      <c r="A268"/>
      <c r="B268"/>
      <c r="C268"/>
      <c r="D268"/>
      <c r="E268"/>
      <c r="F268"/>
      <c r="G268"/>
      <c r="I268" s="41"/>
      <c r="J268" s="41"/>
      <c r="K268" s="41"/>
      <c r="L268" s="41"/>
      <c r="M268" s="41"/>
    </row>
    <row r="269" spans="1:13">
      <c r="A269"/>
      <c r="B269"/>
      <c r="C269"/>
      <c r="D269"/>
      <c r="E269"/>
      <c r="F269"/>
      <c r="G269"/>
      <c r="I269" s="41"/>
      <c r="J269" s="41"/>
      <c r="K269" s="41"/>
      <c r="L269" s="41"/>
      <c r="M269" s="41"/>
    </row>
    <row r="270" spans="1:13">
      <c r="A270"/>
      <c r="B270"/>
      <c r="C270"/>
      <c r="D270"/>
      <c r="E270"/>
      <c r="F270"/>
      <c r="G270"/>
      <c r="I270" s="41"/>
      <c r="J270" s="41"/>
      <c r="K270" s="41"/>
      <c r="L270" s="41"/>
      <c r="M270" s="41"/>
    </row>
    <row r="271" spans="1:13">
      <c r="A271"/>
      <c r="B271"/>
      <c r="C271"/>
      <c r="D271"/>
      <c r="E271"/>
      <c r="F271"/>
      <c r="G271"/>
      <c r="I271" s="41"/>
      <c r="J271" s="41"/>
      <c r="K271" s="41"/>
      <c r="L271" s="41"/>
      <c r="M271" s="41"/>
    </row>
    <row r="272" spans="1:13">
      <c r="A272"/>
      <c r="B272"/>
      <c r="C272"/>
      <c r="D272"/>
      <c r="E272"/>
      <c r="F272"/>
      <c r="G272"/>
      <c r="I272" s="41"/>
      <c r="J272" s="41"/>
      <c r="K272" s="41"/>
      <c r="L272" s="41"/>
      <c r="M272" s="41"/>
    </row>
    <row r="273" spans="1:13">
      <c r="A273"/>
      <c r="B273"/>
      <c r="C273"/>
      <c r="D273"/>
      <c r="E273"/>
      <c r="F273"/>
      <c r="G273"/>
      <c r="I273" s="41"/>
      <c r="J273" s="41"/>
      <c r="K273" s="41"/>
      <c r="L273" s="41"/>
      <c r="M273" s="41"/>
    </row>
    <row r="274" spans="1:13">
      <c r="A274"/>
      <c r="B274"/>
      <c r="C274"/>
      <c r="D274"/>
      <c r="E274"/>
      <c r="F274"/>
      <c r="G274"/>
      <c r="I274" s="41"/>
      <c r="J274" s="41"/>
      <c r="K274" s="41"/>
      <c r="L274" s="41"/>
      <c r="M274" s="41"/>
    </row>
    <row r="275" spans="1:13">
      <c r="A275"/>
      <c r="B275"/>
      <c r="C275"/>
      <c r="D275"/>
      <c r="E275"/>
      <c r="F275"/>
      <c r="G275"/>
      <c r="I275" s="41"/>
      <c r="J275" s="41"/>
      <c r="K275" s="41"/>
      <c r="L275" s="41"/>
      <c r="M275" s="41"/>
    </row>
    <row r="276" spans="1:13">
      <c r="A276"/>
      <c r="B276"/>
      <c r="C276"/>
      <c r="D276"/>
      <c r="E276"/>
      <c r="F276"/>
      <c r="G276"/>
      <c r="I276" s="41"/>
      <c r="J276" s="41"/>
      <c r="K276" s="41"/>
      <c r="L276" s="41"/>
      <c r="M276" s="41"/>
    </row>
    <row r="277" spans="1:13">
      <c r="A277"/>
      <c r="B277"/>
      <c r="C277"/>
      <c r="D277"/>
      <c r="E277"/>
      <c r="F277"/>
      <c r="G277"/>
      <c r="I277" s="41"/>
      <c r="J277" s="41"/>
      <c r="K277" s="41"/>
      <c r="L277" s="41"/>
      <c r="M277" s="41"/>
    </row>
    <row r="278" spans="1:13">
      <c r="A278"/>
      <c r="B278"/>
      <c r="C278"/>
      <c r="D278"/>
      <c r="E278"/>
      <c r="F278"/>
      <c r="G278"/>
      <c r="I278" s="41"/>
      <c r="J278" s="41"/>
      <c r="K278" s="41"/>
      <c r="L278" s="41"/>
      <c r="M278" s="41"/>
    </row>
    <row r="279" spans="1:13">
      <c r="A279"/>
      <c r="B279"/>
      <c r="C279"/>
      <c r="D279"/>
      <c r="E279"/>
      <c r="F279"/>
      <c r="G279"/>
      <c r="I279" s="41"/>
      <c r="J279" s="41"/>
      <c r="K279" s="41"/>
      <c r="L279" s="41"/>
      <c r="M279" s="41"/>
    </row>
    <row r="280" spans="1:13">
      <c r="A280"/>
      <c r="B280"/>
      <c r="C280"/>
      <c r="D280"/>
      <c r="E280"/>
      <c r="F280"/>
      <c r="G280"/>
      <c r="I280" s="41"/>
      <c r="J280" s="41"/>
      <c r="K280" s="41"/>
      <c r="L280" s="41"/>
      <c r="M280" s="41"/>
    </row>
    <row r="281" spans="1:13">
      <c r="A281"/>
      <c r="B281"/>
      <c r="C281"/>
      <c r="D281"/>
      <c r="E281"/>
      <c r="F281"/>
      <c r="G281"/>
      <c r="I281" s="41"/>
      <c r="J281" s="41"/>
      <c r="K281" s="41"/>
      <c r="L281" s="41"/>
      <c r="M281" s="41"/>
    </row>
    <row r="282" spans="1:13">
      <c r="A282"/>
      <c r="B282"/>
      <c r="C282"/>
      <c r="D282"/>
      <c r="E282"/>
      <c r="F282"/>
      <c r="G282"/>
      <c r="I282" s="41"/>
      <c r="J282" s="41"/>
      <c r="K282" s="41"/>
      <c r="L282" s="41"/>
      <c r="M282" s="41"/>
    </row>
    <row r="283" spans="1:13">
      <c r="A283"/>
      <c r="B283"/>
      <c r="C283"/>
      <c r="D283"/>
      <c r="E283"/>
      <c r="F283"/>
      <c r="G283"/>
      <c r="I283" s="41"/>
      <c r="J283" s="41"/>
      <c r="K283" s="41"/>
      <c r="L283" s="41"/>
      <c r="M283" s="41"/>
    </row>
    <row r="284" spans="1:13">
      <c r="A284"/>
      <c r="B284"/>
      <c r="C284"/>
      <c r="D284"/>
      <c r="E284"/>
      <c r="F284"/>
      <c r="G284"/>
      <c r="I284" s="41"/>
      <c r="J284" s="41"/>
      <c r="K284" s="41"/>
      <c r="L284" s="41"/>
      <c r="M284" s="41"/>
    </row>
    <row r="285" spans="1:13">
      <c r="A285"/>
      <c r="B285"/>
      <c r="C285"/>
      <c r="D285"/>
      <c r="E285"/>
      <c r="F285"/>
      <c r="G285"/>
      <c r="I285" s="41"/>
      <c r="J285" s="41"/>
      <c r="K285" s="41"/>
      <c r="L285" s="41"/>
      <c r="M285" s="41"/>
    </row>
    <row r="286" spans="1:13">
      <c r="A286"/>
      <c r="B286"/>
      <c r="C286"/>
      <c r="D286"/>
      <c r="E286"/>
      <c r="F286"/>
      <c r="G286"/>
      <c r="I286" s="41"/>
      <c r="J286" s="41"/>
      <c r="K286" s="41"/>
      <c r="L286" s="41"/>
      <c r="M286" s="41"/>
    </row>
    <row r="287" spans="1:13">
      <c r="A287"/>
      <c r="B287"/>
      <c r="C287"/>
      <c r="D287"/>
      <c r="E287"/>
      <c r="F287"/>
      <c r="G287"/>
      <c r="I287" s="41"/>
      <c r="J287" s="41"/>
      <c r="K287" s="41"/>
      <c r="L287" s="41"/>
      <c r="M287" s="41"/>
    </row>
    <row r="288" spans="1:13">
      <c r="A288"/>
      <c r="B288"/>
      <c r="C288"/>
      <c r="D288"/>
      <c r="E288"/>
      <c r="F288"/>
      <c r="G288"/>
      <c r="I288" s="41"/>
      <c r="J288" s="41"/>
      <c r="K288" s="41"/>
      <c r="L288" s="41"/>
      <c r="M288" s="41"/>
    </row>
    <row r="289" spans="1:13">
      <c r="A289"/>
      <c r="B289"/>
      <c r="C289"/>
      <c r="D289"/>
      <c r="E289"/>
      <c r="F289"/>
      <c r="G289"/>
      <c r="I289" s="41"/>
      <c r="J289" s="41"/>
      <c r="K289" s="41"/>
      <c r="L289" s="41"/>
      <c r="M289" s="41"/>
    </row>
    <row r="290" spans="1:13">
      <c r="A290"/>
      <c r="B290"/>
      <c r="C290"/>
      <c r="D290"/>
      <c r="E290"/>
      <c r="F290"/>
      <c r="G290"/>
      <c r="I290" s="41"/>
      <c r="J290" s="41"/>
      <c r="K290" s="41"/>
      <c r="L290" s="41"/>
      <c r="M290" s="41"/>
    </row>
    <row r="291" spans="1:13">
      <c r="A291"/>
      <c r="B291"/>
      <c r="C291"/>
      <c r="D291"/>
      <c r="E291"/>
      <c r="F291"/>
      <c r="G291"/>
      <c r="I291" s="41"/>
      <c r="J291" s="41"/>
      <c r="K291" s="41"/>
      <c r="L291" s="41"/>
      <c r="M291" s="41"/>
    </row>
    <row r="292" spans="1:13">
      <c r="A292"/>
      <c r="B292"/>
      <c r="C292"/>
      <c r="D292"/>
      <c r="E292"/>
      <c r="F292"/>
      <c r="G292"/>
      <c r="I292" s="41"/>
      <c r="J292" s="41"/>
      <c r="K292" s="41"/>
      <c r="L292" s="41"/>
      <c r="M292" s="41"/>
    </row>
    <row r="293" spans="1:13">
      <c r="A293"/>
      <c r="B293"/>
      <c r="C293"/>
      <c r="D293"/>
      <c r="E293"/>
      <c r="F293"/>
      <c r="G293"/>
      <c r="I293" s="41"/>
      <c r="J293" s="41"/>
      <c r="K293" s="41"/>
      <c r="L293" s="41"/>
      <c r="M293" s="41"/>
    </row>
    <row r="294" spans="1:13">
      <c r="A294"/>
      <c r="B294"/>
      <c r="C294"/>
      <c r="D294"/>
      <c r="E294"/>
      <c r="F294"/>
      <c r="G294"/>
      <c r="I294" s="41"/>
      <c r="J294" s="41"/>
      <c r="K294" s="41"/>
      <c r="L294" s="41"/>
      <c r="M294" s="41"/>
    </row>
    <row r="295" spans="1:13">
      <c r="A295"/>
      <c r="B295"/>
      <c r="C295"/>
      <c r="D295"/>
      <c r="E295"/>
      <c r="F295"/>
      <c r="G295"/>
      <c r="I295" s="41"/>
      <c r="J295" s="41"/>
      <c r="K295" s="41"/>
      <c r="L295" s="41"/>
      <c r="M295" s="41"/>
    </row>
    <row r="296" spans="1:13">
      <c r="A296"/>
      <c r="B296"/>
      <c r="C296"/>
      <c r="D296"/>
      <c r="E296"/>
      <c r="F296"/>
      <c r="G296"/>
      <c r="I296" s="41"/>
      <c r="J296" s="41"/>
      <c r="K296" s="41"/>
      <c r="L296" s="41"/>
      <c r="M296" s="41"/>
    </row>
    <row r="297" spans="1:13">
      <c r="A297"/>
      <c r="B297"/>
      <c r="C297"/>
      <c r="D297"/>
      <c r="E297"/>
      <c r="F297"/>
      <c r="G297"/>
      <c r="I297" s="41"/>
      <c r="J297" s="41"/>
      <c r="K297" s="41"/>
      <c r="L297" s="41"/>
      <c r="M297" s="41"/>
    </row>
    <row r="298" spans="1:13">
      <c r="A298"/>
      <c r="B298"/>
      <c r="C298"/>
      <c r="D298"/>
      <c r="E298"/>
      <c r="F298"/>
      <c r="G298"/>
      <c r="I298" s="41"/>
      <c r="J298" s="41"/>
      <c r="K298" s="41"/>
      <c r="L298" s="41"/>
      <c r="M298" s="41"/>
    </row>
    <row r="299" spans="1:13">
      <c r="A299"/>
      <c r="B299"/>
      <c r="C299"/>
      <c r="D299"/>
      <c r="E299"/>
      <c r="F299"/>
      <c r="G299"/>
      <c r="I299" s="41"/>
      <c r="J299" s="41"/>
      <c r="K299" s="41"/>
      <c r="L299" s="41"/>
      <c r="M299" s="41"/>
    </row>
    <row r="300" spans="1:13">
      <c r="A300"/>
      <c r="B300"/>
      <c r="C300"/>
      <c r="D300"/>
      <c r="E300"/>
      <c r="F300"/>
      <c r="G300"/>
      <c r="I300" s="41"/>
      <c r="J300" s="41"/>
      <c r="K300" s="41"/>
      <c r="L300" s="41"/>
      <c r="M300" s="41"/>
    </row>
    <row r="301" spans="1:13">
      <c r="A301"/>
      <c r="B301"/>
      <c r="C301"/>
      <c r="D301"/>
      <c r="E301"/>
      <c r="F301"/>
      <c r="G301"/>
      <c r="I301" s="41"/>
      <c r="J301" s="41"/>
      <c r="K301" s="41"/>
      <c r="L301" s="41"/>
      <c r="M301" s="41"/>
    </row>
    <row r="302" spans="1:13">
      <c r="A302"/>
      <c r="B302"/>
      <c r="C302"/>
      <c r="D302"/>
      <c r="E302"/>
      <c r="F302"/>
      <c r="G302"/>
      <c r="I302" s="41"/>
      <c r="J302" s="41"/>
      <c r="K302" s="41"/>
      <c r="L302" s="41"/>
      <c r="M302" s="41"/>
    </row>
    <row r="303" spans="1:13">
      <c r="A303"/>
      <c r="B303"/>
      <c r="C303"/>
      <c r="D303"/>
      <c r="E303"/>
      <c r="F303"/>
      <c r="G303"/>
      <c r="I303" s="41"/>
      <c r="J303" s="41"/>
      <c r="K303" s="41"/>
      <c r="L303" s="41"/>
      <c r="M303" s="41"/>
    </row>
    <row r="304" spans="1:13">
      <c r="A304"/>
      <c r="B304"/>
      <c r="C304"/>
      <c r="D304"/>
      <c r="E304"/>
      <c r="F304"/>
      <c r="G304"/>
      <c r="I304" s="41"/>
      <c r="J304" s="41"/>
      <c r="K304" s="41"/>
      <c r="L304" s="41"/>
      <c r="M304" s="41"/>
    </row>
    <row r="305" spans="1:13">
      <c r="A305"/>
      <c r="B305"/>
      <c r="C305"/>
      <c r="D305"/>
      <c r="E305"/>
      <c r="F305"/>
      <c r="G305"/>
      <c r="I305" s="41"/>
      <c r="J305" s="41"/>
      <c r="K305" s="41"/>
      <c r="L305" s="41"/>
      <c r="M305" s="41"/>
    </row>
    <row r="306" spans="1:13">
      <c r="A306"/>
      <c r="B306"/>
      <c r="C306"/>
      <c r="D306"/>
      <c r="E306"/>
      <c r="F306"/>
      <c r="G306"/>
      <c r="I306" s="41"/>
      <c r="J306" s="41"/>
      <c r="K306" s="41"/>
      <c r="L306" s="41"/>
      <c r="M306" s="41"/>
    </row>
    <row r="307" spans="1:13">
      <c r="A307"/>
      <c r="B307"/>
      <c r="C307"/>
      <c r="D307"/>
      <c r="E307"/>
      <c r="F307"/>
      <c r="G307"/>
      <c r="I307" s="41"/>
      <c r="J307" s="41"/>
      <c r="K307" s="41"/>
      <c r="L307" s="41"/>
      <c r="M307" s="58"/>
    </row>
    <row r="308" spans="1:13">
      <c r="A308"/>
      <c r="B308"/>
      <c r="C308"/>
      <c r="D308"/>
      <c r="E308"/>
      <c r="F308"/>
      <c r="G308"/>
      <c r="I308" s="41"/>
      <c r="J308" s="41"/>
      <c r="K308" s="41"/>
      <c r="L308" s="41"/>
      <c r="M308" s="58"/>
    </row>
    <row r="309" spans="1:13">
      <c r="A309"/>
      <c r="B309"/>
      <c r="C309"/>
      <c r="D309"/>
      <c r="E309"/>
      <c r="F309"/>
      <c r="G309"/>
      <c r="I309" s="41"/>
      <c r="J309" s="41"/>
      <c r="K309" s="41"/>
      <c r="L309" s="41"/>
      <c r="M309" s="58"/>
    </row>
    <row r="310" spans="1:13">
      <c r="A310"/>
      <c r="B310"/>
      <c r="C310"/>
      <c r="D310"/>
      <c r="E310"/>
      <c r="F310"/>
      <c r="G310"/>
      <c r="I310" s="41"/>
      <c r="J310" s="41"/>
      <c r="K310" s="41"/>
      <c r="L310" s="41"/>
      <c r="M310" s="58"/>
    </row>
    <row r="311" spans="1:13">
      <c r="A311"/>
      <c r="B311"/>
      <c r="C311"/>
      <c r="D311"/>
      <c r="E311"/>
      <c r="F311"/>
      <c r="G311"/>
      <c r="I311" s="41"/>
      <c r="J311" s="41"/>
      <c r="K311" s="41"/>
      <c r="L311" s="41"/>
      <c r="M311" s="58"/>
    </row>
    <row r="312" spans="1:13">
      <c r="A312"/>
      <c r="B312"/>
      <c r="C312"/>
      <c r="D312"/>
      <c r="E312"/>
      <c r="F312"/>
      <c r="G312"/>
      <c r="I312" s="41"/>
      <c r="J312" s="41"/>
      <c r="K312" s="41"/>
      <c r="L312" s="41"/>
      <c r="M312" s="58"/>
    </row>
    <row r="313" spans="1:13">
      <c r="A313"/>
      <c r="B313"/>
      <c r="C313"/>
      <c r="D313"/>
      <c r="E313"/>
      <c r="F313"/>
      <c r="G313"/>
      <c r="I313" s="41"/>
      <c r="J313" s="41"/>
      <c r="K313" s="41"/>
      <c r="L313" s="41"/>
      <c r="M313" s="58"/>
    </row>
    <row r="314" spans="1:13">
      <c r="A314"/>
      <c r="B314"/>
      <c r="C314"/>
      <c r="D314"/>
      <c r="E314"/>
      <c r="F314"/>
      <c r="G314"/>
      <c r="I314" s="41"/>
      <c r="J314" s="41"/>
      <c r="K314" s="41"/>
      <c r="L314" s="41"/>
      <c r="M314" s="58"/>
    </row>
    <row r="315" spans="1:13">
      <c r="A315"/>
      <c r="B315"/>
      <c r="C315"/>
      <c r="D315"/>
      <c r="E315"/>
      <c r="F315"/>
      <c r="G315"/>
      <c r="I315" s="58"/>
      <c r="J315" s="41"/>
      <c r="K315" s="41"/>
      <c r="L315" s="41"/>
      <c r="M315" s="58"/>
    </row>
    <row r="316" spans="1:13">
      <c r="A316"/>
      <c r="B316"/>
      <c r="C316"/>
      <c r="D316"/>
      <c r="E316"/>
      <c r="F316"/>
      <c r="G316"/>
      <c r="I316" s="58"/>
      <c r="J316" s="41"/>
      <c r="K316" s="41"/>
      <c r="L316" s="41"/>
      <c r="M316" s="58"/>
    </row>
    <row r="317" spans="1:13">
      <c r="A317"/>
      <c r="B317"/>
      <c r="C317"/>
      <c r="D317"/>
      <c r="E317"/>
      <c r="F317"/>
      <c r="G317"/>
      <c r="I317" s="58"/>
      <c r="J317" s="41"/>
      <c r="K317" s="41"/>
      <c r="L317" s="41"/>
      <c r="M317" s="58"/>
    </row>
    <row r="318" spans="1:13">
      <c r="A318"/>
      <c r="B318"/>
      <c r="C318"/>
      <c r="D318"/>
      <c r="E318"/>
      <c r="F318"/>
      <c r="G318"/>
      <c r="I318" s="58"/>
      <c r="J318" s="41"/>
      <c r="K318" s="41"/>
      <c r="L318" s="41"/>
      <c r="M318" s="58"/>
    </row>
    <row r="319" spans="1:13">
      <c r="A319"/>
      <c r="B319"/>
      <c r="C319"/>
      <c r="D319"/>
      <c r="E319"/>
      <c r="F319"/>
      <c r="G319"/>
      <c r="I319" s="58"/>
      <c r="J319" s="41"/>
      <c r="K319" s="41"/>
      <c r="L319" s="41"/>
      <c r="M319" s="58"/>
    </row>
    <row r="320" spans="1:13">
      <c r="A320"/>
      <c r="B320"/>
      <c r="C320"/>
      <c r="D320"/>
      <c r="E320"/>
      <c r="F320"/>
      <c r="G320"/>
      <c r="I320" s="58"/>
      <c r="J320" s="41"/>
      <c r="K320" s="41"/>
      <c r="L320" s="41"/>
      <c r="M320" s="58"/>
    </row>
    <row r="321" spans="1:12">
      <c r="A321"/>
      <c r="B321"/>
      <c r="C321"/>
      <c r="D321"/>
      <c r="E321"/>
      <c r="F321"/>
      <c r="G321"/>
      <c r="I321" s="58"/>
      <c r="J321" s="41"/>
      <c r="K321" s="41"/>
      <c r="L321" s="41"/>
    </row>
    <row r="322" spans="1:12">
      <c r="A322"/>
      <c r="B322"/>
      <c r="C322"/>
      <c r="D322"/>
      <c r="E322"/>
      <c r="F322"/>
      <c r="G322"/>
      <c r="I322" s="58"/>
      <c r="J322" s="41"/>
      <c r="K322" s="41"/>
      <c r="L322" s="41"/>
    </row>
    <row r="323" spans="1:12">
      <c r="A323"/>
      <c r="B323"/>
      <c r="C323"/>
      <c r="D323"/>
      <c r="E323"/>
      <c r="F323"/>
      <c r="G323"/>
      <c r="I323" s="58"/>
      <c r="J323" s="41"/>
      <c r="K323" s="41"/>
      <c r="L323" s="41"/>
    </row>
    <row r="324" spans="1:12">
      <c r="A324"/>
      <c r="B324"/>
      <c r="C324"/>
      <c r="D324"/>
      <c r="E324"/>
      <c r="F324"/>
      <c r="G324"/>
      <c r="I324" s="58"/>
      <c r="J324" s="41"/>
      <c r="K324" s="41"/>
      <c r="L324" s="41"/>
    </row>
    <row r="325" spans="1:12">
      <c r="A325"/>
      <c r="B325"/>
      <c r="C325"/>
      <c r="D325"/>
      <c r="E325"/>
      <c r="F325"/>
      <c r="G325"/>
      <c r="I325" s="58"/>
      <c r="J325" s="41"/>
      <c r="K325" s="41"/>
      <c r="L325" s="41"/>
    </row>
    <row r="326" spans="1:12">
      <c r="A326"/>
      <c r="B326"/>
      <c r="C326"/>
      <c r="D326"/>
      <c r="E326"/>
      <c r="F326"/>
      <c r="G326"/>
      <c r="I326" s="58"/>
      <c r="J326" s="41"/>
      <c r="K326" s="41"/>
      <c r="L326" s="41"/>
    </row>
    <row r="327" spans="1:12">
      <c r="A327"/>
      <c r="B327"/>
      <c r="C327"/>
      <c r="D327"/>
      <c r="E327"/>
      <c r="F327"/>
      <c r="G327"/>
      <c r="I327" s="58"/>
      <c r="J327" s="41"/>
      <c r="K327" s="41"/>
      <c r="L327" s="41"/>
    </row>
    <row r="328" spans="1:12">
      <c r="A328"/>
      <c r="B328"/>
      <c r="C328"/>
      <c r="D328"/>
      <c r="E328"/>
      <c r="F328"/>
      <c r="G328"/>
      <c r="I328" s="58"/>
      <c r="J328" s="41"/>
      <c r="K328" s="41"/>
      <c r="L328" s="41"/>
    </row>
    <row r="329" spans="1:12">
      <c r="A329"/>
      <c r="B329"/>
      <c r="C329"/>
      <c r="D329"/>
      <c r="E329"/>
      <c r="F329"/>
      <c r="G329"/>
      <c r="J329" s="41"/>
      <c r="K329" s="41"/>
      <c r="L329" s="58"/>
    </row>
    <row r="330" spans="1:12">
      <c r="A330"/>
      <c r="B330"/>
      <c r="C330"/>
      <c r="D330"/>
      <c r="E330"/>
      <c r="F330"/>
      <c r="G330"/>
      <c r="J330" s="41"/>
      <c r="K330" s="41"/>
      <c r="L330" s="58"/>
    </row>
    <row r="331" spans="1:12">
      <c r="A331"/>
      <c r="B331"/>
      <c r="C331"/>
      <c r="D331"/>
      <c r="E331"/>
      <c r="F331"/>
      <c r="G331"/>
      <c r="J331" s="41"/>
      <c r="K331" s="41"/>
      <c r="L331" s="58"/>
    </row>
    <row r="332" spans="1:12">
      <c r="A332"/>
      <c r="B332"/>
      <c r="C332"/>
      <c r="D332"/>
      <c r="E332"/>
      <c r="F332"/>
      <c r="G332"/>
      <c r="J332" s="41"/>
      <c r="K332" s="41"/>
      <c r="L332" s="58"/>
    </row>
    <row r="333" spans="1:12">
      <c r="A333"/>
      <c r="B333"/>
      <c r="C333"/>
      <c r="D333"/>
      <c r="E333"/>
      <c r="F333"/>
      <c r="G333"/>
      <c r="J333" s="41"/>
      <c r="K333" s="41"/>
      <c r="L333" s="58"/>
    </row>
    <row r="334" spans="1:12">
      <c r="A334"/>
      <c r="B334"/>
      <c r="C334"/>
      <c r="D334"/>
      <c r="E334"/>
      <c r="F334"/>
      <c r="G334"/>
      <c r="J334" s="41"/>
      <c r="K334" s="41"/>
      <c r="L334" s="58"/>
    </row>
    <row r="335" spans="1:12">
      <c r="A335"/>
      <c r="B335"/>
      <c r="C335"/>
      <c r="D335"/>
      <c r="E335"/>
      <c r="F335"/>
      <c r="G335"/>
      <c r="J335" s="58"/>
      <c r="K335" s="41"/>
      <c r="L335" s="58"/>
    </row>
    <row r="336" spans="1:12">
      <c r="A336"/>
      <c r="B336"/>
      <c r="C336"/>
      <c r="D336"/>
      <c r="E336"/>
      <c r="F336"/>
      <c r="G336"/>
      <c r="J336" s="58"/>
      <c r="K336" s="41"/>
      <c r="L336" s="58"/>
    </row>
    <row r="337" spans="1:12">
      <c r="A337"/>
      <c r="B337"/>
      <c r="C337"/>
      <c r="D337"/>
      <c r="E337"/>
      <c r="F337"/>
      <c r="G337"/>
      <c r="J337" s="58"/>
      <c r="K337" s="41"/>
      <c r="L337" s="58"/>
    </row>
    <row r="338" spans="1:12">
      <c r="A338"/>
      <c r="B338"/>
      <c r="C338"/>
      <c r="D338"/>
      <c r="E338"/>
      <c r="F338"/>
      <c r="G338"/>
      <c r="J338" s="58"/>
      <c r="K338" s="41"/>
      <c r="L338" s="58"/>
    </row>
    <row r="339" spans="1:12">
      <c r="A339"/>
      <c r="B339"/>
      <c r="C339"/>
      <c r="D339"/>
      <c r="E339"/>
      <c r="F339"/>
      <c r="G339"/>
      <c r="J339" s="58"/>
      <c r="K339" s="41"/>
      <c r="L339" s="58"/>
    </row>
    <row r="340" spans="1:12">
      <c r="A340"/>
      <c r="B340"/>
      <c r="C340"/>
      <c r="D340"/>
      <c r="E340"/>
      <c r="F340"/>
      <c r="G340"/>
      <c r="J340" s="58"/>
      <c r="K340" s="41"/>
      <c r="L340" s="58"/>
    </row>
    <row r="341" spans="1:12">
      <c r="A341"/>
      <c r="B341"/>
      <c r="C341"/>
      <c r="D341"/>
      <c r="E341"/>
      <c r="F341"/>
      <c r="G341"/>
      <c r="J341" s="58"/>
      <c r="K341" s="41"/>
      <c r="L341" s="58"/>
    </row>
    <row r="342" spans="1:12">
      <c r="A342"/>
      <c r="B342"/>
      <c r="C342"/>
      <c r="D342"/>
      <c r="E342"/>
      <c r="F342"/>
      <c r="G342"/>
      <c r="J342" s="58"/>
      <c r="K342" s="41"/>
      <c r="L342" s="58"/>
    </row>
    <row r="343" spans="1:12">
      <c r="A343"/>
      <c r="B343"/>
      <c r="C343"/>
      <c r="D343"/>
      <c r="E343"/>
      <c r="F343"/>
      <c r="G343"/>
      <c r="J343" s="58"/>
      <c r="K343" s="41"/>
    </row>
    <row r="344" spans="1:12">
      <c r="A344"/>
      <c r="B344"/>
      <c r="C344"/>
      <c r="D344"/>
      <c r="E344"/>
      <c r="F344"/>
      <c r="G344"/>
      <c r="J344" s="58"/>
      <c r="K344" s="41"/>
    </row>
    <row r="345" spans="1:12">
      <c r="A345"/>
      <c r="B345"/>
      <c r="C345"/>
      <c r="D345"/>
      <c r="E345"/>
      <c r="F345"/>
      <c r="G345"/>
      <c r="J345" s="58"/>
      <c r="K345" s="41"/>
    </row>
    <row r="346" spans="1:12">
      <c r="A346"/>
      <c r="B346"/>
      <c r="C346"/>
      <c r="D346"/>
      <c r="E346"/>
      <c r="F346"/>
      <c r="G346"/>
      <c r="J346" s="58"/>
      <c r="K346" s="41"/>
    </row>
    <row r="347" spans="1:12">
      <c r="A347"/>
      <c r="B347"/>
      <c r="C347"/>
      <c r="D347"/>
      <c r="E347"/>
      <c r="F347"/>
      <c r="G347"/>
      <c r="J347" s="58"/>
      <c r="K347" s="58"/>
    </row>
    <row r="348" spans="1:12">
      <c r="A348"/>
      <c r="B348"/>
      <c r="C348"/>
      <c r="D348"/>
      <c r="E348"/>
      <c r="F348"/>
      <c r="G348"/>
      <c r="J348" s="58"/>
      <c r="K348" s="58"/>
    </row>
    <row r="349" spans="1:12">
      <c r="A349"/>
      <c r="B349"/>
      <c r="C349"/>
      <c r="D349"/>
      <c r="E349"/>
      <c r="F349"/>
      <c r="G349"/>
      <c r="K349" s="58"/>
    </row>
    <row r="350" spans="1:12">
      <c r="A350"/>
      <c r="B350"/>
      <c r="C350"/>
      <c r="D350"/>
      <c r="E350"/>
      <c r="F350"/>
      <c r="G350"/>
      <c r="K350" s="58"/>
    </row>
    <row r="351" spans="1:12">
      <c r="A351"/>
      <c r="B351"/>
      <c r="C351"/>
      <c r="D351"/>
      <c r="E351"/>
      <c r="F351"/>
      <c r="G351"/>
      <c r="K351" s="58"/>
    </row>
    <row r="352" spans="1:12">
      <c r="A352"/>
      <c r="B352"/>
      <c r="C352"/>
      <c r="D352"/>
      <c r="E352"/>
      <c r="F352"/>
      <c r="G352"/>
      <c r="K352" s="58"/>
    </row>
    <row r="353" spans="1:11">
      <c r="A353"/>
      <c r="B353"/>
      <c r="C353"/>
      <c r="D353"/>
      <c r="E353"/>
      <c r="F353"/>
      <c r="G353"/>
      <c r="K353" s="58"/>
    </row>
    <row r="354" spans="1:11">
      <c r="A354"/>
      <c r="B354"/>
      <c r="C354"/>
      <c r="D354"/>
      <c r="E354"/>
      <c r="F354"/>
      <c r="G354"/>
      <c r="K354" s="58"/>
    </row>
    <row r="355" spans="1:11">
      <c r="A355"/>
      <c r="B355"/>
      <c r="C355"/>
      <c r="D355"/>
      <c r="E355"/>
      <c r="F355"/>
      <c r="G355"/>
      <c r="K355" s="58"/>
    </row>
    <row r="356" spans="1:11">
      <c r="A356"/>
      <c r="B356"/>
      <c r="C356"/>
      <c r="D356"/>
      <c r="E356"/>
      <c r="F356"/>
      <c r="G356"/>
      <c r="K356" s="58"/>
    </row>
    <row r="357" spans="1:11">
      <c r="A357"/>
      <c r="B357"/>
      <c r="C357"/>
      <c r="D357"/>
      <c r="E357"/>
      <c r="F357"/>
      <c r="G357"/>
      <c r="K357" s="58"/>
    </row>
    <row r="358" spans="1:11">
      <c r="A358"/>
      <c r="B358"/>
      <c r="C358"/>
      <c r="D358"/>
      <c r="E358"/>
      <c r="F358"/>
      <c r="G358"/>
      <c r="K358" s="58"/>
    </row>
    <row r="359" spans="1:11">
      <c r="A359"/>
      <c r="B359"/>
      <c r="C359"/>
      <c r="D359"/>
      <c r="E359"/>
      <c r="F359"/>
      <c r="G359"/>
      <c r="K359" s="58"/>
    </row>
    <row r="360" spans="1:11">
      <c r="A360"/>
      <c r="B360"/>
      <c r="C360"/>
      <c r="D360"/>
      <c r="E360"/>
      <c r="F360"/>
      <c r="G360"/>
      <c r="K360" s="58"/>
    </row>
    <row r="361" spans="1:11">
      <c r="A361"/>
      <c r="B361"/>
      <c r="C361"/>
      <c r="D361"/>
      <c r="E361"/>
      <c r="F361"/>
      <c r="G361"/>
    </row>
    <row r="362" spans="1:11">
      <c r="A362"/>
      <c r="B362"/>
      <c r="C362"/>
      <c r="D362"/>
      <c r="E362"/>
      <c r="F362"/>
      <c r="G362"/>
    </row>
  </sheetData>
  <dataConsolidate/>
  <mergeCells count="10">
    <mergeCell ref="A1:G1"/>
    <mergeCell ref="A3:G3"/>
    <mergeCell ref="A5:A8"/>
    <mergeCell ref="B5:G5"/>
    <mergeCell ref="B6:C6"/>
    <mergeCell ref="D6:E6"/>
    <mergeCell ref="F6:G6"/>
    <mergeCell ref="B7:B8"/>
    <mergeCell ref="D7:D8"/>
    <mergeCell ref="F7:F8"/>
  </mergeCells>
  <phoneticPr fontId="27" type="noConversion"/>
  <conditionalFormatting sqref="A28:A44 A68">
    <cfRule type="expression" dxfId="264" priority="37">
      <formula>MONTH(A28)=1</formula>
    </cfRule>
  </conditionalFormatting>
  <conditionalFormatting sqref="A52:A55">
    <cfRule type="expression" dxfId="263" priority="35">
      <formula>MONTH(A52)=1</formula>
    </cfRule>
  </conditionalFormatting>
  <conditionalFormatting sqref="A57:A63">
    <cfRule type="expression" dxfId="262" priority="34">
      <formula>MONTH(A57)=1</formula>
    </cfRule>
  </conditionalFormatting>
  <conditionalFormatting sqref="A52:A55">
    <cfRule type="expression" dxfId="261" priority="33">
      <formula>MONTH(A52)=1</formula>
    </cfRule>
  </conditionalFormatting>
  <conditionalFormatting sqref="A57:A63">
    <cfRule type="expression" dxfId="260" priority="32">
      <formula>MONTH(A57)=1</formula>
    </cfRule>
  </conditionalFormatting>
  <conditionalFormatting sqref="A56:A63">
    <cfRule type="expression" dxfId="259" priority="31">
      <formula>MONTH(A56)=1</formula>
    </cfRule>
  </conditionalFormatting>
  <conditionalFormatting sqref="A56:A63">
    <cfRule type="expression" dxfId="258" priority="30">
      <formula>MONTH(A56)=1</formula>
    </cfRule>
  </conditionalFormatting>
  <conditionalFormatting sqref="A64">
    <cfRule type="expression" dxfId="257" priority="21">
      <formula>MONTH(A64)=1</formula>
    </cfRule>
  </conditionalFormatting>
  <conditionalFormatting sqref="A64">
    <cfRule type="expression" dxfId="256" priority="20">
      <formula>MONTH(A64)=1</formula>
    </cfRule>
  </conditionalFormatting>
  <conditionalFormatting sqref="A65:A66">
    <cfRule type="expression" dxfId="255" priority="19">
      <formula>MONTH(A65)=1</formula>
    </cfRule>
  </conditionalFormatting>
  <conditionalFormatting sqref="A65:A66 H67">
    <cfRule type="expression" dxfId="254" priority="18">
      <formula>MONTH(A65)=1</formula>
    </cfRule>
  </conditionalFormatting>
  <conditionalFormatting sqref="A45:A51">
    <cfRule type="expression" dxfId="253" priority="17">
      <formula>MONTH(A45)=1</formula>
    </cfRule>
  </conditionalFormatting>
  <conditionalFormatting sqref="A67">
    <cfRule type="expression" dxfId="252" priority="12">
      <formula>MONTH(A67)=1</formula>
    </cfRule>
  </conditionalFormatting>
  <conditionalFormatting sqref="A67">
    <cfRule type="expression" dxfId="251" priority="13">
      <formula>MONTH(A67)=1</formula>
    </cfRule>
  </conditionalFormatting>
  <conditionalFormatting sqref="A69">
    <cfRule type="expression" dxfId="250" priority="11">
      <formula>MONTH(A69)=1</formula>
    </cfRule>
  </conditionalFormatting>
  <conditionalFormatting sqref="A79">
    <cfRule type="expression" dxfId="249" priority="6">
      <formula>MONTH(A79)=1</formula>
    </cfRule>
  </conditionalFormatting>
  <conditionalFormatting sqref="A70">
    <cfRule type="expression" dxfId="248" priority="5">
      <formula>MONTH(A70)=1</formula>
    </cfRule>
  </conditionalFormatting>
  <conditionalFormatting sqref="A71:A78">
    <cfRule type="expression" dxfId="247" priority="1">
      <formula>MONTH(A71)=1</formula>
    </cfRule>
  </conditionalFormatting>
  <pageMargins left="0.78740157480314965" right="0.78740157480314965" top="1.1417322834645669" bottom="1.1417322834645669" header="0.51181102362204722" footer="0.51181102362204722"/>
  <pageSetup paperSize="9" scale="58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2E9F-2AA5-472E-BF6F-7862E853842A}">
  <sheetPr>
    <pageSetUpPr fitToPage="1"/>
  </sheetPr>
  <dimension ref="A1:Y413"/>
  <sheetViews>
    <sheetView view="pageBreakPreview" zoomScale="115" zoomScaleNormal="100" zoomScaleSheetLayoutView="115" workbookViewId="0">
      <pane xSplit="1" ySplit="6" topLeftCell="B7" activePane="bottomRight" state="frozen"/>
      <selection activeCell="J63" sqref="J63"/>
      <selection pane="topRight" activeCell="J63" sqref="J63"/>
      <selection pane="bottomLeft" activeCell="J63" sqref="J63"/>
      <selection pane="bottomRight"/>
    </sheetView>
  </sheetViews>
  <sheetFormatPr defaultRowHeight="13.5"/>
  <cols>
    <col min="1" max="1" width="9.109375" style="90" customWidth="1"/>
    <col min="2" max="2" width="12.77734375" style="91" customWidth="1"/>
    <col min="3" max="5" width="12.77734375" style="92" customWidth="1"/>
    <col min="6" max="6" width="12.77734375" style="93" customWidth="1"/>
    <col min="7" max="7" width="10.5546875" style="93" customWidth="1"/>
    <col min="8" max="8" width="9.33203125" style="92" customWidth="1"/>
    <col min="9" max="9" width="6.5546875" customWidth="1"/>
    <col min="10" max="10" width="4.77734375" customWidth="1"/>
    <col min="11" max="14" width="6.44140625" bestFit="1" customWidth="1"/>
    <col min="15" max="15" width="5.21875" customWidth="1"/>
    <col min="16" max="20" width="6.44140625" bestFit="1" customWidth="1"/>
    <col min="257" max="257" width="7.77734375" customWidth="1"/>
    <col min="258" max="263" width="10.5546875" customWidth="1"/>
    <col min="264" max="264" width="9.33203125" customWidth="1"/>
    <col min="265" max="265" width="6.5546875" customWidth="1"/>
    <col min="266" max="266" width="4.77734375" customWidth="1"/>
    <col min="267" max="270" width="6.44140625" bestFit="1" customWidth="1"/>
    <col min="271" max="272" width="5.21875" customWidth="1"/>
    <col min="273" max="273" width="6.44140625" bestFit="1" customWidth="1"/>
    <col min="513" max="513" width="7.77734375" customWidth="1"/>
    <col min="514" max="519" width="10.5546875" customWidth="1"/>
    <col min="520" max="520" width="9.33203125" customWidth="1"/>
    <col min="521" max="521" width="6.5546875" customWidth="1"/>
    <col min="522" max="522" width="4.77734375" customWidth="1"/>
    <col min="523" max="526" width="6.44140625" bestFit="1" customWidth="1"/>
    <col min="527" max="528" width="5.21875" customWidth="1"/>
    <col min="529" max="529" width="6.44140625" bestFit="1" customWidth="1"/>
    <col min="769" max="769" width="7.77734375" customWidth="1"/>
    <col min="770" max="775" width="10.5546875" customWidth="1"/>
    <col min="776" max="776" width="9.33203125" customWidth="1"/>
    <col min="777" max="777" width="6.5546875" customWidth="1"/>
    <col min="778" max="778" width="4.77734375" customWidth="1"/>
    <col min="779" max="782" width="6.44140625" bestFit="1" customWidth="1"/>
    <col min="783" max="784" width="5.21875" customWidth="1"/>
    <col min="785" max="785" width="6.44140625" bestFit="1" customWidth="1"/>
    <col min="1025" max="1025" width="7.77734375" customWidth="1"/>
    <col min="1026" max="1031" width="10.5546875" customWidth="1"/>
    <col min="1032" max="1032" width="9.33203125" customWidth="1"/>
    <col min="1033" max="1033" width="6.5546875" customWidth="1"/>
    <col min="1034" max="1034" width="4.77734375" customWidth="1"/>
    <col min="1035" max="1038" width="6.44140625" bestFit="1" customWidth="1"/>
    <col min="1039" max="1040" width="5.21875" customWidth="1"/>
    <col min="1041" max="1041" width="6.44140625" bestFit="1" customWidth="1"/>
    <col min="1281" max="1281" width="7.77734375" customWidth="1"/>
    <col min="1282" max="1287" width="10.5546875" customWidth="1"/>
    <col min="1288" max="1288" width="9.33203125" customWidth="1"/>
    <col min="1289" max="1289" width="6.5546875" customWidth="1"/>
    <col min="1290" max="1290" width="4.77734375" customWidth="1"/>
    <col min="1291" max="1294" width="6.44140625" bestFit="1" customWidth="1"/>
    <col min="1295" max="1296" width="5.21875" customWidth="1"/>
    <col min="1297" max="1297" width="6.44140625" bestFit="1" customWidth="1"/>
    <col min="1537" max="1537" width="7.77734375" customWidth="1"/>
    <col min="1538" max="1543" width="10.5546875" customWidth="1"/>
    <col min="1544" max="1544" width="9.33203125" customWidth="1"/>
    <col min="1545" max="1545" width="6.5546875" customWidth="1"/>
    <col min="1546" max="1546" width="4.77734375" customWidth="1"/>
    <col min="1547" max="1550" width="6.44140625" bestFit="1" customWidth="1"/>
    <col min="1551" max="1552" width="5.21875" customWidth="1"/>
    <col min="1553" max="1553" width="6.44140625" bestFit="1" customWidth="1"/>
    <col min="1793" max="1793" width="7.77734375" customWidth="1"/>
    <col min="1794" max="1799" width="10.5546875" customWidth="1"/>
    <col min="1800" max="1800" width="9.33203125" customWidth="1"/>
    <col min="1801" max="1801" width="6.5546875" customWidth="1"/>
    <col min="1802" max="1802" width="4.77734375" customWidth="1"/>
    <col min="1803" max="1806" width="6.44140625" bestFit="1" customWidth="1"/>
    <col min="1807" max="1808" width="5.21875" customWidth="1"/>
    <col min="1809" max="1809" width="6.44140625" bestFit="1" customWidth="1"/>
    <col min="2049" max="2049" width="7.77734375" customWidth="1"/>
    <col min="2050" max="2055" width="10.5546875" customWidth="1"/>
    <col min="2056" max="2056" width="9.33203125" customWidth="1"/>
    <col min="2057" max="2057" width="6.5546875" customWidth="1"/>
    <col min="2058" max="2058" width="4.77734375" customWidth="1"/>
    <col min="2059" max="2062" width="6.44140625" bestFit="1" customWidth="1"/>
    <col min="2063" max="2064" width="5.21875" customWidth="1"/>
    <col min="2065" max="2065" width="6.44140625" bestFit="1" customWidth="1"/>
    <col min="2305" max="2305" width="7.77734375" customWidth="1"/>
    <col min="2306" max="2311" width="10.5546875" customWidth="1"/>
    <col min="2312" max="2312" width="9.33203125" customWidth="1"/>
    <col min="2313" max="2313" width="6.5546875" customWidth="1"/>
    <col min="2314" max="2314" width="4.77734375" customWidth="1"/>
    <col min="2315" max="2318" width="6.44140625" bestFit="1" customWidth="1"/>
    <col min="2319" max="2320" width="5.21875" customWidth="1"/>
    <col min="2321" max="2321" width="6.44140625" bestFit="1" customWidth="1"/>
    <col min="2561" max="2561" width="7.77734375" customWidth="1"/>
    <col min="2562" max="2567" width="10.5546875" customWidth="1"/>
    <col min="2568" max="2568" width="9.33203125" customWidth="1"/>
    <col min="2569" max="2569" width="6.5546875" customWidth="1"/>
    <col min="2570" max="2570" width="4.77734375" customWidth="1"/>
    <col min="2571" max="2574" width="6.44140625" bestFit="1" customWidth="1"/>
    <col min="2575" max="2576" width="5.21875" customWidth="1"/>
    <col min="2577" max="2577" width="6.44140625" bestFit="1" customWidth="1"/>
    <col min="2817" max="2817" width="7.77734375" customWidth="1"/>
    <col min="2818" max="2823" width="10.5546875" customWidth="1"/>
    <col min="2824" max="2824" width="9.33203125" customWidth="1"/>
    <col min="2825" max="2825" width="6.5546875" customWidth="1"/>
    <col min="2826" max="2826" width="4.77734375" customWidth="1"/>
    <col min="2827" max="2830" width="6.44140625" bestFit="1" customWidth="1"/>
    <col min="2831" max="2832" width="5.21875" customWidth="1"/>
    <col min="2833" max="2833" width="6.44140625" bestFit="1" customWidth="1"/>
    <col min="3073" max="3073" width="7.77734375" customWidth="1"/>
    <col min="3074" max="3079" width="10.5546875" customWidth="1"/>
    <col min="3080" max="3080" width="9.33203125" customWidth="1"/>
    <col min="3081" max="3081" width="6.5546875" customWidth="1"/>
    <col min="3082" max="3082" width="4.77734375" customWidth="1"/>
    <col min="3083" max="3086" width="6.44140625" bestFit="1" customWidth="1"/>
    <col min="3087" max="3088" width="5.21875" customWidth="1"/>
    <col min="3089" max="3089" width="6.44140625" bestFit="1" customWidth="1"/>
    <col min="3329" max="3329" width="7.77734375" customWidth="1"/>
    <col min="3330" max="3335" width="10.5546875" customWidth="1"/>
    <col min="3336" max="3336" width="9.33203125" customWidth="1"/>
    <col min="3337" max="3337" width="6.5546875" customWidth="1"/>
    <col min="3338" max="3338" width="4.77734375" customWidth="1"/>
    <col min="3339" max="3342" width="6.44140625" bestFit="1" customWidth="1"/>
    <col min="3343" max="3344" width="5.21875" customWidth="1"/>
    <col min="3345" max="3345" width="6.44140625" bestFit="1" customWidth="1"/>
    <col min="3585" max="3585" width="7.77734375" customWidth="1"/>
    <col min="3586" max="3591" width="10.5546875" customWidth="1"/>
    <col min="3592" max="3592" width="9.33203125" customWidth="1"/>
    <col min="3593" max="3593" width="6.5546875" customWidth="1"/>
    <col min="3594" max="3594" width="4.77734375" customWidth="1"/>
    <col min="3595" max="3598" width="6.44140625" bestFit="1" customWidth="1"/>
    <col min="3599" max="3600" width="5.21875" customWidth="1"/>
    <col min="3601" max="3601" width="6.44140625" bestFit="1" customWidth="1"/>
    <col min="3841" max="3841" width="7.77734375" customWidth="1"/>
    <col min="3842" max="3847" width="10.5546875" customWidth="1"/>
    <col min="3848" max="3848" width="9.33203125" customWidth="1"/>
    <col min="3849" max="3849" width="6.5546875" customWidth="1"/>
    <col min="3850" max="3850" width="4.77734375" customWidth="1"/>
    <col min="3851" max="3854" width="6.44140625" bestFit="1" customWidth="1"/>
    <col min="3855" max="3856" width="5.21875" customWidth="1"/>
    <col min="3857" max="3857" width="6.44140625" bestFit="1" customWidth="1"/>
    <col min="4097" max="4097" width="7.77734375" customWidth="1"/>
    <col min="4098" max="4103" width="10.5546875" customWidth="1"/>
    <col min="4104" max="4104" width="9.33203125" customWidth="1"/>
    <col min="4105" max="4105" width="6.5546875" customWidth="1"/>
    <col min="4106" max="4106" width="4.77734375" customWidth="1"/>
    <col min="4107" max="4110" width="6.44140625" bestFit="1" customWidth="1"/>
    <col min="4111" max="4112" width="5.21875" customWidth="1"/>
    <col min="4113" max="4113" width="6.44140625" bestFit="1" customWidth="1"/>
    <col min="4353" max="4353" width="7.77734375" customWidth="1"/>
    <col min="4354" max="4359" width="10.5546875" customWidth="1"/>
    <col min="4360" max="4360" width="9.33203125" customWidth="1"/>
    <col min="4361" max="4361" width="6.5546875" customWidth="1"/>
    <col min="4362" max="4362" width="4.77734375" customWidth="1"/>
    <col min="4363" max="4366" width="6.44140625" bestFit="1" customWidth="1"/>
    <col min="4367" max="4368" width="5.21875" customWidth="1"/>
    <col min="4369" max="4369" width="6.44140625" bestFit="1" customWidth="1"/>
    <col min="4609" max="4609" width="7.77734375" customWidth="1"/>
    <col min="4610" max="4615" width="10.5546875" customWidth="1"/>
    <col min="4616" max="4616" width="9.33203125" customWidth="1"/>
    <col min="4617" max="4617" width="6.5546875" customWidth="1"/>
    <col min="4618" max="4618" width="4.77734375" customWidth="1"/>
    <col min="4619" max="4622" width="6.44140625" bestFit="1" customWidth="1"/>
    <col min="4623" max="4624" width="5.21875" customWidth="1"/>
    <col min="4625" max="4625" width="6.44140625" bestFit="1" customWidth="1"/>
    <col min="4865" max="4865" width="7.77734375" customWidth="1"/>
    <col min="4866" max="4871" width="10.5546875" customWidth="1"/>
    <col min="4872" max="4872" width="9.33203125" customWidth="1"/>
    <col min="4873" max="4873" width="6.5546875" customWidth="1"/>
    <col min="4874" max="4874" width="4.77734375" customWidth="1"/>
    <col min="4875" max="4878" width="6.44140625" bestFit="1" customWidth="1"/>
    <col min="4879" max="4880" width="5.21875" customWidth="1"/>
    <col min="4881" max="4881" width="6.44140625" bestFit="1" customWidth="1"/>
    <col min="5121" max="5121" width="7.77734375" customWidth="1"/>
    <col min="5122" max="5127" width="10.5546875" customWidth="1"/>
    <col min="5128" max="5128" width="9.33203125" customWidth="1"/>
    <col min="5129" max="5129" width="6.5546875" customWidth="1"/>
    <col min="5130" max="5130" width="4.77734375" customWidth="1"/>
    <col min="5131" max="5134" width="6.44140625" bestFit="1" customWidth="1"/>
    <col min="5135" max="5136" width="5.21875" customWidth="1"/>
    <col min="5137" max="5137" width="6.44140625" bestFit="1" customWidth="1"/>
    <col min="5377" max="5377" width="7.77734375" customWidth="1"/>
    <col min="5378" max="5383" width="10.5546875" customWidth="1"/>
    <col min="5384" max="5384" width="9.33203125" customWidth="1"/>
    <col min="5385" max="5385" width="6.5546875" customWidth="1"/>
    <col min="5386" max="5386" width="4.77734375" customWidth="1"/>
    <col min="5387" max="5390" width="6.44140625" bestFit="1" customWidth="1"/>
    <col min="5391" max="5392" width="5.21875" customWidth="1"/>
    <col min="5393" max="5393" width="6.44140625" bestFit="1" customWidth="1"/>
    <col min="5633" max="5633" width="7.77734375" customWidth="1"/>
    <col min="5634" max="5639" width="10.5546875" customWidth="1"/>
    <col min="5640" max="5640" width="9.33203125" customWidth="1"/>
    <col min="5641" max="5641" width="6.5546875" customWidth="1"/>
    <col min="5642" max="5642" width="4.77734375" customWidth="1"/>
    <col min="5643" max="5646" width="6.44140625" bestFit="1" customWidth="1"/>
    <col min="5647" max="5648" width="5.21875" customWidth="1"/>
    <col min="5649" max="5649" width="6.44140625" bestFit="1" customWidth="1"/>
    <col min="5889" max="5889" width="7.77734375" customWidth="1"/>
    <col min="5890" max="5895" width="10.5546875" customWidth="1"/>
    <col min="5896" max="5896" width="9.33203125" customWidth="1"/>
    <col min="5897" max="5897" width="6.5546875" customWidth="1"/>
    <col min="5898" max="5898" width="4.77734375" customWidth="1"/>
    <col min="5899" max="5902" width="6.44140625" bestFit="1" customWidth="1"/>
    <col min="5903" max="5904" width="5.21875" customWidth="1"/>
    <col min="5905" max="5905" width="6.44140625" bestFit="1" customWidth="1"/>
    <col min="6145" max="6145" width="7.77734375" customWidth="1"/>
    <col min="6146" max="6151" width="10.5546875" customWidth="1"/>
    <col min="6152" max="6152" width="9.33203125" customWidth="1"/>
    <col min="6153" max="6153" width="6.5546875" customWidth="1"/>
    <col min="6154" max="6154" width="4.77734375" customWidth="1"/>
    <col min="6155" max="6158" width="6.44140625" bestFit="1" customWidth="1"/>
    <col min="6159" max="6160" width="5.21875" customWidth="1"/>
    <col min="6161" max="6161" width="6.44140625" bestFit="1" customWidth="1"/>
    <col min="6401" max="6401" width="7.77734375" customWidth="1"/>
    <col min="6402" max="6407" width="10.5546875" customWidth="1"/>
    <col min="6408" max="6408" width="9.33203125" customWidth="1"/>
    <col min="6409" max="6409" width="6.5546875" customWidth="1"/>
    <col min="6410" max="6410" width="4.77734375" customWidth="1"/>
    <col min="6411" max="6414" width="6.44140625" bestFit="1" customWidth="1"/>
    <col min="6415" max="6416" width="5.21875" customWidth="1"/>
    <col min="6417" max="6417" width="6.44140625" bestFit="1" customWidth="1"/>
    <col min="6657" max="6657" width="7.77734375" customWidth="1"/>
    <col min="6658" max="6663" width="10.5546875" customWidth="1"/>
    <col min="6664" max="6664" width="9.33203125" customWidth="1"/>
    <col min="6665" max="6665" width="6.5546875" customWidth="1"/>
    <col min="6666" max="6666" width="4.77734375" customWidth="1"/>
    <col min="6667" max="6670" width="6.44140625" bestFit="1" customWidth="1"/>
    <col min="6671" max="6672" width="5.21875" customWidth="1"/>
    <col min="6673" max="6673" width="6.44140625" bestFit="1" customWidth="1"/>
    <col min="6913" max="6913" width="7.77734375" customWidth="1"/>
    <col min="6914" max="6919" width="10.5546875" customWidth="1"/>
    <col min="6920" max="6920" width="9.33203125" customWidth="1"/>
    <col min="6921" max="6921" width="6.5546875" customWidth="1"/>
    <col min="6922" max="6922" width="4.77734375" customWidth="1"/>
    <col min="6923" max="6926" width="6.44140625" bestFit="1" customWidth="1"/>
    <col min="6927" max="6928" width="5.21875" customWidth="1"/>
    <col min="6929" max="6929" width="6.44140625" bestFit="1" customWidth="1"/>
    <col min="7169" max="7169" width="7.77734375" customWidth="1"/>
    <col min="7170" max="7175" width="10.5546875" customWidth="1"/>
    <col min="7176" max="7176" width="9.33203125" customWidth="1"/>
    <col min="7177" max="7177" width="6.5546875" customWidth="1"/>
    <col min="7178" max="7178" width="4.77734375" customWidth="1"/>
    <col min="7179" max="7182" width="6.44140625" bestFit="1" customWidth="1"/>
    <col min="7183" max="7184" width="5.21875" customWidth="1"/>
    <col min="7185" max="7185" width="6.44140625" bestFit="1" customWidth="1"/>
    <col min="7425" max="7425" width="7.77734375" customWidth="1"/>
    <col min="7426" max="7431" width="10.5546875" customWidth="1"/>
    <col min="7432" max="7432" width="9.33203125" customWidth="1"/>
    <col min="7433" max="7433" width="6.5546875" customWidth="1"/>
    <col min="7434" max="7434" width="4.77734375" customWidth="1"/>
    <col min="7435" max="7438" width="6.44140625" bestFit="1" customWidth="1"/>
    <col min="7439" max="7440" width="5.21875" customWidth="1"/>
    <col min="7441" max="7441" width="6.44140625" bestFit="1" customWidth="1"/>
    <col min="7681" max="7681" width="7.77734375" customWidth="1"/>
    <col min="7682" max="7687" width="10.5546875" customWidth="1"/>
    <col min="7688" max="7688" width="9.33203125" customWidth="1"/>
    <col min="7689" max="7689" width="6.5546875" customWidth="1"/>
    <col min="7690" max="7690" width="4.77734375" customWidth="1"/>
    <col min="7691" max="7694" width="6.44140625" bestFit="1" customWidth="1"/>
    <col min="7695" max="7696" width="5.21875" customWidth="1"/>
    <col min="7697" max="7697" width="6.44140625" bestFit="1" customWidth="1"/>
    <col min="7937" max="7937" width="7.77734375" customWidth="1"/>
    <col min="7938" max="7943" width="10.5546875" customWidth="1"/>
    <col min="7944" max="7944" width="9.33203125" customWidth="1"/>
    <col min="7945" max="7945" width="6.5546875" customWidth="1"/>
    <col min="7946" max="7946" width="4.77734375" customWidth="1"/>
    <col min="7947" max="7950" width="6.44140625" bestFit="1" customWidth="1"/>
    <col min="7951" max="7952" width="5.21875" customWidth="1"/>
    <col min="7953" max="7953" width="6.44140625" bestFit="1" customWidth="1"/>
    <col min="8193" max="8193" width="7.77734375" customWidth="1"/>
    <col min="8194" max="8199" width="10.5546875" customWidth="1"/>
    <col min="8200" max="8200" width="9.33203125" customWidth="1"/>
    <col min="8201" max="8201" width="6.5546875" customWidth="1"/>
    <col min="8202" max="8202" width="4.77734375" customWidth="1"/>
    <col min="8203" max="8206" width="6.44140625" bestFit="1" customWidth="1"/>
    <col min="8207" max="8208" width="5.21875" customWidth="1"/>
    <col min="8209" max="8209" width="6.44140625" bestFit="1" customWidth="1"/>
    <col min="8449" max="8449" width="7.77734375" customWidth="1"/>
    <col min="8450" max="8455" width="10.5546875" customWidth="1"/>
    <col min="8456" max="8456" width="9.33203125" customWidth="1"/>
    <col min="8457" max="8457" width="6.5546875" customWidth="1"/>
    <col min="8458" max="8458" width="4.77734375" customWidth="1"/>
    <col min="8459" max="8462" width="6.44140625" bestFit="1" customWidth="1"/>
    <col min="8463" max="8464" width="5.21875" customWidth="1"/>
    <col min="8465" max="8465" width="6.44140625" bestFit="1" customWidth="1"/>
    <col min="8705" max="8705" width="7.77734375" customWidth="1"/>
    <col min="8706" max="8711" width="10.5546875" customWidth="1"/>
    <col min="8712" max="8712" width="9.33203125" customWidth="1"/>
    <col min="8713" max="8713" width="6.5546875" customWidth="1"/>
    <col min="8714" max="8714" width="4.77734375" customWidth="1"/>
    <col min="8715" max="8718" width="6.44140625" bestFit="1" customWidth="1"/>
    <col min="8719" max="8720" width="5.21875" customWidth="1"/>
    <col min="8721" max="8721" width="6.44140625" bestFit="1" customWidth="1"/>
    <col min="8961" max="8961" width="7.77734375" customWidth="1"/>
    <col min="8962" max="8967" width="10.5546875" customWidth="1"/>
    <col min="8968" max="8968" width="9.33203125" customWidth="1"/>
    <col min="8969" max="8969" width="6.5546875" customWidth="1"/>
    <col min="8970" max="8970" width="4.77734375" customWidth="1"/>
    <col min="8971" max="8974" width="6.44140625" bestFit="1" customWidth="1"/>
    <col min="8975" max="8976" width="5.21875" customWidth="1"/>
    <col min="8977" max="8977" width="6.44140625" bestFit="1" customWidth="1"/>
    <col min="9217" max="9217" width="7.77734375" customWidth="1"/>
    <col min="9218" max="9223" width="10.5546875" customWidth="1"/>
    <col min="9224" max="9224" width="9.33203125" customWidth="1"/>
    <col min="9225" max="9225" width="6.5546875" customWidth="1"/>
    <col min="9226" max="9226" width="4.77734375" customWidth="1"/>
    <col min="9227" max="9230" width="6.44140625" bestFit="1" customWidth="1"/>
    <col min="9231" max="9232" width="5.21875" customWidth="1"/>
    <col min="9233" max="9233" width="6.44140625" bestFit="1" customWidth="1"/>
    <col min="9473" max="9473" width="7.77734375" customWidth="1"/>
    <col min="9474" max="9479" width="10.5546875" customWidth="1"/>
    <col min="9480" max="9480" width="9.33203125" customWidth="1"/>
    <col min="9481" max="9481" width="6.5546875" customWidth="1"/>
    <col min="9482" max="9482" width="4.77734375" customWidth="1"/>
    <col min="9483" max="9486" width="6.44140625" bestFit="1" customWidth="1"/>
    <col min="9487" max="9488" width="5.21875" customWidth="1"/>
    <col min="9489" max="9489" width="6.44140625" bestFit="1" customWidth="1"/>
    <col min="9729" max="9729" width="7.77734375" customWidth="1"/>
    <col min="9730" max="9735" width="10.5546875" customWidth="1"/>
    <col min="9736" max="9736" width="9.33203125" customWidth="1"/>
    <col min="9737" max="9737" width="6.5546875" customWidth="1"/>
    <col min="9738" max="9738" width="4.77734375" customWidth="1"/>
    <col min="9739" max="9742" width="6.44140625" bestFit="1" customWidth="1"/>
    <col min="9743" max="9744" width="5.21875" customWidth="1"/>
    <col min="9745" max="9745" width="6.44140625" bestFit="1" customWidth="1"/>
    <col min="9985" max="9985" width="7.77734375" customWidth="1"/>
    <col min="9986" max="9991" width="10.5546875" customWidth="1"/>
    <col min="9992" max="9992" width="9.33203125" customWidth="1"/>
    <col min="9993" max="9993" width="6.5546875" customWidth="1"/>
    <col min="9994" max="9994" width="4.77734375" customWidth="1"/>
    <col min="9995" max="9998" width="6.44140625" bestFit="1" customWidth="1"/>
    <col min="9999" max="10000" width="5.21875" customWidth="1"/>
    <col min="10001" max="10001" width="6.44140625" bestFit="1" customWidth="1"/>
    <col min="10241" max="10241" width="7.77734375" customWidth="1"/>
    <col min="10242" max="10247" width="10.5546875" customWidth="1"/>
    <col min="10248" max="10248" width="9.33203125" customWidth="1"/>
    <col min="10249" max="10249" width="6.5546875" customWidth="1"/>
    <col min="10250" max="10250" width="4.77734375" customWidth="1"/>
    <col min="10251" max="10254" width="6.44140625" bestFit="1" customWidth="1"/>
    <col min="10255" max="10256" width="5.21875" customWidth="1"/>
    <col min="10257" max="10257" width="6.44140625" bestFit="1" customWidth="1"/>
    <col min="10497" max="10497" width="7.77734375" customWidth="1"/>
    <col min="10498" max="10503" width="10.5546875" customWidth="1"/>
    <col min="10504" max="10504" width="9.33203125" customWidth="1"/>
    <col min="10505" max="10505" width="6.5546875" customWidth="1"/>
    <col min="10506" max="10506" width="4.77734375" customWidth="1"/>
    <col min="10507" max="10510" width="6.44140625" bestFit="1" customWidth="1"/>
    <col min="10511" max="10512" width="5.21875" customWidth="1"/>
    <col min="10513" max="10513" width="6.44140625" bestFit="1" customWidth="1"/>
    <col min="10753" max="10753" width="7.77734375" customWidth="1"/>
    <col min="10754" max="10759" width="10.5546875" customWidth="1"/>
    <col min="10760" max="10760" width="9.33203125" customWidth="1"/>
    <col min="10761" max="10761" width="6.5546875" customWidth="1"/>
    <col min="10762" max="10762" width="4.77734375" customWidth="1"/>
    <col min="10763" max="10766" width="6.44140625" bestFit="1" customWidth="1"/>
    <col min="10767" max="10768" width="5.21875" customWidth="1"/>
    <col min="10769" max="10769" width="6.44140625" bestFit="1" customWidth="1"/>
    <col min="11009" max="11009" width="7.77734375" customWidth="1"/>
    <col min="11010" max="11015" width="10.5546875" customWidth="1"/>
    <col min="11016" max="11016" width="9.33203125" customWidth="1"/>
    <col min="11017" max="11017" width="6.5546875" customWidth="1"/>
    <col min="11018" max="11018" width="4.77734375" customWidth="1"/>
    <col min="11019" max="11022" width="6.44140625" bestFit="1" customWidth="1"/>
    <col min="11023" max="11024" width="5.21875" customWidth="1"/>
    <col min="11025" max="11025" width="6.44140625" bestFit="1" customWidth="1"/>
    <col min="11265" max="11265" width="7.77734375" customWidth="1"/>
    <col min="11266" max="11271" width="10.5546875" customWidth="1"/>
    <col min="11272" max="11272" width="9.33203125" customWidth="1"/>
    <col min="11273" max="11273" width="6.5546875" customWidth="1"/>
    <col min="11274" max="11274" width="4.77734375" customWidth="1"/>
    <col min="11275" max="11278" width="6.44140625" bestFit="1" customWidth="1"/>
    <col min="11279" max="11280" width="5.21875" customWidth="1"/>
    <col min="11281" max="11281" width="6.44140625" bestFit="1" customWidth="1"/>
    <col min="11521" max="11521" width="7.77734375" customWidth="1"/>
    <col min="11522" max="11527" width="10.5546875" customWidth="1"/>
    <col min="11528" max="11528" width="9.33203125" customWidth="1"/>
    <col min="11529" max="11529" width="6.5546875" customWidth="1"/>
    <col min="11530" max="11530" width="4.77734375" customWidth="1"/>
    <col min="11531" max="11534" width="6.44140625" bestFit="1" customWidth="1"/>
    <col min="11535" max="11536" width="5.21875" customWidth="1"/>
    <col min="11537" max="11537" width="6.44140625" bestFit="1" customWidth="1"/>
    <col min="11777" max="11777" width="7.77734375" customWidth="1"/>
    <col min="11778" max="11783" width="10.5546875" customWidth="1"/>
    <col min="11784" max="11784" width="9.33203125" customWidth="1"/>
    <col min="11785" max="11785" width="6.5546875" customWidth="1"/>
    <col min="11786" max="11786" width="4.77734375" customWidth="1"/>
    <col min="11787" max="11790" width="6.44140625" bestFit="1" customWidth="1"/>
    <col min="11791" max="11792" width="5.21875" customWidth="1"/>
    <col min="11793" max="11793" width="6.44140625" bestFit="1" customWidth="1"/>
    <col min="12033" max="12033" width="7.77734375" customWidth="1"/>
    <col min="12034" max="12039" width="10.5546875" customWidth="1"/>
    <col min="12040" max="12040" width="9.33203125" customWidth="1"/>
    <col min="12041" max="12041" width="6.5546875" customWidth="1"/>
    <col min="12042" max="12042" width="4.77734375" customWidth="1"/>
    <col min="12043" max="12046" width="6.44140625" bestFit="1" customWidth="1"/>
    <col min="12047" max="12048" width="5.21875" customWidth="1"/>
    <col min="12049" max="12049" width="6.44140625" bestFit="1" customWidth="1"/>
    <col min="12289" max="12289" width="7.77734375" customWidth="1"/>
    <col min="12290" max="12295" width="10.5546875" customWidth="1"/>
    <col min="12296" max="12296" width="9.33203125" customWidth="1"/>
    <col min="12297" max="12297" width="6.5546875" customWidth="1"/>
    <col min="12298" max="12298" width="4.77734375" customWidth="1"/>
    <col min="12299" max="12302" width="6.44140625" bestFit="1" customWidth="1"/>
    <col min="12303" max="12304" width="5.21875" customWidth="1"/>
    <col min="12305" max="12305" width="6.44140625" bestFit="1" customWidth="1"/>
    <col min="12545" max="12545" width="7.77734375" customWidth="1"/>
    <col min="12546" max="12551" width="10.5546875" customWidth="1"/>
    <col min="12552" max="12552" width="9.33203125" customWidth="1"/>
    <col min="12553" max="12553" width="6.5546875" customWidth="1"/>
    <col min="12554" max="12554" width="4.77734375" customWidth="1"/>
    <col min="12555" max="12558" width="6.44140625" bestFit="1" customWidth="1"/>
    <col min="12559" max="12560" width="5.21875" customWidth="1"/>
    <col min="12561" max="12561" width="6.44140625" bestFit="1" customWidth="1"/>
    <col min="12801" max="12801" width="7.77734375" customWidth="1"/>
    <col min="12802" max="12807" width="10.5546875" customWidth="1"/>
    <col min="12808" max="12808" width="9.33203125" customWidth="1"/>
    <col min="12809" max="12809" width="6.5546875" customWidth="1"/>
    <col min="12810" max="12810" width="4.77734375" customWidth="1"/>
    <col min="12811" max="12814" width="6.44140625" bestFit="1" customWidth="1"/>
    <col min="12815" max="12816" width="5.21875" customWidth="1"/>
    <col min="12817" max="12817" width="6.44140625" bestFit="1" customWidth="1"/>
    <col min="13057" max="13057" width="7.77734375" customWidth="1"/>
    <col min="13058" max="13063" width="10.5546875" customWidth="1"/>
    <col min="13064" max="13064" width="9.33203125" customWidth="1"/>
    <col min="13065" max="13065" width="6.5546875" customWidth="1"/>
    <col min="13066" max="13066" width="4.77734375" customWidth="1"/>
    <col min="13067" max="13070" width="6.44140625" bestFit="1" customWidth="1"/>
    <col min="13071" max="13072" width="5.21875" customWidth="1"/>
    <col min="13073" max="13073" width="6.44140625" bestFit="1" customWidth="1"/>
    <col min="13313" max="13313" width="7.77734375" customWidth="1"/>
    <col min="13314" max="13319" width="10.5546875" customWidth="1"/>
    <col min="13320" max="13320" width="9.33203125" customWidth="1"/>
    <col min="13321" max="13321" width="6.5546875" customWidth="1"/>
    <col min="13322" max="13322" width="4.77734375" customWidth="1"/>
    <col min="13323" max="13326" width="6.44140625" bestFit="1" customWidth="1"/>
    <col min="13327" max="13328" width="5.21875" customWidth="1"/>
    <col min="13329" max="13329" width="6.44140625" bestFit="1" customWidth="1"/>
    <col min="13569" max="13569" width="7.77734375" customWidth="1"/>
    <col min="13570" max="13575" width="10.5546875" customWidth="1"/>
    <col min="13576" max="13576" width="9.33203125" customWidth="1"/>
    <col min="13577" max="13577" width="6.5546875" customWidth="1"/>
    <col min="13578" max="13578" width="4.77734375" customWidth="1"/>
    <col min="13579" max="13582" width="6.44140625" bestFit="1" customWidth="1"/>
    <col min="13583" max="13584" width="5.21875" customWidth="1"/>
    <col min="13585" max="13585" width="6.44140625" bestFit="1" customWidth="1"/>
    <col min="13825" max="13825" width="7.77734375" customWidth="1"/>
    <col min="13826" max="13831" width="10.5546875" customWidth="1"/>
    <col min="13832" max="13832" width="9.33203125" customWidth="1"/>
    <col min="13833" max="13833" width="6.5546875" customWidth="1"/>
    <col min="13834" max="13834" width="4.77734375" customWidth="1"/>
    <col min="13835" max="13838" width="6.44140625" bestFit="1" customWidth="1"/>
    <col min="13839" max="13840" width="5.21875" customWidth="1"/>
    <col min="13841" max="13841" width="6.44140625" bestFit="1" customWidth="1"/>
    <col min="14081" max="14081" width="7.77734375" customWidth="1"/>
    <col min="14082" max="14087" width="10.5546875" customWidth="1"/>
    <col min="14088" max="14088" width="9.33203125" customWidth="1"/>
    <col min="14089" max="14089" width="6.5546875" customWidth="1"/>
    <col min="14090" max="14090" width="4.77734375" customWidth="1"/>
    <col min="14091" max="14094" width="6.44140625" bestFit="1" customWidth="1"/>
    <col min="14095" max="14096" width="5.21875" customWidth="1"/>
    <col min="14097" max="14097" width="6.44140625" bestFit="1" customWidth="1"/>
    <col min="14337" max="14337" width="7.77734375" customWidth="1"/>
    <col min="14338" max="14343" width="10.5546875" customWidth="1"/>
    <col min="14344" max="14344" width="9.33203125" customWidth="1"/>
    <col min="14345" max="14345" width="6.5546875" customWidth="1"/>
    <col min="14346" max="14346" width="4.77734375" customWidth="1"/>
    <col min="14347" max="14350" width="6.44140625" bestFit="1" customWidth="1"/>
    <col min="14351" max="14352" width="5.21875" customWidth="1"/>
    <col min="14353" max="14353" width="6.44140625" bestFit="1" customWidth="1"/>
    <col min="14593" max="14593" width="7.77734375" customWidth="1"/>
    <col min="14594" max="14599" width="10.5546875" customWidth="1"/>
    <col min="14600" max="14600" width="9.33203125" customWidth="1"/>
    <col min="14601" max="14601" width="6.5546875" customWidth="1"/>
    <col min="14602" max="14602" width="4.77734375" customWidth="1"/>
    <col min="14603" max="14606" width="6.44140625" bestFit="1" customWidth="1"/>
    <col min="14607" max="14608" width="5.21875" customWidth="1"/>
    <col min="14609" max="14609" width="6.44140625" bestFit="1" customWidth="1"/>
    <col min="14849" max="14849" width="7.77734375" customWidth="1"/>
    <col min="14850" max="14855" width="10.5546875" customWidth="1"/>
    <col min="14856" max="14856" width="9.33203125" customWidth="1"/>
    <col min="14857" max="14857" width="6.5546875" customWidth="1"/>
    <col min="14858" max="14858" width="4.77734375" customWidth="1"/>
    <col min="14859" max="14862" width="6.44140625" bestFit="1" customWidth="1"/>
    <col min="14863" max="14864" width="5.21875" customWidth="1"/>
    <col min="14865" max="14865" width="6.44140625" bestFit="1" customWidth="1"/>
    <col min="15105" max="15105" width="7.77734375" customWidth="1"/>
    <col min="15106" max="15111" width="10.5546875" customWidth="1"/>
    <col min="15112" max="15112" width="9.33203125" customWidth="1"/>
    <col min="15113" max="15113" width="6.5546875" customWidth="1"/>
    <col min="15114" max="15114" width="4.77734375" customWidth="1"/>
    <col min="15115" max="15118" width="6.44140625" bestFit="1" customWidth="1"/>
    <col min="15119" max="15120" width="5.21875" customWidth="1"/>
    <col min="15121" max="15121" width="6.44140625" bestFit="1" customWidth="1"/>
    <col min="15361" max="15361" width="7.77734375" customWidth="1"/>
    <col min="15362" max="15367" width="10.5546875" customWidth="1"/>
    <col min="15368" max="15368" width="9.33203125" customWidth="1"/>
    <col min="15369" max="15369" width="6.5546875" customWidth="1"/>
    <col min="15370" max="15370" width="4.77734375" customWidth="1"/>
    <col min="15371" max="15374" width="6.44140625" bestFit="1" customWidth="1"/>
    <col min="15375" max="15376" width="5.21875" customWidth="1"/>
    <col min="15377" max="15377" width="6.44140625" bestFit="1" customWidth="1"/>
    <col min="15617" max="15617" width="7.77734375" customWidth="1"/>
    <col min="15618" max="15623" width="10.5546875" customWidth="1"/>
    <col min="15624" max="15624" width="9.33203125" customWidth="1"/>
    <col min="15625" max="15625" width="6.5546875" customWidth="1"/>
    <col min="15626" max="15626" width="4.77734375" customWidth="1"/>
    <col min="15627" max="15630" width="6.44140625" bestFit="1" customWidth="1"/>
    <col min="15631" max="15632" width="5.21875" customWidth="1"/>
    <col min="15633" max="15633" width="6.44140625" bestFit="1" customWidth="1"/>
    <col min="15873" max="15873" width="7.77734375" customWidth="1"/>
    <col min="15874" max="15879" width="10.5546875" customWidth="1"/>
    <col min="15880" max="15880" width="9.33203125" customWidth="1"/>
    <col min="15881" max="15881" width="6.5546875" customWidth="1"/>
    <col min="15882" max="15882" width="4.77734375" customWidth="1"/>
    <col min="15883" max="15886" width="6.44140625" bestFit="1" customWidth="1"/>
    <col min="15887" max="15888" width="5.21875" customWidth="1"/>
    <col min="15889" max="15889" width="6.44140625" bestFit="1" customWidth="1"/>
    <col min="16129" max="16129" width="7.77734375" customWidth="1"/>
    <col min="16130" max="16135" width="10.5546875" customWidth="1"/>
    <col min="16136" max="16136" width="9.33203125" customWidth="1"/>
    <col min="16137" max="16137" width="6.5546875" customWidth="1"/>
    <col min="16138" max="16138" width="4.77734375" customWidth="1"/>
    <col min="16139" max="16142" width="6.44140625" bestFit="1" customWidth="1"/>
    <col min="16143" max="16144" width="5.21875" customWidth="1"/>
    <col min="16145" max="16145" width="6.44140625" bestFit="1" customWidth="1"/>
  </cols>
  <sheetData>
    <row r="1" spans="1:20" s="21" customFormat="1" ht="16.5" customHeight="1">
      <c r="A1" s="341"/>
      <c r="B1" s="341"/>
      <c r="C1" s="341"/>
      <c r="D1" s="341"/>
      <c r="E1" s="341"/>
      <c r="F1" s="341"/>
      <c r="G1" s="341"/>
    </row>
    <row r="2" spans="1:20" s="21" customFormat="1" ht="9.9499999999999993" customHeight="1">
      <c r="A2" s="27"/>
      <c r="B2" s="22"/>
      <c r="C2" s="22"/>
      <c r="D2" s="22"/>
      <c r="E2" s="22"/>
      <c r="F2" s="22"/>
      <c r="G2" s="23"/>
    </row>
    <row r="3" spans="1:20" s="64" customFormat="1" ht="15" customHeight="1">
      <c r="A3" s="310" t="s">
        <v>11</v>
      </c>
      <c r="B3" s="61"/>
      <c r="C3" s="61"/>
      <c r="D3" s="62"/>
      <c r="E3" s="62"/>
      <c r="F3" s="63"/>
      <c r="G3" s="63"/>
      <c r="H3" s="62"/>
    </row>
    <row r="4" spans="1:20" s="70" customFormat="1" ht="15" customHeight="1">
      <c r="A4" s="65" t="s">
        <v>12</v>
      </c>
      <c r="B4" s="44"/>
      <c r="C4" s="66"/>
      <c r="D4" s="67"/>
      <c r="E4" s="67"/>
      <c r="F4" s="68" t="s">
        <v>140</v>
      </c>
      <c r="G4" s="68"/>
      <c r="H4" s="69"/>
    </row>
    <row r="5" spans="1:20" s="73" customFormat="1" ht="15" customHeight="1">
      <c r="A5" s="481" t="s">
        <v>5</v>
      </c>
      <c r="B5" s="492" t="s">
        <v>13</v>
      </c>
      <c r="C5" s="494" t="s">
        <v>14</v>
      </c>
      <c r="D5" s="495"/>
      <c r="E5" s="492"/>
      <c r="F5" s="492" t="s">
        <v>142</v>
      </c>
      <c r="G5" s="71"/>
      <c r="H5" s="72"/>
    </row>
    <row r="6" spans="1:20" s="73" customFormat="1" ht="15" customHeight="1">
      <c r="A6" s="491"/>
      <c r="B6" s="493"/>
      <c r="C6" s="74"/>
      <c r="D6" s="75" t="s">
        <v>15</v>
      </c>
      <c r="E6" s="75" t="s">
        <v>16</v>
      </c>
      <c r="F6" s="493"/>
      <c r="G6" s="76"/>
      <c r="H6" s="72"/>
    </row>
    <row r="7" spans="1:20" s="37" customFormat="1" ht="13.5" customHeight="1">
      <c r="A7" s="323">
        <v>2009</v>
      </c>
      <c r="B7" s="320">
        <v>0</v>
      </c>
      <c r="C7" s="320">
        <v>0</v>
      </c>
      <c r="D7" s="320">
        <v>0</v>
      </c>
      <c r="E7" s="320">
        <v>0</v>
      </c>
      <c r="F7" s="7">
        <v>0</v>
      </c>
      <c r="G7" s="44"/>
      <c r="H7" s="328"/>
      <c r="I7" s="79"/>
      <c r="J7" s="79"/>
      <c r="K7" s="79"/>
      <c r="P7" s="329"/>
      <c r="Q7" s="329"/>
      <c r="R7" s="329"/>
      <c r="S7" s="329"/>
      <c r="T7" s="329"/>
    </row>
    <row r="8" spans="1:20" s="37" customFormat="1" ht="13.5" customHeight="1">
      <c r="A8" s="323">
        <v>2010</v>
      </c>
      <c r="B8" s="448">
        <v>93.2</v>
      </c>
      <c r="C8" s="449">
        <v>112.1</v>
      </c>
      <c r="D8" s="449">
        <v>102.3</v>
      </c>
      <c r="E8" s="449">
        <v>124.2</v>
      </c>
      <c r="F8" s="450">
        <v>87.9</v>
      </c>
      <c r="G8" s="44"/>
      <c r="H8" s="328"/>
      <c r="I8" s="79"/>
      <c r="J8" s="79"/>
      <c r="K8" s="79"/>
      <c r="P8" s="329"/>
      <c r="Q8" s="329"/>
      <c r="R8" s="329"/>
      <c r="S8" s="329"/>
      <c r="T8" s="329"/>
    </row>
    <row r="9" spans="1:20" s="37" customFormat="1" ht="13.5" customHeight="1">
      <c r="A9" s="323">
        <v>2011</v>
      </c>
      <c r="B9" s="448">
        <v>95.2</v>
      </c>
      <c r="C9" s="449">
        <v>117</v>
      </c>
      <c r="D9" s="449">
        <v>108</v>
      </c>
      <c r="E9" s="449">
        <v>128</v>
      </c>
      <c r="F9" s="450">
        <v>91.2</v>
      </c>
      <c r="G9" s="44"/>
      <c r="H9" s="328"/>
      <c r="I9" s="79"/>
      <c r="J9" s="79"/>
      <c r="K9" s="79"/>
      <c r="P9" s="329"/>
      <c r="Q9" s="329"/>
      <c r="R9" s="329"/>
      <c r="S9" s="329"/>
      <c r="T9" s="329"/>
    </row>
    <row r="10" spans="1:20" s="37" customFormat="1" ht="13.5" customHeight="1">
      <c r="A10" s="323">
        <v>2012</v>
      </c>
      <c r="B10" s="81">
        <v>95.6</v>
      </c>
      <c r="C10" s="82">
        <v>116.5</v>
      </c>
      <c r="D10" s="82">
        <v>109.7</v>
      </c>
      <c r="E10" s="82">
        <v>124.8</v>
      </c>
      <c r="F10" s="83">
        <v>92.2</v>
      </c>
      <c r="G10" s="84"/>
      <c r="H10" s="328"/>
      <c r="I10" s="79"/>
      <c r="J10" s="79"/>
      <c r="K10" s="79"/>
      <c r="L10" s="79"/>
      <c r="M10" s="79"/>
      <c r="P10" s="329"/>
      <c r="Q10" s="329"/>
      <c r="R10" s="329"/>
      <c r="S10" s="329"/>
      <c r="T10" s="329"/>
    </row>
    <row r="11" spans="1:20" s="37" customFormat="1" ht="13.5" customHeight="1">
      <c r="A11" s="323">
        <v>2013</v>
      </c>
      <c r="B11" s="81">
        <v>97.7</v>
      </c>
      <c r="C11" s="82">
        <v>114.7</v>
      </c>
      <c r="D11" s="82">
        <v>112.9</v>
      </c>
      <c r="E11" s="82">
        <v>116.9</v>
      </c>
      <c r="F11" s="83">
        <v>93.6</v>
      </c>
      <c r="G11" s="84"/>
      <c r="H11" s="328"/>
      <c r="I11" s="79"/>
      <c r="J11" s="79"/>
      <c r="K11" s="79"/>
      <c r="L11" s="79"/>
      <c r="M11" s="79"/>
      <c r="N11" s="85"/>
      <c r="O11" s="85"/>
      <c r="P11" s="329"/>
      <c r="Q11" s="329"/>
      <c r="R11" s="329"/>
      <c r="S11" s="329"/>
      <c r="T11" s="329"/>
    </row>
    <row r="12" spans="1:20" s="37" customFormat="1" ht="13.5" customHeight="1">
      <c r="A12" s="323">
        <v>2014</v>
      </c>
      <c r="B12" s="81">
        <v>98.5</v>
      </c>
      <c r="C12" s="82">
        <v>110</v>
      </c>
      <c r="D12" s="82">
        <v>106.5</v>
      </c>
      <c r="E12" s="82">
        <v>114.4</v>
      </c>
      <c r="F12" s="83">
        <v>95.2</v>
      </c>
      <c r="G12" s="84"/>
      <c r="H12" s="328"/>
      <c r="I12" s="79"/>
      <c r="J12" s="79"/>
      <c r="K12" s="79"/>
      <c r="L12" s="79"/>
      <c r="M12" s="79"/>
      <c r="N12" s="85"/>
      <c r="O12" s="85"/>
      <c r="P12" s="329"/>
      <c r="Q12" s="329"/>
      <c r="R12" s="329"/>
      <c r="S12" s="329"/>
      <c r="T12" s="329"/>
    </row>
    <row r="13" spans="1:20" s="37" customFormat="1" ht="13.5" customHeight="1">
      <c r="A13" s="323">
        <v>2015</v>
      </c>
      <c r="B13" s="81">
        <v>102.5</v>
      </c>
      <c r="C13" s="82">
        <v>105.8</v>
      </c>
      <c r="D13" s="82">
        <v>102.7</v>
      </c>
      <c r="E13" s="82">
        <v>109.7</v>
      </c>
      <c r="F13" s="83">
        <v>98.7</v>
      </c>
      <c r="G13" s="84"/>
      <c r="H13" s="328"/>
      <c r="I13" s="79"/>
      <c r="J13" s="79"/>
      <c r="K13" s="79"/>
      <c r="L13" s="79"/>
      <c r="M13" s="79"/>
      <c r="N13" s="85"/>
      <c r="O13" s="85"/>
      <c r="P13" s="329"/>
      <c r="Q13" s="329"/>
      <c r="R13" s="329"/>
      <c r="S13" s="329"/>
      <c r="T13" s="329"/>
    </row>
    <row r="14" spans="1:20" s="37" customFormat="1" ht="13.5" customHeight="1">
      <c r="A14" s="323">
        <v>2016</v>
      </c>
      <c r="B14" s="81">
        <v>103.8</v>
      </c>
      <c r="C14" s="82">
        <v>104</v>
      </c>
      <c r="D14" s="82">
        <v>101.4</v>
      </c>
      <c r="E14" s="82">
        <v>107.1</v>
      </c>
      <c r="F14" s="83">
        <v>100.6</v>
      </c>
      <c r="G14" s="84"/>
      <c r="H14" s="328"/>
      <c r="I14" s="79"/>
      <c r="J14" s="79"/>
      <c r="K14" s="79"/>
      <c r="L14" s="79"/>
      <c r="M14" s="79"/>
      <c r="N14" s="85"/>
      <c r="O14" s="85"/>
      <c r="P14" s="329"/>
      <c r="Q14" s="329"/>
      <c r="R14" s="329"/>
      <c r="S14" s="329"/>
      <c r="T14" s="329"/>
    </row>
    <row r="15" spans="1:20" s="37" customFormat="1" ht="13.5" customHeight="1">
      <c r="A15" s="323">
        <v>2017</v>
      </c>
      <c r="B15" s="82">
        <v>103.5</v>
      </c>
      <c r="C15" s="82">
        <v>102</v>
      </c>
      <c r="D15" s="82">
        <v>99.5</v>
      </c>
      <c r="E15" s="82">
        <v>105.1</v>
      </c>
      <c r="F15" s="83">
        <v>102.1</v>
      </c>
      <c r="G15" s="84"/>
      <c r="H15" s="328"/>
      <c r="I15" s="79"/>
      <c r="J15" s="79"/>
      <c r="K15" s="79"/>
      <c r="L15" s="79"/>
      <c r="M15" s="79"/>
      <c r="N15" s="85"/>
      <c r="O15" s="85"/>
      <c r="P15" s="329"/>
      <c r="Q15" s="329"/>
      <c r="R15" s="329"/>
      <c r="S15" s="329"/>
      <c r="T15" s="329"/>
    </row>
    <row r="16" spans="1:20" s="37" customFormat="1" ht="13.5" customHeight="1">
      <c r="A16" s="323">
        <v>2018</v>
      </c>
      <c r="B16" s="82">
        <v>104.4</v>
      </c>
      <c r="C16" s="82">
        <v>102.1</v>
      </c>
      <c r="D16" s="82">
        <v>102.5</v>
      </c>
      <c r="E16" s="82">
        <v>101.7</v>
      </c>
      <c r="F16" s="83">
        <v>104</v>
      </c>
      <c r="G16" s="84"/>
      <c r="H16" s="328"/>
      <c r="I16" s="79"/>
      <c r="J16" s="79"/>
      <c r="K16" s="79"/>
      <c r="L16" s="79"/>
      <c r="M16" s="79"/>
      <c r="N16" s="85"/>
      <c r="O16" s="85"/>
      <c r="P16" s="329"/>
      <c r="Q16" s="329"/>
      <c r="R16" s="329"/>
      <c r="S16" s="329"/>
      <c r="T16" s="329"/>
    </row>
    <row r="17" spans="1:25" s="37" customFormat="1" ht="13.5" customHeight="1">
      <c r="A17" s="323">
        <v>2019</v>
      </c>
      <c r="B17" s="82">
        <v>104.6</v>
      </c>
      <c r="C17" s="82">
        <v>103.8</v>
      </c>
      <c r="D17" s="82">
        <v>107.8</v>
      </c>
      <c r="E17" s="82">
        <v>98.8</v>
      </c>
      <c r="F17" s="83">
        <v>104.3</v>
      </c>
      <c r="G17" s="84"/>
      <c r="H17" s="328"/>
      <c r="I17" s="79"/>
      <c r="J17" s="79"/>
      <c r="K17" s="79"/>
      <c r="L17" s="79"/>
      <c r="M17" s="79"/>
      <c r="N17" s="85"/>
      <c r="O17" s="85"/>
      <c r="P17" s="329"/>
      <c r="Q17" s="329"/>
      <c r="R17" s="329"/>
      <c r="S17" s="329"/>
      <c r="T17" s="329"/>
    </row>
    <row r="18" spans="1:25" s="37" customFormat="1" ht="13.5" customHeight="1">
      <c r="A18" s="323">
        <v>2020</v>
      </c>
      <c r="B18" s="81">
        <v>100</v>
      </c>
      <c r="C18" s="82">
        <v>100</v>
      </c>
      <c r="D18" s="82">
        <v>100</v>
      </c>
      <c r="E18" s="82">
        <v>100</v>
      </c>
      <c r="F18" s="83">
        <v>100</v>
      </c>
      <c r="G18" s="84"/>
      <c r="H18" s="328"/>
      <c r="I18" s="79"/>
      <c r="J18" s="79"/>
      <c r="K18" s="79"/>
      <c r="L18" s="79"/>
      <c r="M18" s="79"/>
      <c r="N18" s="85"/>
      <c r="O18" s="85"/>
      <c r="P18" s="329"/>
      <c r="Q18" s="329"/>
      <c r="R18" s="329"/>
      <c r="S18" s="329"/>
      <c r="T18" s="329"/>
    </row>
    <row r="19" spans="1:25" s="37" customFormat="1" ht="13.5" customHeight="1">
      <c r="A19" s="323">
        <v>2021</v>
      </c>
      <c r="B19" s="81">
        <v>106.8</v>
      </c>
      <c r="C19" s="82">
        <v>110.6</v>
      </c>
      <c r="D19" s="82">
        <v>119.3</v>
      </c>
      <c r="E19" s="82">
        <v>99.8</v>
      </c>
      <c r="F19" s="83">
        <v>104.2</v>
      </c>
      <c r="G19" s="84"/>
      <c r="H19" s="328"/>
      <c r="I19" s="79"/>
      <c r="J19" s="79"/>
      <c r="K19" s="79"/>
      <c r="L19" s="79"/>
      <c r="M19" s="79"/>
      <c r="P19" s="329"/>
      <c r="Q19" s="329"/>
      <c r="R19" s="329"/>
      <c r="S19" s="329"/>
      <c r="T19" s="329"/>
    </row>
    <row r="20" spans="1:25" s="37" customFormat="1" ht="13.5" customHeight="1">
      <c r="A20" s="323">
        <v>2022</v>
      </c>
      <c r="B20" s="448">
        <v>106.6</v>
      </c>
      <c r="C20" s="455">
        <v>114.7</v>
      </c>
      <c r="D20" s="455">
        <v>132.6</v>
      </c>
      <c r="E20" s="455">
        <v>92.5</v>
      </c>
      <c r="F20" s="450">
        <v>111</v>
      </c>
      <c r="G20" s="84"/>
      <c r="H20" s="328"/>
      <c r="I20" s="79"/>
      <c r="J20" s="79"/>
      <c r="K20" s="79"/>
      <c r="L20" s="79"/>
      <c r="M20" s="79"/>
      <c r="P20" s="329"/>
      <c r="Q20" s="329"/>
      <c r="R20" s="329"/>
      <c r="S20" s="329"/>
      <c r="T20" s="329"/>
    </row>
    <row r="21" spans="1:25" s="37" customFormat="1" ht="13.5" customHeight="1">
      <c r="A21" s="323">
        <v>2023</v>
      </c>
      <c r="B21" s="448">
        <v>109.8</v>
      </c>
      <c r="C21" s="455">
        <v>115.4</v>
      </c>
      <c r="D21" s="455">
        <v>136.6</v>
      </c>
      <c r="E21" s="455">
        <v>90.2</v>
      </c>
      <c r="F21" s="450">
        <v>112.2</v>
      </c>
      <c r="G21" s="84"/>
      <c r="H21" s="328"/>
      <c r="I21" s="79"/>
      <c r="J21" s="79"/>
      <c r="K21" s="79"/>
      <c r="L21" s="79"/>
      <c r="M21" s="79"/>
      <c r="P21" s="329"/>
      <c r="Q21" s="329"/>
      <c r="R21" s="329"/>
      <c r="S21" s="329"/>
      <c r="T21" s="329"/>
    </row>
    <row r="22" spans="1:25" s="37" customFormat="1" ht="13.5" customHeight="1">
      <c r="A22" s="323">
        <v>2024</v>
      </c>
      <c r="B22" s="448">
        <v>108.2</v>
      </c>
      <c r="C22" s="455">
        <v>112.2</v>
      </c>
      <c r="D22" s="455">
        <v>133.4</v>
      </c>
      <c r="E22" s="455">
        <v>86.9</v>
      </c>
      <c r="F22" s="450">
        <v>113.6</v>
      </c>
      <c r="G22" s="401"/>
      <c r="H22" s="410"/>
      <c r="I22" s="79"/>
      <c r="J22" s="79"/>
      <c r="K22" s="79"/>
      <c r="L22" s="79"/>
      <c r="M22" s="79"/>
      <c r="P22" s="329"/>
      <c r="Q22" s="329"/>
      <c r="R22" s="329"/>
      <c r="S22" s="329"/>
      <c r="T22" s="329"/>
    </row>
    <row r="23" spans="1:25" s="37" customFormat="1" ht="13.5" customHeight="1">
      <c r="A23" s="323">
        <v>2025</v>
      </c>
      <c r="B23" s="448">
        <v>110.3</v>
      </c>
      <c r="C23" s="455">
        <v>110.3</v>
      </c>
      <c r="D23" s="455">
        <v>133.19999999999999</v>
      </c>
      <c r="E23" s="455">
        <v>83.1</v>
      </c>
      <c r="F23" s="450">
        <v>115.5</v>
      </c>
      <c r="G23" s="401"/>
      <c r="H23" s="410"/>
      <c r="I23" s="79"/>
      <c r="J23" s="79"/>
      <c r="K23" s="79"/>
      <c r="L23" s="79"/>
      <c r="M23" s="79"/>
      <c r="P23" s="329"/>
      <c r="Q23" s="329"/>
      <c r="R23" s="329"/>
      <c r="S23" s="329"/>
      <c r="T23" s="329"/>
    </row>
    <row r="24" spans="1:25" s="37" customFormat="1" ht="13.5" customHeight="1">
      <c r="A24" s="322"/>
      <c r="B24" s="81"/>
      <c r="C24" s="82"/>
      <c r="D24" s="82"/>
      <c r="E24" s="82"/>
      <c r="F24" s="83"/>
      <c r="G24" s="84"/>
      <c r="I24" s="79"/>
      <c r="J24" s="79"/>
      <c r="K24" s="79"/>
      <c r="L24" s="79"/>
      <c r="M24" s="79"/>
    </row>
    <row r="25" spans="1:25" s="37" customFormat="1" ht="13.5" customHeight="1">
      <c r="A25" s="321"/>
      <c r="B25" s="83"/>
      <c r="C25" s="82"/>
      <c r="D25" s="82"/>
      <c r="E25" s="82"/>
      <c r="F25" s="83"/>
      <c r="G25" s="84"/>
      <c r="H25" s="41"/>
      <c r="I25" s="86"/>
      <c r="J25" s="86"/>
      <c r="K25" s="78"/>
      <c r="L25" s="78"/>
      <c r="M25" s="78"/>
      <c r="N25" s="78"/>
      <c r="O25" s="78"/>
      <c r="P25" s="329"/>
      <c r="Q25" s="329"/>
      <c r="R25" s="329"/>
      <c r="S25" s="329"/>
      <c r="T25" s="329"/>
      <c r="U25" s="87"/>
    </row>
    <row r="26" spans="1:25" s="41" customFormat="1" ht="13.5" customHeight="1">
      <c r="A26" s="337">
        <v>44562</v>
      </c>
      <c r="B26" s="269" t="s">
        <v>10</v>
      </c>
      <c r="C26" s="36">
        <v>125</v>
      </c>
      <c r="D26" s="36">
        <v>133</v>
      </c>
      <c r="E26" s="36">
        <v>115.2</v>
      </c>
      <c r="F26" s="330" t="s">
        <v>10</v>
      </c>
      <c r="G26" s="84"/>
      <c r="H26" s="328"/>
      <c r="I26" s="86"/>
      <c r="J26" s="86"/>
      <c r="K26" s="78"/>
      <c r="L26" s="78"/>
      <c r="M26" s="78"/>
      <c r="N26" s="78"/>
      <c r="O26" s="78"/>
      <c r="P26" s="329"/>
      <c r="Q26" s="329"/>
      <c r="R26" s="329"/>
      <c r="S26" s="329"/>
      <c r="T26" s="329"/>
      <c r="U26" s="38"/>
      <c r="V26" s="38"/>
      <c r="W26" s="38"/>
      <c r="X26" s="38"/>
      <c r="Y26" s="38"/>
    </row>
    <row r="27" spans="1:25" s="41" customFormat="1" ht="13.5" customHeight="1">
      <c r="A27" s="337">
        <v>44593</v>
      </c>
      <c r="B27" s="269" t="s">
        <v>10</v>
      </c>
      <c r="C27" s="36">
        <v>98.2</v>
      </c>
      <c r="D27" s="36">
        <v>114.5</v>
      </c>
      <c r="E27" s="36">
        <v>78</v>
      </c>
      <c r="F27" s="330" t="s">
        <v>10</v>
      </c>
      <c r="G27" s="84"/>
      <c r="H27" s="328"/>
      <c r="I27" s="86"/>
      <c r="J27" s="86"/>
      <c r="K27" s="78"/>
      <c r="L27" s="78"/>
      <c r="M27" s="78"/>
      <c r="N27" s="78"/>
      <c r="O27" s="78"/>
      <c r="P27" s="329"/>
      <c r="Q27" s="329"/>
      <c r="R27" s="329"/>
      <c r="S27" s="329"/>
      <c r="T27" s="329"/>
      <c r="U27" s="38"/>
      <c r="V27" s="38"/>
      <c r="W27" s="38"/>
      <c r="X27" s="38"/>
      <c r="Y27" s="38"/>
    </row>
    <row r="28" spans="1:25" s="41" customFormat="1" ht="13.5" customHeight="1">
      <c r="A28" s="337">
        <v>44621</v>
      </c>
      <c r="B28" s="269">
        <v>102.5</v>
      </c>
      <c r="C28" s="36">
        <v>111.4</v>
      </c>
      <c r="D28" s="36">
        <v>126.6</v>
      </c>
      <c r="E28" s="36">
        <v>92.5</v>
      </c>
      <c r="F28" s="330">
        <v>106</v>
      </c>
      <c r="G28" s="84"/>
      <c r="H28" s="328"/>
      <c r="I28" s="86"/>
      <c r="J28" s="86"/>
      <c r="K28" s="78"/>
      <c r="L28" s="78"/>
      <c r="M28" s="78"/>
      <c r="N28" s="78"/>
      <c r="O28" s="78"/>
      <c r="P28" s="329"/>
      <c r="Q28" s="329"/>
      <c r="R28" s="329"/>
      <c r="S28" s="329"/>
      <c r="T28" s="329"/>
      <c r="U28" s="38"/>
      <c r="V28" s="38"/>
      <c r="W28" s="38"/>
      <c r="X28" s="38"/>
      <c r="Y28" s="38"/>
    </row>
    <row r="29" spans="1:25" s="41" customFormat="1" ht="13.5" customHeight="1">
      <c r="A29" s="337">
        <v>44652</v>
      </c>
      <c r="B29" s="330" t="s">
        <v>10</v>
      </c>
      <c r="C29" s="36">
        <v>114.6</v>
      </c>
      <c r="D29" s="36">
        <v>137.1</v>
      </c>
      <c r="E29" s="36">
        <v>86.7</v>
      </c>
      <c r="F29" s="330" t="s">
        <v>10</v>
      </c>
      <c r="G29" s="84"/>
      <c r="H29" s="328"/>
      <c r="I29" s="86"/>
      <c r="J29" s="86"/>
      <c r="K29" s="78"/>
      <c r="L29" s="78"/>
      <c r="M29" s="78"/>
      <c r="N29" s="78"/>
      <c r="O29" s="78"/>
      <c r="P29" s="329"/>
      <c r="Q29" s="329"/>
      <c r="R29" s="329"/>
      <c r="S29" s="329"/>
      <c r="T29" s="329"/>
      <c r="U29" s="38"/>
      <c r="V29" s="38"/>
      <c r="W29" s="38"/>
      <c r="X29" s="38"/>
      <c r="Y29" s="38"/>
    </row>
    <row r="30" spans="1:25" s="41" customFormat="1" ht="13.5" customHeight="1">
      <c r="A30" s="337">
        <v>44682</v>
      </c>
      <c r="B30" s="330" t="s">
        <v>10</v>
      </c>
      <c r="C30" s="36">
        <v>122</v>
      </c>
      <c r="D30" s="36">
        <v>147.5</v>
      </c>
      <c r="E30" s="36">
        <v>90.4</v>
      </c>
      <c r="F30" s="330" t="s">
        <v>10</v>
      </c>
      <c r="G30" s="84"/>
      <c r="H30" s="328"/>
      <c r="I30" s="86"/>
      <c r="J30" s="86"/>
      <c r="K30" s="78"/>
      <c r="L30" s="78"/>
      <c r="M30" s="78"/>
      <c r="N30" s="78"/>
      <c r="O30" s="78"/>
      <c r="P30" s="329"/>
      <c r="Q30" s="329"/>
      <c r="R30" s="329"/>
      <c r="S30" s="329"/>
      <c r="T30" s="329"/>
      <c r="U30" s="38"/>
      <c r="V30" s="38"/>
      <c r="W30" s="38"/>
      <c r="X30" s="38"/>
      <c r="Y30" s="38"/>
    </row>
    <row r="31" spans="1:25" s="37" customFormat="1" ht="13.5" customHeight="1">
      <c r="A31" s="337">
        <v>44713</v>
      </c>
      <c r="B31" s="269">
        <v>107.5</v>
      </c>
      <c r="C31" s="80">
        <v>109.6</v>
      </c>
      <c r="D31" s="80">
        <v>128.4</v>
      </c>
      <c r="E31" s="77">
        <v>86.3</v>
      </c>
      <c r="F31" s="331">
        <v>112</v>
      </c>
      <c r="G31" s="84"/>
      <c r="H31" s="328"/>
      <c r="I31" s="86"/>
      <c r="J31" s="86"/>
      <c r="K31" s="78"/>
      <c r="L31" s="85"/>
      <c r="M31" s="79"/>
      <c r="N31" s="79"/>
      <c r="O31" s="86"/>
      <c r="P31" s="329"/>
      <c r="Q31" s="329"/>
      <c r="R31" s="329"/>
      <c r="S31" s="329"/>
      <c r="T31" s="329"/>
    </row>
    <row r="32" spans="1:25" s="37" customFormat="1" ht="13.5" customHeight="1">
      <c r="A32" s="337">
        <v>44743</v>
      </c>
      <c r="B32" s="330" t="s">
        <v>10</v>
      </c>
      <c r="C32" s="80">
        <v>115.6</v>
      </c>
      <c r="D32" s="80">
        <v>133.5</v>
      </c>
      <c r="E32" s="44">
        <v>93.4</v>
      </c>
      <c r="F32" s="330" t="s">
        <v>10</v>
      </c>
      <c r="G32" s="84"/>
      <c r="H32" s="328"/>
      <c r="I32" s="86"/>
      <c r="J32" s="86"/>
      <c r="K32" s="78"/>
      <c r="L32" s="85"/>
      <c r="M32" s="79"/>
      <c r="N32" s="79"/>
      <c r="O32" s="86"/>
      <c r="P32" s="329"/>
      <c r="Q32" s="329"/>
      <c r="R32" s="329"/>
      <c r="S32" s="329"/>
      <c r="T32" s="329"/>
    </row>
    <row r="33" spans="1:20" s="37" customFormat="1" ht="13.5" customHeight="1">
      <c r="A33" s="337">
        <v>44774</v>
      </c>
      <c r="B33" s="330" t="s">
        <v>10</v>
      </c>
      <c r="C33" s="80">
        <v>107.2</v>
      </c>
      <c r="D33" s="80">
        <v>114.5</v>
      </c>
      <c r="E33" s="44">
        <v>98.1</v>
      </c>
      <c r="F33" s="330" t="s">
        <v>10</v>
      </c>
      <c r="G33" s="84"/>
      <c r="H33" s="328"/>
      <c r="I33" s="86"/>
      <c r="J33" s="86"/>
      <c r="K33" s="78"/>
      <c r="L33" s="85"/>
      <c r="M33" s="79"/>
      <c r="N33" s="79"/>
      <c r="O33" s="86"/>
      <c r="P33" s="329"/>
      <c r="Q33" s="329"/>
      <c r="R33" s="329"/>
      <c r="S33" s="329"/>
      <c r="T33" s="329"/>
    </row>
    <row r="34" spans="1:20" s="37" customFormat="1" ht="13.5" customHeight="1">
      <c r="A34" s="337">
        <v>44805</v>
      </c>
      <c r="B34" s="269">
        <v>106.1</v>
      </c>
      <c r="C34" s="36">
        <v>117.6</v>
      </c>
      <c r="D34" s="36">
        <v>135.4</v>
      </c>
      <c r="E34" s="36">
        <v>95.5</v>
      </c>
      <c r="F34" s="330">
        <v>110.6</v>
      </c>
      <c r="G34" s="84"/>
      <c r="H34" s="328"/>
      <c r="I34" s="86"/>
      <c r="J34" s="86"/>
      <c r="K34" s="78"/>
      <c r="L34" s="85"/>
      <c r="M34" s="79"/>
      <c r="N34" s="79"/>
      <c r="O34" s="86"/>
      <c r="P34" s="329"/>
      <c r="Q34" s="329"/>
      <c r="R34" s="329"/>
      <c r="S34" s="329"/>
      <c r="T34" s="329"/>
    </row>
    <row r="35" spans="1:20" s="37" customFormat="1" ht="13.5" customHeight="1">
      <c r="A35" s="337">
        <v>44835</v>
      </c>
      <c r="B35" s="330" t="s">
        <v>10</v>
      </c>
      <c r="C35" s="36">
        <v>120.4</v>
      </c>
      <c r="D35" s="36">
        <v>146.1</v>
      </c>
      <c r="E35" s="36">
        <v>88.3</v>
      </c>
      <c r="F35" s="330" t="s">
        <v>10</v>
      </c>
      <c r="G35" s="84"/>
      <c r="H35" s="328"/>
      <c r="I35" s="86"/>
      <c r="J35" s="86"/>
      <c r="K35" s="78"/>
      <c r="L35" s="85"/>
      <c r="M35" s="79"/>
      <c r="N35" s="79"/>
      <c r="O35" s="86"/>
      <c r="P35" s="329"/>
      <c r="Q35" s="329"/>
      <c r="R35" s="329"/>
      <c r="S35" s="329"/>
      <c r="T35" s="329"/>
    </row>
    <row r="36" spans="1:20" s="37" customFormat="1" ht="13.5" customHeight="1">
      <c r="A36" s="337">
        <v>44866</v>
      </c>
      <c r="B36" s="330" t="s">
        <v>10</v>
      </c>
      <c r="C36" s="36">
        <v>113.5</v>
      </c>
      <c r="D36" s="36">
        <v>135.19999999999999</v>
      </c>
      <c r="E36" s="36">
        <v>86.7</v>
      </c>
      <c r="F36" s="330" t="s">
        <v>10</v>
      </c>
      <c r="G36" s="84"/>
      <c r="H36" s="328"/>
      <c r="I36" s="86"/>
      <c r="J36" s="86"/>
      <c r="K36" s="78"/>
      <c r="L36" s="85"/>
      <c r="M36" s="79"/>
      <c r="N36" s="79"/>
      <c r="O36" s="86"/>
      <c r="P36" s="329"/>
      <c r="Q36" s="329"/>
      <c r="R36" s="329"/>
      <c r="S36" s="329"/>
      <c r="T36" s="329"/>
    </row>
    <row r="37" spans="1:20" s="37" customFormat="1" ht="13.5" customHeight="1">
      <c r="A37" s="337">
        <v>44896</v>
      </c>
      <c r="B37" s="269">
        <v>110.1</v>
      </c>
      <c r="C37" s="36">
        <v>121.2</v>
      </c>
      <c r="D37" s="36">
        <v>139.6</v>
      </c>
      <c r="E37" s="36">
        <v>98.3</v>
      </c>
      <c r="F37" s="330">
        <v>115.4</v>
      </c>
      <c r="G37" s="84"/>
      <c r="H37" s="328"/>
      <c r="I37" s="86"/>
      <c r="J37" s="86"/>
      <c r="K37" s="78"/>
      <c r="L37" s="85"/>
      <c r="M37" s="79"/>
      <c r="N37" s="79"/>
      <c r="O37" s="86"/>
      <c r="P37" s="329"/>
      <c r="Q37" s="329"/>
      <c r="R37" s="329"/>
      <c r="S37" s="329"/>
      <c r="T37" s="329"/>
    </row>
    <row r="38" spans="1:20" s="37" customFormat="1" ht="13.5" customHeight="1">
      <c r="A38" s="337">
        <v>44927</v>
      </c>
      <c r="B38" s="330" t="s">
        <v>10</v>
      </c>
      <c r="C38" s="36">
        <v>119.4</v>
      </c>
      <c r="D38" s="36">
        <v>129.1</v>
      </c>
      <c r="E38" s="36">
        <v>107.8</v>
      </c>
      <c r="F38" s="330" t="s">
        <v>10</v>
      </c>
      <c r="G38" s="84"/>
      <c r="H38" s="328"/>
      <c r="I38" s="86"/>
      <c r="J38" s="86"/>
      <c r="K38" s="78"/>
      <c r="L38" s="85"/>
      <c r="M38" s="79"/>
      <c r="N38" s="79"/>
      <c r="O38" s="86"/>
      <c r="P38" s="329"/>
      <c r="Q38" s="329"/>
      <c r="R38" s="329"/>
      <c r="S38" s="329"/>
      <c r="T38" s="329"/>
    </row>
    <row r="39" spans="1:20" s="37" customFormat="1" ht="13.5" customHeight="1">
      <c r="A39" s="337">
        <v>44958</v>
      </c>
      <c r="B39" s="330" t="s">
        <v>10</v>
      </c>
      <c r="C39" s="36">
        <v>100.7</v>
      </c>
      <c r="D39" s="36">
        <v>123.1</v>
      </c>
      <c r="E39" s="36">
        <v>73.900000000000006</v>
      </c>
      <c r="F39" s="330" t="s">
        <v>10</v>
      </c>
      <c r="G39" s="84"/>
      <c r="H39" s="328"/>
      <c r="I39" s="86"/>
      <c r="J39" s="86"/>
      <c r="K39" s="78"/>
      <c r="L39" s="85"/>
      <c r="M39" s="79"/>
      <c r="N39" s="79"/>
      <c r="O39" s="86"/>
      <c r="P39" s="329"/>
      <c r="Q39" s="329"/>
      <c r="R39" s="329"/>
      <c r="S39" s="329"/>
      <c r="T39" s="329"/>
    </row>
    <row r="40" spans="1:20" s="37" customFormat="1" ht="13.5" customHeight="1">
      <c r="A40" s="337">
        <v>44986</v>
      </c>
      <c r="B40" s="269">
        <v>105.5</v>
      </c>
      <c r="C40" s="36">
        <v>113.1</v>
      </c>
      <c r="D40" s="36">
        <v>134.9</v>
      </c>
      <c r="E40" s="36">
        <v>87.2</v>
      </c>
      <c r="F40" s="330">
        <v>110.9</v>
      </c>
      <c r="G40" s="84"/>
      <c r="H40" s="328"/>
      <c r="I40" s="86"/>
      <c r="J40" s="86"/>
      <c r="K40" s="78"/>
      <c r="L40" s="85"/>
      <c r="M40" s="79"/>
      <c r="N40" s="79"/>
      <c r="O40" s="86"/>
      <c r="P40" s="329"/>
      <c r="Q40" s="329"/>
      <c r="R40" s="329"/>
      <c r="S40" s="329"/>
      <c r="T40" s="329"/>
    </row>
    <row r="41" spans="1:20" s="37" customFormat="1" ht="13.5" customHeight="1">
      <c r="A41" s="337">
        <v>45017</v>
      </c>
      <c r="B41" s="330" t="s">
        <v>10</v>
      </c>
      <c r="C41" s="36">
        <v>117.5</v>
      </c>
      <c r="D41" s="36">
        <v>144.4</v>
      </c>
      <c r="E41" s="36">
        <v>85.5</v>
      </c>
      <c r="F41" s="330" t="s">
        <v>10</v>
      </c>
      <c r="G41" s="84"/>
      <c r="H41" s="328"/>
      <c r="I41" s="86"/>
      <c r="J41" s="86"/>
      <c r="K41" s="78"/>
      <c r="L41" s="85"/>
      <c r="M41" s="79"/>
      <c r="N41" s="79"/>
      <c r="O41" s="86"/>
      <c r="P41" s="329"/>
      <c r="Q41" s="329"/>
      <c r="R41" s="329"/>
      <c r="S41" s="329"/>
      <c r="T41" s="329"/>
    </row>
    <row r="42" spans="1:20" s="37" customFormat="1" ht="13.5" customHeight="1">
      <c r="A42" s="337">
        <v>45047</v>
      </c>
      <c r="B42" s="330" t="s">
        <v>10</v>
      </c>
      <c r="C42" s="36">
        <v>121.8</v>
      </c>
      <c r="D42" s="36">
        <v>150.5</v>
      </c>
      <c r="E42" s="36">
        <v>87.5</v>
      </c>
      <c r="F42" s="330" t="s">
        <v>10</v>
      </c>
      <c r="G42" s="84"/>
      <c r="H42" s="328"/>
      <c r="I42" s="86"/>
      <c r="J42" s="86"/>
      <c r="K42" s="78"/>
      <c r="L42" s="85"/>
      <c r="M42" s="79"/>
      <c r="N42" s="79"/>
      <c r="O42" s="86"/>
      <c r="P42" s="329"/>
      <c r="Q42" s="329"/>
      <c r="R42" s="329"/>
      <c r="S42" s="329"/>
      <c r="T42" s="329"/>
    </row>
    <row r="43" spans="1:20" s="37" customFormat="1" ht="13.5" customHeight="1">
      <c r="A43" s="337">
        <v>45078</v>
      </c>
      <c r="B43" s="269">
        <v>111.1</v>
      </c>
      <c r="C43" s="36">
        <v>108.1</v>
      </c>
      <c r="D43" s="36">
        <v>126</v>
      </c>
      <c r="E43" s="36">
        <v>86.8</v>
      </c>
      <c r="F43" s="330">
        <v>112.7</v>
      </c>
      <c r="G43" s="84"/>
      <c r="H43" s="328"/>
      <c r="I43" s="86"/>
      <c r="J43" s="86"/>
      <c r="K43" s="78"/>
      <c r="L43" s="85"/>
      <c r="M43" s="79"/>
      <c r="N43" s="79"/>
      <c r="O43" s="86"/>
      <c r="P43" s="329"/>
      <c r="Q43" s="329"/>
      <c r="R43" s="329"/>
      <c r="S43" s="329"/>
      <c r="T43" s="329"/>
    </row>
    <row r="44" spans="1:20" s="37" customFormat="1" ht="13.5" customHeight="1">
      <c r="A44" s="337">
        <v>45108</v>
      </c>
      <c r="B44" s="330" t="s">
        <v>10</v>
      </c>
      <c r="C44" s="36">
        <v>114.4</v>
      </c>
      <c r="D44" s="36">
        <v>130.5</v>
      </c>
      <c r="E44" s="36">
        <v>95.2</v>
      </c>
      <c r="F44" s="330" t="s">
        <v>10</v>
      </c>
      <c r="G44" s="84"/>
      <c r="H44" s="328"/>
      <c r="I44" s="86"/>
      <c r="J44" s="86"/>
      <c r="K44" s="78"/>
      <c r="L44" s="85"/>
      <c r="M44" s="79"/>
      <c r="N44" s="79"/>
      <c r="O44" s="86"/>
      <c r="P44" s="329"/>
      <c r="Q44" s="329"/>
      <c r="R44" s="329"/>
      <c r="S44" s="329"/>
      <c r="T44" s="329"/>
    </row>
    <row r="45" spans="1:20" s="37" customFormat="1" ht="13.5" customHeight="1">
      <c r="A45" s="337">
        <v>45139</v>
      </c>
      <c r="B45" s="330" t="s">
        <v>10</v>
      </c>
      <c r="C45" s="36">
        <v>109.4</v>
      </c>
      <c r="D45" s="36">
        <v>121.9</v>
      </c>
      <c r="E45" s="36">
        <v>94.6</v>
      </c>
      <c r="F45" s="330" t="s">
        <v>10</v>
      </c>
      <c r="G45" s="84"/>
      <c r="H45" s="328"/>
      <c r="I45" s="86"/>
      <c r="J45" s="86"/>
      <c r="K45" s="78"/>
      <c r="L45" s="85"/>
      <c r="M45" s="79"/>
      <c r="N45" s="79"/>
      <c r="O45" s="86"/>
      <c r="P45" s="329"/>
      <c r="Q45" s="329"/>
      <c r="R45" s="329"/>
      <c r="S45" s="329"/>
      <c r="T45" s="329"/>
    </row>
    <row r="46" spans="1:20" s="37" customFormat="1" ht="13.5" customHeight="1">
      <c r="A46" s="337">
        <v>45170</v>
      </c>
      <c r="B46" s="269">
        <v>108.3</v>
      </c>
      <c r="C46" s="36">
        <v>117.3</v>
      </c>
      <c r="D46" s="36">
        <v>130.1</v>
      </c>
      <c r="E46" s="36">
        <v>102</v>
      </c>
      <c r="F46" s="330">
        <v>111</v>
      </c>
      <c r="G46" s="84"/>
      <c r="H46" s="328"/>
      <c r="I46" s="86"/>
      <c r="J46" s="86"/>
      <c r="K46" s="78"/>
      <c r="L46" s="85"/>
      <c r="M46" s="79"/>
      <c r="N46" s="79"/>
      <c r="O46" s="86"/>
      <c r="P46" s="329"/>
      <c r="Q46" s="329"/>
      <c r="R46" s="329"/>
      <c r="S46" s="329"/>
      <c r="T46" s="329"/>
    </row>
    <row r="47" spans="1:20" s="37" customFormat="1" ht="13.5" customHeight="1">
      <c r="A47" s="337">
        <v>45200</v>
      </c>
      <c r="B47" s="330" t="s">
        <v>10</v>
      </c>
      <c r="C47" s="36">
        <v>116.8</v>
      </c>
      <c r="D47" s="36">
        <v>143</v>
      </c>
      <c r="E47" s="36">
        <v>85.7</v>
      </c>
      <c r="F47" s="330" t="s">
        <v>10</v>
      </c>
      <c r="G47" s="84"/>
      <c r="H47" s="328"/>
      <c r="I47" s="86"/>
      <c r="J47" s="86"/>
      <c r="K47" s="78"/>
      <c r="L47" s="85"/>
      <c r="M47" s="79"/>
      <c r="N47" s="79"/>
      <c r="O47" s="86"/>
      <c r="P47" s="329"/>
      <c r="Q47" s="329"/>
      <c r="R47" s="329"/>
      <c r="S47" s="329"/>
      <c r="T47" s="329"/>
    </row>
    <row r="48" spans="1:20" s="37" customFormat="1" ht="13.5" customHeight="1">
      <c r="A48" s="337">
        <v>45231</v>
      </c>
      <c r="B48" s="330" t="s">
        <v>10</v>
      </c>
      <c r="C48" s="36">
        <v>118.1</v>
      </c>
      <c r="D48" s="36">
        <v>145.9</v>
      </c>
      <c r="E48" s="36">
        <v>84.9</v>
      </c>
      <c r="F48" s="330" t="s">
        <v>10</v>
      </c>
      <c r="G48" s="84"/>
      <c r="H48" s="328"/>
      <c r="I48" s="86"/>
      <c r="J48" s="86"/>
      <c r="K48" s="78"/>
      <c r="L48" s="85"/>
      <c r="M48" s="79"/>
      <c r="N48" s="79"/>
      <c r="O48" s="86"/>
      <c r="P48" s="329"/>
      <c r="Q48" s="329"/>
      <c r="R48" s="329"/>
      <c r="S48" s="329"/>
      <c r="T48" s="329"/>
    </row>
    <row r="49" spans="1:20" s="37" customFormat="1" ht="13.5" customHeight="1">
      <c r="A49" s="337">
        <f>EDATE(A48,1)</f>
        <v>45261</v>
      </c>
      <c r="B49" s="269">
        <v>114.4</v>
      </c>
      <c r="C49" s="36">
        <v>128.5</v>
      </c>
      <c r="D49" s="36">
        <v>159.9</v>
      </c>
      <c r="E49" s="36">
        <v>91.2</v>
      </c>
      <c r="F49" s="330">
        <v>114.3</v>
      </c>
      <c r="G49" s="84"/>
      <c r="H49" s="328"/>
      <c r="I49" s="86"/>
      <c r="J49" s="86"/>
      <c r="K49" s="78"/>
      <c r="L49" s="85"/>
      <c r="M49" s="79"/>
      <c r="N49" s="79"/>
      <c r="O49" s="86"/>
      <c r="P49" s="329"/>
      <c r="Q49" s="329"/>
      <c r="R49" s="329"/>
      <c r="S49" s="329"/>
      <c r="T49" s="329"/>
    </row>
    <row r="50" spans="1:20" s="37" customFormat="1" ht="13.5" customHeight="1">
      <c r="A50" s="337">
        <v>45292</v>
      </c>
      <c r="B50" s="330" t="s">
        <v>10</v>
      </c>
      <c r="C50" s="36">
        <v>112.7</v>
      </c>
      <c r="D50" s="36">
        <v>127.7</v>
      </c>
      <c r="E50" s="36">
        <v>94.8</v>
      </c>
      <c r="F50" s="330" t="s">
        <v>10</v>
      </c>
      <c r="G50" s="401"/>
      <c r="H50" s="410"/>
      <c r="I50" s="86"/>
      <c r="J50" s="86"/>
      <c r="K50" s="78"/>
      <c r="L50" s="85"/>
      <c r="M50" s="79"/>
      <c r="N50" s="79"/>
      <c r="O50" s="86"/>
      <c r="P50" s="329"/>
      <c r="Q50" s="329"/>
      <c r="R50" s="329"/>
      <c r="S50" s="329"/>
      <c r="T50" s="329"/>
    </row>
    <row r="51" spans="1:20" s="37" customFormat="1" ht="13.5" customHeight="1">
      <c r="A51" s="337">
        <v>45323</v>
      </c>
      <c r="B51" s="330" t="s">
        <v>10</v>
      </c>
      <c r="C51" s="36">
        <v>107.6</v>
      </c>
      <c r="D51" s="36">
        <v>125.5</v>
      </c>
      <c r="E51" s="36">
        <v>86.2</v>
      </c>
      <c r="F51" s="330" t="s">
        <v>10</v>
      </c>
      <c r="G51" s="401"/>
      <c r="H51" s="410"/>
      <c r="I51" s="86"/>
      <c r="J51" s="86"/>
      <c r="K51" s="78"/>
      <c r="L51" s="85"/>
      <c r="M51" s="79"/>
      <c r="N51" s="79"/>
      <c r="O51" s="86"/>
      <c r="P51" s="329"/>
      <c r="Q51" s="329"/>
      <c r="R51" s="329"/>
      <c r="S51" s="329"/>
      <c r="T51" s="329"/>
    </row>
    <row r="52" spans="1:20" s="37" customFormat="1" ht="13.5" customHeight="1">
      <c r="A52" s="337">
        <v>45352</v>
      </c>
      <c r="B52" s="269">
        <v>102.3</v>
      </c>
      <c r="C52" s="36">
        <v>116.8</v>
      </c>
      <c r="D52" s="36">
        <v>141.1</v>
      </c>
      <c r="E52" s="36">
        <v>87.8</v>
      </c>
      <c r="F52" s="330">
        <v>113.1</v>
      </c>
      <c r="G52" s="401"/>
      <c r="H52" s="410"/>
      <c r="I52" s="86"/>
      <c r="J52" s="86"/>
      <c r="K52" s="78"/>
      <c r="L52" s="85"/>
      <c r="M52" s="79"/>
      <c r="N52" s="79"/>
      <c r="O52" s="86"/>
      <c r="P52" s="329"/>
      <c r="Q52" s="329"/>
      <c r="R52" s="329"/>
      <c r="S52" s="329"/>
      <c r="T52" s="329"/>
    </row>
    <row r="53" spans="1:20" s="37" customFormat="1" ht="13.5" customHeight="1">
      <c r="A53" s="337">
        <v>45383</v>
      </c>
      <c r="B53" s="330" t="s">
        <v>10</v>
      </c>
      <c r="C53" s="36">
        <v>107.5</v>
      </c>
      <c r="D53" s="36">
        <v>131.6</v>
      </c>
      <c r="E53" s="36">
        <v>78.900000000000006</v>
      </c>
      <c r="F53" s="330" t="s">
        <v>10</v>
      </c>
      <c r="G53" s="401"/>
      <c r="H53" s="410"/>
      <c r="I53" s="86"/>
      <c r="J53" s="86"/>
      <c r="K53" s="78"/>
      <c r="L53" s="85"/>
      <c r="M53" s="79"/>
      <c r="N53" s="79"/>
      <c r="O53" s="86"/>
      <c r="P53" s="329"/>
      <c r="Q53" s="329"/>
      <c r="R53" s="329"/>
      <c r="S53" s="329"/>
      <c r="T53" s="329"/>
    </row>
    <row r="54" spans="1:20" s="37" customFormat="1" ht="13.5" customHeight="1">
      <c r="A54" s="337">
        <v>45413</v>
      </c>
      <c r="B54" s="330" t="s">
        <v>10</v>
      </c>
      <c r="C54" s="36">
        <v>116.3</v>
      </c>
      <c r="D54" s="36">
        <v>139.9</v>
      </c>
      <c r="E54" s="36">
        <v>88.2</v>
      </c>
      <c r="F54" s="330" t="s">
        <v>10</v>
      </c>
      <c r="G54" s="401"/>
      <c r="H54" s="410"/>
      <c r="I54" s="86"/>
      <c r="J54" s="86"/>
      <c r="K54" s="78"/>
      <c r="L54" s="85"/>
      <c r="M54" s="79"/>
      <c r="N54" s="79"/>
      <c r="O54" s="86"/>
      <c r="P54" s="329"/>
      <c r="Q54" s="329"/>
      <c r="R54" s="329"/>
      <c r="S54" s="329"/>
      <c r="T54" s="329"/>
    </row>
    <row r="55" spans="1:20" s="37" customFormat="1" ht="13.5" customHeight="1">
      <c r="A55" s="337">
        <v>45444</v>
      </c>
      <c r="B55" s="269">
        <v>108</v>
      </c>
      <c r="C55" s="36">
        <v>108</v>
      </c>
      <c r="D55" s="36">
        <v>128.30000000000001</v>
      </c>
      <c r="E55" s="36">
        <v>83.8</v>
      </c>
      <c r="F55" s="330">
        <v>113.9</v>
      </c>
      <c r="G55" s="401"/>
      <c r="H55" s="410"/>
      <c r="I55" s="86"/>
      <c r="J55" s="86"/>
      <c r="K55" s="413"/>
      <c r="L55" s="85"/>
      <c r="M55" s="79"/>
      <c r="N55" s="79"/>
      <c r="O55" s="86"/>
      <c r="P55" s="329"/>
      <c r="Q55" s="329"/>
      <c r="R55" s="329"/>
      <c r="S55" s="329"/>
      <c r="T55" s="329"/>
    </row>
    <row r="56" spans="1:20" s="37" customFormat="1" ht="13.5" customHeight="1">
      <c r="A56" s="337">
        <v>45474</v>
      </c>
      <c r="B56" s="330" t="s">
        <v>10</v>
      </c>
      <c r="C56" s="36">
        <v>107.4</v>
      </c>
      <c r="D56" s="36">
        <v>125</v>
      </c>
      <c r="E56" s="36">
        <v>86.5</v>
      </c>
      <c r="F56" s="330" t="s">
        <v>10</v>
      </c>
      <c r="G56" s="401"/>
      <c r="H56" s="410"/>
      <c r="I56" s="86"/>
      <c r="J56" s="86"/>
      <c r="K56" s="78"/>
      <c r="L56" s="85"/>
      <c r="M56" s="79"/>
      <c r="N56" s="79"/>
      <c r="O56" s="86"/>
      <c r="P56" s="329"/>
      <c r="Q56" s="329"/>
      <c r="R56" s="329"/>
      <c r="S56" s="329"/>
      <c r="T56" s="329"/>
    </row>
    <row r="57" spans="1:20" s="37" customFormat="1" ht="13.5" customHeight="1">
      <c r="A57" s="337">
        <v>45505</v>
      </c>
      <c r="B57" s="330" t="s">
        <v>10</v>
      </c>
      <c r="C57" s="36">
        <v>107.1</v>
      </c>
      <c r="D57" s="36">
        <v>116.7</v>
      </c>
      <c r="E57" s="36">
        <v>95.7</v>
      </c>
      <c r="F57" s="330" t="s">
        <v>10</v>
      </c>
      <c r="G57" s="401"/>
      <c r="H57" s="410"/>
      <c r="I57" s="86"/>
      <c r="J57" s="86"/>
      <c r="K57" s="78"/>
      <c r="L57" s="85"/>
      <c r="M57" s="79"/>
      <c r="N57" s="79"/>
      <c r="O57" s="86"/>
      <c r="P57" s="329"/>
      <c r="Q57" s="329"/>
      <c r="R57" s="329"/>
      <c r="S57" s="329"/>
      <c r="T57" s="329"/>
    </row>
    <row r="58" spans="1:20" s="37" customFormat="1" ht="11.25">
      <c r="A58" s="337">
        <v>45536</v>
      </c>
      <c r="B58" s="269">
        <v>109.5</v>
      </c>
      <c r="C58" s="36">
        <v>115.5</v>
      </c>
      <c r="D58" s="36">
        <v>133.5</v>
      </c>
      <c r="E58" s="36">
        <v>94</v>
      </c>
      <c r="F58" s="330">
        <v>111.7</v>
      </c>
      <c r="G58" s="401"/>
      <c r="H58" s="410"/>
      <c r="I58" s="86"/>
      <c r="J58" s="86"/>
      <c r="K58" s="78"/>
      <c r="L58" s="85"/>
      <c r="M58" s="79"/>
      <c r="N58" s="79"/>
      <c r="O58" s="86"/>
      <c r="P58" s="329"/>
      <c r="Q58" s="329"/>
      <c r="R58" s="329"/>
      <c r="S58" s="329"/>
      <c r="T58" s="329"/>
    </row>
    <row r="59" spans="1:20" s="37" customFormat="1" ht="11.25">
      <c r="A59" s="337">
        <v>45566</v>
      </c>
      <c r="B59" s="330" t="s">
        <v>10</v>
      </c>
      <c r="C59" s="36">
        <v>110</v>
      </c>
      <c r="D59" s="36">
        <v>135.5</v>
      </c>
      <c r="E59" s="36">
        <v>79.5</v>
      </c>
      <c r="F59" s="330" t="s">
        <v>10</v>
      </c>
      <c r="G59" s="401"/>
      <c r="H59" s="410"/>
      <c r="I59" s="86"/>
      <c r="J59" s="86"/>
      <c r="K59" s="78"/>
      <c r="L59" s="85"/>
      <c r="M59" s="79"/>
      <c r="N59" s="79"/>
      <c r="O59" s="86"/>
      <c r="P59" s="329"/>
      <c r="Q59" s="329"/>
      <c r="R59" s="329"/>
      <c r="S59" s="329"/>
      <c r="T59" s="329"/>
    </row>
    <row r="60" spans="1:20" s="37" customFormat="1" ht="11.25">
      <c r="A60" s="337">
        <v>45597</v>
      </c>
      <c r="B60" s="330" t="s">
        <v>10</v>
      </c>
      <c r="C60" s="36">
        <v>117.3</v>
      </c>
      <c r="D60" s="36">
        <v>145.5</v>
      </c>
      <c r="E60" s="36">
        <v>83.7</v>
      </c>
      <c r="F60" s="330" t="s">
        <v>10</v>
      </c>
      <c r="G60" s="401"/>
      <c r="H60" s="410"/>
      <c r="I60" s="86"/>
      <c r="J60" s="86"/>
      <c r="K60" s="78"/>
      <c r="L60" s="85"/>
      <c r="M60" s="79"/>
      <c r="N60" s="79"/>
      <c r="O60" s="86"/>
      <c r="P60" s="329"/>
      <c r="Q60" s="329"/>
      <c r="R60" s="329"/>
      <c r="S60" s="329"/>
      <c r="T60" s="329"/>
    </row>
    <row r="61" spans="1:20" s="37" customFormat="1" ht="11.25">
      <c r="A61" s="337">
        <v>45627</v>
      </c>
      <c r="B61" s="269">
        <v>113.2</v>
      </c>
      <c r="C61" s="36">
        <v>120.3</v>
      </c>
      <c r="D61" s="36">
        <v>150.80000000000001</v>
      </c>
      <c r="E61" s="36">
        <v>84</v>
      </c>
      <c r="F61" s="330">
        <v>115.5</v>
      </c>
      <c r="G61" s="401"/>
      <c r="H61" s="410"/>
      <c r="I61" s="86"/>
      <c r="J61" s="86"/>
      <c r="K61" s="78"/>
      <c r="L61" s="85"/>
      <c r="M61" s="79"/>
      <c r="N61" s="79"/>
      <c r="O61" s="86"/>
      <c r="P61" s="329"/>
      <c r="Q61" s="329"/>
      <c r="R61" s="329"/>
      <c r="S61" s="329"/>
      <c r="T61" s="329"/>
    </row>
    <row r="62" spans="1:20" s="37" customFormat="1" ht="12.75" customHeight="1">
      <c r="A62" s="337">
        <v>45658</v>
      </c>
      <c r="B62" s="330" t="s">
        <v>10</v>
      </c>
      <c r="C62" s="36">
        <v>122.4</v>
      </c>
      <c r="D62" s="36">
        <v>134.69999999999999</v>
      </c>
      <c r="E62" s="36">
        <v>107.8</v>
      </c>
      <c r="F62" s="330" t="s">
        <v>10</v>
      </c>
      <c r="G62" s="401"/>
      <c r="H62" s="410"/>
      <c r="I62" s="86"/>
      <c r="J62" s="86"/>
      <c r="K62" s="78"/>
      <c r="L62" s="85"/>
      <c r="M62" s="79"/>
      <c r="N62" s="79"/>
      <c r="O62" s="86"/>
      <c r="P62" s="329"/>
      <c r="Q62" s="329"/>
      <c r="R62" s="329"/>
      <c r="S62" s="329"/>
      <c r="T62" s="329"/>
    </row>
    <row r="63" spans="1:20" s="37" customFormat="1" ht="12.75" customHeight="1">
      <c r="A63" s="337">
        <v>45689</v>
      </c>
      <c r="B63" s="330" t="s">
        <v>10</v>
      </c>
      <c r="C63" s="36">
        <v>96.3</v>
      </c>
      <c r="D63" s="36">
        <v>117.6</v>
      </c>
      <c r="E63" s="36">
        <v>70.8</v>
      </c>
      <c r="F63" s="330" t="s">
        <v>10</v>
      </c>
      <c r="G63" s="401"/>
      <c r="H63" s="410"/>
      <c r="I63" s="86"/>
      <c r="J63" s="86"/>
      <c r="K63" s="78"/>
      <c r="L63" s="85"/>
      <c r="M63" s="79"/>
      <c r="N63" s="79"/>
      <c r="O63" s="86"/>
      <c r="P63" s="329"/>
      <c r="Q63" s="329"/>
      <c r="R63" s="329"/>
      <c r="S63" s="329"/>
      <c r="T63" s="329"/>
    </row>
    <row r="64" spans="1:20" s="37" customFormat="1" ht="12.75" customHeight="1">
      <c r="A64" s="337">
        <v>45718</v>
      </c>
      <c r="B64" s="269">
        <v>105.7</v>
      </c>
      <c r="C64" s="36">
        <v>111.9</v>
      </c>
      <c r="D64" s="36">
        <v>134.9</v>
      </c>
      <c r="E64" s="36">
        <v>84.5</v>
      </c>
      <c r="F64" s="330">
        <v>112.5</v>
      </c>
      <c r="G64" s="401"/>
      <c r="H64" s="410"/>
      <c r="I64" s="417"/>
      <c r="J64" s="417"/>
      <c r="K64" s="413"/>
      <c r="L64" s="85"/>
      <c r="M64" s="418"/>
      <c r="N64" s="418"/>
      <c r="O64" s="417"/>
      <c r="P64" s="329"/>
      <c r="Q64" s="329"/>
      <c r="R64" s="329"/>
      <c r="S64" s="329"/>
      <c r="T64" s="329"/>
    </row>
    <row r="65" spans="1:20" s="37" customFormat="1" ht="12.75" customHeight="1">
      <c r="A65" s="337">
        <v>45748</v>
      </c>
      <c r="B65" s="330" t="s">
        <v>10</v>
      </c>
      <c r="C65" s="36">
        <v>99.8</v>
      </c>
      <c r="D65" s="36">
        <v>120.4</v>
      </c>
      <c r="E65" s="36">
        <v>75.400000000000006</v>
      </c>
      <c r="F65" s="330" t="s">
        <v>10</v>
      </c>
      <c r="G65" s="401"/>
      <c r="H65" s="410"/>
      <c r="I65" s="417"/>
      <c r="J65" s="417"/>
      <c r="K65" s="413"/>
      <c r="L65" s="85"/>
      <c r="M65" s="418"/>
      <c r="N65" s="418"/>
      <c r="O65" s="417"/>
      <c r="P65" s="329"/>
      <c r="Q65" s="329"/>
      <c r="R65" s="329"/>
      <c r="S65" s="329"/>
      <c r="T65" s="329"/>
    </row>
    <row r="66" spans="1:20" s="37" customFormat="1" ht="13.5" customHeight="1">
      <c r="A66" s="337">
        <f t="shared" ref="A66:A67" si="0">EDATE(A65,1)</f>
        <v>45778</v>
      </c>
      <c r="B66" s="330" t="s">
        <v>10</v>
      </c>
      <c r="C66" s="36">
        <v>114.5</v>
      </c>
      <c r="D66" s="36">
        <v>139.9</v>
      </c>
      <c r="E66" s="36">
        <v>84.1</v>
      </c>
      <c r="F66" s="330" t="s">
        <v>10</v>
      </c>
      <c r="G66" s="84"/>
      <c r="H66" s="328"/>
      <c r="I66" s="86"/>
      <c r="J66" s="86"/>
      <c r="K66" s="78"/>
      <c r="L66" s="85"/>
      <c r="M66" s="79"/>
      <c r="N66" s="79"/>
      <c r="O66" s="86"/>
      <c r="P66" s="329"/>
      <c r="Q66" s="329"/>
      <c r="R66" s="329"/>
      <c r="S66" s="329"/>
      <c r="T66" s="329"/>
    </row>
    <row r="67" spans="1:20" s="37" customFormat="1" ht="13.5" customHeight="1">
      <c r="A67" s="384">
        <f t="shared" si="0"/>
        <v>45809</v>
      </c>
      <c r="B67" s="269">
        <v>109.5</v>
      </c>
      <c r="C67" s="36">
        <v>105.9</v>
      </c>
      <c r="D67" s="36">
        <v>125.2</v>
      </c>
      <c r="E67" s="36">
        <v>82.9</v>
      </c>
      <c r="F67" s="330">
        <v>115.8</v>
      </c>
      <c r="G67" s="401"/>
      <c r="H67" s="410"/>
      <c r="I67" s="86"/>
      <c r="J67" s="86"/>
      <c r="K67" s="78"/>
      <c r="L67" s="85"/>
      <c r="M67" s="79"/>
      <c r="N67" s="79"/>
      <c r="O67" s="86"/>
      <c r="P67" s="329"/>
      <c r="Q67" s="329"/>
      <c r="R67" s="329"/>
      <c r="S67" s="329"/>
      <c r="T67" s="329"/>
    </row>
    <row r="68" spans="1:20" s="37" customFormat="1" ht="13.5" customHeight="1">
      <c r="A68" s="337">
        <f>EDATE(A67,1)</f>
        <v>45839</v>
      </c>
      <c r="B68" s="330" t="s">
        <v>10</v>
      </c>
      <c r="C68" s="36">
        <v>105.7</v>
      </c>
      <c r="D68" s="36">
        <v>124.1</v>
      </c>
      <c r="E68" s="36">
        <v>83.8</v>
      </c>
      <c r="F68" s="330" t="s">
        <v>10</v>
      </c>
      <c r="G68" s="401"/>
      <c r="H68" s="410"/>
      <c r="I68" s="86"/>
      <c r="J68" s="86"/>
      <c r="K68" s="78"/>
      <c r="L68" s="85"/>
      <c r="M68" s="79"/>
      <c r="N68" s="79"/>
      <c r="O68" s="86"/>
      <c r="P68" s="329"/>
      <c r="Q68" s="329"/>
      <c r="R68" s="329"/>
      <c r="S68" s="329"/>
      <c r="T68" s="329"/>
    </row>
    <row r="69" spans="1:20" s="37" customFormat="1" ht="13.5" customHeight="1">
      <c r="A69" s="337">
        <f t="shared" ref="A69:A76" si="1">EDATE(A68,1)</f>
        <v>45870</v>
      </c>
      <c r="B69" s="330" t="s">
        <v>10</v>
      </c>
      <c r="C69" s="36">
        <v>103.9</v>
      </c>
      <c r="D69" s="36">
        <v>121.8</v>
      </c>
      <c r="E69" s="36">
        <v>82.5</v>
      </c>
      <c r="F69" s="330" t="s">
        <v>10</v>
      </c>
      <c r="G69" s="401"/>
      <c r="H69" s="410"/>
      <c r="I69" s="86"/>
      <c r="J69" s="86"/>
      <c r="K69" s="78"/>
      <c r="L69" s="85"/>
      <c r="M69" s="79"/>
      <c r="N69" s="79"/>
      <c r="O69" s="86"/>
      <c r="P69" s="329"/>
      <c r="Q69" s="329"/>
      <c r="R69" s="329"/>
      <c r="S69" s="329"/>
      <c r="T69" s="329"/>
    </row>
    <row r="70" spans="1:20" s="37" customFormat="1" ht="13.5" customHeight="1">
      <c r="A70" s="337">
        <f t="shared" si="1"/>
        <v>45901</v>
      </c>
      <c r="B70" s="330">
        <v>111.3</v>
      </c>
      <c r="C70" s="36">
        <v>113.1</v>
      </c>
      <c r="D70" s="36">
        <v>135.6</v>
      </c>
      <c r="E70" s="36">
        <v>86.3</v>
      </c>
      <c r="F70" s="330">
        <v>115.9</v>
      </c>
      <c r="G70" s="401"/>
      <c r="H70" s="410"/>
      <c r="I70" s="86"/>
      <c r="J70" s="86"/>
      <c r="K70" s="78"/>
      <c r="L70" s="85"/>
      <c r="M70" s="79"/>
      <c r="N70" s="79"/>
      <c r="O70" s="86"/>
      <c r="P70" s="329"/>
      <c r="Q70" s="329"/>
      <c r="R70" s="329"/>
      <c r="S70" s="329"/>
      <c r="T70" s="329"/>
    </row>
    <row r="71" spans="1:20" s="37" customFormat="1" ht="13.5" customHeight="1">
      <c r="A71" s="337">
        <f t="shared" si="1"/>
        <v>45931</v>
      </c>
      <c r="B71" s="330" t="s">
        <v>10</v>
      </c>
      <c r="C71" s="36">
        <v>116.9</v>
      </c>
      <c r="D71" s="36">
        <v>144.69999999999999</v>
      </c>
      <c r="E71" s="36">
        <v>83.7</v>
      </c>
      <c r="F71" s="330" t="s">
        <v>10</v>
      </c>
      <c r="G71" s="401"/>
      <c r="H71" s="410"/>
      <c r="I71" s="86"/>
      <c r="J71" s="86"/>
      <c r="K71" s="78"/>
      <c r="L71" s="85"/>
      <c r="M71" s="79"/>
      <c r="N71" s="79"/>
      <c r="O71" s="86"/>
      <c r="P71" s="329"/>
      <c r="Q71" s="329"/>
      <c r="R71" s="329"/>
      <c r="S71" s="329"/>
      <c r="T71" s="329"/>
    </row>
    <row r="72" spans="1:20" s="37" customFormat="1" ht="13.5" customHeight="1">
      <c r="A72" s="337">
        <f t="shared" si="1"/>
        <v>45962</v>
      </c>
      <c r="B72" s="330" t="s">
        <v>10</v>
      </c>
      <c r="C72" s="36">
        <v>118</v>
      </c>
      <c r="D72" s="36">
        <v>152.19999999999999</v>
      </c>
      <c r="E72" s="36">
        <v>77.3</v>
      </c>
      <c r="F72" s="330" t="s">
        <v>10</v>
      </c>
      <c r="G72" s="401"/>
      <c r="H72" s="410"/>
      <c r="I72" s="86"/>
      <c r="J72" s="86"/>
      <c r="K72" s="78"/>
      <c r="L72" s="85"/>
      <c r="M72" s="79"/>
      <c r="N72" s="79"/>
      <c r="O72" s="86"/>
      <c r="P72" s="329"/>
      <c r="Q72" s="329"/>
      <c r="R72" s="329"/>
      <c r="S72" s="329"/>
      <c r="T72" s="329"/>
    </row>
    <row r="73" spans="1:20" s="37" customFormat="1" ht="13.5" customHeight="1">
      <c r="A73" s="384">
        <f t="shared" si="1"/>
        <v>45992</v>
      </c>
      <c r="B73" s="464">
        <v>113.3</v>
      </c>
      <c r="C73" s="398">
        <v>115.2</v>
      </c>
      <c r="D73" s="398">
        <v>146.69999999999999</v>
      </c>
      <c r="E73" s="398">
        <v>77.599999999999994</v>
      </c>
      <c r="F73" s="464">
        <v>117.8</v>
      </c>
      <c r="G73" s="401"/>
      <c r="H73" s="410"/>
      <c r="I73" s="86"/>
      <c r="J73" s="86"/>
      <c r="K73" s="78"/>
      <c r="L73" s="85"/>
      <c r="M73" s="79"/>
      <c r="N73" s="79"/>
      <c r="O73" s="86"/>
      <c r="P73" s="329"/>
      <c r="Q73" s="329"/>
      <c r="R73" s="329"/>
      <c r="S73" s="329"/>
      <c r="T73" s="329"/>
    </row>
    <row r="74" spans="1:20" s="37" customFormat="1" ht="13.5" customHeight="1">
      <c r="A74" s="384">
        <f t="shared" si="1"/>
        <v>46023</v>
      </c>
      <c r="B74" s="330" t="s">
        <v>10</v>
      </c>
      <c r="C74" s="398">
        <v>115.9</v>
      </c>
      <c r="D74" s="398">
        <v>142.1</v>
      </c>
      <c r="E74" s="398">
        <v>84.8</v>
      </c>
      <c r="F74" s="330" t="s">
        <v>10</v>
      </c>
      <c r="G74" s="401"/>
      <c r="H74" s="410"/>
      <c r="I74" s="86"/>
      <c r="J74" s="86"/>
      <c r="K74" s="78"/>
      <c r="L74" s="85"/>
      <c r="M74" s="79"/>
      <c r="N74" s="79"/>
      <c r="O74" s="86"/>
      <c r="P74" s="329"/>
      <c r="Q74" s="329"/>
      <c r="R74" s="329"/>
      <c r="S74" s="329"/>
      <c r="T74" s="329"/>
    </row>
    <row r="75" spans="1:20" s="37" customFormat="1" ht="13.5" customHeight="1">
      <c r="A75" s="384">
        <f t="shared" si="1"/>
        <v>46054</v>
      </c>
      <c r="B75" s="386" t="s">
        <v>10</v>
      </c>
      <c r="C75" s="398">
        <v>111.2</v>
      </c>
      <c r="D75" s="398">
        <v>136.19999999999999</v>
      </c>
      <c r="E75" s="398">
        <v>81.5</v>
      </c>
      <c r="F75" s="464" t="s">
        <v>10</v>
      </c>
      <c r="G75" s="401"/>
      <c r="H75" s="410"/>
      <c r="I75" s="86"/>
      <c r="J75" s="86"/>
      <c r="K75" s="78"/>
      <c r="L75" s="85"/>
      <c r="M75" s="79"/>
      <c r="N75" s="79"/>
      <c r="O75" s="86"/>
      <c r="P75" s="329"/>
      <c r="Q75" s="329"/>
      <c r="R75" s="329"/>
      <c r="S75" s="329"/>
      <c r="T75" s="329"/>
    </row>
    <row r="76" spans="1:20" s="37" customFormat="1" ht="13.5" customHeight="1">
      <c r="A76" s="460">
        <f t="shared" si="1"/>
        <v>46082</v>
      </c>
      <c r="B76" s="474">
        <v>107.7</v>
      </c>
      <c r="C76" s="462">
        <v>113.3</v>
      </c>
      <c r="D76" s="462">
        <v>145</v>
      </c>
      <c r="E76" s="462">
        <v>75.599999999999994</v>
      </c>
      <c r="F76" s="559">
        <v>117.5</v>
      </c>
      <c r="G76" s="401"/>
      <c r="H76" s="410"/>
      <c r="I76" s="86"/>
      <c r="J76" s="86"/>
      <c r="K76" s="78"/>
      <c r="L76" s="85"/>
      <c r="M76" s="79"/>
      <c r="N76" s="79"/>
      <c r="O76" s="86"/>
      <c r="P76" s="329"/>
      <c r="Q76" s="329"/>
      <c r="R76" s="329"/>
      <c r="S76" s="329"/>
      <c r="T76" s="329"/>
    </row>
    <row r="77" spans="1:20" s="45" customFormat="1" ht="12" customHeight="1">
      <c r="A77" s="384"/>
      <c r="B77" s="385"/>
      <c r="C77" s="398"/>
      <c r="D77" s="398"/>
      <c r="E77" s="398"/>
      <c r="F77" s="386"/>
      <c r="G77" s="58"/>
      <c r="H77" s="85"/>
      <c r="I77" s="86"/>
      <c r="J77" s="86"/>
      <c r="K77" s="78"/>
      <c r="L77" s="85"/>
      <c r="M77" s="79"/>
      <c r="N77" s="79"/>
      <c r="O77" s="86"/>
    </row>
    <row r="78" spans="1:20" s="46" customFormat="1" ht="10.5" customHeight="1">
      <c r="A78" s="10" t="s">
        <v>139</v>
      </c>
      <c r="B78" s="88"/>
      <c r="C78" s="88"/>
      <c r="D78" s="88"/>
      <c r="E78" s="88"/>
      <c r="F78" s="434"/>
      <c r="G78" s="58"/>
      <c r="H78" s="85"/>
      <c r="I78" s="86"/>
      <c r="J78" s="86"/>
      <c r="K78" s="78"/>
      <c r="L78" s="85"/>
      <c r="M78" s="79"/>
      <c r="N78" s="37"/>
      <c r="O78" s="86"/>
    </row>
    <row r="79" spans="1:20" s="13" customFormat="1" ht="12" customHeight="1">
      <c r="A79" s="10" t="s">
        <v>143</v>
      </c>
      <c r="B79" s="88"/>
      <c r="C79" s="88"/>
      <c r="D79" s="88"/>
      <c r="E79" s="88"/>
      <c r="F79" s="88"/>
      <c r="G79" s="84"/>
      <c r="H79" s="85"/>
      <c r="I79" s="86"/>
      <c r="J79" s="86"/>
      <c r="K79" s="78"/>
      <c r="L79" s="85"/>
      <c r="M79" s="79"/>
      <c r="N79" s="45"/>
      <c r="O79" s="86"/>
    </row>
    <row r="80" spans="1:20">
      <c r="A80" s="10" t="s">
        <v>141</v>
      </c>
      <c r="B80" s="88"/>
      <c r="C80" s="88"/>
      <c r="D80" s="88"/>
      <c r="E80" s="88"/>
      <c r="F80" s="88"/>
      <c r="G80" s="84"/>
      <c r="H80" s="85"/>
      <c r="I80" s="86"/>
      <c r="J80" s="86"/>
      <c r="K80" s="78"/>
      <c r="L80" s="85"/>
      <c r="M80" s="37"/>
      <c r="N80" s="45"/>
      <c r="O80" s="86"/>
    </row>
    <row r="81" spans="1:15">
      <c r="A81" s="10" t="s">
        <v>151</v>
      </c>
      <c r="B81" s="88"/>
      <c r="C81" s="88"/>
      <c r="D81" s="88"/>
      <c r="E81" s="88"/>
      <c r="F81" s="88"/>
      <c r="G81" s="84"/>
      <c r="H81" s="85"/>
      <c r="I81" s="86"/>
      <c r="J81" s="86"/>
      <c r="K81" s="78"/>
      <c r="L81" s="85"/>
      <c r="M81" s="45"/>
      <c r="N81" s="46"/>
      <c r="O81" s="86"/>
    </row>
    <row r="82" spans="1:15">
      <c r="G82" s="94"/>
      <c r="H82" s="85"/>
      <c r="I82" s="86"/>
      <c r="J82" s="86"/>
      <c r="K82" s="78"/>
      <c r="L82" s="85"/>
      <c r="M82" s="45"/>
      <c r="N82" s="13"/>
      <c r="O82" s="86"/>
    </row>
    <row r="83" spans="1:15">
      <c r="G83" s="88"/>
      <c r="H83" s="37"/>
      <c r="I83" s="86"/>
      <c r="J83" s="86"/>
      <c r="K83" s="78"/>
      <c r="L83" s="85"/>
      <c r="M83" s="46"/>
      <c r="O83" s="86"/>
    </row>
    <row r="84" spans="1:15">
      <c r="E84" s="92" t="s">
        <v>17</v>
      </c>
      <c r="G84" s="88"/>
      <c r="H84" s="37"/>
      <c r="I84" s="86"/>
      <c r="J84" s="86"/>
      <c r="K84" s="78"/>
      <c r="L84" s="85"/>
      <c r="M84" s="13"/>
      <c r="O84" s="86"/>
    </row>
    <row r="85" spans="1:15">
      <c r="G85" s="88"/>
      <c r="H85" s="37"/>
      <c r="I85" s="86"/>
      <c r="J85" s="86"/>
      <c r="K85" s="79"/>
      <c r="L85" s="79"/>
      <c r="O85" s="37"/>
    </row>
    <row r="86" spans="1:15">
      <c r="G86" s="88"/>
      <c r="H86" s="37"/>
      <c r="I86" s="86"/>
      <c r="J86" s="86"/>
      <c r="K86" s="79"/>
      <c r="L86" s="79"/>
      <c r="O86" s="45"/>
    </row>
    <row r="87" spans="1:15">
      <c r="G87" s="89"/>
      <c r="H87" s="37"/>
      <c r="I87" s="86"/>
      <c r="J87" s="86"/>
      <c r="K87" s="37"/>
      <c r="L87" s="79"/>
      <c r="O87" s="45"/>
    </row>
    <row r="88" spans="1:15">
      <c r="H88" s="37"/>
      <c r="I88" s="86"/>
      <c r="J88" s="86"/>
      <c r="K88" s="37"/>
      <c r="L88" s="79"/>
      <c r="O88" s="45"/>
    </row>
    <row r="89" spans="1:15">
      <c r="H89" s="37"/>
      <c r="I89" s="86"/>
      <c r="J89" s="86"/>
      <c r="K89" s="79"/>
      <c r="L89" s="79"/>
      <c r="O89" s="46"/>
    </row>
    <row r="90" spans="1:15">
      <c r="H90" s="37"/>
      <c r="I90" s="86"/>
      <c r="J90" s="86"/>
      <c r="K90" s="79"/>
      <c r="L90" s="79"/>
      <c r="O90" s="13"/>
    </row>
    <row r="91" spans="1:15">
      <c r="H91" s="37"/>
      <c r="I91" s="86"/>
      <c r="J91" s="86"/>
      <c r="K91" s="79"/>
      <c r="L91" s="79"/>
    </row>
    <row r="92" spans="1:15">
      <c r="H92" s="85"/>
      <c r="I92" s="86"/>
      <c r="J92" s="86"/>
      <c r="K92" s="79"/>
      <c r="L92" s="79"/>
    </row>
    <row r="93" spans="1:15">
      <c r="H93" s="85"/>
      <c r="I93" s="86"/>
      <c r="J93" s="86"/>
      <c r="K93" s="79"/>
      <c r="L93" s="79"/>
    </row>
    <row r="94" spans="1:15">
      <c r="H94" s="85"/>
      <c r="I94" s="86"/>
      <c r="J94" s="86"/>
      <c r="K94" s="79"/>
      <c r="L94" s="79"/>
    </row>
    <row r="95" spans="1:15">
      <c r="H95" s="37"/>
      <c r="I95" s="86"/>
      <c r="J95" s="86"/>
      <c r="K95" s="79"/>
      <c r="L95" s="79"/>
    </row>
    <row r="96" spans="1:15">
      <c r="H96" s="37"/>
      <c r="I96" s="86"/>
      <c r="J96" s="86"/>
      <c r="K96" s="79"/>
      <c r="L96" s="79"/>
    </row>
    <row r="97" spans="1:12">
      <c r="A97"/>
      <c r="B97" s="92"/>
      <c r="F97" s="92"/>
      <c r="H97" s="37"/>
      <c r="I97" s="86"/>
      <c r="J97" s="86"/>
      <c r="K97" s="79"/>
      <c r="L97" s="79"/>
    </row>
    <row r="98" spans="1:12">
      <c r="A98"/>
      <c r="B98" s="92"/>
      <c r="F98" s="92"/>
      <c r="H98" s="37"/>
      <c r="I98" s="86"/>
      <c r="J98" s="86"/>
      <c r="K98" s="79"/>
      <c r="L98" s="79"/>
    </row>
    <row r="99" spans="1:12">
      <c r="A99"/>
      <c r="B99" s="92"/>
      <c r="F99" s="92"/>
      <c r="H99" s="37"/>
      <c r="I99" s="86"/>
      <c r="J99" s="86"/>
      <c r="K99" s="86"/>
      <c r="L99" s="79"/>
    </row>
    <row r="100" spans="1:12">
      <c r="A100"/>
      <c r="B100" s="92"/>
      <c r="F100" s="92"/>
      <c r="H100" s="37"/>
      <c r="I100" s="86"/>
      <c r="J100" s="86"/>
      <c r="K100" s="86"/>
      <c r="L100" s="79"/>
    </row>
    <row r="101" spans="1:12">
      <c r="A101"/>
      <c r="B101" s="92"/>
      <c r="F101" s="92"/>
      <c r="H101" s="37"/>
      <c r="I101" s="86"/>
      <c r="J101" s="86"/>
      <c r="K101" s="86"/>
      <c r="L101" s="79"/>
    </row>
    <row r="102" spans="1:12">
      <c r="A102"/>
      <c r="B102" s="92"/>
      <c r="F102" s="92"/>
      <c r="H102" s="37"/>
      <c r="I102" s="86"/>
      <c r="J102" s="86"/>
      <c r="K102" s="86"/>
      <c r="L102" s="79"/>
    </row>
    <row r="103" spans="1:12">
      <c r="A103"/>
      <c r="B103" s="92"/>
      <c r="F103" s="92"/>
      <c r="G103" s="92"/>
      <c r="H103" s="85"/>
      <c r="I103" s="86"/>
      <c r="J103" s="86"/>
      <c r="K103" s="86"/>
      <c r="L103" s="79"/>
    </row>
    <row r="104" spans="1:12">
      <c r="A104"/>
      <c r="B104" s="92"/>
      <c r="F104" s="92"/>
      <c r="G104" s="92"/>
      <c r="H104" s="85"/>
      <c r="I104" s="86"/>
      <c r="J104" s="86"/>
      <c r="K104" s="86"/>
      <c r="L104" s="79"/>
    </row>
    <row r="105" spans="1:12">
      <c r="A105"/>
      <c r="B105" s="92"/>
      <c r="F105" s="92"/>
      <c r="G105" s="92"/>
      <c r="H105" s="85"/>
      <c r="I105" s="86"/>
      <c r="J105" s="86"/>
      <c r="K105" s="79"/>
      <c r="L105" s="79"/>
    </row>
    <row r="106" spans="1:12">
      <c r="A106"/>
      <c r="B106" s="92"/>
      <c r="F106" s="92"/>
      <c r="G106" s="92"/>
      <c r="H106" s="85"/>
      <c r="I106" s="86"/>
      <c r="J106" s="86"/>
      <c r="K106" s="79"/>
      <c r="L106" s="79"/>
    </row>
    <row r="107" spans="1:12">
      <c r="A107"/>
      <c r="B107" s="92"/>
      <c r="F107" s="92"/>
      <c r="G107" s="92"/>
      <c r="H107" s="85"/>
      <c r="I107" s="86"/>
      <c r="J107" s="86"/>
      <c r="K107" s="79"/>
      <c r="L107" s="79"/>
    </row>
    <row r="108" spans="1:12">
      <c r="A108"/>
      <c r="B108" s="92"/>
      <c r="F108" s="92"/>
      <c r="G108" s="92"/>
      <c r="H108" s="37"/>
      <c r="I108" s="86"/>
      <c r="J108" s="86"/>
      <c r="K108" s="79"/>
      <c r="L108" s="79"/>
    </row>
    <row r="109" spans="1:12">
      <c r="A109"/>
      <c r="B109" s="92"/>
      <c r="F109" s="92"/>
      <c r="G109" s="92"/>
      <c r="H109" s="85"/>
      <c r="I109" s="86"/>
      <c r="J109" s="41"/>
      <c r="K109" s="79"/>
      <c r="L109" s="79"/>
    </row>
    <row r="110" spans="1:12">
      <c r="A110"/>
      <c r="B110" s="92"/>
      <c r="F110" s="92"/>
      <c r="G110" s="92"/>
      <c r="H110" s="41"/>
      <c r="I110" s="86"/>
      <c r="J110" s="41"/>
      <c r="K110" s="79"/>
      <c r="L110" s="79"/>
    </row>
    <row r="111" spans="1:12">
      <c r="A111"/>
      <c r="B111" s="92"/>
      <c r="F111" s="92"/>
      <c r="G111" s="92"/>
      <c r="H111" s="41"/>
      <c r="I111" s="86"/>
      <c r="J111" s="86"/>
      <c r="K111" s="37"/>
      <c r="L111" s="79"/>
    </row>
    <row r="112" spans="1:12">
      <c r="A112"/>
      <c r="B112" s="92"/>
      <c r="F112" s="92"/>
      <c r="G112" s="92"/>
      <c r="H112" s="85"/>
      <c r="I112" s="86"/>
      <c r="J112" s="86"/>
      <c r="K112" s="45"/>
      <c r="L112" s="79"/>
    </row>
    <row r="113" spans="1:12">
      <c r="A113"/>
      <c r="B113" s="92"/>
      <c r="F113" s="92"/>
      <c r="G113" s="92"/>
      <c r="H113" s="85"/>
      <c r="I113" s="86"/>
      <c r="J113" s="86"/>
      <c r="K113" s="45"/>
      <c r="L113" s="79"/>
    </row>
    <row r="114" spans="1:12">
      <c r="A114"/>
      <c r="B114" s="92"/>
      <c r="F114" s="92"/>
      <c r="G114" s="92"/>
      <c r="H114" s="85"/>
      <c r="I114" s="41"/>
      <c r="J114" s="86"/>
      <c r="K114" s="45"/>
      <c r="L114" s="79"/>
    </row>
    <row r="115" spans="1:12">
      <c r="A115"/>
      <c r="B115" s="92"/>
      <c r="F115" s="92"/>
      <c r="G115" s="92"/>
      <c r="H115" s="85"/>
      <c r="I115" s="41"/>
      <c r="J115" s="86"/>
      <c r="K115" s="46"/>
      <c r="L115" s="79"/>
    </row>
    <row r="116" spans="1:12">
      <c r="A116"/>
      <c r="B116" s="92"/>
      <c r="F116" s="92"/>
      <c r="G116" s="92"/>
      <c r="H116" s="85"/>
      <c r="I116" s="86"/>
      <c r="J116" s="86"/>
      <c r="K116" s="13"/>
      <c r="L116" s="79"/>
    </row>
    <row r="117" spans="1:12">
      <c r="A117"/>
      <c r="B117" s="92"/>
      <c r="F117" s="92"/>
      <c r="G117" s="92"/>
      <c r="H117" s="85"/>
      <c r="I117" s="86"/>
      <c r="J117" s="86"/>
      <c r="L117" s="79"/>
    </row>
    <row r="118" spans="1:12">
      <c r="A118"/>
      <c r="B118" s="92"/>
      <c r="F118" s="92"/>
      <c r="G118" s="92"/>
      <c r="H118" s="85"/>
      <c r="I118" s="86"/>
      <c r="J118" s="86"/>
      <c r="L118" s="79"/>
    </row>
    <row r="119" spans="1:12">
      <c r="A119"/>
      <c r="B119" s="92"/>
      <c r="F119" s="92"/>
      <c r="G119" s="92"/>
      <c r="H119" s="85"/>
      <c r="I119" s="86"/>
      <c r="J119" s="86"/>
      <c r="L119" s="79"/>
    </row>
    <row r="120" spans="1:12">
      <c r="A120"/>
      <c r="B120" s="92"/>
      <c r="F120" s="92"/>
      <c r="G120" s="92"/>
      <c r="H120" s="85"/>
      <c r="I120" s="86"/>
      <c r="J120" s="86"/>
      <c r="L120" s="79"/>
    </row>
    <row r="121" spans="1:12">
      <c r="A121"/>
      <c r="B121" s="92"/>
      <c r="F121" s="92"/>
      <c r="G121" s="92"/>
      <c r="H121" s="85"/>
      <c r="I121" s="86"/>
      <c r="J121" s="86"/>
      <c r="L121" s="79"/>
    </row>
    <row r="122" spans="1:12">
      <c r="A122"/>
      <c r="B122" s="92"/>
      <c r="F122" s="92"/>
      <c r="G122" s="92"/>
      <c r="H122" s="85"/>
      <c r="I122" s="86"/>
      <c r="J122" s="86"/>
      <c r="L122" s="79"/>
    </row>
    <row r="123" spans="1:12">
      <c r="A123"/>
      <c r="B123" s="92"/>
      <c r="F123" s="92"/>
      <c r="G123" s="92"/>
      <c r="H123" s="85"/>
      <c r="I123" s="86"/>
      <c r="J123" s="86"/>
      <c r="L123" s="79"/>
    </row>
    <row r="124" spans="1:12">
      <c r="A124"/>
      <c r="B124" s="92"/>
      <c r="F124" s="92"/>
      <c r="G124" s="92"/>
      <c r="H124" s="85"/>
      <c r="I124" s="86"/>
      <c r="J124" s="86"/>
      <c r="L124" s="79"/>
    </row>
    <row r="125" spans="1:12">
      <c r="A125"/>
      <c r="B125" s="92"/>
      <c r="F125" s="92"/>
      <c r="G125" s="92"/>
      <c r="H125" s="85"/>
      <c r="I125" s="86"/>
      <c r="J125" s="86"/>
      <c r="L125" s="79"/>
    </row>
    <row r="126" spans="1:12">
      <c r="A126"/>
      <c r="B126" s="92"/>
      <c r="F126" s="92"/>
      <c r="G126" s="92"/>
      <c r="H126" s="85"/>
      <c r="I126" s="86"/>
      <c r="J126" s="86"/>
      <c r="L126" s="79"/>
    </row>
    <row r="127" spans="1:12">
      <c r="A127"/>
      <c r="B127" s="92"/>
      <c r="F127" s="92"/>
      <c r="G127" s="92"/>
      <c r="H127" s="85"/>
      <c r="I127" s="86"/>
      <c r="J127" s="86"/>
      <c r="L127" s="37"/>
    </row>
    <row r="128" spans="1:12">
      <c r="A128"/>
      <c r="B128" s="92"/>
      <c r="F128" s="92"/>
      <c r="G128" s="92"/>
      <c r="H128" s="85"/>
      <c r="I128" s="86"/>
      <c r="J128" s="86"/>
      <c r="L128" s="45"/>
    </row>
    <row r="129" spans="1:12">
      <c r="A129"/>
      <c r="B129" s="92"/>
      <c r="F129" s="92"/>
      <c r="G129" s="92"/>
      <c r="H129" s="85"/>
      <c r="I129" s="86"/>
      <c r="J129" s="86"/>
      <c r="L129" s="45"/>
    </row>
    <row r="130" spans="1:12">
      <c r="A130"/>
      <c r="B130" s="92"/>
      <c r="F130" s="92"/>
      <c r="G130" s="92"/>
      <c r="H130" s="85"/>
      <c r="I130" s="86"/>
      <c r="J130" s="86"/>
      <c r="L130" s="45"/>
    </row>
    <row r="131" spans="1:12">
      <c r="A131"/>
      <c r="B131" s="92"/>
      <c r="F131" s="92"/>
      <c r="G131" s="92"/>
      <c r="H131" s="85"/>
      <c r="I131" s="86"/>
      <c r="J131" s="86"/>
      <c r="L131" s="46"/>
    </row>
    <row r="132" spans="1:12">
      <c r="A132"/>
      <c r="B132" s="92"/>
      <c r="F132" s="92"/>
      <c r="G132" s="92"/>
      <c r="H132" s="85"/>
      <c r="I132" s="86"/>
      <c r="J132" s="86"/>
      <c r="L132" s="13"/>
    </row>
    <row r="133" spans="1:12">
      <c r="A133"/>
      <c r="B133" s="92"/>
      <c r="F133" s="92"/>
      <c r="G133" s="92"/>
      <c r="H133" s="85"/>
      <c r="I133" s="86"/>
      <c r="J133" s="86"/>
    </row>
    <row r="134" spans="1:12">
      <c r="A134"/>
      <c r="B134" s="92"/>
      <c r="F134" s="92"/>
      <c r="G134" s="92"/>
      <c r="H134" s="85"/>
      <c r="I134" s="86"/>
      <c r="J134" s="86"/>
    </row>
    <row r="135" spans="1:12">
      <c r="A135"/>
      <c r="B135" s="92"/>
      <c r="F135" s="92"/>
      <c r="G135" s="92"/>
      <c r="H135" s="85"/>
      <c r="I135" s="86"/>
      <c r="J135" s="86"/>
    </row>
    <row r="136" spans="1:12">
      <c r="A136"/>
      <c r="B136" s="92"/>
      <c r="F136" s="92"/>
      <c r="G136" s="92"/>
      <c r="H136" s="85"/>
      <c r="I136" s="86"/>
      <c r="J136" s="86"/>
    </row>
    <row r="137" spans="1:12">
      <c r="A137"/>
      <c r="B137" s="92"/>
      <c r="F137" s="92"/>
      <c r="G137" s="92"/>
      <c r="H137" s="85"/>
      <c r="I137" s="86"/>
      <c r="J137" s="86"/>
    </row>
    <row r="138" spans="1:12">
      <c r="A138"/>
      <c r="B138" s="92"/>
      <c r="F138" s="92"/>
      <c r="G138" s="92"/>
      <c r="H138" s="85"/>
      <c r="I138" s="86"/>
      <c r="J138" s="86"/>
    </row>
    <row r="139" spans="1:12">
      <c r="A139"/>
      <c r="B139" s="92"/>
      <c r="F139" s="92"/>
      <c r="G139" s="92"/>
      <c r="H139" s="85"/>
      <c r="I139" s="86"/>
      <c r="J139" s="86"/>
    </row>
    <row r="140" spans="1:12">
      <c r="A140"/>
      <c r="B140" s="92"/>
      <c r="F140" s="92"/>
      <c r="G140" s="92"/>
      <c r="H140" s="85"/>
      <c r="I140" s="86"/>
      <c r="J140" s="86"/>
    </row>
    <row r="141" spans="1:12">
      <c r="A141"/>
      <c r="B141" s="92"/>
      <c r="F141" s="92"/>
      <c r="G141" s="92"/>
      <c r="H141" s="85"/>
      <c r="I141" s="86"/>
      <c r="J141" s="86"/>
    </row>
    <row r="142" spans="1:12">
      <c r="A142"/>
      <c r="B142" s="92"/>
      <c r="F142" s="92"/>
      <c r="G142" s="92"/>
      <c r="H142" s="85"/>
      <c r="I142" s="86"/>
      <c r="J142" s="86"/>
    </row>
    <row r="143" spans="1:12">
      <c r="A143"/>
      <c r="B143" s="92"/>
      <c r="F143" s="92"/>
      <c r="G143" s="92"/>
      <c r="H143" s="85"/>
      <c r="I143" s="86"/>
      <c r="J143" s="86"/>
    </row>
    <row r="144" spans="1:12">
      <c r="G144" s="92"/>
      <c r="H144" s="85"/>
      <c r="I144" s="86"/>
      <c r="J144" s="86"/>
    </row>
    <row r="145" spans="1:10">
      <c r="G145" s="92"/>
      <c r="H145" s="85"/>
      <c r="I145" s="86"/>
      <c r="J145" s="86"/>
    </row>
    <row r="146" spans="1:10">
      <c r="G146" s="92"/>
      <c r="H146" s="85"/>
      <c r="I146" s="86"/>
      <c r="J146" s="86"/>
    </row>
    <row r="147" spans="1:10">
      <c r="G147" s="92"/>
      <c r="H147" s="85"/>
      <c r="I147" s="86"/>
      <c r="J147" s="86"/>
    </row>
    <row r="148" spans="1:10">
      <c r="G148" s="92"/>
      <c r="H148" s="85"/>
      <c r="I148" s="86"/>
      <c r="J148" s="86"/>
    </row>
    <row r="149" spans="1:10">
      <c r="G149" s="92"/>
      <c r="H149" s="85"/>
      <c r="I149" s="86"/>
      <c r="J149" s="86"/>
    </row>
    <row r="150" spans="1:10">
      <c r="A150"/>
      <c r="B150"/>
      <c r="C150"/>
      <c r="D150"/>
      <c r="E150"/>
      <c r="F150"/>
      <c r="H150" s="85"/>
      <c r="I150" s="86"/>
      <c r="J150" s="86"/>
    </row>
    <row r="151" spans="1:10">
      <c r="A151"/>
      <c r="B151"/>
      <c r="C151"/>
      <c r="D151"/>
      <c r="E151"/>
      <c r="F151"/>
      <c r="H151" s="85"/>
      <c r="I151" s="86"/>
      <c r="J151" s="86"/>
    </row>
    <row r="152" spans="1:10">
      <c r="A152"/>
      <c r="B152"/>
      <c r="C152"/>
      <c r="D152"/>
      <c r="E152"/>
      <c r="F152"/>
      <c r="H152" s="85"/>
      <c r="I152" s="86"/>
      <c r="J152" s="86"/>
    </row>
    <row r="153" spans="1:10">
      <c r="A153"/>
      <c r="B153"/>
      <c r="C153"/>
      <c r="D153"/>
      <c r="E153"/>
      <c r="F153"/>
      <c r="H153" s="85"/>
      <c r="I153" s="86"/>
      <c r="J153" s="86"/>
    </row>
    <row r="154" spans="1:10">
      <c r="A154"/>
      <c r="B154"/>
      <c r="C154"/>
      <c r="D154"/>
      <c r="E154"/>
      <c r="F154"/>
      <c r="H154" s="85"/>
      <c r="I154" s="86"/>
      <c r="J154" s="37"/>
    </row>
    <row r="155" spans="1:10">
      <c r="A155"/>
      <c r="B155"/>
      <c r="C155"/>
      <c r="D155"/>
      <c r="E155"/>
      <c r="F155"/>
      <c r="H155" s="85"/>
      <c r="I155" s="86"/>
      <c r="J155" s="37"/>
    </row>
    <row r="156" spans="1:10">
      <c r="A156"/>
      <c r="B156"/>
      <c r="C156"/>
      <c r="D156"/>
      <c r="E156"/>
      <c r="F156"/>
      <c r="H156" s="85"/>
      <c r="I156" s="86"/>
      <c r="J156" s="86"/>
    </row>
    <row r="157" spans="1:10">
      <c r="A157"/>
      <c r="B157"/>
      <c r="C157"/>
      <c r="D157"/>
      <c r="E157"/>
      <c r="F157"/>
      <c r="H157" s="85"/>
      <c r="I157" s="86"/>
      <c r="J157" s="86"/>
    </row>
    <row r="158" spans="1:10">
      <c r="A158"/>
      <c r="B158"/>
      <c r="C158"/>
      <c r="D158"/>
      <c r="E158"/>
      <c r="F158"/>
      <c r="H158" s="85"/>
      <c r="I158" s="86"/>
      <c r="J158" s="86"/>
    </row>
    <row r="159" spans="1:10">
      <c r="A159"/>
      <c r="B159"/>
      <c r="C159"/>
      <c r="D159"/>
      <c r="E159"/>
      <c r="F159"/>
      <c r="H159" s="85"/>
      <c r="I159" s="86"/>
      <c r="J159" s="86"/>
    </row>
    <row r="160" spans="1:10">
      <c r="A160"/>
      <c r="B160"/>
      <c r="C160"/>
      <c r="D160"/>
      <c r="E160"/>
      <c r="F160"/>
      <c r="H160" s="85"/>
      <c r="I160" s="37"/>
      <c r="J160" s="86"/>
    </row>
    <row r="161" spans="1:10">
      <c r="A161"/>
      <c r="B161"/>
      <c r="C161"/>
      <c r="D161"/>
      <c r="E161"/>
      <c r="F161"/>
      <c r="H161" s="85"/>
      <c r="I161" s="37"/>
      <c r="J161" s="86"/>
    </row>
    <row r="162" spans="1:10">
      <c r="A162"/>
      <c r="B162"/>
      <c r="C162"/>
      <c r="D162"/>
      <c r="E162"/>
      <c r="F162"/>
      <c r="H162" s="85"/>
      <c r="I162" s="86"/>
      <c r="J162" s="86"/>
    </row>
    <row r="163" spans="1:10">
      <c r="A163"/>
      <c r="B163"/>
      <c r="C163"/>
      <c r="D163"/>
      <c r="E163"/>
      <c r="F163"/>
      <c r="G163"/>
      <c r="H163" s="85"/>
      <c r="I163" s="86"/>
      <c r="J163" s="86"/>
    </row>
    <row r="164" spans="1:10">
      <c r="A164"/>
      <c r="B164"/>
      <c r="C164"/>
      <c r="D164"/>
      <c r="E164"/>
      <c r="F164"/>
      <c r="G164"/>
      <c r="H164" s="85"/>
      <c r="I164" s="86"/>
      <c r="J164" s="86"/>
    </row>
    <row r="165" spans="1:10">
      <c r="A165"/>
      <c r="B165"/>
      <c r="C165"/>
      <c r="D165"/>
      <c r="E165"/>
      <c r="F165"/>
      <c r="G165"/>
      <c r="H165" s="85"/>
      <c r="I165" s="86"/>
      <c r="J165" s="86"/>
    </row>
    <row r="166" spans="1:10">
      <c r="A166"/>
      <c r="B166"/>
      <c r="C166"/>
      <c r="D166"/>
      <c r="E166"/>
      <c r="F166"/>
      <c r="G166"/>
      <c r="H166" s="85"/>
      <c r="I166" s="86"/>
      <c r="J166" s="86"/>
    </row>
    <row r="167" spans="1:10">
      <c r="A167"/>
      <c r="B167"/>
      <c r="C167"/>
      <c r="D167"/>
      <c r="E167"/>
      <c r="F167"/>
      <c r="G167"/>
      <c r="H167" s="85"/>
      <c r="I167" s="86"/>
      <c r="J167" s="86"/>
    </row>
    <row r="168" spans="1:10">
      <c r="A168"/>
      <c r="B168"/>
      <c r="C168"/>
      <c r="D168"/>
      <c r="E168"/>
      <c r="F168"/>
      <c r="G168"/>
      <c r="H168" s="85"/>
      <c r="I168" s="86"/>
      <c r="J168" s="86"/>
    </row>
    <row r="169" spans="1:10">
      <c r="A169"/>
      <c r="B169"/>
      <c r="C169"/>
      <c r="D169"/>
      <c r="E169"/>
      <c r="F169"/>
      <c r="G169"/>
      <c r="H169" s="85"/>
      <c r="I169" s="86"/>
      <c r="J169" s="86"/>
    </row>
    <row r="170" spans="1:10">
      <c r="A170"/>
      <c r="B170"/>
      <c r="C170"/>
      <c r="D170"/>
      <c r="E170"/>
      <c r="F170"/>
      <c r="G170"/>
      <c r="H170" s="85"/>
      <c r="I170" s="86"/>
      <c r="J170" s="86"/>
    </row>
    <row r="171" spans="1:10">
      <c r="A171"/>
      <c r="B171"/>
      <c r="C171"/>
      <c r="D171"/>
      <c r="E171"/>
      <c r="F171"/>
      <c r="G171"/>
      <c r="H171" s="85"/>
      <c r="I171" s="86"/>
      <c r="J171" s="86"/>
    </row>
    <row r="172" spans="1:10">
      <c r="A172"/>
      <c r="B172"/>
      <c r="C172"/>
      <c r="D172"/>
      <c r="E172"/>
      <c r="F172"/>
      <c r="G172"/>
      <c r="H172" s="85"/>
      <c r="I172" s="86"/>
      <c r="J172" s="86"/>
    </row>
    <row r="173" spans="1:10">
      <c r="A173"/>
      <c r="B173"/>
      <c r="C173"/>
      <c r="D173"/>
      <c r="E173"/>
      <c r="F173"/>
      <c r="G173"/>
      <c r="H173" s="85"/>
      <c r="I173" s="86"/>
      <c r="J173" s="86"/>
    </row>
    <row r="174" spans="1:10">
      <c r="A174"/>
      <c r="B174"/>
      <c r="C174"/>
      <c r="D174"/>
      <c r="E174"/>
      <c r="F174"/>
      <c r="G174"/>
      <c r="H174" s="85"/>
      <c r="I174" s="86"/>
      <c r="J174" s="86"/>
    </row>
    <row r="175" spans="1:10">
      <c r="A175"/>
      <c r="B175"/>
      <c r="C175"/>
      <c r="D175"/>
      <c r="E175"/>
      <c r="F175"/>
      <c r="G175"/>
      <c r="H175" s="85"/>
      <c r="I175" s="86"/>
      <c r="J175" s="86"/>
    </row>
    <row r="176" spans="1:10">
      <c r="A176"/>
      <c r="B176"/>
      <c r="C176"/>
      <c r="D176"/>
      <c r="E176"/>
      <c r="F176"/>
      <c r="G176"/>
      <c r="H176" s="85"/>
      <c r="I176" s="86"/>
      <c r="J176" s="86"/>
    </row>
    <row r="177" spans="1:10">
      <c r="A177"/>
      <c r="B177"/>
      <c r="C177"/>
      <c r="D177"/>
      <c r="E177"/>
      <c r="F177"/>
      <c r="G177"/>
      <c r="H177" s="85"/>
      <c r="I177" s="86"/>
      <c r="J177" s="86"/>
    </row>
    <row r="178" spans="1:10">
      <c r="A178"/>
      <c r="B178"/>
      <c r="C178"/>
      <c r="D178"/>
      <c r="E178"/>
      <c r="F178"/>
      <c r="G178"/>
      <c r="H178" s="85"/>
      <c r="I178" s="86"/>
      <c r="J178" s="86"/>
    </row>
    <row r="179" spans="1:10">
      <c r="A179"/>
      <c r="B179"/>
      <c r="C179"/>
      <c r="D179"/>
      <c r="E179"/>
      <c r="F179"/>
      <c r="G179"/>
      <c r="H179" s="85"/>
      <c r="I179" s="86"/>
      <c r="J179" s="86"/>
    </row>
    <row r="180" spans="1:10">
      <c r="A180"/>
      <c r="B180"/>
      <c r="C180"/>
      <c r="D180"/>
      <c r="E180"/>
      <c r="F180"/>
      <c r="G180"/>
      <c r="H180" s="85"/>
      <c r="I180" s="86"/>
      <c r="J180" s="86"/>
    </row>
    <row r="181" spans="1:10">
      <c r="A181"/>
      <c r="B181"/>
      <c r="C181"/>
      <c r="D181"/>
      <c r="E181"/>
      <c r="F181"/>
      <c r="G181"/>
      <c r="H181" s="85"/>
      <c r="I181" s="86"/>
      <c r="J181" s="86"/>
    </row>
    <row r="182" spans="1:10">
      <c r="A182"/>
      <c r="B182"/>
      <c r="C182"/>
      <c r="D182"/>
      <c r="E182"/>
      <c r="F182"/>
      <c r="G182"/>
      <c r="H182" s="85"/>
      <c r="I182" s="86"/>
      <c r="J182" s="86"/>
    </row>
    <row r="183" spans="1:10">
      <c r="A183"/>
      <c r="B183"/>
      <c r="C183"/>
      <c r="D183"/>
      <c r="E183"/>
      <c r="F183"/>
      <c r="G183"/>
      <c r="H183" s="85"/>
      <c r="I183" s="86"/>
      <c r="J183" s="86"/>
    </row>
    <row r="184" spans="1:10">
      <c r="A184"/>
      <c r="B184"/>
      <c r="C184"/>
      <c r="D184"/>
      <c r="E184"/>
      <c r="F184"/>
      <c r="G184"/>
      <c r="H184" s="85"/>
      <c r="I184" s="86"/>
      <c r="J184" s="86"/>
    </row>
    <row r="185" spans="1:10">
      <c r="A185"/>
      <c r="B185"/>
      <c r="C185"/>
      <c r="D185"/>
      <c r="E185"/>
      <c r="F185"/>
      <c r="G185"/>
      <c r="H185" s="85"/>
      <c r="I185" s="86"/>
      <c r="J185" s="86"/>
    </row>
    <row r="186" spans="1:10">
      <c r="A186"/>
      <c r="B186"/>
      <c r="C186"/>
      <c r="D186"/>
      <c r="E186"/>
      <c r="F186"/>
      <c r="G186"/>
      <c r="H186" s="85"/>
      <c r="I186" s="86"/>
      <c r="J186" s="86"/>
    </row>
    <row r="187" spans="1:10">
      <c r="A187"/>
      <c r="B187"/>
      <c r="C187"/>
      <c r="D187"/>
      <c r="E187"/>
      <c r="F187"/>
      <c r="G187"/>
      <c r="H187" s="85"/>
      <c r="I187" s="86"/>
      <c r="J187" s="86"/>
    </row>
    <row r="188" spans="1:10">
      <c r="A188"/>
      <c r="B188"/>
      <c r="C188"/>
      <c r="D188"/>
      <c r="E188"/>
      <c r="F188"/>
      <c r="G188"/>
      <c r="H188" s="85"/>
      <c r="I188" s="86"/>
      <c r="J188" s="86"/>
    </row>
    <row r="189" spans="1:10">
      <c r="A189"/>
      <c r="B189"/>
      <c r="C189"/>
      <c r="D189"/>
      <c r="E189"/>
      <c r="F189"/>
      <c r="G189"/>
      <c r="H189" s="85"/>
      <c r="I189" s="86"/>
      <c r="J189" s="86"/>
    </row>
    <row r="190" spans="1:10">
      <c r="A190"/>
      <c r="B190"/>
      <c r="C190"/>
      <c r="D190"/>
      <c r="E190"/>
      <c r="F190"/>
      <c r="G190"/>
      <c r="H190" s="85"/>
      <c r="I190" s="86"/>
      <c r="J190" s="86"/>
    </row>
    <row r="191" spans="1:10">
      <c r="A191"/>
      <c r="B191"/>
      <c r="C191"/>
      <c r="D191"/>
      <c r="E191"/>
      <c r="F191"/>
      <c r="G191"/>
      <c r="H191" s="85"/>
      <c r="I191" s="86"/>
      <c r="J191" s="86"/>
    </row>
    <row r="192" spans="1:10">
      <c r="A192"/>
      <c r="B192"/>
      <c r="C192"/>
      <c r="D192"/>
      <c r="E192"/>
      <c r="F192"/>
      <c r="G192"/>
      <c r="H192" s="85"/>
      <c r="I192" s="86"/>
      <c r="J192" s="86"/>
    </row>
    <row r="193" spans="1:10">
      <c r="A193"/>
      <c r="B193"/>
      <c r="C193"/>
      <c r="D193"/>
      <c r="E193"/>
      <c r="F193"/>
      <c r="G193"/>
      <c r="H193" s="85"/>
      <c r="I193" s="86"/>
      <c r="J193" s="86"/>
    </row>
    <row r="194" spans="1:10">
      <c r="A194"/>
      <c r="B194"/>
      <c r="C194"/>
      <c r="D194"/>
      <c r="E194"/>
      <c r="F194"/>
      <c r="G194"/>
      <c r="H194" s="85"/>
      <c r="I194" s="86"/>
      <c r="J194" s="86"/>
    </row>
    <row r="195" spans="1:10">
      <c r="A195"/>
      <c r="B195"/>
      <c r="C195"/>
      <c r="D195"/>
      <c r="E195"/>
      <c r="F195"/>
      <c r="G195"/>
      <c r="H195" s="85"/>
      <c r="I195" s="86"/>
      <c r="J195" s="86"/>
    </row>
    <row r="196" spans="1:10">
      <c r="A196"/>
      <c r="B196"/>
      <c r="C196"/>
      <c r="D196"/>
      <c r="E196"/>
      <c r="F196"/>
      <c r="G196"/>
      <c r="H196" s="85"/>
      <c r="I196" s="86"/>
      <c r="J196" s="86"/>
    </row>
    <row r="197" spans="1:10">
      <c r="A197"/>
      <c r="B197"/>
      <c r="C197"/>
      <c r="D197"/>
      <c r="E197"/>
      <c r="F197"/>
      <c r="G197"/>
      <c r="H197" s="85"/>
      <c r="I197" s="86"/>
      <c r="J197" s="86"/>
    </row>
    <row r="198" spans="1:10">
      <c r="A198"/>
      <c r="B198"/>
      <c r="C198"/>
      <c r="D198"/>
      <c r="E198"/>
      <c r="F198"/>
      <c r="G198"/>
      <c r="H198" s="85"/>
      <c r="I198" s="86"/>
      <c r="J198" s="86"/>
    </row>
    <row r="199" spans="1:10">
      <c r="A199"/>
      <c r="B199"/>
      <c r="C199"/>
      <c r="D199"/>
      <c r="E199"/>
      <c r="F199"/>
      <c r="G199"/>
      <c r="H199" s="85"/>
      <c r="I199" s="86"/>
      <c r="J199" s="86"/>
    </row>
    <row r="200" spans="1:10">
      <c r="A200"/>
      <c r="B200"/>
      <c r="C200"/>
      <c r="D200"/>
      <c r="E200"/>
      <c r="F200"/>
      <c r="G200"/>
      <c r="H200" s="85"/>
      <c r="I200" s="86"/>
      <c r="J200" s="86"/>
    </row>
    <row r="201" spans="1:10">
      <c r="A201"/>
      <c r="B201"/>
      <c r="C201"/>
      <c r="D201"/>
      <c r="E201"/>
      <c r="F201"/>
      <c r="G201"/>
      <c r="H201" s="85"/>
      <c r="I201" s="86"/>
      <c r="J201" s="86"/>
    </row>
    <row r="202" spans="1:10">
      <c r="A202"/>
      <c r="B202"/>
      <c r="C202"/>
      <c r="D202"/>
      <c r="E202"/>
      <c r="F202"/>
      <c r="G202"/>
      <c r="H202" s="85"/>
      <c r="I202" s="86"/>
      <c r="J202" s="86"/>
    </row>
    <row r="203" spans="1:10">
      <c r="A203"/>
      <c r="B203"/>
      <c r="C203"/>
      <c r="D203"/>
      <c r="E203"/>
      <c r="F203"/>
      <c r="G203"/>
      <c r="H203" s="85"/>
      <c r="I203" s="86"/>
      <c r="J203" s="86"/>
    </row>
    <row r="204" spans="1:10">
      <c r="A204"/>
      <c r="B204"/>
      <c r="C204"/>
      <c r="D204"/>
      <c r="E204"/>
      <c r="F204"/>
      <c r="G204"/>
      <c r="H204" s="85"/>
      <c r="I204" s="86"/>
      <c r="J204" s="86"/>
    </row>
    <row r="205" spans="1:10">
      <c r="A205"/>
      <c r="B205"/>
      <c r="C205"/>
      <c r="D205"/>
      <c r="E205"/>
      <c r="F205"/>
      <c r="G205"/>
      <c r="H205" s="85"/>
      <c r="I205" s="86"/>
      <c r="J205" s="86"/>
    </row>
    <row r="206" spans="1:10">
      <c r="A206"/>
      <c r="B206"/>
      <c r="C206"/>
      <c r="D206"/>
      <c r="E206"/>
      <c r="F206"/>
      <c r="G206"/>
      <c r="H206" s="85"/>
      <c r="I206" s="86"/>
      <c r="J206" s="86"/>
    </row>
    <row r="207" spans="1:10">
      <c r="A207"/>
      <c r="B207"/>
      <c r="C207"/>
      <c r="D207"/>
      <c r="E207"/>
      <c r="F207"/>
      <c r="G207"/>
      <c r="H207" s="85"/>
      <c r="I207" s="86"/>
      <c r="J207" s="86"/>
    </row>
    <row r="208" spans="1:10">
      <c r="A208"/>
      <c r="B208"/>
      <c r="C208"/>
      <c r="D208"/>
      <c r="E208"/>
      <c r="F208"/>
      <c r="G208"/>
      <c r="H208" s="85"/>
      <c r="I208" s="86"/>
      <c r="J208" s="86"/>
    </row>
    <row r="209" spans="1:10">
      <c r="A209"/>
      <c r="B209"/>
      <c r="C209"/>
      <c r="D209"/>
      <c r="E209"/>
      <c r="F209"/>
      <c r="G209"/>
      <c r="H209" s="85"/>
      <c r="I209" s="86"/>
      <c r="J209" s="86"/>
    </row>
    <row r="210" spans="1:10">
      <c r="A210"/>
      <c r="B210"/>
      <c r="C210"/>
      <c r="D210"/>
      <c r="E210"/>
      <c r="F210"/>
      <c r="G210"/>
      <c r="H210" s="85"/>
      <c r="I210" s="86"/>
      <c r="J210" s="86"/>
    </row>
    <row r="211" spans="1:10">
      <c r="A211"/>
      <c r="B211"/>
      <c r="C211"/>
      <c r="D211"/>
      <c r="E211"/>
      <c r="F211"/>
      <c r="G211"/>
      <c r="H211" s="85"/>
      <c r="I211" s="86"/>
      <c r="J211" s="86"/>
    </row>
    <row r="212" spans="1:10">
      <c r="A212"/>
      <c r="B212"/>
      <c r="C212"/>
      <c r="D212"/>
      <c r="E212"/>
      <c r="F212"/>
      <c r="G212"/>
      <c r="H212" s="85"/>
      <c r="I212" s="86"/>
      <c r="J212" s="86"/>
    </row>
    <row r="213" spans="1:10">
      <c r="A213"/>
      <c r="B213"/>
      <c r="C213"/>
      <c r="D213"/>
      <c r="E213"/>
      <c r="F213"/>
      <c r="G213"/>
      <c r="H213" s="85"/>
      <c r="I213" s="86"/>
      <c r="J213" s="86"/>
    </row>
    <row r="214" spans="1:10">
      <c r="A214"/>
      <c r="B214"/>
      <c r="C214"/>
      <c r="D214"/>
      <c r="E214"/>
      <c r="F214"/>
      <c r="G214"/>
      <c r="H214" s="85"/>
      <c r="I214" s="86"/>
      <c r="J214" s="86"/>
    </row>
    <row r="215" spans="1:10">
      <c r="A215"/>
      <c r="B215"/>
      <c r="C215"/>
      <c r="D215"/>
      <c r="E215"/>
      <c r="F215"/>
      <c r="G215"/>
      <c r="H215" s="85"/>
      <c r="I215" s="86"/>
      <c r="J215" s="86"/>
    </row>
    <row r="216" spans="1:10">
      <c r="A216"/>
      <c r="B216"/>
      <c r="C216"/>
      <c r="D216"/>
      <c r="E216"/>
      <c r="F216"/>
      <c r="G216"/>
      <c r="H216" s="85"/>
      <c r="I216" s="86"/>
      <c r="J216" s="86"/>
    </row>
    <row r="217" spans="1:10">
      <c r="A217"/>
      <c r="B217"/>
      <c r="C217"/>
      <c r="D217"/>
      <c r="E217"/>
      <c r="F217"/>
      <c r="G217"/>
      <c r="H217" s="85"/>
      <c r="I217" s="86"/>
      <c r="J217" s="86"/>
    </row>
    <row r="218" spans="1:10">
      <c r="A218"/>
      <c r="B218"/>
      <c r="C218"/>
      <c r="D218"/>
      <c r="E218"/>
      <c r="F218"/>
      <c r="G218"/>
      <c r="H218" s="85"/>
      <c r="I218" s="86"/>
      <c r="J218" s="86"/>
    </row>
    <row r="219" spans="1:10">
      <c r="A219"/>
      <c r="B219"/>
      <c r="C219"/>
      <c r="D219"/>
      <c r="E219"/>
      <c r="F219"/>
      <c r="G219"/>
      <c r="H219" s="85"/>
      <c r="I219" s="86"/>
      <c r="J219" s="86"/>
    </row>
    <row r="220" spans="1:10">
      <c r="A220"/>
      <c r="B220"/>
      <c r="C220"/>
      <c r="D220"/>
      <c r="E220"/>
      <c r="F220"/>
      <c r="G220"/>
      <c r="H220" s="85"/>
      <c r="I220" s="86"/>
      <c r="J220" s="86"/>
    </row>
    <row r="221" spans="1:10">
      <c r="A221"/>
      <c r="B221"/>
      <c r="C221"/>
      <c r="D221"/>
      <c r="E221"/>
      <c r="F221"/>
      <c r="G221"/>
      <c r="H221" s="85"/>
      <c r="I221" s="86"/>
      <c r="J221" s="86"/>
    </row>
    <row r="222" spans="1:10">
      <c r="A222"/>
      <c r="B222"/>
      <c r="C222"/>
      <c r="D222"/>
      <c r="E222"/>
      <c r="F222"/>
      <c r="G222"/>
      <c r="H222" s="85"/>
      <c r="I222" s="86"/>
      <c r="J222" s="86"/>
    </row>
    <row r="223" spans="1:10">
      <c r="A223"/>
      <c r="B223"/>
      <c r="C223"/>
      <c r="D223"/>
      <c r="E223"/>
      <c r="F223"/>
      <c r="G223"/>
      <c r="H223" s="85"/>
      <c r="I223" s="86"/>
      <c r="J223" s="86"/>
    </row>
    <row r="224" spans="1:10">
      <c r="A224"/>
      <c r="B224"/>
      <c r="C224"/>
      <c r="D224"/>
      <c r="E224"/>
      <c r="F224"/>
      <c r="G224"/>
      <c r="H224" s="85"/>
      <c r="I224" s="86"/>
      <c r="J224" s="86"/>
    </row>
    <row r="225" spans="1:10">
      <c r="A225"/>
      <c r="B225"/>
      <c r="C225"/>
      <c r="D225"/>
      <c r="E225"/>
      <c r="F225"/>
      <c r="G225"/>
      <c r="H225" s="85"/>
      <c r="I225" s="86"/>
      <c r="J225" s="86"/>
    </row>
    <row r="226" spans="1:10">
      <c r="A226"/>
      <c r="B226"/>
      <c r="C226"/>
      <c r="D226"/>
      <c r="E226"/>
      <c r="F226"/>
      <c r="G226"/>
      <c r="H226" s="85"/>
      <c r="I226" s="86"/>
      <c r="J226" s="37"/>
    </row>
    <row r="227" spans="1:10">
      <c r="A227"/>
      <c r="B227"/>
      <c r="C227"/>
      <c r="D227"/>
      <c r="E227"/>
      <c r="F227"/>
      <c r="G227"/>
      <c r="H227" s="85"/>
      <c r="I227" s="86"/>
      <c r="J227" s="45"/>
    </row>
    <row r="228" spans="1:10">
      <c r="A228"/>
      <c r="B228"/>
      <c r="C228"/>
      <c r="D228"/>
      <c r="E228"/>
      <c r="F228"/>
      <c r="G228"/>
      <c r="H228" s="85"/>
      <c r="I228" s="86"/>
      <c r="J228" s="45"/>
    </row>
    <row r="229" spans="1:10">
      <c r="A229"/>
      <c r="B229"/>
      <c r="C229"/>
      <c r="D229"/>
      <c r="E229"/>
      <c r="F229"/>
      <c r="G229"/>
      <c r="H229" s="85"/>
      <c r="I229" s="86"/>
      <c r="J229" s="46"/>
    </row>
    <row r="230" spans="1:10">
      <c r="A230"/>
      <c r="B230"/>
      <c r="C230"/>
      <c r="D230"/>
      <c r="E230"/>
      <c r="F230"/>
      <c r="G230"/>
      <c r="H230" s="85"/>
      <c r="I230" s="86"/>
      <c r="J230" s="13"/>
    </row>
    <row r="231" spans="1:10">
      <c r="A231"/>
      <c r="B231"/>
      <c r="C231"/>
      <c r="D231"/>
      <c r="E231"/>
      <c r="F231"/>
      <c r="G231"/>
      <c r="H231" s="85"/>
      <c r="I231" s="86"/>
    </row>
    <row r="232" spans="1:10">
      <c r="A232"/>
      <c r="B232"/>
      <c r="C232"/>
      <c r="D232"/>
      <c r="E232"/>
      <c r="F232"/>
      <c r="G232"/>
      <c r="H232" s="85"/>
      <c r="I232" s="86"/>
    </row>
    <row r="233" spans="1:10">
      <c r="A233"/>
      <c r="B233"/>
      <c r="C233"/>
      <c r="D233"/>
      <c r="E233"/>
      <c r="F233"/>
      <c r="G233"/>
      <c r="H233" s="85"/>
      <c r="I233" s="86"/>
    </row>
    <row r="234" spans="1:10">
      <c r="A234"/>
      <c r="B234"/>
      <c r="C234"/>
      <c r="D234"/>
      <c r="E234"/>
      <c r="F234"/>
      <c r="G234"/>
      <c r="H234" s="85"/>
      <c r="I234" s="86"/>
    </row>
    <row r="235" spans="1:10">
      <c r="A235"/>
      <c r="B235"/>
      <c r="C235"/>
      <c r="D235"/>
      <c r="E235"/>
      <c r="F235"/>
      <c r="G235"/>
      <c r="H235" s="85"/>
      <c r="I235" s="86"/>
    </row>
    <row r="236" spans="1:10">
      <c r="A236"/>
      <c r="B236"/>
      <c r="C236"/>
      <c r="D236"/>
      <c r="E236"/>
      <c r="F236"/>
      <c r="G236"/>
      <c r="H236" s="85"/>
      <c r="I236" s="86"/>
    </row>
    <row r="237" spans="1:10">
      <c r="A237"/>
      <c r="B237"/>
      <c r="C237"/>
      <c r="D237"/>
      <c r="E237"/>
      <c r="F237"/>
      <c r="G237"/>
      <c r="H237" s="85"/>
      <c r="I237" s="86"/>
    </row>
    <row r="238" spans="1:10">
      <c r="A238"/>
      <c r="B238"/>
      <c r="C238"/>
      <c r="D238"/>
      <c r="E238"/>
      <c r="F238"/>
      <c r="G238"/>
      <c r="H238" s="85"/>
      <c r="I238" s="86"/>
    </row>
    <row r="239" spans="1:10">
      <c r="A239"/>
      <c r="B239"/>
      <c r="C239"/>
      <c r="D239"/>
      <c r="E239"/>
      <c r="F239"/>
      <c r="G239"/>
      <c r="H239" s="85"/>
      <c r="I239" s="86"/>
    </row>
    <row r="240" spans="1:10">
      <c r="A240"/>
      <c r="B240"/>
      <c r="C240"/>
      <c r="D240"/>
      <c r="E240"/>
      <c r="F240"/>
      <c r="G240"/>
      <c r="H240" s="85"/>
      <c r="I240" s="86"/>
    </row>
    <row r="241" spans="1:9">
      <c r="A241"/>
      <c r="B241"/>
      <c r="C241"/>
      <c r="D241"/>
      <c r="E241"/>
      <c r="F241"/>
      <c r="G241"/>
      <c r="H241" s="85"/>
      <c r="I241" s="86"/>
    </row>
    <row r="242" spans="1:9">
      <c r="A242"/>
      <c r="B242"/>
      <c r="C242"/>
      <c r="D242"/>
      <c r="E242"/>
      <c r="F242"/>
      <c r="G242"/>
      <c r="H242" s="85"/>
      <c r="I242" s="86"/>
    </row>
    <row r="243" spans="1:9">
      <c r="A243"/>
      <c r="B243"/>
      <c r="C243"/>
      <c r="D243"/>
      <c r="E243"/>
      <c r="F243"/>
      <c r="G243"/>
      <c r="H243" s="85"/>
      <c r="I243" s="86"/>
    </row>
    <row r="244" spans="1:9">
      <c r="A244"/>
      <c r="B244"/>
      <c r="C244"/>
      <c r="D244"/>
      <c r="E244"/>
      <c r="F244"/>
      <c r="G244"/>
      <c r="H244" s="85"/>
      <c r="I244" s="86"/>
    </row>
    <row r="245" spans="1:9">
      <c r="A245"/>
      <c r="B245"/>
      <c r="C245"/>
      <c r="D245"/>
      <c r="E245"/>
      <c r="F245"/>
      <c r="G245"/>
      <c r="H245" s="85"/>
      <c r="I245" s="86"/>
    </row>
    <row r="246" spans="1:9">
      <c r="A246"/>
      <c r="B246"/>
      <c r="C246"/>
      <c r="D246"/>
      <c r="E246"/>
      <c r="F246"/>
      <c r="G246"/>
      <c r="H246" s="85"/>
      <c r="I246" s="86"/>
    </row>
    <row r="247" spans="1:9">
      <c r="A247"/>
      <c r="B247"/>
      <c r="C247"/>
      <c r="D247"/>
      <c r="E247"/>
      <c r="F247"/>
      <c r="G247"/>
      <c r="H247" s="85"/>
      <c r="I247" s="86"/>
    </row>
    <row r="248" spans="1:9">
      <c r="A248"/>
      <c r="B248"/>
      <c r="C248"/>
      <c r="D248"/>
      <c r="E248"/>
      <c r="F248"/>
      <c r="G248"/>
      <c r="H248" s="37"/>
      <c r="I248" s="86"/>
    </row>
    <row r="249" spans="1:9">
      <c r="A249"/>
      <c r="B249"/>
      <c r="C249"/>
      <c r="D249"/>
      <c r="E249"/>
      <c r="F249"/>
      <c r="G249"/>
      <c r="H249" s="37"/>
      <c r="I249" s="86"/>
    </row>
    <row r="250" spans="1:9">
      <c r="A250"/>
      <c r="B250"/>
      <c r="C250"/>
      <c r="D250"/>
      <c r="E250"/>
      <c r="F250"/>
      <c r="G250"/>
      <c r="H250" s="85"/>
      <c r="I250" s="37"/>
    </row>
    <row r="251" spans="1:9">
      <c r="A251"/>
      <c r="B251"/>
      <c r="C251"/>
      <c r="D251"/>
      <c r="E251"/>
      <c r="F251"/>
      <c r="G251"/>
      <c r="H251" s="85"/>
      <c r="I251" s="45"/>
    </row>
    <row r="252" spans="1:9">
      <c r="A252"/>
      <c r="B252"/>
      <c r="C252"/>
      <c r="D252"/>
      <c r="E252"/>
      <c r="F252"/>
      <c r="G252"/>
      <c r="H252" s="85"/>
      <c r="I252" s="45"/>
    </row>
    <row r="253" spans="1:9">
      <c r="A253"/>
      <c r="B253"/>
      <c r="C253"/>
      <c r="D253"/>
      <c r="E253"/>
      <c r="F253"/>
      <c r="G253"/>
      <c r="H253" s="85"/>
      <c r="I253" s="46"/>
    </row>
    <row r="254" spans="1:9">
      <c r="A254"/>
      <c r="B254"/>
      <c r="C254"/>
      <c r="D254"/>
      <c r="E254"/>
      <c r="F254"/>
      <c r="G254"/>
      <c r="H254" s="85"/>
      <c r="I254" s="13"/>
    </row>
    <row r="255" spans="1:9">
      <c r="A255"/>
      <c r="B255"/>
      <c r="C255"/>
      <c r="D255"/>
      <c r="E255"/>
      <c r="F255"/>
      <c r="G255"/>
      <c r="H255" s="85"/>
    </row>
    <row r="256" spans="1:9">
      <c r="A256"/>
      <c r="B256"/>
      <c r="C256"/>
      <c r="D256"/>
      <c r="E256"/>
      <c r="F256"/>
      <c r="G256"/>
      <c r="H256" s="85"/>
    </row>
    <row r="257" spans="1:8">
      <c r="A257"/>
      <c r="B257"/>
      <c r="C257"/>
      <c r="D257"/>
      <c r="E257"/>
      <c r="F257"/>
      <c r="G257"/>
      <c r="H257" s="85"/>
    </row>
    <row r="258" spans="1:8">
      <c r="A258"/>
      <c r="B258"/>
      <c r="C258"/>
      <c r="D258"/>
      <c r="E258"/>
      <c r="F258"/>
      <c r="G258"/>
      <c r="H258" s="85"/>
    </row>
    <row r="259" spans="1:8">
      <c r="A259"/>
      <c r="B259"/>
      <c r="C259"/>
      <c r="D259"/>
      <c r="E259"/>
      <c r="F259"/>
      <c r="G259"/>
      <c r="H259" s="85"/>
    </row>
    <row r="260" spans="1:8">
      <c r="A260"/>
      <c r="B260"/>
      <c r="C260"/>
      <c r="D260"/>
      <c r="E260"/>
      <c r="F260"/>
      <c r="G260"/>
      <c r="H260" s="85"/>
    </row>
    <row r="261" spans="1:8">
      <c r="A261"/>
      <c r="B261"/>
      <c r="C261"/>
      <c r="D261"/>
      <c r="E261"/>
      <c r="F261"/>
      <c r="G261"/>
      <c r="H261" s="85"/>
    </row>
    <row r="262" spans="1:8">
      <c r="A262"/>
      <c r="B262"/>
      <c r="C262"/>
      <c r="D262"/>
      <c r="E262"/>
      <c r="F262"/>
      <c r="G262"/>
      <c r="H262" s="85"/>
    </row>
    <row r="263" spans="1:8">
      <c r="A263"/>
      <c r="B263"/>
      <c r="C263"/>
      <c r="D263"/>
      <c r="E263"/>
      <c r="F263"/>
      <c r="G263"/>
      <c r="H263" s="85"/>
    </row>
    <row r="264" spans="1:8">
      <c r="A264"/>
      <c r="B264"/>
      <c r="C264"/>
      <c r="D264"/>
      <c r="E264"/>
      <c r="F264"/>
      <c r="G264"/>
      <c r="H264" s="85"/>
    </row>
    <row r="265" spans="1:8">
      <c r="A265"/>
      <c r="B265"/>
      <c r="C265"/>
      <c r="D265"/>
      <c r="E265"/>
      <c r="F265"/>
      <c r="G265"/>
      <c r="H265" s="85"/>
    </row>
    <row r="266" spans="1:8">
      <c r="A266"/>
      <c r="B266"/>
      <c r="C266"/>
      <c r="D266"/>
      <c r="E266"/>
      <c r="F266"/>
      <c r="G266"/>
      <c r="H266" s="85"/>
    </row>
    <row r="267" spans="1:8">
      <c r="A267"/>
      <c r="B267"/>
      <c r="C267"/>
      <c r="D267"/>
      <c r="E267"/>
      <c r="F267"/>
      <c r="G267"/>
      <c r="H267" s="85"/>
    </row>
    <row r="268" spans="1:8">
      <c r="A268"/>
      <c r="B268"/>
      <c r="C268"/>
      <c r="D268"/>
      <c r="E268"/>
      <c r="F268"/>
      <c r="G268"/>
      <c r="H268" s="85"/>
    </row>
    <row r="269" spans="1:8">
      <c r="A269"/>
      <c r="B269"/>
      <c r="C269"/>
      <c r="D269"/>
      <c r="E269"/>
      <c r="F269"/>
      <c r="G269"/>
      <c r="H269" s="85"/>
    </row>
    <row r="270" spans="1:8">
      <c r="A270"/>
      <c r="B270"/>
      <c r="C270"/>
      <c r="D270"/>
      <c r="E270"/>
      <c r="F270"/>
      <c r="G270"/>
      <c r="H270" s="78"/>
    </row>
    <row r="271" spans="1:8">
      <c r="A271"/>
      <c r="B271"/>
      <c r="C271"/>
      <c r="D271"/>
      <c r="E271"/>
      <c r="F271"/>
      <c r="G271"/>
      <c r="H271" s="78"/>
    </row>
    <row r="272" spans="1:8">
      <c r="A272"/>
      <c r="B272"/>
      <c r="C272"/>
      <c r="D272"/>
      <c r="E272"/>
      <c r="F272"/>
      <c r="G272"/>
      <c r="H272" s="85"/>
    </row>
    <row r="273" spans="1:8">
      <c r="A273"/>
      <c r="B273"/>
      <c r="C273"/>
      <c r="D273"/>
      <c r="E273"/>
      <c r="F273"/>
      <c r="G273"/>
      <c r="H273" s="85"/>
    </row>
    <row r="274" spans="1:8">
      <c r="A274"/>
      <c r="B274"/>
      <c r="C274"/>
      <c r="D274"/>
      <c r="E274"/>
      <c r="F274"/>
      <c r="G274"/>
      <c r="H274" s="78"/>
    </row>
    <row r="275" spans="1:8">
      <c r="A275"/>
      <c r="B275"/>
      <c r="C275"/>
      <c r="D275"/>
      <c r="E275"/>
      <c r="F275"/>
      <c r="G275"/>
      <c r="H275" s="78"/>
    </row>
    <row r="276" spans="1:8">
      <c r="A276"/>
      <c r="B276"/>
      <c r="C276"/>
      <c r="D276"/>
      <c r="E276"/>
      <c r="F276"/>
      <c r="G276"/>
      <c r="H276" s="78"/>
    </row>
    <row r="277" spans="1:8">
      <c r="A277"/>
      <c r="B277"/>
      <c r="C277"/>
      <c r="D277"/>
      <c r="E277"/>
      <c r="F277"/>
      <c r="G277"/>
      <c r="H277" s="78"/>
    </row>
    <row r="278" spans="1:8">
      <c r="A278"/>
      <c r="B278"/>
      <c r="C278"/>
      <c r="D278"/>
      <c r="E278"/>
      <c r="F278"/>
      <c r="G278"/>
      <c r="H278" s="78"/>
    </row>
    <row r="279" spans="1:8">
      <c r="A279"/>
      <c r="B279"/>
      <c r="C279"/>
      <c r="D279"/>
      <c r="E279"/>
      <c r="F279"/>
      <c r="G279"/>
      <c r="H279" s="78"/>
    </row>
    <row r="280" spans="1:8">
      <c r="A280"/>
      <c r="B280"/>
      <c r="C280"/>
      <c r="D280"/>
      <c r="E280"/>
      <c r="F280"/>
      <c r="G280"/>
      <c r="H280" s="78"/>
    </row>
    <row r="281" spans="1:8">
      <c r="A281"/>
      <c r="B281"/>
      <c r="C281"/>
      <c r="D281"/>
      <c r="E281"/>
      <c r="F281"/>
      <c r="G281"/>
      <c r="H281" s="78"/>
    </row>
    <row r="282" spans="1:8">
      <c r="A282"/>
      <c r="B282"/>
      <c r="C282"/>
      <c r="D282"/>
      <c r="E282"/>
      <c r="F282"/>
      <c r="G282"/>
      <c r="H282" s="78"/>
    </row>
    <row r="283" spans="1:8">
      <c r="A283"/>
      <c r="B283"/>
      <c r="C283"/>
      <c r="D283"/>
      <c r="E283"/>
      <c r="F283"/>
      <c r="G283"/>
      <c r="H283" s="85"/>
    </row>
    <row r="284" spans="1:8">
      <c r="A284"/>
      <c r="B284"/>
      <c r="C284"/>
      <c r="D284"/>
      <c r="E284"/>
      <c r="F284"/>
      <c r="G284"/>
      <c r="H284" s="85"/>
    </row>
    <row r="285" spans="1:8">
      <c r="A285"/>
      <c r="B285"/>
      <c r="C285"/>
      <c r="D285"/>
      <c r="E285"/>
      <c r="F285"/>
      <c r="G285"/>
      <c r="H285" s="78"/>
    </row>
    <row r="286" spans="1:8">
      <c r="A286"/>
      <c r="B286"/>
      <c r="C286"/>
      <c r="D286"/>
      <c r="E286"/>
      <c r="F286"/>
      <c r="G286"/>
      <c r="H286" s="78"/>
    </row>
    <row r="287" spans="1:8">
      <c r="A287"/>
      <c r="B287"/>
      <c r="C287"/>
      <c r="D287"/>
      <c r="E287"/>
      <c r="F287"/>
      <c r="G287"/>
      <c r="H287" s="78"/>
    </row>
    <row r="288" spans="1:8">
      <c r="A288"/>
      <c r="B288"/>
      <c r="C288"/>
      <c r="D288"/>
      <c r="E288"/>
      <c r="F288"/>
      <c r="G288"/>
      <c r="H288" s="78"/>
    </row>
    <row r="289" spans="1:8">
      <c r="A289"/>
      <c r="B289"/>
      <c r="C289"/>
      <c r="D289"/>
      <c r="E289"/>
      <c r="F289"/>
      <c r="G289"/>
      <c r="H289" s="78"/>
    </row>
    <row r="290" spans="1:8">
      <c r="A290"/>
      <c r="B290"/>
      <c r="C290"/>
      <c r="D290"/>
      <c r="E290"/>
      <c r="F290"/>
      <c r="G290"/>
      <c r="H290" s="78"/>
    </row>
    <row r="291" spans="1:8">
      <c r="A291"/>
      <c r="B291"/>
      <c r="C291"/>
      <c r="D291"/>
      <c r="E291"/>
      <c r="F291"/>
      <c r="G291"/>
      <c r="H291" s="78"/>
    </row>
    <row r="292" spans="1:8">
      <c r="A292"/>
      <c r="B292"/>
      <c r="C292"/>
      <c r="D292"/>
      <c r="E292"/>
      <c r="F292"/>
      <c r="G292"/>
      <c r="H292" s="78"/>
    </row>
    <row r="293" spans="1:8">
      <c r="A293"/>
      <c r="B293"/>
      <c r="C293"/>
      <c r="D293"/>
      <c r="E293"/>
      <c r="F293"/>
      <c r="G293"/>
      <c r="H293" s="78"/>
    </row>
    <row r="294" spans="1:8">
      <c r="A294"/>
      <c r="B294"/>
      <c r="C294"/>
      <c r="D294"/>
      <c r="E294"/>
      <c r="F294"/>
      <c r="G294"/>
      <c r="H294" s="78"/>
    </row>
    <row r="295" spans="1:8">
      <c r="A295"/>
      <c r="B295"/>
      <c r="C295"/>
      <c r="D295"/>
      <c r="E295"/>
      <c r="F295"/>
      <c r="G295"/>
      <c r="H295" s="85"/>
    </row>
    <row r="296" spans="1:8">
      <c r="A296"/>
      <c r="B296"/>
      <c r="C296"/>
      <c r="D296"/>
      <c r="E296"/>
      <c r="F296"/>
      <c r="G296"/>
      <c r="H296" s="78"/>
    </row>
    <row r="297" spans="1:8">
      <c r="A297"/>
      <c r="B297"/>
      <c r="C297"/>
      <c r="D297"/>
      <c r="E297"/>
      <c r="F297"/>
      <c r="G297"/>
      <c r="H297" s="78"/>
    </row>
    <row r="298" spans="1:8">
      <c r="A298"/>
      <c r="B298"/>
      <c r="C298"/>
      <c r="D298"/>
      <c r="E298"/>
      <c r="F298"/>
      <c r="G298"/>
      <c r="H298" s="78"/>
    </row>
    <row r="299" spans="1:8">
      <c r="A299"/>
      <c r="B299"/>
      <c r="C299"/>
      <c r="D299"/>
      <c r="E299"/>
      <c r="F299"/>
      <c r="G299"/>
      <c r="H299" s="78"/>
    </row>
    <row r="300" spans="1:8">
      <c r="A300"/>
      <c r="B300"/>
      <c r="C300"/>
      <c r="D300"/>
      <c r="E300"/>
      <c r="F300"/>
      <c r="G300"/>
      <c r="H300" s="78"/>
    </row>
    <row r="301" spans="1:8">
      <c r="A301"/>
      <c r="B301"/>
      <c r="C301"/>
      <c r="D301"/>
      <c r="E301"/>
      <c r="F301"/>
      <c r="G301"/>
      <c r="H301" s="78"/>
    </row>
    <row r="302" spans="1:8">
      <c r="A302"/>
      <c r="B302"/>
      <c r="C302"/>
      <c r="D302"/>
      <c r="E302"/>
      <c r="F302"/>
      <c r="G302"/>
      <c r="H302" s="78"/>
    </row>
    <row r="303" spans="1:8">
      <c r="A303"/>
      <c r="B303"/>
      <c r="C303"/>
      <c r="D303"/>
      <c r="E303"/>
      <c r="F303"/>
      <c r="G303"/>
      <c r="H303" s="78"/>
    </row>
    <row r="304" spans="1:8">
      <c r="A304"/>
      <c r="B304"/>
      <c r="C304"/>
      <c r="D304"/>
      <c r="E304"/>
      <c r="F304"/>
      <c r="G304"/>
      <c r="H304" s="78"/>
    </row>
    <row r="305" spans="1:8">
      <c r="A305"/>
      <c r="B305"/>
      <c r="C305"/>
      <c r="D305"/>
      <c r="E305"/>
      <c r="F305"/>
      <c r="G305"/>
      <c r="H305" s="85"/>
    </row>
    <row r="306" spans="1:8">
      <c r="A306"/>
      <c r="B306"/>
      <c r="C306"/>
      <c r="D306"/>
      <c r="E306"/>
      <c r="F306"/>
      <c r="G306"/>
      <c r="H306" s="85"/>
    </row>
    <row r="307" spans="1:8">
      <c r="A307"/>
      <c r="B307"/>
      <c r="C307"/>
      <c r="D307"/>
      <c r="E307"/>
      <c r="F307"/>
      <c r="G307"/>
      <c r="H307" s="85"/>
    </row>
    <row r="308" spans="1:8">
      <c r="A308"/>
      <c r="B308"/>
      <c r="C308"/>
      <c r="D308"/>
      <c r="E308"/>
      <c r="F308"/>
      <c r="G308"/>
      <c r="H308" s="85"/>
    </row>
    <row r="309" spans="1:8">
      <c r="A309"/>
      <c r="B309"/>
      <c r="C309"/>
      <c r="D309"/>
      <c r="E309"/>
      <c r="F309"/>
      <c r="G309"/>
      <c r="H309" s="85"/>
    </row>
    <row r="310" spans="1:8">
      <c r="A310"/>
      <c r="B310"/>
      <c r="C310"/>
      <c r="D310"/>
      <c r="E310"/>
      <c r="F310"/>
      <c r="G310"/>
      <c r="H310" s="85"/>
    </row>
    <row r="311" spans="1:8">
      <c r="A311"/>
      <c r="B311"/>
      <c r="C311"/>
      <c r="D311"/>
      <c r="E311"/>
      <c r="F311"/>
      <c r="G311"/>
      <c r="H311" s="85"/>
    </row>
    <row r="312" spans="1:8">
      <c r="A312"/>
      <c r="B312"/>
      <c r="C312"/>
      <c r="D312"/>
      <c r="E312"/>
      <c r="F312"/>
      <c r="G312"/>
      <c r="H312" s="85"/>
    </row>
    <row r="313" spans="1:8">
      <c r="A313"/>
      <c r="B313"/>
      <c r="C313"/>
      <c r="D313"/>
      <c r="E313"/>
      <c r="F313"/>
      <c r="G313"/>
      <c r="H313" s="85"/>
    </row>
    <row r="314" spans="1:8">
      <c r="A314"/>
      <c r="B314"/>
      <c r="C314"/>
      <c r="D314"/>
      <c r="E314"/>
      <c r="F314"/>
      <c r="G314"/>
      <c r="H314" s="85"/>
    </row>
    <row r="315" spans="1:8">
      <c r="A315"/>
      <c r="B315"/>
      <c r="C315"/>
      <c r="D315"/>
      <c r="E315"/>
      <c r="F315"/>
      <c r="G315"/>
      <c r="H315" s="78"/>
    </row>
    <row r="316" spans="1:8">
      <c r="A316"/>
      <c r="B316"/>
      <c r="C316"/>
      <c r="D316"/>
      <c r="E316"/>
      <c r="F316"/>
      <c r="G316"/>
      <c r="H316" s="78"/>
    </row>
    <row r="317" spans="1:8">
      <c r="A317"/>
      <c r="B317"/>
      <c r="C317"/>
      <c r="D317"/>
      <c r="E317"/>
      <c r="F317"/>
      <c r="G317"/>
      <c r="H317" s="78"/>
    </row>
    <row r="318" spans="1:8">
      <c r="A318"/>
      <c r="B318"/>
      <c r="C318"/>
      <c r="D318"/>
      <c r="E318"/>
      <c r="F318"/>
      <c r="G318"/>
      <c r="H318" s="78"/>
    </row>
    <row r="319" spans="1:8">
      <c r="A319"/>
      <c r="B319"/>
      <c r="C319"/>
      <c r="D319"/>
      <c r="E319"/>
      <c r="F319"/>
      <c r="G319"/>
      <c r="H319" s="78"/>
    </row>
    <row r="320" spans="1:8">
      <c r="A320"/>
      <c r="B320"/>
      <c r="C320"/>
      <c r="D320"/>
      <c r="E320"/>
      <c r="F320"/>
      <c r="G320"/>
      <c r="H320" s="78"/>
    </row>
    <row r="321" spans="1:8">
      <c r="A321"/>
      <c r="B321"/>
      <c r="C321"/>
      <c r="D321"/>
      <c r="E321"/>
      <c r="F321"/>
      <c r="G321"/>
      <c r="H321" s="78"/>
    </row>
    <row r="322" spans="1:8">
      <c r="A322"/>
      <c r="B322"/>
      <c r="C322"/>
      <c r="D322"/>
      <c r="E322"/>
      <c r="F322"/>
      <c r="G322"/>
      <c r="H322" s="78"/>
    </row>
    <row r="323" spans="1:8">
      <c r="A323"/>
      <c r="B323"/>
      <c r="C323"/>
      <c r="D323"/>
      <c r="E323"/>
      <c r="F323"/>
      <c r="G323"/>
      <c r="H323" s="78"/>
    </row>
    <row r="324" spans="1:8">
      <c r="A324"/>
      <c r="B324"/>
      <c r="C324"/>
      <c r="D324"/>
      <c r="E324"/>
      <c r="F324"/>
      <c r="G324"/>
      <c r="H324" s="78"/>
    </row>
    <row r="325" spans="1:8">
      <c r="A325"/>
      <c r="B325"/>
      <c r="C325"/>
      <c r="D325"/>
      <c r="E325"/>
      <c r="F325"/>
      <c r="G325"/>
      <c r="H325" s="78"/>
    </row>
    <row r="326" spans="1:8">
      <c r="A326"/>
      <c r="B326"/>
      <c r="C326"/>
      <c r="D326"/>
      <c r="E326"/>
      <c r="F326"/>
      <c r="G326"/>
      <c r="H326" s="78"/>
    </row>
    <row r="327" spans="1:8">
      <c r="A327"/>
      <c r="B327"/>
      <c r="C327"/>
      <c r="D327"/>
      <c r="E327"/>
      <c r="F327"/>
      <c r="G327"/>
      <c r="H327" s="78"/>
    </row>
    <row r="328" spans="1:8">
      <c r="A328"/>
      <c r="B328"/>
      <c r="C328"/>
      <c r="D328"/>
      <c r="E328"/>
      <c r="F328"/>
      <c r="G328"/>
      <c r="H328" s="78"/>
    </row>
    <row r="329" spans="1:8">
      <c r="A329"/>
      <c r="B329"/>
      <c r="C329"/>
      <c r="D329"/>
      <c r="E329"/>
      <c r="F329"/>
      <c r="G329"/>
      <c r="H329" s="78"/>
    </row>
    <row r="330" spans="1:8">
      <c r="A330"/>
      <c r="B330"/>
      <c r="C330"/>
      <c r="D330"/>
      <c r="E330"/>
      <c r="F330"/>
      <c r="G330"/>
      <c r="H330" s="78"/>
    </row>
    <row r="331" spans="1:8">
      <c r="A331"/>
      <c r="B331"/>
      <c r="C331"/>
      <c r="D331"/>
      <c r="E331"/>
      <c r="F331"/>
      <c r="G331"/>
      <c r="H331" s="78"/>
    </row>
    <row r="332" spans="1:8">
      <c r="A332"/>
      <c r="B332"/>
      <c r="C332"/>
      <c r="D332"/>
      <c r="E332"/>
      <c r="F332"/>
      <c r="G332"/>
      <c r="H332" s="78"/>
    </row>
    <row r="333" spans="1:8">
      <c r="A333"/>
      <c r="B333"/>
      <c r="C333"/>
      <c r="D333"/>
      <c r="E333"/>
      <c r="F333"/>
      <c r="G333"/>
      <c r="H333" s="78"/>
    </row>
    <row r="334" spans="1:8">
      <c r="A334"/>
      <c r="B334"/>
      <c r="C334"/>
      <c r="D334"/>
      <c r="E334"/>
      <c r="F334"/>
      <c r="G334"/>
      <c r="H334" s="78"/>
    </row>
    <row r="335" spans="1:8">
      <c r="A335"/>
      <c r="B335"/>
      <c r="C335"/>
      <c r="D335"/>
      <c r="E335"/>
      <c r="F335"/>
      <c r="G335"/>
      <c r="H335" s="78"/>
    </row>
    <row r="336" spans="1:8">
      <c r="A336"/>
      <c r="B336"/>
      <c r="C336"/>
      <c r="D336"/>
      <c r="E336"/>
      <c r="F336"/>
      <c r="G336"/>
      <c r="H336" s="78"/>
    </row>
    <row r="337" spans="1:8">
      <c r="A337"/>
      <c r="B337"/>
      <c r="C337"/>
      <c r="D337"/>
      <c r="E337"/>
      <c r="F337"/>
      <c r="G337"/>
      <c r="H337" s="78"/>
    </row>
    <row r="338" spans="1:8">
      <c r="A338"/>
      <c r="B338"/>
      <c r="C338"/>
      <c r="D338"/>
      <c r="E338"/>
      <c r="F338"/>
      <c r="G338"/>
      <c r="H338" s="78"/>
    </row>
    <row r="339" spans="1:8">
      <c r="A339"/>
      <c r="B339"/>
      <c r="C339"/>
      <c r="D339"/>
      <c r="E339"/>
      <c r="F339"/>
      <c r="G339"/>
      <c r="H339" s="78"/>
    </row>
    <row r="340" spans="1:8">
      <c r="A340"/>
      <c r="B340"/>
      <c r="C340"/>
      <c r="D340"/>
      <c r="E340"/>
      <c r="F340"/>
      <c r="G340"/>
      <c r="H340" s="78"/>
    </row>
    <row r="341" spans="1:8">
      <c r="A341"/>
      <c r="B341"/>
      <c r="C341"/>
      <c r="D341"/>
      <c r="E341"/>
      <c r="F341"/>
      <c r="G341"/>
      <c r="H341" s="78"/>
    </row>
    <row r="342" spans="1:8">
      <c r="A342"/>
      <c r="B342"/>
      <c r="C342"/>
      <c r="D342"/>
      <c r="E342"/>
      <c r="F342"/>
      <c r="G342"/>
      <c r="H342" s="78"/>
    </row>
    <row r="343" spans="1:8">
      <c r="A343"/>
      <c r="B343"/>
      <c r="C343"/>
      <c r="D343"/>
      <c r="E343"/>
      <c r="F343"/>
      <c r="G343"/>
      <c r="H343" s="78"/>
    </row>
    <row r="344" spans="1:8">
      <c r="A344"/>
      <c r="B344"/>
      <c r="C344"/>
      <c r="D344"/>
      <c r="E344"/>
      <c r="F344"/>
      <c r="G344"/>
      <c r="H344" s="78"/>
    </row>
    <row r="345" spans="1:8">
      <c r="A345"/>
      <c r="B345"/>
      <c r="C345"/>
      <c r="D345"/>
      <c r="E345"/>
      <c r="F345"/>
      <c r="G345"/>
      <c r="H345" s="85"/>
    </row>
    <row r="346" spans="1:8">
      <c r="A346"/>
      <c r="B346"/>
      <c r="C346"/>
      <c r="D346"/>
      <c r="E346"/>
      <c r="F346"/>
      <c r="G346"/>
      <c r="H346" s="85"/>
    </row>
    <row r="347" spans="1:8">
      <c r="A347"/>
      <c r="B347"/>
      <c r="C347"/>
      <c r="D347"/>
      <c r="E347"/>
      <c r="F347"/>
      <c r="G347"/>
      <c r="H347" s="85"/>
    </row>
    <row r="348" spans="1:8">
      <c r="A348"/>
      <c r="B348"/>
      <c r="C348"/>
      <c r="D348"/>
      <c r="E348"/>
      <c r="F348"/>
      <c r="G348"/>
      <c r="H348" s="85"/>
    </row>
    <row r="349" spans="1:8">
      <c r="A349"/>
      <c r="B349"/>
      <c r="C349"/>
      <c r="D349"/>
      <c r="E349"/>
      <c r="F349"/>
      <c r="G349"/>
      <c r="H349" s="85"/>
    </row>
    <row r="350" spans="1:8">
      <c r="A350"/>
      <c r="B350"/>
      <c r="C350"/>
      <c r="D350"/>
      <c r="E350"/>
      <c r="F350"/>
      <c r="G350"/>
      <c r="H350" s="85"/>
    </row>
    <row r="351" spans="1:8">
      <c r="A351"/>
      <c r="B351"/>
      <c r="C351"/>
      <c r="D351"/>
      <c r="E351"/>
      <c r="F351"/>
      <c r="G351"/>
      <c r="H351" s="85"/>
    </row>
    <row r="352" spans="1:8">
      <c r="A352"/>
      <c r="B352"/>
      <c r="C352"/>
      <c r="D352"/>
      <c r="E352"/>
      <c r="F352"/>
      <c r="G352"/>
      <c r="H352" s="85"/>
    </row>
    <row r="353" spans="1:8">
      <c r="A353"/>
      <c r="B353"/>
      <c r="C353"/>
      <c r="D353"/>
      <c r="E353"/>
      <c r="F353"/>
      <c r="G353"/>
      <c r="H353" s="85"/>
    </row>
    <row r="354" spans="1:8">
      <c r="A354"/>
      <c r="B354"/>
      <c r="C354"/>
      <c r="D354"/>
      <c r="E354"/>
      <c r="F354"/>
      <c r="G354"/>
      <c r="H354" s="85"/>
    </row>
    <row r="355" spans="1:8">
      <c r="A355"/>
      <c r="B355"/>
      <c r="C355"/>
      <c r="D355"/>
      <c r="E355"/>
      <c r="F355"/>
      <c r="G355"/>
      <c r="H355" s="85"/>
    </row>
    <row r="356" spans="1:8">
      <c r="A356"/>
      <c r="B356"/>
      <c r="C356"/>
      <c r="D356"/>
      <c r="E356"/>
      <c r="F356"/>
      <c r="G356"/>
      <c r="H356" s="85"/>
    </row>
    <row r="357" spans="1:8">
      <c r="A357"/>
      <c r="B357"/>
      <c r="C357"/>
      <c r="D357"/>
      <c r="E357"/>
      <c r="F357"/>
      <c r="G357"/>
      <c r="H357" s="85"/>
    </row>
    <row r="358" spans="1:8">
      <c r="A358"/>
      <c r="B358"/>
      <c r="C358"/>
      <c r="D358"/>
      <c r="E358"/>
      <c r="F358"/>
      <c r="G358"/>
      <c r="H358" s="85"/>
    </row>
    <row r="359" spans="1:8">
      <c r="A359"/>
      <c r="B359"/>
      <c r="C359"/>
      <c r="D359"/>
      <c r="E359"/>
      <c r="F359"/>
      <c r="G359"/>
      <c r="H359" s="85"/>
    </row>
    <row r="360" spans="1:8">
      <c r="A360"/>
      <c r="B360"/>
      <c r="C360"/>
      <c r="D360"/>
      <c r="E360"/>
      <c r="F360"/>
      <c r="G360"/>
      <c r="H360" s="85"/>
    </row>
    <row r="361" spans="1:8">
      <c r="A361"/>
      <c r="B361"/>
      <c r="C361"/>
      <c r="D361"/>
      <c r="E361"/>
      <c r="F361"/>
      <c r="G361"/>
      <c r="H361" s="85"/>
    </row>
    <row r="362" spans="1:8">
      <c r="A362"/>
      <c r="B362"/>
      <c r="C362"/>
      <c r="D362"/>
      <c r="E362"/>
      <c r="F362"/>
      <c r="G362"/>
      <c r="H362" s="85"/>
    </row>
    <row r="363" spans="1:8">
      <c r="A363"/>
      <c r="B363"/>
      <c r="C363"/>
      <c r="D363"/>
      <c r="E363"/>
      <c r="F363"/>
      <c r="G363"/>
      <c r="H363" s="85"/>
    </row>
    <row r="364" spans="1:8">
      <c r="A364"/>
      <c r="B364"/>
      <c r="C364"/>
      <c r="D364"/>
      <c r="E364"/>
      <c r="F364"/>
      <c r="G364"/>
      <c r="H364" s="85"/>
    </row>
    <row r="365" spans="1:8">
      <c r="A365"/>
      <c r="B365"/>
      <c r="C365"/>
      <c r="D365"/>
      <c r="E365"/>
      <c r="F365"/>
      <c r="G365"/>
      <c r="H365" s="85"/>
    </row>
    <row r="366" spans="1:8">
      <c r="A366"/>
      <c r="B366"/>
      <c r="C366"/>
      <c r="D366"/>
      <c r="E366"/>
      <c r="F366"/>
      <c r="G366"/>
      <c r="H366" s="85"/>
    </row>
    <row r="367" spans="1:8">
      <c r="A367"/>
      <c r="B367"/>
      <c r="C367"/>
      <c r="D367"/>
      <c r="E367"/>
      <c r="F367"/>
      <c r="G367"/>
      <c r="H367" s="85"/>
    </row>
    <row r="368" spans="1:8">
      <c r="A368"/>
      <c r="B368"/>
      <c r="C368"/>
      <c r="D368"/>
      <c r="E368"/>
      <c r="F368"/>
      <c r="G368"/>
      <c r="H368" s="85"/>
    </row>
    <row r="369" spans="1:8">
      <c r="A369"/>
      <c r="B369"/>
      <c r="C369"/>
      <c r="D369"/>
      <c r="E369"/>
      <c r="F369"/>
      <c r="G369"/>
      <c r="H369" s="85"/>
    </row>
    <row r="370" spans="1:8">
      <c r="A370"/>
      <c r="B370"/>
      <c r="C370"/>
      <c r="D370"/>
      <c r="E370"/>
      <c r="F370"/>
      <c r="G370"/>
      <c r="H370" s="85"/>
    </row>
    <row r="371" spans="1:8">
      <c r="A371"/>
      <c r="B371"/>
      <c r="C371"/>
      <c r="D371"/>
      <c r="E371"/>
      <c r="F371"/>
      <c r="G371"/>
      <c r="H371" s="85"/>
    </row>
    <row r="372" spans="1:8">
      <c r="A372"/>
      <c r="B372"/>
      <c r="C372"/>
      <c r="D372"/>
      <c r="E372"/>
      <c r="F372"/>
      <c r="G372"/>
      <c r="H372" s="85"/>
    </row>
    <row r="373" spans="1:8">
      <c r="A373"/>
      <c r="B373"/>
      <c r="C373"/>
      <c r="D373"/>
      <c r="E373"/>
      <c r="F373"/>
      <c r="G373"/>
      <c r="H373" s="85"/>
    </row>
    <row r="374" spans="1:8">
      <c r="A374"/>
      <c r="B374"/>
      <c r="C374"/>
      <c r="D374"/>
      <c r="E374"/>
      <c r="F374"/>
      <c r="G374"/>
      <c r="H374" s="85"/>
    </row>
    <row r="375" spans="1:8">
      <c r="A375"/>
      <c r="B375"/>
      <c r="C375"/>
      <c r="D375"/>
      <c r="E375"/>
      <c r="F375"/>
      <c r="G375"/>
      <c r="H375" s="85"/>
    </row>
    <row r="376" spans="1:8">
      <c r="A376"/>
      <c r="B376"/>
      <c r="C376"/>
      <c r="D376"/>
      <c r="E376"/>
      <c r="F376"/>
      <c r="G376"/>
      <c r="H376" s="85"/>
    </row>
    <row r="377" spans="1:8">
      <c r="A377"/>
      <c r="B377"/>
      <c r="C377"/>
      <c r="D377"/>
      <c r="E377"/>
      <c r="F377"/>
      <c r="G377"/>
      <c r="H377" s="85"/>
    </row>
    <row r="378" spans="1:8">
      <c r="A378"/>
      <c r="B378"/>
      <c r="C378"/>
      <c r="D378"/>
      <c r="E378"/>
      <c r="F378"/>
      <c r="G378"/>
      <c r="H378" s="85"/>
    </row>
    <row r="379" spans="1:8">
      <c r="A379"/>
      <c r="B379"/>
      <c r="C379"/>
      <c r="D379"/>
      <c r="E379"/>
      <c r="F379"/>
      <c r="G379"/>
      <c r="H379" s="85"/>
    </row>
    <row r="380" spans="1:8">
      <c r="A380"/>
      <c r="B380"/>
      <c r="C380"/>
      <c r="D380"/>
      <c r="E380"/>
      <c r="F380"/>
      <c r="G380"/>
      <c r="H380" s="85"/>
    </row>
    <row r="381" spans="1:8">
      <c r="A381"/>
      <c r="B381"/>
      <c r="C381"/>
      <c r="D381"/>
      <c r="E381"/>
      <c r="F381"/>
      <c r="G381"/>
      <c r="H381" s="85"/>
    </row>
    <row r="382" spans="1:8">
      <c r="A382"/>
      <c r="B382"/>
      <c r="C382"/>
      <c r="D382"/>
      <c r="E382"/>
      <c r="F382"/>
      <c r="G382"/>
      <c r="H382" s="85"/>
    </row>
    <row r="383" spans="1:8">
      <c r="A383"/>
      <c r="B383"/>
      <c r="C383"/>
      <c r="D383"/>
      <c r="E383"/>
      <c r="F383"/>
      <c r="G383"/>
      <c r="H383" s="85"/>
    </row>
    <row r="384" spans="1:8">
      <c r="A384"/>
      <c r="B384"/>
      <c r="C384"/>
      <c r="D384"/>
      <c r="E384"/>
      <c r="F384"/>
      <c r="G384"/>
      <c r="H384" s="85"/>
    </row>
    <row r="385" spans="1:8">
      <c r="A385"/>
      <c r="B385"/>
      <c r="C385"/>
      <c r="D385"/>
      <c r="E385"/>
      <c r="F385"/>
      <c r="G385"/>
      <c r="H385" s="85"/>
    </row>
    <row r="386" spans="1:8">
      <c r="A386"/>
      <c r="B386"/>
      <c r="C386"/>
      <c r="D386"/>
      <c r="E386"/>
      <c r="F386"/>
      <c r="G386"/>
      <c r="H386" s="85"/>
    </row>
    <row r="387" spans="1:8">
      <c r="A387"/>
      <c r="B387"/>
      <c r="C387"/>
      <c r="D387"/>
      <c r="E387"/>
      <c r="F387"/>
      <c r="G387"/>
      <c r="H387" s="85"/>
    </row>
    <row r="388" spans="1:8">
      <c r="A388"/>
      <c r="B388"/>
      <c r="C388"/>
      <c r="D388"/>
      <c r="E388"/>
      <c r="F388"/>
      <c r="G388"/>
      <c r="H388" s="85"/>
    </row>
    <row r="389" spans="1:8">
      <c r="A389"/>
      <c r="B389"/>
      <c r="C389"/>
      <c r="D389"/>
      <c r="E389"/>
      <c r="F389"/>
      <c r="G389"/>
      <c r="H389" s="85"/>
    </row>
    <row r="390" spans="1:8">
      <c r="A390"/>
      <c r="B390"/>
      <c r="C390"/>
      <c r="D390"/>
      <c r="E390"/>
      <c r="F390"/>
      <c r="G390"/>
      <c r="H390" s="85"/>
    </row>
    <row r="391" spans="1:8">
      <c r="A391"/>
      <c r="B391"/>
      <c r="C391"/>
      <c r="D391"/>
      <c r="E391"/>
      <c r="F391"/>
      <c r="G391"/>
      <c r="H391" s="85"/>
    </row>
    <row r="392" spans="1:8">
      <c r="A392"/>
      <c r="B392"/>
      <c r="C392"/>
      <c r="D392"/>
      <c r="E392"/>
      <c r="F392"/>
      <c r="G392"/>
      <c r="H392" s="85"/>
    </row>
    <row r="393" spans="1:8">
      <c r="A393"/>
      <c r="B393"/>
      <c r="C393"/>
      <c r="D393"/>
      <c r="E393"/>
      <c r="F393"/>
      <c r="G393"/>
      <c r="H393" s="85"/>
    </row>
    <row r="394" spans="1:8">
      <c r="A394"/>
      <c r="B394"/>
      <c r="C394"/>
      <c r="D394"/>
      <c r="E394"/>
      <c r="F394"/>
      <c r="G394"/>
      <c r="H394" s="85"/>
    </row>
    <row r="395" spans="1:8">
      <c r="A395"/>
      <c r="B395"/>
      <c r="C395"/>
      <c r="D395"/>
      <c r="E395"/>
      <c r="F395"/>
      <c r="G395"/>
      <c r="H395" s="85"/>
    </row>
    <row r="396" spans="1:8">
      <c r="A396"/>
      <c r="B396"/>
      <c r="C396"/>
      <c r="D396"/>
      <c r="E396"/>
      <c r="F396"/>
      <c r="G396"/>
      <c r="H396" s="85"/>
    </row>
    <row r="397" spans="1:8">
      <c r="A397"/>
      <c r="B397"/>
      <c r="C397"/>
      <c r="D397"/>
      <c r="E397"/>
      <c r="F397"/>
      <c r="G397"/>
      <c r="H397" s="85"/>
    </row>
    <row r="398" spans="1:8">
      <c r="A398"/>
      <c r="B398"/>
      <c r="C398"/>
      <c r="D398"/>
      <c r="E398"/>
      <c r="F398"/>
      <c r="G398"/>
      <c r="H398" s="85"/>
    </row>
    <row r="399" spans="1:8">
      <c r="A399"/>
      <c r="B399"/>
      <c r="C399"/>
      <c r="D399"/>
      <c r="E399"/>
      <c r="F399"/>
      <c r="G399"/>
      <c r="H399" s="85"/>
    </row>
    <row r="400" spans="1:8">
      <c r="A400"/>
      <c r="B400"/>
      <c r="C400"/>
      <c r="D400"/>
      <c r="E400"/>
      <c r="F400"/>
      <c r="G400"/>
      <c r="H400" s="85"/>
    </row>
    <row r="401" spans="1:8">
      <c r="A401"/>
      <c r="B401"/>
      <c r="C401"/>
      <c r="D401"/>
      <c r="E401"/>
      <c r="F401"/>
      <c r="G401"/>
      <c r="H401" s="85"/>
    </row>
    <row r="402" spans="1:8">
      <c r="A402"/>
      <c r="B402"/>
      <c r="C402"/>
      <c r="D402"/>
      <c r="E402"/>
      <c r="F402"/>
      <c r="G402"/>
      <c r="H402" s="85"/>
    </row>
    <row r="403" spans="1:8">
      <c r="A403"/>
      <c r="B403"/>
      <c r="C403"/>
      <c r="D403"/>
      <c r="E403"/>
      <c r="F403"/>
      <c r="G403"/>
      <c r="H403" s="85"/>
    </row>
    <row r="404" spans="1:8">
      <c r="A404"/>
      <c r="B404"/>
      <c r="C404"/>
      <c r="D404"/>
      <c r="E404"/>
      <c r="F404"/>
      <c r="G404"/>
      <c r="H404" s="85"/>
    </row>
    <row r="405" spans="1:8">
      <c r="A405"/>
      <c r="B405"/>
      <c r="C405"/>
      <c r="D405"/>
      <c r="E405"/>
      <c r="F405"/>
      <c r="G405"/>
      <c r="H405" s="85"/>
    </row>
    <row r="406" spans="1:8">
      <c r="A406"/>
      <c r="B406"/>
      <c r="C406"/>
      <c r="D406"/>
      <c r="E406"/>
      <c r="F406"/>
      <c r="G406"/>
      <c r="H406" s="85"/>
    </row>
    <row r="407" spans="1:8">
      <c r="A407"/>
      <c r="B407"/>
      <c r="C407"/>
      <c r="D407"/>
      <c r="E407"/>
      <c r="F407"/>
      <c r="G407"/>
      <c r="H407" s="95"/>
    </row>
    <row r="408" spans="1:8">
      <c r="A408"/>
      <c r="B408"/>
      <c r="C408"/>
      <c r="D408"/>
      <c r="E408"/>
      <c r="F408"/>
      <c r="G408"/>
      <c r="H408" s="95"/>
    </row>
    <row r="409" spans="1:8">
      <c r="A409"/>
      <c r="B409"/>
      <c r="C409"/>
      <c r="D409"/>
      <c r="E409"/>
      <c r="F409"/>
      <c r="G409"/>
      <c r="H409" s="96"/>
    </row>
    <row r="410" spans="1:8">
      <c r="A410"/>
      <c r="B410"/>
      <c r="C410"/>
      <c r="D410"/>
      <c r="E410"/>
      <c r="F410"/>
      <c r="G410"/>
      <c r="H410" s="97"/>
    </row>
    <row r="411" spans="1:8">
      <c r="A411"/>
      <c r="B411"/>
      <c r="C411"/>
      <c r="D411"/>
      <c r="E411"/>
      <c r="F411"/>
    </row>
    <row r="412" spans="1:8">
      <c r="A412"/>
      <c r="B412"/>
      <c r="C412"/>
      <c r="D412"/>
      <c r="E412"/>
      <c r="F412"/>
    </row>
    <row r="413" spans="1:8">
      <c r="A413"/>
      <c r="B413"/>
      <c r="C413"/>
      <c r="D413"/>
      <c r="E413"/>
      <c r="F413"/>
    </row>
  </sheetData>
  <mergeCells count="4">
    <mergeCell ref="A5:A6"/>
    <mergeCell ref="B5:B6"/>
    <mergeCell ref="C5:E5"/>
    <mergeCell ref="F5:F6"/>
  </mergeCells>
  <phoneticPr fontId="27" type="noConversion"/>
  <conditionalFormatting sqref="A26:A42 A67 A77">
    <cfRule type="expression" dxfId="246" priority="28">
      <formula>MONTH(A26)=1</formula>
    </cfRule>
  </conditionalFormatting>
  <conditionalFormatting sqref="A43:A48">
    <cfRule type="expression" dxfId="245" priority="26">
      <formula>MONTH(A43)=1</formula>
    </cfRule>
  </conditionalFormatting>
  <conditionalFormatting sqref="A49:A53">
    <cfRule type="expression" dxfId="244" priority="25">
      <formula>MONTH(A49)=1</formula>
    </cfRule>
  </conditionalFormatting>
  <conditionalFormatting sqref="A54">
    <cfRule type="expression" dxfId="243" priority="23">
      <formula>MONTH(A54)=1</formula>
    </cfRule>
  </conditionalFormatting>
  <conditionalFormatting sqref="A55">
    <cfRule type="expression" dxfId="242" priority="22">
      <formula>MONTH(A55)=1</formula>
    </cfRule>
  </conditionalFormatting>
  <conditionalFormatting sqref="A56:A64">
    <cfRule type="expression" dxfId="241" priority="16">
      <formula>MONTH(A56)=1</formula>
    </cfRule>
  </conditionalFormatting>
  <conditionalFormatting sqref="A65:A66">
    <cfRule type="expression" dxfId="240" priority="14">
      <formula>MONTH(A65)=1</formula>
    </cfRule>
  </conditionalFormatting>
  <conditionalFormatting sqref="A68">
    <cfRule type="expression" dxfId="239" priority="9">
      <formula>MONTH(A68)=1</formula>
    </cfRule>
  </conditionalFormatting>
  <conditionalFormatting sqref="A69:A76">
    <cfRule type="expression" dxfId="238" priority="1">
      <formula>MONTH(A69)=1</formula>
    </cfRule>
  </conditionalFormatting>
  <pageMargins left="0.78740157480314965" right="0.78740157480314965" top="1.1417322834645669" bottom="1.1417322834645669" header="0.51181102362204722" footer="0.51181102362204722"/>
  <pageSetup paperSize="9" scale="6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E8D4-D740-4B44-A0E8-B4F51577405C}">
  <sheetPr>
    <pageSetUpPr fitToPage="1"/>
  </sheetPr>
  <dimension ref="A1:AI499"/>
  <sheetViews>
    <sheetView view="pageBreakPreview" zoomScale="115" zoomScaleNormal="100" zoomScaleSheetLayoutView="115" workbookViewId="0">
      <pane xSplit="1" ySplit="6" topLeftCell="B7" activePane="bottomRight" state="frozen"/>
      <selection activeCell="AB48" sqref="AB48"/>
      <selection pane="topRight" activeCell="AB48" sqref="AB48"/>
      <selection pane="bottomLeft" activeCell="AB48" sqref="AB48"/>
      <selection pane="bottomRight"/>
    </sheetView>
  </sheetViews>
  <sheetFormatPr defaultRowHeight="13.5"/>
  <cols>
    <col min="1" max="1" width="9.109375" style="123" customWidth="1"/>
    <col min="2" max="2" width="7.21875" style="106" customWidth="1"/>
    <col min="3" max="5" width="6.88671875" style="106" customWidth="1"/>
    <col min="6" max="6" width="7.21875" style="106" customWidth="1"/>
    <col min="7" max="9" width="6.88671875" style="106" customWidth="1"/>
    <col min="10" max="10" width="7.5546875" style="106" bestFit="1" customWidth="1"/>
    <col min="11" max="11" width="7.5546875" style="127" bestFit="1" customWidth="1"/>
    <col min="12" max="12" width="5.21875" style="14" customWidth="1"/>
    <col min="13" max="13" width="6.88671875" style="14" bestFit="1" customWidth="1"/>
    <col min="14" max="17" width="5.5546875" style="14" customWidth="1"/>
    <col min="18" max="18" width="4.44140625" style="14" customWidth="1"/>
    <col min="19" max="19" width="5.109375" style="14" customWidth="1"/>
    <col min="20" max="20" width="7.33203125" style="14" bestFit="1" customWidth="1"/>
    <col min="21" max="21" width="7.33203125" style="14" customWidth="1"/>
    <col min="22" max="22" width="5.77734375" style="14" bestFit="1" customWidth="1"/>
    <col min="23" max="23" width="4.5546875" style="104" customWidth="1"/>
    <col min="24" max="25" width="4.109375" style="104" customWidth="1"/>
    <col min="26" max="26" width="5.33203125" style="104" bestFit="1" customWidth="1"/>
    <col min="27" max="28" width="4.109375" style="104" customWidth="1"/>
    <col min="29" max="29" width="5.77734375" style="104" bestFit="1" customWidth="1"/>
    <col min="30" max="30" width="4.109375" style="104" customWidth="1"/>
    <col min="31" max="31" width="6.21875" style="104" bestFit="1" customWidth="1"/>
    <col min="32" max="32" width="5.6640625" style="104" bestFit="1" customWidth="1"/>
    <col min="33" max="35" width="8.88671875" style="105"/>
    <col min="36" max="256" width="8.88671875" style="106"/>
    <col min="257" max="257" width="7.77734375" style="106" customWidth="1"/>
    <col min="258" max="258" width="6.109375" style="106" customWidth="1"/>
    <col min="259" max="261" width="5.5546875" style="106" customWidth="1"/>
    <col min="262" max="262" width="6.109375" style="106" customWidth="1"/>
    <col min="263" max="265" width="5.5546875" style="106" customWidth="1"/>
    <col min="266" max="266" width="6.77734375" style="106" customWidth="1"/>
    <col min="267" max="267" width="6.109375" style="106" customWidth="1"/>
    <col min="268" max="268" width="5.21875" style="106" customWidth="1"/>
    <col min="269" max="269" width="6.88671875" style="106" bestFit="1" customWidth="1"/>
    <col min="270" max="273" width="5.5546875" style="106" customWidth="1"/>
    <col min="274" max="274" width="4.44140625" style="106" customWidth="1"/>
    <col min="275" max="275" width="5.109375" style="106" customWidth="1"/>
    <col min="276" max="276" width="7.33203125" style="106" bestFit="1" customWidth="1"/>
    <col min="277" max="277" width="7.33203125" style="106" customWidth="1"/>
    <col min="278" max="278" width="5.77734375" style="106" bestFit="1" customWidth="1"/>
    <col min="279" max="279" width="4.5546875" style="106" customWidth="1"/>
    <col min="280" max="281" width="4.109375" style="106" customWidth="1"/>
    <col min="282" max="282" width="5.33203125" style="106" bestFit="1" customWidth="1"/>
    <col min="283" max="284" width="4.109375" style="106" customWidth="1"/>
    <col min="285" max="285" width="5.77734375" style="106" bestFit="1" customWidth="1"/>
    <col min="286" max="286" width="4.109375" style="106" customWidth="1"/>
    <col min="287" max="287" width="6.21875" style="106" bestFit="1" customWidth="1"/>
    <col min="288" max="288" width="5.6640625" style="106" bestFit="1" customWidth="1"/>
    <col min="289" max="512" width="8.88671875" style="106"/>
    <col min="513" max="513" width="7.77734375" style="106" customWidth="1"/>
    <col min="514" max="514" width="6.109375" style="106" customWidth="1"/>
    <col min="515" max="517" width="5.5546875" style="106" customWidth="1"/>
    <col min="518" max="518" width="6.109375" style="106" customWidth="1"/>
    <col min="519" max="521" width="5.5546875" style="106" customWidth="1"/>
    <col min="522" max="522" width="6.77734375" style="106" customWidth="1"/>
    <col min="523" max="523" width="6.109375" style="106" customWidth="1"/>
    <col min="524" max="524" width="5.21875" style="106" customWidth="1"/>
    <col min="525" max="525" width="6.88671875" style="106" bestFit="1" customWidth="1"/>
    <col min="526" max="529" width="5.5546875" style="106" customWidth="1"/>
    <col min="530" max="530" width="4.44140625" style="106" customWidth="1"/>
    <col min="531" max="531" width="5.109375" style="106" customWidth="1"/>
    <col min="532" max="532" width="7.33203125" style="106" bestFit="1" customWidth="1"/>
    <col min="533" max="533" width="7.33203125" style="106" customWidth="1"/>
    <col min="534" max="534" width="5.77734375" style="106" bestFit="1" customWidth="1"/>
    <col min="535" max="535" width="4.5546875" style="106" customWidth="1"/>
    <col min="536" max="537" width="4.109375" style="106" customWidth="1"/>
    <col min="538" max="538" width="5.33203125" style="106" bestFit="1" customWidth="1"/>
    <col min="539" max="540" width="4.109375" style="106" customWidth="1"/>
    <col min="541" max="541" width="5.77734375" style="106" bestFit="1" customWidth="1"/>
    <col min="542" max="542" width="4.109375" style="106" customWidth="1"/>
    <col min="543" max="543" width="6.21875" style="106" bestFit="1" customWidth="1"/>
    <col min="544" max="544" width="5.6640625" style="106" bestFit="1" customWidth="1"/>
    <col min="545" max="768" width="8.88671875" style="106"/>
    <col min="769" max="769" width="7.77734375" style="106" customWidth="1"/>
    <col min="770" max="770" width="6.109375" style="106" customWidth="1"/>
    <col min="771" max="773" width="5.5546875" style="106" customWidth="1"/>
    <col min="774" max="774" width="6.109375" style="106" customWidth="1"/>
    <col min="775" max="777" width="5.5546875" style="106" customWidth="1"/>
    <col min="778" max="778" width="6.77734375" style="106" customWidth="1"/>
    <col min="779" max="779" width="6.109375" style="106" customWidth="1"/>
    <col min="780" max="780" width="5.21875" style="106" customWidth="1"/>
    <col min="781" max="781" width="6.88671875" style="106" bestFit="1" customWidth="1"/>
    <col min="782" max="785" width="5.5546875" style="106" customWidth="1"/>
    <col min="786" max="786" width="4.44140625" style="106" customWidth="1"/>
    <col min="787" max="787" width="5.109375" style="106" customWidth="1"/>
    <col min="788" max="788" width="7.33203125" style="106" bestFit="1" customWidth="1"/>
    <col min="789" max="789" width="7.33203125" style="106" customWidth="1"/>
    <col min="790" max="790" width="5.77734375" style="106" bestFit="1" customWidth="1"/>
    <col min="791" max="791" width="4.5546875" style="106" customWidth="1"/>
    <col min="792" max="793" width="4.109375" style="106" customWidth="1"/>
    <col min="794" max="794" width="5.33203125" style="106" bestFit="1" customWidth="1"/>
    <col min="795" max="796" width="4.109375" style="106" customWidth="1"/>
    <col min="797" max="797" width="5.77734375" style="106" bestFit="1" customWidth="1"/>
    <col min="798" max="798" width="4.109375" style="106" customWidth="1"/>
    <col min="799" max="799" width="6.21875" style="106" bestFit="1" customWidth="1"/>
    <col min="800" max="800" width="5.6640625" style="106" bestFit="1" customWidth="1"/>
    <col min="801" max="1024" width="8.88671875" style="106"/>
    <col min="1025" max="1025" width="7.77734375" style="106" customWidth="1"/>
    <col min="1026" max="1026" width="6.109375" style="106" customWidth="1"/>
    <col min="1027" max="1029" width="5.5546875" style="106" customWidth="1"/>
    <col min="1030" max="1030" width="6.109375" style="106" customWidth="1"/>
    <col min="1031" max="1033" width="5.5546875" style="106" customWidth="1"/>
    <col min="1034" max="1034" width="6.77734375" style="106" customWidth="1"/>
    <col min="1035" max="1035" width="6.109375" style="106" customWidth="1"/>
    <col min="1036" max="1036" width="5.21875" style="106" customWidth="1"/>
    <col min="1037" max="1037" width="6.88671875" style="106" bestFit="1" customWidth="1"/>
    <col min="1038" max="1041" width="5.5546875" style="106" customWidth="1"/>
    <col min="1042" max="1042" width="4.44140625" style="106" customWidth="1"/>
    <col min="1043" max="1043" width="5.109375" style="106" customWidth="1"/>
    <col min="1044" max="1044" width="7.33203125" style="106" bestFit="1" customWidth="1"/>
    <col min="1045" max="1045" width="7.33203125" style="106" customWidth="1"/>
    <col min="1046" max="1046" width="5.77734375" style="106" bestFit="1" customWidth="1"/>
    <col min="1047" max="1047" width="4.5546875" style="106" customWidth="1"/>
    <col min="1048" max="1049" width="4.109375" style="106" customWidth="1"/>
    <col min="1050" max="1050" width="5.33203125" style="106" bestFit="1" customWidth="1"/>
    <col min="1051" max="1052" width="4.109375" style="106" customWidth="1"/>
    <col min="1053" max="1053" width="5.77734375" style="106" bestFit="1" customWidth="1"/>
    <col min="1054" max="1054" width="4.109375" style="106" customWidth="1"/>
    <col min="1055" max="1055" width="6.21875" style="106" bestFit="1" customWidth="1"/>
    <col min="1056" max="1056" width="5.6640625" style="106" bestFit="1" customWidth="1"/>
    <col min="1057" max="1280" width="8.88671875" style="106"/>
    <col min="1281" max="1281" width="7.77734375" style="106" customWidth="1"/>
    <col min="1282" max="1282" width="6.109375" style="106" customWidth="1"/>
    <col min="1283" max="1285" width="5.5546875" style="106" customWidth="1"/>
    <col min="1286" max="1286" width="6.109375" style="106" customWidth="1"/>
    <col min="1287" max="1289" width="5.5546875" style="106" customWidth="1"/>
    <col min="1290" max="1290" width="6.77734375" style="106" customWidth="1"/>
    <col min="1291" max="1291" width="6.109375" style="106" customWidth="1"/>
    <col min="1292" max="1292" width="5.21875" style="106" customWidth="1"/>
    <col min="1293" max="1293" width="6.88671875" style="106" bestFit="1" customWidth="1"/>
    <col min="1294" max="1297" width="5.5546875" style="106" customWidth="1"/>
    <col min="1298" max="1298" width="4.44140625" style="106" customWidth="1"/>
    <col min="1299" max="1299" width="5.109375" style="106" customWidth="1"/>
    <col min="1300" max="1300" width="7.33203125" style="106" bestFit="1" customWidth="1"/>
    <col min="1301" max="1301" width="7.33203125" style="106" customWidth="1"/>
    <col min="1302" max="1302" width="5.77734375" style="106" bestFit="1" customWidth="1"/>
    <col min="1303" max="1303" width="4.5546875" style="106" customWidth="1"/>
    <col min="1304" max="1305" width="4.109375" style="106" customWidth="1"/>
    <col min="1306" max="1306" width="5.33203125" style="106" bestFit="1" customWidth="1"/>
    <col min="1307" max="1308" width="4.109375" style="106" customWidth="1"/>
    <col min="1309" max="1309" width="5.77734375" style="106" bestFit="1" customWidth="1"/>
    <col min="1310" max="1310" width="4.109375" style="106" customWidth="1"/>
    <col min="1311" max="1311" width="6.21875" style="106" bestFit="1" customWidth="1"/>
    <col min="1312" max="1312" width="5.6640625" style="106" bestFit="1" customWidth="1"/>
    <col min="1313" max="1536" width="8.88671875" style="106"/>
    <col min="1537" max="1537" width="7.77734375" style="106" customWidth="1"/>
    <col min="1538" max="1538" width="6.109375" style="106" customWidth="1"/>
    <col min="1539" max="1541" width="5.5546875" style="106" customWidth="1"/>
    <col min="1542" max="1542" width="6.109375" style="106" customWidth="1"/>
    <col min="1543" max="1545" width="5.5546875" style="106" customWidth="1"/>
    <col min="1546" max="1546" width="6.77734375" style="106" customWidth="1"/>
    <col min="1547" max="1547" width="6.109375" style="106" customWidth="1"/>
    <col min="1548" max="1548" width="5.21875" style="106" customWidth="1"/>
    <col min="1549" max="1549" width="6.88671875" style="106" bestFit="1" customWidth="1"/>
    <col min="1550" max="1553" width="5.5546875" style="106" customWidth="1"/>
    <col min="1554" max="1554" width="4.44140625" style="106" customWidth="1"/>
    <col min="1555" max="1555" width="5.109375" style="106" customWidth="1"/>
    <col min="1556" max="1556" width="7.33203125" style="106" bestFit="1" customWidth="1"/>
    <col min="1557" max="1557" width="7.33203125" style="106" customWidth="1"/>
    <col min="1558" max="1558" width="5.77734375" style="106" bestFit="1" customWidth="1"/>
    <col min="1559" max="1559" width="4.5546875" style="106" customWidth="1"/>
    <col min="1560" max="1561" width="4.109375" style="106" customWidth="1"/>
    <col min="1562" max="1562" width="5.33203125" style="106" bestFit="1" customWidth="1"/>
    <col min="1563" max="1564" width="4.109375" style="106" customWidth="1"/>
    <col min="1565" max="1565" width="5.77734375" style="106" bestFit="1" customWidth="1"/>
    <col min="1566" max="1566" width="4.109375" style="106" customWidth="1"/>
    <col min="1567" max="1567" width="6.21875" style="106" bestFit="1" customWidth="1"/>
    <col min="1568" max="1568" width="5.6640625" style="106" bestFit="1" customWidth="1"/>
    <col min="1569" max="1792" width="8.88671875" style="106"/>
    <col min="1793" max="1793" width="7.77734375" style="106" customWidth="1"/>
    <col min="1794" max="1794" width="6.109375" style="106" customWidth="1"/>
    <col min="1795" max="1797" width="5.5546875" style="106" customWidth="1"/>
    <col min="1798" max="1798" width="6.109375" style="106" customWidth="1"/>
    <col min="1799" max="1801" width="5.5546875" style="106" customWidth="1"/>
    <col min="1802" max="1802" width="6.77734375" style="106" customWidth="1"/>
    <col min="1803" max="1803" width="6.109375" style="106" customWidth="1"/>
    <col min="1804" max="1804" width="5.21875" style="106" customWidth="1"/>
    <col min="1805" max="1805" width="6.88671875" style="106" bestFit="1" customWidth="1"/>
    <col min="1806" max="1809" width="5.5546875" style="106" customWidth="1"/>
    <col min="1810" max="1810" width="4.44140625" style="106" customWidth="1"/>
    <col min="1811" max="1811" width="5.109375" style="106" customWidth="1"/>
    <col min="1812" max="1812" width="7.33203125" style="106" bestFit="1" customWidth="1"/>
    <col min="1813" max="1813" width="7.33203125" style="106" customWidth="1"/>
    <col min="1814" max="1814" width="5.77734375" style="106" bestFit="1" customWidth="1"/>
    <col min="1815" max="1815" width="4.5546875" style="106" customWidth="1"/>
    <col min="1816" max="1817" width="4.109375" style="106" customWidth="1"/>
    <col min="1818" max="1818" width="5.33203125" style="106" bestFit="1" customWidth="1"/>
    <col min="1819" max="1820" width="4.109375" style="106" customWidth="1"/>
    <col min="1821" max="1821" width="5.77734375" style="106" bestFit="1" customWidth="1"/>
    <col min="1822" max="1822" width="4.109375" style="106" customWidth="1"/>
    <col min="1823" max="1823" width="6.21875" style="106" bestFit="1" customWidth="1"/>
    <col min="1824" max="1824" width="5.6640625" style="106" bestFit="1" customWidth="1"/>
    <col min="1825" max="2048" width="8.88671875" style="106"/>
    <col min="2049" max="2049" width="7.77734375" style="106" customWidth="1"/>
    <col min="2050" max="2050" width="6.109375" style="106" customWidth="1"/>
    <col min="2051" max="2053" width="5.5546875" style="106" customWidth="1"/>
    <col min="2054" max="2054" width="6.109375" style="106" customWidth="1"/>
    <col min="2055" max="2057" width="5.5546875" style="106" customWidth="1"/>
    <col min="2058" max="2058" width="6.77734375" style="106" customWidth="1"/>
    <col min="2059" max="2059" width="6.109375" style="106" customWidth="1"/>
    <col min="2060" max="2060" width="5.21875" style="106" customWidth="1"/>
    <col min="2061" max="2061" width="6.88671875" style="106" bestFit="1" customWidth="1"/>
    <col min="2062" max="2065" width="5.5546875" style="106" customWidth="1"/>
    <col min="2066" max="2066" width="4.44140625" style="106" customWidth="1"/>
    <col min="2067" max="2067" width="5.109375" style="106" customWidth="1"/>
    <col min="2068" max="2068" width="7.33203125" style="106" bestFit="1" customWidth="1"/>
    <col min="2069" max="2069" width="7.33203125" style="106" customWidth="1"/>
    <col min="2070" max="2070" width="5.77734375" style="106" bestFit="1" customWidth="1"/>
    <col min="2071" max="2071" width="4.5546875" style="106" customWidth="1"/>
    <col min="2072" max="2073" width="4.109375" style="106" customWidth="1"/>
    <col min="2074" max="2074" width="5.33203125" style="106" bestFit="1" customWidth="1"/>
    <col min="2075" max="2076" width="4.109375" style="106" customWidth="1"/>
    <col min="2077" max="2077" width="5.77734375" style="106" bestFit="1" customWidth="1"/>
    <col min="2078" max="2078" width="4.109375" style="106" customWidth="1"/>
    <col min="2079" max="2079" width="6.21875" style="106" bestFit="1" customWidth="1"/>
    <col min="2080" max="2080" width="5.6640625" style="106" bestFit="1" customWidth="1"/>
    <col min="2081" max="2304" width="8.88671875" style="106"/>
    <col min="2305" max="2305" width="7.77734375" style="106" customWidth="1"/>
    <col min="2306" max="2306" width="6.109375" style="106" customWidth="1"/>
    <col min="2307" max="2309" width="5.5546875" style="106" customWidth="1"/>
    <col min="2310" max="2310" width="6.109375" style="106" customWidth="1"/>
    <col min="2311" max="2313" width="5.5546875" style="106" customWidth="1"/>
    <col min="2314" max="2314" width="6.77734375" style="106" customWidth="1"/>
    <col min="2315" max="2315" width="6.109375" style="106" customWidth="1"/>
    <col min="2316" max="2316" width="5.21875" style="106" customWidth="1"/>
    <col min="2317" max="2317" width="6.88671875" style="106" bestFit="1" customWidth="1"/>
    <col min="2318" max="2321" width="5.5546875" style="106" customWidth="1"/>
    <col min="2322" max="2322" width="4.44140625" style="106" customWidth="1"/>
    <col min="2323" max="2323" width="5.109375" style="106" customWidth="1"/>
    <col min="2324" max="2324" width="7.33203125" style="106" bestFit="1" customWidth="1"/>
    <col min="2325" max="2325" width="7.33203125" style="106" customWidth="1"/>
    <col min="2326" max="2326" width="5.77734375" style="106" bestFit="1" customWidth="1"/>
    <col min="2327" max="2327" width="4.5546875" style="106" customWidth="1"/>
    <col min="2328" max="2329" width="4.109375" style="106" customWidth="1"/>
    <col min="2330" max="2330" width="5.33203125" style="106" bestFit="1" customWidth="1"/>
    <col min="2331" max="2332" width="4.109375" style="106" customWidth="1"/>
    <col min="2333" max="2333" width="5.77734375" style="106" bestFit="1" customWidth="1"/>
    <col min="2334" max="2334" width="4.109375" style="106" customWidth="1"/>
    <col min="2335" max="2335" width="6.21875" style="106" bestFit="1" customWidth="1"/>
    <col min="2336" max="2336" width="5.6640625" style="106" bestFit="1" customWidth="1"/>
    <col min="2337" max="2560" width="8.88671875" style="106"/>
    <col min="2561" max="2561" width="7.77734375" style="106" customWidth="1"/>
    <col min="2562" max="2562" width="6.109375" style="106" customWidth="1"/>
    <col min="2563" max="2565" width="5.5546875" style="106" customWidth="1"/>
    <col min="2566" max="2566" width="6.109375" style="106" customWidth="1"/>
    <col min="2567" max="2569" width="5.5546875" style="106" customWidth="1"/>
    <col min="2570" max="2570" width="6.77734375" style="106" customWidth="1"/>
    <col min="2571" max="2571" width="6.109375" style="106" customWidth="1"/>
    <col min="2572" max="2572" width="5.21875" style="106" customWidth="1"/>
    <col min="2573" max="2573" width="6.88671875" style="106" bestFit="1" customWidth="1"/>
    <col min="2574" max="2577" width="5.5546875" style="106" customWidth="1"/>
    <col min="2578" max="2578" width="4.44140625" style="106" customWidth="1"/>
    <col min="2579" max="2579" width="5.109375" style="106" customWidth="1"/>
    <col min="2580" max="2580" width="7.33203125" style="106" bestFit="1" customWidth="1"/>
    <col min="2581" max="2581" width="7.33203125" style="106" customWidth="1"/>
    <col min="2582" max="2582" width="5.77734375" style="106" bestFit="1" customWidth="1"/>
    <col min="2583" max="2583" width="4.5546875" style="106" customWidth="1"/>
    <col min="2584" max="2585" width="4.109375" style="106" customWidth="1"/>
    <col min="2586" max="2586" width="5.33203125" style="106" bestFit="1" customWidth="1"/>
    <col min="2587" max="2588" width="4.109375" style="106" customWidth="1"/>
    <col min="2589" max="2589" width="5.77734375" style="106" bestFit="1" customWidth="1"/>
    <col min="2590" max="2590" width="4.109375" style="106" customWidth="1"/>
    <col min="2591" max="2591" width="6.21875" style="106" bestFit="1" customWidth="1"/>
    <col min="2592" max="2592" width="5.6640625" style="106" bestFit="1" customWidth="1"/>
    <col min="2593" max="2816" width="8.88671875" style="106"/>
    <col min="2817" max="2817" width="7.77734375" style="106" customWidth="1"/>
    <col min="2818" max="2818" width="6.109375" style="106" customWidth="1"/>
    <col min="2819" max="2821" width="5.5546875" style="106" customWidth="1"/>
    <col min="2822" max="2822" width="6.109375" style="106" customWidth="1"/>
    <col min="2823" max="2825" width="5.5546875" style="106" customWidth="1"/>
    <col min="2826" max="2826" width="6.77734375" style="106" customWidth="1"/>
    <col min="2827" max="2827" width="6.109375" style="106" customWidth="1"/>
    <col min="2828" max="2828" width="5.21875" style="106" customWidth="1"/>
    <col min="2829" max="2829" width="6.88671875" style="106" bestFit="1" customWidth="1"/>
    <col min="2830" max="2833" width="5.5546875" style="106" customWidth="1"/>
    <col min="2834" max="2834" width="4.44140625" style="106" customWidth="1"/>
    <col min="2835" max="2835" width="5.109375" style="106" customWidth="1"/>
    <col min="2836" max="2836" width="7.33203125" style="106" bestFit="1" customWidth="1"/>
    <col min="2837" max="2837" width="7.33203125" style="106" customWidth="1"/>
    <col min="2838" max="2838" width="5.77734375" style="106" bestFit="1" customWidth="1"/>
    <col min="2839" max="2839" width="4.5546875" style="106" customWidth="1"/>
    <col min="2840" max="2841" width="4.109375" style="106" customWidth="1"/>
    <col min="2842" max="2842" width="5.33203125" style="106" bestFit="1" customWidth="1"/>
    <col min="2843" max="2844" width="4.109375" style="106" customWidth="1"/>
    <col min="2845" max="2845" width="5.77734375" style="106" bestFit="1" customWidth="1"/>
    <col min="2846" max="2846" width="4.109375" style="106" customWidth="1"/>
    <col min="2847" max="2847" width="6.21875" style="106" bestFit="1" customWidth="1"/>
    <col min="2848" max="2848" width="5.6640625" style="106" bestFit="1" customWidth="1"/>
    <col min="2849" max="3072" width="8.88671875" style="106"/>
    <col min="3073" max="3073" width="7.77734375" style="106" customWidth="1"/>
    <col min="3074" max="3074" width="6.109375" style="106" customWidth="1"/>
    <col min="3075" max="3077" width="5.5546875" style="106" customWidth="1"/>
    <col min="3078" max="3078" width="6.109375" style="106" customWidth="1"/>
    <col min="3079" max="3081" width="5.5546875" style="106" customWidth="1"/>
    <col min="3082" max="3082" width="6.77734375" style="106" customWidth="1"/>
    <col min="3083" max="3083" width="6.109375" style="106" customWidth="1"/>
    <col min="3084" max="3084" width="5.21875" style="106" customWidth="1"/>
    <col min="3085" max="3085" width="6.88671875" style="106" bestFit="1" customWidth="1"/>
    <col min="3086" max="3089" width="5.5546875" style="106" customWidth="1"/>
    <col min="3090" max="3090" width="4.44140625" style="106" customWidth="1"/>
    <col min="3091" max="3091" width="5.109375" style="106" customWidth="1"/>
    <col min="3092" max="3092" width="7.33203125" style="106" bestFit="1" customWidth="1"/>
    <col min="3093" max="3093" width="7.33203125" style="106" customWidth="1"/>
    <col min="3094" max="3094" width="5.77734375" style="106" bestFit="1" customWidth="1"/>
    <col min="3095" max="3095" width="4.5546875" style="106" customWidth="1"/>
    <col min="3096" max="3097" width="4.109375" style="106" customWidth="1"/>
    <col min="3098" max="3098" width="5.33203125" style="106" bestFit="1" customWidth="1"/>
    <col min="3099" max="3100" width="4.109375" style="106" customWidth="1"/>
    <col min="3101" max="3101" width="5.77734375" style="106" bestFit="1" customWidth="1"/>
    <col min="3102" max="3102" width="4.109375" style="106" customWidth="1"/>
    <col min="3103" max="3103" width="6.21875" style="106" bestFit="1" customWidth="1"/>
    <col min="3104" max="3104" width="5.6640625" style="106" bestFit="1" customWidth="1"/>
    <col min="3105" max="3328" width="8.88671875" style="106"/>
    <col min="3329" max="3329" width="7.77734375" style="106" customWidth="1"/>
    <col min="3330" max="3330" width="6.109375" style="106" customWidth="1"/>
    <col min="3331" max="3333" width="5.5546875" style="106" customWidth="1"/>
    <col min="3334" max="3334" width="6.109375" style="106" customWidth="1"/>
    <col min="3335" max="3337" width="5.5546875" style="106" customWidth="1"/>
    <col min="3338" max="3338" width="6.77734375" style="106" customWidth="1"/>
    <col min="3339" max="3339" width="6.109375" style="106" customWidth="1"/>
    <col min="3340" max="3340" width="5.21875" style="106" customWidth="1"/>
    <col min="3341" max="3341" width="6.88671875" style="106" bestFit="1" customWidth="1"/>
    <col min="3342" max="3345" width="5.5546875" style="106" customWidth="1"/>
    <col min="3346" max="3346" width="4.44140625" style="106" customWidth="1"/>
    <col min="3347" max="3347" width="5.109375" style="106" customWidth="1"/>
    <col min="3348" max="3348" width="7.33203125" style="106" bestFit="1" customWidth="1"/>
    <col min="3349" max="3349" width="7.33203125" style="106" customWidth="1"/>
    <col min="3350" max="3350" width="5.77734375" style="106" bestFit="1" customWidth="1"/>
    <col min="3351" max="3351" width="4.5546875" style="106" customWidth="1"/>
    <col min="3352" max="3353" width="4.109375" style="106" customWidth="1"/>
    <col min="3354" max="3354" width="5.33203125" style="106" bestFit="1" customWidth="1"/>
    <col min="3355" max="3356" width="4.109375" style="106" customWidth="1"/>
    <col min="3357" max="3357" width="5.77734375" style="106" bestFit="1" customWidth="1"/>
    <col min="3358" max="3358" width="4.109375" style="106" customWidth="1"/>
    <col min="3359" max="3359" width="6.21875" style="106" bestFit="1" customWidth="1"/>
    <col min="3360" max="3360" width="5.6640625" style="106" bestFit="1" customWidth="1"/>
    <col min="3361" max="3584" width="8.88671875" style="106"/>
    <col min="3585" max="3585" width="7.77734375" style="106" customWidth="1"/>
    <col min="3586" max="3586" width="6.109375" style="106" customWidth="1"/>
    <col min="3587" max="3589" width="5.5546875" style="106" customWidth="1"/>
    <col min="3590" max="3590" width="6.109375" style="106" customWidth="1"/>
    <col min="3591" max="3593" width="5.5546875" style="106" customWidth="1"/>
    <col min="3594" max="3594" width="6.77734375" style="106" customWidth="1"/>
    <col min="3595" max="3595" width="6.109375" style="106" customWidth="1"/>
    <col min="3596" max="3596" width="5.21875" style="106" customWidth="1"/>
    <col min="3597" max="3597" width="6.88671875" style="106" bestFit="1" customWidth="1"/>
    <col min="3598" max="3601" width="5.5546875" style="106" customWidth="1"/>
    <col min="3602" max="3602" width="4.44140625" style="106" customWidth="1"/>
    <col min="3603" max="3603" width="5.109375" style="106" customWidth="1"/>
    <col min="3604" max="3604" width="7.33203125" style="106" bestFit="1" customWidth="1"/>
    <col min="3605" max="3605" width="7.33203125" style="106" customWidth="1"/>
    <col min="3606" max="3606" width="5.77734375" style="106" bestFit="1" customWidth="1"/>
    <col min="3607" max="3607" width="4.5546875" style="106" customWidth="1"/>
    <col min="3608" max="3609" width="4.109375" style="106" customWidth="1"/>
    <col min="3610" max="3610" width="5.33203125" style="106" bestFit="1" customWidth="1"/>
    <col min="3611" max="3612" width="4.109375" style="106" customWidth="1"/>
    <col min="3613" max="3613" width="5.77734375" style="106" bestFit="1" customWidth="1"/>
    <col min="3614" max="3614" width="4.109375" style="106" customWidth="1"/>
    <col min="3615" max="3615" width="6.21875" style="106" bestFit="1" customWidth="1"/>
    <col min="3616" max="3616" width="5.6640625" style="106" bestFit="1" customWidth="1"/>
    <col min="3617" max="3840" width="8.88671875" style="106"/>
    <col min="3841" max="3841" width="7.77734375" style="106" customWidth="1"/>
    <col min="3842" max="3842" width="6.109375" style="106" customWidth="1"/>
    <col min="3843" max="3845" width="5.5546875" style="106" customWidth="1"/>
    <col min="3846" max="3846" width="6.109375" style="106" customWidth="1"/>
    <col min="3847" max="3849" width="5.5546875" style="106" customWidth="1"/>
    <col min="3850" max="3850" width="6.77734375" style="106" customWidth="1"/>
    <col min="3851" max="3851" width="6.109375" style="106" customWidth="1"/>
    <col min="3852" max="3852" width="5.21875" style="106" customWidth="1"/>
    <col min="3853" max="3853" width="6.88671875" style="106" bestFit="1" customWidth="1"/>
    <col min="3854" max="3857" width="5.5546875" style="106" customWidth="1"/>
    <col min="3858" max="3858" width="4.44140625" style="106" customWidth="1"/>
    <col min="3859" max="3859" width="5.109375" style="106" customWidth="1"/>
    <col min="3860" max="3860" width="7.33203125" style="106" bestFit="1" customWidth="1"/>
    <col min="3861" max="3861" width="7.33203125" style="106" customWidth="1"/>
    <col min="3862" max="3862" width="5.77734375" style="106" bestFit="1" customWidth="1"/>
    <col min="3863" max="3863" width="4.5546875" style="106" customWidth="1"/>
    <col min="3864" max="3865" width="4.109375" style="106" customWidth="1"/>
    <col min="3866" max="3866" width="5.33203125" style="106" bestFit="1" customWidth="1"/>
    <col min="3867" max="3868" width="4.109375" style="106" customWidth="1"/>
    <col min="3869" max="3869" width="5.77734375" style="106" bestFit="1" customWidth="1"/>
    <col min="3870" max="3870" width="4.109375" style="106" customWidth="1"/>
    <col min="3871" max="3871" width="6.21875" style="106" bestFit="1" customWidth="1"/>
    <col min="3872" max="3872" width="5.6640625" style="106" bestFit="1" customWidth="1"/>
    <col min="3873" max="4096" width="8.88671875" style="106"/>
    <col min="4097" max="4097" width="7.77734375" style="106" customWidth="1"/>
    <col min="4098" max="4098" width="6.109375" style="106" customWidth="1"/>
    <col min="4099" max="4101" width="5.5546875" style="106" customWidth="1"/>
    <col min="4102" max="4102" width="6.109375" style="106" customWidth="1"/>
    <col min="4103" max="4105" width="5.5546875" style="106" customWidth="1"/>
    <col min="4106" max="4106" width="6.77734375" style="106" customWidth="1"/>
    <col min="4107" max="4107" width="6.109375" style="106" customWidth="1"/>
    <col min="4108" max="4108" width="5.21875" style="106" customWidth="1"/>
    <col min="4109" max="4109" width="6.88671875" style="106" bestFit="1" customWidth="1"/>
    <col min="4110" max="4113" width="5.5546875" style="106" customWidth="1"/>
    <col min="4114" max="4114" width="4.44140625" style="106" customWidth="1"/>
    <col min="4115" max="4115" width="5.109375" style="106" customWidth="1"/>
    <col min="4116" max="4116" width="7.33203125" style="106" bestFit="1" customWidth="1"/>
    <col min="4117" max="4117" width="7.33203125" style="106" customWidth="1"/>
    <col min="4118" max="4118" width="5.77734375" style="106" bestFit="1" customWidth="1"/>
    <col min="4119" max="4119" width="4.5546875" style="106" customWidth="1"/>
    <col min="4120" max="4121" width="4.109375" style="106" customWidth="1"/>
    <col min="4122" max="4122" width="5.33203125" style="106" bestFit="1" customWidth="1"/>
    <col min="4123" max="4124" width="4.109375" style="106" customWidth="1"/>
    <col min="4125" max="4125" width="5.77734375" style="106" bestFit="1" customWidth="1"/>
    <col min="4126" max="4126" width="4.109375" style="106" customWidth="1"/>
    <col min="4127" max="4127" width="6.21875" style="106" bestFit="1" customWidth="1"/>
    <col min="4128" max="4128" width="5.6640625" style="106" bestFit="1" customWidth="1"/>
    <col min="4129" max="4352" width="8.88671875" style="106"/>
    <col min="4353" max="4353" width="7.77734375" style="106" customWidth="1"/>
    <col min="4354" max="4354" width="6.109375" style="106" customWidth="1"/>
    <col min="4355" max="4357" width="5.5546875" style="106" customWidth="1"/>
    <col min="4358" max="4358" width="6.109375" style="106" customWidth="1"/>
    <col min="4359" max="4361" width="5.5546875" style="106" customWidth="1"/>
    <col min="4362" max="4362" width="6.77734375" style="106" customWidth="1"/>
    <col min="4363" max="4363" width="6.109375" style="106" customWidth="1"/>
    <col min="4364" max="4364" width="5.21875" style="106" customWidth="1"/>
    <col min="4365" max="4365" width="6.88671875" style="106" bestFit="1" customWidth="1"/>
    <col min="4366" max="4369" width="5.5546875" style="106" customWidth="1"/>
    <col min="4370" max="4370" width="4.44140625" style="106" customWidth="1"/>
    <col min="4371" max="4371" width="5.109375" style="106" customWidth="1"/>
    <col min="4372" max="4372" width="7.33203125" style="106" bestFit="1" customWidth="1"/>
    <col min="4373" max="4373" width="7.33203125" style="106" customWidth="1"/>
    <col min="4374" max="4374" width="5.77734375" style="106" bestFit="1" customWidth="1"/>
    <col min="4375" max="4375" width="4.5546875" style="106" customWidth="1"/>
    <col min="4376" max="4377" width="4.109375" style="106" customWidth="1"/>
    <col min="4378" max="4378" width="5.33203125" style="106" bestFit="1" customWidth="1"/>
    <col min="4379" max="4380" width="4.109375" style="106" customWidth="1"/>
    <col min="4381" max="4381" width="5.77734375" style="106" bestFit="1" customWidth="1"/>
    <col min="4382" max="4382" width="4.109375" style="106" customWidth="1"/>
    <col min="4383" max="4383" width="6.21875" style="106" bestFit="1" customWidth="1"/>
    <col min="4384" max="4384" width="5.6640625" style="106" bestFit="1" customWidth="1"/>
    <col min="4385" max="4608" width="8.88671875" style="106"/>
    <col min="4609" max="4609" width="7.77734375" style="106" customWidth="1"/>
    <col min="4610" max="4610" width="6.109375" style="106" customWidth="1"/>
    <col min="4611" max="4613" width="5.5546875" style="106" customWidth="1"/>
    <col min="4614" max="4614" width="6.109375" style="106" customWidth="1"/>
    <col min="4615" max="4617" width="5.5546875" style="106" customWidth="1"/>
    <col min="4618" max="4618" width="6.77734375" style="106" customWidth="1"/>
    <col min="4619" max="4619" width="6.109375" style="106" customWidth="1"/>
    <col min="4620" max="4620" width="5.21875" style="106" customWidth="1"/>
    <col min="4621" max="4621" width="6.88671875" style="106" bestFit="1" customWidth="1"/>
    <col min="4622" max="4625" width="5.5546875" style="106" customWidth="1"/>
    <col min="4626" max="4626" width="4.44140625" style="106" customWidth="1"/>
    <col min="4627" max="4627" width="5.109375" style="106" customWidth="1"/>
    <col min="4628" max="4628" width="7.33203125" style="106" bestFit="1" customWidth="1"/>
    <col min="4629" max="4629" width="7.33203125" style="106" customWidth="1"/>
    <col min="4630" max="4630" width="5.77734375" style="106" bestFit="1" customWidth="1"/>
    <col min="4631" max="4631" width="4.5546875" style="106" customWidth="1"/>
    <col min="4632" max="4633" width="4.109375" style="106" customWidth="1"/>
    <col min="4634" max="4634" width="5.33203125" style="106" bestFit="1" customWidth="1"/>
    <col min="4635" max="4636" width="4.109375" style="106" customWidth="1"/>
    <col min="4637" max="4637" width="5.77734375" style="106" bestFit="1" customWidth="1"/>
    <col min="4638" max="4638" width="4.109375" style="106" customWidth="1"/>
    <col min="4639" max="4639" width="6.21875" style="106" bestFit="1" customWidth="1"/>
    <col min="4640" max="4640" width="5.6640625" style="106" bestFit="1" customWidth="1"/>
    <col min="4641" max="4864" width="8.88671875" style="106"/>
    <col min="4865" max="4865" width="7.77734375" style="106" customWidth="1"/>
    <col min="4866" max="4866" width="6.109375" style="106" customWidth="1"/>
    <col min="4867" max="4869" width="5.5546875" style="106" customWidth="1"/>
    <col min="4870" max="4870" width="6.109375" style="106" customWidth="1"/>
    <col min="4871" max="4873" width="5.5546875" style="106" customWidth="1"/>
    <col min="4874" max="4874" width="6.77734375" style="106" customWidth="1"/>
    <col min="4875" max="4875" width="6.109375" style="106" customWidth="1"/>
    <col min="4876" max="4876" width="5.21875" style="106" customWidth="1"/>
    <col min="4877" max="4877" width="6.88671875" style="106" bestFit="1" customWidth="1"/>
    <col min="4878" max="4881" width="5.5546875" style="106" customWidth="1"/>
    <col min="4882" max="4882" width="4.44140625" style="106" customWidth="1"/>
    <col min="4883" max="4883" width="5.109375" style="106" customWidth="1"/>
    <col min="4884" max="4884" width="7.33203125" style="106" bestFit="1" customWidth="1"/>
    <col min="4885" max="4885" width="7.33203125" style="106" customWidth="1"/>
    <col min="4886" max="4886" width="5.77734375" style="106" bestFit="1" customWidth="1"/>
    <col min="4887" max="4887" width="4.5546875" style="106" customWidth="1"/>
    <col min="4888" max="4889" width="4.109375" style="106" customWidth="1"/>
    <col min="4890" max="4890" width="5.33203125" style="106" bestFit="1" customWidth="1"/>
    <col min="4891" max="4892" width="4.109375" style="106" customWidth="1"/>
    <col min="4893" max="4893" width="5.77734375" style="106" bestFit="1" customWidth="1"/>
    <col min="4894" max="4894" width="4.109375" style="106" customWidth="1"/>
    <col min="4895" max="4895" width="6.21875" style="106" bestFit="1" customWidth="1"/>
    <col min="4896" max="4896" width="5.6640625" style="106" bestFit="1" customWidth="1"/>
    <col min="4897" max="5120" width="8.88671875" style="106"/>
    <col min="5121" max="5121" width="7.77734375" style="106" customWidth="1"/>
    <col min="5122" max="5122" width="6.109375" style="106" customWidth="1"/>
    <col min="5123" max="5125" width="5.5546875" style="106" customWidth="1"/>
    <col min="5126" max="5126" width="6.109375" style="106" customWidth="1"/>
    <col min="5127" max="5129" width="5.5546875" style="106" customWidth="1"/>
    <col min="5130" max="5130" width="6.77734375" style="106" customWidth="1"/>
    <col min="5131" max="5131" width="6.109375" style="106" customWidth="1"/>
    <col min="5132" max="5132" width="5.21875" style="106" customWidth="1"/>
    <col min="5133" max="5133" width="6.88671875" style="106" bestFit="1" customWidth="1"/>
    <col min="5134" max="5137" width="5.5546875" style="106" customWidth="1"/>
    <col min="5138" max="5138" width="4.44140625" style="106" customWidth="1"/>
    <col min="5139" max="5139" width="5.109375" style="106" customWidth="1"/>
    <col min="5140" max="5140" width="7.33203125" style="106" bestFit="1" customWidth="1"/>
    <col min="5141" max="5141" width="7.33203125" style="106" customWidth="1"/>
    <col min="5142" max="5142" width="5.77734375" style="106" bestFit="1" customWidth="1"/>
    <col min="5143" max="5143" width="4.5546875" style="106" customWidth="1"/>
    <col min="5144" max="5145" width="4.109375" style="106" customWidth="1"/>
    <col min="5146" max="5146" width="5.33203125" style="106" bestFit="1" customWidth="1"/>
    <col min="5147" max="5148" width="4.109375" style="106" customWidth="1"/>
    <col min="5149" max="5149" width="5.77734375" style="106" bestFit="1" customWidth="1"/>
    <col min="5150" max="5150" width="4.109375" style="106" customWidth="1"/>
    <col min="5151" max="5151" width="6.21875" style="106" bestFit="1" customWidth="1"/>
    <col min="5152" max="5152" width="5.6640625" style="106" bestFit="1" customWidth="1"/>
    <col min="5153" max="5376" width="8.88671875" style="106"/>
    <col min="5377" max="5377" width="7.77734375" style="106" customWidth="1"/>
    <col min="5378" max="5378" width="6.109375" style="106" customWidth="1"/>
    <col min="5379" max="5381" width="5.5546875" style="106" customWidth="1"/>
    <col min="5382" max="5382" width="6.109375" style="106" customWidth="1"/>
    <col min="5383" max="5385" width="5.5546875" style="106" customWidth="1"/>
    <col min="5386" max="5386" width="6.77734375" style="106" customWidth="1"/>
    <col min="5387" max="5387" width="6.109375" style="106" customWidth="1"/>
    <col min="5388" max="5388" width="5.21875" style="106" customWidth="1"/>
    <col min="5389" max="5389" width="6.88671875" style="106" bestFit="1" customWidth="1"/>
    <col min="5390" max="5393" width="5.5546875" style="106" customWidth="1"/>
    <col min="5394" max="5394" width="4.44140625" style="106" customWidth="1"/>
    <col min="5395" max="5395" width="5.109375" style="106" customWidth="1"/>
    <col min="5396" max="5396" width="7.33203125" style="106" bestFit="1" customWidth="1"/>
    <col min="5397" max="5397" width="7.33203125" style="106" customWidth="1"/>
    <col min="5398" max="5398" width="5.77734375" style="106" bestFit="1" customWidth="1"/>
    <col min="5399" max="5399" width="4.5546875" style="106" customWidth="1"/>
    <col min="5400" max="5401" width="4.109375" style="106" customWidth="1"/>
    <col min="5402" max="5402" width="5.33203125" style="106" bestFit="1" customWidth="1"/>
    <col min="5403" max="5404" width="4.109375" style="106" customWidth="1"/>
    <col min="5405" max="5405" width="5.77734375" style="106" bestFit="1" customWidth="1"/>
    <col min="5406" max="5406" width="4.109375" style="106" customWidth="1"/>
    <col min="5407" max="5407" width="6.21875" style="106" bestFit="1" customWidth="1"/>
    <col min="5408" max="5408" width="5.6640625" style="106" bestFit="1" customWidth="1"/>
    <col min="5409" max="5632" width="8.88671875" style="106"/>
    <col min="5633" max="5633" width="7.77734375" style="106" customWidth="1"/>
    <col min="5634" max="5634" width="6.109375" style="106" customWidth="1"/>
    <col min="5635" max="5637" width="5.5546875" style="106" customWidth="1"/>
    <col min="5638" max="5638" width="6.109375" style="106" customWidth="1"/>
    <col min="5639" max="5641" width="5.5546875" style="106" customWidth="1"/>
    <col min="5642" max="5642" width="6.77734375" style="106" customWidth="1"/>
    <col min="5643" max="5643" width="6.109375" style="106" customWidth="1"/>
    <col min="5644" max="5644" width="5.21875" style="106" customWidth="1"/>
    <col min="5645" max="5645" width="6.88671875" style="106" bestFit="1" customWidth="1"/>
    <col min="5646" max="5649" width="5.5546875" style="106" customWidth="1"/>
    <col min="5650" max="5650" width="4.44140625" style="106" customWidth="1"/>
    <col min="5651" max="5651" width="5.109375" style="106" customWidth="1"/>
    <col min="5652" max="5652" width="7.33203125" style="106" bestFit="1" customWidth="1"/>
    <col min="5653" max="5653" width="7.33203125" style="106" customWidth="1"/>
    <col min="5654" max="5654" width="5.77734375" style="106" bestFit="1" customWidth="1"/>
    <col min="5655" max="5655" width="4.5546875" style="106" customWidth="1"/>
    <col min="5656" max="5657" width="4.109375" style="106" customWidth="1"/>
    <col min="5658" max="5658" width="5.33203125" style="106" bestFit="1" customWidth="1"/>
    <col min="5659" max="5660" width="4.109375" style="106" customWidth="1"/>
    <col min="5661" max="5661" width="5.77734375" style="106" bestFit="1" customWidth="1"/>
    <col min="5662" max="5662" width="4.109375" style="106" customWidth="1"/>
    <col min="5663" max="5663" width="6.21875" style="106" bestFit="1" customWidth="1"/>
    <col min="5664" max="5664" width="5.6640625" style="106" bestFit="1" customWidth="1"/>
    <col min="5665" max="5888" width="8.88671875" style="106"/>
    <col min="5889" max="5889" width="7.77734375" style="106" customWidth="1"/>
    <col min="5890" max="5890" width="6.109375" style="106" customWidth="1"/>
    <col min="5891" max="5893" width="5.5546875" style="106" customWidth="1"/>
    <col min="5894" max="5894" width="6.109375" style="106" customWidth="1"/>
    <col min="5895" max="5897" width="5.5546875" style="106" customWidth="1"/>
    <col min="5898" max="5898" width="6.77734375" style="106" customWidth="1"/>
    <col min="5899" max="5899" width="6.109375" style="106" customWidth="1"/>
    <col min="5900" max="5900" width="5.21875" style="106" customWidth="1"/>
    <col min="5901" max="5901" width="6.88671875" style="106" bestFit="1" customWidth="1"/>
    <col min="5902" max="5905" width="5.5546875" style="106" customWidth="1"/>
    <col min="5906" max="5906" width="4.44140625" style="106" customWidth="1"/>
    <col min="5907" max="5907" width="5.109375" style="106" customWidth="1"/>
    <col min="5908" max="5908" width="7.33203125" style="106" bestFit="1" customWidth="1"/>
    <col min="5909" max="5909" width="7.33203125" style="106" customWidth="1"/>
    <col min="5910" max="5910" width="5.77734375" style="106" bestFit="1" customWidth="1"/>
    <col min="5911" max="5911" width="4.5546875" style="106" customWidth="1"/>
    <col min="5912" max="5913" width="4.109375" style="106" customWidth="1"/>
    <col min="5914" max="5914" width="5.33203125" style="106" bestFit="1" customWidth="1"/>
    <col min="5915" max="5916" width="4.109375" style="106" customWidth="1"/>
    <col min="5917" max="5917" width="5.77734375" style="106" bestFit="1" customWidth="1"/>
    <col min="5918" max="5918" width="4.109375" style="106" customWidth="1"/>
    <col min="5919" max="5919" width="6.21875" style="106" bestFit="1" customWidth="1"/>
    <col min="5920" max="5920" width="5.6640625" style="106" bestFit="1" customWidth="1"/>
    <col min="5921" max="6144" width="8.88671875" style="106"/>
    <col min="6145" max="6145" width="7.77734375" style="106" customWidth="1"/>
    <col min="6146" max="6146" width="6.109375" style="106" customWidth="1"/>
    <col min="6147" max="6149" width="5.5546875" style="106" customWidth="1"/>
    <col min="6150" max="6150" width="6.109375" style="106" customWidth="1"/>
    <col min="6151" max="6153" width="5.5546875" style="106" customWidth="1"/>
    <col min="6154" max="6154" width="6.77734375" style="106" customWidth="1"/>
    <col min="6155" max="6155" width="6.109375" style="106" customWidth="1"/>
    <col min="6156" max="6156" width="5.21875" style="106" customWidth="1"/>
    <col min="6157" max="6157" width="6.88671875" style="106" bestFit="1" customWidth="1"/>
    <col min="6158" max="6161" width="5.5546875" style="106" customWidth="1"/>
    <col min="6162" max="6162" width="4.44140625" style="106" customWidth="1"/>
    <col min="6163" max="6163" width="5.109375" style="106" customWidth="1"/>
    <col min="6164" max="6164" width="7.33203125" style="106" bestFit="1" customWidth="1"/>
    <col min="6165" max="6165" width="7.33203125" style="106" customWidth="1"/>
    <col min="6166" max="6166" width="5.77734375" style="106" bestFit="1" customWidth="1"/>
    <col min="6167" max="6167" width="4.5546875" style="106" customWidth="1"/>
    <col min="6168" max="6169" width="4.109375" style="106" customWidth="1"/>
    <col min="6170" max="6170" width="5.33203125" style="106" bestFit="1" customWidth="1"/>
    <col min="6171" max="6172" width="4.109375" style="106" customWidth="1"/>
    <col min="6173" max="6173" width="5.77734375" style="106" bestFit="1" customWidth="1"/>
    <col min="6174" max="6174" width="4.109375" style="106" customWidth="1"/>
    <col min="6175" max="6175" width="6.21875" style="106" bestFit="1" customWidth="1"/>
    <col min="6176" max="6176" width="5.6640625" style="106" bestFit="1" customWidth="1"/>
    <col min="6177" max="6400" width="8.88671875" style="106"/>
    <col min="6401" max="6401" width="7.77734375" style="106" customWidth="1"/>
    <col min="6402" max="6402" width="6.109375" style="106" customWidth="1"/>
    <col min="6403" max="6405" width="5.5546875" style="106" customWidth="1"/>
    <col min="6406" max="6406" width="6.109375" style="106" customWidth="1"/>
    <col min="6407" max="6409" width="5.5546875" style="106" customWidth="1"/>
    <col min="6410" max="6410" width="6.77734375" style="106" customWidth="1"/>
    <col min="6411" max="6411" width="6.109375" style="106" customWidth="1"/>
    <col min="6412" max="6412" width="5.21875" style="106" customWidth="1"/>
    <col min="6413" max="6413" width="6.88671875" style="106" bestFit="1" customWidth="1"/>
    <col min="6414" max="6417" width="5.5546875" style="106" customWidth="1"/>
    <col min="6418" max="6418" width="4.44140625" style="106" customWidth="1"/>
    <col min="6419" max="6419" width="5.109375" style="106" customWidth="1"/>
    <col min="6420" max="6420" width="7.33203125" style="106" bestFit="1" customWidth="1"/>
    <col min="6421" max="6421" width="7.33203125" style="106" customWidth="1"/>
    <col min="6422" max="6422" width="5.77734375" style="106" bestFit="1" customWidth="1"/>
    <col min="6423" max="6423" width="4.5546875" style="106" customWidth="1"/>
    <col min="6424" max="6425" width="4.109375" style="106" customWidth="1"/>
    <col min="6426" max="6426" width="5.33203125" style="106" bestFit="1" customWidth="1"/>
    <col min="6427" max="6428" width="4.109375" style="106" customWidth="1"/>
    <col min="6429" max="6429" width="5.77734375" style="106" bestFit="1" customWidth="1"/>
    <col min="6430" max="6430" width="4.109375" style="106" customWidth="1"/>
    <col min="6431" max="6431" width="6.21875" style="106" bestFit="1" customWidth="1"/>
    <col min="6432" max="6432" width="5.6640625" style="106" bestFit="1" customWidth="1"/>
    <col min="6433" max="6656" width="8.88671875" style="106"/>
    <col min="6657" max="6657" width="7.77734375" style="106" customWidth="1"/>
    <col min="6658" max="6658" width="6.109375" style="106" customWidth="1"/>
    <col min="6659" max="6661" width="5.5546875" style="106" customWidth="1"/>
    <col min="6662" max="6662" width="6.109375" style="106" customWidth="1"/>
    <col min="6663" max="6665" width="5.5546875" style="106" customWidth="1"/>
    <col min="6666" max="6666" width="6.77734375" style="106" customWidth="1"/>
    <col min="6667" max="6667" width="6.109375" style="106" customWidth="1"/>
    <col min="6668" max="6668" width="5.21875" style="106" customWidth="1"/>
    <col min="6669" max="6669" width="6.88671875" style="106" bestFit="1" customWidth="1"/>
    <col min="6670" max="6673" width="5.5546875" style="106" customWidth="1"/>
    <col min="6674" max="6674" width="4.44140625" style="106" customWidth="1"/>
    <col min="6675" max="6675" width="5.109375" style="106" customWidth="1"/>
    <col min="6676" max="6676" width="7.33203125" style="106" bestFit="1" customWidth="1"/>
    <col min="6677" max="6677" width="7.33203125" style="106" customWidth="1"/>
    <col min="6678" max="6678" width="5.77734375" style="106" bestFit="1" customWidth="1"/>
    <col min="6679" max="6679" width="4.5546875" style="106" customWidth="1"/>
    <col min="6680" max="6681" width="4.109375" style="106" customWidth="1"/>
    <col min="6682" max="6682" width="5.33203125" style="106" bestFit="1" customWidth="1"/>
    <col min="6683" max="6684" width="4.109375" style="106" customWidth="1"/>
    <col min="6685" max="6685" width="5.77734375" style="106" bestFit="1" customWidth="1"/>
    <col min="6686" max="6686" width="4.109375" style="106" customWidth="1"/>
    <col min="6687" max="6687" width="6.21875" style="106" bestFit="1" customWidth="1"/>
    <col min="6688" max="6688" width="5.6640625" style="106" bestFit="1" customWidth="1"/>
    <col min="6689" max="6912" width="8.88671875" style="106"/>
    <col min="6913" max="6913" width="7.77734375" style="106" customWidth="1"/>
    <col min="6914" max="6914" width="6.109375" style="106" customWidth="1"/>
    <col min="6915" max="6917" width="5.5546875" style="106" customWidth="1"/>
    <col min="6918" max="6918" width="6.109375" style="106" customWidth="1"/>
    <col min="6919" max="6921" width="5.5546875" style="106" customWidth="1"/>
    <col min="6922" max="6922" width="6.77734375" style="106" customWidth="1"/>
    <col min="6923" max="6923" width="6.109375" style="106" customWidth="1"/>
    <col min="6924" max="6924" width="5.21875" style="106" customWidth="1"/>
    <col min="6925" max="6925" width="6.88671875" style="106" bestFit="1" customWidth="1"/>
    <col min="6926" max="6929" width="5.5546875" style="106" customWidth="1"/>
    <col min="6930" max="6930" width="4.44140625" style="106" customWidth="1"/>
    <col min="6931" max="6931" width="5.109375" style="106" customWidth="1"/>
    <col min="6932" max="6932" width="7.33203125" style="106" bestFit="1" customWidth="1"/>
    <col min="6933" max="6933" width="7.33203125" style="106" customWidth="1"/>
    <col min="6934" max="6934" width="5.77734375" style="106" bestFit="1" customWidth="1"/>
    <col min="6935" max="6935" width="4.5546875" style="106" customWidth="1"/>
    <col min="6936" max="6937" width="4.109375" style="106" customWidth="1"/>
    <col min="6938" max="6938" width="5.33203125" style="106" bestFit="1" customWidth="1"/>
    <col min="6939" max="6940" width="4.109375" style="106" customWidth="1"/>
    <col min="6941" max="6941" width="5.77734375" style="106" bestFit="1" customWidth="1"/>
    <col min="6942" max="6942" width="4.109375" style="106" customWidth="1"/>
    <col min="6943" max="6943" width="6.21875" style="106" bestFit="1" customWidth="1"/>
    <col min="6944" max="6944" width="5.6640625" style="106" bestFit="1" customWidth="1"/>
    <col min="6945" max="7168" width="8.88671875" style="106"/>
    <col min="7169" max="7169" width="7.77734375" style="106" customWidth="1"/>
    <col min="7170" max="7170" width="6.109375" style="106" customWidth="1"/>
    <col min="7171" max="7173" width="5.5546875" style="106" customWidth="1"/>
    <col min="7174" max="7174" width="6.109375" style="106" customWidth="1"/>
    <col min="7175" max="7177" width="5.5546875" style="106" customWidth="1"/>
    <col min="7178" max="7178" width="6.77734375" style="106" customWidth="1"/>
    <col min="7179" max="7179" width="6.109375" style="106" customWidth="1"/>
    <col min="7180" max="7180" width="5.21875" style="106" customWidth="1"/>
    <col min="7181" max="7181" width="6.88671875" style="106" bestFit="1" customWidth="1"/>
    <col min="7182" max="7185" width="5.5546875" style="106" customWidth="1"/>
    <col min="7186" max="7186" width="4.44140625" style="106" customWidth="1"/>
    <col min="7187" max="7187" width="5.109375" style="106" customWidth="1"/>
    <col min="7188" max="7188" width="7.33203125" style="106" bestFit="1" customWidth="1"/>
    <col min="7189" max="7189" width="7.33203125" style="106" customWidth="1"/>
    <col min="7190" max="7190" width="5.77734375" style="106" bestFit="1" customWidth="1"/>
    <col min="7191" max="7191" width="4.5546875" style="106" customWidth="1"/>
    <col min="7192" max="7193" width="4.109375" style="106" customWidth="1"/>
    <col min="7194" max="7194" width="5.33203125" style="106" bestFit="1" customWidth="1"/>
    <col min="7195" max="7196" width="4.109375" style="106" customWidth="1"/>
    <col min="7197" max="7197" width="5.77734375" style="106" bestFit="1" customWidth="1"/>
    <col min="7198" max="7198" width="4.109375" style="106" customWidth="1"/>
    <col min="7199" max="7199" width="6.21875" style="106" bestFit="1" customWidth="1"/>
    <col min="7200" max="7200" width="5.6640625" style="106" bestFit="1" customWidth="1"/>
    <col min="7201" max="7424" width="8.88671875" style="106"/>
    <col min="7425" max="7425" width="7.77734375" style="106" customWidth="1"/>
    <col min="7426" max="7426" width="6.109375" style="106" customWidth="1"/>
    <col min="7427" max="7429" width="5.5546875" style="106" customWidth="1"/>
    <col min="7430" max="7430" width="6.109375" style="106" customWidth="1"/>
    <col min="7431" max="7433" width="5.5546875" style="106" customWidth="1"/>
    <col min="7434" max="7434" width="6.77734375" style="106" customWidth="1"/>
    <col min="7435" max="7435" width="6.109375" style="106" customWidth="1"/>
    <col min="7436" max="7436" width="5.21875" style="106" customWidth="1"/>
    <col min="7437" max="7437" width="6.88671875" style="106" bestFit="1" customWidth="1"/>
    <col min="7438" max="7441" width="5.5546875" style="106" customWidth="1"/>
    <col min="7442" max="7442" width="4.44140625" style="106" customWidth="1"/>
    <col min="7443" max="7443" width="5.109375" style="106" customWidth="1"/>
    <col min="7444" max="7444" width="7.33203125" style="106" bestFit="1" customWidth="1"/>
    <col min="7445" max="7445" width="7.33203125" style="106" customWidth="1"/>
    <col min="7446" max="7446" width="5.77734375" style="106" bestFit="1" customWidth="1"/>
    <col min="7447" max="7447" width="4.5546875" style="106" customWidth="1"/>
    <col min="7448" max="7449" width="4.109375" style="106" customWidth="1"/>
    <col min="7450" max="7450" width="5.33203125" style="106" bestFit="1" customWidth="1"/>
    <col min="7451" max="7452" width="4.109375" style="106" customWidth="1"/>
    <col min="7453" max="7453" width="5.77734375" style="106" bestFit="1" customWidth="1"/>
    <col min="7454" max="7454" width="4.109375" style="106" customWidth="1"/>
    <col min="7455" max="7455" width="6.21875" style="106" bestFit="1" customWidth="1"/>
    <col min="7456" max="7456" width="5.6640625" style="106" bestFit="1" customWidth="1"/>
    <col min="7457" max="7680" width="8.88671875" style="106"/>
    <col min="7681" max="7681" width="7.77734375" style="106" customWidth="1"/>
    <col min="7682" max="7682" width="6.109375" style="106" customWidth="1"/>
    <col min="7683" max="7685" width="5.5546875" style="106" customWidth="1"/>
    <col min="7686" max="7686" width="6.109375" style="106" customWidth="1"/>
    <col min="7687" max="7689" width="5.5546875" style="106" customWidth="1"/>
    <col min="7690" max="7690" width="6.77734375" style="106" customWidth="1"/>
    <col min="7691" max="7691" width="6.109375" style="106" customWidth="1"/>
    <col min="7692" max="7692" width="5.21875" style="106" customWidth="1"/>
    <col min="7693" max="7693" width="6.88671875" style="106" bestFit="1" customWidth="1"/>
    <col min="7694" max="7697" width="5.5546875" style="106" customWidth="1"/>
    <col min="7698" max="7698" width="4.44140625" style="106" customWidth="1"/>
    <col min="7699" max="7699" width="5.109375" style="106" customWidth="1"/>
    <col min="7700" max="7700" width="7.33203125" style="106" bestFit="1" customWidth="1"/>
    <col min="7701" max="7701" width="7.33203125" style="106" customWidth="1"/>
    <col min="7702" max="7702" width="5.77734375" style="106" bestFit="1" customWidth="1"/>
    <col min="7703" max="7703" width="4.5546875" style="106" customWidth="1"/>
    <col min="7704" max="7705" width="4.109375" style="106" customWidth="1"/>
    <col min="7706" max="7706" width="5.33203125" style="106" bestFit="1" customWidth="1"/>
    <col min="7707" max="7708" width="4.109375" style="106" customWidth="1"/>
    <col min="7709" max="7709" width="5.77734375" style="106" bestFit="1" customWidth="1"/>
    <col min="7710" max="7710" width="4.109375" style="106" customWidth="1"/>
    <col min="7711" max="7711" width="6.21875" style="106" bestFit="1" customWidth="1"/>
    <col min="7712" max="7712" width="5.6640625" style="106" bestFit="1" customWidth="1"/>
    <col min="7713" max="7936" width="8.88671875" style="106"/>
    <col min="7937" max="7937" width="7.77734375" style="106" customWidth="1"/>
    <col min="7938" max="7938" width="6.109375" style="106" customWidth="1"/>
    <col min="7939" max="7941" width="5.5546875" style="106" customWidth="1"/>
    <col min="7942" max="7942" width="6.109375" style="106" customWidth="1"/>
    <col min="7943" max="7945" width="5.5546875" style="106" customWidth="1"/>
    <col min="7946" max="7946" width="6.77734375" style="106" customWidth="1"/>
    <col min="7947" max="7947" width="6.109375" style="106" customWidth="1"/>
    <col min="7948" max="7948" width="5.21875" style="106" customWidth="1"/>
    <col min="7949" max="7949" width="6.88671875" style="106" bestFit="1" customWidth="1"/>
    <col min="7950" max="7953" width="5.5546875" style="106" customWidth="1"/>
    <col min="7954" max="7954" width="4.44140625" style="106" customWidth="1"/>
    <col min="7955" max="7955" width="5.109375" style="106" customWidth="1"/>
    <col min="7956" max="7956" width="7.33203125" style="106" bestFit="1" customWidth="1"/>
    <col min="7957" max="7957" width="7.33203125" style="106" customWidth="1"/>
    <col min="7958" max="7958" width="5.77734375" style="106" bestFit="1" customWidth="1"/>
    <col min="7959" max="7959" width="4.5546875" style="106" customWidth="1"/>
    <col min="7960" max="7961" width="4.109375" style="106" customWidth="1"/>
    <col min="7962" max="7962" width="5.33203125" style="106" bestFit="1" customWidth="1"/>
    <col min="7963" max="7964" width="4.109375" style="106" customWidth="1"/>
    <col min="7965" max="7965" width="5.77734375" style="106" bestFit="1" customWidth="1"/>
    <col min="7966" max="7966" width="4.109375" style="106" customWidth="1"/>
    <col min="7967" max="7967" width="6.21875" style="106" bestFit="1" customWidth="1"/>
    <col min="7968" max="7968" width="5.6640625" style="106" bestFit="1" customWidth="1"/>
    <col min="7969" max="8192" width="8.88671875" style="106"/>
    <col min="8193" max="8193" width="7.77734375" style="106" customWidth="1"/>
    <col min="8194" max="8194" width="6.109375" style="106" customWidth="1"/>
    <col min="8195" max="8197" width="5.5546875" style="106" customWidth="1"/>
    <col min="8198" max="8198" width="6.109375" style="106" customWidth="1"/>
    <col min="8199" max="8201" width="5.5546875" style="106" customWidth="1"/>
    <col min="8202" max="8202" width="6.77734375" style="106" customWidth="1"/>
    <col min="8203" max="8203" width="6.109375" style="106" customWidth="1"/>
    <col min="8204" max="8204" width="5.21875" style="106" customWidth="1"/>
    <col min="8205" max="8205" width="6.88671875" style="106" bestFit="1" customWidth="1"/>
    <col min="8206" max="8209" width="5.5546875" style="106" customWidth="1"/>
    <col min="8210" max="8210" width="4.44140625" style="106" customWidth="1"/>
    <col min="8211" max="8211" width="5.109375" style="106" customWidth="1"/>
    <col min="8212" max="8212" width="7.33203125" style="106" bestFit="1" customWidth="1"/>
    <col min="8213" max="8213" width="7.33203125" style="106" customWidth="1"/>
    <col min="8214" max="8214" width="5.77734375" style="106" bestFit="1" customWidth="1"/>
    <col min="8215" max="8215" width="4.5546875" style="106" customWidth="1"/>
    <col min="8216" max="8217" width="4.109375" style="106" customWidth="1"/>
    <col min="8218" max="8218" width="5.33203125" style="106" bestFit="1" customWidth="1"/>
    <col min="8219" max="8220" width="4.109375" style="106" customWidth="1"/>
    <col min="8221" max="8221" width="5.77734375" style="106" bestFit="1" customWidth="1"/>
    <col min="8222" max="8222" width="4.109375" style="106" customWidth="1"/>
    <col min="8223" max="8223" width="6.21875" style="106" bestFit="1" customWidth="1"/>
    <col min="8224" max="8224" width="5.6640625" style="106" bestFit="1" customWidth="1"/>
    <col min="8225" max="8448" width="8.88671875" style="106"/>
    <col min="8449" max="8449" width="7.77734375" style="106" customWidth="1"/>
    <col min="8450" max="8450" width="6.109375" style="106" customWidth="1"/>
    <col min="8451" max="8453" width="5.5546875" style="106" customWidth="1"/>
    <col min="8454" max="8454" width="6.109375" style="106" customWidth="1"/>
    <col min="8455" max="8457" width="5.5546875" style="106" customWidth="1"/>
    <col min="8458" max="8458" width="6.77734375" style="106" customWidth="1"/>
    <col min="8459" max="8459" width="6.109375" style="106" customWidth="1"/>
    <col min="8460" max="8460" width="5.21875" style="106" customWidth="1"/>
    <col min="8461" max="8461" width="6.88671875" style="106" bestFit="1" customWidth="1"/>
    <col min="8462" max="8465" width="5.5546875" style="106" customWidth="1"/>
    <col min="8466" max="8466" width="4.44140625" style="106" customWidth="1"/>
    <col min="8467" max="8467" width="5.109375" style="106" customWidth="1"/>
    <col min="8468" max="8468" width="7.33203125" style="106" bestFit="1" customWidth="1"/>
    <col min="8469" max="8469" width="7.33203125" style="106" customWidth="1"/>
    <col min="8470" max="8470" width="5.77734375" style="106" bestFit="1" customWidth="1"/>
    <col min="8471" max="8471" width="4.5546875" style="106" customWidth="1"/>
    <col min="8472" max="8473" width="4.109375" style="106" customWidth="1"/>
    <col min="8474" max="8474" width="5.33203125" style="106" bestFit="1" customWidth="1"/>
    <col min="8475" max="8476" width="4.109375" style="106" customWidth="1"/>
    <col min="8477" max="8477" width="5.77734375" style="106" bestFit="1" customWidth="1"/>
    <col min="8478" max="8478" width="4.109375" style="106" customWidth="1"/>
    <col min="8479" max="8479" width="6.21875" style="106" bestFit="1" customWidth="1"/>
    <col min="8480" max="8480" width="5.6640625" style="106" bestFit="1" customWidth="1"/>
    <col min="8481" max="8704" width="8.88671875" style="106"/>
    <col min="8705" max="8705" width="7.77734375" style="106" customWidth="1"/>
    <col min="8706" max="8706" width="6.109375" style="106" customWidth="1"/>
    <col min="8707" max="8709" width="5.5546875" style="106" customWidth="1"/>
    <col min="8710" max="8710" width="6.109375" style="106" customWidth="1"/>
    <col min="8711" max="8713" width="5.5546875" style="106" customWidth="1"/>
    <col min="8714" max="8714" width="6.77734375" style="106" customWidth="1"/>
    <col min="8715" max="8715" width="6.109375" style="106" customWidth="1"/>
    <col min="8716" max="8716" width="5.21875" style="106" customWidth="1"/>
    <col min="8717" max="8717" width="6.88671875" style="106" bestFit="1" customWidth="1"/>
    <col min="8718" max="8721" width="5.5546875" style="106" customWidth="1"/>
    <col min="8722" max="8722" width="4.44140625" style="106" customWidth="1"/>
    <col min="8723" max="8723" width="5.109375" style="106" customWidth="1"/>
    <col min="8724" max="8724" width="7.33203125" style="106" bestFit="1" customWidth="1"/>
    <col min="8725" max="8725" width="7.33203125" style="106" customWidth="1"/>
    <col min="8726" max="8726" width="5.77734375" style="106" bestFit="1" customWidth="1"/>
    <col min="8727" max="8727" width="4.5546875" style="106" customWidth="1"/>
    <col min="8728" max="8729" width="4.109375" style="106" customWidth="1"/>
    <col min="8730" max="8730" width="5.33203125" style="106" bestFit="1" customWidth="1"/>
    <col min="8731" max="8732" width="4.109375" style="106" customWidth="1"/>
    <col min="8733" max="8733" width="5.77734375" style="106" bestFit="1" customWidth="1"/>
    <col min="8734" max="8734" width="4.109375" style="106" customWidth="1"/>
    <col min="8735" max="8735" width="6.21875" style="106" bestFit="1" customWidth="1"/>
    <col min="8736" max="8736" width="5.6640625" style="106" bestFit="1" customWidth="1"/>
    <col min="8737" max="8960" width="8.88671875" style="106"/>
    <col min="8961" max="8961" width="7.77734375" style="106" customWidth="1"/>
    <col min="8962" max="8962" width="6.109375" style="106" customWidth="1"/>
    <col min="8963" max="8965" width="5.5546875" style="106" customWidth="1"/>
    <col min="8966" max="8966" width="6.109375" style="106" customWidth="1"/>
    <col min="8967" max="8969" width="5.5546875" style="106" customWidth="1"/>
    <col min="8970" max="8970" width="6.77734375" style="106" customWidth="1"/>
    <col min="8971" max="8971" width="6.109375" style="106" customWidth="1"/>
    <col min="8972" max="8972" width="5.21875" style="106" customWidth="1"/>
    <col min="8973" max="8973" width="6.88671875" style="106" bestFit="1" customWidth="1"/>
    <col min="8974" max="8977" width="5.5546875" style="106" customWidth="1"/>
    <col min="8978" max="8978" width="4.44140625" style="106" customWidth="1"/>
    <col min="8979" max="8979" width="5.109375" style="106" customWidth="1"/>
    <col min="8980" max="8980" width="7.33203125" style="106" bestFit="1" customWidth="1"/>
    <col min="8981" max="8981" width="7.33203125" style="106" customWidth="1"/>
    <col min="8982" max="8982" width="5.77734375" style="106" bestFit="1" customWidth="1"/>
    <col min="8983" max="8983" width="4.5546875" style="106" customWidth="1"/>
    <col min="8984" max="8985" width="4.109375" style="106" customWidth="1"/>
    <col min="8986" max="8986" width="5.33203125" style="106" bestFit="1" customWidth="1"/>
    <col min="8987" max="8988" width="4.109375" style="106" customWidth="1"/>
    <col min="8989" max="8989" width="5.77734375" style="106" bestFit="1" customWidth="1"/>
    <col min="8990" max="8990" width="4.109375" style="106" customWidth="1"/>
    <col min="8991" max="8991" width="6.21875" style="106" bestFit="1" customWidth="1"/>
    <col min="8992" max="8992" width="5.6640625" style="106" bestFit="1" customWidth="1"/>
    <col min="8993" max="9216" width="8.88671875" style="106"/>
    <col min="9217" max="9217" width="7.77734375" style="106" customWidth="1"/>
    <col min="9218" max="9218" width="6.109375" style="106" customWidth="1"/>
    <col min="9219" max="9221" width="5.5546875" style="106" customWidth="1"/>
    <col min="9222" max="9222" width="6.109375" style="106" customWidth="1"/>
    <col min="9223" max="9225" width="5.5546875" style="106" customWidth="1"/>
    <col min="9226" max="9226" width="6.77734375" style="106" customWidth="1"/>
    <col min="9227" max="9227" width="6.109375" style="106" customWidth="1"/>
    <col min="9228" max="9228" width="5.21875" style="106" customWidth="1"/>
    <col min="9229" max="9229" width="6.88671875" style="106" bestFit="1" customWidth="1"/>
    <col min="9230" max="9233" width="5.5546875" style="106" customWidth="1"/>
    <col min="9234" max="9234" width="4.44140625" style="106" customWidth="1"/>
    <col min="9235" max="9235" width="5.109375" style="106" customWidth="1"/>
    <col min="9236" max="9236" width="7.33203125" style="106" bestFit="1" customWidth="1"/>
    <col min="9237" max="9237" width="7.33203125" style="106" customWidth="1"/>
    <col min="9238" max="9238" width="5.77734375" style="106" bestFit="1" customWidth="1"/>
    <col min="9239" max="9239" width="4.5546875" style="106" customWidth="1"/>
    <col min="9240" max="9241" width="4.109375" style="106" customWidth="1"/>
    <col min="9242" max="9242" width="5.33203125" style="106" bestFit="1" customWidth="1"/>
    <col min="9243" max="9244" width="4.109375" style="106" customWidth="1"/>
    <col min="9245" max="9245" width="5.77734375" style="106" bestFit="1" customWidth="1"/>
    <col min="9246" max="9246" width="4.109375" style="106" customWidth="1"/>
    <col min="9247" max="9247" width="6.21875" style="106" bestFit="1" customWidth="1"/>
    <col min="9248" max="9248" width="5.6640625" style="106" bestFit="1" customWidth="1"/>
    <col min="9249" max="9472" width="8.88671875" style="106"/>
    <col min="9473" max="9473" width="7.77734375" style="106" customWidth="1"/>
    <col min="9474" max="9474" width="6.109375" style="106" customWidth="1"/>
    <col min="9475" max="9477" width="5.5546875" style="106" customWidth="1"/>
    <col min="9478" max="9478" width="6.109375" style="106" customWidth="1"/>
    <col min="9479" max="9481" width="5.5546875" style="106" customWidth="1"/>
    <col min="9482" max="9482" width="6.77734375" style="106" customWidth="1"/>
    <col min="9483" max="9483" width="6.109375" style="106" customWidth="1"/>
    <col min="9484" max="9484" width="5.21875" style="106" customWidth="1"/>
    <col min="9485" max="9485" width="6.88671875" style="106" bestFit="1" customWidth="1"/>
    <col min="9486" max="9489" width="5.5546875" style="106" customWidth="1"/>
    <col min="9490" max="9490" width="4.44140625" style="106" customWidth="1"/>
    <col min="9491" max="9491" width="5.109375" style="106" customWidth="1"/>
    <col min="9492" max="9492" width="7.33203125" style="106" bestFit="1" customWidth="1"/>
    <col min="9493" max="9493" width="7.33203125" style="106" customWidth="1"/>
    <col min="9494" max="9494" width="5.77734375" style="106" bestFit="1" customWidth="1"/>
    <col min="9495" max="9495" width="4.5546875" style="106" customWidth="1"/>
    <col min="9496" max="9497" width="4.109375" style="106" customWidth="1"/>
    <col min="9498" max="9498" width="5.33203125" style="106" bestFit="1" customWidth="1"/>
    <col min="9499" max="9500" width="4.109375" style="106" customWidth="1"/>
    <col min="9501" max="9501" width="5.77734375" style="106" bestFit="1" customWidth="1"/>
    <col min="9502" max="9502" width="4.109375" style="106" customWidth="1"/>
    <col min="9503" max="9503" width="6.21875" style="106" bestFit="1" customWidth="1"/>
    <col min="9504" max="9504" width="5.6640625" style="106" bestFit="1" customWidth="1"/>
    <col min="9505" max="9728" width="8.88671875" style="106"/>
    <col min="9729" max="9729" width="7.77734375" style="106" customWidth="1"/>
    <col min="9730" max="9730" width="6.109375" style="106" customWidth="1"/>
    <col min="9731" max="9733" width="5.5546875" style="106" customWidth="1"/>
    <col min="9734" max="9734" width="6.109375" style="106" customWidth="1"/>
    <col min="9735" max="9737" width="5.5546875" style="106" customWidth="1"/>
    <col min="9738" max="9738" width="6.77734375" style="106" customWidth="1"/>
    <col min="9739" max="9739" width="6.109375" style="106" customWidth="1"/>
    <col min="9740" max="9740" width="5.21875" style="106" customWidth="1"/>
    <col min="9741" max="9741" width="6.88671875" style="106" bestFit="1" customWidth="1"/>
    <col min="9742" max="9745" width="5.5546875" style="106" customWidth="1"/>
    <col min="9746" max="9746" width="4.44140625" style="106" customWidth="1"/>
    <col min="9747" max="9747" width="5.109375" style="106" customWidth="1"/>
    <col min="9748" max="9748" width="7.33203125" style="106" bestFit="1" customWidth="1"/>
    <col min="9749" max="9749" width="7.33203125" style="106" customWidth="1"/>
    <col min="9750" max="9750" width="5.77734375" style="106" bestFit="1" customWidth="1"/>
    <col min="9751" max="9751" width="4.5546875" style="106" customWidth="1"/>
    <col min="9752" max="9753" width="4.109375" style="106" customWidth="1"/>
    <col min="9754" max="9754" width="5.33203125" style="106" bestFit="1" customWidth="1"/>
    <col min="9755" max="9756" width="4.109375" style="106" customWidth="1"/>
    <col min="9757" max="9757" width="5.77734375" style="106" bestFit="1" customWidth="1"/>
    <col min="9758" max="9758" width="4.109375" style="106" customWidth="1"/>
    <col min="9759" max="9759" width="6.21875" style="106" bestFit="1" customWidth="1"/>
    <col min="9760" max="9760" width="5.6640625" style="106" bestFit="1" customWidth="1"/>
    <col min="9761" max="9984" width="8.88671875" style="106"/>
    <col min="9985" max="9985" width="7.77734375" style="106" customWidth="1"/>
    <col min="9986" max="9986" width="6.109375" style="106" customWidth="1"/>
    <col min="9987" max="9989" width="5.5546875" style="106" customWidth="1"/>
    <col min="9990" max="9990" width="6.109375" style="106" customWidth="1"/>
    <col min="9991" max="9993" width="5.5546875" style="106" customWidth="1"/>
    <col min="9994" max="9994" width="6.77734375" style="106" customWidth="1"/>
    <col min="9995" max="9995" width="6.109375" style="106" customWidth="1"/>
    <col min="9996" max="9996" width="5.21875" style="106" customWidth="1"/>
    <col min="9997" max="9997" width="6.88671875" style="106" bestFit="1" customWidth="1"/>
    <col min="9998" max="10001" width="5.5546875" style="106" customWidth="1"/>
    <col min="10002" max="10002" width="4.44140625" style="106" customWidth="1"/>
    <col min="10003" max="10003" width="5.109375" style="106" customWidth="1"/>
    <col min="10004" max="10004" width="7.33203125" style="106" bestFit="1" customWidth="1"/>
    <col min="10005" max="10005" width="7.33203125" style="106" customWidth="1"/>
    <col min="10006" max="10006" width="5.77734375" style="106" bestFit="1" customWidth="1"/>
    <col min="10007" max="10007" width="4.5546875" style="106" customWidth="1"/>
    <col min="10008" max="10009" width="4.109375" style="106" customWidth="1"/>
    <col min="10010" max="10010" width="5.33203125" style="106" bestFit="1" customWidth="1"/>
    <col min="10011" max="10012" width="4.109375" style="106" customWidth="1"/>
    <col min="10013" max="10013" width="5.77734375" style="106" bestFit="1" customWidth="1"/>
    <col min="10014" max="10014" width="4.109375" style="106" customWidth="1"/>
    <col min="10015" max="10015" width="6.21875" style="106" bestFit="1" customWidth="1"/>
    <col min="10016" max="10016" width="5.6640625" style="106" bestFit="1" customWidth="1"/>
    <col min="10017" max="10240" width="8.88671875" style="106"/>
    <col min="10241" max="10241" width="7.77734375" style="106" customWidth="1"/>
    <col min="10242" max="10242" width="6.109375" style="106" customWidth="1"/>
    <col min="10243" max="10245" width="5.5546875" style="106" customWidth="1"/>
    <col min="10246" max="10246" width="6.109375" style="106" customWidth="1"/>
    <col min="10247" max="10249" width="5.5546875" style="106" customWidth="1"/>
    <col min="10250" max="10250" width="6.77734375" style="106" customWidth="1"/>
    <col min="10251" max="10251" width="6.109375" style="106" customWidth="1"/>
    <col min="10252" max="10252" width="5.21875" style="106" customWidth="1"/>
    <col min="10253" max="10253" width="6.88671875" style="106" bestFit="1" customWidth="1"/>
    <col min="10254" max="10257" width="5.5546875" style="106" customWidth="1"/>
    <col min="10258" max="10258" width="4.44140625" style="106" customWidth="1"/>
    <col min="10259" max="10259" width="5.109375" style="106" customWidth="1"/>
    <col min="10260" max="10260" width="7.33203125" style="106" bestFit="1" customWidth="1"/>
    <col min="10261" max="10261" width="7.33203125" style="106" customWidth="1"/>
    <col min="10262" max="10262" width="5.77734375" style="106" bestFit="1" customWidth="1"/>
    <col min="10263" max="10263" width="4.5546875" style="106" customWidth="1"/>
    <col min="10264" max="10265" width="4.109375" style="106" customWidth="1"/>
    <col min="10266" max="10266" width="5.33203125" style="106" bestFit="1" customWidth="1"/>
    <col min="10267" max="10268" width="4.109375" style="106" customWidth="1"/>
    <col min="10269" max="10269" width="5.77734375" style="106" bestFit="1" customWidth="1"/>
    <col min="10270" max="10270" width="4.109375" style="106" customWidth="1"/>
    <col min="10271" max="10271" width="6.21875" style="106" bestFit="1" customWidth="1"/>
    <col min="10272" max="10272" width="5.6640625" style="106" bestFit="1" customWidth="1"/>
    <col min="10273" max="10496" width="8.88671875" style="106"/>
    <col min="10497" max="10497" width="7.77734375" style="106" customWidth="1"/>
    <col min="10498" max="10498" width="6.109375" style="106" customWidth="1"/>
    <col min="10499" max="10501" width="5.5546875" style="106" customWidth="1"/>
    <col min="10502" max="10502" width="6.109375" style="106" customWidth="1"/>
    <col min="10503" max="10505" width="5.5546875" style="106" customWidth="1"/>
    <col min="10506" max="10506" width="6.77734375" style="106" customWidth="1"/>
    <col min="10507" max="10507" width="6.109375" style="106" customWidth="1"/>
    <col min="10508" max="10508" width="5.21875" style="106" customWidth="1"/>
    <col min="10509" max="10509" width="6.88671875" style="106" bestFit="1" customWidth="1"/>
    <col min="10510" max="10513" width="5.5546875" style="106" customWidth="1"/>
    <col min="10514" max="10514" width="4.44140625" style="106" customWidth="1"/>
    <col min="10515" max="10515" width="5.109375" style="106" customWidth="1"/>
    <col min="10516" max="10516" width="7.33203125" style="106" bestFit="1" customWidth="1"/>
    <col min="10517" max="10517" width="7.33203125" style="106" customWidth="1"/>
    <col min="10518" max="10518" width="5.77734375" style="106" bestFit="1" customWidth="1"/>
    <col min="10519" max="10519" width="4.5546875" style="106" customWidth="1"/>
    <col min="10520" max="10521" width="4.109375" style="106" customWidth="1"/>
    <col min="10522" max="10522" width="5.33203125" style="106" bestFit="1" customWidth="1"/>
    <col min="10523" max="10524" width="4.109375" style="106" customWidth="1"/>
    <col min="10525" max="10525" width="5.77734375" style="106" bestFit="1" customWidth="1"/>
    <col min="10526" max="10526" width="4.109375" style="106" customWidth="1"/>
    <col min="10527" max="10527" width="6.21875" style="106" bestFit="1" customWidth="1"/>
    <col min="10528" max="10528" width="5.6640625" style="106" bestFit="1" customWidth="1"/>
    <col min="10529" max="10752" width="8.88671875" style="106"/>
    <col min="10753" max="10753" width="7.77734375" style="106" customWidth="1"/>
    <col min="10754" max="10754" width="6.109375" style="106" customWidth="1"/>
    <col min="10755" max="10757" width="5.5546875" style="106" customWidth="1"/>
    <col min="10758" max="10758" width="6.109375" style="106" customWidth="1"/>
    <col min="10759" max="10761" width="5.5546875" style="106" customWidth="1"/>
    <col min="10762" max="10762" width="6.77734375" style="106" customWidth="1"/>
    <col min="10763" max="10763" width="6.109375" style="106" customWidth="1"/>
    <col min="10764" max="10764" width="5.21875" style="106" customWidth="1"/>
    <col min="10765" max="10765" width="6.88671875" style="106" bestFit="1" customWidth="1"/>
    <col min="10766" max="10769" width="5.5546875" style="106" customWidth="1"/>
    <col min="10770" max="10770" width="4.44140625" style="106" customWidth="1"/>
    <col min="10771" max="10771" width="5.109375" style="106" customWidth="1"/>
    <col min="10772" max="10772" width="7.33203125" style="106" bestFit="1" customWidth="1"/>
    <col min="10773" max="10773" width="7.33203125" style="106" customWidth="1"/>
    <col min="10774" max="10774" width="5.77734375" style="106" bestFit="1" customWidth="1"/>
    <col min="10775" max="10775" width="4.5546875" style="106" customWidth="1"/>
    <col min="10776" max="10777" width="4.109375" style="106" customWidth="1"/>
    <col min="10778" max="10778" width="5.33203125" style="106" bestFit="1" customWidth="1"/>
    <col min="10779" max="10780" width="4.109375" style="106" customWidth="1"/>
    <col min="10781" max="10781" width="5.77734375" style="106" bestFit="1" customWidth="1"/>
    <col min="10782" max="10782" width="4.109375" style="106" customWidth="1"/>
    <col min="10783" max="10783" width="6.21875" style="106" bestFit="1" customWidth="1"/>
    <col min="10784" max="10784" width="5.6640625" style="106" bestFit="1" customWidth="1"/>
    <col min="10785" max="11008" width="8.88671875" style="106"/>
    <col min="11009" max="11009" width="7.77734375" style="106" customWidth="1"/>
    <col min="11010" max="11010" width="6.109375" style="106" customWidth="1"/>
    <col min="11011" max="11013" width="5.5546875" style="106" customWidth="1"/>
    <col min="11014" max="11014" width="6.109375" style="106" customWidth="1"/>
    <col min="11015" max="11017" width="5.5546875" style="106" customWidth="1"/>
    <col min="11018" max="11018" width="6.77734375" style="106" customWidth="1"/>
    <col min="11019" max="11019" width="6.109375" style="106" customWidth="1"/>
    <col min="11020" max="11020" width="5.21875" style="106" customWidth="1"/>
    <col min="11021" max="11021" width="6.88671875" style="106" bestFit="1" customWidth="1"/>
    <col min="11022" max="11025" width="5.5546875" style="106" customWidth="1"/>
    <col min="11026" max="11026" width="4.44140625" style="106" customWidth="1"/>
    <col min="11027" max="11027" width="5.109375" style="106" customWidth="1"/>
    <col min="11028" max="11028" width="7.33203125" style="106" bestFit="1" customWidth="1"/>
    <col min="11029" max="11029" width="7.33203125" style="106" customWidth="1"/>
    <col min="11030" max="11030" width="5.77734375" style="106" bestFit="1" customWidth="1"/>
    <col min="11031" max="11031" width="4.5546875" style="106" customWidth="1"/>
    <col min="11032" max="11033" width="4.109375" style="106" customWidth="1"/>
    <col min="11034" max="11034" width="5.33203125" style="106" bestFit="1" customWidth="1"/>
    <col min="11035" max="11036" width="4.109375" style="106" customWidth="1"/>
    <col min="11037" max="11037" width="5.77734375" style="106" bestFit="1" customWidth="1"/>
    <col min="11038" max="11038" width="4.109375" style="106" customWidth="1"/>
    <col min="11039" max="11039" width="6.21875" style="106" bestFit="1" customWidth="1"/>
    <col min="11040" max="11040" width="5.6640625" style="106" bestFit="1" customWidth="1"/>
    <col min="11041" max="11264" width="8.88671875" style="106"/>
    <col min="11265" max="11265" width="7.77734375" style="106" customWidth="1"/>
    <col min="11266" max="11266" width="6.109375" style="106" customWidth="1"/>
    <col min="11267" max="11269" width="5.5546875" style="106" customWidth="1"/>
    <col min="11270" max="11270" width="6.109375" style="106" customWidth="1"/>
    <col min="11271" max="11273" width="5.5546875" style="106" customWidth="1"/>
    <col min="11274" max="11274" width="6.77734375" style="106" customWidth="1"/>
    <col min="11275" max="11275" width="6.109375" style="106" customWidth="1"/>
    <col min="11276" max="11276" width="5.21875" style="106" customWidth="1"/>
    <col min="11277" max="11277" width="6.88671875" style="106" bestFit="1" customWidth="1"/>
    <col min="11278" max="11281" width="5.5546875" style="106" customWidth="1"/>
    <col min="11282" max="11282" width="4.44140625" style="106" customWidth="1"/>
    <col min="11283" max="11283" width="5.109375" style="106" customWidth="1"/>
    <col min="11284" max="11284" width="7.33203125" style="106" bestFit="1" customWidth="1"/>
    <col min="11285" max="11285" width="7.33203125" style="106" customWidth="1"/>
    <col min="11286" max="11286" width="5.77734375" style="106" bestFit="1" customWidth="1"/>
    <col min="11287" max="11287" width="4.5546875" style="106" customWidth="1"/>
    <col min="11288" max="11289" width="4.109375" style="106" customWidth="1"/>
    <col min="11290" max="11290" width="5.33203125" style="106" bestFit="1" customWidth="1"/>
    <col min="11291" max="11292" width="4.109375" style="106" customWidth="1"/>
    <col min="11293" max="11293" width="5.77734375" style="106" bestFit="1" customWidth="1"/>
    <col min="11294" max="11294" width="4.109375" style="106" customWidth="1"/>
    <col min="11295" max="11295" width="6.21875" style="106" bestFit="1" customWidth="1"/>
    <col min="11296" max="11296" width="5.6640625" style="106" bestFit="1" customWidth="1"/>
    <col min="11297" max="11520" width="8.88671875" style="106"/>
    <col min="11521" max="11521" width="7.77734375" style="106" customWidth="1"/>
    <col min="11522" max="11522" width="6.109375" style="106" customWidth="1"/>
    <col min="11523" max="11525" width="5.5546875" style="106" customWidth="1"/>
    <col min="11526" max="11526" width="6.109375" style="106" customWidth="1"/>
    <col min="11527" max="11529" width="5.5546875" style="106" customWidth="1"/>
    <col min="11530" max="11530" width="6.77734375" style="106" customWidth="1"/>
    <col min="11531" max="11531" width="6.109375" style="106" customWidth="1"/>
    <col min="11532" max="11532" width="5.21875" style="106" customWidth="1"/>
    <col min="11533" max="11533" width="6.88671875" style="106" bestFit="1" customWidth="1"/>
    <col min="11534" max="11537" width="5.5546875" style="106" customWidth="1"/>
    <col min="11538" max="11538" width="4.44140625" style="106" customWidth="1"/>
    <col min="11539" max="11539" width="5.109375" style="106" customWidth="1"/>
    <col min="11540" max="11540" width="7.33203125" style="106" bestFit="1" customWidth="1"/>
    <col min="11541" max="11541" width="7.33203125" style="106" customWidth="1"/>
    <col min="11542" max="11542" width="5.77734375" style="106" bestFit="1" customWidth="1"/>
    <col min="11543" max="11543" width="4.5546875" style="106" customWidth="1"/>
    <col min="11544" max="11545" width="4.109375" style="106" customWidth="1"/>
    <col min="11546" max="11546" width="5.33203125" style="106" bestFit="1" customWidth="1"/>
    <col min="11547" max="11548" width="4.109375" style="106" customWidth="1"/>
    <col min="11549" max="11549" width="5.77734375" style="106" bestFit="1" customWidth="1"/>
    <col min="11550" max="11550" width="4.109375" style="106" customWidth="1"/>
    <col min="11551" max="11551" width="6.21875" style="106" bestFit="1" customWidth="1"/>
    <col min="11552" max="11552" width="5.6640625" style="106" bestFit="1" customWidth="1"/>
    <col min="11553" max="11776" width="8.88671875" style="106"/>
    <col min="11777" max="11777" width="7.77734375" style="106" customWidth="1"/>
    <col min="11778" max="11778" width="6.109375" style="106" customWidth="1"/>
    <col min="11779" max="11781" width="5.5546875" style="106" customWidth="1"/>
    <col min="11782" max="11782" width="6.109375" style="106" customWidth="1"/>
    <col min="11783" max="11785" width="5.5546875" style="106" customWidth="1"/>
    <col min="11786" max="11786" width="6.77734375" style="106" customWidth="1"/>
    <col min="11787" max="11787" width="6.109375" style="106" customWidth="1"/>
    <col min="11788" max="11788" width="5.21875" style="106" customWidth="1"/>
    <col min="11789" max="11789" width="6.88671875" style="106" bestFit="1" customWidth="1"/>
    <col min="11790" max="11793" width="5.5546875" style="106" customWidth="1"/>
    <col min="11794" max="11794" width="4.44140625" style="106" customWidth="1"/>
    <col min="11795" max="11795" width="5.109375" style="106" customWidth="1"/>
    <col min="11796" max="11796" width="7.33203125" style="106" bestFit="1" customWidth="1"/>
    <col min="11797" max="11797" width="7.33203125" style="106" customWidth="1"/>
    <col min="11798" max="11798" width="5.77734375" style="106" bestFit="1" customWidth="1"/>
    <col min="11799" max="11799" width="4.5546875" style="106" customWidth="1"/>
    <col min="11800" max="11801" width="4.109375" style="106" customWidth="1"/>
    <col min="11802" max="11802" width="5.33203125" style="106" bestFit="1" customWidth="1"/>
    <col min="11803" max="11804" width="4.109375" style="106" customWidth="1"/>
    <col min="11805" max="11805" width="5.77734375" style="106" bestFit="1" customWidth="1"/>
    <col min="11806" max="11806" width="4.109375" style="106" customWidth="1"/>
    <col min="11807" max="11807" width="6.21875" style="106" bestFit="1" customWidth="1"/>
    <col min="11808" max="11808" width="5.6640625" style="106" bestFit="1" customWidth="1"/>
    <col min="11809" max="12032" width="8.88671875" style="106"/>
    <col min="12033" max="12033" width="7.77734375" style="106" customWidth="1"/>
    <col min="12034" max="12034" width="6.109375" style="106" customWidth="1"/>
    <col min="12035" max="12037" width="5.5546875" style="106" customWidth="1"/>
    <col min="12038" max="12038" width="6.109375" style="106" customWidth="1"/>
    <col min="12039" max="12041" width="5.5546875" style="106" customWidth="1"/>
    <col min="12042" max="12042" width="6.77734375" style="106" customWidth="1"/>
    <col min="12043" max="12043" width="6.109375" style="106" customWidth="1"/>
    <col min="12044" max="12044" width="5.21875" style="106" customWidth="1"/>
    <col min="12045" max="12045" width="6.88671875" style="106" bestFit="1" customWidth="1"/>
    <col min="12046" max="12049" width="5.5546875" style="106" customWidth="1"/>
    <col min="12050" max="12050" width="4.44140625" style="106" customWidth="1"/>
    <col min="12051" max="12051" width="5.109375" style="106" customWidth="1"/>
    <col min="12052" max="12052" width="7.33203125" style="106" bestFit="1" customWidth="1"/>
    <col min="12053" max="12053" width="7.33203125" style="106" customWidth="1"/>
    <col min="12054" max="12054" width="5.77734375" style="106" bestFit="1" customWidth="1"/>
    <col min="12055" max="12055" width="4.5546875" style="106" customWidth="1"/>
    <col min="12056" max="12057" width="4.109375" style="106" customWidth="1"/>
    <col min="12058" max="12058" width="5.33203125" style="106" bestFit="1" customWidth="1"/>
    <col min="12059" max="12060" width="4.109375" style="106" customWidth="1"/>
    <col min="12061" max="12061" width="5.77734375" style="106" bestFit="1" customWidth="1"/>
    <col min="12062" max="12062" width="4.109375" style="106" customWidth="1"/>
    <col min="12063" max="12063" width="6.21875" style="106" bestFit="1" customWidth="1"/>
    <col min="12064" max="12064" width="5.6640625" style="106" bestFit="1" customWidth="1"/>
    <col min="12065" max="12288" width="8.88671875" style="106"/>
    <col min="12289" max="12289" width="7.77734375" style="106" customWidth="1"/>
    <col min="12290" max="12290" width="6.109375" style="106" customWidth="1"/>
    <col min="12291" max="12293" width="5.5546875" style="106" customWidth="1"/>
    <col min="12294" max="12294" width="6.109375" style="106" customWidth="1"/>
    <col min="12295" max="12297" width="5.5546875" style="106" customWidth="1"/>
    <col min="12298" max="12298" width="6.77734375" style="106" customWidth="1"/>
    <col min="12299" max="12299" width="6.109375" style="106" customWidth="1"/>
    <col min="12300" max="12300" width="5.21875" style="106" customWidth="1"/>
    <col min="12301" max="12301" width="6.88671875" style="106" bestFit="1" customWidth="1"/>
    <col min="12302" max="12305" width="5.5546875" style="106" customWidth="1"/>
    <col min="12306" max="12306" width="4.44140625" style="106" customWidth="1"/>
    <col min="12307" max="12307" width="5.109375" style="106" customWidth="1"/>
    <col min="12308" max="12308" width="7.33203125" style="106" bestFit="1" customWidth="1"/>
    <col min="12309" max="12309" width="7.33203125" style="106" customWidth="1"/>
    <col min="12310" max="12310" width="5.77734375" style="106" bestFit="1" customWidth="1"/>
    <col min="12311" max="12311" width="4.5546875" style="106" customWidth="1"/>
    <col min="12312" max="12313" width="4.109375" style="106" customWidth="1"/>
    <col min="12314" max="12314" width="5.33203125" style="106" bestFit="1" customWidth="1"/>
    <col min="12315" max="12316" width="4.109375" style="106" customWidth="1"/>
    <col min="12317" max="12317" width="5.77734375" style="106" bestFit="1" customWidth="1"/>
    <col min="12318" max="12318" width="4.109375" style="106" customWidth="1"/>
    <col min="12319" max="12319" width="6.21875" style="106" bestFit="1" customWidth="1"/>
    <col min="12320" max="12320" width="5.6640625" style="106" bestFit="1" customWidth="1"/>
    <col min="12321" max="12544" width="8.88671875" style="106"/>
    <col min="12545" max="12545" width="7.77734375" style="106" customWidth="1"/>
    <col min="12546" max="12546" width="6.109375" style="106" customWidth="1"/>
    <col min="12547" max="12549" width="5.5546875" style="106" customWidth="1"/>
    <col min="12550" max="12550" width="6.109375" style="106" customWidth="1"/>
    <col min="12551" max="12553" width="5.5546875" style="106" customWidth="1"/>
    <col min="12554" max="12554" width="6.77734375" style="106" customWidth="1"/>
    <col min="12555" max="12555" width="6.109375" style="106" customWidth="1"/>
    <col min="12556" max="12556" width="5.21875" style="106" customWidth="1"/>
    <col min="12557" max="12557" width="6.88671875" style="106" bestFit="1" customWidth="1"/>
    <col min="12558" max="12561" width="5.5546875" style="106" customWidth="1"/>
    <col min="12562" max="12562" width="4.44140625" style="106" customWidth="1"/>
    <col min="12563" max="12563" width="5.109375" style="106" customWidth="1"/>
    <col min="12564" max="12564" width="7.33203125" style="106" bestFit="1" customWidth="1"/>
    <col min="12565" max="12565" width="7.33203125" style="106" customWidth="1"/>
    <col min="12566" max="12566" width="5.77734375" style="106" bestFit="1" customWidth="1"/>
    <col min="12567" max="12567" width="4.5546875" style="106" customWidth="1"/>
    <col min="12568" max="12569" width="4.109375" style="106" customWidth="1"/>
    <col min="12570" max="12570" width="5.33203125" style="106" bestFit="1" customWidth="1"/>
    <col min="12571" max="12572" width="4.109375" style="106" customWidth="1"/>
    <col min="12573" max="12573" width="5.77734375" style="106" bestFit="1" customWidth="1"/>
    <col min="12574" max="12574" width="4.109375" style="106" customWidth="1"/>
    <col min="12575" max="12575" width="6.21875" style="106" bestFit="1" customWidth="1"/>
    <col min="12576" max="12576" width="5.6640625" style="106" bestFit="1" customWidth="1"/>
    <col min="12577" max="12800" width="8.88671875" style="106"/>
    <col min="12801" max="12801" width="7.77734375" style="106" customWidth="1"/>
    <col min="12802" max="12802" width="6.109375" style="106" customWidth="1"/>
    <col min="12803" max="12805" width="5.5546875" style="106" customWidth="1"/>
    <col min="12806" max="12806" width="6.109375" style="106" customWidth="1"/>
    <col min="12807" max="12809" width="5.5546875" style="106" customWidth="1"/>
    <col min="12810" max="12810" width="6.77734375" style="106" customWidth="1"/>
    <col min="12811" max="12811" width="6.109375" style="106" customWidth="1"/>
    <col min="12812" max="12812" width="5.21875" style="106" customWidth="1"/>
    <col min="12813" max="12813" width="6.88671875" style="106" bestFit="1" customWidth="1"/>
    <col min="12814" max="12817" width="5.5546875" style="106" customWidth="1"/>
    <col min="12818" max="12818" width="4.44140625" style="106" customWidth="1"/>
    <col min="12819" max="12819" width="5.109375" style="106" customWidth="1"/>
    <col min="12820" max="12820" width="7.33203125" style="106" bestFit="1" customWidth="1"/>
    <col min="12821" max="12821" width="7.33203125" style="106" customWidth="1"/>
    <col min="12822" max="12822" width="5.77734375" style="106" bestFit="1" customWidth="1"/>
    <col min="12823" max="12823" width="4.5546875" style="106" customWidth="1"/>
    <col min="12824" max="12825" width="4.109375" style="106" customWidth="1"/>
    <col min="12826" max="12826" width="5.33203125" style="106" bestFit="1" customWidth="1"/>
    <col min="12827" max="12828" width="4.109375" style="106" customWidth="1"/>
    <col min="12829" max="12829" width="5.77734375" style="106" bestFit="1" customWidth="1"/>
    <col min="12830" max="12830" width="4.109375" style="106" customWidth="1"/>
    <col min="12831" max="12831" width="6.21875" style="106" bestFit="1" customWidth="1"/>
    <col min="12832" max="12832" width="5.6640625" style="106" bestFit="1" customWidth="1"/>
    <col min="12833" max="13056" width="8.88671875" style="106"/>
    <col min="13057" max="13057" width="7.77734375" style="106" customWidth="1"/>
    <col min="13058" max="13058" width="6.109375" style="106" customWidth="1"/>
    <col min="13059" max="13061" width="5.5546875" style="106" customWidth="1"/>
    <col min="13062" max="13062" width="6.109375" style="106" customWidth="1"/>
    <col min="13063" max="13065" width="5.5546875" style="106" customWidth="1"/>
    <col min="13066" max="13066" width="6.77734375" style="106" customWidth="1"/>
    <col min="13067" max="13067" width="6.109375" style="106" customWidth="1"/>
    <col min="13068" max="13068" width="5.21875" style="106" customWidth="1"/>
    <col min="13069" max="13069" width="6.88671875" style="106" bestFit="1" customWidth="1"/>
    <col min="13070" max="13073" width="5.5546875" style="106" customWidth="1"/>
    <col min="13074" max="13074" width="4.44140625" style="106" customWidth="1"/>
    <col min="13075" max="13075" width="5.109375" style="106" customWidth="1"/>
    <col min="13076" max="13076" width="7.33203125" style="106" bestFit="1" customWidth="1"/>
    <col min="13077" max="13077" width="7.33203125" style="106" customWidth="1"/>
    <col min="13078" max="13078" width="5.77734375" style="106" bestFit="1" customWidth="1"/>
    <col min="13079" max="13079" width="4.5546875" style="106" customWidth="1"/>
    <col min="13080" max="13081" width="4.109375" style="106" customWidth="1"/>
    <col min="13082" max="13082" width="5.33203125" style="106" bestFit="1" customWidth="1"/>
    <col min="13083" max="13084" width="4.109375" style="106" customWidth="1"/>
    <col min="13085" max="13085" width="5.77734375" style="106" bestFit="1" customWidth="1"/>
    <col min="13086" max="13086" width="4.109375" style="106" customWidth="1"/>
    <col min="13087" max="13087" width="6.21875" style="106" bestFit="1" customWidth="1"/>
    <col min="13088" max="13088" width="5.6640625" style="106" bestFit="1" customWidth="1"/>
    <col min="13089" max="13312" width="8.88671875" style="106"/>
    <col min="13313" max="13313" width="7.77734375" style="106" customWidth="1"/>
    <col min="13314" max="13314" width="6.109375" style="106" customWidth="1"/>
    <col min="13315" max="13317" width="5.5546875" style="106" customWidth="1"/>
    <col min="13318" max="13318" width="6.109375" style="106" customWidth="1"/>
    <col min="13319" max="13321" width="5.5546875" style="106" customWidth="1"/>
    <col min="13322" max="13322" width="6.77734375" style="106" customWidth="1"/>
    <col min="13323" max="13323" width="6.109375" style="106" customWidth="1"/>
    <col min="13324" max="13324" width="5.21875" style="106" customWidth="1"/>
    <col min="13325" max="13325" width="6.88671875" style="106" bestFit="1" customWidth="1"/>
    <col min="13326" max="13329" width="5.5546875" style="106" customWidth="1"/>
    <col min="13330" max="13330" width="4.44140625" style="106" customWidth="1"/>
    <col min="13331" max="13331" width="5.109375" style="106" customWidth="1"/>
    <col min="13332" max="13332" width="7.33203125" style="106" bestFit="1" customWidth="1"/>
    <col min="13333" max="13333" width="7.33203125" style="106" customWidth="1"/>
    <col min="13334" max="13334" width="5.77734375" style="106" bestFit="1" customWidth="1"/>
    <col min="13335" max="13335" width="4.5546875" style="106" customWidth="1"/>
    <col min="13336" max="13337" width="4.109375" style="106" customWidth="1"/>
    <col min="13338" max="13338" width="5.33203125" style="106" bestFit="1" customWidth="1"/>
    <col min="13339" max="13340" width="4.109375" style="106" customWidth="1"/>
    <col min="13341" max="13341" width="5.77734375" style="106" bestFit="1" customWidth="1"/>
    <col min="13342" max="13342" width="4.109375" style="106" customWidth="1"/>
    <col min="13343" max="13343" width="6.21875" style="106" bestFit="1" customWidth="1"/>
    <col min="13344" max="13344" width="5.6640625" style="106" bestFit="1" customWidth="1"/>
    <col min="13345" max="13568" width="8.88671875" style="106"/>
    <col min="13569" max="13569" width="7.77734375" style="106" customWidth="1"/>
    <col min="13570" max="13570" width="6.109375" style="106" customWidth="1"/>
    <col min="13571" max="13573" width="5.5546875" style="106" customWidth="1"/>
    <col min="13574" max="13574" width="6.109375" style="106" customWidth="1"/>
    <col min="13575" max="13577" width="5.5546875" style="106" customWidth="1"/>
    <col min="13578" max="13578" width="6.77734375" style="106" customWidth="1"/>
    <col min="13579" max="13579" width="6.109375" style="106" customWidth="1"/>
    <col min="13580" max="13580" width="5.21875" style="106" customWidth="1"/>
    <col min="13581" max="13581" width="6.88671875" style="106" bestFit="1" customWidth="1"/>
    <col min="13582" max="13585" width="5.5546875" style="106" customWidth="1"/>
    <col min="13586" max="13586" width="4.44140625" style="106" customWidth="1"/>
    <col min="13587" max="13587" width="5.109375" style="106" customWidth="1"/>
    <col min="13588" max="13588" width="7.33203125" style="106" bestFit="1" customWidth="1"/>
    <col min="13589" max="13589" width="7.33203125" style="106" customWidth="1"/>
    <col min="13590" max="13590" width="5.77734375" style="106" bestFit="1" customWidth="1"/>
    <col min="13591" max="13591" width="4.5546875" style="106" customWidth="1"/>
    <col min="13592" max="13593" width="4.109375" style="106" customWidth="1"/>
    <col min="13594" max="13594" width="5.33203125" style="106" bestFit="1" customWidth="1"/>
    <col min="13595" max="13596" width="4.109375" style="106" customWidth="1"/>
    <col min="13597" max="13597" width="5.77734375" style="106" bestFit="1" customWidth="1"/>
    <col min="13598" max="13598" width="4.109375" style="106" customWidth="1"/>
    <col min="13599" max="13599" width="6.21875" style="106" bestFit="1" customWidth="1"/>
    <col min="13600" max="13600" width="5.6640625" style="106" bestFit="1" customWidth="1"/>
    <col min="13601" max="13824" width="8.88671875" style="106"/>
    <col min="13825" max="13825" width="7.77734375" style="106" customWidth="1"/>
    <col min="13826" max="13826" width="6.109375" style="106" customWidth="1"/>
    <col min="13827" max="13829" width="5.5546875" style="106" customWidth="1"/>
    <col min="13830" max="13830" width="6.109375" style="106" customWidth="1"/>
    <col min="13831" max="13833" width="5.5546875" style="106" customWidth="1"/>
    <col min="13834" max="13834" width="6.77734375" style="106" customWidth="1"/>
    <col min="13835" max="13835" width="6.109375" style="106" customWidth="1"/>
    <col min="13836" max="13836" width="5.21875" style="106" customWidth="1"/>
    <col min="13837" max="13837" width="6.88671875" style="106" bestFit="1" customWidth="1"/>
    <col min="13838" max="13841" width="5.5546875" style="106" customWidth="1"/>
    <col min="13842" max="13842" width="4.44140625" style="106" customWidth="1"/>
    <col min="13843" max="13843" width="5.109375" style="106" customWidth="1"/>
    <col min="13844" max="13844" width="7.33203125" style="106" bestFit="1" customWidth="1"/>
    <col min="13845" max="13845" width="7.33203125" style="106" customWidth="1"/>
    <col min="13846" max="13846" width="5.77734375" style="106" bestFit="1" customWidth="1"/>
    <col min="13847" max="13847" width="4.5546875" style="106" customWidth="1"/>
    <col min="13848" max="13849" width="4.109375" style="106" customWidth="1"/>
    <col min="13850" max="13850" width="5.33203125" style="106" bestFit="1" customWidth="1"/>
    <col min="13851" max="13852" width="4.109375" style="106" customWidth="1"/>
    <col min="13853" max="13853" width="5.77734375" style="106" bestFit="1" customWidth="1"/>
    <col min="13854" max="13854" width="4.109375" style="106" customWidth="1"/>
    <col min="13855" max="13855" width="6.21875" style="106" bestFit="1" customWidth="1"/>
    <col min="13856" max="13856" width="5.6640625" style="106" bestFit="1" customWidth="1"/>
    <col min="13857" max="14080" width="8.88671875" style="106"/>
    <col min="14081" max="14081" width="7.77734375" style="106" customWidth="1"/>
    <col min="14082" max="14082" width="6.109375" style="106" customWidth="1"/>
    <col min="14083" max="14085" width="5.5546875" style="106" customWidth="1"/>
    <col min="14086" max="14086" width="6.109375" style="106" customWidth="1"/>
    <col min="14087" max="14089" width="5.5546875" style="106" customWidth="1"/>
    <col min="14090" max="14090" width="6.77734375" style="106" customWidth="1"/>
    <col min="14091" max="14091" width="6.109375" style="106" customWidth="1"/>
    <col min="14092" max="14092" width="5.21875" style="106" customWidth="1"/>
    <col min="14093" max="14093" width="6.88671875" style="106" bestFit="1" customWidth="1"/>
    <col min="14094" max="14097" width="5.5546875" style="106" customWidth="1"/>
    <col min="14098" max="14098" width="4.44140625" style="106" customWidth="1"/>
    <col min="14099" max="14099" width="5.109375" style="106" customWidth="1"/>
    <col min="14100" max="14100" width="7.33203125" style="106" bestFit="1" customWidth="1"/>
    <col min="14101" max="14101" width="7.33203125" style="106" customWidth="1"/>
    <col min="14102" max="14102" width="5.77734375" style="106" bestFit="1" customWidth="1"/>
    <col min="14103" max="14103" width="4.5546875" style="106" customWidth="1"/>
    <col min="14104" max="14105" width="4.109375" style="106" customWidth="1"/>
    <col min="14106" max="14106" width="5.33203125" style="106" bestFit="1" customWidth="1"/>
    <col min="14107" max="14108" width="4.109375" style="106" customWidth="1"/>
    <col min="14109" max="14109" width="5.77734375" style="106" bestFit="1" customWidth="1"/>
    <col min="14110" max="14110" width="4.109375" style="106" customWidth="1"/>
    <col min="14111" max="14111" width="6.21875" style="106" bestFit="1" customWidth="1"/>
    <col min="14112" max="14112" width="5.6640625" style="106" bestFit="1" customWidth="1"/>
    <col min="14113" max="14336" width="8.88671875" style="106"/>
    <col min="14337" max="14337" width="7.77734375" style="106" customWidth="1"/>
    <col min="14338" max="14338" width="6.109375" style="106" customWidth="1"/>
    <col min="14339" max="14341" width="5.5546875" style="106" customWidth="1"/>
    <col min="14342" max="14342" width="6.109375" style="106" customWidth="1"/>
    <col min="14343" max="14345" width="5.5546875" style="106" customWidth="1"/>
    <col min="14346" max="14346" width="6.77734375" style="106" customWidth="1"/>
    <col min="14347" max="14347" width="6.109375" style="106" customWidth="1"/>
    <col min="14348" max="14348" width="5.21875" style="106" customWidth="1"/>
    <col min="14349" max="14349" width="6.88671875" style="106" bestFit="1" customWidth="1"/>
    <col min="14350" max="14353" width="5.5546875" style="106" customWidth="1"/>
    <col min="14354" max="14354" width="4.44140625" style="106" customWidth="1"/>
    <col min="14355" max="14355" width="5.109375" style="106" customWidth="1"/>
    <col min="14356" max="14356" width="7.33203125" style="106" bestFit="1" customWidth="1"/>
    <col min="14357" max="14357" width="7.33203125" style="106" customWidth="1"/>
    <col min="14358" max="14358" width="5.77734375" style="106" bestFit="1" customWidth="1"/>
    <col min="14359" max="14359" width="4.5546875" style="106" customWidth="1"/>
    <col min="14360" max="14361" width="4.109375" style="106" customWidth="1"/>
    <col min="14362" max="14362" width="5.33203125" style="106" bestFit="1" customWidth="1"/>
    <col min="14363" max="14364" width="4.109375" style="106" customWidth="1"/>
    <col min="14365" max="14365" width="5.77734375" style="106" bestFit="1" customWidth="1"/>
    <col min="14366" max="14366" width="4.109375" style="106" customWidth="1"/>
    <col min="14367" max="14367" width="6.21875" style="106" bestFit="1" customWidth="1"/>
    <col min="14368" max="14368" width="5.6640625" style="106" bestFit="1" customWidth="1"/>
    <col min="14369" max="14592" width="8.88671875" style="106"/>
    <col min="14593" max="14593" width="7.77734375" style="106" customWidth="1"/>
    <col min="14594" max="14594" width="6.109375" style="106" customWidth="1"/>
    <col min="14595" max="14597" width="5.5546875" style="106" customWidth="1"/>
    <col min="14598" max="14598" width="6.109375" style="106" customWidth="1"/>
    <col min="14599" max="14601" width="5.5546875" style="106" customWidth="1"/>
    <col min="14602" max="14602" width="6.77734375" style="106" customWidth="1"/>
    <col min="14603" max="14603" width="6.109375" style="106" customWidth="1"/>
    <col min="14604" max="14604" width="5.21875" style="106" customWidth="1"/>
    <col min="14605" max="14605" width="6.88671875" style="106" bestFit="1" customWidth="1"/>
    <col min="14606" max="14609" width="5.5546875" style="106" customWidth="1"/>
    <col min="14610" max="14610" width="4.44140625" style="106" customWidth="1"/>
    <col min="14611" max="14611" width="5.109375" style="106" customWidth="1"/>
    <col min="14612" max="14612" width="7.33203125" style="106" bestFit="1" customWidth="1"/>
    <col min="14613" max="14613" width="7.33203125" style="106" customWidth="1"/>
    <col min="14614" max="14614" width="5.77734375" style="106" bestFit="1" customWidth="1"/>
    <col min="14615" max="14615" width="4.5546875" style="106" customWidth="1"/>
    <col min="14616" max="14617" width="4.109375" style="106" customWidth="1"/>
    <col min="14618" max="14618" width="5.33203125" style="106" bestFit="1" customWidth="1"/>
    <col min="14619" max="14620" width="4.109375" style="106" customWidth="1"/>
    <col min="14621" max="14621" width="5.77734375" style="106" bestFit="1" customWidth="1"/>
    <col min="14622" max="14622" width="4.109375" style="106" customWidth="1"/>
    <col min="14623" max="14623" width="6.21875" style="106" bestFit="1" customWidth="1"/>
    <col min="14624" max="14624" width="5.6640625" style="106" bestFit="1" customWidth="1"/>
    <col min="14625" max="14848" width="8.88671875" style="106"/>
    <col min="14849" max="14849" width="7.77734375" style="106" customWidth="1"/>
    <col min="14850" max="14850" width="6.109375" style="106" customWidth="1"/>
    <col min="14851" max="14853" width="5.5546875" style="106" customWidth="1"/>
    <col min="14854" max="14854" width="6.109375" style="106" customWidth="1"/>
    <col min="14855" max="14857" width="5.5546875" style="106" customWidth="1"/>
    <col min="14858" max="14858" width="6.77734375" style="106" customWidth="1"/>
    <col min="14859" max="14859" width="6.109375" style="106" customWidth="1"/>
    <col min="14860" max="14860" width="5.21875" style="106" customWidth="1"/>
    <col min="14861" max="14861" width="6.88671875" style="106" bestFit="1" customWidth="1"/>
    <col min="14862" max="14865" width="5.5546875" style="106" customWidth="1"/>
    <col min="14866" max="14866" width="4.44140625" style="106" customWidth="1"/>
    <col min="14867" max="14867" width="5.109375" style="106" customWidth="1"/>
    <col min="14868" max="14868" width="7.33203125" style="106" bestFit="1" customWidth="1"/>
    <col min="14869" max="14869" width="7.33203125" style="106" customWidth="1"/>
    <col min="14870" max="14870" width="5.77734375" style="106" bestFit="1" customWidth="1"/>
    <col min="14871" max="14871" width="4.5546875" style="106" customWidth="1"/>
    <col min="14872" max="14873" width="4.109375" style="106" customWidth="1"/>
    <col min="14874" max="14874" width="5.33203125" style="106" bestFit="1" customWidth="1"/>
    <col min="14875" max="14876" width="4.109375" style="106" customWidth="1"/>
    <col min="14877" max="14877" width="5.77734375" style="106" bestFit="1" customWidth="1"/>
    <col min="14878" max="14878" width="4.109375" style="106" customWidth="1"/>
    <col min="14879" max="14879" width="6.21875" style="106" bestFit="1" customWidth="1"/>
    <col min="14880" max="14880" width="5.6640625" style="106" bestFit="1" customWidth="1"/>
    <col min="14881" max="15104" width="8.88671875" style="106"/>
    <col min="15105" max="15105" width="7.77734375" style="106" customWidth="1"/>
    <col min="15106" max="15106" width="6.109375" style="106" customWidth="1"/>
    <col min="15107" max="15109" width="5.5546875" style="106" customWidth="1"/>
    <col min="15110" max="15110" width="6.109375" style="106" customWidth="1"/>
    <col min="15111" max="15113" width="5.5546875" style="106" customWidth="1"/>
    <col min="15114" max="15114" width="6.77734375" style="106" customWidth="1"/>
    <col min="15115" max="15115" width="6.109375" style="106" customWidth="1"/>
    <col min="15116" max="15116" width="5.21875" style="106" customWidth="1"/>
    <col min="15117" max="15117" width="6.88671875" style="106" bestFit="1" customWidth="1"/>
    <col min="15118" max="15121" width="5.5546875" style="106" customWidth="1"/>
    <col min="15122" max="15122" width="4.44140625" style="106" customWidth="1"/>
    <col min="15123" max="15123" width="5.109375" style="106" customWidth="1"/>
    <col min="15124" max="15124" width="7.33203125" style="106" bestFit="1" customWidth="1"/>
    <col min="15125" max="15125" width="7.33203125" style="106" customWidth="1"/>
    <col min="15126" max="15126" width="5.77734375" style="106" bestFit="1" customWidth="1"/>
    <col min="15127" max="15127" width="4.5546875" style="106" customWidth="1"/>
    <col min="15128" max="15129" width="4.109375" style="106" customWidth="1"/>
    <col min="15130" max="15130" width="5.33203125" style="106" bestFit="1" customWidth="1"/>
    <col min="15131" max="15132" width="4.109375" style="106" customWidth="1"/>
    <col min="15133" max="15133" width="5.77734375" style="106" bestFit="1" customWidth="1"/>
    <col min="15134" max="15134" width="4.109375" style="106" customWidth="1"/>
    <col min="15135" max="15135" width="6.21875" style="106" bestFit="1" customWidth="1"/>
    <col min="15136" max="15136" width="5.6640625" style="106" bestFit="1" customWidth="1"/>
    <col min="15137" max="15360" width="8.88671875" style="106"/>
    <col min="15361" max="15361" width="7.77734375" style="106" customWidth="1"/>
    <col min="15362" max="15362" width="6.109375" style="106" customWidth="1"/>
    <col min="15363" max="15365" width="5.5546875" style="106" customWidth="1"/>
    <col min="15366" max="15366" width="6.109375" style="106" customWidth="1"/>
    <col min="15367" max="15369" width="5.5546875" style="106" customWidth="1"/>
    <col min="15370" max="15370" width="6.77734375" style="106" customWidth="1"/>
    <col min="15371" max="15371" width="6.109375" style="106" customWidth="1"/>
    <col min="15372" max="15372" width="5.21875" style="106" customWidth="1"/>
    <col min="15373" max="15373" width="6.88671875" style="106" bestFit="1" customWidth="1"/>
    <col min="15374" max="15377" width="5.5546875" style="106" customWidth="1"/>
    <col min="15378" max="15378" width="4.44140625" style="106" customWidth="1"/>
    <col min="15379" max="15379" width="5.109375" style="106" customWidth="1"/>
    <col min="15380" max="15380" width="7.33203125" style="106" bestFit="1" customWidth="1"/>
    <col min="15381" max="15381" width="7.33203125" style="106" customWidth="1"/>
    <col min="15382" max="15382" width="5.77734375" style="106" bestFit="1" customWidth="1"/>
    <col min="15383" max="15383" width="4.5546875" style="106" customWidth="1"/>
    <col min="15384" max="15385" width="4.109375" style="106" customWidth="1"/>
    <col min="15386" max="15386" width="5.33203125" style="106" bestFit="1" customWidth="1"/>
    <col min="15387" max="15388" width="4.109375" style="106" customWidth="1"/>
    <col min="15389" max="15389" width="5.77734375" style="106" bestFit="1" customWidth="1"/>
    <col min="15390" max="15390" width="4.109375" style="106" customWidth="1"/>
    <col min="15391" max="15391" width="6.21875" style="106" bestFit="1" customWidth="1"/>
    <col min="15392" max="15392" width="5.6640625" style="106" bestFit="1" customWidth="1"/>
    <col min="15393" max="15616" width="8.88671875" style="106"/>
    <col min="15617" max="15617" width="7.77734375" style="106" customWidth="1"/>
    <col min="15618" max="15618" width="6.109375" style="106" customWidth="1"/>
    <col min="15619" max="15621" width="5.5546875" style="106" customWidth="1"/>
    <col min="15622" max="15622" width="6.109375" style="106" customWidth="1"/>
    <col min="15623" max="15625" width="5.5546875" style="106" customWidth="1"/>
    <col min="15626" max="15626" width="6.77734375" style="106" customWidth="1"/>
    <col min="15627" max="15627" width="6.109375" style="106" customWidth="1"/>
    <col min="15628" max="15628" width="5.21875" style="106" customWidth="1"/>
    <col min="15629" max="15629" width="6.88671875" style="106" bestFit="1" customWidth="1"/>
    <col min="15630" max="15633" width="5.5546875" style="106" customWidth="1"/>
    <col min="15634" max="15634" width="4.44140625" style="106" customWidth="1"/>
    <col min="15635" max="15635" width="5.109375" style="106" customWidth="1"/>
    <col min="15636" max="15636" width="7.33203125" style="106" bestFit="1" customWidth="1"/>
    <col min="15637" max="15637" width="7.33203125" style="106" customWidth="1"/>
    <col min="15638" max="15638" width="5.77734375" style="106" bestFit="1" customWidth="1"/>
    <col min="15639" max="15639" width="4.5546875" style="106" customWidth="1"/>
    <col min="15640" max="15641" width="4.109375" style="106" customWidth="1"/>
    <col min="15642" max="15642" width="5.33203125" style="106" bestFit="1" customWidth="1"/>
    <col min="15643" max="15644" width="4.109375" style="106" customWidth="1"/>
    <col min="15645" max="15645" width="5.77734375" style="106" bestFit="1" customWidth="1"/>
    <col min="15646" max="15646" width="4.109375" style="106" customWidth="1"/>
    <col min="15647" max="15647" width="6.21875" style="106" bestFit="1" customWidth="1"/>
    <col min="15648" max="15648" width="5.6640625" style="106" bestFit="1" customWidth="1"/>
    <col min="15649" max="15872" width="8.88671875" style="106"/>
    <col min="15873" max="15873" width="7.77734375" style="106" customWidth="1"/>
    <col min="15874" max="15874" width="6.109375" style="106" customWidth="1"/>
    <col min="15875" max="15877" width="5.5546875" style="106" customWidth="1"/>
    <col min="15878" max="15878" width="6.109375" style="106" customWidth="1"/>
    <col min="15879" max="15881" width="5.5546875" style="106" customWidth="1"/>
    <col min="15882" max="15882" width="6.77734375" style="106" customWidth="1"/>
    <col min="15883" max="15883" width="6.109375" style="106" customWidth="1"/>
    <col min="15884" max="15884" width="5.21875" style="106" customWidth="1"/>
    <col min="15885" max="15885" width="6.88671875" style="106" bestFit="1" customWidth="1"/>
    <col min="15886" max="15889" width="5.5546875" style="106" customWidth="1"/>
    <col min="15890" max="15890" width="4.44140625" style="106" customWidth="1"/>
    <col min="15891" max="15891" width="5.109375" style="106" customWidth="1"/>
    <col min="15892" max="15892" width="7.33203125" style="106" bestFit="1" customWidth="1"/>
    <col min="15893" max="15893" width="7.33203125" style="106" customWidth="1"/>
    <col min="15894" max="15894" width="5.77734375" style="106" bestFit="1" customWidth="1"/>
    <col min="15895" max="15895" width="4.5546875" style="106" customWidth="1"/>
    <col min="15896" max="15897" width="4.109375" style="106" customWidth="1"/>
    <col min="15898" max="15898" width="5.33203125" style="106" bestFit="1" customWidth="1"/>
    <col min="15899" max="15900" width="4.109375" style="106" customWidth="1"/>
    <col min="15901" max="15901" width="5.77734375" style="106" bestFit="1" customWidth="1"/>
    <col min="15902" max="15902" width="4.109375" style="106" customWidth="1"/>
    <col min="15903" max="15903" width="6.21875" style="106" bestFit="1" customWidth="1"/>
    <col min="15904" max="15904" width="5.6640625" style="106" bestFit="1" customWidth="1"/>
    <col min="15905" max="16128" width="8.88671875" style="106"/>
    <col min="16129" max="16129" width="7.77734375" style="106" customWidth="1"/>
    <col min="16130" max="16130" width="6.109375" style="106" customWidth="1"/>
    <col min="16131" max="16133" width="5.5546875" style="106" customWidth="1"/>
    <col min="16134" max="16134" width="6.109375" style="106" customWidth="1"/>
    <col min="16135" max="16137" width="5.5546875" style="106" customWidth="1"/>
    <col min="16138" max="16138" width="6.77734375" style="106" customWidth="1"/>
    <col min="16139" max="16139" width="6.109375" style="106" customWidth="1"/>
    <col min="16140" max="16140" width="5.21875" style="106" customWidth="1"/>
    <col min="16141" max="16141" width="6.88671875" style="106" bestFit="1" customWidth="1"/>
    <col min="16142" max="16145" width="5.5546875" style="106" customWidth="1"/>
    <col min="16146" max="16146" width="4.44140625" style="106" customWidth="1"/>
    <col min="16147" max="16147" width="5.109375" style="106" customWidth="1"/>
    <col min="16148" max="16148" width="7.33203125" style="106" bestFit="1" customWidth="1"/>
    <col min="16149" max="16149" width="7.33203125" style="106" customWidth="1"/>
    <col min="16150" max="16150" width="5.77734375" style="106" bestFit="1" customWidth="1"/>
    <col min="16151" max="16151" width="4.5546875" style="106" customWidth="1"/>
    <col min="16152" max="16153" width="4.109375" style="106" customWidth="1"/>
    <col min="16154" max="16154" width="5.33203125" style="106" bestFit="1" customWidth="1"/>
    <col min="16155" max="16156" width="4.109375" style="106" customWidth="1"/>
    <col min="16157" max="16157" width="5.77734375" style="106" bestFit="1" customWidth="1"/>
    <col min="16158" max="16158" width="4.109375" style="106" customWidth="1"/>
    <col min="16159" max="16159" width="6.21875" style="106" bestFit="1" customWidth="1"/>
    <col min="16160" max="16160" width="5.6640625" style="106" bestFit="1" customWidth="1"/>
    <col min="16161" max="16384" width="8.88671875" style="106"/>
  </cols>
  <sheetData>
    <row r="1" spans="1:35" s="21" customFormat="1" ht="16.5" customHeight="1">
      <c r="A1" s="341"/>
      <c r="B1" s="341"/>
      <c r="C1" s="341"/>
      <c r="D1" s="341"/>
      <c r="E1" s="341"/>
      <c r="F1" s="341"/>
      <c r="G1" s="341"/>
    </row>
    <row r="2" spans="1:35" s="21" customFormat="1" ht="9.9499999999999993" customHeight="1">
      <c r="A2" s="27"/>
      <c r="B2" s="22"/>
      <c r="C2" s="22"/>
      <c r="D2" s="22"/>
      <c r="E2" s="22"/>
      <c r="F2" s="22"/>
      <c r="G2" s="23"/>
    </row>
    <row r="3" spans="1:35" s="98" customFormat="1" ht="15" customHeight="1">
      <c r="A3" s="317" t="s">
        <v>18</v>
      </c>
      <c r="B3" s="317"/>
      <c r="C3" s="317"/>
      <c r="D3" s="317"/>
      <c r="E3" s="317"/>
      <c r="F3" s="317"/>
      <c r="G3" s="317"/>
      <c r="H3" s="317"/>
      <c r="I3" s="317"/>
      <c r="J3" s="317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1"/>
      <c r="AH3" s="101"/>
      <c r="AI3" s="101"/>
    </row>
    <row r="4" spans="1:35" s="98" customFormat="1" ht="15" customHeight="1">
      <c r="A4" s="65" t="s">
        <v>12</v>
      </c>
      <c r="B4" s="317"/>
      <c r="C4" s="317"/>
      <c r="D4" s="317"/>
      <c r="E4" s="317"/>
      <c r="F4" s="317"/>
      <c r="G4" s="317"/>
      <c r="H4" s="317"/>
      <c r="I4" s="317"/>
      <c r="J4" s="317"/>
      <c r="K4" s="325" t="s">
        <v>125</v>
      </c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1"/>
      <c r="AH4" s="101"/>
      <c r="AI4" s="101"/>
    </row>
    <row r="5" spans="1:35" ht="20.25" customHeight="1">
      <c r="A5" s="481" t="s">
        <v>5</v>
      </c>
      <c r="B5" s="496" t="s">
        <v>19</v>
      </c>
      <c r="C5" s="102"/>
      <c r="D5" s="102"/>
      <c r="E5" s="103"/>
      <c r="F5" s="496" t="s">
        <v>20</v>
      </c>
      <c r="G5" s="102"/>
      <c r="H5" s="102"/>
      <c r="I5" s="103"/>
      <c r="J5" s="498" t="s">
        <v>21</v>
      </c>
      <c r="K5" s="496" t="s">
        <v>22</v>
      </c>
    </row>
    <row r="6" spans="1:35" ht="20.25" customHeight="1">
      <c r="A6" s="483"/>
      <c r="B6" s="497"/>
      <c r="C6" s="20" t="s">
        <v>135</v>
      </c>
      <c r="D6" s="20" t="s">
        <v>136</v>
      </c>
      <c r="E6" s="20" t="s">
        <v>137</v>
      </c>
      <c r="F6" s="497"/>
      <c r="G6" s="20" t="s">
        <v>135</v>
      </c>
      <c r="H6" s="20" t="s">
        <v>136</v>
      </c>
      <c r="I6" s="20" t="s">
        <v>137</v>
      </c>
      <c r="J6" s="499"/>
      <c r="K6" s="497"/>
    </row>
    <row r="7" spans="1:35" ht="12" customHeight="1">
      <c r="A7" s="323">
        <v>2009</v>
      </c>
      <c r="B7" s="24">
        <v>3179</v>
      </c>
      <c r="C7" s="24">
        <v>724</v>
      </c>
      <c r="D7" s="24">
        <v>322</v>
      </c>
      <c r="E7" s="24">
        <v>1419</v>
      </c>
      <c r="F7" s="24">
        <v>3701</v>
      </c>
      <c r="G7" s="24">
        <v>1191</v>
      </c>
      <c r="H7" s="24">
        <v>317</v>
      </c>
      <c r="I7" s="24">
        <v>1267</v>
      </c>
      <c r="J7" s="365">
        <v>50121</v>
      </c>
      <c r="K7" s="24">
        <v>9200</v>
      </c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AE7" s="108"/>
    </row>
    <row r="8" spans="1:35" ht="13.5" customHeight="1">
      <c r="A8" s="323">
        <v>2010</v>
      </c>
      <c r="B8" s="24">
        <v>4770</v>
      </c>
      <c r="C8" s="24">
        <v>1921</v>
      </c>
      <c r="D8" s="24">
        <v>445</v>
      </c>
      <c r="E8" s="24">
        <v>1251</v>
      </c>
      <c r="F8" s="24">
        <v>2817</v>
      </c>
      <c r="G8" s="24">
        <v>987</v>
      </c>
      <c r="H8" s="24">
        <v>460</v>
      </c>
      <c r="I8" s="24">
        <v>986</v>
      </c>
      <c r="J8" s="365">
        <v>28629</v>
      </c>
      <c r="K8" s="24">
        <v>3458</v>
      </c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AE8" s="108"/>
    </row>
    <row r="9" spans="1:35" ht="13.5" customHeight="1">
      <c r="A9" s="323">
        <v>2011</v>
      </c>
      <c r="B9" s="446">
        <v>6988</v>
      </c>
      <c r="C9" s="446">
        <v>3124</v>
      </c>
      <c r="D9" s="446">
        <v>482</v>
      </c>
      <c r="E9" s="446">
        <v>2373</v>
      </c>
      <c r="F9" s="446">
        <v>5174</v>
      </c>
      <c r="G9" s="446">
        <v>2626</v>
      </c>
      <c r="H9" s="446">
        <v>356</v>
      </c>
      <c r="I9" s="446">
        <v>1476</v>
      </c>
      <c r="J9" s="447">
        <v>56066</v>
      </c>
      <c r="K9" s="447">
        <v>4193</v>
      </c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12"/>
      <c r="Y9" s="112"/>
      <c r="Z9" s="112"/>
      <c r="AA9" s="112"/>
      <c r="AB9" s="112"/>
      <c r="AC9" s="112"/>
      <c r="AD9" s="112"/>
      <c r="AE9" s="112"/>
      <c r="AF9" s="112"/>
      <c r="AG9" s="112"/>
    </row>
    <row r="10" spans="1:35" ht="13.5" customHeight="1">
      <c r="A10" s="323">
        <v>2012</v>
      </c>
      <c r="B10" s="446">
        <v>7286</v>
      </c>
      <c r="C10" s="446">
        <v>3633</v>
      </c>
      <c r="D10" s="446">
        <v>425</v>
      </c>
      <c r="E10" s="446">
        <v>2023</v>
      </c>
      <c r="F10" s="446">
        <v>4774</v>
      </c>
      <c r="G10" s="446">
        <v>2305</v>
      </c>
      <c r="H10" s="446">
        <v>367</v>
      </c>
      <c r="I10" s="446">
        <v>1551</v>
      </c>
      <c r="J10" s="447">
        <v>40681</v>
      </c>
      <c r="K10" s="447">
        <v>5784</v>
      </c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</row>
    <row r="11" spans="1:35" ht="13.5" customHeight="1">
      <c r="A11" s="323">
        <v>2013</v>
      </c>
      <c r="B11" s="446">
        <v>6298</v>
      </c>
      <c r="C11" s="446">
        <v>2418</v>
      </c>
      <c r="D11" s="446">
        <v>559</v>
      </c>
      <c r="E11" s="446">
        <v>2066</v>
      </c>
      <c r="F11" s="446">
        <v>4108</v>
      </c>
      <c r="G11" s="446">
        <v>1469</v>
      </c>
      <c r="H11" s="446">
        <v>504</v>
      </c>
      <c r="I11" s="446">
        <v>1475</v>
      </c>
      <c r="J11" s="447">
        <v>32140</v>
      </c>
      <c r="K11" s="447">
        <v>4259</v>
      </c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</row>
    <row r="12" spans="1:35" ht="13.5" customHeight="1">
      <c r="A12" s="323">
        <v>2014</v>
      </c>
      <c r="B12" s="446">
        <v>5568</v>
      </c>
      <c r="C12" s="446">
        <v>1561</v>
      </c>
      <c r="D12" s="446">
        <v>600</v>
      </c>
      <c r="E12" s="446">
        <v>2630</v>
      </c>
      <c r="F12" s="446">
        <v>5068</v>
      </c>
      <c r="G12" s="446">
        <v>2023</v>
      </c>
      <c r="H12" s="446">
        <v>592</v>
      </c>
      <c r="I12" s="446">
        <v>1841</v>
      </c>
      <c r="J12" s="447">
        <v>61242</v>
      </c>
      <c r="K12" s="447">
        <v>2060</v>
      </c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</row>
    <row r="13" spans="1:35" ht="13.5" customHeight="1">
      <c r="A13" s="323">
        <v>2015</v>
      </c>
      <c r="B13" s="446">
        <v>8009</v>
      </c>
      <c r="C13" s="446">
        <v>3817</v>
      </c>
      <c r="D13" s="446">
        <v>401</v>
      </c>
      <c r="E13" s="446">
        <v>2697</v>
      </c>
      <c r="F13" s="446">
        <v>5661</v>
      </c>
      <c r="G13" s="446">
        <v>2321</v>
      </c>
      <c r="H13" s="446">
        <v>362</v>
      </c>
      <c r="I13" s="446">
        <v>2151</v>
      </c>
      <c r="J13" s="447">
        <v>95828</v>
      </c>
      <c r="K13" s="447">
        <v>1290</v>
      </c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</row>
    <row r="14" spans="1:35" ht="13.5" customHeight="1">
      <c r="A14" s="323">
        <v>2016</v>
      </c>
      <c r="B14" s="446">
        <v>7673</v>
      </c>
      <c r="C14" s="446">
        <v>3806</v>
      </c>
      <c r="D14" s="446">
        <v>374</v>
      </c>
      <c r="E14" s="446">
        <v>2449</v>
      </c>
      <c r="F14" s="446">
        <v>4839</v>
      </c>
      <c r="G14" s="446">
        <v>2192</v>
      </c>
      <c r="H14" s="446">
        <v>333</v>
      </c>
      <c r="I14" s="446">
        <v>1744</v>
      </c>
      <c r="J14" s="447">
        <v>87412</v>
      </c>
      <c r="K14" s="447">
        <v>1171</v>
      </c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</row>
    <row r="15" spans="1:35" ht="13.5" customHeight="1">
      <c r="A15" s="323">
        <v>2017</v>
      </c>
      <c r="B15" s="446">
        <v>10812</v>
      </c>
      <c r="C15" s="446">
        <v>5937</v>
      </c>
      <c r="D15" s="446">
        <v>260</v>
      </c>
      <c r="E15" s="446">
        <v>2694</v>
      </c>
      <c r="F15" s="446">
        <v>6673</v>
      </c>
      <c r="G15" s="446">
        <v>3102</v>
      </c>
      <c r="H15" s="446">
        <v>281</v>
      </c>
      <c r="I15" s="446">
        <v>2487</v>
      </c>
      <c r="J15" s="447">
        <v>89408</v>
      </c>
      <c r="K15" s="447">
        <v>1920</v>
      </c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</row>
    <row r="16" spans="1:35" ht="13.5" customHeight="1">
      <c r="A16" s="323">
        <v>2018</v>
      </c>
      <c r="B16" s="446">
        <v>7550</v>
      </c>
      <c r="C16" s="446">
        <v>3568</v>
      </c>
      <c r="D16" s="446">
        <v>329</v>
      </c>
      <c r="E16" s="446">
        <v>2309</v>
      </c>
      <c r="F16" s="446">
        <v>4791</v>
      </c>
      <c r="G16" s="446">
        <v>2127</v>
      </c>
      <c r="H16" s="446">
        <v>375</v>
      </c>
      <c r="I16" s="446">
        <v>1766</v>
      </c>
      <c r="J16" s="447">
        <v>88908</v>
      </c>
      <c r="K16" s="447">
        <v>4153</v>
      </c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</row>
    <row r="17" spans="1:35" ht="13.5" customHeight="1">
      <c r="A17" s="323">
        <v>2019</v>
      </c>
      <c r="B17" s="446">
        <v>5325</v>
      </c>
      <c r="C17" s="446">
        <v>1853</v>
      </c>
      <c r="D17" s="446">
        <v>190</v>
      </c>
      <c r="E17" s="446">
        <v>2181</v>
      </c>
      <c r="F17" s="446">
        <v>6022</v>
      </c>
      <c r="G17" s="446">
        <v>2782</v>
      </c>
      <c r="H17" s="446">
        <v>209</v>
      </c>
      <c r="I17" s="446">
        <v>1708</v>
      </c>
      <c r="J17" s="447">
        <v>64930</v>
      </c>
      <c r="K17" s="447">
        <v>2115</v>
      </c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</row>
    <row r="18" spans="1:35" ht="13.5" customHeight="1">
      <c r="A18" s="323">
        <v>2020</v>
      </c>
      <c r="B18" s="446">
        <v>5418</v>
      </c>
      <c r="C18" s="446">
        <v>1859</v>
      </c>
      <c r="D18" s="446">
        <v>355</v>
      </c>
      <c r="E18" s="446">
        <v>2199</v>
      </c>
      <c r="F18" s="446">
        <v>6507</v>
      </c>
      <c r="G18" s="446">
        <v>3356</v>
      </c>
      <c r="H18" s="446">
        <v>243</v>
      </c>
      <c r="I18" s="446">
        <v>1830</v>
      </c>
      <c r="J18" s="447">
        <v>120803</v>
      </c>
      <c r="K18" s="447">
        <v>973</v>
      </c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</row>
    <row r="19" spans="1:35" ht="13.5" customHeight="1">
      <c r="A19" s="323">
        <v>2021</v>
      </c>
      <c r="B19" s="446">
        <v>9050</v>
      </c>
      <c r="C19" s="446">
        <v>2537</v>
      </c>
      <c r="D19" s="446">
        <v>506</v>
      </c>
      <c r="E19" s="446">
        <v>3578</v>
      </c>
      <c r="F19" s="446">
        <v>5558</v>
      </c>
      <c r="G19" s="446">
        <v>1918</v>
      </c>
      <c r="H19" s="446">
        <v>320</v>
      </c>
      <c r="I19" s="446">
        <v>2104</v>
      </c>
      <c r="J19" s="447">
        <v>77856</v>
      </c>
      <c r="K19" s="447">
        <v>949</v>
      </c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</row>
    <row r="20" spans="1:35" ht="13.5" customHeight="1">
      <c r="A20" s="323">
        <v>2022</v>
      </c>
      <c r="B20" s="446">
        <v>15031</v>
      </c>
      <c r="C20" s="446">
        <v>7085</v>
      </c>
      <c r="D20" s="446">
        <v>1158</v>
      </c>
      <c r="E20" s="446">
        <v>3762</v>
      </c>
      <c r="F20" s="446">
        <v>6005</v>
      </c>
      <c r="G20" s="446">
        <v>2135</v>
      </c>
      <c r="H20" s="446">
        <v>527</v>
      </c>
      <c r="I20" s="446">
        <v>1865</v>
      </c>
      <c r="J20" s="447">
        <v>130942</v>
      </c>
      <c r="K20" s="447">
        <v>2640</v>
      </c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</row>
    <row r="21" spans="1:35" ht="13.5" customHeight="1">
      <c r="A21" s="323">
        <v>2023</v>
      </c>
      <c r="B21" s="446">
        <v>10639</v>
      </c>
      <c r="C21" s="446">
        <v>4153</v>
      </c>
      <c r="D21" s="446">
        <v>1338</v>
      </c>
      <c r="E21" s="446">
        <v>2128</v>
      </c>
      <c r="F21" s="446">
        <v>6417</v>
      </c>
      <c r="G21" s="446">
        <v>2989</v>
      </c>
      <c r="H21" s="446">
        <v>824</v>
      </c>
      <c r="I21" s="446">
        <v>948</v>
      </c>
      <c r="J21" s="447">
        <v>106649</v>
      </c>
      <c r="K21" s="447">
        <v>2997</v>
      </c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</row>
    <row r="22" spans="1:35" ht="13.5" customHeight="1">
      <c r="A22" s="323">
        <v>2024</v>
      </c>
      <c r="B22" s="446">
        <v>11936</v>
      </c>
      <c r="C22" s="446">
        <v>4668</v>
      </c>
      <c r="D22" s="446">
        <v>645</v>
      </c>
      <c r="E22" s="446">
        <v>3382</v>
      </c>
      <c r="F22" s="446">
        <v>6584</v>
      </c>
      <c r="G22" s="446">
        <v>3532</v>
      </c>
      <c r="H22" s="446">
        <v>419</v>
      </c>
      <c r="I22" s="446">
        <v>769</v>
      </c>
      <c r="J22" s="447">
        <v>118314</v>
      </c>
      <c r="K22" s="447">
        <v>4720</v>
      </c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</row>
    <row r="23" spans="1:35" ht="13.5" customHeight="1">
      <c r="A23" s="323">
        <v>2025</v>
      </c>
      <c r="B23" s="446">
        <v>8875</v>
      </c>
      <c r="C23" s="446">
        <v>4482</v>
      </c>
      <c r="D23" s="446">
        <v>425</v>
      </c>
      <c r="E23" s="446">
        <v>1468</v>
      </c>
      <c r="F23" s="446">
        <v>4877</v>
      </c>
      <c r="G23" s="446">
        <v>2165</v>
      </c>
      <c r="H23" s="446">
        <v>319</v>
      </c>
      <c r="I23" s="446">
        <v>769</v>
      </c>
      <c r="J23" s="447">
        <v>155726</v>
      </c>
      <c r="K23" s="447">
        <v>7541</v>
      </c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</row>
    <row r="24" spans="1:35" ht="13.5" customHeight="1">
      <c r="A24" s="322"/>
      <c r="B24" s="2"/>
      <c r="C24" s="2"/>
      <c r="D24" s="2"/>
      <c r="E24" s="2"/>
      <c r="F24" s="2"/>
      <c r="G24" s="2"/>
      <c r="H24" s="2"/>
      <c r="I24" s="2"/>
      <c r="J24" s="6"/>
      <c r="K24" s="6"/>
      <c r="L24" s="107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1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</row>
    <row r="25" spans="1:35" s="115" customFormat="1">
      <c r="A25" s="321"/>
      <c r="B25" s="2"/>
      <c r="C25" s="2"/>
      <c r="D25" s="2"/>
      <c r="E25" s="2"/>
      <c r="F25" s="2"/>
      <c r="G25" s="2"/>
      <c r="H25" s="2"/>
      <c r="I25" s="2"/>
      <c r="J25" s="6"/>
      <c r="K25" s="6"/>
      <c r="L25" s="113"/>
      <c r="M25" s="107"/>
      <c r="N25" s="108"/>
      <c r="O25" s="108"/>
      <c r="P25" s="108"/>
      <c r="Q25" s="108"/>
      <c r="R25" s="108"/>
      <c r="S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14"/>
    </row>
    <row r="26" spans="1:35" s="115" customFormat="1">
      <c r="A26" s="337">
        <v>44562</v>
      </c>
      <c r="B26" s="444">
        <v>920</v>
      </c>
      <c r="C26" s="444">
        <v>533</v>
      </c>
      <c r="D26" s="444">
        <v>26</v>
      </c>
      <c r="E26" s="444">
        <v>286</v>
      </c>
      <c r="F26" s="444">
        <v>404</v>
      </c>
      <c r="G26" s="444">
        <v>67</v>
      </c>
      <c r="H26" s="444">
        <v>50</v>
      </c>
      <c r="I26" s="444">
        <v>247</v>
      </c>
      <c r="J26" s="445">
        <v>7580</v>
      </c>
      <c r="K26" s="445">
        <v>921</v>
      </c>
      <c r="L26" s="113"/>
      <c r="M26" s="109"/>
      <c r="N26" s="108"/>
      <c r="O26" s="108"/>
      <c r="P26" s="108"/>
      <c r="Q26" s="108"/>
      <c r="R26" s="108"/>
      <c r="S26" s="108"/>
      <c r="T26" s="108"/>
      <c r="U26" s="11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14"/>
    </row>
    <row r="27" spans="1:35" s="115" customFormat="1">
      <c r="A27" s="337">
        <v>44593</v>
      </c>
      <c r="B27" s="444">
        <v>918</v>
      </c>
      <c r="C27" s="444">
        <v>411</v>
      </c>
      <c r="D27" s="444">
        <v>115</v>
      </c>
      <c r="E27" s="444">
        <v>173</v>
      </c>
      <c r="F27" s="444">
        <v>135</v>
      </c>
      <c r="G27" s="444">
        <v>19</v>
      </c>
      <c r="H27" s="444">
        <v>6</v>
      </c>
      <c r="I27" s="444">
        <v>96</v>
      </c>
      <c r="J27" s="445">
        <v>3759</v>
      </c>
      <c r="K27" s="445">
        <v>1028</v>
      </c>
      <c r="L27" s="113"/>
      <c r="M27" s="109"/>
      <c r="N27" s="108"/>
      <c r="O27" s="108"/>
      <c r="P27" s="108"/>
      <c r="Q27" s="108"/>
      <c r="R27" s="108"/>
      <c r="S27" s="108"/>
      <c r="T27" s="108"/>
      <c r="U27" s="11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14"/>
    </row>
    <row r="28" spans="1:35" s="115" customFormat="1">
      <c r="A28" s="337">
        <v>44621</v>
      </c>
      <c r="B28" s="444">
        <v>1109</v>
      </c>
      <c r="C28" s="444">
        <v>520</v>
      </c>
      <c r="D28" s="444">
        <v>18</v>
      </c>
      <c r="E28" s="444">
        <v>135</v>
      </c>
      <c r="F28" s="444">
        <v>550</v>
      </c>
      <c r="G28" s="444">
        <v>144</v>
      </c>
      <c r="H28" s="444">
        <v>129</v>
      </c>
      <c r="I28" s="444">
        <v>222</v>
      </c>
      <c r="J28" s="445">
        <v>4211</v>
      </c>
      <c r="K28" s="445">
        <v>1013</v>
      </c>
      <c r="L28" s="113"/>
      <c r="M28" s="109"/>
      <c r="N28" s="108"/>
      <c r="O28" s="108"/>
      <c r="P28" s="108"/>
      <c r="Q28" s="108"/>
      <c r="R28" s="108"/>
      <c r="S28" s="108"/>
      <c r="T28" s="108"/>
      <c r="U28" s="11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14"/>
    </row>
    <row r="29" spans="1:35" s="115" customFormat="1">
      <c r="A29" s="337">
        <v>44652</v>
      </c>
      <c r="B29" s="444">
        <v>1258</v>
      </c>
      <c r="C29" s="444">
        <v>649</v>
      </c>
      <c r="D29" s="444">
        <v>47</v>
      </c>
      <c r="E29" s="444">
        <v>367</v>
      </c>
      <c r="F29" s="444">
        <v>384</v>
      </c>
      <c r="G29" s="444">
        <v>170</v>
      </c>
      <c r="H29" s="444">
        <v>27</v>
      </c>
      <c r="I29" s="444">
        <v>98</v>
      </c>
      <c r="J29" s="445">
        <v>18988</v>
      </c>
      <c r="K29" s="445">
        <v>1003</v>
      </c>
      <c r="L29" s="113"/>
      <c r="M29" s="109"/>
      <c r="N29" s="108"/>
      <c r="O29" s="108"/>
      <c r="P29" s="108"/>
      <c r="Q29" s="108"/>
      <c r="R29" s="108"/>
      <c r="S29" s="108"/>
      <c r="T29" s="108"/>
      <c r="U29" s="11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14"/>
    </row>
    <row r="30" spans="1:35" s="115" customFormat="1">
      <c r="A30" s="337">
        <v>44682</v>
      </c>
      <c r="B30" s="444">
        <v>1527</v>
      </c>
      <c r="C30" s="444">
        <v>522</v>
      </c>
      <c r="D30" s="444">
        <v>20</v>
      </c>
      <c r="E30" s="444">
        <v>678</v>
      </c>
      <c r="F30" s="444">
        <v>498</v>
      </c>
      <c r="G30" s="444">
        <v>214</v>
      </c>
      <c r="H30" s="444">
        <v>19</v>
      </c>
      <c r="I30" s="444">
        <v>200</v>
      </c>
      <c r="J30" s="445">
        <v>9741</v>
      </c>
      <c r="K30" s="445">
        <v>1220</v>
      </c>
      <c r="L30" s="113"/>
      <c r="M30" s="109"/>
      <c r="N30" s="108"/>
      <c r="O30" s="108"/>
      <c r="P30" s="108"/>
      <c r="Q30" s="108"/>
      <c r="R30" s="108"/>
      <c r="S30" s="108"/>
      <c r="T30" s="108"/>
      <c r="U30" s="11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14"/>
    </row>
    <row r="31" spans="1:35" s="115" customFormat="1">
      <c r="A31" s="337">
        <v>44713</v>
      </c>
      <c r="B31" s="444">
        <v>1091</v>
      </c>
      <c r="C31" s="444">
        <v>665</v>
      </c>
      <c r="D31" s="444">
        <v>53</v>
      </c>
      <c r="E31" s="444">
        <v>294</v>
      </c>
      <c r="F31" s="444">
        <v>628</v>
      </c>
      <c r="G31" s="444">
        <v>228</v>
      </c>
      <c r="H31" s="444">
        <v>8</v>
      </c>
      <c r="I31" s="444">
        <v>127</v>
      </c>
      <c r="J31" s="445">
        <v>9344</v>
      </c>
      <c r="K31" s="445">
        <v>1267</v>
      </c>
      <c r="L31" s="113"/>
      <c r="M31" s="109"/>
      <c r="N31" s="108"/>
      <c r="O31" s="108"/>
      <c r="P31" s="108"/>
      <c r="Q31" s="108"/>
      <c r="R31" s="108"/>
      <c r="S31" s="108"/>
      <c r="T31" s="108"/>
      <c r="U31" s="11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14"/>
    </row>
    <row r="32" spans="1:35" s="115" customFormat="1">
      <c r="A32" s="337">
        <v>44743</v>
      </c>
      <c r="B32" s="444">
        <v>1599</v>
      </c>
      <c r="C32" s="444">
        <v>620</v>
      </c>
      <c r="D32" s="444">
        <v>322</v>
      </c>
      <c r="E32" s="444">
        <v>332</v>
      </c>
      <c r="F32" s="444">
        <v>1260</v>
      </c>
      <c r="G32" s="444">
        <v>551</v>
      </c>
      <c r="H32" s="444">
        <v>34</v>
      </c>
      <c r="I32" s="444">
        <v>171</v>
      </c>
      <c r="J32" s="445">
        <v>19045</v>
      </c>
      <c r="K32" s="445">
        <v>1503</v>
      </c>
      <c r="L32" s="113"/>
      <c r="M32" s="109"/>
      <c r="N32" s="108"/>
      <c r="O32" s="108"/>
      <c r="P32" s="108"/>
      <c r="Q32" s="108"/>
      <c r="R32" s="108"/>
      <c r="S32" s="108"/>
      <c r="T32" s="108"/>
      <c r="U32" s="11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14"/>
    </row>
    <row r="33" spans="1:35" s="115" customFormat="1">
      <c r="A33" s="337">
        <v>44774</v>
      </c>
      <c r="B33" s="444">
        <v>387</v>
      </c>
      <c r="C33" s="444">
        <v>69</v>
      </c>
      <c r="D33" s="444">
        <v>98</v>
      </c>
      <c r="E33" s="444">
        <v>184</v>
      </c>
      <c r="F33" s="444">
        <v>396</v>
      </c>
      <c r="G33" s="444">
        <v>20</v>
      </c>
      <c r="H33" s="444">
        <v>8</v>
      </c>
      <c r="I33" s="444">
        <v>286</v>
      </c>
      <c r="J33" s="445">
        <v>7098</v>
      </c>
      <c r="K33" s="445">
        <v>1799</v>
      </c>
      <c r="L33" s="113"/>
      <c r="M33" s="109"/>
      <c r="N33" s="108"/>
      <c r="O33" s="108"/>
      <c r="P33" s="108"/>
      <c r="Q33" s="108"/>
      <c r="R33" s="108"/>
      <c r="S33" s="108"/>
      <c r="T33" s="108"/>
      <c r="U33" s="11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14"/>
    </row>
    <row r="34" spans="1:35" s="115" customFormat="1">
      <c r="A34" s="337">
        <v>44805</v>
      </c>
      <c r="B34" s="444">
        <v>1567</v>
      </c>
      <c r="C34" s="444">
        <v>1287</v>
      </c>
      <c r="D34" s="444">
        <v>15</v>
      </c>
      <c r="E34" s="444">
        <v>237</v>
      </c>
      <c r="F34" s="444">
        <v>631</v>
      </c>
      <c r="G34" s="444">
        <v>279</v>
      </c>
      <c r="H34" s="444">
        <v>27</v>
      </c>
      <c r="I34" s="444">
        <v>213</v>
      </c>
      <c r="J34" s="445">
        <v>29310</v>
      </c>
      <c r="K34" s="445">
        <v>1973</v>
      </c>
      <c r="L34" s="113"/>
      <c r="M34" s="109"/>
      <c r="N34" s="108"/>
      <c r="O34" s="108"/>
      <c r="P34" s="108"/>
      <c r="Q34" s="108"/>
      <c r="R34" s="108"/>
      <c r="S34" s="108"/>
      <c r="T34" s="108"/>
      <c r="U34" s="11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14"/>
    </row>
    <row r="35" spans="1:35" s="115" customFormat="1">
      <c r="A35" s="337">
        <v>44835</v>
      </c>
      <c r="B35" s="444">
        <v>1677</v>
      </c>
      <c r="C35" s="444">
        <v>757</v>
      </c>
      <c r="D35" s="444">
        <v>226</v>
      </c>
      <c r="E35" s="444">
        <v>140</v>
      </c>
      <c r="F35" s="444">
        <v>200</v>
      </c>
      <c r="G35" s="444">
        <v>74</v>
      </c>
      <c r="H35" s="444">
        <v>23</v>
      </c>
      <c r="I35" s="444">
        <v>69</v>
      </c>
      <c r="J35" s="445">
        <v>5411</v>
      </c>
      <c r="K35" s="445">
        <v>2514</v>
      </c>
      <c r="L35" s="113"/>
      <c r="M35" s="109"/>
      <c r="N35" s="108"/>
      <c r="O35" s="108"/>
      <c r="P35" s="108"/>
      <c r="Q35" s="108"/>
      <c r="R35" s="108"/>
      <c r="S35" s="108"/>
      <c r="T35" s="108"/>
      <c r="U35" s="11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14"/>
    </row>
    <row r="36" spans="1:35" s="115" customFormat="1">
      <c r="A36" s="337">
        <v>44866</v>
      </c>
      <c r="B36" s="444">
        <v>2087</v>
      </c>
      <c r="C36" s="444">
        <v>950</v>
      </c>
      <c r="D36" s="444">
        <v>21</v>
      </c>
      <c r="E36" s="444">
        <v>645</v>
      </c>
      <c r="F36" s="444">
        <v>278</v>
      </c>
      <c r="G36" s="444">
        <v>22</v>
      </c>
      <c r="H36" s="444">
        <v>179</v>
      </c>
      <c r="I36" s="444">
        <v>65</v>
      </c>
      <c r="J36" s="445">
        <v>10344</v>
      </c>
      <c r="K36" s="445">
        <v>2574</v>
      </c>
      <c r="L36" s="113"/>
      <c r="M36" s="109"/>
      <c r="N36" s="108"/>
      <c r="O36" s="108"/>
      <c r="P36" s="108"/>
      <c r="Q36" s="108"/>
      <c r="R36" s="108"/>
      <c r="S36" s="108"/>
      <c r="T36" s="108"/>
      <c r="U36" s="11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14"/>
    </row>
    <row r="37" spans="1:35" s="115" customFormat="1">
      <c r="A37" s="337">
        <v>44896</v>
      </c>
      <c r="B37" s="444">
        <v>890</v>
      </c>
      <c r="C37" s="444">
        <v>102</v>
      </c>
      <c r="D37" s="444">
        <v>198</v>
      </c>
      <c r="E37" s="444">
        <v>291</v>
      </c>
      <c r="F37" s="444">
        <v>641</v>
      </c>
      <c r="G37" s="444">
        <v>348</v>
      </c>
      <c r="H37" s="444">
        <v>16</v>
      </c>
      <c r="I37" s="444">
        <v>71</v>
      </c>
      <c r="J37" s="445">
        <v>6111</v>
      </c>
      <c r="K37" s="445">
        <v>2640</v>
      </c>
      <c r="L37" s="113"/>
      <c r="M37" s="109"/>
      <c r="N37" s="108"/>
      <c r="O37" s="108"/>
      <c r="P37" s="108"/>
      <c r="Q37" s="108"/>
      <c r="R37" s="108"/>
      <c r="S37" s="108"/>
      <c r="T37" s="108"/>
      <c r="U37" s="11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14"/>
    </row>
    <row r="38" spans="1:35" s="115" customFormat="1">
      <c r="A38" s="337">
        <v>44927</v>
      </c>
      <c r="B38" s="444">
        <v>1446</v>
      </c>
      <c r="C38" s="444">
        <v>175</v>
      </c>
      <c r="D38" s="444">
        <v>274</v>
      </c>
      <c r="E38" s="444">
        <v>177</v>
      </c>
      <c r="F38" s="444">
        <v>826</v>
      </c>
      <c r="G38" s="444">
        <v>503</v>
      </c>
      <c r="H38" s="444">
        <v>20</v>
      </c>
      <c r="I38" s="444">
        <v>34</v>
      </c>
      <c r="J38" s="445">
        <v>6782</v>
      </c>
      <c r="K38" s="445">
        <v>2646</v>
      </c>
      <c r="L38" s="113"/>
      <c r="M38" s="109"/>
      <c r="N38" s="108"/>
      <c r="O38" s="108"/>
      <c r="P38" s="108"/>
      <c r="Q38" s="108"/>
      <c r="R38" s="108"/>
      <c r="S38" s="108"/>
      <c r="T38" s="108"/>
      <c r="U38" s="11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14"/>
    </row>
    <row r="39" spans="1:35" s="115" customFormat="1">
      <c r="A39" s="337">
        <v>44958</v>
      </c>
      <c r="B39" s="444">
        <v>1997</v>
      </c>
      <c r="C39" s="444">
        <v>1197</v>
      </c>
      <c r="D39" s="444">
        <v>14</v>
      </c>
      <c r="E39" s="444">
        <v>340</v>
      </c>
      <c r="F39" s="444">
        <v>73</v>
      </c>
      <c r="G39" s="444">
        <v>4</v>
      </c>
      <c r="H39" s="444">
        <v>18</v>
      </c>
      <c r="I39" s="444">
        <v>38</v>
      </c>
      <c r="J39" s="445">
        <v>7166</v>
      </c>
      <c r="K39" s="445">
        <v>2535</v>
      </c>
      <c r="L39" s="113"/>
      <c r="M39" s="109"/>
      <c r="N39" s="108"/>
      <c r="O39" s="108"/>
      <c r="P39" s="108"/>
      <c r="Q39" s="108"/>
      <c r="R39" s="108"/>
      <c r="S39" s="108"/>
      <c r="T39" s="108"/>
      <c r="U39" s="11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14"/>
    </row>
    <row r="40" spans="1:35" s="115" customFormat="1">
      <c r="A40" s="337">
        <v>44986</v>
      </c>
      <c r="B40" s="444">
        <v>645</v>
      </c>
      <c r="C40" s="444">
        <v>129</v>
      </c>
      <c r="D40" s="444">
        <v>156</v>
      </c>
      <c r="E40" s="444">
        <v>278</v>
      </c>
      <c r="F40" s="444">
        <v>885</v>
      </c>
      <c r="G40" s="444">
        <v>465</v>
      </c>
      <c r="H40" s="444">
        <v>11</v>
      </c>
      <c r="I40" s="444">
        <v>259</v>
      </c>
      <c r="J40" s="445">
        <v>13916</v>
      </c>
      <c r="K40" s="445">
        <v>2526</v>
      </c>
      <c r="L40" s="113"/>
      <c r="M40" s="109"/>
      <c r="N40" s="108"/>
      <c r="O40" s="108"/>
      <c r="P40" s="108"/>
      <c r="Q40" s="108"/>
      <c r="R40" s="108"/>
      <c r="S40" s="108"/>
      <c r="T40" s="108"/>
      <c r="U40" s="11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14"/>
    </row>
    <row r="41" spans="1:35" s="115" customFormat="1">
      <c r="A41" s="337">
        <v>45017</v>
      </c>
      <c r="B41" s="444">
        <v>766</v>
      </c>
      <c r="C41" s="444">
        <v>351</v>
      </c>
      <c r="D41" s="444">
        <v>119</v>
      </c>
      <c r="E41" s="444">
        <v>69</v>
      </c>
      <c r="F41" s="444">
        <v>519</v>
      </c>
      <c r="G41" s="444">
        <v>251</v>
      </c>
      <c r="H41" s="444">
        <v>14</v>
      </c>
      <c r="I41" s="444">
        <v>57</v>
      </c>
      <c r="J41" s="445">
        <v>4344</v>
      </c>
      <c r="K41" s="445">
        <v>2624</v>
      </c>
      <c r="L41" s="113"/>
      <c r="M41" s="109"/>
      <c r="N41" s="108"/>
      <c r="O41" s="108"/>
      <c r="P41" s="108"/>
      <c r="Q41" s="108"/>
      <c r="R41" s="108"/>
      <c r="S41" s="108"/>
      <c r="T41" s="108"/>
      <c r="U41" s="11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14"/>
    </row>
    <row r="42" spans="1:35" s="115" customFormat="1">
      <c r="A42" s="337">
        <v>45047</v>
      </c>
      <c r="B42" s="444">
        <v>1213</v>
      </c>
      <c r="C42" s="444">
        <v>389</v>
      </c>
      <c r="D42" s="444">
        <v>167</v>
      </c>
      <c r="E42" s="444">
        <v>354</v>
      </c>
      <c r="F42" s="444">
        <v>249</v>
      </c>
      <c r="G42" s="444">
        <v>9</v>
      </c>
      <c r="H42" s="444">
        <v>129</v>
      </c>
      <c r="I42" s="444">
        <v>103</v>
      </c>
      <c r="J42" s="445">
        <v>15825</v>
      </c>
      <c r="K42" s="445">
        <v>2892</v>
      </c>
      <c r="L42" s="113"/>
      <c r="M42" s="109"/>
      <c r="N42" s="108"/>
      <c r="O42" s="108"/>
      <c r="P42" s="108"/>
      <c r="Q42" s="108"/>
      <c r="R42" s="108"/>
      <c r="S42" s="108"/>
      <c r="T42" s="108"/>
      <c r="U42" s="11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14"/>
    </row>
    <row r="43" spans="1:35" s="115" customFormat="1">
      <c r="A43" s="384">
        <f>EDATE(A42,1)</f>
        <v>45078</v>
      </c>
      <c r="B43" s="444">
        <v>749</v>
      </c>
      <c r="C43" s="444">
        <v>420</v>
      </c>
      <c r="D43" s="444">
        <v>28</v>
      </c>
      <c r="E43" s="444">
        <v>95</v>
      </c>
      <c r="F43" s="444">
        <v>302</v>
      </c>
      <c r="G43" s="444">
        <v>36</v>
      </c>
      <c r="H43" s="444">
        <v>191</v>
      </c>
      <c r="I43" s="444">
        <v>53</v>
      </c>
      <c r="J43" s="445">
        <v>9096</v>
      </c>
      <c r="K43" s="445">
        <v>3107</v>
      </c>
      <c r="L43" s="113"/>
      <c r="M43" s="109"/>
      <c r="N43" s="108"/>
      <c r="O43" s="108"/>
      <c r="P43" s="108"/>
      <c r="Q43" s="108"/>
      <c r="R43" s="108"/>
      <c r="S43" s="108"/>
      <c r="T43" s="108"/>
      <c r="U43" s="11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14"/>
    </row>
    <row r="44" spans="1:35" s="115" customFormat="1">
      <c r="A44" s="384">
        <f t="shared" ref="A44:A65" si="0">EDATE(A43,1)</f>
        <v>45108</v>
      </c>
      <c r="B44" s="444">
        <v>442</v>
      </c>
      <c r="C44" s="444">
        <v>97</v>
      </c>
      <c r="D44" s="444">
        <v>123</v>
      </c>
      <c r="E44" s="444">
        <v>114</v>
      </c>
      <c r="F44" s="444">
        <v>319</v>
      </c>
      <c r="G44" s="444">
        <v>100</v>
      </c>
      <c r="H44" s="444">
        <v>88</v>
      </c>
      <c r="I44" s="444">
        <v>47</v>
      </c>
      <c r="J44" s="445">
        <v>4736</v>
      </c>
      <c r="K44" s="445">
        <v>2258</v>
      </c>
      <c r="L44" s="113"/>
      <c r="M44" s="109"/>
      <c r="N44" s="108"/>
      <c r="O44" s="108"/>
      <c r="P44" s="108"/>
      <c r="Q44" s="108"/>
      <c r="R44" s="108"/>
      <c r="S44" s="108"/>
      <c r="T44" s="108"/>
      <c r="U44" s="11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14"/>
    </row>
    <row r="45" spans="1:35" s="115" customFormat="1">
      <c r="A45" s="384">
        <f t="shared" si="0"/>
        <v>45139</v>
      </c>
      <c r="B45" s="444">
        <v>792</v>
      </c>
      <c r="C45" s="444">
        <v>251</v>
      </c>
      <c r="D45" s="444">
        <v>352</v>
      </c>
      <c r="E45" s="444">
        <v>73</v>
      </c>
      <c r="F45" s="444">
        <v>155</v>
      </c>
      <c r="G45" s="444">
        <v>5</v>
      </c>
      <c r="H45" s="444">
        <v>82</v>
      </c>
      <c r="I45" s="444">
        <v>42</v>
      </c>
      <c r="J45" s="445">
        <v>1578</v>
      </c>
      <c r="K45" s="445">
        <v>2327</v>
      </c>
      <c r="L45" s="113"/>
      <c r="M45" s="109"/>
      <c r="N45" s="108"/>
      <c r="O45" s="108"/>
      <c r="P45" s="108"/>
      <c r="Q45" s="108"/>
      <c r="R45" s="108"/>
      <c r="S45" s="108"/>
      <c r="T45" s="108"/>
      <c r="U45" s="11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14"/>
    </row>
    <row r="46" spans="1:35" s="115" customFormat="1">
      <c r="A46" s="384">
        <f t="shared" si="0"/>
        <v>45170</v>
      </c>
      <c r="B46" s="444">
        <v>742</v>
      </c>
      <c r="C46" s="444">
        <v>269</v>
      </c>
      <c r="D46" s="444">
        <v>14</v>
      </c>
      <c r="E46" s="444">
        <v>204</v>
      </c>
      <c r="F46" s="444">
        <v>536</v>
      </c>
      <c r="G46" s="444">
        <v>248</v>
      </c>
      <c r="H46" s="444">
        <v>112</v>
      </c>
      <c r="I46" s="444">
        <v>45</v>
      </c>
      <c r="J46" s="445">
        <v>16175</v>
      </c>
      <c r="K46" s="445">
        <v>2235</v>
      </c>
      <c r="L46" s="113"/>
      <c r="M46" s="109"/>
      <c r="N46" s="108"/>
      <c r="O46" s="108"/>
      <c r="P46" s="108"/>
      <c r="Q46" s="108"/>
      <c r="R46" s="108"/>
      <c r="S46" s="108"/>
      <c r="T46" s="108"/>
      <c r="U46" s="11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14"/>
    </row>
    <row r="47" spans="1:35" s="115" customFormat="1">
      <c r="A47" s="384">
        <f t="shared" si="0"/>
        <v>45200</v>
      </c>
      <c r="B47" s="444">
        <v>575</v>
      </c>
      <c r="C47" s="444">
        <v>256</v>
      </c>
      <c r="D47" s="444">
        <v>12</v>
      </c>
      <c r="E47" s="444">
        <v>125</v>
      </c>
      <c r="F47" s="444">
        <v>1127</v>
      </c>
      <c r="G47" s="444">
        <v>623</v>
      </c>
      <c r="H47" s="444">
        <v>131</v>
      </c>
      <c r="I47" s="444">
        <v>28</v>
      </c>
      <c r="J47" s="445">
        <v>10764</v>
      </c>
      <c r="K47" s="445">
        <v>2277</v>
      </c>
      <c r="L47" s="113"/>
      <c r="M47" s="109"/>
      <c r="N47" s="108"/>
      <c r="O47" s="108"/>
      <c r="P47" s="108"/>
      <c r="Q47" s="108"/>
      <c r="R47" s="108"/>
      <c r="S47" s="108"/>
      <c r="T47" s="108"/>
      <c r="U47" s="11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14"/>
    </row>
    <row r="48" spans="1:35" s="115" customFormat="1">
      <c r="A48" s="384">
        <f t="shared" si="0"/>
        <v>45231</v>
      </c>
      <c r="B48" s="444">
        <v>345</v>
      </c>
      <c r="C48" s="444">
        <v>152</v>
      </c>
      <c r="D48" s="444">
        <v>55</v>
      </c>
      <c r="E48" s="444">
        <v>72</v>
      </c>
      <c r="F48" s="444">
        <v>729</v>
      </c>
      <c r="G48" s="444">
        <v>336</v>
      </c>
      <c r="H48" s="444">
        <v>12</v>
      </c>
      <c r="I48" s="444">
        <v>193</v>
      </c>
      <c r="J48" s="445">
        <v>5726</v>
      </c>
      <c r="K48" s="445">
        <v>2534</v>
      </c>
      <c r="L48" s="113"/>
      <c r="M48" s="109"/>
      <c r="N48" s="108"/>
      <c r="O48" s="108"/>
      <c r="P48" s="108"/>
      <c r="Q48" s="108"/>
      <c r="R48" s="108"/>
      <c r="S48" s="108"/>
      <c r="T48" s="108"/>
      <c r="U48" s="11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14"/>
    </row>
    <row r="49" spans="1:35" s="115" customFormat="1">
      <c r="A49" s="337">
        <f t="shared" si="0"/>
        <v>45261</v>
      </c>
      <c r="B49" s="444">
        <v>926</v>
      </c>
      <c r="C49" s="444">
        <v>465</v>
      </c>
      <c r="D49" s="444">
        <v>24</v>
      </c>
      <c r="E49" s="444">
        <v>228</v>
      </c>
      <c r="F49" s="444">
        <v>696</v>
      </c>
      <c r="G49" s="444">
        <v>410</v>
      </c>
      <c r="H49" s="444">
        <v>16</v>
      </c>
      <c r="I49" s="444">
        <v>47</v>
      </c>
      <c r="J49" s="445">
        <v>10543</v>
      </c>
      <c r="K49" s="445">
        <v>2997</v>
      </c>
      <c r="L49" s="113"/>
      <c r="M49" s="109"/>
      <c r="N49" s="108"/>
      <c r="O49" s="108"/>
      <c r="P49" s="108"/>
      <c r="Q49" s="108"/>
      <c r="R49" s="108"/>
      <c r="S49" s="108"/>
      <c r="T49" s="108"/>
      <c r="U49" s="11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14"/>
    </row>
    <row r="50" spans="1:35" s="115" customFormat="1">
      <c r="A50" s="337">
        <f t="shared" si="0"/>
        <v>45292</v>
      </c>
      <c r="B50" s="444">
        <v>2057</v>
      </c>
      <c r="C50" s="444">
        <v>252</v>
      </c>
      <c r="D50" s="444">
        <v>34</v>
      </c>
      <c r="E50" s="444">
        <v>1498</v>
      </c>
      <c r="F50" s="444">
        <v>182</v>
      </c>
      <c r="G50" s="444">
        <v>3</v>
      </c>
      <c r="H50" s="444">
        <v>24</v>
      </c>
      <c r="I50" s="444">
        <v>129</v>
      </c>
      <c r="J50" s="445">
        <v>4778</v>
      </c>
      <c r="K50" s="445">
        <v>3372</v>
      </c>
      <c r="L50" s="113"/>
      <c r="M50" s="109"/>
      <c r="N50" s="108"/>
      <c r="O50" s="108"/>
      <c r="P50" s="108"/>
      <c r="Q50" s="108"/>
      <c r="R50" s="108"/>
      <c r="S50" s="108"/>
      <c r="T50" s="108"/>
      <c r="U50" s="11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14"/>
    </row>
    <row r="51" spans="1:35" s="115" customFormat="1">
      <c r="A51" s="337">
        <f t="shared" si="0"/>
        <v>45323</v>
      </c>
      <c r="B51" s="444">
        <v>199</v>
      </c>
      <c r="C51" s="444">
        <v>56</v>
      </c>
      <c r="D51" s="444">
        <v>13</v>
      </c>
      <c r="E51" s="444">
        <v>53</v>
      </c>
      <c r="F51" s="444">
        <v>354</v>
      </c>
      <c r="G51" s="444">
        <v>156</v>
      </c>
      <c r="H51" s="444">
        <v>35</v>
      </c>
      <c r="I51" s="444">
        <v>56</v>
      </c>
      <c r="J51" s="445">
        <v>8325</v>
      </c>
      <c r="K51" s="445">
        <v>3149</v>
      </c>
      <c r="L51" s="113"/>
      <c r="M51" s="109"/>
      <c r="N51" s="108"/>
      <c r="O51" s="108"/>
      <c r="P51" s="108"/>
      <c r="Q51" s="108"/>
      <c r="R51" s="108"/>
      <c r="S51" s="108"/>
      <c r="T51" s="108"/>
      <c r="U51" s="11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14"/>
    </row>
    <row r="52" spans="1:35" s="115" customFormat="1">
      <c r="A52" s="337">
        <f t="shared" si="0"/>
        <v>45352</v>
      </c>
      <c r="B52" s="444">
        <v>313</v>
      </c>
      <c r="C52" s="444">
        <v>3</v>
      </c>
      <c r="D52" s="444">
        <v>30</v>
      </c>
      <c r="E52" s="444">
        <v>234</v>
      </c>
      <c r="F52" s="444">
        <v>650</v>
      </c>
      <c r="G52" s="444">
        <v>375</v>
      </c>
      <c r="H52" s="444">
        <v>15</v>
      </c>
      <c r="I52" s="444">
        <v>31</v>
      </c>
      <c r="J52" s="445">
        <v>10859</v>
      </c>
      <c r="K52" s="445">
        <v>3222</v>
      </c>
      <c r="L52" s="113"/>
      <c r="M52" s="109"/>
      <c r="N52" s="108"/>
      <c r="O52" s="108"/>
      <c r="P52" s="108"/>
      <c r="Q52" s="108"/>
      <c r="R52" s="108"/>
      <c r="S52" s="108"/>
      <c r="T52" s="108"/>
      <c r="U52" s="11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14"/>
    </row>
    <row r="53" spans="1:35" s="115" customFormat="1">
      <c r="A53" s="337">
        <f t="shared" si="0"/>
        <v>45383</v>
      </c>
      <c r="B53" s="444">
        <v>975</v>
      </c>
      <c r="C53" s="444">
        <v>559</v>
      </c>
      <c r="D53" s="444">
        <v>14</v>
      </c>
      <c r="E53" s="444">
        <v>194</v>
      </c>
      <c r="F53" s="444">
        <v>257</v>
      </c>
      <c r="G53" s="444">
        <v>124</v>
      </c>
      <c r="H53" s="444">
        <v>21</v>
      </c>
      <c r="I53" s="444">
        <v>44</v>
      </c>
      <c r="J53" s="445">
        <v>11148</v>
      </c>
      <c r="K53" s="445">
        <v>4566</v>
      </c>
      <c r="L53" s="113"/>
      <c r="M53" s="109"/>
      <c r="N53" s="108"/>
      <c r="O53" s="108"/>
      <c r="P53" s="108"/>
      <c r="Q53" s="108"/>
      <c r="R53" s="108"/>
      <c r="S53" s="108"/>
      <c r="T53" s="108"/>
      <c r="U53" s="11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14"/>
    </row>
    <row r="54" spans="1:35" s="115" customFormat="1">
      <c r="A54" s="337">
        <f t="shared" si="0"/>
        <v>45413</v>
      </c>
      <c r="B54" s="444">
        <v>1541</v>
      </c>
      <c r="C54" s="444">
        <v>872</v>
      </c>
      <c r="D54" s="444">
        <v>101</v>
      </c>
      <c r="E54" s="444">
        <v>89</v>
      </c>
      <c r="F54" s="444">
        <v>887</v>
      </c>
      <c r="G54" s="444">
        <v>341</v>
      </c>
      <c r="H54" s="444">
        <v>12</v>
      </c>
      <c r="I54" s="444">
        <v>74</v>
      </c>
      <c r="J54" s="445">
        <v>4391</v>
      </c>
      <c r="K54" s="445">
        <v>5496</v>
      </c>
      <c r="L54" s="113"/>
      <c r="M54" s="109"/>
      <c r="N54" s="108"/>
      <c r="O54" s="108"/>
      <c r="P54" s="108"/>
      <c r="Q54" s="108"/>
      <c r="R54" s="108"/>
      <c r="S54" s="108"/>
      <c r="T54" s="108"/>
      <c r="U54" s="11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14"/>
    </row>
    <row r="55" spans="1:35" s="115" customFormat="1">
      <c r="A55" s="337">
        <f t="shared" si="0"/>
        <v>45444</v>
      </c>
      <c r="B55" s="444">
        <v>446</v>
      </c>
      <c r="C55" s="444">
        <v>83</v>
      </c>
      <c r="D55" s="444">
        <v>32</v>
      </c>
      <c r="E55" s="444">
        <v>267</v>
      </c>
      <c r="F55" s="444">
        <v>317</v>
      </c>
      <c r="G55" s="444">
        <v>147</v>
      </c>
      <c r="H55" s="444">
        <v>20</v>
      </c>
      <c r="I55" s="444">
        <v>59</v>
      </c>
      <c r="J55" s="445">
        <v>4169</v>
      </c>
      <c r="K55" s="445">
        <v>5205</v>
      </c>
      <c r="L55" s="113"/>
      <c r="M55" s="109"/>
      <c r="N55" s="108"/>
      <c r="O55" s="108"/>
      <c r="P55" s="108"/>
      <c r="Q55" s="108"/>
      <c r="R55" s="108"/>
      <c r="S55" s="108"/>
      <c r="T55" s="108"/>
      <c r="U55" s="11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14"/>
    </row>
    <row r="56" spans="1:35" s="115" customFormat="1">
      <c r="A56" s="384">
        <f t="shared" si="0"/>
        <v>45474</v>
      </c>
      <c r="B56" s="444">
        <v>1450</v>
      </c>
      <c r="C56" s="444">
        <v>731</v>
      </c>
      <c r="D56" s="444">
        <v>60</v>
      </c>
      <c r="E56" s="444">
        <v>244</v>
      </c>
      <c r="F56" s="444">
        <v>205</v>
      </c>
      <c r="G56" s="444">
        <v>5</v>
      </c>
      <c r="H56" s="444">
        <v>16</v>
      </c>
      <c r="I56" s="444">
        <v>48</v>
      </c>
      <c r="J56" s="445">
        <v>9715</v>
      </c>
      <c r="K56" s="445">
        <v>5862</v>
      </c>
      <c r="L56" s="113"/>
      <c r="M56" s="109"/>
      <c r="N56" s="108"/>
      <c r="O56" s="108"/>
      <c r="P56" s="108"/>
      <c r="Q56" s="108"/>
      <c r="R56" s="108"/>
      <c r="S56" s="108"/>
      <c r="T56" s="108"/>
      <c r="U56" s="11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14"/>
    </row>
    <row r="57" spans="1:35" s="115" customFormat="1">
      <c r="A57" s="337">
        <f t="shared" si="0"/>
        <v>45505</v>
      </c>
      <c r="B57" s="444">
        <v>912</v>
      </c>
      <c r="C57" s="444">
        <v>306</v>
      </c>
      <c r="D57" s="444">
        <v>189</v>
      </c>
      <c r="E57" s="444">
        <v>50</v>
      </c>
      <c r="F57" s="444">
        <v>1041</v>
      </c>
      <c r="G57" s="444">
        <v>597</v>
      </c>
      <c r="H57" s="444">
        <v>34</v>
      </c>
      <c r="I57" s="444">
        <v>21</v>
      </c>
      <c r="J57" s="445">
        <v>9083</v>
      </c>
      <c r="K57" s="445">
        <v>5652</v>
      </c>
      <c r="L57" s="113"/>
      <c r="M57" s="109"/>
      <c r="N57" s="108"/>
      <c r="O57" s="108"/>
      <c r="P57" s="108"/>
      <c r="Q57" s="108"/>
      <c r="R57" s="108"/>
      <c r="S57" s="108"/>
      <c r="T57" s="108"/>
      <c r="U57" s="11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14"/>
    </row>
    <row r="58" spans="1:35" s="115" customFormat="1">
      <c r="A58" s="337">
        <f t="shared" si="0"/>
        <v>45536</v>
      </c>
      <c r="B58" s="444">
        <v>492</v>
      </c>
      <c r="C58" s="444">
        <v>1</v>
      </c>
      <c r="D58" s="444">
        <v>10</v>
      </c>
      <c r="E58" s="444">
        <v>415</v>
      </c>
      <c r="F58" s="444">
        <v>1472</v>
      </c>
      <c r="G58" s="444">
        <v>1133</v>
      </c>
      <c r="H58" s="444">
        <v>28</v>
      </c>
      <c r="I58" s="444">
        <v>179</v>
      </c>
      <c r="J58" s="445">
        <v>4819</v>
      </c>
      <c r="K58" s="445">
        <v>4871</v>
      </c>
      <c r="L58" s="113"/>
      <c r="M58" s="109"/>
      <c r="N58" s="108"/>
      <c r="O58" s="108"/>
      <c r="P58" s="108"/>
      <c r="Q58" s="108"/>
      <c r="R58" s="108"/>
      <c r="S58" s="108"/>
      <c r="T58" s="108"/>
      <c r="U58" s="11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14"/>
    </row>
    <row r="59" spans="1:35" s="115" customFormat="1">
      <c r="A59" s="337">
        <f t="shared" si="0"/>
        <v>45566</v>
      </c>
      <c r="B59" s="444">
        <v>1440</v>
      </c>
      <c r="C59" s="444">
        <v>489</v>
      </c>
      <c r="D59" s="444">
        <v>18</v>
      </c>
      <c r="E59" s="444">
        <v>169</v>
      </c>
      <c r="F59" s="444">
        <v>372</v>
      </c>
      <c r="G59" s="444">
        <v>158</v>
      </c>
      <c r="H59" s="444">
        <v>80</v>
      </c>
      <c r="I59" s="444">
        <v>35</v>
      </c>
      <c r="J59" s="445">
        <v>11737</v>
      </c>
      <c r="K59" s="445">
        <v>5038</v>
      </c>
      <c r="L59" s="113"/>
      <c r="M59" s="109"/>
      <c r="N59" s="108"/>
      <c r="O59" s="108"/>
      <c r="P59" s="108"/>
      <c r="Q59" s="108"/>
      <c r="R59" s="108"/>
      <c r="S59" s="108"/>
      <c r="T59" s="108"/>
      <c r="U59" s="11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14"/>
    </row>
    <row r="60" spans="1:35" s="115" customFormat="1">
      <c r="A60" s="337">
        <f t="shared" si="0"/>
        <v>45597</v>
      </c>
      <c r="B60" s="444">
        <v>619</v>
      </c>
      <c r="C60" s="444">
        <v>473</v>
      </c>
      <c r="D60" s="444">
        <v>39</v>
      </c>
      <c r="E60" s="444">
        <v>65</v>
      </c>
      <c r="F60" s="444">
        <v>224</v>
      </c>
      <c r="G60" s="444">
        <v>80</v>
      </c>
      <c r="H60" s="444">
        <v>13</v>
      </c>
      <c r="I60" s="444">
        <v>42</v>
      </c>
      <c r="J60" s="445">
        <v>10132</v>
      </c>
      <c r="K60" s="445">
        <v>4900</v>
      </c>
      <c r="L60" s="113"/>
      <c r="M60" s="109"/>
      <c r="N60" s="108"/>
      <c r="O60" s="108"/>
      <c r="P60" s="108"/>
      <c r="Q60" s="108"/>
      <c r="R60" s="108"/>
      <c r="S60" s="108"/>
      <c r="T60" s="108"/>
      <c r="U60" s="11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14"/>
    </row>
    <row r="61" spans="1:35" s="115" customFormat="1">
      <c r="A61" s="337">
        <f t="shared" si="0"/>
        <v>45627</v>
      </c>
      <c r="B61" s="444">
        <v>1493</v>
      </c>
      <c r="C61" s="444">
        <v>842</v>
      </c>
      <c r="D61" s="444">
        <v>105</v>
      </c>
      <c r="E61" s="444">
        <v>102</v>
      </c>
      <c r="F61" s="444">
        <v>621</v>
      </c>
      <c r="G61" s="444">
        <v>414</v>
      </c>
      <c r="H61" s="444">
        <v>121</v>
      </c>
      <c r="I61" s="444">
        <v>51</v>
      </c>
      <c r="J61" s="445">
        <v>29157</v>
      </c>
      <c r="K61" s="445">
        <v>4720</v>
      </c>
      <c r="L61" s="113"/>
      <c r="M61" s="109"/>
      <c r="N61" s="108"/>
      <c r="O61" s="108"/>
      <c r="P61" s="108"/>
      <c r="Q61" s="108"/>
      <c r="R61" s="108"/>
      <c r="S61" s="108"/>
      <c r="T61" s="108"/>
      <c r="U61" s="11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14"/>
    </row>
    <row r="62" spans="1:35" s="115" customFormat="1">
      <c r="A62" s="384">
        <f t="shared" si="0"/>
        <v>45658</v>
      </c>
      <c r="B62" s="444">
        <v>130</v>
      </c>
      <c r="C62" s="444">
        <v>22</v>
      </c>
      <c r="D62" s="444">
        <v>12</v>
      </c>
      <c r="E62" s="444">
        <v>65</v>
      </c>
      <c r="F62" s="444">
        <v>310</v>
      </c>
      <c r="G62" s="444">
        <v>2</v>
      </c>
      <c r="H62" s="444">
        <v>13</v>
      </c>
      <c r="I62" s="444">
        <v>49</v>
      </c>
      <c r="J62" s="445">
        <v>9707</v>
      </c>
      <c r="K62" s="445">
        <v>4526</v>
      </c>
      <c r="L62" s="113"/>
      <c r="M62" s="109"/>
      <c r="N62" s="108"/>
      <c r="O62" s="108"/>
      <c r="P62" s="108"/>
      <c r="Q62" s="108"/>
      <c r="R62" s="108"/>
      <c r="S62" s="108"/>
      <c r="T62" s="108"/>
      <c r="U62" s="11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14"/>
    </row>
    <row r="63" spans="1:35" s="115" customFormat="1">
      <c r="A63" s="384">
        <f t="shared" si="0"/>
        <v>45689</v>
      </c>
      <c r="B63" s="444">
        <v>1553</v>
      </c>
      <c r="C63" s="444">
        <v>941</v>
      </c>
      <c r="D63" s="444">
        <v>12</v>
      </c>
      <c r="E63" s="444">
        <v>273</v>
      </c>
      <c r="F63" s="444">
        <v>193</v>
      </c>
      <c r="G63" s="444">
        <v>57</v>
      </c>
      <c r="H63" s="444">
        <v>29</v>
      </c>
      <c r="I63" s="444">
        <v>55</v>
      </c>
      <c r="J63" s="445">
        <v>3049</v>
      </c>
      <c r="K63" s="445">
        <v>4565</v>
      </c>
      <c r="L63" s="113"/>
      <c r="M63" s="109"/>
      <c r="N63" s="108"/>
      <c r="O63" s="108"/>
      <c r="P63" s="108"/>
      <c r="Q63" s="108"/>
      <c r="R63" s="108"/>
      <c r="S63" s="108"/>
      <c r="T63" s="108"/>
      <c r="U63" s="11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14"/>
    </row>
    <row r="64" spans="1:35" s="115" customFormat="1">
      <c r="A64" s="384">
        <f t="shared" si="0"/>
        <v>45717</v>
      </c>
      <c r="B64" s="444">
        <v>1317</v>
      </c>
      <c r="C64" s="444">
        <v>669</v>
      </c>
      <c r="D64" s="444">
        <v>45</v>
      </c>
      <c r="E64" s="444">
        <v>73</v>
      </c>
      <c r="F64" s="444">
        <v>544</v>
      </c>
      <c r="G64" s="444">
        <v>233</v>
      </c>
      <c r="H64" s="444">
        <v>20</v>
      </c>
      <c r="I64" s="444">
        <v>73</v>
      </c>
      <c r="J64" s="445">
        <v>19653</v>
      </c>
      <c r="K64" s="445">
        <v>4489</v>
      </c>
      <c r="L64" s="113"/>
      <c r="M64" s="109"/>
      <c r="N64" s="108"/>
      <c r="O64" s="108"/>
      <c r="P64" s="108"/>
      <c r="Q64" s="108"/>
      <c r="R64" s="108"/>
      <c r="S64" s="108"/>
      <c r="T64" s="108"/>
      <c r="U64" s="11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14"/>
    </row>
    <row r="65" spans="1:35" s="115" customFormat="1">
      <c r="A65" s="384">
        <f t="shared" si="0"/>
        <v>45748</v>
      </c>
      <c r="B65" s="444">
        <v>269</v>
      </c>
      <c r="C65" s="444">
        <v>62</v>
      </c>
      <c r="D65" s="444">
        <v>81</v>
      </c>
      <c r="E65" s="444">
        <v>44</v>
      </c>
      <c r="F65" s="444">
        <v>754</v>
      </c>
      <c r="G65" s="444">
        <v>463</v>
      </c>
      <c r="H65" s="444">
        <v>20</v>
      </c>
      <c r="I65" s="444">
        <v>49</v>
      </c>
      <c r="J65" s="445">
        <v>11922</v>
      </c>
      <c r="K65" s="445">
        <v>4709</v>
      </c>
      <c r="L65" s="113"/>
      <c r="M65" s="109"/>
      <c r="N65" s="108"/>
      <c r="O65" s="108"/>
      <c r="P65" s="108"/>
      <c r="Q65" s="108"/>
      <c r="R65" s="108"/>
      <c r="S65" s="108"/>
      <c r="T65" s="108"/>
      <c r="U65" s="11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14"/>
    </row>
    <row r="66" spans="1:35" s="115" customFormat="1">
      <c r="A66" s="384">
        <f>EDATE(A65,1)</f>
        <v>45778</v>
      </c>
      <c r="B66" s="444">
        <v>237</v>
      </c>
      <c r="C66" s="444">
        <v>102</v>
      </c>
      <c r="D66" s="444">
        <v>18</v>
      </c>
      <c r="E66" s="444">
        <v>67</v>
      </c>
      <c r="F66" s="444">
        <v>345</v>
      </c>
      <c r="G66" s="444">
        <v>117</v>
      </c>
      <c r="H66" s="444">
        <v>63</v>
      </c>
      <c r="I66" s="444">
        <v>61</v>
      </c>
      <c r="J66" s="445">
        <v>5863</v>
      </c>
      <c r="K66" s="445">
        <v>5420</v>
      </c>
      <c r="L66" s="113"/>
      <c r="M66" s="109"/>
      <c r="N66" s="108"/>
      <c r="O66" s="108"/>
      <c r="P66" s="108"/>
      <c r="Q66" s="108"/>
      <c r="R66" s="108"/>
      <c r="S66" s="108"/>
      <c r="T66" s="108"/>
      <c r="U66" s="11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14"/>
    </row>
    <row r="67" spans="1:35" s="10" customFormat="1" ht="13.5" customHeight="1">
      <c r="A67" s="384">
        <f t="shared" ref="A67:A70" si="1">EDATE(A66,1)</f>
        <v>45809</v>
      </c>
      <c r="B67" s="444">
        <v>832</v>
      </c>
      <c r="C67" s="444">
        <v>411</v>
      </c>
      <c r="D67" s="444">
        <v>70</v>
      </c>
      <c r="E67" s="444">
        <v>48</v>
      </c>
      <c r="F67" s="444">
        <v>248</v>
      </c>
      <c r="G67" s="444">
        <v>1</v>
      </c>
      <c r="H67" s="444">
        <v>10</v>
      </c>
      <c r="I67" s="444">
        <v>26</v>
      </c>
      <c r="J67" s="445">
        <v>17698</v>
      </c>
      <c r="K67" s="445">
        <v>5375</v>
      </c>
      <c r="L67" s="113"/>
      <c r="M67" s="109"/>
      <c r="N67" s="108"/>
      <c r="O67" s="108"/>
      <c r="P67" s="108"/>
      <c r="Q67" s="108"/>
      <c r="R67" s="108"/>
      <c r="S67" s="108"/>
      <c r="T67" s="108"/>
      <c r="U67" s="118"/>
      <c r="V67" s="108"/>
      <c r="W67" s="108"/>
      <c r="X67" s="119"/>
      <c r="Y67" s="119"/>
      <c r="Z67" s="119"/>
      <c r="AA67" s="119"/>
      <c r="AB67" s="119"/>
      <c r="AC67" s="119"/>
      <c r="AD67" s="119"/>
      <c r="AE67" s="119"/>
      <c r="AF67" s="119"/>
      <c r="AG67" s="120"/>
      <c r="AH67" s="120"/>
      <c r="AI67" s="120"/>
    </row>
    <row r="68" spans="1:35" s="10" customFormat="1" ht="13.5" customHeight="1">
      <c r="A68" s="384">
        <f t="shared" si="1"/>
        <v>45839</v>
      </c>
      <c r="B68" s="444">
        <v>435</v>
      </c>
      <c r="C68" s="444">
        <v>53</v>
      </c>
      <c r="D68" s="444">
        <v>29</v>
      </c>
      <c r="E68" s="444">
        <v>263</v>
      </c>
      <c r="F68" s="444">
        <v>1021</v>
      </c>
      <c r="G68" s="444">
        <v>677</v>
      </c>
      <c r="H68" s="444">
        <v>50</v>
      </c>
      <c r="I68" s="444">
        <v>71</v>
      </c>
      <c r="J68" s="445">
        <v>4546</v>
      </c>
      <c r="K68" s="445">
        <v>5573</v>
      </c>
      <c r="L68" s="113"/>
      <c r="M68" s="109"/>
      <c r="N68" s="108"/>
      <c r="O68" s="108"/>
      <c r="P68" s="108"/>
      <c r="Q68" s="108"/>
      <c r="R68" s="108"/>
      <c r="S68" s="108"/>
      <c r="T68" s="108"/>
      <c r="U68" s="118"/>
      <c r="V68" s="108"/>
      <c r="W68" s="108"/>
      <c r="X68" s="119"/>
      <c r="Y68" s="119"/>
      <c r="Z68" s="119"/>
      <c r="AA68" s="119"/>
      <c r="AB68" s="119"/>
      <c r="AC68" s="119"/>
      <c r="AD68" s="119"/>
      <c r="AE68" s="119"/>
      <c r="AF68" s="119"/>
      <c r="AG68" s="120"/>
      <c r="AH68" s="120"/>
      <c r="AI68" s="120"/>
    </row>
    <row r="69" spans="1:35" s="10" customFormat="1" ht="13.5" customHeight="1">
      <c r="A69" s="337">
        <f t="shared" si="1"/>
        <v>45870</v>
      </c>
      <c r="B69" s="444">
        <v>447</v>
      </c>
      <c r="C69" s="444">
        <v>144</v>
      </c>
      <c r="D69" s="444">
        <v>21</v>
      </c>
      <c r="E69" s="444">
        <v>113</v>
      </c>
      <c r="F69" s="444">
        <v>108</v>
      </c>
      <c r="G69" s="444">
        <v>2</v>
      </c>
      <c r="H69" s="444">
        <v>17</v>
      </c>
      <c r="I69" s="444">
        <v>55</v>
      </c>
      <c r="J69" s="445">
        <v>24258</v>
      </c>
      <c r="K69" s="445">
        <v>7146</v>
      </c>
      <c r="L69" s="113"/>
      <c r="M69" s="109"/>
      <c r="N69" s="108"/>
      <c r="O69" s="108"/>
      <c r="P69" s="108"/>
      <c r="Q69" s="108"/>
      <c r="R69" s="108"/>
      <c r="S69" s="108"/>
      <c r="T69" s="108"/>
      <c r="U69" s="118"/>
      <c r="V69" s="108"/>
      <c r="W69" s="108"/>
      <c r="X69" s="119"/>
      <c r="Y69" s="119"/>
      <c r="Z69" s="119"/>
      <c r="AA69" s="119"/>
      <c r="AB69" s="119"/>
      <c r="AC69" s="119"/>
      <c r="AD69" s="119"/>
      <c r="AE69" s="119"/>
      <c r="AF69" s="119"/>
      <c r="AG69" s="120"/>
      <c r="AH69" s="120"/>
      <c r="AI69" s="120"/>
    </row>
    <row r="70" spans="1:35" s="10" customFormat="1" ht="13.5" customHeight="1">
      <c r="A70" s="337">
        <f t="shared" si="1"/>
        <v>45901</v>
      </c>
      <c r="B70" s="446">
        <v>1642</v>
      </c>
      <c r="C70" s="446">
        <v>933</v>
      </c>
      <c r="D70" s="446">
        <v>80</v>
      </c>
      <c r="E70" s="446">
        <v>72</v>
      </c>
      <c r="F70" s="446">
        <v>158</v>
      </c>
      <c r="G70" s="446">
        <v>88</v>
      </c>
      <c r="H70" s="446">
        <v>22</v>
      </c>
      <c r="I70" s="446">
        <v>36</v>
      </c>
      <c r="J70" s="447">
        <v>4373</v>
      </c>
      <c r="K70" s="447">
        <v>7316</v>
      </c>
      <c r="L70" s="113"/>
      <c r="M70" s="109"/>
      <c r="N70" s="108"/>
      <c r="O70" s="108"/>
      <c r="P70" s="108"/>
      <c r="Q70" s="108"/>
      <c r="R70" s="108"/>
      <c r="S70" s="108"/>
      <c r="T70" s="108"/>
      <c r="U70" s="118"/>
      <c r="V70" s="108"/>
      <c r="W70" s="108"/>
      <c r="X70" s="119"/>
      <c r="Y70" s="119"/>
      <c r="Z70" s="119"/>
      <c r="AA70" s="119"/>
      <c r="AB70" s="119"/>
      <c r="AC70" s="119"/>
      <c r="AD70" s="119"/>
      <c r="AE70" s="119"/>
      <c r="AF70" s="119"/>
      <c r="AG70" s="120"/>
      <c r="AH70" s="120"/>
      <c r="AI70" s="120"/>
    </row>
    <row r="71" spans="1:35" s="10" customFormat="1" ht="13.5" customHeight="1">
      <c r="A71" s="337">
        <f t="shared" ref="A71:A76" si="2">EDATE(A70,1)</f>
        <v>45931</v>
      </c>
      <c r="B71" s="446">
        <v>405</v>
      </c>
      <c r="C71" s="446">
        <v>296</v>
      </c>
      <c r="D71" s="446">
        <v>4</v>
      </c>
      <c r="E71" s="446">
        <v>75</v>
      </c>
      <c r="F71" s="446">
        <v>321</v>
      </c>
      <c r="G71" s="446">
        <v>153</v>
      </c>
      <c r="H71" s="446">
        <v>41</v>
      </c>
      <c r="I71" s="446">
        <v>34</v>
      </c>
      <c r="J71" s="447">
        <v>2831</v>
      </c>
      <c r="K71" s="447">
        <v>8040</v>
      </c>
      <c r="L71" s="113"/>
      <c r="M71" s="109"/>
      <c r="N71" s="108"/>
      <c r="O71" s="108"/>
      <c r="P71" s="108"/>
      <c r="Q71" s="108"/>
      <c r="R71" s="108"/>
      <c r="S71" s="108"/>
      <c r="T71" s="108"/>
      <c r="U71" s="118"/>
      <c r="V71" s="108"/>
      <c r="W71" s="108"/>
      <c r="X71" s="119"/>
      <c r="Y71" s="119"/>
      <c r="Z71" s="119"/>
      <c r="AA71" s="119"/>
      <c r="AB71" s="119"/>
      <c r="AC71" s="119"/>
      <c r="AD71" s="119"/>
      <c r="AE71" s="119"/>
      <c r="AF71" s="119"/>
      <c r="AG71" s="120"/>
      <c r="AH71" s="120"/>
      <c r="AI71" s="120"/>
    </row>
    <row r="72" spans="1:35" s="10" customFormat="1" ht="13.5" customHeight="1">
      <c r="A72" s="337">
        <f t="shared" si="2"/>
        <v>45962</v>
      </c>
      <c r="B72" s="446">
        <v>1415</v>
      </c>
      <c r="C72" s="446">
        <v>846</v>
      </c>
      <c r="D72" s="446">
        <v>26</v>
      </c>
      <c r="E72" s="446">
        <v>280</v>
      </c>
      <c r="F72" s="446">
        <v>270</v>
      </c>
      <c r="G72" s="446">
        <v>53</v>
      </c>
      <c r="H72" s="446">
        <v>26</v>
      </c>
      <c r="I72" s="446">
        <v>25</v>
      </c>
      <c r="J72" s="447">
        <v>15466</v>
      </c>
      <c r="K72" s="447">
        <v>7727</v>
      </c>
      <c r="L72" s="113"/>
      <c r="M72" s="109"/>
      <c r="N72" s="108"/>
      <c r="O72" s="108"/>
      <c r="P72" s="108"/>
      <c r="Q72" s="108"/>
      <c r="R72" s="108"/>
      <c r="S72" s="108"/>
      <c r="T72" s="108"/>
      <c r="U72" s="118"/>
      <c r="V72" s="108"/>
      <c r="W72" s="108"/>
      <c r="X72" s="119"/>
      <c r="Y72" s="119"/>
      <c r="Z72" s="119"/>
      <c r="AA72" s="119"/>
      <c r="AB72" s="119"/>
      <c r="AC72" s="119"/>
      <c r="AD72" s="119"/>
      <c r="AE72" s="119"/>
      <c r="AF72" s="119"/>
      <c r="AG72" s="120"/>
      <c r="AH72" s="120"/>
      <c r="AI72" s="120"/>
    </row>
    <row r="73" spans="1:35" s="10" customFormat="1" ht="13.5" customHeight="1">
      <c r="A73" s="384">
        <f t="shared" si="2"/>
        <v>45992</v>
      </c>
      <c r="B73" s="388">
        <v>192</v>
      </c>
      <c r="C73" s="388">
        <v>4</v>
      </c>
      <c r="D73" s="388">
        <v>28</v>
      </c>
      <c r="E73" s="388">
        <v>95</v>
      </c>
      <c r="F73" s="388">
        <v>605</v>
      </c>
      <c r="G73" s="388">
        <v>321</v>
      </c>
      <c r="H73" s="388">
        <v>8</v>
      </c>
      <c r="I73" s="388">
        <v>236</v>
      </c>
      <c r="J73" s="388">
        <v>36360</v>
      </c>
      <c r="K73" s="388">
        <v>7541</v>
      </c>
      <c r="L73" s="113"/>
      <c r="M73" s="109"/>
      <c r="N73" s="108"/>
      <c r="O73" s="108"/>
      <c r="P73" s="108"/>
      <c r="Q73" s="108"/>
      <c r="R73" s="108"/>
      <c r="S73" s="108"/>
      <c r="T73" s="108"/>
      <c r="U73" s="118"/>
      <c r="V73" s="108"/>
      <c r="W73" s="108"/>
      <c r="X73" s="119"/>
      <c r="Y73" s="119"/>
      <c r="Z73" s="119"/>
      <c r="AA73" s="119"/>
      <c r="AB73" s="119"/>
      <c r="AC73" s="119"/>
      <c r="AD73" s="119"/>
      <c r="AE73" s="119"/>
      <c r="AF73" s="119"/>
      <c r="AG73" s="120"/>
      <c r="AH73" s="120"/>
      <c r="AI73" s="120"/>
    </row>
    <row r="74" spans="1:35" s="10" customFormat="1" ht="13.5" customHeight="1">
      <c r="A74" s="337">
        <f t="shared" si="2"/>
        <v>46023</v>
      </c>
      <c r="B74" s="388">
        <v>393</v>
      </c>
      <c r="C74" s="388">
        <v>142</v>
      </c>
      <c r="D74" s="388">
        <v>40</v>
      </c>
      <c r="E74" s="388">
        <v>150</v>
      </c>
      <c r="F74" s="388">
        <v>270</v>
      </c>
      <c r="G74" s="388">
        <v>56</v>
      </c>
      <c r="H74" s="388">
        <v>100</v>
      </c>
      <c r="I74" s="388">
        <v>34</v>
      </c>
      <c r="J74" s="388">
        <v>10992</v>
      </c>
      <c r="K74" s="388">
        <v>7584</v>
      </c>
      <c r="L74" s="113"/>
      <c r="M74" s="109"/>
      <c r="N74" s="108"/>
      <c r="O74" s="108"/>
      <c r="P74" s="108"/>
      <c r="Q74" s="108"/>
      <c r="R74" s="108"/>
      <c r="S74" s="108"/>
      <c r="T74" s="108"/>
      <c r="U74" s="118"/>
      <c r="V74" s="108"/>
      <c r="W74" s="108"/>
      <c r="X74" s="119"/>
      <c r="Y74" s="119"/>
      <c r="Z74" s="119"/>
      <c r="AA74" s="119"/>
      <c r="AB74" s="119"/>
      <c r="AC74" s="119"/>
      <c r="AD74" s="119"/>
      <c r="AE74" s="119"/>
      <c r="AF74" s="119"/>
      <c r="AG74" s="120"/>
      <c r="AH74" s="120"/>
      <c r="AI74" s="120"/>
    </row>
    <row r="75" spans="1:35" s="10" customFormat="1" ht="13.5" customHeight="1">
      <c r="A75" s="384">
        <f t="shared" si="2"/>
        <v>46054</v>
      </c>
      <c r="B75" s="388">
        <v>359</v>
      </c>
      <c r="C75" s="388">
        <v>174</v>
      </c>
      <c r="D75" s="388">
        <v>31</v>
      </c>
      <c r="E75" s="388">
        <v>50</v>
      </c>
      <c r="F75" s="388">
        <v>527</v>
      </c>
      <c r="G75" s="388">
        <v>290</v>
      </c>
      <c r="H75" s="388">
        <v>16</v>
      </c>
      <c r="I75" s="388">
        <v>16</v>
      </c>
      <c r="J75" s="388">
        <v>487</v>
      </c>
      <c r="K75" s="388">
        <v>7236</v>
      </c>
      <c r="L75" s="113"/>
      <c r="M75" s="109"/>
      <c r="N75" s="108"/>
      <c r="O75" s="108"/>
      <c r="P75" s="108"/>
      <c r="Q75" s="108"/>
      <c r="R75" s="108"/>
      <c r="S75" s="108"/>
      <c r="T75" s="108"/>
      <c r="U75" s="118"/>
      <c r="V75" s="108"/>
      <c r="W75" s="108"/>
      <c r="X75" s="119"/>
      <c r="Y75" s="119"/>
      <c r="Z75" s="119"/>
      <c r="AA75" s="119"/>
      <c r="AB75" s="119"/>
      <c r="AC75" s="119"/>
      <c r="AD75" s="119"/>
      <c r="AE75" s="119"/>
      <c r="AF75" s="119"/>
      <c r="AG75" s="120"/>
      <c r="AH75" s="120"/>
      <c r="AI75" s="120"/>
    </row>
    <row r="76" spans="1:35" s="10" customFormat="1" ht="13.5" customHeight="1">
      <c r="A76" s="437">
        <f t="shared" si="2"/>
        <v>46082</v>
      </c>
      <c r="B76" s="461">
        <v>361</v>
      </c>
      <c r="C76" s="461">
        <v>4</v>
      </c>
      <c r="D76" s="461">
        <v>79</v>
      </c>
      <c r="E76" s="461">
        <v>190</v>
      </c>
      <c r="F76" s="461">
        <v>101</v>
      </c>
      <c r="G76" s="461">
        <v>4</v>
      </c>
      <c r="H76" s="461">
        <v>32</v>
      </c>
      <c r="I76" s="461">
        <v>47</v>
      </c>
      <c r="J76" s="461">
        <v>1351</v>
      </c>
      <c r="K76" s="461">
        <v>7224</v>
      </c>
      <c r="L76" s="113"/>
      <c r="M76" s="109"/>
      <c r="N76" s="108"/>
      <c r="O76" s="108"/>
      <c r="P76" s="108"/>
      <c r="Q76" s="108"/>
      <c r="R76" s="108"/>
      <c r="S76" s="108"/>
      <c r="T76" s="108"/>
      <c r="U76" s="118"/>
      <c r="V76" s="108"/>
      <c r="W76" s="108"/>
      <c r="X76" s="119"/>
      <c r="Y76" s="119"/>
      <c r="Z76" s="119"/>
      <c r="AA76" s="119"/>
      <c r="AB76" s="119"/>
      <c r="AC76" s="119"/>
      <c r="AD76" s="119"/>
      <c r="AE76" s="119"/>
      <c r="AF76" s="119"/>
      <c r="AG76" s="120"/>
      <c r="AH76" s="120"/>
      <c r="AI76" s="120"/>
    </row>
    <row r="77" spans="1:35" s="115" customFormat="1" ht="10.5" customHeight="1">
      <c r="A77" s="384"/>
      <c r="B77" s="387"/>
      <c r="C77" s="387"/>
      <c r="D77" s="387"/>
      <c r="E77" s="387"/>
      <c r="F77" s="387"/>
      <c r="G77" s="387"/>
      <c r="H77" s="387"/>
      <c r="I77" s="387"/>
      <c r="J77" s="387"/>
      <c r="K77" s="388"/>
      <c r="L77" s="113"/>
      <c r="M77" s="109"/>
      <c r="N77" s="108"/>
      <c r="O77" s="108"/>
      <c r="P77" s="108"/>
      <c r="Q77" s="108"/>
      <c r="R77" s="108"/>
      <c r="S77" s="108"/>
      <c r="T77" s="108"/>
      <c r="U77" s="118"/>
      <c r="V77" s="108"/>
      <c r="W77" s="108"/>
      <c r="X77" s="122"/>
      <c r="Y77" s="122"/>
      <c r="Z77" s="122"/>
      <c r="AA77" s="122"/>
      <c r="AB77" s="122"/>
      <c r="AC77" s="122"/>
      <c r="AD77" s="122"/>
      <c r="AE77" s="122"/>
      <c r="AF77" s="122"/>
      <c r="AG77" s="114"/>
      <c r="AH77" s="114"/>
      <c r="AI77" s="114"/>
    </row>
    <row r="78" spans="1:35">
      <c r="A78" s="10" t="s">
        <v>163</v>
      </c>
      <c r="B78" s="10"/>
      <c r="C78" s="10"/>
      <c r="D78" s="10"/>
      <c r="E78" s="10"/>
      <c r="F78" s="10"/>
      <c r="G78" s="10"/>
      <c r="H78" s="48"/>
      <c r="I78" s="48"/>
      <c r="J78" s="248"/>
      <c r="K78" s="248"/>
      <c r="L78" s="113"/>
      <c r="M78" s="109"/>
      <c r="N78" s="108"/>
      <c r="O78" s="108"/>
      <c r="P78" s="108"/>
      <c r="Q78" s="108"/>
      <c r="R78" s="108"/>
      <c r="S78" s="108"/>
      <c r="T78" s="108"/>
      <c r="U78" s="118"/>
      <c r="V78" s="108"/>
      <c r="W78" s="108"/>
      <c r="AE78" s="105"/>
      <c r="AF78" s="105"/>
      <c r="AH78" s="106"/>
      <c r="AI78" s="106"/>
    </row>
    <row r="79" spans="1:35">
      <c r="A79" s="312" t="s">
        <v>122</v>
      </c>
      <c r="B79" s="121"/>
      <c r="C79" s="121"/>
      <c r="D79" s="121"/>
      <c r="E79" s="121"/>
      <c r="F79" s="121"/>
      <c r="G79" s="121"/>
      <c r="H79" s="121"/>
      <c r="I79" s="121"/>
      <c r="J79" s="433"/>
      <c r="K79" s="248"/>
      <c r="L79" s="113"/>
      <c r="M79" s="109"/>
      <c r="N79" s="108"/>
      <c r="O79" s="108"/>
      <c r="P79" s="108"/>
      <c r="Q79" s="108"/>
      <c r="R79" s="108"/>
      <c r="S79" s="108"/>
      <c r="T79" s="108"/>
      <c r="U79" s="118"/>
      <c r="V79" s="108"/>
      <c r="W79" s="108"/>
      <c r="AE79" s="105"/>
      <c r="AF79" s="105"/>
      <c r="AH79" s="106"/>
      <c r="AI79" s="106"/>
    </row>
    <row r="80" spans="1:35">
      <c r="B80" s="121"/>
      <c r="C80" s="121"/>
      <c r="D80" s="121"/>
      <c r="E80" s="121"/>
      <c r="F80" s="121"/>
      <c r="G80" s="121"/>
      <c r="H80" s="121"/>
      <c r="I80" s="121"/>
      <c r="J80" s="121"/>
      <c r="K80" s="113"/>
      <c r="L80" s="113"/>
      <c r="M80" s="109"/>
      <c r="N80" s="108"/>
      <c r="O80" s="108"/>
      <c r="P80" s="108"/>
      <c r="Q80" s="108"/>
      <c r="R80" s="108"/>
      <c r="S80" s="108"/>
      <c r="T80" s="108"/>
      <c r="U80" s="118"/>
      <c r="V80" s="108"/>
      <c r="W80" s="108"/>
      <c r="AE80" s="105"/>
      <c r="AF80" s="105"/>
      <c r="AH80" s="106"/>
      <c r="AI80" s="106"/>
    </row>
    <row r="81" spans="1:35">
      <c r="B81" s="121"/>
      <c r="C81" s="121"/>
      <c r="D81" s="121"/>
      <c r="E81" s="121"/>
      <c r="F81" s="121"/>
      <c r="G81" s="121"/>
      <c r="H81" s="121"/>
      <c r="I81" s="121"/>
      <c r="J81" s="121"/>
      <c r="K81" s="113"/>
      <c r="L81" s="113"/>
      <c r="M81" s="109"/>
      <c r="N81" s="108"/>
      <c r="O81" s="108"/>
      <c r="P81" s="108"/>
      <c r="Q81" s="108"/>
      <c r="R81" s="108"/>
      <c r="S81" s="108"/>
      <c r="T81" s="108"/>
      <c r="U81" s="118"/>
      <c r="V81" s="108"/>
      <c r="W81" s="108"/>
      <c r="AE81" s="105"/>
      <c r="AF81" s="105"/>
      <c r="AH81" s="106"/>
      <c r="AI81" s="106"/>
    </row>
    <row r="82" spans="1:35">
      <c r="B82" s="121"/>
      <c r="C82" s="121"/>
      <c r="D82" s="121"/>
      <c r="E82" s="121"/>
      <c r="F82" s="121"/>
      <c r="G82" s="121"/>
      <c r="H82" s="121"/>
      <c r="I82" s="121"/>
      <c r="J82" s="121"/>
      <c r="K82" s="113"/>
      <c r="L82" s="113"/>
      <c r="M82" s="109"/>
      <c r="N82" s="108"/>
      <c r="O82" s="108"/>
      <c r="P82" s="108"/>
      <c r="Q82" s="108"/>
      <c r="R82" s="108"/>
      <c r="S82" s="108"/>
      <c r="T82" s="108"/>
      <c r="U82" s="118"/>
      <c r="V82" s="108"/>
      <c r="W82" s="108"/>
      <c r="AE82" s="105"/>
      <c r="AF82" s="105"/>
      <c r="AH82" s="106"/>
      <c r="AI82" s="106"/>
    </row>
    <row r="83" spans="1:35">
      <c r="B83" s="121"/>
      <c r="C83" s="121"/>
      <c r="D83" s="121"/>
      <c r="E83" s="121"/>
      <c r="F83" s="121"/>
      <c r="G83" s="121"/>
      <c r="H83" s="121"/>
      <c r="I83" s="121"/>
      <c r="J83" s="121"/>
      <c r="K83" s="113"/>
      <c r="L83" s="113"/>
      <c r="M83" s="109"/>
      <c r="N83" s="108"/>
      <c r="O83" s="108"/>
      <c r="P83" s="108"/>
      <c r="Q83" s="108"/>
      <c r="R83" s="108"/>
      <c r="S83" s="108"/>
      <c r="T83" s="108"/>
      <c r="U83" s="118"/>
      <c r="V83" s="108"/>
      <c r="W83" s="108"/>
      <c r="AE83" s="105"/>
      <c r="AF83" s="105"/>
      <c r="AH83" s="106"/>
      <c r="AI83" s="106"/>
    </row>
    <row r="84" spans="1:35">
      <c r="B84" s="121"/>
      <c r="C84" s="121"/>
      <c r="D84" s="121"/>
      <c r="E84" s="121"/>
      <c r="F84" s="121"/>
      <c r="G84" s="121"/>
      <c r="H84" s="121"/>
      <c r="I84" s="121"/>
      <c r="J84" s="121"/>
      <c r="K84" s="113"/>
      <c r="L84" s="113"/>
      <c r="M84" s="109"/>
      <c r="N84" s="108"/>
      <c r="O84" s="108"/>
      <c r="P84" s="108"/>
      <c r="Q84" s="108"/>
      <c r="R84" s="108"/>
      <c r="S84" s="108"/>
      <c r="T84" s="108"/>
      <c r="U84" s="118"/>
      <c r="V84" s="108"/>
      <c r="W84" s="108"/>
      <c r="AE84" s="105"/>
      <c r="AF84" s="105"/>
      <c r="AH84" s="106"/>
      <c r="AI84" s="106"/>
    </row>
    <row r="85" spans="1:35">
      <c r="B85" s="121"/>
      <c r="C85" s="121"/>
      <c r="D85" s="121"/>
      <c r="E85" s="121"/>
      <c r="F85" s="121"/>
      <c r="G85" s="121"/>
      <c r="H85" s="121"/>
      <c r="I85" s="121"/>
      <c r="J85" s="121"/>
      <c r="K85" s="113"/>
      <c r="L85" s="113"/>
      <c r="M85" s="109"/>
      <c r="N85" s="108"/>
      <c r="O85" s="108"/>
      <c r="P85" s="108"/>
      <c r="Q85" s="108"/>
      <c r="R85" s="108"/>
      <c r="S85" s="108"/>
      <c r="T85" s="108"/>
      <c r="U85" s="118"/>
      <c r="V85" s="108"/>
      <c r="W85" s="108"/>
      <c r="AE85" s="105"/>
      <c r="AF85" s="105"/>
      <c r="AH85" s="106"/>
      <c r="AI85" s="106"/>
    </row>
    <row r="86" spans="1:35">
      <c r="B86" s="121"/>
      <c r="C86" s="121"/>
      <c r="D86" s="121"/>
      <c r="E86" s="121"/>
      <c r="F86" s="121"/>
      <c r="G86" s="121"/>
      <c r="H86" s="121"/>
      <c r="I86" s="121"/>
      <c r="J86" s="121"/>
      <c r="K86" s="113"/>
      <c r="L86" s="113"/>
      <c r="M86" s="109"/>
      <c r="N86" s="108"/>
      <c r="O86" s="108"/>
      <c r="P86" s="108"/>
      <c r="Q86" s="108"/>
      <c r="R86" s="108"/>
      <c r="S86" s="108"/>
      <c r="T86" s="108"/>
      <c r="U86" s="118"/>
      <c r="V86" s="108"/>
      <c r="W86" s="108"/>
      <c r="AE86" s="105"/>
      <c r="AF86" s="105"/>
      <c r="AH86" s="106"/>
      <c r="AI86" s="106"/>
    </row>
    <row r="87" spans="1:35" s="125" customFormat="1">
      <c r="A87" s="123"/>
      <c r="B87" s="121"/>
      <c r="C87" s="121"/>
      <c r="D87" s="121"/>
      <c r="E87" s="121"/>
      <c r="F87" s="121"/>
      <c r="G87" s="121"/>
      <c r="H87" s="121"/>
      <c r="I87" s="121"/>
      <c r="J87" s="121"/>
      <c r="K87" s="113"/>
      <c r="L87" s="113"/>
      <c r="M87" s="109"/>
      <c r="N87" s="108"/>
      <c r="O87" s="108"/>
      <c r="P87" s="108"/>
      <c r="Q87" s="108"/>
      <c r="R87" s="108"/>
      <c r="S87" s="108"/>
      <c r="T87" s="108"/>
      <c r="U87" s="118"/>
      <c r="V87" s="108"/>
      <c r="W87" s="108"/>
      <c r="X87" s="104"/>
      <c r="Y87" s="104"/>
      <c r="Z87" s="104"/>
      <c r="AA87" s="104"/>
      <c r="AB87" s="104"/>
      <c r="AC87" s="104"/>
      <c r="AD87" s="104"/>
      <c r="AE87" s="124"/>
      <c r="AF87" s="124"/>
      <c r="AG87" s="124"/>
    </row>
    <row r="88" spans="1:35" s="125" customFormat="1">
      <c r="A88" s="123"/>
      <c r="B88" s="121"/>
      <c r="C88" s="121"/>
      <c r="D88" s="121"/>
      <c r="E88" s="121"/>
      <c r="F88" s="121"/>
      <c r="G88" s="121"/>
      <c r="H88" s="121"/>
      <c r="I88" s="121"/>
      <c r="J88" s="121"/>
      <c r="K88" s="113"/>
      <c r="L88" s="113"/>
      <c r="M88" s="109"/>
      <c r="N88" s="108"/>
      <c r="O88" s="108"/>
      <c r="P88" s="108"/>
      <c r="Q88" s="108"/>
      <c r="R88" s="108"/>
      <c r="S88" s="108"/>
      <c r="T88" s="108"/>
      <c r="U88" s="118"/>
      <c r="V88" s="108"/>
      <c r="W88" s="108"/>
      <c r="X88" s="104"/>
      <c r="Y88" s="104"/>
      <c r="Z88" s="104"/>
      <c r="AA88" s="104"/>
      <c r="AB88" s="104"/>
      <c r="AC88" s="104"/>
      <c r="AD88" s="104"/>
      <c r="AE88" s="124"/>
      <c r="AF88" s="124"/>
      <c r="AG88" s="124"/>
    </row>
    <row r="89" spans="1:35" s="125" customFormat="1">
      <c r="A89" s="123"/>
      <c r="B89" s="121"/>
      <c r="C89" s="121"/>
      <c r="D89" s="121"/>
      <c r="E89" s="121"/>
      <c r="F89" s="121"/>
      <c r="G89" s="121"/>
      <c r="H89" s="121"/>
      <c r="I89" s="121"/>
      <c r="J89" s="121"/>
      <c r="K89" s="113"/>
      <c r="L89" s="113"/>
      <c r="M89" s="115"/>
      <c r="N89" s="115"/>
      <c r="O89" s="115"/>
      <c r="P89" s="115"/>
      <c r="Q89" s="115"/>
      <c r="R89" s="115"/>
      <c r="S89" s="115"/>
      <c r="T89" s="115"/>
      <c r="U89" s="115"/>
      <c r="V89" s="126"/>
      <c r="W89" s="122"/>
      <c r="X89" s="104"/>
      <c r="Y89" s="104"/>
      <c r="Z89" s="104"/>
      <c r="AA89" s="104"/>
      <c r="AB89" s="104"/>
      <c r="AC89" s="104"/>
      <c r="AD89" s="104"/>
      <c r="AE89" s="124"/>
      <c r="AF89" s="124"/>
      <c r="AG89" s="124"/>
    </row>
    <row r="90" spans="1:35" s="125" customFormat="1">
      <c r="A90" s="123"/>
      <c r="B90" s="121"/>
      <c r="C90" s="121"/>
      <c r="D90" s="121"/>
      <c r="E90" s="121"/>
      <c r="F90" s="121"/>
      <c r="G90" s="121"/>
      <c r="H90" s="121"/>
      <c r="I90" s="121"/>
      <c r="J90" s="121"/>
      <c r="K90" s="113"/>
      <c r="L90" s="113"/>
      <c r="M90" s="115"/>
      <c r="N90" s="115"/>
      <c r="O90" s="115"/>
      <c r="P90" s="115"/>
      <c r="Q90" s="115"/>
      <c r="R90" s="115"/>
      <c r="S90" s="115"/>
      <c r="T90" s="115"/>
      <c r="U90" s="115"/>
      <c r="V90" s="126"/>
      <c r="W90" s="119"/>
      <c r="X90" s="104"/>
      <c r="Y90" s="104"/>
      <c r="Z90" s="104"/>
      <c r="AA90" s="104"/>
      <c r="AB90" s="104"/>
      <c r="AC90" s="104"/>
      <c r="AD90" s="104"/>
      <c r="AE90" s="124"/>
      <c r="AF90" s="124"/>
      <c r="AG90" s="124"/>
    </row>
    <row r="91" spans="1:35" s="125" customFormat="1">
      <c r="A91" s="123"/>
      <c r="B91" s="121"/>
      <c r="C91" s="121"/>
      <c r="D91" s="121"/>
      <c r="E91" s="121"/>
      <c r="F91" s="121"/>
      <c r="G91" s="121"/>
      <c r="H91" s="121"/>
      <c r="I91" s="121"/>
      <c r="J91" s="121"/>
      <c r="K91" s="113"/>
      <c r="L91" s="113"/>
      <c r="M91" s="109"/>
      <c r="N91" s="108"/>
      <c r="O91" s="108"/>
      <c r="P91" s="108"/>
      <c r="Q91" s="108"/>
      <c r="R91" s="108"/>
      <c r="S91" s="108"/>
      <c r="T91" s="108"/>
      <c r="U91" s="118"/>
      <c r="V91" s="108"/>
      <c r="W91" s="122"/>
      <c r="X91" s="104"/>
      <c r="Y91" s="104"/>
      <c r="Z91" s="104"/>
      <c r="AA91" s="104"/>
      <c r="AB91" s="104"/>
      <c r="AC91" s="104"/>
      <c r="AD91" s="104"/>
      <c r="AE91" s="124"/>
      <c r="AF91" s="124"/>
      <c r="AG91" s="124"/>
    </row>
    <row r="92" spans="1:35" s="125" customFormat="1">
      <c r="A92" s="123"/>
      <c r="B92" s="121"/>
      <c r="C92" s="121"/>
      <c r="D92" s="121"/>
      <c r="E92" s="121"/>
      <c r="F92" s="121"/>
      <c r="G92" s="121"/>
      <c r="H92" s="121"/>
      <c r="I92" s="121"/>
      <c r="J92" s="121"/>
      <c r="K92" s="113"/>
      <c r="L92" s="113"/>
      <c r="M92" s="109"/>
      <c r="N92" s="108"/>
      <c r="O92" s="108"/>
      <c r="P92" s="108"/>
      <c r="Q92" s="108"/>
      <c r="R92" s="108"/>
      <c r="S92" s="108"/>
      <c r="T92" s="108"/>
      <c r="U92" s="118"/>
      <c r="V92" s="115"/>
      <c r="W92" s="104"/>
      <c r="X92" s="104"/>
      <c r="Y92" s="104"/>
      <c r="Z92" s="104"/>
      <c r="AA92" s="104"/>
      <c r="AB92" s="104"/>
      <c r="AC92" s="104"/>
      <c r="AD92" s="104"/>
      <c r="AE92" s="124"/>
      <c r="AF92" s="124"/>
      <c r="AG92" s="124"/>
    </row>
    <row r="93" spans="1:35" s="125" customFormat="1">
      <c r="A93" s="123"/>
      <c r="B93" s="121"/>
      <c r="C93" s="121"/>
      <c r="D93" s="121"/>
      <c r="E93" s="121"/>
      <c r="F93" s="121"/>
      <c r="G93" s="121"/>
      <c r="H93" s="121"/>
      <c r="I93" s="121"/>
      <c r="J93" s="121"/>
      <c r="K93" s="113"/>
      <c r="L93" s="113"/>
      <c r="M93" s="109"/>
      <c r="N93" s="108"/>
      <c r="O93" s="108"/>
      <c r="P93" s="108"/>
      <c r="Q93" s="108"/>
      <c r="R93" s="108"/>
      <c r="S93" s="108"/>
      <c r="T93" s="108"/>
      <c r="U93" s="118"/>
      <c r="V93" s="108"/>
      <c r="W93" s="104"/>
      <c r="X93" s="104"/>
      <c r="Y93" s="104"/>
      <c r="Z93" s="104"/>
      <c r="AA93" s="104"/>
      <c r="AB93" s="104"/>
      <c r="AC93" s="104"/>
      <c r="AD93" s="104"/>
      <c r="AE93" s="124"/>
      <c r="AF93" s="124"/>
      <c r="AG93" s="124"/>
    </row>
    <row r="94" spans="1:35" s="125" customFormat="1">
      <c r="A94" s="123"/>
      <c r="B94" s="121"/>
      <c r="C94" s="121"/>
      <c r="D94" s="121"/>
      <c r="E94" s="121"/>
      <c r="F94" s="121"/>
      <c r="G94" s="121"/>
      <c r="H94" s="121"/>
      <c r="I94" s="121"/>
      <c r="J94" s="121"/>
      <c r="K94" s="113"/>
      <c r="L94" s="113"/>
      <c r="M94" s="109"/>
      <c r="N94" s="108"/>
      <c r="O94" s="108"/>
      <c r="P94" s="108"/>
      <c r="Q94" s="108"/>
      <c r="R94" s="108"/>
      <c r="S94" s="108"/>
      <c r="T94" s="108"/>
      <c r="U94" s="118"/>
      <c r="V94" s="108"/>
      <c r="W94" s="104"/>
      <c r="X94" s="104"/>
      <c r="Y94" s="104"/>
      <c r="Z94" s="104"/>
      <c r="AA94" s="104"/>
      <c r="AB94" s="104"/>
      <c r="AC94" s="104"/>
      <c r="AD94" s="104"/>
      <c r="AE94" s="124"/>
      <c r="AF94" s="124"/>
      <c r="AG94" s="124"/>
    </row>
    <row r="95" spans="1:35" s="125" customFormat="1">
      <c r="A95" s="123"/>
      <c r="B95" s="121"/>
      <c r="C95" s="121"/>
      <c r="D95" s="121"/>
      <c r="E95" s="121"/>
      <c r="F95" s="121"/>
      <c r="G95" s="121"/>
      <c r="H95" s="121"/>
      <c r="I95" s="121"/>
      <c r="J95" s="121"/>
      <c r="K95" s="113"/>
      <c r="L95" s="113"/>
      <c r="M95" s="109"/>
      <c r="N95" s="108"/>
      <c r="O95" s="108"/>
      <c r="P95" s="108"/>
      <c r="Q95" s="108"/>
      <c r="R95" s="108"/>
      <c r="S95" s="108"/>
      <c r="T95" s="108"/>
      <c r="U95" s="118"/>
      <c r="V95" s="108"/>
      <c r="W95" s="104"/>
      <c r="X95" s="104"/>
      <c r="Y95" s="104"/>
      <c r="Z95" s="104"/>
      <c r="AA95" s="104"/>
      <c r="AB95" s="104"/>
      <c r="AC95" s="104"/>
      <c r="AD95" s="104"/>
      <c r="AE95" s="124"/>
      <c r="AF95" s="124"/>
      <c r="AG95" s="124"/>
    </row>
    <row r="96" spans="1:35" s="125" customFormat="1">
      <c r="A96" s="123"/>
      <c r="B96" s="121"/>
      <c r="C96" s="121"/>
      <c r="D96" s="121"/>
      <c r="E96" s="121"/>
      <c r="F96" s="121"/>
      <c r="G96" s="121"/>
      <c r="H96" s="121"/>
      <c r="I96" s="121"/>
      <c r="J96" s="121"/>
      <c r="K96" s="113"/>
      <c r="L96" s="113"/>
      <c r="M96" s="109"/>
      <c r="N96" s="108"/>
      <c r="O96" s="108"/>
      <c r="P96" s="108"/>
      <c r="Q96" s="108"/>
      <c r="R96" s="108"/>
      <c r="S96" s="108"/>
      <c r="T96" s="108"/>
      <c r="U96" s="118"/>
      <c r="V96" s="108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24"/>
      <c r="AH96" s="124"/>
      <c r="AI96" s="124"/>
    </row>
    <row r="97" spans="1:35" s="125" customFormat="1">
      <c r="A97" s="123"/>
      <c r="B97" s="121"/>
      <c r="C97" s="121"/>
      <c r="D97" s="121"/>
      <c r="E97" s="121"/>
      <c r="F97" s="121"/>
      <c r="G97" s="121"/>
      <c r="H97" s="121"/>
      <c r="I97" s="121"/>
      <c r="J97" s="121"/>
      <c r="K97" s="113"/>
      <c r="L97" s="113"/>
      <c r="M97" s="109"/>
      <c r="N97" s="108"/>
      <c r="O97" s="108"/>
      <c r="P97" s="108"/>
      <c r="Q97" s="108"/>
      <c r="R97" s="108"/>
      <c r="S97" s="108"/>
      <c r="T97" s="108"/>
      <c r="U97" s="118"/>
      <c r="V97" s="108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24"/>
      <c r="AH97" s="124"/>
      <c r="AI97" s="124"/>
    </row>
    <row r="98" spans="1:35" s="125" customFormat="1">
      <c r="A98" s="123"/>
      <c r="B98" s="121"/>
      <c r="C98" s="121"/>
      <c r="D98" s="121"/>
      <c r="E98" s="121"/>
      <c r="F98" s="121"/>
      <c r="G98" s="121"/>
      <c r="H98" s="121"/>
      <c r="I98" s="121"/>
      <c r="J98" s="121"/>
      <c r="K98" s="113"/>
      <c r="L98" s="113"/>
      <c r="M98" s="109"/>
      <c r="N98" s="108"/>
      <c r="O98" s="108"/>
      <c r="P98" s="108"/>
      <c r="Q98" s="108"/>
      <c r="R98" s="108"/>
      <c r="S98" s="108"/>
      <c r="T98" s="108"/>
      <c r="U98" s="118"/>
      <c r="V98" s="108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24"/>
      <c r="AH98" s="124"/>
      <c r="AI98" s="124"/>
    </row>
    <row r="99" spans="1:35" s="125" customFormat="1">
      <c r="A99" s="123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13"/>
      <c r="M99" s="109"/>
      <c r="N99" s="108"/>
      <c r="O99" s="108"/>
      <c r="P99" s="108"/>
      <c r="Q99" s="108"/>
      <c r="R99" s="108"/>
      <c r="S99" s="108"/>
      <c r="T99" s="108"/>
      <c r="U99" s="118"/>
      <c r="V99" s="108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24"/>
      <c r="AH99" s="124"/>
      <c r="AI99" s="124"/>
    </row>
    <row r="100" spans="1:35" s="125" customFormat="1">
      <c r="A100" s="123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13"/>
      <c r="M100" s="109"/>
      <c r="N100" s="108"/>
      <c r="O100" s="108"/>
      <c r="P100" s="108"/>
      <c r="Q100" s="108"/>
      <c r="R100" s="108"/>
      <c r="S100" s="108"/>
      <c r="T100" s="108"/>
      <c r="U100" s="118"/>
      <c r="V100" s="108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24"/>
      <c r="AH100" s="124"/>
      <c r="AI100" s="124"/>
    </row>
    <row r="101" spans="1:35" s="125" customFormat="1">
      <c r="A101" s="123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13"/>
      <c r="M101" s="109"/>
      <c r="N101" s="108"/>
      <c r="O101" s="108"/>
      <c r="P101" s="108"/>
      <c r="Q101" s="108"/>
      <c r="R101" s="108"/>
      <c r="S101" s="108"/>
      <c r="T101" s="108"/>
      <c r="U101" s="118"/>
      <c r="V101" s="108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24"/>
      <c r="AH101" s="124"/>
      <c r="AI101" s="124"/>
    </row>
    <row r="102" spans="1:35" s="125" customFormat="1">
      <c r="A102" s="123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13"/>
      <c r="M102" s="109"/>
      <c r="N102" s="108"/>
      <c r="O102" s="108"/>
      <c r="P102" s="108"/>
      <c r="Q102" s="108"/>
      <c r="R102" s="108"/>
      <c r="S102" s="108"/>
      <c r="T102" s="108"/>
      <c r="U102" s="118"/>
      <c r="V102" s="108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24"/>
      <c r="AH102" s="124"/>
      <c r="AI102" s="124"/>
    </row>
    <row r="103" spans="1:35" s="125" customFormat="1">
      <c r="A103" s="123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13"/>
      <c r="M103" s="109"/>
      <c r="N103" s="108"/>
      <c r="O103" s="108"/>
      <c r="P103" s="108"/>
      <c r="Q103" s="108"/>
      <c r="R103" s="108"/>
      <c r="S103" s="108"/>
      <c r="T103" s="108"/>
      <c r="U103" s="118"/>
      <c r="V103" s="108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24"/>
      <c r="AH103" s="124"/>
      <c r="AI103" s="124"/>
    </row>
    <row r="104" spans="1:35" s="125" customFormat="1">
      <c r="A104" s="123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13"/>
      <c r="M104" s="109"/>
      <c r="N104" s="108"/>
      <c r="O104" s="108"/>
      <c r="P104" s="108"/>
      <c r="Q104" s="108"/>
      <c r="R104" s="108"/>
      <c r="S104" s="108"/>
      <c r="T104" s="108"/>
      <c r="U104" s="118"/>
      <c r="V104" s="108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24"/>
      <c r="AH104" s="124"/>
      <c r="AI104" s="124"/>
    </row>
    <row r="105" spans="1:35" s="125" customFormat="1">
      <c r="A105" s="123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13"/>
      <c r="M105" s="109"/>
      <c r="N105" s="108"/>
      <c r="O105" s="108"/>
      <c r="P105" s="108"/>
      <c r="Q105" s="108"/>
      <c r="R105" s="108"/>
      <c r="S105" s="108"/>
      <c r="T105" s="108"/>
      <c r="U105" s="118"/>
      <c r="V105" s="108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24"/>
      <c r="AH105" s="124"/>
      <c r="AI105" s="124"/>
    </row>
    <row r="106" spans="1:35" s="125" customFormat="1">
      <c r="A106" s="123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13"/>
      <c r="M106" s="109"/>
      <c r="N106" s="108"/>
      <c r="O106" s="108"/>
      <c r="P106" s="108"/>
      <c r="Q106" s="108"/>
      <c r="R106" s="108"/>
      <c r="S106" s="108"/>
      <c r="T106" s="108"/>
      <c r="U106" s="118"/>
      <c r="V106" s="108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24"/>
      <c r="AH106" s="124"/>
      <c r="AI106" s="124"/>
    </row>
    <row r="107" spans="1:35" s="125" customFormat="1">
      <c r="A107" s="123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13"/>
      <c r="M107" s="109"/>
      <c r="N107" s="108"/>
      <c r="O107" s="108"/>
      <c r="P107" s="108"/>
      <c r="Q107" s="108"/>
      <c r="R107" s="108"/>
      <c r="S107" s="108"/>
      <c r="T107" s="118"/>
      <c r="U107" s="118"/>
      <c r="V107" s="108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24"/>
      <c r="AH107" s="124"/>
      <c r="AI107" s="124"/>
    </row>
    <row r="108" spans="1:35" s="125" customFormat="1">
      <c r="A108" s="123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13"/>
      <c r="M108" s="109"/>
      <c r="N108" s="108"/>
      <c r="O108" s="108"/>
      <c r="P108" s="108"/>
      <c r="Q108" s="108"/>
      <c r="R108" s="108"/>
      <c r="S108" s="108"/>
      <c r="T108" s="118"/>
      <c r="U108" s="118"/>
      <c r="V108" s="108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24"/>
      <c r="AH108" s="124"/>
      <c r="AI108" s="124"/>
    </row>
    <row r="109" spans="1:35" s="125" customFormat="1">
      <c r="A109" s="123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13"/>
      <c r="M109" s="109"/>
      <c r="N109" s="108"/>
      <c r="O109" s="108"/>
      <c r="P109" s="108"/>
      <c r="Q109" s="108"/>
      <c r="R109" s="108"/>
      <c r="S109" s="108"/>
      <c r="T109" s="118"/>
      <c r="U109" s="118"/>
      <c r="V109" s="108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24"/>
      <c r="AH109" s="124"/>
      <c r="AI109" s="124"/>
    </row>
    <row r="110" spans="1:35" s="125" customFormat="1">
      <c r="A110" s="123"/>
      <c r="B110" s="121"/>
      <c r="C110" s="121"/>
      <c r="D110" s="121"/>
      <c r="E110" s="121"/>
      <c r="F110" s="121"/>
      <c r="G110" s="121"/>
      <c r="H110" s="121"/>
      <c r="I110" s="121"/>
      <c r="J110" s="121"/>
      <c r="K110" s="127"/>
      <c r="L110" s="113"/>
      <c r="M110" s="109"/>
      <c r="N110" s="108"/>
      <c r="O110" s="108"/>
      <c r="P110" s="108"/>
      <c r="Q110" s="108"/>
      <c r="R110" s="108"/>
      <c r="S110" s="108"/>
      <c r="T110" s="118"/>
      <c r="U110" s="118"/>
      <c r="V110" s="108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24"/>
      <c r="AH110" s="124"/>
      <c r="AI110" s="124"/>
    </row>
    <row r="111" spans="1:35" s="125" customFormat="1">
      <c r="A111" s="123"/>
      <c r="B111" s="106"/>
      <c r="C111" s="106"/>
      <c r="D111" s="106"/>
      <c r="E111" s="106"/>
      <c r="F111" s="106"/>
      <c r="G111" s="106"/>
      <c r="H111" s="106"/>
      <c r="I111" s="106"/>
      <c r="J111" s="106"/>
      <c r="K111" s="127"/>
      <c r="L111" s="113"/>
      <c r="M111" s="109"/>
      <c r="N111" s="108"/>
      <c r="O111" s="108"/>
      <c r="P111" s="108"/>
      <c r="Q111" s="108"/>
      <c r="R111" s="108"/>
      <c r="S111" s="108"/>
      <c r="T111" s="118"/>
      <c r="U111" s="118"/>
      <c r="V111" s="108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24"/>
      <c r="AH111" s="124"/>
      <c r="AI111" s="124"/>
    </row>
    <row r="112" spans="1:35" s="125" customFormat="1">
      <c r="A112" s="123"/>
      <c r="B112" s="106"/>
      <c r="C112" s="106"/>
      <c r="D112" s="106"/>
      <c r="E112" s="106"/>
      <c r="F112" s="106"/>
      <c r="G112" s="106"/>
      <c r="H112" s="106"/>
      <c r="I112" s="106"/>
      <c r="J112" s="106"/>
      <c r="K112" s="127"/>
      <c r="L112" s="113"/>
      <c r="M112" s="109"/>
      <c r="N112" s="108"/>
      <c r="O112" s="108"/>
      <c r="P112" s="108"/>
      <c r="Q112" s="108"/>
      <c r="R112" s="108"/>
      <c r="S112" s="108"/>
      <c r="T112" s="118"/>
      <c r="U112" s="118"/>
      <c r="V112" s="108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24"/>
      <c r="AH112" s="124"/>
      <c r="AI112" s="124"/>
    </row>
    <row r="113" spans="1:35" s="125" customFormat="1">
      <c r="A113" s="123"/>
      <c r="B113" s="106"/>
      <c r="C113" s="106"/>
      <c r="D113" s="106"/>
      <c r="E113" s="106"/>
      <c r="F113" s="106"/>
      <c r="G113" s="106"/>
      <c r="H113" s="106"/>
      <c r="I113" s="106"/>
      <c r="J113" s="106"/>
      <c r="K113" s="127"/>
      <c r="L113" s="113"/>
      <c r="M113" s="109"/>
      <c r="N113" s="108"/>
      <c r="O113" s="108"/>
      <c r="P113" s="108"/>
      <c r="Q113" s="108"/>
      <c r="R113" s="108"/>
      <c r="S113" s="108"/>
      <c r="T113" s="118"/>
      <c r="U113" s="118"/>
      <c r="V113" s="108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24"/>
      <c r="AH113" s="124"/>
      <c r="AI113" s="124"/>
    </row>
    <row r="114" spans="1:35" s="125" customFormat="1">
      <c r="A114" s="123"/>
      <c r="B114" s="106"/>
      <c r="C114" s="106"/>
      <c r="D114" s="106"/>
      <c r="E114" s="106"/>
      <c r="F114" s="106"/>
      <c r="G114" s="106"/>
      <c r="H114" s="106"/>
      <c r="I114" s="106"/>
      <c r="J114" s="106"/>
      <c r="K114" s="127"/>
      <c r="L114" s="113"/>
      <c r="M114" s="109"/>
      <c r="N114" s="108"/>
      <c r="O114" s="108"/>
      <c r="P114" s="108"/>
      <c r="Q114" s="108"/>
      <c r="R114" s="108"/>
      <c r="S114" s="108"/>
      <c r="T114" s="118"/>
      <c r="U114" s="118"/>
      <c r="V114" s="108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24"/>
      <c r="AH114" s="124"/>
      <c r="AI114" s="124"/>
    </row>
    <row r="115" spans="1:35" s="125" customFormat="1">
      <c r="A115" s="123"/>
      <c r="B115" s="106"/>
      <c r="C115" s="106"/>
      <c r="D115" s="106"/>
      <c r="E115" s="106"/>
      <c r="F115" s="106"/>
      <c r="G115" s="106"/>
      <c r="H115" s="106"/>
      <c r="I115" s="106"/>
      <c r="J115" s="106"/>
      <c r="K115" s="127"/>
      <c r="L115" s="113"/>
      <c r="M115" s="109"/>
      <c r="N115" s="108"/>
      <c r="O115" s="108"/>
      <c r="P115" s="108"/>
      <c r="Q115" s="108"/>
      <c r="R115" s="108"/>
      <c r="S115" s="108"/>
      <c r="T115" s="118"/>
      <c r="U115" s="118"/>
      <c r="V115" s="108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24"/>
      <c r="AH115" s="124"/>
      <c r="AI115" s="124"/>
    </row>
    <row r="116" spans="1:35" s="125" customFormat="1">
      <c r="A116" s="123"/>
      <c r="B116" s="106"/>
      <c r="C116" s="106"/>
      <c r="D116" s="106"/>
      <c r="E116" s="106"/>
      <c r="F116" s="106"/>
      <c r="G116" s="106"/>
      <c r="H116" s="106"/>
      <c r="I116" s="106"/>
      <c r="J116" s="106"/>
      <c r="K116" s="127"/>
      <c r="L116" s="113"/>
      <c r="M116" s="109"/>
      <c r="N116" s="108"/>
      <c r="O116" s="108"/>
      <c r="P116" s="108"/>
      <c r="Q116" s="108"/>
      <c r="R116" s="108"/>
      <c r="S116" s="108"/>
      <c r="T116" s="118"/>
      <c r="U116" s="118"/>
      <c r="V116" s="108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24"/>
      <c r="AH116" s="124"/>
      <c r="AI116" s="124"/>
    </row>
    <row r="117" spans="1:35" s="125" customFormat="1">
      <c r="A117" s="123"/>
      <c r="B117" s="106"/>
      <c r="C117" s="106"/>
      <c r="D117" s="106"/>
      <c r="E117" s="106"/>
      <c r="F117" s="106"/>
      <c r="G117" s="106"/>
      <c r="H117" s="106"/>
      <c r="I117" s="106"/>
      <c r="J117" s="106"/>
      <c r="K117" s="127"/>
      <c r="L117" s="113"/>
      <c r="M117" s="109"/>
      <c r="N117" s="108"/>
      <c r="O117" s="108"/>
      <c r="P117" s="108"/>
      <c r="Q117" s="108"/>
      <c r="R117" s="108"/>
      <c r="S117" s="108"/>
      <c r="T117" s="118"/>
      <c r="U117" s="118"/>
      <c r="V117" s="108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24"/>
      <c r="AH117" s="124"/>
      <c r="AI117" s="124"/>
    </row>
    <row r="118" spans="1:35" s="125" customFormat="1">
      <c r="A118" s="123"/>
      <c r="B118" s="106"/>
      <c r="C118" s="106"/>
      <c r="D118" s="106"/>
      <c r="E118" s="106"/>
      <c r="F118" s="106"/>
      <c r="G118" s="106"/>
      <c r="H118" s="106"/>
      <c r="I118" s="106"/>
      <c r="J118" s="106"/>
      <c r="K118" s="127"/>
      <c r="L118" s="113"/>
      <c r="M118" s="109"/>
      <c r="N118" s="108"/>
      <c r="O118" s="108"/>
      <c r="P118" s="108"/>
      <c r="Q118" s="108"/>
      <c r="R118" s="108"/>
      <c r="S118" s="108"/>
      <c r="T118" s="118"/>
      <c r="U118" s="118"/>
      <c r="V118" s="108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24"/>
      <c r="AH118" s="124"/>
      <c r="AI118" s="124"/>
    </row>
    <row r="119" spans="1:35" s="125" customFormat="1">
      <c r="A119" s="123"/>
      <c r="B119" s="106"/>
      <c r="C119" s="106"/>
      <c r="D119" s="106"/>
      <c r="E119" s="106"/>
      <c r="F119" s="106"/>
      <c r="G119" s="106"/>
      <c r="H119" s="106"/>
      <c r="I119" s="106"/>
      <c r="J119" s="106"/>
      <c r="K119" s="127"/>
      <c r="L119" s="113"/>
      <c r="M119" s="109"/>
      <c r="N119" s="108"/>
      <c r="O119" s="108"/>
      <c r="P119" s="108"/>
      <c r="Q119" s="108"/>
      <c r="R119" s="108"/>
      <c r="S119" s="108"/>
      <c r="T119" s="118"/>
      <c r="U119" s="118"/>
      <c r="V119" s="108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24"/>
      <c r="AH119" s="124"/>
      <c r="AI119" s="124"/>
    </row>
    <row r="120" spans="1:35" s="125" customFormat="1">
      <c r="A120" s="123"/>
      <c r="B120" s="106"/>
      <c r="C120" s="106"/>
      <c r="D120" s="106"/>
      <c r="E120" s="106"/>
      <c r="F120" s="106"/>
      <c r="G120" s="106"/>
      <c r="H120" s="106"/>
      <c r="I120" s="106"/>
      <c r="J120" s="106"/>
      <c r="K120" s="127"/>
      <c r="L120" s="113"/>
      <c r="M120" s="109"/>
      <c r="N120" s="108"/>
      <c r="O120" s="108"/>
      <c r="P120" s="108"/>
      <c r="Q120" s="108"/>
      <c r="R120" s="108"/>
      <c r="S120" s="108"/>
      <c r="T120" s="118"/>
      <c r="U120" s="118"/>
      <c r="V120" s="108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24"/>
      <c r="AH120" s="124"/>
      <c r="AI120" s="124"/>
    </row>
    <row r="121" spans="1:35" s="125" customFormat="1">
      <c r="A121" s="123"/>
      <c r="B121" s="106"/>
      <c r="C121" s="106"/>
      <c r="D121" s="106"/>
      <c r="E121" s="106"/>
      <c r="F121" s="106"/>
      <c r="G121" s="106"/>
      <c r="H121" s="106"/>
      <c r="I121" s="106"/>
      <c r="J121" s="106"/>
      <c r="K121" s="127"/>
      <c r="L121" s="113"/>
      <c r="M121" s="109"/>
      <c r="N121" s="108"/>
      <c r="O121" s="108"/>
      <c r="P121" s="108"/>
      <c r="Q121" s="108"/>
      <c r="R121" s="108"/>
      <c r="S121" s="108"/>
      <c r="T121" s="118"/>
      <c r="U121" s="118"/>
      <c r="V121" s="108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24"/>
      <c r="AH121" s="124"/>
      <c r="AI121" s="124"/>
    </row>
    <row r="122" spans="1:35" s="125" customFormat="1">
      <c r="A122" s="123"/>
      <c r="B122" s="106"/>
      <c r="C122" s="106"/>
      <c r="D122" s="106"/>
      <c r="E122" s="106"/>
      <c r="F122" s="106"/>
      <c r="G122" s="106"/>
      <c r="H122" s="106"/>
      <c r="I122" s="106"/>
      <c r="J122" s="106"/>
      <c r="K122" s="127"/>
      <c r="L122" s="113"/>
      <c r="M122" s="109"/>
      <c r="N122" s="108"/>
      <c r="O122" s="108"/>
      <c r="P122" s="108"/>
      <c r="Q122" s="108"/>
      <c r="R122" s="108"/>
      <c r="S122" s="108"/>
      <c r="T122" s="118"/>
      <c r="U122" s="118"/>
      <c r="V122" s="108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24"/>
      <c r="AH122" s="124"/>
      <c r="AI122" s="124"/>
    </row>
    <row r="123" spans="1:35" s="125" customFormat="1">
      <c r="A123" s="123"/>
      <c r="B123" s="106"/>
      <c r="C123" s="106"/>
      <c r="D123" s="106"/>
      <c r="E123" s="106"/>
      <c r="F123" s="106"/>
      <c r="G123" s="106"/>
      <c r="H123" s="106"/>
      <c r="I123" s="106"/>
      <c r="J123" s="106"/>
      <c r="K123" s="127"/>
      <c r="L123" s="113"/>
      <c r="M123" s="109"/>
      <c r="N123" s="108"/>
      <c r="O123" s="108"/>
      <c r="P123" s="108"/>
      <c r="Q123" s="108"/>
      <c r="R123" s="108"/>
      <c r="S123" s="108"/>
      <c r="T123" s="118"/>
      <c r="U123" s="118"/>
      <c r="V123" s="108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24"/>
      <c r="AH123" s="124"/>
      <c r="AI123" s="124"/>
    </row>
    <row r="124" spans="1:35" s="125" customFormat="1">
      <c r="A124" s="123"/>
      <c r="B124" s="106"/>
      <c r="C124" s="106"/>
      <c r="D124" s="106"/>
      <c r="E124" s="106"/>
      <c r="F124" s="106"/>
      <c r="G124" s="106"/>
      <c r="H124" s="106"/>
      <c r="I124" s="106"/>
      <c r="J124" s="106"/>
      <c r="K124" s="127"/>
      <c r="L124" s="113"/>
      <c r="M124" s="109"/>
      <c r="N124" s="108"/>
      <c r="O124" s="108"/>
      <c r="P124" s="108"/>
      <c r="Q124" s="108"/>
      <c r="R124" s="108"/>
      <c r="S124" s="108"/>
      <c r="T124" s="118"/>
      <c r="U124" s="118"/>
      <c r="V124" s="108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24"/>
      <c r="AH124" s="124"/>
      <c r="AI124" s="124"/>
    </row>
    <row r="125" spans="1:35" s="125" customFormat="1">
      <c r="A125" s="123"/>
      <c r="B125" s="106"/>
      <c r="C125" s="106"/>
      <c r="D125" s="106"/>
      <c r="E125" s="106"/>
      <c r="F125" s="106"/>
      <c r="G125" s="106"/>
      <c r="H125" s="106"/>
      <c r="I125" s="106"/>
      <c r="J125" s="106"/>
      <c r="K125" s="127"/>
      <c r="L125" s="113"/>
      <c r="M125" s="109"/>
      <c r="N125" s="108"/>
      <c r="O125" s="108"/>
      <c r="P125" s="108"/>
      <c r="Q125" s="108"/>
      <c r="R125" s="108"/>
      <c r="S125" s="108"/>
      <c r="T125" s="118"/>
      <c r="U125" s="118"/>
      <c r="V125" s="108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  <c r="AG125" s="124"/>
      <c r="AH125" s="124"/>
      <c r="AI125" s="124"/>
    </row>
    <row r="126" spans="1:35" s="125" customFormat="1">
      <c r="A126" s="123"/>
      <c r="B126" s="106"/>
      <c r="C126" s="106"/>
      <c r="D126" s="106"/>
      <c r="E126" s="106"/>
      <c r="F126" s="106"/>
      <c r="G126" s="106"/>
      <c r="H126" s="106"/>
      <c r="I126" s="106"/>
      <c r="J126" s="106"/>
      <c r="K126" s="127"/>
      <c r="L126" s="113"/>
      <c r="M126" s="109"/>
      <c r="N126" s="108"/>
      <c r="O126" s="108"/>
      <c r="P126" s="108"/>
      <c r="Q126" s="108"/>
      <c r="R126" s="108"/>
      <c r="S126" s="108"/>
      <c r="T126" s="118"/>
      <c r="U126" s="118"/>
      <c r="V126" s="108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24"/>
      <c r="AH126" s="124"/>
      <c r="AI126" s="124"/>
    </row>
    <row r="127" spans="1:35" s="125" customFormat="1">
      <c r="A127" s="123"/>
      <c r="B127" s="106"/>
      <c r="C127" s="106"/>
      <c r="D127" s="106"/>
      <c r="E127" s="106"/>
      <c r="F127" s="106"/>
      <c r="G127" s="106"/>
      <c r="H127" s="106"/>
      <c r="I127" s="106"/>
      <c r="J127" s="106"/>
      <c r="K127" s="127"/>
      <c r="L127" s="113"/>
      <c r="M127" s="109"/>
      <c r="N127" s="108"/>
      <c r="O127" s="108"/>
      <c r="P127" s="108"/>
      <c r="Q127" s="108"/>
      <c r="R127" s="108"/>
      <c r="S127" s="108"/>
      <c r="T127" s="118"/>
      <c r="U127" s="118"/>
      <c r="V127" s="108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24"/>
      <c r="AH127" s="124"/>
      <c r="AI127" s="124"/>
    </row>
    <row r="128" spans="1:35" s="125" customFormat="1">
      <c r="A128" s="123"/>
      <c r="B128" s="106"/>
      <c r="C128" s="106"/>
      <c r="D128" s="106"/>
      <c r="E128" s="106"/>
      <c r="F128" s="106"/>
      <c r="G128" s="106"/>
      <c r="H128" s="106"/>
      <c r="I128" s="106"/>
      <c r="J128" s="106"/>
      <c r="K128" s="127"/>
      <c r="L128" s="113"/>
      <c r="M128" s="109"/>
      <c r="N128" s="108"/>
      <c r="O128" s="108"/>
      <c r="P128" s="108"/>
      <c r="Q128" s="108"/>
      <c r="R128" s="108"/>
      <c r="S128" s="108"/>
      <c r="T128" s="115"/>
      <c r="U128" s="115"/>
      <c r="V128" s="108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24"/>
      <c r="AH128" s="124"/>
      <c r="AI128" s="124"/>
    </row>
    <row r="129" spans="1:35" s="125" customFormat="1">
      <c r="A129" s="123"/>
      <c r="B129" s="106"/>
      <c r="C129" s="106"/>
      <c r="D129" s="106"/>
      <c r="E129" s="106"/>
      <c r="F129" s="106"/>
      <c r="G129" s="106"/>
      <c r="H129" s="106"/>
      <c r="I129" s="106"/>
      <c r="J129" s="106"/>
      <c r="K129" s="127"/>
      <c r="L129" s="113"/>
      <c r="M129" s="109"/>
      <c r="N129" s="108"/>
      <c r="O129" s="108"/>
      <c r="P129" s="108"/>
      <c r="Q129" s="108"/>
      <c r="R129" s="108"/>
      <c r="S129" s="108"/>
      <c r="T129" s="115"/>
      <c r="U129" s="115"/>
      <c r="V129" s="108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24"/>
      <c r="AH129" s="124"/>
      <c r="AI129" s="124"/>
    </row>
    <row r="130" spans="1:35" s="125" customFormat="1">
      <c r="A130" s="123"/>
      <c r="B130" s="106"/>
      <c r="C130" s="106"/>
      <c r="D130" s="106"/>
      <c r="E130" s="106"/>
      <c r="F130" s="106"/>
      <c r="G130" s="106"/>
      <c r="H130" s="106"/>
      <c r="I130" s="106"/>
      <c r="J130" s="106"/>
      <c r="K130" s="127"/>
      <c r="L130" s="113"/>
      <c r="M130" s="109"/>
      <c r="N130" s="108"/>
      <c r="O130" s="108"/>
      <c r="P130" s="108"/>
      <c r="Q130" s="108"/>
      <c r="R130" s="108"/>
      <c r="S130" s="108"/>
      <c r="T130" s="115"/>
      <c r="U130" s="115"/>
      <c r="V130" s="108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G130" s="124"/>
      <c r="AH130" s="124"/>
      <c r="AI130" s="124"/>
    </row>
    <row r="131" spans="1:35" s="125" customFormat="1">
      <c r="A131" s="123"/>
      <c r="B131" s="106"/>
      <c r="C131" s="106"/>
      <c r="D131" s="106"/>
      <c r="E131" s="106"/>
      <c r="F131" s="106"/>
      <c r="G131" s="106"/>
      <c r="H131" s="106"/>
      <c r="I131" s="106"/>
      <c r="J131" s="106"/>
      <c r="K131" s="127"/>
      <c r="L131" s="113"/>
      <c r="M131" s="109"/>
      <c r="N131" s="108"/>
      <c r="O131" s="108"/>
      <c r="P131" s="108"/>
      <c r="Q131" s="108"/>
      <c r="R131" s="108"/>
      <c r="S131" s="108"/>
      <c r="T131" s="115"/>
      <c r="U131" s="115"/>
      <c r="V131" s="108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G131" s="124"/>
      <c r="AH131" s="124"/>
      <c r="AI131" s="124"/>
    </row>
    <row r="132" spans="1:35" s="125" customFormat="1">
      <c r="A132" s="123"/>
      <c r="B132" s="106"/>
      <c r="C132" s="106"/>
      <c r="D132" s="106"/>
      <c r="E132" s="106"/>
      <c r="F132" s="106"/>
      <c r="G132" s="106"/>
      <c r="H132" s="106"/>
      <c r="I132" s="106"/>
      <c r="J132" s="106"/>
      <c r="K132" s="127"/>
      <c r="L132" s="113"/>
      <c r="M132" s="109"/>
      <c r="N132" s="108"/>
      <c r="O132" s="108"/>
      <c r="P132" s="108"/>
      <c r="Q132" s="108"/>
      <c r="R132" s="108"/>
      <c r="S132" s="108"/>
      <c r="T132" s="115"/>
      <c r="U132" s="115"/>
      <c r="V132" s="108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24"/>
      <c r="AH132" s="124"/>
      <c r="AI132" s="124"/>
    </row>
    <row r="133" spans="1:35" s="125" customFormat="1">
      <c r="A133" s="123"/>
      <c r="B133" s="106"/>
      <c r="C133" s="106"/>
      <c r="D133" s="106"/>
      <c r="E133" s="106"/>
      <c r="F133" s="106"/>
      <c r="G133" s="106"/>
      <c r="H133" s="106"/>
      <c r="I133" s="106"/>
      <c r="J133" s="106"/>
      <c r="K133" s="127"/>
      <c r="L133" s="113"/>
      <c r="M133" s="107"/>
      <c r="N133" s="108"/>
      <c r="O133" s="108"/>
      <c r="P133" s="108"/>
      <c r="Q133" s="108"/>
      <c r="R133" s="108"/>
      <c r="S133" s="108"/>
      <c r="T133" s="115"/>
      <c r="U133" s="115"/>
      <c r="V133" s="108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24"/>
      <c r="AH133" s="124"/>
      <c r="AI133" s="124"/>
    </row>
    <row r="134" spans="1:35" s="125" customFormat="1">
      <c r="A134" s="123"/>
      <c r="B134" s="106"/>
      <c r="C134" s="106"/>
      <c r="D134" s="106"/>
      <c r="E134" s="106"/>
      <c r="F134" s="106"/>
      <c r="G134" s="106"/>
      <c r="H134" s="106"/>
      <c r="I134" s="106"/>
      <c r="J134" s="106"/>
      <c r="K134" s="127"/>
      <c r="L134" s="113"/>
      <c r="M134" s="107"/>
      <c r="N134" s="108"/>
      <c r="O134" s="108"/>
      <c r="P134" s="108"/>
      <c r="Q134" s="108"/>
      <c r="R134" s="108"/>
      <c r="S134" s="108"/>
      <c r="T134" s="115"/>
      <c r="U134" s="115"/>
      <c r="V134" s="108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24"/>
      <c r="AH134" s="124"/>
      <c r="AI134" s="124"/>
    </row>
    <row r="135" spans="1:35" s="125" customFormat="1">
      <c r="A135" s="123"/>
      <c r="B135" s="106"/>
      <c r="C135" s="106"/>
      <c r="D135" s="106"/>
      <c r="E135" s="106"/>
      <c r="F135" s="106"/>
      <c r="G135" s="106"/>
      <c r="H135" s="106"/>
      <c r="I135" s="106"/>
      <c r="J135" s="106"/>
      <c r="K135" s="127"/>
      <c r="L135" s="113"/>
      <c r="M135" s="107"/>
      <c r="N135" s="108"/>
      <c r="O135" s="108"/>
      <c r="P135" s="108"/>
      <c r="Q135" s="108"/>
      <c r="R135" s="108"/>
      <c r="S135" s="108"/>
      <c r="T135" s="115"/>
      <c r="U135" s="115"/>
      <c r="V135" s="108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24"/>
      <c r="AH135" s="124"/>
      <c r="AI135" s="124"/>
    </row>
    <row r="136" spans="1:35" s="125" customFormat="1">
      <c r="A136" s="123"/>
      <c r="B136" s="106"/>
      <c r="C136" s="106"/>
      <c r="D136" s="106"/>
      <c r="E136" s="106"/>
      <c r="F136" s="106"/>
      <c r="G136" s="106"/>
      <c r="H136" s="106"/>
      <c r="I136" s="106"/>
      <c r="J136" s="106"/>
      <c r="K136" s="127"/>
      <c r="L136" s="113"/>
      <c r="M136" s="107"/>
      <c r="N136" s="108"/>
      <c r="O136" s="108"/>
      <c r="P136" s="108"/>
      <c r="Q136" s="108"/>
      <c r="R136" s="108"/>
      <c r="S136" s="108"/>
      <c r="T136" s="115"/>
      <c r="U136" s="115"/>
      <c r="V136" s="108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24"/>
      <c r="AH136" s="124"/>
      <c r="AI136" s="124"/>
    </row>
    <row r="137" spans="1:35" s="125" customFormat="1">
      <c r="A137" s="123"/>
      <c r="B137" s="106"/>
      <c r="C137" s="106"/>
      <c r="D137" s="106"/>
      <c r="E137" s="106"/>
      <c r="F137" s="106"/>
      <c r="G137" s="106"/>
      <c r="H137" s="106"/>
      <c r="I137" s="106"/>
      <c r="J137" s="106"/>
      <c r="K137" s="127"/>
      <c r="L137" s="113"/>
      <c r="M137" s="107"/>
      <c r="N137" s="108"/>
      <c r="O137" s="108"/>
      <c r="P137" s="108"/>
      <c r="Q137" s="108"/>
      <c r="R137" s="108"/>
      <c r="S137" s="108"/>
      <c r="T137" s="115"/>
      <c r="U137" s="115"/>
      <c r="V137" s="108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24"/>
      <c r="AH137" s="124"/>
      <c r="AI137" s="124"/>
    </row>
    <row r="138" spans="1:35" s="125" customFormat="1">
      <c r="A138" s="123"/>
      <c r="B138" s="106"/>
      <c r="C138" s="106"/>
      <c r="D138" s="106"/>
      <c r="E138" s="106"/>
      <c r="F138" s="106"/>
      <c r="G138" s="106"/>
      <c r="H138" s="106"/>
      <c r="I138" s="106"/>
      <c r="J138" s="106"/>
      <c r="K138" s="127"/>
      <c r="L138" s="113"/>
      <c r="M138" s="107"/>
      <c r="N138" s="108"/>
      <c r="O138" s="108"/>
      <c r="P138" s="108"/>
      <c r="Q138" s="108"/>
      <c r="R138" s="108"/>
      <c r="S138" s="108"/>
      <c r="T138" s="115"/>
      <c r="U138" s="115"/>
      <c r="V138" s="108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G138" s="124"/>
      <c r="AH138" s="124"/>
      <c r="AI138" s="124"/>
    </row>
    <row r="139" spans="1:35" s="125" customFormat="1">
      <c r="A139" s="123"/>
      <c r="B139" s="106"/>
      <c r="C139" s="106"/>
      <c r="D139" s="106"/>
      <c r="E139" s="106"/>
      <c r="F139" s="106"/>
      <c r="G139" s="106"/>
      <c r="H139" s="106"/>
      <c r="I139" s="106"/>
      <c r="J139" s="106"/>
      <c r="K139" s="127"/>
      <c r="L139" s="113"/>
      <c r="M139" s="107"/>
      <c r="N139" s="108"/>
      <c r="O139" s="108"/>
      <c r="P139" s="108"/>
      <c r="Q139" s="108"/>
      <c r="R139" s="108"/>
      <c r="S139" s="108"/>
      <c r="T139" s="115"/>
      <c r="U139" s="115"/>
      <c r="V139" s="108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24"/>
      <c r="AH139" s="124"/>
      <c r="AI139" s="124"/>
    </row>
    <row r="140" spans="1:35" s="125" customFormat="1">
      <c r="A140" s="123"/>
      <c r="B140" s="106"/>
      <c r="C140" s="106"/>
      <c r="D140" s="106"/>
      <c r="E140" s="106"/>
      <c r="F140" s="106"/>
      <c r="G140" s="106"/>
      <c r="H140" s="106"/>
      <c r="I140" s="106"/>
      <c r="J140" s="106"/>
      <c r="K140" s="127"/>
      <c r="L140" s="113"/>
      <c r="M140" s="107"/>
      <c r="N140" s="108"/>
      <c r="O140" s="108"/>
      <c r="P140" s="108"/>
      <c r="Q140" s="108"/>
      <c r="R140" s="108"/>
      <c r="S140" s="108"/>
      <c r="T140" s="115"/>
      <c r="U140" s="115"/>
      <c r="V140" s="108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24"/>
      <c r="AH140" s="124"/>
      <c r="AI140" s="124"/>
    </row>
    <row r="141" spans="1:35" s="125" customFormat="1">
      <c r="A141" s="123"/>
      <c r="B141" s="106"/>
      <c r="C141" s="106"/>
      <c r="D141" s="106"/>
      <c r="E141" s="106"/>
      <c r="F141" s="106"/>
      <c r="G141" s="106"/>
      <c r="H141" s="106"/>
      <c r="I141" s="106"/>
      <c r="J141" s="106"/>
      <c r="K141" s="127"/>
      <c r="L141" s="113"/>
      <c r="M141" s="107"/>
      <c r="N141" s="108"/>
      <c r="O141" s="108"/>
      <c r="P141" s="108"/>
      <c r="Q141" s="108"/>
      <c r="R141" s="108"/>
      <c r="S141" s="108"/>
      <c r="T141" s="115"/>
      <c r="U141" s="115"/>
      <c r="V141" s="108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24"/>
      <c r="AH141" s="124"/>
      <c r="AI141" s="124"/>
    </row>
    <row r="142" spans="1:35" s="125" customFormat="1">
      <c r="A142" s="123"/>
      <c r="B142" s="106"/>
      <c r="C142" s="106"/>
      <c r="D142" s="106"/>
      <c r="E142" s="106"/>
      <c r="F142" s="106"/>
      <c r="G142" s="106"/>
      <c r="H142" s="106"/>
      <c r="I142" s="106"/>
      <c r="J142" s="106"/>
      <c r="K142" s="127"/>
      <c r="L142" s="113"/>
      <c r="M142" s="107"/>
      <c r="N142" s="108"/>
      <c r="O142" s="108"/>
      <c r="P142" s="108"/>
      <c r="Q142" s="108"/>
      <c r="R142" s="108"/>
      <c r="S142" s="108"/>
      <c r="T142" s="115"/>
      <c r="U142" s="115"/>
      <c r="V142" s="108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24"/>
      <c r="AH142" s="124"/>
      <c r="AI142" s="124"/>
    </row>
    <row r="143" spans="1:35" s="125" customFormat="1">
      <c r="A143" s="123"/>
      <c r="B143" s="106"/>
      <c r="C143" s="106"/>
      <c r="D143" s="106"/>
      <c r="E143" s="106"/>
      <c r="F143" s="106"/>
      <c r="G143" s="106"/>
      <c r="H143" s="106"/>
      <c r="I143" s="106"/>
      <c r="J143" s="106"/>
      <c r="K143" s="127"/>
      <c r="L143" s="113"/>
      <c r="M143" s="107"/>
      <c r="N143" s="108"/>
      <c r="O143" s="108"/>
      <c r="P143" s="108"/>
      <c r="Q143" s="108"/>
      <c r="R143" s="108"/>
      <c r="S143" s="108"/>
      <c r="T143" s="115"/>
      <c r="U143" s="115"/>
      <c r="V143" s="108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  <c r="AG143" s="124"/>
      <c r="AH143" s="124"/>
      <c r="AI143" s="124"/>
    </row>
    <row r="144" spans="1:35" s="125" customFormat="1">
      <c r="A144" s="123"/>
      <c r="B144" s="106"/>
      <c r="C144" s="106"/>
      <c r="D144" s="106"/>
      <c r="E144" s="106"/>
      <c r="F144" s="106"/>
      <c r="G144" s="106"/>
      <c r="H144" s="106"/>
      <c r="I144" s="106"/>
      <c r="J144" s="106"/>
      <c r="K144" s="127"/>
      <c r="L144" s="113"/>
      <c r="M144" s="107"/>
      <c r="N144" s="108"/>
      <c r="O144" s="108"/>
      <c r="P144" s="108"/>
      <c r="Q144" s="108"/>
      <c r="R144" s="108"/>
      <c r="S144" s="108"/>
      <c r="T144" s="115"/>
      <c r="U144" s="115"/>
      <c r="V144" s="108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24"/>
      <c r="AH144" s="124"/>
      <c r="AI144" s="124"/>
    </row>
    <row r="145" spans="1:35" s="125" customFormat="1">
      <c r="A145" s="123"/>
      <c r="B145" s="106"/>
      <c r="C145" s="106"/>
      <c r="D145" s="106"/>
      <c r="E145" s="106"/>
      <c r="F145" s="106"/>
      <c r="G145" s="106"/>
      <c r="H145" s="106"/>
      <c r="I145" s="106"/>
      <c r="J145" s="106"/>
      <c r="K145" s="127"/>
      <c r="L145" s="113"/>
      <c r="M145" s="107"/>
      <c r="N145" s="108"/>
      <c r="O145" s="108"/>
      <c r="P145" s="108"/>
      <c r="Q145" s="108"/>
      <c r="R145" s="108"/>
      <c r="S145" s="108"/>
      <c r="T145" s="115"/>
      <c r="U145" s="115"/>
      <c r="V145" s="108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24"/>
      <c r="AH145" s="124"/>
      <c r="AI145" s="124"/>
    </row>
    <row r="146" spans="1:35" s="125" customFormat="1">
      <c r="A146" s="123"/>
      <c r="B146" s="106"/>
      <c r="C146" s="106"/>
      <c r="D146" s="106"/>
      <c r="E146" s="106"/>
      <c r="F146" s="106"/>
      <c r="G146" s="106"/>
      <c r="H146" s="106"/>
      <c r="I146" s="106"/>
      <c r="J146" s="106"/>
      <c r="K146" s="127"/>
      <c r="L146" s="113"/>
      <c r="M146" s="107"/>
      <c r="N146" s="108"/>
      <c r="O146" s="108"/>
      <c r="P146" s="108"/>
      <c r="Q146" s="108"/>
      <c r="R146" s="108"/>
      <c r="S146" s="108"/>
      <c r="T146" s="115"/>
      <c r="U146" s="115"/>
      <c r="V146" s="108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24"/>
      <c r="AH146" s="124"/>
      <c r="AI146" s="124"/>
    </row>
    <row r="147" spans="1:35" s="125" customFormat="1">
      <c r="A147" s="123"/>
      <c r="B147" s="106"/>
      <c r="C147" s="106"/>
      <c r="D147" s="106"/>
      <c r="E147" s="106"/>
      <c r="F147" s="106"/>
      <c r="G147" s="106"/>
      <c r="H147" s="106"/>
      <c r="I147" s="106"/>
      <c r="J147" s="106"/>
      <c r="K147" s="127"/>
      <c r="L147" s="113"/>
      <c r="M147" s="107"/>
      <c r="N147" s="108"/>
      <c r="O147" s="108"/>
      <c r="P147" s="108"/>
      <c r="Q147" s="108"/>
      <c r="R147" s="108"/>
      <c r="S147" s="108"/>
      <c r="T147" s="115"/>
      <c r="U147" s="115"/>
      <c r="V147" s="108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24"/>
      <c r="AH147" s="124"/>
      <c r="AI147" s="124"/>
    </row>
    <row r="148" spans="1:35" s="125" customFormat="1">
      <c r="A148" s="123"/>
      <c r="B148" s="106"/>
      <c r="C148" s="106"/>
      <c r="D148" s="106"/>
      <c r="E148" s="106"/>
      <c r="F148" s="106"/>
      <c r="G148" s="106"/>
      <c r="H148" s="106"/>
      <c r="I148" s="106"/>
      <c r="J148" s="106"/>
      <c r="K148" s="127"/>
      <c r="L148" s="113"/>
      <c r="M148" s="107"/>
      <c r="N148" s="108"/>
      <c r="O148" s="108"/>
      <c r="P148" s="108"/>
      <c r="Q148" s="108"/>
      <c r="R148" s="108"/>
      <c r="S148" s="108"/>
      <c r="T148" s="115"/>
      <c r="U148" s="115"/>
      <c r="V148" s="108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24"/>
      <c r="AH148" s="124"/>
      <c r="AI148" s="124"/>
    </row>
    <row r="149" spans="1:35" s="125" customFormat="1">
      <c r="A149" s="123"/>
      <c r="B149" s="106"/>
      <c r="C149" s="106"/>
      <c r="D149" s="106"/>
      <c r="E149" s="106"/>
      <c r="F149" s="106"/>
      <c r="G149" s="106"/>
      <c r="H149" s="106"/>
      <c r="I149" s="106"/>
      <c r="J149" s="106"/>
      <c r="K149" s="127"/>
      <c r="L149" s="113"/>
      <c r="M149" s="107"/>
      <c r="N149" s="108"/>
      <c r="O149" s="108"/>
      <c r="P149" s="108"/>
      <c r="Q149" s="108"/>
      <c r="R149" s="108"/>
      <c r="S149" s="108"/>
      <c r="T149" s="115"/>
      <c r="U149" s="115"/>
      <c r="V149" s="108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24"/>
      <c r="AH149" s="124"/>
      <c r="AI149" s="124"/>
    </row>
    <row r="150" spans="1:35" s="125" customFormat="1">
      <c r="A150" s="123"/>
      <c r="B150" s="106"/>
      <c r="C150" s="106"/>
      <c r="D150" s="106"/>
      <c r="E150" s="106"/>
      <c r="F150" s="106"/>
      <c r="G150" s="106"/>
      <c r="H150" s="106"/>
      <c r="I150" s="106"/>
      <c r="J150" s="106"/>
      <c r="K150" s="127"/>
      <c r="L150" s="113"/>
      <c r="M150" s="107"/>
      <c r="N150" s="108"/>
      <c r="O150" s="108"/>
      <c r="P150" s="108"/>
      <c r="Q150" s="108"/>
      <c r="R150" s="108"/>
      <c r="S150" s="108"/>
      <c r="T150" s="115"/>
      <c r="U150" s="115"/>
      <c r="V150" s="108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24"/>
      <c r="AH150" s="124"/>
      <c r="AI150" s="124"/>
    </row>
    <row r="151" spans="1:35" s="125" customFormat="1">
      <c r="A151" s="123"/>
      <c r="B151" s="106"/>
      <c r="C151" s="106"/>
      <c r="D151" s="106"/>
      <c r="E151" s="106"/>
      <c r="F151" s="106"/>
      <c r="G151" s="106"/>
      <c r="H151" s="106"/>
      <c r="I151" s="106"/>
      <c r="J151" s="106"/>
      <c r="K151" s="127"/>
      <c r="L151" s="113"/>
      <c r="M151" s="107"/>
      <c r="N151" s="108"/>
      <c r="O151" s="108"/>
      <c r="P151" s="108"/>
      <c r="Q151" s="108"/>
      <c r="R151" s="108"/>
      <c r="S151" s="108"/>
      <c r="T151" s="115"/>
      <c r="U151" s="115"/>
      <c r="V151" s="108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24"/>
      <c r="AH151" s="124"/>
      <c r="AI151" s="124"/>
    </row>
    <row r="152" spans="1:35" s="125" customFormat="1">
      <c r="A152" s="123"/>
      <c r="B152" s="106"/>
      <c r="C152" s="106"/>
      <c r="D152" s="106"/>
      <c r="E152" s="106"/>
      <c r="F152" s="106"/>
      <c r="G152" s="106"/>
      <c r="H152" s="106"/>
      <c r="I152" s="106"/>
      <c r="J152" s="106"/>
      <c r="K152" s="127"/>
      <c r="L152" s="113"/>
      <c r="M152" s="107"/>
      <c r="N152" s="108"/>
      <c r="O152" s="108"/>
      <c r="P152" s="108"/>
      <c r="Q152" s="108"/>
      <c r="R152" s="108"/>
      <c r="S152" s="108"/>
      <c r="T152" s="115"/>
      <c r="U152" s="115"/>
      <c r="V152" s="108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24"/>
      <c r="AH152" s="124"/>
      <c r="AI152" s="124"/>
    </row>
    <row r="153" spans="1:35" s="125" customFormat="1">
      <c r="A153" s="123"/>
      <c r="B153" s="106"/>
      <c r="C153" s="106"/>
      <c r="D153" s="106"/>
      <c r="E153" s="106"/>
      <c r="F153" s="106"/>
      <c r="G153" s="106"/>
      <c r="H153" s="106"/>
      <c r="I153" s="106"/>
      <c r="J153" s="106"/>
      <c r="K153" s="127"/>
      <c r="L153" s="113"/>
      <c r="M153" s="107"/>
      <c r="N153" s="108"/>
      <c r="O153" s="108"/>
      <c r="P153" s="108"/>
      <c r="Q153" s="108"/>
      <c r="R153" s="108"/>
      <c r="S153" s="108"/>
      <c r="T153" s="115"/>
      <c r="U153" s="115"/>
      <c r="V153" s="108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24"/>
      <c r="AH153" s="124"/>
      <c r="AI153" s="124"/>
    </row>
    <row r="154" spans="1:35" s="125" customFormat="1">
      <c r="A154" s="123"/>
      <c r="B154" s="106"/>
      <c r="C154" s="106"/>
      <c r="D154" s="106"/>
      <c r="E154" s="106"/>
      <c r="F154" s="106"/>
      <c r="G154" s="106"/>
      <c r="H154" s="106"/>
      <c r="I154" s="106"/>
      <c r="J154" s="106"/>
      <c r="K154" s="127"/>
      <c r="L154" s="128"/>
      <c r="M154" s="107"/>
      <c r="N154" s="108"/>
      <c r="O154" s="108"/>
      <c r="P154" s="108"/>
      <c r="Q154" s="108"/>
      <c r="R154" s="108"/>
      <c r="S154" s="108"/>
      <c r="T154" s="115"/>
      <c r="U154" s="115"/>
      <c r="V154" s="108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24"/>
      <c r="AH154" s="124"/>
      <c r="AI154" s="124"/>
    </row>
    <row r="155" spans="1:35" s="125" customFormat="1">
      <c r="A155" s="123"/>
      <c r="B155" s="106"/>
      <c r="C155" s="106"/>
      <c r="D155" s="106"/>
      <c r="E155" s="106"/>
      <c r="F155" s="106"/>
      <c r="G155" s="106"/>
      <c r="H155" s="106"/>
      <c r="I155" s="106"/>
      <c r="J155" s="106"/>
      <c r="K155" s="127"/>
      <c r="L155" s="128"/>
      <c r="M155" s="107"/>
      <c r="N155" s="108"/>
      <c r="O155" s="108"/>
      <c r="P155" s="108"/>
      <c r="Q155" s="108"/>
      <c r="R155" s="108"/>
      <c r="S155" s="108"/>
      <c r="T155" s="115"/>
      <c r="U155" s="115"/>
      <c r="V155" s="108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24"/>
      <c r="AH155" s="124"/>
      <c r="AI155" s="124"/>
    </row>
    <row r="156" spans="1:35" s="125" customFormat="1">
      <c r="A156" s="123"/>
      <c r="B156" s="106"/>
      <c r="C156" s="106"/>
      <c r="D156" s="106"/>
      <c r="E156" s="106"/>
      <c r="F156" s="106"/>
      <c r="G156" s="106"/>
      <c r="H156" s="106"/>
      <c r="I156" s="106"/>
      <c r="J156" s="106"/>
      <c r="K156" s="127"/>
      <c r="L156" s="128"/>
      <c r="M156" s="107"/>
      <c r="N156" s="108"/>
      <c r="O156" s="108"/>
      <c r="P156" s="108"/>
      <c r="Q156" s="108"/>
      <c r="R156" s="108"/>
      <c r="S156" s="108"/>
      <c r="T156" s="115"/>
      <c r="U156" s="115"/>
      <c r="V156" s="108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24"/>
      <c r="AH156" s="124"/>
      <c r="AI156" s="124"/>
    </row>
    <row r="157" spans="1:35" s="125" customFormat="1">
      <c r="A157" s="123"/>
      <c r="B157" s="106"/>
      <c r="C157" s="106"/>
      <c r="D157" s="106"/>
      <c r="E157" s="106"/>
      <c r="F157" s="106"/>
      <c r="G157" s="106"/>
      <c r="H157" s="106"/>
      <c r="I157" s="106"/>
      <c r="J157" s="106"/>
      <c r="K157" s="127"/>
      <c r="L157" s="128"/>
      <c r="M157" s="107"/>
      <c r="N157" s="108"/>
      <c r="O157" s="108"/>
      <c r="P157" s="108"/>
      <c r="Q157" s="108"/>
      <c r="R157" s="108"/>
      <c r="S157" s="108"/>
      <c r="T157" s="115"/>
      <c r="U157" s="115"/>
      <c r="V157" s="115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24"/>
      <c r="AH157" s="124"/>
      <c r="AI157" s="124"/>
    </row>
    <row r="158" spans="1:35" s="125" customFormat="1">
      <c r="A158" s="123"/>
      <c r="B158" s="106"/>
      <c r="C158" s="106"/>
      <c r="D158" s="106"/>
      <c r="E158" s="106"/>
      <c r="F158" s="106"/>
      <c r="G158" s="106"/>
      <c r="H158" s="106"/>
      <c r="I158" s="106"/>
      <c r="J158" s="106"/>
      <c r="K158" s="127"/>
      <c r="L158" s="128"/>
      <c r="M158" s="107"/>
      <c r="N158" s="108"/>
      <c r="O158" s="108"/>
      <c r="P158" s="108"/>
      <c r="Q158" s="108"/>
      <c r="R158" s="108"/>
      <c r="S158" s="108"/>
      <c r="T158" s="115"/>
      <c r="U158" s="115"/>
      <c r="V158" s="108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24"/>
      <c r="AH158" s="124"/>
      <c r="AI158" s="124"/>
    </row>
    <row r="159" spans="1:35" s="125" customFormat="1">
      <c r="A159" s="123"/>
      <c r="B159" s="106"/>
      <c r="C159" s="106"/>
      <c r="D159" s="106"/>
      <c r="E159" s="106"/>
      <c r="F159" s="106"/>
      <c r="G159" s="106"/>
      <c r="H159" s="106"/>
      <c r="I159" s="106"/>
      <c r="J159" s="106"/>
      <c r="K159" s="127"/>
      <c r="L159" s="128"/>
      <c r="M159" s="107"/>
      <c r="N159" s="108"/>
      <c r="O159" s="108"/>
      <c r="P159" s="108"/>
      <c r="Q159" s="108"/>
      <c r="R159" s="108"/>
      <c r="S159" s="108"/>
      <c r="T159" s="115"/>
      <c r="U159" s="115"/>
      <c r="V159" s="108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24"/>
      <c r="AH159" s="124"/>
      <c r="AI159" s="124"/>
    </row>
    <row r="160" spans="1:35" s="125" customFormat="1">
      <c r="A160" s="123"/>
      <c r="B160" s="106"/>
      <c r="C160" s="106"/>
      <c r="D160" s="106"/>
      <c r="E160" s="106"/>
      <c r="F160" s="106"/>
      <c r="G160" s="106"/>
      <c r="H160" s="106"/>
      <c r="I160" s="106"/>
      <c r="J160" s="106"/>
      <c r="K160" s="127"/>
      <c r="L160" s="113"/>
      <c r="M160" s="107"/>
      <c r="N160" s="108"/>
      <c r="O160" s="108"/>
      <c r="P160" s="108"/>
      <c r="Q160" s="108"/>
      <c r="R160" s="108"/>
      <c r="S160" s="108"/>
      <c r="T160" s="115"/>
      <c r="U160" s="115"/>
      <c r="V160" s="108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24"/>
      <c r="AH160" s="124"/>
      <c r="AI160" s="124"/>
    </row>
    <row r="161" spans="1:35" s="125" customFormat="1">
      <c r="A161" s="123"/>
      <c r="B161" s="106"/>
      <c r="C161" s="106"/>
      <c r="D161" s="106"/>
      <c r="E161" s="106"/>
      <c r="F161" s="106"/>
      <c r="G161" s="106"/>
      <c r="H161" s="106"/>
      <c r="I161" s="106"/>
      <c r="J161" s="106"/>
      <c r="K161" s="127"/>
      <c r="L161" s="113"/>
      <c r="M161" s="107"/>
      <c r="N161" s="108"/>
      <c r="O161" s="108"/>
      <c r="P161" s="108"/>
      <c r="Q161" s="108"/>
      <c r="R161" s="108"/>
      <c r="S161" s="108"/>
      <c r="T161" s="115"/>
      <c r="U161" s="115"/>
      <c r="V161" s="108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24"/>
      <c r="AH161" s="124"/>
      <c r="AI161" s="124"/>
    </row>
    <row r="162" spans="1:35" s="125" customFormat="1">
      <c r="A162" s="123"/>
      <c r="B162" s="106"/>
      <c r="C162" s="106"/>
      <c r="D162" s="106"/>
      <c r="E162" s="106"/>
      <c r="F162" s="106"/>
      <c r="G162" s="106"/>
      <c r="H162" s="106"/>
      <c r="I162" s="106"/>
      <c r="J162" s="106"/>
      <c r="K162" s="127"/>
      <c r="L162" s="113"/>
      <c r="M162" s="107"/>
      <c r="N162" s="108"/>
      <c r="O162" s="108"/>
      <c r="P162" s="108"/>
      <c r="Q162" s="108"/>
      <c r="R162" s="108"/>
      <c r="S162" s="108"/>
      <c r="T162" s="115"/>
      <c r="U162" s="115"/>
      <c r="V162" s="108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24"/>
      <c r="AH162" s="124"/>
      <c r="AI162" s="124"/>
    </row>
    <row r="163" spans="1:35" s="125" customFormat="1">
      <c r="A163" s="123"/>
      <c r="B163" s="106"/>
      <c r="C163" s="106"/>
      <c r="D163" s="106"/>
      <c r="E163" s="106"/>
      <c r="F163" s="106"/>
      <c r="G163" s="106"/>
      <c r="H163" s="106"/>
      <c r="I163" s="106"/>
      <c r="J163" s="106"/>
      <c r="K163" s="127"/>
      <c r="L163" s="113"/>
      <c r="M163" s="107"/>
      <c r="N163" s="108"/>
      <c r="O163" s="108"/>
      <c r="P163" s="108"/>
      <c r="Q163" s="108"/>
      <c r="R163" s="108"/>
      <c r="S163" s="108"/>
      <c r="T163" s="115"/>
      <c r="U163" s="115"/>
      <c r="V163" s="115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24"/>
      <c r="AH163" s="124"/>
      <c r="AI163" s="124"/>
    </row>
    <row r="164" spans="1:35" s="125" customFormat="1">
      <c r="A164" s="123"/>
      <c r="B164" s="106"/>
      <c r="C164" s="106"/>
      <c r="D164" s="106"/>
      <c r="E164" s="106"/>
      <c r="F164" s="106"/>
      <c r="G164" s="106"/>
      <c r="H164" s="106"/>
      <c r="I164" s="106"/>
      <c r="J164" s="106"/>
      <c r="K164" s="127"/>
      <c r="L164" s="113"/>
      <c r="M164" s="107"/>
      <c r="N164" s="108"/>
      <c r="O164" s="108"/>
      <c r="P164" s="108"/>
      <c r="Q164" s="108"/>
      <c r="R164" s="108"/>
      <c r="S164" s="108"/>
      <c r="T164" s="115"/>
      <c r="U164" s="115"/>
      <c r="V164" s="108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24"/>
      <c r="AH164" s="124"/>
      <c r="AI164" s="124"/>
    </row>
    <row r="165" spans="1:35" s="125" customFormat="1">
      <c r="A165" s="123"/>
      <c r="B165" s="106"/>
      <c r="C165" s="106"/>
      <c r="D165" s="106"/>
      <c r="E165" s="106"/>
      <c r="F165" s="106"/>
      <c r="G165" s="106"/>
      <c r="H165" s="106"/>
      <c r="I165" s="106"/>
      <c r="J165" s="106"/>
      <c r="K165" s="127"/>
      <c r="L165" s="113"/>
      <c r="M165" s="107"/>
      <c r="N165" s="108"/>
      <c r="O165" s="108"/>
      <c r="P165" s="108"/>
      <c r="Q165" s="108"/>
      <c r="R165" s="108"/>
      <c r="S165" s="108"/>
      <c r="T165" s="115"/>
      <c r="U165" s="115"/>
      <c r="V165" s="115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24"/>
      <c r="AH165" s="124"/>
      <c r="AI165" s="124"/>
    </row>
    <row r="166" spans="1:35" s="125" customFormat="1">
      <c r="A166" s="123"/>
      <c r="B166" s="106"/>
      <c r="C166" s="106"/>
      <c r="D166" s="106"/>
      <c r="E166" s="106"/>
      <c r="F166" s="106"/>
      <c r="G166" s="106"/>
      <c r="H166" s="106"/>
      <c r="I166" s="106"/>
      <c r="J166" s="106"/>
      <c r="K166" s="127"/>
      <c r="L166" s="113"/>
      <c r="M166" s="107"/>
      <c r="N166" s="108"/>
      <c r="O166" s="108"/>
      <c r="P166" s="108"/>
      <c r="Q166" s="108"/>
      <c r="R166" s="108"/>
      <c r="S166" s="108"/>
      <c r="T166" s="115"/>
      <c r="U166" s="115"/>
      <c r="V166" s="108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24"/>
      <c r="AH166" s="124"/>
      <c r="AI166" s="124"/>
    </row>
    <row r="167" spans="1:35" s="125" customFormat="1">
      <c r="A167" s="123"/>
      <c r="B167" s="106"/>
      <c r="C167" s="106"/>
      <c r="D167" s="106"/>
      <c r="E167" s="106"/>
      <c r="F167" s="106"/>
      <c r="G167" s="106"/>
      <c r="H167" s="106"/>
      <c r="I167" s="106"/>
      <c r="J167" s="106"/>
      <c r="K167" s="127"/>
      <c r="L167" s="128"/>
      <c r="M167" s="107"/>
      <c r="N167" s="108"/>
      <c r="O167" s="108"/>
      <c r="P167" s="108"/>
      <c r="Q167" s="108"/>
      <c r="R167" s="108"/>
      <c r="S167" s="108"/>
      <c r="T167" s="115"/>
      <c r="U167" s="115"/>
      <c r="V167" s="108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24"/>
      <c r="AH167" s="124"/>
      <c r="AI167" s="124"/>
    </row>
    <row r="168" spans="1:35" s="125" customFormat="1">
      <c r="A168" s="123"/>
      <c r="B168" s="106"/>
      <c r="C168" s="106"/>
      <c r="D168" s="106"/>
      <c r="E168" s="106"/>
      <c r="F168" s="106"/>
      <c r="G168" s="106"/>
      <c r="H168" s="106"/>
      <c r="I168" s="106"/>
      <c r="J168" s="106"/>
      <c r="K168" s="127"/>
      <c r="L168" s="113"/>
      <c r="M168" s="107"/>
      <c r="N168" s="108"/>
      <c r="O168" s="108"/>
      <c r="P168" s="108"/>
      <c r="Q168" s="108"/>
      <c r="R168" s="108"/>
      <c r="S168" s="108"/>
      <c r="T168" s="115"/>
      <c r="U168" s="115"/>
      <c r="V168" s="108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24"/>
      <c r="AH168" s="124"/>
      <c r="AI168" s="124"/>
    </row>
    <row r="169" spans="1:35" s="125" customFormat="1">
      <c r="A169" s="123"/>
      <c r="B169" s="106"/>
      <c r="C169" s="106"/>
      <c r="D169" s="106"/>
      <c r="E169" s="106"/>
      <c r="F169" s="106"/>
      <c r="G169" s="106"/>
      <c r="H169" s="106"/>
      <c r="I169" s="106"/>
      <c r="J169" s="106"/>
      <c r="K169" s="127"/>
      <c r="L169" s="128"/>
      <c r="M169" s="107"/>
      <c r="N169" s="108"/>
      <c r="O169" s="108"/>
      <c r="P169" s="108"/>
      <c r="Q169" s="108"/>
      <c r="R169" s="108"/>
      <c r="S169" s="108"/>
      <c r="T169" s="115"/>
      <c r="U169" s="115"/>
      <c r="V169" s="108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24"/>
      <c r="AH169" s="124"/>
      <c r="AI169" s="124"/>
    </row>
    <row r="170" spans="1:35" s="125" customFormat="1">
      <c r="A170" s="123"/>
      <c r="B170" s="106"/>
      <c r="C170" s="106"/>
      <c r="D170" s="106"/>
      <c r="E170" s="106"/>
      <c r="F170" s="106"/>
      <c r="G170" s="106"/>
      <c r="H170" s="106"/>
      <c r="I170" s="106"/>
      <c r="J170" s="106"/>
      <c r="K170" s="127"/>
      <c r="L170" s="128"/>
      <c r="M170" s="107"/>
      <c r="N170" s="108"/>
      <c r="O170" s="108"/>
      <c r="P170" s="108"/>
      <c r="Q170" s="108"/>
      <c r="R170" s="108"/>
      <c r="S170" s="108"/>
      <c r="T170" s="115"/>
      <c r="U170" s="115"/>
      <c r="V170" s="108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24"/>
      <c r="AH170" s="124"/>
      <c r="AI170" s="124"/>
    </row>
    <row r="171" spans="1:35" s="125" customFormat="1">
      <c r="A171" s="123"/>
      <c r="B171" s="106"/>
      <c r="C171" s="106"/>
      <c r="D171" s="106"/>
      <c r="E171" s="106"/>
      <c r="F171" s="106"/>
      <c r="G171" s="106"/>
      <c r="H171" s="106"/>
      <c r="I171" s="106"/>
      <c r="J171" s="106"/>
      <c r="K171" s="127"/>
      <c r="L171" s="128"/>
      <c r="M171" s="107"/>
      <c r="N171" s="108"/>
      <c r="O171" s="108"/>
      <c r="P171" s="108"/>
      <c r="Q171" s="108"/>
      <c r="R171" s="108"/>
      <c r="S171" s="108"/>
      <c r="T171" s="115"/>
      <c r="U171" s="115"/>
      <c r="V171" s="108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24"/>
      <c r="AH171" s="124"/>
      <c r="AI171" s="124"/>
    </row>
    <row r="172" spans="1:35" s="125" customFormat="1">
      <c r="A172" s="123"/>
      <c r="B172" s="106"/>
      <c r="C172" s="106"/>
      <c r="D172" s="106"/>
      <c r="E172" s="106"/>
      <c r="F172" s="106"/>
      <c r="G172" s="106"/>
      <c r="H172" s="106"/>
      <c r="I172" s="106"/>
      <c r="J172" s="106"/>
      <c r="K172" s="127"/>
      <c r="L172" s="128"/>
      <c r="M172" s="107"/>
      <c r="N172" s="108"/>
      <c r="O172" s="108"/>
      <c r="P172" s="108"/>
      <c r="Q172" s="108"/>
      <c r="R172" s="108"/>
      <c r="S172" s="108"/>
      <c r="T172" s="115"/>
      <c r="U172" s="115"/>
      <c r="V172" s="108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24"/>
      <c r="AH172" s="124"/>
      <c r="AI172" s="124"/>
    </row>
    <row r="173" spans="1:35" s="125" customFormat="1">
      <c r="A173" s="123"/>
      <c r="B173" s="106"/>
      <c r="C173" s="106"/>
      <c r="D173" s="106"/>
      <c r="E173" s="106"/>
      <c r="F173" s="106"/>
      <c r="G173" s="106"/>
      <c r="H173" s="106"/>
      <c r="I173" s="106"/>
      <c r="J173" s="106"/>
      <c r="K173" s="127"/>
      <c r="L173" s="128"/>
      <c r="M173" s="107"/>
      <c r="N173" s="108"/>
      <c r="O173" s="108"/>
      <c r="P173" s="108"/>
      <c r="Q173" s="108"/>
      <c r="R173" s="108"/>
      <c r="S173" s="108"/>
      <c r="T173" s="117"/>
      <c r="U173" s="117"/>
      <c r="V173" s="108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24"/>
      <c r="AH173" s="124"/>
      <c r="AI173" s="124"/>
    </row>
    <row r="174" spans="1:35" s="125" customFormat="1">
      <c r="A174" s="123"/>
      <c r="B174" s="106"/>
      <c r="C174" s="106"/>
      <c r="D174" s="106"/>
      <c r="E174" s="106"/>
      <c r="F174" s="106"/>
      <c r="G174" s="106"/>
      <c r="H174" s="106"/>
      <c r="I174" s="106"/>
      <c r="J174" s="106"/>
      <c r="K174" s="127"/>
      <c r="L174" s="128"/>
      <c r="M174" s="107"/>
      <c r="N174" s="108"/>
      <c r="O174" s="108"/>
      <c r="P174" s="108"/>
      <c r="Q174" s="108"/>
      <c r="R174" s="108"/>
      <c r="S174" s="108"/>
      <c r="T174" s="117"/>
      <c r="U174" s="117"/>
      <c r="V174" s="108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24"/>
      <c r="AH174" s="124"/>
      <c r="AI174" s="124"/>
    </row>
    <row r="175" spans="1:35" s="125" customFormat="1">
      <c r="A175" s="123"/>
      <c r="B175" s="106"/>
      <c r="C175" s="106"/>
      <c r="D175" s="106"/>
      <c r="E175" s="106"/>
      <c r="F175" s="106"/>
      <c r="G175" s="106"/>
      <c r="H175" s="106"/>
      <c r="I175" s="106"/>
      <c r="J175" s="106"/>
      <c r="K175" s="127"/>
      <c r="L175" s="128"/>
      <c r="M175" s="107"/>
      <c r="N175" s="108"/>
      <c r="O175" s="108"/>
      <c r="P175" s="108"/>
      <c r="Q175" s="108"/>
      <c r="R175" s="108"/>
      <c r="S175" s="108"/>
      <c r="T175" s="117"/>
      <c r="U175" s="117"/>
      <c r="V175" s="108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  <c r="AG175" s="124"/>
      <c r="AH175" s="124"/>
      <c r="AI175" s="124"/>
    </row>
    <row r="176" spans="1:35" s="125" customFormat="1">
      <c r="A176" s="123"/>
      <c r="B176" s="106"/>
      <c r="C176" s="106"/>
      <c r="D176" s="106"/>
      <c r="E176" s="106"/>
      <c r="F176" s="106"/>
      <c r="G176" s="106"/>
      <c r="H176" s="106"/>
      <c r="I176" s="106"/>
      <c r="J176" s="106"/>
      <c r="K176" s="127"/>
      <c r="L176" s="128"/>
      <c r="M176" s="107"/>
      <c r="N176" s="108"/>
      <c r="O176" s="108"/>
      <c r="P176" s="108"/>
      <c r="Q176" s="108"/>
      <c r="R176" s="108"/>
      <c r="S176" s="108"/>
      <c r="T176" s="117"/>
      <c r="U176" s="117"/>
      <c r="V176" s="108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  <c r="AG176" s="124"/>
      <c r="AH176" s="124"/>
      <c r="AI176" s="124"/>
    </row>
    <row r="177" spans="1:35" s="125" customFormat="1">
      <c r="A177" s="123"/>
      <c r="B177" s="106"/>
      <c r="C177" s="106"/>
      <c r="D177" s="106"/>
      <c r="E177" s="106"/>
      <c r="F177" s="106"/>
      <c r="G177" s="106"/>
      <c r="H177" s="106"/>
      <c r="I177" s="106"/>
      <c r="J177" s="106"/>
      <c r="K177" s="127"/>
      <c r="L177" s="128"/>
      <c r="M177" s="107"/>
      <c r="N177" s="108"/>
      <c r="O177" s="108"/>
      <c r="P177" s="108"/>
      <c r="Q177" s="108"/>
      <c r="R177" s="108"/>
      <c r="S177" s="108"/>
      <c r="T177" s="117"/>
      <c r="U177" s="117"/>
      <c r="V177" s="108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24"/>
      <c r="AH177" s="124"/>
      <c r="AI177" s="124"/>
    </row>
    <row r="178" spans="1:35" s="125" customFormat="1">
      <c r="A178" s="123"/>
      <c r="B178" s="106"/>
      <c r="C178" s="106"/>
      <c r="D178" s="106"/>
      <c r="E178" s="106"/>
      <c r="F178" s="106"/>
      <c r="G178" s="106"/>
      <c r="H178" s="106"/>
      <c r="I178" s="106"/>
      <c r="J178" s="106"/>
      <c r="K178" s="127"/>
      <c r="L178" s="128"/>
      <c r="M178" s="107"/>
      <c r="N178" s="108"/>
      <c r="O178" s="108"/>
      <c r="P178" s="108"/>
      <c r="Q178" s="108"/>
      <c r="R178" s="108"/>
      <c r="S178" s="108"/>
      <c r="T178" s="117"/>
      <c r="U178" s="117"/>
      <c r="V178" s="108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24"/>
      <c r="AH178" s="124"/>
      <c r="AI178" s="124"/>
    </row>
    <row r="179" spans="1:35" s="125" customFormat="1">
      <c r="A179" s="123"/>
      <c r="B179" s="106"/>
      <c r="C179" s="106"/>
      <c r="D179" s="106"/>
      <c r="E179" s="106"/>
      <c r="F179" s="106"/>
      <c r="G179" s="106"/>
      <c r="H179" s="106"/>
      <c r="I179" s="106"/>
      <c r="J179" s="106"/>
      <c r="K179" s="127"/>
      <c r="L179" s="128"/>
      <c r="M179" s="107"/>
      <c r="N179" s="108"/>
      <c r="O179" s="108"/>
      <c r="P179" s="108"/>
      <c r="Q179" s="108"/>
      <c r="R179" s="108"/>
      <c r="S179" s="108"/>
      <c r="T179" s="117"/>
      <c r="U179" s="117"/>
      <c r="V179" s="108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24"/>
      <c r="AH179" s="124"/>
      <c r="AI179" s="124"/>
    </row>
    <row r="180" spans="1:35" s="125" customFormat="1">
      <c r="A180" s="123"/>
      <c r="B180" s="106"/>
      <c r="C180" s="106"/>
      <c r="D180" s="106"/>
      <c r="E180" s="106"/>
      <c r="F180" s="106"/>
      <c r="G180" s="106"/>
      <c r="H180" s="106"/>
      <c r="I180" s="106"/>
      <c r="J180" s="106"/>
      <c r="K180" s="127"/>
      <c r="L180" s="128"/>
      <c r="M180" s="107"/>
      <c r="N180" s="108"/>
      <c r="O180" s="108"/>
      <c r="P180" s="108"/>
      <c r="Q180" s="108"/>
      <c r="R180" s="108"/>
      <c r="S180" s="108"/>
      <c r="T180" s="117"/>
      <c r="U180" s="117"/>
      <c r="V180" s="108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24"/>
      <c r="AH180" s="124"/>
      <c r="AI180" s="124"/>
    </row>
    <row r="181" spans="1:35" s="125" customFormat="1">
      <c r="A181" s="123"/>
      <c r="B181" s="106"/>
      <c r="C181" s="106"/>
      <c r="D181" s="106"/>
      <c r="E181" s="106"/>
      <c r="F181" s="106"/>
      <c r="G181" s="106"/>
      <c r="H181" s="106"/>
      <c r="I181" s="106"/>
      <c r="J181" s="106"/>
      <c r="K181" s="127"/>
      <c r="L181" s="128"/>
      <c r="M181" s="107"/>
      <c r="N181" s="108"/>
      <c r="O181" s="108"/>
      <c r="P181" s="108"/>
      <c r="Q181" s="108"/>
      <c r="R181" s="108"/>
      <c r="S181" s="108"/>
      <c r="T181" s="117"/>
      <c r="U181" s="117"/>
      <c r="V181" s="108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24"/>
      <c r="AH181" s="124"/>
      <c r="AI181" s="124"/>
    </row>
    <row r="182" spans="1:35" s="12" customFormat="1">
      <c r="A182" s="123"/>
      <c r="B182" s="106"/>
      <c r="C182" s="106"/>
      <c r="D182" s="106"/>
      <c r="E182" s="106"/>
      <c r="F182" s="106"/>
      <c r="G182" s="106"/>
      <c r="H182" s="106"/>
      <c r="I182" s="106"/>
      <c r="J182" s="106"/>
      <c r="K182" s="127"/>
      <c r="L182" s="128"/>
      <c r="M182" s="107"/>
      <c r="N182" s="108"/>
      <c r="O182" s="108"/>
      <c r="P182" s="108"/>
      <c r="Q182" s="108"/>
      <c r="R182" s="108"/>
      <c r="S182" s="108"/>
      <c r="T182" s="117"/>
      <c r="U182" s="117"/>
      <c r="V182" s="108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24"/>
      <c r="AH182" s="124"/>
      <c r="AI182" s="124"/>
    </row>
    <row r="183" spans="1:35" s="12" customFormat="1">
      <c r="A183" s="123"/>
      <c r="B183" s="106"/>
      <c r="C183" s="106"/>
      <c r="D183" s="106"/>
      <c r="E183" s="106"/>
      <c r="F183" s="106"/>
      <c r="G183" s="106"/>
      <c r="H183" s="106"/>
      <c r="I183" s="106"/>
      <c r="J183" s="106"/>
      <c r="K183" s="127"/>
      <c r="L183" s="128"/>
      <c r="M183" s="107"/>
      <c r="N183" s="108"/>
      <c r="O183" s="108"/>
      <c r="P183" s="108"/>
      <c r="Q183" s="108"/>
      <c r="R183" s="108"/>
      <c r="S183" s="108"/>
      <c r="T183" s="115"/>
      <c r="U183" s="115"/>
      <c r="V183" s="108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24"/>
      <c r="AH183" s="124"/>
      <c r="AI183" s="124"/>
    </row>
    <row r="184" spans="1:35" s="12" customFormat="1">
      <c r="A184" s="123"/>
      <c r="B184" s="106"/>
      <c r="C184" s="106"/>
      <c r="D184" s="106"/>
      <c r="E184" s="106"/>
      <c r="F184" s="106"/>
      <c r="G184" s="106"/>
      <c r="H184" s="106"/>
      <c r="I184" s="106"/>
      <c r="J184" s="106"/>
      <c r="K184" s="127"/>
      <c r="L184" s="128"/>
      <c r="M184" s="107"/>
      <c r="N184" s="108"/>
      <c r="O184" s="108"/>
      <c r="P184" s="108"/>
      <c r="Q184" s="108"/>
      <c r="R184" s="108"/>
      <c r="S184" s="108"/>
      <c r="T184" s="115"/>
      <c r="U184" s="115"/>
      <c r="V184" s="108"/>
      <c r="W184" s="104"/>
      <c r="X184" s="104"/>
      <c r="Y184" s="104"/>
      <c r="Z184" s="104"/>
      <c r="AA184" s="104"/>
      <c r="AB184" s="104"/>
      <c r="AC184" s="104"/>
      <c r="AD184" s="104"/>
      <c r="AE184" s="104"/>
      <c r="AF184" s="104"/>
      <c r="AG184" s="124"/>
      <c r="AH184" s="124"/>
      <c r="AI184" s="124"/>
    </row>
    <row r="185" spans="1:35" s="12" customFormat="1">
      <c r="A185" s="123"/>
      <c r="B185" s="106"/>
      <c r="C185" s="106"/>
      <c r="D185" s="106"/>
      <c r="E185" s="106"/>
      <c r="F185" s="106"/>
      <c r="G185" s="106"/>
      <c r="H185" s="106"/>
      <c r="I185" s="106"/>
      <c r="J185" s="106"/>
      <c r="K185" s="127"/>
      <c r="L185" s="128"/>
      <c r="M185" s="107"/>
      <c r="N185" s="108"/>
      <c r="O185" s="108"/>
      <c r="P185" s="108"/>
      <c r="Q185" s="108"/>
      <c r="R185" s="108"/>
      <c r="S185" s="108"/>
      <c r="T185" s="115"/>
      <c r="U185" s="115"/>
      <c r="V185" s="108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  <c r="AG185" s="124"/>
      <c r="AH185" s="124"/>
      <c r="AI185" s="124"/>
    </row>
    <row r="186" spans="1:35" s="12" customFormat="1">
      <c r="A186" s="123"/>
      <c r="B186" s="106"/>
      <c r="C186" s="106"/>
      <c r="D186" s="106"/>
      <c r="E186" s="106"/>
      <c r="F186" s="106"/>
      <c r="G186" s="106"/>
      <c r="H186" s="106"/>
      <c r="I186" s="106"/>
      <c r="J186" s="106"/>
      <c r="K186" s="127"/>
      <c r="L186" s="128"/>
      <c r="M186" s="107"/>
      <c r="N186" s="108"/>
      <c r="O186" s="108"/>
      <c r="P186" s="108"/>
      <c r="Q186" s="108"/>
      <c r="R186" s="108"/>
      <c r="S186" s="108"/>
      <c r="T186" s="115"/>
      <c r="U186" s="115"/>
      <c r="V186" s="108"/>
      <c r="W186" s="104"/>
      <c r="X186" s="104"/>
      <c r="Y186" s="104"/>
      <c r="Z186" s="104"/>
      <c r="AA186" s="104"/>
      <c r="AB186" s="104"/>
      <c r="AC186" s="104"/>
      <c r="AD186" s="104"/>
      <c r="AE186" s="104"/>
      <c r="AF186" s="104"/>
      <c r="AG186" s="124"/>
      <c r="AH186" s="124"/>
      <c r="AI186" s="124"/>
    </row>
    <row r="187" spans="1:35" s="12" customFormat="1">
      <c r="A187" s="123"/>
      <c r="B187" s="106"/>
      <c r="C187" s="106"/>
      <c r="D187" s="106"/>
      <c r="E187" s="106"/>
      <c r="F187" s="106"/>
      <c r="G187" s="106"/>
      <c r="H187" s="106"/>
      <c r="I187" s="106"/>
      <c r="J187" s="106"/>
      <c r="K187" s="127"/>
      <c r="L187" s="128"/>
      <c r="M187" s="107"/>
      <c r="N187" s="108"/>
      <c r="O187" s="108"/>
      <c r="P187" s="108"/>
      <c r="Q187" s="108"/>
      <c r="R187" s="108"/>
      <c r="S187" s="108"/>
      <c r="T187" s="115"/>
      <c r="U187" s="115"/>
      <c r="V187" s="108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  <c r="AG187" s="124"/>
      <c r="AH187" s="124"/>
      <c r="AI187" s="124"/>
    </row>
    <row r="188" spans="1:35" s="12" customFormat="1">
      <c r="A188" s="123"/>
      <c r="B188" s="106"/>
      <c r="C188" s="106"/>
      <c r="D188" s="106"/>
      <c r="E188" s="106"/>
      <c r="F188" s="106"/>
      <c r="G188" s="106"/>
      <c r="H188" s="106"/>
      <c r="I188" s="106"/>
      <c r="J188" s="106"/>
      <c r="K188" s="127"/>
      <c r="L188" s="128"/>
      <c r="M188" s="107"/>
      <c r="N188" s="108"/>
      <c r="O188" s="108"/>
      <c r="P188" s="108"/>
      <c r="Q188" s="108"/>
      <c r="R188" s="108"/>
      <c r="S188" s="108"/>
      <c r="T188" s="115"/>
      <c r="U188" s="115"/>
      <c r="V188" s="108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  <c r="AG188" s="124"/>
      <c r="AH188" s="124"/>
      <c r="AI188" s="124"/>
    </row>
    <row r="189" spans="1:35" s="12" customFormat="1">
      <c r="A189" s="123"/>
      <c r="B189" s="106"/>
      <c r="C189" s="106"/>
      <c r="D189" s="106"/>
      <c r="E189" s="106"/>
      <c r="F189" s="106"/>
      <c r="G189" s="106"/>
      <c r="H189" s="106"/>
      <c r="I189" s="106"/>
      <c r="J189" s="106"/>
      <c r="K189" s="127"/>
      <c r="L189" s="128"/>
      <c r="M189" s="107"/>
      <c r="N189" s="108"/>
      <c r="O189" s="108"/>
      <c r="P189" s="108"/>
      <c r="Q189" s="108"/>
      <c r="R189" s="108"/>
      <c r="S189" s="108"/>
      <c r="T189" s="115"/>
      <c r="U189" s="115"/>
      <c r="V189" s="108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24"/>
      <c r="AH189" s="124"/>
      <c r="AI189" s="124"/>
    </row>
    <row r="190" spans="1:35" s="12" customFormat="1">
      <c r="A190" s="123"/>
      <c r="B190" s="106"/>
      <c r="C190" s="106"/>
      <c r="D190" s="106"/>
      <c r="E190" s="106"/>
      <c r="F190" s="106"/>
      <c r="G190" s="106"/>
      <c r="H190" s="106"/>
      <c r="I190" s="106"/>
      <c r="J190" s="106"/>
      <c r="K190" s="127"/>
      <c r="L190" s="128"/>
      <c r="M190" s="107"/>
      <c r="N190" s="108"/>
      <c r="O190" s="108"/>
      <c r="P190" s="108"/>
      <c r="Q190" s="108"/>
      <c r="R190" s="108"/>
      <c r="S190" s="108"/>
      <c r="T190" s="115"/>
      <c r="U190" s="115"/>
      <c r="V190" s="108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  <c r="AG190" s="124"/>
      <c r="AH190" s="124"/>
      <c r="AI190" s="124"/>
    </row>
    <row r="191" spans="1:35" s="12" customFormat="1">
      <c r="A191" s="123"/>
      <c r="B191" s="106"/>
      <c r="C191" s="106"/>
      <c r="D191" s="106"/>
      <c r="E191" s="106"/>
      <c r="F191" s="106"/>
      <c r="G191" s="106"/>
      <c r="H191" s="106"/>
      <c r="I191" s="106"/>
      <c r="J191" s="106"/>
      <c r="K191" s="127"/>
      <c r="L191" s="128"/>
      <c r="M191" s="107"/>
      <c r="N191" s="108"/>
      <c r="O191" s="108"/>
      <c r="P191" s="108"/>
      <c r="Q191" s="108"/>
      <c r="R191" s="108"/>
      <c r="S191" s="108"/>
      <c r="T191" s="115"/>
      <c r="U191" s="115"/>
      <c r="V191" s="108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  <c r="AG191" s="124"/>
      <c r="AH191" s="124"/>
      <c r="AI191" s="124"/>
    </row>
    <row r="192" spans="1:35" s="12" customFormat="1">
      <c r="A192" s="123"/>
      <c r="B192" s="106"/>
      <c r="C192" s="106"/>
      <c r="D192" s="106"/>
      <c r="E192" s="106"/>
      <c r="F192" s="106"/>
      <c r="G192" s="106"/>
      <c r="H192" s="106"/>
      <c r="I192" s="106"/>
      <c r="J192" s="106"/>
      <c r="K192" s="127"/>
      <c r="L192" s="128"/>
      <c r="M192" s="107"/>
      <c r="N192" s="108"/>
      <c r="O192" s="108"/>
      <c r="P192" s="108"/>
      <c r="Q192" s="108"/>
      <c r="R192" s="108"/>
      <c r="S192" s="108"/>
      <c r="T192" s="108"/>
      <c r="U192" s="108"/>
      <c r="V192" s="108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24"/>
      <c r="AH192" s="124"/>
      <c r="AI192" s="124"/>
    </row>
    <row r="193" spans="1:35" s="12" customFormat="1">
      <c r="A193" s="123"/>
      <c r="B193" s="106"/>
      <c r="C193" s="106"/>
      <c r="D193" s="106"/>
      <c r="E193" s="106"/>
      <c r="F193" s="106"/>
      <c r="G193" s="106"/>
      <c r="H193" s="106"/>
      <c r="I193" s="106"/>
      <c r="J193" s="106"/>
      <c r="K193" s="127"/>
      <c r="L193" s="128"/>
      <c r="M193" s="107"/>
      <c r="N193" s="108"/>
      <c r="O193" s="108"/>
      <c r="P193" s="108"/>
      <c r="Q193" s="108"/>
      <c r="R193" s="108"/>
      <c r="S193" s="108"/>
      <c r="T193" s="108"/>
      <c r="U193" s="108"/>
      <c r="V193" s="108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  <c r="AG193" s="124"/>
      <c r="AH193" s="124"/>
      <c r="AI193" s="124"/>
    </row>
    <row r="194" spans="1:35" s="12" customFormat="1">
      <c r="A194" s="123"/>
      <c r="B194" s="106"/>
      <c r="C194" s="106"/>
      <c r="D194" s="106"/>
      <c r="E194" s="106"/>
      <c r="F194" s="106"/>
      <c r="G194" s="106"/>
      <c r="H194" s="106"/>
      <c r="I194" s="106"/>
      <c r="J194" s="106"/>
      <c r="K194" s="127"/>
      <c r="L194" s="128"/>
      <c r="M194" s="107"/>
      <c r="N194" s="108"/>
      <c r="O194" s="108"/>
      <c r="P194" s="108"/>
      <c r="Q194" s="108"/>
      <c r="R194" s="108"/>
      <c r="S194" s="108"/>
      <c r="T194" s="108"/>
      <c r="U194" s="108"/>
      <c r="V194" s="10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24"/>
      <c r="AH194" s="124"/>
      <c r="AI194" s="124"/>
    </row>
    <row r="195" spans="1:35" s="12" customFormat="1">
      <c r="A195" s="123"/>
      <c r="B195" s="106"/>
      <c r="C195" s="106"/>
      <c r="D195" s="106"/>
      <c r="E195" s="106"/>
      <c r="F195" s="106"/>
      <c r="G195" s="106"/>
      <c r="H195" s="106"/>
      <c r="I195" s="106"/>
      <c r="J195" s="106"/>
      <c r="K195" s="127"/>
      <c r="L195" s="128"/>
      <c r="M195" s="107"/>
      <c r="N195" s="108"/>
      <c r="O195" s="108"/>
      <c r="P195" s="108"/>
      <c r="Q195" s="108"/>
      <c r="R195" s="108"/>
      <c r="S195" s="108"/>
      <c r="T195" s="108"/>
      <c r="U195" s="108"/>
      <c r="V195" s="108"/>
      <c r="W195" s="104"/>
      <c r="X195" s="104"/>
      <c r="Y195" s="104"/>
      <c r="Z195" s="104"/>
      <c r="AA195" s="104"/>
      <c r="AB195" s="104"/>
      <c r="AC195" s="104"/>
      <c r="AD195" s="104"/>
      <c r="AE195" s="104"/>
      <c r="AF195" s="104"/>
      <c r="AG195" s="124"/>
      <c r="AH195" s="124"/>
      <c r="AI195" s="124"/>
    </row>
    <row r="196" spans="1:35" s="12" customFormat="1">
      <c r="A196" s="123"/>
      <c r="B196" s="106"/>
      <c r="C196" s="106"/>
      <c r="D196" s="106"/>
      <c r="E196" s="106"/>
      <c r="F196" s="106"/>
      <c r="G196" s="106"/>
      <c r="H196" s="106"/>
      <c r="I196" s="106"/>
      <c r="J196" s="106"/>
      <c r="K196" s="127"/>
      <c r="L196" s="128"/>
      <c r="M196" s="107"/>
      <c r="N196" s="108"/>
      <c r="O196" s="108"/>
      <c r="P196" s="108"/>
      <c r="Q196" s="108"/>
      <c r="R196" s="108"/>
      <c r="S196" s="108"/>
      <c r="T196" s="108"/>
      <c r="U196" s="108"/>
      <c r="V196" s="108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24"/>
      <c r="AH196" s="124"/>
      <c r="AI196" s="124"/>
    </row>
    <row r="197" spans="1:35" s="12" customFormat="1">
      <c r="A197" s="123"/>
      <c r="B197" s="106"/>
      <c r="C197" s="106"/>
      <c r="D197" s="106"/>
      <c r="E197" s="106"/>
      <c r="F197" s="106"/>
      <c r="G197" s="106"/>
      <c r="H197" s="106"/>
      <c r="I197" s="106"/>
      <c r="J197" s="106"/>
      <c r="K197" s="127"/>
      <c r="L197" s="128"/>
      <c r="M197" s="107"/>
      <c r="N197" s="108"/>
      <c r="O197" s="108"/>
      <c r="P197" s="108"/>
      <c r="Q197" s="108"/>
      <c r="R197" s="108"/>
      <c r="S197" s="108"/>
      <c r="T197" s="108"/>
      <c r="U197" s="108"/>
      <c r="V197" s="108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24"/>
      <c r="AH197" s="124"/>
      <c r="AI197" s="124"/>
    </row>
    <row r="198" spans="1:35" s="12" customFormat="1">
      <c r="A198" s="123"/>
      <c r="B198" s="106"/>
      <c r="C198" s="106"/>
      <c r="D198" s="106"/>
      <c r="E198" s="106"/>
      <c r="F198" s="106"/>
      <c r="G198" s="106"/>
      <c r="H198" s="106"/>
      <c r="I198" s="106"/>
      <c r="J198" s="106"/>
      <c r="K198" s="127"/>
      <c r="L198" s="128"/>
      <c r="M198" s="107"/>
      <c r="N198" s="108"/>
      <c r="O198" s="108"/>
      <c r="P198" s="108"/>
      <c r="Q198" s="108"/>
      <c r="R198" s="108"/>
      <c r="S198" s="108"/>
      <c r="T198" s="108"/>
      <c r="U198" s="108"/>
      <c r="V198" s="108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24"/>
      <c r="AH198" s="124"/>
      <c r="AI198" s="124"/>
    </row>
    <row r="199" spans="1:35" s="12" customFormat="1">
      <c r="A199" s="123"/>
      <c r="B199" s="106"/>
      <c r="C199" s="106"/>
      <c r="D199" s="106"/>
      <c r="E199" s="106"/>
      <c r="F199" s="106"/>
      <c r="G199" s="106"/>
      <c r="H199" s="106"/>
      <c r="I199" s="106"/>
      <c r="J199" s="106"/>
      <c r="K199" s="127"/>
      <c r="L199" s="128"/>
      <c r="M199" s="107"/>
      <c r="N199" s="108"/>
      <c r="O199" s="108"/>
      <c r="P199" s="108"/>
      <c r="Q199" s="108"/>
      <c r="R199" s="10"/>
      <c r="S199" s="108"/>
      <c r="T199" s="108"/>
      <c r="U199" s="108"/>
      <c r="V199" s="108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24"/>
      <c r="AH199" s="124"/>
      <c r="AI199" s="124"/>
    </row>
    <row r="200" spans="1:35" s="12" customFormat="1">
      <c r="A200" s="123"/>
      <c r="B200" s="106"/>
      <c r="C200" s="106"/>
      <c r="D200" s="106"/>
      <c r="E200" s="106"/>
      <c r="F200" s="106"/>
      <c r="G200" s="106"/>
      <c r="H200" s="106"/>
      <c r="I200" s="106"/>
      <c r="J200" s="106"/>
      <c r="K200" s="127"/>
      <c r="L200" s="128"/>
      <c r="M200" s="10"/>
      <c r="N200" s="108"/>
      <c r="O200" s="108"/>
      <c r="P200" s="108"/>
      <c r="Q200" s="108"/>
      <c r="R200" s="108"/>
      <c r="S200" s="108"/>
      <c r="T200" s="108"/>
      <c r="U200" s="108"/>
      <c r="V200" s="108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24"/>
      <c r="AH200" s="124"/>
      <c r="AI200" s="124"/>
    </row>
    <row r="201" spans="1:35" s="12" customFormat="1">
      <c r="A201" s="123"/>
      <c r="B201" s="106"/>
      <c r="C201" s="106"/>
      <c r="D201" s="106"/>
      <c r="E201" s="106"/>
      <c r="F201" s="106"/>
      <c r="G201" s="106"/>
      <c r="H201" s="106"/>
      <c r="I201" s="106"/>
      <c r="J201" s="106"/>
      <c r="K201" s="127"/>
      <c r="L201" s="128"/>
      <c r="M201" s="107"/>
      <c r="N201" s="108"/>
      <c r="O201" s="10"/>
      <c r="P201" s="10"/>
      <c r="Q201" s="10"/>
      <c r="R201" s="108"/>
      <c r="S201" s="10"/>
      <c r="T201" s="10"/>
      <c r="U201" s="10"/>
      <c r="V201" s="108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24"/>
      <c r="AH201" s="124"/>
      <c r="AI201" s="124"/>
    </row>
    <row r="202" spans="1:35" s="12" customFormat="1">
      <c r="A202" s="123"/>
      <c r="B202" s="106"/>
      <c r="C202" s="106"/>
      <c r="D202" s="106"/>
      <c r="E202" s="106"/>
      <c r="F202" s="106"/>
      <c r="G202" s="106"/>
      <c r="H202" s="106"/>
      <c r="I202" s="106"/>
      <c r="J202" s="106"/>
      <c r="K202" s="127"/>
      <c r="L202" s="128"/>
      <c r="M202" s="107"/>
      <c r="N202" s="108"/>
      <c r="O202" s="108"/>
      <c r="P202" s="108"/>
      <c r="Q202" s="108"/>
      <c r="R202" s="108"/>
      <c r="S202" s="108"/>
      <c r="T202" s="108"/>
      <c r="U202" s="108"/>
      <c r="V202" s="108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24"/>
      <c r="AH202" s="124"/>
      <c r="AI202" s="124"/>
    </row>
    <row r="203" spans="1:35" s="12" customFormat="1">
      <c r="A203" s="123"/>
      <c r="B203" s="106"/>
      <c r="C203" s="106"/>
      <c r="D203" s="106"/>
      <c r="E203" s="106"/>
      <c r="F203" s="106"/>
      <c r="G203" s="106"/>
      <c r="H203" s="106"/>
      <c r="I203" s="106"/>
      <c r="J203" s="106"/>
      <c r="K203" s="127"/>
      <c r="L203" s="128"/>
      <c r="M203" s="107"/>
      <c r="N203" s="108"/>
      <c r="O203" s="108"/>
      <c r="P203" s="108"/>
      <c r="Q203" s="108"/>
      <c r="R203" s="108"/>
      <c r="S203" s="108"/>
      <c r="T203" s="108"/>
      <c r="U203" s="108"/>
      <c r="V203" s="108"/>
      <c r="W203" s="104"/>
      <c r="X203" s="104"/>
      <c r="Y203" s="104"/>
      <c r="Z203" s="104"/>
      <c r="AA203" s="104"/>
      <c r="AB203" s="104"/>
      <c r="AC203" s="104"/>
      <c r="AD203" s="104"/>
      <c r="AE203" s="104"/>
      <c r="AF203" s="104"/>
      <c r="AG203" s="124"/>
      <c r="AH203" s="124"/>
      <c r="AI203" s="124"/>
    </row>
    <row r="204" spans="1:35" s="12" customFormat="1">
      <c r="A204" s="123"/>
      <c r="B204" s="106"/>
      <c r="C204" s="106"/>
      <c r="D204" s="106"/>
      <c r="E204" s="106"/>
      <c r="F204" s="106"/>
      <c r="G204" s="106"/>
      <c r="H204" s="106"/>
      <c r="I204" s="106"/>
      <c r="J204" s="106"/>
      <c r="K204" s="127"/>
      <c r="L204" s="128"/>
      <c r="M204" s="107"/>
      <c r="N204" s="10"/>
      <c r="O204" s="108"/>
      <c r="P204" s="108"/>
      <c r="Q204" s="108"/>
      <c r="R204" s="108"/>
      <c r="S204" s="108"/>
      <c r="T204" s="108"/>
      <c r="U204" s="108"/>
      <c r="V204" s="108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  <c r="AG204" s="124"/>
      <c r="AH204" s="124"/>
      <c r="AI204" s="124"/>
    </row>
    <row r="205" spans="1:35" s="12" customFormat="1">
      <c r="A205" s="123"/>
      <c r="B205" s="106"/>
      <c r="C205" s="106"/>
      <c r="D205" s="106"/>
      <c r="E205" s="106"/>
      <c r="F205" s="106"/>
      <c r="G205" s="106"/>
      <c r="H205" s="106"/>
      <c r="I205" s="106"/>
      <c r="J205" s="106"/>
      <c r="K205" s="127"/>
      <c r="L205" s="128"/>
      <c r="M205" s="107"/>
      <c r="N205" s="108"/>
      <c r="O205" s="108"/>
      <c r="P205" s="108"/>
      <c r="Q205" s="108"/>
      <c r="R205" s="108"/>
      <c r="S205" s="108"/>
      <c r="T205" s="108"/>
      <c r="U205" s="108"/>
      <c r="V205" s="108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24"/>
      <c r="AH205" s="124"/>
      <c r="AI205" s="124"/>
    </row>
    <row r="206" spans="1:35" s="12" customFormat="1">
      <c r="A206" s="123"/>
      <c r="B206" s="106"/>
      <c r="C206" s="106"/>
      <c r="D206" s="106"/>
      <c r="E206" s="106"/>
      <c r="F206" s="106"/>
      <c r="G206" s="106"/>
      <c r="H206" s="106"/>
      <c r="I206" s="106"/>
      <c r="J206" s="106"/>
      <c r="K206" s="127"/>
      <c r="L206" s="128"/>
      <c r="M206" s="107"/>
      <c r="N206" s="108"/>
      <c r="O206" s="108"/>
      <c r="P206" s="108"/>
      <c r="Q206" s="108"/>
      <c r="R206" s="108"/>
      <c r="S206" s="108"/>
      <c r="T206" s="108"/>
      <c r="U206" s="108"/>
      <c r="V206" s="108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24"/>
      <c r="AH206" s="124"/>
      <c r="AI206" s="124"/>
    </row>
    <row r="207" spans="1:35" s="12" customFormat="1">
      <c r="A207" s="123"/>
      <c r="B207" s="106"/>
      <c r="C207" s="106"/>
      <c r="D207" s="106"/>
      <c r="E207" s="106"/>
      <c r="F207" s="106"/>
      <c r="G207" s="106"/>
      <c r="H207" s="106"/>
      <c r="I207" s="106"/>
      <c r="J207" s="106"/>
      <c r="K207" s="127"/>
      <c r="L207" s="128"/>
      <c r="M207" s="107"/>
      <c r="N207" s="108"/>
      <c r="O207" s="108"/>
      <c r="P207" s="108"/>
      <c r="Q207" s="108"/>
      <c r="R207" s="108"/>
      <c r="S207" s="108"/>
      <c r="T207" s="108"/>
      <c r="U207" s="108"/>
      <c r="V207" s="108"/>
      <c r="W207" s="104"/>
      <c r="X207" s="104"/>
      <c r="Y207" s="104"/>
      <c r="Z207" s="104"/>
      <c r="AA207" s="104"/>
      <c r="AB207" s="104"/>
      <c r="AC207" s="104"/>
      <c r="AD207" s="104"/>
      <c r="AE207" s="104"/>
      <c r="AF207" s="104"/>
      <c r="AG207" s="124"/>
      <c r="AH207" s="124"/>
      <c r="AI207" s="124"/>
    </row>
    <row r="208" spans="1:35" s="12" customFormat="1">
      <c r="A208" s="123"/>
      <c r="B208" s="106"/>
      <c r="C208" s="106"/>
      <c r="D208" s="106"/>
      <c r="E208" s="106"/>
      <c r="F208" s="106"/>
      <c r="G208" s="106"/>
      <c r="H208" s="106"/>
      <c r="I208" s="106"/>
      <c r="J208" s="106"/>
      <c r="K208" s="127"/>
      <c r="L208" s="128"/>
      <c r="M208" s="107"/>
      <c r="N208" s="108"/>
      <c r="O208" s="108"/>
      <c r="P208" s="108"/>
      <c r="Q208" s="108"/>
      <c r="R208" s="108"/>
      <c r="S208" s="108"/>
      <c r="T208" s="108"/>
      <c r="U208" s="108"/>
      <c r="V208" s="108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  <c r="AG208" s="124"/>
      <c r="AH208" s="124"/>
      <c r="AI208" s="124"/>
    </row>
    <row r="209" spans="1:35" s="12" customFormat="1">
      <c r="A209" s="123"/>
      <c r="B209" s="106"/>
      <c r="C209" s="106"/>
      <c r="D209" s="106"/>
      <c r="E209" s="106"/>
      <c r="F209" s="106"/>
      <c r="G209" s="106"/>
      <c r="H209" s="106"/>
      <c r="I209" s="106"/>
      <c r="J209" s="106"/>
      <c r="K209" s="127"/>
      <c r="L209" s="128"/>
      <c r="M209" s="107"/>
      <c r="N209" s="108"/>
      <c r="O209" s="108"/>
      <c r="P209" s="108"/>
      <c r="Q209" s="108"/>
      <c r="R209" s="108"/>
      <c r="S209" s="108"/>
      <c r="T209" s="108"/>
      <c r="U209" s="108"/>
      <c r="V209" s="108"/>
      <c r="W209" s="104"/>
      <c r="X209" s="104"/>
      <c r="Y209" s="104"/>
      <c r="Z209" s="104"/>
      <c r="AA209" s="104"/>
      <c r="AB209" s="104"/>
      <c r="AC209" s="104"/>
      <c r="AD209" s="104"/>
      <c r="AE209" s="104"/>
      <c r="AF209" s="104"/>
      <c r="AG209" s="124"/>
      <c r="AH209" s="124"/>
      <c r="AI209" s="124"/>
    </row>
    <row r="210" spans="1:35" s="12" customFormat="1">
      <c r="A210" s="123"/>
      <c r="B210" s="106"/>
      <c r="C210" s="106"/>
      <c r="D210" s="106"/>
      <c r="E210" s="106"/>
      <c r="F210" s="106"/>
      <c r="G210" s="106"/>
      <c r="H210" s="106"/>
      <c r="I210" s="106"/>
      <c r="J210" s="106"/>
      <c r="K210" s="127"/>
      <c r="L210" s="117"/>
      <c r="M210" s="107"/>
      <c r="N210" s="108"/>
      <c r="O210" s="108"/>
      <c r="P210" s="108"/>
      <c r="Q210" s="108"/>
      <c r="R210" s="108"/>
      <c r="S210" s="108"/>
      <c r="T210" s="108"/>
      <c r="U210" s="108"/>
      <c r="V210" s="108"/>
      <c r="W210" s="104"/>
      <c r="X210" s="104"/>
      <c r="Y210" s="104"/>
      <c r="Z210" s="104"/>
      <c r="AA210" s="104"/>
      <c r="AB210" s="104"/>
      <c r="AC210" s="104"/>
      <c r="AD210" s="104"/>
      <c r="AE210" s="104"/>
      <c r="AF210" s="104"/>
      <c r="AG210" s="124"/>
      <c r="AH210" s="124"/>
      <c r="AI210" s="124"/>
    </row>
    <row r="211" spans="1:35" s="12" customFormat="1">
      <c r="A211" s="123"/>
      <c r="B211" s="106"/>
      <c r="C211" s="106"/>
      <c r="D211" s="106"/>
      <c r="E211" s="106"/>
      <c r="F211" s="106"/>
      <c r="G211" s="106"/>
      <c r="H211" s="106"/>
      <c r="I211" s="106"/>
      <c r="J211" s="106"/>
      <c r="K211" s="127"/>
      <c r="L211" s="117"/>
      <c r="M211" s="107"/>
      <c r="N211" s="108"/>
      <c r="O211" s="108"/>
      <c r="P211" s="108"/>
      <c r="Q211" s="108"/>
      <c r="R211" s="108"/>
      <c r="S211" s="108"/>
      <c r="T211" s="108"/>
      <c r="U211" s="108"/>
      <c r="V211" s="108"/>
      <c r="W211" s="104"/>
      <c r="X211" s="104"/>
      <c r="Y211" s="104"/>
      <c r="Z211" s="104"/>
      <c r="AA211" s="104"/>
      <c r="AB211" s="104"/>
      <c r="AC211" s="104"/>
      <c r="AD211" s="104"/>
      <c r="AE211" s="104"/>
      <c r="AF211" s="104"/>
      <c r="AG211" s="124"/>
      <c r="AH211" s="124"/>
      <c r="AI211" s="124"/>
    </row>
    <row r="212" spans="1:35" s="12" customFormat="1">
      <c r="A212" s="123"/>
      <c r="B212" s="106"/>
      <c r="C212" s="106"/>
      <c r="D212" s="106"/>
      <c r="E212" s="106"/>
      <c r="F212" s="106"/>
      <c r="G212" s="106"/>
      <c r="H212" s="106"/>
      <c r="I212" s="106"/>
      <c r="J212" s="106"/>
      <c r="K212" s="127"/>
      <c r="L212" s="117"/>
      <c r="M212" s="107"/>
      <c r="N212" s="108"/>
      <c r="O212" s="108"/>
      <c r="P212" s="108"/>
      <c r="Q212" s="108"/>
      <c r="R212" s="108"/>
      <c r="S212" s="108"/>
      <c r="T212" s="108"/>
      <c r="U212" s="108"/>
      <c r="V212" s="108"/>
      <c r="W212" s="104"/>
      <c r="X212" s="104"/>
      <c r="Y212" s="104"/>
      <c r="Z212" s="104"/>
      <c r="AA212" s="104"/>
      <c r="AB212" s="104"/>
      <c r="AC212" s="104"/>
      <c r="AD212" s="104"/>
      <c r="AE212" s="104"/>
      <c r="AF212" s="104"/>
      <c r="AG212" s="124"/>
      <c r="AH212" s="124"/>
      <c r="AI212" s="124"/>
    </row>
    <row r="213" spans="1:35" s="12" customFormat="1">
      <c r="A213" s="123"/>
      <c r="B213" s="106"/>
      <c r="C213" s="106"/>
      <c r="D213" s="106"/>
      <c r="E213" s="106"/>
      <c r="F213" s="106"/>
      <c r="G213" s="106"/>
      <c r="H213" s="106"/>
      <c r="I213" s="106"/>
      <c r="J213" s="106"/>
      <c r="K213" s="127"/>
      <c r="L213" s="126"/>
      <c r="M213" s="107"/>
      <c r="N213" s="108"/>
      <c r="O213" s="108"/>
      <c r="P213" s="108"/>
      <c r="Q213" s="108"/>
      <c r="R213" s="108"/>
      <c r="S213" s="108"/>
      <c r="T213" s="108"/>
      <c r="U213" s="108"/>
      <c r="V213" s="108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  <c r="AG213" s="124"/>
      <c r="AH213" s="124"/>
      <c r="AI213" s="124"/>
    </row>
    <row r="214" spans="1:35" s="12" customFormat="1">
      <c r="A214" s="123"/>
      <c r="B214" s="106"/>
      <c r="C214" s="106"/>
      <c r="D214" s="106"/>
      <c r="E214" s="106"/>
      <c r="F214" s="106"/>
      <c r="G214" s="106"/>
      <c r="H214" s="106"/>
      <c r="I214" s="106"/>
      <c r="J214" s="106"/>
      <c r="K214" s="127"/>
      <c r="L214" s="126"/>
      <c r="M214" s="107"/>
      <c r="N214" s="108"/>
      <c r="O214" s="108"/>
      <c r="P214" s="108"/>
      <c r="Q214" s="108"/>
      <c r="R214" s="108"/>
      <c r="S214" s="108"/>
      <c r="T214" s="108"/>
      <c r="U214" s="108"/>
      <c r="V214" s="108"/>
      <c r="W214" s="104"/>
      <c r="X214" s="104"/>
      <c r="Y214" s="104"/>
      <c r="Z214" s="104"/>
      <c r="AA214" s="104"/>
      <c r="AB214" s="104"/>
      <c r="AC214" s="104"/>
      <c r="AD214" s="104"/>
      <c r="AE214" s="104"/>
      <c r="AF214" s="104"/>
      <c r="AG214" s="124"/>
      <c r="AH214" s="124"/>
      <c r="AI214" s="124"/>
    </row>
    <row r="215" spans="1:35" s="12" customFormat="1">
      <c r="A215" s="123"/>
      <c r="B215" s="106"/>
      <c r="C215" s="106"/>
      <c r="D215" s="106"/>
      <c r="E215" s="106"/>
      <c r="F215" s="106"/>
      <c r="G215" s="106"/>
      <c r="H215" s="106"/>
      <c r="I215" s="106"/>
      <c r="J215" s="106"/>
      <c r="K215" s="127"/>
      <c r="L215" s="126"/>
      <c r="M215" s="107"/>
      <c r="N215" s="108"/>
      <c r="O215" s="108"/>
      <c r="P215" s="108"/>
      <c r="Q215" s="108"/>
      <c r="R215" s="108"/>
      <c r="S215" s="108"/>
      <c r="T215" s="108"/>
      <c r="U215" s="108"/>
      <c r="V215" s="107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  <c r="AG215" s="124"/>
      <c r="AH215" s="124"/>
      <c r="AI215" s="124"/>
    </row>
    <row r="216" spans="1:35" s="12" customFormat="1">
      <c r="A216" s="123"/>
      <c r="B216" s="106"/>
      <c r="C216" s="106"/>
      <c r="D216" s="106"/>
      <c r="E216" s="106"/>
      <c r="F216" s="106"/>
      <c r="G216" s="106"/>
      <c r="H216" s="106"/>
      <c r="I216" s="106"/>
      <c r="J216" s="106"/>
      <c r="K216" s="127"/>
      <c r="L216" s="117"/>
      <c r="M216" s="107"/>
      <c r="N216" s="108"/>
      <c r="O216" s="108"/>
      <c r="P216" s="108"/>
      <c r="Q216" s="108"/>
      <c r="R216" s="108"/>
      <c r="S216" s="108"/>
      <c r="T216" s="108"/>
      <c r="U216" s="108"/>
      <c r="V216" s="107"/>
      <c r="W216" s="104"/>
      <c r="X216" s="104"/>
      <c r="Y216" s="104"/>
      <c r="Z216" s="104"/>
      <c r="AA216" s="104"/>
      <c r="AB216" s="104"/>
      <c r="AC216" s="104"/>
      <c r="AD216" s="104"/>
      <c r="AE216" s="104"/>
      <c r="AF216" s="104"/>
      <c r="AG216" s="124"/>
      <c r="AH216" s="124"/>
      <c r="AI216" s="124"/>
    </row>
    <row r="217" spans="1:35" s="12" customFormat="1">
      <c r="A217" s="123"/>
      <c r="B217" s="106"/>
      <c r="C217" s="106"/>
      <c r="D217" s="106"/>
      <c r="E217" s="106"/>
      <c r="F217" s="106"/>
      <c r="G217" s="106"/>
      <c r="H217" s="106"/>
      <c r="I217" s="106"/>
      <c r="J217" s="106"/>
      <c r="K217" s="127"/>
      <c r="L217" s="117"/>
      <c r="M217" s="107"/>
      <c r="N217" s="108"/>
      <c r="O217" s="108"/>
      <c r="P217" s="108"/>
      <c r="Q217" s="108"/>
      <c r="R217" s="108"/>
      <c r="S217" s="108"/>
      <c r="T217" s="108"/>
      <c r="U217" s="108"/>
      <c r="V217" s="107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24"/>
      <c r="AH217" s="124"/>
      <c r="AI217" s="124"/>
    </row>
    <row r="218" spans="1:35" s="12" customFormat="1">
      <c r="A218" s="123"/>
      <c r="B218" s="106"/>
      <c r="C218" s="106"/>
      <c r="D218" s="106"/>
      <c r="E218" s="106"/>
      <c r="F218" s="106"/>
      <c r="G218" s="106"/>
      <c r="H218" s="106"/>
      <c r="I218" s="106"/>
      <c r="J218" s="106"/>
      <c r="K218" s="127"/>
      <c r="L218" s="126"/>
      <c r="M218" s="107"/>
      <c r="N218" s="108"/>
      <c r="O218" s="108"/>
      <c r="P218" s="108"/>
      <c r="Q218" s="108"/>
      <c r="R218" s="108"/>
      <c r="S218" s="108"/>
      <c r="T218" s="108"/>
      <c r="U218" s="108"/>
      <c r="V218" s="107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  <c r="AG218" s="124"/>
      <c r="AH218" s="124"/>
      <c r="AI218" s="124"/>
    </row>
    <row r="219" spans="1:35" s="12" customFormat="1">
      <c r="A219" s="123"/>
      <c r="B219" s="106"/>
      <c r="C219" s="106"/>
      <c r="D219" s="106"/>
      <c r="E219" s="106"/>
      <c r="F219" s="106"/>
      <c r="G219" s="106"/>
      <c r="H219" s="106"/>
      <c r="I219" s="106"/>
      <c r="J219" s="106"/>
      <c r="K219" s="127"/>
      <c r="L219" s="126"/>
      <c r="M219" s="107"/>
      <c r="N219" s="108"/>
      <c r="O219" s="108"/>
      <c r="P219" s="108"/>
      <c r="Q219" s="108"/>
      <c r="R219" s="108"/>
      <c r="S219" s="108"/>
      <c r="T219" s="108"/>
      <c r="U219" s="108"/>
      <c r="V219" s="107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  <c r="AG219" s="124"/>
      <c r="AH219" s="124"/>
      <c r="AI219" s="124"/>
    </row>
    <row r="220" spans="1:35" s="12" customFormat="1">
      <c r="A220" s="123"/>
      <c r="B220" s="106"/>
      <c r="C220" s="106"/>
      <c r="D220" s="106"/>
      <c r="E220" s="106"/>
      <c r="F220" s="106"/>
      <c r="G220" s="106"/>
      <c r="H220" s="106"/>
      <c r="I220" s="106"/>
      <c r="J220" s="106"/>
      <c r="K220" s="127"/>
      <c r="L220" s="126"/>
      <c r="M220" s="107"/>
      <c r="N220" s="108"/>
      <c r="O220" s="108"/>
      <c r="P220" s="108"/>
      <c r="Q220" s="108"/>
      <c r="R220" s="107"/>
      <c r="S220" s="108"/>
      <c r="T220" s="108"/>
      <c r="U220" s="108"/>
      <c r="V220" s="107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24"/>
      <c r="AH220" s="124"/>
      <c r="AI220" s="124"/>
    </row>
    <row r="221" spans="1:35" s="12" customFormat="1">
      <c r="A221" s="123"/>
      <c r="B221" s="106"/>
      <c r="C221" s="106"/>
      <c r="D221" s="106"/>
      <c r="E221" s="106"/>
      <c r="F221" s="106"/>
      <c r="G221" s="106"/>
      <c r="H221" s="106"/>
      <c r="I221" s="106"/>
      <c r="J221" s="106"/>
      <c r="K221" s="127"/>
      <c r="L221" s="113"/>
      <c r="M221" s="107"/>
      <c r="N221" s="108"/>
      <c r="O221" s="108"/>
      <c r="P221" s="108"/>
      <c r="Q221" s="108"/>
      <c r="R221" s="107"/>
      <c r="S221" s="108"/>
      <c r="T221" s="108"/>
      <c r="U221" s="108"/>
      <c r="V221" s="107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  <c r="AG221" s="124"/>
      <c r="AH221" s="124"/>
      <c r="AI221" s="124"/>
    </row>
    <row r="222" spans="1:35" s="12" customFormat="1">
      <c r="A222" s="123"/>
      <c r="B222" s="106"/>
      <c r="C222" s="106"/>
      <c r="D222" s="106"/>
      <c r="E222" s="106"/>
      <c r="F222" s="106"/>
      <c r="G222" s="106"/>
      <c r="H222" s="106"/>
      <c r="I222" s="106"/>
      <c r="J222" s="106"/>
      <c r="K222" s="127"/>
      <c r="L222" s="113"/>
      <c r="M222" s="107"/>
      <c r="N222" s="108"/>
      <c r="O222" s="107"/>
      <c r="P222" s="107"/>
      <c r="Q222" s="107"/>
      <c r="R222" s="107"/>
      <c r="S222" s="107"/>
      <c r="T222" s="108"/>
      <c r="U222" s="108"/>
      <c r="V222" s="107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4"/>
      <c r="AG222" s="124"/>
      <c r="AH222" s="124"/>
      <c r="AI222" s="124"/>
    </row>
    <row r="223" spans="1:35" s="12" customFormat="1">
      <c r="A223" s="123"/>
      <c r="B223" s="106"/>
      <c r="C223" s="106"/>
      <c r="D223" s="106"/>
      <c r="E223" s="106"/>
      <c r="F223" s="106"/>
      <c r="G223" s="106"/>
      <c r="H223" s="106"/>
      <c r="I223" s="106"/>
      <c r="J223" s="106"/>
      <c r="K223" s="127"/>
      <c r="L223" s="113"/>
      <c r="M223" s="107"/>
      <c r="N223" s="108"/>
      <c r="O223" s="107"/>
      <c r="P223" s="107"/>
      <c r="Q223" s="107"/>
      <c r="R223" s="107"/>
      <c r="S223" s="107"/>
      <c r="T223" s="108"/>
      <c r="U223" s="108"/>
      <c r="V223" s="107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4"/>
      <c r="AG223" s="124"/>
      <c r="AH223" s="124"/>
      <c r="AI223" s="124"/>
    </row>
    <row r="224" spans="1:35" s="12" customFormat="1">
      <c r="A224" s="123"/>
      <c r="B224" s="106"/>
      <c r="C224" s="106"/>
      <c r="D224" s="106"/>
      <c r="E224" s="106"/>
      <c r="F224" s="106"/>
      <c r="G224" s="106"/>
      <c r="H224" s="106"/>
      <c r="I224" s="106"/>
      <c r="J224" s="106"/>
      <c r="K224" s="127"/>
      <c r="L224" s="113"/>
      <c r="M224" s="107"/>
      <c r="N224" s="108"/>
      <c r="O224" s="107"/>
      <c r="P224" s="107"/>
      <c r="Q224" s="107"/>
      <c r="R224" s="107"/>
      <c r="S224" s="107"/>
      <c r="T224" s="108"/>
      <c r="U224" s="108"/>
      <c r="V224" s="107"/>
      <c r="W224" s="104"/>
      <c r="X224" s="104"/>
      <c r="Y224" s="104"/>
      <c r="Z224" s="104"/>
      <c r="AA224" s="104"/>
      <c r="AB224" s="104"/>
      <c r="AC224" s="104"/>
      <c r="AD224" s="104"/>
      <c r="AE224" s="104"/>
      <c r="AF224" s="104"/>
      <c r="AG224" s="124"/>
      <c r="AH224" s="124"/>
      <c r="AI224" s="124"/>
    </row>
    <row r="225" spans="1:35" s="12" customFormat="1">
      <c r="A225" s="123"/>
      <c r="B225" s="106"/>
      <c r="C225" s="106"/>
      <c r="D225" s="106"/>
      <c r="E225" s="106"/>
      <c r="F225" s="106"/>
      <c r="G225" s="106"/>
      <c r="H225" s="106"/>
      <c r="I225" s="106"/>
      <c r="J225" s="106"/>
      <c r="K225" s="127"/>
      <c r="L225" s="113"/>
      <c r="M225" s="107"/>
      <c r="N225" s="107"/>
      <c r="O225" s="107"/>
      <c r="P225" s="107"/>
      <c r="Q225" s="107"/>
      <c r="R225" s="107"/>
      <c r="S225" s="107"/>
      <c r="T225" s="108"/>
      <c r="U225" s="108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  <c r="AF225" s="104"/>
      <c r="AG225" s="124"/>
      <c r="AH225" s="124"/>
      <c r="AI225" s="124"/>
    </row>
    <row r="226" spans="1:35" s="12" customFormat="1">
      <c r="A226" s="123"/>
      <c r="B226" s="106"/>
      <c r="C226" s="106"/>
      <c r="D226" s="106"/>
      <c r="E226" s="106"/>
      <c r="F226" s="106"/>
      <c r="G226" s="106"/>
      <c r="H226" s="106"/>
      <c r="I226" s="106"/>
      <c r="J226" s="106"/>
      <c r="K226" s="127"/>
      <c r="L226" s="113"/>
      <c r="M226" s="107"/>
      <c r="N226" s="107"/>
      <c r="O226" s="107"/>
      <c r="P226" s="107"/>
      <c r="Q226" s="107"/>
      <c r="R226" s="107"/>
      <c r="S226" s="107"/>
      <c r="T226" s="108"/>
      <c r="U226" s="108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  <c r="AF226" s="104"/>
      <c r="AG226" s="124"/>
      <c r="AH226" s="124"/>
      <c r="AI226" s="124"/>
    </row>
    <row r="227" spans="1:35" s="12" customFormat="1">
      <c r="A227" s="123"/>
      <c r="B227" s="106"/>
      <c r="C227" s="106"/>
      <c r="D227" s="106"/>
      <c r="E227" s="106"/>
      <c r="F227" s="106"/>
      <c r="G227" s="106"/>
      <c r="H227" s="106"/>
      <c r="I227" s="106"/>
      <c r="J227" s="106"/>
      <c r="K227" s="127"/>
      <c r="L227" s="113"/>
      <c r="M227" s="107"/>
      <c r="N227" s="107"/>
      <c r="O227" s="107"/>
      <c r="P227" s="107"/>
      <c r="Q227" s="107"/>
      <c r="R227" s="107"/>
      <c r="S227" s="107"/>
      <c r="T227" s="108"/>
      <c r="U227" s="108"/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  <c r="AF227" s="104"/>
      <c r="AG227" s="124"/>
      <c r="AH227" s="124"/>
      <c r="AI227" s="124"/>
    </row>
    <row r="228" spans="1:35" s="12" customFormat="1">
      <c r="A228" s="123"/>
      <c r="B228" s="106"/>
      <c r="C228" s="106"/>
      <c r="D228" s="106"/>
      <c r="E228" s="106"/>
      <c r="F228" s="106"/>
      <c r="G228" s="106"/>
      <c r="H228" s="106"/>
      <c r="I228" s="106"/>
      <c r="J228" s="106"/>
      <c r="K228" s="127"/>
      <c r="L228" s="113"/>
      <c r="M228" s="107"/>
      <c r="N228" s="107"/>
      <c r="O228" s="107"/>
      <c r="P228" s="107"/>
      <c r="Q228" s="107"/>
      <c r="R228" s="107"/>
      <c r="S228" s="107"/>
      <c r="T228" s="107"/>
      <c r="U228" s="107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24"/>
      <c r="AH228" s="124"/>
      <c r="AI228" s="124"/>
    </row>
    <row r="229" spans="1:35" s="12" customFormat="1">
      <c r="A229" s="123"/>
      <c r="B229" s="106"/>
      <c r="C229" s="106"/>
      <c r="D229" s="106"/>
      <c r="E229" s="106"/>
      <c r="F229" s="106"/>
      <c r="G229" s="106"/>
      <c r="H229" s="106"/>
      <c r="I229" s="106"/>
      <c r="J229" s="106"/>
      <c r="K229" s="127"/>
      <c r="L229" s="11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24"/>
      <c r="AH229" s="124"/>
      <c r="AI229" s="124"/>
    </row>
    <row r="230" spans="1:35" s="12" customFormat="1">
      <c r="A230" s="123"/>
      <c r="B230" s="106"/>
      <c r="C230" s="106"/>
      <c r="D230" s="106"/>
      <c r="E230" s="106"/>
      <c r="F230" s="106"/>
      <c r="G230" s="106"/>
      <c r="H230" s="106"/>
      <c r="I230" s="106"/>
      <c r="J230" s="106"/>
      <c r="K230" s="127"/>
      <c r="L230" s="117"/>
      <c r="M230" s="107"/>
      <c r="N230" s="107"/>
      <c r="O230" s="107"/>
      <c r="P230" s="107"/>
      <c r="Q230" s="107"/>
      <c r="R230" s="113"/>
      <c r="S230" s="107"/>
      <c r="T230" s="107"/>
      <c r="U230" s="107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24"/>
      <c r="AH230" s="124"/>
      <c r="AI230" s="124"/>
    </row>
    <row r="231" spans="1:35" s="12" customFormat="1">
      <c r="A231" s="123"/>
      <c r="B231" s="106"/>
      <c r="C231" s="106"/>
      <c r="D231" s="106"/>
      <c r="E231" s="106"/>
      <c r="F231" s="106"/>
      <c r="G231" s="106"/>
      <c r="H231" s="106"/>
      <c r="I231" s="106"/>
      <c r="J231" s="106"/>
      <c r="K231" s="127"/>
      <c r="L231" s="117"/>
      <c r="M231" s="113"/>
      <c r="N231" s="107"/>
      <c r="O231" s="107"/>
      <c r="P231" s="107"/>
      <c r="Q231" s="107"/>
      <c r="R231" s="113"/>
      <c r="S231" s="107"/>
      <c r="T231" s="107"/>
      <c r="U231" s="107"/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  <c r="AF231" s="104"/>
      <c r="AG231" s="124"/>
      <c r="AH231" s="124"/>
      <c r="AI231" s="124"/>
    </row>
    <row r="232" spans="1:35" s="12" customFormat="1">
      <c r="A232" s="123"/>
      <c r="B232" s="106"/>
      <c r="C232" s="106"/>
      <c r="D232" s="106"/>
      <c r="E232" s="106"/>
      <c r="F232" s="106"/>
      <c r="G232" s="106"/>
      <c r="H232" s="106"/>
      <c r="I232" s="106"/>
      <c r="J232" s="106"/>
      <c r="K232" s="127"/>
      <c r="L232" s="113"/>
      <c r="M232" s="113"/>
      <c r="N232" s="107"/>
      <c r="O232" s="113"/>
      <c r="P232" s="113"/>
      <c r="Q232" s="113"/>
      <c r="R232" s="113"/>
      <c r="S232" s="113"/>
      <c r="T232" s="107"/>
      <c r="U232" s="107"/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  <c r="AF232" s="104"/>
      <c r="AG232" s="124"/>
      <c r="AH232" s="124"/>
      <c r="AI232" s="124"/>
    </row>
    <row r="233" spans="1:35" s="12" customFormat="1">
      <c r="A233" s="123"/>
      <c r="B233" s="106"/>
      <c r="C233" s="106"/>
      <c r="D233" s="106"/>
      <c r="E233" s="106"/>
      <c r="F233" s="106"/>
      <c r="G233" s="106"/>
      <c r="H233" s="106"/>
      <c r="I233" s="106"/>
      <c r="J233" s="106"/>
      <c r="K233" s="127"/>
      <c r="L233" s="117"/>
      <c r="M233" s="113"/>
      <c r="N233" s="107"/>
      <c r="O233" s="113"/>
      <c r="P233" s="113"/>
      <c r="Q233" s="113"/>
      <c r="R233" s="113"/>
      <c r="S233" s="113"/>
      <c r="T233" s="107"/>
      <c r="U233" s="107"/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  <c r="AF233" s="104"/>
      <c r="AG233" s="124"/>
      <c r="AH233" s="124"/>
      <c r="AI233" s="124"/>
    </row>
    <row r="234" spans="1:35" s="12" customFormat="1">
      <c r="A234" s="123"/>
      <c r="B234" s="106"/>
      <c r="C234" s="106"/>
      <c r="D234" s="106"/>
      <c r="E234" s="106"/>
      <c r="F234" s="106"/>
      <c r="G234" s="106"/>
      <c r="H234" s="106"/>
      <c r="I234" s="106"/>
      <c r="J234" s="106"/>
      <c r="K234" s="127"/>
      <c r="L234" s="113"/>
      <c r="M234" s="113"/>
      <c r="N234" s="107"/>
      <c r="O234" s="113"/>
      <c r="P234" s="113"/>
      <c r="Q234" s="113"/>
      <c r="R234" s="113"/>
      <c r="S234" s="113"/>
      <c r="T234" s="107"/>
      <c r="U234" s="107"/>
      <c r="V234" s="104"/>
      <c r="W234" s="104"/>
      <c r="X234" s="104"/>
      <c r="Y234" s="104"/>
      <c r="Z234" s="104"/>
      <c r="AA234" s="104"/>
      <c r="AB234" s="104"/>
      <c r="AC234" s="104"/>
      <c r="AD234" s="104"/>
      <c r="AE234" s="104"/>
      <c r="AF234" s="104"/>
      <c r="AG234" s="124"/>
      <c r="AH234" s="124"/>
      <c r="AI234" s="124"/>
    </row>
    <row r="235" spans="1:35" s="12" customFormat="1">
      <c r="A235" s="123"/>
      <c r="B235" s="106"/>
      <c r="C235" s="106"/>
      <c r="D235" s="106"/>
      <c r="E235" s="106"/>
      <c r="F235" s="106"/>
      <c r="G235" s="106"/>
      <c r="H235" s="106"/>
      <c r="I235" s="106"/>
      <c r="J235" s="106"/>
      <c r="K235" s="127"/>
      <c r="L235" s="117"/>
      <c r="M235" s="113"/>
      <c r="N235" s="113"/>
      <c r="O235" s="113"/>
      <c r="P235" s="113"/>
      <c r="Q235" s="113"/>
      <c r="R235" s="113"/>
      <c r="S235" s="113"/>
      <c r="T235" s="107"/>
      <c r="U235" s="107"/>
      <c r="V235" s="104"/>
      <c r="W235" s="104"/>
      <c r="X235" s="104"/>
      <c r="Y235" s="104"/>
      <c r="Z235" s="104"/>
      <c r="AA235" s="104"/>
      <c r="AB235" s="104"/>
      <c r="AC235" s="104"/>
      <c r="AD235" s="104"/>
      <c r="AE235" s="104"/>
      <c r="AF235" s="104"/>
      <c r="AG235" s="124"/>
      <c r="AH235" s="124"/>
      <c r="AI235" s="124"/>
    </row>
    <row r="236" spans="1:35">
      <c r="L236" s="117"/>
      <c r="M236" s="113"/>
      <c r="N236" s="113"/>
      <c r="O236" s="113"/>
      <c r="P236" s="113"/>
      <c r="Q236" s="113"/>
      <c r="R236" s="113"/>
      <c r="S236" s="113"/>
      <c r="T236" s="107"/>
      <c r="U236" s="107"/>
      <c r="V236" s="113"/>
    </row>
    <row r="237" spans="1:35">
      <c r="L237" s="126"/>
      <c r="M237" s="113"/>
      <c r="N237" s="113"/>
      <c r="O237" s="113"/>
      <c r="P237" s="113"/>
      <c r="Q237" s="113"/>
      <c r="R237" s="113"/>
      <c r="S237" s="113"/>
      <c r="T237" s="107"/>
      <c r="U237" s="107"/>
      <c r="V237" s="113"/>
    </row>
    <row r="238" spans="1:35">
      <c r="L238" s="126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</row>
    <row r="239" spans="1:35">
      <c r="L239" s="126"/>
      <c r="M239" s="113"/>
      <c r="N239" s="113"/>
      <c r="O239" s="113"/>
      <c r="P239" s="113"/>
      <c r="Q239" s="113"/>
      <c r="R239" s="113"/>
      <c r="S239" s="113"/>
      <c r="T239" s="104"/>
      <c r="U239" s="104"/>
      <c r="V239" s="113"/>
    </row>
    <row r="240" spans="1:35">
      <c r="L240" s="126"/>
      <c r="M240" s="113"/>
      <c r="N240" s="113"/>
      <c r="O240" s="113"/>
      <c r="P240" s="113"/>
      <c r="Q240" s="113"/>
      <c r="R240" s="113"/>
      <c r="S240" s="113"/>
      <c r="T240" s="104"/>
      <c r="U240" s="104"/>
      <c r="V240" s="113"/>
    </row>
    <row r="241" spans="1:22">
      <c r="L241" s="126"/>
      <c r="M241" s="113"/>
      <c r="N241" s="113"/>
      <c r="O241" s="113"/>
      <c r="P241" s="113"/>
      <c r="Q241" s="113"/>
      <c r="R241" s="113"/>
      <c r="S241" s="113"/>
      <c r="T241" s="104"/>
      <c r="U241" s="104"/>
      <c r="V241" s="113"/>
    </row>
    <row r="242" spans="1:22">
      <c r="L242" s="126"/>
      <c r="M242" s="113"/>
      <c r="N242" s="113"/>
      <c r="O242" s="113"/>
      <c r="P242" s="113"/>
      <c r="Q242" s="113"/>
      <c r="R242" s="113"/>
      <c r="S242" s="113"/>
      <c r="T242" s="104"/>
      <c r="U242" s="104"/>
      <c r="V242" s="113"/>
    </row>
    <row r="243" spans="1:22">
      <c r="L243" s="126"/>
      <c r="M243" s="113"/>
      <c r="N243" s="113"/>
      <c r="O243" s="113"/>
      <c r="P243" s="113"/>
      <c r="Q243" s="113"/>
      <c r="R243" s="113"/>
      <c r="S243" s="113"/>
      <c r="T243" s="104"/>
      <c r="U243" s="104"/>
      <c r="V243" s="113"/>
    </row>
    <row r="244" spans="1:22">
      <c r="A244" s="106"/>
      <c r="K244" s="106"/>
      <c r="L244" s="126"/>
      <c r="M244" s="113"/>
      <c r="N244" s="113"/>
      <c r="O244" s="113"/>
      <c r="P244" s="113"/>
      <c r="Q244" s="113"/>
      <c r="R244" s="113"/>
      <c r="S244" s="113"/>
      <c r="T244" s="104"/>
      <c r="U244" s="104"/>
      <c r="V244" s="113"/>
    </row>
    <row r="245" spans="1:22">
      <c r="A245" s="106"/>
      <c r="K245" s="106"/>
      <c r="L245" s="126"/>
      <c r="M245" s="113"/>
      <c r="N245" s="113"/>
      <c r="O245" s="113"/>
      <c r="P245" s="113"/>
      <c r="Q245" s="113"/>
      <c r="R245" s="113"/>
      <c r="S245" s="113"/>
      <c r="T245" s="104"/>
      <c r="U245" s="104"/>
      <c r="V245" s="113"/>
    </row>
    <row r="246" spans="1:22">
      <c r="A246" s="106"/>
      <c r="K246" s="106"/>
      <c r="L246" s="126"/>
      <c r="M246" s="113"/>
      <c r="N246" s="113"/>
      <c r="O246" s="113"/>
      <c r="P246" s="113"/>
      <c r="Q246" s="113"/>
      <c r="R246" s="113"/>
      <c r="S246" s="113"/>
      <c r="T246" s="104"/>
      <c r="U246" s="104"/>
      <c r="V246" s="113"/>
    </row>
    <row r="247" spans="1:22">
      <c r="A247" s="106"/>
      <c r="K247" s="106"/>
      <c r="L247" s="126"/>
      <c r="M247" s="113"/>
      <c r="N247" s="113"/>
      <c r="O247" s="113"/>
      <c r="P247" s="113"/>
      <c r="Q247" s="113"/>
      <c r="R247" s="113"/>
      <c r="S247" s="113"/>
      <c r="T247" s="104"/>
      <c r="U247" s="104"/>
      <c r="V247" s="126"/>
    </row>
    <row r="248" spans="1:22">
      <c r="A248" s="106"/>
      <c r="K248" s="106"/>
      <c r="L248" s="126"/>
      <c r="M248" s="113"/>
      <c r="N248" s="113"/>
      <c r="O248" s="113"/>
      <c r="P248" s="113"/>
      <c r="Q248" s="113"/>
      <c r="R248" s="113"/>
      <c r="S248" s="113"/>
      <c r="T248" s="104"/>
      <c r="U248" s="104"/>
      <c r="V248" s="126"/>
    </row>
    <row r="249" spans="1:22">
      <c r="A249" s="106"/>
      <c r="K249" s="106"/>
      <c r="L249" s="126"/>
      <c r="M249" s="113"/>
      <c r="N249" s="113"/>
      <c r="O249" s="113"/>
      <c r="P249" s="113"/>
      <c r="Q249" s="113"/>
      <c r="R249" s="113"/>
      <c r="S249" s="113"/>
      <c r="T249" s="104"/>
      <c r="U249" s="104"/>
      <c r="V249" s="126"/>
    </row>
    <row r="250" spans="1:22">
      <c r="A250" s="106"/>
      <c r="K250" s="106"/>
      <c r="L250" s="126"/>
      <c r="M250" s="113"/>
      <c r="N250" s="113"/>
      <c r="O250" s="113"/>
      <c r="P250" s="113"/>
      <c r="Q250" s="113"/>
      <c r="R250" s="113"/>
      <c r="S250" s="113"/>
      <c r="T250" s="104"/>
      <c r="U250" s="104"/>
      <c r="V250" s="126"/>
    </row>
    <row r="251" spans="1:22">
      <c r="A251" s="106"/>
      <c r="K251" s="106"/>
      <c r="L251" s="126"/>
      <c r="M251" s="113"/>
      <c r="N251" s="113"/>
      <c r="O251" s="113"/>
      <c r="P251" s="113"/>
      <c r="Q251" s="113"/>
      <c r="R251" s="113"/>
      <c r="S251" s="113"/>
      <c r="T251" s="113"/>
      <c r="U251" s="113"/>
      <c r="V251" s="126"/>
    </row>
    <row r="252" spans="1:22">
      <c r="A252" s="106"/>
      <c r="K252" s="106"/>
      <c r="L252" s="126"/>
      <c r="M252" s="107"/>
      <c r="N252" s="113"/>
      <c r="O252" s="113"/>
      <c r="P252" s="113"/>
      <c r="Q252" s="113"/>
      <c r="R252" s="113"/>
      <c r="S252" s="113"/>
      <c r="T252" s="113"/>
      <c r="U252" s="113"/>
      <c r="V252" s="126"/>
    </row>
    <row r="253" spans="1:22">
      <c r="A253" s="106"/>
      <c r="K253" s="106"/>
      <c r="L253" s="126"/>
      <c r="M253" s="113"/>
      <c r="N253" s="113"/>
      <c r="O253" s="108"/>
      <c r="P253" s="113"/>
      <c r="Q253" s="113"/>
      <c r="R253" s="113"/>
      <c r="S253" s="113"/>
      <c r="T253" s="113"/>
      <c r="U253" s="113"/>
      <c r="V253" s="126"/>
    </row>
    <row r="254" spans="1:22">
      <c r="A254" s="106"/>
      <c r="K254" s="106"/>
      <c r="L254" s="126"/>
      <c r="M254" s="113"/>
      <c r="N254" s="113"/>
      <c r="O254" s="113"/>
      <c r="P254" s="113"/>
      <c r="Q254" s="113"/>
      <c r="R254" s="113"/>
      <c r="S254" s="113"/>
      <c r="T254" s="113"/>
      <c r="U254" s="113"/>
      <c r="V254" s="126"/>
    </row>
    <row r="255" spans="1:22">
      <c r="A255" s="106"/>
      <c r="K255" s="106"/>
      <c r="L255" s="126"/>
      <c r="M255" s="113"/>
      <c r="N255" s="113"/>
      <c r="O255" s="113"/>
      <c r="P255" s="113"/>
      <c r="Q255" s="113"/>
      <c r="R255" s="113"/>
      <c r="S255" s="113"/>
      <c r="T255" s="113"/>
      <c r="U255" s="113"/>
      <c r="V255" s="126"/>
    </row>
    <row r="256" spans="1:22">
      <c r="A256" s="106"/>
      <c r="K256" s="106"/>
      <c r="L256" s="129"/>
      <c r="M256" s="113"/>
      <c r="N256" s="108"/>
      <c r="O256" s="113"/>
      <c r="P256" s="113"/>
      <c r="Q256" s="113"/>
      <c r="R256" s="113"/>
      <c r="S256" s="113"/>
      <c r="T256" s="113"/>
      <c r="U256" s="113"/>
      <c r="V256" s="126"/>
    </row>
    <row r="257" spans="1:22">
      <c r="A257" s="106"/>
      <c r="K257" s="106"/>
      <c r="L257" s="129"/>
      <c r="M257" s="113"/>
      <c r="N257" s="113"/>
      <c r="O257" s="113"/>
      <c r="P257" s="113"/>
      <c r="Q257" s="113"/>
      <c r="R257" s="116"/>
      <c r="S257" s="113"/>
      <c r="T257" s="113"/>
      <c r="U257" s="113"/>
      <c r="V257" s="126"/>
    </row>
    <row r="258" spans="1:22">
      <c r="A258" s="106"/>
      <c r="K258" s="106"/>
      <c r="L258" s="130"/>
      <c r="M258" s="113"/>
      <c r="N258" s="113"/>
      <c r="O258" s="113"/>
      <c r="P258" s="113"/>
      <c r="Q258" s="113"/>
      <c r="R258" s="116"/>
      <c r="S258" s="113"/>
      <c r="T258" s="113"/>
      <c r="U258" s="113"/>
      <c r="V258" s="126"/>
    </row>
    <row r="259" spans="1:22">
      <c r="A259" s="106"/>
      <c r="K259" s="106"/>
      <c r="L259" s="117"/>
      <c r="M259" s="113"/>
      <c r="N259" s="113"/>
      <c r="O259" s="113"/>
      <c r="P259" s="113"/>
      <c r="Q259" s="113"/>
      <c r="R259" s="116"/>
      <c r="S259" s="116"/>
      <c r="T259" s="113"/>
      <c r="U259" s="113"/>
      <c r="V259" s="113"/>
    </row>
    <row r="260" spans="1:22">
      <c r="A260" s="106"/>
      <c r="K260" s="106"/>
      <c r="M260" s="113"/>
      <c r="N260" s="113"/>
      <c r="O260" s="113"/>
      <c r="P260" s="113"/>
      <c r="Q260" s="113"/>
      <c r="R260" s="117"/>
      <c r="S260" s="116"/>
      <c r="T260" s="113"/>
      <c r="U260" s="113"/>
      <c r="V260" s="113"/>
    </row>
    <row r="261" spans="1:22">
      <c r="A261" s="106"/>
      <c r="K261" s="106"/>
      <c r="M261" s="113"/>
      <c r="N261" s="113"/>
      <c r="O261" s="113"/>
      <c r="P261" s="113"/>
      <c r="Q261" s="113"/>
      <c r="R261" s="126"/>
      <c r="S261" s="116"/>
      <c r="T261" s="113"/>
      <c r="U261" s="113"/>
      <c r="V261" s="113"/>
    </row>
    <row r="262" spans="1:22">
      <c r="A262" s="106"/>
      <c r="K262" s="106"/>
      <c r="M262" s="113"/>
      <c r="N262" s="113"/>
      <c r="O262" s="113"/>
      <c r="P262" s="113"/>
      <c r="Q262" s="113"/>
      <c r="R262" s="126"/>
      <c r="S262" s="128"/>
      <c r="T262" s="113"/>
      <c r="U262" s="113"/>
      <c r="V262" s="113"/>
    </row>
    <row r="263" spans="1:22">
      <c r="M263" s="113"/>
      <c r="N263" s="113"/>
      <c r="O263" s="113"/>
      <c r="P263" s="113"/>
      <c r="Q263" s="113"/>
      <c r="R263" s="126"/>
      <c r="S263" s="126"/>
      <c r="T263" s="113"/>
      <c r="U263" s="113"/>
    </row>
    <row r="264" spans="1:22">
      <c r="M264" s="113"/>
      <c r="N264" s="113"/>
      <c r="O264" s="113"/>
      <c r="P264" s="116"/>
      <c r="Q264" s="116"/>
      <c r="R264" s="117"/>
      <c r="S264" s="126"/>
      <c r="T264" s="113"/>
      <c r="U264" s="113"/>
    </row>
    <row r="265" spans="1:22">
      <c r="M265" s="113"/>
      <c r="N265" s="113"/>
      <c r="O265" s="113"/>
      <c r="P265" s="116"/>
      <c r="Q265" s="116"/>
      <c r="R265" s="117"/>
      <c r="S265" s="126"/>
      <c r="T265" s="113"/>
      <c r="U265" s="113"/>
    </row>
    <row r="266" spans="1:22">
      <c r="M266" s="113"/>
      <c r="N266" s="113"/>
      <c r="O266" s="113"/>
      <c r="P266" s="116"/>
      <c r="Q266" s="116"/>
      <c r="R266" s="126"/>
      <c r="S266" s="128"/>
      <c r="T266" s="113"/>
      <c r="U266" s="113"/>
    </row>
    <row r="267" spans="1:22">
      <c r="M267" s="113"/>
      <c r="N267" s="113"/>
      <c r="O267" s="113"/>
      <c r="P267" s="117"/>
      <c r="Q267" s="117"/>
      <c r="R267" s="126"/>
      <c r="S267" s="128"/>
      <c r="T267" s="113"/>
      <c r="U267" s="113"/>
    </row>
    <row r="268" spans="1:22">
      <c r="M268" s="113"/>
      <c r="N268" s="113"/>
      <c r="O268" s="113"/>
      <c r="P268" s="126"/>
      <c r="Q268" s="126"/>
      <c r="R268" s="126"/>
      <c r="S268" s="126"/>
      <c r="T268" s="113"/>
      <c r="U268" s="113"/>
    </row>
    <row r="269" spans="1:22">
      <c r="M269" s="113"/>
      <c r="N269" s="113"/>
      <c r="O269" s="113"/>
      <c r="P269" s="126"/>
      <c r="Q269" s="126"/>
      <c r="R269" s="113"/>
      <c r="S269" s="126"/>
      <c r="T269" s="113"/>
      <c r="U269" s="113"/>
    </row>
    <row r="270" spans="1:22">
      <c r="M270" s="113"/>
      <c r="N270" s="113"/>
      <c r="O270" s="113"/>
      <c r="P270" s="126"/>
      <c r="Q270" s="126"/>
      <c r="R270" s="113"/>
      <c r="S270" s="126"/>
      <c r="T270" s="113"/>
      <c r="U270" s="113"/>
      <c r="V270" s="131"/>
    </row>
    <row r="271" spans="1:22">
      <c r="M271" s="113"/>
      <c r="N271" s="113"/>
      <c r="O271" s="113"/>
      <c r="P271" s="117"/>
      <c r="Q271" s="117"/>
      <c r="R271" s="113"/>
      <c r="S271" s="113"/>
      <c r="T271" s="113"/>
      <c r="U271" s="113"/>
      <c r="V271" s="131"/>
    </row>
    <row r="272" spans="1:22">
      <c r="M272" s="113"/>
      <c r="N272" s="113"/>
      <c r="O272" s="113"/>
      <c r="P272" s="117"/>
      <c r="Q272" s="117"/>
      <c r="R272" s="113"/>
      <c r="S272" s="113"/>
      <c r="T272" s="113"/>
      <c r="U272" s="113"/>
      <c r="V272" s="131"/>
    </row>
    <row r="273" spans="13:22">
      <c r="M273" s="113"/>
      <c r="N273" s="113"/>
      <c r="O273" s="113"/>
      <c r="P273" s="126"/>
      <c r="Q273" s="126"/>
      <c r="R273" s="117"/>
      <c r="S273" s="113"/>
      <c r="T273" s="113"/>
      <c r="U273" s="113"/>
      <c r="V273" s="131"/>
    </row>
    <row r="274" spans="13:22">
      <c r="M274" s="113"/>
      <c r="N274" s="113"/>
      <c r="O274" s="116"/>
      <c r="P274" s="126"/>
      <c r="Q274" s="126"/>
      <c r="R274" s="117"/>
      <c r="S274" s="113"/>
      <c r="T274" s="113"/>
      <c r="U274" s="113"/>
      <c r="V274" s="131"/>
    </row>
    <row r="275" spans="13:22">
      <c r="N275" s="113"/>
      <c r="O275" s="116"/>
      <c r="P275" s="126"/>
      <c r="Q275" s="126"/>
      <c r="R275" s="117"/>
      <c r="S275" s="117"/>
      <c r="T275" s="113"/>
      <c r="U275" s="113"/>
      <c r="V275" s="131"/>
    </row>
    <row r="276" spans="13:22">
      <c r="N276" s="113"/>
      <c r="O276" s="116"/>
      <c r="P276" s="113"/>
      <c r="Q276" s="113"/>
      <c r="R276" s="117"/>
      <c r="S276" s="117"/>
      <c r="T276" s="126"/>
      <c r="U276" s="126"/>
      <c r="V276" s="131"/>
    </row>
    <row r="277" spans="13:22">
      <c r="N277" s="108"/>
      <c r="O277" s="116"/>
      <c r="P277" s="113"/>
      <c r="Q277" s="113"/>
      <c r="R277" s="117"/>
      <c r="S277" s="117"/>
      <c r="T277" s="126"/>
      <c r="U277" s="126"/>
      <c r="V277" s="131"/>
    </row>
    <row r="278" spans="13:22">
      <c r="N278" s="108"/>
      <c r="O278" s="116"/>
      <c r="P278" s="113"/>
      <c r="Q278" s="113"/>
      <c r="R278" s="117"/>
      <c r="S278" s="117"/>
      <c r="T278" s="126"/>
      <c r="U278" s="126"/>
      <c r="V278" s="131"/>
    </row>
    <row r="279" spans="13:22">
      <c r="N279" s="108"/>
      <c r="O279" s="116"/>
      <c r="P279" s="113"/>
      <c r="Q279" s="113"/>
      <c r="R279" s="117"/>
      <c r="S279" s="117"/>
      <c r="T279" s="113"/>
      <c r="U279" s="113"/>
      <c r="V279" s="131"/>
    </row>
    <row r="280" spans="13:22">
      <c r="N280" s="108"/>
      <c r="O280" s="116"/>
      <c r="P280" s="117"/>
      <c r="Q280" s="117"/>
      <c r="R280" s="117"/>
      <c r="S280" s="117"/>
      <c r="T280" s="113"/>
      <c r="U280" s="113"/>
      <c r="V280" s="131"/>
    </row>
    <row r="281" spans="13:22">
      <c r="N281" s="108"/>
      <c r="O281" s="116"/>
      <c r="P281" s="117"/>
      <c r="Q281" s="117"/>
      <c r="R281" s="113"/>
      <c r="S281" s="117"/>
      <c r="T281" s="113"/>
      <c r="U281" s="113"/>
      <c r="V281" s="131"/>
    </row>
    <row r="282" spans="13:22">
      <c r="M282" s="113"/>
      <c r="N282" s="108"/>
      <c r="O282" s="116"/>
      <c r="P282" s="117"/>
      <c r="Q282" s="117"/>
      <c r="R282" s="126"/>
      <c r="S282" s="117"/>
      <c r="T282" s="113"/>
      <c r="U282" s="113"/>
      <c r="V282" s="131"/>
    </row>
    <row r="283" spans="13:22">
      <c r="M283" s="113"/>
      <c r="N283" s="116"/>
      <c r="O283" s="116"/>
      <c r="P283" s="117"/>
      <c r="Q283" s="117"/>
      <c r="R283" s="126"/>
      <c r="S283" s="121"/>
      <c r="T283" s="113"/>
      <c r="U283" s="113"/>
      <c r="V283" s="131"/>
    </row>
    <row r="284" spans="13:22">
      <c r="M284" s="113"/>
      <c r="N284" s="116"/>
      <c r="O284" s="116"/>
      <c r="P284" s="117"/>
      <c r="Q284" s="117"/>
      <c r="R284" s="126"/>
      <c r="S284" s="126"/>
      <c r="T284" s="113"/>
      <c r="U284" s="113"/>
      <c r="V284" s="131"/>
    </row>
    <row r="285" spans="13:22">
      <c r="M285" s="113"/>
      <c r="N285" s="116"/>
      <c r="O285" s="116"/>
      <c r="P285" s="117"/>
      <c r="Q285" s="117"/>
      <c r="R285" s="126"/>
      <c r="S285" s="126"/>
      <c r="T285" s="113"/>
      <c r="U285" s="113"/>
      <c r="V285" s="131"/>
    </row>
    <row r="286" spans="13:22">
      <c r="M286" s="113"/>
      <c r="N286" s="116"/>
      <c r="O286" s="116"/>
      <c r="P286" s="117"/>
      <c r="Q286" s="117"/>
      <c r="R286" s="126"/>
      <c r="S286" s="126"/>
      <c r="T286" s="113"/>
      <c r="U286" s="113"/>
      <c r="V286" s="131"/>
    </row>
    <row r="287" spans="13:22">
      <c r="M287" s="113"/>
      <c r="N287" s="116"/>
      <c r="O287" s="116"/>
      <c r="P287" s="117"/>
      <c r="Q287" s="117"/>
      <c r="R287" s="126"/>
      <c r="S287" s="126"/>
      <c r="T287" s="113"/>
      <c r="U287" s="113"/>
      <c r="V287" s="131"/>
    </row>
    <row r="288" spans="13:22">
      <c r="M288" s="113"/>
      <c r="N288" s="116"/>
      <c r="O288" s="116"/>
      <c r="P288" s="126"/>
      <c r="Q288" s="126"/>
      <c r="R288" s="126"/>
      <c r="S288" s="126"/>
      <c r="T288" s="113"/>
      <c r="U288" s="113"/>
      <c r="V288" s="131"/>
    </row>
    <row r="289" spans="13:22">
      <c r="M289" s="113"/>
      <c r="N289" s="116"/>
      <c r="O289" s="116"/>
      <c r="P289" s="126"/>
      <c r="Q289" s="126"/>
      <c r="R289" s="126"/>
      <c r="S289" s="126"/>
      <c r="T289" s="113"/>
      <c r="U289" s="113"/>
      <c r="V289" s="131"/>
    </row>
    <row r="290" spans="13:22">
      <c r="M290" s="113"/>
      <c r="N290" s="116"/>
      <c r="O290" s="116"/>
      <c r="P290" s="126"/>
      <c r="Q290" s="126"/>
      <c r="R290" s="126"/>
      <c r="S290" s="126"/>
      <c r="T290" s="113"/>
      <c r="U290" s="113"/>
      <c r="V290" s="131"/>
    </row>
    <row r="291" spans="13:22">
      <c r="M291" s="113"/>
      <c r="N291" s="116"/>
      <c r="O291" s="116"/>
      <c r="P291" s="126"/>
      <c r="Q291" s="126"/>
      <c r="R291" s="126"/>
      <c r="S291" s="126"/>
      <c r="T291" s="10"/>
      <c r="U291" s="10"/>
      <c r="V291" s="131"/>
    </row>
    <row r="292" spans="13:22">
      <c r="M292" s="113"/>
      <c r="N292" s="116"/>
      <c r="O292" s="116"/>
      <c r="P292" s="126"/>
      <c r="Q292" s="126"/>
      <c r="R292" s="126"/>
      <c r="S292" s="126"/>
      <c r="T292" s="115"/>
      <c r="U292" s="115"/>
      <c r="V292" s="131"/>
    </row>
    <row r="293" spans="13:22">
      <c r="M293" s="113"/>
      <c r="N293" s="116"/>
      <c r="O293" s="116"/>
      <c r="P293" s="126"/>
      <c r="Q293" s="126"/>
      <c r="R293" s="126"/>
      <c r="S293" s="126"/>
      <c r="T293" s="106"/>
      <c r="U293" s="106"/>
      <c r="V293" s="131"/>
    </row>
    <row r="294" spans="13:22">
      <c r="M294" s="113"/>
      <c r="N294" s="116"/>
      <c r="O294" s="116"/>
      <c r="P294" s="126"/>
      <c r="Q294" s="126"/>
      <c r="R294" s="126"/>
      <c r="S294" s="126"/>
      <c r="T294" s="106"/>
      <c r="U294" s="106"/>
      <c r="V294" s="131"/>
    </row>
    <row r="295" spans="13:22">
      <c r="M295" s="113"/>
      <c r="N295" s="117"/>
      <c r="O295" s="117"/>
      <c r="P295" s="126"/>
      <c r="Q295" s="126"/>
      <c r="R295" s="126"/>
      <c r="S295" s="126"/>
      <c r="T295" s="106"/>
      <c r="U295" s="106"/>
      <c r="V295" s="131"/>
    </row>
    <row r="296" spans="13:22">
      <c r="M296" s="113"/>
      <c r="N296" s="126"/>
      <c r="O296" s="126"/>
      <c r="P296" s="126"/>
      <c r="Q296" s="126"/>
      <c r="R296" s="126"/>
      <c r="S296" s="126"/>
      <c r="T296" s="106"/>
      <c r="U296" s="106"/>
      <c r="V296" s="131"/>
    </row>
    <row r="297" spans="13:22">
      <c r="M297" s="113"/>
      <c r="N297" s="126"/>
      <c r="O297" s="126"/>
      <c r="P297" s="126"/>
      <c r="Q297" s="126"/>
      <c r="R297" s="126"/>
      <c r="S297" s="126"/>
      <c r="T297" s="106"/>
      <c r="U297" s="106"/>
      <c r="V297" s="131"/>
    </row>
    <row r="298" spans="13:22">
      <c r="M298" s="113"/>
      <c r="N298" s="126"/>
      <c r="O298" s="126"/>
      <c r="P298" s="126"/>
      <c r="Q298" s="126"/>
      <c r="R298" s="126"/>
      <c r="S298" s="126"/>
      <c r="T298" s="106"/>
      <c r="U298" s="106"/>
      <c r="V298" s="131"/>
    </row>
    <row r="299" spans="13:22">
      <c r="M299" s="113"/>
      <c r="N299" s="117"/>
      <c r="O299" s="117"/>
      <c r="P299" s="126"/>
      <c r="Q299" s="126"/>
      <c r="R299" s="126"/>
      <c r="S299" s="126"/>
      <c r="T299" s="106"/>
      <c r="U299" s="106"/>
      <c r="V299" s="131"/>
    </row>
    <row r="300" spans="13:22">
      <c r="M300" s="113"/>
      <c r="N300" s="117"/>
      <c r="O300" s="117"/>
      <c r="P300" s="126"/>
      <c r="Q300" s="126"/>
      <c r="S300" s="126"/>
      <c r="T300" s="106"/>
      <c r="U300" s="106"/>
      <c r="V300" s="131"/>
    </row>
    <row r="301" spans="13:22">
      <c r="M301" s="117"/>
      <c r="N301" s="126"/>
      <c r="O301" s="126"/>
      <c r="P301" s="126"/>
      <c r="Q301" s="126"/>
      <c r="S301" s="126"/>
      <c r="T301" s="106"/>
      <c r="U301" s="106"/>
      <c r="V301" s="131"/>
    </row>
    <row r="302" spans="13:22">
      <c r="M302" s="117"/>
      <c r="N302" s="126"/>
      <c r="O302" s="126"/>
      <c r="P302" s="126"/>
      <c r="Q302" s="126"/>
      <c r="R302" s="131"/>
      <c r="T302" s="106"/>
      <c r="U302" s="106"/>
      <c r="V302" s="131"/>
    </row>
    <row r="303" spans="13:22">
      <c r="M303" s="117"/>
      <c r="N303" s="126"/>
      <c r="O303" s="126"/>
      <c r="P303" s="126"/>
      <c r="Q303" s="126"/>
      <c r="R303" s="131"/>
      <c r="T303" s="106"/>
      <c r="U303" s="106"/>
      <c r="V303" s="131"/>
    </row>
    <row r="304" spans="13:22">
      <c r="M304" s="126"/>
      <c r="N304" s="117"/>
      <c r="O304" s="117"/>
      <c r="P304" s="126"/>
      <c r="Q304" s="126"/>
      <c r="R304" s="131"/>
      <c r="S304" s="131"/>
      <c r="T304" s="125"/>
      <c r="U304" s="125"/>
      <c r="V304" s="131"/>
    </row>
    <row r="305" spans="13:22">
      <c r="M305" s="126"/>
      <c r="N305" s="117"/>
      <c r="O305" s="117"/>
      <c r="P305" s="126"/>
      <c r="Q305" s="126"/>
      <c r="R305" s="131"/>
      <c r="S305" s="131"/>
      <c r="T305" s="125"/>
      <c r="U305" s="125"/>
      <c r="V305" s="131"/>
    </row>
    <row r="306" spans="13:22">
      <c r="M306" s="126"/>
      <c r="N306" s="113"/>
      <c r="O306" s="113"/>
      <c r="P306" s="126"/>
      <c r="Q306" s="126"/>
      <c r="R306" s="131"/>
      <c r="S306" s="131"/>
      <c r="T306" s="125"/>
      <c r="U306" s="125"/>
      <c r="V306" s="131"/>
    </row>
    <row r="307" spans="13:22">
      <c r="M307" s="117"/>
      <c r="N307" s="113"/>
      <c r="O307" s="113"/>
      <c r="R307" s="131"/>
      <c r="S307" s="131"/>
      <c r="T307" s="125"/>
      <c r="U307" s="125"/>
      <c r="V307" s="131"/>
    </row>
    <row r="308" spans="13:22">
      <c r="M308" s="117"/>
      <c r="N308" s="113"/>
      <c r="O308" s="113"/>
      <c r="R308" s="131"/>
      <c r="S308" s="131"/>
      <c r="T308" s="125"/>
      <c r="U308" s="125"/>
      <c r="V308" s="131"/>
    </row>
    <row r="309" spans="13:22">
      <c r="M309" s="126"/>
      <c r="N309" s="113"/>
      <c r="O309" s="113"/>
      <c r="P309" s="131"/>
      <c r="Q309" s="131"/>
      <c r="R309" s="131"/>
      <c r="S309" s="131"/>
      <c r="T309" s="125"/>
      <c r="U309" s="125"/>
      <c r="V309" s="131"/>
    </row>
    <row r="310" spans="13:22">
      <c r="M310" s="126"/>
      <c r="N310" s="113"/>
      <c r="O310" s="113"/>
      <c r="P310" s="131"/>
      <c r="Q310" s="131"/>
      <c r="R310" s="131"/>
      <c r="S310" s="131"/>
      <c r="V310" s="131"/>
    </row>
    <row r="311" spans="13:22">
      <c r="M311" s="126"/>
      <c r="N311" s="113"/>
      <c r="O311" s="113"/>
      <c r="P311" s="131"/>
      <c r="Q311" s="131"/>
      <c r="R311" s="131"/>
      <c r="S311" s="131"/>
      <c r="V311" s="131"/>
    </row>
    <row r="312" spans="13:22">
      <c r="M312" s="117"/>
      <c r="N312" s="117"/>
      <c r="O312" s="117"/>
      <c r="P312" s="131"/>
      <c r="Q312" s="131"/>
      <c r="R312" s="131"/>
      <c r="S312" s="131"/>
      <c r="V312" s="131"/>
    </row>
    <row r="313" spans="13:22">
      <c r="M313" s="117"/>
      <c r="N313" s="117"/>
      <c r="O313" s="117"/>
      <c r="P313" s="131"/>
      <c r="Q313" s="131"/>
      <c r="R313" s="131"/>
      <c r="S313" s="131"/>
      <c r="V313" s="131"/>
    </row>
    <row r="314" spans="13:22">
      <c r="M314" s="113"/>
      <c r="N314" s="117"/>
      <c r="O314" s="117"/>
      <c r="P314" s="131"/>
      <c r="Q314" s="131"/>
      <c r="R314" s="131"/>
      <c r="S314" s="131"/>
      <c r="T314" s="131"/>
      <c r="U314" s="131"/>
      <c r="V314" s="131"/>
    </row>
    <row r="315" spans="13:22">
      <c r="M315" s="113"/>
      <c r="N315" s="117"/>
      <c r="O315" s="117"/>
      <c r="P315" s="131"/>
      <c r="Q315" s="131"/>
      <c r="R315" s="131"/>
      <c r="S315" s="131"/>
      <c r="T315" s="131"/>
      <c r="U315" s="131"/>
      <c r="V315" s="131"/>
    </row>
    <row r="316" spans="13:22">
      <c r="M316" s="113"/>
      <c r="N316" s="117"/>
      <c r="O316" s="117"/>
      <c r="P316" s="131"/>
      <c r="Q316" s="131"/>
      <c r="R316" s="131"/>
      <c r="S316" s="131"/>
      <c r="T316" s="131"/>
      <c r="U316" s="131"/>
      <c r="V316" s="131"/>
    </row>
    <row r="317" spans="13:22">
      <c r="M317" s="113"/>
      <c r="N317" s="117"/>
      <c r="O317" s="117"/>
      <c r="P317" s="131"/>
      <c r="Q317" s="131"/>
      <c r="R317" s="131"/>
      <c r="S317" s="131"/>
      <c r="T317" s="131"/>
      <c r="U317" s="131"/>
      <c r="V317" s="131"/>
    </row>
    <row r="318" spans="13:22">
      <c r="M318" s="113"/>
      <c r="N318" s="117"/>
      <c r="O318" s="117"/>
      <c r="P318" s="131"/>
      <c r="Q318" s="131"/>
      <c r="R318" s="131"/>
      <c r="S318" s="131"/>
      <c r="T318" s="131"/>
      <c r="U318" s="131"/>
      <c r="V318" s="131"/>
    </row>
    <row r="319" spans="13:22">
      <c r="M319" s="113"/>
      <c r="N319" s="117"/>
      <c r="O319" s="117"/>
      <c r="P319" s="131"/>
      <c r="Q319" s="131"/>
      <c r="R319" s="131"/>
      <c r="S319" s="131"/>
      <c r="T319" s="131"/>
      <c r="U319" s="131"/>
      <c r="V319" s="131"/>
    </row>
    <row r="320" spans="13:22">
      <c r="M320" s="117"/>
      <c r="N320" s="126"/>
      <c r="O320" s="126"/>
      <c r="P320" s="131"/>
      <c r="Q320" s="131"/>
      <c r="R320" s="131"/>
      <c r="S320" s="131"/>
      <c r="T320" s="131"/>
      <c r="U320" s="131"/>
      <c r="V320" s="131"/>
    </row>
    <row r="321" spans="13:22">
      <c r="M321" s="117"/>
      <c r="N321" s="126"/>
      <c r="O321" s="126"/>
      <c r="P321" s="131"/>
      <c r="Q321" s="131"/>
      <c r="R321" s="131"/>
      <c r="S321" s="131"/>
      <c r="T321" s="131"/>
      <c r="U321" s="131"/>
      <c r="V321" s="131"/>
    </row>
    <row r="322" spans="13:22">
      <c r="M322" s="117"/>
      <c r="N322" s="126"/>
      <c r="O322" s="126"/>
      <c r="P322" s="131"/>
      <c r="Q322" s="131"/>
      <c r="R322" s="131"/>
      <c r="S322" s="131"/>
      <c r="T322" s="131"/>
      <c r="U322" s="131"/>
      <c r="V322" s="131"/>
    </row>
    <row r="323" spans="13:22">
      <c r="M323" s="117"/>
      <c r="N323" s="126"/>
      <c r="O323" s="126"/>
      <c r="P323" s="131"/>
      <c r="Q323" s="131"/>
      <c r="R323" s="131"/>
      <c r="S323" s="131"/>
      <c r="T323" s="131"/>
      <c r="U323" s="131"/>
      <c r="V323" s="131"/>
    </row>
    <row r="324" spans="13:22">
      <c r="M324" s="117"/>
      <c r="N324" s="126"/>
      <c r="O324" s="126"/>
      <c r="P324" s="131"/>
      <c r="Q324" s="131"/>
      <c r="R324" s="131"/>
      <c r="S324" s="131"/>
      <c r="T324" s="131"/>
      <c r="U324" s="131"/>
      <c r="V324" s="131"/>
    </row>
    <row r="325" spans="13:22">
      <c r="M325" s="117"/>
      <c r="N325" s="126"/>
      <c r="O325" s="126"/>
      <c r="P325" s="131"/>
      <c r="Q325" s="131"/>
      <c r="R325" s="131"/>
      <c r="S325" s="131"/>
      <c r="T325" s="131"/>
      <c r="U325" s="131"/>
      <c r="V325" s="131"/>
    </row>
    <row r="326" spans="13:22">
      <c r="M326" s="117"/>
      <c r="N326" s="126"/>
      <c r="O326" s="126"/>
      <c r="P326" s="131"/>
      <c r="Q326" s="131"/>
      <c r="R326" s="131"/>
      <c r="S326" s="131"/>
      <c r="T326" s="131"/>
      <c r="U326" s="131"/>
      <c r="V326" s="131"/>
    </row>
    <row r="327" spans="13:22">
      <c r="M327" s="117"/>
      <c r="N327" s="126"/>
      <c r="O327" s="126"/>
      <c r="P327" s="131"/>
      <c r="Q327" s="131"/>
      <c r="R327" s="131"/>
      <c r="S327" s="131"/>
      <c r="T327" s="131"/>
      <c r="U327" s="131"/>
      <c r="V327" s="131"/>
    </row>
    <row r="328" spans="13:22">
      <c r="M328" s="126"/>
      <c r="N328" s="126"/>
      <c r="O328" s="126"/>
      <c r="P328" s="131"/>
      <c r="Q328" s="131"/>
      <c r="R328" s="131"/>
      <c r="S328" s="131"/>
      <c r="T328" s="131"/>
      <c r="U328" s="131"/>
      <c r="V328" s="131"/>
    </row>
    <row r="329" spans="13:22">
      <c r="M329" s="126"/>
      <c r="N329" s="126"/>
      <c r="O329" s="126"/>
      <c r="P329" s="131"/>
      <c r="Q329" s="131"/>
      <c r="R329" s="131"/>
      <c r="S329" s="131"/>
      <c r="T329" s="131"/>
      <c r="U329" s="131"/>
      <c r="V329" s="131"/>
    </row>
    <row r="330" spans="13:22">
      <c r="M330" s="126"/>
      <c r="N330" s="126"/>
      <c r="O330" s="126"/>
      <c r="P330" s="131"/>
      <c r="Q330" s="131"/>
      <c r="R330" s="131"/>
      <c r="S330" s="131"/>
      <c r="T330" s="131"/>
      <c r="U330" s="131"/>
      <c r="V330" s="131"/>
    </row>
    <row r="331" spans="13:22">
      <c r="M331" s="126"/>
      <c r="N331" s="126"/>
      <c r="O331" s="126"/>
      <c r="P331" s="131"/>
      <c r="Q331" s="131"/>
      <c r="R331" s="131"/>
      <c r="S331" s="131"/>
      <c r="T331" s="131"/>
      <c r="U331" s="131"/>
      <c r="V331" s="131"/>
    </row>
    <row r="332" spans="13:22">
      <c r="M332" s="126"/>
      <c r="N332" s="126"/>
      <c r="O332" s="126"/>
      <c r="P332" s="131"/>
      <c r="Q332" s="131"/>
      <c r="R332" s="131"/>
      <c r="S332" s="131"/>
      <c r="T332" s="131"/>
      <c r="U332" s="131"/>
      <c r="V332" s="131"/>
    </row>
    <row r="333" spans="13:22">
      <c r="M333" s="126"/>
      <c r="N333" s="126"/>
      <c r="O333" s="126"/>
      <c r="P333" s="131"/>
      <c r="Q333" s="131"/>
      <c r="R333" s="131"/>
      <c r="S333" s="131"/>
      <c r="T333" s="131"/>
      <c r="U333" s="131"/>
      <c r="V333" s="131"/>
    </row>
    <row r="334" spans="13:22">
      <c r="M334" s="126"/>
      <c r="N334" s="126"/>
      <c r="O334" s="126"/>
      <c r="P334" s="131"/>
      <c r="Q334" s="131"/>
      <c r="R334" s="131"/>
      <c r="S334" s="131"/>
      <c r="T334" s="131"/>
      <c r="U334" s="131"/>
      <c r="V334" s="131"/>
    </row>
    <row r="335" spans="13:22">
      <c r="M335" s="126"/>
      <c r="N335" s="126"/>
      <c r="O335" s="126"/>
      <c r="P335" s="131"/>
      <c r="Q335" s="131"/>
      <c r="R335" s="131"/>
      <c r="S335" s="131"/>
      <c r="T335" s="131"/>
      <c r="U335" s="131"/>
      <c r="V335" s="131"/>
    </row>
    <row r="336" spans="13:22">
      <c r="M336" s="126"/>
      <c r="N336" s="126"/>
      <c r="O336" s="126"/>
      <c r="P336" s="131"/>
      <c r="Q336" s="131"/>
      <c r="R336" s="131"/>
      <c r="S336" s="131"/>
      <c r="T336" s="131"/>
      <c r="U336" s="131"/>
      <c r="V336" s="131"/>
    </row>
    <row r="337" spans="13:22">
      <c r="M337" s="126"/>
      <c r="N337" s="126"/>
      <c r="O337" s="126"/>
      <c r="P337" s="131"/>
      <c r="Q337" s="131"/>
      <c r="R337" s="131"/>
      <c r="S337" s="131"/>
      <c r="T337" s="131"/>
      <c r="U337" s="131"/>
      <c r="V337" s="131"/>
    </row>
    <row r="338" spans="13:22">
      <c r="M338" s="126"/>
      <c r="N338" s="126"/>
      <c r="O338" s="126"/>
      <c r="P338" s="131"/>
      <c r="Q338" s="131"/>
      <c r="R338" s="131"/>
      <c r="S338" s="131"/>
      <c r="T338" s="131"/>
      <c r="U338" s="131"/>
      <c r="V338" s="131"/>
    </row>
    <row r="339" spans="13:22">
      <c r="M339" s="126"/>
      <c r="P339" s="131"/>
      <c r="Q339" s="131"/>
      <c r="R339" s="131"/>
      <c r="S339" s="131"/>
      <c r="T339" s="131"/>
      <c r="U339" s="131"/>
      <c r="V339" s="131"/>
    </row>
    <row r="340" spans="13:22">
      <c r="M340" s="126"/>
      <c r="P340" s="131"/>
      <c r="Q340" s="131"/>
      <c r="R340" s="131"/>
      <c r="S340" s="131"/>
      <c r="T340" s="131"/>
      <c r="U340" s="131"/>
      <c r="V340" s="131"/>
    </row>
    <row r="341" spans="13:22">
      <c r="M341" s="126"/>
      <c r="N341" s="131"/>
      <c r="P341" s="131"/>
      <c r="Q341" s="131"/>
      <c r="R341" s="131"/>
      <c r="S341" s="131"/>
      <c r="T341" s="131"/>
      <c r="U341" s="131"/>
      <c r="V341" s="131"/>
    </row>
    <row r="342" spans="13:22">
      <c r="M342" s="126"/>
      <c r="N342" s="131"/>
      <c r="O342" s="131"/>
      <c r="P342" s="131"/>
      <c r="Q342" s="131"/>
      <c r="R342" s="131"/>
      <c r="S342" s="131"/>
      <c r="T342" s="131"/>
      <c r="U342" s="131"/>
      <c r="V342" s="131"/>
    </row>
    <row r="343" spans="13:22">
      <c r="M343" s="126"/>
      <c r="N343" s="131"/>
      <c r="O343" s="131"/>
      <c r="P343" s="131"/>
      <c r="Q343" s="131"/>
      <c r="R343" s="131"/>
      <c r="S343" s="131"/>
      <c r="T343" s="131"/>
      <c r="U343" s="131"/>
      <c r="V343" s="131"/>
    </row>
    <row r="344" spans="13:22">
      <c r="M344" s="126"/>
      <c r="N344" s="131"/>
      <c r="O344" s="131"/>
      <c r="P344" s="131"/>
      <c r="Q344" s="131"/>
      <c r="R344" s="131"/>
      <c r="S344" s="131"/>
      <c r="T344" s="131"/>
      <c r="U344" s="131"/>
      <c r="V344" s="131"/>
    </row>
    <row r="345" spans="13:22">
      <c r="M345" s="126"/>
      <c r="N345" s="131"/>
      <c r="O345" s="131"/>
      <c r="P345" s="131"/>
      <c r="Q345" s="131"/>
      <c r="R345" s="131"/>
      <c r="S345" s="131"/>
      <c r="T345" s="131"/>
      <c r="U345" s="131"/>
      <c r="V345" s="131"/>
    </row>
    <row r="346" spans="13:22">
      <c r="M346" s="126"/>
      <c r="N346" s="131"/>
      <c r="O346" s="131"/>
      <c r="P346" s="131"/>
      <c r="Q346" s="131"/>
      <c r="R346" s="131"/>
      <c r="S346" s="131"/>
      <c r="T346" s="131"/>
      <c r="U346" s="131"/>
      <c r="V346" s="131"/>
    </row>
    <row r="347" spans="13:22">
      <c r="N347" s="131"/>
      <c r="O347" s="131"/>
      <c r="P347" s="131"/>
      <c r="Q347" s="131"/>
      <c r="R347" s="131"/>
      <c r="S347" s="131"/>
      <c r="T347" s="131"/>
      <c r="U347" s="131"/>
      <c r="V347" s="131"/>
    </row>
    <row r="348" spans="13:22">
      <c r="N348" s="131"/>
      <c r="O348" s="131"/>
      <c r="P348" s="131"/>
      <c r="Q348" s="131"/>
      <c r="R348" s="131"/>
      <c r="S348" s="131"/>
      <c r="T348" s="131"/>
      <c r="U348" s="131"/>
      <c r="V348" s="131"/>
    </row>
    <row r="349" spans="13:22">
      <c r="N349" s="131"/>
      <c r="O349" s="131"/>
      <c r="P349" s="131"/>
      <c r="Q349" s="131"/>
      <c r="R349" s="131"/>
      <c r="S349" s="131"/>
      <c r="T349" s="131"/>
      <c r="U349" s="131"/>
      <c r="V349" s="131"/>
    </row>
    <row r="350" spans="13:22">
      <c r="N350" s="131"/>
      <c r="O350" s="131"/>
      <c r="P350" s="131"/>
      <c r="Q350" s="131"/>
      <c r="R350" s="131"/>
      <c r="S350" s="131"/>
      <c r="T350" s="131"/>
      <c r="U350" s="131"/>
      <c r="V350" s="131"/>
    </row>
    <row r="351" spans="13:22">
      <c r="N351" s="131"/>
      <c r="O351" s="131"/>
      <c r="P351" s="131"/>
      <c r="Q351" s="131"/>
      <c r="R351" s="131"/>
      <c r="S351" s="131"/>
      <c r="T351" s="131"/>
      <c r="U351" s="131"/>
      <c r="V351" s="131"/>
    </row>
    <row r="352" spans="13:22">
      <c r="N352" s="131"/>
      <c r="O352" s="131"/>
      <c r="P352" s="131"/>
      <c r="Q352" s="131"/>
      <c r="R352" s="131"/>
      <c r="S352" s="131"/>
      <c r="T352" s="131"/>
      <c r="U352" s="131"/>
      <c r="V352" s="131"/>
    </row>
    <row r="353" spans="14:22">
      <c r="N353" s="131"/>
      <c r="O353" s="131"/>
      <c r="P353" s="131"/>
      <c r="Q353" s="131"/>
      <c r="R353" s="131"/>
      <c r="S353" s="131"/>
      <c r="T353" s="131"/>
      <c r="U353" s="131"/>
      <c r="V353" s="131"/>
    </row>
    <row r="354" spans="14:22">
      <c r="N354" s="131"/>
      <c r="O354" s="131"/>
      <c r="P354" s="131"/>
      <c r="Q354" s="131"/>
      <c r="R354" s="131"/>
      <c r="S354" s="131"/>
      <c r="T354" s="131"/>
      <c r="U354" s="131"/>
      <c r="V354" s="131"/>
    </row>
    <row r="355" spans="14:22">
      <c r="N355" s="131"/>
      <c r="O355" s="131"/>
      <c r="P355" s="131"/>
      <c r="Q355" s="131"/>
      <c r="R355" s="131"/>
      <c r="S355" s="131"/>
      <c r="T355" s="131"/>
      <c r="U355" s="131"/>
      <c r="V355" s="131"/>
    </row>
    <row r="356" spans="14:22">
      <c r="N356" s="131"/>
      <c r="O356" s="131"/>
      <c r="P356" s="131"/>
      <c r="Q356" s="131"/>
      <c r="R356" s="131"/>
      <c r="S356" s="131"/>
      <c r="T356" s="131"/>
      <c r="U356" s="131"/>
      <c r="V356" s="131"/>
    </row>
    <row r="357" spans="14:22">
      <c r="N357" s="131"/>
      <c r="O357" s="131"/>
      <c r="P357" s="131"/>
      <c r="Q357" s="131"/>
      <c r="R357" s="131"/>
      <c r="S357" s="131"/>
      <c r="T357" s="131"/>
      <c r="U357" s="131"/>
      <c r="V357" s="131"/>
    </row>
    <row r="358" spans="14:22">
      <c r="N358" s="131"/>
      <c r="O358" s="131"/>
      <c r="P358" s="131"/>
      <c r="Q358" s="131"/>
      <c r="R358" s="131"/>
      <c r="S358" s="131"/>
      <c r="T358" s="131"/>
      <c r="U358" s="131"/>
      <c r="V358" s="131"/>
    </row>
    <row r="359" spans="14:22">
      <c r="N359" s="131"/>
      <c r="O359" s="131"/>
      <c r="P359" s="131"/>
      <c r="Q359" s="131"/>
      <c r="R359" s="131"/>
      <c r="S359" s="131"/>
      <c r="T359" s="131"/>
      <c r="U359" s="131"/>
      <c r="V359" s="131"/>
    </row>
    <row r="360" spans="14:22">
      <c r="N360" s="131"/>
      <c r="O360" s="131"/>
      <c r="P360" s="131"/>
      <c r="Q360" s="131"/>
      <c r="R360" s="131"/>
      <c r="S360" s="131"/>
      <c r="T360" s="131"/>
      <c r="U360" s="131"/>
      <c r="V360" s="131"/>
    </row>
    <row r="361" spans="14:22">
      <c r="N361" s="131"/>
      <c r="O361" s="131"/>
      <c r="P361" s="131"/>
      <c r="Q361" s="131"/>
      <c r="R361" s="131"/>
      <c r="S361" s="131"/>
      <c r="T361" s="131"/>
      <c r="U361" s="131"/>
      <c r="V361" s="131"/>
    </row>
    <row r="362" spans="14:22">
      <c r="N362" s="131"/>
      <c r="O362" s="131"/>
      <c r="P362" s="131"/>
      <c r="Q362" s="131"/>
      <c r="R362" s="131"/>
      <c r="S362" s="131"/>
      <c r="T362" s="131"/>
      <c r="U362" s="131"/>
      <c r="V362" s="131"/>
    </row>
    <row r="363" spans="14:22">
      <c r="N363" s="131"/>
      <c r="O363" s="131"/>
      <c r="P363" s="131"/>
      <c r="Q363" s="131"/>
      <c r="R363" s="131"/>
      <c r="S363" s="131"/>
      <c r="T363" s="131"/>
      <c r="U363" s="131"/>
      <c r="V363" s="131"/>
    </row>
    <row r="364" spans="14:22">
      <c r="N364" s="131"/>
      <c r="O364" s="131"/>
      <c r="P364" s="131"/>
      <c r="Q364" s="131"/>
      <c r="R364" s="131"/>
      <c r="S364" s="131"/>
      <c r="T364" s="131"/>
      <c r="U364" s="131"/>
      <c r="V364" s="131"/>
    </row>
    <row r="365" spans="14:22">
      <c r="N365" s="131"/>
      <c r="O365" s="131"/>
      <c r="P365" s="131"/>
      <c r="Q365" s="131"/>
      <c r="R365" s="131"/>
      <c r="S365" s="131"/>
      <c r="T365" s="131"/>
      <c r="U365" s="131"/>
      <c r="V365" s="131"/>
    </row>
    <row r="366" spans="14:22">
      <c r="N366" s="131"/>
      <c r="O366" s="131"/>
      <c r="P366" s="131"/>
      <c r="Q366" s="131"/>
      <c r="R366" s="131"/>
      <c r="S366" s="131"/>
      <c r="T366" s="131"/>
      <c r="U366" s="131"/>
      <c r="V366" s="131"/>
    </row>
    <row r="367" spans="14:22">
      <c r="N367" s="131"/>
      <c r="O367" s="131"/>
      <c r="P367" s="131"/>
      <c r="Q367" s="131"/>
      <c r="R367" s="131"/>
      <c r="S367" s="131"/>
      <c r="T367" s="131"/>
      <c r="U367" s="131"/>
      <c r="V367" s="131"/>
    </row>
    <row r="368" spans="14:22">
      <c r="N368" s="131"/>
      <c r="O368" s="131"/>
      <c r="P368" s="131"/>
      <c r="Q368" s="131"/>
      <c r="R368" s="131"/>
      <c r="S368" s="131"/>
      <c r="T368" s="131"/>
      <c r="U368" s="131"/>
      <c r="V368" s="131"/>
    </row>
    <row r="369" spans="14:22">
      <c r="N369" s="131"/>
      <c r="O369" s="131"/>
      <c r="P369" s="131"/>
      <c r="Q369" s="131"/>
      <c r="R369" s="131"/>
      <c r="S369" s="131"/>
      <c r="T369" s="131"/>
      <c r="U369" s="131"/>
      <c r="V369" s="129"/>
    </row>
    <row r="370" spans="14:22">
      <c r="N370" s="131"/>
      <c r="O370" s="131"/>
      <c r="P370" s="131"/>
      <c r="Q370" s="131"/>
      <c r="R370" s="131"/>
      <c r="S370" s="131"/>
      <c r="T370" s="131"/>
      <c r="U370" s="131"/>
      <c r="V370" s="129"/>
    </row>
    <row r="371" spans="14:22">
      <c r="N371" s="131"/>
      <c r="O371" s="131"/>
      <c r="P371" s="131"/>
      <c r="Q371" s="131"/>
      <c r="R371" s="131"/>
      <c r="S371" s="131"/>
      <c r="T371" s="131"/>
      <c r="U371" s="131"/>
      <c r="V371" s="129"/>
    </row>
    <row r="372" spans="14:22">
      <c r="N372" s="131"/>
      <c r="O372" s="131"/>
      <c r="P372" s="131"/>
      <c r="Q372" s="131"/>
      <c r="R372" s="131"/>
      <c r="S372" s="131"/>
      <c r="T372" s="131"/>
      <c r="U372" s="131"/>
      <c r="V372" s="129"/>
    </row>
    <row r="373" spans="14:22">
      <c r="N373" s="131"/>
      <c r="O373" s="131"/>
      <c r="P373" s="131"/>
      <c r="Q373" s="131"/>
      <c r="R373" s="131"/>
      <c r="S373" s="131"/>
      <c r="T373" s="131"/>
      <c r="U373" s="131"/>
      <c r="V373" s="129"/>
    </row>
    <row r="374" spans="14:22">
      <c r="N374" s="131"/>
      <c r="O374" s="131"/>
      <c r="P374" s="131"/>
      <c r="Q374" s="131"/>
      <c r="R374" s="131"/>
      <c r="S374" s="131"/>
      <c r="T374" s="131"/>
      <c r="U374" s="131"/>
      <c r="V374" s="129"/>
    </row>
    <row r="375" spans="14:22">
      <c r="N375" s="131"/>
      <c r="O375" s="131"/>
      <c r="P375" s="131"/>
      <c r="Q375" s="131"/>
      <c r="R375" s="131"/>
      <c r="S375" s="131"/>
      <c r="T375" s="131"/>
      <c r="U375" s="131"/>
      <c r="V375" s="129"/>
    </row>
    <row r="376" spans="14:22">
      <c r="N376" s="131"/>
      <c r="O376" s="131"/>
      <c r="P376" s="131"/>
      <c r="Q376" s="131"/>
      <c r="R376" s="131"/>
      <c r="S376" s="131"/>
      <c r="T376" s="131"/>
      <c r="U376" s="131"/>
      <c r="V376" s="129"/>
    </row>
    <row r="377" spans="14:22">
      <c r="N377" s="131"/>
      <c r="O377" s="131"/>
      <c r="P377" s="131"/>
      <c r="Q377" s="131"/>
      <c r="R377" s="131"/>
      <c r="S377" s="131"/>
      <c r="T377" s="131"/>
      <c r="U377" s="131"/>
      <c r="V377" s="129"/>
    </row>
    <row r="378" spans="14:22">
      <c r="N378" s="131"/>
      <c r="O378" s="131"/>
      <c r="P378" s="131"/>
      <c r="Q378" s="131"/>
      <c r="R378" s="131"/>
      <c r="S378" s="131"/>
      <c r="T378" s="131"/>
      <c r="U378" s="131"/>
      <c r="V378" s="129"/>
    </row>
    <row r="379" spans="14:22">
      <c r="N379" s="131"/>
      <c r="O379" s="131"/>
      <c r="P379" s="131"/>
      <c r="Q379" s="131"/>
      <c r="R379" s="131"/>
      <c r="S379" s="131"/>
      <c r="T379" s="131"/>
      <c r="U379" s="131"/>
      <c r="V379" s="129"/>
    </row>
    <row r="380" spans="14:22">
      <c r="N380" s="131"/>
      <c r="O380" s="131"/>
      <c r="P380" s="131"/>
      <c r="Q380" s="131"/>
      <c r="R380" s="131"/>
      <c r="S380" s="131"/>
      <c r="T380" s="131"/>
      <c r="U380" s="131"/>
      <c r="V380" s="129"/>
    </row>
    <row r="381" spans="14:22">
      <c r="N381" s="131"/>
      <c r="O381" s="131"/>
      <c r="P381" s="131"/>
      <c r="Q381" s="131"/>
      <c r="R381" s="131"/>
      <c r="S381" s="131"/>
      <c r="T381" s="131"/>
      <c r="U381" s="131"/>
      <c r="V381" s="129"/>
    </row>
    <row r="382" spans="14:22">
      <c r="N382" s="131"/>
      <c r="O382" s="131"/>
      <c r="P382" s="131"/>
      <c r="Q382" s="131"/>
      <c r="R382" s="131"/>
      <c r="S382" s="131"/>
      <c r="T382" s="131"/>
      <c r="U382" s="131"/>
      <c r="V382" s="129"/>
    </row>
    <row r="383" spans="14:22">
      <c r="N383" s="131"/>
      <c r="O383" s="131"/>
      <c r="P383" s="131"/>
      <c r="Q383" s="131"/>
      <c r="R383" s="131"/>
      <c r="S383" s="131"/>
      <c r="T383" s="131"/>
      <c r="U383" s="131"/>
      <c r="V383" s="129"/>
    </row>
    <row r="384" spans="14:22">
      <c r="N384" s="131"/>
      <c r="O384" s="131"/>
      <c r="P384" s="131"/>
      <c r="Q384" s="131"/>
      <c r="R384" s="131"/>
      <c r="S384" s="131"/>
      <c r="T384" s="131"/>
      <c r="U384" s="131"/>
      <c r="V384" s="129"/>
    </row>
    <row r="385" spans="12:22">
      <c r="N385" s="131"/>
      <c r="O385" s="131"/>
      <c r="P385" s="131"/>
      <c r="Q385" s="131"/>
      <c r="R385" s="131"/>
      <c r="S385" s="131"/>
      <c r="T385" s="131"/>
      <c r="U385" s="131"/>
      <c r="V385" s="129"/>
    </row>
    <row r="386" spans="12:22">
      <c r="N386" s="131"/>
      <c r="O386" s="131"/>
      <c r="P386" s="131"/>
      <c r="Q386" s="131"/>
      <c r="R386" s="131"/>
      <c r="S386" s="131"/>
      <c r="T386" s="131"/>
      <c r="U386" s="131"/>
      <c r="V386" s="129"/>
    </row>
    <row r="387" spans="12:22">
      <c r="N387" s="131"/>
      <c r="O387" s="131"/>
      <c r="P387" s="131"/>
      <c r="Q387" s="131"/>
      <c r="R387" s="131"/>
      <c r="S387" s="131"/>
      <c r="T387" s="131"/>
      <c r="U387" s="131"/>
      <c r="V387" s="129"/>
    </row>
    <row r="388" spans="12:22">
      <c r="N388" s="131"/>
      <c r="O388" s="131"/>
      <c r="P388" s="131"/>
      <c r="Q388" s="131"/>
      <c r="R388" s="131"/>
      <c r="S388" s="131"/>
      <c r="T388" s="131"/>
      <c r="U388" s="131"/>
      <c r="V388" s="129"/>
    </row>
    <row r="389" spans="12:22">
      <c r="N389" s="131"/>
      <c r="O389" s="131"/>
      <c r="P389" s="131"/>
      <c r="Q389" s="131"/>
      <c r="R389" s="131"/>
      <c r="S389" s="131"/>
      <c r="T389" s="131"/>
      <c r="U389" s="131"/>
      <c r="V389" s="129"/>
    </row>
    <row r="390" spans="12:22">
      <c r="L390" s="106"/>
      <c r="N390" s="131"/>
      <c r="O390" s="131"/>
      <c r="P390" s="131"/>
      <c r="Q390" s="131"/>
      <c r="R390" s="131"/>
      <c r="S390" s="131"/>
      <c r="T390" s="131"/>
      <c r="U390" s="131"/>
      <c r="V390" s="129"/>
    </row>
    <row r="391" spans="12:22">
      <c r="L391" s="106"/>
      <c r="N391" s="131"/>
      <c r="O391" s="131"/>
      <c r="P391" s="131"/>
      <c r="Q391" s="131"/>
      <c r="R391" s="131"/>
      <c r="S391" s="131"/>
      <c r="T391" s="131"/>
      <c r="U391" s="131"/>
      <c r="V391" s="129"/>
    </row>
    <row r="392" spans="12:22">
      <c r="L392" s="106"/>
      <c r="N392" s="131"/>
      <c r="O392" s="131"/>
      <c r="P392" s="131"/>
      <c r="Q392" s="131"/>
      <c r="R392" s="131"/>
      <c r="S392" s="131"/>
      <c r="T392" s="131"/>
      <c r="U392" s="131"/>
      <c r="V392" s="129"/>
    </row>
    <row r="393" spans="12:22">
      <c r="L393" s="106"/>
      <c r="N393" s="131"/>
      <c r="O393" s="131"/>
      <c r="P393" s="131"/>
      <c r="Q393" s="131"/>
      <c r="R393" s="131"/>
      <c r="S393" s="131"/>
      <c r="T393" s="131"/>
      <c r="U393" s="131"/>
      <c r="V393" s="129"/>
    </row>
    <row r="394" spans="12:22">
      <c r="L394" s="106"/>
      <c r="N394" s="131"/>
      <c r="O394" s="131"/>
      <c r="P394" s="131"/>
      <c r="Q394" s="131"/>
      <c r="R394" s="131"/>
      <c r="S394" s="131"/>
      <c r="T394" s="131"/>
      <c r="U394" s="131"/>
      <c r="V394" s="129"/>
    </row>
    <row r="395" spans="12:22">
      <c r="L395" s="106"/>
      <c r="N395" s="131"/>
      <c r="O395" s="131"/>
      <c r="P395" s="131"/>
      <c r="Q395" s="131"/>
      <c r="R395" s="131"/>
      <c r="S395" s="131"/>
      <c r="T395" s="131"/>
      <c r="U395" s="131"/>
      <c r="V395" s="129"/>
    </row>
    <row r="396" spans="12:22">
      <c r="L396" s="106"/>
      <c r="N396" s="131"/>
      <c r="O396" s="131"/>
      <c r="P396" s="131"/>
      <c r="Q396" s="131"/>
      <c r="R396" s="131"/>
      <c r="S396" s="131"/>
      <c r="T396" s="131"/>
      <c r="U396" s="131"/>
      <c r="V396" s="129"/>
    </row>
    <row r="397" spans="12:22">
      <c r="L397" s="106"/>
      <c r="N397" s="131"/>
      <c r="O397" s="131"/>
      <c r="P397" s="131"/>
      <c r="Q397" s="131"/>
      <c r="R397" s="129"/>
      <c r="S397" s="131"/>
      <c r="T397" s="131"/>
      <c r="U397" s="131"/>
      <c r="V397" s="129"/>
    </row>
    <row r="398" spans="12:22">
      <c r="L398" s="106"/>
      <c r="N398" s="131"/>
      <c r="O398" s="131"/>
      <c r="P398" s="131"/>
      <c r="Q398" s="131"/>
      <c r="R398" s="129"/>
      <c r="S398" s="131"/>
      <c r="T398" s="131"/>
      <c r="U398" s="131"/>
      <c r="V398" s="129"/>
    </row>
    <row r="399" spans="12:22">
      <c r="L399" s="106"/>
      <c r="N399" s="131"/>
      <c r="O399" s="131"/>
      <c r="P399" s="131"/>
      <c r="Q399" s="131"/>
      <c r="R399" s="129"/>
      <c r="S399" s="129"/>
      <c r="T399" s="131"/>
      <c r="U399" s="131"/>
      <c r="V399" s="129"/>
    </row>
    <row r="400" spans="12:22">
      <c r="L400" s="106"/>
      <c r="N400" s="131"/>
      <c r="O400" s="131"/>
      <c r="P400" s="131"/>
      <c r="Q400" s="131"/>
      <c r="R400" s="129"/>
      <c r="S400" s="129"/>
      <c r="T400" s="131"/>
      <c r="U400" s="131"/>
      <c r="V400" s="129"/>
    </row>
    <row r="401" spans="12:22">
      <c r="L401" s="106"/>
      <c r="N401" s="131"/>
      <c r="O401" s="131"/>
      <c r="P401" s="131"/>
      <c r="Q401" s="131"/>
      <c r="R401" s="129"/>
      <c r="S401" s="129"/>
      <c r="T401" s="131"/>
      <c r="U401" s="131"/>
      <c r="V401" s="129"/>
    </row>
    <row r="402" spans="12:22">
      <c r="L402" s="106"/>
      <c r="N402" s="131"/>
      <c r="O402" s="131"/>
      <c r="P402" s="131"/>
      <c r="Q402" s="131"/>
      <c r="R402" s="129"/>
      <c r="S402" s="129"/>
      <c r="T402" s="131"/>
      <c r="U402" s="131"/>
      <c r="V402" s="129"/>
    </row>
    <row r="403" spans="12:22">
      <c r="L403" s="106"/>
      <c r="N403" s="131"/>
      <c r="O403" s="131"/>
      <c r="P403" s="131"/>
      <c r="Q403" s="131"/>
      <c r="R403" s="129"/>
      <c r="S403" s="129"/>
      <c r="T403" s="131"/>
      <c r="U403" s="131"/>
      <c r="V403" s="129"/>
    </row>
    <row r="404" spans="12:22">
      <c r="L404" s="106"/>
      <c r="N404" s="131"/>
      <c r="O404" s="131"/>
      <c r="P404" s="129"/>
      <c r="Q404" s="129"/>
      <c r="R404" s="129"/>
      <c r="S404" s="129"/>
      <c r="T404" s="131"/>
      <c r="U404" s="131"/>
      <c r="V404" s="129"/>
    </row>
    <row r="405" spans="12:22">
      <c r="L405" s="106"/>
      <c r="N405" s="131"/>
      <c r="O405" s="131"/>
      <c r="P405" s="129"/>
      <c r="Q405" s="129"/>
      <c r="R405" s="129"/>
      <c r="S405" s="129"/>
      <c r="T405" s="131"/>
      <c r="U405" s="131"/>
      <c r="V405" s="129"/>
    </row>
    <row r="406" spans="12:22">
      <c r="L406" s="106"/>
      <c r="N406" s="131"/>
      <c r="O406" s="131"/>
      <c r="P406" s="129"/>
      <c r="Q406" s="129"/>
      <c r="R406" s="129"/>
      <c r="S406" s="129"/>
      <c r="T406" s="131"/>
      <c r="U406" s="131"/>
      <c r="V406" s="129"/>
    </row>
    <row r="407" spans="12:22">
      <c r="L407" s="106"/>
      <c r="N407" s="131"/>
      <c r="O407" s="131"/>
      <c r="P407" s="129"/>
      <c r="Q407" s="129"/>
      <c r="R407" s="129"/>
      <c r="S407" s="129"/>
      <c r="T407" s="131"/>
      <c r="U407" s="131"/>
      <c r="V407" s="129"/>
    </row>
    <row r="408" spans="12:22">
      <c r="L408" s="106"/>
      <c r="N408" s="131"/>
      <c r="O408" s="131"/>
      <c r="P408" s="129"/>
      <c r="Q408" s="129"/>
      <c r="R408" s="129"/>
      <c r="S408" s="129"/>
      <c r="T408" s="131"/>
      <c r="U408" s="131"/>
      <c r="V408" s="129"/>
    </row>
    <row r="409" spans="12:22">
      <c r="N409" s="131"/>
      <c r="O409" s="131"/>
      <c r="P409" s="129"/>
      <c r="Q409" s="129"/>
      <c r="R409" s="129"/>
      <c r="S409" s="129"/>
      <c r="T409" s="129"/>
      <c r="U409" s="129"/>
      <c r="V409" s="129"/>
    </row>
    <row r="410" spans="12:22">
      <c r="N410" s="131"/>
      <c r="O410" s="131"/>
      <c r="P410" s="129"/>
      <c r="Q410" s="129"/>
      <c r="R410" s="129"/>
      <c r="S410" s="129"/>
      <c r="T410" s="129"/>
      <c r="U410" s="129"/>
      <c r="V410" s="129"/>
    </row>
    <row r="411" spans="12:22">
      <c r="N411" s="131"/>
      <c r="O411" s="131"/>
      <c r="P411" s="129"/>
      <c r="Q411" s="129"/>
      <c r="R411" s="129"/>
      <c r="S411" s="129"/>
      <c r="T411" s="129"/>
      <c r="U411" s="129"/>
      <c r="V411" s="129"/>
    </row>
    <row r="412" spans="12:22">
      <c r="N412" s="131"/>
      <c r="O412" s="131"/>
      <c r="P412" s="129"/>
      <c r="Q412" s="129"/>
      <c r="R412" s="129"/>
      <c r="S412" s="129"/>
      <c r="T412" s="129"/>
      <c r="U412" s="129"/>
      <c r="V412" s="129"/>
    </row>
    <row r="413" spans="12:22">
      <c r="N413" s="131"/>
      <c r="O413" s="131"/>
      <c r="P413" s="129"/>
      <c r="Q413" s="129"/>
      <c r="R413" s="129"/>
      <c r="S413" s="129"/>
      <c r="T413" s="129"/>
      <c r="U413" s="129"/>
      <c r="V413" s="129"/>
    </row>
    <row r="414" spans="12:22">
      <c r="N414" s="131"/>
      <c r="O414" s="131"/>
      <c r="P414" s="129"/>
      <c r="Q414" s="129"/>
      <c r="R414" s="129"/>
      <c r="S414" s="129"/>
      <c r="T414" s="129"/>
      <c r="U414" s="129"/>
      <c r="V414" s="129"/>
    </row>
    <row r="415" spans="12:22">
      <c r="N415" s="131"/>
      <c r="O415" s="131"/>
      <c r="P415" s="129"/>
      <c r="Q415" s="129"/>
      <c r="R415" s="129"/>
      <c r="S415" s="129"/>
      <c r="T415" s="129"/>
      <c r="U415" s="129"/>
      <c r="V415" s="129"/>
    </row>
    <row r="416" spans="12:22">
      <c r="N416" s="131"/>
      <c r="O416" s="131"/>
      <c r="P416" s="129"/>
      <c r="Q416" s="129"/>
      <c r="R416" s="129"/>
      <c r="S416" s="129"/>
      <c r="T416" s="129"/>
      <c r="U416" s="129"/>
      <c r="V416" s="129"/>
    </row>
    <row r="417" spans="14:22">
      <c r="N417" s="131"/>
      <c r="O417" s="131"/>
      <c r="P417" s="129"/>
      <c r="Q417" s="129"/>
      <c r="R417" s="129"/>
      <c r="S417" s="129"/>
      <c r="T417" s="129"/>
      <c r="U417" s="129"/>
      <c r="V417" s="129"/>
    </row>
    <row r="418" spans="14:22">
      <c r="N418" s="131"/>
      <c r="O418" s="131"/>
      <c r="P418" s="129"/>
      <c r="Q418" s="129"/>
      <c r="R418" s="129"/>
      <c r="S418" s="129"/>
      <c r="T418" s="129"/>
      <c r="U418" s="129"/>
      <c r="V418" s="129"/>
    </row>
    <row r="419" spans="14:22">
      <c r="N419" s="131"/>
      <c r="O419" s="131"/>
      <c r="P419" s="129"/>
      <c r="Q419" s="129"/>
      <c r="R419" s="129"/>
      <c r="S419" s="129"/>
      <c r="T419" s="129"/>
      <c r="U419" s="129"/>
      <c r="V419" s="129"/>
    </row>
    <row r="420" spans="14:22">
      <c r="N420" s="131"/>
      <c r="O420" s="131"/>
      <c r="P420" s="129"/>
      <c r="Q420" s="129"/>
      <c r="R420" s="129"/>
      <c r="S420" s="129"/>
      <c r="T420" s="129"/>
      <c r="U420" s="129"/>
      <c r="V420" s="129"/>
    </row>
    <row r="421" spans="14:22">
      <c r="N421" s="131"/>
      <c r="O421" s="131"/>
      <c r="P421" s="129"/>
      <c r="Q421" s="129"/>
      <c r="R421" s="129"/>
      <c r="S421" s="129"/>
      <c r="T421" s="129"/>
      <c r="U421" s="129"/>
      <c r="V421" s="129"/>
    </row>
    <row r="422" spans="14:22">
      <c r="N422" s="131"/>
      <c r="O422" s="131"/>
      <c r="P422" s="129"/>
      <c r="Q422" s="129"/>
      <c r="R422" s="129"/>
      <c r="S422" s="129"/>
      <c r="T422" s="129"/>
      <c r="U422" s="129"/>
      <c r="V422" s="129"/>
    </row>
    <row r="423" spans="14:22">
      <c r="N423" s="131"/>
      <c r="O423" s="131"/>
      <c r="P423" s="129"/>
      <c r="Q423" s="129"/>
      <c r="R423" s="129"/>
      <c r="S423" s="129"/>
      <c r="T423" s="129"/>
      <c r="U423" s="129"/>
    </row>
    <row r="424" spans="14:22">
      <c r="N424" s="131"/>
      <c r="O424" s="131"/>
      <c r="P424" s="129"/>
      <c r="Q424" s="129"/>
      <c r="R424" s="129"/>
      <c r="S424" s="129"/>
      <c r="T424" s="129"/>
      <c r="U424" s="129"/>
    </row>
    <row r="425" spans="14:22">
      <c r="N425" s="131"/>
      <c r="O425" s="131"/>
      <c r="P425" s="129"/>
      <c r="Q425" s="129"/>
      <c r="R425" s="129"/>
      <c r="S425" s="129"/>
      <c r="T425" s="129"/>
      <c r="U425" s="129"/>
    </row>
    <row r="426" spans="14:22">
      <c r="N426" s="131"/>
      <c r="O426" s="131"/>
      <c r="P426" s="129"/>
      <c r="Q426" s="129"/>
      <c r="R426" s="129"/>
      <c r="S426" s="129"/>
      <c r="T426" s="129"/>
      <c r="U426" s="129"/>
    </row>
    <row r="427" spans="14:22">
      <c r="N427" s="131"/>
      <c r="O427" s="131"/>
      <c r="P427" s="129"/>
      <c r="Q427" s="129"/>
      <c r="R427" s="129"/>
      <c r="S427" s="129"/>
      <c r="T427" s="129"/>
      <c r="U427" s="129"/>
    </row>
    <row r="428" spans="14:22">
      <c r="N428" s="131"/>
      <c r="O428" s="131"/>
      <c r="P428" s="129"/>
      <c r="Q428" s="129"/>
      <c r="R428" s="129"/>
      <c r="S428" s="129"/>
      <c r="T428" s="129"/>
      <c r="U428" s="129"/>
    </row>
    <row r="429" spans="14:22">
      <c r="N429" s="131"/>
      <c r="O429" s="131"/>
      <c r="P429" s="129"/>
      <c r="Q429" s="129"/>
      <c r="R429" s="129"/>
      <c r="S429" s="129"/>
      <c r="T429" s="129"/>
      <c r="U429" s="129"/>
    </row>
    <row r="430" spans="14:22">
      <c r="N430" s="131"/>
      <c r="O430" s="131"/>
      <c r="P430" s="129"/>
      <c r="Q430" s="129"/>
      <c r="R430" s="129"/>
      <c r="S430" s="129"/>
      <c r="T430" s="129"/>
      <c r="U430" s="129"/>
    </row>
    <row r="431" spans="14:22">
      <c r="N431" s="131"/>
      <c r="O431" s="131"/>
      <c r="P431" s="129"/>
      <c r="Q431" s="129"/>
      <c r="R431" s="129"/>
      <c r="S431" s="129"/>
      <c r="T431" s="129"/>
      <c r="U431" s="129"/>
    </row>
    <row r="432" spans="14:22">
      <c r="N432" s="131"/>
      <c r="O432" s="131"/>
      <c r="P432" s="129"/>
      <c r="Q432" s="129"/>
      <c r="R432" s="129"/>
      <c r="S432" s="129"/>
      <c r="T432" s="129"/>
      <c r="U432" s="129"/>
    </row>
    <row r="433" spans="14:21">
      <c r="N433" s="131"/>
      <c r="O433" s="131"/>
      <c r="P433" s="129"/>
      <c r="Q433" s="129"/>
      <c r="R433" s="129"/>
      <c r="S433" s="129"/>
      <c r="T433" s="129"/>
      <c r="U433" s="129"/>
    </row>
    <row r="434" spans="14:21">
      <c r="N434" s="131"/>
      <c r="O434" s="131"/>
      <c r="P434" s="129"/>
      <c r="Q434" s="129"/>
      <c r="R434" s="129"/>
      <c r="S434" s="129"/>
      <c r="T434" s="129"/>
      <c r="U434" s="129"/>
    </row>
    <row r="435" spans="14:21">
      <c r="N435" s="131"/>
      <c r="O435" s="131"/>
      <c r="P435" s="129"/>
      <c r="Q435" s="129"/>
      <c r="R435" s="129"/>
      <c r="S435" s="129"/>
      <c r="T435" s="129"/>
      <c r="U435" s="129"/>
    </row>
    <row r="436" spans="14:21">
      <c r="N436" s="129"/>
      <c r="O436" s="131"/>
      <c r="P436" s="129"/>
      <c r="Q436" s="129"/>
      <c r="R436" s="129"/>
      <c r="S436" s="129"/>
      <c r="T436" s="129"/>
      <c r="U436" s="129"/>
    </row>
    <row r="437" spans="14:21">
      <c r="N437" s="129"/>
      <c r="O437" s="129"/>
      <c r="P437" s="129"/>
      <c r="Q437" s="129"/>
      <c r="R437" s="129"/>
      <c r="S437" s="129"/>
      <c r="T437" s="129"/>
      <c r="U437" s="129"/>
    </row>
    <row r="438" spans="14:21">
      <c r="N438" s="129"/>
      <c r="O438" s="129"/>
      <c r="P438" s="129"/>
      <c r="Q438" s="129"/>
      <c r="R438" s="129"/>
      <c r="S438" s="129"/>
      <c r="T438" s="129"/>
      <c r="U438" s="129"/>
    </row>
    <row r="439" spans="14:21">
      <c r="N439" s="129"/>
      <c r="O439" s="129"/>
      <c r="P439" s="129"/>
      <c r="Q439" s="129"/>
      <c r="R439" s="129"/>
      <c r="S439" s="129"/>
      <c r="T439" s="129"/>
      <c r="U439" s="129"/>
    </row>
    <row r="440" spans="14:21">
      <c r="N440" s="129"/>
      <c r="O440" s="129"/>
      <c r="P440" s="129"/>
      <c r="Q440" s="129"/>
      <c r="R440" s="129"/>
      <c r="S440" s="129"/>
      <c r="T440" s="129"/>
      <c r="U440" s="129"/>
    </row>
    <row r="441" spans="14:21">
      <c r="N441" s="129"/>
      <c r="O441" s="129"/>
      <c r="P441" s="129"/>
      <c r="Q441" s="129"/>
      <c r="R441" s="129"/>
      <c r="S441" s="129"/>
      <c r="T441" s="129"/>
      <c r="U441" s="129"/>
    </row>
    <row r="442" spans="14:21">
      <c r="N442" s="129"/>
      <c r="O442" s="129"/>
      <c r="P442" s="129"/>
      <c r="Q442" s="129"/>
      <c r="R442" s="129"/>
      <c r="S442" s="129"/>
      <c r="T442" s="129"/>
      <c r="U442" s="129"/>
    </row>
    <row r="443" spans="14:21">
      <c r="N443" s="129"/>
      <c r="O443" s="129"/>
      <c r="P443" s="129"/>
      <c r="Q443" s="129"/>
      <c r="R443" s="129"/>
      <c r="S443" s="129"/>
      <c r="T443" s="129"/>
      <c r="U443" s="129"/>
    </row>
    <row r="444" spans="14:21">
      <c r="N444" s="129"/>
      <c r="O444" s="129"/>
      <c r="P444" s="129"/>
      <c r="Q444" s="129"/>
      <c r="R444" s="129"/>
      <c r="S444" s="129"/>
      <c r="T444" s="129"/>
      <c r="U444" s="129"/>
    </row>
    <row r="445" spans="14:21">
      <c r="N445" s="129"/>
      <c r="O445" s="129"/>
      <c r="P445" s="129"/>
      <c r="Q445" s="129"/>
      <c r="R445" s="129"/>
      <c r="S445" s="129"/>
      <c r="T445" s="129"/>
      <c r="U445" s="129"/>
    </row>
    <row r="446" spans="14:21">
      <c r="N446" s="129"/>
      <c r="O446" s="129"/>
      <c r="P446" s="129"/>
      <c r="Q446" s="129"/>
      <c r="R446" s="129"/>
      <c r="S446" s="129"/>
      <c r="T446" s="129"/>
      <c r="U446" s="129"/>
    </row>
    <row r="447" spans="14:21">
      <c r="N447" s="129"/>
      <c r="O447" s="129"/>
      <c r="P447" s="129"/>
      <c r="Q447" s="129"/>
      <c r="R447" s="129"/>
      <c r="S447" s="129"/>
      <c r="T447" s="129"/>
      <c r="U447" s="129"/>
    </row>
    <row r="448" spans="14:21">
      <c r="N448" s="129"/>
      <c r="O448" s="129"/>
      <c r="P448" s="129"/>
      <c r="Q448" s="129"/>
      <c r="R448" s="129"/>
      <c r="S448" s="129"/>
      <c r="T448" s="129"/>
      <c r="U448" s="129"/>
    </row>
    <row r="449" spans="14:21">
      <c r="N449" s="129"/>
      <c r="O449" s="129"/>
      <c r="P449" s="129"/>
      <c r="Q449" s="129"/>
      <c r="R449" s="129"/>
      <c r="S449" s="129"/>
      <c r="T449" s="129"/>
      <c r="U449" s="129"/>
    </row>
    <row r="450" spans="14:21">
      <c r="N450" s="129"/>
      <c r="O450" s="129"/>
      <c r="P450" s="129"/>
      <c r="Q450" s="129"/>
      <c r="R450" s="129"/>
      <c r="S450" s="129"/>
      <c r="T450" s="129"/>
      <c r="U450" s="129"/>
    </row>
    <row r="451" spans="14:21">
      <c r="N451" s="129"/>
      <c r="O451" s="129"/>
      <c r="P451" s="129"/>
      <c r="Q451" s="129"/>
      <c r="S451" s="129"/>
      <c r="T451" s="129"/>
      <c r="U451" s="129"/>
    </row>
    <row r="452" spans="14:21">
      <c r="N452" s="129"/>
      <c r="O452" s="129"/>
      <c r="P452" s="129"/>
      <c r="Q452" s="129"/>
      <c r="S452" s="129"/>
      <c r="T452" s="129"/>
      <c r="U452" s="129"/>
    </row>
    <row r="453" spans="14:21">
      <c r="N453" s="129"/>
      <c r="O453" s="129"/>
      <c r="P453" s="129"/>
      <c r="Q453" s="129"/>
      <c r="T453" s="129"/>
      <c r="U453" s="129"/>
    </row>
    <row r="454" spans="14:21">
      <c r="N454" s="129"/>
      <c r="O454" s="129"/>
      <c r="P454" s="129"/>
      <c r="Q454" s="129"/>
      <c r="T454" s="129"/>
      <c r="U454" s="129"/>
    </row>
    <row r="455" spans="14:21">
      <c r="N455" s="129"/>
      <c r="O455" s="129"/>
      <c r="P455" s="129"/>
      <c r="Q455" s="129"/>
      <c r="T455" s="129"/>
      <c r="U455" s="129"/>
    </row>
    <row r="456" spans="14:21">
      <c r="N456" s="129"/>
      <c r="O456" s="129"/>
      <c r="P456" s="129"/>
      <c r="Q456" s="129"/>
      <c r="T456" s="129"/>
      <c r="U456" s="129"/>
    </row>
    <row r="457" spans="14:21">
      <c r="N457" s="129"/>
      <c r="O457" s="129"/>
      <c r="P457" s="129"/>
      <c r="Q457" s="129"/>
      <c r="T457" s="129"/>
      <c r="U457" s="129"/>
    </row>
    <row r="458" spans="14:21">
      <c r="N458" s="129"/>
      <c r="O458" s="129"/>
      <c r="T458" s="129"/>
      <c r="U458" s="129"/>
    </row>
    <row r="459" spans="14:21">
      <c r="N459" s="129"/>
      <c r="O459" s="129"/>
      <c r="T459" s="129"/>
      <c r="U459" s="129"/>
    </row>
    <row r="460" spans="14:21">
      <c r="N460" s="129"/>
      <c r="O460" s="129"/>
      <c r="T460" s="129"/>
      <c r="U460" s="129"/>
    </row>
    <row r="461" spans="14:21">
      <c r="N461" s="129"/>
      <c r="O461" s="129"/>
      <c r="T461" s="129"/>
      <c r="U461" s="129"/>
    </row>
    <row r="462" spans="14:21">
      <c r="N462" s="129"/>
      <c r="O462" s="129"/>
      <c r="T462" s="129"/>
      <c r="U462" s="129"/>
    </row>
    <row r="463" spans="14:21">
      <c r="N463" s="129"/>
      <c r="O463" s="129"/>
    </row>
    <row r="464" spans="14:21">
      <c r="N464" s="129"/>
      <c r="O464" s="129"/>
    </row>
    <row r="465" spans="14:15">
      <c r="N465" s="129"/>
      <c r="O465" s="129"/>
    </row>
    <row r="466" spans="14:15">
      <c r="N466" s="129"/>
      <c r="O466" s="129"/>
    </row>
    <row r="467" spans="14:15">
      <c r="N467" s="129"/>
      <c r="O467" s="129"/>
    </row>
    <row r="468" spans="14:15">
      <c r="N468" s="129"/>
      <c r="O468" s="129"/>
    </row>
    <row r="469" spans="14:15">
      <c r="N469" s="129"/>
      <c r="O469" s="129"/>
    </row>
    <row r="470" spans="14:15">
      <c r="N470" s="129"/>
      <c r="O470" s="129"/>
    </row>
    <row r="471" spans="14:15">
      <c r="N471" s="129"/>
      <c r="O471" s="129"/>
    </row>
    <row r="472" spans="14:15">
      <c r="N472" s="129"/>
      <c r="O472" s="129"/>
    </row>
    <row r="473" spans="14:15">
      <c r="N473" s="129"/>
      <c r="O473" s="129"/>
    </row>
    <row r="474" spans="14:15">
      <c r="N474" s="129"/>
      <c r="O474" s="129"/>
    </row>
    <row r="475" spans="14:15">
      <c r="N475" s="129"/>
      <c r="O475" s="129"/>
    </row>
    <row r="476" spans="14:15">
      <c r="N476" s="129"/>
      <c r="O476" s="129"/>
    </row>
    <row r="477" spans="14:15">
      <c r="N477" s="129"/>
      <c r="O477" s="129"/>
    </row>
    <row r="478" spans="14:15">
      <c r="N478" s="129"/>
      <c r="O478" s="129"/>
    </row>
    <row r="479" spans="14:15">
      <c r="N479" s="129"/>
      <c r="O479" s="129"/>
    </row>
    <row r="480" spans="14:15">
      <c r="N480" s="129"/>
      <c r="O480" s="129"/>
    </row>
    <row r="481" spans="13:15">
      <c r="M481" s="106"/>
      <c r="N481" s="129"/>
      <c r="O481" s="129"/>
    </row>
    <row r="482" spans="13:15">
      <c r="M482" s="106"/>
      <c r="N482" s="129"/>
      <c r="O482" s="129"/>
    </row>
    <row r="483" spans="13:15">
      <c r="M483" s="106"/>
      <c r="N483" s="129"/>
      <c r="O483" s="129"/>
    </row>
    <row r="484" spans="13:15">
      <c r="M484" s="106"/>
      <c r="N484" s="129"/>
      <c r="O484" s="129"/>
    </row>
    <row r="485" spans="13:15">
      <c r="M485" s="106"/>
      <c r="N485" s="129"/>
      <c r="O485" s="129"/>
    </row>
    <row r="486" spans="13:15">
      <c r="M486" s="106"/>
      <c r="N486" s="129"/>
      <c r="O486" s="129"/>
    </row>
    <row r="487" spans="13:15">
      <c r="M487" s="106"/>
      <c r="N487" s="129"/>
      <c r="O487" s="129"/>
    </row>
    <row r="488" spans="13:15">
      <c r="M488" s="106"/>
      <c r="N488" s="129"/>
      <c r="O488" s="129"/>
    </row>
    <row r="489" spans="13:15">
      <c r="M489" s="106"/>
      <c r="N489" s="129"/>
      <c r="O489" s="129"/>
    </row>
    <row r="490" spans="13:15">
      <c r="M490" s="106"/>
      <c r="O490" s="129"/>
    </row>
    <row r="491" spans="13:15">
      <c r="M491" s="106"/>
    </row>
    <row r="492" spans="13:15">
      <c r="M492" s="106"/>
    </row>
    <row r="493" spans="13:15">
      <c r="M493" s="106"/>
    </row>
    <row r="494" spans="13:15">
      <c r="M494" s="106"/>
    </row>
    <row r="495" spans="13:15">
      <c r="M495" s="106"/>
    </row>
    <row r="496" spans="13:15">
      <c r="M496" s="106"/>
    </row>
    <row r="497" spans="13:13">
      <c r="M497" s="106"/>
    </row>
    <row r="498" spans="13:13">
      <c r="M498" s="106"/>
    </row>
    <row r="499" spans="13:13">
      <c r="M499" s="106"/>
    </row>
  </sheetData>
  <mergeCells count="5">
    <mergeCell ref="A5:A6"/>
    <mergeCell ref="B5:B6"/>
    <mergeCell ref="F5:F6"/>
    <mergeCell ref="J5:J6"/>
    <mergeCell ref="K5:K6"/>
  </mergeCells>
  <phoneticPr fontId="27" type="noConversion"/>
  <conditionalFormatting sqref="A26:A48 A66 A77">
    <cfRule type="expression" dxfId="237" priority="28">
      <formula>MONTH(A26)=1</formula>
    </cfRule>
  </conditionalFormatting>
  <conditionalFormatting sqref="A49:A53">
    <cfRule type="expression" dxfId="236" priority="26">
      <formula>MONTH(A49)=1</formula>
    </cfRule>
  </conditionalFormatting>
  <conditionalFormatting sqref="A54">
    <cfRule type="expression" dxfId="235" priority="24">
      <formula>MONTH(A54)=1</formula>
    </cfRule>
  </conditionalFormatting>
  <conditionalFormatting sqref="A56">
    <cfRule type="expression" dxfId="234" priority="23">
      <formula>MONTH(A56)=1</formula>
    </cfRule>
  </conditionalFormatting>
  <conditionalFormatting sqref="A56">
    <cfRule type="expression" dxfId="233" priority="22">
      <formula>MONTH(A56)=1</formula>
    </cfRule>
  </conditionalFormatting>
  <conditionalFormatting sqref="A55:A56">
    <cfRule type="expression" dxfId="232" priority="21">
      <formula>MONTH(A55)=1</formula>
    </cfRule>
  </conditionalFormatting>
  <conditionalFormatting sqref="A57">
    <cfRule type="expression" dxfId="231" priority="20">
      <formula>MONTH(A57)=1</formula>
    </cfRule>
  </conditionalFormatting>
  <conditionalFormatting sqref="A58">
    <cfRule type="expression" dxfId="230" priority="16">
      <formula>MONTH(A58)=1</formula>
    </cfRule>
  </conditionalFormatting>
  <conditionalFormatting sqref="A59:A65">
    <cfRule type="expression" dxfId="229" priority="15">
      <formula>MONTH(A59)=1</formula>
    </cfRule>
  </conditionalFormatting>
  <conditionalFormatting sqref="A67:A68">
    <cfRule type="expression" dxfId="228" priority="6">
      <formula>MONTH(A67)=1</formula>
    </cfRule>
  </conditionalFormatting>
  <conditionalFormatting sqref="A69">
    <cfRule type="expression" dxfId="227" priority="5">
      <formula>MONTH(A69)=1</formula>
    </cfRule>
  </conditionalFormatting>
  <conditionalFormatting sqref="A70:A76">
    <cfRule type="expression" dxfId="226" priority="1">
      <formula>MONTH(A70)=1</formula>
    </cfRule>
  </conditionalFormatting>
  <pageMargins left="0.78740157480314965" right="0.78740157480314965" top="1.1417322834645669" bottom="1.1417322834645669" header="0.51181102362204722" footer="0.51181102362204722"/>
  <pageSetup paperSize="9" scale="62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F5D2-C30E-48EC-BCEE-562AD6CB4D3A}">
  <sheetPr>
    <pageSetUpPr fitToPage="1"/>
  </sheetPr>
  <dimension ref="A1:AH147"/>
  <sheetViews>
    <sheetView view="pageBreakPreview" zoomScale="115" zoomScaleNormal="100" zoomScaleSheetLayoutView="115" workbookViewId="0">
      <pane xSplit="1" ySplit="7" topLeftCell="B8" activePane="bottomRight" state="frozen"/>
      <selection activeCell="AB48" sqref="AB48"/>
      <selection pane="topRight" activeCell="AB48" sqref="AB48"/>
      <selection pane="bottomLeft" activeCell="AB48" sqref="AB48"/>
      <selection pane="bottomRight"/>
    </sheetView>
  </sheetViews>
  <sheetFormatPr defaultRowHeight="13.5"/>
  <cols>
    <col min="1" max="1" width="9.109375" style="123" customWidth="1"/>
    <col min="2" max="2" width="6.77734375" style="132" customWidth="1"/>
    <col min="3" max="6" width="6.77734375" style="127" customWidth="1"/>
    <col min="7" max="7" width="6.77734375" style="155" customWidth="1"/>
    <col min="8" max="10" width="6.77734375" style="127" customWidth="1"/>
    <col min="11" max="11" width="6.77734375" style="121" customWidth="1"/>
    <col min="12" max="12" width="5.6640625" style="121" customWidth="1"/>
    <col min="13" max="13" width="4.77734375" style="105" bestFit="1" customWidth="1"/>
    <col min="14" max="14" width="6" style="105" bestFit="1" customWidth="1"/>
    <col min="15" max="15" width="4" style="105" customWidth="1"/>
    <col min="16" max="16" width="5.33203125" style="105" bestFit="1" customWidth="1"/>
    <col min="17" max="17" width="7.33203125" style="105" customWidth="1"/>
    <col min="18" max="18" width="5.6640625" style="106" customWidth="1"/>
    <col min="19" max="31" width="6.33203125" style="106" customWidth="1"/>
    <col min="32" max="252" width="8.88671875" style="106"/>
    <col min="253" max="253" width="7.109375" style="106" customWidth="1"/>
    <col min="254" max="254" width="6.109375" style="106" customWidth="1"/>
    <col min="255" max="255" width="5.21875" style="106" customWidth="1"/>
    <col min="256" max="257" width="5.6640625" style="106" customWidth="1"/>
    <col min="258" max="258" width="6.109375" style="106" customWidth="1"/>
    <col min="259" max="259" width="5.88671875" style="106" customWidth="1"/>
    <col min="260" max="260" width="5.21875" style="106" customWidth="1"/>
    <col min="261" max="261" width="5.88671875" style="106" customWidth="1"/>
    <col min="262" max="264" width="5.6640625" style="106" customWidth="1"/>
    <col min="265" max="265" width="5.44140625" style="106" bestFit="1" customWidth="1"/>
    <col min="266" max="266" width="4.44140625" style="106" customWidth="1"/>
    <col min="267" max="267" width="4.33203125" style="106" customWidth="1"/>
    <col min="268" max="268" width="5.44140625" style="106" bestFit="1" customWidth="1"/>
    <col min="269" max="269" width="4.77734375" style="106" bestFit="1" customWidth="1"/>
    <col min="270" max="270" width="6" style="106" bestFit="1" customWidth="1"/>
    <col min="271" max="271" width="4" style="106" customWidth="1"/>
    <col min="272" max="273" width="5.33203125" style="106" bestFit="1" customWidth="1"/>
    <col min="274" max="274" width="3.88671875" style="106" customWidth="1"/>
    <col min="275" max="284" width="6.33203125" style="106" customWidth="1"/>
    <col min="285" max="508" width="8.88671875" style="106"/>
    <col min="509" max="509" width="7.109375" style="106" customWidth="1"/>
    <col min="510" max="510" width="6.109375" style="106" customWidth="1"/>
    <col min="511" max="511" width="5.21875" style="106" customWidth="1"/>
    <col min="512" max="513" width="5.6640625" style="106" customWidth="1"/>
    <col min="514" max="514" width="6.109375" style="106" customWidth="1"/>
    <col min="515" max="515" width="5.88671875" style="106" customWidth="1"/>
    <col min="516" max="516" width="5.21875" style="106" customWidth="1"/>
    <col min="517" max="517" width="5.88671875" style="106" customWidth="1"/>
    <col min="518" max="520" width="5.6640625" style="106" customWidth="1"/>
    <col min="521" max="521" width="5.44140625" style="106" bestFit="1" customWidth="1"/>
    <col min="522" max="522" width="4.44140625" style="106" customWidth="1"/>
    <col min="523" max="523" width="4.33203125" style="106" customWidth="1"/>
    <col min="524" max="524" width="5.44140625" style="106" bestFit="1" customWidth="1"/>
    <col min="525" max="525" width="4.77734375" style="106" bestFit="1" customWidth="1"/>
    <col min="526" max="526" width="6" style="106" bestFit="1" customWidth="1"/>
    <col min="527" max="527" width="4" style="106" customWidth="1"/>
    <col min="528" max="529" width="5.33203125" style="106" bestFit="1" customWidth="1"/>
    <col min="530" max="530" width="3.88671875" style="106" customWidth="1"/>
    <col min="531" max="540" width="6.33203125" style="106" customWidth="1"/>
    <col min="541" max="764" width="8.88671875" style="106"/>
    <col min="765" max="765" width="7.109375" style="106" customWidth="1"/>
    <col min="766" max="766" width="6.109375" style="106" customWidth="1"/>
    <col min="767" max="767" width="5.21875" style="106" customWidth="1"/>
    <col min="768" max="769" width="5.6640625" style="106" customWidth="1"/>
    <col min="770" max="770" width="6.109375" style="106" customWidth="1"/>
    <col min="771" max="771" width="5.88671875" style="106" customWidth="1"/>
    <col min="772" max="772" width="5.21875" style="106" customWidth="1"/>
    <col min="773" max="773" width="5.88671875" style="106" customWidth="1"/>
    <col min="774" max="776" width="5.6640625" style="106" customWidth="1"/>
    <col min="777" max="777" width="5.44140625" style="106" bestFit="1" customWidth="1"/>
    <col min="778" max="778" width="4.44140625" style="106" customWidth="1"/>
    <col min="779" max="779" width="4.33203125" style="106" customWidth="1"/>
    <col min="780" max="780" width="5.44140625" style="106" bestFit="1" customWidth="1"/>
    <col min="781" max="781" width="4.77734375" style="106" bestFit="1" customWidth="1"/>
    <col min="782" max="782" width="6" style="106" bestFit="1" customWidth="1"/>
    <col min="783" max="783" width="4" style="106" customWidth="1"/>
    <col min="784" max="785" width="5.33203125" style="106" bestFit="1" customWidth="1"/>
    <col min="786" max="786" width="3.88671875" style="106" customWidth="1"/>
    <col min="787" max="796" width="6.33203125" style="106" customWidth="1"/>
    <col min="797" max="1020" width="8.88671875" style="106"/>
    <col min="1021" max="1021" width="7.109375" style="106" customWidth="1"/>
    <col min="1022" max="1022" width="6.109375" style="106" customWidth="1"/>
    <col min="1023" max="1023" width="5.21875" style="106" customWidth="1"/>
    <col min="1024" max="1025" width="5.6640625" style="106" customWidth="1"/>
    <col min="1026" max="1026" width="6.109375" style="106" customWidth="1"/>
    <col min="1027" max="1027" width="5.88671875" style="106" customWidth="1"/>
    <col min="1028" max="1028" width="5.21875" style="106" customWidth="1"/>
    <col min="1029" max="1029" width="5.88671875" style="106" customWidth="1"/>
    <col min="1030" max="1032" width="5.6640625" style="106" customWidth="1"/>
    <col min="1033" max="1033" width="5.44140625" style="106" bestFit="1" customWidth="1"/>
    <col min="1034" max="1034" width="4.44140625" style="106" customWidth="1"/>
    <col min="1035" max="1035" width="4.33203125" style="106" customWidth="1"/>
    <col min="1036" max="1036" width="5.44140625" style="106" bestFit="1" customWidth="1"/>
    <col min="1037" max="1037" width="4.77734375" style="106" bestFit="1" customWidth="1"/>
    <col min="1038" max="1038" width="6" style="106" bestFit="1" customWidth="1"/>
    <col min="1039" max="1039" width="4" style="106" customWidth="1"/>
    <col min="1040" max="1041" width="5.33203125" style="106" bestFit="1" customWidth="1"/>
    <col min="1042" max="1042" width="3.88671875" style="106" customWidth="1"/>
    <col min="1043" max="1052" width="6.33203125" style="106" customWidth="1"/>
    <col min="1053" max="1276" width="8.88671875" style="106"/>
    <col min="1277" max="1277" width="7.109375" style="106" customWidth="1"/>
    <col min="1278" max="1278" width="6.109375" style="106" customWidth="1"/>
    <col min="1279" max="1279" width="5.21875" style="106" customWidth="1"/>
    <col min="1280" max="1281" width="5.6640625" style="106" customWidth="1"/>
    <col min="1282" max="1282" width="6.109375" style="106" customWidth="1"/>
    <col min="1283" max="1283" width="5.88671875" style="106" customWidth="1"/>
    <col min="1284" max="1284" width="5.21875" style="106" customWidth="1"/>
    <col min="1285" max="1285" width="5.88671875" style="106" customWidth="1"/>
    <col min="1286" max="1288" width="5.6640625" style="106" customWidth="1"/>
    <col min="1289" max="1289" width="5.44140625" style="106" bestFit="1" customWidth="1"/>
    <col min="1290" max="1290" width="4.44140625" style="106" customWidth="1"/>
    <col min="1291" max="1291" width="4.33203125" style="106" customWidth="1"/>
    <col min="1292" max="1292" width="5.44140625" style="106" bestFit="1" customWidth="1"/>
    <col min="1293" max="1293" width="4.77734375" style="106" bestFit="1" customWidth="1"/>
    <col min="1294" max="1294" width="6" style="106" bestFit="1" customWidth="1"/>
    <col min="1295" max="1295" width="4" style="106" customWidth="1"/>
    <col min="1296" max="1297" width="5.33203125" style="106" bestFit="1" customWidth="1"/>
    <col min="1298" max="1298" width="3.88671875" style="106" customWidth="1"/>
    <col min="1299" max="1308" width="6.33203125" style="106" customWidth="1"/>
    <col min="1309" max="1532" width="8.88671875" style="106"/>
    <col min="1533" max="1533" width="7.109375" style="106" customWidth="1"/>
    <col min="1534" max="1534" width="6.109375" style="106" customWidth="1"/>
    <col min="1535" max="1535" width="5.21875" style="106" customWidth="1"/>
    <col min="1536" max="1537" width="5.6640625" style="106" customWidth="1"/>
    <col min="1538" max="1538" width="6.109375" style="106" customWidth="1"/>
    <col min="1539" max="1539" width="5.88671875" style="106" customWidth="1"/>
    <col min="1540" max="1540" width="5.21875" style="106" customWidth="1"/>
    <col min="1541" max="1541" width="5.88671875" style="106" customWidth="1"/>
    <col min="1542" max="1544" width="5.6640625" style="106" customWidth="1"/>
    <col min="1545" max="1545" width="5.44140625" style="106" bestFit="1" customWidth="1"/>
    <col min="1546" max="1546" width="4.44140625" style="106" customWidth="1"/>
    <col min="1547" max="1547" width="4.33203125" style="106" customWidth="1"/>
    <col min="1548" max="1548" width="5.44140625" style="106" bestFit="1" customWidth="1"/>
    <col min="1549" max="1549" width="4.77734375" style="106" bestFit="1" customWidth="1"/>
    <col min="1550" max="1550" width="6" style="106" bestFit="1" customWidth="1"/>
    <col min="1551" max="1551" width="4" style="106" customWidth="1"/>
    <col min="1552" max="1553" width="5.33203125" style="106" bestFit="1" customWidth="1"/>
    <col min="1554" max="1554" width="3.88671875" style="106" customWidth="1"/>
    <col min="1555" max="1564" width="6.33203125" style="106" customWidth="1"/>
    <col min="1565" max="1788" width="8.88671875" style="106"/>
    <col min="1789" max="1789" width="7.109375" style="106" customWidth="1"/>
    <col min="1790" max="1790" width="6.109375" style="106" customWidth="1"/>
    <col min="1791" max="1791" width="5.21875" style="106" customWidth="1"/>
    <col min="1792" max="1793" width="5.6640625" style="106" customWidth="1"/>
    <col min="1794" max="1794" width="6.109375" style="106" customWidth="1"/>
    <col min="1795" max="1795" width="5.88671875" style="106" customWidth="1"/>
    <col min="1796" max="1796" width="5.21875" style="106" customWidth="1"/>
    <col min="1797" max="1797" width="5.88671875" style="106" customWidth="1"/>
    <col min="1798" max="1800" width="5.6640625" style="106" customWidth="1"/>
    <col min="1801" max="1801" width="5.44140625" style="106" bestFit="1" customWidth="1"/>
    <col min="1802" max="1802" width="4.44140625" style="106" customWidth="1"/>
    <col min="1803" max="1803" width="4.33203125" style="106" customWidth="1"/>
    <col min="1804" max="1804" width="5.44140625" style="106" bestFit="1" customWidth="1"/>
    <col min="1805" max="1805" width="4.77734375" style="106" bestFit="1" customWidth="1"/>
    <col min="1806" max="1806" width="6" style="106" bestFit="1" customWidth="1"/>
    <col min="1807" max="1807" width="4" style="106" customWidth="1"/>
    <col min="1808" max="1809" width="5.33203125" style="106" bestFit="1" customWidth="1"/>
    <col min="1810" max="1810" width="3.88671875" style="106" customWidth="1"/>
    <col min="1811" max="1820" width="6.33203125" style="106" customWidth="1"/>
    <col min="1821" max="2044" width="8.88671875" style="106"/>
    <col min="2045" max="2045" width="7.109375" style="106" customWidth="1"/>
    <col min="2046" max="2046" width="6.109375" style="106" customWidth="1"/>
    <col min="2047" max="2047" width="5.21875" style="106" customWidth="1"/>
    <col min="2048" max="2049" width="5.6640625" style="106" customWidth="1"/>
    <col min="2050" max="2050" width="6.109375" style="106" customWidth="1"/>
    <col min="2051" max="2051" width="5.88671875" style="106" customWidth="1"/>
    <col min="2052" max="2052" width="5.21875" style="106" customWidth="1"/>
    <col min="2053" max="2053" width="5.88671875" style="106" customWidth="1"/>
    <col min="2054" max="2056" width="5.6640625" style="106" customWidth="1"/>
    <col min="2057" max="2057" width="5.44140625" style="106" bestFit="1" customWidth="1"/>
    <col min="2058" max="2058" width="4.44140625" style="106" customWidth="1"/>
    <col min="2059" max="2059" width="4.33203125" style="106" customWidth="1"/>
    <col min="2060" max="2060" width="5.44140625" style="106" bestFit="1" customWidth="1"/>
    <col min="2061" max="2061" width="4.77734375" style="106" bestFit="1" customWidth="1"/>
    <col min="2062" max="2062" width="6" style="106" bestFit="1" customWidth="1"/>
    <col min="2063" max="2063" width="4" style="106" customWidth="1"/>
    <col min="2064" max="2065" width="5.33203125" style="106" bestFit="1" customWidth="1"/>
    <col min="2066" max="2066" width="3.88671875" style="106" customWidth="1"/>
    <col min="2067" max="2076" width="6.33203125" style="106" customWidth="1"/>
    <col min="2077" max="2300" width="8.88671875" style="106"/>
    <col min="2301" max="2301" width="7.109375" style="106" customWidth="1"/>
    <col min="2302" max="2302" width="6.109375" style="106" customWidth="1"/>
    <col min="2303" max="2303" width="5.21875" style="106" customWidth="1"/>
    <col min="2304" max="2305" width="5.6640625" style="106" customWidth="1"/>
    <col min="2306" max="2306" width="6.109375" style="106" customWidth="1"/>
    <col min="2307" max="2307" width="5.88671875" style="106" customWidth="1"/>
    <col min="2308" max="2308" width="5.21875" style="106" customWidth="1"/>
    <col min="2309" max="2309" width="5.88671875" style="106" customWidth="1"/>
    <col min="2310" max="2312" width="5.6640625" style="106" customWidth="1"/>
    <col min="2313" max="2313" width="5.44140625" style="106" bestFit="1" customWidth="1"/>
    <col min="2314" max="2314" width="4.44140625" style="106" customWidth="1"/>
    <col min="2315" max="2315" width="4.33203125" style="106" customWidth="1"/>
    <col min="2316" max="2316" width="5.44140625" style="106" bestFit="1" customWidth="1"/>
    <col min="2317" max="2317" width="4.77734375" style="106" bestFit="1" customWidth="1"/>
    <col min="2318" max="2318" width="6" style="106" bestFit="1" customWidth="1"/>
    <col min="2319" max="2319" width="4" style="106" customWidth="1"/>
    <col min="2320" max="2321" width="5.33203125" style="106" bestFit="1" customWidth="1"/>
    <col min="2322" max="2322" width="3.88671875" style="106" customWidth="1"/>
    <col min="2323" max="2332" width="6.33203125" style="106" customWidth="1"/>
    <col min="2333" max="2556" width="8.88671875" style="106"/>
    <col min="2557" max="2557" width="7.109375" style="106" customWidth="1"/>
    <col min="2558" max="2558" width="6.109375" style="106" customWidth="1"/>
    <col min="2559" max="2559" width="5.21875" style="106" customWidth="1"/>
    <col min="2560" max="2561" width="5.6640625" style="106" customWidth="1"/>
    <col min="2562" max="2562" width="6.109375" style="106" customWidth="1"/>
    <col min="2563" max="2563" width="5.88671875" style="106" customWidth="1"/>
    <col min="2564" max="2564" width="5.21875" style="106" customWidth="1"/>
    <col min="2565" max="2565" width="5.88671875" style="106" customWidth="1"/>
    <col min="2566" max="2568" width="5.6640625" style="106" customWidth="1"/>
    <col min="2569" max="2569" width="5.44140625" style="106" bestFit="1" customWidth="1"/>
    <col min="2570" max="2570" width="4.44140625" style="106" customWidth="1"/>
    <col min="2571" max="2571" width="4.33203125" style="106" customWidth="1"/>
    <col min="2572" max="2572" width="5.44140625" style="106" bestFit="1" customWidth="1"/>
    <col min="2573" max="2573" width="4.77734375" style="106" bestFit="1" customWidth="1"/>
    <col min="2574" max="2574" width="6" style="106" bestFit="1" customWidth="1"/>
    <col min="2575" max="2575" width="4" style="106" customWidth="1"/>
    <col min="2576" max="2577" width="5.33203125" style="106" bestFit="1" customWidth="1"/>
    <col min="2578" max="2578" width="3.88671875" style="106" customWidth="1"/>
    <col min="2579" max="2588" width="6.33203125" style="106" customWidth="1"/>
    <col min="2589" max="2812" width="8.88671875" style="106"/>
    <col min="2813" max="2813" width="7.109375" style="106" customWidth="1"/>
    <col min="2814" max="2814" width="6.109375" style="106" customWidth="1"/>
    <col min="2815" max="2815" width="5.21875" style="106" customWidth="1"/>
    <col min="2816" max="2817" width="5.6640625" style="106" customWidth="1"/>
    <col min="2818" max="2818" width="6.109375" style="106" customWidth="1"/>
    <col min="2819" max="2819" width="5.88671875" style="106" customWidth="1"/>
    <col min="2820" max="2820" width="5.21875" style="106" customWidth="1"/>
    <col min="2821" max="2821" width="5.88671875" style="106" customWidth="1"/>
    <col min="2822" max="2824" width="5.6640625" style="106" customWidth="1"/>
    <col min="2825" max="2825" width="5.44140625" style="106" bestFit="1" customWidth="1"/>
    <col min="2826" max="2826" width="4.44140625" style="106" customWidth="1"/>
    <col min="2827" max="2827" width="4.33203125" style="106" customWidth="1"/>
    <col min="2828" max="2828" width="5.44140625" style="106" bestFit="1" customWidth="1"/>
    <col min="2829" max="2829" width="4.77734375" style="106" bestFit="1" customWidth="1"/>
    <col min="2830" max="2830" width="6" style="106" bestFit="1" customWidth="1"/>
    <col min="2831" max="2831" width="4" style="106" customWidth="1"/>
    <col min="2832" max="2833" width="5.33203125" style="106" bestFit="1" customWidth="1"/>
    <col min="2834" max="2834" width="3.88671875" style="106" customWidth="1"/>
    <col min="2835" max="2844" width="6.33203125" style="106" customWidth="1"/>
    <col min="2845" max="3068" width="8.88671875" style="106"/>
    <col min="3069" max="3069" width="7.109375" style="106" customWidth="1"/>
    <col min="3070" max="3070" width="6.109375" style="106" customWidth="1"/>
    <col min="3071" max="3071" width="5.21875" style="106" customWidth="1"/>
    <col min="3072" max="3073" width="5.6640625" style="106" customWidth="1"/>
    <col min="3074" max="3074" width="6.109375" style="106" customWidth="1"/>
    <col min="3075" max="3075" width="5.88671875" style="106" customWidth="1"/>
    <col min="3076" max="3076" width="5.21875" style="106" customWidth="1"/>
    <col min="3077" max="3077" width="5.88671875" style="106" customWidth="1"/>
    <col min="3078" max="3080" width="5.6640625" style="106" customWidth="1"/>
    <col min="3081" max="3081" width="5.44140625" style="106" bestFit="1" customWidth="1"/>
    <col min="3082" max="3082" width="4.44140625" style="106" customWidth="1"/>
    <col min="3083" max="3083" width="4.33203125" style="106" customWidth="1"/>
    <col min="3084" max="3084" width="5.44140625" style="106" bestFit="1" customWidth="1"/>
    <col min="3085" max="3085" width="4.77734375" style="106" bestFit="1" customWidth="1"/>
    <col min="3086" max="3086" width="6" style="106" bestFit="1" customWidth="1"/>
    <col min="3087" max="3087" width="4" style="106" customWidth="1"/>
    <col min="3088" max="3089" width="5.33203125" style="106" bestFit="1" customWidth="1"/>
    <col min="3090" max="3090" width="3.88671875" style="106" customWidth="1"/>
    <col min="3091" max="3100" width="6.33203125" style="106" customWidth="1"/>
    <col min="3101" max="3324" width="8.88671875" style="106"/>
    <col min="3325" max="3325" width="7.109375" style="106" customWidth="1"/>
    <col min="3326" max="3326" width="6.109375" style="106" customWidth="1"/>
    <col min="3327" max="3327" width="5.21875" style="106" customWidth="1"/>
    <col min="3328" max="3329" width="5.6640625" style="106" customWidth="1"/>
    <col min="3330" max="3330" width="6.109375" style="106" customWidth="1"/>
    <col min="3331" max="3331" width="5.88671875" style="106" customWidth="1"/>
    <col min="3332" max="3332" width="5.21875" style="106" customWidth="1"/>
    <col min="3333" max="3333" width="5.88671875" style="106" customWidth="1"/>
    <col min="3334" max="3336" width="5.6640625" style="106" customWidth="1"/>
    <col min="3337" max="3337" width="5.44140625" style="106" bestFit="1" customWidth="1"/>
    <col min="3338" max="3338" width="4.44140625" style="106" customWidth="1"/>
    <col min="3339" max="3339" width="4.33203125" style="106" customWidth="1"/>
    <col min="3340" max="3340" width="5.44140625" style="106" bestFit="1" customWidth="1"/>
    <col min="3341" max="3341" width="4.77734375" style="106" bestFit="1" customWidth="1"/>
    <col min="3342" max="3342" width="6" style="106" bestFit="1" customWidth="1"/>
    <col min="3343" max="3343" width="4" style="106" customWidth="1"/>
    <col min="3344" max="3345" width="5.33203125" style="106" bestFit="1" customWidth="1"/>
    <col min="3346" max="3346" width="3.88671875" style="106" customWidth="1"/>
    <col min="3347" max="3356" width="6.33203125" style="106" customWidth="1"/>
    <col min="3357" max="3580" width="8.88671875" style="106"/>
    <col min="3581" max="3581" width="7.109375" style="106" customWidth="1"/>
    <col min="3582" max="3582" width="6.109375" style="106" customWidth="1"/>
    <col min="3583" max="3583" width="5.21875" style="106" customWidth="1"/>
    <col min="3584" max="3585" width="5.6640625" style="106" customWidth="1"/>
    <col min="3586" max="3586" width="6.109375" style="106" customWidth="1"/>
    <col min="3587" max="3587" width="5.88671875" style="106" customWidth="1"/>
    <col min="3588" max="3588" width="5.21875" style="106" customWidth="1"/>
    <col min="3589" max="3589" width="5.88671875" style="106" customWidth="1"/>
    <col min="3590" max="3592" width="5.6640625" style="106" customWidth="1"/>
    <col min="3593" max="3593" width="5.44140625" style="106" bestFit="1" customWidth="1"/>
    <col min="3594" max="3594" width="4.44140625" style="106" customWidth="1"/>
    <col min="3595" max="3595" width="4.33203125" style="106" customWidth="1"/>
    <col min="3596" max="3596" width="5.44140625" style="106" bestFit="1" customWidth="1"/>
    <col min="3597" max="3597" width="4.77734375" style="106" bestFit="1" customWidth="1"/>
    <col min="3598" max="3598" width="6" style="106" bestFit="1" customWidth="1"/>
    <col min="3599" max="3599" width="4" style="106" customWidth="1"/>
    <col min="3600" max="3601" width="5.33203125" style="106" bestFit="1" customWidth="1"/>
    <col min="3602" max="3602" width="3.88671875" style="106" customWidth="1"/>
    <col min="3603" max="3612" width="6.33203125" style="106" customWidth="1"/>
    <col min="3613" max="3836" width="8.88671875" style="106"/>
    <col min="3837" max="3837" width="7.109375" style="106" customWidth="1"/>
    <col min="3838" max="3838" width="6.109375" style="106" customWidth="1"/>
    <col min="3839" max="3839" width="5.21875" style="106" customWidth="1"/>
    <col min="3840" max="3841" width="5.6640625" style="106" customWidth="1"/>
    <col min="3842" max="3842" width="6.109375" style="106" customWidth="1"/>
    <col min="3843" max="3843" width="5.88671875" style="106" customWidth="1"/>
    <col min="3844" max="3844" width="5.21875" style="106" customWidth="1"/>
    <col min="3845" max="3845" width="5.88671875" style="106" customWidth="1"/>
    <col min="3846" max="3848" width="5.6640625" style="106" customWidth="1"/>
    <col min="3849" max="3849" width="5.44140625" style="106" bestFit="1" customWidth="1"/>
    <col min="3850" max="3850" width="4.44140625" style="106" customWidth="1"/>
    <col min="3851" max="3851" width="4.33203125" style="106" customWidth="1"/>
    <col min="3852" max="3852" width="5.44140625" style="106" bestFit="1" customWidth="1"/>
    <col min="3853" max="3853" width="4.77734375" style="106" bestFit="1" customWidth="1"/>
    <col min="3854" max="3854" width="6" style="106" bestFit="1" customWidth="1"/>
    <col min="3855" max="3855" width="4" style="106" customWidth="1"/>
    <col min="3856" max="3857" width="5.33203125" style="106" bestFit="1" customWidth="1"/>
    <col min="3858" max="3858" width="3.88671875" style="106" customWidth="1"/>
    <col min="3859" max="3868" width="6.33203125" style="106" customWidth="1"/>
    <col min="3869" max="4092" width="8.88671875" style="106"/>
    <col min="4093" max="4093" width="7.109375" style="106" customWidth="1"/>
    <col min="4094" max="4094" width="6.109375" style="106" customWidth="1"/>
    <col min="4095" max="4095" width="5.21875" style="106" customWidth="1"/>
    <col min="4096" max="4097" width="5.6640625" style="106" customWidth="1"/>
    <col min="4098" max="4098" width="6.109375" style="106" customWidth="1"/>
    <col min="4099" max="4099" width="5.88671875" style="106" customWidth="1"/>
    <col min="4100" max="4100" width="5.21875" style="106" customWidth="1"/>
    <col min="4101" max="4101" width="5.88671875" style="106" customWidth="1"/>
    <col min="4102" max="4104" width="5.6640625" style="106" customWidth="1"/>
    <col min="4105" max="4105" width="5.44140625" style="106" bestFit="1" customWidth="1"/>
    <col min="4106" max="4106" width="4.44140625" style="106" customWidth="1"/>
    <col min="4107" max="4107" width="4.33203125" style="106" customWidth="1"/>
    <col min="4108" max="4108" width="5.44140625" style="106" bestFit="1" customWidth="1"/>
    <col min="4109" max="4109" width="4.77734375" style="106" bestFit="1" customWidth="1"/>
    <col min="4110" max="4110" width="6" style="106" bestFit="1" customWidth="1"/>
    <col min="4111" max="4111" width="4" style="106" customWidth="1"/>
    <col min="4112" max="4113" width="5.33203125" style="106" bestFit="1" customWidth="1"/>
    <col min="4114" max="4114" width="3.88671875" style="106" customWidth="1"/>
    <col min="4115" max="4124" width="6.33203125" style="106" customWidth="1"/>
    <col min="4125" max="4348" width="8.88671875" style="106"/>
    <col min="4349" max="4349" width="7.109375" style="106" customWidth="1"/>
    <col min="4350" max="4350" width="6.109375" style="106" customWidth="1"/>
    <col min="4351" max="4351" width="5.21875" style="106" customWidth="1"/>
    <col min="4352" max="4353" width="5.6640625" style="106" customWidth="1"/>
    <col min="4354" max="4354" width="6.109375" style="106" customWidth="1"/>
    <col min="4355" max="4355" width="5.88671875" style="106" customWidth="1"/>
    <col min="4356" max="4356" width="5.21875" style="106" customWidth="1"/>
    <col min="4357" max="4357" width="5.88671875" style="106" customWidth="1"/>
    <col min="4358" max="4360" width="5.6640625" style="106" customWidth="1"/>
    <col min="4361" max="4361" width="5.44140625" style="106" bestFit="1" customWidth="1"/>
    <col min="4362" max="4362" width="4.44140625" style="106" customWidth="1"/>
    <col min="4363" max="4363" width="4.33203125" style="106" customWidth="1"/>
    <col min="4364" max="4364" width="5.44140625" style="106" bestFit="1" customWidth="1"/>
    <col min="4365" max="4365" width="4.77734375" style="106" bestFit="1" customWidth="1"/>
    <col min="4366" max="4366" width="6" style="106" bestFit="1" customWidth="1"/>
    <col min="4367" max="4367" width="4" style="106" customWidth="1"/>
    <col min="4368" max="4369" width="5.33203125" style="106" bestFit="1" customWidth="1"/>
    <col min="4370" max="4370" width="3.88671875" style="106" customWidth="1"/>
    <col min="4371" max="4380" width="6.33203125" style="106" customWidth="1"/>
    <col min="4381" max="4604" width="8.88671875" style="106"/>
    <col min="4605" max="4605" width="7.109375" style="106" customWidth="1"/>
    <col min="4606" max="4606" width="6.109375" style="106" customWidth="1"/>
    <col min="4607" max="4607" width="5.21875" style="106" customWidth="1"/>
    <col min="4608" max="4609" width="5.6640625" style="106" customWidth="1"/>
    <col min="4610" max="4610" width="6.109375" style="106" customWidth="1"/>
    <col min="4611" max="4611" width="5.88671875" style="106" customWidth="1"/>
    <col min="4612" max="4612" width="5.21875" style="106" customWidth="1"/>
    <col min="4613" max="4613" width="5.88671875" style="106" customWidth="1"/>
    <col min="4614" max="4616" width="5.6640625" style="106" customWidth="1"/>
    <col min="4617" max="4617" width="5.44140625" style="106" bestFit="1" customWidth="1"/>
    <col min="4618" max="4618" width="4.44140625" style="106" customWidth="1"/>
    <col min="4619" max="4619" width="4.33203125" style="106" customWidth="1"/>
    <col min="4620" max="4620" width="5.44140625" style="106" bestFit="1" customWidth="1"/>
    <col min="4621" max="4621" width="4.77734375" style="106" bestFit="1" customWidth="1"/>
    <col min="4622" max="4622" width="6" style="106" bestFit="1" customWidth="1"/>
    <col min="4623" max="4623" width="4" style="106" customWidth="1"/>
    <col min="4624" max="4625" width="5.33203125" style="106" bestFit="1" customWidth="1"/>
    <col min="4626" max="4626" width="3.88671875" style="106" customWidth="1"/>
    <col min="4627" max="4636" width="6.33203125" style="106" customWidth="1"/>
    <col min="4637" max="4860" width="8.88671875" style="106"/>
    <col min="4861" max="4861" width="7.109375" style="106" customWidth="1"/>
    <col min="4862" max="4862" width="6.109375" style="106" customWidth="1"/>
    <col min="4863" max="4863" width="5.21875" style="106" customWidth="1"/>
    <col min="4864" max="4865" width="5.6640625" style="106" customWidth="1"/>
    <col min="4866" max="4866" width="6.109375" style="106" customWidth="1"/>
    <col min="4867" max="4867" width="5.88671875" style="106" customWidth="1"/>
    <col min="4868" max="4868" width="5.21875" style="106" customWidth="1"/>
    <col min="4869" max="4869" width="5.88671875" style="106" customWidth="1"/>
    <col min="4870" max="4872" width="5.6640625" style="106" customWidth="1"/>
    <col min="4873" max="4873" width="5.44140625" style="106" bestFit="1" customWidth="1"/>
    <col min="4874" max="4874" width="4.44140625" style="106" customWidth="1"/>
    <col min="4875" max="4875" width="4.33203125" style="106" customWidth="1"/>
    <col min="4876" max="4876" width="5.44140625" style="106" bestFit="1" customWidth="1"/>
    <col min="4877" max="4877" width="4.77734375" style="106" bestFit="1" customWidth="1"/>
    <col min="4878" max="4878" width="6" style="106" bestFit="1" customWidth="1"/>
    <col min="4879" max="4879" width="4" style="106" customWidth="1"/>
    <col min="4880" max="4881" width="5.33203125" style="106" bestFit="1" customWidth="1"/>
    <col min="4882" max="4882" width="3.88671875" style="106" customWidth="1"/>
    <col min="4883" max="4892" width="6.33203125" style="106" customWidth="1"/>
    <col min="4893" max="5116" width="8.88671875" style="106"/>
    <col min="5117" max="5117" width="7.109375" style="106" customWidth="1"/>
    <col min="5118" max="5118" width="6.109375" style="106" customWidth="1"/>
    <col min="5119" max="5119" width="5.21875" style="106" customWidth="1"/>
    <col min="5120" max="5121" width="5.6640625" style="106" customWidth="1"/>
    <col min="5122" max="5122" width="6.109375" style="106" customWidth="1"/>
    <col min="5123" max="5123" width="5.88671875" style="106" customWidth="1"/>
    <col min="5124" max="5124" width="5.21875" style="106" customWidth="1"/>
    <col min="5125" max="5125" width="5.88671875" style="106" customWidth="1"/>
    <col min="5126" max="5128" width="5.6640625" style="106" customWidth="1"/>
    <col min="5129" max="5129" width="5.44140625" style="106" bestFit="1" customWidth="1"/>
    <col min="5130" max="5130" width="4.44140625" style="106" customWidth="1"/>
    <col min="5131" max="5131" width="4.33203125" style="106" customWidth="1"/>
    <col min="5132" max="5132" width="5.44140625" style="106" bestFit="1" customWidth="1"/>
    <col min="5133" max="5133" width="4.77734375" style="106" bestFit="1" customWidth="1"/>
    <col min="5134" max="5134" width="6" style="106" bestFit="1" customWidth="1"/>
    <col min="5135" max="5135" width="4" style="106" customWidth="1"/>
    <col min="5136" max="5137" width="5.33203125" style="106" bestFit="1" customWidth="1"/>
    <col min="5138" max="5138" width="3.88671875" style="106" customWidth="1"/>
    <col min="5139" max="5148" width="6.33203125" style="106" customWidth="1"/>
    <col min="5149" max="5372" width="8.88671875" style="106"/>
    <col min="5373" max="5373" width="7.109375" style="106" customWidth="1"/>
    <col min="5374" max="5374" width="6.109375" style="106" customWidth="1"/>
    <col min="5375" max="5375" width="5.21875" style="106" customWidth="1"/>
    <col min="5376" max="5377" width="5.6640625" style="106" customWidth="1"/>
    <col min="5378" max="5378" width="6.109375" style="106" customWidth="1"/>
    <col min="5379" max="5379" width="5.88671875" style="106" customWidth="1"/>
    <col min="5380" max="5380" width="5.21875" style="106" customWidth="1"/>
    <col min="5381" max="5381" width="5.88671875" style="106" customWidth="1"/>
    <col min="5382" max="5384" width="5.6640625" style="106" customWidth="1"/>
    <col min="5385" max="5385" width="5.44140625" style="106" bestFit="1" customWidth="1"/>
    <col min="5386" max="5386" width="4.44140625" style="106" customWidth="1"/>
    <col min="5387" max="5387" width="4.33203125" style="106" customWidth="1"/>
    <col min="5388" max="5388" width="5.44140625" style="106" bestFit="1" customWidth="1"/>
    <col min="5389" max="5389" width="4.77734375" style="106" bestFit="1" customWidth="1"/>
    <col min="5390" max="5390" width="6" style="106" bestFit="1" customWidth="1"/>
    <col min="5391" max="5391" width="4" style="106" customWidth="1"/>
    <col min="5392" max="5393" width="5.33203125" style="106" bestFit="1" customWidth="1"/>
    <col min="5394" max="5394" width="3.88671875" style="106" customWidth="1"/>
    <col min="5395" max="5404" width="6.33203125" style="106" customWidth="1"/>
    <col min="5405" max="5628" width="8.88671875" style="106"/>
    <col min="5629" max="5629" width="7.109375" style="106" customWidth="1"/>
    <col min="5630" max="5630" width="6.109375" style="106" customWidth="1"/>
    <col min="5631" max="5631" width="5.21875" style="106" customWidth="1"/>
    <col min="5632" max="5633" width="5.6640625" style="106" customWidth="1"/>
    <col min="5634" max="5634" width="6.109375" style="106" customWidth="1"/>
    <col min="5635" max="5635" width="5.88671875" style="106" customWidth="1"/>
    <col min="5636" max="5636" width="5.21875" style="106" customWidth="1"/>
    <col min="5637" max="5637" width="5.88671875" style="106" customWidth="1"/>
    <col min="5638" max="5640" width="5.6640625" style="106" customWidth="1"/>
    <col min="5641" max="5641" width="5.44140625" style="106" bestFit="1" customWidth="1"/>
    <col min="5642" max="5642" width="4.44140625" style="106" customWidth="1"/>
    <col min="5643" max="5643" width="4.33203125" style="106" customWidth="1"/>
    <col min="5644" max="5644" width="5.44140625" style="106" bestFit="1" customWidth="1"/>
    <col min="5645" max="5645" width="4.77734375" style="106" bestFit="1" customWidth="1"/>
    <col min="5646" max="5646" width="6" style="106" bestFit="1" customWidth="1"/>
    <col min="5647" max="5647" width="4" style="106" customWidth="1"/>
    <col min="5648" max="5649" width="5.33203125" style="106" bestFit="1" customWidth="1"/>
    <col min="5650" max="5650" width="3.88671875" style="106" customWidth="1"/>
    <col min="5651" max="5660" width="6.33203125" style="106" customWidth="1"/>
    <col min="5661" max="5884" width="8.88671875" style="106"/>
    <col min="5885" max="5885" width="7.109375" style="106" customWidth="1"/>
    <col min="5886" max="5886" width="6.109375" style="106" customWidth="1"/>
    <col min="5887" max="5887" width="5.21875" style="106" customWidth="1"/>
    <col min="5888" max="5889" width="5.6640625" style="106" customWidth="1"/>
    <col min="5890" max="5890" width="6.109375" style="106" customWidth="1"/>
    <col min="5891" max="5891" width="5.88671875" style="106" customWidth="1"/>
    <col min="5892" max="5892" width="5.21875" style="106" customWidth="1"/>
    <col min="5893" max="5893" width="5.88671875" style="106" customWidth="1"/>
    <col min="5894" max="5896" width="5.6640625" style="106" customWidth="1"/>
    <col min="5897" max="5897" width="5.44140625" style="106" bestFit="1" customWidth="1"/>
    <col min="5898" max="5898" width="4.44140625" style="106" customWidth="1"/>
    <col min="5899" max="5899" width="4.33203125" style="106" customWidth="1"/>
    <col min="5900" max="5900" width="5.44140625" style="106" bestFit="1" customWidth="1"/>
    <col min="5901" max="5901" width="4.77734375" style="106" bestFit="1" customWidth="1"/>
    <col min="5902" max="5902" width="6" style="106" bestFit="1" customWidth="1"/>
    <col min="5903" max="5903" width="4" style="106" customWidth="1"/>
    <col min="5904" max="5905" width="5.33203125" style="106" bestFit="1" customWidth="1"/>
    <col min="5906" max="5906" width="3.88671875" style="106" customWidth="1"/>
    <col min="5907" max="5916" width="6.33203125" style="106" customWidth="1"/>
    <col min="5917" max="6140" width="8.88671875" style="106"/>
    <col min="6141" max="6141" width="7.109375" style="106" customWidth="1"/>
    <col min="6142" max="6142" width="6.109375" style="106" customWidth="1"/>
    <col min="6143" max="6143" width="5.21875" style="106" customWidth="1"/>
    <col min="6144" max="6145" width="5.6640625" style="106" customWidth="1"/>
    <col min="6146" max="6146" width="6.109375" style="106" customWidth="1"/>
    <col min="6147" max="6147" width="5.88671875" style="106" customWidth="1"/>
    <col min="6148" max="6148" width="5.21875" style="106" customWidth="1"/>
    <col min="6149" max="6149" width="5.88671875" style="106" customWidth="1"/>
    <col min="6150" max="6152" width="5.6640625" style="106" customWidth="1"/>
    <col min="6153" max="6153" width="5.44140625" style="106" bestFit="1" customWidth="1"/>
    <col min="6154" max="6154" width="4.44140625" style="106" customWidth="1"/>
    <col min="6155" max="6155" width="4.33203125" style="106" customWidth="1"/>
    <col min="6156" max="6156" width="5.44140625" style="106" bestFit="1" customWidth="1"/>
    <col min="6157" max="6157" width="4.77734375" style="106" bestFit="1" customWidth="1"/>
    <col min="6158" max="6158" width="6" style="106" bestFit="1" customWidth="1"/>
    <col min="6159" max="6159" width="4" style="106" customWidth="1"/>
    <col min="6160" max="6161" width="5.33203125" style="106" bestFit="1" customWidth="1"/>
    <col min="6162" max="6162" width="3.88671875" style="106" customWidth="1"/>
    <col min="6163" max="6172" width="6.33203125" style="106" customWidth="1"/>
    <col min="6173" max="6396" width="8.88671875" style="106"/>
    <col min="6397" max="6397" width="7.109375" style="106" customWidth="1"/>
    <col min="6398" max="6398" width="6.109375" style="106" customWidth="1"/>
    <col min="6399" max="6399" width="5.21875" style="106" customWidth="1"/>
    <col min="6400" max="6401" width="5.6640625" style="106" customWidth="1"/>
    <col min="6402" max="6402" width="6.109375" style="106" customWidth="1"/>
    <col min="6403" max="6403" width="5.88671875" style="106" customWidth="1"/>
    <col min="6404" max="6404" width="5.21875" style="106" customWidth="1"/>
    <col min="6405" max="6405" width="5.88671875" style="106" customWidth="1"/>
    <col min="6406" max="6408" width="5.6640625" style="106" customWidth="1"/>
    <col min="6409" max="6409" width="5.44140625" style="106" bestFit="1" customWidth="1"/>
    <col min="6410" max="6410" width="4.44140625" style="106" customWidth="1"/>
    <col min="6411" max="6411" width="4.33203125" style="106" customWidth="1"/>
    <col min="6412" max="6412" width="5.44140625" style="106" bestFit="1" customWidth="1"/>
    <col min="6413" max="6413" width="4.77734375" style="106" bestFit="1" customWidth="1"/>
    <col min="6414" max="6414" width="6" style="106" bestFit="1" customWidth="1"/>
    <col min="6415" max="6415" width="4" style="106" customWidth="1"/>
    <col min="6416" max="6417" width="5.33203125" style="106" bestFit="1" customWidth="1"/>
    <col min="6418" max="6418" width="3.88671875" style="106" customWidth="1"/>
    <col min="6419" max="6428" width="6.33203125" style="106" customWidth="1"/>
    <col min="6429" max="6652" width="8.88671875" style="106"/>
    <col min="6653" max="6653" width="7.109375" style="106" customWidth="1"/>
    <col min="6654" max="6654" width="6.109375" style="106" customWidth="1"/>
    <col min="6655" max="6655" width="5.21875" style="106" customWidth="1"/>
    <col min="6656" max="6657" width="5.6640625" style="106" customWidth="1"/>
    <col min="6658" max="6658" width="6.109375" style="106" customWidth="1"/>
    <col min="6659" max="6659" width="5.88671875" style="106" customWidth="1"/>
    <col min="6660" max="6660" width="5.21875" style="106" customWidth="1"/>
    <col min="6661" max="6661" width="5.88671875" style="106" customWidth="1"/>
    <col min="6662" max="6664" width="5.6640625" style="106" customWidth="1"/>
    <col min="6665" max="6665" width="5.44140625" style="106" bestFit="1" customWidth="1"/>
    <col min="6666" max="6666" width="4.44140625" style="106" customWidth="1"/>
    <col min="6667" max="6667" width="4.33203125" style="106" customWidth="1"/>
    <col min="6668" max="6668" width="5.44140625" style="106" bestFit="1" customWidth="1"/>
    <col min="6669" max="6669" width="4.77734375" style="106" bestFit="1" customWidth="1"/>
    <col min="6670" max="6670" width="6" style="106" bestFit="1" customWidth="1"/>
    <col min="6671" max="6671" width="4" style="106" customWidth="1"/>
    <col min="6672" max="6673" width="5.33203125" style="106" bestFit="1" customWidth="1"/>
    <col min="6674" max="6674" width="3.88671875" style="106" customWidth="1"/>
    <col min="6675" max="6684" width="6.33203125" style="106" customWidth="1"/>
    <col min="6685" max="6908" width="8.88671875" style="106"/>
    <col min="6909" max="6909" width="7.109375" style="106" customWidth="1"/>
    <col min="6910" max="6910" width="6.109375" style="106" customWidth="1"/>
    <col min="6911" max="6911" width="5.21875" style="106" customWidth="1"/>
    <col min="6912" max="6913" width="5.6640625" style="106" customWidth="1"/>
    <col min="6914" max="6914" width="6.109375" style="106" customWidth="1"/>
    <col min="6915" max="6915" width="5.88671875" style="106" customWidth="1"/>
    <col min="6916" max="6916" width="5.21875" style="106" customWidth="1"/>
    <col min="6917" max="6917" width="5.88671875" style="106" customWidth="1"/>
    <col min="6918" max="6920" width="5.6640625" style="106" customWidth="1"/>
    <col min="6921" max="6921" width="5.44140625" style="106" bestFit="1" customWidth="1"/>
    <col min="6922" max="6922" width="4.44140625" style="106" customWidth="1"/>
    <col min="6923" max="6923" width="4.33203125" style="106" customWidth="1"/>
    <col min="6924" max="6924" width="5.44140625" style="106" bestFit="1" customWidth="1"/>
    <col min="6925" max="6925" width="4.77734375" style="106" bestFit="1" customWidth="1"/>
    <col min="6926" max="6926" width="6" style="106" bestFit="1" customWidth="1"/>
    <col min="6927" max="6927" width="4" style="106" customWidth="1"/>
    <col min="6928" max="6929" width="5.33203125" style="106" bestFit="1" customWidth="1"/>
    <col min="6930" max="6930" width="3.88671875" style="106" customWidth="1"/>
    <col min="6931" max="6940" width="6.33203125" style="106" customWidth="1"/>
    <col min="6941" max="7164" width="8.88671875" style="106"/>
    <col min="7165" max="7165" width="7.109375" style="106" customWidth="1"/>
    <col min="7166" max="7166" width="6.109375" style="106" customWidth="1"/>
    <col min="7167" max="7167" width="5.21875" style="106" customWidth="1"/>
    <col min="7168" max="7169" width="5.6640625" style="106" customWidth="1"/>
    <col min="7170" max="7170" width="6.109375" style="106" customWidth="1"/>
    <col min="7171" max="7171" width="5.88671875" style="106" customWidth="1"/>
    <col min="7172" max="7172" width="5.21875" style="106" customWidth="1"/>
    <col min="7173" max="7173" width="5.88671875" style="106" customWidth="1"/>
    <col min="7174" max="7176" width="5.6640625" style="106" customWidth="1"/>
    <col min="7177" max="7177" width="5.44140625" style="106" bestFit="1" customWidth="1"/>
    <col min="7178" max="7178" width="4.44140625" style="106" customWidth="1"/>
    <col min="7179" max="7179" width="4.33203125" style="106" customWidth="1"/>
    <col min="7180" max="7180" width="5.44140625" style="106" bestFit="1" customWidth="1"/>
    <col min="7181" max="7181" width="4.77734375" style="106" bestFit="1" customWidth="1"/>
    <col min="7182" max="7182" width="6" style="106" bestFit="1" customWidth="1"/>
    <col min="7183" max="7183" width="4" style="106" customWidth="1"/>
    <col min="7184" max="7185" width="5.33203125" style="106" bestFit="1" customWidth="1"/>
    <col min="7186" max="7186" width="3.88671875" style="106" customWidth="1"/>
    <col min="7187" max="7196" width="6.33203125" style="106" customWidth="1"/>
    <col min="7197" max="7420" width="8.88671875" style="106"/>
    <col min="7421" max="7421" width="7.109375" style="106" customWidth="1"/>
    <col min="7422" max="7422" width="6.109375" style="106" customWidth="1"/>
    <col min="7423" max="7423" width="5.21875" style="106" customWidth="1"/>
    <col min="7424" max="7425" width="5.6640625" style="106" customWidth="1"/>
    <col min="7426" max="7426" width="6.109375" style="106" customWidth="1"/>
    <col min="7427" max="7427" width="5.88671875" style="106" customWidth="1"/>
    <col min="7428" max="7428" width="5.21875" style="106" customWidth="1"/>
    <col min="7429" max="7429" width="5.88671875" style="106" customWidth="1"/>
    <col min="7430" max="7432" width="5.6640625" style="106" customWidth="1"/>
    <col min="7433" max="7433" width="5.44140625" style="106" bestFit="1" customWidth="1"/>
    <col min="7434" max="7434" width="4.44140625" style="106" customWidth="1"/>
    <col min="7435" max="7435" width="4.33203125" style="106" customWidth="1"/>
    <col min="7436" max="7436" width="5.44140625" style="106" bestFit="1" customWidth="1"/>
    <col min="7437" max="7437" width="4.77734375" style="106" bestFit="1" customWidth="1"/>
    <col min="7438" max="7438" width="6" style="106" bestFit="1" customWidth="1"/>
    <col min="7439" max="7439" width="4" style="106" customWidth="1"/>
    <col min="7440" max="7441" width="5.33203125" style="106" bestFit="1" customWidth="1"/>
    <col min="7442" max="7442" width="3.88671875" style="106" customWidth="1"/>
    <col min="7443" max="7452" width="6.33203125" style="106" customWidth="1"/>
    <col min="7453" max="7676" width="8.88671875" style="106"/>
    <col min="7677" max="7677" width="7.109375" style="106" customWidth="1"/>
    <col min="7678" max="7678" width="6.109375" style="106" customWidth="1"/>
    <col min="7679" max="7679" width="5.21875" style="106" customWidth="1"/>
    <col min="7680" max="7681" width="5.6640625" style="106" customWidth="1"/>
    <col min="7682" max="7682" width="6.109375" style="106" customWidth="1"/>
    <col min="7683" max="7683" width="5.88671875" style="106" customWidth="1"/>
    <col min="7684" max="7684" width="5.21875" style="106" customWidth="1"/>
    <col min="7685" max="7685" width="5.88671875" style="106" customWidth="1"/>
    <col min="7686" max="7688" width="5.6640625" style="106" customWidth="1"/>
    <col min="7689" max="7689" width="5.44140625" style="106" bestFit="1" customWidth="1"/>
    <col min="7690" max="7690" width="4.44140625" style="106" customWidth="1"/>
    <col min="7691" max="7691" width="4.33203125" style="106" customWidth="1"/>
    <col min="7692" max="7692" width="5.44140625" style="106" bestFit="1" customWidth="1"/>
    <col min="7693" max="7693" width="4.77734375" style="106" bestFit="1" customWidth="1"/>
    <col min="7694" max="7694" width="6" style="106" bestFit="1" customWidth="1"/>
    <col min="7695" max="7695" width="4" style="106" customWidth="1"/>
    <col min="7696" max="7697" width="5.33203125" style="106" bestFit="1" customWidth="1"/>
    <col min="7698" max="7698" width="3.88671875" style="106" customWidth="1"/>
    <col min="7699" max="7708" width="6.33203125" style="106" customWidth="1"/>
    <col min="7709" max="7932" width="8.88671875" style="106"/>
    <col min="7933" max="7933" width="7.109375" style="106" customWidth="1"/>
    <col min="7934" max="7934" width="6.109375" style="106" customWidth="1"/>
    <col min="7935" max="7935" width="5.21875" style="106" customWidth="1"/>
    <col min="7936" max="7937" width="5.6640625" style="106" customWidth="1"/>
    <col min="7938" max="7938" width="6.109375" style="106" customWidth="1"/>
    <col min="7939" max="7939" width="5.88671875" style="106" customWidth="1"/>
    <col min="7940" max="7940" width="5.21875" style="106" customWidth="1"/>
    <col min="7941" max="7941" width="5.88671875" style="106" customWidth="1"/>
    <col min="7942" max="7944" width="5.6640625" style="106" customWidth="1"/>
    <col min="7945" max="7945" width="5.44140625" style="106" bestFit="1" customWidth="1"/>
    <col min="7946" max="7946" width="4.44140625" style="106" customWidth="1"/>
    <col min="7947" max="7947" width="4.33203125" style="106" customWidth="1"/>
    <col min="7948" max="7948" width="5.44140625" style="106" bestFit="1" customWidth="1"/>
    <col min="7949" max="7949" width="4.77734375" style="106" bestFit="1" customWidth="1"/>
    <col min="7950" max="7950" width="6" style="106" bestFit="1" customWidth="1"/>
    <col min="7951" max="7951" width="4" style="106" customWidth="1"/>
    <col min="7952" max="7953" width="5.33203125" style="106" bestFit="1" customWidth="1"/>
    <col min="7954" max="7954" width="3.88671875" style="106" customWidth="1"/>
    <col min="7955" max="7964" width="6.33203125" style="106" customWidth="1"/>
    <col min="7965" max="8188" width="8.88671875" style="106"/>
    <col min="8189" max="8189" width="7.109375" style="106" customWidth="1"/>
    <col min="8190" max="8190" width="6.109375" style="106" customWidth="1"/>
    <col min="8191" max="8191" width="5.21875" style="106" customWidth="1"/>
    <col min="8192" max="8193" width="5.6640625" style="106" customWidth="1"/>
    <col min="8194" max="8194" width="6.109375" style="106" customWidth="1"/>
    <col min="8195" max="8195" width="5.88671875" style="106" customWidth="1"/>
    <col min="8196" max="8196" width="5.21875" style="106" customWidth="1"/>
    <col min="8197" max="8197" width="5.88671875" style="106" customWidth="1"/>
    <col min="8198" max="8200" width="5.6640625" style="106" customWidth="1"/>
    <col min="8201" max="8201" width="5.44140625" style="106" bestFit="1" customWidth="1"/>
    <col min="8202" max="8202" width="4.44140625" style="106" customWidth="1"/>
    <col min="8203" max="8203" width="4.33203125" style="106" customWidth="1"/>
    <col min="8204" max="8204" width="5.44140625" style="106" bestFit="1" customWidth="1"/>
    <col min="8205" max="8205" width="4.77734375" style="106" bestFit="1" customWidth="1"/>
    <col min="8206" max="8206" width="6" style="106" bestFit="1" customWidth="1"/>
    <col min="8207" max="8207" width="4" style="106" customWidth="1"/>
    <col min="8208" max="8209" width="5.33203125" style="106" bestFit="1" customWidth="1"/>
    <col min="8210" max="8210" width="3.88671875" style="106" customWidth="1"/>
    <col min="8211" max="8220" width="6.33203125" style="106" customWidth="1"/>
    <col min="8221" max="8444" width="8.88671875" style="106"/>
    <col min="8445" max="8445" width="7.109375" style="106" customWidth="1"/>
    <col min="8446" max="8446" width="6.109375" style="106" customWidth="1"/>
    <col min="8447" max="8447" width="5.21875" style="106" customWidth="1"/>
    <col min="8448" max="8449" width="5.6640625" style="106" customWidth="1"/>
    <col min="8450" max="8450" width="6.109375" style="106" customWidth="1"/>
    <col min="8451" max="8451" width="5.88671875" style="106" customWidth="1"/>
    <col min="8452" max="8452" width="5.21875" style="106" customWidth="1"/>
    <col min="8453" max="8453" width="5.88671875" style="106" customWidth="1"/>
    <col min="8454" max="8456" width="5.6640625" style="106" customWidth="1"/>
    <col min="8457" max="8457" width="5.44140625" style="106" bestFit="1" customWidth="1"/>
    <col min="8458" max="8458" width="4.44140625" style="106" customWidth="1"/>
    <col min="8459" max="8459" width="4.33203125" style="106" customWidth="1"/>
    <col min="8460" max="8460" width="5.44140625" style="106" bestFit="1" customWidth="1"/>
    <col min="8461" max="8461" width="4.77734375" style="106" bestFit="1" customWidth="1"/>
    <col min="8462" max="8462" width="6" style="106" bestFit="1" customWidth="1"/>
    <col min="8463" max="8463" width="4" style="106" customWidth="1"/>
    <col min="8464" max="8465" width="5.33203125" style="106" bestFit="1" customWidth="1"/>
    <col min="8466" max="8466" width="3.88671875" style="106" customWidth="1"/>
    <col min="8467" max="8476" width="6.33203125" style="106" customWidth="1"/>
    <col min="8477" max="8700" width="8.88671875" style="106"/>
    <col min="8701" max="8701" width="7.109375" style="106" customWidth="1"/>
    <col min="8702" max="8702" width="6.109375" style="106" customWidth="1"/>
    <col min="8703" max="8703" width="5.21875" style="106" customWidth="1"/>
    <col min="8704" max="8705" width="5.6640625" style="106" customWidth="1"/>
    <col min="8706" max="8706" width="6.109375" style="106" customWidth="1"/>
    <col min="8707" max="8707" width="5.88671875" style="106" customWidth="1"/>
    <col min="8708" max="8708" width="5.21875" style="106" customWidth="1"/>
    <col min="8709" max="8709" width="5.88671875" style="106" customWidth="1"/>
    <col min="8710" max="8712" width="5.6640625" style="106" customWidth="1"/>
    <col min="8713" max="8713" width="5.44140625" style="106" bestFit="1" customWidth="1"/>
    <col min="8714" max="8714" width="4.44140625" style="106" customWidth="1"/>
    <col min="8715" max="8715" width="4.33203125" style="106" customWidth="1"/>
    <col min="8716" max="8716" width="5.44140625" style="106" bestFit="1" customWidth="1"/>
    <col min="8717" max="8717" width="4.77734375" style="106" bestFit="1" customWidth="1"/>
    <col min="8718" max="8718" width="6" style="106" bestFit="1" customWidth="1"/>
    <col min="8719" max="8719" width="4" style="106" customWidth="1"/>
    <col min="8720" max="8721" width="5.33203125" style="106" bestFit="1" customWidth="1"/>
    <col min="8722" max="8722" width="3.88671875" style="106" customWidth="1"/>
    <col min="8723" max="8732" width="6.33203125" style="106" customWidth="1"/>
    <col min="8733" max="8956" width="8.88671875" style="106"/>
    <col min="8957" max="8957" width="7.109375" style="106" customWidth="1"/>
    <col min="8958" max="8958" width="6.109375" style="106" customWidth="1"/>
    <col min="8959" max="8959" width="5.21875" style="106" customWidth="1"/>
    <col min="8960" max="8961" width="5.6640625" style="106" customWidth="1"/>
    <col min="8962" max="8962" width="6.109375" style="106" customWidth="1"/>
    <col min="8963" max="8963" width="5.88671875" style="106" customWidth="1"/>
    <col min="8964" max="8964" width="5.21875" style="106" customWidth="1"/>
    <col min="8965" max="8965" width="5.88671875" style="106" customWidth="1"/>
    <col min="8966" max="8968" width="5.6640625" style="106" customWidth="1"/>
    <col min="8969" max="8969" width="5.44140625" style="106" bestFit="1" customWidth="1"/>
    <col min="8970" max="8970" width="4.44140625" style="106" customWidth="1"/>
    <col min="8971" max="8971" width="4.33203125" style="106" customWidth="1"/>
    <col min="8972" max="8972" width="5.44140625" style="106" bestFit="1" customWidth="1"/>
    <col min="8973" max="8973" width="4.77734375" style="106" bestFit="1" customWidth="1"/>
    <col min="8974" max="8974" width="6" style="106" bestFit="1" customWidth="1"/>
    <col min="8975" max="8975" width="4" style="106" customWidth="1"/>
    <col min="8976" max="8977" width="5.33203125" style="106" bestFit="1" customWidth="1"/>
    <col min="8978" max="8978" width="3.88671875" style="106" customWidth="1"/>
    <col min="8979" max="8988" width="6.33203125" style="106" customWidth="1"/>
    <col min="8989" max="9212" width="8.88671875" style="106"/>
    <col min="9213" max="9213" width="7.109375" style="106" customWidth="1"/>
    <col min="9214" max="9214" width="6.109375" style="106" customWidth="1"/>
    <col min="9215" max="9215" width="5.21875" style="106" customWidth="1"/>
    <col min="9216" max="9217" width="5.6640625" style="106" customWidth="1"/>
    <col min="9218" max="9218" width="6.109375" style="106" customWidth="1"/>
    <col min="9219" max="9219" width="5.88671875" style="106" customWidth="1"/>
    <col min="9220" max="9220" width="5.21875" style="106" customWidth="1"/>
    <col min="9221" max="9221" width="5.88671875" style="106" customWidth="1"/>
    <col min="9222" max="9224" width="5.6640625" style="106" customWidth="1"/>
    <col min="9225" max="9225" width="5.44140625" style="106" bestFit="1" customWidth="1"/>
    <col min="9226" max="9226" width="4.44140625" style="106" customWidth="1"/>
    <col min="9227" max="9227" width="4.33203125" style="106" customWidth="1"/>
    <col min="9228" max="9228" width="5.44140625" style="106" bestFit="1" customWidth="1"/>
    <col min="9229" max="9229" width="4.77734375" style="106" bestFit="1" customWidth="1"/>
    <col min="9230" max="9230" width="6" style="106" bestFit="1" customWidth="1"/>
    <col min="9231" max="9231" width="4" style="106" customWidth="1"/>
    <col min="9232" max="9233" width="5.33203125" style="106" bestFit="1" customWidth="1"/>
    <col min="9234" max="9234" width="3.88671875" style="106" customWidth="1"/>
    <col min="9235" max="9244" width="6.33203125" style="106" customWidth="1"/>
    <col min="9245" max="9468" width="8.88671875" style="106"/>
    <col min="9469" max="9469" width="7.109375" style="106" customWidth="1"/>
    <col min="9470" max="9470" width="6.109375" style="106" customWidth="1"/>
    <col min="9471" max="9471" width="5.21875" style="106" customWidth="1"/>
    <col min="9472" max="9473" width="5.6640625" style="106" customWidth="1"/>
    <col min="9474" max="9474" width="6.109375" style="106" customWidth="1"/>
    <col min="9475" max="9475" width="5.88671875" style="106" customWidth="1"/>
    <col min="9476" max="9476" width="5.21875" style="106" customWidth="1"/>
    <col min="9477" max="9477" width="5.88671875" style="106" customWidth="1"/>
    <col min="9478" max="9480" width="5.6640625" style="106" customWidth="1"/>
    <col min="9481" max="9481" width="5.44140625" style="106" bestFit="1" customWidth="1"/>
    <col min="9482" max="9482" width="4.44140625" style="106" customWidth="1"/>
    <col min="9483" max="9483" width="4.33203125" style="106" customWidth="1"/>
    <col min="9484" max="9484" width="5.44140625" style="106" bestFit="1" customWidth="1"/>
    <col min="9485" max="9485" width="4.77734375" style="106" bestFit="1" customWidth="1"/>
    <col min="9486" max="9486" width="6" style="106" bestFit="1" customWidth="1"/>
    <col min="9487" max="9487" width="4" style="106" customWidth="1"/>
    <col min="9488" max="9489" width="5.33203125" style="106" bestFit="1" customWidth="1"/>
    <col min="9490" max="9490" width="3.88671875" style="106" customWidth="1"/>
    <col min="9491" max="9500" width="6.33203125" style="106" customWidth="1"/>
    <col min="9501" max="9724" width="8.88671875" style="106"/>
    <col min="9725" max="9725" width="7.109375" style="106" customWidth="1"/>
    <col min="9726" max="9726" width="6.109375" style="106" customWidth="1"/>
    <col min="9727" max="9727" width="5.21875" style="106" customWidth="1"/>
    <col min="9728" max="9729" width="5.6640625" style="106" customWidth="1"/>
    <col min="9730" max="9730" width="6.109375" style="106" customWidth="1"/>
    <col min="9731" max="9731" width="5.88671875" style="106" customWidth="1"/>
    <col min="9732" max="9732" width="5.21875" style="106" customWidth="1"/>
    <col min="9733" max="9733" width="5.88671875" style="106" customWidth="1"/>
    <col min="9734" max="9736" width="5.6640625" style="106" customWidth="1"/>
    <col min="9737" max="9737" width="5.44140625" style="106" bestFit="1" customWidth="1"/>
    <col min="9738" max="9738" width="4.44140625" style="106" customWidth="1"/>
    <col min="9739" max="9739" width="4.33203125" style="106" customWidth="1"/>
    <col min="9740" max="9740" width="5.44140625" style="106" bestFit="1" customWidth="1"/>
    <col min="9741" max="9741" width="4.77734375" style="106" bestFit="1" customWidth="1"/>
    <col min="9742" max="9742" width="6" style="106" bestFit="1" customWidth="1"/>
    <col min="9743" max="9743" width="4" style="106" customWidth="1"/>
    <col min="9744" max="9745" width="5.33203125" style="106" bestFit="1" customWidth="1"/>
    <col min="9746" max="9746" width="3.88671875" style="106" customWidth="1"/>
    <col min="9747" max="9756" width="6.33203125" style="106" customWidth="1"/>
    <col min="9757" max="9980" width="8.88671875" style="106"/>
    <col min="9981" max="9981" width="7.109375" style="106" customWidth="1"/>
    <col min="9982" max="9982" width="6.109375" style="106" customWidth="1"/>
    <col min="9983" max="9983" width="5.21875" style="106" customWidth="1"/>
    <col min="9984" max="9985" width="5.6640625" style="106" customWidth="1"/>
    <col min="9986" max="9986" width="6.109375" style="106" customWidth="1"/>
    <col min="9987" max="9987" width="5.88671875" style="106" customWidth="1"/>
    <col min="9988" max="9988" width="5.21875" style="106" customWidth="1"/>
    <col min="9989" max="9989" width="5.88671875" style="106" customWidth="1"/>
    <col min="9990" max="9992" width="5.6640625" style="106" customWidth="1"/>
    <col min="9993" max="9993" width="5.44140625" style="106" bestFit="1" customWidth="1"/>
    <col min="9994" max="9994" width="4.44140625" style="106" customWidth="1"/>
    <col min="9995" max="9995" width="4.33203125" style="106" customWidth="1"/>
    <col min="9996" max="9996" width="5.44140625" style="106" bestFit="1" customWidth="1"/>
    <col min="9997" max="9997" width="4.77734375" style="106" bestFit="1" customWidth="1"/>
    <col min="9998" max="9998" width="6" style="106" bestFit="1" customWidth="1"/>
    <col min="9999" max="9999" width="4" style="106" customWidth="1"/>
    <col min="10000" max="10001" width="5.33203125" style="106" bestFit="1" customWidth="1"/>
    <col min="10002" max="10002" width="3.88671875" style="106" customWidth="1"/>
    <col min="10003" max="10012" width="6.33203125" style="106" customWidth="1"/>
    <col min="10013" max="10236" width="8.88671875" style="106"/>
    <col min="10237" max="10237" width="7.109375" style="106" customWidth="1"/>
    <col min="10238" max="10238" width="6.109375" style="106" customWidth="1"/>
    <col min="10239" max="10239" width="5.21875" style="106" customWidth="1"/>
    <col min="10240" max="10241" width="5.6640625" style="106" customWidth="1"/>
    <col min="10242" max="10242" width="6.109375" style="106" customWidth="1"/>
    <col min="10243" max="10243" width="5.88671875" style="106" customWidth="1"/>
    <col min="10244" max="10244" width="5.21875" style="106" customWidth="1"/>
    <col min="10245" max="10245" width="5.88671875" style="106" customWidth="1"/>
    <col min="10246" max="10248" width="5.6640625" style="106" customWidth="1"/>
    <col min="10249" max="10249" width="5.44140625" style="106" bestFit="1" customWidth="1"/>
    <col min="10250" max="10250" width="4.44140625" style="106" customWidth="1"/>
    <col min="10251" max="10251" width="4.33203125" style="106" customWidth="1"/>
    <col min="10252" max="10252" width="5.44140625" style="106" bestFit="1" customWidth="1"/>
    <col min="10253" max="10253" width="4.77734375" style="106" bestFit="1" customWidth="1"/>
    <col min="10254" max="10254" width="6" style="106" bestFit="1" customWidth="1"/>
    <col min="10255" max="10255" width="4" style="106" customWidth="1"/>
    <col min="10256" max="10257" width="5.33203125" style="106" bestFit="1" customWidth="1"/>
    <col min="10258" max="10258" width="3.88671875" style="106" customWidth="1"/>
    <col min="10259" max="10268" width="6.33203125" style="106" customWidth="1"/>
    <col min="10269" max="10492" width="8.88671875" style="106"/>
    <col min="10493" max="10493" width="7.109375" style="106" customWidth="1"/>
    <col min="10494" max="10494" width="6.109375" style="106" customWidth="1"/>
    <col min="10495" max="10495" width="5.21875" style="106" customWidth="1"/>
    <col min="10496" max="10497" width="5.6640625" style="106" customWidth="1"/>
    <col min="10498" max="10498" width="6.109375" style="106" customWidth="1"/>
    <col min="10499" max="10499" width="5.88671875" style="106" customWidth="1"/>
    <col min="10500" max="10500" width="5.21875" style="106" customWidth="1"/>
    <col min="10501" max="10501" width="5.88671875" style="106" customWidth="1"/>
    <col min="10502" max="10504" width="5.6640625" style="106" customWidth="1"/>
    <col min="10505" max="10505" width="5.44140625" style="106" bestFit="1" customWidth="1"/>
    <col min="10506" max="10506" width="4.44140625" style="106" customWidth="1"/>
    <col min="10507" max="10507" width="4.33203125" style="106" customWidth="1"/>
    <col min="10508" max="10508" width="5.44140625" style="106" bestFit="1" customWidth="1"/>
    <col min="10509" max="10509" width="4.77734375" style="106" bestFit="1" customWidth="1"/>
    <col min="10510" max="10510" width="6" style="106" bestFit="1" customWidth="1"/>
    <col min="10511" max="10511" width="4" style="106" customWidth="1"/>
    <col min="10512" max="10513" width="5.33203125" style="106" bestFit="1" customWidth="1"/>
    <col min="10514" max="10514" width="3.88671875" style="106" customWidth="1"/>
    <col min="10515" max="10524" width="6.33203125" style="106" customWidth="1"/>
    <col min="10525" max="10748" width="8.88671875" style="106"/>
    <col min="10749" max="10749" width="7.109375" style="106" customWidth="1"/>
    <col min="10750" max="10750" width="6.109375" style="106" customWidth="1"/>
    <col min="10751" max="10751" width="5.21875" style="106" customWidth="1"/>
    <col min="10752" max="10753" width="5.6640625" style="106" customWidth="1"/>
    <col min="10754" max="10754" width="6.109375" style="106" customWidth="1"/>
    <col min="10755" max="10755" width="5.88671875" style="106" customWidth="1"/>
    <col min="10756" max="10756" width="5.21875" style="106" customWidth="1"/>
    <col min="10757" max="10757" width="5.88671875" style="106" customWidth="1"/>
    <col min="10758" max="10760" width="5.6640625" style="106" customWidth="1"/>
    <col min="10761" max="10761" width="5.44140625" style="106" bestFit="1" customWidth="1"/>
    <col min="10762" max="10762" width="4.44140625" style="106" customWidth="1"/>
    <col min="10763" max="10763" width="4.33203125" style="106" customWidth="1"/>
    <col min="10764" max="10764" width="5.44140625" style="106" bestFit="1" customWidth="1"/>
    <col min="10765" max="10765" width="4.77734375" style="106" bestFit="1" customWidth="1"/>
    <col min="10766" max="10766" width="6" style="106" bestFit="1" customWidth="1"/>
    <col min="10767" max="10767" width="4" style="106" customWidth="1"/>
    <col min="10768" max="10769" width="5.33203125" style="106" bestFit="1" customWidth="1"/>
    <col min="10770" max="10770" width="3.88671875" style="106" customWidth="1"/>
    <col min="10771" max="10780" width="6.33203125" style="106" customWidth="1"/>
    <col min="10781" max="11004" width="8.88671875" style="106"/>
    <col min="11005" max="11005" width="7.109375" style="106" customWidth="1"/>
    <col min="11006" max="11006" width="6.109375" style="106" customWidth="1"/>
    <col min="11007" max="11007" width="5.21875" style="106" customWidth="1"/>
    <col min="11008" max="11009" width="5.6640625" style="106" customWidth="1"/>
    <col min="11010" max="11010" width="6.109375" style="106" customWidth="1"/>
    <col min="11011" max="11011" width="5.88671875" style="106" customWidth="1"/>
    <col min="11012" max="11012" width="5.21875" style="106" customWidth="1"/>
    <col min="11013" max="11013" width="5.88671875" style="106" customWidth="1"/>
    <col min="11014" max="11016" width="5.6640625" style="106" customWidth="1"/>
    <col min="11017" max="11017" width="5.44140625" style="106" bestFit="1" customWidth="1"/>
    <col min="11018" max="11018" width="4.44140625" style="106" customWidth="1"/>
    <col min="11019" max="11019" width="4.33203125" style="106" customWidth="1"/>
    <col min="11020" max="11020" width="5.44140625" style="106" bestFit="1" customWidth="1"/>
    <col min="11021" max="11021" width="4.77734375" style="106" bestFit="1" customWidth="1"/>
    <col min="11022" max="11022" width="6" style="106" bestFit="1" customWidth="1"/>
    <col min="11023" max="11023" width="4" style="106" customWidth="1"/>
    <col min="11024" max="11025" width="5.33203125" style="106" bestFit="1" customWidth="1"/>
    <col min="11026" max="11026" width="3.88671875" style="106" customWidth="1"/>
    <col min="11027" max="11036" width="6.33203125" style="106" customWidth="1"/>
    <col min="11037" max="11260" width="8.88671875" style="106"/>
    <col min="11261" max="11261" width="7.109375" style="106" customWidth="1"/>
    <col min="11262" max="11262" width="6.109375" style="106" customWidth="1"/>
    <col min="11263" max="11263" width="5.21875" style="106" customWidth="1"/>
    <col min="11264" max="11265" width="5.6640625" style="106" customWidth="1"/>
    <col min="11266" max="11266" width="6.109375" style="106" customWidth="1"/>
    <col min="11267" max="11267" width="5.88671875" style="106" customWidth="1"/>
    <col min="11268" max="11268" width="5.21875" style="106" customWidth="1"/>
    <col min="11269" max="11269" width="5.88671875" style="106" customWidth="1"/>
    <col min="11270" max="11272" width="5.6640625" style="106" customWidth="1"/>
    <col min="11273" max="11273" width="5.44140625" style="106" bestFit="1" customWidth="1"/>
    <col min="11274" max="11274" width="4.44140625" style="106" customWidth="1"/>
    <col min="11275" max="11275" width="4.33203125" style="106" customWidth="1"/>
    <col min="11276" max="11276" width="5.44140625" style="106" bestFit="1" customWidth="1"/>
    <col min="11277" max="11277" width="4.77734375" style="106" bestFit="1" customWidth="1"/>
    <col min="11278" max="11278" width="6" style="106" bestFit="1" customWidth="1"/>
    <col min="11279" max="11279" width="4" style="106" customWidth="1"/>
    <col min="11280" max="11281" width="5.33203125" style="106" bestFit="1" customWidth="1"/>
    <col min="11282" max="11282" width="3.88671875" style="106" customWidth="1"/>
    <col min="11283" max="11292" width="6.33203125" style="106" customWidth="1"/>
    <col min="11293" max="11516" width="8.88671875" style="106"/>
    <col min="11517" max="11517" width="7.109375" style="106" customWidth="1"/>
    <col min="11518" max="11518" width="6.109375" style="106" customWidth="1"/>
    <col min="11519" max="11519" width="5.21875" style="106" customWidth="1"/>
    <col min="11520" max="11521" width="5.6640625" style="106" customWidth="1"/>
    <col min="11522" max="11522" width="6.109375" style="106" customWidth="1"/>
    <col min="11523" max="11523" width="5.88671875" style="106" customWidth="1"/>
    <col min="11524" max="11524" width="5.21875" style="106" customWidth="1"/>
    <col min="11525" max="11525" width="5.88671875" style="106" customWidth="1"/>
    <col min="11526" max="11528" width="5.6640625" style="106" customWidth="1"/>
    <col min="11529" max="11529" width="5.44140625" style="106" bestFit="1" customWidth="1"/>
    <col min="11530" max="11530" width="4.44140625" style="106" customWidth="1"/>
    <col min="11531" max="11531" width="4.33203125" style="106" customWidth="1"/>
    <col min="11532" max="11532" width="5.44140625" style="106" bestFit="1" customWidth="1"/>
    <col min="11533" max="11533" width="4.77734375" style="106" bestFit="1" customWidth="1"/>
    <col min="11534" max="11534" width="6" style="106" bestFit="1" customWidth="1"/>
    <col min="11535" max="11535" width="4" style="106" customWidth="1"/>
    <col min="11536" max="11537" width="5.33203125" style="106" bestFit="1" customWidth="1"/>
    <col min="11538" max="11538" width="3.88671875" style="106" customWidth="1"/>
    <col min="11539" max="11548" width="6.33203125" style="106" customWidth="1"/>
    <col min="11549" max="11772" width="8.88671875" style="106"/>
    <col min="11773" max="11773" width="7.109375" style="106" customWidth="1"/>
    <col min="11774" max="11774" width="6.109375" style="106" customWidth="1"/>
    <col min="11775" max="11775" width="5.21875" style="106" customWidth="1"/>
    <col min="11776" max="11777" width="5.6640625" style="106" customWidth="1"/>
    <col min="11778" max="11778" width="6.109375" style="106" customWidth="1"/>
    <col min="11779" max="11779" width="5.88671875" style="106" customWidth="1"/>
    <col min="11780" max="11780" width="5.21875" style="106" customWidth="1"/>
    <col min="11781" max="11781" width="5.88671875" style="106" customWidth="1"/>
    <col min="11782" max="11784" width="5.6640625" style="106" customWidth="1"/>
    <col min="11785" max="11785" width="5.44140625" style="106" bestFit="1" customWidth="1"/>
    <col min="11786" max="11786" width="4.44140625" style="106" customWidth="1"/>
    <col min="11787" max="11787" width="4.33203125" style="106" customWidth="1"/>
    <col min="11788" max="11788" width="5.44140625" style="106" bestFit="1" customWidth="1"/>
    <col min="11789" max="11789" width="4.77734375" style="106" bestFit="1" customWidth="1"/>
    <col min="11790" max="11790" width="6" style="106" bestFit="1" customWidth="1"/>
    <col min="11791" max="11791" width="4" style="106" customWidth="1"/>
    <col min="11792" max="11793" width="5.33203125" style="106" bestFit="1" customWidth="1"/>
    <col min="11794" max="11794" width="3.88671875" style="106" customWidth="1"/>
    <col min="11795" max="11804" width="6.33203125" style="106" customWidth="1"/>
    <col min="11805" max="12028" width="8.88671875" style="106"/>
    <col min="12029" max="12029" width="7.109375" style="106" customWidth="1"/>
    <col min="12030" max="12030" width="6.109375" style="106" customWidth="1"/>
    <col min="12031" max="12031" width="5.21875" style="106" customWidth="1"/>
    <col min="12032" max="12033" width="5.6640625" style="106" customWidth="1"/>
    <col min="12034" max="12034" width="6.109375" style="106" customWidth="1"/>
    <col min="12035" max="12035" width="5.88671875" style="106" customWidth="1"/>
    <col min="12036" max="12036" width="5.21875" style="106" customWidth="1"/>
    <col min="12037" max="12037" width="5.88671875" style="106" customWidth="1"/>
    <col min="12038" max="12040" width="5.6640625" style="106" customWidth="1"/>
    <col min="12041" max="12041" width="5.44140625" style="106" bestFit="1" customWidth="1"/>
    <col min="12042" max="12042" width="4.44140625" style="106" customWidth="1"/>
    <col min="12043" max="12043" width="4.33203125" style="106" customWidth="1"/>
    <col min="12044" max="12044" width="5.44140625" style="106" bestFit="1" customWidth="1"/>
    <col min="12045" max="12045" width="4.77734375" style="106" bestFit="1" customWidth="1"/>
    <col min="12046" max="12046" width="6" style="106" bestFit="1" customWidth="1"/>
    <col min="12047" max="12047" width="4" style="106" customWidth="1"/>
    <col min="12048" max="12049" width="5.33203125" style="106" bestFit="1" customWidth="1"/>
    <col min="12050" max="12050" width="3.88671875" style="106" customWidth="1"/>
    <col min="12051" max="12060" width="6.33203125" style="106" customWidth="1"/>
    <col min="12061" max="12284" width="8.88671875" style="106"/>
    <col min="12285" max="12285" width="7.109375" style="106" customWidth="1"/>
    <col min="12286" max="12286" width="6.109375" style="106" customWidth="1"/>
    <col min="12287" max="12287" width="5.21875" style="106" customWidth="1"/>
    <col min="12288" max="12289" width="5.6640625" style="106" customWidth="1"/>
    <col min="12290" max="12290" width="6.109375" style="106" customWidth="1"/>
    <col min="12291" max="12291" width="5.88671875" style="106" customWidth="1"/>
    <col min="12292" max="12292" width="5.21875" style="106" customWidth="1"/>
    <col min="12293" max="12293" width="5.88671875" style="106" customWidth="1"/>
    <col min="12294" max="12296" width="5.6640625" style="106" customWidth="1"/>
    <col min="12297" max="12297" width="5.44140625" style="106" bestFit="1" customWidth="1"/>
    <col min="12298" max="12298" width="4.44140625" style="106" customWidth="1"/>
    <col min="12299" max="12299" width="4.33203125" style="106" customWidth="1"/>
    <col min="12300" max="12300" width="5.44140625" style="106" bestFit="1" customWidth="1"/>
    <col min="12301" max="12301" width="4.77734375" style="106" bestFit="1" customWidth="1"/>
    <col min="12302" max="12302" width="6" style="106" bestFit="1" customWidth="1"/>
    <col min="12303" max="12303" width="4" style="106" customWidth="1"/>
    <col min="12304" max="12305" width="5.33203125" style="106" bestFit="1" customWidth="1"/>
    <col min="12306" max="12306" width="3.88671875" style="106" customWidth="1"/>
    <col min="12307" max="12316" width="6.33203125" style="106" customWidth="1"/>
    <col min="12317" max="12540" width="8.88671875" style="106"/>
    <col min="12541" max="12541" width="7.109375" style="106" customWidth="1"/>
    <col min="12542" max="12542" width="6.109375" style="106" customWidth="1"/>
    <col min="12543" max="12543" width="5.21875" style="106" customWidth="1"/>
    <col min="12544" max="12545" width="5.6640625" style="106" customWidth="1"/>
    <col min="12546" max="12546" width="6.109375" style="106" customWidth="1"/>
    <col min="12547" max="12547" width="5.88671875" style="106" customWidth="1"/>
    <col min="12548" max="12548" width="5.21875" style="106" customWidth="1"/>
    <col min="12549" max="12549" width="5.88671875" style="106" customWidth="1"/>
    <col min="12550" max="12552" width="5.6640625" style="106" customWidth="1"/>
    <col min="12553" max="12553" width="5.44140625" style="106" bestFit="1" customWidth="1"/>
    <col min="12554" max="12554" width="4.44140625" style="106" customWidth="1"/>
    <col min="12555" max="12555" width="4.33203125" style="106" customWidth="1"/>
    <col min="12556" max="12556" width="5.44140625" style="106" bestFit="1" customWidth="1"/>
    <col min="12557" max="12557" width="4.77734375" style="106" bestFit="1" customWidth="1"/>
    <col min="12558" max="12558" width="6" style="106" bestFit="1" customWidth="1"/>
    <col min="12559" max="12559" width="4" style="106" customWidth="1"/>
    <col min="12560" max="12561" width="5.33203125" style="106" bestFit="1" customWidth="1"/>
    <col min="12562" max="12562" width="3.88671875" style="106" customWidth="1"/>
    <col min="12563" max="12572" width="6.33203125" style="106" customWidth="1"/>
    <col min="12573" max="12796" width="8.88671875" style="106"/>
    <col min="12797" max="12797" width="7.109375" style="106" customWidth="1"/>
    <col min="12798" max="12798" width="6.109375" style="106" customWidth="1"/>
    <col min="12799" max="12799" width="5.21875" style="106" customWidth="1"/>
    <col min="12800" max="12801" width="5.6640625" style="106" customWidth="1"/>
    <col min="12802" max="12802" width="6.109375" style="106" customWidth="1"/>
    <col min="12803" max="12803" width="5.88671875" style="106" customWidth="1"/>
    <col min="12804" max="12804" width="5.21875" style="106" customWidth="1"/>
    <col min="12805" max="12805" width="5.88671875" style="106" customWidth="1"/>
    <col min="12806" max="12808" width="5.6640625" style="106" customWidth="1"/>
    <col min="12809" max="12809" width="5.44140625" style="106" bestFit="1" customWidth="1"/>
    <col min="12810" max="12810" width="4.44140625" style="106" customWidth="1"/>
    <col min="12811" max="12811" width="4.33203125" style="106" customWidth="1"/>
    <col min="12812" max="12812" width="5.44140625" style="106" bestFit="1" customWidth="1"/>
    <col min="12813" max="12813" width="4.77734375" style="106" bestFit="1" customWidth="1"/>
    <col min="12814" max="12814" width="6" style="106" bestFit="1" customWidth="1"/>
    <col min="12815" max="12815" width="4" style="106" customWidth="1"/>
    <col min="12816" max="12817" width="5.33203125" style="106" bestFit="1" customWidth="1"/>
    <col min="12818" max="12818" width="3.88671875" style="106" customWidth="1"/>
    <col min="12819" max="12828" width="6.33203125" style="106" customWidth="1"/>
    <col min="12829" max="13052" width="8.88671875" style="106"/>
    <col min="13053" max="13053" width="7.109375" style="106" customWidth="1"/>
    <col min="13054" max="13054" width="6.109375" style="106" customWidth="1"/>
    <col min="13055" max="13055" width="5.21875" style="106" customWidth="1"/>
    <col min="13056" max="13057" width="5.6640625" style="106" customWidth="1"/>
    <col min="13058" max="13058" width="6.109375" style="106" customWidth="1"/>
    <col min="13059" max="13059" width="5.88671875" style="106" customWidth="1"/>
    <col min="13060" max="13060" width="5.21875" style="106" customWidth="1"/>
    <col min="13061" max="13061" width="5.88671875" style="106" customWidth="1"/>
    <col min="13062" max="13064" width="5.6640625" style="106" customWidth="1"/>
    <col min="13065" max="13065" width="5.44140625" style="106" bestFit="1" customWidth="1"/>
    <col min="13066" max="13066" width="4.44140625" style="106" customWidth="1"/>
    <col min="13067" max="13067" width="4.33203125" style="106" customWidth="1"/>
    <col min="13068" max="13068" width="5.44140625" style="106" bestFit="1" customWidth="1"/>
    <col min="13069" max="13069" width="4.77734375" style="106" bestFit="1" customWidth="1"/>
    <col min="13070" max="13070" width="6" style="106" bestFit="1" customWidth="1"/>
    <col min="13071" max="13071" width="4" style="106" customWidth="1"/>
    <col min="13072" max="13073" width="5.33203125" style="106" bestFit="1" customWidth="1"/>
    <col min="13074" max="13074" width="3.88671875" style="106" customWidth="1"/>
    <col min="13075" max="13084" width="6.33203125" style="106" customWidth="1"/>
    <col min="13085" max="13308" width="8.88671875" style="106"/>
    <col min="13309" max="13309" width="7.109375" style="106" customWidth="1"/>
    <col min="13310" max="13310" width="6.109375" style="106" customWidth="1"/>
    <col min="13311" max="13311" width="5.21875" style="106" customWidth="1"/>
    <col min="13312" max="13313" width="5.6640625" style="106" customWidth="1"/>
    <col min="13314" max="13314" width="6.109375" style="106" customWidth="1"/>
    <col min="13315" max="13315" width="5.88671875" style="106" customWidth="1"/>
    <col min="13316" max="13316" width="5.21875" style="106" customWidth="1"/>
    <col min="13317" max="13317" width="5.88671875" style="106" customWidth="1"/>
    <col min="13318" max="13320" width="5.6640625" style="106" customWidth="1"/>
    <col min="13321" max="13321" width="5.44140625" style="106" bestFit="1" customWidth="1"/>
    <col min="13322" max="13322" width="4.44140625" style="106" customWidth="1"/>
    <col min="13323" max="13323" width="4.33203125" style="106" customWidth="1"/>
    <col min="13324" max="13324" width="5.44140625" style="106" bestFit="1" customWidth="1"/>
    <col min="13325" max="13325" width="4.77734375" style="106" bestFit="1" customWidth="1"/>
    <col min="13326" max="13326" width="6" style="106" bestFit="1" customWidth="1"/>
    <col min="13327" max="13327" width="4" style="106" customWidth="1"/>
    <col min="13328" max="13329" width="5.33203125" style="106" bestFit="1" customWidth="1"/>
    <col min="13330" max="13330" width="3.88671875" style="106" customWidth="1"/>
    <col min="13331" max="13340" width="6.33203125" style="106" customWidth="1"/>
    <col min="13341" max="13564" width="8.88671875" style="106"/>
    <col min="13565" max="13565" width="7.109375" style="106" customWidth="1"/>
    <col min="13566" max="13566" width="6.109375" style="106" customWidth="1"/>
    <col min="13567" max="13567" width="5.21875" style="106" customWidth="1"/>
    <col min="13568" max="13569" width="5.6640625" style="106" customWidth="1"/>
    <col min="13570" max="13570" width="6.109375" style="106" customWidth="1"/>
    <col min="13571" max="13571" width="5.88671875" style="106" customWidth="1"/>
    <col min="13572" max="13572" width="5.21875" style="106" customWidth="1"/>
    <col min="13573" max="13573" width="5.88671875" style="106" customWidth="1"/>
    <col min="13574" max="13576" width="5.6640625" style="106" customWidth="1"/>
    <col min="13577" max="13577" width="5.44140625" style="106" bestFit="1" customWidth="1"/>
    <col min="13578" max="13578" width="4.44140625" style="106" customWidth="1"/>
    <col min="13579" max="13579" width="4.33203125" style="106" customWidth="1"/>
    <col min="13580" max="13580" width="5.44140625" style="106" bestFit="1" customWidth="1"/>
    <col min="13581" max="13581" width="4.77734375" style="106" bestFit="1" customWidth="1"/>
    <col min="13582" max="13582" width="6" style="106" bestFit="1" customWidth="1"/>
    <col min="13583" max="13583" width="4" style="106" customWidth="1"/>
    <col min="13584" max="13585" width="5.33203125" style="106" bestFit="1" customWidth="1"/>
    <col min="13586" max="13586" width="3.88671875" style="106" customWidth="1"/>
    <col min="13587" max="13596" width="6.33203125" style="106" customWidth="1"/>
    <col min="13597" max="13820" width="8.88671875" style="106"/>
    <col min="13821" max="13821" width="7.109375" style="106" customWidth="1"/>
    <col min="13822" max="13822" width="6.109375" style="106" customWidth="1"/>
    <col min="13823" max="13823" width="5.21875" style="106" customWidth="1"/>
    <col min="13824" max="13825" width="5.6640625" style="106" customWidth="1"/>
    <col min="13826" max="13826" width="6.109375" style="106" customWidth="1"/>
    <col min="13827" max="13827" width="5.88671875" style="106" customWidth="1"/>
    <col min="13828" max="13828" width="5.21875" style="106" customWidth="1"/>
    <col min="13829" max="13829" width="5.88671875" style="106" customWidth="1"/>
    <col min="13830" max="13832" width="5.6640625" style="106" customWidth="1"/>
    <col min="13833" max="13833" width="5.44140625" style="106" bestFit="1" customWidth="1"/>
    <col min="13834" max="13834" width="4.44140625" style="106" customWidth="1"/>
    <col min="13835" max="13835" width="4.33203125" style="106" customWidth="1"/>
    <col min="13836" max="13836" width="5.44140625" style="106" bestFit="1" customWidth="1"/>
    <col min="13837" max="13837" width="4.77734375" style="106" bestFit="1" customWidth="1"/>
    <col min="13838" max="13838" width="6" style="106" bestFit="1" customWidth="1"/>
    <col min="13839" max="13839" width="4" style="106" customWidth="1"/>
    <col min="13840" max="13841" width="5.33203125" style="106" bestFit="1" customWidth="1"/>
    <col min="13842" max="13842" width="3.88671875" style="106" customWidth="1"/>
    <col min="13843" max="13852" width="6.33203125" style="106" customWidth="1"/>
    <col min="13853" max="14076" width="8.88671875" style="106"/>
    <col min="14077" max="14077" width="7.109375" style="106" customWidth="1"/>
    <col min="14078" max="14078" width="6.109375" style="106" customWidth="1"/>
    <col min="14079" max="14079" width="5.21875" style="106" customWidth="1"/>
    <col min="14080" max="14081" width="5.6640625" style="106" customWidth="1"/>
    <col min="14082" max="14082" width="6.109375" style="106" customWidth="1"/>
    <col min="14083" max="14083" width="5.88671875" style="106" customWidth="1"/>
    <col min="14084" max="14084" width="5.21875" style="106" customWidth="1"/>
    <col min="14085" max="14085" width="5.88671875" style="106" customWidth="1"/>
    <col min="14086" max="14088" width="5.6640625" style="106" customWidth="1"/>
    <col min="14089" max="14089" width="5.44140625" style="106" bestFit="1" customWidth="1"/>
    <col min="14090" max="14090" width="4.44140625" style="106" customWidth="1"/>
    <col min="14091" max="14091" width="4.33203125" style="106" customWidth="1"/>
    <col min="14092" max="14092" width="5.44140625" style="106" bestFit="1" customWidth="1"/>
    <col min="14093" max="14093" width="4.77734375" style="106" bestFit="1" customWidth="1"/>
    <col min="14094" max="14094" width="6" style="106" bestFit="1" customWidth="1"/>
    <col min="14095" max="14095" width="4" style="106" customWidth="1"/>
    <col min="14096" max="14097" width="5.33203125" style="106" bestFit="1" customWidth="1"/>
    <col min="14098" max="14098" width="3.88671875" style="106" customWidth="1"/>
    <col min="14099" max="14108" width="6.33203125" style="106" customWidth="1"/>
    <col min="14109" max="14332" width="8.88671875" style="106"/>
    <col min="14333" max="14333" width="7.109375" style="106" customWidth="1"/>
    <col min="14334" max="14334" width="6.109375" style="106" customWidth="1"/>
    <col min="14335" max="14335" width="5.21875" style="106" customWidth="1"/>
    <col min="14336" max="14337" width="5.6640625" style="106" customWidth="1"/>
    <col min="14338" max="14338" width="6.109375" style="106" customWidth="1"/>
    <col min="14339" max="14339" width="5.88671875" style="106" customWidth="1"/>
    <col min="14340" max="14340" width="5.21875" style="106" customWidth="1"/>
    <col min="14341" max="14341" width="5.88671875" style="106" customWidth="1"/>
    <col min="14342" max="14344" width="5.6640625" style="106" customWidth="1"/>
    <col min="14345" max="14345" width="5.44140625" style="106" bestFit="1" customWidth="1"/>
    <col min="14346" max="14346" width="4.44140625" style="106" customWidth="1"/>
    <col min="14347" max="14347" width="4.33203125" style="106" customWidth="1"/>
    <col min="14348" max="14348" width="5.44140625" style="106" bestFit="1" customWidth="1"/>
    <col min="14349" max="14349" width="4.77734375" style="106" bestFit="1" customWidth="1"/>
    <col min="14350" max="14350" width="6" style="106" bestFit="1" customWidth="1"/>
    <col min="14351" max="14351" width="4" style="106" customWidth="1"/>
    <col min="14352" max="14353" width="5.33203125" style="106" bestFit="1" customWidth="1"/>
    <col min="14354" max="14354" width="3.88671875" style="106" customWidth="1"/>
    <col min="14355" max="14364" width="6.33203125" style="106" customWidth="1"/>
    <col min="14365" max="14588" width="8.88671875" style="106"/>
    <col min="14589" max="14589" width="7.109375" style="106" customWidth="1"/>
    <col min="14590" max="14590" width="6.109375" style="106" customWidth="1"/>
    <col min="14591" max="14591" width="5.21875" style="106" customWidth="1"/>
    <col min="14592" max="14593" width="5.6640625" style="106" customWidth="1"/>
    <col min="14594" max="14594" width="6.109375" style="106" customWidth="1"/>
    <col min="14595" max="14595" width="5.88671875" style="106" customWidth="1"/>
    <col min="14596" max="14596" width="5.21875" style="106" customWidth="1"/>
    <col min="14597" max="14597" width="5.88671875" style="106" customWidth="1"/>
    <col min="14598" max="14600" width="5.6640625" style="106" customWidth="1"/>
    <col min="14601" max="14601" width="5.44140625" style="106" bestFit="1" customWidth="1"/>
    <col min="14602" max="14602" width="4.44140625" style="106" customWidth="1"/>
    <col min="14603" max="14603" width="4.33203125" style="106" customWidth="1"/>
    <col min="14604" max="14604" width="5.44140625" style="106" bestFit="1" customWidth="1"/>
    <col min="14605" max="14605" width="4.77734375" style="106" bestFit="1" customWidth="1"/>
    <col min="14606" max="14606" width="6" style="106" bestFit="1" customWidth="1"/>
    <col min="14607" max="14607" width="4" style="106" customWidth="1"/>
    <col min="14608" max="14609" width="5.33203125" style="106" bestFit="1" customWidth="1"/>
    <col min="14610" max="14610" width="3.88671875" style="106" customWidth="1"/>
    <col min="14611" max="14620" width="6.33203125" style="106" customWidth="1"/>
    <col min="14621" max="14844" width="8.88671875" style="106"/>
    <col min="14845" max="14845" width="7.109375" style="106" customWidth="1"/>
    <col min="14846" max="14846" width="6.109375" style="106" customWidth="1"/>
    <col min="14847" max="14847" width="5.21875" style="106" customWidth="1"/>
    <col min="14848" max="14849" width="5.6640625" style="106" customWidth="1"/>
    <col min="14850" max="14850" width="6.109375" style="106" customWidth="1"/>
    <col min="14851" max="14851" width="5.88671875" style="106" customWidth="1"/>
    <col min="14852" max="14852" width="5.21875" style="106" customWidth="1"/>
    <col min="14853" max="14853" width="5.88671875" style="106" customWidth="1"/>
    <col min="14854" max="14856" width="5.6640625" style="106" customWidth="1"/>
    <col min="14857" max="14857" width="5.44140625" style="106" bestFit="1" customWidth="1"/>
    <col min="14858" max="14858" width="4.44140625" style="106" customWidth="1"/>
    <col min="14859" max="14859" width="4.33203125" style="106" customWidth="1"/>
    <col min="14860" max="14860" width="5.44140625" style="106" bestFit="1" customWidth="1"/>
    <col min="14861" max="14861" width="4.77734375" style="106" bestFit="1" customWidth="1"/>
    <col min="14862" max="14862" width="6" style="106" bestFit="1" customWidth="1"/>
    <col min="14863" max="14863" width="4" style="106" customWidth="1"/>
    <col min="14864" max="14865" width="5.33203125" style="106" bestFit="1" customWidth="1"/>
    <col min="14866" max="14866" width="3.88671875" style="106" customWidth="1"/>
    <col min="14867" max="14876" width="6.33203125" style="106" customWidth="1"/>
    <col min="14877" max="15100" width="8.88671875" style="106"/>
    <col min="15101" max="15101" width="7.109375" style="106" customWidth="1"/>
    <col min="15102" max="15102" width="6.109375" style="106" customWidth="1"/>
    <col min="15103" max="15103" width="5.21875" style="106" customWidth="1"/>
    <col min="15104" max="15105" width="5.6640625" style="106" customWidth="1"/>
    <col min="15106" max="15106" width="6.109375" style="106" customWidth="1"/>
    <col min="15107" max="15107" width="5.88671875" style="106" customWidth="1"/>
    <col min="15108" max="15108" width="5.21875" style="106" customWidth="1"/>
    <col min="15109" max="15109" width="5.88671875" style="106" customWidth="1"/>
    <col min="15110" max="15112" width="5.6640625" style="106" customWidth="1"/>
    <col min="15113" max="15113" width="5.44140625" style="106" bestFit="1" customWidth="1"/>
    <col min="15114" max="15114" width="4.44140625" style="106" customWidth="1"/>
    <col min="15115" max="15115" width="4.33203125" style="106" customWidth="1"/>
    <col min="15116" max="15116" width="5.44140625" style="106" bestFit="1" customWidth="1"/>
    <col min="15117" max="15117" width="4.77734375" style="106" bestFit="1" customWidth="1"/>
    <col min="15118" max="15118" width="6" style="106" bestFit="1" customWidth="1"/>
    <col min="15119" max="15119" width="4" style="106" customWidth="1"/>
    <col min="15120" max="15121" width="5.33203125" style="106" bestFit="1" customWidth="1"/>
    <col min="15122" max="15122" width="3.88671875" style="106" customWidth="1"/>
    <col min="15123" max="15132" width="6.33203125" style="106" customWidth="1"/>
    <col min="15133" max="15356" width="8.88671875" style="106"/>
    <col min="15357" max="15357" width="7.109375" style="106" customWidth="1"/>
    <col min="15358" max="15358" width="6.109375" style="106" customWidth="1"/>
    <col min="15359" max="15359" width="5.21875" style="106" customWidth="1"/>
    <col min="15360" max="15361" width="5.6640625" style="106" customWidth="1"/>
    <col min="15362" max="15362" width="6.109375" style="106" customWidth="1"/>
    <col min="15363" max="15363" width="5.88671875" style="106" customWidth="1"/>
    <col min="15364" max="15364" width="5.21875" style="106" customWidth="1"/>
    <col min="15365" max="15365" width="5.88671875" style="106" customWidth="1"/>
    <col min="15366" max="15368" width="5.6640625" style="106" customWidth="1"/>
    <col min="15369" max="15369" width="5.44140625" style="106" bestFit="1" customWidth="1"/>
    <col min="15370" max="15370" width="4.44140625" style="106" customWidth="1"/>
    <col min="15371" max="15371" width="4.33203125" style="106" customWidth="1"/>
    <col min="15372" max="15372" width="5.44140625" style="106" bestFit="1" customWidth="1"/>
    <col min="15373" max="15373" width="4.77734375" style="106" bestFit="1" customWidth="1"/>
    <col min="15374" max="15374" width="6" style="106" bestFit="1" customWidth="1"/>
    <col min="15375" max="15375" width="4" style="106" customWidth="1"/>
    <col min="15376" max="15377" width="5.33203125" style="106" bestFit="1" customWidth="1"/>
    <col min="15378" max="15378" width="3.88671875" style="106" customWidth="1"/>
    <col min="15379" max="15388" width="6.33203125" style="106" customWidth="1"/>
    <col min="15389" max="15612" width="8.88671875" style="106"/>
    <col min="15613" max="15613" width="7.109375" style="106" customWidth="1"/>
    <col min="15614" max="15614" width="6.109375" style="106" customWidth="1"/>
    <col min="15615" max="15615" width="5.21875" style="106" customWidth="1"/>
    <col min="15616" max="15617" width="5.6640625" style="106" customWidth="1"/>
    <col min="15618" max="15618" width="6.109375" style="106" customWidth="1"/>
    <col min="15619" max="15619" width="5.88671875" style="106" customWidth="1"/>
    <col min="15620" max="15620" width="5.21875" style="106" customWidth="1"/>
    <col min="15621" max="15621" width="5.88671875" style="106" customWidth="1"/>
    <col min="15622" max="15624" width="5.6640625" style="106" customWidth="1"/>
    <col min="15625" max="15625" width="5.44140625" style="106" bestFit="1" customWidth="1"/>
    <col min="15626" max="15626" width="4.44140625" style="106" customWidth="1"/>
    <col min="15627" max="15627" width="4.33203125" style="106" customWidth="1"/>
    <col min="15628" max="15628" width="5.44140625" style="106" bestFit="1" customWidth="1"/>
    <col min="15629" max="15629" width="4.77734375" style="106" bestFit="1" customWidth="1"/>
    <col min="15630" max="15630" width="6" style="106" bestFit="1" customWidth="1"/>
    <col min="15631" max="15631" width="4" style="106" customWidth="1"/>
    <col min="15632" max="15633" width="5.33203125" style="106" bestFit="1" customWidth="1"/>
    <col min="15634" max="15634" width="3.88671875" style="106" customWidth="1"/>
    <col min="15635" max="15644" width="6.33203125" style="106" customWidth="1"/>
    <col min="15645" max="15868" width="8.88671875" style="106"/>
    <col min="15869" max="15869" width="7.109375" style="106" customWidth="1"/>
    <col min="15870" max="15870" width="6.109375" style="106" customWidth="1"/>
    <col min="15871" max="15871" width="5.21875" style="106" customWidth="1"/>
    <col min="15872" max="15873" width="5.6640625" style="106" customWidth="1"/>
    <col min="15874" max="15874" width="6.109375" style="106" customWidth="1"/>
    <col min="15875" max="15875" width="5.88671875" style="106" customWidth="1"/>
    <col min="15876" max="15876" width="5.21875" style="106" customWidth="1"/>
    <col min="15877" max="15877" width="5.88671875" style="106" customWidth="1"/>
    <col min="15878" max="15880" width="5.6640625" style="106" customWidth="1"/>
    <col min="15881" max="15881" width="5.44140625" style="106" bestFit="1" customWidth="1"/>
    <col min="15882" max="15882" width="4.44140625" style="106" customWidth="1"/>
    <col min="15883" max="15883" width="4.33203125" style="106" customWidth="1"/>
    <col min="15884" max="15884" width="5.44140625" style="106" bestFit="1" customWidth="1"/>
    <col min="15885" max="15885" width="4.77734375" style="106" bestFit="1" customWidth="1"/>
    <col min="15886" max="15886" width="6" style="106" bestFit="1" customWidth="1"/>
    <col min="15887" max="15887" width="4" style="106" customWidth="1"/>
    <col min="15888" max="15889" width="5.33203125" style="106" bestFit="1" customWidth="1"/>
    <col min="15890" max="15890" width="3.88671875" style="106" customWidth="1"/>
    <col min="15891" max="15900" width="6.33203125" style="106" customWidth="1"/>
    <col min="15901" max="16124" width="8.88671875" style="106"/>
    <col min="16125" max="16125" width="7.109375" style="106" customWidth="1"/>
    <col min="16126" max="16126" width="6.109375" style="106" customWidth="1"/>
    <col min="16127" max="16127" width="5.21875" style="106" customWidth="1"/>
    <col min="16128" max="16129" width="5.6640625" style="106" customWidth="1"/>
    <col min="16130" max="16130" width="6.109375" style="106" customWidth="1"/>
    <col min="16131" max="16131" width="5.88671875" style="106" customWidth="1"/>
    <col min="16132" max="16132" width="5.21875" style="106" customWidth="1"/>
    <col min="16133" max="16133" width="5.88671875" style="106" customWidth="1"/>
    <col min="16134" max="16136" width="5.6640625" style="106" customWidth="1"/>
    <col min="16137" max="16137" width="5.44140625" style="106" bestFit="1" customWidth="1"/>
    <col min="16138" max="16138" width="4.44140625" style="106" customWidth="1"/>
    <col min="16139" max="16139" width="4.33203125" style="106" customWidth="1"/>
    <col min="16140" max="16140" width="5.44140625" style="106" bestFit="1" customWidth="1"/>
    <col min="16141" max="16141" width="4.77734375" style="106" bestFit="1" customWidth="1"/>
    <col min="16142" max="16142" width="6" style="106" bestFit="1" customWidth="1"/>
    <col min="16143" max="16143" width="4" style="106" customWidth="1"/>
    <col min="16144" max="16145" width="5.33203125" style="106" bestFit="1" customWidth="1"/>
    <col min="16146" max="16146" width="3.88671875" style="106" customWidth="1"/>
    <col min="16147" max="16156" width="6.33203125" style="106" customWidth="1"/>
    <col min="16157" max="16384" width="8.88671875" style="106"/>
  </cols>
  <sheetData>
    <row r="1" spans="1:31" s="21" customFormat="1" ht="16.5" customHeight="1">
      <c r="A1" s="346"/>
      <c r="B1" s="346"/>
      <c r="C1" s="346"/>
      <c r="D1" s="346"/>
      <c r="E1" s="346"/>
      <c r="F1" s="346"/>
      <c r="G1" s="346"/>
    </row>
    <row r="2" spans="1:31" s="21" customFormat="1" ht="9.9499999999999993" customHeight="1">
      <c r="A2" s="27"/>
      <c r="B2" s="22"/>
      <c r="C2" s="22"/>
      <c r="D2" s="22"/>
      <c r="E2" s="22"/>
      <c r="F2" s="22"/>
      <c r="G2" s="23"/>
    </row>
    <row r="3" spans="1:31" ht="15" customHeight="1">
      <c r="A3" s="349" t="s">
        <v>123</v>
      </c>
      <c r="B3" s="349"/>
      <c r="C3" s="350"/>
      <c r="D3" s="350"/>
      <c r="E3" s="350"/>
      <c r="F3" s="350"/>
      <c r="G3" s="350"/>
      <c r="H3" s="350"/>
      <c r="I3" s="350"/>
      <c r="J3" s="350"/>
      <c r="K3" s="350"/>
      <c r="L3" s="25"/>
    </row>
    <row r="4" spans="1:31" ht="15" customHeight="1">
      <c r="A4" s="347" t="s">
        <v>4</v>
      </c>
      <c r="G4" s="106"/>
      <c r="K4" s="133" t="s">
        <v>23</v>
      </c>
      <c r="L4" s="133"/>
    </row>
    <row r="5" spans="1:31" ht="13.5" customHeight="1">
      <c r="A5" s="348" t="s">
        <v>0</v>
      </c>
      <c r="B5" s="353" t="s">
        <v>113</v>
      </c>
      <c r="C5" s="308"/>
      <c r="D5" s="308"/>
      <c r="E5" s="308"/>
      <c r="F5" s="309"/>
      <c r="G5" s="353" t="s">
        <v>114</v>
      </c>
      <c r="H5" s="308"/>
      <c r="I5" s="308"/>
      <c r="J5" s="308"/>
      <c r="K5" s="308"/>
      <c r="L5" s="134"/>
    </row>
    <row r="6" spans="1:31" s="3" customFormat="1" ht="12.75" customHeight="1">
      <c r="A6" s="351"/>
      <c r="B6" s="354"/>
      <c r="C6" s="135" t="s">
        <v>24</v>
      </c>
      <c r="D6" s="356" t="s">
        <v>25</v>
      </c>
      <c r="E6" s="356" t="s">
        <v>26</v>
      </c>
      <c r="F6" s="356" t="s">
        <v>27</v>
      </c>
      <c r="G6" s="354"/>
      <c r="H6" s="135" t="s">
        <v>24</v>
      </c>
      <c r="I6" s="356" t="s">
        <v>25</v>
      </c>
      <c r="J6" s="356" t="s">
        <v>26</v>
      </c>
      <c r="K6" s="135" t="s">
        <v>28</v>
      </c>
      <c r="L6" s="136"/>
      <c r="M6" s="137"/>
      <c r="N6" s="137"/>
      <c r="O6" s="137"/>
      <c r="P6" s="137"/>
      <c r="Q6" s="137"/>
    </row>
    <row r="7" spans="1:31" s="3" customFormat="1" ht="15" customHeight="1">
      <c r="A7" s="352"/>
      <c r="B7" s="355"/>
      <c r="C7" s="138" t="s">
        <v>29</v>
      </c>
      <c r="D7" s="357"/>
      <c r="E7" s="357"/>
      <c r="F7" s="139" t="s">
        <v>30</v>
      </c>
      <c r="G7" s="355"/>
      <c r="H7" s="138" t="s">
        <v>29</v>
      </c>
      <c r="I7" s="357"/>
      <c r="J7" s="357"/>
      <c r="K7" s="138" t="s">
        <v>30</v>
      </c>
      <c r="L7" s="140"/>
      <c r="M7" s="137"/>
      <c r="N7" s="137"/>
      <c r="O7" s="137"/>
      <c r="P7" s="137"/>
      <c r="Q7" s="137"/>
    </row>
    <row r="8" spans="1:31" s="41" customFormat="1" ht="13.5" customHeight="1">
      <c r="A8" s="323">
        <v>2009</v>
      </c>
      <c r="B8" s="2">
        <v>9497</v>
      </c>
      <c r="C8" s="1">
        <v>123</v>
      </c>
      <c r="D8" s="1">
        <v>5198</v>
      </c>
      <c r="E8" s="1">
        <v>2263</v>
      </c>
      <c r="F8" s="1">
        <v>1914</v>
      </c>
      <c r="G8" s="1">
        <v>10650</v>
      </c>
      <c r="H8" s="1">
        <v>652</v>
      </c>
      <c r="I8" s="1">
        <v>6636</v>
      </c>
      <c r="J8" s="1">
        <v>1678</v>
      </c>
      <c r="K8" s="18">
        <v>1683</v>
      </c>
      <c r="L8" s="5"/>
      <c r="M8" s="142"/>
      <c r="N8" s="142"/>
      <c r="O8" s="142"/>
      <c r="P8" s="142"/>
      <c r="Q8" s="142"/>
      <c r="R8" s="141"/>
      <c r="V8" s="44"/>
      <c r="W8" s="44"/>
      <c r="X8" s="44"/>
      <c r="Y8" s="44"/>
      <c r="Z8" s="44"/>
      <c r="AA8" s="44"/>
      <c r="AB8" s="44"/>
      <c r="AC8" s="44"/>
      <c r="AD8" s="44"/>
      <c r="AE8" s="44"/>
    </row>
    <row r="9" spans="1:31" s="41" customFormat="1" ht="13.5" customHeight="1">
      <c r="A9" s="323">
        <v>2010</v>
      </c>
      <c r="B9" s="2">
        <v>12374</v>
      </c>
      <c r="C9" s="1">
        <v>239</v>
      </c>
      <c r="D9" s="1">
        <v>6632</v>
      </c>
      <c r="E9" s="1">
        <v>2545</v>
      </c>
      <c r="F9" s="1">
        <v>2958</v>
      </c>
      <c r="G9" s="1">
        <v>12469</v>
      </c>
      <c r="H9" s="1">
        <v>764</v>
      </c>
      <c r="I9" s="1">
        <v>7848</v>
      </c>
      <c r="J9" s="1">
        <v>1611</v>
      </c>
      <c r="K9" s="18">
        <v>2246</v>
      </c>
      <c r="L9" s="5"/>
      <c r="M9" s="142"/>
      <c r="N9" s="142"/>
      <c r="O9" s="142"/>
      <c r="P9" s="142"/>
      <c r="Q9" s="142"/>
      <c r="R9" s="141"/>
      <c r="V9" s="44"/>
      <c r="W9" s="44"/>
      <c r="X9" s="44"/>
      <c r="Y9" s="44"/>
      <c r="Z9" s="44"/>
      <c r="AA9" s="44"/>
      <c r="AB9" s="44"/>
      <c r="AC9" s="44"/>
      <c r="AD9" s="44"/>
      <c r="AE9" s="44"/>
    </row>
    <row r="10" spans="1:31" s="41" customFormat="1" ht="13.5" customHeight="1">
      <c r="A10" s="323">
        <v>2011</v>
      </c>
      <c r="B10" s="2">
        <v>14562</v>
      </c>
      <c r="C10" s="1">
        <v>272</v>
      </c>
      <c r="D10" s="1">
        <v>8072</v>
      </c>
      <c r="E10" s="1">
        <v>2428</v>
      </c>
      <c r="F10" s="1">
        <v>3790</v>
      </c>
      <c r="G10" s="1">
        <v>14702</v>
      </c>
      <c r="H10" s="1">
        <v>991</v>
      </c>
      <c r="I10" s="1">
        <v>9249</v>
      </c>
      <c r="J10" s="1">
        <v>1714</v>
      </c>
      <c r="K10" s="18">
        <v>2748</v>
      </c>
      <c r="L10" s="5"/>
      <c r="M10" s="142"/>
      <c r="N10" s="142"/>
      <c r="O10" s="142"/>
      <c r="P10" s="142"/>
      <c r="Q10" s="142"/>
      <c r="R10" s="142"/>
      <c r="S10" s="142"/>
      <c r="V10" s="44"/>
      <c r="W10" s="44"/>
      <c r="X10" s="44"/>
      <c r="Y10" s="44"/>
      <c r="Z10" s="44"/>
      <c r="AA10" s="44"/>
      <c r="AB10" s="44"/>
      <c r="AC10" s="44"/>
      <c r="AD10" s="44"/>
      <c r="AE10" s="44"/>
    </row>
    <row r="11" spans="1:31" s="41" customFormat="1" ht="13.5" customHeight="1">
      <c r="A11" s="323">
        <v>2012</v>
      </c>
      <c r="B11" s="2">
        <v>13557</v>
      </c>
      <c r="C11" s="1">
        <v>170</v>
      </c>
      <c r="D11" s="1">
        <v>8574</v>
      </c>
      <c r="E11" s="1">
        <v>1705</v>
      </c>
      <c r="F11" s="1">
        <v>3107</v>
      </c>
      <c r="G11" s="1">
        <v>13774</v>
      </c>
      <c r="H11" s="1">
        <v>969</v>
      </c>
      <c r="I11" s="1">
        <v>8582</v>
      </c>
      <c r="J11" s="1">
        <v>1644</v>
      </c>
      <c r="K11" s="18">
        <v>2579</v>
      </c>
      <c r="L11" s="5"/>
      <c r="M11" s="142"/>
      <c r="N11" s="142"/>
      <c r="O11" s="142"/>
      <c r="P11" s="142"/>
      <c r="Q11" s="142"/>
      <c r="R11" s="142"/>
      <c r="S11" s="142"/>
      <c r="V11" s="44"/>
      <c r="W11" s="44"/>
      <c r="X11" s="44"/>
      <c r="Y11" s="44"/>
      <c r="Z11" s="44"/>
      <c r="AA11" s="44"/>
      <c r="AB11" s="44"/>
      <c r="AC11" s="44"/>
      <c r="AD11" s="44"/>
      <c r="AE11" s="44"/>
    </row>
    <row r="12" spans="1:31" s="41" customFormat="1" ht="13.5" customHeight="1">
      <c r="A12" s="323">
        <v>2013</v>
      </c>
      <c r="B12" s="2">
        <v>13263</v>
      </c>
      <c r="C12" s="1">
        <v>131</v>
      </c>
      <c r="D12" s="1">
        <v>8682</v>
      </c>
      <c r="E12" s="1">
        <v>1714</v>
      </c>
      <c r="F12" s="1">
        <v>2736</v>
      </c>
      <c r="G12" s="1">
        <v>13471</v>
      </c>
      <c r="H12" s="1">
        <v>876</v>
      </c>
      <c r="I12" s="1">
        <v>8327</v>
      </c>
      <c r="J12" s="1">
        <v>1733</v>
      </c>
      <c r="K12" s="18">
        <v>2534</v>
      </c>
      <c r="L12" s="5"/>
      <c r="M12" s="142"/>
      <c r="N12" s="142"/>
      <c r="O12" s="142"/>
      <c r="P12" s="142"/>
      <c r="Q12" s="142"/>
      <c r="R12" s="142"/>
      <c r="S12" s="142"/>
      <c r="V12" s="44"/>
      <c r="W12" s="44"/>
      <c r="X12" s="44"/>
      <c r="Y12" s="44"/>
      <c r="Z12" s="44"/>
      <c r="AA12" s="44"/>
      <c r="AB12" s="44"/>
      <c r="AC12" s="44"/>
      <c r="AD12" s="44"/>
      <c r="AE12" s="44"/>
    </row>
    <row r="13" spans="1:31" s="41" customFormat="1" ht="13.5" customHeight="1">
      <c r="A13" s="323">
        <v>2014</v>
      </c>
      <c r="B13" s="2">
        <v>14702</v>
      </c>
      <c r="C13" s="1">
        <v>152</v>
      </c>
      <c r="D13" s="1">
        <v>9727</v>
      </c>
      <c r="E13" s="1">
        <v>1914</v>
      </c>
      <c r="F13" s="1">
        <v>2910</v>
      </c>
      <c r="G13" s="1">
        <v>14894</v>
      </c>
      <c r="H13" s="1">
        <v>838</v>
      </c>
      <c r="I13" s="1">
        <v>8734</v>
      </c>
      <c r="J13" s="1">
        <v>2167</v>
      </c>
      <c r="K13" s="18">
        <v>3154</v>
      </c>
      <c r="L13" s="5"/>
      <c r="M13" s="142"/>
      <c r="N13" s="142"/>
      <c r="O13" s="142"/>
      <c r="P13" s="142"/>
      <c r="Q13" s="142"/>
      <c r="R13" s="142"/>
      <c r="S13" s="142"/>
      <c r="V13" s="44"/>
      <c r="W13" s="44"/>
      <c r="X13" s="44"/>
      <c r="Y13" s="44"/>
      <c r="Z13" s="44"/>
      <c r="AA13" s="44"/>
      <c r="AB13" s="44"/>
      <c r="AC13" s="44"/>
      <c r="AD13" s="44"/>
      <c r="AE13" s="44"/>
    </row>
    <row r="14" spans="1:31" s="41" customFormat="1" ht="13.5" customHeight="1">
      <c r="A14" s="323">
        <v>2015</v>
      </c>
      <c r="B14" s="2">
        <v>15579</v>
      </c>
      <c r="C14" s="1">
        <v>156</v>
      </c>
      <c r="D14" s="1">
        <v>9990</v>
      </c>
      <c r="E14" s="1">
        <v>1838</v>
      </c>
      <c r="F14" s="1">
        <v>3595</v>
      </c>
      <c r="G14" s="1">
        <v>14377</v>
      </c>
      <c r="H14" s="1">
        <v>592</v>
      </c>
      <c r="I14" s="1">
        <v>8261</v>
      </c>
      <c r="J14" s="1">
        <v>2123</v>
      </c>
      <c r="K14" s="18">
        <v>3401</v>
      </c>
      <c r="L14" s="5"/>
      <c r="M14" s="142"/>
      <c r="N14" s="142"/>
      <c r="O14" s="142"/>
      <c r="P14" s="142"/>
      <c r="Q14" s="142"/>
      <c r="R14" s="142"/>
      <c r="S14" s="142"/>
      <c r="V14" s="44"/>
      <c r="W14" s="44"/>
      <c r="X14" s="44"/>
      <c r="Y14" s="44"/>
      <c r="Z14" s="44"/>
      <c r="AA14" s="44"/>
      <c r="AB14" s="44"/>
      <c r="AC14" s="44"/>
      <c r="AD14" s="44"/>
      <c r="AE14" s="44"/>
    </row>
    <row r="15" spans="1:31" s="41" customFormat="1" ht="13.5" customHeight="1">
      <c r="A15" s="323">
        <v>2016</v>
      </c>
      <c r="B15" s="338">
        <v>14074</v>
      </c>
      <c r="C15" s="1">
        <v>126</v>
      </c>
      <c r="D15" s="1">
        <v>8406</v>
      </c>
      <c r="E15" s="1">
        <v>1785</v>
      </c>
      <c r="F15" s="1">
        <v>3758</v>
      </c>
      <c r="G15" s="1">
        <v>13560</v>
      </c>
      <c r="H15" s="1">
        <v>496</v>
      </c>
      <c r="I15" s="1">
        <v>7716</v>
      </c>
      <c r="J15" s="1">
        <v>1941</v>
      </c>
      <c r="K15" s="18">
        <v>3407</v>
      </c>
      <c r="L15" s="5"/>
      <c r="M15" s="142"/>
      <c r="N15" s="142"/>
      <c r="O15" s="142"/>
      <c r="P15" s="142"/>
      <c r="Q15" s="142"/>
      <c r="R15" s="142"/>
      <c r="S15" s="142"/>
      <c r="V15" s="44"/>
      <c r="W15" s="44"/>
      <c r="X15" s="44"/>
      <c r="Y15" s="44"/>
      <c r="Z15" s="44"/>
      <c r="AA15" s="44"/>
      <c r="AB15" s="44"/>
      <c r="AC15" s="44"/>
      <c r="AD15" s="44"/>
      <c r="AE15" s="44"/>
    </row>
    <row r="16" spans="1:31" s="41" customFormat="1" ht="13.5" customHeight="1">
      <c r="A16" s="323">
        <v>2017</v>
      </c>
      <c r="B16" s="2">
        <v>15064</v>
      </c>
      <c r="C16" s="1">
        <v>161</v>
      </c>
      <c r="D16" s="1">
        <v>8540</v>
      </c>
      <c r="E16" s="1">
        <v>1968</v>
      </c>
      <c r="F16" s="1">
        <v>4395</v>
      </c>
      <c r="G16" s="1">
        <v>14463</v>
      </c>
      <c r="H16" s="1">
        <v>670</v>
      </c>
      <c r="I16" s="1">
        <v>8408</v>
      </c>
      <c r="J16" s="1">
        <v>1779</v>
      </c>
      <c r="K16" s="18">
        <v>3607</v>
      </c>
      <c r="L16" s="5"/>
      <c r="M16" s="142"/>
      <c r="N16" s="142"/>
      <c r="O16" s="142"/>
      <c r="P16" s="142"/>
      <c r="Q16" s="142"/>
      <c r="R16" s="142"/>
      <c r="S16" s="142"/>
      <c r="V16" s="44"/>
      <c r="W16" s="44"/>
      <c r="X16" s="44"/>
      <c r="Y16" s="44"/>
      <c r="Z16" s="44"/>
      <c r="AA16" s="44"/>
      <c r="AB16" s="44"/>
      <c r="AC16" s="44"/>
      <c r="AD16" s="44"/>
      <c r="AE16" s="44"/>
    </row>
    <row r="17" spans="1:31" s="41" customFormat="1" ht="13.5" customHeight="1">
      <c r="A17" s="323">
        <v>2018</v>
      </c>
      <c r="B17" s="2">
        <v>14407</v>
      </c>
      <c r="C17" s="1">
        <v>133</v>
      </c>
      <c r="D17" s="1">
        <v>8677</v>
      </c>
      <c r="E17" s="1">
        <v>1824</v>
      </c>
      <c r="F17" s="1">
        <v>3774</v>
      </c>
      <c r="G17" s="1">
        <v>14799</v>
      </c>
      <c r="H17" s="1">
        <v>713</v>
      </c>
      <c r="I17" s="1">
        <v>8413</v>
      </c>
      <c r="J17" s="1">
        <v>1721</v>
      </c>
      <c r="K17" s="18">
        <v>3952</v>
      </c>
      <c r="L17" s="5"/>
      <c r="M17" s="142"/>
      <c r="N17" s="142"/>
      <c r="O17" s="142"/>
      <c r="P17" s="142"/>
      <c r="Q17" s="142"/>
      <c r="R17" s="142"/>
      <c r="S17" s="142"/>
      <c r="V17" s="44"/>
      <c r="W17" s="44"/>
      <c r="X17" s="44"/>
      <c r="Y17" s="44"/>
      <c r="Z17" s="44"/>
      <c r="AA17" s="44"/>
      <c r="AB17" s="44"/>
      <c r="AC17" s="44"/>
      <c r="AD17" s="44"/>
      <c r="AE17" s="44"/>
    </row>
    <row r="18" spans="1:31" s="41" customFormat="1" ht="13.5" customHeight="1">
      <c r="A18" s="323">
        <v>2019</v>
      </c>
      <c r="B18" s="2">
        <v>13924</v>
      </c>
      <c r="C18" s="1">
        <v>263</v>
      </c>
      <c r="D18" s="1">
        <v>8562</v>
      </c>
      <c r="E18" s="1">
        <v>1897</v>
      </c>
      <c r="F18" s="1">
        <v>3202</v>
      </c>
      <c r="G18" s="1">
        <v>13798</v>
      </c>
      <c r="H18" s="1">
        <v>859</v>
      </c>
      <c r="I18" s="1">
        <v>7611</v>
      </c>
      <c r="J18" s="1">
        <v>1444</v>
      </c>
      <c r="K18" s="18">
        <v>3884</v>
      </c>
      <c r="L18" s="5"/>
      <c r="M18" s="142"/>
      <c r="N18" s="142"/>
      <c r="O18" s="142"/>
      <c r="P18" s="142"/>
      <c r="Q18" s="142"/>
      <c r="R18" s="142"/>
      <c r="S18" s="142"/>
      <c r="T18" s="142"/>
      <c r="U18" s="142"/>
      <c r="V18" s="332"/>
      <c r="W18" s="332"/>
      <c r="X18" s="332"/>
      <c r="Y18" s="332"/>
      <c r="Z18" s="332"/>
      <c r="AA18" s="332"/>
      <c r="AB18" s="44"/>
      <c r="AC18" s="44"/>
      <c r="AD18" s="44"/>
      <c r="AE18" s="44"/>
    </row>
    <row r="19" spans="1:31" s="41" customFormat="1" ht="13.5" customHeight="1">
      <c r="A19" s="323">
        <v>2020</v>
      </c>
      <c r="B19" s="2">
        <v>11320</v>
      </c>
      <c r="C19" s="1">
        <v>362</v>
      </c>
      <c r="D19" s="1">
        <v>7614</v>
      </c>
      <c r="E19" s="1">
        <v>1441</v>
      </c>
      <c r="F19" s="1">
        <v>1902</v>
      </c>
      <c r="G19" s="1">
        <v>12368</v>
      </c>
      <c r="H19" s="1">
        <v>703</v>
      </c>
      <c r="I19" s="1">
        <v>6288</v>
      </c>
      <c r="J19" s="1">
        <v>1606</v>
      </c>
      <c r="K19" s="18">
        <v>3771</v>
      </c>
      <c r="L19" s="5"/>
      <c r="M19" s="142"/>
      <c r="N19" s="142"/>
      <c r="O19" s="142"/>
      <c r="P19" s="142"/>
      <c r="Q19" s="142"/>
      <c r="R19" s="142"/>
      <c r="S19" s="142"/>
      <c r="T19" s="142"/>
      <c r="U19" s="142"/>
      <c r="V19" s="332"/>
      <c r="W19" s="332"/>
      <c r="X19" s="332"/>
      <c r="Y19" s="332"/>
      <c r="Z19" s="332"/>
      <c r="AA19" s="332"/>
      <c r="AB19" s="44"/>
      <c r="AC19" s="44"/>
      <c r="AD19" s="44"/>
      <c r="AE19" s="44"/>
    </row>
    <row r="20" spans="1:31" s="41" customFormat="1" ht="13.5" customHeight="1">
      <c r="A20" s="323">
        <v>2021</v>
      </c>
      <c r="B20" s="2">
        <v>14816</v>
      </c>
      <c r="C20" s="1">
        <v>457</v>
      </c>
      <c r="D20" s="1">
        <v>9130</v>
      </c>
      <c r="E20" s="1">
        <v>1860</v>
      </c>
      <c r="F20" s="1">
        <v>3369</v>
      </c>
      <c r="G20" s="1">
        <v>15383</v>
      </c>
      <c r="H20" s="1">
        <v>1081</v>
      </c>
      <c r="I20" s="1">
        <v>8178</v>
      </c>
      <c r="J20" s="1">
        <v>1978</v>
      </c>
      <c r="K20" s="18">
        <v>4148</v>
      </c>
      <c r="L20" s="5"/>
      <c r="M20" s="142"/>
      <c r="N20" s="142"/>
      <c r="O20" s="142"/>
      <c r="P20" s="142"/>
      <c r="Q20" s="142"/>
      <c r="R20" s="142"/>
      <c r="S20" s="142"/>
      <c r="T20" s="142"/>
      <c r="U20" s="142"/>
      <c r="V20" s="332"/>
      <c r="W20" s="332"/>
      <c r="X20" s="332"/>
      <c r="Y20" s="332"/>
      <c r="Z20" s="332"/>
      <c r="AA20" s="332"/>
      <c r="AB20" s="44"/>
      <c r="AC20" s="44"/>
      <c r="AD20" s="44"/>
      <c r="AE20" s="44"/>
    </row>
    <row r="21" spans="1:31" s="41" customFormat="1" ht="13.5" customHeight="1">
      <c r="A21" s="323">
        <v>2022</v>
      </c>
      <c r="B21" s="2">
        <v>16190</v>
      </c>
      <c r="C21" s="1">
        <v>473</v>
      </c>
      <c r="D21" s="1">
        <v>9569</v>
      </c>
      <c r="E21" s="1">
        <v>1903</v>
      </c>
      <c r="F21" s="1">
        <v>4244</v>
      </c>
      <c r="G21" s="1">
        <v>16817</v>
      </c>
      <c r="H21" s="1">
        <v>1242</v>
      </c>
      <c r="I21" s="1">
        <v>8749</v>
      </c>
      <c r="J21" s="1">
        <v>2148</v>
      </c>
      <c r="K21" s="18">
        <v>4677</v>
      </c>
      <c r="L21" s="5"/>
      <c r="M21" s="142"/>
      <c r="N21" s="142"/>
      <c r="O21" s="142"/>
      <c r="P21" s="142"/>
      <c r="Q21" s="142"/>
      <c r="R21" s="142"/>
      <c r="S21" s="142"/>
      <c r="T21" s="142"/>
      <c r="U21" s="142"/>
      <c r="V21" s="332"/>
      <c r="W21" s="332"/>
      <c r="X21" s="332"/>
      <c r="Y21" s="332"/>
      <c r="Z21" s="332"/>
      <c r="AA21" s="332"/>
      <c r="AB21" s="44"/>
      <c r="AC21" s="44"/>
      <c r="AD21" s="44"/>
      <c r="AE21" s="44"/>
    </row>
    <row r="22" spans="1:31" s="41" customFormat="1" ht="13.5" customHeight="1">
      <c r="A22" s="323">
        <v>2023</v>
      </c>
      <c r="B22" s="2">
        <v>15111</v>
      </c>
      <c r="C22" s="1">
        <v>477</v>
      </c>
      <c r="D22" s="1">
        <v>8963</v>
      </c>
      <c r="E22" s="1">
        <v>2164</v>
      </c>
      <c r="F22" s="1">
        <v>3507</v>
      </c>
      <c r="G22" s="1">
        <v>14961</v>
      </c>
      <c r="H22" s="1">
        <v>1087</v>
      </c>
      <c r="I22" s="1">
        <v>7981</v>
      </c>
      <c r="J22" s="1">
        <v>1647</v>
      </c>
      <c r="K22" s="18">
        <v>4246</v>
      </c>
      <c r="L22" s="5"/>
      <c r="M22" s="142"/>
      <c r="N22" s="142"/>
      <c r="O22" s="142"/>
      <c r="P22" s="142"/>
      <c r="Q22" s="142"/>
      <c r="R22" s="142"/>
      <c r="S22" s="142"/>
      <c r="T22" s="142"/>
      <c r="U22" s="142"/>
      <c r="V22" s="332"/>
      <c r="W22" s="332"/>
      <c r="X22" s="332"/>
      <c r="Y22" s="332"/>
      <c r="Z22" s="332"/>
      <c r="AA22" s="332"/>
      <c r="AB22" s="44"/>
      <c r="AC22" s="44"/>
      <c r="AD22" s="44"/>
      <c r="AE22" s="44"/>
    </row>
    <row r="23" spans="1:31" s="397" customFormat="1" ht="13.5" customHeight="1">
      <c r="A23" s="323">
        <v>2024</v>
      </c>
      <c r="B23" s="393">
        <v>14596</v>
      </c>
      <c r="C23" s="1">
        <v>293</v>
      </c>
      <c r="D23" s="1">
        <v>8945</v>
      </c>
      <c r="E23" s="1">
        <v>2246</v>
      </c>
      <c r="F23" s="1">
        <v>3111</v>
      </c>
      <c r="G23" s="1">
        <v>15261</v>
      </c>
      <c r="H23" s="1">
        <v>727</v>
      </c>
      <c r="I23" s="1">
        <v>8461</v>
      </c>
      <c r="J23" s="1">
        <v>2167</v>
      </c>
      <c r="K23" s="18">
        <v>3906</v>
      </c>
      <c r="L23" s="394"/>
      <c r="M23" s="142"/>
      <c r="N23" s="142"/>
      <c r="O23" s="142"/>
      <c r="P23" s="142"/>
      <c r="Q23" s="142"/>
      <c r="R23" s="142"/>
      <c r="S23" s="142"/>
      <c r="T23" s="142"/>
      <c r="U23" s="142"/>
      <c r="V23" s="332"/>
      <c r="W23" s="332"/>
      <c r="X23" s="332"/>
      <c r="Y23" s="332"/>
      <c r="Z23" s="332"/>
      <c r="AA23" s="332"/>
      <c r="AB23" s="44"/>
      <c r="AC23" s="44"/>
      <c r="AD23" s="44"/>
      <c r="AE23" s="44"/>
    </row>
    <row r="24" spans="1:31" s="397" customFormat="1" ht="13.5" customHeight="1">
      <c r="A24" s="323">
        <v>2025</v>
      </c>
      <c r="B24" s="393">
        <v>14228</v>
      </c>
      <c r="C24" s="1">
        <v>361</v>
      </c>
      <c r="D24" s="1">
        <v>8583</v>
      </c>
      <c r="E24" s="1">
        <v>2287</v>
      </c>
      <c r="F24" s="1">
        <v>2998</v>
      </c>
      <c r="G24" s="1">
        <v>14886</v>
      </c>
      <c r="H24" s="1">
        <v>711</v>
      </c>
      <c r="I24" s="1">
        <v>7885</v>
      </c>
      <c r="J24" s="1">
        <v>2221</v>
      </c>
      <c r="K24" s="18">
        <v>4070</v>
      </c>
      <c r="L24" s="394"/>
      <c r="M24" s="142"/>
      <c r="N24" s="142"/>
      <c r="O24" s="142"/>
      <c r="P24" s="142"/>
      <c r="Q24" s="142"/>
      <c r="R24" s="142"/>
      <c r="S24" s="142"/>
      <c r="T24" s="142"/>
      <c r="U24" s="142"/>
      <c r="V24" s="332"/>
      <c r="W24" s="332"/>
      <c r="X24" s="332"/>
      <c r="Y24" s="332"/>
      <c r="Z24" s="332"/>
      <c r="AA24" s="332"/>
      <c r="AB24" s="44"/>
      <c r="AC24" s="44"/>
      <c r="AD24" s="44"/>
      <c r="AE24" s="44"/>
    </row>
    <row r="25" spans="1:31" s="41" customFormat="1" ht="13.5" customHeight="1">
      <c r="A25" s="322"/>
      <c r="B25" s="2"/>
      <c r="C25" s="1"/>
      <c r="D25" s="1"/>
      <c r="E25" s="1"/>
      <c r="F25" s="1"/>
      <c r="G25" s="1"/>
      <c r="H25" s="1"/>
      <c r="I25" s="1"/>
      <c r="J25" s="1"/>
      <c r="K25" s="18"/>
      <c r="L25" s="5"/>
      <c r="M25" s="142"/>
      <c r="N25" s="142"/>
      <c r="O25" s="142"/>
      <c r="P25" s="142"/>
      <c r="Q25" s="142"/>
      <c r="R25" s="142"/>
      <c r="S25" s="142"/>
      <c r="T25" s="142"/>
      <c r="U25" s="142"/>
      <c r="V25" s="332"/>
      <c r="W25" s="332"/>
      <c r="X25" s="332"/>
      <c r="Y25" s="332"/>
      <c r="Z25" s="332"/>
      <c r="AA25" s="332"/>
      <c r="AB25" s="44"/>
      <c r="AC25" s="44"/>
      <c r="AD25" s="44"/>
      <c r="AE25" s="44"/>
    </row>
    <row r="26" spans="1:31" s="41" customFormat="1" ht="13.5" customHeight="1">
      <c r="A26" s="321"/>
      <c r="B26" s="24"/>
      <c r="C26" s="2"/>
      <c r="D26" s="2"/>
      <c r="E26" s="2"/>
      <c r="F26" s="2"/>
      <c r="G26" s="2"/>
      <c r="H26" s="2"/>
      <c r="I26" s="2"/>
      <c r="J26" s="2"/>
      <c r="K26" s="6"/>
      <c r="L26" s="4"/>
      <c r="M26" s="144"/>
      <c r="N26" s="144"/>
      <c r="O26" s="144"/>
      <c r="P26" s="145"/>
      <c r="Q26" s="144"/>
      <c r="R26" s="142"/>
      <c r="S26" s="142"/>
      <c r="T26" s="142"/>
      <c r="U26" s="142"/>
      <c r="V26" s="332"/>
      <c r="W26" s="332"/>
      <c r="X26" s="332"/>
      <c r="Y26" s="332"/>
      <c r="Z26" s="332"/>
      <c r="AA26" s="332"/>
      <c r="AB26" s="332"/>
      <c r="AC26" s="332"/>
      <c r="AD26" s="332"/>
      <c r="AE26" s="44"/>
    </row>
    <row r="27" spans="1:31" s="115" customFormat="1">
      <c r="A27" s="337">
        <v>44562</v>
      </c>
      <c r="B27" s="344">
        <v>1296</v>
      </c>
      <c r="C27" s="2">
        <v>11</v>
      </c>
      <c r="D27" s="2">
        <v>815</v>
      </c>
      <c r="E27" s="2">
        <v>136</v>
      </c>
      <c r="F27" s="2">
        <v>334</v>
      </c>
      <c r="G27" s="2">
        <v>1220</v>
      </c>
      <c r="H27" s="2">
        <v>64</v>
      </c>
      <c r="I27" s="2">
        <v>643</v>
      </c>
      <c r="J27" s="6">
        <v>141</v>
      </c>
      <c r="K27" s="6">
        <v>373</v>
      </c>
      <c r="L27" s="113"/>
      <c r="M27" s="144"/>
      <c r="N27" s="144"/>
      <c r="O27" s="144"/>
      <c r="P27" s="145"/>
      <c r="Q27" s="144"/>
      <c r="R27" s="142"/>
      <c r="S27" s="142"/>
      <c r="T27" s="142"/>
      <c r="U27" s="142"/>
      <c r="V27" s="332"/>
      <c r="W27" s="332"/>
      <c r="X27" s="332"/>
      <c r="Y27" s="332"/>
      <c r="Z27" s="332"/>
      <c r="AA27" s="332"/>
      <c r="AB27" s="332"/>
      <c r="AC27" s="332"/>
      <c r="AD27" s="332"/>
      <c r="AE27" s="333"/>
    </row>
    <row r="28" spans="1:31" s="115" customFormat="1">
      <c r="A28" s="337">
        <v>44593</v>
      </c>
      <c r="B28" s="344">
        <v>1308</v>
      </c>
      <c r="C28" s="2">
        <v>87</v>
      </c>
      <c r="D28" s="2">
        <v>741</v>
      </c>
      <c r="E28" s="2">
        <v>139</v>
      </c>
      <c r="F28" s="2">
        <v>341</v>
      </c>
      <c r="G28" s="2">
        <v>1267</v>
      </c>
      <c r="H28" s="2">
        <v>136</v>
      </c>
      <c r="I28" s="2">
        <v>642</v>
      </c>
      <c r="J28" s="6">
        <v>151</v>
      </c>
      <c r="K28" s="6">
        <v>337</v>
      </c>
      <c r="L28" s="113"/>
      <c r="M28" s="144"/>
      <c r="N28" s="144"/>
      <c r="O28" s="144"/>
      <c r="P28" s="145"/>
      <c r="Q28" s="144"/>
      <c r="R28" s="142"/>
      <c r="S28" s="142"/>
      <c r="T28" s="142"/>
      <c r="U28" s="142"/>
      <c r="V28" s="332"/>
      <c r="W28" s="332"/>
      <c r="X28" s="332"/>
      <c r="Y28" s="332"/>
      <c r="Z28" s="332"/>
      <c r="AA28" s="332"/>
      <c r="AB28" s="332"/>
      <c r="AC28" s="332"/>
      <c r="AD28" s="332"/>
      <c r="AE28" s="333"/>
    </row>
    <row r="29" spans="1:31" s="115" customFormat="1">
      <c r="A29" s="337">
        <v>44621</v>
      </c>
      <c r="B29" s="344">
        <v>1398</v>
      </c>
      <c r="C29" s="2">
        <v>10</v>
      </c>
      <c r="D29" s="2">
        <v>901</v>
      </c>
      <c r="E29" s="2">
        <v>191</v>
      </c>
      <c r="F29" s="2">
        <v>295</v>
      </c>
      <c r="G29" s="2">
        <v>1562</v>
      </c>
      <c r="H29" s="2">
        <v>105</v>
      </c>
      <c r="I29" s="2">
        <v>848</v>
      </c>
      <c r="J29" s="6">
        <v>180</v>
      </c>
      <c r="K29" s="6">
        <v>429</v>
      </c>
      <c r="L29" s="113"/>
      <c r="M29" s="144"/>
      <c r="N29" s="144"/>
      <c r="O29" s="144"/>
      <c r="P29" s="145"/>
      <c r="Q29" s="144"/>
      <c r="R29" s="142"/>
      <c r="S29" s="142"/>
      <c r="T29" s="142"/>
      <c r="U29" s="142"/>
      <c r="V29" s="332"/>
      <c r="W29" s="332"/>
      <c r="X29" s="332"/>
      <c r="Y29" s="332"/>
      <c r="Z29" s="332"/>
      <c r="AA29" s="332"/>
      <c r="AB29" s="332"/>
      <c r="AC29" s="332"/>
      <c r="AD29" s="332"/>
      <c r="AE29" s="333"/>
    </row>
    <row r="30" spans="1:31" s="115" customFormat="1">
      <c r="A30" s="337">
        <v>44652</v>
      </c>
      <c r="B30" s="344">
        <v>1562</v>
      </c>
      <c r="C30" s="2">
        <v>41</v>
      </c>
      <c r="D30" s="2">
        <v>829</v>
      </c>
      <c r="E30" s="2">
        <v>147</v>
      </c>
      <c r="F30" s="2">
        <v>545</v>
      </c>
      <c r="G30" s="2">
        <v>1466</v>
      </c>
      <c r="H30" s="2">
        <v>132</v>
      </c>
      <c r="I30" s="2">
        <v>739</v>
      </c>
      <c r="J30" s="6">
        <v>155</v>
      </c>
      <c r="K30" s="6">
        <v>440</v>
      </c>
      <c r="L30" s="113"/>
      <c r="M30" s="144"/>
      <c r="N30" s="144"/>
      <c r="O30" s="144"/>
      <c r="P30" s="145"/>
      <c r="Q30" s="144"/>
      <c r="R30" s="142"/>
      <c r="S30" s="142"/>
      <c r="T30" s="142"/>
      <c r="U30" s="142"/>
      <c r="V30" s="332"/>
      <c r="W30" s="332"/>
      <c r="X30" s="332"/>
      <c r="Y30" s="332"/>
      <c r="Z30" s="332"/>
      <c r="AA30" s="332"/>
      <c r="AB30" s="332"/>
      <c r="AC30" s="332"/>
      <c r="AD30" s="332"/>
      <c r="AE30" s="333"/>
    </row>
    <row r="31" spans="1:31" s="115" customFormat="1">
      <c r="A31" s="337">
        <v>44682</v>
      </c>
      <c r="B31" s="344">
        <v>1421</v>
      </c>
      <c r="C31" s="2">
        <v>71</v>
      </c>
      <c r="D31" s="2">
        <v>901</v>
      </c>
      <c r="E31" s="2">
        <v>167</v>
      </c>
      <c r="F31" s="2">
        <v>282</v>
      </c>
      <c r="G31" s="2">
        <v>1561</v>
      </c>
      <c r="H31" s="2">
        <v>121</v>
      </c>
      <c r="I31" s="2">
        <v>845</v>
      </c>
      <c r="J31" s="6">
        <v>174</v>
      </c>
      <c r="K31" s="6">
        <v>420</v>
      </c>
      <c r="L31" s="113"/>
      <c r="M31" s="144"/>
      <c r="N31" s="144"/>
      <c r="O31" s="144"/>
      <c r="P31" s="145"/>
      <c r="Q31" s="144"/>
      <c r="R31" s="142"/>
      <c r="S31" s="142"/>
      <c r="T31" s="142"/>
      <c r="U31" s="142"/>
      <c r="V31" s="332"/>
      <c r="W31" s="332"/>
      <c r="X31" s="332"/>
      <c r="Y31" s="332"/>
      <c r="Z31" s="332"/>
      <c r="AA31" s="332"/>
      <c r="AB31" s="332"/>
      <c r="AC31" s="332"/>
      <c r="AD31" s="332"/>
      <c r="AE31" s="333"/>
    </row>
    <row r="32" spans="1:31" s="115" customFormat="1">
      <c r="A32" s="337">
        <v>44713</v>
      </c>
      <c r="B32" s="344">
        <v>1232</v>
      </c>
      <c r="C32" s="2">
        <v>11</v>
      </c>
      <c r="D32" s="2">
        <v>816</v>
      </c>
      <c r="E32" s="2">
        <v>149</v>
      </c>
      <c r="F32" s="2">
        <v>255</v>
      </c>
      <c r="G32" s="2">
        <v>1506</v>
      </c>
      <c r="H32" s="2">
        <v>82</v>
      </c>
      <c r="I32" s="2">
        <v>784</v>
      </c>
      <c r="J32" s="6">
        <v>273</v>
      </c>
      <c r="K32" s="6">
        <v>367</v>
      </c>
      <c r="L32" s="113"/>
      <c r="M32" s="144"/>
      <c r="N32" s="144"/>
      <c r="O32" s="144"/>
      <c r="P32" s="145"/>
      <c r="Q32" s="144"/>
      <c r="R32" s="142"/>
      <c r="S32" s="142"/>
      <c r="T32" s="142"/>
      <c r="U32" s="142"/>
      <c r="V32" s="332"/>
      <c r="W32" s="332"/>
      <c r="X32" s="332"/>
      <c r="Y32" s="332"/>
      <c r="Z32" s="332"/>
      <c r="AA32" s="332"/>
      <c r="AB32" s="332"/>
      <c r="AC32" s="332"/>
      <c r="AD32" s="332"/>
      <c r="AE32" s="333"/>
    </row>
    <row r="33" spans="1:34" s="115" customFormat="1">
      <c r="A33" s="337">
        <v>44743</v>
      </c>
      <c r="B33" s="344">
        <v>1409</v>
      </c>
      <c r="C33" s="2">
        <v>38</v>
      </c>
      <c r="D33" s="2">
        <v>812</v>
      </c>
      <c r="E33" s="2">
        <v>151</v>
      </c>
      <c r="F33" s="2">
        <v>408</v>
      </c>
      <c r="G33" s="2">
        <v>1484</v>
      </c>
      <c r="H33" s="2">
        <v>111</v>
      </c>
      <c r="I33" s="2">
        <v>796</v>
      </c>
      <c r="J33" s="6">
        <v>189</v>
      </c>
      <c r="K33" s="6">
        <v>388</v>
      </c>
      <c r="L33" s="113"/>
      <c r="M33" s="144"/>
      <c r="N33" s="144"/>
      <c r="O33" s="144"/>
      <c r="P33" s="145"/>
      <c r="Q33" s="144"/>
      <c r="R33" s="142"/>
      <c r="S33" s="142"/>
      <c r="T33" s="142"/>
      <c r="U33" s="142"/>
      <c r="V33" s="332"/>
      <c r="W33" s="332"/>
      <c r="X33" s="332"/>
      <c r="Y33" s="332"/>
      <c r="Z33" s="332"/>
      <c r="AA33" s="332"/>
      <c r="AB33" s="332"/>
      <c r="AC33" s="332"/>
      <c r="AD33" s="332"/>
      <c r="AE33" s="333"/>
    </row>
    <row r="34" spans="1:34" s="115" customFormat="1">
      <c r="A34" s="337">
        <v>44774</v>
      </c>
      <c r="B34" s="344">
        <v>1284</v>
      </c>
      <c r="C34" s="2">
        <v>42</v>
      </c>
      <c r="D34" s="2">
        <v>790</v>
      </c>
      <c r="E34" s="2">
        <v>147</v>
      </c>
      <c r="F34" s="2">
        <v>305</v>
      </c>
      <c r="G34" s="2">
        <v>1414</v>
      </c>
      <c r="H34" s="2">
        <v>91</v>
      </c>
      <c r="I34" s="2">
        <v>716</v>
      </c>
      <c r="J34" s="6">
        <v>183</v>
      </c>
      <c r="K34" s="6">
        <v>425</v>
      </c>
      <c r="L34" s="113"/>
      <c r="M34" s="144"/>
      <c r="N34" s="144"/>
      <c r="O34" s="144"/>
      <c r="P34" s="145"/>
      <c r="Q34" s="144"/>
      <c r="R34" s="142"/>
      <c r="S34" s="142"/>
      <c r="T34" s="142"/>
      <c r="U34" s="142"/>
      <c r="V34" s="332"/>
      <c r="W34" s="332"/>
      <c r="X34" s="332"/>
      <c r="Y34" s="332"/>
      <c r="Z34" s="332"/>
      <c r="AA34" s="332"/>
      <c r="AB34" s="332"/>
      <c r="AC34" s="332"/>
      <c r="AD34" s="332"/>
      <c r="AE34" s="333"/>
    </row>
    <row r="35" spans="1:34" s="115" customFormat="1">
      <c r="A35" s="337">
        <v>44805</v>
      </c>
      <c r="B35" s="344">
        <v>1424</v>
      </c>
      <c r="C35" s="2">
        <v>60</v>
      </c>
      <c r="D35" s="2">
        <v>750</v>
      </c>
      <c r="E35" s="2">
        <v>164</v>
      </c>
      <c r="F35" s="2">
        <v>451</v>
      </c>
      <c r="G35" s="2">
        <v>1291</v>
      </c>
      <c r="H35" s="2">
        <v>102</v>
      </c>
      <c r="I35" s="2">
        <v>651</v>
      </c>
      <c r="J35" s="6">
        <v>189</v>
      </c>
      <c r="K35" s="6">
        <v>348</v>
      </c>
      <c r="L35" s="113"/>
      <c r="M35" s="144"/>
      <c r="N35" s="144"/>
      <c r="O35" s="144"/>
      <c r="P35" s="145"/>
      <c r="Q35" s="144"/>
      <c r="R35" s="142"/>
      <c r="S35" s="142"/>
      <c r="T35" s="142"/>
      <c r="U35" s="142"/>
      <c r="V35" s="332"/>
      <c r="W35" s="332"/>
      <c r="X35" s="332"/>
      <c r="Y35" s="332"/>
      <c r="Z35" s="332"/>
      <c r="AA35" s="332"/>
      <c r="AB35" s="332"/>
      <c r="AC35" s="332"/>
      <c r="AD35" s="332"/>
      <c r="AE35" s="333"/>
    </row>
    <row r="36" spans="1:34" s="115" customFormat="1">
      <c r="A36" s="337">
        <v>44835</v>
      </c>
      <c r="B36" s="344">
        <v>1256</v>
      </c>
      <c r="C36" s="2">
        <v>14</v>
      </c>
      <c r="D36" s="2">
        <v>717</v>
      </c>
      <c r="E36" s="2">
        <v>155</v>
      </c>
      <c r="F36" s="2">
        <v>370</v>
      </c>
      <c r="G36" s="2">
        <v>1318</v>
      </c>
      <c r="H36" s="2">
        <v>96</v>
      </c>
      <c r="I36" s="2">
        <v>696</v>
      </c>
      <c r="J36" s="6">
        <v>160</v>
      </c>
      <c r="K36" s="6">
        <v>367</v>
      </c>
      <c r="L36" s="113"/>
      <c r="M36" s="144"/>
      <c r="N36" s="144"/>
      <c r="O36" s="144"/>
      <c r="P36" s="145"/>
      <c r="Q36" s="144"/>
      <c r="R36" s="142"/>
      <c r="S36" s="142"/>
      <c r="T36" s="142"/>
      <c r="U36" s="142"/>
      <c r="V36" s="332"/>
      <c r="W36" s="332"/>
      <c r="X36" s="332"/>
      <c r="Y36" s="332"/>
      <c r="Z36" s="332"/>
      <c r="AA36" s="332"/>
      <c r="AB36" s="332"/>
      <c r="AC36" s="332"/>
      <c r="AD36" s="332"/>
      <c r="AE36" s="333"/>
    </row>
    <row r="37" spans="1:34" s="115" customFormat="1">
      <c r="A37" s="337">
        <v>44866</v>
      </c>
      <c r="B37" s="343">
        <v>1287</v>
      </c>
      <c r="C37" s="24">
        <v>57</v>
      </c>
      <c r="D37" s="24">
        <v>712</v>
      </c>
      <c r="E37" s="24">
        <v>143</v>
      </c>
      <c r="F37" s="24">
        <v>374</v>
      </c>
      <c r="G37" s="24">
        <v>1340</v>
      </c>
      <c r="H37" s="24">
        <v>108</v>
      </c>
      <c r="I37" s="24">
        <v>704</v>
      </c>
      <c r="J37" s="365">
        <v>163</v>
      </c>
      <c r="K37" s="365">
        <v>365</v>
      </c>
      <c r="L37" s="113"/>
      <c r="M37" s="144"/>
      <c r="N37" s="144"/>
      <c r="O37" s="144"/>
      <c r="P37" s="145"/>
      <c r="Q37" s="144"/>
      <c r="R37" s="142"/>
      <c r="S37" s="142"/>
      <c r="T37" s="142"/>
      <c r="U37" s="142"/>
      <c r="V37" s="332"/>
      <c r="W37" s="332"/>
      <c r="X37" s="332"/>
      <c r="Y37" s="332"/>
      <c r="Z37" s="332"/>
      <c r="AA37" s="332"/>
      <c r="AB37" s="332"/>
      <c r="AC37" s="332"/>
      <c r="AD37" s="332"/>
      <c r="AE37" s="332"/>
      <c r="AF37" s="332"/>
      <c r="AG37" s="332"/>
      <c r="AH37" s="332"/>
    </row>
    <row r="38" spans="1:34" s="115" customFormat="1">
      <c r="A38" s="337">
        <v>44896</v>
      </c>
      <c r="B38" s="343">
        <v>1315</v>
      </c>
      <c r="C38" s="24">
        <v>31</v>
      </c>
      <c r="D38" s="24">
        <v>783</v>
      </c>
      <c r="E38" s="24">
        <v>215</v>
      </c>
      <c r="F38" s="24">
        <v>285</v>
      </c>
      <c r="G38" s="24">
        <v>1388</v>
      </c>
      <c r="H38" s="24">
        <v>95</v>
      </c>
      <c r="I38" s="24">
        <v>685</v>
      </c>
      <c r="J38" s="365">
        <v>190</v>
      </c>
      <c r="K38" s="365">
        <v>418</v>
      </c>
      <c r="L38" s="113"/>
      <c r="M38" s="144"/>
      <c r="N38" s="144"/>
      <c r="O38" s="144"/>
      <c r="P38" s="145"/>
      <c r="Q38" s="144"/>
      <c r="R38" s="142"/>
      <c r="S38" s="142"/>
      <c r="T38" s="142"/>
      <c r="U38" s="142"/>
      <c r="V38" s="332"/>
      <c r="W38" s="332"/>
      <c r="X38" s="332"/>
      <c r="Y38" s="332"/>
      <c r="Z38" s="332"/>
      <c r="AA38" s="332"/>
      <c r="AB38" s="332"/>
      <c r="AC38" s="332"/>
      <c r="AD38" s="332"/>
      <c r="AE38" s="332"/>
      <c r="AF38" s="332"/>
      <c r="AG38" s="332"/>
      <c r="AH38" s="332"/>
    </row>
    <row r="39" spans="1:34" s="115" customFormat="1">
      <c r="A39" s="337">
        <v>44927</v>
      </c>
      <c r="B39" s="343">
        <v>1153</v>
      </c>
      <c r="C39" s="24">
        <v>35</v>
      </c>
      <c r="D39" s="24">
        <v>664</v>
      </c>
      <c r="E39" s="24">
        <v>174</v>
      </c>
      <c r="F39" s="24">
        <v>281</v>
      </c>
      <c r="G39" s="24">
        <v>1383</v>
      </c>
      <c r="H39" s="24">
        <v>104</v>
      </c>
      <c r="I39" s="24">
        <v>708</v>
      </c>
      <c r="J39" s="365">
        <v>126</v>
      </c>
      <c r="K39" s="365">
        <v>446</v>
      </c>
      <c r="L39" s="113"/>
      <c r="M39" s="144"/>
      <c r="N39" s="144"/>
      <c r="O39" s="144"/>
      <c r="P39" s="145"/>
      <c r="Q39" s="144"/>
      <c r="R39" s="142"/>
      <c r="S39" s="142"/>
      <c r="T39" s="142"/>
      <c r="U39" s="142"/>
      <c r="V39" s="332"/>
      <c r="W39" s="332"/>
      <c r="X39" s="332"/>
      <c r="Y39" s="332"/>
      <c r="Z39" s="332"/>
      <c r="AA39" s="332"/>
      <c r="AB39" s="332"/>
      <c r="AC39" s="332"/>
      <c r="AD39" s="332"/>
      <c r="AE39" s="332"/>
      <c r="AF39" s="332"/>
      <c r="AG39" s="332"/>
      <c r="AH39" s="332"/>
    </row>
    <row r="40" spans="1:34" s="115" customFormat="1">
      <c r="A40" s="337">
        <v>44958</v>
      </c>
      <c r="B40" s="343">
        <v>1170</v>
      </c>
      <c r="C40" s="24">
        <v>31</v>
      </c>
      <c r="D40" s="24">
        <v>722</v>
      </c>
      <c r="E40" s="24">
        <v>156</v>
      </c>
      <c r="F40" s="24">
        <v>261</v>
      </c>
      <c r="G40" s="24">
        <v>1257</v>
      </c>
      <c r="H40" s="24">
        <v>76</v>
      </c>
      <c r="I40" s="24">
        <v>721</v>
      </c>
      <c r="J40" s="365">
        <v>121</v>
      </c>
      <c r="K40" s="365">
        <v>338</v>
      </c>
      <c r="L40" s="113"/>
      <c r="M40" s="144"/>
      <c r="N40" s="144"/>
      <c r="O40" s="144"/>
      <c r="P40" s="145"/>
      <c r="Q40" s="144"/>
      <c r="R40" s="142"/>
      <c r="S40" s="142"/>
      <c r="T40" s="142"/>
      <c r="U40" s="142"/>
      <c r="V40" s="332"/>
      <c r="W40" s="332"/>
      <c r="X40" s="332"/>
      <c r="Y40" s="332"/>
      <c r="Z40" s="332"/>
      <c r="AA40" s="332"/>
      <c r="AB40" s="332"/>
      <c r="AC40" s="332"/>
      <c r="AD40" s="332"/>
      <c r="AE40" s="332"/>
      <c r="AF40" s="332"/>
      <c r="AG40" s="332"/>
      <c r="AH40" s="332"/>
    </row>
    <row r="41" spans="1:34" s="115" customFormat="1">
      <c r="A41" s="337">
        <v>44986</v>
      </c>
      <c r="B41" s="343">
        <v>1409</v>
      </c>
      <c r="C41" s="24">
        <v>16</v>
      </c>
      <c r="D41" s="24">
        <v>800</v>
      </c>
      <c r="E41" s="24">
        <v>175</v>
      </c>
      <c r="F41" s="24">
        <v>417</v>
      </c>
      <c r="G41" s="24">
        <v>1510</v>
      </c>
      <c r="H41" s="24">
        <v>113</v>
      </c>
      <c r="I41" s="24">
        <v>817</v>
      </c>
      <c r="J41" s="365">
        <v>160</v>
      </c>
      <c r="K41" s="365">
        <v>421</v>
      </c>
      <c r="L41" s="113"/>
      <c r="M41" s="144"/>
      <c r="N41" s="144"/>
      <c r="O41" s="144"/>
      <c r="P41" s="145"/>
      <c r="Q41" s="144"/>
      <c r="R41" s="142"/>
      <c r="S41" s="142"/>
      <c r="T41" s="142"/>
      <c r="U41" s="142"/>
      <c r="V41" s="332"/>
      <c r="W41" s="332"/>
      <c r="X41" s="332"/>
      <c r="Y41" s="332"/>
      <c r="Z41" s="332"/>
      <c r="AA41" s="332"/>
      <c r="AB41" s="332"/>
      <c r="AC41" s="332"/>
      <c r="AD41" s="332"/>
      <c r="AE41" s="332"/>
      <c r="AF41" s="332"/>
      <c r="AG41" s="332"/>
      <c r="AH41" s="332"/>
    </row>
    <row r="42" spans="1:34" s="115" customFormat="1">
      <c r="A42" s="337">
        <v>45017</v>
      </c>
      <c r="B42" s="343">
        <v>1304</v>
      </c>
      <c r="C42" s="24">
        <v>42</v>
      </c>
      <c r="D42" s="24">
        <v>775</v>
      </c>
      <c r="E42" s="24">
        <v>196</v>
      </c>
      <c r="F42" s="24">
        <v>290</v>
      </c>
      <c r="G42" s="24">
        <v>1274</v>
      </c>
      <c r="H42" s="24">
        <v>90</v>
      </c>
      <c r="I42" s="24">
        <v>685</v>
      </c>
      <c r="J42" s="365">
        <v>155</v>
      </c>
      <c r="K42" s="365">
        <v>344</v>
      </c>
      <c r="L42" s="113"/>
      <c r="M42" s="144"/>
      <c r="N42" s="144"/>
      <c r="O42" s="144"/>
      <c r="P42" s="145"/>
      <c r="Q42" s="144"/>
      <c r="R42" s="142"/>
      <c r="S42" s="142"/>
      <c r="T42" s="142"/>
      <c r="U42" s="142"/>
      <c r="V42" s="332"/>
      <c r="W42" s="332"/>
      <c r="X42" s="332"/>
      <c r="Y42" s="332"/>
      <c r="Z42" s="332"/>
      <c r="AA42" s="332"/>
      <c r="AB42" s="332"/>
      <c r="AC42" s="332"/>
      <c r="AD42" s="332"/>
      <c r="AE42" s="332"/>
      <c r="AF42" s="332"/>
      <c r="AG42" s="332"/>
      <c r="AH42" s="332"/>
    </row>
    <row r="43" spans="1:34" s="115" customFormat="1">
      <c r="A43" s="337">
        <v>45047</v>
      </c>
      <c r="B43" s="343">
        <v>1394</v>
      </c>
      <c r="C43" s="24">
        <v>72</v>
      </c>
      <c r="D43" s="24">
        <v>767</v>
      </c>
      <c r="E43" s="24">
        <v>172</v>
      </c>
      <c r="F43" s="24">
        <v>383</v>
      </c>
      <c r="G43" s="24">
        <v>1416</v>
      </c>
      <c r="H43" s="24">
        <v>118</v>
      </c>
      <c r="I43" s="24">
        <v>768</v>
      </c>
      <c r="J43" s="365">
        <v>166</v>
      </c>
      <c r="K43" s="365">
        <v>364</v>
      </c>
      <c r="L43" s="113"/>
      <c r="M43" s="144"/>
      <c r="N43" s="144"/>
      <c r="O43" s="144"/>
      <c r="P43" s="145"/>
      <c r="Q43" s="144"/>
      <c r="R43" s="142"/>
      <c r="S43" s="142"/>
      <c r="T43" s="142"/>
      <c r="U43" s="142"/>
      <c r="V43" s="332"/>
      <c r="W43" s="332"/>
      <c r="X43" s="332"/>
      <c r="Y43" s="332"/>
      <c r="Z43" s="332"/>
      <c r="AA43" s="332"/>
      <c r="AB43" s="332"/>
      <c r="AC43" s="332"/>
      <c r="AD43" s="332"/>
      <c r="AE43" s="332"/>
      <c r="AF43" s="332"/>
      <c r="AG43" s="332"/>
      <c r="AH43" s="332"/>
    </row>
    <row r="44" spans="1:34" s="115" customFormat="1">
      <c r="A44" s="337">
        <f t="shared" ref="A44" si="0">EDATE(A43,1)</f>
        <v>45078</v>
      </c>
      <c r="B44" s="344">
        <v>1298</v>
      </c>
      <c r="C44" s="2">
        <v>38</v>
      </c>
      <c r="D44" s="2">
        <v>817</v>
      </c>
      <c r="E44" s="2">
        <v>184</v>
      </c>
      <c r="F44" s="2">
        <v>259</v>
      </c>
      <c r="G44" s="2">
        <v>1276</v>
      </c>
      <c r="H44" s="2">
        <v>105</v>
      </c>
      <c r="I44" s="2">
        <v>666</v>
      </c>
      <c r="J44" s="6">
        <v>169</v>
      </c>
      <c r="K44" s="6">
        <v>335</v>
      </c>
      <c r="L44" s="113"/>
      <c r="M44" s="144"/>
      <c r="N44" s="144"/>
      <c r="O44" s="144"/>
      <c r="P44" s="145"/>
      <c r="Q44" s="144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</row>
    <row r="45" spans="1:34" s="115" customFormat="1">
      <c r="A45" s="337">
        <f>EDATE(A44,1)</f>
        <v>45108</v>
      </c>
      <c r="B45" s="344">
        <v>1128</v>
      </c>
      <c r="C45" s="2">
        <v>14</v>
      </c>
      <c r="D45" s="2">
        <v>741</v>
      </c>
      <c r="E45" s="2">
        <v>161</v>
      </c>
      <c r="F45" s="2">
        <v>212</v>
      </c>
      <c r="G45" s="2">
        <v>1116</v>
      </c>
      <c r="H45" s="2">
        <v>59</v>
      </c>
      <c r="I45" s="2">
        <v>619</v>
      </c>
      <c r="J45" s="6">
        <v>120</v>
      </c>
      <c r="K45" s="6">
        <v>318</v>
      </c>
      <c r="L45" s="113"/>
      <c r="M45" s="144"/>
      <c r="N45" s="144"/>
      <c r="O45" s="144"/>
      <c r="P45" s="145"/>
      <c r="Q45" s="144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</row>
    <row r="46" spans="1:34" s="115" customFormat="1">
      <c r="A46" s="337">
        <f>EDATE(A45,1)</f>
        <v>45139</v>
      </c>
      <c r="B46" s="344">
        <v>1346</v>
      </c>
      <c r="C46" s="2">
        <v>67</v>
      </c>
      <c r="D46" s="2">
        <v>739</v>
      </c>
      <c r="E46" s="2">
        <v>237</v>
      </c>
      <c r="F46" s="2">
        <v>304</v>
      </c>
      <c r="G46" s="2">
        <v>1177</v>
      </c>
      <c r="H46" s="2">
        <v>107</v>
      </c>
      <c r="I46" s="2">
        <v>636</v>
      </c>
      <c r="J46" s="6">
        <v>113</v>
      </c>
      <c r="K46" s="6">
        <v>320</v>
      </c>
      <c r="L46" s="113"/>
      <c r="M46" s="144"/>
      <c r="N46" s="144"/>
      <c r="O46" s="144"/>
      <c r="P46" s="145"/>
      <c r="Q46" s="144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</row>
    <row r="47" spans="1:34" s="115" customFormat="1">
      <c r="A47" s="337">
        <f t="shared" ref="A47:A69" si="1">EDATE(A46,1)</f>
        <v>45170</v>
      </c>
      <c r="B47" s="344">
        <v>1245</v>
      </c>
      <c r="C47" s="2">
        <v>61</v>
      </c>
      <c r="D47" s="2">
        <v>727</v>
      </c>
      <c r="E47" s="2">
        <v>146</v>
      </c>
      <c r="F47" s="2">
        <v>311</v>
      </c>
      <c r="G47" s="2">
        <v>1131</v>
      </c>
      <c r="H47" s="2">
        <v>102</v>
      </c>
      <c r="I47" s="2">
        <v>581</v>
      </c>
      <c r="J47" s="6">
        <v>134</v>
      </c>
      <c r="K47" s="6">
        <v>314</v>
      </c>
      <c r="L47" s="113"/>
      <c r="M47" s="144"/>
      <c r="N47" s="144"/>
      <c r="O47" s="144"/>
      <c r="P47" s="145"/>
      <c r="Q47" s="144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</row>
    <row r="48" spans="1:34" s="115" customFormat="1">
      <c r="A48" s="337">
        <f t="shared" si="1"/>
        <v>45200</v>
      </c>
      <c r="B48" s="344">
        <v>1137</v>
      </c>
      <c r="C48" s="2">
        <v>11</v>
      </c>
      <c r="D48" s="2">
        <v>695</v>
      </c>
      <c r="E48" s="2">
        <v>161</v>
      </c>
      <c r="F48" s="2">
        <v>269</v>
      </c>
      <c r="G48" s="2">
        <v>1143</v>
      </c>
      <c r="H48" s="2">
        <v>56</v>
      </c>
      <c r="I48" s="2">
        <v>639</v>
      </c>
      <c r="J48" s="6">
        <v>115</v>
      </c>
      <c r="K48" s="6">
        <v>334</v>
      </c>
      <c r="L48" s="113"/>
      <c r="M48" s="144"/>
      <c r="N48" s="144"/>
      <c r="O48" s="144"/>
      <c r="P48" s="145"/>
      <c r="Q48" s="144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</row>
    <row r="49" spans="1:30" s="115" customFormat="1">
      <c r="A49" s="337">
        <f t="shared" si="1"/>
        <v>45231</v>
      </c>
      <c r="B49" s="344">
        <v>1230</v>
      </c>
      <c r="C49" s="2">
        <v>35</v>
      </c>
      <c r="D49" s="2">
        <v>772</v>
      </c>
      <c r="E49" s="2">
        <v>179</v>
      </c>
      <c r="F49" s="2">
        <v>244</v>
      </c>
      <c r="G49" s="2">
        <v>1119</v>
      </c>
      <c r="H49" s="2">
        <v>61</v>
      </c>
      <c r="I49" s="2">
        <v>568</v>
      </c>
      <c r="J49" s="6">
        <v>131</v>
      </c>
      <c r="K49" s="6">
        <v>359</v>
      </c>
      <c r="L49" s="113"/>
      <c r="M49" s="144"/>
      <c r="N49" s="144"/>
      <c r="O49" s="144"/>
      <c r="P49" s="145"/>
      <c r="Q49" s="144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</row>
    <row r="50" spans="1:30" s="115" customFormat="1">
      <c r="A50" s="337">
        <f t="shared" si="1"/>
        <v>45261</v>
      </c>
      <c r="B50" s="344">
        <v>1300</v>
      </c>
      <c r="C50" s="2">
        <v>56</v>
      </c>
      <c r="D50" s="2">
        <v>744</v>
      </c>
      <c r="E50" s="2">
        <v>223</v>
      </c>
      <c r="F50" s="2">
        <v>277</v>
      </c>
      <c r="G50" s="2">
        <v>1159</v>
      </c>
      <c r="H50" s="2">
        <v>96</v>
      </c>
      <c r="I50" s="2">
        <v>572</v>
      </c>
      <c r="J50" s="6">
        <v>138</v>
      </c>
      <c r="K50" s="6">
        <v>353</v>
      </c>
      <c r="L50" s="113"/>
      <c r="M50" s="144"/>
      <c r="N50" s="144"/>
      <c r="O50" s="144"/>
      <c r="P50" s="145"/>
      <c r="Q50" s="144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</row>
    <row r="51" spans="1:30" s="115" customFormat="1">
      <c r="A51" s="337">
        <f t="shared" si="1"/>
        <v>45292</v>
      </c>
      <c r="B51" s="344">
        <v>1035</v>
      </c>
      <c r="C51" s="2">
        <v>9</v>
      </c>
      <c r="D51" s="2">
        <v>727</v>
      </c>
      <c r="E51" s="2">
        <v>145</v>
      </c>
      <c r="F51" s="2">
        <v>154</v>
      </c>
      <c r="G51" s="2">
        <v>1172</v>
      </c>
      <c r="H51" s="2">
        <v>53</v>
      </c>
      <c r="I51" s="2">
        <v>632</v>
      </c>
      <c r="J51" s="6">
        <v>107</v>
      </c>
      <c r="K51" s="6">
        <v>380</v>
      </c>
      <c r="L51" s="113"/>
      <c r="M51" s="144"/>
      <c r="N51" s="144"/>
      <c r="O51" s="144"/>
      <c r="P51" s="145"/>
      <c r="Q51" s="144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</row>
    <row r="52" spans="1:30" s="115" customFormat="1">
      <c r="A52" s="337">
        <f t="shared" si="1"/>
        <v>45323</v>
      </c>
      <c r="B52" s="344">
        <v>1168</v>
      </c>
      <c r="C52" s="393">
        <v>52</v>
      </c>
      <c r="D52" s="393">
        <v>722</v>
      </c>
      <c r="E52" s="393">
        <v>154</v>
      </c>
      <c r="F52" s="393">
        <v>239</v>
      </c>
      <c r="G52" s="393">
        <v>1042</v>
      </c>
      <c r="H52" s="393">
        <v>81</v>
      </c>
      <c r="I52" s="393">
        <v>574</v>
      </c>
      <c r="J52" s="395">
        <v>113</v>
      </c>
      <c r="K52" s="395">
        <v>274</v>
      </c>
      <c r="L52" s="113"/>
      <c r="M52" s="144"/>
      <c r="N52" s="144"/>
      <c r="O52" s="144"/>
      <c r="P52" s="402"/>
      <c r="Q52" s="144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</row>
    <row r="53" spans="1:30" s="115" customFormat="1">
      <c r="A53" s="337">
        <f t="shared" si="1"/>
        <v>45352</v>
      </c>
      <c r="B53" s="344">
        <v>1269</v>
      </c>
      <c r="C53" s="393">
        <v>9</v>
      </c>
      <c r="D53" s="393">
        <v>773</v>
      </c>
      <c r="E53" s="393">
        <v>191</v>
      </c>
      <c r="F53" s="393">
        <v>296</v>
      </c>
      <c r="G53" s="393">
        <v>1178</v>
      </c>
      <c r="H53" s="393">
        <v>54</v>
      </c>
      <c r="I53" s="393">
        <v>650</v>
      </c>
      <c r="J53" s="395">
        <v>142</v>
      </c>
      <c r="K53" s="395">
        <v>333</v>
      </c>
      <c r="L53" s="113"/>
      <c r="M53" s="144"/>
      <c r="N53" s="144"/>
      <c r="O53" s="144"/>
      <c r="P53" s="402"/>
      <c r="Q53" s="144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</row>
    <row r="54" spans="1:30" s="115" customFormat="1">
      <c r="A54" s="337">
        <f t="shared" si="1"/>
        <v>45383</v>
      </c>
      <c r="B54" s="344">
        <v>1253</v>
      </c>
      <c r="C54" s="393">
        <v>34</v>
      </c>
      <c r="D54" s="393">
        <v>768</v>
      </c>
      <c r="E54" s="393">
        <v>201</v>
      </c>
      <c r="F54" s="393">
        <v>250</v>
      </c>
      <c r="G54" s="393">
        <v>1376</v>
      </c>
      <c r="H54" s="393">
        <v>100</v>
      </c>
      <c r="I54" s="393">
        <v>755</v>
      </c>
      <c r="J54" s="395">
        <v>177</v>
      </c>
      <c r="K54" s="395">
        <v>344</v>
      </c>
      <c r="L54" s="113"/>
      <c r="M54" s="144"/>
      <c r="N54" s="144"/>
      <c r="O54" s="144"/>
      <c r="P54" s="402"/>
      <c r="Q54" s="144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</row>
    <row r="55" spans="1:30" s="115" customFormat="1">
      <c r="A55" s="337">
        <f t="shared" si="1"/>
        <v>45413</v>
      </c>
      <c r="B55" s="344">
        <v>1260</v>
      </c>
      <c r="C55" s="393">
        <v>35</v>
      </c>
      <c r="D55" s="393">
        <v>780</v>
      </c>
      <c r="E55" s="393">
        <v>213</v>
      </c>
      <c r="F55" s="393">
        <v>233</v>
      </c>
      <c r="G55" s="393">
        <v>1269</v>
      </c>
      <c r="H55" s="393">
        <v>48</v>
      </c>
      <c r="I55" s="393">
        <v>726</v>
      </c>
      <c r="J55" s="395">
        <v>166</v>
      </c>
      <c r="K55" s="395">
        <v>328</v>
      </c>
      <c r="L55" s="113"/>
      <c r="M55" s="144"/>
      <c r="N55" s="144"/>
      <c r="O55" s="144"/>
      <c r="P55" s="402"/>
      <c r="Q55" s="144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</row>
    <row r="56" spans="1:30" s="115" customFormat="1">
      <c r="A56" s="337">
        <f t="shared" si="1"/>
        <v>45444</v>
      </c>
      <c r="B56" s="344">
        <v>1245</v>
      </c>
      <c r="C56" s="393">
        <v>18</v>
      </c>
      <c r="D56" s="393">
        <v>715</v>
      </c>
      <c r="E56" s="393">
        <v>229</v>
      </c>
      <c r="F56" s="393">
        <v>282</v>
      </c>
      <c r="G56" s="393">
        <v>1160</v>
      </c>
      <c r="H56" s="393">
        <v>44</v>
      </c>
      <c r="I56" s="393">
        <v>675</v>
      </c>
      <c r="J56" s="395">
        <v>147</v>
      </c>
      <c r="K56" s="395">
        <v>294</v>
      </c>
      <c r="L56" s="113"/>
      <c r="M56" s="144"/>
      <c r="N56" s="144"/>
      <c r="O56" s="144"/>
      <c r="P56" s="402"/>
      <c r="Q56" s="144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</row>
    <row r="57" spans="1:30" s="115" customFormat="1">
      <c r="A57" s="337">
        <f t="shared" si="1"/>
        <v>45474</v>
      </c>
      <c r="B57" s="344">
        <v>1225</v>
      </c>
      <c r="C57" s="393">
        <v>36</v>
      </c>
      <c r="D57" s="393">
        <v>775</v>
      </c>
      <c r="E57" s="393">
        <v>174</v>
      </c>
      <c r="F57" s="393">
        <v>240</v>
      </c>
      <c r="G57" s="393">
        <v>1326</v>
      </c>
      <c r="H57" s="393">
        <v>71</v>
      </c>
      <c r="I57" s="393">
        <v>750</v>
      </c>
      <c r="J57" s="395">
        <v>193</v>
      </c>
      <c r="K57" s="395">
        <v>313</v>
      </c>
      <c r="L57" s="113"/>
      <c r="M57" s="144"/>
      <c r="N57" s="144"/>
      <c r="O57" s="144"/>
      <c r="P57" s="402"/>
      <c r="Q57" s="144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</row>
    <row r="58" spans="1:30" s="115" customFormat="1">
      <c r="A58" s="337">
        <f t="shared" si="1"/>
        <v>45505</v>
      </c>
      <c r="B58" s="344">
        <v>1188</v>
      </c>
      <c r="C58" s="393">
        <v>9</v>
      </c>
      <c r="D58" s="393">
        <v>726</v>
      </c>
      <c r="E58" s="393">
        <v>166</v>
      </c>
      <c r="F58" s="393">
        <v>287</v>
      </c>
      <c r="G58" s="393">
        <v>1434</v>
      </c>
      <c r="H58" s="393">
        <v>49</v>
      </c>
      <c r="I58" s="393">
        <v>854</v>
      </c>
      <c r="J58" s="395">
        <v>210</v>
      </c>
      <c r="K58" s="395">
        <v>321</v>
      </c>
      <c r="L58" s="113"/>
      <c r="M58" s="144"/>
      <c r="N58" s="144"/>
      <c r="O58" s="144"/>
      <c r="P58" s="402"/>
      <c r="Q58" s="144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</row>
    <row r="59" spans="1:30" s="115" customFormat="1">
      <c r="A59" s="337">
        <f t="shared" si="1"/>
        <v>45536</v>
      </c>
      <c r="B59" s="344">
        <v>1113</v>
      </c>
      <c r="C59" s="393">
        <v>29</v>
      </c>
      <c r="D59" s="393">
        <v>681</v>
      </c>
      <c r="E59" s="393">
        <v>158</v>
      </c>
      <c r="F59" s="393">
        <v>245</v>
      </c>
      <c r="G59" s="393">
        <v>1336</v>
      </c>
      <c r="H59" s="393">
        <v>65</v>
      </c>
      <c r="I59" s="393">
        <v>728</v>
      </c>
      <c r="J59" s="395">
        <v>242</v>
      </c>
      <c r="K59" s="395">
        <v>301</v>
      </c>
      <c r="L59" s="113"/>
      <c r="M59" s="144"/>
      <c r="N59" s="144"/>
      <c r="O59" s="144"/>
      <c r="P59" s="402"/>
      <c r="Q59" s="144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</row>
    <row r="60" spans="1:30" s="115" customFormat="1">
      <c r="A60" s="337">
        <f t="shared" si="1"/>
        <v>45566</v>
      </c>
      <c r="B60" s="344">
        <v>1290</v>
      </c>
      <c r="C60" s="393">
        <v>11</v>
      </c>
      <c r="D60" s="393">
        <v>731</v>
      </c>
      <c r="E60" s="393">
        <v>253</v>
      </c>
      <c r="F60" s="393">
        <v>295</v>
      </c>
      <c r="G60" s="393">
        <v>1364</v>
      </c>
      <c r="H60" s="393">
        <v>40</v>
      </c>
      <c r="I60" s="393">
        <v>751</v>
      </c>
      <c r="J60" s="395">
        <v>237</v>
      </c>
      <c r="K60" s="395">
        <v>336</v>
      </c>
      <c r="L60" s="113"/>
      <c r="M60" s="144"/>
      <c r="N60" s="144"/>
      <c r="O60" s="144"/>
      <c r="P60" s="402"/>
      <c r="Q60" s="144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</row>
    <row r="61" spans="1:30" s="115" customFormat="1">
      <c r="A61" s="337">
        <f t="shared" si="1"/>
        <v>45597</v>
      </c>
      <c r="B61" s="344">
        <v>1284</v>
      </c>
      <c r="C61" s="393">
        <v>37</v>
      </c>
      <c r="D61" s="393">
        <v>758</v>
      </c>
      <c r="E61" s="393">
        <v>170</v>
      </c>
      <c r="F61" s="393">
        <v>319</v>
      </c>
      <c r="G61" s="393">
        <v>1321</v>
      </c>
      <c r="H61" s="393">
        <v>71</v>
      </c>
      <c r="I61" s="393">
        <v>738</v>
      </c>
      <c r="J61" s="395">
        <v>183</v>
      </c>
      <c r="K61" s="395">
        <v>330</v>
      </c>
      <c r="L61" s="113"/>
      <c r="M61" s="144"/>
      <c r="N61" s="144"/>
      <c r="O61" s="144"/>
      <c r="P61" s="402"/>
      <c r="Q61" s="144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</row>
    <row r="62" spans="1:30" s="115" customFormat="1">
      <c r="A62" s="337">
        <f t="shared" si="1"/>
        <v>45627</v>
      </c>
      <c r="B62" s="344">
        <v>1266</v>
      </c>
      <c r="C62" s="393">
        <v>14</v>
      </c>
      <c r="D62" s="393">
        <v>789</v>
      </c>
      <c r="E62" s="393">
        <v>192</v>
      </c>
      <c r="F62" s="393">
        <v>270</v>
      </c>
      <c r="G62" s="393">
        <v>1283</v>
      </c>
      <c r="H62" s="393">
        <v>50</v>
      </c>
      <c r="I62" s="393">
        <v>630</v>
      </c>
      <c r="J62" s="395">
        <v>250</v>
      </c>
      <c r="K62" s="395">
        <v>353</v>
      </c>
      <c r="L62" s="113"/>
      <c r="M62" s="144"/>
      <c r="N62" s="144"/>
      <c r="O62" s="144"/>
      <c r="P62" s="402"/>
      <c r="Q62" s="144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</row>
    <row r="63" spans="1:30" s="115" customFormat="1">
      <c r="A63" s="337">
        <f t="shared" si="1"/>
        <v>45658</v>
      </c>
      <c r="B63" s="344">
        <v>1020</v>
      </c>
      <c r="C63" s="393">
        <v>31</v>
      </c>
      <c r="D63" s="393">
        <v>621</v>
      </c>
      <c r="E63" s="393">
        <v>209</v>
      </c>
      <c r="F63" s="393">
        <v>159</v>
      </c>
      <c r="G63" s="393">
        <v>1227</v>
      </c>
      <c r="H63" s="393">
        <v>51</v>
      </c>
      <c r="I63" s="393">
        <v>653</v>
      </c>
      <c r="J63" s="395">
        <v>207</v>
      </c>
      <c r="K63" s="395">
        <v>316</v>
      </c>
      <c r="L63" s="113"/>
      <c r="M63" s="144"/>
      <c r="N63" s="144"/>
      <c r="O63" s="144"/>
      <c r="P63" s="402"/>
      <c r="Q63" s="144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</row>
    <row r="64" spans="1:30" s="115" customFormat="1">
      <c r="A64" s="337">
        <f t="shared" si="1"/>
        <v>45689</v>
      </c>
      <c r="B64" s="344">
        <v>1134</v>
      </c>
      <c r="C64" s="393">
        <v>11</v>
      </c>
      <c r="D64" s="393">
        <v>724</v>
      </c>
      <c r="E64" s="393">
        <v>202</v>
      </c>
      <c r="F64" s="393">
        <v>197</v>
      </c>
      <c r="G64" s="393">
        <v>1170</v>
      </c>
      <c r="H64" s="393">
        <v>49</v>
      </c>
      <c r="I64" s="393">
        <v>653</v>
      </c>
      <c r="J64" s="395">
        <v>169</v>
      </c>
      <c r="K64" s="395">
        <v>298</v>
      </c>
      <c r="L64" s="113"/>
      <c r="M64" s="144"/>
      <c r="N64" s="144"/>
      <c r="O64" s="144"/>
      <c r="P64" s="145"/>
      <c r="Q64" s="144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</row>
    <row r="65" spans="1:30" s="115" customFormat="1">
      <c r="A65" s="337">
        <f t="shared" si="1"/>
        <v>45717</v>
      </c>
      <c r="B65" s="344">
        <v>1195</v>
      </c>
      <c r="C65" s="393">
        <v>33</v>
      </c>
      <c r="D65" s="393">
        <v>725</v>
      </c>
      <c r="E65" s="393">
        <v>226</v>
      </c>
      <c r="F65" s="393">
        <v>211</v>
      </c>
      <c r="G65" s="393">
        <v>1202</v>
      </c>
      <c r="H65" s="393">
        <v>73</v>
      </c>
      <c r="I65" s="393">
        <v>646</v>
      </c>
      <c r="J65" s="395">
        <v>146</v>
      </c>
      <c r="K65" s="395">
        <v>337</v>
      </c>
      <c r="L65" s="113"/>
      <c r="M65" s="144"/>
      <c r="N65" s="144"/>
      <c r="O65" s="144"/>
      <c r="P65" s="402"/>
      <c r="Q65" s="144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</row>
    <row r="66" spans="1:30" s="115" customFormat="1">
      <c r="A66" s="337">
        <f t="shared" si="1"/>
        <v>45748</v>
      </c>
      <c r="B66" s="344">
        <v>1275</v>
      </c>
      <c r="C66" s="393">
        <v>12</v>
      </c>
      <c r="D66" s="393">
        <v>816</v>
      </c>
      <c r="E66" s="393">
        <v>173</v>
      </c>
      <c r="F66" s="393">
        <v>273</v>
      </c>
      <c r="G66" s="393">
        <v>1417</v>
      </c>
      <c r="H66" s="393">
        <v>54</v>
      </c>
      <c r="I66" s="393">
        <v>755</v>
      </c>
      <c r="J66" s="395">
        <v>261</v>
      </c>
      <c r="K66" s="395">
        <v>346</v>
      </c>
      <c r="L66" s="113"/>
      <c r="M66" s="144"/>
      <c r="N66" s="144"/>
      <c r="O66" s="144"/>
      <c r="P66" s="402"/>
      <c r="Q66" s="144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</row>
    <row r="67" spans="1:30" s="115" customFormat="1">
      <c r="A67" s="337">
        <f t="shared" si="1"/>
        <v>45778</v>
      </c>
      <c r="B67" s="344">
        <v>1136</v>
      </c>
      <c r="C67" s="393">
        <v>11</v>
      </c>
      <c r="D67" s="393">
        <v>694</v>
      </c>
      <c r="E67" s="393">
        <v>155</v>
      </c>
      <c r="F67" s="393">
        <v>275</v>
      </c>
      <c r="G67" s="393">
        <v>1144</v>
      </c>
      <c r="H67" s="393">
        <v>46</v>
      </c>
      <c r="I67" s="393">
        <v>634</v>
      </c>
      <c r="J67" s="395">
        <v>135</v>
      </c>
      <c r="K67" s="395">
        <v>329</v>
      </c>
      <c r="L67" s="113"/>
      <c r="M67" s="144"/>
      <c r="N67" s="144"/>
      <c r="O67" s="144"/>
      <c r="P67" s="402"/>
      <c r="Q67" s="144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</row>
    <row r="68" spans="1:30" s="115" customFormat="1">
      <c r="A68" s="337">
        <f t="shared" si="1"/>
        <v>45809</v>
      </c>
      <c r="B68" s="344">
        <v>1116</v>
      </c>
      <c r="C68" s="393">
        <v>28</v>
      </c>
      <c r="D68" s="393">
        <v>683</v>
      </c>
      <c r="E68" s="393">
        <v>158</v>
      </c>
      <c r="F68" s="393">
        <v>248</v>
      </c>
      <c r="G68" s="393">
        <v>1180</v>
      </c>
      <c r="H68" s="393">
        <v>59</v>
      </c>
      <c r="I68" s="393">
        <v>641</v>
      </c>
      <c r="J68" s="395">
        <v>150</v>
      </c>
      <c r="K68" s="395">
        <v>330</v>
      </c>
      <c r="L68" s="113"/>
      <c r="M68" s="144"/>
      <c r="N68" s="144"/>
      <c r="O68" s="144"/>
      <c r="P68" s="402"/>
      <c r="Q68" s="144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</row>
    <row r="69" spans="1:30" s="115" customFormat="1">
      <c r="A69" s="384">
        <f t="shared" si="1"/>
        <v>45839</v>
      </c>
      <c r="B69" s="344">
        <v>1311</v>
      </c>
      <c r="C69" s="393">
        <v>15</v>
      </c>
      <c r="D69" s="393">
        <v>796</v>
      </c>
      <c r="E69" s="393">
        <v>230</v>
      </c>
      <c r="F69" s="393">
        <v>269</v>
      </c>
      <c r="G69" s="393">
        <v>1361</v>
      </c>
      <c r="H69" s="393">
        <v>43</v>
      </c>
      <c r="I69" s="393">
        <v>760</v>
      </c>
      <c r="J69" s="395">
        <v>191</v>
      </c>
      <c r="K69" s="395">
        <v>368</v>
      </c>
      <c r="L69" s="113"/>
      <c r="M69" s="144"/>
      <c r="N69" s="144"/>
      <c r="O69" s="144"/>
      <c r="P69" s="402"/>
      <c r="Q69" s="144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</row>
    <row r="70" spans="1:30" s="115" customFormat="1">
      <c r="A70" s="384">
        <v>45870</v>
      </c>
      <c r="B70" s="344">
        <v>1105</v>
      </c>
      <c r="C70" s="393">
        <v>26</v>
      </c>
      <c r="D70" s="393">
        <v>653</v>
      </c>
      <c r="E70" s="393">
        <v>204</v>
      </c>
      <c r="F70" s="393">
        <v>222</v>
      </c>
      <c r="G70" s="393">
        <v>1176</v>
      </c>
      <c r="H70" s="393">
        <v>79</v>
      </c>
      <c r="I70" s="393">
        <v>612</v>
      </c>
      <c r="J70" s="395">
        <v>166</v>
      </c>
      <c r="K70" s="395">
        <v>319</v>
      </c>
      <c r="L70" s="113"/>
      <c r="M70" s="144"/>
      <c r="N70" s="144"/>
      <c r="O70" s="144"/>
      <c r="P70" s="402"/>
      <c r="Q70" s="144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</row>
    <row r="71" spans="1:30" s="115" customFormat="1">
      <c r="A71" s="384">
        <v>45901</v>
      </c>
      <c r="B71" s="344">
        <v>1297</v>
      </c>
      <c r="C71" s="393">
        <v>40</v>
      </c>
      <c r="D71" s="393">
        <v>760</v>
      </c>
      <c r="E71" s="393">
        <v>160</v>
      </c>
      <c r="F71" s="393">
        <v>337</v>
      </c>
      <c r="G71" s="393">
        <v>1406</v>
      </c>
      <c r="H71" s="393">
        <v>68</v>
      </c>
      <c r="I71" s="393">
        <v>724</v>
      </c>
      <c r="J71" s="395">
        <v>215</v>
      </c>
      <c r="K71" s="395">
        <v>399</v>
      </c>
      <c r="L71" s="113"/>
      <c r="M71" s="144"/>
      <c r="N71" s="144"/>
      <c r="O71" s="144"/>
      <c r="P71" s="402"/>
      <c r="Q71" s="144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</row>
    <row r="72" spans="1:30" s="115" customFormat="1">
      <c r="A72" s="384">
        <v>45931</v>
      </c>
      <c r="B72" s="344">
        <v>1146</v>
      </c>
      <c r="C72" s="393">
        <v>36</v>
      </c>
      <c r="D72" s="393">
        <v>632</v>
      </c>
      <c r="E72" s="393">
        <v>160</v>
      </c>
      <c r="F72" s="393">
        <v>318</v>
      </c>
      <c r="G72" s="393">
        <v>1086</v>
      </c>
      <c r="H72" s="393">
        <v>58</v>
      </c>
      <c r="I72" s="393">
        <v>565</v>
      </c>
      <c r="J72" s="395">
        <v>143</v>
      </c>
      <c r="K72" s="395">
        <v>319</v>
      </c>
      <c r="L72" s="113"/>
      <c r="M72" s="144"/>
      <c r="N72" s="144"/>
      <c r="O72" s="144"/>
      <c r="P72" s="402"/>
      <c r="Q72" s="144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</row>
    <row r="73" spans="1:30" s="115" customFormat="1">
      <c r="A73" s="384">
        <v>45962</v>
      </c>
      <c r="B73" s="344">
        <v>1149</v>
      </c>
      <c r="C73" s="393">
        <v>49</v>
      </c>
      <c r="D73" s="393">
        <v>698</v>
      </c>
      <c r="E73" s="393">
        <v>160</v>
      </c>
      <c r="F73" s="393">
        <v>241</v>
      </c>
      <c r="G73" s="393">
        <v>1180</v>
      </c>
      <c r="H73" s="393">
        <v>58</v>
      </c>
      <c r="I73" s="393">
        <v>582</v>
      </c>
      <c r="J73" s="395">
        <v>198</v>
      </c>
      <c r="K73" s="395">
        <v>342</v>
      </c>
      <c r="L73" s="113"/>
      <c r="M73" s="144"/>
      <c r="N73" s="144"/>
      <c r="O73" s="144"/>
      <c r="P73" s="402"/>
      <c r="Q73" s="144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</row>
    <row r="74" spans="1:30" s="115" customFormat="1">
      <c r="A74" s="384">
        <v>45992</v>
      </c>
      <c r="B74" s="344">
        <v>1344</v>
      </c>
      <c r="C74" s="393">
        <v>67</v>
      </c>
      <c r="D74" s="393">
        <v>781</v>
      </c>
      <c r="E74" s="393">
        <v>249</v>
      </c>
      <c r="F74" s="393">
        <v>248</v>
      </c>
      <c r="G74" s="393">
        <v>1338</v>
      </c>
      <c r="H74" s="393">
        <v>73</v>
      </c>
      <c r="I74" s="393">
        <v>660</v>
      </c>
      <c r="J74" s="395">
        <v>239</v>
      </c>
      <c r="K74" s="395">
        <v>366</v>
      </c>
      <c r="L74" s="113"/>
      <c r="M74" s="144"/>
      <c r="N74" s="144"/>
      <c r="O74" s="144"/>
      <c r="P74" s="402"/>
      <c r="Q74" s="144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</row>
    <row r="75" spans="1:30" s="115" customFormat="1">
      <c r="A75" s="384">
        <v>46023</v>
      </c>
      <c r="B75" s="465">
        <v>1177</v>
      </c>
      <c r="C75" s="4">
        <v>32</v>
      </c>
      <c r="D75" s="4">
        <v>713</v>
      </c>
      <c r="E75" s="4">
        <v>188</v>
      </c>
      <c r="F75" s="4">
        <v>244</v>
      </c>
      <c r="G75" s="4">
        <v>1183</v>
      </c>
      <c r="H75" s="4">
        <v>38</v>
      </c>
      <c r="I75" s="4">
        <v>628</v>
      </c>
      <c r="J75" s="4">
        <v>158</v>
      </c>
      <c r="K75" s="4">
        <v>359</v>
      </c>
      <c r="L75" s="113"/>
      <c r="M75" s="144"/>
      <c r="N75" s="144"/>
      <c r="O75" s="144"/>
      <c r="P75" s="402"/>
      <c r="Q75" s="144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</row>
    <row r="76" spans="1:30" s="115" customFormat="1">
      <c r="A76" s="337">
        <v>46054</v>
      </c>
      <c r="B76" s="465">
        <v>1076</v>
      </c>
      <c r="C76" s="4">
        <v>36</v>
      </c>
      <c r="D76" s="4">
        <v>661</v>
      </c>
      <c r="E76" s="4">
        <v>123</v>
      </c>
      <c r="F76" s="4">
        <v>255</v>
      </c>
      <c r="G76" s="4">
        <v>1065</v>
      </c>
      <c r="H76" s="4">
        <v>47</v>
      </c>
      <c r="I76" s="4">
        <v>576</v>
      </c>
      <c r="J76" s="4">
        <v>146</v>
      </c>
      <c r="K76" s="4">
        <v>296</v>
      </c>
      <c r="L76" s="113"/>
      <c r="M76" s="144"/>
      <c r="N76" s="144"/>
      <c r="O76" s="144"/>
      <c r="P76" s="402"/>
      <c r="Q76" s="144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</row>
    <row r="77" spans="1:30" s="115" customFormat="1">
      <c r="A77" s="460">
        <v>46082</v>
      </c>
      <c r="B77" s="466">
        <v>1333</v>
      </c>
      <c r="C77" s="467">
        <v>51</v>
      </c>
      <c r="D77" s="467">
        <v>757</v>
      </c>
      <c r="E77" s="467">
        <v>213</v>
      </c>
      <c r="F77" s="467">
        <v>312</v>
      </c>
      <c r="G77" s="467">
        <v>1287</v>
      </c>
      <c r="H77" s="467">
        <v>66</v>
      </c>
      <c r="I77" s="467">
        <v>702</v>
      </c>
      <c r="J77" s="467">
        <v>183</v>
      </c>
      <c r="K77" s="467">
        <v>337</v>
      </c>
      <c r="L77" s="113"/>
      <c r="M77" s="159"/>
      <c r="N77" s="159"/>
      <c r="O77" s="159"/>
      <c r="P77" s="402"/>
      <c r="Q77" s="159"/>
      <c r="R77" s="476"/>
      <c r="S77" s="476"/>
      <c r="T77" s="476"/>
      <c r="U77" s="476"/>
      <c r="V77" s="476"/>
      <c r="W77" s="476"/>
      <c r="X77" s="476"/>
      <c r="Y77" s="476"/>
      <c r="Z77" s="476"/>
      <c r="AA77" s="476"/>
      <c r="AB77" s="476"/>
      <c r="AC77" s="476"/>
      <c r="AD77" s="476"/>
    </row>
    <row r="78" spans="1:30" s="115" customFormat="1">
      <c r="A78" s="384"/>
      <c r="B78" s="425"/>
      <c r="C78" s="426"/>
      <c r="D78" s="426"/>
      <c r="E78" s="426"/>
      <c r="F78" s="426"/>
      <c r="G78" s="426"/>
      <c r="H78" s="426"/>
      <c r="I78" s="426"/>
      <c r="J78" s="426"/>
      <c r="K78" s="426"/>
      <c r="L78" s="113"/>
      <c r="M78" s="144"/>
      <c r="N78" s="144"/>
      <c r="O78" s="144"/>
      <c r="P78" s="402"/>
      <c r="Q78" s="144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</row>
    <row r="79" spans="1:30" s="115" customFormat="1">
      <c r="A79" s="146" t="s">
        <v>119</v>
      </c>
      <c r="B79" s="342"/>
      <c r="C79" s="148"/>
      <c r="D79" s="148"/>
      <c r="E79" s="148"/>
      <c r="F79" s="148"/>
      <c r="G79" s="147"/>
      <c r="H79" s="149"/>
      <c r="I79" s="149"/>
      <c r="J79" s="149"/>
      <c r="K79" s="149"/>
      <c r="L79" s="113"/>
      <c r="M79" s="144"/>
      <c r="N79" s="144"/>
      <c r="O79" s="144"/>
      <c r="P79" s="402"/>
      <c r="Q79" s="144"/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</row>
    <row r="80" spans="1:30" s="41" customFormat="1" ht="12" customHeight="1">
      <c r="A80" s="146" t="s">
        <v>31</v>
      </c>
      <c r="B80" s="147"/>
      <c r="C80" s="148"/>
      <c r="D80" s="148"/>
      <c r="E80" s="148"/>
      <c r="F80" s="148"/>
      <c r="G80" s="147"/>
      <c r="H80" s="149"/>
      <c r="I80" s="149"/>
      <c r="J80" s="4"/>
      <c r="K80" s="4"/>
      <c r="L80" s="4"/>
      <c r="M80" s="144"/>
      <c r="N80" s="144"/>
      <c r="O80" s="144"/>
      <c r="P80" s="145"/>
      <c r="Q80" s="144"/>
      <c r="R80" s="142"/>
      <c r="S80" s="142"/>
      <c r="T80" s="142"/>
    </row>
    <row r="81" spans="1:20" s="41" customFormat="1" ht="12" customHeight="1">
      <c r="A81" s="46" t="s">
        <v>32</v>
      </c>
      <c r="B81" s="46"/>
      <c r="C81" s="150"/>
      <c r="D81" s="150"/>
      <c r="E81" s="150"/>
      <c r="F81" s="150"/>
      <c r="G81" s="151"/>
      <c r="H81" s="150"/>
      <c r="I81" s="150"/>
      <c r="J81" s="123"/>
      <c r="K81" s="247"/>
      <c r="L81" s="4"/>
      <c r="M81" s="144"/>
      <c r="N81" s="144"/>
      <c r="O81" s="144"/>
      <c r="P81" s="145"/>
      <c r="Q81" s="144"/>
      <c r="R81" s="142"/>
      <c r="S81" s="142"/>
      <c r="T81" s="142"/>
    </row>
    <row r="82" spans="1:20" s="123" customFormat="1" ht="10.5" customHeight="1">
      <c r="A82" s="152"/>
      <c r="B82" s="152"/>
      <c r="C82" s="153"/>
      <c r="D82" s="153"/>
      <c r="E82" s="153"/>
      <c r="F82" s="153"/>
      <c r="G82" s="152"/>
      <c r="H82" s="127"/>
      <c r="I82" s="127"/>
      <c r="J82" s="127"/>
      <c r="K82" s="143"/>
      <c r="L82" s="4"/>
      <c r="M82" s="144"/>
      <c r="N82" s="144"/>
      <c r="O82" s="144"/>
      <c r="P82" s="145"/>
      <c r="Q82" s="144"/>
      <c r="R82" s="142"/>
      <c r="S82" s="142"/>
      <c r="T82" s="142"/>
    </row>
    <row r="83" spans="1:20" s="154" customFormat="1" ht="10.5" customHeight="1">
      <c r="A83" s="123"/>
      <c r="B83" s="132"/>
      <c r="C83" s="127"/>
      <c r="D83" s="127"/>
      <c r="E83" s="127"/>
      <c r="F83" s="127"/>
      <c r="G83" s="127"/>
      <c r="H83" s="127"/>
      <c r="I83" s="127"/>
      <c r="J83" s="127"/>
      <c r="K83" s="143"/>
      <c r="L83" s="4"/>
      <c r="M83" s="144"/>
      <c r="N83" s="144"/>
      <c r="O83" s="144"/>
      <c r="P83" s="145"/>
      <c r="Q83" s="144"/>
      <c r="R83" s="142"/>
      <c r="S83" s="142"/>
      <c r="T83" s="142"/>
    </row>
    <row r="84" spans="1:20">
      <c r="G84" s="127"/>
      <c r="K84" s="143"/>
      <c r="L84" s="4"/>
      <c r="M84" s="144"/>
      <c r="N84" s="144"/>
      <c r="O84" s="144"/>
      <c r="P84" s="145"/>
      <c r="Q84" s="144"/>
      <c r="R84" s="142"/>
      <c r="S84" s="41"/>
      <c r="T84" s="41"/>
    </row>
    <row r="85" spans="1:20">
      <c r="G85" s="127"/>
      <c r="K85" s="143"/>
      <c r="L85" s="4"/>
      <c r="M85" s="144"/>
      <c r="N85" s="144"/>
      <c r="O85" s="144"/>
      <c r="P85" s="145"/>
      <c r="Q85" s="144"/>
      <c r="R85" s="142"/>
      <c r="S85" s="41"/>
      <c r="T85" s="41"/>
    </row>
    <row r="86" spans="1:20">
      <c r="G86" s="127"/>
      <c r="K86" s="143"/>
      <c r="L86" s="4"/>
      <c r="M86" s="144"/>
      <c r="N86" s="144"/>
      <c r="O86" s="144"/>
      <c r="P86" s="145"/>
      <c r="Q86" s="144"/>
      <c r="R86" s="142"/>
      <c r="S86" s="41"/>
      <c r="T86" s="41"/>
    </row>
    <row r="87" spans="1:20">
      <c r="G87" s="127"/>
      <c r="K87" s="143"/>
      <c r="L87" s="4"/>
      <c r="M87" s="144"/>
      <c r="N87" s="144"/>
      <c r="O87" s="144"/>
      <c r="P87" s="145"/>
      <c r="Q87" s="144"/>
      <c r="R87" s="142"/>
      <c r="S87" s="123"/>
      <c r="T87" s="123"/>
    </row>
    <row r="88" spans="1:20">
      <c r="G88" s="127"/>
      <c r="K88" s="143"/>
      <c r="L88" s="4"/>
      <c r="M88" s="144"/>
      <c r="N88" s="144"/>
      <c r="O88" s="144"/>
      <c r="P88" s="145"/>
      <c r="Q88" s="144"/>
      <c r="R88" s="142"/>
      <c r="S88" s="154"/>
      <c r="T88" s="154"/>
    </row>
    <row r="89" spans="1:20">
      <c r="G89" s="127"/>
      <c r="K89" s="143"/>
      <c r="L89" s="4"/>
      <c r="M89" s="144"/>
      <c r="N89" s="144"/>
      <c r="O89" s="144"/>
      <c r="P89" s="145"/>
      <c r="Q89" s="144"/>
      <c r="R89" s="142"/>
    </row>
    <row r="90" spans="1:20">
      <c r="G90" s="127"/>
      <c r="K90" s="143"/>
      <c r="L90" s="4"/>
      <c r="M90" s="144"/>
      <c r="N90" s="144"/>
      <c r="O90" s="144"/>
      <c r="P90" s="145"/>
      <c r="Q90" s="144"/>
      <c r="R90" s="142"/>
    </row>
    <row r="91" spans="1:20">
      <c r="G91" s="127"/>
      <c r="K91" s="143"/>
      <c r="L91" s="4"/>
      <c r="M91" s="144"/>
      <c r="N91" s="144"/>
      <c r="O91" s="144"/>
      <c r="P91" s="145"/>
      <c r="Q91" s="144"/>
      <c r="R91" s="142"/>
    </row>
    <row r="92" spans="1:20">
      <c r="G92" s="127"/>
      <c r="K92" s="143"/>
      <c r="L92" s="4"/>
      <c r="M92" s="144"/>
      <c r="N92" s="144"/>
      <c r="O92" s="144"/>
      <c r="P92" s="145"/>
      <c r="Q92" s="144"/>
      <c r="R92" s="142"/>
    </row>
    <row r="93" spans="1:20">
      <c r="G93" s="127"/>
      <c r="L93" s="4"/>
      <c r="M93" s="144"/>
      <c r="N93" s="144"/>
      <c r="O93" s="144"/>
      <c r="P93" s="145"/>
      <c r="Q93" s="144"/>
      <c r="R93" s="142"/>
    </row>
    <row r="94" spans="1:20">
      <c r="G94" s="127"/>
      <c r="L94" s="4"/>
      <c r="M94" s="144"/>
      <c r="N94" s="144"/>
      <c r="O94" s="144"/>
      <c r="P94" s="145"/>
      <c r="Q94" s="144"/>
      <c r="R94" s="142"/>
    </row>
    <row r="95" spans="1:20">
      <c r="G95" s="127"/>
      <c r="L95" s="4"/>
      <c r="M95" s="144"/>
      <c r="N95" s="144"/>
      <c r="O95" s="144"/>
      <c r="P95" s="145"/>
      <c r="Q95" s="144"/>
      <c r="R95" s="142"/>
    </row>
    <row r="96" spans="1:20">
      <c r="G96" s="127"/>
      <c r="L96" s="4"/>
      <c r="M96" s="144"/>
      <c r="N96" s="144"/>
      <c r="O96" s="144"/>
      <c r="P96" s="145"/>
      <c r="Q96" s="144"/>
      <c r="R96" s="142"/>
    </row>
    <row r="97" spans="7:18">
      <c r="G97" s="127"/>
      <c r="L97" s="4"/>
      <c r="M97" s="144"/>
      <c r="N97" s="144"/>
      <c r="O97" s="144"/>
      <c r="P97" s="145"/>
      <c r="Q97" s="144"/>
      <c r="R97" s="142"/>
    </row>
    <row r="98" spans="7:18">
      <c r="G98" s="127"/>
      <c r="L98" s="4"/>
      <c r="M98" s="144"/>
      <c r="N98" s="144"/>
      <c r="O98" s="144"/>
      <c r="P98" s="145"/>
      <c r="Q98" s="144"/>
      <c r="R98" s="142"/>
    </row>
    <row r="99" spans="7:18">
      <c r="G99" s="127"/>
      <c r="L99" s="4"/>
      <c r="M99" s="144"/>
      <c r="N99" s="144"/>
      <c r="O99" s="144"/>
      <c r="P99" s="145"/>
      <c r="Q99" s="144"/>
      <c r="R99" s="142"/>
    </row>
    <row r="100" spans="7:18">
      <c r="G100" s="127"/>
      <c r="L100" s="4"/>
      <c r="M100" s="144"/>
      <c r="N100" s="144"/>
      <c r="O100" s="144"/>
      <c r="P100" s="145"/>
      <c r="Q100" s="144"/>
      <c r="R100" s="142"/>
    </row>
    <row r="101" spans="7:18">
      <c r="G101" s="127"/>
      <c r="L101" s="4"/>
      <c r="M101" s="144"/>
      <c r="N101" s="144"/>
      <c r="O101" s="144"/>
      <c r="P101" s="145"/>
      <c r="Q101" s="144"/>
      <c r="R101" s="142"/>
    </row>
    <row r="102" spans="7:18">
      <c r="G102" s="127"/>
      <c r="L102" s="4"/>
      <c r="M102" s="144"/>
      <c r="N102" s="144"/>
      <c r="O102" s="144"/>
      <c r="P102" s="145"/>
      <c r="Q102" s="144"/>
      <c r="R102" s="142"/>
    </row>
    <row r="103" spans="7:18">
      <c r="G103" s="127"/>
      <c r="L103" s="4"/>
      <c r="M103" s="144"/>
      <c r="N103" s="144"/>
      <c r="O103" s="144"/>
      <c r="P103" s="145"/>
      <c r="Q103" s="144"/>
      <c r="R103" s="142"/>
    </row>
    <row r="104" spans="7:18">
      <c r="G104" s="127"/>
      <c r="L104" s="4"/>
      <c r="M104" s="144"/>
      <c r="N104" s="144"/>
      <c r="O104" s="144"/>
      <c r="P104" s="145"/>
      <c r="Q104" s="144"/>
      <c r="R104" s="142"/>
    </row>
    <row r="105" spans="7:18">
      <c r="G105" s="127"/>
      <c r="L105" s="4"/>
      <c r="M105" s="144"/>
      <c r="N105" s="144"/>
      <c r="O105" s="144"/>
      <c r="P105" s="145"/>
      <c r="Q105" s="144"/>
      <c r="R105" s="142"/>
    </row>
    <row r="106" spans="7:18">
      <c r="G106" s="127"/>
      <c r="L106" s="4"/>
      <c r="M106" s="144"/>
      <c r="N106" s="144"/>
      <c r="O106" s="144"/>
      <c r="P106" s="145"/>
      <c r="Q106" s="144"/>
      <c r="R106" s="142"/>
    </row>
    <row r="107" spans="7:18">
      <c r="G107" s="127"/>
      <c r="L107" s="4"/>
      <c r="M107" s="144"/>
      <c r="N107" s="144"/>
      <c r="O107" s="144"/>
      <c r="P107" s="145"/>
      <c r="Q107" s="144"/>
      <c r="R107" s="142"/>
    </row>
    <row r="108" spans="7:18">
      <c r="G108" s="127"/>
      <c r="L108" s="4"/>
      <c r="M108" s="144"/>
      <c r="N108" s="144"/>
      <c r="O108" s="144"/>
      <c r="P108" s="145"/>
      <c r="Q108" s="144"/>
      <c r="R108" s="142"/>
    </row>
    <row r="109" spans="7:18">
      <c r="G109" s="127"/>
      <c r="L109" s="4"/>
      <c r="M109" s="144"/>
      <c r="N109" s="144"/>
      <c r="O109" s="144"/>
      <c r="P109" s="145"/>
      <c r="Q109" s="144"/>
      <c r="R109" s="108"/>
    </row>
    <row r="110" spans="7:18">
      <c r="G110" s="127"/>
      <c r="L110" s="4"/>
      <c r="M110" s="144"/>
      <c r="N110" s="144"/>
      <c r="O110" s="144"/>
      <c r="P110" s="145"/>
      <c r="Q110" s="144"/>
      <c r="R110" s="108"/>
    </row>
    <row r="111" spans="7:18">
      <c r="G111" s="127"/>
      <c r="L111" s="4"/>
      <c r="M111" s="144"/>
      <c r="N111" s="144"/>
      <c r="O111" s="144"/>
      <c r="P111" s="145"/>
      <c r="Q111" s="144"/>
      <c r="R111" s="108"/>
    </row>
    <row r="112" spans="7:18">
      <c r="G112" s="127"/>
      <c r="L112" s="4"/>
      <c r="M112" s="144"/>
      <c r="N112" s="144"/>
      <c r="O112" s="144"/>
      <c r="P112" s="145"/>
      <c r="Q112" s="144"/>
      <c r="R112" s="41"/>
    </row>
    <row r="113" spans="3:18">
      <c r="G113" s="127"/>
      <c r="L113" s="4"/>
      <c r="M113" s="144"/>
      <c r="N113" s="144"/>
      <c r="O113" s="144"/>
      <c r="P113" s="145"/>
      <c r="Q113" s="144"/>
      <c r="R113" s="41"/>
    </row>
    <row r="114" spans="3:18">
      <c r="C114" s="132"/>
      <c r="D114" s="132"/>
      <c r="E114" s="132"/>
      <c r="F114" s="132"/>
      <c r="G114" s="127"/>
      <c r="L114" s="4"/>
      <c r="M114" s="144"/>
      <c r="N114" s="144"/>
      <c r="O114" s="144"/>
      <c r="P114" s="145"/>
      <c r="Q114" s="144"/>
      <c r="R114" s="41"/>
    </row>
    <row r="115" spans="3:18">
      <c r="C115" s="132"/>
      <c r="D115" s="132"/>
      <c r="E115" s="132"/>
      <c r="F115" s="132"/>
      <c r="G115" s="127"/>
      <c r="L115" s="4"/>
      <c r="M115" s="144"/>
      <c r="N115" s="144"/>
      <c r="O115" s="144"/>
      <c r="P115" s="145"/>
      <c r="Q115" s="144"/>
      <c r="R115" s="123"/>
    </row>
    <row r="116" spans="3:18">
      <c r="C116" s="132"/>
      <c r="D116" s="132"/>
      <c r="E116" s="132"/>
      <c r="F116" s="132"/>
      <c r="G116" s="127"/>
      <c r="L116" s="4"/>
      <c r="M116" s="144"/>
      <c r="N116" s="144"/>
      <c r="O116" s="144"/>
      <c r="P116" s="145"/>
      <c r="Q116" s="144"/>
      <c r="R116" s="154"/>
    </row>
    <row r="117" spans="3:18">
      <c r="C117" s="132"/>
      <c r="D117" s="132"/>
      <c r="E117" s="132"/>
      <c r="F117" s="132"/>
      <c r="G117" s="127"/>
      <c r="L117" s="4"/>
      <c r="M117" s="144"/>
      <c r="N117" s="144"/>
      <c r="O117" s="144"/>
      <c r="P117" s="145"/>
      <c r="Q117" s="144"/>
    </row>
    <row r="118" spans="3:18">
      <c r="C118" s="132"/>
      <c r="D118" s="132"/>
      <c r="E118" s="132"/>
      <c r="F118" s="132"/>
      <c r="G118" s="127"/>
      <c r="L118" s="4"/>
      <c r="M118" s="144"/>
      <c r="N118" s="144"/>
      <c r="O118" s="144"/>
      <c r="P118" s="145"/>
      <c r="Q118" s="144"/>
    </row>
    <row r="119" spans="3:18">
      <c r="C119" s="132"/>
      <c r="D119" s="132"/>
      <c r="E119" s="132"/>
      <c r="F119" s="132"/>
      <c r="G119" s="127"/>
      <c r="L119" s="4"/>
      <c r="M119" s="144"/>
      <c r="N119" s="144"/>
      <c r="O119" s="144"/>
      <c r="P119" s="145"/>
      <c r="Q119" s="144"/>
    </row>
    <row r="120" spans="3:18">
      <c r="C120" s="132"/>
      <c r="D120" s="132"/>
      <c r="E120" s="132"/>
      <c r="F120" s="132"/>
      <c r="G120" s="127"/>
      <c r="L120" s="4"/>
      <c r="M120" s="108"/>
      <c r="N120" s="108"/>
      <c r="O120" s="108"/>
      <c r="P120" s="118"/>
      <c r="Q120" s="108"/>
    </row>
    <row r="121" spans="3:18">
      <c r="C121" s="132"/>
      <c r="D121" s="132"/>
      <c r="E121" s="132"/>
      <c r="F121" s="132"/>
      <c r="G121" s="127"/>
      <c r="L121" s="4"/>
      <c r="M121" s="108"/>
      <c r="N121" s="108"/>
      <c r="O121" s="108"/>
      <c r="P121" s="118"/>
      <c r="Q121" s="108"/>
    </row>
    <row r="122" spans="3:18">
      <c r="C122" s="132"/>
      <c r="D122" s="132"/>
      <c r="E122" s="132"/>
      <c r="F122" s="132"/>
      <c r="G122" s="127"/>
      <c r="L122" s="4"/>
      <c r="M122" s="144"/>
      <c r="N122" s="144"/>
      <c r="O122" s="144"/>
      <c r="P122" s="145"/>
      <c r="Q122" s="144"/>
    </row>
    <row r="123" spans="3:18">
      <c r="C123" s="132"/>
      <c r="D123" s="132"/>
      <c r="E123" s="132"/>
      <c r="F123" s="132"/>
      <c r="G123" s="127"/>
      <c r="L123" s="4"/>
      <c r="M123" s="144"/>
      <c r="N123" s="144"/>
      <c r="O123" s="144"/>
      <c r="P123" s="145"/>
      <c r="Q123" s="144"/>
    </row>
    <row r="124" spans="3:18">
      <c r="C124" s="132"/>
      <c r="D124" s="132"/>
      <c r="E124" s="132"/>
      <c r="F124" s="132"/>
      <c r="G124" s="127"/>
      <c r="L124" s="4"/>
      <c r="M124" s="144"/>
      <c r="N124" s="144"/>
      <c r="O124" s="144"/>
      <c r="P124" s="145"/>
      <c r="Q124" s="144"/>
    </row>
    <row r="125" spans="3:18">
      <c r="C125" s="132"/>
      <c r="D125" s="132"/>
      <c r="E125" s="132"/>
      <c r="F125" s="132"/>
      <c r="G125" s="127"/>
      <c r="L125" s="4"/>
      <c r="M125" s="144"/>
      <c r="N125" s="144"/>
      <c r="O125" s="144"/>
      <c r="P125" s="145"/>
      <c r="Q125" s="144"/>
    </row>
    <row r="126" spans="3:18">
      <c r="C126" s="132"/>
      <c r="D126" s="132"/>
      <c r="E126" s="132"/>
      <c r="F126" s="132"/>
      <c r="G126" s="127"/>
      <c r="L126" s="4"/>
      <c r="M126" s="142"/>
      <c r="N126" s="142"/>
      <c r="O126" s="142"/>
      <c r="P126" s="41"/>
      <c r="Q126" s="142"/>
    </row>
    <row r="127" spans="3:18">
      <c r="C127" s="132"/>
      <c r="D127" s="132"/>
      <c r="E127" s="132"/>
      <c r="F127" s="132"/>
      <c r="G127" s="127"/>
      <c r="L127" s="4"/>
      <c r="M127" s="142"/>
      <c r="N127" s="142"/>
      <c r="O127" s="142"/>
      <c r="P127" s="41"/>
      <c r="Q127" s="142"/>
    </row>
    <row r="128" spans="3:18">
      <c r="C128" s="132"/>
      <c r="D128" s="132"/>
      <c r="E128" s="132"/>
      <c r="F128" s="132"/>
      <c r="G128" s="127"/>
      <c r="L128" s="4"/>
      <c r="M128" s="142"/>
      <c r="N128" s="142"/>
      <c r="O128" s="142"/>
      <c r="P128" s="41"/>
      <c r="Q128" s="142"/>
    </row>
    <row r="129" spans="7:17">
      <c r="G129" s="127"/>
      <c r="L129" s="4"/>
      <c r="M129" s="142"/>
      <c r="N129" s="142"/>
      <c r="O129" s="142"/>
      <c r="P129" s="41"/>
      <c r="Q129" s="142"/>
    </row>
    <row r="130" spans="7:17">
      <c r="G130" s="127"/>
      <c r="L130" s="4"/>
      <c r="M130" s="142"/>
      <c r="N130" s="142"/>
      <c r="O130" s="142"/>
      <c r="P130" s="41"/>
      <c r="Q130" s="142"/>
    </row>
    <row r="131" spans="7:17">
      <c r="G131" s="127"/>
      <c r="L131" s="4"/>
      <c r="M131" s="142"/>
      <c r="N131" s="142"/>
      <c r="O131" s="142"/>
      <c r="P131" s="41"/>
      <c r="Q131" s="142"/>
    </row>
    <row r="132" spans="7:17">
      <c r="G132" s="127"/>
      <c r="L132" s="4"/>
      <c r="M132" s="142"/>
      <c r="N132" s="142"/>
      <c r="O132" s="142"/>
      <c r="P132" s="41"/>
      <c r="Q132" s="142"/>
    </row>
    <row r="133" spans="7:17">
      <c r="G133" s="127"/>
      <c r="L133" s="4"/>
      <c r="M133" s="142"/>
      <c r="N133" s="142"/>
      <c r="O133" s="142"/>
      <c r="P133" s="41"/>
      <c r="Q133" s="142"/>
    </row>
    <row r="134" spans="7:17">
      <c r="G134" s="127"/>
      <c r="L134" s="4"/>
      <c r="M134" s="142"/>
      <c r="N134" s="142"/>
      <c r="O134" s="142"/>
      <c r="P134" s="41"/>
      <c r="Q134" s="142"/>
    </row>
    <row r="135" spans="7:17">
      <c r="L135" s="4"/>
      <c r="M135" s="142"/>
      <c r="N135" s="142"/>
      <c r="O135" s="142"/>
      <c r="P135" s="142"/>
      <c r="Q135" s="142"/>
    </row>
    <row r="136" spans="7:17">
      <c r="L136" s="4"/>
      <c r="M136" s="142"/>
      <c r="N136" s="142"/>
      <c r="O136" s="142"/>
      <c r="P136" s="142"/>
      <c r="Q136" s="142"/>
    </row>
    <row r="137" spans="7:17">
      <c r="L137" s="4"/>
      <c r="M137" s="142"/>
      <c r="N137" s="142"/>
      <c r="O137" s="142"/>
      <c r="P137" s="142"/>
      <c r="Q137" s="142"/>
    </row>
    <row r="138" spans="7:17">
      <c r="M138" s="142"/>
      <c r="N138" s="142"/>
      <c r="O138" s="142"/>
      <c r="P138" s="142"/>
      <c r="Q138" s="142"/>
    </row>
    <row r="139" spans="7:17">
      <c r="M139" s="142"/>
      <c r="N139" s="142"/>
      <c r="O139" s="142"/>
      <c r="P139" s="142"/>
      <c r="Q139" s="142"/>
    </row>
    <row r="140" spans="7:17">
      <c r="M140" s="142"/>
      <c r="N140" s="142"/>
      <c r="O140" s="142"/>
      <c r="P140" s="142"/>
      <c r="Q140" s="142"/>
    </row>
    <row r="141" spans="7:17">
      <c r="M141" s="142"/>
      <c r="N141" s="142"/>
      <c r="O141" s="142"/>
      <c r="P141" s="142"/>
      <c r="Q141" s="142"/>
    </row>
    <row r="142" spans="7:17">
      <c r="M142" s="142"/>
      <c r="N142" s="142"/>
      <c r="O142" s="142"/>
      <c r="P142" s="142"/>
      <c r="Q142" s="142"/>
    </row>
    <row r="143" spans="7:17">
      <c r="M143" s="142"/>
      <c r="N143" s="142"/>
      <c r="O143" s="142"/>
      <c r="P143" s="156"/>
      <c r="Q143" s="156"/>
    </row>
    <row r="144" spans="7:17">
      <c r="M144" s="142"/>
      <c r="N144" s="142"/>
      <c r="O144" s="142"/>
      <c r="P144" s="156"/>
      <c r="Q144" s="156"/>
    </row>
    <row r="145" spans="13:17">
      <c r="M145" s="142"/>
      <c r="N145" s="142"/>
      <c r="O145" s="142"/>
      <c r="P145" s="156"/>
      <c r="Q145" s="156"/>
    </row>
    <row r="146" spans="13:17">
      <c r="M146" s="157"/>
      <c r="N146" s="157"/>
      <c r="O146" s="157"/>
      <c r="P146" s="157"/>
      <c r="Q146" s="157"/>
    </row>
    <row r="147" spans="13:17">
      <c r="M147" s="158"/>
      <c r="N147" s="158"/>
      <c r="O147" s="158"/>
      <c r="P147" s="158"/>
      <c r="Q147" s="158"/>
    </row>
  </sheetData>
  <phoneticPr fontId="27" type="noConversion"/>
  <conditionalFormatting sqref="A27:A43">
    <cfRule type="expression" dxfId="225" priority="36">
      <formula>MONTH(A27)=1</formula>
    </cfRule>
  </conditionalFormatting>
  <conditionalFormatting sqref="A44:A55">
    <cfRule type="expression" dxfId="224" priority="33">
      <formula>MONTH(A44)=1</formula>
    </cfRule>
  </conditionalFormatting>
  <conditionalFormatting sqref="A47:A55">
    <cfRule type="expression" dxfId="223" priority="31">
      <formula>MONTH(A47)=1</formula>
    </cfRule>
  </conditionalFormatting>
  <conditionalFormatting sqref="A56">
    <cfRule type="expression" dxfId="222" priority="26">
      <formula>MONTH(A56)=1</formula>
    </cfRule>
  </conditionalFormatting>
  <conditionalFormatting sqref="A56">
    <cfRule type="expression" dxfId="221" priority="27">
      <formula>MONTH(A56)=1</formula>
    </cfRule>
  </conditionalFormatting>
  <conditionalFormatting sqref="A57">
    <cfRule type="expression" dxfId="220" priority="25">
      <formula>MONTH(A57)=1</formula>
    </cfRule>
  </conditionalFormatting>
  <conditionalFormatting sqref="A57">
    <cfRule type="expression" dxfId="219" priority="24">
      <formula>MONTH(A57)=1</formula>
    </cfRule>
  </conditionalFormatting>
  <conditionalFormatting sqref="A58">
    <cfRule type="expression" dxfId="218" priority="23">
      <formula>MONTH(A58)=1</formula>
    </cfRule>
  </conditionalFormatting>
  <conditionalFormatting sqref="A58">
    <cfRule type="expression" dxfId="217" priority="22">
      <formula>MONTH(A58)=1</formula>
    </cfRule>
  </conditionalFormatting>
  <conditionalFormatting sqref="A59">
    <cfRule type="expression" dxfId="216" priority="21">
      <formula>MONTH(A59)=1</formula>
    </cfRule>
  </conditionalFormatting>
  <conditionalFormatting sqref="A59">
    <cfRule type="expression" dxfId="215" priority="20">
      <formula>MONTH(A59)=1</formula>
    </cfRule>
  </conditionalFormatting>
  <conditionalFormatting sqref="A60">
    <cfRule type="expression" dxfId="214" priority="16">
      <formula>MONTH(A60)=1</formula>
    </cfRule>
  </conditionalFormatting>
  <conditionalFormatting sqref="A60">
    <cfRule type="expression" dxfId="213" priority="15">
      <formula>MONTH(A60)=1</formula>
    </cfRule>
  </conditionalFormatting>
  <conditionalFormatting sqref="A61:A71 A78">
    <cfRule type="expression" dxfId="212" priority="10">
      <formula>MONTH(A61)=1</formula>
    </cfRule>
  </conditionalFormatting>
  <conditionalFormatting sqref="A61:A71 A78">
    <cfRule type="expression" dxfId="211" priority="9">
      <formula>MONTH(A61)=1</formula>
    </cfRule>
  </conditionalFormatting>
  <conditionalFormatting sqref="A72:A77">
    <cfRule type="expression" dxfId="210" priority="1">
      <formula>MONTH(A72)=1</formula>
    </cfRule>
  </conditionalFormatting>
  <conditionalFormatting sqref="A72:A77">
    <cfRule type="expression" dxfId="209" priority="2">
      <formula>MONTH(A72)=1</formula>
    </cfRule>
  </conditionalFormatting>
  <pageMargins left="0.78740157480314965" right="0.78740157480314965" top="1.1417322834645669" bottom="1.1417322834645669" header="0.51181102362204722" footer="0.51181102362204722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DF9A9-8555-4523-A766-7BEC9E2BAAB5}">
  <sheetPr>
    <pageSetUpPr fitToPage="1"/>
  </sheetPr>
  <dimension ref="A1:AH326"/>
  <sheetViews>
    <sheetView view="pageBreakPreview" zoomScale="115" zoomScaleNormal="100" zoomScaleSheetLayoutView="115" workbookViewId="0">
      <pane xSplit="1" ySplit="6" topLeftCell="B7" activePane="bottomRight" state="frozen"/>
      <selection activeCell="AB48" sqref="AB48"/>
      <selection pane="topRight" activeCell="AB48" sqref="AB48"/>
      <selection pane="bottomLeft" activeCell="AB48" sqref="AB48"/>
      <selection pane="bottomRight"/>
    </sheetView>
  </sheetViews>
  <sheetFormatPr defaultRowHeight="13.5"/>
  <cols>
    <col min="1" max="1" width="9.109375" style="123" customWidth="1"/>
    <col min="2" max="2" width="8.5546875" style="163" customWidth="1"/>
    <col min="3" max="3" width="8.5546875" style="132" customWidth="1"/>
    <col min="4" max="6" width="8.5546875" style="106" customWidth="1"/>
    <col min="7" max="7" width="8.5546875" style="132" customWidth="1"/>
    <col min="8" max="8" width="8.5546875" style="115" customWidth="1"/>
    <col min="9" max="9" width="6.109375" style="115" customWidth="1"/>
    <col min="10" max="10" width="9.33203125" style="115" customWidth="1"/>
    <col min="11" max="13" width="6.109375" style="106" customWidth="1"/>
    <col min="14" max="15" width="4.44140625" style="106" customWidth="1"/>
    <col min="16" max="16" width="3.5546875" style="106" customWidth="1"/>
    <col min="17" max="20" width="5.6640625" style="106" bestFit="1" customWidth="1"/>
    <col min="21" max="22" width="4" style="106" bestFit="1" customWidth="1"/>
    <col min="23" max="23" width="4.21875" style="106" customWidth="1"/>
    <col min="24" max="24" width="6.6640625" style="106" bestFit="1" customWidth="1"/>
    <col min="25" max="25" width="4.21875" style="106" customWidth="1"/>
    <col min="26" max="256" width="8.88671875" style="106"/>
    <col min="257" max="257" width="7.109375" style="106" customWidth="1"/>
    <col min="258" max="258" width="9.5546875" style="106" customWidth="1"/>
    <col min="259" max="264" width="8.77734375" style="106" customWidth="1"/>
    <col min="265" max="269" width="6.109375" style="106" customWidth="1"/>
    <col min="270" max="271" width="4.44140625" style="106" customWidth="1"/>
    <col min="272" max="272" width="3.5546875" style="106" customWidth="1"/>
    <col min="273" max="276" width="5.6640625" style="106" bestFit="1" customWidth="1"/>
    <col min="277" max="278" width="4" style="106" bestFit="1" customWidth="1"/>
    <col min="279" max="279" width="4.21875" style="106" customWidth="1"/>
    <col min="280" max="280" width="6.6640625" style="106" bestFit="1" customWidth="1"/>
    <col min="281" max="281" width="4.21875" style="106" customWidth="1"/>
    <col min="282" max="512" width="8.88671875" style="106"/>
    <col min="513" max="513" width="7.109375" style="106" customWidth="1"/>
    <col min="514" max="514" width="9.5546875" style="106" customWidth="1"/>
    <col min="515" max="520" width="8.77734375" style="106" customWidth="1"/>
    <col min="521" max="525" width="6.109375" style="106" customWidth="1"/>
    <col min="526" max="527" width="4.44140625" style="106" customWidth="1"/>
    <col min="528" max="528" width="3.5546875" style="106" customWidth="1"/>
    <col min="529" max="532" width="5.6640625" style="106" bestFit="1" customWidth="1"/>
    <col min="533" max="534" width="4" style="106" bestFit="1" customWidth="1"/>
    <col min="535" max="535" width="4.21875" style="106" customWidth="1"/>
    <col min="536" max="536" width="6.6640625" style="106" bestFit="1" customWidth="1"/>
    <col min="537" max="537" width="4.21875" style="106" customWidth="1"/>
    <col min="538" max="768" width="8.88671875" style="106"/>
    <col min="769" max="769" width="7.109375" style="106" customWidth="1"/>
    <col min="770" max="770" width="9.5546875" style="106" customWidth="1"/>
    <col min="771" max="776" width="8.77734375" style="106" customWidth="1"/>
    <col min="777" max="781" width="6.109375" style="106" customWidth="1"/>
    <col min="782" max="783" width="4.44140625" style="106" customWidth="1"/>
    <col min="784" max="784" width="3.5546875" style="106" customWidth="1"/>
    <col min="785" max="788" width="5.6640625" style="106" bestFit="1" customWidth="1"/>
    <col min="789" max="790" width="4" style="106" bestFit="1" customWidth="1"/>
    <col min="791" max="791" width="4.21875" style="106" customWidth="1"/>
    <col min="792" max="792" width="6.6640625" style="106" bestFit="1" customWidth="1"/>
    <col min="793" max="793" width="4.21875" style="106" customWidth="1"/>
    <col min="794" max="1024" width="8.88671875" style="106"/>
    <col min="1025" max="1025" width="7.109375" style="106" customWidth="1"/>
    <col min="1026" max="1026" width="9.5546875" style="106" customWidth="1"/>
    <col min="1027" max="1032" width="8.77734375" style="106" customWidth="1"/>
    <col min="1033" max="1037" width="6.109375" style="106" customWidth="1"/>
    <col min="1038" max="1039" width="4.44140625" style="106" customWidth="1"/>
    <col min="1040" max="1040" width="3.5546875" style="106" customWidth="1"/>
    <col min="1041" max="1044" width="5.6640625" style="106" bestFit="1" customWidth="1"/>
    <col min="1045" max="1046" width="4" style="106" bestFit="1" customWidth="1"/>
    <col min="1047" max="1047" width="4.21875" style="106" customWidth="1"/>
    <col min="1048" max="1048" width="6.6640625" style="106" bestFit="1" customWidth="1"/>
    <col min="1049" max="1049" width="4.21875" style="106" customWidth="1"/>
    <col min="1050" max="1280" width="8.88671875" style="106"/>
    <col min="1281" max="1281" width="7.109375" style="106" customWidth="1"/>
    <col min="1282" max="1282" width="9.5546875" style="106" customWidth="1"/>
    <col min="1283" max="1288" width="8.77734375" style="106" customWidth="1"/>
    <col min="1289" max="1293" width="6.109375" style="106" customWidth="1"/>
    <col min="1294" max="1295" width="4.44140625" style="106" customWidth="1"/>
    <col min="1296" max="1296" width="3.5546875" style="106" customWidth="1"/>
    <col min="1297" max="1300" width="5.6640625" style="106" bestFit="1" customWidth="1"/>
    <col min="1301" max="1302" width="4" style="106" bestFit="1" customWidth="1"/>
    <col min="1303" max="1303" width="4.21875" style="106" customWidth="1"/>
    <col min="1304" max="1304" width="6.6640625" style="106" bestFit="1" customWidth="1"/>
    <col min="1305" max="1305" width="4.21875" style="106" customWidth="1"/>
    <col min="1306" max="1536" width="8.88671875" style="106"/>
    <col min="1537" max="1537" width="7.109375" style="106" customWidth="1"/>
    <col min="1538" max="1538" width="9.5546875" style="106" customWidth="1"/>
    <col min="1539" max="1544" width="8.77734375" style="106" customWidth="1"/>
    <col min="1545" max="1549" width="6.109375" style="106" customWidth="1"/>
    <col min="1550" max="1551" width="4.44140625" style="106" customWidth="1"/>
    <col min="1552" max="1552" width="3.5546875" style="106" customWidth="1"/>
    <col min="1553" max="1556" width="5.6640625" style="106" bestFit="1" customWidth="1"/>
    <col min="1557" max="1558" width="4" style="106" bestFit="1" customWidth="1"/>
    <col min="1559" max="1559" width="4.21875" style="106" customWidth="1"/>
    <col min="1560" max="1560" width="6.6640625" style="106" bestFit="1" customWidth="1"/>
    <col min="1561" max="1561" width="4.21875" style="106" customWidth="1"/>
    <col min="1562" max="1792" width="8.88671875" style="106"/>
    <col min="1793" max="1793" width="7.109375" style="106" customWidth="1"/>
    <col min="1794" max="1794" width="9.5546875" style="106" customWidth="1"/>
    <col min="1795" max="1800" width="8.77734375" style="106" customWidth="1"/>
    <col min="1801" max="1805" width="6.109375" style="106" customWidth="1"/>
    <col min="1806" max="1807" width="4.44140625" style="106" customWidth="1"/>
    <col min="1808" max="1808" width="3.5546875" style="106" customWidth="1"/>
    <col min="1809" max="1812" width="5.6640625" style="106" bestFit="1" customWidth="1"/>
    <col min="1813" max="1814" width="4" style="106" bestFit="1" customWidth="1"/>
    <col min="1815" max="1815" width="4.21875" style="106" customWidth="1"/>
    <col min="1816" max="1816" width="6.6640625" style="106" bestFit="1" customWidth="1"/>
    <col min="1817" max="1817" width="4.21875" style="106" customWidth="1"/>
    <col min="1818" max="2048" width="8.88671875" style="106"/>
    <col min="2049" max="2049" width="7.109375" style="106" customWidth="1"/>
    <col min="2050" max="2050" width="9.5546875" style="106" customWidth="1"/>
    <col min="2051" max="2056" width="8.77734375" style="106" customWidth="1"/>
    <col min="2057" max="2061" width="6.109375" style="106" customWidth="1"/>
    <col min="2062" max="2063" width="4.44140625" style="106" customWidth="1"/>
    <col min="2064" max="2064" width="3.5546875" style="106" customWidth="1"/>
    <col min="2065" max="2068" width="5.6640625" style="106" bestFit="1" customWidth="1"/>
    <col min="2069" max="2070" width="4" style="106" bestFit="1" customWidth="1"/>
    <col min="2071" max="2071" width="4.21875" style="106" customWidth="1"/>
    <col min="2072" max="2072" width="6.6640625" style="106" bestFit="1" customWidth="1"/>
    <col min="2073" max="2073" width="4.21875" style="106" customWidth="1"/>
    <col min="2074" max="2304" width="8.88671875" style="106"/>
    <col min="2305" max="2305" width="7.109375" style="106" customWidth="1"/>
    <col min="2306" max="2306" width="9.5546875" style="106" customWidth="1"/>
    <col min="2307" max="2312" width="8.77734375" style="106" customWidth="1"/>
    <col min="2313" max="2317" width="6.109375" style="106" customWidth="1"/>
    <col min="2318" max="2319" width="4.44140625" style="106" customWidth="1"/>
    <col min="2320" max="2320" width="3.5546875" style="106" customWidth="1"/>
    <col min="2321" max="2324" width="5.6640625" style="106" bestFit="1" customWidth="1"/>
    <col min="2325" max="2326" width="4" style="106" bestFit="1" customWidth="1"/>
    <col min="2327" max="2327" width="4.21875" style="106" customWidth="1"/>
    <col min="2328" max="2328" width="6.6640625" style="106" bestFit="1" customWidth="1"/>
    <col min="2329" max="2329" width="4.21875" style="106" customWidth="1"/>
    <col min="2330" max="2560" width="8.88671875" style="106"/>
    <col min="2561" max="2561" width="7.109375" style="106" customWidth="1"/>
    <col min="2562" max="2562" width="9.5546875" style="106" customWidth="1"/>
    <col min="2563" max="2568" width="8.77734375" style="106" customWidth="1"/>
    <col min="2569" max="2573" width="6.109375" style="106" customWidth="1"/>
    <col min="2574" max="2575" width="4.44140625" style="106" customWidth="1"/>
    <col min="2576" max="2576" width="3.5546875" style="106" customWidth="1"/>
    <col min="2577" max="2580" width="5.6640625" style="106" bestFit="1" customWidth="1"/>
    <col min="2581" max="2582" width="4" style="106" bestFit="1" customWidth="1"/>
    <col min="2583" max="2583" width="4.21875" style="106" customWidth="1"/>
    <col min="2584" max="2584" width="6.6640625" style="106" bestFit="1" customWidth="1"/>
    <col min="2585" max="2585" width="4.21875" style="106" customWidth="1"/>
    <col min="2586" max="2816" width="8.88671875" style="106"/>
    <col min="2817" max="2817" width="7.109375" style="106" customWidth="1"/>
    <col min="2818" max="2818" width="9.5546875" style="106" customWidth="1"/>
    <col min="2819" max="2824" width="8.77734375" style="106" customWidth="1"/>
    <col min="2825" max="2829" width="6.109375" style="106" customWidth="1"/>
    <col min="2830" max="2831" width="4.44140625" style="106" customWidth="1"/>
    <col min="2832" max="2832" width="3.5546875" style="106" customWidth="1"/>
    <col min="2833" max="2836" width="5.6640625" style="106" bestFit="1" customWidth="1"/>
    <col min="2837" max="2838" width="4" style="106" bestFit="1" customWidth="1"/>
    <col min="2839" max="2839" width="4.21875" style="106" customWidth="1"/>
    <col min="2840" max="2840" width="6.6640625" style="106" bestFit="1" customWidth="1"/>
    <col min="2841" max="2841" width="4.21875" style="106" customWidth="1"/>
    <col min="2842" max="3072" width="8.88671875" style="106"/>
    <col min="3073" max="3073" width="7.109375" style="106" customWidth="1"/>
    <col min="3074" max="3074" width="9.5546875" style="106" customWidth="1"/>
    <col min="3075" max="3080" width="8.77734375" style="106" customWidth="1"/>
    <col min="3081" max="3085" width="6.109375" style="106" customWidth="1"/>
    <col min="3086" max="3087" width="4.44140625" style="106" customWidth="1"/>
    <col min="3088" max="3088" width="3.5546875" style="106" customWidth="1"/>
    <col min="3089" max="3092" width="5.6640625" style="106" bestFit="1" customWidth="1"/>
    <col min="3093" max="3094" width="4" style="106" bestFit="1" customWidth="1"/>
    <col min="3095" max="3095" width="4.21875" style="106" customWidth="1"/>
    <col min="3096" max="3096" width="6.6640625" style="106" bestFit="1" customWidth="1"/>
    <col min="3097" max="3097" width="4.21875" style="106" customWidth="1"/>
    <col min="3098" max="3328" width="8.88671875" style="106"/>
    <col min="3329" max="3329" width="7.109375" style="106" customWidth="1"/>
    <col min="3330" max="3330" width="9.5546875" style="106" customWidth="1"/>
    <col min="3331" max="3336" width="8.77734375" style="106" customWidth="1"/>
    <col min="3337" max="3341" width="6.109375" style="106" customWidth="1"/>
    <col min="3342" max="3343" width="4.44140625" style="106" customWidth="1"/>
    <col min="3344" max="3344" width="3.5546875" style="106" customWidth="1"/>
    <col min="3345" max="3348" width="5.6640625" style="106" bestFit="1" customWidth="1"/>
    <col min="3349" max="3350" width="4" style="106" bestFit="1" customWidth="1"/>
    <col min="3351" max="3351" width="4.21875" style="106" customWidth="1"/>
    <col min="3352" max="3352" width="6.6640625" style="106" bestFit="1" customWidth="1"/>
    <col min="3353" max="3353" width="4.21875" style="106" customWidth="1"/>
    <col min="3354" max="3584" width="8.88671875" style="106"/>
    <col min="3585" max="3585" width="7.109375" style="106" customWidth="1"/>
    <col min="3586" max="3586" width="9.5546875" style="106" customWidth="1"/>
    <col min="3587" max="3592" width="8.77734375" style="106" customWidth="1"/>
    <col min="3593" max="3597" width="6.109375" style="106" customWidth="1"/>
    <col min="3598" max="3599" width="4.44140625" style="106" customWidth="1"/>
    <col min="3600" max="3600" width="3.5546875" style="106" customWidth="1"/>
    <col min="3601" max="3604" width="5.6640625" style="106" bestFit="1" customWidth="1"/>
    <col min="3605" max="3606" width="4" style="106" bestFit="1" customWidth="1"/>
    <col min="3607" max="3607" width="4.21875" style="106" customWidth="1"/>
    <col min="3608" max="3608" width="6.6640625" style="106" bestFit="1" customWidth="1"/>
    <col min="3609" max="3609" width="4.21875" style="106" customWidth="1"/>
    <col min="3610" max="3840" width="8.88671875" style="106"/>
    <col min="3841" max="3841" width="7.109375" style="106" customWidth="1"/>
    <col min="3842" max="3842" width="9.5546875" style="106" customWidth="1"/>
    <col min="3843" max="3848" width="8.77734375" style="106" customWidth="1"/>
    <col min="3849" max="3853" width="6.109375" style="106" customWidth="1"/>
    <col min="3854" max="3855" width="4.44140625" style="106" customWidth="1"/>
    <col min="3856" max="3856" width="3.5546875" style="106" customWidth="1"/>
    <col min="3857" max="3860" width="5.6640625" style="106" bestFit="1" customWidth="1"/>
    <col min="3861" max="3862" width="4" style="106" bestFit="1" customWidth="1"/>
    <col min="3863" max="3863" width="4.21875" style="106" customWidth="1"/>
    <col min="3864" max="3864" width="6.6640625" style="106" bestFit="1" customWidth="1"/>
    <col min="3865" max="3865" width="4.21875" style="106" customWidth="1"/>
    <col min="3866" max="4096" width="8.88671875" style="106"/>
    <col min="4097" max="4097" width="7.109375" style="106" customWidth="1"/>
    <col min="4098" max="4098" width="9.5546875" style="106" customWidth="1"/>
    <col min="4099" max="4104" width="8.77734375" style="106" customWidth="1"/>
    <col min="4105" max="4109" width="6.109375" style="106" customWidth="1"/>
    <col min="4110" max="4111" width="4.44140625" style="106" customWidth="1"/>
    <col min="4112" max="4112" width="3.5546875" style="106" customWidth="1"/>
    <col min="4113" max="4116" width="5.6640625" style="106" bestFit="1" customWidth="1"/>
    <col min="4117" max="4118" width="4" style="106" bestFit="1" customWidth="1"/>
    <col min="4119" max="4119" width="4.21875" style="106" customWidth="1"/>
    <col min="4120" max="4120" width="6.6640625" style="106" bestFit="1" customWidth="1"/>
    <col min="4121" max="4121" width="4.21875" style="106" customWidth="1"/>
    <col min="4122" max="4352" width="8.88671875" style="106"/>
    <col min="4353" max="4353" width="7.109375" style="106" customWidth="1"/>
    <col min="4354" max="4354" width="9.5546875" style="106" customWidth="1"/>
    <col min="4355" max="4360" width="8.77734375" style="106" customWidth="1"/>
    <col min="4361" max="4365" width="6.109375" style="106" customWidth="1"/>
    <col min="4366" max="4367" width="4.44140625" style="106" customWidth="1"/>
    <col min="4368" max="4368" width="3.5546875" style="106" customWidth="1"/>
    <col min="4369" max="4372" width="5.6640625" style="106" bestFit="1" customWidth="1"/>
    <col min="4373" max="4374" width="4" style="106" bestFit="1" customWidth="1"/>
    <col min="4375" max="4375" width="4.21875" style="106" customWidth="1"/>
    <col min="4376" max="4376" width="6.6640625" style="106" bestFit="1" customWidth="1"/>
    <col min="4377" max="4377" width="4.21875" style="106" customWidth="1"/>
    <col min="4378" max="4608" width="8.88671875" style="106"/>
    <col min="4609" max="4609" width="7.109375" style="106" customWidth="1"/>
    <col min="4610" max="4610" width="9.5546875" style="106" customWidth="1"/>
    <col min="4611" max="4616" width="8.77734375" style="106" customWidth="1"/>
    <col min="4617" max="4621" width="6.109375" style="106" customWidth="1"/>
    <col min="4622" max="4623" width="4.44140625" style="106" customWidth="1"/>
    <col min="4624" max="4624" width="3.5546875" style="106" customWidth="1"/>
    <col min="4625" max="4628" width="5.6640625" style="106" bestFit="1" customWidth="1"/>
    <col min="4629" max="4630" width="4" style="106" bestFit="1" customWidth="1"/>
    <col min="4631" max="4631" width="4.21875" style="106" customWidth="1"/>
    <col min="4632" max="4632" width="6.6640625" style="106" bestFit="1" customWidth="1"/>
    <col min="4633" max="4633" width="4.21875" style="106" customWidth="1"/>
    <col min="4634" max="4864" width="8.88671875" style="106"/>
    <col min="4865" max="4865" width="7.109375" style="106" customWidth="1"/>
    <col min="4866" max="4866" width="9.5546875" style="106" customWidth="1"/>
    <col min="4867" max="4872" width="8.77734375" style="106" customWidth="1"/>
    <col min="4873" max="4877" width="6.109375" style="106" customWidth="1"/>
    <col min="4878" max="4879" width="4.44140625" style="106" customWidth="1"/>
    <col min="4880" max="4880" width="3.5546875" style="106" customWidth="1"/>
    <col min="4881" max="4884" width="5.6640625" style="106" bestFit="1" customWidth="1"/>
    <col min="4885" max="4886" width="4" style="106" bestFit="1" customWidth="1"/>
    <col min="4887" max="4887" width="4.21875" style="106" customWidth="1"/>
    <col min="4888" max="4888" width="6.6640625" style="106" bestFit="1" customWidth="1"/>
    <col min="4889" max="4889" width="4.21875" style="106" customWidth="1"/>
    <col min="4890" max="5120" width="8.88671875" style="106"/>
    <col min="5121" max="5121" width="7.109375" style="106" customWidth="1"/>
    <col min="5122" max="5122" width="9.5546875" style="106" customWidth="1"/>
    <col min="5123" max="5128" width="8.77734375" style="106" customWidth="1"/>
    <col min="5129" max="5133" width="6.109375" style="106" customWidth="1"/>
    <col min="5134" max="5135" width="4.44140625" style="106" customWidth="1"/>
    <col min="5136" max="5136" width="3.5546875" style="106" customWidth="1"/>
    <col min="5137" max="5140" width="5.6640625" style="106" bestFit="1" customWidth="1"/>
    <col min="5141" max="5142" width="4" style="106" bestFit="1" customWidth="1"/>
    <col min="5143" max="5143" width="4.21875" style="106" customWidth="1"/>
    <col min="5144" max="5144" width="6.6640625" style="106" bestFit="1" customWidth="1"/>
    <col min="5145" max="5145" width="4.21875" style="106" customWidth="1"/>
    <col min="5146" max="5376" width="8.88671875" style="106"/>
    <col min="5377" max="5377" width="7.109375" style="106" customWidth="1"/>
    <col min="5378" max="5378" width="9.5546875" style="106" customWidth="1"/>
    <col min="5379" max="5384" width="8.77734375" style="106" customWidth="1"/>
    <col min="5385" max="5389" width="6.109375" style="106" customWidth="1"/>
    <col min="5390" max="5391" width="4.44140625" style="106" customWidth="1"/>
    <col min="5392" max="5392" width="3.5546875" style="106" customWidth="1"/>
    <col min="5393" max="5396" width="5.6640625" style="106" bestFit="1" customWidth="1"/>
    <col min="5397" max="5398" width="4" style="106" bestFit="1" customWidth="1"/>
    <col min="5399" max="5399" width="4.21875" style="106" customWidth="1"/>
    <col min="5400" max="5400" width="6.6640625" style="106" bestFit="1" customWidth="1"/>
    <col min="5401" max="5401" width="4.21875" style="106" customWidth="1"/>
    <col min="5402" max="5632" width="8.88671875" style="106"/>
    <col min="5633" max="5633" width="7.109375" style="106" customWidth="1"/>
    <col min="5634" max="5634" width="9.5546875" style="106" customWidth="1"/>
    <col min="5635" max="5640" width="8.77734375" style="106" customWidth="1"/>
    <col min="5641" max="5645" width="6.109375" style="106" customWidth="1"/>
    <col min="5646" max="5647" width="4.44140625" style="106" customWidth="1"/>
    <col min="5648" max="5648" width="3.5546875" style="106" customWidth="1"/>
    <col min="5649" max="5652" width="5.6640625" style="106" bestFit="1" customWidth="1"/>
    <col min="5653" max="5654" width="4" style="106" bestFit="1" customWidth="1"/>
    <col min="5655" max="5655" width="4.21875" style="106" customWidth="1"/>
    <col min="5656" max="5656" width="6.6640625" style="106" bestFit="1" customWidth="1"/>
    <col min="5657" max="5657" width="4.21875" style="106" customWidth="1"/>
    <col min="5658" max="5888" width="8.88671875" style="106"/>
    <col min="5889" max="5889" width="7.109375" style="106" customWidth="1"/>
    <col min="5890" max="5890" width="9.5546875" style="106" customWidth="1"/>
    <col min="5891" max="5896" width="8.77734375" style="106" customWidth="1"/>
    <col min="5897" max="5901" width="6.109375" style="106" customWidth="1"/>
    <col min="5902" max="5903" width="4.44140625" style="106" customWidth="1"/>
    <col min="5904" max="5904" width="3.5546875" style="106" customWidth="1"/>
    <col min="5905" max="5908" width="5.6640625" style="106" bestFit="1" customWidth="1"/>
    <col min="5909" max="5910" width="4" style="106" bestFit="1" customWidth="1"/>
    <col min="5911" max="5911" width="4.21875" style="106" customWidth="1"/>
    <col min="5912" max="5912" width="6.6640625" style="106" bestFit="1" customWidth="1"/>
    <col min="5913" max="5913" width="4.21875" style="106" customWidth="1"/>
    <col min="5914" max="6144" width="8.88671875" style="106"/>
    <col min="6145" max="6145" width="7.109375" style="106" customWidth="1"/>
    <col min="6146" max="6146" width="9.5546875" style="106" customWidth="1"/>
    <col min="6147" max="6152" width="8.77734375" style="106" customWidth="1"/>
    <col min="6153" max="6157" width="6.109375" style="106" customWidth="1"/>
    <col min="6158" max="6159" width="4.44140625" style="106" customWidth="1"/>
    <col min="6160" max="6160" width="3.5546875" style="106" customWidth="1"/>
    <col min="6161" max="6164" width="5.6640625" style="106" bestFit="1" customWidth="1"/>
    <col min="6165" max="6166" width="4" style="106" bestFit="1" customWidth="1"/>
    <col min="6167" max="6167" width="4.21875" style="106" customWidth="1"/>
    <col min="6168" max="6168" width="6.6640625" style="106" bestFit="1" customWidth="1"/>
    <col min="6169" max="6169" width="4.21875" style="106" customWidth="1"/>
    <col min="6170" max="6400" width="8.88671875" style="106"/>
    <col min="6401" max="6401" width="7.109375" style="106" customWidth="1"/>
    <col min="6402" max="6402" width="9.5546875" style="106" customWidth="1"/>
    <col min="6403" max="6408" width="8.77734375" style="106" customWidth="1"/>
    <col min="6409" max="6413" width="6.109375" style="106" customWidth="1"/>
    <col min="6414" max="6415" width="4.44140625" style="106" customWidth="1"/>
    <col min="6416" max="6416" width="3.5546875" style="106" customWidth="1"/>
    <col min="6417" max="6420" width="5.6640625" style="106" bestFit="1" customWidth="1"/>
    <col min="6421" max="6422" width="4" style="106" bestFit="1" customWidth="1"/>
    <col min="6423" max="6423" width="4.21875" style="106" customWidth="1"/>
    <col min="6424" max="6424" width="6.6640625" style="106" bestFit="1" customWidth="1"/>
    <col min="6425" max="6425" width="4.21875" style="106" customWidth="1"/>
    <col min="6426" max="6656" width="8.88671875" style="106"/>
    <col min="6657" max="6657" width="7.109375" style="106" customWidth="1"/>
    <col min="6658" max="6658" width="9.5546875" style="106" customWidth="1"/>
    <col min="6659" max="6664" width="8.77734375" style="106" customWidth="1"/>
    <col min="6665" max="6669" width="6.109375" style="106" customWidth="1"/>
    <col min="6670" max="6671" width="4.44140625" style="106" customWidth="1"/>
    <col min="6672" max="6672" width="3.5546875" style="106" customWidth="1"/>
    <col min="6673" max="6676" width="5.6640625" style="106" bestFit="1" customWidth="1"/>
    <col min="6677" max="6678" width="4" style="106" bestFit="1" customWidth="1"/>
    <col min="6679" max="6679" width="4.21875" style="106" customWidth="1"/>
    <col min="6680" max="6680" width="6.6640625" style="106" bestFit="1" customWidth="1"/>
    <col min="6681" max="6681" width="4.21875" style="106" customWidth="1"/>
    <col min="6682" max="6912" width="8.88671875" style="106"/>
    <col min="6913" max="6913" width="7.109375" style="106" customWidth="1"/>
    <col min="6914" max="6914" width="9.5546875" style="106" customWidth="1"/>
    <col min="6915" max="6920" width="8.77734375" style="106" customWidth="1"/>
    <col min="6921" max="6925" width="6.109375" style="106" customWidth="1"/>
    <col min="6926" max="6927" width="4.44140625" style="106" customWidth="1"/>
    <col min="6928" max="6928" width="3.5546875" style="106" customWidth="1"/>
    <col min="6929" max="6932" width="5.6640625" style="106" bestFit="1" customWidth="1"/>
    <col min="6933" max="6934" width="4" style="106" bestFit="1" customWidth="1"/>
    <col min="6935" max="6935" width="4.21875" style="106" customWidth="1"/>
    <col min="6936" max="6936" width="6.6640625" style="106" bestFit="1" customWidth="1"/>
    <col min="6937" max="6937" width="4.21875" style="106" customWidth="1"/>
    <col min="6938" max="7168" width="8.88671875" style="106"/>
    <col min="7169" max="7169" width="7.109375" style="106" customWidth="1"/>
    <col min="7170" max="7170" width="9.5546875" style="106" customWidth="1"/>
    <col min="7171" max="7176" width="8.77734375" style="106" customWidth="1"/>
    <col min="7177" max="7181" width="6.109375" style="106" customWidth="1"/>
    <col min="7182" max="7183" width="4.44140625" style="106" customWidth="1"/>
    <col min="7184" max="7184" width="3.5546875" style="106" customWidth="1"/>
    <col min="7185" max="7188" width="5.6640625" style="106" bestFit="1" customWidth="1"/>
    <col min="7189" max="7190" width="4" style="106" bestFit="1" customWidth="1"/>
    <col min="7191" max="7191" width="4.21875" style="106" customWidth="1"/>
    <col min="7192" max="7192" width="6.6640625" style="106" bestFit="1" customWidth="1"/>
    <col min="7193" max="7193" width="4.21875" style="106" customWidth="1"/>
    <col min="7194" max="7424" width="8.88671875" style="106"/>
    <col min="7425" max="7425" width="7.109375" style="106" customWidth="1"/>
    <col min="7426" max="7426" width="9.5546875" style="106" customWidth="1"/>
    <col min="7427" max="7432" width="8.77734375" style="106" customWidth="1"/>
    <col min="7433" max="7437" width="6.109375" style="106" customWidth="1"/>
    <col min="7438" max="7439" width="4.44140625" style="106" customWidth="1"/>
    <col min="7440" max="7440" width="3.5546875" style="106" customWidth="1"/>
    <col min="7441" max="7444" width="5.6640625" style="106" bestFit="1" customWidth="1"/>
    <col min="7445" max="7446" width="4" style="106" bestFit="1" customWidth="1"/>
    <col min="7447" max="7447" width="4.21875" style="106" customWidth="1"/>
    <col min="7448" max="7448" width="6.6640625" style="106" bestFit="1" customWidth="1"/>
    <col min="7449" max="7449" width="4.21875" style="106" customWidth="1"/>
    <col min="7450" max="7680" width="8.88671875" style="106"/>
    <col min="7681" max="7681" width="7.109375" style="106" customWidth="1"/>
    <col min="7682" max="7682" width="9.5546875" style="106" customWidth="1"/>
    <col min="7683" max="7688" width="8.77734375" style="106" customWidth="1"/>
    <col min="7689" max="7693" width="6.109375" style="106" customWidth="1"/>
    <col min="7694" max="7695" width="4.44140625" style="106" customWidth="1"/>
    <col min="7696" max="7696" width="3.5546875" style="106" customWidth="1"/>
    <col min="7697" max="7700" width="5.6640625" style="106" bestFit="1" customWidth="1"/>
    <col min="7701" max="7702" width="4" style="106" bestFit="1" customWidth="1"/>
    <col min="7703" max="7703" width="4.21875" style="106" customWidth="1"/>
    <col min="7704" max="7704" width="6.6640625" style="106" bestFit="1" customWidth="1"/>
    <col min="7705" max="7705" width="4.21875" style="106" customWidth="1"/>
    <col min="7706" max="7936" width="8.88671875" style="106"/>
    <col min="7937" max="7937" width="7.109375" style="106" customWidth="1"/>
    <col min="7938" max="7938" width="9.5546875" style="106" customWidth="1"/>
    <col min="7939" max="7944" width="8.77734375" style="106" customWidth="1"/>
    <col min="7945" max="7949" width="6.109375" style="106" customWidth="1"/>
    <col min="7950" max="7951" width="4.44140625" style="106" customWidth="1"/>
    <col min="7952" max="7952" width="3.5546875" style="106" customWidth="1"/>
    <col min="7953" max="7956" width="5.6640625" style="106" bestFit="1" customWidth="1"/>
    <col min="7957" max="7958" width="4" style="106" bestFit="1" customWidth="1"/>
    <col min="7959" max="7959" width="4.21875" style="106" customWidth="1"/>
    <col min="7960" max="7960" width="6.6640625" style="106" bestFit="1" customWidth="1"/>
    <col min="7961" max="7961" width="4.21875" style="106" customWidth="1"/>
    <col min="7962" max="8192" width="8.88671875" style="106"/>
    <col min="8193" max="8193" width="7.109375" style="106" customWidth="1"/>
    <col min="8194" max="8194" width="9.5546875" style="106" customWidth="1"/>
    <col min="8195" max="8200" width="8.77734375" style="106" customWidth="1"/>
    <col min="8201" max="8205" width="6.109375" style="106" customWidth="1"/>
    <col min="8206" max="8207" width="4.44140625" style="106" customWidth="1"/>
    <col min="8208" max="8208" width="3.5546875" style="106" customWidth="1"/>
    <col min="8209" max="8212" width="5.6640625" style="106" bestFit="1" customWidth="1"/>
    <col min="8213" max="8214" width="4" style="106" bestFit="1" customWidth="1"/>
    <col min="8215" max="8215" width="4.21875" style="106" customWidth="1"/>
    <col min="8216" max="8216" width="6.6640625" style="106" bestFit="1" customWidth="1"/>
    <col min="8217" max="8217" width="4.21875" style="106" customWidth="1"/>
    <col min="8218" max="8448" width="8.88671875" style="106"/>
    <col min="8449" max="8449" width="7.109375" style="106" customWidth="1"/>
    <col min="8450" max="8450" width="9.5546875" style="106" customWidth="1"/>
    <col min="8451" max="8456" width="8.77734375" style="106" customWidth="1"/>
    <col min="8457" max="8461" width="6.109375" style="106" customWidth="1"/>
    <col min="8462" max="8463" width="4.44140625" style="106" customWidth="1"/>
    <col min="8464" max="8464" width="3.5546875" style="106" customWidth="1"/>
    <col min="8465" max="8468" width="5.6640625" style="106" bestFit="1" customWidth="1"/>
    <col min="8469" max="8470" width="4" style="106" bestFit="1" customWidth="1"/>
    <col min="8471" max="8471" width="4.21875" style="106" customWidth="1"/>
    <col min="8472" max="8472" width="6.6640625" style="106" bestFit="1" customWidth="1"/>
    <col min="8473" max="8473" width="4.21875" style="106" customWidth="1"/>
    <col min="8474" max="8704" width="8.88671875" style="106"/>
    <col min="8705" max="8705" width="7.109375" style="106" customWidth="1"/>
    <col min="8706" max="8706" width="9.5546875" style="106" customWidth="1"/>
    <col min="8707" max="8712" width="8.77734375" style="106" customWidth="1"/>
    <col min="8713" max="8717" width="6.109375" style="106" customWidth="1"/>
    <col min="8718" max="8719" width="4.44140625" style="106" customWidth="1"/>
    <col min="8720" max="8720" width="3.5546875" style="106" customWidth="1"/>
    <col min="8721" max="8724" width="5.6640625" style="106" bestFit="1" customWidth="1"/>
    <col min="8725" max="8726" width="4" style="106" bestFit="1" customWidth="1"/>
    <col min="8727" max="8727" width="4.21875" style="106" customWidth="1"/>
    <col min="8728" max="8728" width="6.6640625" style="106" bestFit="1" customWidth="1"/>
    <col min="8729" max="8729" width="4.21875" style="106" customWidth="1"/>
    <col min="8730" max="8960" width="8.88671875" style="106"/>
    <col min="8961" max="8961" width="7.109375" style="106" customWidth="1"/>
    <col min="8962" max="8962" width="9.5546875" style="106" customWidth="1"/>
    <col min="8963" max="8968" width="8.77734375" style="106" customWidth="1"/>
    <col min="8969" max="8973" width="6.109375" style="106" customWidth="1"/>
    <col min="8974" max="8975" width="4.44140625" style="106" customWidth="1"/>
    <col min="8976" max="8976" width="3.5546875" style="106" customWidth="1"/>
    <col min="8977" max="8980" width="5.6640625" style="106" bestFit="1" customWidth="1"/>
    <col min="8981" max="8982" width="4" style="106" bestFit="1" customWidth="1"/>
    <col min="8983" max="8983" width="4.21875" style="106" customWidth="1"/>
    <col min="8984" max="8984" width="6.6640625" style="106" bestFit="1" customWidth="1"/>
    <col min="8985" max="8985" width="4.21875" style="106" customWidth="1"/>
    <col min="8986" max="9216" width="8.88671875" style="106"/>
    <col min="9217" max="9217" width="7.109375" style="106" customWidth="1"/>
    <col min="9218" max="9218" width="9.5546875" style="106" customWidth="1"/>
    <col min="9219" max="9224" width="8.77734375" style="106" customWidth="1"/>
    <col min="9225" max="9229" width="6.109375" style="106" customWidth="1"/>
    <col min="9230" max="9231" width="4.44140625" style="106" customWidth="1"/>
    <col min="9232" max="9232" width="3.5546875" style="106" customWidth="1"/>
    <col min="9233" max="9236" width="5.6640625" style="106" bestFit="1" customWidth="1"/>
    <col min="9237" max="9238" width="4" style="106" bestFit="1" customWidth="1"/>
    <col min="9239" max="9239" width="4.21875" style="106" customWidth="1"/>
    <col min="9240" max="9240" width="6.6640625" style="106" bestFit="1" customWidth="1"/>
    <col min="9241" max="9241" width="4.21875" style="106" customWidth="1"/>
    <col min="9242" max="9472" width="8.88671875" style="106"/>
    <col min="9473" max="9473" width="7.109375" style="106" customWidth="1"/>
    <col min="9474" max="9474" width="9.5546875" style="106" customWidth="1"/>
    <col min="9475" max="9480" width="8.77734375" style="106" customWidth="1"/>
    <col min="9481" max="9485" width="6.109375" style="106" customWidth="1"/>
    <col min="9486" max="9487" width="4.44140625" style="106" customWidth="1"/>
    <col min="9488" max="9488" width="3.5546875" style="106" customWidth="1"/>
    <col min="9489" max="9492" width="5.6640625" style="106" bestFit="1" customWidth="1"/>
    <col min="9493" max="9494" width="4" style="106" bestFit="1" customWidth="1"/>
    <col min="9495" max="9495" width="4.21875" style="106" customWidth="1"/>
    <col min="9496" max="9496" width="6.6640625" style="106" bestFit="1" customWidth="1"/>
    <col min="9497" max="9497" width="4.21875" style="106" customWidth="1"/>
    <col min="9498" max="9728" width="8.88671875" style="106"/>
    <col min="9729" max="9729" width="7.109375" style="106" customWidth="1"/>
    <col min="9730" max="9730" width="9.5546875" style="106" customWidth="1"/>
    <col min="9731" max="9736" width="8.77734375" style="106" customWidth="1"/>
    <col min="9737" max="9741" width="6.109375" style="106" customWidth="1"/>
    <col min="9742" max="9743" width="4.44140625" style="106" customWidth="1"/>
    <col min="9744" max="9744" width="3.5546875" style="106" customWidth="1"/>
    <col min="9745" max="9748" width="5.6640625" style="106" bestFit="1" customWidth="1"/>
    <col min="9749" max="9750" width="4" style="106" bestFit="1" customWidth="1"/>
    <col min="9751" max="9751" width="4.21875" style="106" customWidth="1"/>
    <col min="9752" max="9752" width="6.6640625" style="106" bestFit="1" customWidth="1"/>
    <col min="9753" max="9753" width="4.21875" style="106" customWidth="1"/>
    <col min="9754" max="9984" width="8.88671875" style="106"/>
    <col min="9985" max="9985" width="7.109375" style="106" customWidth="1"/>
    <col min="9986" max="9986" width="9.5546875" style="106" customWidth="1"/>
    <col min="9987" max="9992" width="8.77734375" style="106" customWidth="1"/>
    <col min="9993" max="9997" width="6.109375" style="106" customWidth="1"/>
    <col min="9998" max="9999" width="4.44140625" style="106" customWidth="1"/>
    <col min="10000" max="10000" width="3.5546875" style="106" customWidth="1"/>
    <col min="10001" max="10004" width="5.6640625" style="106" bestFit="1" customWidth="1"/>
    <col min="10005" max="10006" width="4" style="106" bestFit="1" customWidth="1"/>
    <col min="10007" max="10007" width="4.21875" style="106" customWidth="1"/>
    <col min="10008" max="10008" width="6.6640625" style="106" bestFit="1" customWidth="1"/>
    <col min="10009" max="10009" width="4.21875" style="106" customWidth="1"/>
    <col min="10010" max="10240" width="8.88671875" style="106"/>
    <col min="10241" max="10241" width="7.109375" style="106" customWidth="1"/>
    <col min="10242" max="10242" width="9.5546875" style="106" customWidth="1"/>
    <col min="10243" max="10248" width="8.77734375" style="106" customWidth="1"/>
    <col min="10249" max="10253" width="6.109375" style="106" customWidth="1"/>
    <col min="10254" max="10255" width="4.44140625" style="106" customWidth="1"/>
    <col min="10256" max="10256" width="3.5546875" style="106" customWidth="1"/>
    <col min="10257" max="10260" width="5.6640625" style="106" bestFit="1" customWidth="1"/>
    <col min="10261" max="10262" width="4" style="106" bestFit="1" customWidth="1"/>
    <col min="10263" max="10263" width="4.21875" style="106" customWidth="1"/>
    <col min="10264" max="10264" width="6.6640625" style="106" bestFit="1" customWidth="1"/>
    <col min="10265" max="10265" width="4.21875" style="106" customWidth="1"/>
    <col min="10266" max="10496" width="8.88671875" style="106"/>
    <col min="10497" max="10497" width="7.109375" style="106" customWidth="1"/>
    <col min="10498" max="10498" width="9.5546875" style="106" customWidth="1"/>
    <col min="10499" max="10504" width="8.77734375" style="106" customWidth="1"/>
    <col min="10505" max="10509" width="6.109375" style="106" customWidth="1"/>
    <col min="10510" max="10511" width="4.44140625" style="106" customWidth="1"/>
    <col min="10512" max="10512" width="3.5546875" style="106" customWidth="1"/>
    <col min="10513" max="10516" width="5.6640625" style="106" bestFit="1" customWidth="1"/>
    <col min="10517" max="10518" width="4" style="106" bestFit="1" customWidth="1"/>
    <col min="10519" max="10519" width="4.21875" style="106" customWidth="1"/>
    <col min="10520" max="10520" width="6.6640625" style="106" bestFit="1" customWidth="1"/>
    <col min="10521" max="10521" width="4.21875" style="106" customWidth="1"/>
    <col min="10522" max="10752" width="8.88671875" style="106"/>
    <col min="10753" max="10753" width="7.109375" style="106" customWidth="1"/>
    <col min="10754" max="10754" width="9.5546875" style="106" customWidth="1"/>
    <col min="10755" max="10760" width="8.77734375" style="106" customWidth="1"/>
    <col min="10761" max="10765" width="6.109375" style="106" customWidth="1"/>
    <col min="10766" max="10767" width="4.44140625" style="106" customWidth="1"/>
    <col min="10768" max="10768" width="3.5546875" style="106" customWidth="1"/>
    <col min="10769" max="10772" width="5.6640625" style="106" bestFit="1" customWidth="1"/>
    <col min="10773" max="10774" width="4" style="106" bestFit="1" customWidth="1"/>
    <col min="10775" max="10775" width="4.21875" style="106" customWidth="1"/>
    <col min="10776" max="10776" width="6.6640625" style="106" bestFit="1" customWidth="1"/>
    <col min="10777" max="10777" width="4.21875" style="106" customWidth="1"/>
    <col min="10778" max="11008" width="8.88671875" style="106"/>
    <col min="11009" max="11009" width="7.109375" style="106" customWidth="1"/>
    <col min="11010" max="11010" width="9.5546875" style="106" customWidth="1"/>
    <col min="11011" max="11016" width="8.77734375" style="106" customWidth="1"/>
    <col min="11017" max="11021" width="6.109375" style="106" customWidth="1"/>
    <col min="11022" max="11023" width="4.44140625" style="106" customWidth="1"/>
    <col min="11024" max="11024" width="3.5546875" style="106" customWidth="1"/>
    <col min="11025" max="11028" width="5.6640625" style="106" bestFit="1" customWidth="1"/>
    <col min="11029" max="11030" width="4" style="106" bestFit="1" customWidth="1"/>
    <col min="11031" max="11031" width="4.21875" style="106" customWidth="1"/>
    <col min="11032" max="11032" width="6.6640625" style="106" bestFit="1" customWidth="1"/>
    <col min="11033" max="11033" width="4.21875" style="106" customWidth="1"/>
    <col min="11034" max="11264" width="8.88671875" style="106"/>
    <col min="11265" max="11265" width="7.109375" style="106" customWidth="1"/>
    <col min="11266" max="11266" width="9.5546875" style="106" customWidth="1"/>
    <col min="11267" max="11272" width="8.77734375" style="106" customWidth="1"/>
    <col min="11273" max="11277" width="6.109375" style="106" customWidth="1"/>
    <col min="11278" max="11279" width="4.44140625" style="106" customWidth="1"/>
    <col min="11280" max="11280" width="3.5546875" style="106" customWidth="1"/>
    <col min="11281" max="11284" width="5.6640625" style="106" bestFit="1" customWidth="1"/>
    <col min="11285" max="11286" width="4" style="106" bestFit="1" customWidth="1"/>
    <col min="11287" max="11287" width="4.21875" style="106" customWidth="1"/>
    <col min="11288" max="11288" width="6.6640625" style="106" bestFit="1" customWidth="1"/>
    <col min="11289" max="11289" width="4.21875" style="106" customWidth="1"/>
    <col min="11290" max="11520" width="8.88671875" style="106"/>
    <col min="11521" max="11521" width="7.109375" style="106" customWidth="1"/>
    <col min="11522" max="11522" width="9.5546875" style="106" customWidth="1"/>
    <col min="11523" max="11528" width="8.77734375" style="106" customWidth="1"/>
    <col min="11529" max="11533" width="6.109375" style="106" customWidth="1"/>
    <col min="11534" max="11535" width="4.44140625" style="106" customWidth="1"/>
    <col min="11536" max="11536" width="3.5546875" style="106" customWidth="1"/>
    <col min="11537" max="11540" width="5.6640625" style="106" bestFit="1" customWidth="1"/>
    <col min="11541" max="11542" width="4" style="106" bestFit="1" customWidth="1"/>
    <col min="11543" max="11543" width="4.21875" style="106" customWidth="1"/>
    <col min="11544" max="11544" width="6.6640625" style="106" bestFit="1" customWidth="1"/>
    <col min="11545" max="11545" width="4.21875" style="106" customWidth="1"/>
    <col min="11546" max="11776" width="8.88671875" style="106"/>
    <col min="11777" max="11777" width="7.109375" style="106" customWidth="1"/>
    <col min="11778" max="11778" width="9.5546875" style="106" customWidth="1"/>
    <col min="11779" max="11784" width="8.77734375" style="106" customWidth="1"/>
    <col min="11785" max="11789" width="6.109375" style="106" customWidth="1"/>
    <col min="11790" max="11791" width="4.44140625" style="106" customWidth="1"/>
    <col min="11792" max="11792" width="3.5546875" style="106" customWidth="1"/>
    <col min="11793" max="11796" width="5.6640625" style="106" bestFit="1" customWidth="1"/>
    <col min="11797" max="11798" width="4" style="106" bestFit="1" customWidth="1"/>
    <col min="11799" max="11799" width="4.21875" style="106" customWidth="1"/>
    <col min="11800" max="11800" width="6.6640625" style="106" bestFit="1" customWidth="1"/>
    <col min="11801" max="11801" width="4.21875" style="106" customWidth="1"/>
    <col min="11802" max="12032" width="8.88671875" style="106"/>
    <col min="12033" max="12033" width="7.109375" style="106" customWidth="1"/>
    <col min="12034" max="12034" width="9.5546875" style="106" customWidth="1"/>
    <col min="12035" max="12040" width="8.77734375" style="106" customWidth="1"/>
    <col min="12041" max="12045" width="6.109375" style="106" customWidth="1"/>
    <col min="12046" max="12047" width="4.44140625" style="106" customWidth="1"/>
    <col min="12048" max="12048" width="3.5546875" style="106" customWidth="1"/>
    <col min="12049" max="12052" width="5.6640625" style="106" bestFit="1" customWidth="1"/>
    <col min="12053" max="12054" width="4" style="106" bestFit="1" customWidth="1"/>
    <col min="12055" max="12055" width="4.21875" style="106" customWidth="1"/>
    <col min="12056" max="12056" width="6.6640625" style="106" bestFit="1" customWidth="1"/>
    <col min="12057" max="12057" width="4.21875" style="106" customWidth="1"/>
    <col min="12058" max="12288" width="8.88671875" style="106"/>
    <col min="12289" max="12289" width="7.109375" style="106" customWidth="1"/>
    <col min="12290" max="12290" width="9.5546875" style="106" customWidth="1"/>
    <col min="12291" max="12296" width="8.77734375" style="106" customWidth="1"/>
    <col min="12297" max="12301" width="6.109375" style="106" customWidth="1"/>
    <col min="12302" max="12303" width="4.44140625" style="106" customWidth="1"/>
    <col min="12304" max="12304" width="3.5546875" style="106" customWidth="1"/>
    <col min="12305" max="12308" width="5.6640625" style="106" bestFit="1" customWidth="1"/>
    <col min="12309" max="12310" width="4" style="106" bestFit="1" customWidth="1"/>
    <col min="12311" max="12311" width="4.21875" style="106" customWidth="1"/>
    <col min="12312" max="12312" width="6.6640625" style="106" bestFit="1" customWidth="1"/>
    <col min="12313" max="12313" width="4.21875" style="106" customWidth="1"/>
    <col min="12314" max="12544" width="8.88671875" style="106"/>
    <col min="12545" max="12545" width="7.109375" style="106" customWidth="1"/>
    <col min="12546" max="12546" width="9.5546875" style="106" customWidth="1"/>
    <col min="12547" max="12552" width="8.77734375" style="106" customWidth="1"/>
    <col min="12553" max="12557" width="6.109375" style="106" customWidth="1"/>
    <col min="12558" max="12559" width="4.44140625" style="106" customWidth="1"/>
    <col min="12560" max="12560" width="3.5546875" style="106" customWidth="1"/>
    <col min="12561" max="12564" width="5.6640625" style="106" bestFit="1" customWidth="1"/>
    <col min="12565" max="12566" width="4" style="106" bestFit="1" customWidth="1"/>
    <col min="12567" max="12567" width="4.21875" style="106" customWidth="1"/>
    <col min="12568" max="12568" width="6.6640625" style="106" bestFit="1" customWidth="1"/>
    <col min="12569" max="12569" width="4.21875" style="106" customWidth="1"/>
    <col min="12570" max="12800" width="8.88671875" style="106"/>
    <col min="12801" max="12801" width="7.109375" style="106" customWidth="1"/>
    <col min="12802" max="12802" width="9.5546875" style="106" customWidth="1"/>
    <col min="12803" max="12808" width="8.77734375" style="106" customWidth="1"/>
    <col min="12809" max="12813" width="6.109375" style="106" customWidth="1"/>
    <col min="12814" max="12815" width="4.44140625" style="106" customWidth="1"/>
    <col min="12816" max="12816" width="3.5546875" style="106" customWidth="1"/>
    <col min="12817" max="12820" width="5.6640625" style="106" bestFit="1" customWidth="1"/>
    <col min="12821" max="12822" width="4" style="106" bestFit="1" customWidth="1"/>
    <col min="12823" max="12823" width="4.21875" style="106" customWidth="1"/>
    <col min="12824" max="12824" width="6.6640625" style="106" bestFit="1" customWidth="1"/>
    <col min="12825" max="12825" width="4.21875" style="106" customWidth="1"/>
    <col min="12826" max="13056" width="8.88671875" style="106"/>
    <col min="13057" max="13057" width="7.109375" style="106" customWidth="1"/>
    <col min="13058" max="13058" width="9.5546875" style="106" customWidth="1"/>
    <col min="13059" max="13064" width="8.77734375" style="106" customWidth="1"/>
    <col min="13065" max="13069" width="6.109375" style="106" customWidth="1"/>
    <col min="13070" max="13071" width="4.44140625" style="106" customWidth="1"/>
    <col min="13072" max="13072" width="3.5546875" style="106" customWidth="1"/>
    <col min="13073" max="13076" width="5.6640625" style="106" bestFit="1" customWidth="1"/>
    <col min="13077" max="13078" width="4" style="106" bestFit="1" customWidth="1"/>
    <col min="13079" max="13079" width="4.21875" style="106" customWidth="1"/>
    <col min="13080" max="13080" width="6.6640625" style="106" bestFit="1" customWidth="1"/>
    <col min="13081" max="13081" width="4.21875" style="106" customWidth="1"/>
    <col min="13082" max="13312" width="8.88671875" style="106"/>
    <col min="13313" max="13313" width="7.109375" style="106" customWidth="1"/>
    <col min="13314" max="13314" width="9.5546875" style="106" customWidth="1"/>
    <col min="13315" max="13320" width="8.77734375" style="106" customWidth="1"/>
    <col min="13321" max="13325" width="6.109375" style="106" customWidth="1"/>
    <col min="13326" max="13327" width="4.44140625" style="106" customWidth="1"/>
    <col min="13328" max="13328" width="3.5546875" style="106" customWidth="1"/>
    <col min="13329" max="13332" width="5.6640625" style="106" bestFit="1" customWidth="1"/>
    <col min="13333" max="13334" width="4" style="106" bestFit="1" customWidth="1"/>
    <col min="13335" max="13335" width="4.21875" style="106" customWidth="1"/>
    <col min="13336" max="13336" width="6.6640625" style="106" bestFit="1" customWidth="1"/>
    <col min="13337" max="13337" width="4.21875" style="106" customWidth="1"/>
    <col min="13338" max="13568" width="8.88671875" style="106"/>
    <col min="13569" max="13569" width="7.109375" style="106" customWidth="1"/>
    <col min="13570" max="13570" width="9.5546875" style="106" customWidth="1"/>
    <col min="13571" max="13576" width="8.77734375" style="106" customWidth="1"/>
    <col min="13577" max="13581" width="6.109375" style="106" customWidth="1"/>
    <col min="13582" max="13583" width="4.44140625" style="106" customWidth="1"/>
    <col min="13584" max="13584" width="3.5546875" style="106" customWidth="1"/>
    <col min="13585" max="13588" width="5.6640625" style="106" bestFit="1" customWidth="1"/>
    <col min="13589" max="13590" width="4" style="106" bestFit="1" customWidth="1"/>
    <col min="13591" max="13591" width="4.21875" style="106" customWidth="1"/>
    <col min="13592" max="13592" width="6.6640625" style="106" bestFit="1" customWidth="1"/>
    <col min="13593" max="13593" width="4.21875" style="106" customWidth="1"/>
    <col min="13594" max="13824" width="8.88671875" style="106"/>
    <col min="13825" max="13825" width="7.109375" style="106" customWidth="1"/>
    <col min="13826" max="13826" width="9.5546875" style="106" customWidth="1"/>
    <col min="13827" max="13832" width="8.77734375" style="106" customWidth="1"/>
    <col min="13833" max="13837" width="6.109375" style="106" customWidth="1"/>
    <col min="13838" max="13839" width="4.44140625" style="106" customWidth="1"/>
    <col min="13840" max="13840" width="3.5546875" style="106" customWidth="1"/>
    <col min="13841" max="13844" width="5.6640625" style="106" bestFit="1" customWidth="1"/>
    <col min="13845" max="13846" width="4" style="106" bestFit="1" customWidth="1"/>
    <col min="13847" max="13847" width="4.21875" style="106" customWidth="1"/>
    <col min="13848" max="13848" width="6.6640625" style="106" bestFit="1" customWidth="1"/>
    <col min="13849" max="13849" width="4.21875" style="106" customWidth="1"/>
    <col min="13850" max="14080" width="8.88671875" style="106"/>
    <col min="14081" max="14081" width="7.109375" style="106" customWidth="1"/>
    <col min="14082" max="14082" width="9.5546875" style="106" customWidth="1"/>
    <col min="14083" max="14088" width="8.77734375" style="106" customWidth="1"/>
    <col min="14089" max="14093" width="6.109375" style="106" customWidth="1"/>
    <col min="14094" max="14095" width="4.44140625" style="106" customWidth="1"/>
    <col min="14096" max="14096" width="3.5546875" style="106" customWidth="1"/>
    <col min="14097" max="14100" width="5.6640625" style="106" bestFit="1" customWidth="1"/>
    <col min="14101" max="14102" width="4" style="106" bestFit="1" customWidth="1"/>
    <col min="14103" max="14103" width="4.21875" style="106" customWidth="1"/>
    <col min="14104" max="14104" width="6.6640625" style="106" bestFit="1" customWidth="1"/>
    <col min="14105" max="14105" width="4.21875" style="106" customWidth="1"/>
    <col min="14106" max="14336" width="8.88671875" style="106"/>
    <col min="14337" max="14337" width="7.109375" style="106" customWidth="1"/>
    <col min="14338" max="14338" width="9.5546875" style="106" customWidth="1"/>
    <col min="14339" max="14344" width="8.77734375" style="106" customWidth="1"/>
    <col min="14345" max="14349" width="6.109375" style="106" customWidth="1"/>
    <col min="14350" max="14351" width="4.44140625" style="106" customWidth="1"/>
    <col min="14352" max="14352" width="3.5546875" style="106" customWidth="1"/>
    <col min="14353" max="14356" width="5.6640625" style="106" bestFit="1" customWidth="1"/>
    <col min="14357" max="14358" width="4" style="106" bestFit="1" customWidth="1"/>
    <col min="14359" max="14359" width="4.21875" style="106" customWidth="1"/>
    <col min="14360" max="14360" width="6.6640625" style="106" bestFit="1" customWidth="1"/>
    <col min="14361" max="14361" width="4.21875" style="106" customWidth="1"/>
    <col min="14362" max="14592" width="8.88671875" style="106"/>
    <col min="14593" max="14593" width="7.109375" style="106" customWidth="1"/>
    <col min="14594" max="14594" width="9.5546875" style="106" customWidth="1"/>
    <col min="14595" max="14600" width="8.77734375" style="106" customWidth="1"/>
    <col min="14601" max="14605" width="6.109375" style="106" customWidth="1"/>
    <col min="14606" max="14607" width="4.44140625" style="106" customWidth="1"/>
    <col min="14608" max="14608" width="3.5546875" style="106" customWidth="1"/>
    <col min="14609" max="14612" width="5.6640625" style="106" bestFit="1" customWidth="1"/>
    <col min="14613" max="14614" width="4" style="106" bestFit="1" customWidth="1"/>
    <col min="14615" max="14615" width="4.21875" style="106" customWidth="1"/>
    <col min="14616" max="14616" width="6.6640625" style="106" bestFit="1" customWidth="1"/>
    <col min="14617" max="14617" width="4.21875" style="106" customWidth="1"/>
    <col min="14618" max="14848" width="8.88671875" style="106"/>
    <col min="14849" max="14849" width="7.109375" style="106" customWidth="1"/>
    <col min="14850" max="14850" width="9.5546875" style="106" customWidth="1"/>
    <col min="14851" max="14856" width="8.77734375" style="106" customWidth="1"/>
    <col min="14857" max="14861" width="6.109375" style="106" customWidth="1"/>
    <col min="14862" max="14863" width="4.44140625" style="106" customWidth="1"/>
    <col min="14864" max="14864" width="3.5546875" style="106" customWidth="1"/>
    <col min="14865" max="14868" width="5.6640625" style="106" bestFit="1" customWidth="1"/>
    <col min="14869" max="14870" width="4" style="106" bestFit="1" customWidth="1"/>
    <col min="14871" max="14871" width="4.21875" style="106" customWidth="1"/>
    <col min="14872" max="14872" width="6.6640625" style="106" bestFit="1" customWidth="1"/>
    <col min="14873" max="14873" width="4.21875" style="106" customWidth="1"/>
    <col min="14874" max="15104" width="8.88671875" style="106"/>
    <col min="15105" max="15105" width="7.109375" style="106" customWidth="1"/>
    <col min="15106" max="15106" width="9.5546875" style="106" customWidth="1"/>
    <col min="15107" max="15112" width="8.77734375" style="106" customWidth="1"/>
    <col min="15113" max="15117" width="6.109375" style="106" customWidth="1"/>
    <col min="15118" max="15119" width="4.44140625" style="106" customWidth="1"/>
    <col min="15120" max="15120" width="3.5546875" style="106" customWidth="1"/>
    <col min="15121" max="15124" width="5.6640625" style="106" bestFit="1" customWidth="1"/>
    <col min="15125" max="15126" width="4" style="106" bestFit="1" customWidth="1"/>
    <col min="15127" max="15127" width="4.21875" style="106" customWidth="1"/>
    <col min="15128" max="15128" width="6.6640625" style="106" bestFit="1" customWidth="1"/>
    <col min="15129" max="15129" width="4.21875" style="106" customWidth="1"/>
    <col min="15130" max="15360" width="8.88671875" style="106"/>
    <col min="15361" max="15361" width="7.109375" style="106" customWidth="1"/>
    <col min="15362" max="15362" width="9.5546875" style="106" customWidth="1"/>
    <col min="15363" max="15368" width="8.77734375" style="106" customWidth="1"/>
    <col min="15369" max="15373" width="6.109375" style="106" customWidth="1"/>
    <col min="15374" max="15375" width="4.44140625" style="106" customWidth="1"/>
    <col min="15376" max="15376" width="3.5546875" style="106" customWidth="1"/>
    <col min="15377" max="15380" width="5.6640625" style="106" bestFit="1" customWidth="1"/>
    <col min="15381" max="15382" width="4" style="106" bestFit="1" customWidth="1"/>
    <col min="15383" max="15383" width="4.21875" style="106" customWidth="1"/>
    <col min="15384" max="15384" width="6.6640625" style="106" bestFit="1" customWidth="1"/>
    <col min="15385" max="15385" width="4.21875" style="106" customWidth="1"/>
    <col min="15386" max="15616" width="8.88671875" style="106"/>
    <col min="15617" max="15617" width="7.109375" style="106" customWidth="1"/>
    <col min="15618" max="15618" width="9.5546875" style="106" customWidth="1"/>
    <col min="15619" max="15624" width="8.77734375" style="106" customWidth="1"/>
    <col min="15625" max="15629" width="6.109375" style="106" customWidth="1"/>
    <col min="15630" max="15631" width="4.44140625" style="106" customWidth="1"/>
    <col min="15632" max="15632" width="3.5546875" style="106" customWidth="1"/>
    <col min="15633" max="15636" width="5.6640625" style="106" bestFit="1" customWidth="1"/>
    <col min="15637" max="15638" width="4" style="106" bestFit="1" customWidth="1"/>
    <col min="15639" max="15639" width="4.21875" style="106" customWidth="1"/>
    <col min="15640" max="15640" width="6.6640625" style="106" bestFit="1" customWidth="1"/>
    <col min="15641" max="15641" width="4.21875" style="106" customWidth="1"/>
    <col min="15642" max="15872" width="8.88671875" style="106"/>
    <col min="15873" max="15873" width="7.109375" style="106" customWidth="1"/>
    <col min="15874" max="15874" width="9.5546875" style="106" customWidth="1"/>
    <col min="15875" max="15880" width="8.77734375" style="106" customWidth="1"/>
    <col min="15881" max="15885" width="6.109375" style="106" customWidth="1"/>
    <col min="15886" max="15887" width="4.44140625" style="106" customWidth="1"/>
    <col min="15888" max="15888" width="3.5546875" style="106" customWidth="1"/>
    <col min="15889" max="15892" width="5.6640625" style="106" bestFit="1" customWidth="1"/>
    <col min="15893" max="15894" width="4" style="106" bestFit="1" customWidth="1"/>
    <col min="15895" max="15895" width="4.21875" style="106" customWidth="1"/>
    <col min="15896" max="15896" width="6.6640625" style="106" bestFit="1" customWidth="1"/>
    <col min="15897" max="15897" width="4.21875" style="106" customWidth="1"/>
    <col min="15898" max="16128" width="8.88671875" style="106"/>
    <col min="16129" max="16129" width="7.109375" style="106" customWidth="1"/>
    <col min="16130" max="16130" width="9.5546875" style="106" customWidth="1"/>
    <col min="16131" max="16136" width="8.77734375" style="106" customWidth="1"/>
    <col min="16137" max="16141" width="6.109375" style="106" customWidth="1"/>
    <col min="16142" max="16143" width="4.44140625" style="106" customWidth="1"/>
    <col min="16144" max="16144" width="3.5546875" style="106" customWidth="1"/>
    <col min="16145" max="16148" width="5.6640625" style="106" bestFit="1" customWidth="1"/>
    <col min="16149" max="16150" width="4" style="106" bestFit="1" customWidth="1"/>
    <col min="16151" max="16151" width="4.21875" style="106" customWidth="1"/>
    <col min="16152" max="16152" width="6.6640625" style="106" bestFit="1" customWidth="1"/>
    <col min="16153" max="16153" width="4.21875" style="106" customWidth="1"/>
    <col min="16154" max="16384" width="8.88671875" style="106"/>
  </cols>
  <sheetData>
    <row r="1" spans="1:25" s="21" customFormat="1" ht="16.5" customHeight="1">
      <c r="A1" s="341"/>
      <c r="B1" s="341"/>
      <c r="C1" s="341"/>
      <c r="D1" s="341"/>
      <c r="E1" s="341"/>
      <c r="F1" s="341"/>
      <c r="G1" s="341"/>
    </row>
    <row r="2" spans="1:25" s="21" customFormat="1" ht="9.9499999999999993" customHeight="1">
      <c r="A2" s="27"/>
      <c r="B2" s="22"/>
      <c r="C2" s="22"/>
      <c r="D2" s="22"/>
      <c r="E2" s="22"/>
      <c r="F2" s="22"/>
      <c r="G2" s="23"/>
    </row>
    <row r="3" spans="1:25" s="98" customFormat="1" ht="15" customHeight="1">
      <c r="A3" s="503" t="s">
        <v>33</v>
      </c>
      <c r="B3" s="503"/>
      <c r="C3" s="503"/>
      <c r="G3" s="161"/>
      <c r="H3" s="162"/>
      <c r="I3" s="162"/>
      <c r="J3" s="162"/>
    </row>
    <row r="4" spans="1:25" ht="15" customHeight="1">
      <c r="A4" s="314" t="s">
        <v>12</v>
      </c>
      <c r="H4" s="30" t="s">
        <v>34</v>
      </c>
      <c r="I4" s="30"/>
      <c r="J4" s="30"/>
    </row>
    <row r="5" spans="1:25" s="3" customFormat="1" ht="15" customHeight="1">
      <c r="A5" s="504" t="s">
        <v>5</v>
      </c>
      <c r="B5" s="506" t="s">
        <v>35</v>
      </c>
      <c r="C5" s="508" t="s">
        <v>36</v>
      </c>
      <c r="D5" s="485"/>
      <c r="E5" s="491"/>
      <c r="F5" s="11" t="s">
        <v>37</v>
      </c>
      <c r="G5" s="500" t="s">
        <v>38</v>
      </c>
      <c r="H5" s="500" t="s">
        <v>39</v>
      </c>
      <c r="I5" s="164"/>
      <c r="J5" s="164"/>
    </row>
    <row r="6" spans="1:25" s="3" customFormat="1" ht="15" customHeight="1">
      <c r="A6" s="505"/>
      <c r="B6" s="507"/>
      <c r="C6" s="165"/>
      <c r="D6" s="20" t="s">
        <v>40</v>
      </c>
      <c r="E6" s="20" t="s">
        <v>41</v>
      </c>
      <c r="F6" s="16" t="s">
        <v>42</v>
      </c>
      <c r="G6" s="501"/>
      <c r="H6" s="501"/>
      <c r="I6" s="164"/>
      <c r="J6" s="164"/>
    </row>
    <row r="7" spans="1:25" s="41" customFormat="1" ht="13.5" customHeight="1">
      <c r="A7" s="323">
        <v>2009</v>
      </c>
      <c r="B7" s="2">
        <v>2940</v>
      </c>
      <c r="C7" s="2">
        <v>1665</v>
      </c>
      <c r="D7" s="2">
        <v>1593</v>
      </c>
      <c r="E7" s="2">
        <v>72</v>
      </c>
      <c r="F7" s="82">
        <v>56.6</v>
      </c>
      <c r="G7" s="84">
        <v>54.2</v>
      </c>
      <c r="H7" s="83">
        <v>4.3</v>
      </c>
      <c r="I7" s="166"/>
      <c r="J7" s="328"/>
      <c r="K7" s="167"/>
      <c r="L7" s="169"/>
      <c r="M7" s="169"/>
      <c r="P7" s="168"/>
      <c r="Q7" s="168"/>
      <c r="R7" s="168"/>
      <c r="S7" s="168"/>
      <c r="T7" s="168"/>
      <c r="U7" s="168"/>
      <c r="V7" s="168"/>
      <c r="W7" s="168"/>
      <c r="X7" s="168"/>
      <c r="Y7" s="168"/>
    </row>
    <row r="8" spans="1:25" s="41" customFormat="1" ht="13.5" customHeight="1">
      <c r="A8" s="323">
        <v>2010</v>
      </c>
      <c r="B8" s="2">
        <v>2945</v>
      </c>
      <c r="C8" s="2">
        <v>1659</v>
      </c>
      <c r="D8" s="2">
        <v>1599</v>
      </c>
      <c r="E8" s="2">
        <v>60</v>
      </c>
      <c r="F8" s="82">
        <v>56.3</v>
      </c>
      <c r="G8" s="84">
        <v>54.3</v>
      </c>
      <c r="H8" s="83">
        <v>3.6</v>
      </c>
      <c r="I8" s="166"/>
      <c r="J8" s="328"/>
      <c r="K8" s="167"/>
      <c r="L8" s="169"/>
      <c r="M8" s="169"/>
      <c r="P8" s="168"/>
      <c r="Q8" s="168"/>
      <c r="R8" s="168"/>
      <c r="S8" s="168"/>
      <c r="T8" s="168"/>
      <c r="U8" s="168"/>
      <c r="V8" s="168"/>
      <c r="W8" s="168"/>
      <c r="X8" s="168"/>
      <c r="Y8" s="168"/>
    </row>
    <row r="9" spans="1:25" s="41" customFormat="1" ht="13.5" customHeight="1">
      <c r="A9" s="323">
        <v>2011</v>
      </c>
      <c r="B9" s="2">
        <v>2964</v>
      </c>
      <c r="C9" s="2">
        <v>1676</v>
      </c>
      <c r="D9" s="2">
        <v>1615</v>
      </c>
      <c r="E9" s="2">
        <v>61</v>
      </c>
      <c r="F9" s="82">
        <v>56.6</v>
      </c>
      <c r="G9" s="84">
        <v>54.5</v>
      </c>
      <c r="H9" s="83">
        <v>3.6</v>
      </c>
      <c r="I9" s="166"/>
      <c r="J9" s="328"/>
      <c r="K9" s="167"/>
      <c r="L9" s="169"/>
      <c r="M9" s="169"/>
      <c r="P9" s="168"/>
      <c r="Q9" s="168"/>
      <c r="R9" s="168"/>
      <c r="S9" s="168"/>
      <c r="T9" s="168"/>
      <c r="U9" s="168"/>
      <c r="V9" s="168"/>
      <c r="W9" s="168"/>
      <c r="X9" s="168"/>
      <c r="Y9" s="168"/>
    </row>
    <row r="10" spans="1:25" s="41" customFormat="1" ht="13.5" customHeight="1">
      <c r="A10" s="323">
        <v>2012</v>
      </c>
      <c r="B10" s="2">
        <v>2969</v>
      </c>
      <c r="C10" s="2">
        <v>1727</v>
      </c>
      <c r="D10" s="2">
        <v>1660</v>
      </c>
      <c r="E10" s="2">
        <v>67</v>
      </c>
      <c r="F10" s="82">
        <v>58.2</v>
      </c>
      <c r="G10" s="84">
        <v>55.9</v>
      </c>
      <c r="H10" s="83">
        <v>3.9</v>
      </c>
      <c r="I10" s="166"/>
      <c r="J10" s="328"/>
      <c r="K10" s="167"/>
      <c r="L10" s="169"/>
      <c r="M10" s="169"/>
      <c r="P10" s="168"/>
      <c r="Q10" s="168"/>
      <c r="R10" s="168"/>
      <c r="S10" s="168"/>
      <c r="T10" s="168"/>
      <c r="U10" s="168"/>
      <c r="V10" s="168"/>
      <c r="W10" s="168"/>
      <c r="X10" s="168"/>
      <c r="Y10" s="168"/>
    </row>
    <row r="11" spans="1:25" s="41" customFormat="1" ht="13.5" customHeight="1">
      <c r="A11" s="323">
        <v>2013</v>
      </c>
      <c r="B11" s="2">
        <v>2976</v>
      </c>
      <c r="C11" s="2">
        <v>1737</v>
      </c>
      <c r="D11" s="2">
        <v>1670</v>
      </c>
      <c r="E11" s="2">
        <v>67</v>
      </c>
      <c r="F11" s="82">
        <v>58.4</v>
      </c>
      <c r="G11" s="84">
        <v>56.1</v>
      </c>
      <c r="H11" s="83">
        <v>3.8</v>
      </c>
      <c r="I11" s="166"/>
      <c r="J11" s="328"/>
      <c r="K11" s="167"/>
      <c r="L11" s="169"/>
      <c r="M11" s="169"/>
      <c r="P11" s="168"/>
      <c r="Q11" s="168"/>
      <c r="R11" s="168"/>
      <c r="S11" s="168"/>
      <c r="T11" s="168"/>
      <c r="U11" s="168"/>
      <c r="V11" s="168"/>
      <c r="W11" s="168"/>
      <c r="X11" s="168"/>
      <c r="Y11" s="168"/>
    </row>
    <row r="12" spans="1:25" s="41" customFormat="1" ht="13.5" customHeight="1">
      <c r="A12" s="323">
        <v>2014</v>
      </c>
      <c r="B12" s="2">
        <v>2985</v>
      </c>
      <c r="C12" s="2">
        <v>1760</v>
      </c>
      <c r="D12" s="2">
        <v>1693</v>
      </c>
      <c r="E12" s="2">
        <v>67</v>
      </c>
      <c r="F12" s="82">
        <v>59</v>
      </c>
      <c r="G12" s="84">
        <v>56.7</v>
      </c>
      <c r="H12" s="83">
        <v>3.8</v>
      </c>
      <c r="I12" s="166"/>
      <c r="J12" s="328"/>
      <c r="K12" s="167"/>
      <c r="L12" s="169"/>
      <c r="M12" s="169"/>
      <c r="P12" s="168"/>
      <c r="Q12" s="168"/>
      <c r="R12" s="168"/>
      <c r="S12" s="168"/>
      <c r="T12" s="168"/>
      <c r="U12" s="168"/>
      <c r="V12" s="168"/>
      <c r="W12" s="168"/>
      <c r="X12" s="168"/>
      <c r="Y12" s="168"/>
    </row>
    <row r="13" spans="1:25" s="41" customFormat="1" ht="13.5" customHeight="1">
      <c r="A13" s="323">
        <v>2015</v>
      </c>
      <c r="B13" s="2">
        <v>2993</v>
      </c>
      <c r="C13" s="2">
        <v>1756</v>
      </c>
      <c r="D13" s="2">
        <v>1684</v>
      </c>
      <c r="E13" s="2">
        <v>71</v>
      </c>
      <c r="F13" s="82">
        <v>58.7</v>
      </c>
      <c r="G13" s="84">
        <v>56.3</v>
      </c>
      <c r="H13" s="83">
        <v>4.0999999999999996</v>
      </c>
      <c r="I13" s="166"/>
      <c r="J13" s="328"/>
      <c r="K13" s="167"/>
      <c r="L13" s="169"/>
      <c r="M13" s="169"/>
      <c r="P13" s="168"/>
      <c r="Q13" s="168"/>
      <c r="R13" s="168"/>
      <c r="S13" s="168"/>
      <c r="T13" s="168"/>
      <c r="U13" s="168"/>
      <c r="V13" s="168"/>
      <c r="W13" s="168"/>
      <c r="X13" s="168"/>
      <c r="Y13" s="168"/>
    </row>
    <row r="14" spans="1:25" s="41" customFormat="1" ht="13.5" customHeight="1">
      <c r="A14" s="323">
        <v>2016</v>
      </c>
      <c r="B14" s="2">
        <v>3001</v>
      </c>
      <c r="C14" s="2">
        <v>1754</v>
      </c>
      <c r="D14" s="2">
        <v>1686</v>
      </c>
      <c r="E14" s="2">
        <v>69</v>
      </c>
      <c r="F14" s="82">
        <v>58.5</v>
      </c>
      <c r="G14" s="84">
        <v>56.2</v>
      </c>
      <c r="H14" s="83">
        <v>3.9</v>
      </c>
      <c r="I14" s="166"/>
      <c r="J14" s="328"/>
      <c r="K14" s="167"/>
      <c r="L14" s="169"/>
      <c r="M14" s="169"/>
      <c r="P14" s="168"/>
      <c r="Q14" s="168"/>
      <c r="R14" s="168"/>
      <c r="S14" s="168"/>
      <c r="T14" s="168"/>
      <c r="U14" s="168"/>
      <c r="V14" s="168"/>
      <c r="W14" s="168"/>
      <c r="X14" s="168"/>
      <c r="Y14" s="168"/>
    </row>
    <row r="15" spans="1:25" s="41" customFormat="1" ht="13.5" customHeight="1">
      <c r="A15" s="323">
        <v>2017</v>
      </c>
      <c r="B15" s="2">
        <v>2992</v>
      </c>
      <c r="C15" s="2">
        <v>1766</v>
      </c>
      <c r="D15" s="2">
        <v>1685</v>
      </c>
      <c r="E15" s="2">
        <v>81</v>
      </c>
      <c r="F15" s="82">
        <v>59</v>
      </c>
      <c r="G15" s="84">
        <v>56.3</v>
      </c>
      <c r="H15" s="83">
        <v>4.5999999999999996</v>
      </c>
      <c r="I15" s="166"/>
      <c r="J15" s="328"/>
      <c r="K15" s="167"/>
      <c r="L15" s="169"/>
      <c r="M15" s="169"/>
      <c r="P15" s="168"/>
      <c r="Q15" s="168"/>
      <c r="R15" s="168"/>
      <c r="S15" s="168"/>
      <c r="T15" s="168"/>
      <c r="U15" s="168"/>
      <c r="V15" s="168"/>
      <c r="W15" s="168"/>
      <c r="X15" s="168"/>
      <c r="Y15" s="168"/>
    </row>
    <row r="16" spans="1:25" s="41" customFormat="1" ht="13.5" customHeight="1">
      <c r="A16" s="323">
        <v>2018</v>
      </c>
      <c r="B16" s="2">
        <v>2975</v>
      </c>
      <c r="C16" s="2">
        <v>1729</v>
      </c>
      <c r="D16" s="2">
        <v>1657</v>
      </c>
      <c r="E16" s="2">
        <v>71</v>
      </c>
      <c r="F16" s="82">
        <v>58.1</v>
      </c>
      <c r="G16" s="84">
        <v>55.7</v>
      </c>
      <c r="H16" s="83">
        <v>4.0999999999999996</v>
      </c>
      <c r="I16" s="166"/>
      <c r="J16" s="328"/>
      <c r="K16" s="167"/>
      <c r="L16" s="169"/>
      <c r="M16" s="169"/>
      <c r="P16" s="168"/>
      <c r="Q16" s="168"/>
      <c r="R16" s="168"/>
      <c r="S16" s="168"/>
      <c r="T16" s="168"/>
      <c r="U16" s="168"/>
      <c r="V16" s="168"/>
      <c r="W16" s="168"/>
      <c r="X16" s="168"/>
      <c r="Y16" s="168"/>
    </row>
    <row r="17" spans="1:34" s="41" customFormat="1" ht="13.5" customHeight="1">
      <c r="A17" s="323">
        <v>2019</v>
      </c>
      <c r="B17" s="2">
        <v>2960</v>
      </c>
      <c r="C17" s="2">
        <v>1741</v>
      </c>
      <c r="D17" s="2">
        <v>1676</v>
      </c>
      <c r="E17" s="2">
        <v>65</v>
      </c>
      <c r="F17" s="82">
        <v>58.8</v>
      </c>
      <c r="G17" s="84">
        <v>56.6</v>
      </c>
      <c r="H17" s="83">
        <v>3.7</v>
      </c>
      <c r="I17" s="166"/>
      <c r="J17" s="328"/>
      <c r="K17" s="167"/>
      <c r="L17" s="169"/>
      <c r="M17" s="169"/>
      <c r="P17" s="168"/>
      <c r="Q17" s="168"/>
      <c r="R17" s="168"/>
      <c r="S17" s="168"/>
      <c r="T17" s="168"/>
      <c r="U17" s="168"/>
      <c r="V17" s="168"/>
      <c r="W17" s="168"/>
      <c r="X17" s="168"/>
      <c r="Y17" s="168"/>
    </row>
    <row r="18" spans="1:34" s="41" customFormat="1" ht="13.5" customHeight="1">
      <c r="A18" s="323">
        <v>2020</v>
      </c>
      <c r="B18" s="2">
        <v>2948</v>
      </c>
      <c r="C18" s="2">
        <v>1712</v>
      </c>
      <c r="D18" s="2">
        <v>1640</v>
      </c>
      <c r="E18" s="2">
        <v>72</v>
      </c>
      <c r="F18" s="82">
        <v>58.1</v>
      </c>
      <c r="G18" s="84">
        <v>55.6</v>
      </c>
      <c r="H18" s="83">
        <v>4.2</v>
      </c>
      <c r="I18" s="166"/>
      <c r="J18" s="328"/>
      <c r="K18" s="167"/>
      <c r="L18" s="169"/>
      <c r="M18" s="169"/>
      <c r="P18" s="168"/>
      <c r="Q18" s="168"/>
      <c r="R18" s="168"/>
      <c r="S18" s="168"/>
      <c r="T18" s="168"/>
      <c r="U18" s="168"/>
      <c r="V18" s="168"/>
      <c r="W18" s="168"/>
      <c r="X18" s="168"/>
      <c r="Y18" s="168"/>
    </row>
    <row r="19" spans="1:34" s="41" customFormat="1" ht="13.5" customHeight="1">
      <c r="A19" s="323">
        <v>2021</v>
      </c>
      <c r="B19" s="2">
        <v>2949</v>
      </c>
      <c r="C19" s="2">
        <v>1715</v>
      </c>
      <c r="D19" s="2">
        <v>1657</v>
      </c>
      <c r="E19" s="2">
        <v>58</v>
      </c>
      <c r="F19" s="82">
        <v>58.2</v>
      </c>
      <c r="G19" s="84">
        <v>56.2</v>
      </c>
      <c r="H19" s="83">
        <v>3.4</v>
      </c>
      <c r="I19" s="166"/>
      <c r="J19" s="328"/>
      <c r="K19" s="167"/>
      <c r="L19" s="169"/>
      <c r="M19" s="169"/>
      <c r="P19" s="168"/>
      <c r="Q19" s="168"/>
      <c r="R19" s="168"/>
      <c r="S19" s="168"/>
      <c r="T19" s="168"/>
      <c r="U19" s="168"/>
      <c r="V19" s="168"/>
      <c r="W19" s="168"/>
      <c r="X19" s="168"/>
      <c r="Y19" s="168"/>
    </row>
    <row r="20" spans="1:34" s="41" customFormat="1" ht="13.5" customHeight="1">
      <c r="A20" s="323">
        <v>2022</v>
      </c>
      <c r="B20" s="2">
        <v>2939</v>
      </c>
      <c r="C20" s="2">
        <v>1730</v>
      </c>
      <c r="D20" s="2">
        <v>1679</v>
      </c>
      <c r="E20" s="2">
        <v>51</v>
      </c>
      <c r="F20" s="82">
        <v>58.9</v>
      </c>
      <c r="G20" s="84">
        <v>57.1</v>
      </c>
      <c r="H20" s="83">
        <v>3</v>
      </c>
      <c r="I20" s="166"/>
      <c r="J20" s="328"/>
      <c r="K20" s="167"/>
      <c r="L20" s="169"/>
      <c r="M20" s="169"/>
      <c r="P20" s="168"/>
      <c r="Q20" s="168"/>
      <c r="R20" s="168"/>
      <c r="S20" s="168"/>
      <c r="T20" s="168"/>
      <c r="U20" s="168"/>
      <c r="V20" s="168"/>
      <c r="W20" s="168"/>
      <c r="X20" s="168"/>
      <c r="Y20" s="168"/>
    </row>
    <row r="21" spans="1:34" s="41" customFormat="1" ht="13.5" customHeight="1">
      <c r="A21" s="323">
        <v>2023</v>
      </c>
      <c r="B21" s="2">
        <v>2930</v>
      </c>
      <c r="C21" s="2">
        <v>1746</v>
      </c>
      <c r="D21" s="2">
        <v>1691</v>
      </c>
      <c r="E21" s="2">
        <v>55</v>
      </c>
      <c r="F21" s="82">
        <v>59.6</v>
      </c>
      <c r="G21" s="84">
        <v>57.7</v>
      </c>
      <c r="H21" s="83">
        <v>3.1</v>
      </c>
      <c r="I21" s="166"/>
      <c r="J21" s="328"/>
      <c r="K21" s="167"/>
      <c r="L21" s="169"/>
      <c r="M21" s="169"/>
      <c r="P21" s="168"/>
      <c r="Q21" s="168"/>
      <c r="R21" s="168"/>
      <c r="S21" s="168"/>
      <c r="T21" s="168"/>
      <c r="U21" s="168"/>
      <c r="V21" s="168"/>
      <c r="W21" s="168"/>
      <c r="X21" s="168"/>
      <c r="Y21" s="168"/>
    </row>
    <row r="22" spans="1:34" s="397" customFormat="1" ht="13.5" customHeight="1">
      <c r="A22" s="323">
        <v>2024</v>
      </c>
      <c r="B22" s="393">
        <v>2920</v>
      </c>
      <c r="C22" s="393">
        <v>1740</v>
      </c>
      <c r="D22" s="393">
        <v>1688</v>
      </c>
      <c r="E22" s="393">
        <v>52</v>
      </c>
      <c r="F22" s="399">
        <v>59.6</v>
      </c>
      <c r="G22" s="401">
        <v>57.8</v>
      </c>
      <c r="H22" s="400">
        <v>3</v>
      </c>
      <c r="I22" s="166"/>
      <c r="J22" s="410"/>
      <c r="K22" s="167"/>
      <c r="L22" s="403"/>
      <c r="M22" s="403"/>
      <c r="P22" s="168"/>
      <c r="Q22" s="168"/>
      <c r="R22" s="168"/>
      <c r="S22" s="168"/>
      <c r="T22" s="168"/>
      <c r="U22" s="168"/>
      <c r="V22" s="168"/>
      <c r="W22" s="168"/>
      <c r="X22" s="168"/>
      <c r="Y22" s="168"/>
    </row>
    <row r="23" spans="1:34" s="41" customFormat="1" ht="13.5" customHeight="1">
      <c r="A23" s="323">
        <v>2025</v>
      </c>
      <c r="B23" s="2">
        <v>2908</v>
      </c>
      <c r="C23" s="2">
        <v>1746</v>
      </c>
      <c r="D23" s="2">
        <v>1698</v>
      </c>
      <c r="E23" s="2">
        <v>48</v>
      </c>
      <c r="F23" s="82">
        <v>60</v>
      </c>
      <c r="G23" s="84">
        <v>58.4</v>
      </c>
      <c r="H23" s="83">
        <v>2.8</v>
      </c>
      <c r="I23" s="166"/>
      <c r="J23" s="37"/>
      <c r="K23" s="167"/>
      <c r="L23" s="169"/>
      <c r="M23" s="169"/>
      <c r="P23" s="168"/>
      <c r="Q23" s="168"/>
      <c r="R23" s="168"/>
      <c r="S23" s="168"/>
      <c r="T23" s="168"/>
      <c r="U23" s="168"/>
      <c r="V23" s="167"/>
      <c r="W23" s="167"/>
    </row>
    <row r="24" spans="1:34" s="41" customFormat="1" ht="13.5" customHeight="1">
      <c r="A24" s="321"/>
      <c r="B24" s="2"/>
      <c r="C24" s="2"/>
      <c r="D24" s="2"/>
      <c r="E24" s="2"/>
      <c r="F24" s="82"/>
      <c r="G24" s="84"/>
      <c r="H24" s="83"/>
      <c r="I24" s="166"/>
      <c r="K24" s="144"/>
      <c r="L24" s="145"/>
      <c r="M24" s="145"/>
      <c r="N24" s="145"/>
      <c r="O24" s="144"/>
      <c r="P24" s="144"/>
      <c r="Q24" s="170"/>
      <c r="R24" s="170"/>
      <c r="S24" s="168"/>
      <c r="T24" s="168"/>
      <c r="U24" s="168"/>
      <c r="V24" s="168"/>
      <c r="W24" s="168"/>
      <c r="X24" s="168"/>
      <c r="Y24" s="168"/>
    </row>
    <row r="25" spans="1:34" s="397" customFormat="1" ht="13.5" customHeight="1">
      <c r="A25" s="321"/>
      <c r="B25" s="393"/>
      <c r="C25" s="393"/>
      <c r="D25" s="393"/>
      <c r="E25" s="393"/>
      <c r="F25" s="455"/>
      <c r="G25" s="401"/>
      <c r="H25" s="450"/>
      <c r="I25" s="166"/>
      <c r="K25" s="144"/>
      <c r="L25" s="402"/>
      <c r="M25" s="402"/>
      <c r="N25" s="402"/>
      <c r="O25" s="144"/>
      <c r="P25" s="144"/>
      <c r="Q25" s="170"/>
      <c r="R25" s="170"/>
      <c r="S25" s="168"/>
      <c r="T25" s="168"/>
      <c r="U25" s="168"/>
      <c r="V25" s="168"/>
      <c r="W25" s="168"/>
      <c r="X25" s="168"/>
      <c r="Y25" s="168"/>
    </row>
    <row r="26" spans="1:34" s="115" customFormat="1" ht="13.5" customHeight="1">
      <c r="A26" s="337">
        <v>44562</v>
      </c>
      <c r="B26" s="2">
        <v>2949</v>
      </c>
      <c r="C26" s="2">
        <v>1698</v>
      </c>
      <c r="D26" s="2">
        <v>1624</v>
      </c>
      <c r="E26" s="2">
        <v>75</v>
      </c>
      <c r="F26" s="82">
        <v>57.6</v>
      </c>
      <c r="G26" s="84">
        <v>55.1</v>
      </c>
      <c r="H26" s="83">
        <v>4.4000000000000004</v>
      </c>
      <c r="I26" s="166"/>
      <c r="J26" s="328"/>
      <c r="K26" s="144"/>
      <c r="L26" s="145"/>
      <c r="M26" s="145"/>
      <c r="N26" s="145"/>
      <c r="O26" s="144"/>
      <c r="P26" s="144"/>
      <c r="Q26" s="170"/>
      <c r="R26" s="170"/>
      <c r="S26" s="168"/>
      <c r="T26" s="168"/>
      <c r="U26" s="168"/>
      <c r="V26" s="168"/>
      <c r="W26" s="168"/>
      <c r="X26" s="168"/>
      <c r="Y26" s="168"/>
      <c r="Z26" s="108"/>
      <c r="AA26" s="108"/>
      <c r="AB26" s="108"/>
      <c r="AC26" s="108"/>
      <c r="AD26" s="108"/>
      <c r="AE26" s="108"/>
      <c r="AF26" s="108"/>
      <c r="AG26" s="108"/>
      <c r="AH26" s="114"/>
    </row>
    <row r="27" spans="1:34" s="115" customFormat="1" ht="13.5" customHeight="1">
      <c r="A27" s="337">
        <v>44593</v>
      </c>
      <c r="B27" s="2">
        <v>2947</v>
      </c>
      <c r="C27" s="2">
        <v>1712</v>
      </c>
      <c r="D27" s="2">
        <v>1659</v>
      </c>
      <c r="E27" s="2">
        <v>53</v>
      </c>
      <c r="F27" s="82">
        <v>58.1</v>
      </c>
      <c r="G27" s="84">
        <v>56.3</v>
      </c>
      <c r="H27" s="83">
        <v>3.1</v>
      </c>
      <c r="I27" s="166"/>
      <c r="J27" s="328"/>
      <c r="K27" s="144"/>
      <c r="L27" s="145"/>
      <c r="M27" s="145"/>
      <c r="N27" s="145"/>
      <c r="O27" s="144"/>
      <c r="P27" s="144"/>
      <c r="Q27" s="170"/>
      <c r="R27" s="170"/>
      <c r="S27" s="168"/>
      <c r="T27" s="168"/>
      <c r="U27" s="168"/>
      <c r="V27" s="168"/>
      <c r="W27" s="168"/>
      <c r="X27" s="168"/>
      <c r="Y27" s="168"/>
      <c r="Z27" s="108"/>
      <c r="AA27" s="108"/>
      <c r="AB27" s="108"/>
      <c r="AC27" s="108"/>
      <c r="AD27" s="108"/>
      <c r="AE27" s="108"/>
      <c r="AF27" s="108"/>
      <c r="AG27" s="108"/>
      <c r="AH27" s="114"/>
    </row>
    <row r="28" spans="1:34" s="115" customFormat="1" ht="13.5" customHeight="1">
      <c r="A28" s="337">
        <v>44621</v>
      </c>
      <c r="B28" s="2">
        <v>2945</v>
      </c>
      <c r="C28" s="2">
        <v>1700</v>
      </c>
      <c r="D28" s="2">
        <v>1655</v>
      </c>
      <c r="E28" s="2">
        <v>45</v>
      </c>
      <c r="F28" s="82">
        <v>57.7</v>
      </c>
      <c r="G28" s="84">
        <v>56.2</v>
      </c>
      <c r="H28" s="83">
        <v>2.6</v>
      </c>
      <c r="I28" s="166"/>
      <c r="J28" s="328"/>
      <c r="K28" s="144"/>
      <c r="L28" s="145"/>
      <c r="M28" s="145"/>
      <c r="N28" s="145"/>
      <c r="O28" s="144"/>
      <c r="P28" s="144"/>
      <c r="Q28" s="170"/>
      <c r="R28" s="170"/>
      <c r="S28" s="168"/>
      <c r="T28" s="168"/>
      <c r="U28" s="168"/>
      <c r="V28" s="168"/>
      <c r="W28" s="168"/>
      <c r="X28" s="168"/>
      <c r="Y28" s="168"/>
      <c r="Z28" s="108"/>
      <c r="AA28" s="108"/>
      <c r="AB28" s="108"/>
      <c r="AC28" s="108"/>
      <c r="AD28" s="108"/>
      <c r="AE28" s="108"/>
      <c r="AF28" s="108"/>
      <c r="AG28" s="108"/>
      <c r="AH28" s="114"/>
    </row>
    <row r="29" spans="1:34" s="115" customFormat="1" ht="13.5" customHeight="1">
      <c r="A29" s="337">
        <v>44652</v>
      </c>
      <c r="B29" s="2">
        <v>2943</v>
      </c>
      <c r="C29" s="2">
        <v>1707</v>
      </c>
      <c r="D29" s="2">
        <v>1664</v>
      </c>
      <c r="E29" s="2">
        <v>43</v>
      </c>
      <c r="F29" s="82">
        <v>58</v>
      </c>
      <c r="G29" s="84">
        <v>56.5</v>
      </c>
      <c r="H29" s="83">
        <v>2.5</v>
      </c>
      <c r="I29" s="166"/>
      <c r="J29" s="328"/>
      <c r="K29" s="144"/>
      <c r="L29" s="145"/>
      <c r="M29" s="145"/>
      <c r="N29" s="145"/>
      <c r="O29" s="144"/>
      <c r="P29" s="144"/>
      <c r="Q29" s="170"/>
      <c r="R29" s="170"/>
      <c r="S29" s="168"/>
      <c r="T29" s="168"/>
      <c r="U29" s="168"/>
      <c r="V29" s="168"/>
      <c r="W29" s="168"/>
      <c r="X29" s="168"/>
      <c r="Y29" s="168"/>
      <c r="Z29" s="108"/>
      <c r="AA29" s="108"/>
      <c r="AB29" s="108"/>
      <c r="AC29" s="108"/>
      <c r="AD29" s="108"/>
      <c r="AE29" s="108"/>
      <c r="AF29" s="108"/>
      <c r="AG29" s="108"/>
      <c r="AH29" s="114"/>
    </row>
    <row r="30" spans="1:34" s="115" customFormat="1" ht="13.5" customHeight="1">
      <c r="A30" s="337">
        <v>44682</v>
      </c>
      <c r="B30" s="2">
        <v>2941</v>
      </c>
      <c r="C30" s="2">
        <v>1742</v>
      </c>
      <c r="D30" s="2">
        <v>1691</v>
      </c>
      <c r="E30" s="2">
        <v>51</v>
      </c>
      <c r="F30" s="82">
        <v>59.2</v>
      </c>
      <c r="G30" s="84">
        <v>57.5</v>
      </c>
      <c r="H30" s="83">
        <v>2.9</v>
      </c>
      <c r="I30" s="166"/>
      <c r="J30" s="328"/>
      <c r="K30" s="144"/>
      <c r="L30" s="145"/>
      <c r="M30" s="145"/>
      <c r="N30" s="145"/>
      <c r="O30" s="144"/>
      <c r="P30" s="144"/>
      <c r="Q30" s="170"/>
      <c r="R30" s="170"/>
      <c r="S30" s="168"/>
      <c r="T30" s="168"/>
      <c r="U30" s="168"/>
      <c r="V30" s="168"/>
      <c r="W30" s="168"/>
      <c r="X30" s="168"/>
      <c r="Y30" s="168"/>
      <c r="Z30" s="108"/>
      <c r="AA30" s="108"/>
      <c r="AB30" s="108"/>
      <c r="AC30" s="108"/>
      <c r="AD30" s="108"/>
      <c r="AE30" s="108"/>
      <c r="AF30" s="108"/>
      <c r="AG30" s="108"/>
      <c r="AH30" s="114"/>
    </row>
    <row r="31" spans="1:34" s="115" customFormat="1" ht="13.5" customHeight="1">
      <c r="A31" s="337">
        <v>44713</v>
      </c>
      <c r="B31" s="2">
        <v>2938</v>
      </c>
      <c r="C31" s="2">
        <v>1746</v>
      </c>
      <c r="D31" s="2">
        <v>1687</v>
      </c>
      <c r="E31" s="2">
        <v>59</v>
      </c>
      <c r="F31" s="82">
        <v>59.4</v>
      </c>
      <c r="G31" s="84">
        <v>57.4</v>
      </c>
      <c r="H31" s="83">
        <v>3.4</v>
      </c>
      <c r="I31" s="166"/>
      <c r="J31" s="328"/>
      <c r="K31" s="144"/>
      <c r="L31" s="145"/>
      <c r="M31" s="145"/>
      <c r="N31" s="145"/>
      <c r="O31" s="144"/>
      <c r="P31" s="144"/>
      <c r="Q31" s="170"/>
      <c r="R31" s="170"/>
      <c r="S31" s="168"/>
      <c r="T31" s="168"/>
      <c r="U31" s="168"/>
      <c r="V31" s="168"/>
      <c r="W31" s="168"/>
      <c r="X31" s="168"/>
      <c r="Y31" s="168"/>
      <c r="Z31" s="108"/>
      <c r="AA31" s="108"/>
      <c r="AB31" s="108"/>
      <c r="AC31" s="108"/>
      <c r="AD31" s="108"/>
      <c r="AE31" s="108"/>
      <c r="AF31" s="108"/>
      <c r="AG31" s="108"/>
      <c r="AH31" s="114"/>
    </row>
    <row r="32" spans="1:34" s="115" customFormat="1" ht="13.5" customHeight="1">
      <c r="A32" s="337">
        <v>44743</v>
      </c>
      <c r="B32" s="2">
        <v>2937</v>
      </c>
      <c r="C32" s="2">
        <v>1747</v>
      </c>
      <c r="D32" s="2">
        <v>1689</v>
      </c>
      <c r="E32" s="2">
        <v>57</v>
      </c>
      <c r="F32" s="82">
        <v>59.5</v>
      </c>
      <c r="G32" s="84">
        <v>57.5</v>
      </c>
      <c r="H32" s="83">
        <v>3.3</v>
      </c>
      <c r="I32" s="166"/>
      <c r="J32" s="328"/>
      <c r="K32" s="144"/>
      <c r="L32" s="145"/>
      <c r="M32" s="145"/>
      <c r="N32" s="145"/>
      <c r="O32" s="144"/>
      <c r="P32" s="144"/>
      <c r="Q32" s="170"/>
      <c r="R32" s="170"/>
      <c r="S32" s="168"/>
      <c r="T32" s="168"/>
      <c r="U32" s="168"/>
      <c r="V32" s="168"/>
      <c r="W32" s="168"/>
      <c r="X32" s="168"/>
      <c r="Y32" s="168"/>
      <c r="Z32" s="108"/>
      <c r="AA32" s="108"/>
      <c r="AB32" s="108"/>
      <c r="AC32" s="108"/>
      <c r="AD32" s="108"/>
      <c r="AE32" s="108"/>
      <c r="AF32" s="108"/>
      <c r="AG32" s="108"/>
      <c r="AH32" s="114"/>
    </row>
    <row r="33" spans="1:34" s="115" customFormat="1" ht="13.5" customHeight="1">
      <c r="A33" s="337">
        <v>44774</v>
      </c>
      <c r="B33" s="2">
        <v>2936</v>
      </c>
      <c r="C33" s="2">
        <v>1744</v>
      </c>
      <c r="D33" s="2">
        <v>1703</v>
      </c>
      <c r="E33" s="2">
        <v>41</v>
      </c>
      <c r="F33" s="82">
        <v>59.4</v>
      </c>
      <c r="G33" s="84">
        <v>58</v>
      </c>
      <c r="H33" s="83">
        <v>2.2999999999999998</v>
      </c>
      <c r="I33" s="166"/>
      <c r="J33" s="328"/>
      <c r="K33" s="144"/>
      <c r="L33" s="145"/>
      <c r="M33" s="145"/>
      <c r="N33" s="145"/>
      <c r="O33" s="144"/>
      <c r="P33" s="144"/>
      <c r="Q33" s="170"/>
      <c r="R33" s="170"/>
      <c r="S33" s="168"/>
      <c r="T33" s="168"/>
      <c r="U33" s="168"/>
      <c r="V33" s="168"/>
      <c r="W33" s="168"/>
      <c r="X33" s="168"/>
      <c r="Y33" s="168"/>
      <c r="Z33" s="108"/>
      <c r="AA33" s="108"/>
      <c r="AB33" s="108"/>
      <c r="AC33" s="108"/>
      <c r="AD33" s="108"/>
      <c r="AE33" s="108"/>
      <c r="AF33" s="108"/>
      <c r="AG33" s="108"/>
      <c r="AH33" s="114"/>
    </row>
    <row r="34" spans="1:34" s="115" customFormat="1" ht="13.5" customHeight="1">
      <c r="A34" s="337">
        <v>44805</v>
      </c>
      <c r="B34" s="2">
        <v>2935</v>
      </c>
      <c r="C34" s="2">
        <v>1743</v>
      </c>
      <c r="D34" s="2">
        <v>1697</v>
      </c>
      <c r="E34" s="2">
        <v>46</v>
      </c>
      <c r="F34" s="82">
        <v>59.4</v>
      </c>
      <c r="G34" s="83">
        <v>57.8</v>
      </c>
      <c r="H34" s="83">
        <v>2.6</v>
      </c>
      <c r="I34" s="166"/>
      <c r="J34" s="328"/>
      <c r="K34" s="144"/>
      <c r="L34" s="145"/>
      <c r="M34" s="145"/>
      <c r="N34" s="145"/>
      <c r="O34" s="144"/>
      <c r="P34" s="144"/>
      <c r="Q34" s="170"/>
      <c r="R34" s="170"/>
      <c r="S34" s="168"/>
      <c r="T34" s="168"/>
      <c r="U34" s="168"/>
      <c r="V34" s="168"/>
      <c r="W34" s="168"/>
      <c r="X34" s="168"/>
      <c r="Y34" s="168"/>
      <c r="Z34" s="108"/>
      <c r="AA34" s="108"/>
      <c r="AB34" s="108"/>
      <c r="AC34" s="108"/>
      <c r="AD34" s="108"/>
      <c r="AE34" s="108"/>
      <c r="AF34" s="108"/>
      <c r="AG34" s="108"/>
      <c r="AH34" s="114"/>
    </row>
    <row r="35" spans="1:34" s="115" customFormat="1" ht="13.5" customHeight="1">
      <c r="A35" s="337">
        <v>44835</v>
      </c>
      <c r="B35" s="2">
        <v>2934</v>
      </c>
      <c r="C35" s="2">
        <v>1741</v>
      </c>
      <c r="D35" s="2">
        <v>1691</v>
      </c>
      <c r="E35" s="2">
        <v>49</v>
      </c>
      <c r="F35" s="82">
        <v>59.3</v>
      </c>
      <c r="G35" s="83">
        <v>57.7</v>
      </c>
      <c r="H35" s="83">
        <v>2.8</v>
      </c>
      <c r="I35" s="166"/>
      <c r="J35" s="328"/>
      <c r="K35" s="144"/>
      <c r="L35" s="145"/>
      <c r="M35" s="145"/>
      <c r="N35" s="145"/>
      <c r="O35" s="144"/>
      <c r="P35" s="144"/>
      <c r="Q35" s="170"/>
      <c r="R35" s="170"/>
      <c r="S35" s="168"/>
      <c r="T35" s="168"/>
      <c r="U35" s="168"/>
      <c r="V35" s="168"/>
      <c r="W35" s="168"/>
      <c r="X35" s="168"/>
      <c r="Y35" s="168"/>
      <c r="Z35" s="108"/>
      <c r="AA35" s="108"/>
      <c r="AB35" s="108"/>
      <c r="AC35" s="108"/>
      <c r="AD35" s="108"/>
      <c r="AE35" s="108"/>
      <c r="AF35" s="108"/>
      <c r="AG35" s="108"/>
      <c r="AH35" s="114"/>
    </row>
    <row r="36" spans="1:34" s="115" customFormat="1" ht="13.5" customHeight="1">
      <c r="A36" s="337">
        <v>44866</v>
      </c>
      <c r="B36" s="2">
        <v>2933</v>
      </c>
      <c r="C36" s="2">
        <v>1741</v>
      </c>
      <c r="D36" s="2">
        <v>1696</v>
      </c>
      <c r="E36" s="2">
        <v>45</v>
      </c>
      <c r="F36" s="82">
        <v>59.4</v>
      </c>
      <c r="G36" s="82">
        <v>57.8</v>
      </c>
      <c r="H36" s="83">
        <v>2.6</v>
      </c>
      <c r="I36" s="166"/>
      <c r="J36" s="328"/>
      <c r="K36" s="144"/>
      <c r="L36" s="145"/>
      <c r="M36" s="145"/>
      <c r="N36" s="145"/>
      <c r="O36" s="144"/>
      <c r="P36" s="144"/>
      <c r="Q36" s="170"/>
      <c r="R36" s="170"/>
      <c r="S36" s="168"/>
      <c r="T36" s="168"/>
      <c r="U36" s="168"/>
      <c r="V36" s="168"/>
      <c r="W36" s="168"/>
      <c r="X36" s="168"/>
      <c r="Y36" s="168"/>
      <c r="Z36" s="108"/>
      <c r="AA36" s="108"/>
      <c r="AB36" s="108"/>
      <c r="AC36" s="108"/>
      <c r="AD36" s="108"/>
      <c r="AE36" s="108"/>
      <c r="AF36" s="108"/>
      <c r="AG36" s="108"/>
      <c r="AH36" s="114"/>
    </row>
    <row r="37" spans="1:34" s="115" customFormat="1" ht="13.5" customHeight="1">
      <c r="A37" s="337">
        <v>44896</v>
      </c>
      <c r="B37" s="2">
        <v>2932</v>
      </c>
      <c r="C37" s="2">
        <v>1740</v>
      </c>
      <c r="D37" s="2">
        <v>1689</v>
      </c>
      <c r="E37" s="2">
        <v>52</v>
      </c>
      <c r="F37" s="82">
        <v>59.4</v>
      </c>
      <c r="G37" s="82">
        <v>57.6</v>
      </c>
      <c r="H37" s="83">
        <v>3</v>
      </c>
      <c r="I37" s="166"/>
      <c r="J37" s="328"/>
      <c r="K37" s="144"/>
      <c r="L37" s="145"/>
      <c r="M37" s="145"/>
      <c r="N37" s="145"/>
      <c r="O37" s="144"/>
      <c r="P37" s="144"/>
      <c r="Q37" s="170"/>
      <c r="R37" s="170"/>
      <c r="S37" s="168"/>
      <c r="T37" s="168"/>
      <c r="U37" s="168"/>
      <c r="V37" s="168"/>
      <c r="W37" s="168"/>
      <c r="X37" s="168"/>
      <c r="Y37" s="168"/>
      <c r="Z37" s="108"/>
      <c r="AA37" s="108"/>
      <c r="AB37" s="108"/>
      <c r="AC37" s="108"/>
      <c r="AD37" s="108"/>
      <c r="AE37" s="108"/>
      <c r="AF37" s="108"/>
      <c r="AG37" s="108"/>
      <c r="AH37" s="114"/>
    </row>
    <row r="38" spans="1:34" s="115" customFormat="1" ht="13.5" customHeight="1">
      <c r="A38" s="337">
        <v>44927</v>
      </c>
      <c r="B38" s="2">
        <v>2935</v>
      </c>
      <c r="C38" s="2">
        <v>1737</v>
      </c>
      <c r="D38" s="2">
        <v>1677</v>
      </c>
      <c r="E38" s="2">
        <v>60</v>
      </c>
      <c r="F38" s="82">
        <v>59.2</v>
      </c>
      <c r="G38" s="82">
        <v>57.1</v>
      </c>
      <c r="H38" s="83">
        <v>3.5</v>
      </c>
      <c r="I38" s="166"/>
      <c r="J38" s="328"/>
      <c r="K38" s="144"/>
      <c r="L38" s="145"/>
      <c r="M38" s="145"/>
      <c r="N38" s="145"/>
      <c r="O38" s="144"/>
      <c r="P38" s="144"/>
      <c r="Q38" s="170"/>
      <c r="R38" s="170"/>
      <c r="S38" s="168"/>
      <c r="T38" s="168"/>
      <c r="U38" s="168"/>
      <c r="V38" s="168"/>
      <c r="W38" s="168"/>
      <c r="X38" s="168"/>
      <c r="Y38" s="168"/>
      <c r="Z38" s="108"/>
      <c r="AA38" s="108"/>
      <c r="AB38" s="108"/>
      <c r="AC38" s="108"/>
      <c r="AD38" s="108"/>
      <c r="AE38" s="108"/>
      <c r="AF38" s="108"/>
      <c r="AG38" s="108"/>
      <c r="AH38" s="114"/>
    </row>
    <row r="39" spans="1:34" s="115" customFormat="1" ht="13.5" customHeight="1">
      <c r="A39" s="337">
        <v>44958</v>
      </c>
      <c r="B39" s="2">
        <v>2934</v>
      </c>
      <c r="C39" s="2">
        <v>1720</v>
      </c>
      <c r="D39" s="2">
        <v>1663</v>
      </c>
      <c r="E39" s="2">
        <v>57</v>
      </c>
      <c r="F39" s="82">
        <v>58.6</v>
      </c>
      <c r="G39" s="84">
        <v>56.7</v>
      </c>
      <c r="H39" s="83">
        <v>3.3</v>
      </c>
      <c r="I39" s="166"/>
      <c r="J39" s="328"/>
      <c r="K39" s="144"/>
      <c r="L39" s="145"/>
      <c r="M39" s="145"/>
      <c r="N39" s="145"/>
      <c r="O39" s="144"/>
      <c r="P39" s="144"/>
      <c r="Q39" s="170"/>
      <c r="R39" s="170"/>
      <c r="S39" s="168"/>
      <c r="T39" s="168"/>
      <c r="U39" s="168"/>
      <c r="V39" s="168"/>
      <c r="W39" s="168"/>
      <c r="X39" s="168"/>
      <c r="Y39" s="168"/>
      <c r="Z39" s="108"/>
      <c r="AA39" s="108"/>
      <c r="AB39" s="108"/>
      <c r="AC39" s="108"/>
      <c r="AD39" s="108"/>
      <c r="AE39" s="108"/>
      <c r="AF39" s="108"/>
      <c r="AG39" s="108"/>
      <c r="AH39" s="114"/>
    </row>
    <row r="40" spans="1:34" s="115" customFormat="1" ht="13.5" customHeight="1">
      <c r="A40" s="337">
        <v>44986</v>
      </c>
      <c r="B40" s="2">
        <v>2933</v>
      </c>
      <c r="C40" s="2">
        <v>1751</v>
      </c>
      <c r="D40" s="2">
        <v>1698</v>
      </c>
      <c r="E40" s="2">
        <v>53</v>
      </c>
      <c r="F40" s="82">
        <v>59.7</v>
      </c>
      <c r="G40" s="84">
        <v>57.9</v>
      </c>
      <c r="H40" s="83">
        <v>3</v>
      </c>
      <c r="I40" s="166"/>
      <c r="J40" s="328"/>
      <c r="K40" s="144"/>
      <c r="L40" s="145"/>
      <c r="M40" s="145"/>
      <c r="N40" s="145"/>
      <c r="O40" s="144"/>
      <c r="P40" s="144"/>
      <c r="Q40" s="170"/>
      <c r="R40" s="170"/>
      <c r="S40" s="168"/>
      <c r="T40" s="168"/>
      <c r="U40" s="168"/>
      <c r="V40" s="168"/>
      <c r="W40" s="168"/>
      <c r="X40" s="168"/>
      <c r="Y40" s="168"/>
      <c r="Z40" s="108"/>
      <c r="AA40" s="108"/>
      <c r="AB40" s="108"/>
      <c r="AC40" s="108"/>
      <c r="AD40" s="108"/>
      <c r="AE40" s="108"/>
      <c r="AF40" s="108"/>
      <c r="AG40" s="108"/>
      <c r="AH40" s="114"/>
    </row>
    <row r="41" spans="1:34" s="115" customFormat="1" ht="13.5" customHeight="1">
      <c r="A41" s="337">
        <v>45017</v>
      </c>
      <c r="B41" s="2">
        <v>2932</v>
      </c>
      <c r="C41" s="2">
        <v>1755</v>
      </c>
      <c r="D41" s="2">
        <v>1695</v>
      </c>
      <c r="E41" s="2">
        <v>60</v>
      </c>
      <c r="F41" s="82">
        <v>59.9</v>
      </c>
      <c r="G41" s="84">
        <v>57.8</v>
      </c>
      <c r="H41" s="83">
        <v>3.4</v>
      </c>
      <c r="I41" s="166"/>
      <c r="J41" s="328"/>
      <c r="K41" s="144"/>
      <c r="L41" s="145"/>
      <c r="M41" s="145"/>
      <c r="N41" s="145"/>
      <c r="O41" s="144"/>
      <c r="P41" s="144"/>
      <c r="Q41" s="170"/>
      <c r="R41" s="170"/>
      <c r="S41" s="168"/>
      <c r="T41" s="168"/>
      <c r="U41" s="168"/>
      <c r="V41" s="168"/>
      <c r="W41" s="168"/>
      <c r="X41" s="168"/>
      <c r="Y41" s="168"/>
      <c r="Z41" s="108"/>
      <c r="AA41" s="108"/>
      <c r="AB41" s="108"/>
      <c r="AC41" s="108"/>
      <c r="AD41" s="108"/>
      <c r="AE41" s="108"/>
      <c r="AF41" s="108"/>
      <c r="AG41" s="108"/>
      <c r="AH41" s="114"/>
    </row>
    <row r="42" spans="1:34" s="115" customFormat="1" ht="13.5" customHeight="1">
      <c r="A42" s="337">
        <v>45047</v>
      </c>
      <c r="B42" s="2">
        <v>2931</v>
      </c>
      <c r="C42" s="2">
        <v>1761</v>
      </c>
      <c r="D42" s="2">
        <v>1700</v>
      </c>
      <c r="E42" s="2">
        <v>61</v>
      </c>
      <c r="F42" s="82">
        <v>60.1</v>
      </c>
      <c r="G42" s="84">
        <v>58</v>
      </c>
      <c r="H42" s="83">
        <v>3.5</v>
      </c>
      <c r="I42" s="166"/>
      <c r="J42" s="328"/>
      <c r="K42" s="144"/>
      <c r="L42" s="145"/>
      <c r="M42" s="145"/>
      <c r="N42" s="145"/>
      <c r="O42" s="144"/>
      <c r="P42" s="144"/>
      <c r="Q42" s="170"/>
      <c r="R42" s="170"/>
      <c r="S42" s="168"/>
      <c r="T42" s="168"/>
      <c r="U42" s="168"/>
      <c r="V42" s="168"/>
      <c r="W42" s="168"/>
      <c r="X42" s="168"/>
      <c r="Y42" s="168"/>
      <c r="Z42" s="108"/>
      <c r="AA42" s="108"/>
      <c r="AB42" s="108"/>
      <c r="AC42" s="108"/>
      <c r="AD42" s="108"/>
      <c r="AE42" s="108"/>
      <c r="AF42" s="108"/>
      <c r="AG42" s="108"/>
      <c r="AH42" s="114"/>
    </row>
    <row r="43" spans="1:34" s="115" customFormat="1" ht="13.5" customHeight="1">
      <c r="A43" s="337">
        <v>45078</v>
      </c>
      <c r="B43" s="2">
        <v>2930</v>
      </c>
      <c r="C43" s="2">
        <v>1755</v>
      </c>
      <c r="D43" s="2">
        <v>1695</v>
      </c>
      <c r="E43" s="2">
        <v>60</v>
      </c>
      <c r="F43" s="82">
        <v>59.9</v>
      </c>
      <c r="G43" s="84">
        <v>57.8</v>
      </c>
      <c r="H43" s="83">
        <v>3.4</v>
      </c>
      <c r="I43" s="166"/>
      <c r="J43" s="328"/>
      <c r="K43" s="144"/>
      <c r="L43" s="145"/>
      <c r="M43" s="145"/>
      <c r="N43" s="145"/>
      <c r="O43" s="144"/>
      <c r="P43" s="144"/>
      <c r="Q43" s="170"/>
      <c r="R43" s="170"/>
      <c r="S43" s="168"/>
      <c r="T43" s="168"/>
      <c r="U43" s="168"/>
      <c r="V43" s="168"/>
      <c r="W43" s="168"/>
      <c r="X43" s="168"/>
      <c r="Y43" s="168"/>
      <c r="Z43" s="108"/>
      <c r="AA43" s="108"/>
      <c r="AB43" s="108"/>
      <c r="AC43" s="108"/>
      <c r="AD43" s="108"/>
      <c r="AE43" s="108"/>
      <c r="AF43" s="108"/>
      <c r="AG43" s="108"/>
      <c r="AH43" s="114"/>
    </row>
    <row r="44" spans="1:34" s="115" customFormat="1" ht="13.5" customHeight="1">
      <c r="A44" s="337">
        <f t="shared" ref="A44:A66" si="0">EDATE(A43,1)</f>
        <v>45108</v>
      </c>
      <c r="B44" s="2">
        <v>2929</v>
      </c>
      <c r="C44" s="2">
        <v>1756</v>
      </c>
      <c r="D44" s="2">
        <v>1704</v>
      </c>
      <c r="E44" s="2">
        <v>52</v>
      </c>
      <c r="F44" s="82">
        <v>59.9</v>
      </c>
      <c r="G44" s="84">
        <v>58.2</v>
      </c>
      <c r="H44" s="83">
        <v>2.9</v>
      </c>
      <c r="I44" s="166"/>
      <c r="J44" s="328"/>
      <c r="K44" s="144"/>
      <c r="L44" s="145"/>
      <c r="M44" s="145"/>
      <c r="N44" s="145"/>
      <c r="O44" s="144"/>
      <c r="P44" s="144"/>
      <c r="Q44" s="170"/>
      <c r="R44" s="170"/>
      <c r="S44" s="168"/>
      <c r="T44" s="168"/>
      <c r="U44" s="168"/>
      <c r="V44" s="168"/>
      <c r="W44" s="168"/>
      <c r="X44" s="168"/>
      <c r="Y44" s="168"/>
      <c r="Z44" s="108"/>
      <c r="AA44" s="108"/>
      <c r="AB44" s="108"/>
      <c r="AC44" s="108"/>
      <c r="AD44" s="108"/>
      <c r="AE44" s="108"/>
      <c r="AF44" s="108"/>
      <c r="AG44" s="108"/>
      <c r="AH44" s="114"/>
    </row>
    <row r="45" spans="1:34" s="115" customFormat="1" ht="13.5" customHeight="1">
      <c r="A45" s="337">
        <f t="shared" si="0"/>
        <v>45139</v>
      </c>
      <c r="B45" s="2">
        <v>2929</v>
      </c>
      <c r="C45" s="2">
        <v>1740</v>
      </c>
      <c r="D45" s="2">
        <v>1700</v>
      </c>
      <c r="E45" s="2">
        <v>41</v>
      </c>
      <c r="F45" s="82">
        <v>59.4</v>
      </c>
      <c r="G45" s="84">
        <v>58</v>
      </c>
      <c r="H45" s="83">
        <v>2.2999999999999998</v>
      </c>
      <c r="I45" s="166"/>
      <c r="J45" s="328"/>
      <c r="K45" s="144"/>
      <c r="L45" s="145"/>
      <c r="M45" s="145"/>
      <c r="N45" s="145"/>
      <c r="O45" s="144"/>
      <c r="P45" s="144"/>
      <c r="Q45" s="170"/>
      <c r="R45" s="170"/>
      <c r="S45" s="168"/>
      <c r="T45" s="168"/>
      <c r="U45" s="168"/>
      <c r="V45" s="168"/>
      <c r="W45" s="168"/>
      <c r="X45" s="168"/>
      <c r="Y45" s="168"/>
      <c r="Z45" s="108"/>
      <c r="AA45" s="108"/>
      <c r="AB45" s="108"/>
      <c r="AC45" s="108"/>
      <c r="AD45" s="108"/>
      <c r="AE45" s="108"/>
      <c r="AF45" s="108"/>
      <c r="AG45" s="108"/>
      <c r="AH45" s="114"/>
    </row>
    <row r="46" spans="1:34" s="115" customFormat="1" ht="13.5" customHeight="1">
      <c r="A46" s="337">
        <f t="shared" si="0"/>
        <v>45170</v>
      </c>
      <c r="B46" s="2">
        <v>2928</v>
      </c>
      <c r="C46" s="2">
        <v>1758</v>
      </c>
      <c r="D46" s="2">
        <v>1712</v>
      </c>
      <c r="E46" s="2">
        <v>46</v>
      </c>
      <c r="F46" s="82">
        <v>60</v>
      </c>
      <c r="G46" s="84">
        <v>58.5</v>
      </c>
      <c r="H46" s="83">
        <v>2.6</v>
      </c>
      <c r="I46" s="166"/>
      <c r="J46" s="328"/>
      <c r="K46" s="144"/>
      <c r="L46" s="145"/>
      <c r="M46" s="145"/>
      <c r="N46" s="145"/>
      <c r="O46" s="144"/>
      <c r="P46" s="144"/>
      <c r="Q46" s="170"/>
      <c r="R46" s="170"/>
      <c r="S46" s="168"/>
      <c r="T46" s="168"/>
      <c r="U46" s="168"/>
      <c r="V46" s="168"/>
      <c r="W46" s="168"/>
      <c r="X46" s="168"/>
      <c r="Y46" s="168"/>
      <c r="Z46" s="108"/>
      <c r="AA46" s="108"/>
      <c r="AB46" s="108"/>
      <c r="AC46" s="108"/>
      <c r="AD46" s="108"/>
      <c r="AE46" s="108"/>
      <c r="AF46" s="108"/>
      <c r="AG46" s="108"/>
      <c r="AH46" s="114"/>
    </row>
    <row r="47" spans="1:34" s="115" customFormat="1" ht="13.5" customHeight="1">
      <c r="A47" s="337">
        <f t="shared" si="0"/>
        <v>45200</v>
      </c>
      <c r="B47" s="2">
        <v>2928</v>
      </c>
      <c r="C47" s="2">
        <v>1752</v>
      </c>
      <c r="D47" s="2">
        <v>1701</v>
      </c>
      <c r="E47" s="2">
        <v>52</v>
      </c>
      <c r="F47" s="82">
        <v>59.8</v>
      </c>
      <c r="G47" s="84">
        <v>58.1</v>
      </c>
      <c r="H47" s="83">
        <v>2.9</v>
      </c>
      <c r="I47" s="166"/>
      <c r="J47" s="328"/>
      <c r="K47" s="144"/>
      <c r="L47" s="145"/>
      <c r="M47" s="145"/>
      <c r="N47" s="145"/>
      <c r="O47" s="144"/>
      <c r="P47" s="144"/>
      <c r="Q47" s="170"/>
      <c r="R47" s="170"/>
      <c r="S47" s="168"/>
      <c r="T47" s="168"/>
      <c r="U47" s="168"/>
      <c r="V47" s="168"/>
      <c r="W47" s="168"/>
      <c r="X47" s="168"/>
      <c r="Y47" s="168"/>
      <c r="Z47" s="108"/>
      <c r="AA47" s="108"/>
      <c r="AB47" s="108"/>
      <c r="AC47" s="108"/>
      <c r="AD47" s="108"/>
      <c r="AE47" s="108"/>
      <c r="AF47" s="108"/>
      <c r="AG47" s="108"/>
      <c r="AH47" s="114"/>
    </row>
    <row r="48" spans="1:34" s="115" customFormat="1" ht="13.5" customHeight="1">
      <c r="A48" s="337">
        <f t="shared" si="0"/>
        <v>45231</v>
      </c>
      <c r="B48" s="2">
        <v>2928</v>
      </c>
      <c r="C48" s="2">
        <v>1735</v>
      </c>
      <c r="D48" s="2">
        <v>1683</v>
      </c>
      <c r="E48" s="2">
        <v>53</v>
      </c>
      <c r="F48" s="82">
        <v>59.3</v>
      </c>
      <c r="G48" s="84">
        <v>57.5</v>
      </c>
      <c r="H48" s="83">
        <v>3</v>
      </c>
      <c r="I48" s="166"/>
      <c r="J48" s="328"/>
      <c r="K48" s="144"/>
      <c r="L48" s="145"/>
      <c r="M48" s="145"/>
      <c r="N48" s="145"/>
      <c r="O48" s="144"/>
      <c r="P48" s="144"/>
      <c r="Q48" s="170"/>
      <c r="R48" s="170"/>
      <c r="S48" s="168"/>
      <c r="T48" s="168"/>
      <c r="U48" s="168"/>
      <c r="V48" s="168"/>
      <c r="W48" s="168"/>
      <c r="X48" s="168"/>
      <c r="Y48" s="168"/>
      <c r="Z48" s="108"/>
      <c r="AA48" s="108"/>
      <c r="AB48" s="108"/>
      <c r="AC48" s="108"/>
      <c r="AD48" s="108"/>
      <c r="AE48" s="108"/>
      <c r="AF48" s="108"/>
      <c r="AG48" s="108"/>
      <c r="AH48" s="114"/>
    </row>
    <row r="49" spans="1:34" s="115" customFormat="1" ht="13.5" customHeight="1">
      <c r="A49" s="337">
        <f t="shared" si="0"/>
        <v>45261</v>
      </c>
      <c r="B49" s="2">
        <v>2928</v>
      </c>
      <c r="C49" s="2">
        <v>1733</v>
      </c>
      <c r="D49" s="2">
        <v>1669</v>
      </c>
      <c r="E49" s="2">
        <v>64</v>
      </c>
      <c r="F49" s="82">
        <v>59.2</v>
      </c>
      <c r="G49" s="84">
        <v>57</v>
      </c>
      <c r="H49" s="83">
        <v>3.7</v>
      </c>
      <c r="I49" s="166"/>
      <c r="J49" s="328"/>
      <c r="K49" s="144"/>
      <c r="L49" s="145"/>
      <c r="M49" s="145"/>
      <c r="N49" s="145"/>
      <c r="O49" s="144"/>
      <c r="P49" s="144"/>
      <c r="Q49" s="170"/>
      <c r="R49" s="170"/>
      <c r="S49" s="168"/>
      <c r="T49" s="168"/>
      <c r="U49" s="168"/>
      <c r="V49" s="168"/>
      <c r="W49" s="168"/>
      <c r="X49" s="168"/>
      <c r="Y49" s="168"/>
      <c r="Z49" s="108"/>
      <c r="AA49" s="108"/>
      <c r="AB49" s="108"/>
      <c r="AC49" s="108"/>
      <c r="AD49" s="108"/>
      <c r="AE49" s="108"/>
      <c r="AF49" s="108"/>
      <c r="AG49" s="108"/>
      <c r="AH49" s="114"/>
    </row>
    <row r="50" spans="1:34" s="115" customFormat="1" ht="13.5" customHeight="1">
      <c r="A50" s="337">
        <f t="shared" si="0"/>
        <v>45292</v>
      </c>
      <c r="B50" s="393">
        <v>2926</v>
      </c>
      <c r="C50" s="393">
        <v>1735</v>
      </c>
      <c r="D50" s="393">
        <v>1654</v>
      </c>
      <c r="E50" s="393">
        <v>81</v>
      </c>
      <c r="F50" s="399">
        <v>59.3</v>
      </c>
      <c r="G50" s="401">
        <v>56.5</v>
      </c>
      <c r="H50" s="400">
        <v>4.7</v>
      </c>
      <c r="I50" s="166"/>
      <c r="J50" s="328"/>
      <c r="K50" s="144"/>
      <c r="L50" s="145"/>
      <c r="M50" s="145"/>
      <c r="N50" s="145"/>
      <c r="O50" s="144"/>
      <c r="P50" s="144"/>
      <c r="Q50" s="170"/>
      <c r="R50" s="170"/>
      <c r="S50" s="168"/>
      <c r="T50" s="168"/>
      <c r="U50" s="168"/>
      <c r="V50" s="168"/>
      <c r="W50" s="168"/>
      <c r="X50" s="168"/>
      <c r="Y50" s="168"/>
      <c r="Z50" s="108"/>
      <c r="AA50" s="108"/>
      <c r="AB50" s="108"/>
      <c r="AC50" s="108"/>
      <c r="AD50" s="108"/>
      <c r="AE50" s="108"/>
      <c r="AF50" s="108"/>
      <c r="AG50" s="108"/>
      <c r="AH50" s="114"/>
    </row>
    <row r="51" spans="1:34" s="115" customFormat="1" ht="13.5" customHeight="1">
      <c r="A51" s="337">
        <f t="shared" si="0"/>
        <v>45323</v>
      </c>
      <c r="B51" s="393">
        <v>2925</v>
      </c>
      <c r="C51" s="393">
        <v>1740</v>
      </c>
      <c r="D51" s="393">
        <v>1684</v>
      </c>
      <c r="E51" s="393">
        <v>55</v>
      </c>
      <c r="F51" s="399">
        <v>59.5</v>
      </c>
      <c r="G51" s="401">
        <v>57.6</v>
      </c>
      <c r="H51" s="400">
        <v>3.2</v>
      </c>
      <c r="I51" s="166"/>
      <c r="J51" s="410"/>
      <c r="K51" s="144"/>
      <c r="L51" s="402"/>
      <c r="M51" s="402"/>
      <c r="N51" s="402"/>
      <c r="O51" s="144"/>
      <c r="P51" s="144"/>
      <c r="Q51" s="170"/>
      <c r="R51" s="170"/>
      <c r="S51" s="168"/>
      <c r="T51" s="168"/>
      <c r="U51" s="168"/>
      <c r="V51" s="168"/>
      <c r="W51" s="168"/>
      <c r="X51" s="168"/>
      <c r="Y51" s="168"/>
      <c r="Z51" s="108"/>
      <c r="AA51" s="108"/>
      <c r="AB51" s="108"/>
      <c r="AC51" s="108"/>
      <c r="AD51" s="108"/>
      <c r="AE51" s="108"/>
      <c r="AF51" s="108"/>
      <c r="AG51" s="108"/>
      <c r="AH51" s="114"/>
    </row>
    <row r="52" spans="1:34" s="115" customFormat="1" ht="13.5" customHeight="1">
      <c r="A52" s="337">
        <f t="shared" si="0"/>
        <v>45352</v>
      </c>
      <c r="B52" s="393">
        <v>2924</v>
      </c>
      <c r="C52" s="393">
        <v>1738</v>
      </c>
      <c r="D52" s="393">
        <v>1687</v>
      </c>
      <c r="E52" s="393">
        <v>51</v>
      </c>
      <c r="F52" s="399">
        <v>59.4</v>
      </c>
      <c r="G52" s="401">
        <v>57.7</v>
      </c>
      <c r="H52" s="400">
        <v>2.9</v>
      </c>
      <c r="I52" s="166"/>
      <c r="J52" s="410"/>
      <c r="K52" s="144"/>
      <c r="L52" s="402"/>
      <c r="M52" s="402"/>
      <c r="N52" s="402"/>
      <c r="O52" s="144"/>
      <c r="P52" s="144"/>
      <c r="Q52" s="170"/>
      <c r="R52" s="170"/>
      <c r="S52" s="168"/>
      <c r="T52" s="168"/>
      <c r="U52" s="168"/>
      <c r="V52" s="168"/>
      <c r="W52" s="168"/>
      <c r="X52" s="168"/>
      <c r="Y52" s="168"/>
      <c r="Z52" s="108"/>
      <c r="AA52" s="108"/>
      <c r="AB52" s="108"/>
      <c r="AC52" s="108"/>
      <c r="AD52" s="108"/>
      <c r="AE52" s="108"/>
      <c r="AF52" s="108"/>
      <c r="AG52" s="108"/>
      <c r="AH52" s="114"/>
    </row>
    <row r="53" spans="1:34" s="115" customFormat="1" ht="13.5" customHeight="1">
      <c r="A53" s="337">
        <f t="shared" si="0"/>
        <v>45383</v>
      </c>
      <c r="B53" s="393">
        <v>2923</v>
      </c>
      <c r="C53" s="393">
        <v>1738</v>
      </c>
      <c r="D53" s="393">
        <v>1688</v>
      </c>
      <c r="E53" s="393">
        <v>50</v>
      </c>
      <c r="F53" s="399">
        <v>59.5</v>
      </c>
      <c r="G53" s="401">
        <v>57.8</v>
      </c>
      <c r="H53" s="400">
        <v>2.9</v>
      </c>
      <c r="I53" s="166"/>
      <c r="J53" s="410"/>
      <c r="K53" s="144"/>
      <c r="L53" s="402"/>
      <c r="M53" s="402"/>
      <c r="N53" s="402"/>
      <c r="O53" s="144"/>
      <c r="P53" s="144"/>
      <c r="Q53" s="170"/>
      <c r="R53" s="170"/>
      <c r="S53" s="168"/>
      <c r="T53" s="168"/>
      <c r="U53" s="168"/>
      <c r="V53" s="168"/>
      <c r="W53" s="168"/>
      <c r="X53" s="168"/>
      <c r="Y53" s="168"/>
      <c r="Z53" s="108"/>
      <c r="AA53" s="108"/>
      <c r="AB53" s="108"/>
      <c r="AC53" s="108"/>
      <c r="AD53" s="108"/>
      <c r="AE53" s="108"/>
      <c r="AF53" s="108"/>
      <c r="AG53" s="108"/>
      <c r="AH53" s="114"/>
    </row>
    <row r="54" spans="1:34" s="115" customFormat="1" ht="13.5" customHeight="1">
      <c r="A54" s="337">
        <f t="shared" si="0"/>
        <v>45413</v>
      </c>
      <c r="B54" s="393">
        <v>2921</v>
      </c>
      <c r="C54" s="393">
        <v>1746</v>
      </c>
      <c r="D54" s="393">
        <v>1686</v>
      </c>
      <c r="E54" s="393">
        <v>61</v>
      </c>
      <c r="F54" s="399">
        <v>59.8</v>
      </c>
      <c r="G54" s="401">
        <v>57.7</v>
      </c>
      <c r="H54" s="400">
        <v>3.5</v>
      </c>
      <c r="I54" s="166"/>
      <c r="J54" s="410"/>
      <c r="K54" s="144"/>
      <c r="L54" s="402"/>
      <c r="M54" s="402"/>
      <c r="N54" s="402"/>
      <c r="O54" s="144"/>
      <c r="P54" s="144"/>
      <c r="Q54" s="170"/>
      <c r="R54" s="170"/>
      <c r="S54" s="168"/>
      <c r="T54" s="168"/>
      <c r="U54" s="168"/>
      <c r="V54" s="168"/>
      <c r="W54" s="168"/>
      <c r="X54" s="168"/>
      <c r="Y54" s="168"/>
      <c r="Z54" s="108"/>
      <c r="AA54" s="108"/>
      <c r="AB54" s="108"/>
      <c r="AC54" s="108"/>
      <c r="AD54" s="108"/>
      <c r="AE54" s="108"/>
      <c r="AF54" s="108"/>
      <c r="AG54" s="108"/>
      <c r="AH54" s="114"/>
    </row>
    <row r="55" spans="1:34" s="115" customFormat="1" ht="13.5" customHeight="1">
      <c r="A55" s="337">
        <f t="shared" si="0"/>
        <v>45444</v>
      </c>
      <c r="B55" s="393">
        <v>2920</v>
      </c>
      <c r="C55" s="393">
        <v>1751</v>
      </c>
      <c r="D55" s="393">
        <v>1701</v>
      </c>
      <c r="E55" s="393">
        <v>50</v>
      </c>
      <c r="F55" s="399">
        <v>60</v>
      </c>
      <c r="G55" s="401">
        <v>58.3</v>
      </c>
      <c r="H55" s="400">
        <v>2.8</v>
      </c>
      <c r="I55" s="166"/>
      <c r="J55" s="410"/>
      <c r="K55" s="144"/>
      <c r="L55" s="402"/>
      <c r="M55" s="402"/>
      <c r="N55" s="402"/>
      <c r="O55" s="144"/>
      <c r="P55" s="144"/>
      <c r="Q55" s="170"/>
      <c r="R55" s="170"/>
      <c r="S55" s="168"/>
      <c r="T55" s="168"/>
      <c r="U55" s="168"/>
      <c r="V55" s="168"/>
      <c r="W55" s="168"/>
      <c r="X55" s="168"/>
      <c r="Y55" s="168"/>
      <c r="Z55" s="108"/>
      <c r="AA55" s="108"/>
      <c r="AB55" s="108"/>
      <c r="AC55" s="108"/>
      <c r="AD55" s="108"/>
      <c r="AE55" s="108"/>
      <c r="AF55" s="108"/>
      <c r="AG55" s="108"/>
      <c r="AH55" s="114"/>
    </row>
    <row r="56" spans="1:34" s="115" customFormat="1" ht="13.5" customHeight="1">
      <c r="A56" s="337">
        <f t="shared" si="0"/>
        <v>45474</v>
      </c>
      <c r="B56" s="393">
        <v>2920</v>
      </c>
      <c r="C56" s="393">
        <v>1756</v>
      </c>
      <c r="D56" s="393">
        <v>1705</v>
      </c>
      <c r="E56" s="393">
        <v>51</v>
      </c>
      <c r="F56" s="399">
        <v>60.1</v>
      </c>
      <c r="G56" s="401">
        <v>58.4</v>
      </c>
      <c r="H56" s="400">
        <v>2.9</v>
      </c>
      <c r="I56" s="166"/>
      <c r="J56" s="410"/>
      <c r="K56" s="144"/>
      <c r="L56" s="402"/>
      <c r="M56" s="402"/>
      <c r="N56" s="402"/>
      <c r="O56" s="144"/>
      <c r="P56" s="144"/>
      <c r="Q56" s="170"/>
      <c r="R56" s="170"/>
      <c r="S56" s="168"/>
      <c r="T56" s="168"/>
      <c r="U56" s="168"/>
      <c r="V56" s="168"/>
      <c r="W56" s="168"/>
      <c r="X56" s="168"/>
      <c r="Y56" s="168"/>
      <c r="Z56" s="108"/>
      <c r="AA56" s="108"/>
      <c r="AB56" s="108"/>
      <c r="AC56" s="108"/>
      <c r="AD56" s="108"/>
      <c r="AE56" s="108"/>
      <c r="AF56" s="108"/>
      <c r="AG56" s="108"/>
      <c r="AH56" s="114"/>
    </row>
    <row r="57" spans="1:34" s="115" customFormat="1" ht="13.5" customHeight="1">
      <c r="A57" s="337">
        <f t="shared" si="0"/>
        <v>45505</v>
      </c>
      <c r="B57" s="393">
        <v>2918</v>
      </c>
      <c r="C57" s="393">
        <v>1738</v>
      </c>
      <c r="D57" s="393">
        <v>1700</v>
      </c>
      <c r="E57" s="393">
        <v>38</v>
      </c>
      <c r="F57" s="399">
        <v>59.5</v>
      </c>
      <c r="G57" s="401">
        <v>58.2</v>
      </c>
      <c r="H57" s="400">
        <v>2.2000000000000002</v>
      </c>
      <c r="I57" s="166"/>
      <c r="J57" s="410"/>
      <c r="K57" s="144"/>
      <c r="L57" s="402"/>
      <c r="M57" s="402"/>
      <c r="N57" s="402"/>
      <c r="O57" s="144"/>
      <c r="P57" s="144"/>
      <c r="Q57" s="170"/>
      <c r="R57" s="170"/>
      <c r="S57" s="168"/>
      <c r="T57" s="168"/>
      <c r="U57" s="168"/>
      <c r="V57" s="168"/>
      <c r="W57" s="168"/>
      <c r="X57" s="168"/>
      <c r="Y57" s="168"/>
      <c r="Z57" s="108"/>
      <c r="AA57" s="108"/>
      <c r="AB57" s="108"/>
      <c r="AC57" s="108"/>
      <c r="AD57" s="108"/>
      <c r="AE57" s="108"/>
      <c r="AF57" s="108"/>
      <c r="AG57" s="108"/>
      <c r="AH57" s="114"/>
    </row>
    <row r="58" spans="1:34" s="115" customFormat="1" ht="13.5" customHeight="1">
      <c r="A58" s="337">
        <f t="shared" si="0"/>
        <v>45536</v>
      </c>
      <c r="B58" s="393">
        <v>2917</v>
      </c>
      <c r="C58" s="393">
        <v>1739</v>
      </c>
      <c r="D58" s="393">
        <v>1700</v>
      </c>
      <c r="E58" s="393">
        <v>39</v>
      </c>
      <c r="F58" s="399">
        <v>59.6</v>
      </c>
      <c r="G58" s="401">
        <v>58.3</v>
      </c>
      <c r="H58" s="400">
        <v>2.2000000000000002</v>
      </c>
      <c r="I58" s="166"/>
      <c r="J58" s="410"/>
      <c r="K58" s="144"/>
      <c r="L58" s="402"/>
      <c r="M58" s="402"/>
      <c r="N58" s="402"/>
      <c r="O58" s="144"/>
      <c r="P58" s="144"/>
      <c r="Q58" s="170"/>
      <c r="R58" s="170"/>
      <c r="S58" s="168"/>
      <c r="T58" s="168"/>
      <c r="U58" s="168"/>
      <c r="V58" s="168"/>
      <c r="W58" s="168"/>
      <c r="X58" s="168"/>
      <c r="Y58" s="168"/>
      <c r="Z58" s="108"/>
      <c r="AA58" s="108"/>
      <c r="AB58" s="108"/>
      <c r="AC58" s="108"/>
      <c r="AD58" s="108"/>
      <c r="AE58" s="108"/>
      <c r="AF58" s="108"/>
      <c r="AG58" s="108"/>
      <c r="AH58" s="114"/>
    </row>
    <row r="59" spans="1:34" s="115" customFormat="1" ht="13.5" customHeight="1">
      <c r="A59" s="337">
        <f t="shared" si="0"/>
        <v>45566</v>
      </c>
      <c r="B59" s="393">
        <v>2916</v>
      </c>
      <c r="C59" s="393">
        <v>1733</v>
      </c>
      <c r="D59" s="393">
        <v>1699</v>
      </c>
      <c r="E59" s="393">
        <v>34</v>
      </c>
      <c r="F59" s="399">
        <v>59.4</v>
      </c>
      <c r="G59" s="401">
        <v>58.3</v>
      </c>
      <c r="H59" s="400">
        <v>1.9</v>
      </c>
      <c r="I59" s="166"/>
      <c r="J59" s="410"/>
      <c r="K59" s="144"/>
      <c r="L59" s="402"/>
      <c r="M59" s="402"/>
      <c r="N59" s="402"/>
      <c r="O59" s="144"/>
      <c r="P59" s="144"/>
      <c r="Q59" s="170"/>
      <c r="R59" s="170"/>
      <c r="S59" s="168"/>
      <c r="T59" s="168"/>
      <c r="U59" s="168"/>
      <c r="V59" s="168"/>
      <c r="W59" s="168"/>
      <c r="X59" s="168"/>
      <c r="Y59" s="168"/>
      <c r="Z59" s="108"/>
      <c r="AA59" s="108"/>
      <c r="AB59" s="108"/>
      <c r="AC59" s="108"/>
      <c r="AD59" s="108"/>
      <c r="AE59" s="108"/>
      <c r="AF59" s="108"/>
      <c r="AG59" s="108"/>
      <c r="AH59" s="114"/>
    </row>
    <row r="60" spans="1:34" s="115" customFormat="1" ht="13.5" customHeight="1">
      <c r="A60" s="337">
        <f t="shared" si="0"/>
        <v>45597</v>
      </c>
      <c r="B60" s="393">
        <v>2915</v>
      </c>
      <c r="C60" s="393">
        <v>1732</v>
      </c>
      <c r="D60" s="393">
        <v>1696</v>
      </c>
      <c r="E60" s="393">
        <v>36</v>
      </c>
      <c r="F60" s="399">
        <v>59.4</v>
      </c>
      <c r="G60" s="401">
        <v>58.2</v>
      </c>
      <c r="H60" s="400">
        <v>2.1</v>
      </c>
      <c r="I60" s="166"/>
      <c r="J60" s="410"/>
      <c r="K60" s="144"/>
      <c r="L60" s="402"/>
      <c r="M60" s="402"/>
      <c r="N60" s="402"/>
      <c r="O60" s="144"/>
      <c r="P60" s="144"/>
      <c r="Q60" s="170"/>
      <c r="R60" s="170"/>
      <c r="S60" s="168"/>
      <c r="T60" s="168"/>
      <c r="U60" s="168"/>
      <c r="V60" s="168"/>
      <c r="W60" s="168"/>
      <c r="X60" s="168"/>
      <c r="Y60" s="168"/>
      <c r="Z60" s="108"/>
      <c r="AA60" s="108"/>
      <c r="AB60" s="108"/>
      <c r="AC60" s="108"/>
      <c r="AD60" s="108"/>
      <c r="AE60" s="108"/>
      <c r="AF60" s="108"/>
      <c r="AG60" s="108"/>
      <c r="AH60" s="114"/>
    </row>
    <row r="61" spans="1:34" s="115" customFormat="1" ht="13.5" customHeight="1">
      <c r="A61" s="337">
        <f t="shared" si="0"/>
        <v>45627</v>
      </c>
      <c r="B61" s="393">
        <v>2915</v>
      </c>
      <c r="C61" s="393">
        <v>1729</v>
      </c>
      <c r="D61" s="393">
        <v>1654</v>
      </c>
      <c r="E61" s="393">
        <v>75</v>
      </c>
      <c r="F61" s="399">
        <v>59.3</v>
      </c>
      <c r="G61" s="401">
        <v>56.7</v>
      </c>
      <c r="H61" s="400">
        <v>4.3</v>
      </c>
      <c r="I61" s="166"/>
      <c r="J61" s="410"/>
      <c r="K61" s="144"/>
      <c r="L61" s="402"/>
      <c r="M61" s="402"/>
      <c r="N61" s="402"/>
      <c r="O61" s="144"/>
      <c r="P61" s="144"/>
      <c r="Q61" s="170"/>
      <c r="R61" s="170"/>
      <c r="S61" s="168"/>
      <c r="T61" s="168"/>
      <c r="U61" s="168"/>
      <c r="V61" s="168"/>
      <c r="W61" s="168"/>
      <c r="X61" s="168"/>
      <c r="Y61" s="168"/>
      <c r="Z61" s="108"/>
      <c r="AA61" s="108"/>
      <c r="AB61" s="108"/>
      <c r="AC61" s="108"/>
      <c r="AD61" s="108"/>
      <c r="AE61" s="108"/>
      <c r="AF61" s="108"/>
      <c r="AG61" s="108"/>
      <c r="AH61" s="114"/>
    </row>
    <row r="62" spans="1:34" s="115" customFormat="1" ht="13.5" customHeight="1">
      <c r="A62" s="337">
        <f t="shared" si="0"/>
        <v>45658</v>
      </c>
      <c r="B62" s="393">
        <v>2914</v>
      </c>
      <c r="C62" s="393">
        <v>1721</v>
      </c>
      <c r="D62" s="393">
        <v>1637</v>
      </c>
      <c r="E62" s="393">
        <v>85</v>
      </c>
      <c r="F62" s="399">
        <v>59.1</v>
      </c>
      <c r="G62" s="401">
        <v>56.2</v>
      </c>
      <c r="H62" s="400">
        <v>4.9000000000000004</v>
      </c>
      <c r="I62" s="166"/>
      <c r="J62" s="410"/>
      <c r="K62" s="144"/>
      <c r="L62" s="402"/>
      <c r="M62" s="402"/>
      <c r="N62" s="402"/>
      <c r="O62" s="144"/>
      <c r="P62" s="144"/>
      <c r="Q62" s="170"/>
      <c r="R62" s="170"/>
      <c r="S62" s="168"/>
      <c r="T62" s="168"/>
      <c r="U62" s="168"/>
      <c r="V62" s="168"/>
      <c r="W62" s="168"/>
      <c r="X62" s="168"/>
      <c r="Y62" s="168"/>
      <c r="Z62" s="108"/>
      <c r="AA62" s="108"/>
      <c r="AB62" s="108"/>
      <c r="AC62" s="108"/>
      <c r="AD62" s="108"/>
      <c r="AE62" s="108"/>
      <c r="AF62" s="108"/>
      <c r="AG62" s="108"/>
      <c r="AH62" s="114"/>
    </row>
    <row r="63" spans="1:34" s="115" customFormat="1" ht="13.5" customHeight="1">
      <c r="A63" s="337">
        <f t="shared" si="0"/>
        <v>45689</v>
      </c>
      <c r="B63" s="393">
        <v>2913</v>
      </c>
      <c r="C63" s="393">
        <v>1733</v>
      </c>
      <c r="D63" s="393">
        <v>1679</v>
      </c>
      <c r="E63" s="393">
        <v>54</v>
      </c>
      <c r="F63" s="399">
        <v>59.5</v>
      </c>
      <c r="G63" s="401">
        <v>57.7</v>
      </c>
      <c r="H63" s="400">
        <v>3.1</v>
      </c>
      <c r="I63" s="166"/>
      <c r="J63" s="410"/>
      <c r="K63" s="144"/>
      <c r="L63" s="402"/>
      <c r="M63" s="402"/>
      <c r="N63" s="402"/>
      <c r="O63" s="144"/>
      <c r="P63" s="144"/>
      <c r="Q63" s="170"/>
      <c r="R63" s="170"/>
      <c r="S63" s="168"/>
      <c r="T63" s="168"/>
      <c r="U63" s="168"/>
      <c r="V63" s="168"/>
      <c r="W63" s="168"/>
      <c r="X63" s="168"/>
      <c r="Y63" s="168"/>
      <c r="Z63" s="108"/>
      <c r="AA63" s="108"/>
      <c r="AB63" s="108"/>
      <c r="AC63" s="108"/>
      <c r="AD63" s="108"/>
      <c r="AE63" s="108"/>
      <c r="AF63" s="108"/>
      <c r="AG63" s="108"/>
      <c r="AH63" s="114"/>
    </row>
    <row r="64" spans="1:34" s="115" customFormat="1" ht="13.5" customHeight="1">
      <c r="A64" s="337">
        <f t="shared" si="0"/>
        <v>45717</v>
      </c>
      <c r="B64" s="393">
        <v>2912</v>
      </c>
      <c r="C64" s="393">
        <v>1748</v>
      </c>
      <c r="D64" s="393">
        <v>1699</v>
      </c>
      <c r="E64" s="393">
        <v>49</v>
      </c>
      <c r="F64" s="399">
        <v>60</v>
      </c>
      <c r="G64" s="401">
        <v>58.4</v>
      </c>
      <c r="H64" s="400">
        <v>2.8</v>
      </c>
      <c r="I64" s="166"/>
      <c r="J64" s="410"/>
      <c r="K64" s="144"/>
      <c r="L64" s="402"/>
      <c r="M64" s="402"/>
      <c r="N64" s="402"/>
      <c r="O64" s="144"/>
      <c r="P64" s="144"/>
      <c r="Q64" s="170"/>
      <c r="R64" s="170"/>
      <c r="S64" s="168"/>
      <c r="T64" s="168"/>
      <c r="U64" s="168"/>
      <c r="V64" s="168"/>
      <c r="W64" s="168"/>
      <c r="X64" s="168"/>
      <c r="Y64" s="168"/>
      <c r="Z64" s="108"/>
      <c r="AA64" s="108"/>
      <c r="AB64" s="108"/>
      <c r="AC64" s="108"/>
      <c r="AD64" s="108"/>
      <c r="AE64" s="108"/>
      <c r="AF64" s="108"/>
      <c r="AG64" s="108"/>
      <c r="AH64" s="114"/>
    </row>
    <row r="65" spans="1:34" s="115" customFormat="1" ht="13.5" customHeight="1">
      <c r="A65" s="337">
        <f t="shared" si="0"/>
        <v>45748</v>
      </c>
      <c r="B65" s="393">
        <v>2910</v>
      </c>
      <c r="C65" s="393">
        <v>1747</v>
      </c>
      <c r="D65" s="393">
        <v>1709</v>
      </c>
      <c r="E65" s="393">
        <v>38</v>
      </c>
      <c r="F65" s="399">
        <v>60</v>
      </c>
      <c r="G65" s="401">
        <v>58.7</v>
      </c>
      <c r="H65" s="400">
        <v>2.2000000000000002</v>
      </c>
      <c r="I65" s="166"/>
      <c r="J65" s="410"/>
      <c r="K65" s="144"/>
      <c r="L65" s="402"/>
      <c r="M65" s="402"/>
      <c r="N65" s="402"/>
      <c r="O65" s="144"/>
      <c r="P65" s="144"/>
      <c r="Q65" s="170"/>
      <c r="R65" s="170"/>
      <c r="S65" s="168"/>
      <c r="T65" s="168"/>
      <c r="U65" s="168"/>
      <c r="V65" s="168"/>
      <c r="W65" s="168"/>
      <c r="X65" s="168"/>
      <c r="Y65" s="168"/>
      <c r="Z65" s="108"/>
      <c r="AA65" s="108"/>
      <c r="AB65" s="108"/>
      <c r="AC65" s="108"/>
      <c r="AD65" s="108"/>
      <c r="AE65" s="108"/>
      <c r="AF65" s="108"/>
      <c r="AG65" s="108"/>
      <c r="AH65" s="114"/>
    </row>
    <row r="66" spans="1:34" s="115" customFormat="1" ht="13.5" customHeight="1">
      <c r="A66" s="337">
        <f t="shared" si="0"/>
        <v>45778</v>
      </c>
      <c r="B66" s="393">
        <v>2909</v>
      </c>
      <c r="C66" s="393">
        <v>1766</v>
      </c>
      <c r="D66" s="393">
        <v>1716</v>
      </c>
      <c r="E66" s="393">
        <v>50</v>
      </c>
      <c r="F66" s="399">
        <v>60.7</v>
      </c>
      <c r="G66" s="401">
        <v>59</v>
      </c>
      <c r="H66" s="400">
        <v>2.8</v>
      </c>
      <c r="I66" s="166"/>
      <c r="J66" s="410"/>
      <c r="K66" s="144"/>
      <c r="L66" s="402"/>
      <c r="M66" s="402"/>
      <c r="N66" s="402"/>
      <c r="O66" s="144"/>
      <c r="P66" s="144"/>
      <c r="Q66" s="170"/>
      <c r="R66" s="170"/>
      <c r="S66" s="168"/>
      <c r="T66" s="168"/>
      <c r="U66" s="168"/>
      <c r="V66" s="168"/>
      <c r="W66" s="168"/>
      <c r="X66" s="168"/>
      <c r="Y66" s="168"/>
      <c r="Z66" s="108"/>
      <c r="AA66" s="108"/>
      <c r="AB66" s="108"/>
      <c r="AC66" s="108"/>
      <c r="AD66" s="108"/>
      <c r="AE66" s="108"/>
      <c r="AF66" s="108"/>
      <c r="AG66" s="108"/>
      <c r="AH66" s="114"/>
    </row>
    <row r="67" spans="1:34" s="115" customFormat="1" ht="13.5" customHeight="1">
      <c r="A67" s="337">
        <f>EDATE(A66,1)</f>
        <v>45809</v>
      </c>
      <c r="B67" s="393">
        <v>2908</v>
      </c>
      <c r="C67" s="393">
        <v>1762</v>
      </c>
      <c r="D67" s="393">
        <v>1717</v>
      </c>
      <c r="E67" s="393">
        <v>45</v>
      </c>
      <c r="F67" s="399">
        <v>60.6</v>
      </c>
      <c r="G67" s="401">
        <v>59</v>
      </c>
      <c r="H67" s="400">
        <v>2.6</v>
      </c>
      <c r="I67" s="166"/>
      <c r="J67" s="328"/>
      <c r="K67" s="144"/>
      <c r="L67" s="145"/>
      <c r="M67" s="145"/>
      <c r="N67" s="145"/>
      <c r="O67" s="144"/>
      <c r="P67" s="144"/>
      <c r="Q67" s="170"/>
      <c r="R67" s="170"/>
      <c r="S67" s="168"/>
      <c r="T67" s="168"/>
      <c r="U67" s="168"/>
      <c r="V67" s="168"/>
      <c r="W67" s="168"/>
      <c r="X67" s="168"/>
      <c r="Y67" s="168"/>
      <c r="Z67" s="108"/>
      <c r="AA67" s="108"/>
      <c r="AB67" s="108"/>
      <c r="AC67" s="108"/>
      <c r="AD67" s="108"/>
      <c r="AE67" s="108"/>
      <c r="AF67" s="108"/>
      <c r="AG67" s="108"/>
      <c r="AH67" s="114"/>
    </row>
    <row r="68" spans="1:34" s="115" customFormat="1" ht="13.5" customHeight="1">
      <c r="A68" s="384">
        <f t="shared" ref="A68:A77" si="1">EDATE(A67,1)</f>
        <v>45839</v>
      </c>
      <c r="B68" s="393">
        <v>2907</v>
      </c>
      <c r="C68" s="393">
        <v>1748</v>
      </c>
      <c r="D68" s="393">
        <v>1709</v>
      </c>
      <c r="E68" s="393">
        <v>39</v>
      </c>
      <c r="F68" s="399">
        <v>60.1</v>
      </c>
      <c r="G68" s="401">
        <v>58.8</v>
      </c>
      <c r="H68" s="400">
        <v>2.2000000000000002</v>
      </c>
      <c r="I68" s="166"/>
      <c r="J68" s="410"/>
      <c r="K68" s="144"/>
      <c r="L68" s="402"/>
      <c r="M68" s="402"/>
      <c r="N68" s="402"/>
      <c r="O68" s="144"/>
      <c r="P68" s="144"/>
      <c r="Q68" s="170"/>
      <c r="R68" s="170"/>
      <c r="S68" s="168"/>
      <c r="T68" s="168"/>
      <c r="U68" s="168"/>
      <c r="V68" s="168"/>
      <c r="W68" s="168"/>
      <c r="X68" s="168"/>
      <c r="Y68" s="168"/>
      <c r="Z68" s="108"/>
      <c r="AA68" s="108"/>
      <c r="AB68" s="108"/>
      <c r="AC68" s="108"/>
      <c r="AD68" s="108"/>
      <c r="AE68" s="108"/>
      <c r="AF68" s="108"/>
      <c r="AG68" s="108"/>
      <c r="AH68" s="114"/>
    </row>
    <row r="69" spans="1:34" s="115" customFormat="1" ht="13.5" customHeight="1">
      <c r="A69" s="337">
        <f t="shared" si="1"/>
        <v>45870</v>
      </c>
      <c r="B69" s="393">
        <v>2906</v>
      </c>
      <c r="C69" s="393">
        <v>1731</v>
      </c>
      <c r="D69" s="393">
        <v>1693</v>
      </c>
      <c r="E69" s="393">
        <v>37</v>
      </c>
      <c r="F69" s="399">
        <v>59.6</v>
      </c>
      <c r="G69" s="401">
        <v>58.3</v>
      </c>
      <c r="H69" s="400">
        <v>2.1</v>
      </c>
      <c r="I69" s="166"/>
      <c r="J69" s="410"/>
      <c r="K69" s="144"/>
      <c r="L69" s="402"/>
      <c r="M69" s="402"/>
      <c r="N69" s="402"/>
      <c r="O69" s="144"/>
      <c r="P69" s="144"/>
      <c r="Q69" s="170"/>
      <c r="R69" s="170"/>
      <c r="S69" s="168"/>
      <c r="T69" s="168"/>
      <c r="U69" s="168"/>
      <c r="V69" s="168"/>
      <c r="W69" s="168"/>
      <c r="X69" s="168"/>
      <c r="Y69" s="168"/>
      <c r="Z69" s="108"/>
      <c r="AA69" s="108"/>
      <c r="AB69" s="108"/>
      <c r="AC69" s="108"/>
      <c r="AD69" s="108"/>
      <c r="AE69" s="108"/>
      <c r="AF69" s="108"/>
      <c r="AG69" s="108"/>
      <c r="AH69" s="114"/>
    </row>
    <row r="70" spans="1:34" s="115" customFormat="1" ht="13.5" customHeight="1">
      <c r="A70" s="337">
        <f t="shared" si="1"/>
        <v>45901</v>
      </c>
      <c r="B70" s="393">
        <v>2904</v>
      </c>
      <c r="C70" s="393">
        <v>1749</v>
      </c>
      <c r="D70" s="393">
        <v>1714</v>
      </c>
      <c r="E70" s="393">
        <v>35</v>
      </c>
      <c r="F70" s="399">
        <v>60.2</v>
      </c>
      <c r="G70" s="401">
        <v>59</v>
      </c>
      <c r="H70" s="400">
        <v>2</v>
      </c>
      <c r="I70" s="166"/>
      <c r="J70" s="410"/>
      <c r="K70" s="144"/>
      <c r="L70" s="402"/>
      <c r="M70" s="402"/>
      <c r="N70" s="402"/>
      <c r="O70" s="144"/>
      <c r="P70" s="144"/>
      <c r="Q70" s="170"/>
      <c r="R70" s="170"/>
      <c r="S70" s="168"/>
      <c r="T70" s="168"/>
      <c r="U70" s="168"/>
      <c r="V70" s="168"/>
      <c r="W70" s="168"/>
      <c r="X70" s="168"/>
      <c r="Y70" s="168"/>
      <c r="Z70" s="108"/>
      <c r="AA70" s="108"/>
      <c r="AB70" s="108"/>
      <c r="AC70" s="108"/>
      <c r="AD70" s="108"/>
      <c r="AE70" s="108"/>
      <c r="AF70" s="108"/>
      <c r="AG70" s="108"/>
      <c r="AH70" s="114"/>
    </row>
    <row r="71" spans="1:34" s="115" customFormat="1" ht="13.5" customHeight="1">
      <c r="A71" s="337">
        <f t="shared" si="1"/>
        <v>45931</v>
      </c>
      <c r="B71" s="393">
        <v>2904</v>
      </c>
      <c r="C71" s="393">
        <v>1739</v>
      </c>
      <c r="D71" s="393">
        <v>1707</v>
      </c>
      <c r="E71" s="393">
        <v>32</v>
      </c>
      <c r="F71" s="399">
        <v>59.9</v>
      </c>
      <c r="G71" s="401">
        <v>58.8</v>
      </c>
      <c r="H71" s="400">
        <v>1.8</v>
      </c>
      <c r="I71" s="166"/>
      <c r="J71" s="410"/>
      <c r="K71" s="144"/>
      <c r="L71" s="402"/>
      <c r="M71" s="402"/>
      <c r="N71" s="402"/>
      <c r="O71" s="144"/>
      <c r="P71" s="144"/>
      <c r="Q71" s="170"/>
      <c r="R71" s="170"/>
      <c r="S71" s="168"/>
      <c r="T71" s="168"/>
      <c r="U71" s="168"/>
      <c r="V71" s="168"/>
      <c r="W71" s="168"/>
      <c r="X71" s="168"/>
      <c r="Y71" s="168"/>
      <c r="Z71" s="108"/>
      <c r="AA71" s="108"/>
      <c r="AB71" s="108"/>
      <c r="AC71" s="108"/>
      <c r="AD71" s="108"/>
      <c r="AE71" s="108"/>
      <c r="AF71" s="108"/>
      <c r="AG71" s="108"/>
      <c r="AH71" s="114"/>
    </row>
    <row r="72" spans="1:34" s="115" customFormat="1" ht="13.5" customHeight="1">
      <c r="A72" s="337">
        <f t="shared" si="1"/>
        <v>45962</v>
      </c>
      <c r="B72" s="393">
        <v>2903</v>
      </c>
      <c r="C72" s="393">
        <v>1754</v>
      </c>
      <c r="D72" s="393">
        <v>1718</v>
      </c>
      <c r="E72" s="393">
        <v>36</v>
      </c>
      <c r="F72" s="455">
        <v>60.4</v>
      </c>
      <c r="G72" s="401">
        <v>59.2</v>
      </c>
      <c r="H72" s="450">
        <v>2</v>
      </c>
      <c r="I72" s="166"/>
      <c r="J72" s="410"/>
      <c r="K72" s="144"/>
      <c r="L72" s="402"/>
      <c r="M72" s="402"/>
      <c r="N72" s="402"/>
      <c r="O72" s="144"/>
      <c r="P72" s="144"/>
      <c r="Q72" s="170"/>
      <c r="R72" s="170"/>
      <c r="S72" s="168"/>
      <c r="T72" s="168"/>
      <c r="U72" s="168"/>
      <c r="V72" s="168"/>
      <c r="W72" s="168"/>
      <c r="X72" s="168"/>
      <c r="Y72" s="168"/>
      <c r="Z72" s="108"/>
      <c r="AA72" s="108"/>
      <c r="AB72" s="108"/>
      <c r="AC72" s="108"/>
      <c r="AD72" s="108"/>
      <c r="AE72" s="108"/>
      <c r="AF72" s="108"/>
      <c r="AG72" s="108"/>
      <c r="AH72" s="114"/>
    </row>
    <row r="73" spans="1:34" s="115" customFormat="1" ht="13.5" customHeight="1">
      <c r="A73" s="337">
        <f t="shared" si="1"/>
        <v>45992</v>
      </c>
      <c r="B73" s="393">
        <v>2902</v>
      </c>
      <c r="C73" s="393">
        <v>1750</v>
      </c>
      <c r="D73" s="393">
        <v>1672</v>
      </c>
      <c r="E73" s="393">
        <v>78</v>
      </c>
      <c r="F73" s="455">
        <v>60.3</v>
      </c>
      <c r="G73" s="401">
        <v>57.6</v>
      </c>
      <c r="H73" s="450">
        <v>4.5</v>
      </c>
      <c r="I73" s="166"/>
      <c r="J73" s="410"/>
      <c r="K73" s="144"/>
      <c r="L73" s="402"/>
      <c r="M73" s="402"/>
      <c r="N73" s="402"/>
      <c r="O73" s="144"/>
      <c r="P73" s="144"/>
      <c r="Q73" s="170"/>
      <c r="R73" s="170"/>
      <c r="S73" s="168"/>
      <c r="T73" s="168"/>
      <c r="U73" s="168"/>
      <c r="V73" s="168"/>
      <c r="W73" s="168"/>
      <c r="X73" s="168"/>
      <c r="Y73" s="168"/>
      <c r="Z73" s="108"/>
      <c r="AA73" s="108"/>
      <c r="AB73" s="108"/>
      <c r="AC73" s="108"/>
      <c r="AD73" s="108"/>
      <c r="AE73" s="108"/>
      <c r="AF73" s="108"/>
      <c r="AG73" s="108"/>
      <c r="AH73" s="114"/>
    </row>
    <row r="74" spans="1:34" s="115" customFormat="1" ht="13.5" customHeight="1">
      <c r="A74" s="337">
        <f t="shared" si="1"/>
        <v>46023</v>
      </c>
      <c r="B74" s="393">
        <v>2903</v>
      </c>
      <c r="C74" s="393">
        <v>1739</v>
      </c>
      <c r="D74" s="393">
        <v>1657</v>
      </c>
      <c r="E74" s="393">
        <v>83</v>
      </c>
      <c r="F74" s="455">
        <v>59.9</v>
      </c>
      <c r="G74" s="401">
        <v>57.1</v>
      </c>
      <c r="H74" s="450">
        <v>4.8</v>
      </c>
      <c r="I74" s="166"/>
      <c r="J74" s="410"/>
      <c r="K74" s="144"/>
      <c r="L74" s="402"/>
      <c r="M74" s="402"/>
      <c r="N74" s="402"/>
      <c r="O74" s="144"/>
      <c r="P74" s="144"/>
      <c r="Q74" s="170"/>
      <c r="R74" s="170"/>
      <c r="S74" s="168"/>
      <c r="T74" s="168"/>
      <c r="U74" s="168"/>
      <c r="V74" s="168"/>
      <c r="W74" s="168"/>
      <c r="X74" s="168"/>
      <c r="Y74" s="168"/>
      <c r="Z74" s="108"/>
      <c r="AA74" s="108"/>
      <c r="AB74" s="108"/>
      <c r="AC74" s="108"/>
      <c r="AD74" s="108"/>
      <c r="AE74" s="108"/>
      <c r="AF74" s="108"/>
      <c r="AG74" s="108"/>
      <c r="AH74" s="114"/>
    </row>
    <row r="75" spans="1:34" s="115" customFormat="1" ht="13.5" customHeight="1">
      <c r="A75" s="337">
        <f t="shared" si="1"/>
        <v>46054</v>
      </c>
      <c r="B75" s="393">
        <v>2903</v>
      </c>
      <c r="C75" s="393">
        <v>1744</v>
      </c>
      <c r="D75" s="393">
        <v>1695</v>
      </c>
      <c r="E75" s="393">
        <v>49</v>
      </c>
      <c r="F75" s="455">
        <v>60.1</v>
      </c>
      <c r="G75" s="401">
        <v>58.4</v>
      </c>
      <c r="H75" s="450">
        <v>2.8</v>
      </c>
      <c r="I75" s="166"/>
      <c r="J75" s="410"/>
      <c r="K75" s="144"/>
      <c r="L75" s="402"/>
      <c r="M75" s="402"/>
      <c r="N75" s="402"/>
      <c r="O75" s="144"/>
      <c r="P75" s="144"/>
      <c r="Q75" s="170"/>
      <c r="R75" s="170"/>
      <c r="S75" s="168"/>
      <c r="T75" s="168"/>
      <c r="U75" s="168"/>
      <c r="V75" s="168"/>
      <c r="W75" s="168"/>
      <c r="X75" s="168"/>
      <c r="Y75" s="168"/>
      <c r="Z75" s="108"/>
      <c r="AA75" s="108"/>
      <c r="AB75" s="108"/>
      <c r="AC75" s="108"/>
      <c r="AD75" s="108"/>
      <c r="AE75" s="108"/>
      <c r="AF75" s="108"/>
      <c r="AG75" s="108"/>
      <c r="AH75" s="114"/>
    </row>
    <row r="76" spans="1:34" s="115" customFormat="1" ht="13.5" customHeight="1">
      <c r="A76" s="384">
        <f t="shared" si="1"/>
        <v>46082</v>
      </c>
      <c r="B76" s="4">
        <v>2902</v>
      </c>
      <c r="C76" s="4">
        <v>1737</v>
      </c>
      <c r="D76" s="4">
        <v>1694</v>
      </c>
      <c r="E76" s="4">
        <v>43</v>
      </c>
      <c r="F76" s="401">
        <v>59.9</v>
      </c>
      <c r="G76" s="401">
        <v>58.4</v>
      </c>
      <c r="H76" s="401">
        <v>2.5</v>
      </c>
      <c r="I76" s="166"/>
      <c r="J76" s="410"/>
      <c r="K76" s="144"/>
      <c r="L76" s="402"/>
      <c r="M76" s="402"/>
      <c r="N76" s="402"/>
      <c r="O76" s="144"/>
      <c r="P76" s="144"/>
      <c r="Q76" s="170"/>
      <c r="R76" s="170"/>
      <c r="S76" s="168"/>
      <c r="T76" s="168"/>
      <c r="U76" s="168"/>
      <c r="V76" s="168"/>
      <c r="W76" s="168"/>
      <c r="X76" s="168"/>
      <c r="Y76" s="168"/>
      <c r="Z76" s="108"/>
      <c r="AA76" s="108"/>
      <c r="AB76" s="108"/>
      <c r="AC76" s="108"/>
      <c r="AD76" s="108"/>
      <c r="AE76" s="108"/>
      <c r="AF76" s="108"/>
      <c r="AG76" s="108"/>
      <c r="AH76" s="114"/>
    </row>
    <row r="77" spans="1:34" s="115" customFormat="1" ht="13.5" customHeight="1">
      <c r="A77" s="437">
        <f t="shared" si="1"/>
        <v>46113</v>
      </c>
      <c r="B77" s="477">
        <v>2901</v>
      </c>
      <c r="C77" s="467">
        <v>1735</v>
      </c>
      <c r="D77" s="467">
        <v>1688</v>
      </c>
      <c r="E77" s="467">
        <v>47</v>
      </c>
      <c r="F77" s="436">
        <v>59.8</v>
      </c>
      <c r="G77" s="436">
        <v>58.2</v>
      </c>
      <c r="H77" s="436">
        <v>2.7</v>
      </c>
      <c r="I77" s="166"/>
      <c r="J77" s="410"/>
      <c r="K77" s="144"/>
      <c r="L77" s="402"/>
      <c r="M77" s="402"/>
      <c r="N77" s="402"/>
      <c r="O77" s="144"/>
      <c r="P77" s="144"/>
      <c r="Q77" s="170"/>
      <c r="R77" s="170"/>
      <c r="S77" s="168"/>
      <c r="T77" s="168"/>
      <c r="U77" s="168"/>
      <c r="V77" s="168"/>
      <c r="W77" s="168"/>
      <c r="X77" s="168"/>
      <c r="Y77" s="168"/>
      <c r="Z77" s="108"/>
      <c r="AA77" s="108"/>
      <c r="AB77" s="108"/>
      <c r="AC77" s="108"/>
      <c r="AD77" s="108"/>
      <c r="AE77" s="108"/>
      <c r="AF77" s="108"/>
      <c r="AG77" s="108"/>
      <c r="AH77" s="114"/>
    </row>
    <row r="78" spans="1:34" s="171" customFormat="1" ht="10.5" customHeight="1">
      <c r="A78" s="384"/>
      <c r="B78" s="4"/>
      <c r="C78" s="4"/>
      <c r="D78" s="4"/>
      <c r="E78" s="4"/>
      <c r="F78" s="435"/>
      <c r="G78" s="435"/>
      <c r="H78" s="435"/>
      <c r="I78" s="166"/>
      <c r="J78" s="170"/>
      <c r="K78" s="144"/>
      <c r="L78" s="145"/>
      <c r="M78" s="145"/>
      <c r="N78" s="145"/>
      <c r="O78" s="144"/>
      <c r="P78" s="144"/>
      <c r="Q78" s="168"/>
    </row>
    <row r="79" spans="1:34" s="171" customFormat="1" ht="10.5" customHeight="1">
      <c r="A79" s="10" t="s">
        <v>43</v>
      </c>
      <c r="B79" s="10"/>
      <c r="C79" s="10"/>
      <c r="D79" s="10"/>
      <c r="E79" s="10"/>
      <c r="F79" s="10"/>
      <c r="G79" s="10"/>
      <c r="H79" s="150"/>
      <c r="I79" s="166"/>
      <c r="J79" s="170"/>
      <c r="K79" s="144"/>
      <c r="L79" s="145"/>
      <c r="M79" s="145"/>
      <c r="N79" s="145"/>
      <c r="O79" s="144"/>
      <c r="P79" s="144"/>
      <c r="Q79" s="168"/>
    </row>
    <row r="80" spans="1:34" s="171" customFormat="1" ht="10.5" customHeight="1">
      <c r="A80" s="10" t="s">
        <v>118</v>
      </c>
      <c r="B80" s="172"/>
      <c r="C80" s="172"/>
      <c r="D80" s="172"/>
      <c r="E80" s="172"/>
      <c r="F80" s="172"/>
      <c r="G80" s="172"/>
      <c r="H80" s="173"/>
      <c r="I80" s="166"/>
      <c r="J80" s="170"/>
      <c r="K80" s="144"/>
      <c r="L80" s="145"/>
      <c r="M80" s="145"/>
      <c r="N80" s="145"/>
      <c r="O80" s="144"/>
      <c r="P80" s="144"/>
      <c r="Q80" s="41"/>
    </row>
    <row r="81" spans="1:17" s="154" customFormat="1" ht="10.5" customHeight="1">
      <c r="A81" s="10" t="s">
        <v>154</v>
      </c>
      <c r="B81" s="172"/>
      <c r="C81" s="172"/>
      <c r="D81" s="172"/>
      <c r="E81" s="172"/>
      <c r="F81" s="172"/>
      <c r="G81" s="172"/>
      <c r="H81" s="173"/>
      <c r="I81" s="166"/>
      <c r="J81" s="170"/>
      <c r="K81" s="144"/>
      <c r="L81" s="145"/>
      <c r="M81" s="145"/>
      <c r="N81" s="145"/>
      <c r="O81" s="144"/>
      <c r="P81" s="144"/>
      <c r="Q81" s="41"/>
    </row>
    <row r="82" spans="1:17">
      <c r="A82" s="502" t="s">
        <v>152</v>
      </c>
      <c r="B82" s="502"/>
      <c r="C82" s="502"/>
      <c r="D82" s="502"/>
      <c r="E82" s="502"/>
      <c r="F82" s="174"/>
      <c r="G82" s="175"/>
      <c r="H82" s="176"/>
      <c r="I82" s="166"/>
      <c r="J82" s="170"/>
      <c r="K82" s="144"/>
      <c r="L82" s="145"/>
      <c r="M82" s="145"/>
      <c r="N82" s="145"/>
      <c r="O82" s="144"/>
      <c r="P82" s="144"/>
      <c r="Q82" s="41"/>
    </row>
    <row r="83" spans="1:17">
      <c r="A83" s="70"/>
      <c r="B83" s="106"/>
      <c r="C83" s="106"/>
      <c r="F83" s="174"/>
      <c r="G83" s="175"/>
      <c r="H83" s="176"/>
      <c r="I83" s="166"/>
      <c r="J83" s="170"/>
      <c r="K83" s="144"/>
      <c r="L83" s="145"/>
      <c r="M83" s="145"/>
      <c r="N83" s="145"/>
      <c r="O83" s="144"/>
      <c r="P83" s="144"/>
      <c r="Q83" s="41"/>
    </row>
    <row r="84" spans="1:17">
      <c r="A84" s="70"/>
      <c r="B84" s="106"/>
      <c r="C84" s="106"/>
      <c r="F84" s="174"/>
      <c r="G84" s="175"/>
      <c r="H84" s="176"/>
      <c r="I84" s="166"/>
      <c r="J84" s="170"/>
      <c r="K84" s="144"/>
      <c r="L84" s="145"/>
      <c r="M84" s="145"/>
      <c r="N84" s="145"/>
      <c r="O84" s="144"/>
      <c r="P84" s="144"/>
      <c r="Q84" s="41"/>
    </row>
    <row r="85" spans="1:17">
      <c r="A85" s="70"/>
      <c r="B85" s="106"/>
      <c r="C85" s="106"/>
      <c r="F85" s="174"/>
      <c r="G85" s="175"/>
      <c r="H85" s="176"/>
      <c r="I85" s="166"/>
      <c r="J85" s="170"/>
      <c r="K85" s="144"/>
      <c r="L85" s="145"/>
      <c r="M85" s="145"/>
      <c r="N85" s="145"/>
      <c r="O85" s="144"/>
      <c r="P85" s="144"/>
      <c r="Q85" s="41"/>
    </row>
    <row r="86" spans="1:17">
      <c r="A86" s="70"/>
      <c r="B86" s="106"/>
      <c r="C86" s="106"/>
      <c r="F86" s="174"/>
      <c r="G86" s="175"/>
      <c r="H86" s="176"/>
      <c r="I86" s="166"/>
      <c r="J86" s="170"/>
      <c r="K86" s="144"/>
      <c r="L86" s="145"/>
      <c r="M86" s="145"/>
      <c r="N86" s="145"/>
      <c r="O86" s="144"/>
      <c r="P86" s="144"/>
      <c r="Q86" s="41"/>
    </row>
    <row r="87" spans="1:17">
      <c r="A87" s="70"/>
      <c r="B87" s="127"/>
      <c r="C87" s="127"/>
      <c r="D87" s="127"/>
      <c r="E87" s="127"/>
      <c r="F87" s="127"/>
      <c r="G87" s="127"/>
      <c r="H87" s="121"/>
      <c r="I87" s="166"/>
      <c r="J87" s="170"/>
      <c r="K87" s="144"/>
      <c r="L87" s="145"/>
      <c r="M87" s="145"/>
      <c r="N87" s="145"/>
      <c r="O87" s="144"/>
      <c r="P87" s="144"/>
      <c r="Q87" s="41"/>
    </row>
    <row r="88" spans="1:17">
      <c r="A88" s="70"/>
      <c r="B88" s="127"/>
      <c r="C88" s="127"/>
      <c r="D88" s="127"/>
      <c r="E88" s="127"/>
      <c r="F88" s="127"/>
      <c r="G88" s="127"/>
      <c r="H88" s="121"/>
      <c r="I88" s="166"/>
      <c r="J88" s="170"/>
      <c r="K88" s="144"/>
      <c r="L88" s="145"/>
      <c r="M88" s="145"/>
      <c r="N88" s="145"/>
      <c r="O88" s="144"/>
      <c r="P88" s="144"/>
      <c r="Q88" s="41"/>
    </row>
    <row r="89" spans="1:17">
      <c r="A89" s="70"/>
      <c r="B89" s="127"/>
      <c r="C89" s="127"/>
      <c r="D89" s="127"/>
      <c r="E89" s="127"/>
      <c r="F89" s="127"/>
      <c r="G89" s="127"/>
      <c r="H89" s="121"/>
      <c r="I89" s="166"/>
      <c r="J89" s="170"/>
      <c r="K89" s="144"/>
      <c r="L89" s="145"/>
      <c r="M89" s="145"/>
      <c r="N89" s="145"/>
      <c r="O89" s="144"/>
      <c r="P89" s="144"/>
      <c r="Q89" s="171"/>
    </row>
    <row r="90" spans="1:17">
      <c r="A90" s="70"/>
      <c r="B90" s="127"/>
      <c r="C90" s="127"/>
      <c r="D90" s="127"/>
      <c r="E90" s="127"/>
      <c r="F90" s="127"/>
      <c r="G90" s="127"/>
      <c r="H90" s="121"/>
      <c r="I90" s="166"/>
      <c r="J90" s="170"/>
      <c r="K90" s="144"/>
      <c r="L90" s="145"/>
      <c r="M90" s="145"/>
      <c r="N90" s="145"/>
      <c r="O90" s="144"/>
      <c r="P90" s="144"/>
      <c r="Q90" s="171"/>
    </row>
    <row r="91" spans="1:17">
      <c r="A91" s="70"/>
      <c r="B91" s="127"/>
      <c r="C91" s="127"/>
      <c r="D91" s="127"/>
      <c r="E91" s="127"/>
      <c r="F91" s="127"/>
      <c r="G91" s="127"/>
      <c r="H91" s="121"/>
      <c r="I91" s="166"/>
      <c r="J91" s="170"/>
      <c r="K91" s="144"/>
      <c r="L91" s="145"/>
      <c r="M91" s="145"/>
      <c r="N91" s="145"/>
      <c r="O91" s="144"/>
      <c r="P91" s="144"/>
      <c r="Q91" s="171"/>
    </row>
    <row r="92" spans="1:17">
      <c r="A92" s="70"/>
      <c r="B92" s="106"/>
      <c r="C92" s="106"/>
      <c r="F92" s="174"/>
      <c r="G92" s="175"/>
      <c r="H92" s="176"/>
      <c r="I92" s="166"/>
      <c r="J92" s="170"/>
      <c r="K92" s="144"/>
      <c r="L92" s="145"/>
      <c r="M92" s="145"/>
      <c r="N92" s="145"/>
      <c r="O92" s="144"/>
      <c r="P92" s="144"/>
      <c r="Q92" s="154"/>
    </row>
    <row r="93" spans="1:17">
      <c r="A93" s="70"/>
      <c r="B93" s="106"/>
      <c r="C93" s="106"/>
      <c r="F93" s="174"/>
      <c r="G93" s="175"/>
      <c r="H93" s="176"/>
      <c r="I93" s="166"/>
      <c r="J93" s="170"/>
      <c r="K93" s="144"/>
      <c r="L93" s="145"/>
      <c r="M93" s="145"/>
      <c r="N93" s="145"/>
      <c r="O93" s="144"/>
      <c r="P93" s="144"/>
    </row>
    <row r="94" spans="1:17">
      <c r="A94" s="70"/>
      <c r="B94" s="106"/>
      <c r="C94" s="106"/>
      <c r="F94" s="174"/>
      <c r="G94" s="175"/>
      <c r="H94" s="176"/>
      <c r="I94" s="166"/>
      <c r="J94" s="170"/>
      <c r="K94" s="144"/>
      <c r="L94" s="145"/>
      <c r="M94" s="145"/>
      <c r="N94" s="145"/>
      <c r="O94" s="144"/>
      <c r="P94" s="144"/>
    </row>
    <row r="95" spans="1:17">
      <c r="A95" s="70"/>
      <c r="B95" s="106"/>
      <c r="C95" s="106"/>
      <c r="F95" s="174"/>
      <c r="G95" s="175"/>
      <c r="H95" s="176"/>
      <c r="I95" s="166"/>
      <c r="J95" s="170"/>
      <c r="K95" s="144"/>
      <c r="L95" s="145"/>
      <c r="M95" s="145"/>
      <c r="N95" s="145"/>
      <c r="O95" s="144"/>
      <c r="P95" s="144"/>
    </row>
    <row r="96" spans="1:17">
      <c r="A96" s="70"/>
      <c r="B96" s="106"/>
      <c r="C96" s="106"/>
      <c r="F96" s="174"/>
      <c r="G96" s="175"/>
      <c r="H96" s="176"/>
      <c r="I96" s="166"/>
      <c r="J96" s="170"/>
      <c r="K96" s="144"/>
      <c r="L96" s="145"/>
      <c r="M96" s="145"/>
      <c r="N96" s="145"/>
      <c r="O96" s="144"/>
      <c r="P96" s="144"/>
    </row>
    <row r="97" spans="1:16">
      <c r="A97" s="70"/>
      <c r="B97" s="106"/>
      <c r="C97" s="106"/>
      <c r="F97" s="174"/>
      <c r="G97" s="175"/>
      <c r="H97" s="176"/>
      <c r="I97" s="166"/>
      <c r="J97" s="170"/>
      <c r="K97" s="144"/>
      <c r="L97" s="145"/>
      <c r="M97" s="145"/>
      <c r="N97" s="145"/>
      <c r="O97" s="144"/>
      <c r="P97" s="144"/>
    </row>
    <row r="98" spans="1:16">
      <c r="A98" s="70"/>
      <c r="B98" s="177"/>
      <c r="C98" s="106"/>
      <c r="F98" s="178"/>
      <c r="G98" s="174"/>
      <c r="H98" s="179"/>
      <c r="I98" s="166"/>
      <c r="J98" s="170"/>
      <c r="K98" s="144"/>
      <c r="L98" s="145"/>
      <c r="M98" s="145"/>
      <c r="N98" s="145"/>
      <c r="O98" s="144"/>
      <c r="P98" s="108"/>
    </row>
    <row r="99" spans="1:16">
      <c r="A99" s="70"/>
      <c r="B99" s="177"/>
      <c r="C99" s="177"/>
      <c r="D99" s="177"/>
      <c r="E99" s="177"/>
      <c r="F99" s="177"/>
      <c r="G99" s="177"/>
      <c r="H99" s="163"/>
      <c r="I99" s="166"/>
      <c r="J99" s="170"/>
      <c r="K99" s="144"/>
      <c r="L99" s="145"/>
      <c r="M99" s="145"/>
      <c r="N99" s="145"/>
      <c r="O99" s="144"/>
      <c r="P99" s="144"/>
    </row>
    <row r="100" spans="1:16">
      <c r="A100" s="70"/>
      <c r="B100" s="177"/>
      <c r="C100" s="177"/>
      <c r="D100" s="177"/>
      <c r="E100" s="177"/>
      <c r="F100" s="177"/>
      <c r="G100" s="177"/>
      <c r="H100" s="163"/>
      <c r="I100" s="166"/>
      <c r="J100" s="170"/>
      <c r="K100" s="144"/>
      <c r="L100" s="145"/>
      <c r="M100" s="145"/>
      <c r="N100" s="145"/>
      <c r="O100" s="144"/>
      <c r="P100" s="144"/>
    </row>
    <row r="101" spans="1:16">
      <c r="A101" s="70"/>
      <c r="B101" s="177"/>
      <c r="C101" s="177"/>
      <c r="D101" s="177"/>
      <c r="E101" s="177"/>
      <c r="F101" s="177"/>
      <c r="G101" s="177"/>
      <c r="H101" s="163"/>
      <c r="I101" s="166"/>
      <c r="J101" s="170"/>
      <c r="K101" s="144"/>
      <c r="L101" s="145"/>
      <c r="M101" s="145"/>
      <c r="N101" s="145"/>
      <c r="O101" s="144"/>
      <c r="P101" s="144"/>
    </row>
    <row r="102" spans="1:16">
      <c r="A102" s="70"/>
      <c r="B102" s="177"/>
      <c r="C102" s="177"/>
      <c r="D102" s="177"/>
      <c r="E102" s="177"/>
      <c r="F102" s="177"/>
      <c r="G102" s="177"/>
      <c r="H102" s="163"/>
      <c r="I102" s="166"/>
      <c r="J102" s="170"/>
      <c r="K102" s="144"/>
      <c r="L102" s="145"/>
      <c r="M102" s="145"/>
      <c r="N102" s="145"/>
      <c r="O102" s="144"/>
      <c r="P102" s="144"/>
    </row>
    <row r="103" spans="1:16">
      <c r="A103" s="70"/>
      <c r="B103" s="177"/>
      <c r="C103" s="177"/>
      <c r="D103" s="177"/>
      <c r="E103" s="177"/>
      <c r="F103" s="177"/>
      <c r="G103" s="177"/>
      <c r="H103" s="163"/>
      <c r="I103" s="166"/>
      <c r="J103" s="170"/>
      <c r="K103" s="144"/>
      <c r="L103" s="145"/>
      <c r="M103" s="145"/>
      <c r="N103" s="145"/>
      <c r="O103" s="144"/>
      <c r="P103" s="168"/>
    </row>
    <row r="104" spans="1:16">
      <c r="A104" s="70"/>
      <c r="B104" s="177"/>
      <c r="C104" s="177"/>
      <c r="D104" s="177"/>
      <c r="E104" s="177"/>
      <c r="F104" s="177"/>
      <c r="G104" s="177"/>
      <c r="H104" s="163"/>
      <c r="I104" s="166"/>
      <c r="J104" s="170"/>
      <c r="K104" s="144"/>
      <c r="L104" s="145"/>
      <c r="M104" s="145"/>
      <c r="N104" s="145"/>
      <c r="O104" s="144"/>
      <c r="P104" s="168"/>
    </row>
    <row r="105" spans="1:16">
      <c r="A105" s="70"/>
      <c r="B105" s="177"/>
      <c r="C105" s="177"/>
      <c r="D105" s="177"/>
      <c r="E105" s="177"/>
      <c r="F105" s="177"/>
      <c r="G105" s="177"/>
      <c r="H105" s="163"/>
      <c r="I105" s="166"/>
      <c r="J105" s="170"/>
      <c r="K105" s="144"/>
      <c r="L105" s="145"/>
      <c r="M105" s="145"/>
      <c r="N105" s="145"/>
      <c r="O105" s="144"/>
      <c r="P105" s="168"/>
    </row>
    <row r="106" spans="1:16">
      <c r="A106" s="70"/>
      <c r="B106" s="177"/>
      <c r="C106" s="177"/>
      <c r="D106" s="177"/>
      <c r="E106" s="177"/>
      <c r="F106" s="177"/>
      <c r="G106" s="177"/>
      <c r="H106" s="163"/>
      <c r="I106" s="166"/>
      <c r="J106" s="170"/>
      <c r="K106" s="144"/>
      <c r="L106" s="145"/>
      <c r="M106" s="145"/>
      <c r="N106" s="145"/>
      <c r="O106" s="144"/>
      <c r="P106" s="168"/>
    </row>
    <row r="107" spans="1:16">
      <c r="A107" s="70"/>
      <c r="B107" s="177"/>
      <c r="C107" s="177"/>
      <c r="D107" s="177"/>
      <c r="E107" s="177"/>
      <c r="F107" s="177"/>
      <c r="G107" s="177"/>
      <c r="H107" s="163"/>
      <c r="I107" s="166"/>
      <c r="J107" s="170"/>
      <c r="K107" s="144"/>
      <c r="L107" s="145"/>
      <c r="M107" s="145"/>
      <c r="N107" s="145"/>
      <c r="O107" s="144"/>
      <c r="P107" s="168"/>
    </row>
    <row r="108" spans="1:16">
      <c r="A108" s="70"/>
      <c r="B108" s="177"/>
      <c r="C108" s="177"/>
      <c r="D108" s="177"/>
      <c r="E108" s="177"/>
      <c r="F108" s="177"/>
      <c r="G108" s="177"/>
      <c r="H108" s="163"/>
      <c r="I108" s="166"/>
      <c r="J108" s="170"/>
      <c r="K108" s="144"/>
      <c r="L108" s="145"/>
      <c r="M108" s="145"/>
      <c r="N108" s="145"/>
      <c r="O108" s="144"/>
      <c r="P108" s="168"/>
    </row>
    <row r="109" spans="1:16">
      <c r="A109" s="70"/>
      <c r="B109" s="177"/>
      <c r="C109" s="177"/>
      <c r="D109" s="177"/>
      <c r="E109" s="177"/>
      <c r="F109" s="177"/>
      <c r="G109" s="177"/>
      <c r="H109" s="163"/>
      <c r="I109" s="166"/>
      <c r="J109" s="170"/>
      <c r="K109" s="144"/>
      <c r="L109" s="145"/>
      <c r="M109" s="145"/>
      <c r="N109" s="145"/>
      <c r="O109" s="144"/>
      <c r="P109" s="168"/>
    </row>
    <row r="110" spans="1:16">
      <c r="A110" s="70"/>
      <c r="B110" s="177"/>
      <c r="C110" s="177"/>
      <c r="D110" s="177"/>
      <c r="E110" s="177"/>
      <c r="F110" s="177"/>
      <c r="G110" s="177"/>
      <c r="H110" s="163"/>
      <c r="I110" s="166"/>
      <c r="J110" s="170"/>
      <c r="K110" s="144"/>
      <c r="L110" s="145"/>
      <c r="M110" s="145"/>
      <c r="N110" s="145"/>
      <c r="O110" s="144"/>
      <c r="P110" s="168"/>
    </row>
    <row r="111" spans="1:16">
      <c r="A111" s="70"/>
      <c r="B111" s="177"/>
      <c r="C111" s="177"/>
      <c r="D111" s="177"/>
      <c r="E111" s="177"/>
      <c r="F111" s="177"/>
      <c r="G111" s="177"/>
      <c r="H111" s="163"/>
      <c r="I111" s="166"/>
      <c r="J111" s="170"/>
      <c r="K111" s="144"/>
      <c r="L111" s="145"/>
      <c r="M111" s="145"/>
      <c r="N111" s="145"/>
      <c r="O111" s="144"/>
      <c r="P111" s="168"/>
    </row>
    <row r="112" spans="1:16">
      <c r="A112" s="70"/>
      <c r="B112" s="177"/>
      <c r="C112" s="177"/>
      <c r="D112" s="177"/>
      <c r="E112" s="177"/>
      <c r="F112" s="177"/>
      <c r="G112" s="177"/>
      <c r="H112" s="163"/>
      <c r="I112" s="166"/>
      <c r="J112" s="170"/>
      <c r="K112" s="144"/>
      <c r="L112" s="145"/>
      <c r="M112" s="145"/>
      <c r="N112" s="145"/>
      <c r="O112" s="144"/>
      <c r="P112" s="168"/>
    </row>
    <row r="113" spans="1:16">
      <c r="A113" s="70"/>
      <c r="B113" s="177"/>
      <c r="C113" s="177"/>
      <c r="D113" s="177"/>
      <c r="E113" s="177"/>
      <c r="F113" s="177"/>
      <c r="G113" s="177"/>
      <c r="H113" s="163"/>
      <c r="I113" s="166"/>
      <c r="J113" s="170"/>
      <c r="K113" s="144"/>
      <c r="L113" s="145"/>
      <c r="M113" s="145"/>
      <c r="N113" s="145"/>
      <c r="O113" s="144"/>
      <c r="P113" s="168"/>
    </row>
    <row r="114" spans="1:16">
      <c r="A114" s="70"/>
      <c r="B114" s="177"/>
      <c r="C114" s="177"/>
      <c r="D114" s="177"/>
      <c r="E114" s="177"/>
      <c r="F114" s="177"/>
      <c r="G114" s="177"/>
      <c r="H114" s="163"/>
      <c r="I114" s="166"/>
      <c r="J114" s="170"/>
      <c r="K114" s="144"/>
      <c r="L114" s="145"/>
      <c r="M114" s="145"/>
      <c r="N114" s="145"/>
      <c r="O114" s="144"/>
      <c r="P114" s="168"/>
    </row>
    <row r="115" spans="1:16">
      <c r="A115" s="70"/>
      <c r="B115" s="177"/>
      <c r="C115" s="177"/>
      <c r="D115" s="177"/>
      <c r="E115" s="177"/>
      <c r="F115" s="177"/>
      <c r="G115" s="177"/>
      <c r="H115" s="163"/>
      <c r="I115" s="166"/>
      <c r="J115" s="170"/>
      <c r="K115" s="144"/>
      <c r="L115" s="145"/>
      <c r="M115" s="145"/>
      <c r="N115" s="145"/>
      <c r="O115" s="144"/>
      <c r="P115" s="168"/>
    </row>
    <row r="116" spans="1:16">
      <c r="A116" s="70"/>
      <c r="B116" s="177"/>
      <c r="C116" s="177"/>
      <c r="D116" s="177"/>
      <c r="E116" s="177"/>
      <c r="F116" s="177"/>
      <c r="G116" s="177"/>
      <c r="H116" s="163"/>
      <c r="I116" s="166"/>
      <c r="J116" s="170"/>
      <c r="K116" s="144"/>
      <c r="L116" s="145"/>
      <c r="M116" s="145"/>
      <c r="N116" s="145"/>
      <c r="O116" s="144"/>
      <c r="P116" s="168"/>
    </row>
    <row r="117" spans="1:16">
      <c r="A117" s="70"/>
      <c r="B117" s="177"/>
      <c r="C117" s="177"/>
      <c r="D117" s="177"/>
      <c r="E117" s="177"/>
      <c r="F117" s="177"/>
      <c r="G117" s="177"/>
      <c r="H117" s="163"/>
      <c r="I117" s="166"/>
      <c r="J117" s="170"/>
      <c r="K117" s="144"/>
      <c r="L117" s="145"/>
      <c r="M117" s="145"/>
      <c r="N117" s="145"/>
      <c r="O117" s="144"/>
      <c r="P117" s="168"/>
    </row>
    <row r="118" spans="1:16">
      <c r="A118" s="70"/>
      <c r="B118" s="177"/>
      <c r="C118" s="177"/>
      <c r="D118" s="177"/>
      <c r="E118" s="177"/>
      <c r="F118" s="177"/>
      <c r="G118" s="177"/>
      <c r="H118" s="163"/>
      <c r="I118" s="166"/>
      <c r="J118" s="170"/>
      <c r="K118" s="144"/>
      <c r="L118" s="145"/>
      <c r="M118" s="145"/>
      <c r="N118" s="145"/>
      <c r="O118" s="144"/>
      <c r="P118" s="168"/>
    </row>
    <row r="119" spans="1:16">
      <c r="A119" s="70"/>
      <c r="B119" s="177"/>
      <c r="C119" s="177"/>
      <c r="D119" s="177"/>
      <c r="E119" s="177"/>
      <c r="F119" s="177"/>
      <c r="G119" s="177"/>
      <c r="H119" s="163"/>
      <c r="I119" s="166"/>
      <c r="J119" s="170"/>
      <c r="K119" s="144"/>
      <c r="L119" s="145"/>
      <c r="M119" s="145"/>
      <c r="N119" s="145"/>
      <c r="O119" s="144"/>
      <c r="P119" s="168"/>
    </row>
    <row r="120" spans="1:16">
      <c r="A120" s="70"/>
      <c r="B120" s="177"/>
      <c r="C120" s="177"/>
      <c r="D120" s="177"/>
      <c r="E120" s="177"/>
      <c r="F120" s="177"/>
      <c r="G120" s="177"/>
      <c r="H120" s="163"/>
      <c r="I120" s="166"/>
      <c r="J120" s="170"/>
      <c r="K120" s="144"/>
      <c r="L120" s="145"/>
      <c r="M120" s="145"/>
      <c r="N120" s="145"/>
      <c r="O120" s="144"/>
      <c r="P120" s="168"/>
    </row>
    <row r="121" spans="1:16">
      <c r="A121" s="70"/>
      <c r="B121" s="177"/>
      <c r="C121" s="106"/>
      <c r="F121" s="178"/>
      <c r="G121" s="106"/>
      <c r="H121" s="179"/>
      <c r="I121" s="166"/>
      <c r="J121" s="170"/>
      <c r="K121" s="144"/>
      <c r="L121" s="145"/>
      <c r="M121" s="145"/>
      <c r="N121" s="145"/>
      <c r="O121" s="144"/>
      <c r="P121" s="168"/>
    </row>
    <row r="122" spans="1:16">
      <c r="A122" s="70"/>
      <c r="B122" s="177"/>
      <c r="C122" s="106"/>
      <c r="F122" s="178"/>
      <c r="G122" s="106"/>
      <c r="H122" s="179"/>
      <c r="I122" s="166"/>
      <c r="J122" s="6"/>
      <c r="K122" s="6"/>
      <c r="L122" s="4"/>
      <c r="M122" s="144"/>
      <c r="N122" s="144"/>
      <c r="O122" s="145"/>
      <c r="P122" s="168"/>
    </row>
    <row r="123" spans="1:16">
      <c r="A123" s="70"/>
      <c r="B123" s="177"/>
      <c r="C123" s="106"/>
      <c r="F123" s="178"/>
      <c r="G123" s="106"/>
      <c r="H123" s="179"/>
      <c r="I123" s="166"/>
      <c r="J123" s="6"/>
      <c r="K123" s="6"/>
      <c r="L123" s="113"/>
      <c r="M123" s="109"/>
      <c r="N123" s="108"/>
      <c r="O123" s="108"/>
      <c r="P123" s="168"/>
    </row>
    <row r="124" spans="1:16">
      <c r="A124" s="70"/>
      <c r="B124" s="177"/>
      <c r="C124" s="106"/>
      <c r="F124" s="178"/>
      <c r="G124" s="106"/>
      <c r="H124" s="179"/>
      <c r="I124" s="166"/>
      <c r="J124" s="170"/>
      <c r="K124" s="144"/>
      <c r="L124" s="145"/>
      <c r="M124" s="145"/>
      <c r="N124" s="145"/>
      <c r="O124" s="144"/>
      <c r="P124" s="168"/>
    </row>
    <row r="125" spans="1:16">
      <c r="A125" s="70"/>
      <c r="B125" s="177"/>
      <c r="C125" s="106"/>
      <c r="F125" s="178"/>
      <c r="G125" s="106"/>
      <c r="H125" s="179"/>
      <c r="I125" s="166"/>
      <c r="J125" s="170"/>
      <c r="K125" s="144"/>
      <c r="L125" s="145"/>
      <c r="M125" s="145"/>
      <c r="N125" s="145"/>
      <c r="O125" s="144"/>
      <c r="P125" s="168"/>
    </row>
    <row r="126" spans="1:16">
      <c r="A126" s="70"/>
      <c r="B126" s="177"/>
      <c r="C126" s="106"/>
      <c r="F126" s="178"/>
      <c r="G126" s="106"/>
      <c r="H126" s="179"/>
      <c r="I126" s="166"/>
      <c r="J126" s="170"/>
      <c r="K126" s="144"/>
      <c r="L126" s="145"/>
      <c r="M126" s="145"/>
      <c r="N126" s="145"/>
      <c r="O126" s="144"/>
      <c r="P126" s="168"/>
    </row>
    <row r="127" spans="1:16">
      <c r="A127" s="70"/>
      <c r="B127" s="177"/>
      <c r="C127" s="106"/>
      <c r="F127" s="178"/>
      <c r="G127" s="106"/>
      <c r="H127" s="179"/>
      <c r="I127" s="166"/>
      <c r="J127" s="170"/>
      <c r="K127" s="144"/>
      <c r="L127" s="145"/>
      <c r="M127" s="145"/>
      <c r="N127" s="145"/>
      <c r="O127" s="144"/>
      <c r="P127" s="168"/>
    </row>
    <row r="128" spans="1:16">
      <c r="A128" s="70"/>
      <c r="B128" s="177"/>
      <c r="C128" s="106"/>
      <c r="F128" s="178"/>
      <c r="G128" s="106"/>
      <c r="H128" s="179"/>
      <c r="I128" s="166"/>
      <c r="J128" s="166"/>
      <c r="K128" s="167"/>
      <c r="L128" s="169"/>
      <c r="M128" s="169"/>
      <c r="N128" s="41"/>
      <c r="O128" s="168"/>
      <c r="P128" s="168"/>
    </row>
    <row r="129" spans="1:16">
      <c r="A129" s="70"/>
      <c r="B129" s="177"/>
      <c r="C129" s="106"/>
      <c r="F129" s="178"/>
      <c r="G129" s="106"/>
      <c r="H129" s="179"/>
      <c r="I129" s="166"/>
      <c r="J129" s="166"/>
      <c r="K129" s="167"/>
      <c r="L129" s="169"/>
      <c r="M129" s="169"/>
      <c r="N129" s="41"/>
      <c r="O129" s="168"/>
      <c r="P129" s="168"/>
    </row>
    <row r="130" spans="1:16">
      <c r="A130" s="70"/>
      <c r="B130" s="177"/>
      <c r="C130" s="106"/>
      <c r="F130" s="178"/>
      <c r="G130" s="106"/>
      <c r="H130" s="179"/>
      <c r="I130" s="166"/>
      <c r="J130" s="166"/>
      <c r="K130" s="167"/>
      <c r="L130" s="169"/>
      <c r="M130" s="169"/>
      <c r="N130" s="41"/>
      <c r="O130" s="168"/>
      <c r="P130" s="168"/>
    </row>
    <row r="131" spans="1:16">
      <c r="A131" s="70"/>
      <c r="B131" s="177"/>
      <c r="C131" s="106"/>
      <c r="F131" s="178"/>
      <c r="G131" s="106"/>
      <c r="H131" s="179"/>
      <c r="I131" s="166"/>
      <c r="J131" s="166"/>
      <c r="K131" s="167"/>
      <c r="L131" s="169"/>
      <c r="M131" s="169"/>
      <c r="N131" s="41"/>
      <c r="O131" s="168"/>
      <c r="P131" s="168"/>
    </row>
    <row r="132" spans="1:16">
      <c r="A132" s="70"/>
      <c r="B132" s="177"/>
      <c r="C132" s="106"/>
      <c r="F132" s="178"/>
      <c r="G132" s="106"/>
      <c r="H132" s="179"/>
      <c r="I132" s="166"/>
      <c r="J132" s="166"/>
      <c r="K132" s="167"/>
      <c r="L132" s="169"/>
      <c r="M132" s="169"/>
      <c r="N132" s="41"/>
      <c r="O132" s="168"/>
      <c r="P132" s="168"/>
    </row>
    <row r="133" spans="1:16">
      <c r="A133" s="70"/>
      <c r="B133" s="177"/>
      <c r="C133" s="106"/>
      <c r="F133" s="178"/>
      <c r="G133" s="106"/>
      <c r="H133" s="179"/>
      <c r="I133" s="166"/>
      <c r="J133" s="166"/>
      <c r="K133" s="167"/>
      <c r="L133" s="169"/>
      <c r="M133" s="169"/>
      <c r="N133" s="41"/>
      <c r="O133" s="168"/>
      <c r="P133" s="168"/>
    </row>
    <row r="134" spans="1:16">
      <c r="A134" s="70"/>
      <c r="B134" s="177"/>
      <c r="C134" s="106"/>
      <c r="F134" s="178"/>
      <c r="G134" s="106"/>
      <c r="H134" s="179"/>
      <c r="I134" s="166"/>
      <c r="J134" s="166"/>
      <c r="K134" s="167"/>
      <c r="L134" s="169"/>
      <c r="M134" s="169"/>
      <c r="N134" s="41"/>
      <c r="O134" s="168"/>
      <c r="P134" s="168"/>
    </row>
    <row r="135" spans="1:16">
      <c r="A135" s="70"/>
      <c r="B135" s="177"/>
      <c r="C135" s="106"/>
      <c r="F135" s="178"/>
      <c r="G135" s="106"/>
      <c r="H135" s="179"/>
      <c r="I135" s="166"/>
      <c r="J135" s="166"/>
      <c r="K135" s="167"/>
      <c r="L135" s="169"/>
      <c r="M135" s="169"/>
      <c r="N135" s="41"/>
      <c r="O135" s="168"/>
      <c r="P135" s="171"/>
    </row>
    <row r="136" spans="1:16">
      <c r="A136" s="70"/>
      <c r="B136" s="177"/>
      <c r="C136" s="106"/>
      <c r="F136" s="178"/>
      <c r="G136" s="106"/>
      <c r="H136" s="179"/>
      <c r="I136" s="166"/>
      <c r="J136" s="166"/>
      <c r="K136" s="167"/>
      <c r="L136" s="169"/>
      <c r="M136" s="169"/>
      <c r="N136" s="41"/>
      <c r="O136" s="168"/>
      <c r="P136" s="168"/>
    </row>
    <row r="137" spans="1:16">
      <c r="A137" s="70"/>
      <c r="B137" s="177"/>
      <c r="C137" s="106"/>
      <c r="F137" s="178"/>
      <c r="G137" s="106"/>
      <c r="H137" s="179"/>
      <c r="I137" s="166"/>
      <c r="J137" s="166"/>
      <c r="K137" s="167"/>
      <c r="L137" s="169"/>
      <c r="M137" s="169"/>
      <c r="N137" s="41"/>
      <c r="O137" s="41"/>
      <c r="P137" s="168"/>
    </row>
    <row r="138" spans="1:16">
      <c r="A138" s="70"/>
      <c r="B138" s="177"/>
      <c r="C138" s="106"/>
      <c r="F138" s="178"/>
      <c r="G138" s="106"/>
      <c r="H138" s="179"/>
      <c r="I138" s="166"/>
      <c r="J138" s="166"/>
      <c r="K138" s="167"/>
      <c r="L138" s="169"/>
      <c r="M138" s="169"/>
      <c r="N138" s="41"/>
      <c r="O138" s="41"/>
      <c r="P138" s="168"/>
    </row>
    <row r="139" spans="1:16">
      <c r="A139" s="70"/>
      <c r="B139" s="177"/>
      <c r="C139" s="106"/>
      <c r="F139" s="178"/>
      <c r="G139" s="106"/>
      <c r="H139" s="179"/>
      <c r="I139" s="150"/>
      <c r="J139" s="166"/>
      <c r="K139" s="167"/>
      <c r="L139" s="169"/>
      <c r="M139" s="169"/>
      <c r="N139" s="41"/>
      <c r="O139" s="41"/>
      <c r="P139" s="168"/>
    </row>
    <row r="140" spans="1:16">
      <c r="A140" s="70"/>
      <c r="B140" s="177"/>
      <c r="C140" s="106"/>
      <c r="F140" s="178"/>
      <c r="G140" s="106"/>
      <c r="H140" s="179"/>
      <c r="I140" s="173"/>
      <c r="J140" s="166"/>
      <c r="K140" s="167"/>
      <c r="L140" s="169"/>
      <c r="M140" s="169"/>
      <c r="N140" s="41"/>
      <c r="O140" s="41"/>
      <c r="P140" s="168"/>
    </row>
    <row r="141" spans="1:16">
      <c r="A141" s="70"/>
      <c r="B141" s="177"/>
      <c r="C141" s="106"/>
      <c r="F141" s="178"/>
      <c r="G141" s="106"/>
      <c r="H141" s="179"/>
      <c r="I141" s="173"/>
      <c r="J141" s="166"/>
      <c r="K141" s="167"/>
      <c r="L141" s="169"/>
      <c r="M141" s="169"/>
      <c r="N141" s="41"/>
      <c r="O141" s="41"/>
      <c r="P141" s="168"/>
    </row>
    <row r="142" spans="1:16">
      <c r="A142" s="70"/>
      <c r="B142" s="177"/>
      <c r="C142" s="106"/>
      <c r="F142" s="178"/>
      <c r="G142" s="106"/>
      <c r="H142" s="179"/>
      <c r="I142" s="176"/>
      <c r="J142" s="166"/>
      <c r="K142" s="167"/>
      <c r="L142" s="169"/>
      <c r="M142" s="169"/>
      <c r="N142" s="41"/>
      <c r="O142" s="41"/>
      <c r="P142" s="168"/>
    </row>
    <row r="143" spans="1:16">
      <c r="A143" s="70"/>
      <c r="B143" s="177"/>
      <c r="C143" s="106"/>
      <c r="F143" s="178"/>
      <c r="G143" s="106"/>
      <c r="H143" s="179"/>
      <c r="I143" s="176"/>
      <c r="J143" s="166"/>
      <c r="K143" s="167"/>
      <c r="L143" s="169"/>
      <c r="M143" s="169"/>
      <c r="N143" s="41"/>
      <c r="O143" s="41"/>
      <c r="P143" s="168"/>
    </row>
    <row r="144" spans="1:16">
      <c r="A144" s="70"/>
      <c r="B144" s="177"/>
      <c r="C144" s="106"/>
      <c r="F144" s="178"/>
      <c r="G144" s="106"/>
      <c r="H144" s="179"/>
      <c r="I144" s="176"/>
      <c r="J144" s="166"/>
      <c r="K144" s="167"/>
      <c r="L144" s="169"/>
      <c r="M144" s="169"/>
      <c r="N144" s="41"/>
      <c r="O144" s="41"/>
      <c r="P144" s="168"/>
    </row>
    <row r="145" spans="1:16">
      <c r="A145" s="70"/>
      <c r="B145" s="177"/>
      <c r="C145" s="106"/>
      <c r="F145" s="178"/>
      <c r="G145" s="106"/>
      <c r="H145" s="179"/>
      <c r="I145" s="176"/>
      <c r="J145" s="166"/>
      <c r="K145" s="167"/>
      <c r="L145" s="169"/>
      <c r="M145" s="169"/>
      <c r="N145" s="41"/>
      <c r="O145" s="41"/>
      <c r="P145" s="168"/>
    </row>
    <row r="146" spans="1:16">
      <c r="A146" s="70"/>
      <c r="B146" s="177"/>
      <c r="C146" s="106"/>
      <c r="F146" s="178"/>
      <c r="G146" s="106"/>
      <c r="H146" s="179"/>
      <c r="I146" s="176"/>
      <c r="J146" s="166"/>
      <c r="K146" s="167"/>
      <c r="L146" s="169"/>
      <c r="M146" s="169"/>
      <c r="N146" s="41"/>
      <c r="O146" s="41"/>
      <c r="P146" s="168"/>
    </row>
    <row r="147" spans="1:16">
      <c r="A147" s="70"/>
      <c r="B147" s="177"/>
      <c r="C147" s="106"/>
      <c r="F147" s="178"/>
      <c r="G147" s="106"/>
      <c r="H147" s="179"/>
      <c r="I147" s="121"/>
      <c r="J147" s="166"/>
      <c r="K147" s="167"/>
      <c r="L147" s="169"/>
      <c r="M147" s="169"/>
      <c r="N147" s="41"/>
      <c r="O147" s="41"/>
      <c r="P147" s="168"/>
    </row>
    <row r="148" spans="1:16">
      <c r="A148" s="70"/>
      <c r="B148" s="177"/>
      <c r="C148" s="106"/>
      <c r="F148" s="178"/>
      <c r="G148" s="106"/>
      <c r="H148" s="179"/>
      <c r="I148" s="121"/>
      <c r="J148" s="166"/>
      <c r="K148" s="167"/>
      <c r="L148" s="169"/>
      <c r="M148" s="169"/>
      <c r="N148" s="41"/>
      <c r="O148" s="41"/>
      <c r="P148" s="168"/>
    </row>
    <row r="149" spans="1:16">
      <c r="A149" s="70"/>
      <c r="B149" s="177"/>
      <c r="C149" s="106"/>
      <c r="F149" s="178"/>
      <c r="G149" s="106"/>
      <c r="H149" s="179"/>
      <c r="I149" s="121"/>
      <c r="J149" s="166"/>
      <c r="K149" s="167"/>
      <c r="L149" s="169"/>
      <c r="M149" s="169"/>
      <c r="N149" s="41"/>
      <c r="O149" s="41"/>
      <c r="P149" s="168"/>
    </row>
    <row r="150" spans="1:16">
      <c r="A150" s="70"/>
      <c r="B150" s="177"/>
      <c r="C150" s="106"/>
      <c r="F150" s="178"/>
      <c r="G150" s="106"/>
      <c r="H150" s="179"/>
      <c r="I150" s="121"/>
      <c r="J150" s="166"/>
      <c r="K150" s="167"/>
      <c r="L150" s="169"/>
      <c r="M150" s="169"/>
      <c r="N150" s="41"/>
      <c r="O150" s="41"/>
      <c r="P150" s="168"/>
    </row>
    <row r="151" spans="1:16">
      <c r="A151" s="70"/>
      <c r="B151" s="177"/>
      <c r="C151" s="106"/>
      <c r="F151" s="178"/>
      <c r="G151" s="106"/>
      <c r="H151" s="179"/>
      <c r="I151" s="121"/>
      <c r="J151" s="166"/>
      <c r="K151" s="167"/>
      <c r="L151" s="169"/>
      <c r="M151" s="169"/>
      <c r="N151" s="41"/>
      <c r="O151" s="41"/>
      <c r="P151" s="168"/>
    </row>
    <row r="152" spans="1:16">
      <c r="A152" s="70"/>
      <c r="B152" s="177"/>
      <c r="C152" s="106"/>
      <c r="F152" s="178"/>
      <c r="G152" s="106"/>
      <c r="H152" s="179"/>
      <c r="I152" s="176"/>
      <c r="J152" s="166"/>
      <c r="K152" s="167"/>
      <c r="L152" s="169"/>
      <c r="M152" s="169"/>
      <c r="N152" s="41"/>
      <c r="O152" s="41"/>
      <c r="P152" s="168"/>
    </row>
    <row r="153" spans="1:16">
      <c r="A153" s="70"/>
      <c r="B153" s="177"/>
      <c r="C153" s="106"/>
      <c r="F153" s="178"/>
      <c r="G153" s="106"/>
      <c r="H153" s="179"/>
      <c r="I153" s="176"/>
      <c r="J153" s="166"/>
      <c r="K153" s="167"/>
      <c r="L153" s="169"/>
      <c r="M153" s="169"/>
      <c r="N153" s="41"/>
      <c r="O153" s="41"/>
      <c r="P153" s="168"/>
    </row>
    <row r="154" spans="1:16">
      <c r="A154" s="70"/>
      <c r="B154" s="177"/>
      <c r="C154" s="106"/>
      <c r="F154" s="178"/>
      <c r="G154" s="106"/>
      <c r="H154" s="179"/>
      <c r="I154" s="176"/>
      <c r="J154" s="166"/>
      <c r="K154" s="167"/>
      <c r="L154" s="169"/>
      <c r="M154" s="169"/>
      <c r="N154" s="41"/>
      <c r="O154" s="41"/>
      <c r="P154" s="168"/>
    </row>
    <row r="155" spans="1:16">
      <c r="A155" s="70"/>
      <c r="B155" s="177"/>
      <c r="C155" s="106"/>
      <c r="F155" s="178"/>
      <c r="G155" s="106"/>
      <c r="H155" s="179"/>
      <c r="I155" s="176"/>
      <c r="J155" s="166"/>
      <c r="K155" s="167"/>
      <c r="L155" s="169"/>
      <c r="M155" s="169"/>
      <c r="N155" s="41"/>
      <c r="O155" s="41"/>
      <c r="P155" s="168"/>
    </row>
    <row r="156" spans="1:16">
      <c r="A156" s="70"/>
      <c r="B156" s="177"/>
      <c r="C156" s="106"/>
      <c r="F156" s="178"/>
      <c r="G156" s="106"/>
      <c r="H156" s="179"/>
      <c r="I156" s="176"/>
      <c r="J156" s="166"/>
      <c r="K156" s="167"/>
      <c r="L156" s="169"/>
      <c r="M156" s="169"/>
      <c r="N156" s="41"/>
      <c r="O156" s="41"/>
      <c r="P156" s="168"/>
    </row>
    <row r="157" spans="1:16">
      <c r="A157" s="70"/>
      <c r="B157" s="177"/>
      <c r="C157" s="106"/>
      <c r="F157" s="178"/>
      <c r="G157" s="106"/>
      <c r="H157" s="179"/>
      <c r="I157" s="176"/>
      <c r="J157" s="166"/>
      <c r="K157" s="167"/>
      <c r="L157" s="169"/>
      <c r="M157" s="169"/>
      <c r="N157" s="41"/>
      <c r="O157" s="41"/>
      <c r="P157" s="168"/>
    </row>
    <row r="158" spans="1:16">
      <c r="A158" s="70"/>
      <c r="B158" s="177"/>
      <c r="C158" s="106"/>
      <c r="F158" s="178"/>
      <c r="G158" s="106"/>
      <c r="H158" s="179"/>
      <c r="I158" s="179"/>
      <c r="J158" s="166"/>
      <c r="K158" s="167"/>
      <c r="L158" s="169"/>
      <c r="M158" s="169"/>
      <c r="N158" s="41"/>
      <c r="O158" s="41"/>
      <c r="P158" s="168"/>
    </row>
    <row r="159" spans="1:16">
      <c r="A159" s="70"/>
      <c r="B159" s="177"/>
      <c r="C159" s="106"/>
      <c r="F159" s="178"/>
      <c r="G159" s="106"/>
      <c r="H159" s="179"/>
      <c r="I159" s="163"/>
      <c r="J159" s="166"/>
      <c r="K159" s="167"/>
      <c r="L159" s="169"/>
      <c r="M159" s="169"/>
      <c r="N159" s="41"/>
      <c r="O159" s="41"/>
      <c r="P159" s="168"/>
    </row>
    <row r="160" spans="1:16">
      <c r="A160" s="70"/>
      <c r="B160" s="177"/>
      <c r="C160" s="106"/>
      <c r="F160" s="178"/>
      <c r="G160" s="106"/>
      <c r="H160" s="179"/>
      <c r="I160" s="163"/>
      <c r="J160" s="166"/>
      <c r="K160" s="167"/>
      <c r="L160" s="169"/>
      <c r="M160" s="169"/>
      <c r="N160" s="41"/>
      <c r="O160" s="41"/>
      <c r="P160" s="168"/>
    </row>
    <row r="161" spans="1:16">
      <c r="A161" s="70"/>
      <c r="B161" s="177"/>
      <c r="C161" s="106"/>
      <c r="F161" s="178"/>
      <c r="G161" s="106"/>
      <c r="H161" s="179"/>
      <c r="I161" s="163"/>
      <c r="J161" s="166"/>
      <c r="K161" s="167"/>
      <c r="L161" s="169"/>
      <c r="M161" s="169"/>
      <c r="N161" s="41"/>
      <c r="O161" s="41"/>
      <c r="P161" s="168"/>
    </row>
    <row r="162" spans="1:16">
      <c r="A162" s="70"/>
      <c r="B162" s="177"/>
      <c r="C162" s="106"/>
      <c r="F162" s="178"/>
      <c r="G162" s="106"/>
      <c r="H162" s="179"/>
      <c r="I162" s="163"/>
      <c r="J162" s="166"/>
      <c r="K162" s="167"/>
      <c r="L162" s="169"/>
      <c r="M162" s="169"/>
      <c r="N162" s="41"/>
      <c r="O162" s="41"/>
      <c r="P162" s="168"/>
    </row>
    <row r="163" spans="1:16">
      <c r="A163" s="70"/>
      <c r="B163" s="177"/>
      <c r="C163" s="106"/>
      <c r="F163" s="178"/>
      <c r="G163" s="106"/>
      <c r="H163" s="179"/>
      <c r="I163" s="163"/>
      <c r="J163" s="166"/>
      <c r="K163" s="167"/>
      <c r="L163" s="169"/>
      <c r="M163" s="169"/>
      <c r="N163" s="41"/>
      <c r="O163" s="41"/>
      <c r="P163" s="168"/>
    </row>
    <row r="164" spans="1:16">
      <c r="A164" s="70"/>
      <c r="B164" s="177"/>
      <c r="C164" s="106"/>
      <c r="F164" s="178"/>
      <c r="G164" s="106"/>
      <c r="H164" s="179"/>
      <c r="I164" s="163"/>
      <c r="J164" s="166"/>
      <c r="K164" s="167"/>
      <c r="L164" s="169"/>
      <c r="M164" s="169"/>
      <c r="N164" s="41"/>
      <c r="O164" s="41"/>
      <c r="P164" s="41"/>
    </row>
    <row r="165" spans="1:16">
      <c r="A165" s="70"/>
      <c r="B165" s="177"/>
      <c r="C165" s="106"/>
      <c r="F165" s="178"/>
      <c r="G165" s="106"/>
      <c r="H165" s="179"/>
      <c r="I165" s="163"/>
      <c r="J165" s="171"/>
      <c r="K165" s="171"/>
      <c r="L165" s="171"/>
      <c r="M165" s="171"/>
      <c r="N165" s="171"/>
      <c r="O165" s="171"/>
      <c r="P165" s="41"/>
    </row>
    <row r="166" spans="1:16">
      <c r="A166" s="70"/>
      <c r="B166" s="177"/>
      <c r="C166" s="106"/>
      <c r="F166" s="178"/>
      <c r="G166" s="106"/>
      <c r="H166" s="179"/>
      <c r="I166" s="163"/>
      <c r="J166" s="166"/>
      <c r="K166" s="167"/>
      <c r="L166" s="169"/>
      <c r="M166" s="169"/>
      <c r="N166" s="41"/>
      <c r="O166" s="41"/>
      <c r="P166" s="166"/>
    </row>
    <row r="167" spans="1:16">
      <c r="A167" s="70"/>
      <c r="B167" s="177"/>
      <c r="C167" s="106"/>
      <c r="F167" s="178"/>
      <c r="G167" s="106"/>
      <c r="H167" s="179"/>
      <c r="I167" s="163"/>
      <c r="J167" s="166"/>
      <c r="K167" s="167"/>
      <c r="L167" s="169"/>
      <c r="M167" s="169"/>
      <c r="N167" s="41"/>
      <c r="O167" s="41"/>
      <c r="P167" s="166"/>
    </row>
    <row r="168" spans="1:16">
      <c r="A168" s="70"/>
      <c r="B168" s="177"/>
      <c r="C168" s="106"/>
      <c r="F168" s="178"/>
      <c r="G168" s="106"/>
      <c r="H168" s="179"/>
      <c r="I168" s="163"/>
      <c r="J168" s="166"/>
      <c r="K168" s="167"/>
      <c r="L168" s="169"/>
      <c r="M168" s="169"/>
      <c r="N168" s="41"/>
      <c r="O168" s="41"/>
      <c r="P168" s="166"/>
    </row>
    <row r="169" spans="1:16">
      <c r="A169" s="70"/>
      <c r="B169" s="177"/>
      <c r="C169" s="106"/>
      <c r="F169" s="178"/>
      <c r="G169" s="106"/>
      <c r="H169" s="179"/>
      <c r="I169" s="163"/>
      <c r="J169" s="166"/>
      <c r="K169" s="167"/>
      <c r="L169" s="169"/>
      <c r="M169" s="169"/>
      <c r="N169" s="41"/>
      <c r="O169" s="41"/>
      <c r="P169" s="166"/>
    </row>
    <row r="170" spans="1:16">
      <c r="A170" s="70"/>
      <c r="B170" s="177"/>
      <c r="C170" s="106"/>
      <c r="F170" s="178"/>
      <c r="G170" s="106"/>
      <c r="H170" s="179"/>
      <c r="I170" s="163"/>
      <c r="J170" s="166"/>
      <c r="K170" s="167"/>
      <c r="L170" s="169"/>
      <c r="M170" s="169"/>
      <c r="N170" s="41"/>
      <c r="O170" s="41"/>
      <c r="P170" s="166"/>
    </row>
    <row r="171" spans="1:16">
      <c r="A171" s="70"/>
      <c r="B171" s="177"/>
      <c r="C171" s="106"/>
      <c r="F171" s="178"/>
      <c r="G171" s="106"/>
      <c r="H171" s="179"/>
      <c r="I171" s="163"/>
      <c r="J171" s="166"/>
      <c r="K171" s="167"/>
      <c r="L171" s="169"/>
      <c r="M171" s="169"/>
      <c r="N171" s="41"/>
      <c r="O171" s="41"/>
      <c r="P171" s="166"/>
    </row>
    <row r="172" spans="1:16">
      <c r="A172" s="70"/>
      <c r="B172" s="177"/>
      <c r="C172" s="106"/>
      <c r="F172" s="178"/>
      <c r="G172" s="106"/>
      <c r="H172" s="179"/>
      <c r="I172" s="163"/>
      <c r="J172" s="166"/>
      <c r="K172" s="167"/>
      <c r="L172" s="169"/>
      <c r="M172" s="169"/>
      <c r="N172" s="41"/>
      <c r="O172" s="41"/>
      <c r="P172" s="166"/>
    </row>
    <row r="173" spans="1:16">
      <c r="A173" s="70"/>
      <c r="B173" s="177"/>
      <c r="C173" s="106"/>
      <c r="F173" s="178"/>
      <c r="G173" s="106"/>
      <c r="H173" s="179"/>
      <c r="I173" s="163"/>
      <c r="J173" s="166"/>
      <c r="K173" s="167"/>
      <c r="L173" s="169"/>
      <c r="M173" s="169"/>
      <c r="N173" s="41"/>
      <c r="O173" s="41"/>
      <c r="P173" s="166"/>
    </row>
    <row r="174" spans="1:16">
      <c r="A174" s="70"/>
      <c r="B174" s="177"/>
      <c r="C174" s="106"/>
      <c r="F174" s="178"/>
      <c r="G174" s="106"/>
      <c r="H174" s="179"/>
      <c r="I174" s="163"/>
      <c r="J174" s="166"/>
      <c r="K174" s="167"/>
      <c r="L174" s="169"/>
      <c r="M174" s="169"/>
      <c r="N174" s="41"/>
      <c r="O174" s="41"/>
      <c r="P174" s="166"/>
    </row>
    <row r="175" spans="1:16">
      <c r="A175" s="70"/>
      <c r="B175" s="177"/>
      <c r="C175" s="106"/>
      <c r="F175" s="178"/>
      <c r="G175" s="106"/>
      <c r="H175" s="179"/>
      <c r="I175" s="163"/>
      <c r="J175" s="166"/>
      <c r="K175" s="167"/>
      <c r="L175" s="169"/>
      <c r="M175" s="169"/>
      <c r="N175" s="41"/>
      <c r="O175" s="41"/>
      <c r="P175" s="166"/>
    </row>
    <row r="176" spans="1:16">
      <c r="A176" s="70"/>
      <c r="B176" s="177"/>
      <c r="C176" s="106"/>
      <c r="F176" s="178"/>
      <c r="G176" s="106"/>
      <c r="H176" s="179"/>
      <c r="I176" s="163"/>
      <c r="J176" s="166"/>
      <c r="K176" s="167"/>
      <c r="L176" s="169"/>
      <c r="M176" s="169"/>
      <c r="N176" s="41"/>
      <c r="O176" s="41"/>
      <c r="P176" s="166"/>
    </row>
    <row r="177" spans="1:15">
      <c r="A177" s="70"/>
      <c r="B177" s="177"/>
      <c r="C177" s="106"/>
      <c r="F177" s="178"/>
      <c r="G177" s="106"/>
      <c r="H177" s="179"/>
      <c r="I177" s="163"/>
      <c r="J177" s="166"/>
      <c r="K177" s="167"/>
      <c r="L177" s="169"/>
      <c r="M177" s="169"/>
      <c r="N177" s="41"/>
      <c r="O177" s="41"/>
    </row>
    <row r="178" spans="1:15">
      <c r="B178" s="177"/>
      <c r="C178" s="106"/>
      <c r="F178" s="178"/>
      <c r="G178" s="106"/>
      <c r="H178" s="179"/>
      <c r="I178" s="163"/>
      <c r="J178" s="166"/>
      <c r="K178" s="167"/>
      <c r="L178" s="169"/>
      <c r="M178" s="169"/>
      <c r="N178" s="41"/>
      <c r="O178" s="41"/>
    </row>
    <row r="179" spans="1:15">
      <c r="I179" s="163"/>
      <c r="J179" s="166"/>
      <c r="K179" s="167"/>
      <c r="L179" s="169"/>
      <c r="M179" s="169"/>
      <c r="N179" s="41"/>
      <c r="O179" s="41"/>
    </row>
    <row r="180" spans="1:15">
      <c r="I180" s="163"/>
      <c r="J180" s="166"/>
      <c r="K180" s="167"/>
      <c r="L180" s="169"/>
      <c r="M180" s="169"/>
      <c r="N180" s="41"/>
      <c r="O180" s="41"/>
    </row>
    <row r="181" spans="1:15">
      <c r="I181" s="179"/>
      <c r="J181" s="166"/>
      <c r="K181" s="167"/>
      <c r="L181" s="169"/>
      <c r="M181" s="169"/>
      <c r="N181" s="41"/>
      <c r="O181" s="41"/>
    </row>
    <row r="182" spans="1:15">
      <c r="I182" s="179"/>
      <c r="J182" s="166"/>
      <c r="K182" s="167"/>
      <c r="L182" s="169"/>
      <c r="M182" s="169"/>
      <c r="N182" s="41"/>
      <c r="O182" s="41"/>
    </row>
    <row r="183" spans="1:15">
      <c r="I183" s="179"/>
      <c r="J183" s="166"/>
      <c r="K183" s="167"/>
      <c r="L183" s="169"/>
      <c r="M183" s="169"/>
      <c r="N183" s="41"/>
      <c r="O183" s="41"/>
    </row>
    <row r="184" spans="1:15">
      <c r="I184" s="179"/>
      <c r="J184" s="166"/>
      <c r="K184" s="167"/>
      <c r="L184" s="169"/>
      <c r="M184" s="169"/>
      <c r="N184" s="41"/>
      <c r="O184" s="41"/>
    </row>
    <row r="185" spans="1:15">
      <c r="I185" s="179"/>
      <c r="J185" s="166"/>
      <c r="K185" s="167"/>
      <c r="L185" s="169"/>
      <c r="M185" s="169"/>
      <c r="N185" s="41"/>
      <c r="O185" s="41"/>
    </row>
    <row r="186" spans="1:15">
      <c r="I186" s="179"/>
      <c r="J186" s="166"/>
      <c r="K186" s="167"/>
      <c r="L186" s="169"/>
      <c r="M186" s="169"/>
      <c r="N186" s="41"/>
      <c r="O186" s="41"/>
    </row>
    <row r="187" spans="1:15">
      <c r="I187" s="179"/>
      <c r="J187" s="166"/>
      <c r="K187" s="167"/>
      <c r="L187" s="169"/>
      <c r="M187" s="169"/>
      <c r="N187" s="41"/>
      <c r="O187" s="41"/>
    </row>
    <row r="188" spans="1:15">
      <c r="I188" s="179"/>
      <c r="J188" s="166"/>
      <c r="K188" s="167"/>
      <c r="L188" s="169"/>
      <c r="M188" s="169"/>
      <c r="N188" s="41"/>
      <c r="O188" s="41"/>
    </row>
    <row r="189" spans="1:15">
      <c r="I189" s="179"/>
      <c r="J189" s="166"/>
      <c r="K189" s="167"/>
      <c r="L189" s="169"/>
      <c r="M189" s="169"/>
      <c r="N189" s="41"/>
      <c r="O189" s="41"/>
    </row>
    <row r="190" spans="1:15">
      <c r="I190" s="179"/>
      <c r="J190" s="166"/>
      <c r="K190" s="167"/>
      <c r="L190" s="169"/>
      <c r="M190" s="169"/>
      <c r="N190" s="41"/>
      <c r="O190" s="41"/>
    </row>
    <row r="191" spans="1:15">
      <c r="I191" s="179"/>
      <c r="J191" s="166"/>
      <c r="K191" s="167"/>
      <c r="L191" s="169"/>
      <c r="M191" s="169"/>
      <c r="N191" s="41"/>
      <c r="O191" s="41"/>
    </row>
    <row r="192" spans="1:15">
      <c r="I192" s="179"/>
      <c r="J192" s="166"/>
      <c r="K192" s="167"/>
      <c r="L192" s="169"/>
      <c r="M192" s="169"/>
      <c r="N192" s="41"/>
      <c r="O192" s="41"/>
    </row>
    <row r="193" spans="9:15">
      <c r="I193" s="179"/>
      <c r="J193" s="166"/>
      <c r="K193" s="167"/>
      <c r="L193" s="169"/>
      <c r="M193" s="169"/>
      <c r="N193" s="41"/>
      <c r="O193" s="41"/>
    </row>
    <row r="194" spans="9:15">
      <c r="I194" s="179"/>
      <c r="J194" s="166"/>
      <c r="K194" s="167"/>
      <c r="L194" s="169"/>
      <c r="M194" s="169"/>
      <c r="N194" s="41"/>
      <c r="O194" s="41"/>
    </row>
    <row r="195" spans="9:15">
      <c r="I195" s="179"/>
      <c r="J195" s="166"/>
      <c r="K195" s="167"/>
      <c r="L195" s="169"/>
      <c r="M195" s="169"/>
      <c r="N195" s="41"/>
      <c r="O195" s="41"/>
    </row>
    <row r="196" spans="9:15">
      <c r="I196" s="179"/>
      <c r="J196" s="166"/>
      <c r="K196" s="167"/>
      <c r="L196" s="169"/>
      <c r="M196" s="169"/>
      <c r="N196" s="41"/>
      <c r="O196" s="41"/>
    </row>
    <row r="197" spans="9:15">
      <c r="I197" s="179"/>
      <c r="J197" s="166"/>
      <c r="K197" s="167"/>
      <c r="L197" s="169"/>
      <c r="M197" s="169"/>
      <c r="N197" s="41"/>
      <c r="O197" s="41"/>
    </row>
    <row r="198" spans="9:15">
      <c r="I198" s="179"/>
      <c r="J198" s="166"/>
      <c r="K198" s="167"/>
      <c r="L198" s="169"/>
      <c r="M198" s="169"/>
      <c r="N198" s="41"/>
      <c r="O198" s="41"/>
    </row>
    <row r="199" spans="9:15">
      <c r="I199" s="179"/>
      <c r="J199" s="166"/>
      <c r="K199" s="167"/>
      <c r="L199" s="169"/>
      <c r="M199" s="169"/>
      <c r="N199" s="41"/>
      <c r="O199" s="41"/>
    </row>
    <row r="200" spans="9:15">
      <c r="I200" s="179"/>
      <c r="J200" s="166"/>
      <c r="K200" s="167"/>
      <c r="L200" s="169"/>
      <c r="M200" s="169"/>
      <c r="N200" s="41"/>
      <c r="O200" s="41"/>
    </row>
    <row r="201" spans="9:15">
      <c r="I201" s="179"/>
      <c r="J201" s="166"/>
      <c r="K201" s="167"/>
      <c r="L201" s="169"/>
      <c r="M201" s="169"/>
      <c r="N201" s="41"/>
      <c r="O201" s="41"/>
    </row>
    <row r="202" spans="9:15">
      <c r="I202" s="179"/>
      <c r="J202" s="166"/>
      <c r="K202" s="167"/>
      <c r="L202" s="169"/>
      <c r="M202" s="169"/>
      <c r="N202" s="41"/>
      <c r="O202" s="41"/>
    </row>
    <row r="203" spans="9:15">
      <c r="I203" s="179"/>
      <c r="J203" s="166"/>
      <c r="K203" s="167"/>
      <c r="L203" s="169"/>
      <c r="M203" s="169"/>
      <c r="N203" s="41"/>
      <c r="O203" s="41"/>
    </row>
    <row r="204" spans="9:15">
      <c r="I204" s="179"/>
      <c r="J204" s="166"/>
      <c r="K204" s="167"/>
      <c r="L204" s="169"/>
      <c r="M204" s="169"/>
      <c r="N204" s="41"/>
      <c r="O204" s="41"/>
    </row>
    <row r="205" spans="9:15">
      <c r="I205" s="179"/>
      <c r="J205" s="166"/>
      <c r="K205" s="167"/>
      <c r="L205" s="169"/>
      <c r="M205" s="169"/>
      <c r="N205" s="41"/>
      <c r="O205" s="41"/>
    </row>
    <row r="206" spans="9:15">
      <c r="I206" s="179"/>
      <c r="J206" s="166"/>
      <c r="K206" s="167"/>
      <c r="L206" s="169"/>
      <c r="M206" s="169"/>
      <c r="N206" s="41"/>
      <c r="O206" s="41"/>
    </row>
    <row r="207" spans="9:15">
      <c r="I207" s="179"/>
      <c r="J207" s="166"/>
      <c r="K207" s="167"/>
      <c r="L207" s="169"/>
      <c r="M207" s="169"/>
      <c r="N207" s="41"/>
      <c r="O207" s="41"/>
    </row>
    <row r="208" spans="9:15">
      <c r="I208" s="179"/>
      <c r="J208" s="166"/>
      <c r="K208" s="167"/>
      <c r="L208" s="169"/>
      <c r="M208" s="169"/>
      <c r="N208" s="41"/>
      <c r="O208" s="41"/>
    </row>
    <row r="209" spans="9:15">
      <c r="I209" s="179"/>
      <c r="J209" s="166"/>
      <c r="K209" s="167"/>
      <c r="L209" s="169"/>
      <c r="M209" s="169"/>
      <c r="N209" s="41"/>
      <c r="O209" s="41"/>
    </row>
    <row r="210" spans="9:15">
      <c r="I210" s="179"/>
      <c r="J210" s="166"/>
      <c r="K210" s="167"/>
      <c r="L210" s="169"/>
      <c r="M210" s="169"/>
      <c r="N210" s="41"/>
      <c r="O210" s="41"/>
    </row>
    <row r="211" spans="9:15">
      <c r="I211" s="179"/>
      <c r="J211" s="166"/>
      <c r="K211" s="167"/>
      <c r="L211" s="169"/>
      <c r="M211" s="169"/>
      <c r="N211" s="41"/>
      <c r="O211" s="41"/>
    </row>
    <row r="212" spans="9:15">
      <c r="I212" s="179"/>
      <c r="J212" s="166"/>
      <c r="K212" s="166"/>
      <c r="L212" s="166"/>
      <c r="M212" s="166"/>
      <c r="N212" s="166"/>
      <c r="O212" s="166"/>
    </row>
    <row r="213" spans="9:15">
      <c r="I213" s="179"/>
      <c r="J213" s="166"/>
      <c r="K213" s="166"/>
      <c r="L213" s="166"/>
      <c r="M213" s="166"/>
      <c r="N213" s="166"/>
      <c r="O213" s="166"/>
    </row>
    <row r="214" spans="9:15">
      <c r="I214" s="179"/>
      <c r="J214" s="166"/>
      <c r="K214" s="166"/>
      <c r="L214" s="166"/>
      <c r="M214" s="166"/>
      <c r="N214" s="166"/>
      <c r="O214" s="166"/>
    </row>
    <row r="215" spans="9:15">
      <c r="I215" s="179"/>
      <c r="J215" s="166"/>
      <c r="K215" s="166"/>
      <c r="L215" s="166"/>
      <c r="M215" s="166"/>
      <c r="N215" s="166"/>
      <c r="O215" s="166"/>
    </row>
    <row r="216" spans="9:15">
      <c r="I216" s="179"/>
      <c r="J216" s="166"/>
      <c r="K216" s="166"/>
      <c r="L216" s="166"/>
      <c r="M216" s="166"/>
      <c r="N216" s="166"/>
      <c r="O216" s="166"/>
    </row>
    <row r="217" spans="9:15">
      <c r="I217" s="179"/>
      <c r="J217" s="166"/>
      <c r="K217" s="166"/>
      <c r="L217" s="166"/>
      <c r="M217" s="166"/>
      <c r="N217" s="166"/>
      <c r="O217" s="166"/>
    </row>
    <row r="218" spans="9:15">
      <c r="I218" s="179"/>
      <c r="J218" s="166"/>
      <c r="K218" s="166"/>
      <c r="L218" s="166"/>
      <c r="M218" s="166"/>
      <c r="N218" s="166"/>
      <c r="O218" s="166"/>
    </row>
    <row r="219" spans="9:15">
      <c r="I219" s="179"/>
      <c r="J219" s="166"/>
      <c r="K219" s="166"/>
      <c r="L219" s="166"/>
      <c r="M219" s="166"/>
      <c r="N219" s="166"/>
      <c r="O219" s="166"/>
    </row>
    <row r="220" spans="9:15">
      <c r="I220" s="179"/>
      <c r="J220" s="166"/>
      <c r="K220" s="166"/>
      <c r="L220" s="166"/>
      <c r="M220" s="166"/>
      <c r="N220" s="166"/>
      <c r="O220" s="166"/>
    </row>
    <row r="221" spans="9:15">
      <c r="I221" s="179"/>
      <c r="J221" s="166"/>
      <c r="K221" s="166"/>
      <c r="L221" s="166"/>
      <c r="M221" s="166"/>
      <c r="N221" s="166"/>
      <c r="O221" s="166"/>
    </row>
    <row r="222" spans="9:15">
      <c r="I222" s="179"/>
      <c r="J222" s="166"/>
      <c r="K222" s="166"/>
      <c r="L222" s="166"/>
      <c r="M222" s="166"/>
      <c r="N222" s="166"/>
      <c r="O222" s="166"/>
    </row>
    <row r="223" spans="9:15">
      <c r="I223" s="179"/>
      <c r="J223" s="166"/>
      <c r="K223" s="166"/>
      <c r="L223" s="166"/>
      <c r="M223" s="166"/>
      <c r="N223" s="166"/>
      <c r="O223" s="166"/>
    </row>
    <row r="224" spans="9:15">
      <c r="I224" s="179"/>
      <c r="J224" s="166"/>
      <c r="K224" s="166"/>
      <c r="L224" s="166"/>
      <c r="M224" s="166"/>
      <c r="N224" s="166"/>
      <c r="O224" s="166"/>
    </row>
    <row r="225" spans="9:15">
      <c r="I225" s="179"/>
      <c r="J225" s="166"/>
      <c r="K225" s="167"/>
      <c r="L225" s="169"/>
      <c r="M225" s="169"/>
      <c r="N225" s="41"/>
      <c r="O225" s="41"/>
    </row>
    <row r="226" spans="9:15">
      <c r="I226" s="179"/>
      <c r="J226" s="166"/>
      <c r="K226" s="167"/>
      <c r="L226" s="41"/>
      <c r="M226" s="41"/>
      <c r="N226" s="41"/>
      <c r="O226" s="41"/>
    </row>
    <row r="227" spans="9:15">
      <c r="I227" s="179"/>
      <c r="J227" s="150"/>
      <c r="K227" s="167"/>
      <c r="L227" s="41"/>
      <c r="M227" s="41"/>
      <c r="N227" s="41"/>
      <c r="O227" s="41"/>
    </row>
    <row r="228" spans="9:15">
      <c r="I228" s="179"/>
      <c r="J228" s="173"/>
      <c r="K228" s="167"/>
      <c r="L228" s="41"/>
      <c r="M228" s="41"/>
      <c r="N228" s="41"/>
      <c r="O228" s="41"/>
    </row>
    <row r="229" spans="9:15">
      <c r="I229" s="179"/>
      <c r="J229" s="173"/>
      <c r="K229" s="167"/>
      <c r="L229" s="41"/>
      <c r="M229" s="41"/>
      <c r="N229" s="41"/>
      <c r="O229" s="41"/>
    </row>
    <row r="230" spans="9:15">
      <c r="I230" s="179"/>
      <c r="J230" s="176"/>
      <c r="K230" s="167"/>
      <c r="L230" s="41"/>
      <c r="M230" s="41"/>
      <c r="N230" s="41"/>
      <c r="O230" s="41"/>
    </row>
    <row r="231" spans="9:15">
      <c r="I231" s="179"/>
      <c r="J231" s="176"/>
      <c r="K231" s="167"/>
      <c r="L231" s="41"/>
      <c r="M231" s="41"/>
      <c r="N231" s="41"/>
      <c r="O231" s="41"/>
    </row>
    <row r="232" spans="9:15">
      <c r="I232" s="179"/>
      <c r="J232" s="176"/>
      <c r="K232" s="167"/>
      <c r="L232" s="41"/>
      <c r="M232" s="41"/>
      <c r="N232" s="41"/>
      <c r="O232" s="41"/>
    </row>
    <row r="233" spans="9:15">
      <c r="I233" s="179"/>
      <c r="J233" s="176"/>
      <c r="K233" s="167"/>
      <c r="L233" s="41"/>
      <c r="M233" s="41"/>
      <c r="N233" s="41"/>
      <c r="O233" s="41"/>
    </row>
    <row r="234" spans="9:15">
      <c r="I234" s="179"/>
      <c r="J234" s="176"/>
      <c r="K234" s="41"/>
      <c r="L234" s="41"/>
      <c r="M234" s="41"/>
      <c r="N234" s="41"/>
      <c r="O234" s="41"/>
    </row>
    <row r="235" spans="9:15">
      <c r="I235" s="179"/>
      <c r="J235" s="121"/>
      <c r="K235" s="171"/>
      <c r="L235" s="171"/>
      <c r="M235" s="171"/>
      <c r="N235" s="171"/>
      <c r="O235" s="171"/>
    </row>
    <row r="236" spans="9:15">
      <c r="I236" s="179"/>
      <c r="J236" s="121"/>
      <c r="K236" s="171"/>
      <c r="L236" s="171"/>
      <c r="M236" s="171"/>
      <c r="N236" s="171"/>
      <c r="O236" s="171"/>
    </row>
    <row r="237" spans="9:15">
      <c r="I237" s="179"/>
      <c r="J237" s="121"/>
      <c r="K237" s="171"/>
      <c r="L237" s="171"/>
      <c r="M237" s="171"/>
      <c r="N237" s="171"/>
      <c r="O237" s="171"/>
    </row>
    <row r="238" spans="9:15">
      <c r="I238" s="179"/>
      <c r="J238" s="121"/>
      <c r="K238" s="154"/>
      <c r="L238" s="154"/>
      <c r="M238" s="154"/>
      <c r="N238" s="154"/>
      <c r="O238" s="154"/>
    </row>
    <row r="239" spans="9:15">
      <c r="J239" s="121"/>
    </row>
    <row r="240" spans="9:15">
      <c r="J240" s="176"/>
    </row>
    <row r="241" spans="10:10">
      <c r="J241" s="176"/>
    </row>
    <row r="242" spans="10:10">
      <c r="J242" s="176"/>
    </row>
    <row r="243" spans="10:10">
      <c r="J243" s="176"/>
    </row>
    <row r="244" spans="10:10">
      <c r="J244" s="176"/>
    </row>
    <row r="245" spans="10:10">
      <c r="J245" s="176"/>
    </row>
    <row r="246" spans="10:10">
      <c r="J246" s="179"/>
    </row>
    <row r="247" spans="10:10">
      <c r="J247" s="163"/>
    </row>
    <row r="248" spans="10:10">
      <c r="J248" s="163"/>
    </row>
    <row r="249" spans="10:10">
      <c r="J249" s="163"/>
    </row>
    <row r="250" spans="10:10">
      <c r="J250" s="163"/>
    </row>
    <row r="251" spans="10:10">
      <c r="J251" s="163"/>
    </row>
    <row r="252" spans="10:10">
      <c r="J252" s="163"/>
    </row>
    <row r="253" spans="10:10">
      <c r="J253" s="163"/>
    </row>
    <row r="254" spans="10:10">
      <c r="J254" s="163"/>
    </row>
    <row r="255" spans="10:10">
      <c r="J255" s="163"/>
    </row>
    <row r="256" spans="10:10">
      <c r="J256" s="163"/>
    </row>
    <row r="257" spans="10:10">
      <c r="J257" s="163"/>
    </row>
    <row r="258" spans="10:10">
      <c r="J258" s="163"/>
    </row>
    <row r="259" spans="10:10">
      <c r="J259" s="163"/>
    </row>
    <row r="260" spans="10:10">
      <c r="J260" s="163"/>
    </row>
    <row r="261" spans="10:10">
      <c r="J261" s="163"/>
    </row>
    <row r="262" spans="10:10">
      <c r="J262" s="163"/>
    </row>
    <row r="263" spans="10:10">
      <c r="J263" s="163"/>
    </row>
    <row r="264" spans="10:10">
      <c r="J264" s="163"/>
    </row>
    <row r="265" spans="10:10">
      <c r="J265" s="163"/>
    </row>
    <row r="266" spans="10:10">
      <c r="J266" s="163"/>
    </row>
    <row r="267" spans="10:10">
      <c r="J267" s="163"/>
    </row>
    <row r="268" spans="10:10">
      <c r="J268" s="163"/>
    </row>
    <row r="269" spans="10:10">
      <c r="J269" s="179"/>
    </row>
    <row r="270" spans="10:10">
      <c r="J270" s="179"/>
    </row>
    <row r="271" spans="10:10">
      <c r="J271" s="179"/>
    </row>
    <row r="272" spans="10:10">
      <c r="J272" s="179"/>
    </row>
    <row r="273" spans="10:10">
      <c r="J273" s="179"/>
    </row>
    <row r="274" spans="10:10">
      <c r="J274" s="179"/>
    </row>
    <row r="275" spans="10:10">
      <c r="J275" s="179"/>
    </row>
    <row r="276" spans="10:10">
      <c r="J276" s="179"/>
    </row>
    <row r="277" spans="10:10">
      <c r="J277" s="179"/>
    </row>
    <row r="278" spans="10:10">
      <c r="J278" s="179"/>
    </row>
    <row r="279" spans="10:10">
      <c r="J279" s="179"/>
    </row>
    <row r="280" spans="10:10">
      <c r="J280" s="179"/>
    </row>
    <row r="281" spans="10:10">
      <c r="J281" s="179"/>
    </row>
    <row r="282" spans="10:10">
      <c r="J282" s="179"/>
    </row>
    <row r="283" spans="10:10">
      <c r="J283" s="179"/>
    </row>
    <row r="284" spans="10:10">
      <c r="J284" s="179"/>
    </row>
    <row r="285" spans="10:10">
      <c r="J285" s="179"/>
    </row>
    <row r="286" spans="10:10">
      <c r="J286" s="179"/>
    </row>
    <row r="287" spans="10:10">
      <c r="J287" s="179"/>
    </row>
    <row r="288" spans="10:10">
      <c r="J288" s="179"/>
    </row>
    <row r="289" spans="10:10">
      <c r="J289" s="179"/>
    </row>
    <row r="290" spans="10:10">
      <c r="J290" s="179"/>
    </row>
    <row r="291" spans="10:10">
      <c r="J291" s="179"/>
    </row>
    <row r="292" spans="10:10">
      <c r="J292" s="179"/>
    </row>
    <row r="293" spans="10:10">
      <c r="J293" s="179"/>
    </row>
    <row r="294" spans="10:10">
      <c r="J294" s="179"/>
    </row>
    <row r="295" spans="10:10">
      <c r="J295" s="179"/>
    </row>
    <row r="296" spans="10:10">
      <c r="J296" s="179"/>
    </row>
    <row r="297" spans="10:10">
      <c r="J297" s="179"/>
    </row>
    <row r="298" spans="10:10">
      <c r="J298" s="179"/>
    </row>
    <row r="299" spans="10:10">
      <c r="J299" s="179"/>
    </row>
    <row r="300" spans="10:10">
      <c r="J300" s="179"/>
    </row>
    <row r="301" spans="10:10">
      <c r="J301" s="179"/>
    </row>
    <row r="302" spans="10:10">
      <c r="J302" s="179"/>
    </row>
    <row r="303" spans="10:10">
      <c r="J303" s="179"/>
    </row>
    <row r="304" spans="10:10">
      <c r="J304" s="179"/>
    </row>
    <row r="305" spans="10:10">
      <c r="J305" s="179"/>
    </row>
    <row r="306" spans="10:10">
      <c r="J306" s="179"/>
    </row>
    <row r="307" spans="10:10">
      <c r="J307" s="179"/>
    </row>
    <row r="308" spans="10:10">
      <c r="J308" s="179"/>
    </row>
    <row r="309" spans="10:10">
      <c r="J309" s="179"/>
    </row>
    <row r="310" spans="10:10">
      <c r="J310" s="179"/>
    </row>
    <row r="311" spans="10:10">
      <c r="J311" s="179"/>
    </row>
    <row r="312" spans="10:10">
      <c r="J312" s="179"/>
    </row>
    <row r="313" spans="10:10">
      <c r="J313" s="179"/>
    </row>
    <row r="314" spans="10:10">
      <c r="J314" s="179"/>
    </row>
    <row r="315" spans="10:10">
      <c r="J315" s="179"/>
    </row>
    <row r="316" spans="10:10">
      <c r="J316" s="179"/>
    </row>
    <row r="317" spans="10:10">
      <c r="J317" s="179"/>
    </row>
    <row r="318" spans="10:10">
      <c r="J318" s="179"/>
    </row>
    <row r="319" spans="10:10">
      <c r="J319" s="179"/>
    </row>
    <row r="320" spans="10:10">
      <c r="J320" s="179"/>
    </row>
    <row r="321" spans="10:10">
      <c r="J321" s="179"/>
    </row>
    <row r="322" spans="10:10">
      <c r="J322" s="179"/>
    </row>
    <row r="323" spans="10:10">
      <c r="J323" s="179"/>
    </row>
    <row r="324" spans="10:10">
      <c r="J324" s="179"/>
    </row>
    <row r="325" spans="10:10">
      <c r="J325" s="179"/>
    </row>
    <row r="326" spans="10:10">
      <c r="J326" s="179"/>
    </row>
  </sheetData>
  <mergeCells count="7">
    <mergeCell ref="G5:G6"/>
    <mergeCell ref="H5:H6"/>
    <mergeCell ref="A82:E82"/>
    <mergeCell ref="A3:C3"/>
    <mergeCell ref="A5:A6"/>
    <mergeCell ref="B5:B6"/>
    <mergeCell ref="C5:E5"/>
  </mergeCells>
  <phoneticPr fontId="27" type="noConversion"/>
  <conditionalFormatting sqref="A26:A43">
    <cfRule type="expression" dxfId="208" priority="42">
      <formula>MONTH(A26)=1</formula>
    </cfRule>
  </conditionalFormatting>
  <conditionalFormatting sqref="A44:A45">
    <cfRule type="expression" dxfId="207" priority="40">
      <formula>MONTH(A44)=1</formula>
    </cfRule>
  </conditionalFormatting>
  <conditionalFormatting sqref="A46:A54">
    <cfRule type="expression" dxfId="206" priority="37">
      <formula>MONTH(A46)=1</formula>
    </cfRule>
  </conditionalFormatting>
  <conditionalFormatting sqref="A46:A54">
    <cfRule type="expression" dxfId="205" priority="38">
      <formula>MONTH(A46)=1</formula>
    </cfRule>
  </conditionalFormatting>
  <conditionalFormatting sqref="A55">
    <cfRule type="expression" dxfId="204" priority="33">
      <formula>MONTH(A55)=1</formula>
    </cfRule>
  </conditionalFormatting>
  <conditionalFormatting sqref="A55">
    <cfRule type="expression" dxfId="203" priority="32">
      <formula>MONTH(A55)=1</formula>
    </cfRule>
  </conditionalFormatting>
  <conditionalFormatting sqref="A56:A66">
    <cfRule type="expression" dxfId="202" priority="19">
      <formula>MONTH(A56)=1</formula>
    </cfRule>
  </conditionalFormatting>
  <conditionalFormatting sqref="A56:A66">
    <cfRule type="expression" dxfId="201" priority="18">
      <formula>MONTH(A56)=1</formula>
    </cfRule>
  </conditionalFormatting>
  <conditionalFormatting sqref="A67">
    <cfRule type="expression" dxfId="200" priority="16">
      <formula>MONTH(A67)=1</formula>
    </cfRule>
  </conditionalFormatting>
  <conditionalFormatting sqref="A78">
    <cfRule type="expression" dxfId="199" priority="14">
      <formula>MONTH(A78)=1</formula>
    </cfRule>
  </conditionalFormatting>
  <conditionalFormatting sqref="A67">
    <cfRule type="expression" dxfId="198" priority="15">
      <formula>MONTH(A67)=1</formula>
    </cfRule>
  </conditionalFormatting>
  <conditionalFormatting sqref="A68">
    <cfRule type="expression" dxfId="197" priority="13">
      <formula>MONTH(A68)=1</formula>
    </cfRule>
  </conditionalFormatting>
  <conditionalFormatting sqref="A68">
    <cfRule type="expression" dxfId="196" priority="12">
      <formula>MONTH(A68)=1</formula>
    </cfRule>
  </conditionalFormatting>
  <conditionalFormatting sqref="A69">
    <cfRule type="expression" dxfId="195" priority="9">
      <formula>MONTH(A69)=1</formula>
    </cfRule>
  </conditionalFormatting>
  <conditionalFormatting sqref="A69">
    <cfRule type="expression" dxfId="194" priority="10">
      <formula>MONTH(A69)=1</formula>
    </cfRule>
  </conditionalFormatting>
  <conditionalFormatting sqref="A70:A71">
    <cfRule type="expression" dxfId="193" priority="8">
      <formula>MONTH(A70)=1</formula>
    </cfRule>
  </conditionalFormatting>
  <conditionalFormatting sqref="A72:A73">
    <cfRule type="expression" dxfId="192" priority="5">
      <formula>MONTH(A72)=1</formula>
    </cfRule>
  </conditionalFormatting>
  <conditionalFormatting sqref="A75:A77">
    <cfRule type="expression" dxfId="191" priority="1">
      <formula>MONTH(A75)=1</formula>
    </cfRule>
  </conditionalFormatting>
  <conditionalFormatting sqref="A74">
    <cfRule type="expression" dxfId="190" priority="2">
      <formula>MONTH(A74)=1</formula>
    </cfRule>
  </conditionalFormatting>
  <pageMargins left="0.78740157480314965" right="0.78740157480314965" top="1.1417322834645669" bottom="1.1417322834645669" header="0.51181102362204722" footer="0.51181102362204722"/>
  <pageSetup paperSize="9" scale="61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A2BC-928A-41D0-BD74-F06E8BCF7B24}">
  <sheetPr>
    <pageSetUpPr fitToPage="1"/>
  </sheetPr>
  <dimension ref="A1:AA255"/>
  <sheetViews>
    <sheetView view="pageBreakPreview" zoomScale="115" zoomScaleNormal="100" zoomScaleSheetLayoutView="115" workbookViewId="0">
      <pane xSplit="1" ySplit="6" topLeftCell="B7" activePane="bottomRight" state="frozen"/>
      <selection activeCell="AB48" sqref="AB48"/>
      <selection pane="topRight" activeCell="AB48" sqref="AB48"/>
      <selection pane="bottomLeft" activeCell="AB48" sqref="AB48"/>
      <selection pane="bottomRight"/>
    </sheetView>
  </sheetViews>
  <sheetFormatPr defaultColWidth="4.109375" defaultRowHeight="13.5"/>
  <cols>
    <col min="1" max="1" width="9.109375" style="199" customWidth="1"/>
    <col min="2" max="2" width="8.88671875" style="184" customWidth="1"/>
    <col min="3" max="4" width="8.88671875" style="181" customWidth="1"/>
    <col min="5" max="5" width="8.109375" style="181" customWidth="1"/>
    <col min="6" max="6" width="8.88671875" style="181" customWidth="1"/>
    <col min="7" max="7" width="8.109375" style="181" customWidth="1"/>
    <col min="8" max="8" width="8.33203125" style="182" customWidth="1"/>
    <col min="9" max="9" width="4.88671875" style="183" bestFit="1" customWidth="1"/>
    <col min="10" max="10" width="9.33203125" style="183" customWidth="1"/>
    <col min="11" max="11" width="7" style="183" customWidth="1"/>
    <col min="12" max="12" width="6.88671875" style="181" bestFit="1" customWidth="1"/>
    <col min="13" max="15" width="5" style="181" bestFit="1" customWidth="1"/>
    <col min="16" max="16" width="6.88671875" style="181" bestFit="1" customWidth="1"/>
    <col min="17" max="17" width="5.88671875" style="181" customWidth="1"/>
    <col min="18" max="18" width="4.6640625" style="181" bestFit="1" customWidth="1"/>
    <col min="19" max="22" width="4.109375" style="181"/>
    <col min="23" max="23" width="6.77734375" style="181" bestFit="1" customWidth="1"/>
    <col min="24" max="256" width="4.109375" style="181"/>
    <col min="257" max="257" width="7.109375" style="181" customWidth="1"/>
    <col min="258" max="260" width="8.88671875" style="181" customWidth="1"/>
    <col min="261" max="261" width="8.109375" style="181" customWidth="1"/>
    <col min="262" max="262" width="8.88671875" style="181" customWidth="1"/>
    <col min="263" max="263" width="8.109375" style="181" customWidth="1"/>
    <col min="264" max="264" width="8.33203125" style="181" customWidth="1"/>
    <col min="265" max="265" width="4.88671875" style="181" bestFit="1" customWidth="1"/>
    <col min="266" max="266" width="6.21875" style="181" bestFit="1" customWidth="1"/>
    <col min="267" max="267" width="7" style="181" customWidth="1"/>
    <col min="268" max="268" width="6.77734375" style="181" bestFit="1" customWidth="1"/>
    <col min="269" max="271" width="4.88671875" style="181" bestFit="1" customWidth="1"/>
    <col min="272" max="272" width="6.77734375" style="181" bestFit="1" customWidth="1"/>
    <col min="273" max="273" width="5.88671875" style="181" customWidth="1"/>
    <col min="274" max="278" width="4.109375" style="181"/>
    <col min="279" max="279" width="6.77734375" style="181" bestFit="1" customWidth="1"/>
    <col min="280" max="512" width="4.109375" style="181"/>
    <col min="513" max="513" width="7.109375" style="181" customWidth="1"/>
    <col min="514" max="516" width="8.88671875" style="181" customWidth="1"/>
    <col min="517" max="517" width="8.109375" style="181" customWidth="1"/>
    <col min="518" max="518" width="8.88671875" style="181" customWidth="1"/>
    <col min="519" max="519" width="8.109375" style="181" customWidth="1"/>
    <col min="520" max="520" width="8.33203125" style="181" customWidth="1"/>
    <col min="521" max="521" width="4.88671875" style="181" bestFit="1" customWidth="1"/>
    <col min="522" max="522" width="6.21875" style="181" bestFit="1" customWidth="1"/>
    <col min="523" max="523" width="7" style="181" customWidth="1"/>
    <col min="524" max="524" width="6.77734375" style="181" bestFit="1" customWidth="1"/>
    <col min="525" max="527" width="4.88671875" style="181" bestFit="1" customWidth="1"/>
    <col min="528" max="528" width="6.77734375" style="181" bestFit="1" customWidth="1"/>
    <col min="529" max="529" width="5.88671875" style="181" customWidth="1"/>
    <col min="530" max="534" width="4.109375" style="181"/>
    <col min="535" max="535" width="6.77734375" style="181" bestFit="1" customWidth="1"/>
    <col min="536" max="768" width="4.109375" style="181"/>
    <col min="769" max="769" width="7.109375" style="181" customWidth="1"/>
    <col min="770" max="772" width="8.88671875" style="181" customWidth="1"/>
    <col min="773" max="773" width="8.109375" style="181" customWidth="1"/>
    <col min="774" max="774" width="8.88671875" style="181" customWidth="1"/>
    <col min="775" max="775" width="8.109375" style="181" customWidth="1"/>
    <col min="776" max="776" width="8.33203125" style="181" customWidth="1"/>
    <col min="777" max="777" width="4.88671875" style="181" bestFit="1" customWidth="1"/>
    <col min="778" max="778" width="6.21875" style="181" bestFit="1" customWidth="1"/>
    <col min="779" max="779" width="7" style="181" customWidth="1"/>
    <col min="780" max="780" width="6.77734375" style="181" bestFit="1" customWidth="1"/>
    <col min="781" max="783" width="4.88671875" style="181" bestFit="1" customWidth="1"/>
    <col min="784" max="784" width="6.77734375" style="181" bestFit="1" customWidth="1"/>
    <col min="785" max="785" width="5.88671875" style="181" customWidth="1"/>
    <col min="786" max="790" width="4.109375" style="181"/>
    <col min="791" max="791" width="6.77734375" style="181" bestFit="1" customWidth="1"/>
    <col min="792" max="1024" width="4.109375" style="181"/>
    <col min="1025" max="1025" width="7.109375" style="181" customWidth="1"/>
    <col min="1026" max="1028" width="8.88671875" style="181" customWidth="1"/>
    <col min="1029" max="1029" width="8.109375" style="181" customWidth="1"/>
    <col min="1030" max="1030" width="8.88671875" style="181" customWidth="1"/>
    <col min="1031" max="1031" width="8.109375" style="181" customWidth="1"/>
    <col min="1032" max="1032" width="8.33203125" style="181" customWidth="1"/>
    <col min="1033" max="1033" width="4.88671875" style="181" bestFit="1" customWidth="1"/>
    <col min="1034" max="1034" width="6.21875" style="181" bestFit="1" customWidth="1"/>
    <col min="1035" max="1035" width="7" style="181" customWidth="1"/>
    <col min="1036" max="1036" width="6.77734375" style="181" bestFit="1" customWidth="1"/>
    <col min="1037" max="1039" width="4.88671875" style="181" bestFit="1" customWidth="1"/>
    <col min="1040" max="1040" width="6.77734375" style="181" bestFit="1" customWidth="1"/>
    <col min="1041" max="1041" width="5.88671875" style="181" customWidth="1"/>
    <col min="1042" max="1046" width="4.109375" style="181"/>
    <col min="1047" max="1047" width="6.77734375" style="181" bestFit="1" customWidth="1"/>
    <col min="1048" max="1280" width="4.109375" style="181"/>
    <col min="1281" max="1281" width="7.109375" style="181" customWidth="1"/>
    <col min="1282" max="1284" width="8.88671875" style="181" customWidth="1"/>
    <col min="1285" max="1285" width="8.109375" style="181" customWidth="1"/>
    <col min="1286" max="1286" width="8.88671875" style="181" customWidth="1"/>
    <col min="1287" max="1287" width="8.109375" style="181" customWidth="1"/>
    <col min="1288" max="1288" width="8.33203125" style="181" customWidth="1"/>
    <col min="1289" max="1289" width="4.88671875" style="181" bestFit="1" customWidth="1"/>
    <col min="1290" max="1290" width="6.21875" style="181" bestFit="1" customWidth="1"/>
    <col min="1291" max="1291" width="7" style="181" customWidth="1"/>
    <col min="1292" max="1292" width="6.77734375" style="181" bestFit="1" customWidth="1"/>
    <col min="1293" max="1295" width="4.88671875" style="181" bestFit="1" customWidth="1"/>
    <col min="1296" max="1296" width="6.77734375" style="181" bestFit="1" customWidth="1"/>
    <col min="1297" max="1297" width="5.88671875" style="181" customWidth="1"/>
    <col min="1298" max="1302" width="4.109375" style="181"/>
    <col min="1303" max="1303" width="6.77734375" style="181" bestFit="1" customWidth="1"/>
    <col min="1304" max="1536" width="4.109375" style="181"/>
    <col min="1537" max="1537" width="7.109375" style="181" customWidth="1"/>
    <col min="1538" max="1540" width="8.88671875" style="181" customWidth="1"/>
    <col min="1541" max="1541" width="8.109375" style="181" customWidth="1"/>
    <col min="1542" max="1542" width="8.88671875" style="181" customWidth="1"/>
    <col min="1543" max="1543" width="8.109375" style="181" customWidth="1"/>
    <col min="1544" max="1544" width="8.33203125" style="181" customWidth="1"/>
    <col min="1545" max="1545" width="4.88671875" style="181" bestFit="1" customWidth="1"/>
    <col min="1546" max="1546" width="6.21875" style="181" bestFit="1" customWidth="1"/>
    <col min="1547" max="1547" width="7" style="181" customWidth="1"/>
    <col min="1548" max="1548" width="6.77734375" style="181" bestFit="1" customWidth="1"/>
    <col min="1549" max="1551" width="4.88671875" style="181" bestFit="1" customWidth="1"/>
    <col min="1552" max="1552" width="6.77734375" style="181" bestFit="1" customWidth="1"/>
    <col min="1553" max="1553" width="5.88671875" style="181" customWidth="1"/>
    <col min="1554" max="1558" width="4.109375" style="181"/>
    <col min="1559" max="1559" width="6.77734375" style="181" bestFit="1" customWidth="1"/>
    <col min="1560" max="1792" width="4.109375" style="181"/>
    <col min="1793" max="1793" width="7.109375" style="181" customWidth="1"/>
    <col min="1794" max="1796" width="8.88671875" style="181" customWidth="1"/>
    <col min="1797" max="1797" width="8.109375" style="181" customWidth="1"/>
    <col min="1798" max="1798" width="8.88671875" style="181" customWidth="1"/>
    <col min="1799" max="1799" width="8.109375" style="181" customWidth="1"/>
    <col min="1800" max="1800" width="8.33203125" style="181" customWidth="1"/>
    <col min="1801" max="1801" width="4.88671875" style="181" bestFit="1" customWidth="1"/>
    <col min="1802" max="1802" width="6.21875" style="181" bestFit="1" customWidth="1"/>
    <col min="1803" max="1803" width="7" style="181" customWidth="1"/>
    <col min="1804" max="1804" width="6.77734375" style="181" bestFit="1" customWidth="1"/>
    <col min="1805" max="1807" width="4.88671875" style="181" bestFit="1" customWidth="1"/>
    <col min="1808" max="1808" width="6.77734375" style="181" bestFit="1" customWidth="1"/>
    <col min="1809" max="1809" width="5.88671875" style="181" customWidth="1"/>
    <col min="1810" max="1814" width="4.109375" style="181"/>
    <col min="1815" max="1815" width="6.77734375" style="181" bestFit="1" customWidth="1"/>
    <col min="1816" max="2048" width="4.109375" style="181"/>
    <col min="2049" max="2049" width="7.109375" style="181" customWidth="1"/>
    <col min="2050" max="2052" width="8.88671875" style="181" customWidth="1"/>
    <col min="2053" max="2053" width="8.109375" style="181" customWidth="1"/>
    <col min="2054" max="2054" width="8.88671875" style="181" customWidth="1"/>
    <col min="2055" max="2055" width="8.109375" style="181" customWidth="1"/>
    <col min="2056" max="2056" width="8.33203125" style="181" customWidth="1"/>
    <col min="2057" max="2057" width="4.88671875" style="181" bestFit="1" customWidth="1"/>
    <col min="2058" max="2058" width="6.21875" style="181" bestFit="1" customWidth="1"/>
    <col min="2059" max="2059" width="7" style="181" customWidth="1"/>
    <col min="2060" max="2060" width="6.77734375" style="181" bestFit="1" customWidth="1"/>
    <col min="2061" max="2063" width="4.88671875" style="181" bestFit="1" customWidth="1"/>
    <col min="2064" max="2064" width="6.77734375" style="181" bestFit="1" customWidth="1"/>
    <col min="2065" max="2065" width="5.88671875" style="181" customWidth="1"/>
    <col min="2066" max="2070" width="4.109375" style="181"/>
    <col min="2071" max="2071" width="6.77734375" style="181" bestFit="1" customWidth="1"/>
    <col min="2072" max="2304" width="4.109375" style="181"/>
    <col min="2305" max="2305" width="7.109375" style="181" customWidth="1"/>
    <col min="2306" max="2308" width="8.88671875" style="181" customWidth="1"/>
    <col min="2309" max="2309" width="8.109375" style="181" customWidth="1"/>
    <col min="2310" max="2310" width="8.88671875" style="181" customWidth="1"/>
    <col min="2311" max="2311" width="8.109375" style="181" customWidth="1"/>
    <col min="2312" max="2312" width="8.33203125" style="181" customWidth="1"/>
    <col min="2313" max="2313" width="4.88671875" style="181" bestFit="1" customWidth="1"/>
    <col min="2314" max="2314" width="6.21875" style="181" bestFit="1" customWidth="1"/>
    <col min="2315" max="2315" width="7" style="181" customWidth="1"/>
    <col min="2316" max="2316" width="6.77734375" style="181" bestFit="1" customWidth="1"/>
    <col min="2317" max="2319" width="4.88671875" style="181" bestFit="1" customWidth="1"/>
    <col min="2320" max="2320" width="6.77734375" style="181" bestFit="1" customWidth="1"/>
    <col min="2321" max="2321" width="5.88671875" style="181" customWidth="1"/>
    <col min="2322" max="2326" width="4.109375" style="181"/>
    <col min="2327" max="2327" width="6.77734375" style="181" bestFit="1" customWidth="1"/>
    <col min="2328" max="2560" width="4.109375" style="181"/>
    <col min="2561" max="2561" width="7.109375" style="181" customWidth="1"/>
    <col min="2562" max="2564" width="8.88671875" style="181" customWidth="1"/>
    <col min="2565" max="2565" width="8.109375" style="181" customWidth="1"/>
    <col min="2566" max="2566" width="8.88671875" style="181" customWidth="1"/>
    <col min="2567" max="2567" width="8.109375" style="181" customWidth="1"/>
    <col min="2568" max="2568" width="8.33203125" style="181" customWidth="1"/>
    <col min="2569" max="2569" width="4.88671875" style="181" bestFit="1" customWidth="1"/>
    <col min="2570" max="2570" width="6.21875" style="181" bestFit="1" customWidth="1"/>
    <col min="2571" max="2571" width="7" style="181" customWidth="1"/>
    <col min="2572" max="2572" width="6.77734375" style="181" bestFit="1" customWidth="1"/>
    <col min="2573" max="2575" width="4.88671875" style="181" bestFit="1" customWidth="1"/>
    <col min="2576" max="2576" width="6.77734375" style="181" bestFit="1" customWidth="1"/>
    <col min="2577" max="2577" width="5.88671875" style="181" customWidth="1"/>
    <col min="2578" max="2582" width="4.109375" style="181"/>
    <col min="2583" max="2583" width="6.77734375" style="181" bestFit="1" customWidth="1"/>
    <col min="2584" max="2816" width="4.109375" style="181"/>
    <col min="2817" max="2817" width="7.109375" style="181" customWidth="1"/>
    <col min="2818" max="2820" width="8.88671875" style="181" customWidth="1"/>
    <col min="2821" max="2821" width="8.109375" style="181" customWidth="1"/>
    <col min="2822" max="2822" width="8.88671875" style="181" customWidth="1"/>
    <col min="2823" max="2823" width="8.109375" style="181" customWidth="1"/>
    <col min="2824" max="2824" width="8.33203125" style="181" customWidth="1"/>
    <col min="2825" max="2825" width="4.88671875" style="181" bestFit="1" customWidth="1"/>
    <col min="2826" max="2826" width="6.21875" style="181" bestFit="1" customWidth="1"/>
    <col min="2827" max="2827" width="7" style="181" customWidth="1"/>
    <col min="2828" max="2828" width="6.77734375" style="181" bestFit="1" customWidth="1"/>
    <col min="2829" max="2831" width="4.88671875" style="181" bestFit="1" customWidth="1"/>
    <col min="2832" max="2832" width="6.77734375" style="181" bestFit="1" customWidth="1"/>
    <col min="2833" max="2833" width="5.88671875" style="181" customWidth="1"/>
    <col min="2834" max="2838" width="4.109375" style="181"/>
    <col min="2839" max="2839" width="6.77734375" style="181" bestFit="1" customWidth="1"/>
    <col min="2840" max="3072" width="4.109375" style="181"/>
    <col min="3073" max="3073" width="7.109375" style="181" customWidth="1"/>
    <col min="3074" max="3076" width="8.88671875" style="181" customWidth="1"/>
    <col min="3077" max="3077" width="8.109375" style="181" customWidth="1"/>
    <col min="3078" max="3078" width="8.88671875" style="181" customWidth="1"/>
    <col min="3079" max="3079" width="8.109375" style="181" customWidth="1"/>
    <col min="3080" max="3080" width="8.33203125" style="181" customWidth="1"/>
    <col min="3081" max="3081" width="4.88671875" style="181" bestFit="1" customWidth="1"/>
    <col min="3082" max="3082" width="6.21875" style="181" bestFit="1" customWidth="1"/>
    <col min="3083" max="3083" width="7" style="181" customWidth="1"/>
    <col min="3084" max="3084" width="6.77734375" style="181" bestFit="1" customWidth="1"/>
    <col min="3085" max="3087" width="4.88671875" style="181" bestFit="1" customWidth="1"/>
    <col min="3088" max="3088" width="6.77734375" style="181" bestFit="1" customWidth="1"/>
    <col min="3089" max="3089" width="5.88671875" style="181" customWidth="1"/>
    <col min="3090" max="3094" width="4.109375" style="181"/>
    <col min="3095" max="3095" width="6.77734375" style="181" bestFit="1" customWidth="1"/>
    <col min="3096" max="3328" width="4.109375" style="181"/>
    <col min="3329" max="3329" width="7.109375" style="181" customWidth="1"/>
    <col min="3330" max="3332" width="8.88671875" style="181" customWidth="1"/>
    <col min="3333" max="3333" width="8.109375" style="181" customWidth="1"/>
    <col min="3334" max="3334" width="8.88671875" style="181" customWidth="1"/>
    <col min="3335" max="3335" width="8.109375" style="181" customWidth="1"/>
    <col min="3336" max="3336" width="8.33203125" style="181" customWidth="1"/>
    <col min="3337" max="3337" width="4.88671875" style="181" bestFit="1" customWidth="1"/>
    <col min="3338" max="3338" width="6.21875" style="181" bestFit="1" customWidth="1"/>
    <col min="3339" max="3339" width="7" style="181" customWidth="1"/>
    <col min="3340" max="3340" width="6.77734375" style="181" bestFit="1" customWidth="1"/>
    <col min="3341" max="3343" width="4.88671875" style="181" bestFit="1" customWidth="1"/>
    <col min="3344" max="3344" width="6.77734375" style="181" bestFit="1" customWidth="1"/>
    <col min="3345" max="3345" width="5.88671875" style="181" customWidth="1"/>
    <col min="3346" max="3350" width="4.109375" style="181"/>
    <col min="3351" max="3351" width="6.77734375" style="181" bestFit="1" customWidth="1"/>
    <col min="3352" max="3584" width="4.109375" style="181"/>
    <col min="3585" max="3585" width="7.109375" style="181" customWidth="1"/>
    <col min="3586" max="3588" width="8.88671875" style="181" customWidth="1"/>
    <col min="3589" max="3589" width="8.109375" style="181" customWidth="1"/>
    <col min="3590" max="3590" width="8.88671875" style="181" customWidth="1"/>
    <col min="3591" max="3591" width="8.109375" style="181" customWidth="1"/>
    <col min="3592" max="3592" width="8.33203125" style="181" customWidth="1"/>
    <col min="3593" max="3593" width="4.88671875" style="181" bestFit="1" customWidth="1"/>
    <col min="3594" max="3594" width="6.21875" style="181" bestFit="1" customWidth="1"/>
    <col min="3595" max="3595" width="7" style="181" customWidth="1"/>
    <col min="3596" max="3596" width="6.77734375" style="181" bestFit="1" customWidth="1"/>
    <col min="3597" max="3599" width="4.88671875" style="181" bestFit="1" customWidth="1"/>
    <col min="3600" max="3600" width="6.77734375" style="181" bestFit="1" customWidth="1"/>
    <col min="3601" max="3601" width="5.88671875" style="181" customWidth="1"/>
    <col min="3602" max="3606" width="4.109375" style="181"/>
    <col min="3607" max="3607" width="6.77734375" style="181" bestFit="1" customWidth="1"/>
    <col min="3608" max="3840" width="4.109375" style="181"/>
    <col min="3841" max="3841" width="7.109375" style="181" customWidth="1"/>
    <col min="3842" max="3844" width="8.88671875" style="181" customWidth="1"/>
    <col min="3845" max="3845" width="8.109375" style="181" customWidth="1"/>
    <col min="3846" max="3846" width="8.88671875" style="181" customWidth="1"/>
    <col min="3847" max="3847" width="8.109375" style="181" customWidth="1"/>
    <col min="3848" max="3848" width="8.33203125" style="181" customWidth="1"/>
    <col min="3849" max="3849" width="4.88671875" style="181" bestFit="1" customWidth="1"/>
    <col min="3850" max="3850" width="6.21875" style="181" bestFit="1" customWidth="1"/>
    <col min="3851" max="3851" width="7" style="181" customWidth="1"/>
    <col min="3852" max="3852" width="6.77734375" style="181" bestFit="1" customWidth="1"/>
    <col min="3853" max="3855" width="4.88671875" style="181" bestFit="1" customWidth="1"/>
    <col min="3856" max="3856" width="6.77734375" style="181" bestFit="1" customWidth="1"/>
    <col min="3857" max="3857" width="5.88671875" style="181" customWidth="1"/>
    <col min="3858" max="3862" width="4.109375" style="181"/>
    <col min="3863" max="3863" width="6.77734375" style="181" bestFit="1" customWidth="1"/>
    <col min="3864" max="4096" width="4.109375" style="181"/>
    <col min="4097" max="4097" width="7.109375" style="181" customWidth="1"/>
    <col min="4098" max="4100" width="8.88671875" style="181" customWidth="1"/>
    <col min="4101" max="4101" width="8.109375" style="181" customWidth="1"/>
    <col min="4102" max="4102" width="8.88671875" style="181" customWidth="1"/>
    <col min="4103" max="4103" width="8.109375" style="181" customWidth="1"/>
    <col min="4104" max="4104" width="8.33203125" style="181" customWidth="1"/>
    <col min="4105" max="4105" width="4.88671875" style="181" bestFit="1" customWidth="1"/>
    <col min="4106" max="4106" width="6.21875" style="181" bestFit="1" customWidth="1"/>
    <col min="4107" max="4107" width="7" style="181" customWidth="1"/>
    <col min="4108" max="4108" width="6.77734375" style="181" bestFit="1" customWidth="1"/>
    <col min="4109" max="4111" width="4.88671875" style="181" bestFit="1" customWidth="1"/>
    <col min="4112" max="4112" width="6.77734375" style="181" bestFit="1" customWidth="1"/>
    <col min="4113" max="4113" width="5.88671875" style="181" customWidth="1"/>
    <col min="4114" max="4118" width="4.109375" style="181"/>
    <col min="4119" max="4119" width="6.77734375" style="181" bestFit="1" customWidth="1"/>
    <col min="4120" max="4352" width="4.109375" style="181"/>
    <col min="4353" max="4353" width="7.109375" style="181" customWidth="1"/>
    <col min="4354" max="4356" width="8.88671875" style="181" customWidth="1"/>
    <col min="4357" max="4357" width="8.109375" style="181" customWidth="1"/>
    <col min="4358" max="4358" width="8.88671875" style="181" customWidth="1"/>
    <col min="4359" max="4359" width="8.109375" style="181" customWidth="1"/>
    <col min="4360" max="4360" width="8.33203125" style="181" customWidth="1"/>
    <col min="4361" max="4361" width="4.88671875" style="181" bestFit="1" customWidth="1"/>
    <col min="4362" max="4362" width="6.21875" style="181" bestFit="1" customWidth="1"/>
    <col min="4363" max="4363" width="7" style="181" customWidth="1"/>
    <col min="4364" max="4364" width="6.77734375" style="181" bestFit="1" customWidth="1"/>
    <col min="4365" max="4367" width="4.88671875" style="181" bestFit="1" customWidth="1"/>
    <col min="4368" max="4368" width="6.77734375" style="181" bestFit="1" customWidth="1"/>
    <col min="4369" max="4369" width="5.88671875" style="181" customWidth="1"/>
    <col min="4370" max="4374" width="4.109375" style="181"/>
    <col min="4375" max="4375" width="6.77734375" style="181" bestFit="1" customWidth="1"/>
    <col min="4376" max="4608" width="4.109375" style="181"/>
    <col min="4609" max="4609" width="7.109375" style="181" customWidth="1"/>
    <col min="4610" max="4612" width="8.88671875" style="181" customWidth="1"/>
    <col min="4613" max="4613" width="8.109375" style="181" customWidth="1"/>
    <col min="4614" max="4614" width="8.88671875" style="181" customWidth="1"/>
    <col min="4615" max="4615" width="8.109375" style="181" customWidth="1"/>
    <col min="4616" max="4616" width="8.33203125" style="181" customWidth="1"/>
    <col min="4617" max="4617" width="4.88671875" style="181" bestFit="1" customWidth="1"/>
    <col min="4618" max="4618" width="6.21875" style="181" bestFit="1" customWidth="1"/>
    <col min="4619" max="4619" width="7" style="181" customWidth="1"/>
    <col min="4620" max="4620" width="6.77734375" style="181" bestFit="1" customWidth="1"/>
    <col min="4621" max="4623" width="4.88671875" style="181" bestFit="1" customWidth="1"/>
    <col min="4624" max="4624" width="6.77734375" style="181" bestFit="1" customWidth="1"/>
    <col min="4625" max="4625" width="5.88671875" style="181" customWidth="1"/>
    <col min="4626" max="4630" width="4.109375" style="181"/>
    <col min="4631" max="4631" width="6.77734375" style="181" bestFit="1" customWidth="1"/>
    <col min="4632" max="4864" width="4.109375" style="181"/>
    <col min="4865" max="4865" width="7.109375" style="181" customWidth="1"/>
    <col min="4866" max="4868" width="8.88671875" style="181" customWidth="1"/>
    <col min="4869" max="4869" width="8.109375" style="181" customWidth="1"/>
    <col min="4870" max="4870" width="8.88671875" style="181" customWidth="1"/>
    <col min="4871" max="4871" width="8.109375" style="181" customWidth="1"/>
    <col min="4872" max="4872" width="8.33203125" style="181" customWidth="1"/>
    <col min="4873" max="4873" width="4.88671875" style="181" bestFit="1" customWidth="1"/>
    <col min="4874" max="4874" width="6.21875" style="181" bestFit="1" customWidth="1"/>
    <col min="4875" max="4875" width="7" style="181" customWidth="1"/>
    <col min="4876" max="4876" width="6.77734375" style="181" bestFit="1" customWidth="1"/>
    <col min="4877" max="4879" width="4.88671875" style="181" bestFit="1" customWidth="1"/>
    <col min="4880" max="4880" width="6.77734375" style="181" bestFit="1" customWidth="1"/>
    <col min="4881" max="4881" width="5.88671875" style="181" customWidth="1"/>
    <col min="4882" max="4886" width="4.109375" style="181"/>
    <col min="4887" max="4887" width="6.77734375" style="181" bestFit="1" customWidth="1"/>
    <col min="4888" max="5120" width="4.109375" style="181"/>
    <col min="5121" max="5121" width="7.109375" style="181" customWidth="1"/>
    <col min="5122" max="5124" width="8.88671875" style="181" customWidth="1"/>
    <col min="5125" max="5125" width="8.109375" style="181" customWidth="1"/>
    <col min="5126" max="5126" width="8.88671875" style="181" customWidth="1"/>
    <col min="5127" max="5127" width="8.109375" style="181" customWidth="1"/>
    <col min="5128" max="5128" width="8.33203125" style="181" customWidth="1"/>
    <col min="5129" max="5129" width="4.88671875" style="181" bestFit="1" customWidth="1"/>
    <col min="5130" max="5130" width="6.21875" style="181" bestFit="1" customWidth="1"/>
    <col min="5131" max="5131" width="7" style="181" customWidth="1"/>
    <col min="5132" max="5132" width="6.77734375" style="181" bestFit="1" customWidth="1"/>
    <col min="5133" max="5135" width="4.88671875" style="181" bestFit="1" customWidth="1"/>
    <col min="5136" max="5136" width="6.77734375" style="181" bestFit="1" customWidth="1"/>
    <col min="5137" max="5137" width="5.88671875" style="181" customWidth="1"/>
    <col min="5138" max="5142" width="4.109375" style="181"/>
    <col min="5143" max="5143" width="6.77734375" style="181" bestFit="1" customWidth="1"/>
    <col min="5144" max="5376" width="4.109375" style="181"/>
    <col min="5377" max="5377" width="7.109375" style="181" customWidth="1"/>
    <col min="5378" max="5380" width="8.88671875" style="181" customWidth="1"/>
    <col min="5381" max="5381" width="8.109375" style="181" customWidth="1"/>
    <col min="5382" max="5382" width="8.88671875" style="181" customWidth="1"/>
    <col min="5383" max="5383" width="8.109375" style="181" customWidth="1"/>
    <col min="5384" max="5384" width="8.33203125" style="181" customWidth="1"/>
    <col min="5385" max="5385" width="4.88671875" style="181" bestFit="1" customWidth="1"/>
    <col min="5386" max="5386" width="6.21875" style="181" bestFit="1" customWidth="1"/>
    <col min="5387" max="5387" width="7" style="181" customWidth="1"/>
    <col min="5388" max="5388" width="6.77734375" style="181" bestFit="1" customWidth="1"/>
    <col min="5389" max="5391" width="4.88671875" style="181" bestFit="1" customWidth="1"/>
    <col min="5392" max="5392" width="6.77734375" style="181" bestFit="1" customWidth="1"/>
    <col min="5393" max="5393" width="5.88671875" style="181" customWidth="1"/>
    <col min="5394" max="5398" width="4.109375" style="181"/>
    <col min="5399" max="5399" width="6.77734375" style="181" bestFit="1" customWidth="1"/>
    <col min="5400" max="5632" width="4.109375" style="181"/>
    <col min="5633" max="5633" width="7.109375" style="181" customWidth="1"/>
    <col min="5634" max="5636" width="8.88671875" style="181" customWidth="1"/>
    <col min="5637" max="5637" width="8.109375" style="181" customWidth="1"/>
    <col min="5638" max="5638" width="8.88671875" style="181" customWidth="1"/>
    <col min="5639" max="5639" width="8.109375" style="181" customWidth="1"/>
    <col min="5640" max="5640" width="8.33203125" style="181" customWidth="1"/>
    <col min="5641" max="5641" width="4.88671875" style="181" bestFit="1" customWidth="1"/>
    <col min="5642" max="5642" width="6.21875" style="181" bestFit="1" customWidth="1"/>
    <col min="5643" max="5643" width="7" style="181" customWidth="1"/>
    <col min="5644" max="5644" width="6.77734375" style="181" bestFit="1" customWidth="1"/>
    <col min="5645" max="5647" width="4.88671875" style="181" bestFit="1" customWidth="1"/>
    <col min="5648" max="5648" width="6.77734375" style="181" bestFit="1" customWidth="1"/>
    <col min="5649" max="5649" width="5.88671875" style="181" customWidth="1"/>
    <col min="5650" max="5654" width="4.109375" style="181"/>
    <col min="5655" max="5655" width="6.77734375" style="181" bestFit="1" customWidth="1"/>
    <col min="5656" max="5888" width="4.109375" style="181"/>
    <col min="5889" max="5889" width="7.109375" style="181" customWidth="1"/>
    <col min="5890" max="5892" width="8.88671875" style="181" customWidth="1"/>
    <col min="5893" max="5893" width="8.109375" style="181" customWidth="1"/>
    <col min="5894" max="5894" width="8.88671875" style="181" customWidth="1"/>
    <col min="5895" max="5895" width="8.109375" style="181" customWidth="1"/>
    <col min="5896" max="5896" width="8.33203125" style="181" customWidth="1"/>
    <col min="5897" max="5897" width="4.88671875" style="181" bestFit="1" customWidth="1"/>
    <col min="5898" max="5898" width="6.21875" style="181" bestFit="1" customWidth="1"/>
    <col min="5899" max="5899" width="7" style="181" customWidth="1"/>
    <col min="5900" max="5900" width="6.77734375" style="181" bestFit="1" customWidth="1"/>
    <col min="5901" max="5903" width="4.88671875" style="181" bestFit="1" customWidth="1"/>
    <col min="5904" max="5904" width="6.77734375" style="181" bestFit="1" customWidth="1"/>
    <col min="5905" max="5905" width="5.88671875" style="181" customWidth="1"/>
    <col min="5906" max="5910" width="4.109375" style="181"/>
    <col min="5911" max="5911" width="6.77734375" style="181" bestFit="1" customWidth="1"/>
    <col min="5912" max="6144" width="4.109375" style="181"/>
    <col min="6145" max="6145" width="7.109375" style="181" customWidth="1"/>
    <col min="6146" max="6148" width="8.88671875" style="181" customWidth="1"/>
    <col min="6149" max="6149" width="8.109375" style="181" customWidth="1"/>
    <col min="6150" max="6150" width="8.88671875" style="181" customWidth="1"/>
    <col min="6151" max="6151" width="8.109375" style="181" customWidth="1"/>
    <col min="6152" max="6152" width="8.33203125" style="181" customWidth="1"/>
    <col min="6153" max="6153" width="4.88671875" style="181" bestFit="1" customWidth="1"/>
    <col min="6154" max="6154" width="6.21875" style="181" bestFit="1" customWidth="1"/>
    <col min="6155" max="6155" width="7" style="181" customWidth="1"/>
    <col min="6156" max="6156" width="6.77734375" style="181" bestFit="1" customWidth="1"/>
    <col min="6157" max="6159" width="4.88671875" style="181" bestFit="1" customWidth="1"/>
    <col min="6160" max="6160" width="6.77734375" style="181" bestFit="1" customWidth="1"/>
    <col min="6161" max="6161" width="5.88671875" style="181" customWidth="1"/>
    <col min="6162" max="6166" width="4.109375" style="181"/>
    <col min="6167" max="6167" width="6.77734375" style="181" bestFit="1" customWidth="1"/>
    <col min="6168" max="6400" width="4.109375" style="181"/>
    <col min="6401" max="6401" width="7.109375" style="181" customWidth="1"/>
    <col min="6402" max="6404" width="8.88671875" style="181" customWidth="1"/>
    <col min="6405" max="6405" width="8.109375" style="181" customWidth="1"/>
    <col min="6406" max="6406" width="8.88671875" style="181" customWidth="1"/>
    <col min="6407" max="6407" width="8.109375" style="181" customWidth="1"/>
    <col min="6408" max="6408" width="8.33203125" style="181" customWidth="1"/>
    <col min="6409" max="6409" width="4.88671875" style="181" bestFit="1" customWidth="1"/>
    <col min="6410" max="6410" width="6.21875" style="181" bestFit="1" customWidth="1"/>
    <col min="6411" max="6411" width="7" style="181" customWidth="1"/>
    <col min="6412" max="6412" width="6.77734375" style="181" bestFit="1" customWidth="1"/>
    <col min="6413" max="6415" width="4.88671875" style="181" bestFit="1" customWidth="1"/>
    <col min="6416" max="6416" width="6.77734375" style="181" bestFit="1" customWidth="1"/>
    <col min="6417" max="6417" width="5.88671875" style="181" customWidth="1"/>
    <col min="6418" max="6422" width="4.109375" style="181"/>
    <col min="6423" max="6423" width="6.77734375" style="181" bestFit="1" customWidth="1"/>
    <col min="6424" max="6656" width="4.109375" style="181"/>
    <col min="6657" max="6657" width="7.109375" style="181" customWidth="1"/>
    <col min="6658" max="6660" width="8.88671875" style="181" customWidth="1"/>
    <col min="6661" max="6661" width="8.109375" style="181" customWidth="1"/>
    <col min="6662" max="6662" width="8.88671875" style="181" customWidth="1"/>
    <col min="6663" max="6663" width="8.109375" style="181" customWidth="1"/>
    <col min="6664" max="6664" width="8.33203125" style="181" customWidth="1"/>
    <col min="6665" max="6665" width="4.88671875" style="181" bestFit="1" customWidth="1"/>
    <col min="6666" max="6666" width="6.21875" style="181" bestFit="1" customWidth="1"/>
    <col min="6667" max="6667" width="7" style="181" customWidth="1"/>
    <col min="6668" max="6668" width="6.77734375" style="181" bestFit="1" customWidth="1"/>
    <col min="6669" max="6671" width="4.88671875" style="181" bestFit="1" customWidth="1"/>
    <col min="6672" max="6672" width="6.77734375" style="181" bestFit="1" customWidth="1"/>
    <col min="6673" max="6673" width="5.88671875" style="181" customWidth="1"/>
    <col min="6674" max="6678" width="4.109375" style="181"/>
    <col min="6679" max="6679" width="6.77734375" style="181" bestFit="1" customWidth="1"/>
    <col min="6680" max="6912" width="4.109375" style="181"/>
    <col min="6913" max="6913" width="7.109375" style="181" customWidth="1"/>
    <col min="6914" max="6916" width="8.88671875" style="181" customWidth="1"/>
    <col min="6917" max="6917" width="8.109375" style="181" customWidth="1"/>
    <col min="6918" max="6918" width="8.88671875" style="181" customWidth="1"/>
    <col min="6919" max="6919" width="8.109375" style="181" customWidth="1"/>
    <col min="6920" max="6920" width="8.33203125" style="181" customWidth="1"/>
    <col min="6921" max="6921" width="4.88671875" style="181" bestFit="1" customWidth="1"/>
    <col min="6922" max="6922" width="6.21875" style="181" bestFit="1" customWidth="1"/>
    <col min="6923" max="6923" width="7" style="181" customWidth="1"/>
    <col min="6924" max="6924" width="6.77734375" style="181" bestFit="1" customWidth="1"/>
    <col min="6925" max="6927" width="4.88671875" style="181" bestFit="1" customWidth="1"/>
    <col min="6928" max="6928" width="6.77734375" style="181" bestFit="1" customWidth="1"/>
    <col min="6929" max="6929" width="5.88671875" style="181" customWidth="1"/>
    <col min="6930" max="6934" width="4.109375" style="181"/>
    <col min="6935" max="6935" width="6.77734375" style="181" bestFit="1" customWidth="1"/>
    <col min="6936" max="7168" width="4.109375" style="181"/>
    <col min="7169" max="7169" width="7.109375" style="181" customWidth="1"/>
    <col min="7170" max="7172" width="8.88671875" style="181" customWidth="1"/>
    <col min="7173" max="7173" width="8.109375" style="181" customWidth="1"/>
    <col min="7174" max="7174" width="8.88671875" style="181" customWidth="1"/>
    <col min="7175" max="7175" width="8.109375" style="181" customWidth="1"/>
    <col min="7176" max="7176" width="8.33203125" style="181" customWidth="1"/>
    <col min="7177" max="7177" width="4.88671875" style="181" bestFit="1" customWidth="1"/>
    <col min="7178" max="7178" width="6.21875" style="181" bestFit="1" customWidth="1"/>
    <col min="7179" max="7179" width="7" style="181" customWidth="1"/>
    <col min="7180" max="7180" width="6.77734375" style="181" bestFit="1" customWidth="1"/>
    <col min="7181" max="7183" width="4.88671875" style="181" bestFit="1" customWidth="1"/>
    <col min="7184" max="7184" width="6.77734375" style="181" bestFit="1" customWidth="1"/>
    <col min="7185" max="7185" width="5.88671875" style="181" customWidth="1"/>
    <col min="7186" max="7190" width="4.109375" style="181"/>
    <col min="7191" max="7191" width="6.77734375" style="181" bestFit="1" customWidth="1"/>
    <col min="7192" max="7424" width="4.109375" style="181"/>
    <col min="7425" max="7425" width="7.109375" style="181" customWidth="1"/>
    <col min="7426" max="7428" width="8.88671875" style="181" customWidth="1"/>
    <col min="7429" max="7429" width="8.109375" style="181" customWidth="1"/>
    <col min="7430" max="7430" width="8.88671875" style="181" customWidth="1"/>
    <col min="7431" max="7431" width="8.109375" style="181" customWidth="1"/>
    <col min="7432" max="7432" width="8.33203125" style="181" customWidth="1"/>
    <col min="7433" max="7433" width="4.88671875" style="181" bestFit="1" customWidth="1"/>
    <col min="7434" max="7434" width="6.21875" style="181" bestFit="1" customWidth="1"/>
    <col min="7435" max="7435" width="7" style="181" customWidth="1"/>
    <col min="7436" max="7436" width="6.77734375" style="181" bestFit="1" customWidth="1"/>
    <col min="7437" max="7439" width="4.88671875" style="181" bestFit="1" customWidth="1"/>
    <col min="7440" max="7440" width="6.77734375" style="181" bestFit="1" customWidth="1"/>
    <col min="7441" max="7441" width="5.88671875" style="181" customWidth="1"/>
    <col min="7442" max="7446" width="4.109375" style="181"/>
    <col min="7447" max="7447" width="6.77734375" style="181" bestFit="1" customWidth="1"/>
    <col min="7448" max="7680" width="4.109375" style="181"/>
    <col min="7681" max="7681" width="7.109375" style="181" customWidth="1"/>
    <col min="7682" max="7684" width="8.88671875" style="181" customWidth="1"/>
    <col min="7685" max="7685" width="8.109375" style="181" customWidth="1"/>
    <col min="7686" max="7686" width="8.88671875" style="181" customWidth="1"/>
    <col min="7687" max="7687" width="8.109375" style="181" customWidth="1"/>
    <col min="7688" max="7688" width="8.33203125" style="181" customWidth="1"/>
    <col min="7689" max="7689" width="4.88671875" style="181" bestFit="1" customWidth="1"/>
    <col min="7690" max="7690" width="6.21875" style="181" bestFit="1" customWidth="1"/>
    <col min="7691" max="7691" width="7" style="181" customWidth="1"/>
    <col min="7692" max="7692" width="6.77734375" style="181" bestFit="1" customWidth="1"/>
    <col min="7693" max="7695" width="4.88671875" style="181" bestFit="1" customWidth="1"/>
    <col min="7696" max="7696" width="6.77734375" style="181" bestFit="1" customWidth="1"/>
    <col min="7697" max="7697" width="5.88671875" style="181" customWidth="1"/>
    <col min="7698" max="7702" width="4.109375" style="181"/>
    <col min="7703" max="7703" width="6.77734375" style="181" bestFit="1" customWidth="1"/>
    <col min="7704" max="7936" width="4.109375" style="181"/>
    <col min="7937" max="7937" width="7.109375" style="181" customWidth="1"/>
    <col min="7938" max="7940" width="8.88671875" style="181" customWidth="1"/>
    <col min="7941" max="7941" width="8.109375" style="181" customWidth="1"/>
    <col min="7942" max="7942" width="8.88671875" style="181" customWidth="1"/>
    <col min="7943" max="7943" width="8.109375" style="181" customWidth="1"/>
    <col min="7944" max="7944" width="8.33203125" style="181" customWidth="1"/>
    <col min="7945" max="7945" width="4.88671875" style="181" bestFit="1" customWidth="1"/>
    <col min="7946" max="7946" width="6.21875" style="181" bestFit="1" customWidth="1"/>
    <col min="7947" max="7947" width="7" style="181" customWidth="1"/>
    <col min="7948" max="7948" width="6.77734375" style="181" bestFit="1" customWidth="1"/>
    <col min="7949" max="7951" width="4.88671875" style="181" bestFit="1" customWidth="1"/>
    <col min="7952" max="7952" width="6.77734375" style="181" bestFit="1" customWidth="1"/>
    <col min="7953" max="7953" width="5.88671875" style="181" customWidth="1"/>
    <col min="7954" max="7958" width="4.109375" style="181"/>
    <col min="7959" max="7959" width="6.77734375" style="181" bestFit="1" customWidth="1"/>
    <col min="7960" max="8192" width="4.109375" style="181"/>
    <col min="8193" max="8193" width="7.109375" style="181" customWidth="1"/>
    <col min="8194" max="8196" width="8.88671875" style="181" customWidth="1"/>
    <col min="8197" max="8197" width="8.109375" style="181" customWidth="1"/>
    <col min="8198" max="8198" width="8.88671875" style="181" customWidth="1"/>
    <col min="8199" max="8199" width="8.109375" style="181" customWidth="1"/>
    <col min="8200" max="8200" width="8.33203125" style="181" customWidth="1"/>
    <col min="8201" max="8201" width="4.88671875" style="181" bestFit="1" customWidth="1"/>
    <col min="8202" max="8202" width="6.21875" style="181" bestFit="1" customWidth="1"/>
    <col min="8203" max="8203" width="7" style="181" customWidth="1"/>
    <col min="8204" max="8204" width="6.77734375" style="181" bestFit="1" customWidth="1"/>
    <col min="8205" max="8207" width="4.88671875" style="181" bestFit="1" customWidth="1"/>
    <col min="8208" max="8208" width="6.77734375" style="181" bestFit="1" customWidth="1"/>
    <col min="8209" max="8209" width="5.88671875" style="181" customWidth="1"/>
    <col min="8210" max="8214" width="4.109375" style="181"/>
    <col min="8215" max="8215" width="6.77734375" style="181" bestFit="1" customWidth="1"/>
    <col min="8216" max="8448" width="4.109375" style="181"/>
    <col min="8449" max="8449" width="7.109375" style="181" customWidth="1"/>
    <col min="8450" max="8452" width="8.88671875" style="181" customWidth="1"/>
    <col min="8453" max="8453" width="8.109375" style="181" customWidth="1"/>
    <col min="8454" max="8454" width="8.88671875" style="181" customWidth="1"/>
    <col min="8455" max="8455" width="8.109375" style="181" customWidth="1"/>
    <col min="8456" max="8456" width="8.33203125" style="181" customWidth="1"/>
    <col min="8457" max="8457" width="4.88671875" style="181" bestFit="1" customWidth="1"/>
    <col min="8458" max="8458" width="6.21875" style="181" bestFit="1" customWidth="1"/>
    <col min="8459" max="8459" width="7" style="181" customWidth="1"/>
    <col min="8460" max="8460" width="6.77734375" style="181" bestFit="1" customWidth="1"/>
    <col min="8461" max="8463" width="4.88671875" style="181" bestFit="1" customWidth="1"/>
    <col min="8464" max="8464" width="6.77734375" style="181" bestFit="1" customWidth="1"/>
    <col min="8465" max="8465" width="5.88671875" style="181" customWidth="1"/>
    <col min="8466" max="8470" width="4.109375" style="181"/>
    <col min="8471" max="8471" width="6.77734375" style="181" bestFit="1" customWidth="1"/>
    <col min="8472" max="8704" width="4.109375" style="181"/>
    <col min="8705" max="8705" width="7.109375" style="181" customWidth="1"/>
    <col min="8706" max="8708" width="8.88671875" style="181" customWidth="1"/>
    <col min="8709" max="8709" width="8.109375" style="181" customWidth="1"/>
    <col min="8710" max="8710" width="8.88671875" style="181" customWidth="1"/>
    <col min="8711" max="8711" width="8.109375" style="181" customWidth="1"/>
    <col min="8712" max="8712" width="8.33203125" style="181" customWidth="1"/>
    <col min="8713" max="8713" width="4.88671875" style="181" bestFit="1" customWidth="1"/>
    <col min="8714" max="8714" width="6.21875" style="181" bestFit="1" customWidth="1"/>
    <col min="8715" max="8715" width="7" style="181" customWidth="1"/>
    <col min="8716" max="8716" width="6.77734375" style="181" bestFit="1" customWidth="1"/>
    <col min="8717" max="8719" width="4.88671875" style="181" bestFit="1" customWidth="1"/>
    <col min="8720" max="8720" width="6.77734375" style="181" bestFit="1" customWidth="1"/>
    <col min="8721" max="8721" width="5.88671875" style="181" customWidth="1"/>
    <col min="8722" max="8726" width="4.109375" style="181"/>
    <col min="8727" max="8727" width="6.77734375" style="181" bestFit="1" customWidth="1"/>
    <col min="8728" max="8960" width="4.109375" style="181"/>
    <col min="8961" max="8961" width="7.109375" style="181" customWidth="1"/>
    <col min="8962" max="8964" width="8.88671875" style="181" customWidth="1"/>
    <col min="8965" max="8965" width="8.109375" style="181" customWidth="1"/>
    <col min="8966" max="8966" width="8.88671875" style="181" customWidth="1"/>
    <col min="8967" max="8967" width="8.109375" style="181" customWidth="1"/>
    <col min="8968" max="8968" width="8.33203125" style="181" customWidth="1"/>
    <col min="8969" max="8969" width="4.88671875" style="181" bestFit="1" customWidth="1"/>
    <col min="8970" max="8970" width="6.21875" style="181" bestFit="1" customWidth="1"/>
    <col min="8971" max="8971" width="7" style="181" customWidth="1"/>
    <col min="8972" max="8972" width="6.77734375" style="181" bestFit="1" customWidth="1"/>
    <col min="8973" max="8975" width="4.88671875" style="181" bestFit="1" customWidth="1"/>
    <col min="8976" max="8976" width="6.77734375" style="181" bestFit="1" customWidth="1"/>
    <col min="8977" max="8977" width="5.88671875" style="181" customWidth="1"/>
    <col min="8978" max="8982" width="4.109375" style="181"/>
    <col min="8983" max="8983" width="6.77734375" style="181" bestFit="1" customWidth="1"/>
    <col min="8984" max="9216" width="4.109375" style="181"/>
    <col min="9217" max="9217" width="7.109375" style="181" customWidth="1"/>
    <col min="9218" max="9220" width="8.88671875" style="181" customWidth="1"/>
    <col min="9221" max="9221" width="8.109375" style="181" customWidth="1"/>
    <col min="9222" max="9222" width="8.88671875" style="181" customWidth="1"/>
    <col min="9223" max="9223" width="8.109375" style="181" customWidth="1"/>
    <col min="9224" max="9224" width="8.33203125" style="181" customWidth="1"/>
    <col min="9225" max="9225" width="4.88671875" style="181" bestFit="1" customWidth="1"/>
    <col min="9226" max="9226" width="6.21875" style="181" bestFit="1" customWidth="1"/>
    <col min="9227" max="9227" width="7" style="181" customWidth="1"/>
    <col min="9228" max="9228" width="6.77734375" style="181" bestFit="1" customWidth="1"/>
    <col min="9229" max="9231" width="4.88671875" style="181" bestFit="1" customWidth="1"/>
    <col min="9232" max="9232" width="6.77734375" style="181" bestFit="1" customWidth="1"/>
    <col min="9233" max="9233" width="5.88671875" style="181" customWidth="1"/>
    <col min="9234" max="9238" width="4.109375" style="181"/>
    <col min="9239" max="9239" width="6.77734375" style="181" bestFit="1" customWidth="1"/>
    <col min="9240" max="9472" width="4.109375" style="181"/>
    <col min="9473" max="9473" width="7.109375" style="181" customWidth="1"/>
    <col min="9474" max="9476" width="8.88671875" style="181" customWidth="1"/>
    <col min="9477" max="9477" width="8.109375" style="181" customWidth="1"/>
    <col min="9478" max="9478" width="8.88671875" style="181" customWidth="1"/>
    <col min="9479" max="9479" width="8.109375" style="181" customWidth="1"/>
    <col min="9480" max="9480" width="8.33203125" style="181" customWidth="1"/>
    <col min="9481" max="9481" width="4.88671875" style="181" bestFit="1" customWidth="1"/>
    <col min="9482" max="9482" width="6.21875" style="181" bestFit="1" customWidth="1"/>
    <col min="9483" max="9483" width="7" style="181" customWidth="1"/>
    <col min="9484" max="9484" width="6.77734375" style="181" bestFit="1" customWidth="1"/>
    <col min="9485" max="9487" width="4.88671875" style="181" bestFit="1" customWidth="1"/>
    <col min="9488" max="9488" width="6.77734375" style="181" bestFit="1" customWidth="1"/>
    <col min="9489" max="9489" width="5.88671875" style="181" customWidth="1"/>
    <col min="9490" max="9494" width="4.109375" style="181"/>
    <col min="9495" max="9495" width="6.77734375" style="181" bestFit="1" customWidth="1"/>
    <col min="9496" max="9728" width="4.109375" style="181"/>
    <col min="9729" max="9729" width="7.109375" style="181" customWidth="1"/>
    <col min="9730" max="9732" width="8.88671875" style="181" customWidth="1"/>
    <col min="9733" max="9733" width="8.109375" style="181" customWidth="1"/>
    <col min="9734" max="9734" width="8.88671875" style="181" customWidth="1"/>
    <col min="9735" max="9735" width="8.109375" style="181" customWidth="1"/>
    <col min="9736" max="9736" width="8.33203125" style="181" customWidth="1"/>
    <col min="9737" max="9737" width="4.88671875" style="181" bestFit="1" customWidth="1"/>
    <col min="9738" max="9738" width="6.21875" style="181" bestFit="1" customWidth="1"/>
    <col min="9739" max="9739" width="7" style="181" customWidth="1"/>
    <col min="9740" max="9740" width="6.77734375" style="181" bestFit="1" customWidth="1"/>
    <col min="9741" max="9743" width="4.88671875" style="181" bestFit="1" customWidth="1"/>
    <col min="9744" max="9744" width="6.77734375" style="181" bestFit="1" customWidth="1"/>
    <col min="9745" max="9745" width="5.88671875" style="181" customWidth="1"/>
    <col min="9746" max="9750" width="4.109375" style="181"/>
    <col min="9751" max="9751" width="6.77734375" style="181" bestFit="1" customWidth="1"/>
    <col min="9752" max="9984" width="4.109375" style="181"/>
    <col min="9985" max="9985" width="7.109375" style="181" customWidth="1"/>
    <col min="9986" max="9988" width="8.88671875" style="181" customWidth="1"/>
    <col min="9989" max="9989" width="8.109375" style="181" customWidth="1"/>
    <col min="9990" max="9990" width="8.88671875" style="181" customWidth="1"/>
    <col min="9991" max="9991" width="8.109375" style="181" customWidth="1"/>
    <col min="9992" max="9992" width="8.33203125" style="181" customWidth="1"/>
    <col min="9993" max="9993" width="4.88671875" style="181" bestFit="1" customWidth="1"/>
    <col min="9994" max="9994" width="6.21875" style="181" bestFit="1" customWidth="1"/>
    <col min="9995" max="9995" width="7" style="181" customWidth="1"/>
    <col min="9996" max="9996" width="6.77734375" style="181" bestFit="1" customWidth="1"/>
    <col min="9997" max="9999" width="4.88671875" style="181" bestFit="1" customWidth="1"/>
    <col min="10000" max="10000" width="6.77734375" style="181" bestFit="1" customWidth="1"/>
    <col min="10001" max="10001" width="5.88671875" style="181" customWidth="1"/>
    <col min="10002" max="10006" width="4.109375" style="181"/>
    <col min="10007" max="10007" width="6.77734375" style="181" bestFit="1" customWidth="1"/>
    <col min="10008" max="10240" width="4.109375" style="181"/>
    <col min="10241" max="10241" width="7.109375" style="181" customWidth="1"/>
    <col min="10242" max="10244" width="8.88671875" style="181" customWidth="1"/>
    <col min="10245" max="10245" width="8.109375" style="181" customWidth="1"/>
    <col min="10246" max="10246" width="8.88671875" style="181" customWidth="1"/>
    <col min="10247" max="10247" width="8.109375" style="181" customWidth="1"/>
    <col min="10248" max="10248" width="8.33203125" style="181" customWidth="1"/>
    <col min="10249" max="10249" width="4.88671875" style="181" bestFit="1" customWidth="1"/>
    <col min="10250" max="10250" width="6.21875" style="181" bestFit="1" customWidth="1"/>
    <col min="10251" max="10251" width="7" style="181" customWidth="1"/>
    <col min="10252" max="10252" width="6.77734375" style="181" bestFit="1" customWidth="1"/>
    <col min="10253" max="10255" width="4.88671875" style="181" bestFit="1" customWidth="1"/>
    <col min="10256" max="10256" width="6.77734375" style="181" bestFit="1" customWidth="1"/>
    <col min="10257" max="10257" width="5.88671875" style="181" customWidth="1"/>
    <col min="10258" max="10262" width="4.109375" style="181"/>
    <col min="10263" max="10263" width="6.77734375" style="181" bestFit="1" customWidth="1"/>
    <col min="10264" max="10496" width="4.109375" style="181"/>
    <col min="10497" max="10497" width="7.109375" style="181" customWidth="1"/>
    <col min="10498" max="10500" width="8.88671875" style="181" customWidth="1"/>
    <col min="10501" max="10501" width="8.109375" style="181" customWidth="1"/>
    <col min="10502" max="10502" width="8.88671875" style="181" customWidth="1"/>
    <col min="10503" max="10503" width="8.109375" style="181" customWidth="1"/>
    <col min="10504" max="10504" width="8.33203125" style="181" customWidth="1"/>
    <col min="10505" max="10505" width="4.88671875" style="181" bestFit="1" customWidth="1"/>
    <col min="10506" max="10506" width="6.21875" style="181" bestFit="1" customWidth="1"/>
    <col min="10507" max="10507" width="7" style="181" customWidth="1"/>
    <col min="10508" max="10508" width="6.77734375" style="181" bestFit="1" customWidth="1"/>
    <col min="10509" max="10511" width="4.88671875" style="181" bestFit="1" customWidth="1"/>
    <col min="10512" max="10512" width="6.77734375" style="181" bestFit="1" customWidth="1"/>
    <col min="10513" max="10513" width="5.88671875" style="181" customWidth="1"/>
    <col min="10514" max="10518" width="4.109375" style="181"/>
    <col min="10519" max="10519" width="6.77734375" style="181" bestFit="1" customWidth="1"/>
    <col min="10520" max="10752" width="4.109375" style="181"/>
    <col min="10753" max="10753" width="7.109375" style="181" customWidth="1"/>
    <col min="10754" max="10756" width="8.88671875" style="181" customWidth="1"/>
    <col min="10757" max="10757" width="8.109375" style="181" customWidth="1"/>
    <col min="10758" max="10758" width="8.88671875" style="181" customWidth="1"/>
    <col min="10759" max="10759" width="8.109375" style="181" customWidth="1"/>
    <col min="10760" max="10760" width="8.33203125" style="181" customWidth="1"/>
    <col min="10761" max="10761" width="4.88671875" style="181" bestFit="1" customWidth="1"/>
    <col min="10762" max="10762" width="6.21875" style="181" bestFit="1" customWidth="1"/>
    <col min="10763" max="10763" width="7" style="181" customWidth="1"/>
    <col min="10764" max="10764" width="6.77734375" style="181" bestFit="1" customWidth="1"/>
    <col min="10765" max="10767" width="4.88671875" style="181" bestFit="1" customWidth="1"/>
    <col min="10768" max="10768" width="6.77734375" style="181" bestFit="1" customWidth="1"/>
    <col min="10769" max="10769" width="5.88671875" style="181" customWidth="1"/>
    <col min="10770" max="10774" width="4.109375" style="181"/>
    <col min="10775" max="10775" width="6.77734375" style="181" bestFit="1" customWidth="1"/>
    <col min="10776" max="11008" width="4.109375" style="181"/>
    <col min="11009" max="11009" width="7.109375" style="181" customWidth="1"/>
    <col min="11010" max="11012" width="8.88671875" style="181" customWidth="1"/>
    <col min="11013" max="11013" width="8.109375" style="181" customWidth="1"/>
    <col min="11014" max="11014" width="8.88671875" style="181" customWidth="1"/>
    <col min="11015" max="11015" width="8.109375" style="181" customWidth="1"/>
    <col min="11016" max="11016" width="8.33203125" style="181" customWidth="1"/>
    <col min="11017" max="11017" width="4.88671875" style="181" bestFit="1" customWidth="1"/>
    <col min="11018" max="11018" width="6.21875" style="181" bestFit="1" customWidth="1"/>
    <col min="11019" max="11019" width="7" style="181" customWidth="1"/>
    <col min="11020" max="11020" width="6.77734375" style="181" bestFit="1" customWidth="1"/>
    <col min="11021" max="11023" width="4.88671875" style="181" bestFit="1" customWidth="1"/>
    <col min="11024" max="11024" width="6.77734375" style="181" bestFit="1" customWidth="1"/>
    <col min="11025" max="11025" width="5.88671875" style="181" customWidth="1"/>
    <col min="11026" max="11030" width="4.109375" style="181"/>
    <col min="11031" max="11031" width="6.77734375" style="181" bestFit="1" customWidth="1"/>
    <col min="11032" max="11264" width="4.109375" style="181"/>
    <col min="11265" max="11265" width="7.109375" style="181" customWidth="1"/>
    <col min="11266" max="11268" width="8.88671875" style="181" customWidth="1"/>
    <col min="11269" max="11269" width="8.109375" style="181" customWidth="1"/>
    <col min="11270" max="11270" width="8.88671875" style="181" customWidth="1"/>
    <col min="11271" max="11271" width="8.109375" style="181" customWidth="1"/>
    <col min="11272" max="11272" width="8.33203125" style="181" customWidth="1"/>
    <col min="11273" max="11273" width="4.88671875" style="181" bestFit="1" customWidth="1"/>
    <col min="11274" max="11274" width="6.21875" style="181" bestFit="1" customWidth="1"/>
    <col min="11275" max="11275" width="7" style="181" customWidth="1"/>
    <col min="11276" max="11276" width="6.77734375" style="181" bestFit="1" customWidth="1"/>
    <col min="11277" max="11279" width="4.88671875" style="181" bestFit="1" customWidth="1"/>
    <col min="11280" max="11280" width="6.77734375" style="181" bestFit="1" customWidth="1"/>
    <col min="11281" max="11281" width="5.88671875" style="181" customWidth="1"/>
    <col min="11282" max="11286" width="4.109375" style="181"/>
    <col min="11287" max="11287" width="6.77734375" style="181" bestFit="1" customWidth="1"/>
    <col min="11288" max="11520" width="4.109375" style="181"/>
    <col min="11521" max="11521" width="7.109375" style="181" customWidth="1"/>
    <col min="11522" max="11524" width="8.88671875" style="181" customWidth="1"/>
    <col min="11525" max="11525" width="8.109375" style="181" customWidth="1"/>
    <col min="11526" max="11526" width="8.88671875" style="181" customWidth="1"/>
    <col min="11527" max="11527" width="8.109375" style="181" customWidth="1"/>
    <col min="11528" max="11528" width="8.33203125" style="181" customWidth="1"/>
    <col min="11529" max="11529" width="4.88671875" style="181" bestFit="1" customWidth="1"/>
    <col min="11530" max="11530" width="6.21875" style="181" bestFit="1" customWidth="1"/>
    <col min="11531" max="11531" width="7" style="181" customWidth="1"/>
    <col min="11532" max="11532" width="6.77734375" style="181" bestFit="1" customWidth="1"/>
    <col min="11533" max="11535" width="4.88671875" style="181" bestFit="1" customWidth="1"/>
    <col min="11536" max="11536" width="6.77734375" style="181" bestFit="1" customWidth="1"/>
    <col min="11537" max="11537" width="5.88671875" style="181" customWidth="1"/>
    <col min="11538" max="11542" width="4.109375" style="181"/>
    <col min="11543" max="11543" width="6.77734375" style="181" bestFit="1" customWidth="1"/>
    <col min="11544" max="11776" width="4.109375" style="181"/>
    <col min="11777" max="11777" width="7.109375" style="181" customWidth="1"/>
    <col min="11778" max="11780" width="8.88671875" style="181" customWidth="1"/>
    <col min="11781" max="11781" width="8.109375" style="181" customWidth="1"/>
    <col min="11782" max="11782" width="8.88671875" style="181" customWidth="1"/>
    <col min="11783" max="11783" width="8.109375" style="181" customWidth="1"/>
    <col min="11784" max="11784" width="8.33203125" style="181" customWidth="1"/>
    <col min="11785" max="11785" width="4.88671875" style="181" bestFit="1" customWidth="1"/>
    <col min="11786" max="11786" width="6.21875" style="181" bestFit="1" customWidth="1"/>
    <col min="11787" max="11787" width="7" style="181" customWidth="1"/>
    <col min="11788" max="11788" width="6.77734375" style="181" bestFit="1" customWidth="1"/>
    <col min="11789" max="11791" width="4.88671875" style="181" bestFit="1" customWidth="1"/>
    <col min="11792" max="11792" width="6.77734375" style="181" bestFit="1" customWidth="1"/>
    <col min="11793" max="11793" width="5.88671875" style="181" customWidth="1"/>
    <col min="11794" max="11798" width="4.109375" style="181"/>
    <col min="11799" max="11799" width="6.77734375" style="181" bestFit="1" customWidth="1"/>
    <col min="11800" max="12032" width="4.109375" style="181"/>
    <col min="12033" max="12033" width="7.109375" style="181" customWidth="1"/>
    <col min="12034" max="12036" width="8.88671875" style="181" customWidth="1"/>
    <col min="12037" max="12037" width="8.109375" style="181" customWidth="1"/>
    <col min="12038" max="12038" width="8.88671875" style="181" customWidth="1"/>
    <col min="12039" max="12039" width="8.109375" style="181" customWidth="1"/>
    <col min="12040" max="12040" width="8.33203125" style="181" customWidth="1"/>
    <col min="12041" max="12041" width="4.88671875" style="181" bestFit="1" customWidth="1"/>
    <col min="12042" max="12042" width="6.21875" style="181" bestFit="1" customWidth="1"/>
    <col min="12043" max="12043" width="7" style="181" customWidth="1"/>
    <col min="12044" max="12044" width="6.77734375" style="181" bestFit="1" customWidth="1"/>
    <col min="12045" max="12047" width="4.88671875" style="181" bestFit="1" customWidth="1"/>
    <col min="12048" max="12048" width="6.77734375" style="181" bestFit="1" customWidth="1"/>
    <col min="12049" max="12049" width="5.88671875" style="181" customWidth="1"/>
    <col min="12050" max="12054" width="4.109375" style="181"/>
    <col min="12055" max="12055" width="6.77734375" style="181" bestFit="1" customWidth="1"/>
    <col min="12056" max="12288" width="4.109375" style="181"/>
    <col min="12289" max="12289" width="7.109375" style="181" customWidth="1"/>
    <col min="12290" max="12292" width="8.88671875" style="181" customWidth="1"/>
    <col min="12293" max="12293" width="8.109375" style="181" customWidth="1"/>
    <col min="12294" max="12294" width="8.88671875" style="181" customWidth="1"/>
    <col min="12295" max="12295" width="8.109375" style="181" customWidth="1"/>
    <col min="12296" max="12296" width="8.33203125" style="181" customWidth="1"/>
    <col min="12297" max="12297" width="4.88671875" style="181" bestFit="1" customWidth="1"/>
    <col min="12298" max="12298" width="6.21875" style="181" bestFit="1" customWidth="1"/>
    <col min="12299" max="12299" width="7" style="181" customWidth="1"/>
    <col min="12300" max="12300" width="6.77734375" style="181" bestFit="1" customWidth="1"/>
    <col min="12301" max="12303" width="4.88671875" style="181" bestFit="1" customWidth="1"/>
    <col min="12304" max="12304" width="6.77734375" style="181" bestFit="1" customWidth="1"/>
    <col min="12305" max="12305" width="5.88671875" style="181" customWidth="1"/>
    <col min="12306" max="12310" width="4.109375" style="181"/>
    <col min="12311" max="12311" width="6.77734375" style="181" bestFit="1" customWidth="1"/>
    <col min="12312" max="12544" width="4.109375" style="181"/>
    <col min="12545" max="12545" width="7.109375" style="181" customWidth="1"/>
    <col min="12546" max="12548" width="8.88671875" style="181" customWidth="1"/>
    <col min="12549" max="12549" width="8.109375" style="181" customWidth="1"/>
    <col min="12550" max="12550" width="8.88671875" style="181" customWidth="1"/>
    <col min="12551" max="12551" width="8.109375" style="181" customWidth="1"/>
    <col min="12552" max="12552" width="8.33203125" style="181" customWidth="1"/>
    <col min="12553" max="12553" width="4.88671875" style="181" bestFit="1" customWidth="1"/>
    <col min="12554" max="12554" width="6.21875" style="181" bestFit="1" customWidth="1"/>
    <col min="12555" max="12555" width="7" style="181" customWidth="1"/>
    <col min="12556" max="12556" width="6.77734375" style="181" bestFit="1" customWidth="1"/>
    <col min="12557" max="12559" width="4.88671875" style="181" bestFit="1" customWidth="1"/>
    <col min="12560" max="12560" width="6.77734375" style="181" bestFit="1" customWidth="1"/>
    <col min="12561" max="12561" width="5.88671875" style="181" customWidth="1"/>
    <col min="12562" max="12566" width="4.109375" style="181"/>
    <col min="12567" max="12567" width="6.77734375" style="181" bestFit="1" customWidth="1"/>
    <col min="12568" max="12800" width="4.109375" style="181"/>
    <col min="12801" max="12801" width="7.109375" style="181" customWidth="1"/>
    <col min="12802" max="12804" width="8.88671875" style="181" customWidth="1"/>
    <col min="12805" max="12805" width="8.109375" style="181" customWidth="1"/>
    <col min="12806" max="12806" width="8.88671875" style="181" customWidth="1"/>
    <col min="12807" max="12807" width="8.109375" style="181" customWidth="1"/>
    <col min="12808" max="12808" width="8.33203125" style="181" customWidth="1"/>
    <col min="12809" max="12809" width="4.88671875" style="181" bestFit="1" customWidth="1"/>
    <col min="12810" max="12810" width="6.21875" style="181" bestFit="1" customWidth="1"/>
    <col min="12811" max="12811" width="7" style="181" customWidth="1"/>
    <col min="12812" max="12812" width="6.77734375" style="181" bestFit="1" customWidth="1"/>
    <col min="12813" max="12815" width="4.88671875" style="181" bestFit="1" customWidth="1"/>
    <col min="12816" max="12816" width="6.77734375" style="181" bestFit="1" customWidth="1"/>
    <col min="12817" max="12817" width="5.88671875" style="181" customWidth="1"/>
    <col min="12818" max="12822" width="4.109375" style="181"/>
    <col min="12823" max="12823" width="6.77734375" style="181" bestFit="1" customWidth="1"/>
    <col min="12824" max="13056" width="4.109375" style="181"/>
    <col min="13057" max="13057" width="7.109375" style="181" customWidth="1"/>
    <col min="13058" max="13060" width="8.88671875" style="181" customWidth="1"/>
    <col min="13061" max="13061" width="8.109375" style="181" customWidth="1"/>
    <col min="13062" max="13062" width="8.88671875" style="181" customWidth="1"/>
    <col min="13063" max="13063" width="8.109375" style="181" customWidth="1"/>
    <col min="13064" max="13064" width="8.33203125" style="181" customWidth="1"/>
    <col min="13065" max="13065" width="4.88671875" style="181" bestFit="1" customWidth="1"/>
    <col min="13066" max="13066" width="6.21875" style="181" bestFit="1" customWidth="1"/>
    <col min="13067" max="13067" width="7" style="181" customWidth="1"/>
    <col min="13068" max="13068" width="6.77734375" style="181" bestFit="1" customWidth="1"/>
    <col min="13069" max="13071" width="4.88671875" style="181" bestFit="1" customWidth="1"/>
    <col min="13072" max="13072" width="6.77734375" style="181" bestFit="1" customWidth="1"/>
    <col min="13073" max="13073" width="5.88671875" style="181" customWidth="1"/>
    <col min="13074" max="13078" width="4.109375" style="181"/>
    <col min="13079" max="13079" width="6.77734375" style="181" bestFit="1" customWidth="1"/>
    <col min="13080" max="13312" width="4.109375" style="181"/>
    <col min="13313" max="13313" width="7.109375" style="181" customWidth="1"/>
    <col min="13314" max="13316" width="8.88671875" style="181" customWidth="1"/>
    <col min="13317" max="13317" width="8.109375" style="181" customWidth="1"/>
    <col min="13318" max="13318" width="8.88671875" style="181" customWidth="1"/>
    <col min="13319" max="13319" width="8.109375" style="181" customWidth="1"/>
    <col min="13320" max="13320" width="8.33203125" style="181" customWidth="1"/>
    <col min="13321" max="13321" width="4.88671875" style="181" bestFit="1" customWidth="1"/>
    <col min="13322" max="13322" width="6.21875" style="181" bestFit="1" customWidth="1"/>
    <col min="13323" max="13323" width="7" style="181" customWidth="1"/>
    <col min="13324" max="13324" width="6.77734375" style="181" bestFit="1" customWidth="1"/>
    <col min="13325" max="13327" width="4.88671875" style="181" bestFit="1" customWidth="1"/>
    <col min="13328" max="13328" width="6.77734375" style="181" bestFit="1" customWidth="1"/>
    <col min="13329" max="13329" width="5.88671875" style="181" customWidth="1"/>
    <col min="13330" max="13334" width="4.109375" style="181"/>
    <col min="13335" max="13335" width="6.77734375" style="181" bestFit="1" customWidth="1"/>
    <col min="13336" max="13568" width="4.109375" style="181"/>
    <col min="13569" max="13569" width="7.109375" style="181" customWidth="1"/>
    <col min="13570" max="13572" width="8.88671875" style="181" customWidth="1"/>
    <col min="13573" max="13573" width="8.109375" style="181" customWidth="1"/>
    <col min="13574" max="13574" width="8.88671875" style="181" customWidth="1"/>
    <col min="13575" max="13575" width="8.109375" style="181" customWidth="1"/>
    <col min="13576" max="13576" width="8.33203125" style="181" customWidth="1"/>
    <col min="13577" max="13577" width="4.88671875" style="181" bestFit="1" customWidth="1"/>
    <col min="13578" max="13578" width="6.21875" style="181" bestFit="1" customWidth="1"/>
    <col min="13579" max="13579" width="7" style="181" customWidth="1"/>
    <col min="13580" max="13580" width="6.77734375" style="181" bestFit="1" customWidth="1"/>
    <col min="13581" max="13583" width="4.88671875" style="181" bestFit="1" customWidth="1"/>
    <col min="13584" max="13584" width="6.77734375" style="181" bestFit="1" customWidth="1"/>
    <col min="13585" max="13585" width="5.88671875" style="181" customWidth="1"/>
    <col min="13586" max="13590" width="4.109375" style="181"/>
    <col min="13591" max="13591" width="6.77734375" style="181" bestFit="1" customWidth="1"/>
    <col min="13592" max="13824" width="4.109375" style="181"/>
    <col min="13825" max="13825" width="7.109375" style="181" customWidth="1"/>
    <col min="13826" max="13828" width="8.88671875" style="181" customWidth="1"/>
    <col min="13829" max="13829" width="8.109375" style="181" customWidth="1"/>
    <col min="13830" max="13830" width="8.88671875" style="181" customWidth="1"/>
    <col min="13831" max="13831" width="8.109375" style="181" customWidth="1"/>
    <col min="13832" max="13832" width="8.33203125" style="181" customWidth="1"/>
    <col min="13833" max="13833" width="4.88671875" style="181" bestFit="1" customWidth="1"/>
    <col min="13834" max="13834" width="6.21875" style="181" bestFit="1" customWidth="1"/>
    <col min="13835" max="13835" width="7" style="181" customWidth="1"/>
    <col min="13836" max="13836" width="6.77734375" style="181" bestFit="1" customWidth="1"/>
    <col min="13837" max="13839" width="4.88671875" style="181" bestFit="1" customWidth="1"/>
    <col min="13840" max="13840" width="6.77734375" style="181" bestFit="1" customWidth="1"/>
    <col min="13841" max="13841" width="5.88671875" style="181" customWidth="1"/>
    <col min="13842" max="13846" width="4.109375" style="181"/>
    <col min="13847" max="13847" width="6.77734375" style="181" bestFit="1" customWidth="1"/>
    <col min="13848" max="14080" width="4.109375" style="181"/>
    <col min="14081" max="14081" width="7.109375" style="181" customWidth="1"/>
    <col min="14082" max="14084" width="8.88671875" style="181" customWidth="1"/>
    <col min="14085" max="14085" width="8.109375" style="181" customWidth="1"/>
    <col min="14086" max="14086" width="8.88671875" style="181" customWidth="1"/>
    <col min="14087" max="14087" width="8.109375" style="181" customWidth="1"/>
    <col min="14088" max="14088" width="8.33203125" style="181" customWidth="1"/>
    <col min="14089" max="14089" width="4.88671875" style="181" bestFit="1" customWidth="1"/>
    <col min="14090" max="14090" width="6.21875" style="181" bestFit="1" customWidth="1"/>
    <col min="14091" max="14091" width="7" style="181" customWidth="1"/>
    <col min="14092" max="14092" width="6.77734375" style="181" bestFit="1" customWidth="1"/>
    <col min="14093" max="14095" width="4.88671875" style="181" bestFit="1" customWidth="1"/>
    <col min="14096" max="14096" width="6.77734375" style="181" bestFit="1" customWidth="1"/>
    <col min="14097" max="14097" width="5.88671875" style="181" customWidth="1"/>
    <col min="14098" max="14102" width="4.109375" style="181"/>
    <col min="14103" max="14103" width="6.77734375" style="181" bestFit="1" customWidth="1"/>
    <col min="14104" max="14336" width="4.109375" style="181"/>
    <col min="14337" max="14337" width="7.109375" style="181" customWidth="1"/>
    <col min="14338" max="14340" width="8.88671875" style="181" customWidth="1"/>
    <col min="14341" max="14341" width="8.109375" style="181" customWidth="1"/>
    <col min="14342" max="14342" width="8.88671875" style="181" customWidth="1"/>
    <col min="14343" max="14343" width="8.109375" style="181" customWidth="1"/>
    <col min="14344" max="14344" width="8.33203125" style="181" customWidth="1"/>
    <col min="14345" max="14345" width="4.88671875" style="181" bestFit="1" customWidth="1"/>
    <col min="14346" max="14346" width="6.21875" style="181" bestFit="1" customWidth="1"/>
    <col min="14347" max="14347" width="7" style="181" customWidth="1"/>
    <col min="14348" max="14348" width="6.77734375" style="181" bestFit="1" customWidth="1"/>
    <col min="14349" max="14351" width="4.88671875" style="181" bestFit="1" customWidth="1"/>
    <col min="14352" max="14352" width="6.77734375" style="181" bestFit="1" customWidth="1"/>
    <col min="14353" max="14353" width="5.88671875" style="181" customWidth="1"/>
    <col min="14354" max="14358" width="4.109375" style="181"/>
    <col min="14359" max="14359" width="6.77734375" style="181" bestFit="1" customWidth="1"/>
    <col min="14360" max="14592" width="4.109375" style="181"/>
    <col min="14593" max="14593" width="7.109375" style="181" customWidth="1"/>
    <col min="14594" max="14596" width="8.88671875" style="181" customWidth="1"/>
    <col min="14597" max="14597" width="8.109375" style="181" customWidth="1"/>
    <col min="14598" max="14598" width="8.88671875" style="181" customWidth="1"/>
    <col min="14599" max="14599" width="8.109375" style="181" customWidth="1"/>
    <col min="14600" max="14600" width="8.33203125" style="181" customWidth="1"/>
    <col min="14601" max="14601" width="4.88671875" style="181" bestFit="1" customWidth="1"/>
    <col min="14602" max="14602" width="6.21875" style="181" bestFit="1" customWidth="1"/>
    <col min="14603" max="14603" width="7" style="181" customWidth="1"/>
    <col min="14604" max="14604" width="6.77734375" style="181" bestFit="1" customWidth="1"/>
    <col min="14605" max="14607" width="4.88671875" style="181" bestFit="1" customWidth="1"/>
    <col min="14608" max="14608" width="6.77734375" style="181" bestFit="1" customWidth="1"/>
    <col min="14609" max="14609" width="5.88671875" style="181" customWidth="1"/>
    <col min="14610" max="14614" width="4.109375" style="181"/>
    <col min="14615" max="14615" width="6.77734375" style="181" bestFit="1" customWidth="1"/>
    <col min="14616" max="14848" width="4.109375" style="181"/>
    <col min="14849" max="14849" width="7.109375" style="181" customWidth="1"/>
    <col min="14850" max="14852" width="8.88671875" style="181" customWidth="1"/>
    <col min="14853" max="14853" width="8.109375" style="181" customWidth="1"/>
    <col min="14854" max="14854" width="8.88671875" style="181" customWidth="1"/>
    <col min="14855" max="14855" width="8.109375" style="181" customWidth="1"/>
    <col min="14856" max="14856" width="8.33203125" style="181" customWidth="1"/>
    <col min="14857" max="14857" width="4.88671875" style="181" bestFit="1" customWidth="1"/>
    <col min="14858" max="14858" width="6.21875" style="181" bestFit="1" customWidth="1"/>
    <col min="14859" max="14859" width="7" style="181" customWidth="1"/>
    <col min="14860" max="14860" width="6.77734375" style="181" bestFit="1" customWidth="1"/>
    <col min="14861" max="14863" width="4.88671875" style="181" bestFit="1" customWidth="1"/>
    <col min="14864" max="14864" width="6.77734375" style="181" bestFit="1" customWidth="1"/>
    <col min="14865" max="14865" width="5.88671875" style="181" customWidth="1"/>
    <col min="14866" max="14870" width="4.109375" style="181"/>
    <col min="14871" max="14871" width="6.77734375" style="181" bestFit="1" customWidth="1"/>
    <col min="14872" max="15104" width="4.109375" style="181"/>
    <col min="15105" max="15105" width="7.109375" style="181" customWidth="1"/>
    <col min="15106" max="15108" width="8.88671875" style="181" customWidth="1"/>
    <col min="15109" max="15109" width="8.109375" style="181" customWidth="1"/>
    <col min="15110" max="15110" width="8.88671875" style="181" customWidth="1"/>
    <col min="15111" max="15111" width="8.109375" style="181" customWidth="1"/>
    <col min="15112" max="15112" width="8.33203125" style="181" customWidth="1"/>
    <col min="15113" max="15113" width="4.88671875" style="181" bestFit="1" customWidth="1"/>
    <col min="15114" max="15114" width="6.21875" style="181" bestFit="1" customWidth="1"/>
    <col min="15115" max="15115" width="7" style="181" customWidth="1"/>
    <col min="15116" max="15116" width="6.77734375" style="181" bestFit="1" customWidth="1"/>
    <col min="15117" max="15119" width="4.88671875" style="181" bestFit="1" customWidth="1"/>
    <col min="15120" max="15120" width="6.77734375" style="181" bestFit="1" customWidth="1"/>
    <col min="15121" max="15121" width="5.88671875" style="181" customWidth="1"/>
    <col min="15122" max="15126" width="4.109375" style="181"/>
    <col min="15127" max="15127" width="6.77734375" style="181" bestFit="1" customWidth="1"/>
    <col min="15128" max="15360" width="4.109375" style="181"/>
    <col min="15361" max="15361" width="7.109375" style="181" customWidth="1"/>
    <col min="15362" max="15364" width="8.88671875" style="181" customWidth="1"/>
    <col min="15365" max="15365" width="8.109375" style="181" customWidth="1"/>
    <col min="15366" max="15366" width="8.88671875" style="181" customWidth="1"/>
    <col min="15367" max="15367" width="8.109375" style="181" customWidth="1"/>
    <col min="15368" max="15368" width="8.33203125" style="181" customWidth="1"/>
    <col min="15369" max="15369" width="4.88671875" style="181" bestFit="1" customWidth="1"/>
    <col min="15370" max="15370" width="6.21875" style="181" bestFit="1" customWidth="1"/>
    <col min="15371" max="15371" width="7" style="181" customWidth="1"/>
    <col min="15372" max="15372" width="6.77734375" style="181" bestFit="1" customWidth="1"/>
    <col min="15373" max="15375" width="4.88671875" style="181" bestFit="1" customWidth="1"/>
    <col min="15376" max="15376" width="6.77734375" style="181" bestFit="1" customWidth="1"/>
    <col min="15377" max="15377" width="5.88671875" style="181" customWidth="1"/>
    <col min="15378" max="15382" width="4.109375" style="181"/>
    <col min="15383" max="15383" width="6.77734375" style="181" bestFit="1" customWidth="1"/>
    <col min="15384" max="15616" width="4.109375" style="181"/>
    <col min="15617" max="15617" width="7.109375" style="181" customWidth="1"/>
    <col min="15618" max="15620" width="8.88671875" style="181" customWidth="1"/>
    <col min="15621" max="15621" width="8.109375" style="181" customWidth="1"/>
    <col min="15622" max="15622" width="8.88671875" style="181" customWidth="1"/>
    <col min="15623" max="15623" width="8.109375" style="181" customWidth="1"/>
    <col min="15624" max="15624" width="8.33203125" style="181" customWidth="1"/>
    <col min="15625" max="15625" width="4.88671875" style="181" bestFit="1" customWidth="1"/>
    <col min="15626" max="15626" width="6.21875" style="181" bestFit="1" customWidth="1"/>
    <col min="15627" max="15627" width="7" style="181" customWidth="1"/>
    <col min="15628" max="15628" width="6.77734375" style="181" bestFit="1" customWidth="1"/>
    <col min="15629" max="15631" width="4.88671875" style="181" bestFit="1" customWidth="1"/>
    <col min="15632" max="15632" width="6.77734375" style="181" bestFit="1" customWidth="1"/>
    <col min="15633" max="15633" width="5.88671875" style="181" customWidth="1"/>
    <col min="15634" max="15638" width="4.109375" style="181"/>
    <col min="15639" max="15639" width="6.77734375" style="181" bestFit="1" customWidth="1"/>
    <col min="15640" max="15872" width="4.109375" style="181"/>
    <col min="15873" max="15873" width="7.109375" style="181" customWidth="1"/>
    <col min="15874" max="15876" width="8.88671875" style="181" customWidth="1"/>
    <col min="15877" max="15877" width="8.109375" style="181" customWidth="1"/>
    <col min="15878" max="15878" width="8.88671875" style="181" customWidth="1"/>
    <col min="15879" max="15879" width="8.109375" style="181" customWidth="1"/>
    <col min="15880" max="15880" width="8.33203125" style="181" customWidth="1"/>
    <col min="15881" max="15881" width="4.88671875" style="181" bestFit="1" customWidth="1"/>
    <col min="15882" max="15882" width="6.21875" style="181" bestFit="1" customWidth="1"/>
    <col min="15883" max="15883" width="7" style="181" customWidth="1"/>
    <col min="15884" max="15884" width="6.77734375" style="181" bestFit="1" customWidth="1"/>
    <col min="15885" max="15887" width="4.88671875" style="181" bestFit="1" customWidth="1"/>
    <col min="15888" max="15888" width="6.77734375" style="181" bestFit="1" customWidth="1"/>
    <col min="15889" max="15889" width="5.88671875" style="181" customWidth="1"/>
    <col min="15890" max="15894" width="4.109375" style="181"/>
    <col min="15895" max="15895" width="6.77734375" style="181" bestFit="1" customWidth="1"/>
    <col min="15896" max="16128" width="4.109375" style="181"/>
    <col min="16129" max="16129" width="7.109375" style="181" customWidth="1"/>
    <col min="16130" max="16132" width="8.88671875" style="181" customWidth="1"/>
    <col min="16133" max="16133" width="8.109375" style="181" customWidth="1"/>
    <col min="16134" max="16134" width="8.88671875" style="181" customWidth="1"/>
    <col min="16135" max="16135" width="8.109375" style="181" customWidth="1"/>
    <col min="16136" max="16136" width="8.33203125" style="181" customWidth="1"/>
    <col min="16137" max="16137" width="4.88671875" style="181" bestFit="1" customWidth="1"/>
    <col min="16138" max="16138" width="6.21875" style="181" bestFit="1" customWidth="1"/>
    <col min="16139" max="16139" width="7" style="181" customWidth="1"/>
    <col min="16140" max="16140" width="6.77734375" style="181" bestFit="1" customWidth="1"/>
    <col min="16141" max="16143" width="4.88671875" style="181" bestFit="1" customWidth="1"/>
    <col min="16144" max="16144" width="6.77734375" style="181" bestFit="1" customWidth="1"/>
    <col min="16145" max="16145" width="5.88671875" style="181" customWidth="1"/>
    <col min="16146" max="16150" width="4.109375" style="181"/>
    <col min="16151" max="16151" width="6.77734375" style="181" bestFit="1" customWidth="1"/>
    <col min="16152" max="16384" width="4.109375" style="181"/>
  </cols>
  <sheetData>
    <row r="1" spans="1:27" s="21" customFormat="1" ht="16.5" customHeight="1">
      <c r="A1" s="341"/>
      <c r="B1" s="341"/>
      <c r="C1" s="341"/>
      <c r="D1" s="341"/>
      <c r="E1" s="341"/>
      <c r="F1" s="341"/>
      <c r="G1" s="341"/>
    </row>
    <row r="2" spans="1:27" s="21" customFormat="1" ht="9.9499999999999993" customHeight="1">
      <c r="A2" s="27"/>
      <c r="B2" s="22"/>
      <c r="C2" s="22"/>
      <c r="D2" s="22"/>
      <c r="E2" s="22"/>
      <c r="F2" s="22"/>
      <c r="G2" s="23"/>
    </row>
    <row r="3" spans="1:27" ht="15" customHeight="1">
      <c r="A3" s="180" t="s">
        <v>44</v>
      </c>
      <c r="B3" s="180"/>
    </row>
    <row r="4" spans="1:27" ht="15" customHeight="1">
      <c r="A4" s="314" t="s">
        <v>12</v>
      </c>
      <c r="H4" s="185"/>
    </row>
    <row r="5" spans="1:27" ht="15" customHeight="1">
      <c r="A5" s="511" t="s">
        <v>5</v>
      </c>
      <c r="B5" s="513" t="s">
        <v>45</v>
      </c>
      <c r="C5" s="509" t="s">
        <v>46</v>
      </c>
      <c r="D5" s="515" t="s">
        <v>47</v>
      </c>
      <c r="E5" s="186"/>
      <c r="F5" s="515" t="s">
        <v>48</v>
      </c>
      <c r="G5" s="186"/>
      <c r="H5" s="509" t="s">
        <v>161</v>
      </c>
    </row>
    <row r="6" spans="1:27" s="188" customFormat="1" ht="15" customHeight="1">
      <c r="A6" s="512"/>
      <c r="B6" s="514"/>
      <c r="C6" s="510"/>
      <c r="D6" s="516"/>
      <c r="E6" s="327" t="s">
        <v>49</v>
      </c>
      <c r="F6" s="516"/>
      <c r="G6" s="327" t="s">
        <v>49</v>
      </c>
      <c r="H6" s="510"/>
      <c r="I6" s="187"/>
      <c r="J6" s="187"/>
      <c r="K6" s="187"/>
    </row>
    <row r="7" spans="1:27" s="191" customFormat="1" ht="13.5" customHeight="1">
      <c r="A7" s="323">
        <v>2009</v>
      </c>
      <c r="B7" s="189">
        <v>83</v>
      </c>
      <c r="C7" s="293">
        <v>83.8</v>
      </c>
      <c r="D7" s="82">
        <v>73.400000000000006</v>
      </c>
      <c r="E7" s="82">
        <v>68.400000000000006</v>
      </c>
      <c r="F7" s="190">
        <v>73.900000000000006</v>
      </c>
      <c r="G7" s="82">
        <v>65.900000000000006</v>
      </c>
      <c r="H7" s="455">
        <v>64.3</v>
      </c>
      <c r="I7" s="187"/>
      <c r="J7" s="328"/>
      <c r="K7" s="187"/>
      <c r="L7" s="335"/>
      <c r="M7" s="335"/>
      <c r="N7" s="335"/>
      <c r="O7" s="335"/>
      <c r="P7" s="335"/>
      <c r="Q7" s="335"/>
      <c r="R7" s="335"/>
      <c r="T7" s="334"/>
      <c r="U7" s="334"/>
      <c r="V7" s="334"/>
      <c r="W7" s="334"/>
      <c r="X7" s="334"/>
      <c r="Y7" s="334"/>
      <c r="Z7" s="334"/>
      <c r="AA7" s="334"/>
    </row>
    <row r="8" spans="1:27" s="191" customFormat="1" ht="13.5" customHeight="1">
      <c r="A8" s="323">
        <v>2010</v>
      </c>
      <c r="B8" s="189">
        <v>85.6</v>
      </c>
      <c r="C8" s="293">
        <v>86.8</v>
      </c>
      <c r="D8" s="82">
        <v>81.2</v>
      </c>
      <c r="E8" s="82">
        <v>79.3</v>
      </c>
      <c r="F8" s="190">
        <v>83.4</v>
      </c>
      <c r="G8" s="82">
        <v>77.7</v>
      </c>
      <c r="H8" s="455">
        <v>65</v>
      </c>
      <c r="I8" s="187"/>
      <c r="J8" s="328"/>
      <c r="K8" s="187"/>
      <c r="L8" s="335"/>
      <c r="M8" s="335"/>
      <c r="N8" s="335"/>
      <c r="O8" s="335"/>
      <c r="P8" s="335"/>
      <c r="Q8" s="335"/>
      <c r="R8" s="335"/>
      <c r="T8" s="334"/>
      <c r="U8" s="334"/>
      <c r="V8" s="334"/>
      <c r="W8" s="334"/>
      <c r="X8" s="334"/>
      <c r="Y8" s="334"/>
      <c r="Z8" s="334"/>
      <c r="AA8" s="334"/>
    </row>
    <row r="9" spans="1:27" s="191" customFormat="1" ht="13.5" customHeight="1">
      <c r="A9" s="323">
        <v>2011</v>
      </c>
      <c r="B9" s="189">
        <v>89.4</v>
      </c>
      <c r="C9" s="293">
        <v>91.3</v>
      </c>
      <c r="D9" s="82">
        <v>94.1</v>
      </c>
      <c r="E9" s="82">
        <v>96.9</v>
      </c>
      <c r="F9" s="190">
        <v>96.2</v>
      </c>
      <c r="G9" s="82">
        <v>93</v>
      </c>
      <c r="H9" s="455">
        <v>66.099999999999994</v>
      </c>
      <c r="I9" s="187"/>
      <c r="J9" s="328"/>
      <c r="K9" s="187"/>
      <c r="L9" s="335"/>
      <c r="M9" s="335"/>
      <c r="N9" s="335"/>
      <c r="O9" s="335"/>
      <c r="P9" s="335"/>
      <c r="Q9" s="335"/>
      <c r="R9" s="335"/>
      <c r="S9" s="192"/>
      <c r="T9" s="334"/>
      <c r="U9" s="334"/>
      <c r="V9" s="334"/>
      <c r="W9" s="334"/>
      <c r="X9" s="334"/>
      <c r="Y9" s="334"/>
      <c r="Z9" s="334"/>
      <c r="AA9" s="334"/>
    </row>
    <row r="10" spans="1:27" s="191" customFormat="1" ht="13.5" customHeight="1">
      <c r="A10" s="323">
        <v>2012</v>
      </c>
      <c r="B10" s="189">
        <v>91.5</v>
      </c>
      <c r="C10" s="293">
        <v>93</v>
      </c>
      <c r="D10" s="82">
        <v>91.9</v>
      </c>
      <c r="E10" s="82">
        <v>93.1</v>
      </c>
      <c r="F10" s="190">
        <v>96.1</v>
      </c>
      <c r="G10" s="82">
        <v>92.3</v>
      </c>
      <c r="H10" s="455">
        <v>67.2</v>
      </c>
      <c r="I10" s="187"/>
      <c r="J10" s="328"/>
      <c r="K10" s="187"/>
      <c r="L10" s="335"/>
      <c r="M10" s="335"/>
      <c r="N10" s="335"/>
      <c r="O10" s="335"/>
      <c r="P10" s="335"/>
      <c r="Q10" s="335"/>
      <c r="R10" s="335"/>
      <c r="S10" s="192"/>
      <c r="T10" s="334"/>
      <c r="U10" s="334"/>
      <c r="V10" s="334"/>
      <c r="W10" s="334"/>
      <c r="X10" s="334"/>
      <c r="Y10" s="334"/>
      <c r="Z10" s="334"/>
      <c r="AA10" s="334"/>
    </row>
    <row r="11" spans="1:27" s="191" customFormat="1" ht="13.5" customHeight="1">
      <c r="A11" s="323">
        <v>2013</v>
      </c>
      <c r="B11" s="189">
        <v>92.9</v>
      </c>
      <c r="C11" s="293">
        <v>94.1</v>
      </c>
      <c r="D11" s="82">
        <v>91.7</v>
      </c>
      <c r="E11" s="82">
        <v>92.6</v>
      </c>
      <c r="F11" s="190">
        <v>97.2</v>
      </c>
      <c r="G11" s="82">
        <v>93.8</v>
      </c>
      <c r="H11" s="455">
        <v>68</v>
      </c>
      <c r="I11" s="187"/>
      <c r="J11" s="328"/>
      <c r="K11" s="187"/>
      <c r="L11" s="335"/>
      <c r="M11" s="335"/>
      <c r="N11" s="335"/>
      <c r="O11" s="335"/>
      <c r="P11" s="335"/>
      <c r="Q11" s="335"/>
      <c r="R11" s="335"/>
      <c r="S11" s="192"/>
      <c r="T11" s="334"/>
      <c r="U11" s="334"/>
      <c r="V11" s="334"/>
      <c r="W11" s="334"/>
      <c r="X11" s="334"/>
      <c r="Y11" s="334"/>
      <c r="Z11" s="334"/>
      <c r="AA11" s="334"/>
    </row>
    <row r="12" spans="1:27" s="191" customFormat="1" ht="13.5" customHeight="1">
      <c r="A12" s="323">
        <v>2014</v>
      </c>
      <c r="B12" s="189">
        <v>94</v>
      </c>
      <c r="C12" s="293">
        <v>94.9</v>
      </c>
      <c r="D12" s="82">
        <v>92.7</v>
      </c>
      <c r="E12" s="82">
        <v>94.1</v>
      </c>
      <c r="F12" s="190">
        <v>98.8</v>
      </c>
      <c r="G12" s="82">
        <v>96.3</v>
      </c>
      <c r="H12" s="455">
        <v>69.599999999999994</v>
      </c>
      <c r="I12" s="187"/>
      <c r="J12" s="328"/>
      <c r="K12" s="187"/>
      <c r="L12" s="335"/>
      <c r="M12" s="335"/>
      <c r="N12" s="335"/>
      <c r="O12" s="335"/>
      <c r="P12" s="335"/>
      <c r="Q12" s="335"/>
      <c r="R12" s="335"/>
      <c r="S12" s="192"/>
      <c r="T12" s="334"/>
      <c r="U12" s="334"/>
      <c r="V12" s="334"/>
      <c r="W12" s="334"/>
      <c r="X12" s="334"/>
      <c r="Y12" s="334"/>
      <c r="Z12" s="334"/>
      <c r="AA12" s="334"/>
    </row>
    <row r="13" spans="1:27" s="191" customFormat="1" ht="13.5" customHeight="1">
      <c r="A13" s="323">
        <v>2015</v>
      </c>
      <c r="B13" s="189">
        <v>94.8</v>
      </c>
      <c r="C13" s="293">
        <v>95</v>
      </c>
      <c r="D13" s="82">
        <v>95.9</v>
      </c>
      <c r="E13" s="82">
        <v>98.6</v>
      </c>
      <c r="F13" s="190">
        <v>102</v>
      </c>
      <c r="G13" s="82">
        <v>100.8</v>
      </c>
      <c r="H13" s="455">
        <v>71.8</v>
      </c>
      <c r="I13" s="187"/>
      <c r="J13" s="328"/>
      <c r="K13" s="187"/>
      <c r="L13" s="335"/>
      <c r="M13" s="335"/>
      <c r="N13" s="335"/>
      <c r="O13" s="335"/>
      <c r="P13" s="335"/>
      <c r="Q13" s="335"/>
      <c r="R13" s="335"/>
      <c r="S13" s="192"/>
      <c r="T13" s="334"/>
      <c r="U13" s="334"/>
      <c r="V13" s="334"/>
      <c r="W13" s="334"/>
      <c r="X13" s="334"/>
      <c r="Y13" s="334"/>
      <c r="Z13" s="334"/>
      <c r="AA13" s="334"/>
    </row>
    <row r="14" spans="1:27" s="191" customFormat="1" ht="13.5" customHeight="1">
      <c r="A14" s="323">
        <v>2016</v>
      </c>
      <c r="B14" s="189">
        <v>95.9</v>
      </c>
      <c r="C14" s="293">
        <v>95.8</v>
      </c>
      <c r="D14" s="82">
        <v>99</v>
      </c>
      <c r="E14" s="82">
        <v>102.8</v>
      </c>
      <c r="F14" s="190">
        <v>105</v>
      </c>
      <c r="G14" s="82">
        <v>105.2</v>
      </c>
      <c r="H14" s="455">
        <v>74.7</v>
      </c>
      <c r="I14" s="187"/>
      <c r="J14" s="328"/>
      <c r="K14" s="187"/>
      <c r="L14" s="335"/>
      <c r="M14" s="335"/>
      <c r="N14" s="335"/>
      <c r="O14" s="335"/>
      <c r="P14" s="335"/>
      <c r="Q14" s="335"/>
      <c r="R14" s="335"/>
      <c r="S14" s="192"/>
      <c r="T14" s="334"/>
      <c r="U14" s="334"/>
      <c r="V14" s="334"/>
      <c r="W14" s="334"/>
      <c r="X14" s="334"/>
      <c r="Y14" s="334"/>
      <c r="Z14" s="334"/>
      <c r="AA14" s="334"/>
    </row>
    <row r="15" spans="1:27" s="41" customFormat="1" ht="13.5" customHeight="1">
      <c r="A15" s="323">
        <v>2017</v>
      </c>
      <c r="B15" s="189">
        <v>97.6</v>
      </c>
      <c r="C15" s="293">
        <v>97.9</v>
      </c>
      <c r="D15" s="190">
        <v>101.3</v>
      </c>
      <c r="E15" s="190">
        <v>104.8</v>
      </c>
      <c r="F15" s="190">
        <v>105.8</v>
      </c>
      <c r="G15" s="190">
        <v>106.2</v>
      </c>
      <c r="H15" s="456">
        <v>79.599999999999994</v>
      </c>
      <c r="I15" s="187"/>
      <c r="J15" s="328"/>
      <c r="K15" s="187"/>
      <c r="L15" s="335"/>
      <c r="M15" s="335"/>
      <c r="N15" s="335"/>
      <c r="O15" s="335"/>
      <c r="P15" s="335"/>
      <c r="Q15" s="335"/>
      <c r="R15" s="335"/>
      <c r="S15" s="192"/>
      <c r="T15" s="334"/>
      <c r="U15" s="334"/>
      <c r="V15" s="334"/>
      <c r="W15" s="334"/>
      <c r="X15" s="334"/>
      <c r="Y15" s="334"/>
      <c r="Z15" s="334"/>
      <c r="AA15" s="334"/>
    </row>
    <row r="16" spans="1:27" s="41" customFormat="1" ht="13.5" customHeight="1">
      <c r="A16" s="323">
        <v>2018</v>
      </c>
      <c r="B16" s="189">
        <v>99.3</v>
      </c>
      <c r="C16" s="293">
        <v>99.7</v>
      </c>
      <c r="D16" s="190">
        <v>99.8</v>
      </c>
      <c r="E16" s="190">
        <v>101.1</v>
      </c>
      <c r="F16" s="190">
        <v>103.6</v>
      </c>
      <c r="G16" s="190">
        <v>103.1</v>
      </c>
      <c r="H16" s="456">
        <v>84.2</v>
      </c>
      <c r="I16" s="187"/>
      <c r="J16" s="328"/>
      <c r="K16" s="187"/>
      <c r="L16" s="335"/>
      <c r="M16" s="335"/>
      <c r="N16" s="335"/>
      <c r="O16" s="335"/>
      <c r="P16" s="335"/>
      <c r="Q16" s="335"/>
      <c r="R16" s="335"/>
      <c r="S16" s="192"/>
      <c r="T16" s="334"/>
      <c r="U16" s="334"/>
      <c r="V16" s="334"/>
      <c r="W16" s="334"/>
      <c r="X16" s="334"/>
      <c r="Y16" s="334"/>
      <c r="Z16" s="334"/>
      <c r="AA16" s="334"/>
    </row>
    <row r="17" spans="1:27" s="41" customFormat="1" ht="13.5" customHeight="1">
      <c r="A17" s="323">
        <v>2019</v>
      </c>
      <c r="B17" s="189">
        <v>99.8</v>
      </c>
      <c r="C17" s="293">
        <v>100.1</v>
      </c>
      <c r="D17" s="190">
        <v>98.5</v>
      </c>
      <c r="E17" s="190">
        <v>98.3</v>
      </c>
      <c r="F17" s="190">
        <v>101.7</v>
      </c>
      <c r="G17" s="190">
        <v>100.6</v>
      </c>
      <c r="H17" s="456">
        <v>87.3</v>
      </c>
      <c r="I17" s="187"/>
      <c r="J17" s="328"/>
      <c r="K17" s="187"/>
      <c r="L17" s="335"/>
      <c r="M17" s="335"/>
      <c r="N17" s="335"/>
      <c r="O17" s="335"/>
      <c r="P17" s="335"/>
      <c r="Q17" s="335"/>
      <c r="R17" s="335"/>
      <c r="S17" s="192"/>
      <c r="T17" s="334"/>
      <c r="U17" s="334"/>
      <c r="V17" s="334"/>
      <c r="W17" s="334"/>
      <c r="X17" s="334"/>
      <c r="Y17" s="334"/>
      <c r="Z17" s="334"/>
      <c r="AA17" s="334"/>
    </row>
    <row r="18" spans="1:27" s="41" customFormat="1" ht="13.5" customHeight="1">
      <c r="A18" s="323">
        <v>2020</v>
      </c>
      <c r="B18" s="189">
        <v>100</v>
      </c>
      <c r="C18" s="293">
        <v>100</v>
      </c>
      <c r="D18" s="190">
        <v>104.3</v>
      </c>
      <c r="E18" s="190">
        <v>106.1</v>
      </c>
      <c r="F18" s="190">
        <v>105.1</v>
      </c>
      <c r="G18" s="190">
        <v>106</v>
      </c>
      <c r="H18" s="456">
        <v>90.6</v>
      </c>
      <c r="I18" s="187"/>
      <c r="J18" s="328"/>
      <c r="K18" s="187"/>
      <c r="L18" s="335"/>
      <c r="M18" s="335"/>
      <c r="N18" s="335"/>
      <c r="O18" s="335"/>
      <c r="P18" s="335"/>
      <c r="Q18" s="335"/>
      <c r="R18" s="335"/>
      <c r="S18" s="192"/>
      <c r="T18" s="334"/>
      <c r="U18" s="334"/>
      <c r="V18" s="334"/>
      <c r="W18" s="334"/>
      <c r="X18" s="334"/>
      <c r="Y18" s="334"/>
      <c r="Z18" s="334"/>
      <c r="AA18" s="334"/>
    </row>
    <row r="19" spans="1:27" s="191" customFormat="1" ht="13.5" customHeight="1">
      <c r="A19" s="323">
        <v>2021</v>
      </c>
      <c r="B19" s="189">
        <v>102.5</v>
      </c>
      <c r="C19" s="293">
        <v>103</v>
      </c>
      <c r="D19" s="190">
        <v>115.6</v>
      </c>
      <c r="E19" s="190">
        <v>121.3</v>
      </c>
      <c r="F19" s="190">
        <v>112</v>
      </c>
      <c r="G19" s="190">
        <v>116.2</v>
      </c>
      <c r="H19" s="456">
        <v>94.3</v>
      </c>
      <c r="I19" s="187"/>
      <c r="J19" s="328"/>
      <c r="K19" s="187"/>
      <c r="L19" s="335"/>
      <c r="M19" s="335"/>
      <c r="N19" s="335"/>
      <c r="O19" s="335"/>
      <c r="P19" s="335"/>
      <c r="Q19" s="335"/>
      <c r="R19" s="335"/>
      <c r="T19" s="334"/>
      <c r="U19" s="334"/>
      <c r="V19" s="334"/>
      <c r="W19" s="334"/>
      <c r="X19" s="334"/>
      <c r="Y19" s="334"/>
      <c r="Z19" s="334"/>
      <c r="AA19" s="334"/>
    </row>
    <row r="20" spans="1:27" s="191" customFormat="1" ht="13.5" customHeight="1">
      <c r="A20" s="323">
        <v>2022</v>
      </c>
      <c r="B20" s="189">
        <v>107.4</v>
      </c>
      <c r="C20" s="293">
        <v>108.7</v>
      </c>
      <c r="D20" s="190">
        <v>110.3</v>
      </c>
      <c r="E20" s="190">
        <v>113.3</v>
      </c>
      <c r="F20" s="190">
        <v>106.6</v>
      </c>
      <c r="G20" s="190">
        <v>108.3</v>
      </c>
      <c r="H20" s="456">
        <v>96.9</v>
      </c>
      <c r="I20" s="187"/>
      <c r="J20" s="328"/>
      <c r="K20" s="187"/>
      <c r="L20" s="335"/>
      <c r="M20" s="335"/>
      <c r="N20" s="335"/>
      <c r="O20" s="335"/>
      <c r="P20" s="335"/>
      <c r="Q20" s="335"/>
      <c r="R20" s="335"/>
      <c r="T20" s="334"/>
      <c r="U20" s="334"/>
      <c r="V20" s="334"/>
      <c r="W20" s="334"/>
      <c r="X20" s="334"/>
      <c r="Y20" s="334"/>
      <c r="Z20" s="334"/>
      <c r="AA20" s="334"/>
    </row>
    <row r="21" spans="1:27" s="191" customFormat="1" ht="13.5" customHeight="1">
      <c r="A21" s="323">
        <v>2023</v>
      </c>
      <c r="B21" s="189">
        <v>111.3</v>
      </c>
      <c r="C21" s="293">
        <v>113</v>
      </c>
      <c r="D21" s="190">
        <v>102.9</v>
      </c>
      <c r="E21" s="190">
        <v>103.7</v>
      </c>
      <c r="F21" s="190">
        <v>98.2</v>
      </c>
      <c r="G21" s="190">
        <v>97</v>
      </c>
      <c r="H21" s="456">
        <v>97</v>
      </c>
      <c r="I21" s="187"/>
      <c r="J21" s="328"/>
      <c r="K21" s="187"/>
      <c r="L21" s="335"/>
      <c r="M21" s="335"/>
      <c r="N21" s="335"/>
      <c r="O21" s="335"/>
      <c r="P21" s="335"/>
      <c r="Q21" s="335"/>
      <c r="R21" s="335"/>
      <c r="T21" s="334"/>
      <c r="U21" s="334"/>
      <c r="V21" s="334"/>
      <c r="W21" s="334"/>
      <c r="X21" s="334"/>
      <c r="Y21" s="334"/>
      <c r="Z21" s="334"/>
      <c r="AA21" s="334"/>
    </row>
    <row r="22" spans="1:27" s="191" customFormat="1" ht="13.5" customHeight="1">
      <c r="A22" s="323">
        <v>2024</v>
      </c>
      <c r="B22" s="189">
        <v>114.1</v>
      </c>
      <c r="C22" s="293">
        <v>116.5</v>
      </c>
      <c r="D22" s="190">
        <v>100.7</v>
      </c>
      <c r="E22" s="190">
        <v>100.9</v>
      </c>
      <c r="F22" s="190">
        <v>98.2</v>
      </c>
      <c r="G22" s="190">
        <v>97.3</v>
      </c>
      <c r="H22" s="456">
        <v>98.5</v>
      </c>
      <c r="I22" s="187"/>
      <c r="J22" s="410"/>
      <c r="K22" s="187"/>
      <c r="L22" s="335"/>
      <c r="M22" s="335"/>
      <c r="N22" s="335"/>
      <c r="O22" s="335"/>
      <c r="P22" s="335"/>
      <c r="Q22" s="335"/>
      <c r="R22" s="335"/>
      <c r="T22" s="334"/>
      <c r="U22" s="334"/>
      <c r="V22" s="334"/>
      <c r="W22" s="334"/>
      <c r="X22" s="334"/>
      <c r="Y22" s="334"/>
      <c r="Z22" s="334"/>
      <c r="AA22" s="334"/>
    </row>
    <row r="23" spans="1:27" s="191" customFormat="1" ht="13.5" customHeight="1">
      <c r="A23" s="323">
        <v>2025</v>
      </c>
      <c r="B23" s="189">
        <v>116.6</v>
      </c>
      <c r="C23" s="293">
        <v>119.5</v>
      </c>
      <c r="D23" s="456">
        <v>99.8</v>
      </c>
      <c r="E23" s="456">
        <v>99.8</v>
      </c>
      <c r="F23" s="456">
        <v>99.7</v>
      </c>
      <c r="G23" s="456">
        <v>99.6</v>
      </c>
      <c r="H23" s="456">
        <v>99.9</v>
      </c>
      <c r="I23" s="187"/>
      <c r="J23" s="410"/>
      <c r="K23" s="187"/>
      <c r="L23" s="335"/>
      <c r="M23" s="335"/>
      <c r="N23" s="335"/>
      <c r="O23" s="335"/>
      <c r="P23" s="335"/>
      <c r="Q23" s="335"/>
      <c r="R23" s="335"/>
      <c r="T23" s="334"/>
      <c r="U23" s="334"/>
      <c r="V23" s="334"/>
      <c r="W23" s="334"/>
      <c r="X23" s="334"/>
      <c r="Y23" s="334"/>
      <c r="Z23" s="334"/>
      <c r="AA23" s="334"/>
    </row>
    <row r="24" spans="1:27" s="194" customFormat="1" ht="12" customHeight="1">
      <c r="A24" s="322"/>
      <c r="B24" s="190"/>
      <c r="C24" s="190"/>
      <c r="D24" s="190"/>
      <c r="E24" s="190"/>
      <c r="F24" s="190"/>
      <c r="G24" s="190"/>
      <c r="H24" s="190"/>
      <c r="I24" s="187"/>
      <c r="J24" s="37"/>
      <c r="K24" s="58"/>
      <c r="L24" s="187"/>
      <c r="M24" s="58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</row>
    <row r="25" spans="1:27" s="194" customFormat="1" ht="12" customHeight="1">
      <c r="A25" s="321"/>
      <c r="B25" s="190"/>
      <c r="C25" s="190"/>
      <c r="D25" s="190"/>
      <c r="E25" s="190"/>
      <c r="F25" s="190"/>
      <c r="G25" s="190"/>
      <c r="H25" s="190"/>
      <c r="I25" s="187"/>
      <c r="J25" s="41"/>
      <c r="K25" s="58"/>
      <c r="L25" s="187"/>
      <c r="M25" s="58"/>
      <c r="N25" s="187"/>
      <c r="O25" s="187"/>
      <c r="P25" s="187"/>
      <c r="Q25" s="187"/>
      <c r="R25" s="187"/>
      <c r="S25" s="187"/>
      <c r="T25" s="334"/>
      <c r="U25" s="334"/>
      <c r="V25" s="334"/>
      <c r="W25" s="334"/>
      <c r="X25" s="334"/>
      <c r="Y25" s="334"/>
      <c r="Z25" s="334"/>
    </row>
    <row r="26" spans="1:27" s="194" customFormat="1" ht="12" customHeight="1">
      <c r="A26" s="337">
        <v>44562</v>
      </c>
      <c r="B26" s="326">
        <v>104.7</v>
      </c>
      <c r="C26" s="339">
        <v>105.2</v>
      </c>
      <c r="D26" s="339">
        <v>115.7</v>
      </c>
      <c r="E26" s="339">
        <v>121.4</v>
      </c>
      <c r="F26" s="339">
        <v>112.1</v>
      </c>
      <c r="G26" s="339">
        <v>116.3</v>
      </c>
      <c r="H26" s="452">
        <v>94.6</v>
      </c>
      <c r="I26" s="187"/>
      <c r="J26" s="328"/>
      <c r="K26" s="58"/>
      <c r="L26" s="187"/>
      <c r="M26" s="58"/>
      <c r="N26" s="187"/>
      <c r="O26" s="187"/>
      <c r="P26" s="187"/>
      <c r="Q26" s="187"/>
      <c r="R26" s="187"/>
      <c r="S26" s="187"/>
      <c r="T26" s="334"/>
      <c r="U26" s="334"/>
      <c r="V26" s="334"/>
      <c r="W26" s="334"/>
      <c r="X26" s="334"/>
      <c r="Y26" s="334"/>
      <c r="Z26" s="334"/>
    </row>
    <row r="27" spans="1:27" s="194" customFormat="1" ht="12" customHeight="1">
      <c r="A27" s="337">
        <v>44593</v>
      </c>
      <c r="B27" s="326">
        <v>105.2</v>
      </c>
      <c r="C27" s="339">
        <v>105.9</v>
      </c>
      <c r="D27" s="339">
        <v>115.8</v>
      </c>
      <c r="E27" s="339">
        <v>121.4</v>
      </c>
      <c r="F27" s="339">
        <v>112.2</v>
      </c>
      <c r="G27" s="339">
        <v>116.4</v>
      </c>
      <c r="H27" s="452">
        <v>94.8</v>
      </c>
      <c r="I27" s="187"/>
      <c r="J27" s="328"/>
      <c r="K27" s="58"/>
      <c r="L27" s="187"/>
      <c r="M27" s="58"/>
      <c r="N27" s="187"/>
      <c r="O27" s="187"/>
      <c r="P27" s="187"/>
      <c r="Q27" s="187"/>
      <c r="R27" s="187"/>
      <c r="S27" s="187"/>
      <c r="T27" s="334"/>
      <c r="U27" s="334"/>
      <c r="V27" s="334"/>
      <c r="W27" s="334"/>
      <c r="X27" s="334"/>
      <c r="Y27" s="334"/>
      <c r="Z27" s="334"/>
    </row>
    <row r="28" spans="1:27" s="194" customFormat="1" ht="12" customHeight="1">
      <c r="A28" s="337">
        <v>44621</v>
      </c>
      <c r="B28" s="326">
        <v>105.9</v>
      </c>
      <c r="C28" s="339">
        <v>107.2</v>
      </c>
      <c r="D28" s="339">
        <v>115.8</v>
      </c>
      <c r="E28" s="339">
        <v>121.4</v>
      </c>
      <c r="F28" s="339">
        <v>112.3</v>
      </c>
      <c r="G28" s="339">
        <v>116.5</v>
      </c>
      <c r="H28" s="452">
        <v>95.1</v>
      </c>
      <c r="I28" s="187"/>
      <c r="J28" s="328"/>
      <c r="K28" s="58"/>
      <c r="L28" s="187"/>
      <c r="M28" s="58"/>
      <c r="N28" s="187"/>
      <c r="O28" s="187"/>
      <c r="P28" s="187"/>
      <c r="Q28" s="187"/>
      <c r="R28" s="187"/>
      <c r="S28" s="187"/>
      <c r="T28" s="334"/>
      <c r="U28" s="334"/>
      <c r="V28" s="334"/>
      <c r="W28" s="334"/>
      <c r="X28" s="334"/>
      <c r="Y28" s="334"/>
      <c r="Z28" s="334"/>
    </row>
    <row r="29" spans="1:27" s="194" customFormat="1" ht="12" customHeight="1">
      <c r="A29" s="337">
        <v>44652</v>
      </c>
      <c r="B29" s="326">
        <v>106.4</v>
      </c>
      <c r="C29" s="339">
        <v>107.8</v>
      </c>
      <c r="D29" s="339">
        <v>116</v>
      </c>
      <c r="E29" s="339">
        <v>121.5</v>
      </c>
      <c r="F29" s="339">
        <v>112.4</v>
      </c>
      <c r="G29" s="339">
        <v>116.5</v>
      </c>
      <c r="H29" s="452">
        <v>95.5</v>
      </c>
      <c r="I29" s="187"/>
      <c r="J29" s="328"/>
      <c r="K29" s="58"/>
      <c r="L29" s="187"/>
      <c r="M29" s="58"/>
      <c r="N29" s="187"/>
      <c r="O29" s="187"/>
      <c r="P29" s="187"/>
      <c r="Q29" s="187"/>
      <c r="R29" s="187"/>
      <c r="S29" s="187"/>
      <c r="T29" s="334"/>
      <c r="U29" s="334"/>
      <c r="V29" s="334"/>
      <c r="W29" s="334"/>
      <c r="X29" s="334"/>
      <c r="Y29" s="334"/>
      <c r="Z29" s="334"/>
    </row>
    <row r="30" spans="1:27" s="194" customFormat="1" ht="12" customHeight="1">
      <c r="A30" s="337">
        <v>44682</v>
      </c>
      <c r="B30" s="326">
        <v>107.1</v>
      </c>
      <c r="C30" s="339">
        <v>108.7</v>
      </c>
      <c r="D30" s="339">
        <v>116</v>
      </c>
      <c r="E30" s="339">
        <v>121.5</v>
      </c>
      <c r="F30" s="339">
        <v>112.5</v>
      </c>
      <c r="G30" s="339">
        <v>116.5</v>
      </c>
      <c r="H30" s="452">
        <v>95.8</v>
      </c>
      <c r="I30" s="187"/>
      <c r="J30" s="328"/>
      <c r="K30" s="58"/>
      <c r="L30" s="187"/>
      <c r="M30" s="58"/>
      <c r="N30" s="187"/>
      <c r="O30" s="187"/>
      <c r="P30" s="187"/>
      <c r="Q30" s="187"/>
      <c r="R30" s="187"/>
      <c r="S30" s="187"/>
      <c r="T30" s="334"/>
      <c r="U30" s="334"/>
      <c r="V30" s="334"/>
      <c r="W30" s="334"/>
      <c r="X30" s="334"/>
      <c r="Y30" s="334"/>
      <c r="Z30" s="334"/>
    </row>
    <row r="31" spans="1:27" s="194" customFormat="1" ht="12" customHeight="1">
      <c r="A31" s="337">
        <v>44713</v>
      </c>
      <c r="B31" s="326">
        <v>107.8</v>
      </c>
      <c r="C31" s="339">
        <v>109.6</v>
      </c>
      <c r="D31" s="339">
        <v>116</v>
      </c>
      <c r="E31" s="339">
        <v>121.5</v>
      </c>
      <c r="F31" s="339">
        <v>112.5</v>
      </c>
      <c r="G31" s="339">
        <v>116.5</v>
      </c>
      <c r="H31" s="452">
        <v>96.1</v>
      </c>
      <c r="I31" s="187"/>
      <c r="J31" s="328"/>
      <c r="K31" s="58"/>
      <c r="L31" s="187"/>
      <c r="M31" s="58"/>
      <c r="N31" s="187"/>
      <c r="O31" s="187"/>
      <c r="P31" s="187"/>
      <c r="Q31" s="187"/>
      <c r="R31" s="187"/>
      <c r="S31" s="187"/>
      <c r="T31" s="334"/>
      <c r="U31" s="334"/>
      <c r="V31" s="334"/>
      <c r="W31" s="334"/>
      <c r="X31" s="334"/>
      <c r="Y31" s="334"/>
      <c r="Z31" s="334"/>
    </row>
    <row r="32" spans="1:27" s="194" customFormat="1" ht="12" customHeight="1">
      <c r="A32" s="337">
        <v>44743</v>
      </c>
      <c r="B32" s="326">
        <v>108.2</v>
      </c>
      <c r="C32" s="339">
        <v>109.8</v>
      </c>
      <c r="D32" s="339">
        <v>115.9</v>
      </c>
      <c r="E32" s="339">
        <v>121.3</v>
      </c>
      <c r="F32" s="339">
        <v>112.4</v>
      </c>
      <c r="G32" s="339">
        <v>116.4</v>
      </c>
      <c r="H32" s="452">
        <v>96.4</v>
      </c>
      <c r="I32" s="187"/>
      <c r="J32" s="328"/>
      <c r="K32" s="58"/>
      <c r="L32" s="187"/>
      <c r="M32" s="58"/>
      <c r="N32" s="187"/>
      <c r="O32" s="187"/>
      <c r="P32" s="187"/>
      <c r="Q32" s="187"/>
      <c r="R32" s="187"/>
      <c r="S32" s="187"/>
      <c r="T32" s="334"/>
      <c r="U32" s="334"/>
      <c r="V32" s="334"/>
      <c r="W32" s="334"/>
      <c r="X32" s="334"/>
      <c r="Y32" s="334"/>
      <c r="Z32" s="334"/>
    </row>
    <row r="33" spans="1:26" s="194" customFormat="1" ht="12" customHeight="1">
      <c r="A33" s="337">
        <v>44774</v>
      </c>
      <c r="B33" s="326">
        <v>108.2</v>
      </c>
      <c r="C33" s="339">
        <v>109.6</v>
      </c>
      <c r="D33" s="339">
        <v>115.6</v>
      </c>
      <c r="E33" s="339">
        <v>120.7</v>
      </c>
      <c r="F33" s="339">
        <v>112.1</v>
      </c>
      <c r="G33" s="339">
        <v>116</v>
      </c>
      <c r="H33" s="452">
        <v>96.6</v>
      </c>
      <c r="I33" s="187"/>
      <c r="J33" s="328"/>
      <c r="K33" s="58"/>
      <c r="L33" s="187"/>
      <c r="M33" s="58"/>
      <c r="N33" s="187"/>
      <c r="O33" s="187"/>
      <c r="P33" s="187"/>
      <c r="Q33" s="187"/>
      <c r="R33" s="187"/>
      <c r="S33" s="187"/>
      <c r="T33" s="334"/>
      <c r="U33" s="334"/>
      <c r="V33" s="334"/>
      <c r="W33" s="334"/>
      <c r="X33" s="334"/>
      <c r="Y33" s="334"/>
      <c r="Z33" s="334"/>
    </row>
    <row r="34" spans="1:26" s="194" customFormat="1" ht="12" customHeight="1">
      <c r="A34" s="337">
        <v>44805</v>
      </c>
      <c r="B34" s="326">
        <v>108.4</v>
      </c>
      <c r="C34" s="339">
        <v>110.1</v>
      </c>
      <c r="D34" s="339">
        <v>115</v>
      </c>
      <c r="E34" s="339">
        <v>119.8</v>
      </c>
      <c r="F34" s="339">
        <v>111.5</v>
      </c>
      <c r="G34" s="339">
        <v>115.1</v>
      </c>
      <c r="H34" s="452">
        <v>96.8</v>
      </c>
      <c r="I34" s="187"/>
      <c r="J34" s="328"/>
      <c r="K34" s="58"/>
      <c r="L34" s="187"/>
      <c r="M34" s="58"/>
      <c r="N34" s="187"/>
      <c r="O34" s="187"/>
      <c r="P34" s="187"/>
      <c r="Q34" s="187"/>
      <c r="R34" s="187"/>
      <c r="S34" s="187"/>
      <c r="T34" s="334"/>
      <c r="U34" s="334"/>
      <c r="V34" s="334"/>
      <c r="W34" s="334"/>
      <c r="X34" s="334"/>
      <c r="Y34" s="334"/>
      <c r="Z34" s="334"/>
    </row>
    <row r="35" spans="1:26" s="194" customFormat="1" ht="12" customHeight="1">
      <c r="A35" s="337">
        <v>44835</v>
      </c>
      <c r="B35" s="326">
        <v>108.8</v>
      </c>
      <c r="C35" s="339">
        <v>110.5</v>
      </c>
      <c r="D35" s="339">
        <v>114</v>
      </c>
      <c r="E35" s="339">
        <v>118.5</v>
      </c>
      <c r="F35" s="339">
        <v>110.6</v>
      </c>
      <c r="G35" s="339">
        <v>113.8</v>
      </c>
      <c r="H35" s="452">
        <v>96.9</v>
      </c>
      <c r="I35" s="187"/>
      <c r="J35" s="328"/>
      <c r="K35" s="58"/>
      <c r="L35" s="187"/>
      <c r="M35" s="58"/>
      <c r="N35" s="187"/>
      <c r="O35" s="187"/>
      <c r="P35" s="187"/>
      <c r="Q35" s="187"/>
      <c r="R35" s="187"/>
      <c r="S35" s="187"/>
      <c r="T35" s="334"/>
      <c r="U35" s="334"/>
      <c r="V35" s="334"/>
      <c r="W35" s="334"/>
      <c r="X35" s="334"/>
      <c r="Y35" s="334"/>
      <c r="Z35" s="334"/>
    </row>
    <row r="36" spans="1:26" s="194" customFormat="1" ht="12" customHeight="1">
      <c r="A36" s="337">
        <v>44866</v>
      </c>
      <c r="B36" s="326">
        <v>108.7</v>
      </c>
      <c r="C36" s="339">
        <v>110.3</v>
      </c>
      <c r="D36" s="291">
        <v>112.4</v>
      </c>
      <c r="E36" s="291">
        <v>116.2</v>
      </c>
      <c r="F36" s="291">
        <v>109</v>
      </c>
      <c r="G36" s="291">
        <v>111.5</v>
      </c>
      <c r="H36" s="451">
        <v>96.9</v>
      </c>
      <c r="I36" s="187"/>
      <c r="J36" s="328"/>
      <c r="K36" s="58"/>
      <c r="L36" s="187"/>
      <c r="M36" s="58"/>
      <c r="N36" s="187"/>
      <c r="O36" s="187"/>
      <c r="P36" s="187"/>
      <c r="Q36" s="187"/>
      <c r="R36" s="187"/>
      <c r="S36" s="187"/>
      <c r="T36" s="334"/>
      <c r="U36" s="334"/>
      <c r="V36" s="334"/>
      <c r="W36" s="334"/>
      <c r="X36" s="334"/>
      <c r="Y36" s="334"/>
      <c r="Z36" s="334"/>
    </row>
    <row r="37" spans="1:26" s="194" customFormat="1" ht="12" customHeight="1">
      <c r="A37" s="337">
        <v>44896</v>
      </c>
      <c r="B37" s="326">
        <v>108.8</v>
      </c>
      <c r="C37" s="339">
        <v>109.9</v>
      </c>
      <c r="D37" s="291">
        <v>110.3</v>
      </c>
      <c r="E37" s="291">
        <v>113.3</v>
      </c>
      <c r="F37" s="291">
        <v>106.6</v>
      </c>
      <c r="G37" s="291">
        <v>108.3</v>
      </c>
      <c r="H37" s="451">
        <v>96.9</v>
      </c>
      <c r="I37" s="187"/>
      <c r="J37" s="328"/>
      <c r="K37" s="58"/>
      <c r="L37" s="187"/>
      <c r="M37" s="58"/>
      <c r="N37" s="187"/>
      <c r="O37" s="187"/>
      <c r="P37" s="187"/>
      <c r="Q37" s="187"/>
      <c r="R37" s="187"/>
      <c r="S37" s="187"/>
      <c r="T37" s="334"/>
      <c r="U37" s="334"/>
      <c r="V37" s="334"/>
      <c r="W37" s="334"/>
      <c r="X37" s="334"/>
      <c r="Y37" s="334"/>
      <c r="Z37" s="334"/>
    </row>
    <row r="38" spans="1:26" s="194" customFormat="1" ht="12" customHeight="1">
      <c r="A38" s="337">
        <v>44927</v>
      </c>
      <c r="B38" s="326">
        <v>109.8</v>
      </c>
      <c r="C38" s="339">
        <v>111.1</v>
      </c>
      <c r="D38" s="291">
        <v>108.4</v>
      </c>
      <c r="E38" s="291">
        <v>110.7</v>
      </c>
      <c r="F38" s="291">
        <v>104.2</v>
      </c>
      <c r="G38" s="291">
        <v>105</v>
      </c>
      <c r="H38" s="451">
        <v>96.9</v>
      </c>
      <c r="I38" s="187"/>
      <c r="J38" s="328"/>
      <c r="K38" s="58"/>
      <c r="L38" s="187"/>
      <c r="M38" s="58"/>
      <c r="N38" s="187"/>
      <c r="O38" s="187"/>
      <c r="P38" s="187"/>
      <c r="Q38" s="187"/>
      <c r="R38" s="187"/>
      <c r="S38" s="187"/>
      <c r="T38" s="334"/>
      <c r="U38" s="334"/>
      <c r="V38" s="334"/>
      <c r="W38" s="334"/>
      <c r="X38" s="334"/>
      <c r="Y38" s="334"/>
      <c r="Z38" s="334"/>
    </row>
    <row r="39" spans="1:26" s="194" customFormat="1" ht="12" customHeight="1">
      <c r="A39" s="337">
        <v>44958</v>
      </c>
      <c r="B39" s="326">
        <v>110</v>
      </c>
      <c r="C39" s="339">
        <v>111.4</v>
      </c>
      <c r="D39" s="291">
        <v>106.8</v>
      </c>
      <c r="E39" s="291">
        <v>108.5</v>
      </c>
      <c r="F39" s="291">
        <v>102.1</v>
      </c>
      <c r="G39" s="291">
        <v>102.1</v>
      </c>
      <c r="H39" s="451">
        <v>96.9</v>
      </c>
      <c r="I39" s="187"/>
      <c r="J39" s="328"/>
      <c r="K39" s="58"/>
      <c r="L39" s="187"/>
      <c r="M39" s="58"/>
      <c r="N39" s="187"/>
      <c r="O39" s="187"/>
      <c r="P39" s="187"/>
      <c r="Q39" s="187"/>
      <c r="R39" s="187"/>
      <c r="S39" s="187"/>
      <c r="T39" s="334"/>
      <c r="U39" s="334"/>
      <c r="V39" s="334"/>
      <c r="W39" s="334"/>
      <c r="X39" s="334"/>
      <c r="Y39" s="334"/>
      <c r="Z39" s="334"/>
    </row>
    <row r="40" spans="1:26" s="194" customFormat="1" ht="12" customHeight="1">
      <c r="A40" s="337">
        <f>EDATE(A39,1)</f>
        <v>44986</v>
      </c>
      <c r="B40" s="326">
        <v>110.2</v>
      </c>
      <c r="C40" s="339">
        <v>111.6</v>
      </c>
      <c r="D40" s="291">
        <v>105.6</v>
      </c>
      <c r="E40" s="291">
        <v>106.9</v>
      </c>
      <c r="F40" s="291">
        <v>100.7</v>
      </c>
      <c r="G40" s="291">
        <v>100.1</v>
      </c>
      <c r="H40" s="451">
        <v>96.9</v>
      </c>
      <c r="I40" s="187"/>
      <c r="J40" s="328"/>
      <c r="K40" s="58"/>
      <c r="L40" s="187"/>
      <c r="M40" s="58"/>
      <c r="N40" s="187"/>
      <c r="O40" s="187"/>
      <c r="P40" s="187"/>
      <c r="Q40" s="187"/>
      <c r="R40" s="187"/>
      <c r="S40" s="187"/>
      <c r="T40" s="334"/>
      <c r="U40" s="334"/>
      <c r="V40" s="334"/>
      <c r="W40" s="334"/>
      <c r="X40" s="334"/>
      <c r="Y40" s="334"/>
      <c r="Z40" s="334"/>
    </row>
    <row r="41" spans="1:26" s="194" customFormat="1" ht="12" customHeight="1">
      <c r="A41" s="337">
        <f t="shared" ref="A41:A54" si="0">EDATE(A40,1)</f>
        <v>45017</v>
      </c>
      <c r="B41" s="326">
        <v>110.4</v>
      </c>
      <c r="C41" s="339">
        <v>111.8</v>
      </c>
      <c r="D41" s="291">
        <v>104.8</v>
      </c>
      <c r="E41" s="291">
        <v>105.9</v>
      </c>
      <c r="F41" s="291">
        <v>99.9</v>
      </c>
      <c r="G41" s="291">
        <v>99</v>
      </c>
      <c r="H41" s="451">
        <v>96.8</v>
      </c>
      <c r="I41" s="187"/>
      <c r="J41" s="328"/>
      <c r="K41" s="58"/>
      <c r="L41" s="187"/>
      <c r="M41" s="58"/>
      <c r="N41" s="187"/>
      <c r="O41" s="187"/>
      <c r="P41" s="187"/>
      <c r="Q41" s="187"/>
      <c r="R41" s="187"/>
      <c r="S41" s="187"/>
      <c r="T41" s="334"/>
      <c r="U41" s="334"/>
      <c r="V41" s="334"/>
      <c r="W41" s="334"/>
      <c r="X41" s="334"/>
      <c r="Y41" s="334"/>
      <c r="Z41" s="334"/>
    </row>
    <row r="42" spans="1:26" s="194" customFormat="1" ht="12" customHeight="1">
      <c r="A42" s="337">
        <f t="shared" si="0"/>
        <v>45047</v>
      </c>
      <c r="B42" s="326">
        <v>110.8</v>
      </c>
      <c r="C42" s="339">
        <v>112.3</v>
      </c>
      <c r="D42" s="291">
        <v>104.4</v>
      </c>
      <c r="E42" s="291">
        <v>105.3</v>
      </c>
      <c r="F42" s="291">
        <v>99.4</v>
      </c>
      <c r="G42" s="291">
        <v>98.4</v>
      </c>
      <c r="H42" s="451">
        <v>96.8</v>
      </c>
      <c r="I42" s="187"/>
      <c r="J42" s="328"/>
      <c r="K42" s="58"/>
      <c r="L42" s="187"/>
      <c r="M42" s="58"/>
      <c r="N42" s="187"/>
      <c r="O42" s="187"/>
      <c r="P42" s="187"/>
      <c r="Q42" s="187"/>
      <c r="R42" s="187"/>
      <c r="S42" s="187"/>
      <c r="T42" s="334"/>
      <c r="U42" s="334"/>
      <c r="V42" s="334"/>
      <c r="W42" s="334"/>
      <c r="X42" s="334"/>
      <c r="Y42" s="334"/>
      <c r="Z42" s="334"/>
    </row>
    <row r="43" spans="1:26" s="194" customFormat="1" ht="12" customHeight="1">
      <c r="A43" s="337">
        <f t="shared" si="0"/>
        <v>45078</v>
      </c>
      <c r="B43" s="326">
        <v>110.9</v>
      </c>
      <c r="C43" s="339">
        <v>112.4</v>
      </c>
      <c r="D43" s="291">
        <v>104.1</v>
      </c>
      <c r="E43" s="291">
        <v>105</v>
      </c>
      <c r="F43" s="291">
        <v>99.1</v>
      </c>
      <c r="G43" s="291">
        <v>98</v>
      </c>
      <c r="H43" s="451">
        <v>96.8</v>
      </c>
      <c r="I43" s="187"/>
      <c r="J43" s="328"/>
      <c r="K43" s="58"/>
      <c r="L43" s="187"/>
      <c r="M43" s="58"/>
      <c r="N43" s="187"/>
      <c r="O43" s="187"/>
      <c r="P43" s="187"/>
      <c r="Q43" s="187"/>
      <c r="R43" s="187"/>
      <c r="S43" s="187"/>
      <c r="T43" s="334"/>
      <c r="U43" s="334"/>
      <c r="V43" s="334"/>
      <c r="W43" s="334"/>
      <c r="X43" s="334"/>
      <c r="Y43" s="334"/>
      <c r="Z43" s="334"/>
    </row>
    <row r="44" spans="1:26" s="194" customFormat="1" ht="12" customHeight="1">
      <c r="A44" s="337">
        <f t="shared" si="0"/>
        <v>45108</v>
      </c>
      <c r="B44" s="326">
        <v>111.1</v>
      </c>
      <c r="C44" s="339">
        <v>112.4</v>
      </c>
      <c r="D44" s="291">
        <v>103.8</v>
      </c>
      <c r="E44" s="291">
        <v>104.7</v>
      </c>
      <c r="F44" s="291">
        <v>98.8</v>
      </c>
      <c r="G44" s="291">
        <v>97.7</v>
      </c>
      <c r="H44" s="451">
        <v>96.9</v>
      </c>
      <c r="I44" s="187"/>
      <c r="J44" s="328"/>
      <c r="K44" s="58"/>
      <c r="L44" s="187"/>
      <c r="M44" s="58"/>
      <c r="N44" s="187"/>
      <c r="O44" s="187"/>
      <c r="P44" s="187"/>
      <c r="Q44" s="187"/>
      <c r="R44" s="187"/>
      <c r="S44" s="187"/>
      <c r="T44" s="334"/>
      <c r="U44" s="334"/>
      <c r="V44" s="334"/>
      <c r="W44" s="334"/>
      <c r="X44" s="334"/>
      <c r="Y44" s="334"/>
      <c r="Z44" s="334"/>
    </row>
    <row r="45" spans="1:26" s="194" customFormat="1" ht="11.25">
      <c r="A45" s="337">
        <f t="shared" si="0"/>
        <v>45139</v>
      </c>
      <c r="B45" s="326">
        <v>111.9</v>
      </c>
      <c r="C45" s="339">
        <v>113.5</v>
      </c>
      <c r="D45" s="291">
        <v>103.6</v>
      </c>
      <c r="E45" s="291">
        <v>104.5</v>
      </c>
      <c r="F45" s="291">
        <v>98.6</v>
      </c>
      <c r="G45" s="291">
        <v>97.5</v>
      </c>
      <c r="H45" s="451">
        <v>96.9</v>
      </c>
      <c r="I45" s="205"/>
      <c r="J45" s="328"/>
      <c r="K45" s="58"/>
      <c r="L45" s="205"/>
      <c r="M45" s="58"/>
      <c r="N45" s="205"/>
      <c r="O45" s="205"/>
      <c r="P45" s="205"/>
      <c r="Q45" s="205"/>
      <c r="R45" s="205"/>
      <c r="S45" s="84"/>
      <c r="T45" s="84"/>
      <c r="U45" s="84"/>
      <c r="V45" s="84"/>
      <c r="W45" s="84"/>
      <c r="X45" s="84"/>
    </row>
    <row r="46" spans="1:26" s="194" customFormat="1" ht="11.25">
      <c r="A46" s="337">
        <f t="shared" si="0"/>
        <v>45170</v>
      </c>
      <c r="B46" s="326">
        <v>112.4</v>
      </c>
      <c r="C46" s="339">
        <v>114.6</v>
      </c>
      <c r="D46" s="291">
        <v>103.6</v>
      </c>
      <c r="E46" s="291">
        <v>104.4</v>
      </c>
      <c r="F46" s="291">
        <v>98.5</v>
      </c>
      <c r="G46" s="291">
        <v>97.3</v>
      </c>
      <c r="H46" s="451">
        <v>96.9</v>
      </c>
      <c r="I46" s="205"/>
      <c r="J46" s="328"/>
      <c r="K46" s="58"/>
      <c r="L46" s="205"/>
      <c r="M46" s="58"/>
      <c r="N46" s="205"/>
      <c r="O46" s="205"/>
      <c r="P46" s="205"/>
      <c r="Q46" s="205"/>
      <c r="R46" s="205"/>
      <c r="S46" s="84"/>
      <c r="T46" s="84"/>
      <c r="U46" s="84"/>
      <c r="V46" s="84"/>
      <c r="W46" s="84"/>
      <c r="X46" s="84"/>
    </row>
    <row r="47" spans="1:26" s="194" customFormat="1" ht="11.25">
      <c r="A47" s="337">
        <f t="shared" si="0"/>
        <v>45200</v>
      </c>
      <c r="B47" s="326">
        <v>113.1</v>
      </c>
      <c r="C47" s="339">
        <v>115.6</v>
      </c>
      <c r="D47" s="291">
        <v>103.4</v>
      </c>
      <c r="E47" s="291">
        <v>104.3</v>
      </c>
      <c r="F47" s="291">
        <v>98.5</v>
      </c>
      <c r="G47" s="291">
        <v>97.3</v>
      </c>
      <c r="H47" s="451">
        <v>97</v>
      </c>
      <c r="I47" s="205"/>
      <c r="J47" s="328"/>
      <c r="K47" s="58"/>
      <c r="L47" s="205"/>
      <c r="M47" s="58"/>
      <c r="N47" s="205"/>
      <c r="O47" s="205"/>
      <c r="P47" s="205"/>
      <c r="Q47" s="205"/>
      <c r="R47" s="205"/>
      <c r="S47" s="84"/>
      <c r="T47" s="84"/>
      <c r="U47" s="84"/>
      <c r="V47" s="84"/>
      <c r="W47" s="84"/>
      <c r="X47" s="84"/>
    </row>
    <row r="48" spans="1:26" s="194" customFormat="1" ht="11.25">
      <c r="A48" s="337">
        <f t="shared" si="0"/>
        <v>45231</v>
      </c>
      <c r="B48" s="326">
        <v>112.6</v>
      </c>
      <c r="C48" s="339">
        <v>114.8</v>
      </c>
      <c r="D48" s="291">
        <v>103.2</v>
      </c>
      <c r="E48" s="291">
        <v>104</v>
      </c>
      <c r="F48" s="291">
        <v>98.4</v>
      </c>
      <c r="G48" s="291">
        <v>97.2</v>
      </c>
      <c r="H48" s="451">
        <v>97</v>
      </c>
      <c r="I48" s="205"/>
      <c r="J48" s="328"/>
      <c r="K48" s="58"/>
      <c r="L48" s="205"/>
      <c r="M48" s="58"/>
      <c r="N48" s="205"/>
      <c r="O48" s="205"/>
      <c r="P48" s="205"/>
      <c r="Q48" s="205"/>
      <c r="R48" s="205"/>
      <c r="S48" s="84"/>
      <c r="T48" s="84"/>
      <c r="U48" s="84"/>
      <c r="V48" s="84"/>
      <c r="W48" s="84"/>
      <c r="X48" s="84"/>
    </row>
    <row r="49" spans="1:24" s="194" customFormat="1" ht="11.25">
      <c r="A49" s="337">
        <f t="shared" si="0"/>
        <v>45261</v>
      </c>
      <c r="B49" s="326">
        <v>112.7</v>
      </c>
      <c r="C49" s="339">
        <v>114.4</v>
      </c>
      <c r="D49" s="291">
        <v>102.9</v>
      </c>
      <c r="E49" s="291">
        <v>103.7</v>
      </c>
      <c r="F49" s="291">
        <v>98.2</v>
      </c>
      <c r="G49" s="291">
        <v>97</v>
      </c>
      <c r="H49" s="451">
        <v>97</v>
      </c>
      <c r="I49" s="205"/>
      <c r="J49" s="328"/>
      <c r="K49" s="58"/>
      <c r="L49" s="205"/>
      <c r="M49" s="58"/>
      <c r="N49" s="205"/>
      <c r="O49" s="205"/>
      <c r="P49" s="205"/>
      <c r="Q49" s="205"/>
      <c r="R49" s="205"/>
      <c r="S49" s="84"/>
      <c r="T49" s="84"/>
      <c r="U49" s="84"/>
      <c r="V49" s="84"/>
      <c r="W49" s="84"/>
      <c r="X49" s="84"/>
    </row>
    <row r="50" spans="1:24" s="404" customFormat="1" ht="11.25">
      <c r="A50" s="337">
        <f t="shared" si="0"/>
        <v>45292</v>
      </c>
      <c r="B50" s="409">
        <v>113.1</v>
      </c>
      <c r="C50" s="411">
        <v>115.3</v>
      </c>
      <c r="D50" s="408">
        <v>102.7</v>
      </c>
      <c r="E50" s="408">
        <v>103.4</v>
      </c>
      <c r="F50" s="408">
        <v>98</v>
      </c>
      <c r="G50" s="408">
        <v>96.8</v>
      </c>
      <c r="H50" s="451">
        <v>97.1</v>
      </c>
      <c r="I50" s="405"/>
      <c r="J50" s="410"/>
      <c r="K50" s="398"/>
      <c r="L50" s="405"/>
      <c r="M50" s="398"/>
      <c r="N50" s="405"/>
      <c r="O50" s="405"/>
      <c r="P50" s="405"/>
      <c r="Q50" s="405"/>
      <c r="R50" s="405"/>
      <c r="S50" s="401"/>
      <c r="T50" s="401"/>
      <c r="U50" s="401"/>
      <c r="V50" s="401"/>
      <c r="W50" s="401"/>
      <c r="X50" s="401"/>
    </row>
    <row r="51" spans="1:24" s="404" customFormat="1" ht="11.25">
      <c r="A51" s="337">
        <f t="shared" si="0"/>
        <v>45323</v>
      </c>
      <c r="B51" s="409">
        <v>113.8</v>
      </c>
      <c r="C51" s="411">
        <v>116.3</v>
      </c>
      <c r="D51" s="408">
        <v>102.4</v>
      </c>
      <c r="E51" s="408">
        <v>103</v>
      </c>
      <c r="F51" s="408">
        <v>97.9</v>
      </c>
      <c r="G51" s="408">
        <v>96.7</v>
      </c>
      <c r="H51" s="451">
        <v>97.1</v>
      </c>
      <c r="I51" s="405"/>
      <c r="J51" s="410"/>
      <c r="K51" s="398"/>
      <c r="L51" s="405"/>
      <c r="M51" s="398"/>
      <c r="N51" s="405"/>
      <c r="O51" s="405"/>
      <c r="P51" s="405"/>
      <c r="Q51" s="405"/>
      <c r="R51" s="405"/>
      <c r="S51" s="401"/>
      <c r="T51" s="401"/>
      <c r="U51" s="401"/>
      <c r="V51" s="401"/>
      <c r="W51" s="401"/>
      <c r="X51" s="401"/>
    </row>
    <row r="52" spans="1:24" s="404" customFormat="1" ht="11.25">
      <c r="A52" s="337">
        <f t="shared" si="0"/>
        <v>45352</v>
      </c>
      <c r="B52" s="409">
        <v>114</v>
      </c>
      <c r="C52" s="411">
        <v>116.5</v>
      </c>
      <c r="D52" s="408">
        <v>102.1</v>
      </c>
      <c r="E52" s="408">
        <v>102.7</v>
      </c>
      <c r="F52" s="408">
        <v>97.8</v>
      </c>
      <c r="G52" s="408">
        <v>96.6</v>
      </c>
      <c r="H52" s="451">
        <v>97.2</v>
      </c>
      <c r="I52" s="405"/>
      <c r="J52" s="410"/>
      <c r="K52" s="398"/>
      <c r="L52" s="405"/>
      <c r="M52" s="398"/>
      <c r="N52" s="405"/>
      <c r="O52" s="405"/>
      <c r="P52" s="405"/>
      <c r="Q52" s="405"/>
      <c r="R52" s="405"/>
      <c r="S52" s="401"/>
      <c r="T52" s="401"/>
      <c r="U52" s="401"/>
      <c r="V52" s="401"/>
      <c r="W52" s="401"/>
      <c r="X52" s="401"/>
    </row>
    <row r="53" spans="1:24" s="404" customFormat="1" ht="11.25">
      <c r="A53" s="337">
        <f t="shared" si="0"/>
        <v>45383</v>
      </c>
      <c r="B53" s="409">
        <v>113.9</v>
      </c>
      <c r="C53" s="411">
        <v>116.2</v>
      </c>
      <c r="D53" s="408">
        <v>102</v>
      </c>
      <c r="E53" s="408">
        <v>102.5</v>
      </c>
      <c r="F53" s="408">
        <v>97.9</v>
      </c>
      <c r="G53" s="408">
        <v>96.7</v>
      </c>
      <c r="H53" s="451">
        <v>97.3</v>
      </c>
      <c r="I53" s="405"/>
      <c r="J53" s="410"/>
      <c r="K53" s="398"/>
      <c r="L53" s="405"/>
      <c r="M53" s="398"/>
      <c r="N53" s="405"/>
      <c r="O53" s="405"/>
      <c r="P53" s="405"/>
      <c r="Q53" s="405"/>
      <c r="R53" s="405"/>
      <c r="S53" s="401"/>
      <c r="T53" s="401"/>
      <c r="U53" s="401"/>
      <c r="V53" s="401"/>
      <c r="W53" s="401"/>
      <c r="X53" s="401"/>
    </row>
    <row r="54" spans="1:24" s="404" customFormat="1" ht="11.25">
      <c r="A54" s="337">
        <f t="shared" si="0"/>
        <v>45413</v>
      </c>
      <c r="B54" s="409">
        <v>113.9</v>
      </c>
      <c r="C54" s="411">
        <v>116</v>
      </c>
      <c r="D54" s="408">
        <v>101.8</v>
      </c>
      <c r="E54" s="408">
        <v>102.3</v>
      </c>
      <c r="F54" s="408">
        <v>97.9</v>
      </c>
      <c r="G54" s="408">
        <v>96.8</v>
      </c>
      <c r="H54" s="451">
        <v>97.4</v>
      </c>
      <c r="I54" s="405"/>
      <c r="J54" s="410"/>
      <c r="K54" s="398"/>
      <c r="L54" s="405"/>
      <c r="M54" s="398"/>
      <c r="N54" s="405"/>
      <c r="O54" s="405"/>
      <c r="P54" s="405"/>
      <c r="Q54" s="405"/>
      <c r="R54" s="405"/>
      <c r="S54" s="401"/>
      <c r="T54" s="401"/>
      <c r="U54" s="401"/>
      <c r="V54" s="401"/>
      <c r="W54" s="401"/>
      <c r="X54" s="401"/>
    </row>
    <row r="55" spans="1:24" s="404" customFormat="1" ht="11.25">
      <c r="A55" s="337">
        <f>EDATE(A54,1)</f>
        <v>45444</v>
      </c>
      <c r="B55" s="409">
        <v>113.7</v>
      </c>
      <c r="C55" s="411">
        <v>115.9</v>
      </c>
      <c r="D55" s="408">
        <v>101.6</v>
      </c>
      <c r="E55" s="408">
        <v>102</v>
      </c>
      <c r="F55" s="408">
        <v>97.9</v>
      </c>
      <c r="G55" s="408">
        <v>96.8</v>
      </c>
      <c r="H55" s="451">
        <v>97.6</v>
      </c>
      <c r="I55" s="405"/>
      <c r="J55" s="410"/>
      <c r="K55" s="398"/>
      <c r="L55" s="405"/>
      <c r="M55" s="398"/>
      <c r="N55" s="405"/>
      <c r="O55" s="405"/>
      <c r="P55" s="405"/>
      <c r="Q55" s="405"/>
      <c r="R55" s="405"/>
      <c r="S55" s="401"/>
      <c r="T55" s="401"/>
      <c r="U55" s="401"/>
      <c r="V55" s="401"/>
      <c r="W55" s="401"/>
      <c r="X55" s="401"/>
    </row>
    <row r="56" spans="1:24" s="404" customFormat="1" ht="11.25">
      <c r="A56" s="337">
        <f t="shared" ref="A56:A77" si="1">EDATE(A55,1)</f>
        <v>45474</v>
      </c>
      <c r="B56" s="409">
        <v>114</v>
      </c>
      <c r="C56" s="411">
        <v>115.9</v>
      </c>
      <c r="D56" s="408">
        <v>101.4</v>
      </c>
      <c r="E56" s="408">
        <v>101.8</v>
      </c>
      <c r="F56" s="408">
        <v>97.9</v>
      </c>
      <c r="G56" s="408">
        <v>96.8</v>
      </c>
      <c r="H56" s="451">
        <v>97.7</v>
      </c>
      <c r="I56" s="405"/>
      <c r="J56" s="410"/>
      <c r="K56" s="398"/>
      <c r="L56" s="405"/>
      <c r="M56" s="398"/>
      <c r="N56" s="405"/>
      <c r="O56" s="405"/>
      <c r="P56" s="405"/>
      <c r="Q56" s="405"/>
      <c r="R56" s="405"/>
      <c r="S56" s="401"/>
      <c r="T56" s="401"/>
      <c r="U56" s="401"/>
      <c r="V56" s="401"/>
      <c r="W56" s="401"/>
      <c r="X56" s="401"/>
    </row>
    <row r="57" spans="1:24" s="404" customFormat="1" ht="11.25">
      <c r="A57" s="337">
        <f t="shared" si="1"/>
        <v>45505</v>
      </c>
      <c r="B57" s="409">
        <v>114.4</v>
      </c>
      <c r="C57" s="411">
        <v>116.7</v>
      </c>
      <c r="D57" s="408">
        <v>101.3</v>
      </c>
      <c r="E57" s="408">
        <v>101.7</v>
      </c>
      <c r="F57" s="408">
        <v>98</v>
      </c>
      <c r="G57" s="408">
        <v>96.9</v>
      </c>
      <c r="H57" s="451">
        <v>97.9</v>
      </c>
      <c r="I57" s="405"/>
      <c r="J57" s="410"/>
      <c r="K57" s="398"/>
      <c r="L57" s="405"/>
      <c r="M57" s="398"/>
      <c r="N57" s="405"/>
      <c r="O57" s="405"/>
      <c r="P57" s="405"/>
      <c r="Q57" s="405"/>
      <c r="R57" s="405"/>
      <c r="S57" s="401"/>
      <c r="T57" s="401"/>
      <c r="U57" s="401"/>
      <c r="V57" s="401"/>
      <c r="W57" s="401"/>
      <c r="X57" s="401"/>
    </row>
    <row r="58" spans="1:24" s="404" customFormat="1" ht="11.25">
      <c r="A58" s="337">
        <f t="shared" si="1"/>
        <v>45536</v>
      </c>
      <c r="B58" s="409">
        <v>114.7</v>
      </c>
      <c r="C58" s="411">
        <v>117.3</v>
      </c>
      <c r="D58" s="408">
        <v>101.3</v>
      </c>
      <c r="E58" s="408">
        <v>101.6</v>
      </c>
      <c r="F58" s="408">
        <v>98</v>
      </c>
      <c r="G58" s="408">
        <v>97</v>
      </c>
      <c r="H58" s="451">
        <v>98.1</v>
      </c>
      <c r="I58" s="405"/>
      <c r="J58" s="410"/>
      <c r="K58" s="398"/>
      <c r="L58" s="405"/>
      <c r="M58" s="398"/>
      <c r="N58" s="405"/>
      <c r="O58" s="405"/>
      <c r="P58" s="405"/>
      <c r="Q58" s="405"/>
      <c r="R58" s="405"/>
      <c r="S58" s="401"/>
      <c r="T58" s="401"/>
      <c r="U58" s="401"/>
      <c r="V58" s="401"/>
      <c r="W58" s="401"/>
      <c r="X58" s="401"/>
    </row>
    <row r="59" spans="1:24" s="404" customFormat="1" ht="11.25">
      <c r="A59" s="337">
        <f t="shared" si="1"/>
        <v>45566</v>
      </c>
      <c r="B59" s="409">
        <v>114.8</v>
      </c>
      <c r="C59" s="411">
        <v>117.5</v>
      </c>
      <c r="D59" s="408">
        <v>101.1</v>
      </c>
      <c r="E59" s="408">
        <v>101.4</v>
      </c>
      <c r="F59" s="408">
        <v>98.1</v>
      </c>
      <c r="G59" s="408">
        <v>97.1</v>
      </c>
      <c r="H59" s="451">
        <v>98.2</v>
      </c>
      <c r="I59" s="405"/>
      <c r="J59" s="410"/>
      <c r="K59" s="398"/>
      <c r="L59" s="405"/>
      <c r="M59" s="398"/>
      <c r="N59" s="405"/>
      <c r="O59" s="405"/>
      <c r="P59" s="405"/>
      <c r="Q59" s="405"/>
      <c r="R59" s="405"/>
      <c r="S59" s="401"/>
      <c r="T59" s="401"/>
      <c r="U59" s="401"/>
      <c r="V59" s="401"/>
      <c r="W59" s="401"/>
      <c r="X59" s="401"/>
    </row>
    <row r="60" spans="1:24" s="404" customFormat="1" ht="11.25">
      <c r="A60" s="337">
        <f t="shared" si="1"/>
        <v>45597</v>
      </c>
      <c r="B60" s="409">
        <v>114.3</v>
      </c>
      <c r="C60" s="411">
        <v>116.9</v>
      </c>
      <c r="D60" s="408">
        <v>100.9</v>
      </c>
      <c r="E60" s="408">
        <v>101.2</v>
      </c>
      <c r="F60" s="408">
        <v>98.2</v>
      </c>
      <c r="G60" s="408">
        <v>97.2</v>
      </c>
      <c r="H60" s="451">
        <v>98.4</v>
      </c>
      <c r="I60" s="405"/>
      <c r="J60" s="410"/>
      <c r="K60" s="398"/>
      <c r="L60" s="405"/>
      <c r="M60" s="398"/>
      <c r="N60" s="405"/>
      <c r="O60" s="405"/>
      <c r="P60" s="405"/>
      <c r="Q60" s="405"/>
      <c r="R60" s="405"/>
      <c r="S60" s="401"/>
      <c r="T60" s="401"/>
      <c r="U60" s="401"/>
      <c r="V60" s="401"/>
      <c r="W60" s="401"/>
      <c r="X60" s="401"/>
    </row>
    <row r="61" spans="1:24" s="404" customFormat="1" ht="11.25">
      <c r="A61" s="337">
        <f t="shared" si="1"/>
        <v>45627</v>
      </c>
      <c r="B61" s="409">
        <v>115</v>
      </c>
      <c r="C61" s="411">
        <v>117.2</v>
      </c>
      <c r="D61" s="408">
        <v>100.7</v>
      </c>
      <c r="E61" s="408">
        <v>100.9</v>
      </c>
      <c r="F61" s="408">
        <v>98.2</v>
      </c>
      <c r="G61" s="408">
        <v>97.3</v>
      </c>
      <c r="H61" s="451">
        <v>98.5</v>
      </c>
      <c r="I61" s="405"/>
      <c r="J61" s="410"/>
      <c r="K61" s="398"/>
      <c r="L61" s="405"/>
      <c r="M61" s="398"/>
      <c r="N61" s="405"/>
      <c r="O61" s="405"/>
      <c r="P61" s="405"/>
      <c r="Q61" s="405"/>
      <c r="R61" s="405"/>
      <c r="S61" s="401"/>
      <c r="T61" s="401"/>
      <c r="U61" s="401"/>
      <c r="V61" s="401"/>
      <c r="W61" s="401"/>
      <c r="X61" s="401"/>
    </row>
    <row r="62" spans="1:24" s="404" customFormat="1" ht="11.25">
      <c r="A62" s="337">
        <f t="shared" si="1"/>
        <v>45658</v>
      </c>
      <c r="B62" s="409">
        <v>115.8</v>
      </c>
      <c r="C62" s="411">
        <v>118.3</v>
      </c>
      <c r="D62" s="408">
        <v>100.5</v>
      </c>
      <c r="E62" s="408">
        <v>100.7</v>
      </c>
      <c r="F62" s="408">
        <v>98.3</v>
      </c>
      <c r="G62" s="408">
        <v>97.4</v>
      </c>
      <c r="H62" s="451">
        <v>98.6</v>
      </c>
      <c r="I62" s="405"/>
      <c r="J62" s="410"/>
      <c r="K62" s="398"/>
      <c r="L62" s="405"/>
      <c r="M62" s="398"/>
      <c r="N62" s="405"/>
      <c r="O62" s="405"/>
      <c r="P62" s="405"/>
      <c r="Q62" s="405"/>
      <c r="R62" s="405"/>
      <c r="S62" s="401"/>
      <c r="T62" s="401"/>
      <c r="U62" s="401"/>
      <c r="V62" s="401"/>
      <c r="W62" s="401"/>
      <c r="X62" s="401"/>
    </row>
    <row r="63" spans="1:24" s="404" customFormat="1" ht="11.25">
      <c r="A63" s="337">
        <f t="shared" si="1"/>
        <v>45689</v>
      </c>
      <c r="B63" s="409">
        <v>116.1</v>
      </c>
      <c r="C63" s="411">
        <v>119.1</v>
      </c>
      <c r="D63" s="408">
        <v>100.4</v>
      </c>
      <c r="E63" s="408">
        <v>100.5</v>
      </c>
      <c r="F63" s="408">
        <v>98.3</v>
      </c>
      <c r="G63" s="408">
        <v>97.5</v>
      </c>
      <c r="H63" s="451">
        <v>98.7</v>
      </c>
      <c r="I63" s="405"/>
      <c r="J63" s="410"/>
      <c r="K63" s="398"/>
      <c r="L63" s="405"/>
      <c r="M63" s="398"/>
      <c r="N63" s="405"/>
      <c r="O63" s="405"/>
      <c r="P63" s="405"/>
      <c r="Q63" s="405"/>
      <c r="R63" s="405"/>
      <c r="S63" s="401"/>
      <c r="T63" s="401"/>
      <c r="U63" s="401"/>
      <c r="V63" s="401"/>
      <c r="W63" s="401"/>
      <c r="X63" s="401"/>
    </row>
    <row r="64" spans="1:24" s="404" customFormat="1" ht="11.25">
      <c r="A64" s="337">
        <f t="shared" si="1"/>
        <v>45717</v>
      </c>
      <c r="B64" s="409">
        <v>116.4</v>
      </c>
      <c r="C64" s="411">
        <v>119.5</v>
      </c>
      <c r="D64" s="408">
        <v>100.2</v>
      </c>
      <c r="E64" s="408">
        <v>100.3</v>
      </c>
      <c r="F64" s="408">
        <v>98.4</v>
      </c>
      <c r="G64" s="408">
        <v>97.7</v>
      </c>
      <c r="H64" s="451">
        <v>98.8</v>
      </c>
      <c r="I64" s="405"/>
      <c r="J64" s="410"/>
      <c r="K64" s="398"/>
      <c r="L64" s="405"/>
      <c r="M64" s="398"/>
      <c r="N64" s="405"/>
      <c r="O64" s="405"/>
      <c r="P64" s="405"/>
      <c r="Q64" s="405"/>
      <c r="R64" s="405"/>
      <c r="S64" s="401"/>
      <c r="T64" s="401"/>
      <c r="U64" s="401"/>
      <c r="V64" s="401"/>
      <c r="W64" s="401"/>
      <c r="X64" s="401"/>
    </row>
    <row r="65" spans="1:24" s="404" customFormat="1" ht="11.25">
      <c r="A65" s="337">
        <f t="shared" si="1"/>
        <v>45748</v>
      </c>
      <c r="B65" s="420">
        <v>116.4</v>
      </c>
      <c r="C65" s="429">
        <v>119.1</v>
      </c>
      <c r="D65" s="428">
        <v>100.1</v>
      </c>
      <c r="E65" s="428">
        <v>100.1</v>
      </c>
      <c r="F65" s="428">
        <v>98.4</v>
      </c>
      <c r="G65" s="428">
        <v>97.7</v>
      </c>
      <c r="H65" s="453">
        <v>98.9</v>
      </c>
      <c r="I65" s="405"/>
      <c r="J65" s="410"/>
      <c r="K65" s="398"/>
      <c r="L65" s="405"/>
      <c r="M65" s="398"/>
      <c r="N65" s="405"/>
      <c r="O65" s="405"/>
      <c r="P65" s="405"/>
      <c r="Q65" s="405"/>
      <c r="R65" s="405"/>
      <c r="S65" s="401"/>
      <c r="T65" s="401"/>
      <c r="U65" s="401"/>
      <c r="V65" s="401"/>
      <c r="W65" s="401"/>
      <c r="X65" s="401"/>
    </row>
    <row r="66" spans="1:24" s="404" customFormat="1" ht="11.25">
      <c r="A66" s="337">
        <f t="shared" si="1"/>
        <v>45778</v>
      </c>
      <c r="B66" s="420">
        <v>116.3</v>
      </c>
      <c r="C66" s="429">
        <v>119.1</v>
      </c>
      <c r="D66" s="428">
        <v>99.9</v>
      </c>
      <c r="E66" s="428">
        <v>99.9</v>
      </c>
      <c r="F66" s="428">
        <v>98.5</v>
      </c>
      <c r="G66" s="428">
        <v>97.8</v>
      </c>
      <c r="H66" s="453">
        <v>99.1</v>
      </c>
      <c r="I66" s="405"/>
      <c r="J66" s="410"/>
      <c r="K66" s="398"/>
      <c r="L66" s="405"/>
      <c r="M66" s="398"/>
      <c r="N66" s="405"/>
      <c r="O66" s="405"/>
      <c r="P66" s="405"/>
      <c r="Q66" s="405"/>
      <c r="R66" s="405"/>
      <c r="S66" s="401"/>
      <c r="T66" s="401"/>
      <c r="U66" s="401"/>
      <c r="V66" s="401"/>
      <c r="W66" s="401"/>
      <c r="X66" s="401"/>
    </row>
    <row r="67" spans="1:24" s="194" customFormat="1" ht="11.25">
      <c r="A67" s="337">
        <f t="shared" si="1"/>
        <v>45809</v>
      </c>
      <c r="B67" s="420">
        <v>116.3</v>
      </c>
      <c r="C67" s="429">
        <v>119</v>
      </c>
      <c r="D67" s="428">
        <v>99.7</v>
      </c>
      <c r="E67" s="428">
        <v>99.7</v>
      </c>
      <c r="F67" s="428">
        <v>98.6</v>
      </c>
      <c r="G67" s="428">
        <v>97.9</v>
      </c>
      <c r="H67" s="453">
        <v>99.2</v>
      </c>
      <c r="I67" s="205"/>
      <c r="J67" s="328"/>
      <c r="K67" s="58"/>
      <c r="L67" s="205"/>
      <c r="M67" s="58"/>
      <c r="N67" s="205"/>
      <c r="O67" s="205"/>
      <c r="P67" s="205"/>
      <c r="Q67" s="205"/>
      <c r="R67" s="205"/>
      <c r="S67" s="84"/>
      <c r="T67" s="84"/>
      <c r="U67" s="84"/>
      <c r="V67" s="84"/>
      <c r="W67" s="84"/>
      <c r="X67" s="84"/>
    </row>
    <row r="68" spans="1:24" s="404" customFormat="1" ht="11.25">
      <c r="A68" s="419">
        <f t="shared" si="1"/>
        <v>45839</v>
      </c>
      <c r="B68" s="420">
        <v>116.6</v>
      </c>
      <c r="C68" s="429">
        <v>119.3</v>
      </c>
      <c r="D68" s="429">
        <v>99.7</v>
      </c>
      <c r="E68" s="429">
        <v>99.6</v>
      </c>
      <c r="F68" s="429">
        <v>98.7</v>
      </c>
      <c r="G68" s="429">
        <v>98.1</v>
      </c>
      <c r="H68" s="454">
        <v>99.3</v>
      </c>
      <c r="I68" s="405"/>
      <c r="J68" s="410"/>
      <c r="K68" s="398"/>
      <c r="L68" s="405"/>
      <c r="M68" s="398"/>
      <c r="N68" s="405"/>
      <c r="O68" s="405"/>
      <c r="P68" s="405"/>
      <c r="Q68" s="405"/>
      <c r="R68" s="405"/>
      <c r="S68" s="401"/>
      <c r="T68" s="401"/>
      <c r="U68" s="401"/>
      <c r="V68" s="401"/>
      <c r="W68" s="401"/>
      <c r="X68" s="401"/>
    </row>
    <row r="69" spans="1:24" s="404" customFormat="1" ht="11.25">
      <c r="A69" s="430">
        <f t="shared" si="1"/>
        <v>45870</v>
      </c>
      <c r="B69" s="420">
        <v>116.6</v>
      </c>
      <c r="C69" s="429">
        <v>118.9</v>
      </c>
      <c r="D69" s="428">
        <v>99.6</v>
      </c>
      <c r="E69" s="428">
        <v>99.5</v>
      </c>
      <c r="F69" s="428">
        <v>98.8</v>
      </c>
      <c r="G69" s="428">
        <v>98.3</v>
      </c>
      <c r="H69" s="453">
        <v>99.4</v>
      </c>
      <c r="I69" s="405"/>
      <c r="J69" s="410"/>
      <c r="K69" s="398"/>
      <c r="L69" s="405"/>
      <c r="M69" s="398"/>
      <c r="N69" s="405"/>
      <c r="O69" s="405"/>
      <c r="P69" s="405"/>
      <c r="Q69" s="405"/>
      <c r="R69" s="405"/>
      <c r="S69" s="401"/>
      <c r="T69" s="401"/>
      <c r="U69" s="401"/>
      <c r="V69" s="401"/>
      <c r="W69" s="401"/>
      <c r="X69" s="401"/>
    </row>
    <row r="70" spans="1:24" s="404" customFormat="1" ht="11.25">
      <c r="A70" s="430">
        <f t="shared" si="1"/>
        <v>45901</v>
      </c>
      <c r="B70" s="420">
        <v>117.1</v>
      </c>
      <c r="C70" s="429">
        <v>120.3</v>
      </c>
      <c r="D70" s="428">
        <v>99.6</v>
      </c>
      <c r="E70" s="428">
        <v>99.5</v>
      </c>
      <c r="F70" s="428">
        <v>98.9</v>
      </c>
      <c r="G70" s="428">
        <v>98.5</v>
      </c>
      <c r="H70" s="453">
        <v>99.6</v>
      </c>
      <c r="I70" s="405"/>
      <c r="J70" s="410"/>
      <c r="K70" s="398"/>
      <c r="L70" s="405"/>
      <c r="M70" s="398"/>
      <c r="N70" s="405"/>
      <c r="O70" s="405"/>
      <c r="P70" s="405"/>
      <c r="Q70" s="405"/>
      <c r="R70" s="405"/>
      <c r="S70" s="401"/>
      <c r="T70" s="401"/>
      <c r="U70" s="401"/>
      <c r="V70" s="401"/>
      <c r="W70" s="401"/>
      <c r="X70" s="401"/>
    </row>
    <row r="71" spans="1:24" s="404" customFormat="1" ht="11.25">
      <c r="A71" s="430">
        <f t="shared" si="1"/>
        <v>45931</v>
      </c>
      <c r="B71" s="420">
        <v>117.4</v>
      </c>
      <c r="C71" s="454">
        <v>120.3</v>
      </c>
      <c r="D71" s="453">
        <v>99.6</v>
      </c>
      <c r="E71" s="453">
        <v>99.5</v>
      </c>
      <c r="F71" s="453">
        <v>99.1</v>
      </c>
      <c r="G71" s="453">
        <v>98.8</v>
      </c>
      <c r="H71" s="453">
        <v>99.7</v>
      </c>
      <c r="I71" s="405"/>
      <c r="J71" s="410"/>
      <c r="K71" s="398"/>
      <c r="L71" s="405"/>
      <c r="M71" s="398"/>
      <c r="N71" s="405"/>
      <c r="O71" s="405"/>
      <c r="P71" s="405"/>
      <c r="Q71" s="405"/>
      <c r="R71" s="405"/>
      <c r="S71" s="401"/>
      <c r="T71" s="401"/>
      <c r="U71" s="401"/>
      <c r="V71" s="401"/>
      <c r="W71" s="401"/>
      <c r="X71" s="401"/>
    </row>
    <row r="72" spans="1:24" s="404" customFormat="1" ht="11.25">
      <c r="A72" s="430">
        <f t="shared" si="1"/>
        <v>45962</v>
      </c>
      <c r="B72" s="420">
        <v>117.1</v>
      </c>
      <c r="C72" s="454">
        <v>120.2</v>
      </c>
      <c r="D72" s="453">
        <v>99.7</v>
      </c>
      <c r="E72" s="453">
        <v>99.7</v>
      </c>
      <c r="F72" s="453">
        <v>99.4</v>
      </c>
      <c r="G72" s="453">
        <v>99.2</v>
      </c>
      <c r="H72" s="453">
        <v>99.8</v>
      </c>
      <c r="I72" s="405"/>
      <c r="J72" s="410"/>
      <c r="K72" s="398"/>
      <c r="L72" s="405"/>
      <c r="M72" s="398"/>
      <c r="N72" s="405"/>
      <c r="O72" s="405"/>
      <c r="P72" s="405"/>
      <c r="Q72" s="405"/>
      <c r="R72" s="405"/>
      <c r="S72" s="401"/>
      <c r="T72" s="401"/>
      <c r="U72" s="401"/>
      <c r="V72" s="401"/>
      <c r="W72" s="401"/>
      <c r="X72" s="401"/>
    </row>
    <row r="73" spans="1:24" s="404" customFormat="1" ht="11.25">
      <c r="A73" s="430">
        <f t="shared" si="1"/>
        <v>45992</v>
      </c>
      <c r="B73" s="420">
        <v>117.4</v>
      </c>
      <c r="C73" s="454">
        <v>120.2</v>
      </c>
      <c r="D73" s="453">
        <v>99.8</v>
      </c>
      <c r="E73" s="453">
        <v>99.8</v>
      </c>
      <c r="F73" s="453">
        <v>99.7</v>
      </c>
      <c r="G73" s="453">
        <v>99.6</v>
      </c>
      <c r="H73" s="453">
        <v>99.9</v>
      </c>
      <c r="I73" s="405"/>
      <c r="J73" s="410"/>
      <c r="K73" s="398"/>
      <c r="L73" s="405"/>
      <c r="M73" s="398"/>
      <c r="N73" s="405"/>
      <c r="O73" s="405"/>
      <c r="P73" s="405"/>
      <c r="Q73" s="405"/>
      <c r="R73" s="405"/>
      <c r="S73" s="401"/>
      <c r="T73" s="401"/>
      <c r="U73" s="401"/>
      <c r="V73" s="401"/>
      <c r="W73" s="401"/>
      <c r="X73" s="401"/>
    </row>
    <row r="74" spans="1:24" s="404" customFormat="1" ht="11.25">
      <c r="A74" s="430">
        <f t="shared" si="1"/>
        <v>46023</v>
      </c>
      <c r="B74" s="420">
        <v>117.9</v>
      </c>
      <c r="C74" s="454">
        <v>120.7</v>
      </c>
      <c r="D74" s="453">
        <v>100</v>
      </c>
      <c r="E74" s="453">
        <v>100</v>
      </c>
      <c r="F74" s="453">
        <v>100</v>
      </c>
      <c r="G74" s="453">
        <v>100</v>
      </c>
      <c r="H74" s="453">
        <v>100</v>
      </c>
      <c r="I74" s="405"/>
      <c r="J74" s="410"/>
      <c r="K74" s="398"/>
      <c r="L74" s="405"/>
      <c r="M74" s="398"/>
      <c r="N74" s="405"/>
      <c r="O74" s="405"/>
      <c r="P74" s="405"/>
      <c r="Q74" s="405"/>
      <c r="R74" s="405"/>
      <c r="S74" s="401"/>
      <c r="T74" s="401"/>
      <c r="U74" s="401"/>
      <c r="V74" s="401"/>
      <c r="W74" s="401"/>
      <c r="X74" s="401"/>
    </row>
    <row r="75" spans="1:24" s="404" customFormat="1" ht="11.25">
      <c r="A75" s="430">
        <f t="shared" si="1"/>
        <v>46054</v>
      </c>
      <c r="B75" s="420">
        <v>118.4</v>
      </c>
      <c r="C75" s="454">
        <v>121.2</v>
      </c>
      <c r="D75" s="453">
        <v>100.1</v>
      </c>
      <c r="E75" s="453">
        <v>100.1</v>
      </c>
      <c r="F75" s="453">
        <v>100.3</v>
      </c>
      <c r="G75" s="453">
        <v>100.4</v>
      </c>
      <c r="H75" s="453">
        <v>100.1</v>
      </c>
      <c r="I75" s="405"/>
      <c r="J75" s="410"/>
      <c r="K75" s="398"/>
      <c r="L75" s="405"/>
      <c r="M75" s="398"/>
      <c r="N75" s="405"/>
      <c r="O75" s="405"/>
      <c r="P75" s="405"/>
      <c r="Q75" s="405"/>
      <c r="R75" s="405"/>
      <c r="S75" s="401"/>
      <c r="T75" s="401"/>
      <c r="U75" s="401"/>
      <c r="V75" s="401"/>
      <c r="W75" s="401"/>
      <c r="X75" s="401"/>
    </row>
    <row r="76" spans="1:24" s="404" customFormat="1" ht="11.25">
      <c r="A76" s="419">
        <f t="shared" si="1"/>
        <v>46082</v>
      </c>
      <c r="B76" s="420">
        <v>118.7</v>
      </c>
      <c r="C76" s="420">
        <v>121.9</v>
      </c>
      <c r="D76" s="478">
        <v>100.2</v>
      </c>
      <c r="E76" s="478">
        <v>100.2</v>
      </c>
      <c r="F76" s="478">
        <v>100.7</v>
      </c>
      <c r="G76" s="478">
        <v>101</v>
      </c>
      <c r="H76" s="478">
        <v>100.2</v>
      </c>
      <c r="I76" s="405"/>
      <c r="J76" s="410"/>
      <c r="K76" s="398"/>
      <c r="L76" s="405"/>
      <c r="M76" s="398"/>
      <c r="N76" s="405"/>
      <c r="O76" s="405"/>
      <c r="P76" s="405"/>
      <c r="Q76" s="405"/>
      <c r="R76" s="405"/>
      <c r="S76" s="401"/>
      <c r="T76" s="401"/>
      <c r="U76" s="401"/>
      <c r="V76" s="401"/>
      <c r="W76" s="401"/>
      <c r="X76" s="401"/>
    </row>
    <row r="77" spans="1:24" s="404" customFormat="1" ht="11.25">
      <c r="A77" s="560">
        <f t="shared" si="1"/>
        <v>46113</v>
      </c>
      <c r="B77" s="561">
        <v>119.1</v>
      </c>
      <c r="C77" s="561">
        <v>122.3</v>
      </c>
      <c r="D77" s="562">
        <v>100.2</v>
      </c>
      <c r="E77" s="562">
        <v>100.2</v>
      </c>
      <c r="F77" s="562">
        <v>101</v>
      </c>
      <c r="G77" s="562">
        <v>101.3</v>
      </c>
      <c r="H77" s="562">
        <v>100.3</v>
      </c>
      <c r="I77" s="405"/>
      <c r="J77" s="410"/>
      <c r="K77" s="398"/>
      <c r="L77" s="405"/>
      <c r="M77" s="398"/>
      <c r="N77" s="405"/>
      <c r="O77" s="405"/>
      <c r="P77" s="405"/>
      <c r="Q77" s="405"/>
      <c r="R77" s="405"/>
      <c r="S77" s="401"/>
      <c r="T77" s="401"/>
      <c r="U77" s="401"/>
      <c r="V77" s="401"/>
      <c r="W77" s="401"/>
      <c r="X77" s="401"/>
    </row>
    <row r="78" spans="1:24">
      <c r="B78" s="46"/>
      <c r="C78" s="151"/>
      <c r="D78" s="151"/>
      <c r="E78" s="198"/>
      <c r="F78" s="151"/>
      <c r="G78" s="198"/>
      <c r="H78" s="151"/>
      <c r="I78" s="194"/>
      <c r="J78" s="58"/>
      <c r="K78" s="58"/>
      <c r="L78" s="187"/>
      <c r="M78" s="58"/>
      <c r="N78" s="187"/>
      <c r="O78" s="187"/>
      <c r="P78" s="187"/>
      <c r="Q78" s="187"/>
      <c r="R78" s="193"/>
      <c r="S78" s="154"/>
    </row>
    <row r="79" spans="1:24">
      <c r="A79" s="197" t="s">
        <v>162</v>
      </c>
      <c r="E79" s="183"/>
      <c r="G79" s="183"/>
      <c r="I79" s="194"/>
      <c r="J79" s="58"/>
      <c r="K79" s="58"/>
      <c r="L79" s="187"/>
      <c r="M79" s="58"/>
      <c r="N79" s="187"/>
      <c r="O79" s="187"/>
      <c r="Q79" s="187"/>
      <c r="R79" s="193"/>
    </row>
    <row r="80" spans="1:24">
      <c r="A80" s="46" t="s">
        <v>153</v>
      </c>
      <c r="B80" s="200"/>
      <c r="C80" s="184"/>
      <c r="D80" s="184"/>
      <c r="E80" s="184"/>
      <c r="F80" s="184"/>
      <c r="G80" s="184"/>
      <c r="H80" s="201"/>
      <c r="I80" s="194"/>
      <c r="J80" s="58"/>
      <c r="K80" s="58"/>
      <c r="L80" s="187"/>
      <c r="M80" s="58"/>
      <c r="N80" s="187"/>
      <c r="O80" s="187"/>
      <c r="P80" s="187"/>
      <c r="Q80" s="187"/>
      <c r="R80" s="193"/>
    </row>
    <row r="81" spans="2:18">
      <c r="B81" s="202"/>
      <c r="C81" s="203"/>
      <c r="D81" s="203"/>
      <c r="E81" s="203"/>
      <c r="F81" s="203"/>
      <c r="G81" s="203"/>
      <c r="H81" s="204"/>
      <c r="I81" s="194"/>
      <c r="P81" s="187"/>
      <c r="R81" s="193"/>
    </row>
    <row r="82" spans="2:18">
      <c r="B82" s="200"/>
      <c r="C82" s="184"/>
      <c r="D82" s="184"/>
      <c r="E82" s="184"/>
      <c r="F82" s="184"/>
      <c r="G82" s="184"/>
      <c r="H82" s="201"/>
      <c r="I82" s="205"/>
      <c r="J82" s="58"/>
      <c r="K82" s="58"/>
      <c r="L82" s="187"/>
      <c r="M82" s="58"/>
      <c r="N82" s="187"/>
      <c r="O82" s="187"/>
      <c r="P82" s="187"/>
      <c r="Q82" s="187"/>
      <c r="R82" s="193"/>
    </row>
    <row r="83" spans="2:18">
      <c r="B83" s="200"/>
      <c r="C83" s="184"/>
      <c r="D83" s="184"/>
      <c r="E83" s="184"/>
      <c r="F83" s="184"/>
      <c r="G83" s="184"/>
      <c r="H83" s="201"/>
      <c r="I83" s="205"/>
      <c r="J83" s="58"/>
      <c r="K83" s="58"/>
      <c r="L83" s="187"/>
      <c r="M83" s="58"/>
      <c r="N83" s="187"/>
      <c r="O83" s="187"/>
      <c r="P83" s="187"/>
      <c r="Q83" s="187"/>
      <c r="R83" s="193"/>
    </row>
    <row r="84" spans="2:18">
      <c r="B84" s="200"/>
      <c r="C84" s="184"/>
      <c r="D84" s="184"/>
      <c r="E84" s="184"/>
      <c r="F84" s="184"/>
      <c r="G84" s="184"/>
      <c r="H84" s="201"/>
      <c r="I84" s="205"/>
      <c r="J84" s="181"/>
      <c r="K84" s="181"/>
      <c r="R84" s="194"/>
    </row>
    <row r="85" spans="2:18">
      <c r="B85" s="200"/>
      <c r="C85" s="184"/>
      <c r="D85" s="184"/>
      <c r="E85" s="184"/>
      <c r="F85" s="184"/>
      <c r="G85" s="184"/>
      <c r="H85" s="201"/>
      <c r="I85" s="205"/>
      <c r="J85" s="58"/>
      <c r="K85" s="154"/>
      <c r="L85" s="187"/>
      <c r="M85" s="58"/>
      <c r="N85" s="187"/>
      <c r="O85" s="187"/>
      <c r="P85" s="187"/>
      <c r="Q85" s="187"/>
      <c r="R85" s="154"/>
    </row>
    <row r="86" spans="2:18">
      <c r="B86" s="200"/>
      <c r="C86" s="184"/>
      <c r="D86" s="184"/>
      <c r="E86" s="184"/>
      <c r="F86" s="184"/>
      <c r="G86" s="184"/>
      <c r="H86" s="201"/>
      <c r="I86" s="205"/>
      <c r="J86" s="58"/>
      <c r="K86" s="58"/>
      <c r="L86" s="187"/>
      <c r="M86" s="58"/>
      <c r="N86" s="187"/>
      <c r="O86" s="187"/>
      <c r="P86" s="187"/>
      <c r="Q86" s="187"/>
    </row>
    <row r="87" spans="2:18">
      <c r="B87" s="200"/>
      <c r="C87" s="184"/>
      <c r="D87" s="184"/>
      <c r="E87" s="184"/>
      <c r="F87" s="184"/>
      <c r="G87" s="184"/>
      <c r="H87" s="201"/>
      <c r="I87" s="187"/>
      <c r="J87" s="58"/>
      <c r="K87" s="58"/>
      <c r="L87" s="187"/>
      <c r="M87" s="58"/>
      <c r="N87" s="187"/>
      <c r="O87" s="187"/>
      <c r="Q87" s="187"/>
    </row>
    <row r="88" spans="2:18">
      <c r="B88" s="200"/>
      <c r="C88" s="184"/>
      <c r="D88" s="184"/>
      <c r="E88" s="184"/>
      <c r="F88" s="184"/>
      <c r="G88" s="184"/>
      <c r="H88" s="201"/>
      <c r="I88" s="187"/>
      <c r="J88" s="58"/>
      <c r="K88" s="58"/>
      <c r="L88" s="187"/>
      <c r="M88" s="58"/>
      <c r="N88" s="187"/>
      <c r="O88" s="187"/>
      <c r="P88" s="187"/>
      <c r="Q88" s="187"/>
    </row>
    <row r="89" spans="2:18">
      <c r="B89" s="200"/>
      <c r="C89" s="184"/>
      <c r="D89" s="184"/>
      <c r="E89" s="184"/>
      <c r="F89" s="184"/>
      <c r="G89" s="184"/>
      <c r="H89" s="201"/>
      <c r="I89" s="187"/>
      <c r="P89" s="187"/>
      <c r="Q89" s="187"/>
    </row>
    <row r="90" spans="2:18">
      <c r="B90" s="200"/>
      <c r="C90" s="184"/>
      <c r="D90" s="184"/>
      <c r="E90" s="184"/>
      <c r="F90" s="184"/>
      <c r="G90" s="184"/>
      <c r="H90" s="201"/>
      <c r="I90" s="187"/>
      <c r="J90" s="58"/>
      <c r="K90" s="58"/>
      <c r="L90" s="187"/>
      <c r="M90" s="58"/>
      <c r="N90" s="187"/>
      <c r="O90" s="187"/>
    </row>
    <row r="91" spans="2:18">
      <c r="B91" s="200"/>
      <c r="C91" s="184"/>
      <c r="D91" s="184"/>
      <c r="E91" s="183"/>
      <c r="F91" s="184"/>
      <c r="G91" s="183"/>
      <c r="H91" s="201"/>
      <c r="I91" s="187"/>
      <c r="J91" s="58"/>
      <c r="K91" s="58"/>
      <c r="L91" s="187"/>
      <c r="M91" s="58"/>
      <c r="N91" s="187"/>
      <c r="O91" s="187"/>
      <c r="P91" s="194"/>
      <c r="Q91" s="187"/>
    </row>
    <row r="92" spans="2:18">
      <c r="B92" s="200"/>
      <c r="C92" s="184"/>
      <c r="D92" s="184"/>
      <c r="E92" s="183"/>
      <c r="F92" s="184"/>
      <c r="G92" s="183"/>
      <c r="H92" s="201"/>
      <c r="I92" s="187"/>
      <c r="J92" s="58"/>
      <c r="K92" s="58"/>
      <c r="L92" s="187"/>
      <c r="M92" s="58"/>
      <c r="N92" s="187"/>
      <c r="O92" s="187"/>
      <c r="P92" s="187"/>
      <c r="Q92" s="187"/>
    </row>
    <row r="93" spans="2:18">
      <c r="B93" s="200"/>
      <c r="C93" s="184"/>
      <c r="D93" s="184"/>
      <c r="E93" s="183"/>
      <c r="F93" s="184"/>
      <c r="G93" s="183"/>
      <c r="H93" s="201"/>
      <c r="I93" s="187"/>
      <c r="J93" s="58"/>
      <c r="K93" s="58"/>
      <c r="L93" s="187"/>
      <c r="M93" s="58"/>
      <c r="N93" s="187"/>
      <c r="O93" s="187"/>
      <c r="P93" s="187"/>
      <c r="Q93" s="187"/>
    </row>
    <row r="94" spans="2:18">
      <c r="B94" s="200"/>
      <c r="C94" s="184"/>
      <c r="D94" s="184"/>
      <c r="E94" s="183"/>
      <c r="F94" s="184"/>
      <c r="G94" s="183"/>
      <c r="H94" s="201"/>
      <c r="I94" s="84"/>
      <c r="P94" s="187"/>
      <c r="Q94" s="187"/>
    </row>
    <row r="95" spans="2:18">
      <c r="B95" s="200"/>
      <c r="C95" s="184"/>
      <c r="D95" s="184"/>
      <c r="E95" s="183"/>
      <c r="F95" s="184"/>
      <c r="G95" s="183"/>
      <c r="H95" s="201"/>
      <c r="I95" s="84"/>
      <c r="J95" s="58"/>
      <c r="K95" s="58"/>
      <c r="L95" s="187"/>
      <c r="M95" s="58"/>
      <c r="N95" s="187"/>
      <c r="O95" s="187"/>
    </row>
    <row r="96" spans="2:18">
      <c r="B96" s="200"/>
      <c r="C96" s="184"/>
      <c r="D96" s="184"/>
      <c r="E96" s="183"/>
      <c r="F96" s="184"/>
      <c r="G96" s="183"/>
      <c r="H96" s="201"/>
      <c r="I96" s="84"/>
      <c r="J96" s="58"/>
      <c r="K96" s="58"/>
      <c r="L96" s="187"/>
      <c r="M96" s="58"/>
      <c r="N96" s="187"/>
      <c r="O96" s="187"/>
      <c r="P96" s="205"/>
      <c r="Q96" s="187"/>
    </row>
    <row r="97" spans="3:17">
      <c r="C97" s="184"/>
      <c r="D97" s="184"/>
      <c r="E97" s="183"/>
      <c r="F97" s="184"/>
      <c r="G97" s="183"/>
      <c r="H97" s="201"/>
      <c r="I97" s="84"/>
      <c r="K97" s="58"/>
      <c r="P97" s="205"/>
      <c r="Q97" s="187"/>
    </row>
    <row r="98" spans="3:17">
      <c r="C98" s="184"/>
      <c r="D98" s="184"/>
      <c r="E98" s="183"/>
      <c r="F98" s="184"/>
      <c r="G98" s="183"/>
      <c r="H98" s="201"/>
      <c r="J98" s="194"/>
      <c r="K98" s="58"/>
      <c r="L98" s="194"/>
      <c r="M98" s="194"/>
      <c r="N98" s="194"/>
      <c r="O98" s="194"/>
      <c r="P98" s="187"/>
      <c r="Q98" s="187"/>
    </row>
    <row r="99" spans="3:17">
      <c r="C99" s="184"/>
      <c r="D99" s="184"/>
      <c r="E99" s="183"/>
      <c r="F99" s="184"/>
      <c r="G99" s="183"/>
      <c r="H99" s="201"/>
      <c r="J99" s="58"/>
      <c r="L99" s="187"/>
      <c r="M99" s="58"/>
      <c r="N99" s="187"/>
      <c r="O99" s="187"/>
      <c r="P99" s="187"/>
      <c r="Q99" s="187"/>
    </row>
    <row r="100" spans="3:17">
      <c r="C100" s="184"/>
      <c r="D100" s="184"/>
      <c r="E100" s="183"/>
      <c r="F100" s="184"/>
      <c r="G100" s="183"/>
      <c r="H100" s="201"/>
      <c r="J100" s="58"/>
      <c r="K100" s="58"/>
      <c r="L100" s="187"/>
      <c r="M100" s="58"/>
      <c r="N100" s="187"/>
      <c r="O100" s="187"/>
      <c r="P100" s="187"/>
    </row>
    <row r="101" spans="3:17">
      <c r="C101" s="184"/>
      <c r="D101" s="184"/>
      <c r="E101" s="183"/>
      <c r="F101" s="184"/>
      <c r="G101" s="183"/>
      <c r="H101" s="201"/>
      <c r="J101" s="58"/>
      <c r="K101" s="58"/>
      <c r="L101" s="187"/>
      <c r="M101" s="58"/>
      <c r="N101" s="187"/>
      <c r="O101" s="187"/>
      <c r="P101" s="187"/>
      <c r="Q101" s="154"/>
    </row>
    <row r="102" spans="3:17">
      <c r="C102" s="184"/>
      <c r="D102" s="184"/>
      <c r="E102" s="183"/>
      <c r="F102" s="184"/>
      <c r="G102" s="183"/>
      <c r="H102" s="201"/>
      <c r="K102" s="58"/>
      <c r="P102" s="187"/>
      <c r="Q102" s="194"/>
    </row>
    <row r="103" spans="3:17">
      <c r="C103" s="184"/>
      <c r="D103" s="184"/>
      <c r="E103" s="183"/>
      <c r="F103" s="184"/>
      <c r="G103" s="183"/>
      <c r="H103" s="201"/>
      <c r="J103" s="58"/>
      <c r="K103" s="58"/>
      <c r="L103" s="205"/>
      <c r="M103" s="58"/>
      <c r="N103" s="205"/>
      <c r="O103" s="205"/>
      <c r="Q103" s="194"/>
    </row>
    <row r="104" spans="3:17">
      <c r="C104" s="184"/>
      <c r="D104" s="184"/>
      <c r="E104" s="183"/>
      <c r="F104" s="184"/>
      <c r="G104" s="183"/>
      <c r="H104" s="201"/>
      <c r="J104" s="58"/>
      <c r="K104" s="58"/>
      <c r="L104" s="205"/>
      <c r="M104" s="58"/>
      <c r="N104" s="205"/>
      <c r="O104" s="205"/>
      <c r="P104" s="187"/>
      <c r="Q104" s="194"/>
    </row>
    <row r="105" spans="3:17">
      <c r="C105" s="184"/>
      <c r="D105" s="184"/>
      <c r="E105" s="184"/>
      <c r="F105" s="184"/>
      <c r="G105" s="184"/>
      <c r="H105" s="201"/>
      <c r="J105" s="58"/>
      <c r="K105" s="58"/>
      <c r="L105" s="187"/>
      <c r="M105" s="58"/>
      <c r="N105" s="187"/>
      <c r="O105" s="187"/>
      <c r="P105" s="187"/>
    </row>
    <row r="106" spans="3:17">
      <c r="C106" s="184"/>
      <c r="D106" s="184"/>
      <c r="F106" s="184"/>
      <c r="H106" s="201"/>
      <c r="J106" s="58"/>
      <c r="K106" s="58"/>
      <c r="L106" s="187"/>
      <c r="M106" s="58"/>
      <c r="N106" s="187"/>
      <c r="O106" s="187"/>
      <c r="P106" s="187"/>
      <c r="Q106" s="187"/>
    </row>
    <row r="107" spans="3:17">
      <c r="C107" s="184"/>
      <c r="D107" s="184"/>
      <c r="F107" s="184"/>
      <c r="H107" s="201"/>
      <c r="J107" s="58"/>
      <c r="K107" s="58"/>
      <c r="L107" s="187"/>
      <c r="M107" s="58"/>
      <c r="N107" s="187"/>
      <c r="O107" s="187"/>
      <c r="P107" s="187"/>
      <c r="Q107" s="187"/>
    </row>
    <row r="108" spans="3:17">
      <c r="J108" s="58"/>
      <c r="K108" s="58"/>
      <c r="L108" s="187"/>
      <c r="M108" s="58"/>
      <c r="N108" s="187"/>
      <c r="O108" s="187"/>
      <c r="Q108" s="187"/>
    </row>
    <row r="109" spans="3:17">
      <c r="J109" s="58"/>
      <c r="K109" s="58"/>
      <c r="L109" s="187"/>
      <c r="M109" s="58"/>
      <c r="N109" s="187"/>
      <c r="O109" s="187"/>
      <c r="P109" s="187"/>
      <c r="Q109" s="187"/>
    </row>
    <row r="110" spans="3:17">
      <c r="K110" s="58"/>
      <c r="P110" s="187"/>
      <c r="Q110" s="187"/>
    </row>
    <row r="111" spans="3:17">
      <c r="J111" s="58"/>
      <c r="K111" s="58"/>
      <c r="L111" s="187"/>
      <c r="M111" s="58"/>
      <c r="N111" s="187"/>
      <c r="O111" s="187"/>
      <c r="P111" s="187"/>
      <c r="Q111" s="187"/>
    </row>
    <row r="112" spans="3:17">
      <c r="J112" s="58"/>
      <c r="K112" s="58"/>
      <c r="L112" s="187"/>
      <c r="M112" s="58"/>
      <c r="N112" s="187"/>
      <c r="O112" s="187"/>
      <c r="P112" s="187"/>
      <c r="Q112" s="187"/>
    </row>
    <row r="113" spans="10:17">
      <c r="J113" s="58"/>
      <c r="L113" s="187"/>
      <c r="M113" s="58"/>
      <c r="N113" s="187"/>
      <c r="O113" s="187"/>
      <c r="Q113" s="187"/>
    </row>
    <row r="114" spans="10:17">
      <c r="J114" s="58"/>
      <c r="K114" s="58"/>
      <c r="L114" s="187"/>
      <c r="M114" s="58"/>
      <c r="N114" s="187"/>
      <c r="O114" s="187"/>
      <c r="P114" s="187"/>
      <c r="Q114" s="187"/>
    </row>
    <row r="115" spans="10:17">
      <c r="J115" s="58"/>
      <c r="K115" s="58"/>
      <c r="P115" s="187"/>
      <c r="Q115" s="205"/>
    </row>
    <row r="116" spans="10:17">
      <c r="J116" s="58"/>
      <c r="L116" s="187"/>
      <c r="M116" s="58"/>
      <c r="N116" s="187"/>
      <c r="O116" s="187"/>
      <c r="P116" s="187"/>
      <c r="Q116" s="205"/>
    </row>
    <row r="117" spans="10:17">
      <c r="J117" s="58"/>
      <c r="K117" s="194"/>
      <c r="L117" s="187"/>
      <c r="M117" s="58"/>
      <c r="N117" s="187"/>
      <c r="O117" s="187"/>
      <c r="P117" s="187"/>
      <c r="Q117" s="205"/>
    </row>
    <row r="118" spans="10:17">
      <c r="J118" s="58"/>
      <c r="K118" s="58"/>
      <c r="L118" s="187"/>
      <c r="M118" s="58"/>
      <c r="N118" s="187"/>
      <c r="O118" s="187"/>
      <c r="Q118" s="205"/>
    </row>
    <row r="119" spans="10:17">
      <c r="J119" s="58"/>
      <c r="K119" s="58"/>
      <c r="L119" s="187"/>
      <c r="M119" s="58"/>
      <c r="N119" s="187"/>
      <c r="O119" s="187"/>
      <c r="P119" s="187"/>
      <c r="Q119" s="205"/>
    </row>
    <row r="120" spans="10:17">
      <c r="K120" s="58"/>
      <c r="P120" s="187"/>
      <c r="Q120" s="187"/>
    </row>
    <row r="121" spans="10:17">
      <c r="J121" s="58"/>
      <c r="L121" s="187"/>
      <c r="M121" s="58"/>
      <c r="N121" s="187"/>
      <c r="O121" s="187"/>
      <c r="P121" s="187"/>
      <c r="Q121" s="187"/>
    </row>
    <row r="122" spans="10:17">
      <c r="J122" s="58"/>
      <c r="K122" s="58"/>
      <c r="L122" s="187"/>
      <c r="M122" s="58"/>
      <c r="N122" s="187"/>
      <c r="O122" s="187"/>
      <c r="Q122" s="187"/>
    </row>
    <row r="123" spans="10:17">
      <c r="J123" s="58"/>
      <c r="K123" s="58"/>
      <c r="L123" s="187"/>
      <c r="M123" s="58"/>
      <c r="N123" s="187"/>
      <c r="O123" s="187"/>
      <c r="P123" s="187"/>
      <c r="Q123" s="187"/>
    </row>
    <row r="124" spans="10:17">
      <c r="J124" s="58"/>
      <c r="K124" s="58"/>
      <c r="L124" s="187"/>
      <c r="M124" s="58"/>
      <c r="N124" s="187"/>
      <c r="O124" s="187"/>
      <c r="P124" s="187"/>
      <c r="Q124" s="187"/>
    </row>
    <row r="125" spans="10:17">
      <c r="K125" s="58"/>
      <c r="P125" s="187"/>
      <c r="Q125" s="187"/>
    </row>
    <row r="126" spans="10:17">
      <c r="J126" s="58"/>
      <c r="K126" s="58"/>
      <c r="L126" s="187"/>
      <c r="M126" s="58"/>
      <c r="N126" s="187"/>
      <c r="O126" s="187"/>
      <c r="Q126" s="187"/>
    </row>
    <row r="127" spans="10:17">
      <c r="J127" s="58"/>
      <c r="K127" s="58"/>
      <c r="L127" s="187"/>
      <c r="M127" s="58"/>
      <c r="N127" s="187"/>
      <c r="O127" s="187"/>
      <c r="P127" s="187"/>
      <c r="Q127" s="187"/>
    </row>
    <row r="128" spans="10:17">
      <c r="J128" s="58"/>
      <c r="K128" s="58"/>
      <c r="L128" s="187"/>
      <c r="M128" s="58"/>
      <c r="N128" s="187"/>
      <c r="O128" s="187"/>
      <c r="P128" s="187"/>
      <c r="Q128" s="187"/>
    </row>
    <row r="129" spans="10:17">
      <c r="P129" s="187"/>
      <c r="Q129" s="187"/>
    </row>
    <row r="130" spans="10:17">
      <c r="J130" s="58"/>
      <c r="K130" s="58"/>
      <c r="L130" s="187"/>
      <c r="M130" s="58"/>
      <c r="N130" s="187"/>
      <c r="O130" s="187"/>
      <c r="P130" s="187"/>
      <c r="Q130" s="187"/>
    </row>
    <row r="131" spans="10:17">
      <c r="J131" s="58"/>
      <c r="K131" s="58"/>
      <c r="L131" s="187"/>
      <c r="M131" s="58"/>
      <c r="N131" s="187"/>
      <c r="O131" s="187"/>
      <c r="Q131" s="187"/>
    </row>
    <row r="132" spans="10:17">
      <c r="J132" s="58"/>
      <c r="K132" s="58"/>
      <c r="L132" s="187"/>
      <c r="M132" s="58"/>
      <c r="N132" s="187"/>
      <c r="O132" s="187"/>
      <c r="P132" s="187"/>
      <c r="Q132" s="187"/>
    </row>
    <row r="133" spans="10:17">
      <c r="J133" s="58"/>
      <c r="K133" s="58"/>
      <c r="L133" s="187"/>
      <c r="M133" s="58"/>
      <c r="N133" s="187"/>
      <c r="O133" s="187"/>
      <c r="P133" s="187"/>
      <c r="Q133" s="187"/>
    </row>
    <row r="134" spans="10:17">
      <c r="J134" s="58"/>
      <c r="K134" s="181"/>
      <c r="L134" s="187"/>
      <c r="M134" s="58"/>
      <c r="N134" s="187"/>
      <c r="O134" s="187"/>
      <c r="Q134" s="187"/>
    </row>
    <row r="135" spans="10:17">
      <c r="J135" s="58"/>
      <c r="K135" s="58"/>
      <c r="L135" s="187"/>
      <c r="M135" s="58"/>
      <c r="N135" s="187"/>
      <c r="O135" s="187"/>
      <c r="P135" s="187"/>
      <c r="Q135" s="187"/>
    </row>
    <row r="136" spans="10:17">
      <c r="J136" s="58"/>
      <c r="K136" s="58"/>
      <c r="L136" s="187"/>
      <c r="M136" s="58"/>
      <c r="N136" s="187"/>
      <c r="O136" s="187"/>
      <c r="P136" s="187"/>
      <c r="Q136" s="187"/>
    </row>
    <row r="137" spans="10:17">
      <c r="J137" s="58"/>
      <c r="K137" s="58"/>
      <c r="L137" s="187"/>
      <c r="M137" s="58"/>
      <c r="N137" s="187"/>
      <c r="O137" s="187"/>
      <c r="P137" s="187"/>
      <c r="Q137" s="187"/>
    </row>
    <row r="138" spans="10:17">
      <c r="J138" s="58"/>
      <c r="K138" s="58"/>
      <c r="L138" s="187"/>
      <c r="M138" s="58"/>
      <c r="N138" s="187"/>
      <c r="O138" s="187"/>
      <c r="P138" s="187"/>
      <c r="Q138" s="187"/>
    </row>
    <row r="139" spans="10:17">
      <c r="J139" s="58"/>
      <c r="L139" s="187"/>
      <c r="M139" s="58"/>
      <c r="N139" s="187"/>
      <c r="O139" s="187"/>
      <c r="P139" s="187"/>
      <c r="Q139" s="187"/>
    </row>
    <row r="140" spans="10:17">
      <c r="J140" s="58"/>
      <c r="K140" s="58"/>
      <c r="L140" s="187"/>
      <c r="M140" s="58"/>
      <c r="N140" s="187"/>
      <c r="O140" s="187"/>
      <c r="Q140" s="187"/>
    </row>
    <row r="141" spans="10:17">
      <c r="J141" s="58"/>
      <c r="K141" s="58"/>
      <c r="L141" s="187"/>
      <c r="M141" s="58"/>
      <c r="N141" s="187"/>
      <c r="O141" s="187"/>
      <c r="P141" s="187"/>
      <c r="Q141" s="187"/>
    </row>
    <row r="142" spans="10:17">
      <c r="J142" s="58"/>
      <c r="K142" s="58"/>
      <c r="L142" s="187"/>
      <c r="M142" s="58"/>
      <c r="N142" s="187"/>
      <c r="O142" s="187"/>
      <c r="P142" s="187"/>
      <c r="Q142" s="187"/>
    </row>
    <row r="143" spans="10:17">
      <c r="J143" s="58"/>
      <c r="K143" s="58"/>
      <c r="P143" s="187"/>
      <c r="Q143" s="187"/>
    </row>
    <row r="144" spans="10:17">
      <c r="J144" s="58"/>
      <c r="L144" s="154"/>
      <c r="M144" s="58"/>
      <c r="N144" s="187"/>
      <c r="O144" s="187"/>
      <c r="P144" s="187"/>
      <c r="Q144" s="187"/>
    </row>
    <row r="145" spans="10:17">
      <c r="J145" s="58"/>
      <c r="K145" s="58"/>
      <c r="M145" s="58"/>
      <c r="N145" s="187"/>
      <c r="O145" s="187"/>
      <c r="Q145" s="187"/>
    </row>
    <row r="146" spans="10:17">
      <c r="J146" s="58"/>
      <c r="K146" s="58"/>
      <c r="P146" s="187"/>
      <c r="Q146" s="187"/>
    </row>
    <row r="147" spans="10:17">
      <c r="J147" s="58"/>
      <c r="K147" s="58"/>
      <c r="M147" s="41"/>
      <c r="N147" s="187"/>
      <c r="O147" s="187"/>
      <c r="P147" s="187"/>
      <c r="Q147" s="187"/>
    </row>
    <row r="148" spans="10:17">
      <c r="M148" s="41"/>
      <c r="N148" s="187"/>
      <c r="O148" s="187"/>
      <c r="P148" s="187"/>
      <c r="Q148" s="187"/>
    </row>
    <row r="149" spans="10:17">
      <c r="J149" s="58"/>
      <c r="K149" s="58"/>
      <c r="M149" s="41"/>
      <c r="N149" s="187"/>
      <c r="O149" s="187"/>
      <c r="P149" s="187"/>
      <c r="Q149" s="187"/>
    </row>
    <row r="150" spans="10:17">
      <c r="J150" s="58"/>
      <c r="K150" s="58"/>
      <c r="M150" s="41"/>
      <c r="N150" s="187"/>
      <c r="O150" s="187"/>
      <c r="Q150" s="187"/>
    </row>
    <row r="151" spans="10:17">
      <c r="K151" s="58"/>
      <c r="M151" s="41"/>
      <c r="N151" s="187"/>
      <c r="O151" s="187"/>
      <c r="P151" s="154"/>
      <c r="Q151" s="187"/>
    </row>
    <row r="152" spans="10:17">
      <c r="J152" s="41"/>
      <c r="K152" s="58"/>
      <c r="P152" s="187"/>
      <c r="Q152" s="187"/>
    </row>
    <row r="153" spans="10:17">
      <c r="J153" s="41"/>
      <c r="K153" s="58"/>
      <c r="M153" s="41"/>
      <c r="N153" s="187"/>
      <c r="O153" s="187"/>
      <c r="P153" s="187"/>
      <c r="Q153" s="187"/>
    </row>
    <row r="154" spans="10:17">
      <c r="J154" s="41"/>
      <c r="K154" s="58"/>
      <c r="M154" s="41"/>
      <c r="N154" s="187"/>
      <c r="O154" s="187"/>
      <c r="P154" s="187"/>
      <c r="Q154" s="187"/>
    </row>
    <row r="155" spans="10:17">
      <c r="J155" s="41"/>
      <c r="K155" s="58"/>
      <c r="M155" s="41"/>
      <c r="N155" s="187"/>
      <c r="O155" s="187"/>
      <c r="Q155" s="187"/>
    </row>
    <row r="156" spans="10:17">
      <c r="J156" s="41"/>
      <c r="K156" s="58"/>
      <c r="M156" s="41"/>
      <c r="N156" s="187"/>
      <c r="O156" s="187"/>
      <c r="P156" s="187"/>
    </row>
    <row r="157" spans="10:17">
      <c r="K157" s="58"/>
      <c r="P157" s="187"/>
    </row>
    <row r="158" spans="10:17">
      <c r="J158" s="41"/>
      <c r="K158" s="58"/>
      <c r="M158" s="41"/>
      <c r="N158" s="187"/>
      <c r="O158" s="187"/>
      <c r="P158" s="187"/>
    </row>
    <row r="159" spans="10:17">
      <c r="J159" s="41"/>
      <c r="K159" s="58"/>
      <c r="M159" s="41"/>
      <c r="N159" s="187"/>
      <c r="O159" s="187"/>
      <c r="P159" s="187"/>
    </row>
    <row r="160" spans="10:17">
      <c r="J160" s="41"/>
      <c r="K160" s="58"/>
      <c r="M160" s="41"/>
      <c r="N160" s="187"/>
      <c r="O160" s="187"/>
      <c r="P160" s="187"/>
    </row>
    <row r="161" spans="10:16">
      <c r="J161" s="41"/>
      <c r="K161" s="58"/>
      <c r="M161" s="41"/>
      <c r="N161" s="187"/>
      <c r="O161" s="187"/>
      <c r="P161" s="187"/>
    </row>
    <row r="162" spans="10:16">
      <c r="K162" s="58"/>
      <c r="P162" s="187"/>
    </row>
    <row r="163" spans="10:16">
      <c r="J163" s="41"/>
      <c r="K163" s="58"/>
      <c r="M163" s="154"/>
      <c r="N163" s="154"/>
      <c r="O163" s="154"/>
      <c r="P163" s="187"/>
    </row>
    <row r="164" spans="10:16">
      <c r="J164" s="41"/>
      <c r="K164" s="58"/>
      <c r="M164" s="41"/>
      <c r="N164" s="41"/>
      <c r="O164" s="41"/>
      <c r="P164" s="187"/>
    </row>
    <row r="165" spans="10:16">
      <c r="J165" s="41"/>
      <c r="K165" s="58"/>
      <c r="M165" s="41"/>
      <c r="N165" s="41"/>
      <c r="O165" s="41"/>
      <c r="P165" s="187"/>
    </row>
    <row r="166" spans="10:16">
      <c r="J166" s="41"/>
      <c r="K166" s="58"/>
      <c r="M166" s="41"/>
      <c r="N166" s="41"/>
      <c r="O166" s="41"/>
      <c r="P166" s="205"/>
    </row>
    <row r="167" spans="10:16">
      <c r="K167" s="58"/>
      <c r="P167" s="205"/>
    </row>
    <row r="168" spans="10:16">
      <c r="J168" s="154"/>
      <c r="K168" s="58"/>
      <c r="M168" s="41"/>
      <c r="N168" s="41"/>
      <c r="O168" s="41"/>
      <c r="P168" s="205"/>
    </row>
    <row r="169" spans="10:16">
      <c r="J169" s="41"/>
      <c r="K169" s="58"/>
      <c r="M169" s="41"/>
      <c r="N169" s="41"/>
      <c r="O169" s="41"/>
      <c r="P169" s="205"/>
    </row>
    <row r="170" spans="10:16">
      <c r="J170" s="41"/>
      <c r="M170" s="41"/>
      <c r="N170" s="41"/>
      <c r="O170" s="41"/>
      <c r="P170" s="205"/>
    </row>
    <row r="171" spans="10:16">
      <c r="J171" s="41"/>
      <c r="K171" s="41"/>
      <c r="M171" s="41"/>
      <c r="N171" s="41"/>
      <c r="O171" s="41"/>
      <c r="P171" s="187"/>
    </row>
    <row r="172" spans="10:16">
      <c r="K172" s="41"/>
      <c r="M172" s="41"/>
      <c r="N172" s="41"/>
      <c r="O172" s="41"/>
      <c r="P172" s="187"/>
    </row>
    <row r="173" spans="10:16">
      <c r="J173" s="41"/>
      <c r="K173" s="41"/>
      <c r="M173" s="41"/>
      <c r="N173" s="41"/>
      <c r="O173" s="41"/>
      <c r="P173" s="187"/>
    </row>
    <row r="174" spans="10:16">
      <c r="J174" s="41"/>
      <c r="K174" s="41"/>
      <c r="M174" s="41"/>
      <c r="N174" s="41"/>
      <c r="O174" s="41"/>
    </row>
    <row r="175" spans="10:16">
      <c r="J175" s="41"/>
      <c r="K175" s="41"/>
      <c r="M175" s="41"/>
      <c r="N175" s="41"/>
      <c r="O175" s="41"/>
      <c r="P175" s="187"/>
    </row>
    <row r="176" spans="10:16">
      <c r="J176" s="41"/>
      <c r="M176" s="41"/>
      <c r="N176" s="41"/>
      <c r="O176" s="41"/>
      <c r="P176" s="187"/>
    </row>
    <row r="177" spans="10:16">
      <c r="J177" s="41"/>
      <c r="K177" s="41"/>
      <c r="M177" s="41"/>
      <c r="N177" s="41"/>
      <c r="O177" s="41"/>
      <c r="P177" s="187"/>
    </row>
    <row r="178" spans="10:16">
      <c r="J178" s="41"/>
      <c r="K178" s="41"/>
      <c r="M178" s="41"/>
      <c r="N178" s="41"/>
      <c r="O178" s="41"/>
      <c r="P178" s="187"/>
    </row>
    <row r="179" spans="10:16">
      <c r="J179" s="41"/>
      <c r="K179" s="41"/>
      <c r="M179" s="41"/>
      <c r="N179" s="41"/>
      <c r="O179" s="41"/>
      <c r="P179" s="187"/>
    </row>
    <row r="180" spans="10:16">
      <c r="J180" s="41"/>
      <c r="K180" s="41"/>
      <c r="M180" s="41"/>
      <c r="N180" s="41"/>
      <c r="O180" s="41"/>
      <c r="P180" s="187"/>
    </row>
    <row r="181" spans="10:16">
      <c r="J181" s="41"/>
      <c r="M181" s="41"/>
      <c r="N181" s="41"/>
      <c r="O181" s="41"/>
      <c r="P181" s="187"/>
    </row>
    <row r="182" spans="10:16">
      <c r="J182" s="41"/>
      <c r="K182" s="41"/>
      <c r="M182" s="41"/>
      <c r="N182" s="41"/>
      <c r="O182" s="41"/>
      <c r="P182" s="187"/>
    </row>
    <row r="183" spans="10:16">
      <c r="J183" s="41"/>
      <c r="K183" s="41"/>
      <c r="M183" s="41"/>
      <c r="N183" s="41"/>
      <c r="O183" s="41"/>
      <c r="P183" s="187"/>
    </row>
    <row r="184" spans="10:16">
      <c r="J184" s="41"/>
      <c r="K184" s="41"/>
      <c r="M184" s="41"/>
      <c r="N184" s="41"/>
      <c r="O184" s="41"/>
      <c r="P184" s="187"/>
    </row>
    <row r="185" spans="10:16">
      <c r="J185" s="41"/>
      <c r="K185" s="41"/>
      <c r="M185" s="41"/>
      <c r="N185" s="41"/>
      <c r="O185" s="41"/>
      <c r="P185" s="187"/>
    </row>
    <row r="186" spans="10:16">
      <c r="J186" s="41"/>
      <c r="P186" s="187"/>
    </row>
    <row r="187" spans="10:16">
      <c r="J187" s="41"/>
      <c r="K187" s="154"/>
      <c r="M187" s="41"/>
      <c r="N187" s="41"/>
      <c r="O187" s="41"/>
      <c r="P187" s="187"/>
    </row>
    <row r="188" spans="10:16">
      <c r="J188" s="41"/>
      <c r="K188" s="41"/>
      <c r="M188" s="41"/>
      <c r="N188" s="41"/>
      <c r="O188" s="41"/>
      <c r="P188" s="187"/>
    </row>
    <row r="189" spans="10:16">
      <c r="J189" s="41"/>
      <c r="K189" s="41"/>
      <c r="M189" s="187"/>
      <c r="N189" s="187"/>
      <c r="O189" s="187"/>
      <c r="P189" s="187"/>
    </row>
    <row r="190" spans="10:16">
      <c r="J190" s="41"/>
      <c r="K190" s="41"/>
      <c r="M190" s="187"/>
      <c r="N190" s="187"/>
      <c r="O190" s="187"/>
      <c r="P190" s="187"/>
    </row>
    <row r="191" spans="10:16">
      <c r="M191" s="187"/>
      <c r="N191" s="187"/>
      <c r="O191" s="187"/>
      <c r="P191" s="187"/>
    </row>
    <row r="192" spans="10:16">
      <c r="J192" s="41"/>
      <c r="K192" s="41"/>
      <c r="M192" s="187"/>
      <c r="N192" s="187"/>
      <c r="O192" s="187"/>
      <c r="P192" s="187"/>
    </row>
    <row r="193" spans="10:16">
      <c r="J193" s="41"/>
      <c r="K193" s="41"/>
      <c r="M193" s="187"/>
      <c r="N193" s="187"/>
      <c r="O193" s="187"/>
      <c r="P193" s="187"/>
    </row>
    <row r="194" spans="10:16">
      <c r="J194" s="41"/>
      <c r="K194" s="41"/>
      <c r="M194" s="187"/>
      <c r="N194" s="187"/>
      <c r="O194" s="187"/>
      <c r="P194" s="187"/>
    </row>
    <row r="195" spans="10:16">
      <c r="J195" s="41"/>
      <c r="K195" s="41"/>
      <c r="M195" s="187"/>
      <c r="N195" s="187"/>
      <c r="O195" s="187"/>
      <c r="P195" s="187"/>
    </row>
    <row r="196" spans="10:16">
      <c r="J196" s="41"/>
      <c r="K196" s="41"/>
      <c r="M196" s="187"/>
      <c r="N196" s="187"/>
      <c r="O196" s="187"/>
      <c r="P196" s="187"/>
    </row>
    <row r="197" spans="10:16">
      <c r="J197" s="187"/>
      <c r="K197" s="41"/>
      <c r="M197" s="187"/>
      <c r="N197" s="187"/>
      <c r="O197" s="187"/>
      <c r="P197" s="187"/>
    </row>
    <row r="198" spans="10:16">
      <c r="J198" s="187"/>
      <c r="K198" s="41"/>
      <c r="M198" s="187"/>
      <c r="N198" s="187"/>
      <c r="O198" s="187"/>
      <c r="P198" s="187"/>
    </row>
    <row r="199" spans="10:16">
      <c r="J199" s="187"/>
      <c r="K199" s="41"/>
      <c r="M199" s="187"/>
      <c r="N199" s="187"/>
      <c r="O199" s="187"/>
      <c r="P199" s="194"/>
    </row>
    <row r="200" spans="10:16">
      <c r="J200" s="187"/>
      <c r="K200" s="41"/>
      <c r="M200" s="187"/>
      <c r="N200" s="187"/>
      <c r="O200" s="187"/>
      <c r="P200" s="187"/>
    </row>
    <row r="201" spans="10:16">
      <c r="J201" s="187"/>
      <c r="K201" s="41"/>
      <c r="M201" s="187"/>
      <c r="N201" s="187"/>
      <c r="O201" s="187"/>
      <c r="P201" s="187"/>
    </row>
    <row r="202" spans="10:16">
      <c r="J202" s="187"/>
      <c r="K202" s="41"/>
      <c r="M202" s="187"/>
      <c r="N202" s="187"/>
      <c r="O202" s="187"/>
      <c r="P202" s="187"/>
    </row>
    <row r="203" spans="10:16">
      <c r="J203" s="187"/>
      <c r="K203" s="41"/>
      <c r="M203" s="187"/>
      <c r="N203" s="187"/>
      <c r="O203" s="187"/>
      <c r="P203" s="187"/>
    </row>
    <row r="204" spans="10:16">
      <c r="J204" s="187"/>
      <c r="K204" s="41"/>
      <c r="M204" s="187"/>
      <c r="N204" s="187"/>
      <c r="O204" s="187"/>
      <c r="P204" s="187"/>
    </row>
    <row r="205" spans="10:16">
      <c r="J205" s="187"/>
      <c r="K205" s="41"/>
      <c r="M205" s="187"/>
      <c r="N205" s="187"/>
      <c r="O205" s="187"/>
      <c r="P205" s="187"/>
    </row>
    <row r="206" spans="10:16">
      <c r="J206" s="187"/>
      <c r="K206" s="41"/>
      <c r="M206" s="187"/>
      <c r="N206" s="187"/>
      <c r="O206" s="187"/>
      <c r="P206" s="187"/>
    </row>
    <row r="207" spans="10:16">
      <c r="J207" s="187"/>
      <c r="K207" s="41"/>
      <c r="M207" s="187"/>
      <c r="N207" s="187"/>
      <c r="O207" s="187"/>
      <c r="P207" s="187"/>
    </row>
    <row r="208" spans="10:16">
      <c r="J208" s="187"/>
      <c r="K208" s="41"/>
      <c r="M208" s="187"/>
      <c r="N208" s="187"/>
      <c r="O208" s="187"/>
      <c r="P208" s="187"/>
    </row>
    <row r="209" spans="10:16">
      <c r="J209" s="187"/>
      <c r="K209" s="41"/>
      <c r="M209" s="187"/>
      <c r="N209" s="187"/>
      <c r="O209" s="187"/>
      <c r="P209" s="187"/>
    </row>
    <row r="210" spans="10:16">
      <c r="J210" s="187"/>
      <c r="M210" s="187"/>
      <c r="N210" s="187"/>
      <c r="O210" s="187"/>
      <c r="P210" s="187"/>
    </row>
    <row r="211" spans="10:16">
      <c r="J211" s="187"/>
      <c r="K211" s="41"/>
      <c r="M211" s="187"/>
      <c r="N211" s="187"/>
      <c r="O211" s="187"/>
      <c r="P211" s="187"/>
    </row>
    <row r="212" spans="10:16">
      <c r="J212" s="187"/>
      <c r="K212" s="41"/>
      <c r="M212" s="187"/>
      <c r="N212" s="187"/>
      <c r="O212" s="187"/>
    </row>
    <row r="213" spans="10:16">
      <c r="J213" s="187"/>
      <c r="K213" s="41"/>
      <c r="M213" s="187"/>
      <c r="N213" s="187"/>
      <c r="O213" s="187"/>
    </row>
    <row r="214" spans="10:16">
      <c r="J214" s="187"/>
      <c r="K214" s="41"/>
      <c r="M214" s="187"/>
      <c r="N214" s="187"/>
      <c r="O214" s="187"/>
    </row>
    <row r="215" spans="10:16">
      <c r="J215" s="187"/>
      <c r="K215" s="41"/>
      <c r="M215" s="194"/>
      <c r="N215" s="194"/>
      <c r="O215" s="194"/>
    </row>
    <row r="216" spans="10:16">
      <c r="J216" s="194"/>
      <c r="K216" s="41"/>
      <c r="M216" s="187"/>
      <c r="N216" s="187"/>
      <c r="O216" s="187"/>
    </row>
    <row r="217" spans="10:16">
      <c r="J217" s="187"/>
      <c r="K217" s="41"/>
      <c r="M217" s="187"/>
      <c r="N217" s="187"/>
      <c r="O217" s="187"/>
    </row>
    <row r="218" spans="10:16">
      <c r="J218" s="187"/>
      <c r="K218" s="41"/>
      <c r="M218" s="187"/>
      <c r="N218" s="187"/>
      <c r="O218" s="187"/>
    </row>
    <row r="219" spans="10:16">
      <c r="J219" s="187"/>
      <c r="K219" s="41"/>
      <c r="M219" s="187"/>
      <c r="N219" s="187"/>
      <c r="O219" s="187"/>
    </row>
    <row r="220" spans="10:16">
      <c r="J220" s="187"/>
      <c r="K220" s="41"/>
      <c r="M220" s="187"/>
      <c r="N220" s="187"/>
      <c r="O220" s="187"/>
    </row>
    <row r="221" spans="10:16">
      <c r="J221" s="187"/>
      <c r="K221" s="41"/>
      <c r="M221" s="187"/>
      <c r="N221" s="187"/>
      <c r="O221" s="187"/>
    </row>
    <row r="222" spans="10:16">
      <c r="J222" s="187"/>
      <c r="K222" s="41"/>
      <c r="M222" s="187"/>
      <c r="N222" s="187"/>
      <c r="O222" s="187"/>
    </row>
    <row r="223" spans="10:16">
      <c r="J223" s="187"/>
      <c r="K223" s="41"/>
      <c r="M223" s="187"/>
      <c r="N223" s="187"/>
      <c r="O223" s="187"/>
    </row>
    <row r="224" spans="10:16">
      <c r="J224" s="187"/>
      <c r="K224" s="187"/>
      <c r="M224" s="187"/>
      <c r="N224" s="187"/>
      <c r="O224" s="187"/>
    </row>
    <row r="225" spans="10:15">
      <c r="J225" s="187"/>
      <c r="K225" s="187"/>
      <c r="M225" s="187"/>
      <c r="N225" s="187"/>
      <c r="O225" s="187"/>
    </row>
    <row r="226" spans="10:15">
      <c r="J226" s="187"/>
      <c r="K226" s="187"/>
      <c r="M226" s="187"/>
      <c r="N226" s="187"/>
      <c r="O226" s="187"/>
    </row>
    <row r="227" spans="10:15">
      <c r="J227" s="187"/>
      <c r="K227" s="187"/>
      <c r="M227" s="187"/>
      <c r="N227" s="187"/>
      <c r="O227" s="187"/>
    </row>
    <row r="228" spans="10:15">
      <c r="J228" s="187"/>
      <c r="K228" s="187"/>
    </row>
    <row r="229" spans="10:15">
      <c r="K229" s="187"/>
    </row>
    <row r="230" spans="10:15">
      <c r="K230" s="187"/>
    </row>
    <row r="231" spans="10:15">
      <c r="K231" s="187"/>
    </row>
    <row r="232" spans="10:15">
      <c r="K232" s="187"/>
    </row>
    <row r="233" spans="10:15">
      <c r="K233" s="187"/>
    </row>
    <row r="234" spans="10:15">
      <c r="K234" s="187"/>
    </row>
    <row r="235" spans="10:15">
      <c r="K235" s="187"/>
    </row>
    <row r="236" spans="10:15">
      <c r="K236" s="187"/>
    </row>
    <row r="237" spans="10:15">
      <c r="K237" s="187"/>
    </row>
    <row r="238" spans="10:15">
      <c r="K238" s="187"/>
    </row>
    <row r="239" spans="10:15">
      <c r="K239" s="187"/>
    </row>
    <row r="240" spans="10:15">
      <c r="K240" s="187"/>
    </row>
    <row r="241" spans="11:11">
      <c r="K241" s="187"/>
    </row>
    <row r="242" spans="11:11">
      <c r="K242" s="187"/>
    </row>
    <row r="243" spans="11:11">
      <c r="K243" s="194"/>
    </row>
    <row r="244" spans="11:11">
      <c r="K244" s="187"/>
    </row>
    <row r="245" spans="11:11">
      <c r="K245" s="187"/>
    </row>
    <row r="246" spans="11:11">
      <c r="K246" s="187"/>
    </row>
    <row r="247" spans="11:11">
      <c r="K247" s="187"/>
    </row>
    <row r="248" spans="11:11">
      <c r="K248" s="187"/>
    </row>
    <row r="249" spans="11:11">
      <c r="K249" s="187"/>
    </row>
    <row r="250" spans="11:11">
      <c r="K250" s="187"/>
    </row>
    <row r="251" spans="11:11">
      <c r="K251" s="187"/>
    </row>
    <row r="252" spans="11:11">
      <c r="K252" s="187"/>
    </row>
    <row r="253" spans="11:11">
      <c r="K253" s="187"/>
    </row>
    <row r="254" spans="11:11">
      <c r="K254" s="187"/>
    </row>
    <row r="255" spans="11:11">
      <c r="K255" s="187"/>
    </row>
  </sheetData>
  <mergeCells count="6">
    <mergeCell ref="H5:H6"/>
    <mergeCell ref="A5:A6"/>
    <mergeCell ref="B5:B6"/>
    <mergeCell ref="C5:C6"/>
    <mergeCell ref="D5:D6"/>
    <mergeCell ref="F5:F6"/>
  </mergeCells>
  <phoneticPr fontId="27" type="noConversion"/>
  <conditionalFormatting sqref="A26:A43">
    <cfRule type="expression" dxfId="189" priority="65">
      <formula>MONTH(A26)=1</formula>
    </cfRule>
  </conditionalFormatting>
  <conditionalFormatting sqref="A44">
    <cfRule type="expression" dxfId="188" priority="61">
      <formula>MONTH(A44)=1</formula>
    </cfRule>
  </conditionalFormatting>
  <conditionalFormatting sqref="A45:A54">
    <cfRule type="expression" dxfId="187" priority="59">
      <formula>MONTH(A45)=1</formula>
    </cfRule>
  </conditionalFormatting>
  <conditionalFormatting sqref="A56">
    <cfRule type="expression" dxfId="186" priority="58">
      <formula>MONTH(A56)=1</formula>
    </cfRule>
  </conditionalFormatting>
  <conditionalFormatting sqref="A56">
    <cfRule type="expression" dxfId="185" priority="57">
      <formula>MONTH(A56)=1</formula>
    </cfRule>
  </conditionalFormatting>
  <conditionalFormatting sqref="A55:A56">
    <cfRule type="expression" dxfId="184" priority="56">
      <formula>MONTH(A55)=1</formula>
    </cfRule>
  </conditionalFormatting>
  <conditionalFormatting sqref="A57">
    <cfRule type="expression" dxfId="183" priority="52">
      <formula>MONTH(A57)=1</formula>
    </cfRule>
  </conditionalFormatting>
  <conditionalFormatting sqref="A57">
    <cfRule type="expression" dxfId="182" priority="51">
      <formula>MONTH(A57)=1</formula>
    </cfRule>
  </conditionalFormatting>
  <conditionalFormatting sqref="A57">
    <cfRule type="expression" dxfId="181" priority="50">
      <formula>MONTH(A57)=1</formula>
    </cfRule>
  </conditionalFormatting>
  <conditionalFormatting sqref="A58">
    <cfRule type="expression" dxfId="180" priority="49">
      <formula>MONTH(A58)=1</formula>
    </cfRule>
  </conditionalFormatting>
  <conditionalFormatting sqref="A58">
    <cfRule type="expression" dxfId="179" priority="48">
      <formula>MONTH(A58)=1</formula>
    </cfRule>
  </conditionalFormatting>
  <conditionalFormatting sqref="A58">
    <cfRule type="expression" dxfId="178" priority="47">
      <formula>MONTH(A58)=1</formula>
    </cfRule>
  </conditionalFormatting>
  <conditionalFormatting sqref="A59">
    <cfRule type="expression" dxfId="177" priority="43">
      <formula>MONTH(A59)=1</formula>
    </cfRule>
  </conditionalFormatting>
  <conditionalFormatting sqref="A59">
    <cfRule type="expression" dxfId="176" priority="42">
      <formula>MONTH(A59)=1</formula>
    </cfRule>
  </conditionalFormatting>
  <conditionalFormatting sqref="A59">
    <cfRule type="expression" dxfId="175" priority="41">
      <formula>MONTH(A59)=1</formula>
    </cfRule>
  </conditionalFormatting>
  <conditionalFormatting sqref="A60">
    <cfRule type="expression" dxfId="174" priority="37">
      <formula>MONTH(A60)=1</formula>
    </cfRule>
  </conditionalFormatting>
  <conditionalFormatting sqref="A60">
    <cfRule type="expression" dxfId="173" priority="36">
      <formula>MONTH(A60)=1</formula>
    </cfRule>
  </conditionalFormatting>
  <conditionalFormatting sqref="A60">
    <cfRule type="expression" dxfId="172" priority="35">
      <formula>MONTH(A60)=1</formula>
    </cfRule>
  </conditionalFormatting>
  <conditionalFormatting sqref="A61:A66">
    <cfRule type="expression" dxfId="171" priority="34">
      <formula>MONTH(A61)=1</formula>
    </cfRule>
  </conditionalFormatting>
  <conditionalFormatting sqref="A61:A66">
    <cfRule type="expression" dxfId="170" priority="33">
      <formula>MONTH(A61)=1</formula>
    </cfRule>
  </conditionalFormatting>
  <conditionalFormatting sqref="A61:A66">
    <cfRule type="expression" dxfId="169" priority="32">
      <formula>MONTH(A61)=1</formula>
    </cfRule>
  </conditionalFormatting>
  <conditionalFormatting sqref="A67">
    <cfRule type="expression" dxfId="168" priority="30">
      <formula>MONTH(A67)=1</formula>
    </cfRule>
  </conditionalFormatting>
  <conditionalFormatting sqref="A67">
    <cfRule type="expression" dxfId="167" priority="29">
      <formula>MONTH(A67)=1</formula>
    </cfRule>
  </conditionalFormatting>
  <conditionalFormatting sqref="A67">
    <cfRule type="expression" dxfId="166" priority="28">
      <formula>MONTH(A67)=1</formula>
    </cfRule>
  </conditionalFormatting>
  <conditionalFormatting sqref="A68">
    <cfRule type="expression" dxfId="165" priority="27">
      <formula>MONTH(A68)=1</formula>
    </cfRule>
  </conditionalFormatting>
  <conditionalFormatting sqref="A69:A70">
    <cfRule type="expression" dxfId="164" priority="21">
      <formula>MONTH(A69)=1</formula>
    </cfRule>
  </conditionalFormatting>
  <conditionalFormatting sqref="A72">
    <cfRule type="expression" dxfId="163" priority="20">
      <formula>MONTH(A72)=1</formula>
    </cfRule>
  </conditionalFormatting>
  <conditionalFormatting sqref="A71">
    <cfRule type="expression" dxfId="162" priority="19">
      <formula>MONTH(A71)=1</formula>
    </cfRule>
  </conditionalFormatting>
  <conditionalFormatting sqref="A72">
    <cfRule type="expression" dxfId="161" priority="10">
      <formula>MONTH(A72)=1</formula>
    </cfRule>
  </conditionalFormatting>
  <conditionalFormatting sqref="A71">
    <cfRule type="expression" dxfId="160" priority="11">
      <formula>MONTH(A71)=1</formula>
    </cfRule>
  </conditionalFormatting>
  <conditionalFormatting sqref="A73">
    <cfRule type="expression" dxfId="159" priority="4">
      <formula>MONTH(A73)=1</formula>
    </cfRule>
  </conditionalFormatting>
  <conditionalFormatting sqref="A73">
    <cfRule type="expression" dxfId="158" priority="3">
      <formula>MONTH(A73)=1</formula>
    </cfRule>
  </conditionalFormatting>
  <conditionalFormatting sqref="A74:A77">
    <cfRule type="expression" dxfId="157" priority="2">
      <formula>MONTH(A74)=1</formula>
    </cfRule>
  </conditionalFormatting>
  <conditionalFormatting sqref="A74:A77">
    <cfRule type="expression" dxfId="156" priority="1">
      <formula>MONTH(A74)=1</formula>
    </cfRule>
  </conditionalFormatting>
  <pageMargins left="0.78740157480314965" right="0.78740157480314965" top="1.1417322834645669" bottom="1.1417322834645669" header="0.51181102362204722" footer="0.51181102362204722"/>
  <pageSetup paperSize="9" scale="68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B4A0-522E-43EC-A085-BD7951664FF7}">
  <sheetPr>
    <pageSetUpPr fitToPage="1"/>
  </sheetPr>
  <dimension ref="A1:AD144"/>
  <sheetViews>
    <sheetView view="pageBreakPreview" zoomScale="115" zoomScaleNormal="100" zoomScaleSheetLayoutView="115" workbookViewId="0">
      <pane xSplit="1" ySplit="7" topLeftCell="B8" activePane="bottomRight" state="frozen"/>
      <selection activeCell="P132" sqref="P132"/>
      <selection pane="topRight" activeCell="P132" sqref="P132"/>
      <selection pane="bottomLeft" activeCell="P132" sqref="P132"/>
      <selection pane="bottomRight"/>
    </sheetView>
  </sheetViews>
  <sheetFormatPr defaultRowHeight="13.5"/>
  <cols>
    <col min="1" max="1" width="7.21875" style="106" customWidth="1"/>
    <col min="2" max="3" width="5.6640625" style="106" customWidth="1"/>
    <col min="4" max="4" width="4.44140625" style="106" bestFit="1" customWidth="1"/>
    <col min="5" max="13" width="5.6640625" style="106" customWidth="1"/>
    <col min="14" max="14" width="5.88671875" style="14" customWidth="1"/>
    <col min="15" max="15" width="9.33203125" style="14" customWidth="1"/>
    <col min="16" max="25" width="5.88671875" style="14" customWidth="1"/>
    <col min="26" max="28" width="5.88671875" style="106" customWidth="1"/>
    <col min="29" max="29" width="8.88671875" style="106"/>
    <col min="30" max="41" width="5.88671875" style="106" customWidth="1"/>
    <col min="42" max="256" width="8.88671875" style="106"/>
    <col min="257" max="257" width="7.21875" style="106" customWidth="1"/>
    <col min="258" max="269" width="4.6640625" style="106" customWidth="1"/>
    <col min="270" max="281" width="5.88671875" style="106" customWidth="1"/>
    <col min="282" max="512" width="8.88671875" style="106"/>
    <col min="513" max="513" width="7.21875" style="106" customWidth="1"/>
    <col min="514" max="525" width="4.6640625" style="106" customWidth="1"/>
    <col min="526" max="537" width="5.88671875" style="106" customWidth="1"/>
    <col min="538" max="768" width="8.88671875" style="106"/>
    <col min="769" max="769" width="7.21875" style="106" customWidth="1"/>
    <col min="770" max="781" width="4.6640625" style="106" customWidth="1"/>
    <col min="782" max="793" width="5.88671875" style="106" customWidth="1"/>
    <col min="794" max="1024" width="8.88671875" style="106"/>
    <col min="1025" max="1025" width="7.21875" style="106" customWidth="1"/>
    <col min="1026" max="1037" width="4.6640625" style="106" customWidth="1"/>
    <col min="1038" max="1049" width="5.88671875" style="106" customWidth="1"/>
    <col min="1050" max="1280" width="8.88671875" style="106"/>
    <col min="1281" max="1281" width="7.21875" style="106" customWidth="1"/>
    <col min="1282" max="1293" width="4.6640625" style="106" customWidth="1"/>
    <col min="1294" max="1305" width="5.88671875" style="106" customWidth="1"/>
    <col min="1306" max="1536" width="8.88671875" style="106"/>
    <col min="1537" max="1537" width="7.21875" style="106" customWidth="1"/>
    <col min="1538" max="1549" width="4.6640625" style="106" customWidth="1"/>
    <col min="1550" max="1561" width="5.88671875" style="106" customWidth="1"/>
    <col min="1562" max="1792" width="8.88671875" style="106"/>
    <col min="1793" max="1793" width="7.21875" style="106" customWidth="1"/>
    <col min="1794" max="1805" width="4.6640625" style="106" customWidth="1"/>
    <col min="1806" max="1817" width="5.88671875" style="106" customWidth="1"/>
    <col min="1818" max="2048" width="8.88671875" style="106"/>
    <col min="2049" max="2049" width="7.21875" style="106" customWidth="1"/>
    <col min="2050" max="2061" width="4.6640625" style="106" customWidth="1"/>
    <col min="2062" max="2073" width="5.88671875" style="106" customWidth="1"/>
    <col min="2074" max="2304" width="8.88671875" style="106"/>
    <col min="2305" max="2305" width="7.21875" style="106" customWidth="1"/>
    <col min="2306" max="2317" width="4.6640625" style="106" customWidth="1"/>
    <col min="2318" max="2329" width="5.88671875" style="106" customWidth="1"/>
    <col min="2330" max="2560" width="8.88671875" style="106"/>
    <col min="2561" max="2561" width="7.21875" style="106" customWidth="1"/>
    <col min="2562" max="2573" width="4.6640625" style="106" customWidth="1"/>
    <col min="2574" max="2585" width="5.88671875" style="106" customWidth="1"/>
    <col min="2586" max="2816" width="8.88671875" style="106"/>
    <col min="2817" max="2817" width="7.21875" style="106" customWidth="1"/>
    <col min="2818" max="2829" width="4.6640625" style="106" customWidth="1"/>
    <col min="2830" max="2841" width="5.88671875" style="106" customWidth="1"/>
    <col min="2842" max="3072" width="8.88671875" style="106"/>
    <col min="3073" max="3073" width="7.21875" style="106" customWidth="1"/>
    <col min="3074" max="3085" width="4.6640625" style="106" customWidth="1"/>
    <col min="3086" max="3097" width="5.88671875" style="106" customWidth="1"/>
    <col min="3098" max="3328" width="8.88671875" style="106"/>
    <col min="3329" max="3329" width="7.21875" style="106" customWidth="1"/>
    <col min="3330" max="3341" width="4.6640625" style="106" customWidth="1"/>
    <col min="3342" max="3353" width="5.88671875" style="106" customWidth="1"/>
    <col min="3354" max="3584" width="8.88671875" style="106"/>
    <col min="3585" max="3585" width="7.21875" style="106" customWidth="1"/>
    <col min="3586" max="3597" width="4.6640625" style="106" customWidth="1"/>
    <col min="3598" max="3609" width="5.88671875" style="106" customWidth="1"/>
    <col min="3610" max="3840" width="8.88671875" style="106"/>
    <col min="3841" max="3841" width="7.21875" style="106" customWidth="1"/>
    <col min="3842" max="3853" width="4.6640625" style="106" customWidth="1"/>
    <col min="3854" max="3865" width="5.88671875" style="106" customWidth="1"/>
    <col min="3866" max="4096" width="8.88671875" style="106"/>
    <col min="4097" max="4097" width="7.21875" style="106" customWidth="1"/>
    <col min="4098" max="4109" width="4.6640625" style="106" customWidth="1"/>
    <col min="4110" max="4121" width="5.88671875" style="106" customWidth="1"/>
    <col min="4122" max="4352" width="8.88671875" style="106"/>
    <col min="4353" max="4353" width="7.21875" style="106" customWidth="1"/>
    <col min="4354" max="4365" width="4.6640625" style="106" customWidth="1"/>
    <col min="4366" max="4377" width="5.88671875" style="106" customWidth="1"/>
    <col min="4378" max="4608" width="8.88671875" style="106"/>
    <col min="4609" max="4609" width="7.21875" style="106" customWidth="1"/>
    <col min="4610" max="4621" width="4.6640625" style="106" customWidth="1"/>
    <col min="4622" max="4633" width="5.88671875" style="106" customWidth="1"/>
    <col min="4634" max="4864" width="8.88671875" style="106"/>
    <col min="4865" max="4865" width="7.21875" style="106" customWidth="1"/>
    <col min="4866" max="4877" width="4.6640625" style="106" customWidth="1"/>
    <col min="4878" max="4889" width="5.88671875" style="106" customWidth="1"/>
    <col min="4890" max="5120" width="8.88671875" style="106"/>
    <col min="5121" max="5121" width="7.21875" style="106" customWidth="1"/>
    <col min="5122" max="5133" width="4.6640625" style="106" customWidth="1"/>
    <col min="5134" max="5145" width="5.88671875" style="106" customWidth="1"/>
    <col min="5146" max="5376" width="8.88671875" style="106"/>
    <col min="5377" max="5377" width="7.21875" style="106" customWidth="1"/>
    <col min="5378" max="5389" width="4.6640625" style="106" customWidth="1"/>
    <col min="5390" max="5401" width="5.88671875" style="106" customWidth="1"/>
    <col min="5402" max="5632" width="8.88671875" style="106"/>
    <col min="5633" max="5633" width="7.21875" style="106" customWidth="1"/>
    <col min="5634" max="5645" width="4.6640625" style="106" customWidth="1"/>
    <col min="5646" max="5657" width="5.88671875" style="106" customWidth="1"/>
    <col min="5658" max="5888" width="8.88671875" style="106"/>
    <col min="5889" max="5889" width="7.21875" style="106" customWidth="1"/>
    <col min="5890" max="5901" width="4.6640625" style="106" customWidth="1"/>
    <col min="5902" max="5913" width="5.88671875" style="106" customWidth="1"/>
    <col min="5914" max="6144" width="8.88671875" style="106"/>
    <col min="6145" max="6145" width="7.21875" style="106" customWidth="1"/>
    <col min="6146" max="6157" width="4.6640625" style="106" customWidth="1"/>
    <col min="6158" max="6169" width="5.88671875" style="106" customWidth="1"/>
    <col min="6170" max="6400" width="8.88671875" style="106"/>
    <col min="6401" max="6401" width="7.21875" style="106" customWidth="1"/>
    <col min="6402" max="6413" width="4.6640625" style="106" customWidth="1"/>
    <col min="6414" max="6425" width="5.88671875" style="106" customWidth="1"/>
    <col min="6426" max="6656" width="8.88671875" style="106"/>
    <col min="6657" max="6657" width="7.21875" style="106" customWidth="1"/>
    <col min="6658" max="6669" width="4.6640625" style="106" customWidth="1"/>
    <col min="6670" max="6681" width="5.88671875" style="106" customWidth="1"/>
    <col min="6682" max="6912" width="8.88671875" style="106"/>
    <col min="6913" max="6913" width="7.21875" style="106" customWidth="1"/>
    <col min="6914" max="6925" width="4.6640625" style="106" customWidth="1"/>
    <col min="6926" max="6937" width="5.88671875" style="106" customWidth="1"/>
    <col min="6938" max="7168" width="8.88671875" style="106"/>
    <col min="7169" max="7169" width="7.21875" style="106" customWidth="1"/>
    <col min="7170" max="7181" width="4.6640625" style="106" customWidth="1"/>
    <col min="7182" max="7193" width="5.88671875" style="106" customWidth="1"/>
    <col min="7194" max="7424" width="8.88671875" style="106"/>
    <col min="7425" max="7425" width="7.21875" style="106" customWidth="1"/>
    <col min="7426" max="7437" width="4.6640625" style="106" customWidth="1"/>
    <col min="7438" max="7449" width="5.88671875" style="106" customWidth="1"/>
    <col min="7450" max="7680" width="8.88671875" style="106"/>
    <col min="7681" max="7681" width="7.21875" style="106" customWidth="1"/>
    <col min="7682" max="7693" width="4.6640625" style="106" customWidth="1"/>
    <col min="7694" max="7705" width="5.88671875" style="106" customWidth="1"/>
    <col min="7706" max="7936" width="8.88671875" style="106"/>
    <col min="7937" max="7937" width="7.21875" style="106" customWidth="1"/>
    <col min="7938" max="7949" width="4.6640625" style="106" customWidth="1"/>
    <col min="7950" max="7961" width="5.88671875" style="106" customWidth="1"/>
    <col min="7962" max="8192" width="8.88671875" style="106"/>
    <col min="8193" max="8193" width="7.21875" style="106" customWidth="1"/>
    <col min="8194" max="8205" width="4.6640625" style="106" customWidth="1"/>
    <col min="8206" max="8217" width="5.88671875" style="106" customWidth="1"/>
    <col min="8218" max="8448" width="8.88671875" style="106"/>
    <col min="8449" max="8449" width="7.21875" style="106" customWidth="1"/>
    <col min="8450" max="8461" width="4.6640625" style="106" customWidth="1"/>
    <col min="8462" max="8473" width="5.88671875" style="106" customWidth="1"/>
    <col min="8474" max="8704" width="8.88671875" style="106"/>
    <col min="8705" max="8705" width="7.21875" style="106" customWidth="1"/>
    <col min="8706" max="8717" width="4.6640625" style="106" customWidth="1"/>
    <col min="8718" max="8729" width="5.88671875" style="106" customWidth="1"/>
    <col min="8730" max="8960" width="8.88671875" style="106"/>
    <col min="8961" max="8961" width="7.21875" style="106" customWidth="1"/>
    <col min="8962" max="8973" width="4.6640625" style="106" customWidth="1"/>
    <col min="8974" max="8985" width="5.88671875" style="106" customWidth="1"/>
    <col min="8986" max="9216" width="8.88671875" style="106"/>
    <col min="9217" max="9217" width="7.21875" style="106" customWidth="1"/>
    <col min="9218" max="9229" width="4.6640625" style="106" customWidth="1"/>
    <col min="9230" max="9241" width="5.88671875" style="106" customWidth="1"/>
    <col min="9242" max="9472" width="8.88671875" style="106"/>
    <col min="9473" max="9473" width="7.21875" style="106" customWidth="1"/>
    <col min="9474" max="9485" width="4.6640625" style="106" customWidth="1"/>
    <col min="9486" max="9497" width="5.88671875" style="106" customWidth="1"/>
    <col min="9498" max="9728" width="8.88671875" style="106"/>
    <col min="9729" max="9729" width="7.21875" style="106" customWidth="1"/>
    <col min="9730" max="9741" width="4.6640625" style="106" customWidth="1"/>
    <col min="9742" max="9753" width="5.88671875" style="106" customWidth="1"/>
    <col min="9754" max="9984" width="8.88671875" style="106"/>
    <col min="9985" max="9985" width="7.21875" style="106" customWidth="1"/>
    <col min="9986" max="9997" width="4.6640625" style="106" customWidth="1"/>
    <col min="9998" max="10009" width="5.88671875" style="106" customWidth="1"/>
    <col min="10010" max="10240" width="8.88671875" style="106"/>
    <col min="10241" max="10241" width="7.21875" style="106" customWidth="1"/>
    <col min="10242" max="10253" width="4.6640625" style="106" customWidth="1"/>
    <col min="10254" max="10265" width="5.88671875" style="106" customWidth="1"/>
    <col min="10266" max="10496" width="8.88671875" style="106"/>
    <col min="10497" max="10497" width="7.21875" style="106" customWidth="1"/>
    <col min="10498" max="10509" width="4.6640625" style="106" customWidth="1"/>
    <col min="10510" max="10521" width="5.88671875" style="106" customWidth="1"/>
    <col min="10522" max="10752" width="8.88671875" style="106"/>
    <col min="10753" max="10753" width="7.21875" style="106" customWidth="1"/>
    <col min="10754" max="10765" width="4.6640625" style="106" customWidth="1"/>
    <col min="10766" max="10777" width="5.88671875" style="106" customWidth="1"/>
    <col min="10778" max="11008" width="8.88671875" style="106"/>
    <col min="11009" max="11009" width="7.21875" style="106" customWidth="1"/>
    <col min="11010" max="11021" width="4.6640625" style="106" customWidth="1"/>
    <col min="11022" max="11033" width="5.88671875" style="106" customWidth="1"/>
    <col min="11034" max="11264" width="8.88671875" style="106"/>
    <col min="11265" max="11265" width="7.21875" style="106" customWidth="1"/>
    <col min="11266" max="11277" width="4.6640625" style="106" customWidth="1"/>
    <col min="11278" max="11289" width="5.88671875" style="106" customWidth="1"/>
    <col min="11290" max="11520" width="8.88671875" style="106"/>
    <col min="11521" max="11521" width="7.21875" style="106" customWidth="1"/>
    <col min="11522" max="11533" width="4.6640625" style="106" customWidth="1"/>
    <col min="11534" max="11545" width="5.88671875" style="106" customWidth="1"/>
    <col min="11546" max="11776" width="8.88671875" style="106"/>
    <col min="11777" max="11777" width="7.21875" style="106" customWidth="1"/>
    <col min="11778" max="11789" width="4.6640625" style="106" customWidth="1"/>
    <col min="11790" max="11801" width="5.88671875" style="106" customWidth="1"/>
    <col min="11802" max="12032" width="8.88671875" style="106"/>
    <col min="12033" max="12033" width="7.21875" style="106" customWidth="1"/>
    <col min="12034" max="12045" width="4.6640625" style="106" customWidth="1"/>
    <col min="12046" max="12057" width="5.88671875" style="106" customWidth="1"/>
    <col min="12058" max="12288" width="8.88671875" style="106"/>
    <col min="12289" max="12289" width="7.21875" style="106" customWidth="1"/>
    <col min="12290" max="12301" width="4.6640625" style="106" customWidth="1"/>
    <col min="12302" max="12313" width="5.88671875" style="106" customWidth="1"/>
    <col min="12314" max="12544" width="8.88671875" style="106"/>
    <col min="12545" max="12545" width="7.21875" style="106" customWidth="1"/>
    <col min="12546" max="12557" width="4.6640625" style="106" customWidth="1"/>
    <col min="12558" max="12569" width="5.88671875" style="106" customWidth="1"/>
    <col min="12570" max="12800" width="8.88671875" style="106"/>
    <col min="12801" max="12801" width="7.21875" style="106" customWidth="1"/>
    <col min="12802" max="12813" width="4.6640625" style="106" customWidth="1"/>
    <col min="12814" max="12825" width="5.88671875" style="106" customWidth="1"/>
    <col min="12826" max="13056" width="8.88671875" style="106"/>
    <col min="13057" max="13057" width="7.21875" style="106" customWidth="1"/>
    <col min="13058" max="13069" width="4.6640625" style="106" customWidth="1"/>
    <col min="13070" max="13081" width="5.88671875" style="106" customWidth="1"/>
    <col min="13082" max="13312" width="8.88671875" style="106"/>
    <col min="13313" max="13313" width="7.21875" style="106" customWidth="1"/>
    <col min="13314" max="13325" width="4.6640625" style="106" customWidth="1"/>
    <col min="13326" max="13337" width="5.88671875" style="106" customWidth="1"/>
    <col min="13338" max="13568" width="8.88671875" style="106"/>
    <col min="13569" max="13569" width="7.21875" style="106" customWidth="1"/>
    <col min="13570" max="13581" width="4.6640625" style="106" customWidth="1"/>
    <col min="13582" max="13593" width="5.88671875" style="106" customWidth="1"/>
    <col min="13594" max="13824" width="8.88671875" style="106"/>
    <col min="13825" max="13825" width="7.21875" style="106" customWidth="1"/>
    <col min="13826" max="13837" width="4.6640625" style="106" customWidth="1"/>
    <col min="13838" max="13849" width="5.88671875" style="106" customWidth="1"/>
    <col min="13850" max="14080" width="8.88671875" style="106"/>
    <col min="14081" max="14081" width="7.21875" style="106" customWidth="1"/>
    <col min="14082" max="14093" width="4.6640625" style="106" customWidth="1"/>
    <col min="14094" max="14105" width="5.88671875" style="106" customWidth="1"/>
    <col min="14106" max="14336" width="8.88671875" style="106"/>
    <col min="14337" max="14337" width="7.21875" style="106" customWidth="1"/>
    <col min="14338" max="14349" width="4.6640625" style="106" customWidth="1"/>
    <col min="14350" max="14361" width="5.88671875" style="106" customWidth="1"/>
    <col min="14362" max="14592" width="8.88671875" style="106"/>
    <col min="14593" max="14593" width="7.21875" style="106" customWidth="1"/>
    <col min="14594" max="14605" width="4.6640625" style="106" customWidth="1"/>
    <col min="14606" max="14617" width="5.88671875" style="106" customWidth="1"/>
    <col min="14618" max="14848" width="8.88671875" style="106"/>
    <col min="14849" max="14849" width="7.21875" style="106" customWidth="1"/>
    <col min="14850" max="14861" width="4.6640625" style="106" customWidth="1"/>
    <col min="14862" max="14873" width="5.88671875" style="106" customWidth="1"/>
    <col min="14874" max="15104" width="8.88671875" style="106"/>
    <col min="15105" max="15105" width="7.21875" style="106" customWidth="1"/>
    <col min="15106" max="15117" width="4.6640625" style="106" customWidth="1"/>
    <col min="15118" max="15129" width="5.88671875" style="106" customWidth="1"/>
    <col min="15130" max="15360" width="8.88671875" style="106"/>
    <col min="15361" max="15361" width="7.21875" style="106" customWidth="1"/>
    <col min="15362" max="15373" width="4.6640625" style="106" customWidth="1"/>
    <col min="15374" max="15385" width="5.88671875" style="106" customWidth="1"/>
    <col min="15386" max="15616" width="8.88671875" style="106"/>
    <col min="15617" max="15617" width="7.21875" style="106" customWidth="1"/>
    <col min="15618" max="15629" width="4.6640625" style="106" customWidth="1"/>
    <col min="15630" max="15641" width="5.88671875" style="106" customWidth="1"/>
    <col min="15642" max="15872" width="8.88671875" style="106"/>
    <col min="15873" max="15873" width="7.21875" style="106" customWidth="1"/>
    <col min="15874" max="15885" width="4.6640625" style="106" customWidth="1"/>
    <col min="15886" max="15897" width="5.88671875" style="106" customWidth="1"/>
    <col min="15898" max="16128" width="8.88671875" style="106"/>
    <col min="16129" max="16129" width="7.21875" style="106" customWidth="1"/>
    <col min="16130" max="16141" width="4.6640625" style="106" customWidth="1"/>
    <col min="16142" max="16153" width="5.88671875" style="106" customWidth="1"/>
    <col min="16154" max="16384" width="8.88671875" style="106"/>
  </cols>
  <sheetData>
    <row r="1" spans="1:30" s="21" customFormat="1" ht="16.5" customHeight="1">
      <c r="A1" s="341"/>
      <c r="B1" s="341"/>
      <c r="C1" s="341"/>
      <c r="D1" s="341"/>
      <c r="E1" s="341"/>
      <c r="F1" s="341"/>
      <c r="G1" s="341"/>
    </row>
    <row r="2" spans="1:30" s="21" customFormat="1" ht="9.9499999999999993" customHeight="1">
      <c r="A2" s="27"/>
      <c r="B2" s="22"/>
      <c r="C2" s="22"/>
      <c r="D2" s="22"/>
      <c r="E2" s="22"/>
      <c r="F2" s="22"/>
      <c r="G2" s="23"/>
    </row>
    <row r="3" spans="1:30" ht="15" customHeight="1">
      <c r="A3" s="180" t="s">
        <v>127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</row>
    <row r="4" spans="1:30" ht="15" customHeight="1">
      <c r="A4" s="295" t="s">
        <v>12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</row>
    <row r="5" spans="1:30" ht="14.25" customHeight="1">
      <c r="A5" s="517" t="s">
        <v>50</v>
      </c>
      <c r="B5" s="519" t="s">
        <v>2</v>
      </c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</row>
    <row r="6" spans="1:30" ht="13.5" customHeight="1">
      <c r="A6" s="517"/>
      <c r="B6" s="521" t="s">
        <v>51</v>
      </c>
      <c r="C6" s="522"/>
      <c r="D6" s="521" t="s">
        <v>52</v>
      </c>
      <c r="E6" s="522"/>
      <c r="F6" s="523" t="s">
        <v>53</v>
      </c>
      <c r="G6" s="522"/>
      <c r="H6" s="521" t="s">
        <v>54</v>
      </c>
      <c r="I6" s="522"/>
      <c r="J6" s="523" t="s">
        <v>55</v>
      </c>
      <c r="K6" s="521"/>
      <c r="L6" s="524" t="s">
        <v>56</v>
      </c>
      <c r="M6" s="525"/>
    </row>
    <row r="7" spans="1:30" ht="14.25" customHeight="1">
      <c r="A7" s="518"/>
      <c r="B7" s="206" t="s">
        <v>57</v>
      </c>
      <c r="C7" s="206" t="s">
        <v>58</v>
      </c>
      <c r="D7" s="206" t="s">
        <v>57</v>
      </c>
      <c r="E7" s="206" t="s">
        <v>58</v>
      </c>
      <c r="F7" s="206" t="s">
        <v>57</v>
      </c>
      <c r="G7" s="206" t="s">
        <v>58</v>
      </c>
      <c r="H7" s="206" t="s">
        <v>57</v>
      </c>
      <c r="I7" s="206" t="s">
        <v>58</v>
      </c>
      <c r="J7" s="207" t="s">
        <v>57</v>
      </c>
      <c r="K7" s="318" t="s">
        <v>59</v>
      </c>
      <c r="L7" s="206" t="s">
        <v>57</v>
      </c>
      <c r="M7" s="307" t="s">
        <v>58</v>
      </c>
    </row>
    <row r="8" spans="1:30" ht="9.75" customHeight="1">
      <c r="A8" s="336">
        <v>2016</v>
      </c>
      <c r="B8" s="208">
        <v>61</v>
      </c>
      <c r="C8" s="208">
        <v>57</v>
      </c>
      <c r="D8" s="208">
        <v>64</v>
      </c>
      <c r="E8" s="208">
        <v>63</v>
      </c>
      <c r="F8" s="208">
        <v>76</v>
      </c>
      <c r="G8" s="208">
        <v>72</v>
      </c>
      <c r="H8" s="208">
        <v>94</v>
      </c>
      <c r="I8" s="208">
        <v>93</v>
      </c>
      <c r="J8" s="208">
        <v>70</v>
      </c>
      <c r="K8" s="209">
        <v>69</v>
      </c>
      <c r="L8" s="208">
        <v>96</v>
      </c>
      <c r="M8" s="209">
        <v>104</v>
      </c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D8" s="127"/>
    </row>
    <row r="9" spans="1:30" ht="9.75" customHeight="1">
      <c r="A9" s="336">
        <v>2017</v>
      </c>
      <c r="B9" s="208">
        <v>57</v>
      </c>
      <c r="C9" s="208">
        <v>58</v>
      </c>
      <c r="D9" s="208">
        <v>68</v>
      </c>
      <c r="E9" s="208">
        <v>70</v>
      </c>
      <c r="F9" s="208">
        <v>72</v>
      </c>
      <c r="G9" s="208">
        <v>72</v>
      </c>
      <c r="H9" s="208">
        <v>93</v>
      </c>
      <c r="I9" s="208">
        <v>93</v>
      </c>
      <c r="J9" s="208">
        <v>71</v>
      </c>
      <c r="K9" s="209">
        <v>68</v>
      </c>
      <c r="L9" s="208">
        <v>100</v>
      </c>
      <c r="M9" s="209">
        <v>100</v>
      </c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D9" s="127"/>
    </row>
    <row r="10" spans="1:30" ht="9.75" customHeight="1">
      <c r="A10" s="336">
        <v>2018</v>
      </c>
      <c r="B10" s="208">
        <v>57</v>
      </c>
      <c r="C10" s="208">
        <v>57</v>
      </c>
      <c r="D10" s="208">
        <v>76</v>
      </c>
      <c r="E10" s="208">
        <v>79</v>
      </c>
      <c r="F10" s="208">
        <v>76</v>
      </c>
      <c r="G10" s="208">
        <v>78</v>
      </c>
      <c r="H10" s="208">
        <v>90</v>
      </c>
      <c r="I10" s="208">
        <v>89</v>
      </c>
      <c r="J10" s="208">
        <v>74</v>
      </c>
      <c r="K10" s="209">
        <v>77</v>
      </c>
      <c r="L10" s="208">
        <v>102</v>
      </c>
      <c r="M10" s="209">
        <v>103</v>
      </c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D10" s="127"/>
    </row>
    <row r="11" spans="1:30" ht="9.75" customHeight="1">
      <c r="A11" s="336">
        <v>2019</v>
      </c>
      <c r="B11" s="208">
        <v>69</v>
      </c>
      <c r="C11" s="208">
        <v>70</v>
      </c>
      <c r="D11" s="208">
        <v>86</v>
      </c>
      <c r="E11" s="208">
        <v>86</v>
      </c>
      <c r="F11" s="208">
        <v>86</v>
      </c>
      <c r="G11" s="208">
        <v>83</v>
      </c>
      <c r="H11" s="208">
        <v>96</v>
      </c>
      <c r="I11" s="208">
        <v>95</v>
      </c>
      <c r="J11" s="208">
        <v>83</v>
      </c>
      <c r="K11" s="209">
        <v>81</v>
      </c>
      <c r="L11" s="208">
        <v>98</v>
      </c>
      <c r="M11" s="209">
        <v>100</v>
      </c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D11" s="127"/>
    </row>
    <row r="12" spans="1:30" ht="9.75" customHeight="1">
      <c r="A12" s="336">
        <v>2020</v>
      </c>
      <c r="B12" s="208">
        <v>54</v>
      </c>
      <c r="C12" s="208">
        <v>51</v>
      </c>
      <c r="D12" s="208">
        <v>61</v>
      </c>
      <c r="E12" s="208">
        <v>63</v>
      </c>
      <c r="F12" s="208">
        <v>68</v>
      </c>
      <c r="G12" s="208">
        <v>70</v>
      </c>
      <c r="H12" s="208">
        <v>77</v>
      </c>
      <c r="I12" s="208">
        <v>81</v>
      </c>
      <c r="J12" s="208">
        <v>69</v>
      </c>
      <c r="K12" s="209">
        <v>67</v>
      </c>
      <c r="L12" s="208">
        <v>105</v>
      </c>
      <c r="M12" s="209">
        <v>106</v>
      </c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D12" s="127"/>
    </row>
    <row r="13" spans="1:30" ht="9.75" customHeight="1">
      <c r="A13" s="336">
        <v>2021</v>
      </c>
      <c r="B13" s="208">
        <v>68</v>
      </c>
      <c r="C13" s="208">
        <v>68</v>
      </c>
      <c r="D13" s="208">
        <v>92</v>
      </c>
      <c r="E13" s="208">
        <v>95</v>
      </c>
      <c r="F13" s="208">
        <v>77</v>
      </c>
      <c r="G13" s="208">
        <v>75</v>
      </c>
      <c r="H13" s="208">
        <v>91</v>
      </c>
      <c r="I13" s="208">
        <v>94</v>
      </c>
      <c r="J13" s="208">
        <v>75</v>
      </c>
      <c r="K13" s="209">
        <v>73</v>
      </c>
      <c r="L13" s="208">
        <v>87</v>
      </c>
      <c r="M13" s="209">
        <v>87</v>
      </c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D13" s="127"/>
    </row>
    <row r="14" spans="1:30" ht="9.75" customHeight="1">
      <c r="A14" s="336">
        <v>2022</v>
      </c>
      <c r="B14" s="208">
        <v>71</v>
      </c>
      <c r="C14" s="208">
        <v>67</v>
      </c>
      <c r="D14" s="208">
        <v>89</v>
      </c>
      <c r="E14" s="208">
        <v>92</v>
      </c>
      <c r="F14" s="208">
        <v>75</v>
      </c>
      <c r="G14" s="208">
        <v>73</v>
      </c>
      <c r="H14" s="208">
        <v>94</v>
      </c>
      <c r="I14" s="208">
        <v>93</v>
      </c>
      <c r="J14" s="208">
        <v>74</v>
      </c>
      <c r="K14" s="209">
        <v>74</v>
      </c>
      <c r="L14" s="208">
        <v>80</v>
      </c>
      <c r="M14" s="209">
        <v>82</v>
      </c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D14" s="127"/>
    </row>
    <row r="15" spans="1:30" ht="9.75" customHeight="1">
      <c r="A15" s="336">
        <v>2023</v>
      </c>
      <c r="B15" s="208">
        <v>70</v>
      </c>
      <c r="C15" s="208">
        <v>73</v>
      </c>
      <c r="D15" s="208">
        <v>78</v>
      </c>
      <c r="E15" s="208">
        <v>85</v>
      </c>
      <c r="F15" s="208">
        <v>79</v>
      </c>
      <c r="G15" s="208">
        <v>81</v>
      </c>
      <c r="H15" s="208">
        <v>99</v>
      </c>
      <c r="I15" s="208">
        <v>95</v>
      </c>
      <c r="J15" s="208">
        <v>81</v>
      </c>
      <c r="K15" s="209">
        <v>79</v>
      </c>
      <c r="L15" s="208">
        <v>89</v>
      </c>
      <c r="M15" s="209">
        <v>86</v>
      </c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D15" s="127"/>
    </row>
    <row r="16" spans="1:30" ht="9.75" customHeight="1">
      <c r="A16" s="336">
        <v>2024</v>
      </c>
      <c r="B16" s="208">
        <v>66</v>
      </c>
      <c r="C16" s="208">
        <v>64</v>
      </c>
      <c r="D16" s="208">
        <v>74</v>
      </c>
      <c r="E16" s="208">
        <v>73</v>
      </c>
      <c r="F16" s="208">
        <v>74</v>
      </c>
      <c r="G16" s="208">
        <v>74</v>
      </c>
      <c r="H16" s="208">
        <v>92</v>
      </c>
      <c r="I16" s="208">
        <v>92</v>
      </c>
      <c r="J16" s="208">
        <v>77</v>
      </c>
      <c r="K16" s="209">
        <v>77</v>
      </c>
      <c r="L16" s="208">
        <v>84</v>
      </c>
      <c r="M16" s="209">
        <v>84</v>
      </c>
      <c r="O16" s="247"/>
      <c r="P16" s="247"/>
      <c r="Q16" s="247"/>
      <c r="R16" s="247"/>
      <c r="S16" s="247"/>
      <c r="T16" s="247"/>
      <c r="U16" s="247"/>
      <c r="V16" s="247"/>
      <c r="W16" s="247"/>
      <c r="X16" s="247"/>
      <c r="Y16" s="247"/>
      <c r="Z16" s="247"/>
      <c r="AD16" s="127"/>
    </row>
    <row r="17" spans="1:30" ht="9.75" customHeight="1">
      <c r="A17" s="336">
        <v>2025</v>
      </c>
      <c r="B17" s="208">
        <v>63</v>
      </c>
      <c r="C17" s="208">
        <v>61</v>
      </c>
      <c r="D17" s="208">
        <v>67</v>
      </c>
      <c r="E17" s="208">
        <v>75</v>
      </c>
      <c r="F17" s="208">
        <v>70</v>
      </c>
      <c r="G17" s="208">
        <v>71</v>
      </c>
      <c r="H17" s="208">
        <v>91</v>
      </c>
      <c r="I17" s="208">
        <v>90</v>
      </c>
      <c r="J17" s="208">
        <v>77</v>
      </c>
      <c r="K17" s="209">
        <v>75</v>
      </c>
      <c r="L17" s="208">
        <v>92</v>
      </c>
      <c r="M17" s="209">
        <v>90</v>
      </c>
      <c r="O17" s="247"/>
      <c r="P17" s="247"/>
      <c r="Q17" s="247"/>
      <c r="R17" s="247"/>
      <c r="S17" s="247"/>
      <c r="T17" s="247"/>
      <c r="U17" s="247"/>
      <c r="V17" s="247"/>
      <c r="W17" s="247"/>
      <c r="X17" s="247"/>
      <c r="Y17" s="247"/>
      <c r="Z17" s="247"/>
      <c r="AD17" s="127"/>
    </row>
    <row r="18" spans="1:30" ht="9.75" customHeight="1">
      <c r="A18" s="324"/>
      <c r="B18" s="208"/>
      <c r="C18" s="208"/>
      <c r="D18" s="208"/>
      <c r="E18" s="208"/>
      <c r="F18" s="208"/>
      <c r="G18" s="208"/>
      <c r="H18" s="208"/>
      <c r="I18" s="208"/>
      <c r="J18" s="208"/>
      <c r="K18" s="209"/>
      <c r="L18" s="208"/>
      <c r="M18" s="209"/>
      <c r="O18" s="247"/>
      <c r="P18" s="247"/>
      <c r="Q18" s="247"/>
      <c r="R18" s="247"/>
      <c r="S18" s="247"/>
      <c r="T18" s="247"/>
      <c r="U18" s="247"/>
      <c r="V18" s="247"/>
      <c r="W18" s="247"/>
      <c r="X18" s="247"/>
      <c r="Y18" s="247"/>
      <c r="Z18" s="247"/>
    </row>
    <row r="19" spans="1:30" ht="9.75" customHeight="1">
      <c r="A19" s="324"/>
      <c r="B19" s="208"/>
      <c r="C19" s="208"/>
      <c r="D19" s="208"/>
      <c r="E19" s="208"/>
      <c r="F19" s="208"/>
      <c r="G19" s="208"/>
      <c r="H19" s="208"/>
      <c r="I19" s="208"/>
      <c r="J19" s="208"/>
      <c r="K19" s="209"/>
      <c r="L19" s="208"/>
      <c r="M19" s="209"/>
      <c r="O19" s="24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247"/>
      <c r="AD19" s="127"/>
    </row>
    <row r="20" spans="1:30" ht="9.75" customHeight="1">
      <c r="A20" s="337">
        <v>44562</v>
      </c>
      <c r="B20" s="208">
        <v>71</v>
      </c>
      <c r="C20" s="208">
        <v>74</v>
      </c>
      <c r="D20" s="208">
        <v>96</v>
      </c>
      <c r="E20" s="208">
        <v>98</v>
      </c>
      <c r="F20" s="208">
        <v>77</v>
      </c>
      <c r="G20" s="208">
        <v>80</v>
      </c>
      <c r="H20" s="208">
        <v>96</v>
      </c>
      <c r="I20" s="208">
        <v>95</v>
      </c>
      <c r="J20" s="208">
        <v>75</v>
      </c>
      <c r="K20" s="209">
        <v>76</v>
      </c>
      <c r="L20" s="208">
        <v>83</v>
      </c>
      <c r="M20" s="209">
        <v>84</v>
      </c>
      <c r="O20" s="247"/>
      <c r="P20" s="247"/>
      <c r="Q20" s="247"/>
      <c r="R20" s="247"/>
      <c r="S20" s="247"/>
      <c r="T20" s="247"/>
      <c r="U20" s="247"/>
      <c r="V20" s="247"/>
      <c r="W20" s="247"/>
      <c r="X20" s="247"/>
      <c r="Y20" s="247"/>
      <c r="Z20" s="247"/>
      <c r="AD20" s="127"/>
    </row>
    <row r="21" spans="1:30" ht="9.75" customHeight="1">
      <c r="A21" s="337">
        <v>44593</v>
      </c>
      <c r="B21" s="208">
        <v>71</v>
      </c>
      <c r="C21" s="208">
        <v>73</v>
      </c>
      <c r="D21" s="208">
        <v>97</v>
      </c>
      <c r="E21" s="208">
        <v>101</v>
      </c>
      <c r="F21" s="208">
        <v>77</v>
      </c>
      <c r="G21" s="208">
        <v>79</v>
      </c>
      <c r="H21" s="208">
        <v>94</v>
      </c>
      <c r="I21" s="208">
        <v>95</v>
      </c>
      <c r="J21" s="208">
        <v>77</v>
      </c>
      <c r="K21" s="209">
        <v>75</v>
      </c>
      <c r="L21" s="208">
        <v>85</v>
      </c>
      <c r="M21" s="209">
        <v>86</v>
      </c>
      <c r="O21" s="247"/>
      <c r="P21" s="247"/>
      <c r="Q21" s="247"/>
      <c r="R21" s="247"/>
      <c r="S21" s="247"/>
      <c r="T21" s="247"/>
      <c r="U21" s="247"/>
      <c r="V21" s="247"/>
      <c r="W21" s="247"/>
      <c r="X21" s="247"/>
      <c r="Y21" s="247"/>
      <c r="Z21" s="247"/>
      <c r="AD21" s="127"/>
    </row>
    <row r="22" spans="1:30" ht="9.75" customHeight="1">
      <c r="A22" s="337">
        <v>44621</v>
      </c>
      <c r="B22" s="208">
        <v>66</v>
      </c>
      <c r="C22" s="208">
        <v>69</v>
      </c>
      <c r="D22" s="208">
        <v>91</v>
      </c>
      <c r="E22" s="208">
        <v>96</v>
      </c>
      <c r="F22" s="208">
        <v>72</v>
      </c>
      <c r="G22" s="208">
        <v>75</v>
      </c>
      <c r="H22" s="208">
        <v>97</v>
      </c>
      <c r="I22" s="208">
        <v>97</v>
      </c>
      <c r="J22" s="208">
        <v>77</v>
      </c>
      <c r="K22" s="209">
        <v>75</v>
      </c>
      <c r="L22" s="208">
        <v>78</v>
      </c>
      <c r="M22" s="209">
        <v>82</v>
      </c>
      <c r="O22" s="247"/>
      <c r="P22" s="247"/>
      <c r="Q22" s="247"/>
      <c r="R22" s="247"/>
      <c r="S22" s="247"/>
      <c r="T22" s="247"/>
      <c r="U22" s="247"/>
      <c r="V22" s="247"/>
      <c r="W22" s="247"/>
      <c r="X22" s="247"/>
      <c r="Y22" s="247"/>
      <c r="Z22" s="247"/>
      <c r="AD22" s="127"/>
    </row>
    <row r="23" spans="1:30" ht="9.75" customHeight="1">
      <c r="A23" s="337">
        <v>44652</v>
      </c>
      <c r="B23" s="208">
        <v>69</v>
      </c>
      <c r="C23" s="208">
        <v>70</v>
      </c>
      <c r="D23" s="208">
        <v>95</v>
      </c>
      <c r="E23" s="208">
        <v>96</v>
      </c>
      <c r="F23" s="208">
        <v>73</v>
      </c>
      <c r="G23" s="208">
        <v>73</v>
      </c>
      <c r="H23" s="208">
        <v>95</v>
      </c>
      <c r="I23" s="208">
        <v>95</v>
      </c>
      <c r="J23" s="208">
        <v>72</v>
      </c>
      <c r="K23" s="209">
        <v>71</v>
      </c>
      <c r="L23" s="208">
        <v>81</v>
      </c>
      <c r="M23" s="209">
        <v>84</v>
      </c>
      <c r="O23" s="247"/>
      <c r="P23" s="247"/>
      <c r="Q23" s="247"/>
      <c r="R23" s="247"/>
      <c r="S23" s="247"/>
      <c r="T23" s="247"/>
      <c r="U23" s="247"/>
      <c r="V23" s="247"/>
      <c r="W23" s="247"/>
      <c r="X23" s="247"/>
      <c r="Y23" s="247"/>
      <c r="Z23" s="247"/>
      <c r="AD23" s="127"/>
    </row>
    <row r="24" spans="1:30" ht="9.75" customHeight="1">
      <c r="A24" s="337">
        <v>44682</v>
      </c>
      <c r="B24" s="208">
        <v>67</v>
      </c>
      <c r="C24" s="208">
        <v>69</v>
      </c>
      <c r="D24" s="208">
        <v>102</v>
      </c>
      <c r="E24" s="208">
        <v>99</v>
      </c>
      <c r="F24" s="208">
        <v>69</v>
      </c>
      <c r="G24" s="208">
        <v>70</v>
      </c>
      <c r="H24" s="208">
        <v>94</v>
      </c>
      <c r="I24" s="208">
        <v>96</v>
      </c>
      <c r="J24" s="208">
        <v>73</v>
      </c>
      <c r="K24" s="209">
        <v>76</v>
      </c>
      <c r="L24" s="208">
        <v>84</v>
      </c>
      <c r="M24" s="209">
        <v>83</v>
      </c>
      <c r="O24" s="247"/>
      <c r="P24" s="247"/>
      <c r="Q24" s="247"/>
      <c r="R24" s="247"/>
      <c r="S24" s="247"/>
      <c r="T24" s="247"/>
      <c r="U24" s="247"/>
      <c r="V24" s="247"/>
      <c r="W24" s="247"/>
      <c r="X24" s="247"/>
      <c r="Y24" s="247"/>
      <c r="Z24" s="247"/>
      <c r="AD24" s="127"/>
    </row>
    <row r="25" spans="1:30" ht="9.75" customHeight="1">
      <c r="A25" s="337">
        <v>44713</v>
      </c>
      <c r="B25" s="208">
        <v>70</v>
      </c>
      <c r="C25" s="208">
        <v>72</v>
      </c>
      <c r="D25" s="208">
        <v>97</v>
      </c>
      <c r="E25" s="208">
        <v>99</v>
      </c>
      <c r="F25" s="208">
        <v>68</v>
      </c>
      <c r="G25" s="208">
        <v>68</v>
      </c>
      <c r="H25" s="208">
        <v>91</v>
      </c>
      <c r="I25" s="208">
        <v>93</v>
      </c>
      <c r="J25" s="208">
        <v>74</v>
      </c>
      <c r="K25" s="209">
        <v>72</v>
      </c>
      <c r="L25" s="208">
        <v>78</v>
      </c>
      <c r="M25" s="209">
        <v>80</v>
      </c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247"/>
      <c r="AD25" s="127"/>
    </row>
    <row r="26" spans="1:30" ht="9.75" customHeight="1">
      <c r="A26" s="337">
        <v>44743</v>
      </c>
      <c r="B26" s="208">
        <v>72</v>
      </c>
      <c r="C26" s="208">
        <v>75</v>
      </c>
      <c r="D26" s="208">
        <v>104</v>
      </c>
      <c r="E26" s="208">
        <v>103</v>
      </c>
      <c r="F26" s="208">
        <v>71</v>
      </c>
      <c r="G26" s="208">
        <v>73</v>
      </c>
      <c r="H26" s="208">
        <v>97</v>
      </c>
      <c r="I26" s="208">
        <v>98</v>
      </c>
      <c r="J26" s="208">
        <v>71</v>
      </c>
      <c r="K26" s="209">
        <v>72</v>
      </c>
      <c r="L26" s="208">
        <v>84</v>
      </c>
      <c r="M26" s="209">
        <v>80</v>
      </c>
      <c r="O26" s="247"/>
      <c r="P26" s="247"/>
      <c r="Q26" s="247"/>
      <c r="R26" s="247"/>
      <c r="S26" s="247"/>
      <c r="T26" s="247"/>
      <c r="U26" s="247"/>
      <c r="V26" s="247"/>
      <c r="W26" s="247"/>
      <c r="X26" s="247"/>
      <c r="Y26" s="247"/>
      <c r="Z26" s="247"/>
      <c r="AD26" s="127"/>
    </row>
    <row r="27" spans="1:30" ht="9.75" customHeight="1">
      <c r="A27" s="337">
        <v>44774</v>
      </c>
      <c r="B27" s="208">
        <v>72</v>
      </c>
      <c r="C27" s="208">
        <v>74</v>
      </c>
      <c r="D27" s="208">
        <v>99</v>
      </c>
      <c r="E27" s="208">
        <v>103</v>
      </c>
      <c r="F27" s="208">
        <v>73</v>
      </c>
      <c r="G27" s="208">
        <v>75</v>
      </c>
      <c r="H27" s="208">
        <v>96</v>
      </c>
      <c r="I27" s="208">
        <v>95</v>
      </c>
      <c r="J27" s="208">
        <v>74</v>
      </c>
      <c r="K27" s="209">
        <v>75</v>
      </c>
      <c r="L27" s="208">
        <v>76</v>
      </c>
      <c r="M27" s="209">
        <v>77</v>
      </c>
      <c r="O27" s="247"/>
      <c r="P27" s="247"/>
      <c r="Q27" s="247"/>
      <c r="R27" s="247"/>
      <c r="S27" s="247"/>
      <c r="T27" s="247"/>
      <c r="U27" s="247"/>
      <c r="V27" s="247"/>
      <c r="W27" s="247"/>
      <c r="X27" s="247"/>
      <c r="Y27" s="247"/>
      <c r="Z27" s="247"/>
      <c r="AD27" s="127"/>
    </row>
    <row r="28" spans="1:30" ht="9.75" customHeight="1">
      <c r="A28" s="337">
        <v>44805</v>
      </c>
      <c r="B28" s="208">
        <v>73</v>
      </c>
      <c r="C28" s="208">
        <v>74</v>
      </c>
      <c r="D28" s="208">
        <v>98</v>
      </c>
      <c r="E28" s="208">
        <v>98</v>
      </c>
      <c r="F28" s="208">
        <v>72</v>
      </c>
      <c r="G28" s="208">
        <v>73</v>
      </c>
      <c r="H28" s="208">
        <v>97</v>
      </c>
      <c r="I28" s="208">
        <v>95</v>
      </c>
      <c r="J28" s="208">
        <v>77</v>
      </c>
      <c r="K28" s="209">
        <v>77</v>
      </c>
      <c r="L28" s="208">
        <v>73</v>
      </c>
      <c r="M28" s="209">
        <v>76</v>
      </c>
      <c r="O28" s="247"/>
      <c r="P28" s="247"/>
      <c r="Q28" s="247"/>
      <c r="R28" s="247"/>
      <c r="S28" s="247"/>
      <c r="T28" s="247"/>
      <c r="U28" s="247"/>
      <c r="V28" s="247"/>
      <c r="W28" s="247"/>
      <c r="X28" s="247"/>
      <c r="Y28" s="247"/>
      <c r="Z28" s="247"/>
      <c r="AD28" s="127"/>
    </row>
    <row r="29" spans="1:30" ht="9.75" customHeight="1">
      <c r="A29" s="337">
        <v>44835</v>
      </c>
      <c r="B29" s="208">
        <v>75</v>
      </c>
      <c r="C29" s="208">
        <v>77</v>
      </c>
      <c r="D29" s="208">
        <v>96</v>
      </c>
      <c r="E29" s="208">
        <v>97</v>
      </c>
      <c r="F29" s="208">
        <v>72</v>
      </c>
      <c r="G29" s="208">
        <v>75</v>
      </c>
      <c r="H29" s="208">
        <v>92</v>
      </c>
      <c r="I29" s="208">
        <v>92</v>
      </c>
      <c r="J29" s="208">
        <v>75</v>
      </c>
      <c r="K29" s="209">
        <v>78</v>
      </c>
      <c r="L29" s="208">
        <v>77</v>
      </c>
      <c r="M29" s="209">
        <v>79</v>
      </c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7"/>
      <c r="AD29" s="127"/>
    </row>
    <row r="30" spans="1:30" ht="9.75" customHeight="1">
      <c r="A30" s="337">
        <v>44866</v>
      </c>
      <c r="B30" s="208">
        <v>71</v>
      </c>
      <c r="C30" s="208">
        <v>70</v>
      </c>
      <c r="D30" s="208">
        <v>96</v>
      </c>
      <c r="E30" s="208">
        <v>91</v>
      </c>
      <c r="F30" s="208">
        <v>72</v>
      </c>
      <c r="G30" s="208">
        <v>73</v>
      </c>
      <c r="H30" s="208">
        <v>94</v>
      </c>
      <c r="I30" s="208">
        <v>93</v>
      </c>
      <c r="J30" s="208">
        <v>74</v>
      </c>
      <c r="K30" s="209">
        <v>77</v>
      </c>
      <c r="L30" s="208">
        <v>82</v>
      </c>
      <c r="M30" s="209">
        <v>82</v>
      </c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D30" s="127"/>
    </row>
    <row r="31" spans="1:30" ht="9.75" customHeight="1">
      <c r="A31" s="337">
        <v>44896</v>
      </c>
      <c r="B31" s="208">
        <v>71</v>
      </c>
      <c r="C31" s="208">
        <v>67</v>
      </c>
      <c r="D31" s="208">
        <v>89</v>
      </c>
      <c r="E31" s="208">
        <v>92</v>
      </c>
      <c r="F31" s="208">
        <v>75</v>
      </c>
      <c r="G31" s="208">
        <v>73</v>
      </c>
      <c r="H31" s="208">
        <v>94</v>
      </c>
      <c r="I31" s="208">
        <v>93</v>
      </c>
      <c r="J31" s="208">
        <v>74</v>
      </c>
      <c r="K31" s="209">
        <v>74</v>
      </c>
      <c r="L31" s="208">
        <v>80</v>
      </c>
      <c r="M31" s="209">
        <v>82</v>
      </c>
      <c r="O31" s="247"/>
      <c r="P31" s="247"/>
      <c r="Q31" s="247"/>
      <c r="R31" s="247"/>
      <c r="S31" s="247"/>
      <c r="T31" s="247"/>
      <c r="U31" s="247"/>
      <c r="V31" s="247"/>
      <c r="W31" s="247"/>
      <c r="X31" s="247"/>
      <c r="Y31" s="247"/>
      <c r="Z31" s="247"/>
      <c r="AD31" s="127"/>
    </row>
    <row r="32" spans="1:30" ht="9.75" customHeight="1">
      <c r="A32" s="337">
        <v>44927</v>
      </c>
      <c r="B32" s="208">
        <v>69</v>
      </c>
      <c r="C32" s="208">
        <v>67</v>
      </c>
      <c r="D32" s="208">
        <v>87</v>
      </c>
      <c r="E32" s="208">
        <v>85</v>
      </c>
      <c r="F32" s="208">
        <v>68</v>
      </c>
      <c r="G32" s="208">
        <v>67</v>
      </c>
      <c r="H32" s="208">
        <v>93</v>
      </c>
      <c r="I32" s="208">
        <v>94</v>
      </c>
      <c r="J32" s="208">
        <v>77</v>
      </c>
      <c r="K32" s="209">
        <v>76</v>
      </c>
      <c r="L32" s="208">
        <v>77</v>
      </c>
      <c r="M32" s="209">
        <v>80</v>
      </c>
      <c r="O32" s="247"/>
      <c r="P32" s="247"/>
      <c r="Q32" s="247"/>
      <c r="R32" s="247"/>
      <c r="S32" s="247"/>
      <c r="T32" s="247"/>
      <c r="U32" s="247"/>
      <c r="V32" s="247"/>
      <c r="W32" s="247"/>
      <c r="X32" s="247"/>
      <c r="Y32" s="247"/>
      <c r="Z32" s="247"/>
      <c r="AD32" s="127"/>
    </row>
    <row r="33" spans="1:30" ht="9.75" customHeight="1">
      <c r="A33" s="337">
        <v>44958</v>
      </c>
      <c r="B33" s="208">
        <v>65</v>
      </c>
      <c r="C33" s="208">
        <v>69</v>
      </c>
      <c r="D33" s="208">
        <v>81</v>
      </c>
      <c r="E33" s="208">
        <v>84</v>
      </c>
      <c r="F33" s="208">
        <v>72</v>
      </c>
      <c r="G33" s="208">
        <v>74</v>
      </c>
      <c r="H33" s="208">
        <v>91</v>
      </c>
      <c r="I33" s="208">
        <v>95</v>
      </c>
      <c r="J33" s="208">
        <v>74</v>
      </c>
      <c r="K33" s="209">
        <v>75</v>
      </c>
      <c r="L33" s="208">
        <v>85</v>
      </c>
      <c r="M33" s="209">
        <v>83</v>
      </c>
      <c r="O33" s="247"/>
      <c r="P33" s="247"/>
      <c r="Q33" s="247"/>
      <c r="R33" s="247"/>
      <c r="S33" s="247"/>
      <c r="T33" s="247"/>
      <c r="U33" s="247"/>
      <c r="V33" s="247"/>
      <c r="W33" s="247"/>
      <c r="X33" s="247"/>
      <c r="Y33" s="247"/>
      <c r="Z33" s="247"/>
      <c r="AD33" s="127"/>
    </row>
    <row r="34" spans="1:30" ht="9.75" customHeight="1">
      <c r="A34" s="337">
        <v>44986</v>
      </c>
      <c r="B34" s="208">
        <v>72</v>
      </c>
      <c r="C34" s="208">
        <v>74</v>
      </c>
      <c r="D34" s="208">
        <v>84</v>
      </c>
      <c r="E34" s="208">
        <v>87</v>
      </c>
      <c r="F34" s="208">
        <v>75</v>
      </c>
      <c r="G34" s="208">
        <v>73</v>
      </c>
      <c r="H34" s="208">
        <v>95</v>
      </c>
      <c r="I34" s="208">
        <v>95</v>
      </c>
      <c r="J34" s="208">
        <v>75</v>
      </c>
      <c r="K34" s="209">
        <v>74</v>
      </c>
      <c r="L34" s="208">
        <v>83</v>
      </c>
      <c r="M34" s="209">
        <v>86</v>
      </c>
      <c r="O34" s="247"/>
      <c r="P34" s="247"/>
      <c r="Q34" s="247"/>
      <c r="R34" s="247"/>
      <c r="S34" s="247"/>
      <c r="T34" s="247"/>
      <c r="U34" s="247"/>
      <c r="V34" s="247"/>
      <c r="W34" s="247"/>
      <c r="X34" s="247"/>
      <c r="Y34" s="247"/>
      <c r="Z34" s="247"/>
      <c r="AD34" s="127"/>
    </row>
    <row r="35" spans="1:30" ht="9.75" customHeight="1">
      <c r="A35" s="337">
        <v>45017</v>
      </c>
      <c r="B35" s="208">
        <v>73</v>
      </c>
      <c r="C35" s="208">
        <v>75</v>
      </c>
      <c r="D35" s="208">
        <v>94</v>
      </c>
      <c r="E35" s="208">
        <v>92</v>
      </c>
      <c r="F35" s="208">
        <v>76</v>
      </c>
      <c r="G35" s="208">
        <v>77</v>
      </c>
      <c r="H35" s="208">
        <v>96</v>
      </c>
      <c r="I35" s="208">
        <v>97</v>
      </c>
      <c r="J35" s="208">
        <v>77</v>
      </c>
      <c r="K35" s="209">
        <v>80</v>
      </c>
      <c r="L35" s="208">
        <v>82</v>
      </c>
      <c r="M35" s="209">
        <v>83</v>
      </c>
      <c r="O35" s="247"/>
      <c r="P35" s="247"/>
      <c r="Q35" s="247"/>
      <c r="R35" s="247"/>
      <c r="S35" s="247"/>
      <c r="T35" s="247"/>
      <c r="U35" s="247"/>
      <c r="V35" s="247"/>
      <c r="W35" s="247"/>
      <c r="X35" s="247"/>
      <c r="Y35" s="247"/>
      <c r="Z35" s="247"/>
      <c r="AD35" s="127"/>
    </row>
    <row r="36" spans="1:30" ht="9.75" customHeight="1">
      <c r="A36" s="337">
        <v>45047</v>
      </c>
      <c r="B36" s="208">
        <v>74</v>
      </c>
      <c r="C36" s="208">
        <v>76</v>
      </c>
      <c r="D36" s="208">
        <v>83</v>
      </c>
      <c r="E36" s="208">
        <v>84</v>
      </c>
      <c r="F36" s="208">
        <v>75</v>
      </c>
      <c r="G36" s="208">
        <v>77</v>
      </c>
      <c r="H36" s="208">
        <v>96</v>
      </c>
      <c r="I36" s="208">
        <v>96</v>
      </c>
      <c r="J36" s="208">
        <v>79</v>
      </c>
      <c r="K36" s="209">
        <v>83</v>
      </c>
      <c r="L36" s="208">
        <v>83</v>
      </c>
      <c r="M36" s="209">
        <v>83</v>
      </c>
      <c r="O36" s="247"/>
      <c r="P36" s="247"/>
      <c r="Q36" s="247"/>
      <c r="R36" s="247"/>
      <c r="S36" s="247"/>
      <c r="T36" s="247"/>
      <c r="U36" s="247"/>
      <c r="V36" s="247"/>
      <c r="W36" s="247"/>
      <c r="X36" s="247"/>
      <c r="Y36" s="247"/>
      <c r="Z36" s="247"/>
      <c r="AD36" s="127"/>
    </row>
    <row r="37" spans="1:30" ht="9.75" customHeight="1">
      <c r="A37" s="337">
        <v>45078</v>
      </c>
      <c r="B37" s="208">
        <v>76</v>
      </c>
      <c r="C37" s="208">
        <v>73</v>
      </c>
      <c r="D37" s="208">
        <v>93</v>
      </c>
      <c r="E37" s="208">
        <v>91</v>
      </c>
      <c r="F37" s="208">
        <v>75</v>
      </c>
      <c r="G37" s="208">
        <v>76</v>
      </c>
      <c r="H37" s="208">
        <v>98</v>
      </c>
      <c r="I37" s="208">
        <v>97</v>
      </c>
      <c r="J37" s="208">
        <v>84</v>
      </c>
      <c r="K37" s="209">
        <v>86</v>
      </c>
      <c r="L37" s="208">
        <v>78</v>
      </c>
      <c r="M37" s="209">
        <v>82</v>
      </c>
      <c r="O37" s="247"/>
      <c r="P37" s="247"/>
      <c r="Q37" s="247"/>
      <c r="R37" s="247"/>
      <c r="S37" s="247"/>
      <c r="T37" s="247"/>
      <c r="U37" s="247"/>
      <c r="V37" s="247"/>
      <c r="W37" s="247"/>
      <c r="X37" s="247"/>
      <c r="Y37" s="247"/>
      <c r="Z37" s="247"/>
      <c r="AD37" s="127"/>
    </row>
    <row r="38" spans="1:30" ht="9.75" customHeight="1">
      <c r="A38" s="337">
        <f>EDATE(A37,1)</f>
        <v>45108</v>
      </c>
      <c r="B38" s="208">
        <v>72</v>
      </c>
      <c r="C38" s="208">
        <v>74</v>
      </c>
      <c r="D38" s="208">
        <v>90</v>
      </c>
      <c r="E38" s="208">
        <v>90</v>
      </c>
      <c r="F38" s="208">
        <v>77</v>
      </c>
      <c r="G38" s="208">
        <v>78</v>
      </c>
      <c r="H38" s="208">
        <v>97</v>
      </c>
      <c r="I38" s="208">
        <v>97</v>
      </c>
      <c r="J38" s="208">
        <v>84</v>
      </c>
      <c r="K38" s="209">
        <v>86</v>
      </c>
      <c r="L38" s="208">
        <v>81</v>
      </c>
      <c r="M38" s="209">
        <v>83</v>
      </c>
      <c r="O38" s="247"/>
      <c r="P38" s="247"/>
      <c r="Q38" s="247"/>
      <c r="R38" s="247"/>
      <c r="S38" s="247"/>
      <c r="T38" s="247"/>
      <c r="U38" s="247"/>
      <c r="V38" s="247"/>
      <c r="W38" s="247"/>
      <c r="X38" s="247"/>
      <c r="Y38" s="247"/>
      <c r="Z38" s="247"/>
      <c r="AD38" s="127"/>
    </row>
    <row r="39" spans="1:30" ht="9.75" customHeight="1">
      <c r="A39" s="337">
        <f t="shared" ref="A39:A54" si="0">EDATE(A38,1)</f>
        <v>45139</v>
      </c>
      <c r="B39" s="208">
        <v>69</v>
      </c>
      <c r="C39" s="208">
        <v>72</v>
      </c>
      <c r="D39" s="208">
        <v>84</v>
      </c>
      <c r="E39" s="208">
        <v>86</v>
      </c>
      <c r="F39" s="208">
        <v>75</v>
      </c>
      <c r="G39" s="208">
        <v>77</v>
      </c>
      <c r="H39" s="208">
        <v>97</v>
      </c>
      <c r="I39" s="208">
        <v>97</v>
      </c>
      <c r="J39" s="208">
        <v>81</v>
      </c>
      <c r="K39" s="209">
        <v>82</v>
      </c>
      <c r="L39" s="208">
        <v>87</v>
      </c>
      <c r="M39" s="209">
        <v>87</v>
      </c>
      <c r="O39" s="247"/>
      <c r="P39" s="247"/>
      <c r="Q39" s="247"/>
      <c r="R39" s="247"/>
      <c r="S39" s="247"/>
      <c r="T39" s="247"/>
      <c r="U39" s="247"/>
      <c r="V39" s="247"/>
      <c r="W39" s="247"/>
      <c r="X39" s="247"/>
      <c r="Y39" s="247"/>
      <c r="Z39" s="247"/>
      <c r="AD39" s="127"/>
    </row>
    <row r="40" spans="1:30" ht="9.75" customHeight="1">
      <c r="A40" s="337">
        <f t="shared" si="0"/>
        <v>45170</v>
      </c>
      <c r="B40" s="208">
        <v>68</v>
      </c>
      <c r="C40" s="208">
        <v>69</v>
      </c>
      <c r="D40" s="208">
        <v>86</v>
      </c>
      <c r="E40" s="208">
        <v>85</v>
      </c>
      <c r="F40" s="208">
        <v>76</v>
      </c>
      <c r="G40" s="208">
        <v>79</v>
      </c>
      <c r="H40" s="208">
        <v>96</v>
      </c>
      <c r="I40" s="208">
        <v>97</v>
      </c>
      <c r="J40" s="208">
        <v>80</v>
      </c>
      <c r="K40" s="209">
        <v>78</v>
      </c>
      <c r="L40" s="208">
        <v>84</v>
      </c>
      <c r="M40" s="209">
        <v>86</v>
      </c>
      <c r="O40" s="247"/>
      <c r="P40" s="247"/>
      <c r="Q40" s="247"/>
      <c r="R40" s="247"/>
      <c r="S40" s="247"/>
      <c r="T40" s="247"/>
      <c r="U40" s="247"/>
      <c r="V40" s="247"/>
      <c r="W40" s="247"/>
      <c r="X40" s="247"/>
      <c r="Y40" s="247"/>
      <c r="Z40" s="247"/>
      <c r="AD40" s="127"/>
    </row>
    <row r="41" spans="1:30" ht="9.75" customHeight="1">
      <c r="A41" s="337">
        <f t="shared" si="0"/>
        <v>45200</v>
      </c>
      <c r="B41" s="208">
        <v>65</v>
      </c>
      <c r="C41" s="208">
        <v>69</v>
      </c>
      <c r="D41" s="208">
        <v>76</v>
      </c>
      <c r="E41" s="208">
        <v>78</v>
      </c>
      <c r="F41" s="208">
        <v>76</v>
      </c>
      <c r="G41" s="208">
        <v>79</v>
      </c>
      <c r="H41" s="208">
        <v>93</v>
      </c>
      <c r="I41" s="208">
        <v>92</v>
      </c>
      <c r="J41" s="208">
        <v>75</v>
      </c>
      <c r="K41" s="209">
        <v>76</v>
      </c>
      <c r="L41" s="208">
        <v>81</v>
      </c>
      <c r="M41" s="209">
        <v>85</v>
      </c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247"/>
      <c r="Z41" s="247"/>
      <c r="AD41" s="127"/>
    </row>
    <row r="42" spans="1:30" ht="9.75" customHeight="1">
      <c r="A42" s="337">
        <f t="shared" si="0"/>
        <v>45231</v>
      </c>
      <c r="B42" s="208">
        <v>66</v>
      </c>
      <c r="C42" s="208">
        <v>67</v>
      </c>
      <c r="D42" s="208">
        <v>71</v>
      </c>
      <c r="E42" s="208">
        <v>72</v>
      </c>
      <c r="F42" s="208">
        <v>73</v>
      </c>
      <c r="G42" s="208">
        <v>74</v>
      </c>
      <c r="H42" s="208">
        <v>97</v>
      </c>
      <c r="I42" s="208">
        <v>99</v>
      </c>
      <c r="J42" s="208">
        <v>76</v>
      </c>
      <c r="K42" s="209">
        <v>75</v>
      </c>
      <c r="L42" s="208">
        <v>83</v>
      </c>
      <c r="M42" s="209">
        <v>84</v>
      </c>
      <c r="O42" s="247"/>
      <c r="P42" s="247"/>
      <c r="Q42" s="247"/>
      <c r="R42" s="247"/>
      <c r="S42" s="247"/>
      <c r="T42" s="247"/>
      <c r="U42" s="247"/>
      <c r="V42" s="247"/>
      <c r="W42" s="247"/>
      <c r="X42" s="247"/>
      <c r="Y42" s="247"/>
      <c r="Z42" s="247"/>
      <c r="AD42" s="127"/>
    </row>
    <row r="43" spans="1:30" ht="9.75" customHeight="1">
      <c r="A43" s="337">
        <f t="shared" si="0"/>
        <v>45261</v>
      </c>
      <c r="B43" s="208">
        <v>70</v>
      </c>
      <c r="C43" s="208">
        <v>73</v>
      </c>
      <c r="D43" s="208">
        <v>78</v>
      </c>
      <c r="E43" s="208">
        <v>85</v>
      </c>
      <c r="F43" s="208">
        <v>79</v>
      </c>
      <c r="G43" s="208">
        <v>81</v>
      </c>
      <c r="H43" s="208">
        <v>99</v>
      </c>
      <c r="I43" s="208">
        <v>95</v>
      </c>
      <c r="J43" s="208">
        <v>81</v>
      </c>
      <c r="K43" s="209">
        <v>79</v>
      </c>
      <c r="L43" s="208">
        <v>89</v>
      </c>
      <c r="M43" s="209">
        <v>86</v>
      </c>
      <c r="O43" s="247"/>
      <c r="P43" s="247"/>
      <c r="Q43" s="247"/>
      <c r="R43" s="247"/>
      <c r="S43" s="247"/>
      <c r="T43" s="247"/>
      <c r="U43" s="247"/>
      <c r="V43" s="247"/>
      <c r="W43" s="247"/>
      <c r="X43" s="247"/>
      <c r="Y43" s="247"/>
      <c r="Z43" s="247"/>
      <c r="AD43" s="127"/>
    </row>
    <row r="44" spans="1:30" ht="9.75" customHeight="1">
      <c r="A44" s="337">
        <v>45292</v>
      </c>
      <c r="B44" s="208">
        <v>72</v>
      </c>
      <c r="C44" s="208">
        <v>72</v>
      </c>
      <c r="D44" s="208">
        <v>89</v>
      </c>
      <c r="E44" s="208">
        <v>88</v>
      </c>
      <c r="F44" s="208">
        <v>81</v>
      </c>
      <c r="G44" s="208">
        <v>84</v>
      </c>
      <c r="H44" s="208">
        <v>97</v>
      </c>
      <c r="I44" s="208">
        <v>97</v>
      </c>
      <c r="J44" s="208">
        <v>84</v>
      </c>
      <c r="K44" s="209">
        <v>83</v>
      </c>
      <c r="L44" s="208">
        <v>84</v>
      </c>
      <c r="M44" s="209">
        <v>86</v>
      </c>
      <c r="O44" s="247"/>
      <c r="P44" s="247"/>
      <c r="Q44" s="247"/>
      <c r="R44" s="247"/>
      <c r="S44" s="247"/>
      <c r="T44" s="247"/>
      <c r="U44" s="247"/>
      <c r="V44" s="247"/>
      <c r="W44" s="247"/>
      <c r="X44" s="247"/>
      <c r="Y44" s="247"/>
      <c r="Z44" s="247"/>
      <c r="AD44" s="127"/>
    </row>
    <row r="45" spans="1:30" ht="9.75" customHeight="1">
      <c r="A45" s="337">
        <f t="shared" si="0"/>
        <v>45323</v>
      </c>
      <c r="B45" s="208">
        <v>70</v>
      </c>
      <c r="C45" s="208">
        <v>80</v>
      </c>
      <c r="D45" s="208">
        <v>88</v>
      </c>
      <c r="E45" s="208">
        <v>96</v>
      </c>
      <c r="F45" s="208">
        <v>83</v>
      </c>
      <c r="G45" s="208">
        <v>85</v>
      </c>
      <c r="H45" s="208">
        <v>94</v>
      </c>
      <c r="I45" s="208">
        <v>96</v>
      </c>
      <c r="J45" s="208">
        <v>86</v>
      </c>
      <c r="K45" s="209">
        <v>86</v>
      </c>
      <c r="L45" s="208">
        <v>91</v>
      </c>
      <c r="M45" s="209">
        <v>92</v>
      </c>
      <c r="O45" s="247"/>
      <c r="P45" s="247"/>
      <c r="Q45" s="247"/>
      <c r="R45" s="247"/>
      <c r="S45" s="247"/>
      <c r="T45" s="247"/>
      <c r="U45" s="247"/>
      <c r="V45" s="247"/>
      <c r="W45" s="247"/>
      <c r="X45" s="247"/>
      <c r="Y45" s="247"/>
      <c r="Z45" s="247"/>
      <c r="AD45" s="127"/>
    </row>
    <row r="46" spans="1:30" ht="9.75" customHeight="1">
      <c r="A46" s="337">
        <f t="shared" si="0"/>
        <v>45352</v>
      </c>
      <c r="B46" s="208">
        <v>76</v>
      </c>
      <c r="C46" s="208">
        <v>80</v>
      </c>
      <c r="D46" s="208">
        <v>85</v>
      </c>
      <c r="E46" s="208">
        <v>88</v>
      </c>
      <c r="F46" s="208">
        <v>78</v>
      </c>
      <c r="G46" s="208">
        <v>82</v>
      </c>
      <c r="H46" s="208">
        <v>98</v>
      </c>
      <c r="I46" s="208">
        <v>98</v>
      </c>
      <c r="J46" s="208">
        <v>86</v>
      </c>
      <c r="K46" s="209">
        <v>88</v>
      </c>
      <c r="L46" s="208">
        <v>87</v>
      </c>
      <c r="M46" s="209">
        <v>91</v>
      </c>
      <c r="O46" s="247"/>
      <c r="P46" s="247"/>
      <c r="Q46" s="247"/>
      <c r="R46" s="247"/>
      <c r="S46" s="247"/>
      <c r="T46" s="247"/>
      <c r="U46" s="247"/>
      <c r="V46" s="247"/>
      <c r="W46" s="247"/>
      <c r="X46" s="247"/>
      <c r="Y46" s="247"/>
      <c r="Z46" s="247"/>
      <c r="AD46" s="127"/>
    </row>
    <row r="47" spans="1:30" ht="9.75" customHeight="1">
      <c r="A47" s="337">
        <f t="shared" si="0"/>
        <v>45383</v>
      </c>
      <c r="B47" s="208">
        <v>76</v>
      </c>
      <c r="C47" s="208">
        <v>78</v>
      </c>
      <c r="D47" s="208">
        <v>86</v>
      </c>
      <c r="E47" s="208">
        <v>89</v>
      </c>
      <c r="F47" s="208">
        <v>83</v>
      </c>
      <c r="G47" s="208">
        <v>84</v>
      </c>
      <c r="H47" s="208">
        <v>98</v>
      </c>
      <c r="I47" s="208">
        <v>97</v>
      </c>
      <c r="J47" s="208">
        <v>90</v>
      </c>
      <c r="K47" s="209">
        <v>87</v>
      </c>
      <c r="L47" s="208">
        <v>85</v>
      </c>
      <c r="M47" s="209">
        <v>88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7"/>
      <c r="Y47" s="247"/>
      <c r="Z47" s="247"/>
      <c r="AD47" s="127"/>
    </row>
    <row r="48" spans="1:30" ht="9.75" customHeight="1">
      <c r="A48" s="337">
        <f t="shared" si="0"/>
        <v>45413</v>
      </c>
      <c r="B48" s="208">
        <v>77</v>
      </c>
      <c r="C48" s="208">
        <v>83</v>
      </c>
      <c r="D48" s="208">
        <v>84</v>
      </c>
      <c r="E48" s="208">
        <v>91</v>
      </c>
      <c r="F48" s="208">
        <v>83</v>
      </c>
      <c r="G48" s="208">
        <v>85</v>
      </c>
      <c r="H48" s="208">
        <v>94</v>
      </c>
      <c r="I48" s="208">
        <v>97</v>
      </c>
      <c r="J48" s="208">
        <v>83</v>
      </c>
      <c r="K48" s="209">
        <v>87</v>
      </c>
      <c r="L48" s="208">
        <v>88</v>
      </c>
      <c r="M48" s="209">
        <v>91</v>
      </c>
      <c r="O48" s="247"/>
      <c r="P48" s="247"/>
      <c r="Q48" s="247"/>
      <c r="R48" s="247"/>
      <c r="S48" s="247"/>
      <c r="T48" s="247"/>
      <c r="U48" s="247"/>
      <c r="V48" s="247"/>
      <c r="W48" s="247"/>
      <c r="X48" s="247"/>
      <c r="Y48" s="247"/>
      <c r="Z48" s="247"/>
      <c r="AD48" s="127"/>
    </row>
    <row r="49" spans="1:30" ht="9.75" customHeight="1">
      <c r="A49" s="337">
        <f t="shared" si="0"/>
        <v>45444</v>
      </c>
      <c r="B49" s="208">
        <v>72</v>
      </c>
      <c r="C49" s="208">
        <v>72</v>
      </c>
      <c r="D49" s="208">
        <v>84</v>
      </c>
      <c r="E49" s="208">
        <v>81</v>
      </c>
      <c r="F49" s="208">
        <v>82</v>
      </c>
      <c r="G49" s="208">
        <v>80</v>
      </c>
      <c r="H49" s="208">
        <v>96</v>
      </c>
      <c r="I49" s="208">
        <v>98</v>
      </c>
      <c r="J49" s="208">
        <v>86</v>
      </c>
      <c r="K49" s="209">
        <v>87</v>
      </c>
      <c r="L49" s="208">
        <v>86</v>
      </c>
      <c r="M49" s="209">
        <v>87</v>
      </c>
      <c r="O49" s="247"/>
      <c r="P49" s="247"/>
      <c r="Q49" s="247"/>
      <c r="R49" s="247"/>
      <c r="S49" s="247"/>
      <c r="T49" s="247"/>
      <c r="U49" s="247"/>
      <c r="V49" s="247"/>
      <c r="W49" s="247"/>
      <c r="X49" s="247"/>
      <c r="Y49" s="247"/>
      <c r="Z49" s="247"/>
    </row>
    <row r="50" spans="1:30" ht="9.75" customHeight="1">
      <c r="A50" s="337">
        <f t="shared" si="0"/>
        <v>45474</v>
      </c>
      <c r="B50" s="208">
        <v>69</v>
      </c>
      <c r="C50" s="208">
        <v>68</v>
      </c>
      <c r="D50" s="208">
        <v>83</v>
      </c>
      <c r="E50" s="208">
        <v>77</v>
      </c>
      <c r="F50" s="208">
        <v>76</v>
      </c>
      <c r="G50" s="208">
        <v>76</v>
      </c>
      <c r="H50" s="208">
        <v>96</v>
      </c>
      <c r="I50" s="208">
        <v>92</v>
      </c>
      <c r="J50" s="208">
        <v>82</v>
      </c>
      <c r="K50" s="209">
        <v>82</v>
      </c>
      <c r="L50" s="208">
        <v>87</v>
      </c>
      <c r="M50" s="209">
        <v>88</v>
      </c>
      <c r="O50" s="247"/>
      <c r="P50" s="247"/>
      <c r="Q50" s="247"/>
      <c r="R50" s="247"/>
      <c r="S50" s="247"/>
      <c r="T50" s="247"/>
      <c r="U50" s="247"/>
      <c r="V50" s="247"/>
      <c r="W50" s="247"/>
      <c r="X50" s="247"/>
      <c r="Y50" s="247"/>
      <c r="Z50" s="247"/>
    </row>
    <row r="51" spans="1:30" ht="9.75" customHeight="1">
      <c r="A51" s="337">
        <f t="shared" si="0"/>
        <v>45505</v>
      </c>
      <c r="B51" s="208">
        <v>74</v>
      </c>
      <c r="C51" s="208">
        <v>78</v>
      </c>
      <c r="D51" s="208">
        <v>80</v>
      </c>
      <c r="E51" s="208">
        <v>87</v>
      </c>
      <c r="F51" s="208">
        <v>80</v>
      </c>
      <c r="G51" s="208">
        <v>81</v>
      </c>
      <c r="H51" s="208">
        <v>94</v>
      </c>
      <c r="I51" s="208">
        <v>94</v>
      </c>
      <c r="J51" s="208">
        <v>85</v>
      </c>
      <c r="K51" s="209">
        <v>83</v>
      </c>
      <c r="L51" s="208">
        <v>85</v>
      </c>
      <c r="M51" s="209">
        <v>84</v>
      </c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47"/>
      <c r="Z51" s="247"/>
    </row>
    <row r="52" spans="1:30" ht="9.75" customHeight="1">
      <c r="A52" s="337">
        <f t="shared" si="0"/>
        <v>45536</v>
      </c>
      <c r="B52" s="208">
        <v>69</v>
      </c>
      <c r="C52" s="208">
        <v>77</v>
      </c>
      <c r="D52" s="208">
        <v>77</v>
      </c>
      <c r="E52" s="208">
        <v>86</v>
      </c>
      <c r="F52" s="208">
        <v>83</v>
      </c>
      <c r="G52" s="208">
        <v>86</v>
      </c>
      <c r="H52" s="208">
        <v>92</v>
      </c>
      <c r="I52" s="208">
        <v>95</v>
      </c>
      <c r="J52" s="208">
        <v>78</v>
      </c>
      <c r="K52" s="209">
        <v>83</v>
      </c>
      <c r="L52" s="208">
        <v>77</v>
      </c>
      <c r="M52" s="209">
        <v>81</v>
      </c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</row>
    <row r="53" spans="1:30" ht="9.75" customHeight="1">
      <c r="A53" s="337">
        <f t="shared" si="0"/>
        <v>45566</v>
      </c>
      <c r="B53" s="208">
        <v>70</v>
      </c>
      <c r="C53" s="208">
        <v>68</v>
      </c>
      <c r="D53" s="208">
        <v>79</v>
      </c>
      <c r="E53" s="208">
        <v>79</v>
      </c>
      <c r="F53" s="208">
        <v>79</v>
      </c>
      <c r="G53" s="208">
        <v>77</v>
      </c>
      <c r="H53" s="208">
        <v>91</v>
      </c>
      <c r="I53" s="208">
        <v>92</v>
      </c>
      <c r="J53" s="208">
        <v>78</v>
      </c>
      <c r="K53" s="209">
        <v>78</v>
      </c>
      <c r="L53" s="208">
        <v>82</v>
      </c>
      <c r="M53" s="209">
        <v>85</v>
      </c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</row>
    <row r="54" spans="1:30" ht="9.75" customHeight="1">
      <c r="A54" s="337">
        <f t="shared" si="0"/>
        <v>45597</v>
      </c>
      <c r="B54" s="208">
        <v>69</v>
      </c>
      <c r="C54" s="208">
        <v>68</v>
      </c>
      <c r="D54" s="208">
        <v>79</v>
      </c>
      <c r="E54" s="208">
        <v>81</v>
      </c>
      <c r="F54" s="208">
        <v>80</v>
      </c>
      <c r="G54" s="208">
        <v>78</v>
      </c>
      <c r="H54" s="208">
        <v>95</v>
      </c>
      <c r="I54" s="208">
        <v>96</v>
      </c>
      <c r="J54" s="208">
        <v>81</v>
      </c>
      <c r="K54" s="209">
        <v>80</v>
      </c>
      <c r="L54" s="208">
        <v>82</v>
      </c>
      <c r="M54" s="209">
        <v>87</v>
      </c>
      <c r="O54" s="247"/>
      <c r="P54" s="247"/>
      <c r="Q54" s="247"/>
      <c r="R54" s="247"/>
      <c r="S54" s="247"/>
      <c r="T54" s="247"/>
      <c r="U54" s="247"/>
      <c r="V54" s="247"/>
      <c r="W54" s="247"/>
      <c r="X54" s="247"/>
      <c r="Y54" s="247"/>
      <c r="Z54" s="247"/>
    </row>
    <row r="55" spans="1:30" ht="9.75" customHeight="1">
      <c r="A55" s="337">
        <v>45627</v>
      </c>
      <c r="B55" s="208">
        <v>66</v>
      </c>
      <c r="C55" s="208">
        <v>64</v>
      </c>
      <c r="D55" s="208">
        <v>74</v>
      </c>
      <c r="E55" s="208">
        <v>73</v>
      </c>
      <c r="F55" s="208">
        <v>74</v>
      </c>
      <c r="G55" s="208">
        <v>74</v>
      </c>
      <c r="H55" s="208">
        <v>92</v>
      </c>
      <c r="I55" s="208">
        <v>92</v>
      </c>
      <c r="J55" s="208">
        <v>77</v>
      </c>
      <c r="K55" s="209">
        <v>77</v>
      </c>
      <c r="L55" s="208">
        <v>84</v>
      </c>
      <c r="M55" s="209">
        <v>84</v>
      </c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247"/>
    </row>
    <row r="56" spans="1:30" ht="9.75" customHeight="1">
      <c r="A56" s="337">
        <v>45658</v>
      </c>
      <c r="B56" s="208">
        <v>61</v>
      </c>
      <c r="C56" s="208">
        <v>65</v>
      </c>
      <c r="D56" s="208">
        <v>73</v>
      </c>
      <c r="E56" s="208">
        <v>76</v>
      </c>
      <c r="F56" s="208">
        <v>73</v>
      </c>
      <c r="G56" s="208">
        <v>74</v>
      </c>
      <c r="H56" s="208">
        <v>89</v>
      </c>
      <c r="I56" s="208">
        <v>87</v>
      </c>
      <c r="J56" s="208">
        <v>74</v>
      </c>
      <c r="K56" s="209">
        <v>75</v>
      </c>
      <c r="L56" s="208">
        <v>87</v>
      </c>
      <c r="M56" s="209">
        <v>86</v>
      </c>
      <c r="O56" s="247"/>
      <c r="P56" s="247"/>
      <c r="Q56" s="247"/>
      <c r="R56" s="247"/>
      <c r="S56" s="247"/>
      <c r="T56" s="247"/>
      <c r="U56" s="247"/>
      <c r="V56" s="247"/>
      <c r="W56" s="247"/>
      <c r="X56" s="247"/>
      <c r="Y56" s="247"/>
      <c r="Z56" s="247"/>
    </row>
    <row r="57" spans="1:30" ht="9.75" customHeight="1">
      <c r="A57" s="337">
        <v>45689</v>
      </c>
      <c r="B57" s="208">
        <v>58</v>
      </c>
      <c r="C57" s="208">
        <v>65</v>
      </c>
      <c r="D57" s="208">
        <v>68</v>
      </c>
      <c r="E57" s="208">
        <v>70</v>
      </c>
      <c r="F57" s="208">
        <v>67</v>
      </c>
      <c r="G57" s="208">
        <v>71</v>
      </c>
      <c r="H57" s="208">
        <v>89</v>
      </c>
      <c r="I57" s="208">
        <v>89</v>
      </c>
      <c r="J57" s="208">
        <v>68</v>
      </c>
      <c r="K57" s="209">
        <v>73</v>
      </c>
      <c r="L57" s="208">
        <v>89</v>
      </c>
      <c r="M57" s="209">
        <v>90</v>
      </c>
      <c r="O57" s="247"/>
      <c r="P57" s="247"/>
      <c r="Q57" s="247"/>
      <c r="R57" s="247"/>
      <c r="S57" s="247"/>
      <c r="T57" s="247"/>
      <c r="U57" s="247"/>
      <c r="V57" s="247"/>
      <c r="W57" s="247"/>
      <c r="X57" s="247"/>
      <c r="Y57" s="247"/>
      <c r="Z57" s="247"/>
    </row>
    <row r="58" spans="1:30" ht="9.75" customHeight="1">
      <c r="A58" s="337">
        <v>45717</v>
      </c>
      <c r="B58" s="208">
        <v>63</v>
      </c>
      <c r="C58" s="208">
        <v>65</v>
      </c>
      <c r="D58" s="208">
        <v>71</v>
      </c>
      <c r="E58" s="208">
        <v>72</v>
      </c>
      <c r="F58" s="208">
        <v>75</v>
      </c>
      <c r="G58" s="208">
        <v>71</v>
      </c>
      <c r="H58" s="208">
        <v>95</v>
      </c>
      <c r="I58" s="208">
        <v>97</v>
      </c>
      <c r="J58" s="208">
        <v>73</v>
      </c>
      <c r="K58" s="209">
        <v>75</v>
      </c>
      <c r="L58" s="208">
        <v>89</v>
      </c>
      <c r="M58" s="209">
        <v>90</v>
      </c>
      <c r="O58" s="247"/>
      <c r="P58" s="247"/>
      <c r="Q58" s="247"/>
      <c r="R58" s="247"/>
      <c r="S58" s="247"/>
      <c r="T58" s="247"/>
      <c r="U58" s="247"/>
      <c r="V58" s="247"/>
      <c r="W58" s="247"/>
      <c r="X58" s="247"/>
      <c r="Y58" s="247"/>
      <c r="Z58" s="247"/>
    </row>
    <row r="59" spans="1:30" ht="9.75" customHeight="1">
      <c r="A59" s="337">
        <f t="shared" ref="A59:A60" si="1">EDATE(A58,1)</f>
        <v>45748</v>
      </c>
      <c r="B59" s="208">
        <v>66</v>
      </c>
      <c r="C59" s="208">
        <v>66</v>
      </c>
      <c r="D59" s="208">
        <v>77</v>
      </c>
      <c r="E59" s="208">
        <v>72</v>
      </c>
      <c r="F59" s="208">
        <v>71</v>
      </c>
      <c r="G59" s="208">
        <v>71</v>
      </c>
      <c r="H59" s="208">
        <v>93</v>
      </c>
      <c r="I59" s="208">
        <v>92</v>
      </c>
      <c r="J59" s="208">
        <v>77</v>
      </c>
      <c r="K59" s="209">
        <v>73</v>
      </c>
      <c r="L59" s="208">
        <v>88</v>
      </c>
      <c r="M59" s="209">
        <v>90</v>
      </c>
      <c r="N59" s="108"/>
      <c r="O59" s="247"/>
      <c r="P59" s="247"/>
      <c r="Q59" s="247"/>
      <c r="R59" s="247"/>
      <c r="S59" s="247"/>
      <c r="T59" s="247"/>
      <c r="U59" s="247"/>
      <c r="V59" s="247"/>
      <c r="W59" s="247"/>
      <c r="X59" s="247"/>
      <c r="Y59" s="247"/>
      <c r="Z59" s="247"/>
    </row>
    <row r="60" spans="1:30" ht="9.75" customHeight="1">
      <c r="A60" s="337">
        <f t="shared" si="1"/>
        <v>45778</v>
      </c>
      <c r="B60" s="208">
        <v>67</v>
      </c>
      <c r="C60" s="208">
        <v>65</v>
      </c>
      <c r="D60" s="208">
        <v>69</v>
      </c>
      <c r="E60" s="208">
        <v>73</v>
      </c>
      <c r="F60" s="208">
        <v>73</v>
      </c>
      <c r="G60" s="208">
        <v>72</v>
      </c>
      <c r="H60" s="208">
        <v>89</v>
      </c>
      <c r="I60" s="208">
        <v>91</v>
      </c>
      <c r="J60" s="208">
        <v>74</v>
      </c>
      <c r="K60" s="209">
        <v>72</v>
      </c>
      <c r="L60" s="208">
        <v>88</v>
      </c>
      <c r="M60" s="209">
        <v>92</v>
      </c>
      <c r="N60" s="108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</row>
    <row r="61" spans="1:30" ht="9.75" customHeight="1">
      <c r="A61" s="337">
        <f>EDATE(A60,1)</f>
        <v>45809</v>
      </c>
      <c r="B61" s="208">
        <v>63</v>
      </c>
      <c r="C61" s="208">
        <v>63</v>
      </c>
      <c r="D61" s="208">
        <v>69</v>
      </c>
      <c r="E61" s="208">
        <v>68</v>
      </c>
      <c r="F61" s="208">
        <v>74</v>
      </c>
      <c r="G61" s="208">
        <v>73</v>
      </c>
      <c r="H61" s="208">
        <v>92</v>
      </c>
      <c r="I61" s="208">
        <v>91</v>
      </c>
      <c r="J61" s="208">
        <v>76</v>
      </c>
      <c r="K61" s="209">
        <v>71</v>
      </c>
      <c r="L61" s="208">
        <v>87</v>
      </c>
      <c r="M61" s="209">
        <v>88</v>
      </c>
      <c r="N61" s="108"/>
      <c r="O61" s="247"/>
      <c r="P61" s="247"/>
      <c r="Q61" s="247"/>
      <c r="R61" s="247"/>
      <c r="S61" s="247"/>
      <c r="T61" s="247"/>
      <c r="U61" s="247"/>
      <c r="V61" s="247"/>
      <c r="W61" s="247"/>
      <c r="X61" s="247"/>
      <c r="Y61" s="247"/>
      <c r="Z61" s="247"/>
    </row>
    <row r="62" spans="1:30" ht="9.75" customHeight="1">
      <c r="A62" s="337">
        <f t="shared" ref="A62:A63" si="2">EDATE(A61,1)</f>
        <v>45839</v>
      </c>
      <c r="B62" s="208">
        <v>62</v>
      </c>
      <c r="C62" s="208">
        <v>59</v>
      </c>
      <c r="D62" s="208">
        <v>66</v>
      </c>
      <c r="E62" s="208">
        <v>70</v>
      </c>
      <c r="F62" s="208">
        <v>69</v>
      </c>
      <c r="G62" s="208">
        <v>70</v>
      </c>
      <c r="H62" s="208">
        <v>89</v>
      </c>
      <c r="I62" s="208">
        <v>87</v>
      </c>
      <c r="J62" s="208">
        <v>68</v>
      </c>
      <c r="K62" s="209">
        <v>69</v>
      </c>
      <c r="L62" s="208">
        <v>89</v>
      </c>
      <c r="M62" s="209">
        <v>86</v>
      </c>
      <c r="N62" s="108"/>
      <c r="O62" s="247"/>
      <c r="P62" s="247"/>
      <c r="Q62" s="247"/>
      <c r="R62" s="247"/>
      <c r="S62" s="247"/>
      <c r="T62" s="247"/>
      <c r="U62" s="247"/>
      <c r="V62" s="247"/>
      <c r="W62" s="247"/>
      <c r="X62" s="247"/>
      <c r="Y62" s="247"/>
      <c r="Z62" s="247"/>
    </row>
    <row r="63" spans="1:30" ht="9.75" customHeight="1">
      <c r="A63" s="337">
        <f t="shared" si="2"/>
        <v>45870</v>
      </c>
      <c r="B63" s="208">
        <v>64</v>
      </c>
      <c r="C63" s="208">
        <v>68</v>
      </c>
      <c r="D63" s="208">
        <v>70</v>
      </c>
      <c r="E63" s="208">
        <v>80</v>
      </c>
      <c r="F63" s="208">
        <v>73</v>
      </c>
      <c r="G63" s="208">
        <v>76</v>
      </c>
      <c r="H63" s="208">
        <v>90</v>
      </c>
      <c r="I63" s="208">
        <v>89</v>
      </c>
      <c r="J63" s="208">
        <v>75</v>
      </c>
      <c r="K63" s="209">
        <v>75</v>
      </c>
      <c r="L63" s="208">
        <v>88</v>
      </c>
      <c r="M63" s="209">
        <v>84</v>
      </c>
      <c r="N63" s="108"/>
      <c r="O63" s="247"/>
      <c r="P63" s="247"/>
      <c r="Q63" s="247"/>
      <c r="R63" s="247"/>
      <c r="S63" s="247"/>
      <c r="T63" s="247"/>
      <c r="U63" s="247"/>
      <c r="V63" s="247"/>
      <c r="W63" s="247"/>
      <c r="X63" s="247"/>
      <c r="Y63" s="247"/>
      <c r="Z63" s="247"/>
    </row>
    <row r="64" spans="1:30" ht="9.75" customHeight="1">
      <c r="A64" s="337">
        <f t="shared" ref="A64:A71" si="3">EDATE(A63,1)</f>
        <v>45901</v>
      </c>
      <c r="B64" s="208">
        <v>67</v>
      </c>
      <c r="C64" s="208">
        <v>64</v>
      </c>
      <c r="D64" s="208">
        <v>68</v>
      </c>
      <c r="E64" s="208">
        <v>61</v>
      </c>
      <c r="F64" s="208">
        <v>75</v>
      </c>
      <c r="G64" s="208">
        <v>73</v>
      </c>
      <c r="H64" s="208">
        <v>96</v>
      </c>
      <c r="I64" s="208">
        <v>92</v>
      </c>
      <c r="J64" s="208">
        <v>72</v>
      </c>
      <c r="K64" s="209">
        <v>73</v>
      </c>
      <c r="L64" s="208">
        <v>95</v>
      </c>
      <c r="M64" s="209">
        <v>92</v>
      </c>
      <c r="O64" s="247"/>
      <c r="P64" s="247"/>
      <c r="Q64" s="247"/>
      <c r="R64" s="247"/>
      <c r="S64" s="247"/>
      <c r="T64" s="247"/>
      <c r="U64" s="247"/>
      <c r="V64" s="247"/>
      <c r="W64" s="247"/>
      <c r="X64" s="247"/>
      <c r="Y64" s="247"/>
      <c r="Z64" s="247"/>
      <c r="AD64" s="127"/>
    </row>
    <row r="65" spans="1:30" ht="9.75" customHeight="1">
      <c r="A65" s="337">
        <f t="shared" si="3"/>
        <v>45931</v>
      </c>
      <c r="B65" s="208">
        <v>60</v>
      </c>
      <c r="C65" s="208">
        <v>66</v>
      </c>
      <c r="D65" s="208">
        <v>67</v>
      </c>
      <c r="E65" s="208">
        <v>73</v>
      </c>
      <c r="F65" s="208">
        <v>67</v>
      </c>
      <c r="G65" s="208">
        <v>73</v>
      </c>
      <c r="H65" s="208">
        <v>90</v>
      </c>
      <c r="I65" s="208">
        <v>92</v>
      </c>
      <c r="J65" s="208">
        <v>73</v>
      </c>
      <c r="K65" s="209">
        <v>75</v>
      </c>
      <c r="L65" s="208">
        <v>92</v>
      </c>
      <c r="M65" s="209">
        <v>92</v>
      </c>
      <c r="O65" s="247"/>
      <c r="P65" s="247"/>
      <c r="Q65" s="247"/>
      <c r="R65" s="247"/>
      <c r="S65" s="247"/>
      <c r="T65" s="247"/>
      <c r="U65" s="247"/>
      <c r="V65" s="247"/>
      <c r="W65" s="247"/>
      <c r="X65" s="247"/>
      <c r="Y65" s="247"/>
      <c r="Z65" s="247"/>
      <c r="AD65" s="127"/>
    </row>
    <row r="66" spans="1:30" ht="9.75" customHeight="1">
      <c r="A66" s="337">
        <f t="shared" si="3"/>
        <v>45962</v>
      </c>
      <c r="B66" s="208">
        <v>65</v>
      </c>
      <c r="C66" s="208">
        <v>63</v>
      </c>
      <c r="D66" s="208">
        <v>64</v>
      </c>
      <c r="E66" s="208">
        <v>73</v>
      </c>
      <c r="F66" s="208">
        <v>67</v>
      </c>
      <c r="G66" s="208">
        <v>68</v>
      </c>
      <c r="H66" s="208">
        <v>92</v>
      </c>
      <c r="I66" s="208">
        <v>92</v>
      </c>
      <c r="J66" s="208">
        <v>75</v>
      </c>
      <c r="K66" s="209">
        <v>70</v>
      </c>
      <c r="L66" s="208">
        <v>89</v>
      </c>
      <c r="M66" s="209">
        <v>90</v>
      </c>
      <c r="O66" s="247"/>
      <c r="P66" s="247"/>
      <c r="Q66" s="247"/>
      <c r="R66" s="247"/>
      <c r="S66" s="247"/>
      <c r="T66" s="247"/>
      <c r="U66" s="247"/>
      <c r="V66" s="247"/>
      <c r="W66" s="247"/>
      <c r="X66" s="247"/>
      <c r="Y66" s="247"/>
      <c r="Z66" s="247"/>
      <c r="AD66" s="127"/>
    </row>
    <row r="67" spans="1:30" ht="9.75" customHeight="1">
      <c r="A67" s="337">
        <f t="shared" si="3"/>
        <v>45992</v>
      </c>
      <c r="B67" s="209">
        <v>63</v>
      </c>
      <c r="C67" s="300">
        <v>61</v>
      </c>
      <c r="D67" s="300">
        <v>67</v>
      </c>
      <c r="E67" s="300">
        <v>75</v>
      </c>
      <c r="F67" s="300">
        <v>70</v>
      </c>
      <c r="G67" s="300">
        <v>71</v>
      </c>
      <c r="H67" s="300">
        <v>91</v>
      </c>
      <c r="I67" s="300">
        <v>90</v>
      </c>
      <c r="J67" s="300">
        <v>77</v>
      </c>
      <c r="K67" s="300">
        <v>75</v>
      </c>
      <c r="L67" s="300">
        <v>92</v>
      </c>
      <c r="M67" s="300">
        <v>90</v>
      </c>
      <c r="O67" s="247"/>
      <c r="P67" s="247"/>
      <c r="Q67" s="247"/>
      <c r="R67" s="247"/>
      <c r="S67" s="247"/>
      <c r="T67" s="247"/>
      <c r="U67" s="247"/>
      <c r="V67" s="247"/>
      <c r="W67" s="247"/>
      <c r="X67" s="247"/>
      <c r="Y67" s="247"/>
      <c r="Z67" s="247"/>
      <c r="AD67" s="127"/>
    </row>
    <row r="68" spans="1:30" ht="9.75" customHeight="1">
      <c r="A68" s="337">
        <f t="shared" si="3"/>
        <v>46023</v>
      </c>
      <c r="B68" s="209">
        <v>63</v>
      </c>
      <c r="C68" s="300">
        <v>62</v>
      </c>
      <c r="D68" s="300">
        <v>76</v>
      </c>
      <c r="E68" s="300">
        <v>76</v>
      </c>
      <c r="F68" s="300">
        <v>75</v>
      </c>
      <c r="G68" s="300">
        <v>74</v>
      </c>
      <c r="H68" s="300">
        <v>89</v>
      </c>
      <c r="I68" s="300">
        <v>91</v>
      </c>
      <c r="J68" s="300">
        <v>77</v>
      </c>
      <c r="K68" s="300">
        <v>75</v>
      </c>
      <c r="L68" s="300">
        <v>91</v>
      </c>
      <c r="M68" s="300">
        <v>92</v>
      </c>
      <c r="O68" s="247"/>
      <c r="P68" s="247"/>
      <c r="Q68" s="247"/>
      <c r="R68" s="247"/>
      <c r="S68" s="247"/>
      <c r="T68" s="247"/>
      <c r="U68" s="247"/>
      <c r="V68" s="247"/>
      <c r="W68" s="247"/>
      <c r="X68" s="247"/>
      <c r="Y68" s="247"/>
      <c r="Z68" s="247"/>
      <c r="AD68" s="127"/>
    </row>
    <row r="69" spans="1:30" ht="9.75" customHeight="1">
      <c r="A69" s="337">
        <f t="shared" si="3"/>
        <v>46054</v>
      </c>
      <c r="B69" s="209">
        <v>63</v>
      </c>
      <c r="C69" s="300">
        <v>70</v>
      </c>
      <c r="D69" s="300">
        <v>69</v>
      </c>
      <c r="E69" s="300">
        <v>79</v>
      </c>
      <c r="F69" s="300">
        <v>70</v>
      </c>
      <c r="G69" s="300">
        <v>75</v>
      </c>
      <c r="H69" s="300">
        <v>88</v>
      </c>
      <c r="I69" s="300">
        <v>90</v>
      </c>
      <c r="J69" s="300">
        <v>73</v>
      </c>
      <c r="K69" s="300">
        <v>76</v>
      </c>
      <c r="L69" s="300">
        <v>90</v>
      </c>
      <c r="M69" s="300">
        <v>88</v>
      </c>
      <c r="O69" s="247"/>
      <c r="P69" s="247"/>
      <c r="Q69" s="247"/>
      <c r="R69" s="247"/>
      <c r="S69" s="247"/>
      <c r="T69" s="247"/>
      <c r="U69" s="247"/>
      <c r="V69" s="247"/>
      <c r="W69" s="247"/>
      <c r="X69" s="247"/>
      <c r="Y69" s="247"/>
      <c r="Z69" s="247"/>
      <c r="AD69" s="127"/>
    </row>
    <row r="70" spans="1:30" ht="9.75" customHeight="1">
      <c r="A70" s="337">
        <f t="shared" si="3"/>
        <v>46082</v>
      </c>
      <c r="B70" s="209">
        <v>68</v>
      </c>
      <c r="C70" s="300">
        <v>69</v>
      </c>
      <c r="D70" s="300">
        <v>74</v>
      </c>
      <c r="E70" s="300">
        <v>78</v>
      </c>
      <c r="F70" s="300">
        <v>73</v>
      </c>
      <c r="G70" s="300">
        <v>70</v>
      </c>
      <c r="H70" s="300">
        <v>95</v>
      </c>
      <c r="I70" s="300">
        <v>94</v>
      </c>
      <c r="J70" s="300">
        <v>75</v>
      </c>
      <c r="K70" s="300">
        <v>74</v>
      </c>
      <c r="L70" s="300">
        <v>88</v>
      </c>
      <c r="M70" s="300">
        <v>87</v>
      </c>
      <c r="O70" s="247"/>
      <c r="P70" s="247"/>
      <c r="Q70" s="247"/>
      <c r="R70" s="247"/>
      <c r="S70" s="247"/>
      <c r="T70" s="247"/>
      <c r="U70" s="247"/>
      <c r="V70" s="247"/>
      <c r="W70" s="247"/>
      <c r="X70" s="247"/>
      <c r="Y70" s="247"/>
      <c r="Z70" s="247"/>
      <c r="AD70" s="127"/>
    </row>
    <row r="71" spans="1:30" ht="9.75" customHeight="1">
      <c r="A71" s="337">
        <f t="shared" si="3"/>
        <v>46113</v>
      </c>
      <c r="B71" s="209">
        <v>63</v>
      </c>
      <c r="C71" s="300">
        <v>62</v>
      </c>
      <c r="D71" s="300">
        <v>78</v>
      </c>
      <c r="E71" s="300">
        <v>75</v>
      </c>
      <c r="F71" s="300">
        <v>64</v>
      </c>
      <c r="G71" s="300">
        <v>63</v>
      </c>
      <c r="H71" s="300">
        <v>92</v>
      </c>
      <c r="I71" s="300">
        <v>91</v>
      </c>
      <c r="J71" s="300">
        <v>69</v>
      </c>
      <c r="K71" s="300">
        <v>68</v>
      </c>
      <c r="L71" s="300">
        <v>86</v>
      </c>
      <c r="M71" s="300">
        <v>88</v>
      </c>
      <c r="O71" s="247"/>
      <c r="P71" s="247"/>
      <c r="Q71" s="247"/>
      <c r="R71" s="247"/>
      <c r="S71" s="247"/>
      <c r="T71" s="247"/>
      <c r="U71" s="247"/>
      <c r="V71" s="247"/>
      <c r="W71" s="247"/>
      <c r="X71" s="247"/>
      <c r="Y71" s="247"/>
      <c r="Z71" s="247"/>
      <c r="AD71" s="127"/>
    </row>
    <row r="72" spans="1:30" ht="9.75" customHeight="1">
      <c r="A72" s="517" t="s">
        <v>50</v>
      </c>
      <c r="B72" s="519" t="s">
        <v>60</v>
      </c>
      <c r="C72" s="520"/>
      <c r="D72" s="520"/>
      <c r="E72" s="520"/>
      <c r="F72" s="520"/>
      <c r="G72" s="520"/>
      <c r="H72" s="520"/>
      <c r="I72" s="520"/>
      <c r="J72" s="520"/>
      <c r="K72" s="520"/>
      <c r="L72" s="520"/>
      <c r="M72" s="520"/>
      <c r="O72" s="247"/>
      <c r="P72" s="247"/>
      <c r="Q72" s="247"/>
      <c r="R72" s="247"/>
      <c r="S72" s="247"/>
      <c r="T72" s="247"/>
      <c r="U72" s="247"/>
      <c r="V72" s="247"/>
      <c r="W72" s="247"/>
      <c r="X72" s="247"/>
      <c r="Y72" s="247"/>
      <c r="Z72" s="247"/>
      <c r="AD72" s="127"/>
    </row>
    <row r="73" spans="1:30" ht="9.75" customHeight="1">
      <c r="A73" s="526"/>
      <c r="B73" s="527" t="s">
        <v>61</v>
      </c>
      <c r="C73" s="528"/>
      <c r="D73" s="528"/>
      <c r="E73" s="529"/>
      <c r="F73" s="527" t="s">
        <v>52</v>
      </c>
      <c r="G73" s="529"/>
      <c r="H73" s="527" t="s">
        <v>53</v>
      </c>
      <c r="I73" s="529"/>
      <c r="J73" s="527" t="s">
        <v>62</v>
      </c>
      <c r="K73" s="529"/>
      <c r="L73" s="527" t="s">
        <v>56</v>
      </c>
      <c r="M73" s="528"/>
      <c r="O73" s="247"/>
      <c r="P73" s="247"/>
      <c r="Q73" s="247"/>
      <c r="R73" s="247"/>
      <c r="S73" s="247"/>
      <c r="T73" s="247"/>
      <c r="U73" s="247"/>
      <c r="V73" s="247"/>
      <c r="W73" s="247"/>
      <c r="X73" s="247"/>
      <c r="Y73" s="247"/>
      <c r="Z73" s="247"/>
      <c r="AD73" s="127"/>
    </row>
    <row r="74" spans="1:30" ht="9.75" customHeight="1">
      <c r="A74" s="518"/>
      <c r="B74" s="527" t="s">
        <v>63</v>
      </c>
      <c r="C74" s="529"/>
      <c r="D74" s="527" t="s">
        <v>64</v>
      </c>
      <c r="E74" s="529"/>
      <c r="F74" s="422" t="s">
        <v>57</v>
      </c>
      <c r="G74" s="206" t="s">
        <v>65</v>
      </c>
      <c r="H74" s="206" t="s">
        <v>66</v>
      </c>
      <c r="I74" s="424" t="s">
        <v>59</v>
      </c>
      <c r="J74" s="206" t="s">
        <v>66</v>
      </c>
      <c r="K74" s="423" t="s">
        <v>59</v>
      </c>
      <c r="L74" s="206" t="s">
        <v>66</v>
      </c>
      <c r="M74" s="423" t="s">
        <v>59</v>
      </c>
      <c r="O74" s="247"/>
      <c r="P74" s="247"/>
      <c r="Q74" s="247"/>
      <c r="R74" s="247"/>
      <c r="S74" s="247"/>
      <c r="T74" s="247"/>
      <c r="U74" s="247"/>
      <c r="V74" s="247"/>
      <c r="W74" s="247"/>
      <c r="X74" s="247"/>
      <c r="Y74" s="247"/>
      <c r="Z74" s="247"/>
      <c r="AD74" s="127"/>
    </row>
    <row r="75" spans="1:30" ht="9.75" customHeight="1">
      <c r="A75" s="336">
        <v>2016</v>
      </c>
      <c r="B75" s="209"/>
      <c r="C75" s="299">
        <v>61</v>
      </c>
      <c r="D75" s="209"/>
      <c r="E75" s="299">
        <v>58</v>
      </c>
      <c r="F75" s="208">
        <v>64</v>
      </c>
      <c r="G75" s="208">
        <v>62</v>
      </c>
      <c r="H75" s="208">
        <v>74</v>
      </c>
      <c r="I75" s="208">
        <v>73</v>
      </c>
      <c r="J75" s="208">
        <v>71</v>
      </c>
      <c r="K75" s="209">
        <v>70</v>
      </c>
      <c r="L75" s="208">
        <v>84</v>
      </c>
      <c r="M75" s="209">
        <v>85</v>
      </c>
      <c r="O75" s="247"/>
      <c r="P75" s="247"/>
      <c r="Q75" s="247"/>
      <c r="R75" s="247"/>
      <c r="S75" s="247"/>
      <c r="T75" s="247"/>
      <c r="U75" s="247"/>
      <c r="V75" s="247"/>
      <c r="W75" s="247"/>
      <c r="X75" s="247"/>
      <c r="Y75" s="247"/>
      <c r="Z75" s="247"/>
      <c r="AD75" s="127"/>
    </row>
    <row r="76" spans="1:30" ht="9.75" customHeight="1">
      <c r="A76" s="336">
        <v>2017</v>
      </c>
      <c r="B76" s="209"/>
      <c r="C76" s="299">
        <v>70</v>
      </c>
      <c r="D76" s="300"/>
      <c r="E76" s="299">
        <v>64</v>
      </c>
      <c r="F76" s="208">
        <v>70</v>
      </c>
      <c r="G76" s="208">
        <v>71</v>
      </c>
      <c r="H76" s="208">
        <v>76</v>
      </c>
      <c r="I76" s="208">
        <v>78</v>
      </c>
      <c r="J76" s="208">
        <v>72</v>
      </c>
      <c r="K76" s="209">
        <v>71</v>
      </c>
      <c r="L76" s="208">
        <v>81</v>
      </c>
      <c r="M76" s="209">
        <v>79</v>
      </c>
      <c r="O76" s="247"/>
      <c r="P76" s="247"/>
      <c r="Q76" s="247"/>
      <c r="R76" s="247"/>
      <c r="S76" s="247"/>
      <c r="T76" s="247"/>
      <c r="U76" s="247"/>
      <c r="V76" s="247"/>
      <c r="W76" s="247"/>
      <c r="X76" s="247"/>
      <c r="Y76" s="247"/>
      <c r="Z76" s="247"/>
      <c r="AD76" s="127"/>
    </row>
    <row r="77" spans="1:30" ht="9.75" customHeight="1">
      <c r="A77" s="336">
        <v>2018</v>
      </c>
      <c r="B77" s="209"/>
      <c r="C77" s="299">
        <v>56</v>
      </c>
      <c r="D77" s="300"/>
      <c r="E77" s="299">
        <v>58</v>
      </c>
      <c r="F77" s="208">
        <v>66</v>
      </c>
      <c r="G77" s="208">
        <v>68</v>
      </c>
      <c r="H77" s="208">
        <v>72</v>
      </c>
      <c r="I77" s="208">
        <v>72</v>
      </c>
      <c r="J77" s="208">
        <v>74</v>
      </c>
      <c r="K77" s="209">
        <v>73</v>
      </c>
      <c r="L77" s="208">
        <v>87</v>
      </c>
      <c r="M77" s="209">
        <v>86</v>
      </c>
      <c r="O77" s="247"/>
      <c r="P77" s="247"/>
      <c r="Q77" s="247"/>
      <c r="R77" s="247"/>
      <c r="S77" s="247"/>
      <c r="T77" s="247"/>
      <c r="U77" s="247"/>
      <c r="V77" s="247"/>
      <c r="W77" s="247"/>
      <c r="X77" s="247"/>
      <c r="Y77" s="247"/>
      <c r="Z77" s="247"/>
      <c r="AD77" s="127"/>
    </row>
    <row r="78" spans="1:30" ht="9.75" customHeight="1">
      <c r="A78" s="336">
        <v>2019</v>
      </c>
      <c r="B78" s="209"/>
      <c r="C78" s="299">
        <v>61</v>
      </c>
      <c r="D78" s="300"/>
      <c r="E78" s="299">
        <v>60</v>
      </c>
      <c r="F78" s="208">
        <v>71</v>
      </c>
      <c r="G78" s="208">
        <v>70</v>
      </c>
      <c r="H78" s="208">
        <v>72</v>
      </c>
      <c r="I78" s="208">
        <v>71</v>
      </c>
      <c r="J78" s="208">
        <v>70</v>
      </c>
      <c r="K78" s="209">
        <v>69</v>
      </c>
      <c r="L78" s="208">
        <v>86</v>
      </c>
      <c r="M78" s="209">
        <v>88</v>
      </c>
      <c r="O78" s="247"/>
      <c r="P78" s="247"/>
      <c r="Q78" s="247"/>
      <c r="R78" s="247"/>
      <c r="S78" s="247"/>
      <c r="T78" s="247"/>
      <c r="U78" s="247"/>
      <c r="V78" s="247"/>
      <c r="W78" s="247"/>
      <c r="X78" s="247"/>
      <c r="Y78" s="247"/>
      <c r="Z78" s="247"/>
      <c r="AD78" s="127"/>
    </row>
    <row r="79" spans="1:30" ht="9.75" customHeight="1">
      <c r="A79" s="336">
        <v>2020</v>
      </c>
      <c r="B79" s="209"/>
      <c r="C79" s="299">
        <v>49</v>
      </c>
      <c r="D79" s="300"/>
      <c r="E79" s="299">
        <v>48</v>
      </c>
      <c r="F79" s="208">
        <v>53</v>
      </c>
      <c r="G79" s="208">
        <v>50</v>
      </c>
      <c r="H79" s="208">
        <v>61</v>
      </c>
      <c r="I79" s="208">
        <v>59</v>
      </c>
      <c r="J79" s="208">
        <v>60</v>
      </c>
      <c r="K79" s="209">
        <v>61</v>
      </c>
      <c r="L79" s="208">
        <v>87</v>
      </c>
      <c r="M79" s="209">
        <v>89</v>
      </c>
      <c r="O79" s="247"/>
      <c r="P79" s="247"/>
      <c r="Q79" s="247"/>
      <c r="R79" s="247"/>
      <c r="S79" s="247"/>
      <c r="T79" s="247"/>
      <c r="U79" s="247"/>
      <c r="V79" s="247"/>
      <c r="W79" s="247"/>
      <c r="X79" s="247"/>
      <c r="Y79" s="247"/>
      <c r="Z79" s="247"/>
    </row>
    <row r="80" spans="1:30" ht="9.75" customHeight="1">
      <c r="A80" s="336">
        <v>2021</v>
      </c>
      <c r="B80" s="209"/>
      <c r="C80" s="299">
        <v>70</v>
      </c>
      <c r="D80" s="300"/>
      <c r="E80" s="299">
        <v>67</v>
      </c>
      <c r="F80" s="208">
        <v>77</v>
      </c>
      <c r="G80" s="208">
        <v>73</v>
      </c>
      <c r="H80" s="208">
        <v>78</v>
      </c>
      <c r="I80" s="208">
        <v>77</v>
      </c>
      <c r="J80" s="208">
        <v>76</v>
      </c>
      <c r="K80" s="209">
        <v>74</v>
      </c>
      <c r="L80" s="208">
        <v>81</v>
      </c>
      <c r="M80" s="209">
        <v>81</v>
      </c>
      <c r="O80" s="247"/>
      <c r="P80" s="247"/>
      <c r="Q80" s="247"/>
      <c r="R80" s="247"/>
      <c r="S80" s="247"/>
      <c r="T80" s="247"/>
      <c r="U80" s="247"/>
      <c r="V80" s="247"/>
      <c r="W80" s="247"/>
      <c r="X80" s="247"/>
      <c r="Y80" s="247"/>
      <c r="Z80" s="247"/>
      <c r="AD80" s="127"/>
    </row>
    <row r="81" spans="1:30" ht="9.75" customHeight="1">
      <c r="A81" s="336">
        <v>2022</v>
      </c>
      <c r="B81" s="209"/>
      <c r="C81" s="299">
        <v>69</v>
      </c>
      <c r="D81" s="300"/>
      <c r="E81" s="299">
        <v>68</v>
      </c>
      <c r="F81" s="208">
        <v>80</v>
      </c>
      <c r="G81" s="208">
        <v>81</v>
      </c>
      <c r="H81" s="208">
        <v>78</v>
      </c>
      <c r="I81" s="208">
        <v>75</v>
      </c>
      <c r="J81" s="208">
        <v>79</v>
      </c>
      <c r="K81" s="209">
        <v>78</v>
      </c>
      <c r="L81" s="208">
        <v>75</v>
      </c>
      <c r="M81" s="209">
        <v>75</v>
      </c>
      <c r="O81" s="247"/>
      <c r="P81" s="247"/>
      <c r="Q81" s="247"/>
      <c r="R81" s="247"/>
      <c r="S81" s="247"/>
      <c r="T81" s="247"/>
      <c r="U81" s="247"/>
      <c r="V81" s="247"/>
      <c r="W81" s="247"/>
      <c r="X81" s="247"/>
      <c r="Y81" s="247"/>
      <c r="Z81" s="247"/>
      <c r="AD81" s="127"/>
    </row>
    <row r="82" spans="1:30" ht="9.75" customHeight="1">
      <c r="A82" s="336">
        <v>2023</v>
      </c>
      <c r="B82" s="209"/>
      <c r="C82" s="299">
        <v>65</v>
      </c>
      <c r="D82" s="300"/>
      <c r="E82" s="299">
        <v>67</v>
      </c>
      <c r="F82" s="208">
        <v>74</v>
      </c>
      <c r="G82" s="208">
        <v>74</v>
      </c>
      <c r="H82" s="208">
        <v>75</v>
      </c>
      <c r="I82" s="208">
        <v>76</v>
      </c>
      <c r="J82" s="208">
        <v>76</v>
      </c>
      <c r="K82" s="209">
        <v>78</v>
      </c>
      <c r="L82" s="208">
        <v>79</v>
      </c>
      <c r="M82" s="209">
        <v>79</v>
      </c>
      <c r="O82" s="247"/>
      <c r="P82" s="247"/>
      <c r="Q82" s="247"/>
      <c r="R82" s="247"/>
      <c r="S82" s="247"/>
      <c r="T82" s="247"/>
      <c r="U82" s="247"/>
      <c r="V82" s="247"/>
      <c r="W82" s="247"/>
      <c r="X82" s="247"/>
      <c r="Y82" s="247"/>
      <c r="Z82" s="247"/>
      <c r="AD82" s="127"/>
    </row>
    <row r="83" spans="1:30" ht="9.75" customHeight="1">
      <c r="A83" s="336">
        <v>2024</v>
      </c>
      <c r="B83" s="209"/>
      <c r="C83" s="299">
        <v>51</v>
      </c>
      <c r="D83" s="300"/>
      <c r="E83" s="299">
        <v>53</v>
      </c>
      <c r="F83" s="208">
        <v>62</v>
      </c>
      <c r="G83" s="208">
        <v>60</v>
      </c>
      <c r="H83" s="208">
        <v>65</v>
      </c>
      <c r="I83" s="208">
        <v>66</v>
      </c>
      <c r="J83" s="208">
        <v>65</v>
      </c>
      <c r="K83" s="209">
        <v>66</v>
      </c>
      <c r="L83" s="208">
        <v>76</v>
      </c>
      <c r="M83" s="209">
        <v>77</v>
      </c>
      <c r="O83" s="247"/>
      <c r="P83" s="247"/>
      <c r="Q83" s="247"/>
      <c r="R83" s="247"/>
      <c r="S83" s="247"/>
      <c r="T83" s="247"/>
      <c r="U83" s="247"/>
      <c r="V83" s="247"/>
      <c r="W83" s="247"/>
      <c r="X83" s="247"/>
      <c r="Y83" s="247"/>
      <c r="Z83" s="247"/>
      <c r="AD83" s="127"/>
    </row>
    <row r="84" spans="1:30" ht="9.75" customHeight="1">
      <c r="A84" s="336">
        <v>2025</v>
      </c>
      <c r="B84" s="209"/>
      <c r="C84" s="299">
        <v>60</v>
      </c>
      <c r="D84" s="300"/>
      <c r="E84" s="299">
        <v>56</v>
      </c>
      <c r="F84" s="208">
        <v>68</v>
      </c>
      <c r="G84" s="208">
        <v>67</v>
      </c>
      <c r="H84" s="208">
        <v>75</v>
      </c>
      <c r="I84" s="208">
        <v>69</v>
      </c>
      <c r="J84" s="208">
        <v>70</v>
      </c>
      <c r="K84" s="209">
        <v>68</v>
      </c>
      <c r="L84" s="208">
        <v>80</v>
      </c>
      <c r="M84" s="209">
        <v>83</v>
      </c>
      <c r="O84" s="247"/>
      <c r="P84" s="247"/>
      <c r="Q84" s="247"/>
      <c r="R84" s="247"/>
      <c r="S84" s="247"/>
      <c r="T84" s="247"/>
      <c r="U84" s="247"/>
      <c r="V84" s="247"/>
      <c r="W84" s="247"/>
      <c r="X84" s="247"/>
      <c r="Y84" s="247"/>
      <c r="Z84" s="247"/>
      <c r="AD84" s="127"/>
    </row>
    <row r="85" spans="1:30" ht="9.75" customHeight="1">
      <c r="A85" s="324"/>
      <c r="B85" s="209"/>
      <c r="C85" s="299"/>
      <c r="D85" s="300"/>
      <c r="E85" s="299"/>
      <c r="F85" s="208"/>
      <c r="G85" s="208"/>
      <c r="H85" s="208"/>
      <c r="I85" s="208"/>
      <c r="J85" s="208"/>
      <c r="K85" s="209"/>
      <c r="L85" s="208"/>
      <c r="M85" s="209"/>
      <c r="O85" s="247"/>
      <c r="P85" s="247"/>
      <c r="Q85" s="247"/>
      <c r="R85" s="247"/>
      <c r="S85" s="247"/>
      <c r="T85" s="247"/>
      <c r="U85" s="247"/>
      <c r="V85" s="247"/>
      <c r="W85" s="247"/>
      <c r="X85" s="247"/>
      <c r="Y85" s="247"/>
      <c r="Z85" s="247"/>
      <c r="AD85" s="127"/>
    </row>
    <row r="86" spans="1:30" ht="9.75" customHeight="1">
      <c r="A86" s="324"/>
      <c r="B86" s="209"/>
      <c r="C86" s="299"/>
      <c r="D86" s="300"/>
      <c r="E86" s="299"/>
      <c r="F86" s="208"/>
      <c r="G86" s="208"/>
      <c r="H86" s="208"/>
      <c r="I86" s="208"/>
      <c r="J86" s="208"/>
      <c r="K86" s="209"/>
      <c r="L86" s="208"/>
      <c r="M86" s="209"/>
      <c r="O86" s="247"/>
      <c r="P86" s="247"/>
      <c r="Q86" s="247"/>
      <c r="R86" s="247"/>
      <c r="S86" s="247"/>
      <c r="T86" s="247"/>
      <c r="U86" s="247"/>
      <c r="V86" s="247"/>
      <c r="W86" s="247"/>
      <c r="X86" s="247"/>
      <c r="Y86" s="247"/>
      <c r="Z86" s="247"/>
      <c r="AD86" s="127"/>
    </row>
    <row r="87" spans="1:30" ht="9.75" customHeight="1">
      <c r="A87" s="337">
        <v>44562</v>
      </c>
      <c r="B87" s="209"/>
      <c r="C87" s="299">
        <v>73</v>
      </c>
      <c r="D87" s="300"/>
      <c r="E87" s="299">
        <v>70</v>
      </c>
      <c r="F87" s="208">
        <v>76</v>
      </c>
      <c r="G87" s="208">
        <v>74</v>
      </c>
      <c r="H87" s="208">
        <v>79</v>
      </c>
      <c r="I87" s="208">
        <v>77</v>
      </c>
      <c r="J87" s="208">
        <v>77</v>
      </c>
      <c r="K87" s="209">
        <v>77</v>
      </c>
      <c r="L87" s="209">
        <v>81</v>
      </c>
      <c r="M87" s="209">
        <v>80</v>
      </c>
      <c r="O87" s="247"/>
      <c r="P87" s="247"/>
      <c r="Q87" s="247"/>
      <c r="R87" s="247"/>
      <c r="S87" s="247"/>
      <c r="T87" s="247"/>
      <c r="U87" s="247"/>
      <c r="V87" s="247"/>
      <c r="W87" s="247"/>
      <c r="X87" s="247"/>
      <c r="Y87" s="247"/>
      <c r="Z87" s="247"/>
      <c r="AD87" s="127"/>
    </row>
    <row r="88" spans="1:30" ht="9.75" customHeight="1">
      <c r="A88" s="337">
        <v>44593</v>
      </c>
      <c r="B88" s="209"/>
      <c r="C88" s="299">
        <v>62</v>
      </c>
      <c r="D88" s="300"/>
      <c r="E88" s="299">
        <v>69</v>
      </c>
      <c r="F88" s="208">
        <v>73</v>
      </c>
      <c r="G88" s="208">
        <v>79</v>
      </c>
      <c r="H88" s="208">
        <v>76</v>
      </c>
      <c r="I88" s="208">
        <v>81</v>
      </c>
      <c r="J88" s="208">
        <v>72</v>
      </c>
      <c r="K88" s="209">
        <v>77</v>
      </c>
      <c r="L88" s="209">
        <v>74</v>
      </c>
      <c r="M88" s="209">
        <v>77</v>
      </c>
      <c r="O88" s="247"/>
      <c r="P88" s="247"/>
      <c r="Q88" s="247"/>
      <c r="R88" s="247"/>
      <c r="S88" s="247"/>
      <c r="T88" s="247"/>
      <c r="U88" s="247"/>
      <c r="V88" s="247"/>
      <c r="W88" s="247"/>
      <c r="X88" s="247"/>
      <c r="Y88" s="247"/>
      <c r="Z88" s="247"/>
      <c r="AD88" s="127"/>
    </row>
    <row r="89" spans="1:30" ht="9.75" customHeight="1">
      <c r="A89" s="337">
        <v>44621</v>
      </c>
      <c r="B89" s="209"/>
      <c r="C89" s="299">
        <v>66</v>
      </c>
      <c r="D89" s="300"/>
      <c r="E89" s="299">
        <v>69</v>
      </c>
      <c r="F89" s="208">
        <v>75</v>
      </c>
      <c r="G89" s="208">
        <v>76</v>
      </c>
      <c r="H89" s="208">
        <v>72</v>
      </c>
      <c r="I89" s="208">
        <v>76</v>
      </c>
      <c r="J89" s="208">
        <v>71</v>
      </c>
      <c r="K89" s="209">
        <v>76</v>
      </c>
      <c r="L89" s="209">
        <v>73</v>
      </c>
      <c r="M89" s="209">
        <v>77</v>
      </c>
      <c r="O89" s="247"/>
      <c r="P89" s="247"/>
      <c r="Q89" s="247"/>
      <c r="R89" s="247"/>
      <c r="S89" s="247"/>
      <c r="T89" s="247"/>
      <c r="U89" s="247"/>
      <c r="V89" s="247"/>
      <c r="W89" s="247"/>
      <c r="X89" s="247"/>
      <c r="Y89" s="247"/>
      <c r="Z89" s="247"/>
      <c r="AD89" s="127"/>
    </row>
    <row r="90" spans="1:30" ht="9.75" customHeight="1">
      <c r="A90" s="337">
        <v>44652</v>
      </c>
      <c r="B90" s="209"/>
      <c r="C90" s="299">
        <v>71</v>
      </c>
      <c r="D90" s="300"/>
      <c r="E90" s="299">
        <v>75</v>
      </c>
      <c r="F90" s="208">
        <v>82</v>
      </c>
      <c r="G90" s="208">
        <v>80</v>
      </c>
      <c r="H90" s="208">
        <v>80</v>
      </c>
      <c r="I90" s="208">
        <v>83</v>
      </c>
      <c r="J90" s="208">
        <v>78</v>
      </c>
      <c r="K90" s="209">
        <v>83</v>
      </c>
      <c r="L90" s="209">
        <v>77</v>
      </c>
      <c r="M90" s="209">
        <v>79</v>
      </c>
      <c r="O90" s="247"/>
      <c r="P90" s="247"/>
      <c r="Q90" s="247"/>
      <c r="R90" s="247"/>
      <c r="S90" s="247"/>
      <c r="T90" s="247"/>
      <c r="U90" s="247"/>
      <c r="V90" s="247"/>
      <c r="W90" s="247"/>
      <c r="X90" s="247"/>
      <c r="Y90" s="247"/>
      <c r="Z90" s="247"/>
      <c r="AD90" s="127"/>
    </row>
    <row r="91" spans="1:30" ht="9.75" customHeight="1">
      <c r="A91" s="337">
        <v>44682</v>
      </c>
      <c r="B91" s="209"/>
      <c r="C91" s="299">
        <v>77</v>
      </c>
      <c r="D91" s="300"/>
      <c r="E91" s="299">
        <v>76</v>
      </c>
      <c r="F91" s="208">
        <v>88</v>
      </c>
      <c r="G91" s="208">
        <v>88</v>
      </c>
      <c r="H91" s="208">
        <v>82</v>
      </c>
      <c r="I91" s="208">
        <v>81</v>
      </c>
      <c r="J91" s="208">
        <v>79</v>
      </c>
      <c r="K91" s="209">
        <v>80</v>
      </c>
      <c r="L91" s="209">
        <v>79</v>
      </c>
      <c r="M91" s="209">
        <v>80</v>
      </c>
      <c r="O91" s="247"/>
      <c r="P91" s="247"/>
      <c r="Q91" s="247"/>
      <c r="R91" s="247"/>
      <c r="S91" s="247"/>
      <c r="T91" s="247"/>
      <c r="U91" s="247"/>
      <c r="V91" s="247"/>
      <c r="W91" s="247"/>
      <c r="X91" s="247"/>
      <c r="Y91" s="247"/>
      <c r="Z91" s="247"/>
      <c r="AD91" s="127"/>
    </row>
    <row r="92" spans="1:30" ht="9.75" customHeight="1">
      <c r="A92" s="337">
        <v>44713</v>
      </c>
      <c r="B92" s="209"/>
      <c r="C92" s="299">
        <v>69</v>
      </c>
      <c r="D92" s="300"/>
      <c r="E92" s="299">
        <v>69</v>
      </c>
      <c r="F92" s="208">
        <v>81</v>
      </c>
      <c r="G92" s="208">
        <v>79</v>
      </c>
      <c r="H92" s="208">
        <v>74</v>
      </c>
      <c r="I92" s="208">
        <v>75</v>
      </c>
      <c r="J92" s="208">
        <v>75</v>
      </c>
      <c r="K92" s="209">
        <v>74</v>
      </c>
      <c r="L92" s="209">
        <v>71</v>
      </c>
      <c r="M92" s="209">
        <v>70</v>
      </c>
      <c r="O92" s="247"/>
      <c r="P92" s="247"/>
      <c r="Q92" s="247"/>
      <c r="R92" s="247"/>
      <c r="S92" s="247"/>
      <c r="T92" s="247"/>
      <c r="U92" s="247"/>
      <c r="V92" s="247"/>
      <c r="W92" s="247"/>
      <c r="X92" s="247"/>
      <c r="Y92" s="247"/>
      <c r="Z92" s="247"/>
      <c r="AD92" s="127"/>
    </row>
    <row r="93" spans="1:30" ht="9.75" customHeight="1">
      <c r="A93" s="337">
        <v>44743</v>
      </c>
      <c r="B93" s="209"/>
      <c r="C93" s="299">
        <v>68</v>
      </c>
      <c r="D93" s="300"/>
      <c r="E93" s="299">
        <v>69</v>
      </c>
      <c r="F93" s="208">
        <v>82</v>
      </c>
      <c r="G93" s="208">
        <v>81</v>
      </c>
      <c r="H93" s="208">
        <v>76</v>
      </c>
      <c r="I93" s="208">
        <v>76</v>
      </c>
      <c r="J93" s="208">
        <v>77</v>
      </c>
      <c r="K93" s="209">
        <v>77</v>
      </c>
      <c r="L93" s="209">
        <v>75</v>
      </c>
      <c r="M93" s="209">
        <v>78</v>
      </c>
      <c r="O93" s="247"/>
      <c r="P93" s="247"/>
      <c r="Q93" s="247"/>
      <c r="R93" s="247"/>
      <c r="S93" s="247"/>
      <c r="T93" s="247"/>
      <c r="U93" s="247"/>
      <c r="V93" s="247"/>
      <c r="W93" s="247"/>
      <c r="X93" s="247"/>
      <c r="Y93" s="247"/>
      <c r="Z93" s="247"/>
      <c r="AD93" s="127"/>
    </row>
    <row r="94" spans="1:30" ht="9.75" customHeight="1">
      <c r="A94" s="337">
        <v>44774</v>
      </c>
      <c r="B94" s="209"/>
      <c r="C94" s="299">
        <v>72</v>
      </c>
      <c r="D94" s="300"/>
      <c r="E94" s="299">
        <v>72</v>
      </c>
      <c r="F94" s="208">
        <v>82</v>
      </c>
      <c r="G94" s="208">
        <v>79</v>
      </c>
      <c r="H94" s="208">
        <v>74</v>
      </c>
      <c r="I94" s="208">
        <v>77</v>
      </c>
      <c r="J94" s="208">
        <v>74</v>
      </c>
      <c r="K94" s="209">
        <v>79</v>
      </c>
      <c r="L94" s="209">
        <v>68</v>
      </c>
      <c r="M94" s="209">
        <v>70</v>
      </c>
      <c r="O94" s="247"/>
      <c r="P94" s="247"/>
      <c r="Q94" s="247"/>
      <c r="R94" s="247"/>
      <c r="S94" s="247"/>
      <c r="T94" s="247"/>
      <c r="U94" s="247"/>
      <c r="V94" s="247"/>
      <c r="W94" s="247"/>
      <c r="X94" s="247"/>
      <c r="Y94" s="247"/>
      <c r="Z94" s="247"/>
      <c r="AD94" s="127"/>
    </row>
    <row r="95" spans="1:30" ht="9.75" customHeight="1">
      <c r="A95" s="337">
        <v>44805</v>
      </c>
      <c r="B95" s="209"/>
      <c r="C95" s="299">
        <v>70</v>
      </c>
      <c r="D95" s="300"/>
      <c r="E95" s="299">
        <v>71</v>
      </c>
      <c r="F95" s="208">
        <v>83</v>
      </c>
      <c r="G95" s="208">
        <v>82</v>
      </c>
      <c r="H95" s="208">
        <v>76</v>
      </c>
      <c r="I95" s="208">
        <v>76</v>
      </c>
      <c r="J95" s="208">
        <v>75</v>
      </c>
      <c r="K95" s="208">
        <v>75</v>
      </c>
      <c r="L95" s="208">
        <v>72</v>
      </c>
      <c r="M95" s="208">
        <v>76</v>
      </c>
      <c r="O95" s="247"/>
      <c r="P95" s="247"/>
      <c r="Q95" s="247"/>
      <c r="R95" s="247"/>
      <c r="S95" s="247"/>
      <c r="T95" s="247"/>
      <c r="U95" s="247"/>
      <c r="V95" s="247"/>
      <c r="W95" s="247"/>
      <c r="X95" s="247"/>
      <c r="Y95" s="247"/>
      <c r="Z95" s="247"/>
      <c r="AD95" s="127"/>
    </row>
    <row r="96" spans="1:30" ht="9.75" customHeight="1">
      <c r="A96" s="337">
        <v>44835</v>
      </c>
      <c r="B96" s="209"/>
      <c r="C96" s="299">
        <v>70</v>
      </c>
      <c r="D96" s="300"/>
      <c r="E96" s="299">
        <v>68</v>
      </c>
      <c r="F96" s="208">
        <v>79</v>
      </c>
      <c r="G96" s="208">
        <v>78</v>
      </c>
      <c r="H96" s="208">
        <v>81</v>
      </c>
      <c r="I96" s="208">
        <v>81</v>
      </c>
      <c r="J96" s="208">
        <v>80</v>
      </c>
      <c r="K96" s="209">
        <v>81</v>
      </c>
      <c r="L96" s="209">
        <v>74</v>
      </c>
      <c r="M96" s="209">
        <v>75</v>
      </c>
      <c r="O96" s="247"/>
      <c r="P96" s="247"/>
      <c r="Q96" s="247"/>
      <c r="R96" s="247"/>
      <c r="S96" s="247"/>
      <c r="T96" s="247"/>
      <c r="U96" s="247"/>
      <c r="V96" s="247"/>
      <c r="W96" s="247"/>
      <c r="X96" s="247"/>
      <c r="Y96" s="247"/>
      <c r="Z96" s="247"/>
      <c r="AD96" s="127"/>
    </row>
    <row r="97" spans="1:30" ht="9.75" customHeight="1">
      <c r="A97" s="337">
        <v>44866</v>
      </c>
      <c r="B97" s="209"/>
      <c r="C97" s="299">
        <v>70</v>
      </c>
      <c r="D97" s="300"/>
      <c r="E97" s="299">
        <v>73</v>
      </c>
      <c r="F97" s="208">
        <v>77</v>
      </c>
      <c r="G97" s="208">
        <v>76</v>
      </c>
      <c r="H97" s="208">
        <v>78</v>
      </c>
      <c r="I97" s="208">
        <v>79</v>
      </c>
      <c r="J97" s="208">
        <v>77</v>
      </c>
      <c r="K97" s="209">
        <v>77</v>
      </c>
      <c r="L97" s="209">
        <v>74</v>
      </c>
      <c r="M97" s="209">
        <v>77</v>
      </c>
      <c r="O97" s="247"/>
      <c r="P97" s="247"/>
      <c r="Q97" s="247"/>
      <c r="R97" s="247"/>
      <c r="S97" s="247"/>
      <c r="T97" s="247"/>
      <c r="U97" s="247"/>
      <c r="V97" s="247"/>
      <c r="W97" s="247"/>
      <c r="X97" s="247"/>
      <c r="Y97" s="247"/>
      <c r="Z97" s="247"/>
      <c r="AD97" s="127"/>
    </row>
    <row r="98" spans="1:30" ht="9.75" customHeight="1">
      <c r="A98" s="337">
        <v>44896</v>
      </c>
      <c r="B98" s="209"/>
      <c r="C98" s="299">
        <v>69</v>
      </c>
      <c r="D98" s="300"/>
      <c r="E98" s="299">
        <v>68</v>
      </c>
      <c r="F98" s="208">
        <v>80</v>
      </c>
      <c r="G98" s="208">
        <v>81</v>
      </c>
      <c r="H98" s="208">
        <v>78</v>
      </c>
      <c r="I98" s="208">
        <v>75</v>
      </c>
      <c r="J98" s="208">
        <v>79</v>
      </c>
      <c r="K98" s="209">
        <v>78</v>
      </c>
      <c r="L98" s="209">
        <v>75</v>
      </c>
      <c r="M98" s="209">
        <v>75</v>
      </c>
      <c r="O98" s="247"/>
      <c r="P98" s="247"/>
      <c r="Q98" s="247"/>
      <c r="R98" s="247"/>
      <c r="S98" s="247"/>
      <c r="T98" s="247"/>
      <c r="U98" s="247"/>
      <c r="V98" s="247"/>
      <c r="W98" s="247"/>
      <c r="X98" s="247"/>
      <c r="Y98" s="247"/>
      <c r="Z98" s="247"/>
      <c r="AD98" s="127"/>
    </row>
    <row r="99" spans="1:30" ht="9.75" customHeight="1">
      <c r="A99" s="337">
        <v>44927</v>
      </c>
      <c r="B99" s="209"/>
      <c r="C99" s="299">
        <v>64</v>
      </c>
      <c r="D99" s="300"/>
      <c r="E99" s="299">
        <v>62</v>
      </c>
      <c r="F99" s="208">
        <v>78</v>
      </c>
      <c r="G99" s="208">
        <v>72</v>
      </c>
      <c r="H99" s="208">
        <v>78</v>
      </c>
      <c r="I99" s="208">
        <v>74</v>
      </c>
      <c r="J99" s="208">
        <v>77</v>
      </c>
      <c r="K99" s="209">
        <v>74</v>
      </c>
      <c r="L99" s="209">
        <v>75</v>
      </c>
      <c r="M99" s="209">
        <v>77</v>
      </c>
      <c r="O99" s="247"/>
      <c r="P99" s="247"/>
      <c r="Q99" s="247"/>
      <c r="R99" s="247"/>
      <c r="S99" s="247"/>
      <c r="T99" s="247"/>
      <c r="U99" s="247"/>
      <c r="V99" s="247"/>
      <c r="W99" s="247"/>
      <c r="X99" s="247"/>
      <c r="Y99" s="247"/>
      <c r="Z99" s="247"/>
      <c r="AD99" s="127"/>
    </row>
    <row r="100" spans="1:30" ht="9.75" customHeight="1">
      <c r="A100" s="337">
        <v>44958</v>
      </c>
      <c r="B100" s="209"/>
      <c r="C100" s="299">
        <v>61</v>
      </c>
      <c r="D100" s="300"/>
      <c r="E100" s="299">
        <v>67</v>
      </c>
      <c r="F100" s="208">
        <v>72</v>
      </c>
      <c r="G100" s="208">
        <v>79</v>
      </c>
      <c r="H100" s="208">
        <v>73</v>
      </c>
      <c r="I100" s="208">
        <v>80</v>
      </c>
      <c r="J100" s="208">
        <v>72</v>
      </c>
      <c r="K100" s="209">
        <v>76</v>
      </c>
      <c r="L100" s="209">
        <v>76</v>
      </c>
      <c r="M100" s="209">
        <v>78</v>
      </c>
      <c r="O100" s="247"/>
      <c r="P100" s="247"/>
      <c r="Q100" s="247"/>
      <c r="R100" s="247"/>
      <c r="S100" s="247"/>
      <c r="T100" s="247"/>
      <c r="U100" s="247"/>
      <c r="V100" s="247"/>
      <c r="W100" s="247"/>
      <c r="X100" s="247"/>
      <c r="Y100" s="247"/>
      <c r="Z100" s="247"/>
      <c r="AD100" s="127"/>
    </row>
    <row r="101" spans="1:30" ht="9.75" customHeight="1">
      <c r="A101" s="337">
        <v>44986</v>
      </c>
      <c r="B101" s="209"/>
      <c r="C101" s="299">
        <v>68</v>
      </c>
      <c r="D101" s="300"/>
      <c r="E101" s="299">
        <v>70</v>
      </c>
      <c r="F101" s="208">
        <v>78</v>
      </c>
      <c r="G101" s="208">
        <v>75</v>
      </c>
      <c r="H101" s="208">
        <v>79</v>
      </c>
      <c r="I101" s="208">
        <v>77</v>
      </c>
      <c r="J101" s="208">
        <v>76</v>
      </c>
      <c r="K101" s="209">
        <v>75</v>
      </c>
      <c r="L101" s="209">
        <v>75</v>
      </c>
      <c r="M101" s="209">
        <v>75</v>
      </c>
      <c r="O101" s="247"/>
      <c r="P101" s="247"/>
      <c r="Q101" s="247"/>
      <c r="R101" s="247"/>
      <c r="S101" s="247"/>
      <c r="T101" s="247"/>
      <c r="U101" s="247"/>
      <c r="V101" s="247"/>
      <c r="W101" s="247"/>
      <c r="X101" s="247"/>
      <c r="Y101" s="247"/>
      <c r="Z101" s="247"/>
      <c r="AD101" s="127"/>
    </row>
    <row r="102" spans="1:30" ht="9.75" customHeight="1">
      <c r="A102" s="337">
        <v>45017</v>
      </c>
      <c r="B102" s="209"/>
      <c r="C102" s="299">
        <v>72</v>
      </c>
      <c r="D102" s="300"/>
      <c r="E102" s="299">
        <v>73</v>
      </c>
      <c r="F102" s="208">
        <v>81</v>
      </c>
      <c r="G102" s="208">
        <v>81</v>
      </c>
      <c r="H102" s="208">
        <v>80</v>
      </c>
      <c r="I102" s="208">
        <v>80</v>
      </c>
      <c r="J102" s="208">
        <v>78</v>
      </c>
      <c r="K102" s="209">
        <v>79</v>
      </c>
      <c r="L102" s="209">
        <v>78</v>
      </c>
      <c r="M102" s="209">
        <v>79</v>
      </c>
      <c r="O102" s="247"/>
      <c r="P102" s="247"/>
      <c r="Q102" s="247"/>
      <c r="R102" s="247"/>
      <c r="S102" s="247"/>
      <c r="T102" s="247"/>
      <c r="U102" s="247"/>
      <c r="V102" s="247"/>
      <c r="W102" s="247"/>
      <c r="X102" s="247"/>
      <c r="Y102" s="247"/>
      <c r="Z102" s="247"/>
      <c r="AD102" s="127"/>
    </row>
    <row r="103" spans="1:30" ht="9.75" customHeight="1">
      <c r="A103" s="337">
        <v>45047</v>
      </c>
      <c r="B103" s="209"/>
      <c r="C103" s="299">
        <v>74</v>
      </c>
      <c r="D103" s="300"/>
      <c r="E103" s="299">
        <v>71</v>
      </c>
      <c r="F103" s="208">
        <v>82</v>
      </c>
      <c r="G103" s="208">
        <v>80</v>
      </c>
      <c r="H103" s="208">
        <v>81</v>
      </c>
      <c r="I103" s="208">
        <v>81</v>
      </c>
      <c r="J103" s="208">
        <v>78</v>
      </c>
      <c r="K103" s="209">
        <v>78</v>
      </c>
      <c r="L103" s="209">
        <v>76</v>
      </c>
      <c r="M103" s="209">
        <v>77</v>
      </c>
      <c r="O103" s="247"/>
      <c r="P103" s="247"/>
      <c r="Q103" s="247"/>
      <c r="R103" s="247"/>
      <c r="S103" s="247"/>
      <c r="T103" s="247"/>
      <c r="U103" s="247"/>
      <c r="V103" s="247"/>
      <c r="W103" s="247"/>
      <c r="X103" s="247"/>
      <c r="Y103" s="247"/>
      <c r="Z103" s="247"/>
      <c r="AD103" s="127"/>
    </row>
    <row r="104" spans="1:30" ht="9.75" customHeight="1">
      <c r="A104" s="337">
        <f t="shared" ref="A104:A138" si="4">EDATE(A103,1)</f>
        <v>45078</v>
      </c>
      <c r="B104" s="209"/>
      <c r="C104" s="299">
        <v>70</v>
      </c>
      <c r="D104" s="300"/>
      <c r="E104" s="299">
        <v>71</v>
      </c>
      <c r="F104" s="208">
        <v>75</v>
      </c>
      <c r="G104" s="208">
        <v>80</v>
      </c>
      <c r="H104" s="208">
        <v>78</v>
      </c>
      <c r="I104" s="208">
        <v>80</v>
      </c>
      <c r="J104" s="208">
        <v>76</v>
      </c>
      <c r="K104" s="209">
        <v>77</v>
      </c>
      <c r="L104" s="209">
        <v>78</v>
      </c>
      <c r="M104" s="209">
        <v>80</v>
      </c>
      <c r="O104" s="247"/>
      <c r="P104" s="247"/>
      <c r="Q104" s="247"/>
      <c r="R104" s="247"/>
      <c r="S104" s="247"/>
      <c r="T104" s="247"/>
      <c r="U104" s="247"/>
      <c r="V104" s="247"/>
      <c r="W104" s="247"/>
      <c r="X104" s="247"/>
      <c r="Y104" s="247"/>
      <c r="Z104" s="247"/>
      <c r="AD104" s="127"/>
    </row>
    <row r="105" spans="1:30" ht="9.75" customHeight="1">
      <c r="A105" s="337">
        <f t="shared" si="4"/>
        <v>45108</v>
      </c>
      <c r="B105" s="209"/>
      <c r="C105" s="299">
        <v>73</v>
      </c>
      <c r="D105" s="300"/>
      <c r="E105" s="299">
        <v>74</v>
      </c>
      <c r="F105" s="208">
        <v>75</v>
      </c>
      <c r="G105" s="208">
        <v>77</v>
      </c>
      <c r="H105" s="208">
        <v>81</v>
      </c>
      <c r="I105" s="208">
        <v>82</v>
      </c>
      <c r="J105" s="208">
        <v>81</v>
      </c>
      <c r="K105" s="209">
        <v>83</v>
      </c>
      <c r="L105" s="209">
        <v>74</v>
      </c>
      <c r="M105" s="209">
        <v>76</v>
      </c>
      <c r="O105" s="247"/>
      <c r="P105" s="247"/>
      <c r="Q105" s="247"/>
      <c r="R105" s="247"/>
      <c r="S105" s="247"/>
      <c r="T105" s="247"/>
      <c r="U105" s="247"/>
      <c r="V105" s="247"/>
      <c r="W105" s="247"/>
      <c r="X105" s="247"/>
      <c r="Y105" s="247"/>
      <c r="Z105" s="247"/>
      <c r="AD105" s="127"/>
    </row>
    <row r="106" spans="1:30" ht="9.75" customHeight="1">
      <c r="A106" s="337">
        <f t="shared" si="4"/>
        <v>45139</v>
      </c>
      <c r="B106" s="209"/>
      <c r="C106" s="299">
        <v>71</v>
      </c>
      <c r="D106" s="300"/>
      <c r="E106" s="299">
        <v>72</v>
      </c>
      <c r="F106" s="208">
        <v>77</v>
      </c>
      <c r="G106" s="208">
        <v>75</v>
      </c>
      <c r="H106" s="208">
        <v>81</v>
      </c>
      <c r="I106" s="208">
        <v>83</v>
      </c>
      <c r="J106" s="208">
        <v>80</v>
      </c>
      <c r="K106" s="209">
        <v>83</v>
      </c>
      <c r="L106" s="209">
        <v>77</v>
      </c>
      <c r="M106" s="209">
        <v>80</v>
      </c>
      <c r="O106" s="247"/>
      <c r="P106" s="247"/>
      <c r="Q106" s="247"/>
      <c r="R106" s="247"/>
      <c r="S106" s="247"/>
      <c r="T106" s="247"/>
      <c r="U106" s="247"/>
      <c r="V106" s="247"/>
      <c r="W106" s="247"/>
      <c r="X106" s="247"/>
      <c r="Y106" s="247"/>
      <c r="Z106" s="247"/>
      <c r="AD106" s="127"/>
    </row>
    <row r="107" spans="1:30" ht="9.75" customHeight="1">
      <c r="A107" s="337">
        <f t="shared" si="4"/>
        <v>45170</v>
      </c>
      <c r="B107" s="209"/>
      <c r="C107" s="299">
        <v>72</v>
      </c>
      <c r="D107" s="300"/>
      <c r="E107" s="299">
        <v>73</v>
      </c>
      <c r="F107" s="208">
        <v>79</v>
      </c>
      <c r="G107" s="208">
        <v>77</v>
      </c>
      <c r="H107" s="208">
        <v>78</v>
      </c>
      <c r="I107" s="208">
        <v>81</v>
      </c>
      <c r="J107" s="208">
        <v>79</v>
      </c>
      <c r="K107" s="209">
        <v>80</v>
      </c>
      <c r="L107" s="209">
        <v>77</v>
      </c>
      <c r="M107" s="209">
        <v>79</v>
      </c>
      <c r="O107" s="247"/>
      <c r="P107" s="247"/>
      <c r="Q107" s="247"/>
      <c r="R107" s="247"/>
      <c r="S107" s="247"/>
      <c r="T107" s="247"/>
      <c r="U107" s="247"/>
      <c r="V107" s="247"/>
      <c r="W107" s="247"/>
      <c r="X107" s="247"/>
      <c r="Y107" s="247"/>
      <c r="Z107" s="247"/>
      <c r="AD107" s="127"/>
    </row>
    <row r="108" spans="1:30" ht="9.75" customHeight="1">
      <c r="A108" s="337">
        <f t="shared" si="4"/>
        <v>45200</v>
      </c>
      <c r="B108" s="209"/>
      <c r="C108" s="299">
        <v>77</v>
      </c>
      <c r="D108" s="300"/>
      <c r="E108" s="299">
        <v>76</v>
      </c>
      <c r="F108" s="208">
        <v>77</v>
      </c>
      <c r="G108" s="208">
        <v>80</v>
      </c>
      <c r="H108" s="208">
        <v>82</v>
      </c>
      <c r="I108" s="208">
        <v>80</v>
      </c>
      <c r="J108" s="208">
        <v>83</v>
      </c>
      <c r="K108" s="209">
        <v>82</v>
      </c>
      <c r="L108" s="209">
        <v>79</v>
      </c>
      <c r="M108" s="209">
        <v>82</v>
      </c>
      <c r="O108" s="247"/>
      <c r="P108" s="247"/>
      <c r="Q108" s="247"/>
      <c r="R108" s="247"/>
      <c r="S108" s="247"/>
      <c r="T108" s="247"/>
      <c r="U108" s="247"/>
      <c r="V108" s="247"/>
      <c r="W108" s="247"/>
      <c r="X108" s="247"/>
      <c r="Y108" s="247"/>
      <c r="Z108" s="247"/>
      <c r="AD108" s="127"/>
    </row>
    <row r="109" spans="1:30" ht="10.5" customHeight="1">
      <c r="A109" s="337">
        <f t="shared" si="4"/>
        <v>45231</v>
      </c>
      <c r="B109" s="209"/>
      <c r="C109" s="299">
        <v>67</v>
      </c>
      <c r="D109" s="300"/>
      <c r="E109" s="299">
        <v>68</v>
      </c>
      <c r="F109" s="208">
        <v>74</v>
      </c>
      <c r="G109" s="208">
        <v>74</v>
      </c>
      <c r="H109" s="208">
        <v>78</v>
      </c>
      <c r="I109" s="208">
        <v>77</v>
      </c>
      <c r="J109" s="208">
        <v>76</v>
      </c>
      <c r="K109" s="209">
        <v>74</v>
      </c>
      <c r="L109" s="209">
        <v>78</v>
      </c>
      <c r="M109" s="209">
        <v>82</v>
      </c>
      <c r="O109" s="247"/>
      <c r="P109" s="247"/>
      <c r="Q109" s="247"/>
      <c r="R109" s="247"/>
      <c r="S109" s="247"/>
      <c r="T109" s="247"/>
      <c r="U109" s="247"/>
      <c r="V109" s="247"/>
      <c r="W109" s="247"/>
      <c r="X109" s="247"/>
      <c r="Y109" s="247"/>
      <c r="Z109" s="247"/>
      <c r="AD109" s="127"/>
    </row>
    <row r="110" spans="1:30" ht="9.75" customHeight="1">
      <c r="A110" s="337">
        <f t="shared" si="4"/>
        <v>45261</v>
      </c>
      <c r="B110" s="209"/>
      <c r="C110" s="299">
        <v>65</v>
      </c>
      <c r="D110" s="300"/>
      <c r="E110" s="299">
        <v>67</v>
      </c>
      <c r="F110" s="208">
        <v>74</v>
      </c>
      <c r="G110" s="208">
        <v>74</v>
      </c>
      <c r="H110" s="208">
        <v>75</v>
      </c>
      <c r="I110" s="208">
        <v>76</v>
      </c>
      <c r="J110" s="208">
        <v>76</v>
      </c>
      <c r="K110" s="209">
        <v>78</v>
      </c>
      <c r="L110" s="209">
        <v>79</v>
      </c>
      <c r="M110" s="209">
        <v>79</v>
      </c>
      <c r="O110" s="247"/>
      <c r="P110" s="247"/>
      <c r="Q110" s="247"/>
      <c r="R110" s="247"/>
      <c r="S110" s="247"/>
      <c r="T110" s="247"/>
      <c r="U110" s="247"/>
      <c r="V110" s="247"/>
      <c r="W110" s="247"/>
      <c r="X110" s="247"/>
      <c r="Y110" s="247"/>
      <c r="Z110" s="247"/>
      <c r="AD110" s="127"/>
    </row>
    <row r="111" spans="1:30" ht="9.75" customHeight="1">
      <c r="A111" s="337">
        <f t="shared" si="4"/>
        <v>45292</v>
      </c>
      <c r="B111" s="209"/>
      <c r="C111" s="299">
        <v>65</v>
      </c>
      <c r="D111" s="300"/>
      <c r="E111" s="299">
        <v>63</v>
      </c>
      <c r="F111" s="208">
        <v>70</v>
      </c>
      <c r="G111" s="208">
        <v>70</v>
      </c>
      <c r="H111" s="208">
        <v>73</v>
      </c>
      <c r="I111" s="208">
        <v>73</v>
      </c>
      <c r="J111" s="208">
        <v>71</v>
      </c>
      <c r="K111" s="209">
        <v>69</v>
      </c>
      <c r="L111" s="209">
        <v>76</v>
      </c>
      <c r="M111" s="209">
        <v>78</v>
      </c>
      <c r="O111" s="247"/>
      <c r="P111" s="247"/>
      <c r="Q111" s="247"/>
      <c r="R111" s="247"/>
      <c r="S111" s="247"/>
      <c r="T111" s="247"/>
      <c r="U111" s="247"/>
      <c r="V111" s="247"/>
      <c r="W111" s="247"/>
      <c r="X111" s="247"/>
      <c r="Y111" s="247"/>
      <c r="Z111" s="247"/>
      <c r="AD111" s="127"/>
    </row>
    <row r="112" spans="1:30" ht="9.75" customHeight="1">
      <c r="A112" s="337">
        <f t="shared" si="4"/>
        <v>45323</v>
      </c>
      <c r="B112" s="209"/>
      <c r="C112" s="299">
        <v>60</v>
      </c>
      <c r="D112" s="300"/>
      <c r="E112" s="299">
        <v>66</v>
      </c>
      <c r="F112" s="208">
        <v>71</v>
      </c>
      <c r="G112" s="208">
        <v>69</v>
      </c>
      <c r="H112" s="208">
        <v>72</v>
      </c>
      <c r="I112" s="208">
        <v>75</v>
      </c>
      <c r="J112" s="208">
        <v>70</v>
      </c>
      <c r="K112" s="209">
        <v>71</v>
      </c>
      <c r="L112" s="209">
        <v>78</v>
      </c>
      <c r="M112" s="209">
        <v>79</v>
      </c>
      <c r="O112" s="247"/>
      <c r="P112" s="247"/>
      <c r="Q112" s="247"/>
      <c r="R112" s="247"/>
      <c r="S112" s="247"/>
      <c r="T112" s="247"/>
      <c r="U112" s="247"/>
      <c r="V112" s="247"/>
      <c r="W112" s="247"/>
      <c r="X112" s="247"/>
      <c r="Y112" s="247"/>
      <c r="Z112" s="247"/>
      <c r="AD112" s="127"/>
    </row>
    <row r="113" spans="1:30" ht="9.75" customHeight="1">
      <c r="A113" s="337">
        <f t="shared" si="4"/>
        <v>45352</v>
      </c>
      <c r="B113" s="209"/>
      <c r="C113" s="299">
        <v>64</v>
      </c>
      <c r="D113" s="300"/>
      <c r="E113" s="299">
        <v>62</v>
      </c>
      <c r="F113" s="208">
        <v>69</v>
      </c>
      <c r="G113" s="208">
        <v>72</v>
      </c>
      <c r="H113" s="208">
        <v>76</v>
      </c>
      <c r="I113" s="208">
        <v>73</v>
      </c>
      <c r="J113" s="208">
        <v>74</v>
      </c>
      <c r="K113" s="209">
        <v>74</v>
      </c>
      <c r="L113" s="209">
        <v>80</v>
      </c>
      <c r="M113" s="209">
        <v>83</v>
      </c>
      <c r="O113" s="410"/>
      <c r="AD113" s="127"/>
    </row>
    <row r="114" spans="1:30" ht="9.75" customHeight="1">
      <c r="A114" s="337">
        <f t="shared" si="4"/>
        <v>45383</v>
      </c>
      <c r="B114" s="209"/>
      <c r="C114" s="299">
        <v>64</v>
      </c>
      <c r="D114" s="300"/>
      <c r="E114" s="299">
        <v>67</v>
      </c>
      <c r="F114" s="208">
        <v>71</v>
      </c>
      <c r="G114" s="208">
        <v>73</v>
      </c>
      <c r="H114" s="208">
        <v>75</v>
      </c>
      <c r="I114" s="208">
        <v>77</v>
      </c>
      <c r="J114" s="208">
        <v>74</v>
      </c>
      <c r="K114" s="209">
        <v>75</v>
      </c>
      <c r="L114" s="209">
        <v>79</v>
      </c>
      <c r="M114" s="209">
        <v>81</v>
      </c>
      <c r="O114" s="410"/>
      <c r="AD114" s="127"/>
    </row>
    <row r="115" spans="1:30" ht="9.75" customHeight="1">
      <c r="A115" s="337">
        <f t="shared" si="4"/>
        <v>45413</v>
      </c>
      <c r="B115" s="209"/>
      <c r="C115" s="299">
        <v>67</v>
      </c>
      <c r="D115" s="300"/>
      <c r="E115" s="299">
        <v>67</v>
      </c>
      <c r="F115" s="208">
        <v>70</v>
      </c>
      <c r="G115" s="208">
        <v>73</v>
      </c>
      <c r="H115" s="208">
        <v>72</v>
      </c>
      <c r="I115" s="208">
        <v>71</v>
      </c>
      <c r="J115" s="208">
        <v>73</v>
      </c>
      <c r="K115" s="209">
        <v>71</v>
      </c>
      <c r="L115" s="209">
        <v>79</v>
      </c>
      <c r="M115" s="209">
        <v>82</v>
      </c>
      <c r="O115" s="410"/>
      <c r="AD115" s="127"/>
    </row>
    <row r="116" spans="1:30" ht="9.75" customHeight="1">
      <c r="A116" s="337">
        <f t="shared" si="4"/>
        <v>45444</v>
      </c>
      <c r="B116" s="209"/>
      <c r="C116" s="299">
        <v>62</v>
      </c>
      <c r="D116" s="300"/>
      <c r="E116" s="299">
        <v>62</v>
      </c>
      <c r="F116" s="208">
        <v>72</v>
      </c>
      <c r="G116" s="208">
        <v>72</v>
      </c>
      <c r="H116" s="208">
        <v>75</v>
      </c>
      <c r="I116" s="208">
        <v>71</v>
      </c>
      <c r="J116" s="208">
        <v>75</v>
      </c>
      <c r="K116" s="209">
        <v>75</v>
      </c>
      <c r="L116" s="209">
        <v>76</v>
      </c>
      <c r="M116" s="209">
        <v>77</v>
      </c>
      <c r="O116" s="410"/>
      <c r="AD116" s="127"/>
    </row>
    <row r="117" spans="1:30" ht="9.75" customHeight="1">
      <c r="A117" s="337">
        <f t="shared" si="4"/>
        <v>45474</v>
      </c>
      <c r="B117" s="209"/>
      <c r="C117" s="299">
        <v>59</v>
      </c>
      <c r="D117" s="300"/>
      <c r="E117" s="299">
        <v>60</v>
      </c>
      <c r="F117" s="208">
        <v>71</v>
      </c>
      <c r="G117" s="208">
        <v>71</v>
      </c>
      <c r="H117" s="208">
        <v>73</v>
      </c>
      <c r="I117" s="208">
        <v>73</v>
      </c>
      <c r="J117" s="208">
        <v>72</v>
      </c>
      <c r="K117" s="209">
        <v>73</v>
      </c>
      <c r="L117" s="209">
        <v>75</v>
      </c>
      <c r="M117" s="209">
        <v>76</v>
      </c>
      <c r="O117" s="410"/>
      <c r="AD117" s="127"/>
    </row>
    <row r="118" spans="1:30" ht="9.75" customHeight="1">
      <c r="A118" s="337">
        <f t="shared" si="4"/>
        <v>45505</v>
      </c>
      <c r="B118" s="209"/>
      <c r="C118" s="299">
        <v>59</v>
      </c>
      <c r="D118" s="300"/>
      <c r="E118" s="299">
        <v>59</v>
      </c>
      <c r="F118" s="208">
        <v>67</v>
      </c>
      <c r="G118" s="208">
        <v>66</v>
      </c>
      <c r="H118" s="208">
        <v>71</v>
      </c>
      <c r="I118" s="208">
        <v>72</v>
      </c>
      <c r="J118" s="208">
        <v>74</v>
      </c>
      <c r="K118" s="209">
        <v>73</v>
      </c>
      <c r="L118" s="209">
        <v>77</v>
      </c>
      <c r="M118" s="209">
        <v>81</v>
      </c>
      <c r="O118" s="410"/>
      <c r="AD118" s="127"/>
    </row>
    <row r="119" spans="1:30" ht="9.75" customHeight="1">
      <c r="A119" s="337">
        <f t="shared" si="4"/>
        <v>45536</v>
      </c>
      <c r="B119" s="209"/>
      <c r="C119" s="299">
        <v>60</v>
      </c>
      <c r="D119" s="300"/>
      <c r="E119" s="299">
        <v>64</v>
      </c>
      <c r="F119" s="208">
        <v>75</v>
      </c>
      <c r="G119" s="208">
        <v>77</v>
      </c>
      <c r="H119" s="208">
        <v>74</v>
      </c>
      <c r="I119" s="208">
        <v>80</v>
      </c>
      <c r="J119" s="208">
        <v>76</v>
      </c>
      <c r="K119" s="209">
        <v>80</v>
      </c>
      <c r="L119" s="209">
        <v>76</v>
      </c>
      <c r="M119" s="209">
        <v>79</v>
      </c>
      <c r="O119" s="410"/>
      <c r="AD119" s="127"/>
    </row>
    <row r="120" spans="1:30" ht="9.75" customHeight="1">
      <c r="A120" s="337">
        <f t="shared" si="4"/>
        <v>45566</v>
      </c>
      <c r="B120" s="209"/>
      <c r="C120" s="299">
        <v>62</v>
      </c>
      <c r="D120" s="300"/>
      <c r="E120" s="299">
        <v>66</v>
      </c>
      <c r="F120" s="208">
        <v>73</v>
      </c>
      <c r="G120" s="208">
        <v>70</v>
      </c>
      <c r="H120" s="208">
        <v>77</v>
      </c>
      <c r="I120" s="208">
        <v>79</v>
      </c>
      <c r="J120" s="208">
        <v>75</v>
      </c>
      <c r="K120" s="209">
        <v>77</v>
      </c>
      <c r="L120" s="209">
        <v>76</v>
      </c>
      <c r="M120" s="209">
        <v>78</v>
      </c>
      <c r="O120" s="410"/>
      <c r="AD120" s="127"/>
    </row>
    <row r="121" spans="1:30" ht="9.75" customHeight="1">
      <c r="A121" s="337">
        <f t="shared" si="4"/>
        <v>45597</v>
      </c>
      <c r="B121" s="209"/>
      <c r="C121" s="299">
        <v>61</v>
      </c>
      <c r="D121" s="300"/>
      <c r="E121" s="299">
        <v>59</v>
      </c>
      <c r="F121" s="208">
        <v>69</v>
      </c>
      <c r="G121" s="208">
        <v>71</v>
      </c>
      <c r="H121" s="208">
        <v>72</v>
      </c>
      <c r="I121" s="208">
        <v>70</v>
      </c>
      <c r="J121" s="208">
        <v>71</v>
      </c>
      <c r="K121" s="209">
        <v>70</v>
      </c>
      <c r="L121" s="209">
        <v>75</v>
      </c>
      <c r="M121" s="209">
        <v>75</v>
      </c>
      <c r="O121" s="410"/>
      <c r="AD121" s="127"/>
    </row>
    <row r="122" spans="1:30" ht="9.75" customHeight="1">
      <c r="A122" s="337">
        <f t="shared" si="4"/>
        <v>45627</v>
      </c>
      <c r="B122" s="209"/>
      <c r="C122" s="299">
        <v>51</v>
      </c>
      <c r="D122" s="300"/>
      <c r="E122" s="299">
        <v>53</v>
      </c>
      <c r="F122" s="208">
        <v>62</v>
      </c>
      <c r="G122" s="208">
        <v>60</v>
      </c>
      <c r="H122" s="208">
        <v>65</v>
      </c>
      <c r="I122" s="208">
        <v>66</v>
      </c>
      <c r="J122" s="208">
        <v>65</v>
      </c>
      <c r="K122" s="209">
        <v>66</v>
      </c>
      <c r="L122" s="209">
        <v>76</v>
      </c>
      <c r="M122" s="209">
        <v>77</v>
      </c>
      <c r="O122" s="410"/>
      <c r="AD122" s="127"/>
    </row>
    <row r="123" spans="1:30" ht="9.75" customHeight="1">
      <c r="A123" s="337">
        <f t="shared" si="4"/>
        <v>45658</v>
      </c>
      <c r="B123" s="209"/>
      <c r="C123" s="299">
        <v>50</v>
      </c>
      <c r="D123" s="300"/>
      <c r="E123" s="299">
        <v>51</v>
      </c>
      <c r="F123" s="208">
        <v>62</v>
      </c>
      <c r="G123" s="208">
        <v>63</v>
      </c>
      <c r="H123" s="208">
        <v>66</v>
      </c>
      <c r="I123" s="208">
        <v>65</v>
      </c>
      <c r="J123" s="208">
        <v>66</v>
      </c>
      <c r="K123" s="209">
        <v>64</v>
      </c>
      <c r="L123" s="209">
        <v>74</v>
      </c>
      <c r="M123" s="209">
        <v>74</v>
      </c>
      <c r="O123" s="247"/>
      <c r="P123" s="247"/>
      <c r="Q123" s="247"/>
      <c r="R123" s="247"/>
      <c r="S123" s="247"/>
      <c r="T123" s="247"/>
      <c r="U123" s="247"/>
      <c r="V123" s="247"/>
      <c r="W123" s="247"/>
      <c r="X123" s="247"/>
      <c r="Y123" s="247"/>
      <c r="Z123" s="247"/>
      <c r="AD123" s="127"/>
    </row>
    <row r="124" spans="1:30" ht="9.75" customHeight="1">
      <c r="A124" s="337">
        <f t="shared" si="4"/>
        <v>45689</v>
      </c>
      <c r="B124" s="209"/>
      <c r="C124" s="299">
        <v>52</v>
      </c>
      <c r="D124" s="300"/>
      <c r="E124" s="299">
        <v>52</v>
      </c>
      <c r="F124" s="208">
        <v>66</v>
      </c>
      <c r="G124" s="208">
        <v>65</v>
      </c>
      <c r="H124" s="208">
        <v>65</v>
      </c>
      <c r="I124" s="208">
        <v>69</v>
      </c>
      <c r="J124" s="208">
        <v>69</v>
      </c>
      <c r="K124" s="209">
        <v>69</v>
      </c>
      <c r="L124" s="209">
        <v>73</v>
      </c>
      <c r="M124" s="209">
        <v>73</v>
      </c>
      <c r="O124" s="247"/>
      <c r="P124" s="247"/>
      <c r="Q124" s="247"/>
      <c r="R124" s="247"/>
      <c r="S124" s="247"/>
      <c r="T124" s="247"/>
      <c r="U124" s="247"/>
      <c r="V124" s="247"/>
      <c r="W124" s="247"/>
      <c r="X124" s="247"/>
      <c r="Y124" s="247"/>
      <c r="Z124" s="247"/>
      <c r="AD124" s="127"/>
    </row>
    <row r="125" spans="1:30" s="154" customFormat="1" ht="9.75" customHeight="1">
      <c r="A125" s="337">
        <f t="shared" si="4"/>
        <v>45717</v>
      </c>
      <c r="B125" s="209"/>
      <c r="C125" s="299">
        <v>52</v>
      </c>
      <c r="D125" s="300"/>
      <c r="E125" s="299">
        <v>55</v>
      </c>
      <c r="F125" s="208">
        <v>71</v>
      </c>
      <c r="G125" s="208">
        <v>67</v>
      </c>
      <c r="H125" s="208">
        <v>72</v>
      </c>
      <c r="I125" s="208">
        <v>70</v>
      </c>
      <c r="J125" s="208">
        <v>71</v>
      </c>
      <c r="K125" s="208">
        <v>69</v>
      </c>
      <c r="L125" s="208">
        <v>79</v>
      </c>
      <c r="M125" s="208">
        <v>80</v>
      </c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4"/>
      <c r="Y125" s="14"/>
    </row>
    <row r="126" spans="1:30" ht="9.75" customHeight="1">
      <c r="A126" s="337">
        <f t="shared" si="4"/>
        <v>45748</v>
      </c>
      <c r="B126" s="209"/>
      <c r="C126" s="299">
        <v>50</v>
      </c>
      <c r="D126" s="300"/>
      <c r="E126" s="299">
        <v>52</v>
      </c>
      <c r="F126" s="208">
        <v>63</v>
      </c>
      <c r="G126" s="208">
        <v>66</v>
      </c>
      <c r="H126" s="208">
        <v>68</v>
      </c>
      <c r="I126" s="208">
        <v>67</v>
      </c>
      <c r="J126" s="208">
        <v>69</v>
      </c>
      <c r="K126" s="209">
        <v>69</v>
      </c>
      <c r="L126" s="209">
        <v>83</v>
      </c>
      <c r="M126" s="209">
        <v>83</v>
      </c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217"/>
      <c r="Y126" s="217"/>
    </row>
    <row r="127" spans="1:30" ht="11.25" customHeight="1">
      <c r="A127" s="337">
        <f t="shared" si="4"/>
        <v>45778</v>
      </c>
      <c r="B127" s="209"/>
      <c r="C127" s="299">
        <v>61</v>
      </c>
      <c r="D127" s="300"/>
      <c r="E127" s="299">
        <v>56</v>
      </c>
      <c r="F127" s="208">
        <v>67</v>
      </c>
      <c r="G127" s="208">
        <v>66</v>
      </c>
      <c r="H127" s="208">
        <v>71</v>
      </c>
      <c r="I127" s="208">
        <v>69</v>
      </c>
      <c r="J127" s="208">
        <v>70</v>
      </c>
      <c r="K127" s="209">
        <v>71</v>
      </c>
      <c r="L127" s="209">
        <v>81</v>
      </c>
      <c r="M127" s="209">
        <v>79</v>
      </c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</row>
    <row r="128" spans="1:30" ht="11.25" customHeight="1">
      <c r="A128" s="384">
        <f t="shared" si="4"/>
        <v>45809</v>
      </c>
      <c r="B128" s="300"/>
      <c r="C128" s="299">
        <v>57</v>
      </c>
      <c r="D128" s="300"/>
      <c r="E128" s="299">
        <v>56</v>
      </c>
      <c r="F128" s="208">
        <v>68</v>
      </c>
      <c r="G128" s="208">
        <v>69</v>
      </c>
      <c r="H128" s="208">
        <v>68</v>
      </c>
      <c r="I128" s="208">
        <v>69</v>
      </c>
      <c r="J128" s="208">
        <v>68</v>
      </c>
      <c r="K128" s="209">
        <v>70</v>
      </c>
      <c r="L128" s="209">
        <v>81</v>
      </c>
      <c r="M128" s="209">
        <v>80</v>
      </c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</row>
    <row r="129" spans="1:23" ht="11.25" customHeight="1">
      <c r="A129" s="384">
        <f t="shared" si="4"/>
        <v>45839</v>
      </c>
      <c r="B129" s="300"/>
      <c r="C129" s="299">
        <v>55</v>
      </c>
      <c r="D129" s="300"/>
      <c r="E129" s="299">
        <v>59</v>
      </c>
      <c r="F129" s="208">
        <v>69</v>
      </c>
      <c r="G129" s="208">
        <v>68</v>
      </c>
      <c r="H129" s="208">
        <v>69</v>
      </c>
      <c r="I129" s="208">
        <v>73</v>
      </c>
      <c r="J129" s="208">
        <v>69</v>
      </c>
      <c r="K129" s="209">
        <v>71</v>
      </c>
      <c r="L129" s="209">
        <v>76</v>
      </c>
      <c r="M129" s="209">
        <v>79</v>
      </c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</row>
    <row r="130" spans="1:23" ht="11.25" customHeight="1">
      <c r="A130" s="337">
        <f t="shared" si="4"/>
        <v>45870</v>
      </c>
      <c r="B130" s="209"/>
      <c r="C130" s="299">
        <v>60</v>
      </c>
      <c r="D130" s="300"/>
      <c r="E130" s="299">
        <v>61</v>
      </c>
      <c r="F130" s="208">
        <v>70</v>
      </c>
      <c r="G130" s="208">
        <v>70</v>
      </c>
      <c r="H130" s="208">
        <v>72</v>
      </c>
      <c r="I130" s="208">
        <v>73</v>
      </c>
      <c r="J130" s="208">
        <v>74</v>
      </c>
      <c r="K130" s="209">
        <v>72</v>
      </c>
      <c r="L130" s="209">
        <v>76</v>
      </c>
      <c r="M130" s="209">
        <v>76</v>
      </c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</row>
    <row r="131" spans="1:23" ht="11.25" customHeight="1">
      <c r="A131" s="337">
        <f t="shared" si="4"/>
        <v>45901</v>
      </c>
      <c r="B131" s="209"/>
      <c r="C131" s="299">
        <v>61</v>
      </c>
      <c r="D131" s="300"/>
      <c r="E131" s="299">
        <v>64</v>
      </c>
      <c r="F131" s="208">
        <v>71</v>
      </c>
      <c r="G131" s="208">
        <v>70</v>
      </c>
      <c r="H131" s="208">
        <v>69</v>
      </c>
      <c r="I131" s="208">
        <v>72</v>
      </c>
      <c r="J131" s="208">
        <v>72</v>
      </c>
      <c r="K131" s="209">
        <v>72</v>
      </c>
      <c r="L131" s="209">
        <v>76</v>
      </c>
      <c r="M131" s="209">
        <v>78</v>
      </c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</row>
    <row r="132" spans="1:23" ht="11.25" customHeight="1">
      <c r="A132" s="337">
        <f t="shared" si="4"/>
        <v>45931</v>
      </c>
      <c r="B132" s="209"/>
      <c r="C132" s="299">
        <v>60</v>
      </c>
      <c r="D132" s="300"/>
      <c r="E132" s="299">
        <v>62</v>
      </c>
      <c r="F132" s="208">
        <v>71</v>
      </c>
      <c r="G132" s="208">
        <v>76</v>
      </c>
      <c r="H132" s="208">
        <v>73</v>
      </c>
      <c r="I132" s="208">
        <v>77</v>
      </c>
      <c r="J132" s="208">
        <v>70</v>
      </c>
      <c r="K132" s="209">
        <v>73</v>
      </c>
      <c r="L132" s="209">
        <v>83</v>
      </c>
      <c r="M132" s="209">
        <v>84</v>
      </c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</row>
    <row r="133" spans="1:23" ht="11.25" customHeight="1">
      <c r="A133" s="337">
        <f t="shared" si="4"/>
        <v>45962</v>
      </c>
      <c r="B133" s="209"/>
      <c r="C133" s="299">
        <v>60</v>
      </c>
      <c r="D133" s="300"/>
      <c r="E133" s="299">
        <v>59</v>
      </c>
      <c r="F133" s="208">
        <v>73</v>
      </c>
      <c r="G133" s="208">
        <v>70</v>
      </c>
      <c r="H133" s="208">
        <v>74</v>
      </c>
      <c r="I133" s="208">
        <v>75</v>
      </c>
      <c r="J133" s="208">
        <v>72</v>
      </c>
      <c r="K133" s="209">
        <v>72</v>
      </c>
      <c r="L133" s="209">
        <v>81</v>
      </c>
      <c r="M133" s="209">
        <v>82</v>
      </c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</row>
    <row r="134" spans="1:23" ht="11.25" customHeight="1">
      <c r="A134" s="337">
        <f t="shared" si="4"/>
        <v>45992</v>
      </c>
      <c r="B134" s="209"/>
      <c r="C134" s="299">
        <v>60</v>
      </c>
      <c r="D134" s="300"/>
      <c r="E134" s="299">
        <v>56</v>
      </c>
      <c r="F134" s="208">
        <v>68</v>
      </c>
      <c r="G134" s="208">
        <v>67</v>
      </c>
      <c r="H134" s="208">
        <v>75</v>
      </c>
      <c r="I134" s="208">
        <v>69</v>
      </c>
      <c r="J134" s="208">
        <v>70</v>
      </c>
      <c r="K134" s="209">
        <v>68</v>
      </c>
      <c r="L134" s="209">
        <v>80</v>
      </c>
      <c r="M134" s="209">
        <v>83</v>
      </c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</row>
    <row r="135" spans="1:23" ht="11.25" customHeight="1">
      <c r="A135" s="384">
        <f t="shared" si="4"/>
        <v>46023</v>
      </c>
      <c r="B135" s="300"/>
      <c r="C135" s="300">
        <v>59</v>
      </c>
      <c r="D135" s="300"/>
      <c r="E135" s="300">
        <v>56</v>
      </c>
      <c r="F135" s="300">
        <v>67</v>
      </c>
      <c r="G135" s="300">
        <v>70</v>
      </c>
      <c r="H135" s="300">
        <v>71</v>
      </c>
      <c r="I135" s="300">
        <v>72</v>
      </c>
      <c r="J135" s="300">
        <v>72</v>
      </c>
      <c r="K135" s="300">
        <v>73</v>
      </c>
      <c r="L135" s="300">
        <v>79</v>
      </c>
      <c r="M135" s="300">
        <v>80</v>
      </c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</row>
    <row r="136" spans="1:23" ht="11.25" customHeight="1">
      <c r="A136" s="337">
        <f t="shared" si="4"/>
        <v>46054</v>
      </c>
      <c r="B136" s="300"/>
      <c r="C136" s="300">
        <v>57</v>
      </c>
      <c r="D136" s="300"/>
      <c r="E136" s="300">
        <v>62</v>
      </c>
      <c r="F136" s="300">
        <v>69</v>
      </c>
      <c r="G136" s="300">
        <v>72</v>
      </c>
      <c r="H136" s="300">
        <v>71</v>
      </c>
      <c r="I136" s="300">
        <v>73</v>
      </c>
      <c r="J136" s="300">
        <v>73</v>
      </c>
      <c r="K136" s="300">
        <v>73</v>
      </c>
      <c r="L136" s="300">
        <v>79</v>
      </c>
      <c r="M136" s="300">
        <v>80</v>
      </c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</row>
    <row r="137" spans="1:23" ht="11.25" customHeight="1">
      <c r="A137" s="384">
        <f t="shared" si="4"/>
        <v>46082</v>
      </c>
      <c r="B137" s="300"/>
      <c r="C137" s="300">
        <v>59</v>
      </c>
      <c r="D137" s="300"/>
      <c r="E137" s="300">
        <v>61</v>
      </c>
      <c r="F137" s="300">
        <v>69</v>
      </c>
      <c r="G137" s="300">
        <v>72</v>
      </c>
      <c r="H137" s="300">
        <v>69</v>
      </c>
      <c r="I137" s="300">
        <v>69</v>
      </c>
      <c r="J137" s="300">
        <v>71</v>
      </c>
      <c r="K137" s="300">
        <v>70</v>
      </c>
      <c r="L137" s="300">
        <v>78</v>
      </c>
      <c r="M137" s="300">
        <v>80</v>
      </c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</row>
    <row r="138" spans="1:23" ht="11.25" customHeight="1">
      <c r="A138" s="460">
        <f t="shared" si="4"/>
        <v>46113</v>
      </c>
      <c r="B138" s="459"/>
      <c r="C138" s="459">
        <v>57</v>
      </c>
      <c r="D138" s="459"/>
      <c r="E138" s="459">
        <v>59</v>
      </c>
      <c r="F138" s="459">
        <v>71</v>
      </c>
      <c r="G138" s="459">
        <v>72</v>
      </c>
      <c r="H138" s="459">
        <v>71</v>
      </c>
      <c r="I138" s="459">
        <v>74</v>
      </c>
      <c r="J138" s="459">
        <v>71</v>
      </c>
      <c r="K138" s="459">
        <v>72</v>
      </c>
      <c r="L138" s="459">
        <v>78</v>
      </c>
      <c r="M138" s="459">
        <v>79</v>
      </c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</row>
    <row r="139" spans="1:23" ht="11.25" customHeight="1">
      <c r="A139" s="384"/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</row>
    <row r="140" spans="1:23">
      <c r="A140" s="210" t="s">
        <v>128</v>
      </c>
      <c r="B140" s="8"/>
      <c r="C140" s="8"/>
      <c r="D140" s="8"/>
      <c r="E140" s="8"/>
      <c r="F140" s="8"/>
      <c r="G140" s="8"/>
      <c r="H140" s="8"/>
      <c r="I140" s="8"/>
      <c r="J140" s="297"/>
      <c r="K140" s="298"/>
      <c r="L140" s="8"/>
      <c r="M140" s="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</row>
    <row r="141" spans="1:23">
      <c r="A141" s="212" t="s">
        <v>67</v>
      </c>
      <c r="B141" s="213"/>
      <c r="C141" s="214"/>
      <c r="D141" s="215"/>
      <c r="E141" s="214"/>
      <c r="F141" s="213"/>
      <c r="G141" s="215"/>
      <c r="H141" s="213"/>
      <c r="I141" s="215"/>
      <c r="J141" s="213"/>
      <c r="K141" s="215"/>
      <c r="L141" s="213"/>
      <c r="M141" s="216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</row>
    <row r="144" spans="1:23">
      <c r="L144" s="106" t="s">
        <v>17</v>
      </c>
    </row>
  </sheetData>
  <mergeCells count="17">
    <mergeCell ref="A72:A74"/>
    <mergeCell ref="B72:M72"/>
    <mergeCell ref="B73:E73"/>
    <mergeCell ref="F73:G73"/>
    <mergeCell ref="H73:I73"/>
    <mergeCell ref="J73:K73"/>
    <mergeCell ref="L73:M73"/>
    <mergeCell ref="B74:C74"/>
    <mergeCell ref="D74:E74"/>
    <mergeCell ref="A5:A7"/>
    <mergeCell ref="B5:M5"/>
    <mergeCell ref="B6:C6"/>
    <mergeCell ref="D6:E6"/>
    <mergeCell ref="F6:G6"/>
    <mergeCell ref="H6:I6"/>
    <mergeCell ref="J6:K6"/>
    <mergeCell ref="L6:M6"/>
  </mergeCells>
  <phoneticPr fontId="27" type="noConversion"/>
  <conditionalFormatting sqref="A20:A36 A87:A103 A128:A129">
    <cfRule type="expression" dxfId="155" priority="51">
      <formula>MONTH(A20)=1</formula>
    </cfRule>
  </conditionalFormatting>
  <conditionalFormatting sqref="A37:A38">
    <cfRule type="expression" dxfId="154" priority="49">
      <formula>MONTH(A37)=1</formula>
    </cfRule>
  </conditionalFormatting>
  <conditionalFormatting sqref="A104:A105">
    <cfRule type="expression" dxfId="153" priority="44">
      <formula>MONTH(A104)=1</formula>
    </cfRule>
  </conditionalFormatting>
  <conditionalFormatting sqref="A106:A110">
    <cfRule type="expression" dxfId="152" priority="43">
      <formula>MONTH(A106)=1</formula>
    </cfRule>
  </conditionalFormatting>
  <conditionalFormatting sqref="A44 A46:A48">
    <cfRule type="expression" dxfId="151" priority="40">
      <formula>MONTH(A44)=1</formula>
    </cfRule>
  </conditionalFormatting>
  <conditionalFormatting sqref="A39:A43">
    <cfRule type="expression" dxfId="150" priority="41">
      <formula>MONTH(A39)=1</formula>
    </cfRule>
  </conditionalFormatting>
  <conditionalFormatting sqref="A49:A58">
    <cfRule type="expression" dxfId="149" priority="39">
      <formula>MONTH(A49)=1</formula>
    </cfRule>
  </conditionalFormatting>
  <conditionalFormatting sqref="A111:A115">
    <cfRule type="expression" dxfId="148" priority="38">
      <formula>MONTH(A111)=1</formula>
    </cfRule>
  </conditionalFormatting>
  <conditionalFormatting sqref="A45">
    <cfRule type="expression" dxfId="147" priority="36">
      <formula>MONTH(A45)=1</formula>
    </cfRule>
  </conditionalFormatting>
  <conditionalFormatting sqref="A116">
    <cfRule type="expression" dxfId="146" priority="34">
      <formula>MONTH(A116)=1</formula>
    </cfRule>
  </conditionalFormatting>
  <conditionalFormatting sqref="A117">
    <cfRule type="expression" dxfId="145" priority="33">
      <formula>MONTH(A117)=1</formula>
    </cfRule>
  </conditionalFormatting>
  <conditionalFormatting sqref="A118:A127">
    <cfRule type="expression" dxfId="144" priority="25">
      <formula>MONTH(A118)=1</formula>
    </cfRule>
  </conditionalFormatting>
  <conditionalFormatting sqref="A59:A60">
    <cfRule type="expression" dxfId="143" priority="20">
      <formula>MONTH(A59)=1</formula>
    </cfRule>
  </conditionalFormatting>
  <conditionalFormatting sqref="A61">
    <cfRule type="expression" dxfId="142" priority="19">
      <formula>MONTH(A61)=1</formula>
    </cfRule>
  </conditionalFormatting>
  <conditionalFormatting sqref="A64">
    <cfRule type="expression" dxfId="141" priority="14">
      <formula>MONTH(A64)=1</formula>
    </cfRule>
  </conditionalFormatting>
  <conditionalFormatting sqref="A62">
    <cfRule type="expression" dxfId="140" priority="13">
      <formula>MONTH(A62)=1</formula>
    </cfRule>
  </conditionalFormatting>
  <conditionalFormatting sqref="A63">
    <cfRule type="expression" dxfId="139" priority="12">
      <formula>MONTH(A63)=1</formula>
    </cfRule>
  </conditionalFormatting>
  <conditionalFormatting sqref="A130:A131">
    <cfRule type="expression" dxfId="138" priority="10">
      <formula>MONTH(A130)=1</formula>
    </cfRule>
  </conditionalFormatting>
  <conditionalFormatting sqref="A65">
    <cfRule type="expression" dxfId="137" priority="9">
      <formula>MONTH(A65)=1</formula>
    </cfRule>
  </conditionalFormatting>
  <conditionalFormatting sqref="A66 A68:A71">
    <cfRule type="expression" dxfId="136" priority="8">
      <formula>MONTH(A66)=1</formula>
    </cfRule>
  </conditionalFormatting>
  <conditionalFormatting sqref="A132">
    <cfRule type="expression" dxfId="135" priority="7">
      <formula>MONTH(A132)=1</formula>
    </cfRule>
  </conditionalFormatting>
  <conditionalFormatting sqref="A139">
    <cfRule type="expression" dxfId="134" priority="6">
      <formula>MONTH(A139)=1</formula>
    </cfRule>
  </conditionalFormatting>
  <conditionalFormatting sqref="A133:A134">
    <cfRule type="expression" dxfId="133" priority="5">
      <formula>MONTH(A133)=1</formula>
    </cfRule>
  </conditionalFormatting>
  <conditionalFormatting sqref="A67">
    <cfRule type="expression" dxfId="132" priority="2">
      <formula>MONTH(A67)=1</formula>
    </cfRule>
  </conditionalFormatting>
  <conditionalFormatting sqref="A135:A138">
    <cfRule type="expression" dxfId="131" priority="1">
      <formula>MONTH(A135)=1</formula>
    </cfRule>
  </conditionalFormatting>
  <pageMargins left="0.78740157480314965" right="0.78740157480314965" top="1.1417322834645669" bottom="1.1417322834645669" header="0.51181102362204722" footer="0.51181102362204722"/>
  <pageSetup paperSize="9" scale="4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54AA-0BAE-4291-8AB7-A195E507900E}">
  <sheetPr>
    <pageSetUpPr fitToPage="1"/>
  </sheetPr>
  <dimension ref="A1:AL168"/>
  <sheetViews>
    <sheetView view="pageBreakPreview" zoomScale="115" zoomScaleNormal="100" zoomScaleSheetLayoutView="115" workbookViewId="0">
      <pane xSplit="1" ySplit="7" topLeftCell="B8" activePane="bottomRight" state="frozen"/>
      <selection activeCell="AB48" sqref="AB48"/>
      <selection pane="topRight" activeCell="AB48" sqref="AB48"/>
      <selection pane="bottomLeft" activeCell="AB48" sqref="AB48"/>
      <selection pane="bottomRight"/>
    </sheetView>
  </sheetViews>
  <sheetFormatPr defaultRowHeight="13.5"/>
  <cols>
    <col min="1" max="1" width="7.21875" style="221" customWidth="1"/>
    <col min="2" max="2" width="6.21875" style="303" customWidth="1"/>
    <col min="3" max="3" width="6.21875" style="221" customWidth="1"/>
    <col min="4" max="12" width="6.21875" style="218" customWidth="1"/>
    <col min="13" max="13" width="4.33203125" style="219" customWidth="1"/>
    <col min="14" max="14" width="9.33203125" style="219" customWidth="1"/>
    <col min="15" max="24" width="4.88671875" style="219" customWidth="1"/>
    <col min="25" max="26" width="4.88671875" style="218" customWidth="1"/>
    <col min="27" max="27" width="8.88671875" style="218"/>
    <col min="28" max="38" width="4.88671875" style="218" customWidth="1"/>
    <col min="39" max="256" width="8.88671875" style="218"/>
    <col min="257" max="257" width="7.21875" style="218" customWidth="1"/>
    <col min="258" max="258" width="5.33203125" style="218" customWidth="1"/>
    <col min="259" max="259" width="6.109375" style="218" bestFit="1" customWidth="1"/>
    <col min="260" max="264" width="5" style="218" customWidth="1"/>
    <col min="265" max="265" width="5.33203125" style="218" customWidth="1"/>
    <col min="266" max="266" width="6.33203125" style="218" customWidth="1"/>
    <col min="267" max="267" width="5.33203125" style="218" customWidth="1"/>
    <col min="268" max="268" width="5" style="218" customWidth="1"/>
    <col min="269" max="269" width="4.33203125" style="218" customWidth="1"/>
    <col min="270" max="270" width="6.109375" style="218" bestFit="1" customWidth="1"/>
    <col min="271" max="280" width="4.88671875" style="218" customWidth="1"/>
    <col min="281" max="512" width="8.88671875" style="218"/>
    <col min="513" max="513" width="7.21875" style="218" customWidth="1"/>
    <col min="514" max="514" width="5.33203125" style="218" customWidth="1"/>
    <col min="515" max="515" width="6.109375" style="218" bestFit="1" customWidth="1"/>
    <col min="516" max="520" width="5" style="218" customWidth="1"/>
    <col min="521" max="521" width="5.33203125" style="218" customWidth="1"/>
    <col min="522" max="522" width="6.33203125" style="218" customWidth="1"/>
    <col min="523" max="523" width="5.33203125" style="218" customWidth="1"/>
    <col min="524" max="524" width="5" style="218" customWidth="1"/>
    <col min="525" max="525" width="4.33203125" style="218" customWidth="1"/>
    <col min="526" max="526" width="6.109375" style="218" bestFit="1" customWidth="1"/>
    <col min="527" max="536" width="4.88671875" style="218" customWidth="1"/>
    <col min="537" max="768" width="8.88671875" style="218"/>
    <col min="769" max="769" width="7.21875" style="218" customWidth="1"/>
    <col min="770" max="770" width="5.33203125" style="218" customWidth="1"/>
    <col min="771" max="771" width="6.109375" style="218" bestFit="1" customWidth="1"/>
    <col min="772" max="776" width="5" style="218" customWidth="1"/>
    <col min="777" max="777" width="5.33203125" style="218" customWidth="1"/>
    <col min="778" max="778" width="6.33203125" style="218" customWidth="1"/>
    <col min="779" max="779" width="5.33203125" style="218" customWidth="1"/>
    <col min="780" max="780" width="5" style="218" customWidth="1"/>
    <col min="781" max="781" width="4.33203125" style="218" customWidth="1"/>
    <col min="782" max="782" width="6.109375" style="218" bestFit="1" customWidth="1"/>
    <col min="783" max="792" width="4.88671875" style="218" customWidth="1"/>
    <col min="793" max="1024" width="8.88671875" style="218"/>
    <col min="1025" max="1025" width="7.21875" style="218" customWidth="1"/>
    <col min="1026" max="1026" width="5.33203125" style="218" customWidth="1"/>
    <col min="1027" max="1027" width="6.109375" style="218" bestFit="1" customWidth="1"/>
    <col min="1028" max="1032" width="5" style="218" customWidth="1"/>
    <col min="1033" max="1033" width="5.33203125" style="218" customWidth="1"/>
    <col min="1034" max="1034" width="6.33203125" style="218" customWidth="1"/>
    <col min="1035" max="1035" width="5.33203125" style="218" customWidth="1"/>
    <col min="1036" max="1036" width="5" style="218" customWidth="1"/>
    <col min="1037" max="1037" width="4.33203125" style="218" customWidth="1"/>
    <col min="1038" max="1038" width="6.109375" style="218" bestFit="1" customWidth="1"/>
    <col min="1039" max="1048" width="4.88671875" style="218" customWidth="1"/>
    <col min="1049" max="1280" width="8.88671875" style="218"/>
    <col min="1281" max="1281" width="7.21875" style="218" customWidth="1"/>
    <col min="1282" max="1282" width="5.33203125" style="218" customWidth="1"/>
    <col min="1283" max="1283" width="6.109375" style="218" bestFit="1" customWidth="1"/>
    <col min="1284" max="1288" width="5" style="218" customWidth="1"/>
    <col min="1289" max="1289" width="5.33203125" style="218" customWidth="1"/>
    <col min="1290" max="1290" width="6.33203125" style="218" customWidth="1"/>
    <col min="1291" max="1291" width="5.33203125" style="218" customWidth="1"/>
    <col min="1292" max="1292" width="5" style="218" customWidth="1"/>
    <col min="1293" max="1293" width="4.33203125" style="218" customWidth="1"/>
    <col min="1294" max="1294" width="6.109375" style="218" bestFit="1" customWidth="1"/>
    <col min="1295" max="1304" width="4.88671875" style="218" customWidth="1"/>
    <col min="1305" max="1536" width="8.88671875" style="218"/>
    <col min="1537" max="1537" width="7.21875" style="218" customWidth="1"/>
    <col min="1538" max="1538" width="5.33203125" style="218" customWidth="1"/>
    <col min="1539" max="1539" width="6.109375" style="218" bestFit="1" customWidth="1"/>
    <col min="1540" max="1544" width="5" style="218" customWidth="1"/>
    <col min="1545" max="1545" width="5.33203125" style="218" customWidth="1"/>
    <col min="1546" max="1546" width="6.33203125" style="218" customWidth="1"/>
    <col min="1547" max="1547" width="5.33203125" style="218" customWidth="1"/>
    <col min="1548" max="1548" width="5" style="218" customWidth="1"/>
    <col min="1549" max="1549" width="4.33203125" style="218" customWidth="1"/>
    <col min="1550" max="1550" width="6.109375" style="218" bestFit="1" customWidth="1"/>
    <col min="1551" max="1560" width="4.88671875" style="218" customWidth="1"/>
    <col min="1561" max="1792" width="8.88671875" style="218"/>
    <col min="1793" max="1793" width="7.21875" style="218" customWidth="1"/>
    <col min="1794" max="1794" width="5.33203125" style="218" customWidth="1"/>
    <col min="1795" max="1795" width="6.109375" style="218" bestFit="1" customWidth="1"/>
    <col min="1796" max="1800" width="5" style="218" customWidth="1"/>
    <col min="1801" max="1801" width="5.33203125" style="218" customWidth="1"/>
    <col min="1802" max="1802" width="6.33203125" style="218" customWidth="1"/>
    <col min="1803" max="1803" width="5.33203125" style="218" customWidth="1"/>
    <col min="1804" max="1804" width="5" style="218" customWidth="1"/>
    <col min="1805" max="1805" width="4.33203125" style="218" customWidth="1"/>
    <col min="1806" max="1806" width="6.109375" style="218" bestFit="1" customWidth="1"/>
    <col min="1807" max="1816" width="4.88671875" style="218" customWidth="1"/>
    <col min="1817" max="2048" width="8.88671875" style="218"/>
    <col min="2049" max="2049" width="7.21875" style="218" customWidth="1"/>
    <col min="2050" max="2050" width="5.33203125" style="218" customWidth="1"/>
    <col min="2051" max="2051" width="6.109375" style="218" bestFit="1" customWidth="1"/>
    <col min="2052" max="2056" width="5" style="218" customWidth="1"/>
    <col min="2057" max="2057" width="5.33203125" style="218" customWidth="1"/>
    <col min="2058" max="2058" width="6.33203125" style="218" customWidth="1"/>
    <col min="2059" max="2059" width="5.33203125" style="218" customWidth="1"/>
    <col min="2060" max="2060" width="5" style="218" customWidth="1"/>
    <col min="2061" max="2061" width="4.33203125" style="218" customWidth="1"/>
    <col min="2062" max="2062" width="6.109375" style="218" bestFit="1" customWidth="1"/>
    <col min="2063" max="2072" width="4.88671875" style="218" customWidth="1"/>
    <col min="2073" max="2304" width="8.88671875" style="218"/>
    <col min="2305" max="2305" width="7.21875" style="218" customWidth="1"/>
    <col min="2306" max="2306" width="5.33203125" style="218" customWidth="1"/>
    <col min="2307" max="2307" width="6.109375" style="218" bestFit="1" customWidth="1"/>
    <col min="2308" max="2312" width="5" style="218" customWidth="1"/>
    <col min="2313" max="2313" width="5.33203125" style="218" customWidth="1"/>
    <col min="2314" max="2314" width="6.33203125" style="218" customWidth="1"/>
    <col min="2315" max="2315" width="5.33203125" style="218" customWidth="1"/>
    <col min="2316" max="2316" width="5" style="218" customWidth="1"/>
    <col min="2317" max="2317" width="4.33203125" style="218" customWidth="1"/>
    <col min="2318" max="2318" width="6.109375" style="218" bestFit="1" customWidth="1"/>
    <col min="2319" max="2328" width="4.88671875" style="218" customWidth="1"/>
    <col min="2329" max="2560" width="8.88671875" style="218"/>
    <col min="2561" max="2561" width="7.21875" style="218" customWidth="1"/>
    <col min="2562" max="2562" width="5.33203125" style="218" customWidth="1"/>
    <col min="2563" max="2563" width="6.109375" style="218" bestFit="1" customWidth="1"/>
    <col min="2564" max="2568" width="5" style="218" customWidth="1"/>
    <col min="2569" max="2569" width="5.33203125" style="218" customWidth="1"/>
    <col min="2570" max="2570" width="6.33203125" style="218" customWidth="1"/>
    <col min="2571" max="2571" width="5.33203125" style="218" customWidth="1"/>
    <col min="2572" max="2572" width="5" style="218" customWidth="1"/>
    <col min="2573" max="2573" width="4.33203125" style="218" customWidth="1"/>
    <col min="2574" max="2574" width="6.109375" style="218" bestFit="1" customWidth="1"/>
    <col min="2575" max="2584" width="4.88671875" style="218" customWidth="1"/>
    <col min="2585" max="2816" width="8.88671875" style="218"/>
    <col min="2817" max="2817" width="7.21875" style="218" customWidth="1"/>
    <col min="2818" max="2818" width="5.33203125" style="218" customWidth="1"/>
    <col min="2819" max="2819" width="6.109375" style="218" bestFit="1" customWidth="1"/>
    <col min="2820" max="2824" width="5" style="218" customWidth="1"/>
    <col min="2825" max="2825" width="5.33203125" style="218" customWidth="1"/>
    <col min="2826" max="2826" width="6.33203125" style="218" customWidth="1"/>
    <col min="2827" max="2827" width="5.33203125" style="218" customWidth="1"/>
    <col min="2828" max="2828" width="5" style="218" customWidth="1"/>
    <col min="2829" max="2829" width="4.33203125" style="218" customWidth="1"/>
    <col min="2830" max="2830" width="6.109375" style="218" bestFit="1" customWidth="1"/>
    <col min="2831" max="2840" width="4.88671875" style="218" customWidth="1"/>
    <col min="2841" max="3072" width="8.88671875" style="218"/>
    <col min="3073" max="3073" width="7.21875" style="218" customWidth="1"/>
    <col min="3074" max="3074" width="5.33203125" style="218" customWidth="1"/>
    <col min="3075" max="3075" width="6.109375" style="218" bestFit="1" customWidth="1"/>
    <col min="3076" max="3080" width="5" style="218" customWidth="1"/>
    <col min="3081" max="3081" width="5.33203125" style="218" customWidth="1"/>
    <col min="3082" max="3082" width="6.33203125" style="218" customWidth="1"/>
    <col min="3083" max="3083" width="5.33203125" style="218" customWidth="1"/>
    <col min="3084" max="3084" width="5" style="218" customWidth="1"/>
    <col min="3085" max="3085" width="4.33203125" style="218" customWidth="1"/>
    <col min="3086" max="3086" width="6.109375" style="218" bestFit="1" customWidth="1"/>
    <col min="3087" max="3096" width="4.88671875" style="218" customWidth="1"/>
    <col min="3097" max="3328" width="8.88671875" style="218"/>
    <col min="3329" max="3329" width="7.21875" style="218" customWidth="1"/>
    <col min="3330" max="3330" width="5.33203125" style="218" customWidth="1"/>
    <col min="3331" max="3331" width="6.109375" style="218" bestFit="1" customWidth="1"/>
    <col min="3332" max="3336" width="5" style="218" customWidth="1"/>
    <col min="3337" max="3337" width="5.33203125" style="218" customWidth="1"/>
    <col min="3338" max="3338" width="6.33203125" style="218" customWidth="1"/>
    <col min="3339" max="3339" width="5.33203125" style="218" customWidth="1"/>
    <col min="3340" max="3340" width="5" style="218" customWidth="1"/>
    <col min="3341" max="3341" width="4.33203125" style="218" customWidth="1"/>
    <col min="3342" max="3342" width="6.109375" style="218" bestFit="1" customWidth="1"/>
    <col min="3343" max="3352" width="4.88671875" style="218" customWidth="1"/>
    <col min="3353" max="3584" width="8.88671875" style="218"/>
    <col min="3585" max="3585" width="7.21875" style="218" customWidth="1"/>
    <col min="3586" max="3586" width="5.33203125" style="218" customWidth="1"/>
    <col min="3587" max="3587" width="6.109375" style="218" bestFit="1" customWidth="1"/>
    <col min="3588" max="3592" width="5" style="218" customWidth="1"/>
    <col min="3593" max="3593" width="5.33203125" style="218" customWidth="1"/>
    <col min="3594" max="3594" width="6.33203125" style="218" customWidth="1"/>
    <col min="3595" max="3595" width="5.33203125" style="218" customWidth="1"/>
    <col min="3596" max="3596" width="5" style="218" customWidth="1"/>
    <col min="3597" max="3597" width="4.33203125" style="218" customWidth="1"/>
    <col min="3598" max="3598" width="6.109375" style="218" bestFit="1" customWidth="1"/>
    <col min="3599" max="3608" width="4.88671875" style="218" customWidth="1"/>
    <col min="3609" max="3840" width="8.88671875" style="218"/>
    <col min="3841" max="3841" width="7.21875" style="218" customWidth="1"/>
    <col min="3842" max="3842" width="5.33203125" style="218" customWidth="1"/>
    <col min="3843" max="3843" width="6.109375" style="218" bestFit="1" customWidth="1"/>
    <col min="3844" max="3848" width="5" style="218" customWidth="1"/>
    <col min="3849" max="3849" width="5.33203125" style="218" customWidth="1"/>
    <col min="3850" max="3850" width="6.33203125" style="218" customWidth="1"/>
    <col min="3851" max="3851" width="5.33203125" style="218" customWidth="1"/>
    <col min="3852" max="3852" width="5" style="218" customWidth="1"/>
    <col min="3853" max="3853" width="4.33203125" style="218" customWidth="1"/>
    <col min="3854" max="3854" width="6.109375" style="218" bestFit="1" customWidth="1"/>
    <col min="3855" max="3864" width="4.88671875" style="218" customWidth="1"/>
    <col min="3865" max="4096" width="8.88671875" style="218"/>
    <col min="4097" max="4097" width="7.21875" style="218" customWidth="1"/>
    <col min="4098" max="4098" width="5.33203125" style="218" customWidth="1"/>
    <col min="4099" max="4099" width="6.109375" style="218" bestFit="1" customWidth="1"/>
    <col min="4100" max="4104" width="5" style="218" customWidth="1"/>
    <col min="4105" max="4105" width="5.33203125" style="218" customWidth="1"/>
    <col min="4106" max="4106" width="6.33203125" style="218" customWidth="1"/>
    <col min="4107" max="4107" width="5.33203125" style="218" customWidth="1"/>
    <col min="4108" max="4108" width="5" style="218" customWidth="1"/>
    <col min="4109" max="4109" width="4.33203125" style="218" customWidth="1"/>
    <col min="4110" max="4110" width="6.109375" style="218" bestFit="1" customWidth="1"/>
    <col min="4111" max="4120" width="4.88671875" style="218" customWidth="1"/>
    <col min="4121" max="4352" width="8.88671875" style="218"/>
    <col min="4353" max="4353" width="7.21875" style="218" customWidth="1"/>
    <col min="4354" max="4354" width="5.33203125" style="218" customWidth="1"/>
    <col min="4355" max="4355" width="6.109375" style="218" bestFit="1" customWidth="1"/>
    <col min="4356" max="4360" width="5" style="218" customWidth="1"/>
    <col min="4361" max="4361" width="5.33203125" style="218" customWidth="1"/>
    <col min="4362" max="4362" width="6.33203125" style="218" customWidth="1"/>
    <col min="4363" max="4363" width="5.33203125" style="218" customWidth="1"/>
    <col min="4364" max="4364" width="5" style="218" customWidth="1"/>
    <col min="4365" max="4365" width="4.33203125" style="218" customWidth="1"/>
    <col min="4366" max="4366" width="6.109375" style="218" bestFit="1" customWidth="1"/>
    <col min="4367" max="4376" width="4.88671875" style="218" customWidth="1"/>
    <col min="4377" max="4608" width="8.88671875" style="218"/>
    <col min="4609" max="4609" width="7.21875" style="218" customWidth="1"/>
    <col min="4610" max="4610" width="5.33203125" style="218" customWidth="1"/>
    <col min="4611" max="4611" width="6.109375" style="218" bestFit="1" customWidth="1"/>
    <col min="4612" max="4616" width="5" style="218" customWidth="1"/>
    <col min="4617" max="4617" width="5.33203125" style="218" customWidth="1"/>
    <col min="4618" max="4618" width="6.33203125" style="218" customWidth="1"/>
    <col min="4619" max="4619" width="5.33203125" style="218" customWidth="1"/>
    <col min="4620" max="4620" width="5" style="218" customWidth="1"/>
    <col min="4621" max="4621" width="4.33203125" style="218" customWidth="1"/>
    <col min="4622" max="4622" width="6.109375" style="218" bestFit="1" customWidth="1"/>
    <col min="4623" max="4632" width="4.88671875" style="218" customWidth="1"/>
    <col min="4633" max="4864" width="8.88671875" style="218"/>
    <col min="4865" max="4865" width="7.21875" style="218" customWidth="1"/>
    <col min="4866" max="4866" width="5.33203125" style="218" customWidth="1"/>
    <col min="4867" max="4867" width="6.109375" style="218" bestFit="1" customWidth="1"/>
    <col min="4868" max="4872" width="5" style="218" customWidth="1"/>
    <col min="4873" max="4873" width="5.33203125" style="218" customWidth="1"/>
    <col min="4874" max="4874" width="6.33203125" style="218" customWidth="1"/>
    <col min="4875" max="4875" width="5.33203125" style="218" customWidth="1"/>
    <col min="4876" max="4876" width="5" style="218" customWidth="1"/>
    <col min="4877" max="4877" width="4.33203125" style="218" customWidth="1"/>
    <col min="4878" max="4878" width="6.109375" style="218" bestFit="1" customWidth="1"/>
    <col min="4879" max="4888" width="4.88671875" style="218" customWidth="1"/>
    <col min="4889" max="5120" width="8.88671875" style="218"/>
    <col min="5121" max="5121" width="7.21875" style="218" customWidth="1"/>
    <col min="5122" max="5122" width="5.33203125" style="218" customWidth="1"/>
    <col min="5123" max="5123" width="6.109375" style="218" bestFit="1" customWidth="1"/>
    <col min="5124" max="5128" width="5" style="218" customWidth="1"/>
    <col min="5129" max="5129" width="5.33203125" style="218" customWidth="1"/>
    <col min="5130" max="5130" width="6.33203125" style="218" customWidth="1"/>
    <col min="5131" max="5131" width="5.33203125" style="218" customWidth="1"/>
    <col min="5132" max="5132" width="5" style="218" customWidth="1"/>
    <col min="5133" max="5133" width="4.33203125" style="218" customWidth="1"/>
    <col min="5134" max="5134" width="6.109375" style="218" bestFit="1" customWidth="1"/>
    <col min="5135" max="5144" width="4.88671875" style="218" customWidth="1"/>
    <col min="5145" max="5376" width="8.88671875" style="218"/>
    <col min="5377" max="5377" width="7.21875" style="218" customWidth="1"/>
    <col min="5378" max="5378" width="5.33203125" style="218" customWidth="1"/>
    <col min="5379" max="5379" width="6.109375" style="218" bestFit="1" customWidth="1"/>
    <col min="5380" max="5384" width="5" style="218" customWidth="1"/>
    <col min="5385" max="5385" width="5.33203125" style="218" customWidth="1"/>
    <col min="5386" max="5386" width="6.33203125" style="218" customWidth="1"/>
    <col min="5387" max="5387" width="5.33203125" style="218" customWidth="1"/>
    <col min="5388" max="5388" width="5" style="218" customWidth="1"/>
    <col min="5389" max="5389" width="4.33203125" style="218" customWidth="1"/>
    <col min="5390" max="5390" width="6.109375" style="218" bestFit="1" customWidth="1"/>
    <col min="5391" max="5400" width="4.88671875" style="218" customWidth="1"/>
    <col min="5401" max="5632" width="8.88671875" style="218"/>
    <col min="5633" max="5633" width="7.21875" style="218" customWidth="1"/>
    <col min="5634" max="5634" width="5.33203125" style="218" customWidth="1"/>
    <col min="5635" max="5635" width="6.109375" style="218" bestFit="1" customWidth="1"/>
    <col min="5636" max="5640" width="5" style="218" customWidth="1"/>
    <col min="5641" max="5641" width="5.33203125" style="218" customWidth="1"/>
    <col min="5642" max="5642" width="6.33203125" style="218" customWidth="1"/>
    <col min="5643" max="5643" width="5.33203125" style="218" customWidth="1"/>
    <col min="5644" max="5644" width="5" style="218" customWidth="1"/>
    <col min="5645" max="5645" width="4.33203125" style="218" customWidth="1"/>
    <col min="5646" max="5646" width="6.109375" style="218" bestFit="1" customWidth="1"/>
    <col min="5647" max="5656" width="4.88671875" style="218" customWidth="1"/>
    <col min="5657" max="5888" width="8.88671875" style="218"/>
    <col min="5889" max="5889" width="7.21875" style="218" customWidth="1"/>
    <col min="5890" max="5890" width="5.33203125" style="218" customWidth="1"/>
    <col min="5891" max="5891" width="6.109375" style="218" bestFit="1" customWidth="1"/>
    <col min="5892" max="5896" width="5" style="218" customWidth="1"/>
    <col min="5897" max="5897" width="5.33203125" style="218" customWidth="1"/>
    <col min="5898" max="5898" width="6.33203125" style="218" customWidth="1"/>
    <col min="5899" max="5899" width="5.33203125" style="218" customWidth="1"/>
    <col min="5900" max="5900" width="5" style="218" customWidth="1"/>
    <col min="5901" max="5901" width="4.33203125" style="218" customWidth="1"/>
    <col min="5902" max="5902" width="6.109375" style="218" bestFit="1" customWidth="1"/>
    <col min="5903" max="5912" width="4.88671875" style="218" customWidth="1"/>
    <col min="5913" max="6144" width="8.88671875" style="218"/>
    <col min="6145" max="6145" width="7.21875" style="218" customWidth="1"/>
    <col min="6146" max="6146" width="5.33203125" style="218" customWidth="1"/>
    <col min="6147" max="6147" width="6.109375" style="218" bestFit="1" customWidth="1"/>
    <col min="6148" max="6152" width="5" style="218" customWidth="1"/>
    <col min="6153" max="6153" width="5.33203125" style="218" customWidth="1"/>
    <col min="6154" max="6154" width="6.33203125" style="218" customWidth="1"/>
    <col min="6155" max="6155" width="5.33203125" style="218" customWidth="1"/>
    <col min="6156" max="6156" width="5" style="218" customWidth="1"/>
    <col min="6157" max="6157" width="4.33203125" style="218" customWidth="1"/>
    <col min="6158" max="6158" width="6.109375" style="218" bestFit="1" customWidth="1"/>
    <col min="6159" max="6168" width="4.88671875" style="218" customWidth="1"/>
    <col min="6169" max="6400" width="8.88671875" style="218"/>
    <col min="6401" max="6401" width="7.21875" style="218" customWidth="1"/>
    <col min="6402" max="6402" width="5.33203125" style="218" customWidth="1"/>
    <col min="6403" max="6403" width="6.109375" style="218" bestFit="1" customWidth="1"/>
    <col min="6404" max="6408" width="5" style="218" customWidth="1"/>
    <col min="6409" max="6409" width="5.33203125" style="218" customWidth="1"/>
    <col min="6410" max="6410" width="6.33203125" style="218" customWidth="1"/>
    <col min="6411" max="6411" width="5.33203125" style="218" customWidth="1"/>
    <col min="6412" max="6412" width="5" style="218" customWidth="1"/>
    <col min="6413" max="6413" width="4.33203125" style="218" customWidth="1"/>
    <col min="6414" max="6414" width="6.109375" style="218" bestFit="1" customWidth="1"/>
    <col min="6415" max="6424" width="4.88671875" style="218" customWidth="1"/>
    <col min="6425" max="6656" width="8.88671875" style="218"/>
    <col min="6657" max="6657" width="7.21875" style="218" customWidth="1"/>
    <col min="6658" max="6658" width="5.33203125" style="218" customWidth="1"/>
    <col min="6659" max="6659" width="6.109375" style="218" bestFit="1" customWidth="1"/>
    <col min="6660" max="6664" width="5" style="218" customWidth="1"/>
    <col min="6665" max="6665" width="5.33203125" style="218" customWidth="1"/>
    <col min="6666" max="6666" width="6.33203125" style="218" customWidth="1"/>
    <col min="6667" max="6667" width="5.33203125" style="218" customWidth="1"/>
    <col min="6668" max="6668" width="5" style="218" customWidth="1"/>
    <col min="6669" max="6669" width="4.33203125" style="218" customWidth="1"/>
    <col min="6670" max="6670" width="6.109375" style="218" bestFit="1" customWidth="1"/>
    <col min="6671" max="6680" width="4.88671875" style="218" customWidth="1"/>
    <col min="6681" max="6912" width="8.88671875" style="218"/>
    <col min="6913" max="6913" width="7.21875" style="218" customWidth="1"/>
    <col min="6914" max="6914" width="5.33203125" style="218" customWidth="1"/>
    <col min="6915" max="6915" width="6.109375" style="218" bestFit="1" customWidth="1"/>
    <col min="6916" max="6920" width="5" style="218" customWidth="1"/>
    <col min="6921" max="6921" width="5.33203125" style="218" customWidth="1"/>
    <col min="6922" max="6922" width="6.33203125" style="218" customWidth="1"/>
    <col min="6923" max="6923" width="5.33203125" style="218" customWidth="1"/>
    <col min="6924" max="6924" width="5" style="218" customWidth="1"/>
    <col min="6925" max="6925" width="4.33203125" style="218" customWidth="1"/>
    <col min="6926" max="6926" width="6.109375" style="218" bestFit="1" customWidth="1"/>
    <col min="6927" max="6936" width="4.88671875" style="218" customWidth="1"/>
    <col min="6937" max="7168" width="8.88671875" style="218"/>
    <col min="7169" max="7169" width="7.21875" style="218" customWidth="1"/>
    <col min="7170" max="7170" width="5.33203125" style="218" customWidth="1"/>
    <col min="7171" max="7171" width="6.109375" style="218" bestFit="1" customWidth="1"/>
    <col min="7172" max="7176" width="5" style="218" customWidth="1"/>
    <col min="7177" max="7177" width="5.33203125" style="218" customWidth="1"/>
    <col min="7178" max="7178" width="6.33203125" style="218" customWidth="1"/>
    <col min="7179" max="7179" width="5.33203125" style="218" customWidth="1"/>
    <col min="7180" max="7180" width="5" style="218" customWidth="1"/>
    <col min="7181" max="7181" width="4.33203125" style="218" customWidth="1"/>
    <col min="7182" max="7182" width="6.109375" style="218" bestFit="1" customWidth="1"/>
    <col min="7183" max="7192" width="4.88671875" style="218" customWidth="1"/>
    <col min="7193" max="7424" width="8.88671875" style="218"/>
    <col min="7425" max="7425" width="7.21875" style="218" customWidth="1"/>
    <col min="7426" max="7426" width="5.33203125" style="218" customWidth="1"/>
    <col min="7427" max="7427" width="6.109375" style="218" bestFit="1" customWidth="1"/>
    <col min="7428" max="7432" width="5" style="218" customWidth="1"/>
    <col min="7433" max="7433" width="5.33203125" style="218" customWidth="1"/>
    <col min="7434" max="7434" width="6.33203125" style="218" customWidth="1"/>
    <col min="7435" max="7435" width="5.33203125" style="218" customWidth="1"/>
    <col min="7436" max="7436" width="5" style="218" customWidth="1"/>
    <col min="7437" max="7437" width="4.33203125" style="218" customWidth="1"/>
    <col min="7438" max="7438" width="6.109375" style="218" bestFit="1" customWidth="1"/>
    <col min="7439" max="7448" width="4.88671875" style="218" customWidth="1"/>
    <col min="7449" max="7680" width="8.88671875" style="218"/>
    <col min="7681" max="7681" width="7.21875" style="218" customWidth="1"/>
    <col min="7682" max="7682" width="5.33203125" style="218" customWidth="1"/>
    <col min="7683" max="7683" width="6.109375" style="218" bestFit="1" customWidth="1"/>
    <col min="7684" max="7688" width="5" style="218" customWidth="1"/>
    <col min="7689" max="7689" width="5.33203125" style="218" customWidth="1"/>
    <col min="7690" max="7690" width="6.33203125" style="218" customWidth="1"/>
    <col min="7691" max="7691" width="5.33203125" style="218" customWidth="1"/>
    <col min="7692" max="7692" width="5" style="218" customWidth="1"/>
    <col min="7693" max="7693" width="4.33203125" style="218" customWidth="1"/>
    <col min="7694" max="7694" width="6.109375" style="218" bestFit="1" customWidth="1"/>
    <col min="7695" max="7704" width="4.88671875" style="218" customWidth="1"/>
    <col min="7705" max="7936" width="8.88671875" style="218"/>
    <col min="7937" max="7937" width="7.21875" style="218" customWidth="1"/>
    <col min="7938" max="7938" width="5.33203125" style="218" customWidth="1"/>
    <col min="7939" max="7939" width="6.109375" style="218" bestFit="1" customWidth="1"/>
    <col min="7940" max="7944" width="5" style="218" customWidth="1"/>
    <col min="7945" max="7945" width="5.33203125" style="218" customWidth="1"/>
    <col min="7946" max="7946" width="6.33203125" style="218" customWidth="1"/>
    <col min="7947" max="7947" width="5.33203125" style="218" customWidth="1"/>
    <col min="7948" max="7948" width="5" style="218" customWidth="1"/>
    <col min="7949" max="7949" width="4.33203125" style="218" customWidth="1"/>
    <col min="7950" max="7950" width="6.109375" style="218" bestFit="1" customWidth="1"/>
    <col min="7951" max="7960" width="4.88671875" style="218" customWidth="1"/>
    <col min="7961" max="8192" width="8.88671875" style="218"/>
    <col min="8193" max="8193" width="7.21875" style="218" customWidth="1"/>
    <col min="8194" max="8194" width="5.33203125" style="218" customWidth="1"/>
    <col min="8195" max="8195" width="6.109375" style="218" bestFit="1" customWidth="1"/>
    <col min="8196" max="8200" width="5" style="218" customWidth="1"/>
    <col min="8201" max="8201" width="5.33203125" style="218" customWidth="1"/>
    <col min="8202" max="8202" width="6.33203125" style="218" customWidth="1"/>
    <col min="8203" max="8203" width="5.33203125" style="218" customWidth="1"/>
    <col min="8204" max="8204" width="5" style="218" customWidth="1"/>
    <col min="8205" max="8205" width="4.33203125" style="218" customWidth="1"/>
    <col min="8206" max="8206" width="6.109375" style="218" bestFit="1" customWidth="1"/>
    <col min="8207" max="8216" width="4.88671875" style="218" customWidth="1"/>
    <col min="8217" max="8448" width="8.88671875" style="218"/>
    <col min="8449" max="8449" width="7.21875" style="218" customWidth="1"/>
    <col min="8450" max="8450" width="5.33203125" style="218" customWidth="1"/>
    <col min="8451" max="8451" width="6.109375" style="218" bestFit="1" customWidth="1"/>
    <col min="8452" max="8456" width="5" style="218" customWidth="1"/>
    <col min="8457" max="8457" width="5.33203125" style="218" customWidth="1"/>
    <col min="8458" max="8458" width="6.33203125" style="218" customWidth="1"/>
    <col min="8459" max="8459" width="5.33203125" style="218" customWidth="1"/>
    <col min="8460" max="8460" width="5" style="218" customWidth="1"/>
    <col min="8461" max="8461" width="4.33203125" style="218" customWidth="1"/>
    <col min="8462" max="8462" width="6.109375" style="218" bestFit="1" customWidth="1"/>
    <col min="8463" max="8472" width="4.88671875" style="218" customWidth="1"/>
    <col min="8473" max="8704" width="8.88671875" style="218"/>
    <col min="8705" max="8705" width="7.21875" style="218" customWidth="1"/>
    <col min="8706" max="8706" width="5.33203125" style="218" customWidth="1"/>
    <col min="8707" max="8707" width="6.109375" style="218" bestFit="1" customWidth="1"/>
    <col min="8708" max="8712" width="5" style="218" customWidth="1"/>
    <col min="8713" max="8713" width="5.33203125" style="218" customWidth="1"/>
    <col min="8714" max="8714" width="6.33203125" style="218" customWidth="1"/>
    <col min="8715" max="8715" width="5.33203125" style="218" customWidth="1"/>
    <col min="8716" max="8716" width="5" style="218" customWidth="1"/>
    <col min="8717" max="8717" width="4.33203125" style="218" customWidth="1"/>
    <col min="8718" max="8718" width="6.109375" style="218" bestFit="1" customWidth="1"/>
    <col min="8719" max="8728" width="4.88671875" style="218" customWidth="1"/>
    <col min="8729" max="8960" width="8.88671875" style="218"/>
    <col min="8961" max="8961" width="7.21875" style="218" customWidth="1"/>
    <col min="8962" max="8962" width="5.33203125" style="218" customWidth="1"/>
    <col min="8963" max="8963" width="6.109375" style="218" bestFit="1" customWidth="1"/>
    <col min="8964" max="8968" width="5" style="218" customWidth="1"/>
    <col min="8969" max="8969" width="5.33203125" style="218" customWidth="1"/>
    <col min="8970" max="8970" width="6.33203125" style="218" customWidth="1"/>
    <col min="8971" max="8971" width="5.33203125" style="218" customWidth="1"/>
    <col min="8972" max="8972" width="5" style="218" customWidth="1"/>
    <col min="8973" max="8973" width="4.33203125" style="218" customWidth="1"/>
    <col min="8974" max="8974" width="6.109375" style="218" bestFit="1" customWidth="1"/>
    <col min="8975" max="8984" width="4.88671875" style="218" customWidth="1"/>
    <col min="8985" max="9216" width="8.88671875" style="218"/>
    <col min="9217" max="9217" width="7.21875" style="218" customWidth="1"/>
    <col min="9218" max="9218" width="5.33203125" style="218" customWidth="1"/>
    <col min="9219" max="9219" width="6.109375" style="218" bestFit="1" customWidth="1"/>
    <col min="9220" max="9224" width="5" style="218" customWidth="1"/>
    <col min="9225" max="9225" width="5.33203125" style="218" customWidth="1"/>
    <col min="9226" max="9226" width="6.33203125" style="218" customWidth="1"/>
    <col min="9227" max="9227" width="5.33203125" style="218" customWidth="1"/>
    <col min="9228" max="9228" width="5" style="218" customWidth="1"/>
    <col min="9229" max="9229" width="4.33203125" style="218" customWidth="1"/>
    <col min="9230" max="9230" width="6.109375" style="218" bestFit="1" customWidth="1"/>
    <col min="9231" max="9240" width="4.88671875" style="218" customWidth="1"/>
    <col min="9241" max="9472" width="8.88671875" style="218"/>
    <col min="9473" max="9473" width="7.21875" style="218" customWidth="1"/>
    <col min="9474" max="9474" width="5.33203125" style="218" customWidth="1"/>
    <col min="9475" max="9475" width="6.109375" style="218" bestFit="1" customWidth="1"/>
    <col min="9476" max="9480" width="5" style="218" customWidth="1"/>
    <col min="9481" max="9481" width="5.33203125" style="218" customWidth="1"/>
    <col min="9482" max="9482" width="6.33203125" style="218" customWidth="1"/>
    <col min="9483" max="9483" width="5.33203125" style="218" customWidth="1"/>
    <col min="9484" max="9484" width="5" style="218" customWidth="1"/>
    <col min="9485" max="9485" width="4.33203125" style="218" customWidth="1"/>
    <col min="9486" max="9486" width="6.109375" style="218" bestFit="1" customWidth="1"/>
    <col min="9487" max="9496" width="4.88671875" style="218" customWidth="1"/>
    <col min="9497" max="9728" width="8.88671875" style="218"/>
    <col min="9729" max="9729" width="7.21875" style="218" customWidth="1"/>
    <col min="9730" max="9730" width="5.33203125" style="218" customWidth="1"/>
    <col min="9731" max="9731" width="6.109375" style="218" bestFit="1" customWidth="1"/>
    <col min="9732" max="9736" width="5" style="218" customWidth="1"/>
    <col min="9737" max="9737" width="5.33203125" style="218" customWidth="1"/>
    <col min="9738" max="9738" width="6.33203125" style="218" customWidth="1"/>
    <col min="9739" max="9739" width="5.33203125" style="218" customWidth="1"/>
    <col min="9740" max="9740" width="5" style="218" customWidth="1"/>
    <col min="9741" max="9741" width="4.33203125" style="218" customWidth="1"/>
    <col min="9742" max="9742" width="6.109375" style="218" bestFit="1" customWidth="1"/>
    <col min="9743" max="9752" width="4.88671875" style="218" customWidth="1"/>
    <col min="9753" max="9984" width="8.88671875" style="218"/>
    <col min="9985" max="9985" width="7.21875" style="218" customWidth="1"/>
    <col min="9986" max="9986" width="5.33203125" style="218" customWidth="1"/>
    <col min="9987" max="9987" width="6.109375" style="218" bestFit="1" customWidth="1"/>
    <col min="9988" max="9992" width="5" style="218" customWidth="1"/>
    <col min="9993" max="9993" width="5.33203125" style="218" customWidth="1"/>
    <col min="9994" max="9994" width="6.33203125" style="218" customWidth="1"/>
    <col min="9995" max="9995" width="5.33203125" style="218" customWidth="1"/>
    <col min="9996" max="9996" width="5" style="218" customWidth="1"/>
    <col min="9997" max="9997" width="4.33203125" style="218" customWidth="1"/>
    <col min="9998" max="9998" width="6.109375" style="218" bestFit="1" customWidth="1"/>
    <col min="9999" max="10008" width="4.88671875" style="218" customWidth="1"/>
    <col min="10009" max="10240" width="8.88671875" style="218"/>
    <col min="10241" max="10241" width="7.21875" style="218" customWidth="1"/>
    <col min="10242" max="10242" width="5.33203125" style="218" customWidth="1"/>
    <col min="10243" max="10243" width="6.109375" style="218" bestFit="1" customWidth="1"/>
    <col min="10244" max="10248" width="5" style="218" customWidth="1"/>
    <col min="10249" max="10249" width="5.33203125" style="218" customWidth="1"/>
    <col min="10250" max="10250" width="6.33203125" style="218" customWidth="1"/>
    <col min="10251" max="10251" width="5.33203125" style="218" customWidth="1"/>
    <col min="10252" max="10252" width="5" style="218" customWidth="1"/>
    <col min="10253" max="10253" width="4.33203125" style="218" customWidth="1"/>
    <col min="10254" max="10254" width="6.109375" style="218" bestFit="1" customWidth="1"/>
    <col min="10255" max="10264" width="4.88671875" style="218" customWidth="1"/>
    <col min="10265" max="10496" width="8.88671875" style="218"/>
    <col min="10497" max="10497" width="7.21875" style="218" customWidth="1"/>
    <col min="10498" max="10498" width="5.33203125" style="218" customWidth="1"/>
    <col min="10499" max="10499" width="6.109375" style="218" bestFit="1" customWidth="1"/>
    <col min="10500" max="10504" width="5" style="218" customWidth="1"/>
    <col min="10505" max="10505" width="5.33203125" style="218" customWidth="1"/>
    <col min="10506" max="10506" width="6.33203125" style="218" customWidth="1"/>
    <col min="10507" max="10507" width="5.33203125" style="218" customWidth="1"/>
    <col min="10508" max="10508" width="5" style="218" customWidth="1"/>
    <col min="10509" max="10509" width="4.33203125" style="218" customWidth="1"/>
    <col min="10510" max="10510" width="6.109375" style="218" bestFit="1" customWidth="1"/>
    <col min="10511" max="10520" width="4.88671875" style="218" customWidth="1"/>
    <col min="10521" max="10752" width="8.88671875" style="218"/>
    <col min="10753" max="10753" width="7.21875" style="218" customWidth="1"/>
    <col min="10754" max="10754" width="5.33203125" style="218" customWidth="1"/>
    <col min="10755" max="10755" width="6.109375" style="218" bestFit="1" customWidth="1"/>
    <col min="10756" max="10760" width="5" style="218" customWidth="1"/>
    <col min="10761" max="10761" width="5.33203125" style="218" customWidth="1"/>
    <col min="10762" max="10762" width="6.33203125" style="218" customWidth="1"/>
    <col min="10763" max="10763" width="5.33203125" style="218" customWidth="1"/>
    <col min="10764" max="10764" width="5" style="218" customWidth="1"/>
    <col min="10765" max="10765" width="4.33203125" style="218" customWidth="1"/>
    <col min="10766" max="10766" width="6.109375" style="218" bestFit="1" customWidth="1"/>
    <col min="10767" max="10776" width="4.88671875" style="218" customWidth="1"/>
    <col min="10777" max="11008" width="8.88671875" style="218"/>
    <col min="11009" max="11009" width="7.21875" style="218" customWidth="1"/>
    <col min="11010" max="11010" width="5.33203125" style="218" customWidth="1"/>
    <col min="11011" max="11011" width="6.109375" style="218" bestFit="1" customWidth="1"/>
    <col min="11012" max="11016" width="5" style="218" customWidth="1"/>
    <col min="11017" max="11017" width="5.33203125" style="218" customWidth="1"/>
    <col min="11018" max="11018" width="6.33203125" style="218" customWidth="1"/>
    <col min="11019" max="11019" width="5.33203125" style="218" customWidth="1"/>
    <col min="11020" max="11020" width="5" style="218" customWidth="1"/>
    <col min="11021" max="11021" width="4.33203125" style="218" customWidth="1"/>
    <col min="11022" max="11022" width="6.109375" style="218" bestFit="1" customWidth="1"/>
    <col min="11023" max="11032" width="4.88671875" style="218" customWidth="1"/>
    <col min="11033" max="11264" width="8.88671875" style="218"/>
    <col min="11265" max="11265" width="7.21875" style="218" customWidth="1"/>
    <col min="11266" max="11266" width="5.33203125" style="218" customWidth="1"/>
    <col min="11267" max="11267" width="6.109375" style="218" bestFit="1" customWidth="1"/>
    <col min="11268" max="11272" width="5" style="218" customWidth="1"/>
    <col min="11273" max="11273" width="5.33203125" style="218" customWidth="1"/>
    <col min="11274" max="11274" width="6.33203125" style="218" customWidth="1"/>
    <col min="11275" max="11275" width="5.33203125" style="218" customWidth="1"/>
    <col min="11276" max="11276" width="5" style="218" customWidth="1"/>
    <col min="11277" max="11277" width="4.33203125" style="218" customWidth="1"/>
    <col min="11278" max="11278" width="6.109375" style="218" bestFit="1" customWidth="1"/>
    <col min="11279" max="11288" width="4.88671875" style="218" customWidth="1"/>
    <col min="11289" max="11520" width="8.88671875" style="218"/>
    <col min="11521" max="11521" width="7.21875" style="218" customWidth="1"/>
    <col min="11522" max="11522" width="5.33203125" style="218" customWidth="1"/>
    <col min="11523" max="11523" width="6.109375" style="218" bestFit="1" customWidth="1"/>
    <col min="11524" max="11528" width="5" style="218" customWidth="1"/>
    <col min="11529" max="11529" width="5.33203125" style="218" customWidth="1"/>
    <col min="11530" max="11530" width="6.33203125" style="218" customWidth="1"/>
    <col min="11531" max="11531" width="5.33203125" style="218" customWidth="1"/>
    <col min="11532" max="11532" width="5" style="218" customWidth="1"/>
    <col min="11533" max="11533" width="4.33203125" style="218" customWidth="1"/>
    <col min="11534" max="11534" width="6.109375" style="218" bestFit="1" customWidth="1"/>
    <col min="11535" max="11544" width="4.88671875" style="218" customWidth="1"/>
    <col min="11545" max="11776" width="8.88671875" style="218"/>
    <col min="11777" max="11777" width="7.21875" style="218" customWidth="1"/>
    <col min="11778" max="11778" width="5.33203125" style="218" customWidth="1"/>
    <col min="11779" max="11779" width="6.109375" style="218" bestFit="1" customWidth="1"/>
    <col min="11780" max="11784" width="5" style="218" customWidth="1"/>
    <col min="11785" max="11785" width="5.33203125" style="218" customWidth="1"/>
    <col min="11786" max="11786" width="6.33203125" style="218" customWidth="1"/>
    <col min="11787" max="11787" width="5.33203125" style="218" customWidth="1"/>
    <col min="11788" max="11788" width="5" style="218" customWidth="1"/>
    <col min="11789" max="11789" width="4.33203125" style="218" customWidth="1"/>
    <col min="11790" max="11790" width="6.109375" style="218" bestFit="1" customWidth="1"/>
    <col min="11791" max="11800" width="4.88671875" style="218" customWidth="1"/>
    <col min="11801" max="12032" width="8.88671875" style="218"/>
    <col min="12033" max="12033" width="7.21875" style="218" customWidth="1"/>
    <col min="12034" max="12034" width="5.33203125" style="218" customWidth="1"/>
    <col min="12035" max="12035" width="6.109375" style="218" bestFit="1" customWidth="1"/>
    <col min="12036" max="12040" width="5" style="218" customWidth="1"/>
    <col min="12041" max="12041" width="5.33203125" style="218" customWidth="1"/>
    <col min="12042" max="12042" width="6.33203125" style="218" customWidth="1"/>
    <col min="12043" max="12043" width="5.33203125" style="218" customWidth="1"/>
    <col min="12044" max="12044" width="5" style="218" customWidth="1"/>
    <col min="12045" max="12045" width="4.33203125" style="218" customWidth="1"/>
    <col min="12046" max="12046" width="6.109375" style="218" bestFit="1" customWidth="1"/>
    <col min="12047" max="12056" width="4.88671875" style="218" customWidth="1"/>
    <col min="12057" max="12288" width="8.88671875" style="218"/>
    <col min="12289" max="12289" width="7.21875" style="218" customWidth="1"/>
    <col min="12290" max="12290" width="5.33203125" style="218" customWidth="1"/>
    <col min="12291" max="12291" width="6.109375" style="218" bestFit="1" customWidth="1"/>
    <col min="12292" max="12296" width="5" style="218" customWidth="1"/>
    <col min="12297" max="12297" width="5.33203125" style="218" customWidth="1"/>
    <col min="12298" max="12298" width="6.33203125" style="218" customWidth="1"/>
    <col min="12299" max="12299" width="5.33203125" style="218" customWidth="1"/>
    <col min="12300" max="12300" width="5" style="218" customWidth="1"/>
    <col min="12301" max="12301" width="4.33203125" style="218" customWidth="1"/>
    <col min="12302" max="12302" width="6.109375" style="218" bestFit="1" customWidth="1"/>
    <col min="12303" max="12312" width="4.88671875" style="218" customWidth="1"/>
    <col min="12313" max="12544" width="8.88671875" style="218"/>
    <col min="12545" max="12545" width="7.21875" style="218" customWidth="1"/>
    <col min="12546" max="12546" width="5.33203125" style="218" customWidth="1"/>
    <col min="12547" max="12547" width="6.109375" style="218" bestFit="1" customWidth="1"/>
    <col min="12548" max="12552" width="5" style="218" customWidth="1"/>
    <col min="12553" max="12553" width="5.33203125" style="218" customWidth="1"/>
    <col min="12554" max="12554" width="6.33203125" style="218" customWidth="1"/>
    <col min="12555" max="12555" width="5.33203125" style="218" customWidth="1"/>
    <col min="12556" max="12556" width="5" style="218" customWidth="1"/>
    <col min="12557" max="12557" width="4.33203125" style="218" customWidth="1"/>
    <col min="12558" max="12558" width="6.109375" style="218" bestFit="1" customWidth="1"/>
    <col min="12559" max="12568" width="4.88671875" style="218" customWidth="1"/>
    <col min="12569" max="12800" width="8.88671875" style="218"/>
    <col min="12801" max="12801" width="7.21875" style="218" customWidth="1"/>
    <col min="12802" max="12802" width="5.33203125" style="218" customWidth="1"/>
    <col min="12803" max="12803" width="6.109375" style="218" bestFit="1" customWidth="1"/>
    <col min="12804" max="12808" width="5" style="218" customWidth="1"/>
    <col min="12809" max="12809" width="5.33203125" style="218" customWidth="1"/>
    <col min="12810" max="12810" width="6.33203125" style="218" customWidth="1"/>
    <col min="12811" max="12811" width="5.33203125" style="218" customWidth="1"/>
    <col min="12812" max="12812" width="5" style="218" customWidth="1"/>
    <col min="12813" max="12813" width="4.33203125" style="218" customWidth="1"/>
    <col min="12814" max="12814" width="6.109375" style="218" bestFit="1" customWidth="1"/>
    <col min="12815" max="12824" width="4.88671875" style="218" customWidth="1"/>
    <col min="12825" max="13056" width="8.88671875" style="218"/>
    <col min="13057" max="13057" width="7.21875" style="218" customWidth="1"/>
    <col min="13058" max="13058" width="5.33203125" style="218" customWidth="1"/>
    <col min="13059" max="13059" width="6.109375" style="218" bestFit="1" customWidth="1"/>
    <col min="13060" max="13064" width="5" style="218" customWidth="1"/>
    <col min="13065" max="13065" width="5.33203125" style="218" customWidth="1"/>
    <col min="13066" max="13066" width="6.33203125" style="218" customWidth="1"/>
    <col min="13067" max="13067" width="5.33203125" style="218" customWidth="1"/>
    <col min="13068" max="13068" width="5" style="218" customWidth="1"/>
    <col min="13069" max="13069" width="4.33203125" style="218" customWidth="1"/>
    <col min="13070" max="13070" width="6.109375" style="218" bestFit="1" customWidth="1"/>
    <col min="13071" max="13080" width="4.88671875" style="218" customWidth="1"/>
    <col min="13081" max="13312" width="8.88671875" style="218"/>
    <col min="13313" max="13313" width="7.21875" style="218" customWidth="1"/>
    <col min="13314" max="13314" width="5.33203125" style="218" customWidth="1"/>
    <col min="13315" max="13315" width="6.109375" style="218" bestFit="1" customWidth="1"/>
    <col min="13316" max="13320" width="5" style="218" customWidth="1"/>
    <col min="13321" max="13321" width="5.33203125" style="218" customWidth="1"/>
    <col min="13322" max="13322" width="6.33203125" style="218" customWidth="1"/>
    <col min="13323" max="13323" width="5.33203125" style="218" customWidth="1"/>
    <col min="13324" max="13324" width="5" style="218" customWidth="1"/>
    <col min="13325" max="13325" width="4.33203125" style="218" customWidth="1"/>
    <col min="13326" max="13326" width="6.109375" style="218" bestFit="1" customWidth="1"/>
    <col min="13327" max="13336" width="4.88671875" style="218" customWidth="1"/>
    <col min="13337" max="13568" width="8.88671875" style="218"/>
    <col min="13569" max="13569" width="7.21875" style="218" customWidth="1"/>
    <col min="13570" max="13570" width="5.33203125" style="218" customWidth="1"/>
    <col min="13571" max="13571" width="6.109375" style="218" bestFit="1" customWidth="1"/>
    <col min="13572" max="13576" width="5" style="218" customWidth="1"/>
    <col min="13577" max="13577" width="5.33203125" style="218" customWidth="1"/>
    <col min="13578" max="13578" width="6.33203125" style="218" customWidth="1"/>
    <col min="13579" max="13579" width="5.33203125" style="218" customWidth="1"/>
    <col min="13580" max="13580" width="5" style="218" customWidth="1"/>
    <col min="13581" max="13581" width="4.33203125" style="218" customWidth="1"/>
    <col min="13582" max="13582" width="6.109375" style="218" bestFit="1" customWidth="1"/>
    <col min="13583" max="13592" width="4.88671875" style="218" customWidth="1"/>
    <col min="13593" max="13824" width="8.88671875" style="218"/>
    <col min="13825" max="13825" width="7.21875" style="218" customWidth="1"/>
    <col min="13826" max="13826" width="5.33203125" style="218" customWidth="1"/>
    <col min="13827" max="13827" width="6.109375" style="218" bestFit="1" customWidth="1"/>
    <col min="13828" max="13832" width="5" style="218" customWidth="1"/>
    <col min="13833" max="13833" width="5.33203125" style="218" customWidth="1"/>
    <col min="13834" max="13834" width="6.33203125" style="218" customWidth="1"/>
    <col min="13835" max="13835" width="5.33203125" style="218" customWidth="1"/>
    <col min="13836" max="13836" width="5" style="218" customWidth="1"/>
    <col min="13837" max="13837" width="4.33203125" style="218" customWidth="1"/>
    <col min="13838" max="13838" width="6.109375" style="218" bestFit="1" customWidth="1"/>
    <col min="13839" max="13848" width="4.88671875" style="218" customWidth="1"/>
    <col min="13849" max="14080" width="8.88671875" style="218"/>
    <col min="14081" max="14081" width="7.21875" style="218" customWidth="1"/>
    <col min="14082" max="14082" width="5.33203125" style="218" customWidth="1"/>
    <col min="14083" max="14083" width="6.109375" style="218" bestFit="1" customWidth="1"/>
    <col min="14084" max="14088" width="5" style="218" customWidth="1"/>
    <col min="14089" max="14089" width="5.33203125" style="218" customWidth="1"/>
    <col min="14090" max="14090" width="6.33203125" style="218" customWidth="1"/>
    <col min="14091" max="14091" width="5.33203125" style="218" customWidth="1"/>
    <col min="14092" max="14092" width="5" style="218" customWidth="1"/>
    <col min="14093" max="14093" width="4.33203125" style="218" customWidth="1"/>
    <col min="14094" max="14094" width="6.109375" style="218" bestFit="1" customWidth="1"/>
    <col min="14095" max="14104" width="4.88671875" style="218" customWidth="1"/>
    <col min="14105" max="14336" width="8.88671875" style="218"/>
    <col min="14337" max="14337" width="7.21875" style="218" customWidth="1"/>
    <col min="14338" max="14338" width="5.33203125" style="218" customWidth="1"/>
    <col min="14339" max="14339" width="6.109375" style="218" bestFit="1" customWidth="1"/>
    <col min="14340" max="14344" width="5" style="218" customWidth="1"/>
    <col min="14345" max="14345" width="5.33203125" style="218" customWidth="1"/>
    <col min="14346" max="14346" width="6.33203125" style="218" customWidth="1"/>
    <col min="14347" max="14347" width="5.33203125" style="218" customWidth="1"/>
    <col min="14348" max="14348" width="5" style="218" customWidth="1"/>
    <col min="14349" max="14349" width="4.33203125" style="218" customWidth="1"/>
    <col min="14350" max="14350" width="6.109375" style="218" bestFit="1" customWidth="1"/>
    <col min="14351" max="14360" width="4.88671875" style="218" customWidth="1"/>
    <col min="14361" max="14592" width="8.88671875" style="218"/>
    <col min="14593" max="14593" width="7.21875" style="218" customWidth="1"/>
    <col min="14594" max="14594" width="5.33203125" style="218" customWidth="1"/>
    <col min="14595" max="14595" width="6.109375" style="218" bestFit="1" customWidth="1"/>
    <col min="14596" max="14600" width="5" style="218" customWidth="1"/>
    <col min="14601" max="14601" width="5.33203125" style="218" customWidth="1"/>
    <col min="14602" max="14602" width="6.33203125" style="218" customWidth="1"/>
    <col min="14603" max="14603" width="5.33203125" style="218" customWidth="1"/>
    <col min="14604" max="14604" width="5" style="218" customWidth="1"/>
    <col min="14605" max="14605" width="4.33203125" style="218" customWidth="1"/>
    <col min="14606" max="14606" width="6.109375" style="218" bestFit="1" customWidth="1"/>
    <col min="14607" max="14616" width="4.88671875" style="218" customWidth="1"/>
    <col min="14617" max="14848" width="8.88671875" style="218"/>
    <col min="14849" max="14849" width="7.21875" style="218" customWidth="1"/>
    <col min="14850" max="14850" width="5.33203125" style="218" customWidth="1"/>
    <col min="14851" max="14851" width="6.109375" style="218" bestFit="1" customWidth="1"/>
    <col min="14852" max="14856" width="5" style="218" customWidth="1"/>
    <col min="14857" max="14857" width="5.33203125" style="218" customWidth="1"/>
    <col min="14858" max="14858" width="6.33203125" style="218" customWidth="1"/>
    <col min="14859" max="14859" width="5.33203125" style="218" customWidth="1"/>
    <col min="14860" max="14860" width="5" style="218" customWidth="1"/>
    <col min="14861" max="14861" width="4.33203125" style="218" customWidth="1"/>
    <col min="14862" max="14862" width="6.109375" style="218" bestFit="1" customWidth="1"/>
    <col min="14863" max="14872" width="4.88671875" style="218" customWidth="1"/>
    <col min="14873" max="15104" width="8.88671875" style="218"/>
    <col min="15105" max="15105" width="7.21875" style="218" customWidth="1"/>
    <col min="15106" max="15106" width="5.33203125" style="218" customWidth="1"/>
    <col min="15107" max="15107" width="6.109375" style="218" bestFit="1" customWidth="1"/>
    <col min="15108" max="15112" width="5" style="218" customWidth="1"/>
    <col min="15113" max="15113" width="5.33203125" style="218" customWidth="1"/>
    <col min="15114" max="15114" width="6.33203125" style="218" customWidth="1"/>
    <col min="15115" max="15115" width="5.33203125" style="218" customWidth="1"/>
    <col min="15116" max="15116" width="5" style="218" customWidth="1"/>
    <col min="15117" max="15117" width="4.33203125" style="218" customWidth="1"/>
    <col min="15118" max="15118" width="6.109375" style="218" bestFit="1" customWidth="1"/>
    <col min="15119" max="15128" width="4.88671875" style="218" customWidth="1"/>
    <col min="15129" max="15360" width="8.88671875" style="218"/>
    <col min="15361" max="15361" width="7.21875" style="218" customWidth="1"/>
    <col min="15362" max="15362" width="5.33203125" style="218" customWidth="1"/>
    <col min="15363" max="15363" width="6.109375" style="218" bestFit="1" customWidth="1"/>
    <col min="15364" max="15368" width="5" style="218" customWidth="1"/>
    <col min="15369" max="15369" width="5.33203125" style="218" customWidth="1"/>
    <col min="15370" max="15370" width="6.33203125" style="218" customWidth="1"/>
    <col min="15371" max="15371" width="5.33203125" style="218" customWidth="1"/>
    <col min="15372" max="15372" width="5" style="218" customWidth="1"/>
    <col min="15373" max="15373" width="4.33203125" style="218" customWidth="1"/>
    <col min="15374" max="15374" width="6.109375" style="218" bestFit="1" customWidth="1"/>
    <col min="15375" max="15384" width="4.88671875" style="218" customWidth="1"/>
    <col min="15385" max="15616" width="8.88671875" style="218"/>
    <col min="15617" max="15617" width="7.21875" style="218" customWidth="1"/>
    <col min="15618" max="15618" width="5.33203125" style="218" customWidth="1"/>
    <col min="15619" max="15619" width="6.109375" style="218" bestFit="1" customWidth="1"/>
    <col min="15620" max="15624" width="5" style="218" customWidth="1"/>
    <col min="15625" max="15625" width="5.33203125" style="218" customWidth="1"/>
    <col min="15626" max="15626" width="6.33203125" style="218" customWidth="1"/>
    <col min="15627" max="15627" width="5.33203125" style="218" customWidth="1"/>
    <col min="15628" max="15628" width="5" style="218" customWidth="1"/>
    <col min="15629" max="15629" width="4.33203125" style="218" customWidth="1"/>
    <col min="15630" max="15630" width="6.109375" style="218" bestFit="1" customWidth="1"/>
    <col min="15631" max="15640" width="4.88671875" style="218" customWidth="1"/>
    <col min="15641" max="15872" width="8.88671875" style="218"/>
    <col min="15873" max="15873" width="7.21875" style="218" customWidth="1"/>
    <col min="15874" max="15874" width="5.33203125" style="218" customWidth="1"/>
    <col min="15875" max="15875" width="6.109375" style="218" bestFit="1" customWidth="1"/>
    <col min="15876" max="15880" width="5" style="218" customWidth="1"/>
    <col min="15881" max="15881" width="5.33203125" style="218" customWidth="1"/>
    <col min="15882" max="15882" width="6.33203125" style="218" customWidth="1"/>
    <col min="15883" max="15883" width="5.33203125" style="218" customWidth="1"/>
    <col min="15884" max="15884" width="5" style="218" customWidth="1"/>
    <col min="15885" max="15885" width="4.33203125" style="218" customWidth="1"/>
    <col min="15886" max="15886" width="6.109375" style="218" bestFit="1" customWidth="1"/>
    <col min="15887" max="15896" width="4.88671875" style="218" customWidth="1"/>
    <col min="15897" max="16128" width="8.88671875" style="218"/>
    <col min="16129" max="16129" width="7.21875" style="218" customWidth="1"/>
    <col min="16130" max="16130" width="5.33203125" style="218" customWidth="1"/>
    <col min="16131" max="16131" width="6.109375" style="218" bestFit="1" customWidth="1"/>
    <col min="16132" max="16136" width="5" style="218" customWidth="1"/>
    <col min="16137" max="16137" width="5.33203125" style="218" customWidth="1"/>
    <col min="16138" max="16138" width="6.33203125" style="218" customWidth="1"/>
    <col min="16139" max="16139" width="5.33203125" style="218" customWidth="1"/>
    <col min="16140" max="16140" width="5" style="218" customWidth="1"/>
    <col min="16141" max="16141" width="4.33203125" style="218" customWidth="1"/>
    <col min="16142" max="16142" width="6.109375" style="218" bestFit="1" customWidth="1"/>
    <col min="16143" max="16152" width="4.88671875" style="218" customWidth="1"/>
    <col min="16153" max="16384" width="8.88671875" style="218"/>
  </cols>
  <sheetData>
    <row r="1" spans="1:38" s="21" customFormat="1" ht="16.5" customHeight="1">
      <c r="A1" s="341"/>
      <c r="B1" s="341"/>
      <c r="C1" s="341"/>
      <c r="D1" s="341"/>
      <c r="E1" s="341"/>
      <c r="F1" s="341"/>
      <c r="G1" s="341"/>
    </row>
    <row r="2" spans="1:38" s="21" customFormat="1" ht="9.9499999999999993" customHeight="1">
      <c r="A2" s="27"/>
      <c r="B2" s="22"/>
      <c r="C2" s="22"/>
      <c r="D2" s="22"/>
      <c r="E2" s="22"/>
      <c r="F2" s="22"/>
      <c r="G2" s="23"/>
    </row>
    <row r="3" spans="1:38" ht="15" customHeight="1">
      <c r="A3" s="180" t="s">
        <v>130</v>
      </c>
      <c r="B3" s="302"/>
      <c r="C3" s="218"/>
    </row>
    <row r="4" spans="1:38" ht="15" customHeight="1">
      <c r="A4" s="220" t="s">
        <v>12</v>
      </c>
      <c r="D4" s="219"/>
      <c r="L4" s="219"/>
    </row>
    <row r="5" spans="1:38" ht="14.25" customHeight="1">
      <c r="A5" s="530" t="s">
        <v>5</v>
      </c>
      <c r="B5" s="531" t="s">
        <v>129</v>
      </c>
      <c r="C5" s="222" t="s">
        <v>68</v>
      </c>
      <c r="D5" s="223" t="s">
        <v>69</v>
      </c>
      <c r="E5" s="223" t="s">
        <v>70</v>
      </c>
      <c r="F5" s="223" t="s">
        <v>68</v>
      </c>
      <c r="G5" s="223" t="s">
        <v>71</v>
      </c>
      <c r="H5" s="223" t="s">
        <v>72</v>
      </c>
      <c r="I5" s="222" t="s">
        <v>73</v>
      </c>
      <c r="J5" s="223" t="s">
        <v>74</v>
      </c>
      <c r="K5" s="222" t="s">
        <v>75</v>
      </c>
      <c r="L5" s="222" t="s">
        <v>76</v>
      </c>
      <c r="Y5" s="219"/>
      <c r="Z5" s="219"/>
      <c r="AA5" s="219"/>
      <c r="AB5" s="219"/>
    </row>
    <row r="6" spans="1:38" ht="13.5" customHeight="1">
      <c r="A6" s="530"/>
      <c r="B6" s="532"/>
      <c r="C6" s="224" t="s">
        <v>69</v>
      </c>
      <c r="D6" s="225" t="s">
        <v>77</v>
      </c>
      <c r="E6" s="225" t="s">
        <v>78</v>
      </c>
      <c r="F6" s="225" t="s">
        <v>79</v>
      </c>
      <c r="G6" s="225" t="s">
        <v>79</v>
      </c>
      <c r="H6" s="225" t="s">
        <v>80</v>
      </c>
      <c r="I6" s="224" t="s">
        <v>81</v>
      </c>
      <c r="J6" s="225" t="s">
        <v>81</v>
      </c>
      <c r="K6" s="225" t="s">
        <v>82</v>
      </c>
      <c r="L6" s="224" t="s">
        <v>83</v>
      </c>
      <c r="M6" s="226"/>
      <c r="Y6" s="219"/>
      <c r="Z6" s="219"/>
      <c r="AA6" s="219"/>
      <c r="AB6" s="219"/>
    </row>
    <row r="7" spans="1:38" s="229" customFormat="1" ht="14.25" customHeight="1">
      <c r="A7" s="483"/>
      <c r="B7" s="533"/>
      <c r="C7" s="227" t="s">
        <v>77</v>
      </c>
      <c r="D7" s="228" t="s">
        <v>65</v>
      </c>
      <c r="E7" s="228" t="s">
        <v>65</v>
      </c>
      <c r="F7" s="228" t="s">
        <v>84</v>
      </c>
      <c r="G7" s="228" t="s">
        <v>65</v>
      </c>
      <c r="H7" s="228" t="s">
        <v>65</v>
      </c>
      <c r="I7" s="227" t="s">
        <v>65</v>
      </c>
      <c r="J7" s="228" t="s">
        <v>65</v>
      </c>
      <c r="K7" s="228" t="s">
        <v>58</v>
      </c>
      <c r="L7" s="227" t="s">
        <v>58</v>
      </c>
      <c r="M7" s="226"/>
      <c r="N7" s="219"/>
      <c r="O7" s="219"/>
      <c r="P7" s="219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</row>
    <row r="8" spans="1:38" ht="9.75" customHeight="1">
      <c r="A8" s="336">
        <v>2016</v>
      </c>
      <c r="B8" s="304">
        <v>91.6</v>
      </c>
      <c r="C8" s="234">
        <v>85</v>
      </c>
      <c r="D8" s="235">
        <v>89</v>
      </c>
      <c r="E8" s="234">
        <v>93</v>
      </c>
      <c r="F8" s="230">
        <v>53</v>
      </c>
      <c r="G8" s="230">
        <v>63</v>
      </c>
      <c r="H8" s="230">
        <v>70</v>
      </c>
      <c r="I8" s="232">
        <v>116</v>
      </c>
      <c r="J8" s="230">
        <v>139</v>
      </c>
      <c r="K8" s="232">
        <v>100</v>
      </c>
      <c r="L8" s="232">
        <v>109</v>
      </c>
      <c r="N8" s="328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</row>
    <row r="9" spans="1:38" ht="9.75" customHeight="1">
      <c r="A9" s="336">
        <v>2017</v>
      </c>
      <c r="B9" s="304">
        <v>108.2</v>
      </c>
      <c r="C9" s="234">
        <v>90</v>
      </c>
      <c r="D9" s="235">
        <v>98</v>
      </c>
      <c r="E9" s="234">
        <v>101</v>
      </c>
      <c r="F9" s="230">
        <v>86</v>
      </c>
      <c r="G9" s="230">
        <v>98</v>
      </c>
      <c r="H9" s="230">
        <v>94</v>
      </c>
      <c r="I9" s="232">
        <v>131</v>
      </c>
      <c r="J9" s="230">
        <v>140</v>
      </c>
      <c r="K9" s="232">
        <v>101</v>
      </c>
      <c r="L9" s="232">
        <v>123</v>
      </c>
      <c r="N9" s="328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19"/>
      <c r="Z9" s="219"/>
      <c r="AA9" s="219"/>
      <c r="AB9" s="233"/>
      <c r="AC9" s="233"/>
      <c r="AD9" s="233"/>
      <c r="AE9" s="233"/>
      <c r="AF9" s="233"/>
      <c r="AG9" s="233"/>
      <c r="AH9" s="233"/>
      <c r="AI9" s="233"/>
      <c r="AJ9" s="233"/>
      <c r="AK9" s="233"/>
      <c r="AL9" s="233"/>
    </row>
    <row r="10" spans="1:38" ht="9.75" customHeight="1">
      <c r="A10" s="336">
        <v>2018</v>
      </c>
      <c r="B10" s="304">
        <v>93.1</v>
      </c>
      <c r="C10" s="234">
        <v>82</v>
      </c>
      <c r="D10" s="235">
        <v>87</v>
      </c>
      <c r="E10" s="234">
        <v>92</v>
      </c>
      <c r="F10" s="230">
        <v>60</v>
      </c>
      <c r="G10" s="230">
        <v>69</v>
      </c>
      <c r="H10" s="230">
        <v>70</v>
      </c>
      <c r="I10" s="232">
        <v>127</v>
      </c>
      <c r="J10" s="230">
        <v>142</v>
      </c>
      <c r="K10" s="232">
        <v>87</v>
      </c>
      <c r="L10" s="232">
        <v>115</v>
      </c>
      <c r="N10" s="328"/>
      <c r="O10" s="236"/>
      <c r="P10" s="236"/>
      <c r="Q10" s="236"/>
      <c r="R10" s="236"/>
      <c r="S10" s="236"/>
      <c r="T10" s="236"/>
      <c r="U10" s="236"/>
      <c r="V10" s="236"/>
      <c r="W10" s="236"/>
      <c r="X10" s="236"/>
      <c r="Y10" s="219"/>
      <c r="Z10" s="219"/>
      <c r="AA10" s="219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</row>
    <row r="11" spans="1:38" ht="9.75" customHeight="1">
      <c r="A11" s="336">
        <v>2019</v>
      </c>
      <c r="B11" s="304">
        <v>98.8</v>
      </c>
      <c r="C11" s="234">
        <v>85</v>
      </c>
      <c r="D11" s="235">
        <v>91</v>
      </c>
      <c r="E11" s="234">
        <v>95</v>
      </c>
      <c r="F11" s="230">
        <v>69</v>
      </c>
      <c r="G11" s="230">
        <v>79</v>
      </c>
      <c r="H11" s="230">
        <v>79</v>
      </c>
      <c r="I11" s="232">
        <v>91</v>
      </c>
      <c r="J11" s="230">
        <v>128</v>
      </c>
      <c r="K11" s="232">
        <v>125</v>
      </c>
      <c r="L11" s="232">
        <v>116</v>
      </c>
      <c r="N11" s="328"/>
      <c r="O11" s="236"/>
      <c r="P11" s="236"/>
      <c r="Q11" s="236"/>
      <c r="R11" s="236"/>
      <c r="S11" s="236"/>
      <c r="T11" s="236"/>
      <c r="U11" s="236"/>
      <c r="V11" s="236"/>
      <c r="W11" s="236"/>
      <c r="X11" s="236"/>
      <c r="Y11" s="233"/>
      <c r="Z11" s="233"/>
      <c r="AA11" s="219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</row>
    <row r="12" spans="1:38" ht="9.75" customHeight="1">
      <c r="A12" s="336">
        <v>2020</v>
      </c>
      <c r="B12" s="304">
        <v>85.7</v>
      </c>
      <c r="C12" s="234">
        <v>76</v>
      </c>
      <c r="D12" s="235">
        <v>82</v>
      </c>
      <c r="E12" s="234">
        <v>85</v>
      </c>
      <c r="F12" s="230">
        <v>46</v>
      </c>
      <c r="G12" s="230">
        <v>75</v>
      </c>
      <c r="H12" s="230">
        <v>67</v>
      </c>
      <c r="I12" s="232">
        <v>99</v>
      </c>
      <c r="J12" s="232">
        <v>130</v>
      </c>
      <c r="K12" s="232">
        <v>134</v>
      </c>
      <c r="L12" s="232">
        <v>108</v>
      </c>
      <c r="N12" s="328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3"/>
      <c r="Z12" s="233"/>
      <c r="AA12" s="219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</row>
    <row r="13" spans="1:38" ht="9.75" customHeight="1">
      <c r="A13" s="336">
        <v>2021</v>
      </c>
      <c r="B13" s="304">
        <v>103.7</v>
      </c>
      <c r="C13" s="234">
        <v>87</v>
      </c>
      <c r="D13" s="235">
        <v>94</v>
      </c>
      <c r="E13" s="234">
        <v>97</v>
      </c>
      <c r="F13" s="230">
        <v>75</v>
      </c>
      <c r="G13" s="230">
        <v>87</v>
      </c>
      <c r="H13" s="230">
        <v>89</v>
      </c>
      <c r="I13" s="232">
        <v>134</v>
      </c>
      <c r="J13" s="232">
        <v>145</v>
      </c>
      <c r="K13" s="232">
        <v>112</v>
      </c>
      <c r="L13" s="232">
        <v>119</v>
      </c>
      <c r="N13" s="328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3"/>
      <c r="Z13" s="233"/>
      <c r="AA13" s="219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</row>
    <row r="14" spans="1:38" ht="9.75" customHeight="1">
      <c r="A14" s="336">
        <v>2022</v>
      </c>
      <c r="B14" s="304">
        <v>92.4</v>
      </c>
      <c r="C14" s="234">
        <v>80</v>
      </c>
      <c r="D14" s="235">
        <v>84</v>
      </c>
      <c r="E14" s="234">
        <v>93</v>
      </c>
      <c r="F14" s="230">
        <v>54</v>
      </c>
      <c r="G14" s="230">
        <v>63</v>
      </c>
      <c r="H14" s="230">
        <v>71</v>
      </c>
      <c r="I14" s="232">
        <v>129</v>
      </c>
      <c r="J14" s="232">
        <v>145</v>
      </c>
      <c r="K14" s="232">
        <v>64</v>
      </c>
      <c r="L14" s="232">
        <v>115</v>
      </c>
      <c r="N14" s="328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3"/>
      <c r="Z14" s="233"/>
      <c r="AA14" s="219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</row>
    <row r="15" spans="1:38" ht="9.75" customHeight="1">
      <c r="A15" s="336">
        <v>2023</v>
      </c>
      <c r="B15" s="304">
        <v>99.2</v>
      </c>
      <c r="C15" s="234">
        <v>86</v>
      </c>
      <c r="D15" s="235">
        <v>90</v>
      </c>
      <c r="E15" s="234">
        <v>95</v>
      </c>
      <c r="F15" s="230">
        <v>63</v>
      </c>
      <c r="G15" s="230">
        <v>75</v>
      </c>
      <c r="H15" s="230">
        <v>81</v>
      </c>
      <c r="I15" s="232">
        <v>109</v>
      </c>
      <c r="J15" s="232">
        <v>139</v>
      </c>
      <c r="K15" s="232">
        <v>95</v>
      </c>
      <c r="L15" s="232">
        <v>117</v>
      </c>
      <c r="N15" s="328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3"/>
      <c r="Z15" s="233"/>
      <c r="AA15" s="219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</row>
    <row r="16" spans="1:38" ht="9.75" customHeight="1">
      <c r="A16" s="336">
        <v>2024</v>
      </c>
      <c r="B16" s="304">
        <v>92.7</v>
      </c>
      <c r="C16" s="234">
        <v>85</v>
      </c>
      <c r="D16" s="235">
        <v>85</v>
      </c>
      <c r="E16" s="234">
        <v>95</v>
      </c>
      <c r="F16" s="230">
        <v>55</v>
      </c>
      <c r="G16" s="230">
        <v>57</v>
      </c>
      <c r="H16" s="230">
        <v>67</v>
      </c>
      <c r="I16" s="232">
        <v>96</v>
      </c>
      <c r="J16" s="232">
        <v>145</v>
      </c>
      <c r="K16" s="232">
        <v>100</v>
      </c>
      <c r="L16" s="232">
        <v>115</v>
      </c>
      <c r="N16" s="14"/>
      <c r="O16" s="236"/>
      <c r="P16" s="236"/>
      <c r="Q16" s="236"/>
      <c r="R16" s="236"/>
      <c r="S16" s="236"/>
      <c r="T16" s="236"/>
      <c r="U16" s="236"/>
      <c r="V16" s="236"/>
      <c r="W16" s="236"/>
      <c r="X16" s="236"/>
      <c r="Y16" s="233"/>
      <c r="Z16" s="233"/>
      <c r="AA16" s="219"/>
      <c r="AB16" s="219"/>
    </row>
    <row r="17" spans="1:38" ht="9.75" customHeight="1">
      <c r="A17" s="336">
        <v>2025</v>
      </c>
      <c r="B17" s="304">
        <v>113.4</v>
      </c>
      <c r="C17" s="234">
        <v>94</v>
      </c>
      <c r="D17" s="235">
        <v>100</v>
      </c>
      <c r="E17" s="234">
        <v>103</v>
      </c>
      <c r="F17" s="230">
        <v>89</v>
      </c>
      <c r="G17" s="230">
        <v>98</v>
      </c>
      <c r="H17" s="230">
        <v>91</v>
      </c>
      <c r="I17" s="232">
        <v>102</v>
      </c>
      <c r="J17" s="232">
        <v>146</v>
      </c>
      <c r="K17" s="232">
        <v>121</v>
      </c>
      <c r="L17" s="232">
        <v>120</v>
      </c>
      <c r="N17" s="14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3"/>
      <c r="Z17" s="233"/>
      <c r="AA17" s="219"/>
      <c r="AB17" s="219"/>
    </row>
    <row r="18" spans="1:38" ht="9.75" customHeight="1">
      <c r="A18" s="336"/>
      <c r="B18" s="304"/>
      <c r="C18" s="234"/>
      <c r="D18" s="235"/>
      <c r="E18" s="234"/>
      <c r="F18" s="230"/>
      <c r="G18" s="230"/>
      <c r="H18" s="230"/>
      <c r="I18" s="232"/>
      <c r="J18" s="232"/>
      <c r="K18" s="232"/>
      <c r="L18" s="232"/>
      <c r="N18" s="14"/>
      <c r="O18" s="236"/>
      <c r="P18" s="236"/>
      <c r="Q18" s="236"/>
      <c r="R18" s="236"/>
      <c r="S18" s="236"/>
      <c r="T18" s="236"/>
      <c r="U18" s="236"/>
      <c r="V18" s="236"/>
      <c r="W18" s="236"/>
      <c r="X18" s="236"/>
      <c r="Y18" s="233"/>
      <c r="Z18" s="233"/>
      <c r="AA18" s="219"/>
      <c r="AB18" s="219"/>
    </row>
    <row r="19" spans="1:38" ht="9.75" customHeight="1">
      <c r="A19" s="324"/>
      <c r="B19" s="304"/>
      <c r="C19" s="234"/>
      <c r="D19" s="235"/>
      <c r="E19" s="234"/>
      <c r="F19" s="230"/>
      <c r="G19" s="230"/>
      <c r="H19" s="230"/>
      <c r="I19" s="232"/>
      <c r="J19" s="230"/>
      <c r="K19" s="232"/>
      <c r="L19" s="232"/>
      <c r="N19" s="14"/>
      <c r="O19" s="236"/>
      <c r="P19" s="236"/>
      <c r="Q19" s="236"/>
      <c r="R19" s="236"/>
      <c r="S19" s="236"/>
      <c r="T19" s="236"/>
      <c r="U19" s="236"/>
      <c r="V19" s="236"/>
      <c r="W19" s="236"/>
      <c r="X19" s="236"/>
      <c r="Y19" s="219"/>
      <c r="Z19" s="219"/>
      <c r="AA19" s="219"/>
      <c r="AB19" s="219"/>
    </row>
    <row r="20" spans="1:38" ht="9.75" customHeight="1">
      <c r="A20" s="337">
        <v>44562</v>
      </c>
      <c r="B20" s="304">
        <v>104.1</v>
      </c>
      <c r="C20" s="234">
        <v>89</v>
      </c>
      <c r="D20" s="235">
        <v>95</v>
      </c>
      <c r="E20" s="234">
        <v>97</v>
      </c>
      <c r="F20" s="230">
        <v>72</v>
      </c>
      <c r="G20" s="230">
        <v>89</v>
      </c>
      <c r="H20" s="230">
        <v>89</v>
      </c>
      <c r="I20" s="232">
        <v>135</v>
      </c>
      <c r="J20" s="232">
        <v>148</v>
      </c>
      <c r="K20" s="232">
        <v>106</v>
      </c>
      <c r="L20" s="232">
        <v>119</v>
      </c>
      <c r="N20" s="328"/>
      <c r="O20" s="236"/>
      <c r="P20" s="236"/>
      <c r="Q20" s="236"/>
      <c r="R20" s="236"/>
      <c r="S20" s="236"/>
      <c r="T20" s="236"/>
      <c r="U20" s="236"/>
      <c r="V20" s="236"/>
      <c r="W20" s="236"/>
      <c r="X20" s="236"/>
      <c r="Y20" s="236"/>
      <c r="Z20" s="236"/>
      <c r="AA20" s="236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</row>
    <row r="21" spans="1:38" ht="9.75" customHeight="1">
      <c r="A21" s="337">
        <v>44593</v>
      </c>
      <c r="B21" s="304">
        <v>101.7</v>
      </c>
      <c r="C21" s="234">
        <v>86</v>
      </c>
      <c r="D21" s="235">
        <v>92</v>
      </c>
      <c r="E21" s="234">
        <v>95</v>
      </c>
      <c r="F21" s="230">
        <v>71</v>
      </c>
      <c r="G21" s="230">
        <v>89</v>
      </c>
      <c r="H21" s="230">
        <v>88</v>
      </c>
      <c r="I21" s="232">
        <v>134</v>
      </c>
      <c r="J21" s="232">
        <v>148</v>
      </c>
      <c r="K21" s="232">
        <v>103</v>
      </c>
      <c r="L21" s="232">
        <v>119</v>
      </c>
      <c r="N21" s="328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  <c r="AA21" s="236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</row>
    <row r="22" spans="1:38" ht="9.75" customHeight="1">
      <c r="A22" s="337">
        <v>44621</v>
      </c>
      <c r="B22" s="304">
        <v>102.8</v>
      </c>
      <c r="C22" s="234">
        <v>84</v>
      </c>
      <c r="D22" s="235">
        <v>94</v>
      </c>
      <c r="E22" s="234">
        <v>96</v>
      </c>
      <c r="F22" s="230">
        <v>67</v>
      </c>
      <c r="G22" s="230">
        <v>91</v>
      </c>
      <c r="H22" s="230">
        <v>94</v>
      </c>
      <c r="I22" s="232">
        <v>134</v>
      </c>
      <c r="J22" s="232">
        <v>151</v>
      </c>
      <c r="K22" s="232">
        <v>111</v>
      </c>
      <c r="L22" s="232">
        <v>117</v>
      </c>
      <c r="N22" s="328"/>
      <c r="O22" s="236"/>
      <c r="P22" s="236"/>
      <c r="Q22" s="236"/>
      <c r="R22" s="236"/>
      <c r="S22" s="236"/>
      <c r="T22" s="236"/>
      <c r="U22" s="236"/>
      <c r="V22" s="236"/>
      <c r="W22" s="236"/>
      <c r="X22" s="236"/>
      <c r="Y22" s="236"/>
      <c r="Z22" s="236"/>
      <c r="AA22" s="236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</row>
    <row r="23" spans="1:38" ht="9.75" customHeight="1">
      <c r="A23" s="337">
        <v>44652</v>
      </c>
      <c r="B23" s="304">
        <v>105.2</v>
      </c>
      <c r="C23" s="234">
        <v>87</v>
      </c>
      <c r="D23" s="235">
        <v>96</v>
      </c>
      <c r="E23" s="234">
        <v>97</v>
      </c>
      <c r="F23" s="230">
        <v>73</v>
      </c>
      <c r="G23" s="230">
        <v>92</v>
      </c>
      <c r="H23" s="230">
        <v>96</v>
      </c>
      <c r="I23" s="232">
        <v>138</v>
      </c>
      <c r="J23" s="232">
        <v>152</v>
      </c>
      <c r="K23" s="232">
        <v>118</v>
      </c>
      <c r="L23" s="232">
        <v>116</v>
      </c>
      <c r="N23" s="328"/>
      <c r="O23" s="236"/>
      <c r="P23" s="236"/>
      <c r="Q23" s="236"/>
      <c r="R23" s="236"/>
      <c r="S23" s="236"/>
      <c r="T23" s="236"/>
      <c r="U23" s="236"/>
      <c r="V23" s="236"/>
      <c r="W23" s="236"/>
      <c r="X23" s="236"/>
      <c r="Y23" s="236"/>
      <c r="Z23" s="236"/>
      <c r="AA23" s="236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</row>
    <row r="24" spans="1:38" ht="9.75" customHeight="1">
      <c r="A24" s="337">
        <v>44682</v>
      </c>
      <c r="B24" s="304">
        <v>103.8</v>
      </c>
      <c r="C24" s="234">
        <v>86</v>
      </c>
      <c r="D24" s="235">
        <v>92</v>
      </c>
      <c r="E24" s="234">
        <v>96</v>
      </c>
      <c r="F24" s="230">
        <v>70</v>
      </c>
      <c r="G24" s="230">
        <v>88</v>
      </c>
      <c r="H24" s="230">
        <v>96</v>
      </c>
      <c r="I24" s="232">
        <v>144</v>
      </c>
      <c r="J24" s="232">
        <v>154</v>
      </c>
      <c r="K24" s="232">
        <v>117</v>
      </c>
      <c r="L24" s="232">
        <v>119</v>
      </c>
      <c r="N24" s="328"/>
      <c r="O24" s="236"/>
      <c r="P24" s="236"/>
      <c r="Q24" s="236"/>
      <c r="R24" s="236"/>
      <c r="S24" s="236"/>
      <c r="T24" s="236"/>
      <c r="U24" s="236"/>
      <c r="V24" s="236"/>
      <c r="W24" s="236"/>
      <c r="X24" s="236"/>
      <c r="Y24" s="236"/>
      <c r="Z24" s="236"/>
      <c r="AA24" s="236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</row>
    <row r="25" spans="1:38" ht="9.75" customHeight="1">
      <c r="A25" s="337">
        <v>44713</v>
      </c>
      <c r="B25" s="304">
        <v>92.8</v>
      </c>
      <c r="C25" s="234">
        <v>79</v>
      </c>
      <c r="D25" s="235">
        <v>84</v>
      </c>
      <c r="E25" s="234">
        <v>92</v>
      </c>
      <c r="F25" s="230">
        <v>57</v>
      </c>
      <c r="G25" s="230">
        <v>71</v>
      </c>
      <c r="H25" s="230">
        <v>86</v>
      </c>
      <c r="I25" s="232">
        <v>148</v>
      </c>
      <c r="J25" s="232">
        <v>157</v>
      </c>
      <c r="K25" s="232">
        <v>106</v>
      </c>
      <c r="L25" s="232">
        <v>118</v>
      </c>
      <c r="N25" s="328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</row>
    <row r="26" spans="1:38" ht="9.75" customHeight="1">
      <c r="A26" s="337">
        <v>44743</v>
      </c>
      <c r="B26" s="304">
        <v>89.4</v>
      </c>
      <c r="C26" s="234">
        <v>81</v>
      </c>
      <c r="D26" s="235">
        <v>77</v>
      </c>
      <c r="E26" s="234">
        <v>92</v>
      </c>
      <c r="F26" s="230">
        <v>46</v>
      </c>
      <c r="G26" s="230">
        <v>53</v>
      </c>
      <c r="H26" s="230">
        <v>70</v>
      </c>
      <c r="I26" s="232">
        <v>152</v>
      </c>
      <c r="J26" s="232">
        <v>158</v>
      </c>
      <c r="K26" s="232">
        <v>88</v>
      </c>
      <c r="L26" s="232">
        <v>117</v>
      </c>
      <c r="N26" s="328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  <c r="AA26" s="236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</row>
    <row r="27" spans="1:38" ht="9.75" customHeight="1">
      <c r="A27" s="337">
        <v>44774</v>
      </c>
      <c r="B27" s="304">
        <v>90.2</v>
      </c>
      <c r="C27" s="234">
        <v>82</v>
      </c>
      <c r="D27" s="235">
        <v>81</v>
      </c>
      <c r="E27" s="234">
        <v>91</v>
      </c>
      <c r="F27" s="230">
        <v>48</v>
      </c>
      <c r="G27" s="230">
        <v>59</v>
      </c>
      <c r="H27" s="230">
        <v>76</v>
      </c>
      <c r="I27" s="232">
        <v>145</v>
      </c>
      <c r="J27" s="232">
        <v>152</v>
      </c>
      <c r="K27" s="232">
        <v>82</v>
      </c>
      <c r="L27" s="232">
        <v>120</v>
      </c>
      <c r="N27" s="328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</row>
    <row r="28" spans="1:38" ht="9.75" customHeight="1">
      <c r="A28" s="337">
        <v>44805</v>
      </c>
      <c r="B28" s="304">
        <v>93.9</v>
      </c>
      <c r="C28" s="234">
        <v>84</v>
      </c>
      <c r="D28" s="235">
        <v>84</v>
      </c>
      <c r="E28" s="234">
        <v>95</v>
      </c>
      <c r="F28" s="230">
        <v>52</v>
      </c>
      <c r="G28" s="230">
        <v>63</v>
      </c>
      <c r="H28" s="230">
        <v>75</v>
      </c>
      <c r="I28" s="232">
        <v>145</v>
      </c>
      <c r="J28" s="232">
        <v>150</v>
      </c>
      <c r="K28" s="232">
        <v>76</v>
      </c>
      <c r="L28" s="232">
        <v>118</v>
      </c>
      <c r="N28" s="328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  <c r="AA28" s="236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</row>
    <row r="29" spans="1:38" ht="9.75" customHeight="1">
      <c r="A29" s="337">
        <v>44835</v>
      </c>
      <c r="B29" s="304">
        <v>90.1</v>
      </c>
      <c r="C29" s="234">
        <v>82</v>
      </c>
      <c r="D29" s="234">
        <v>82</v>
      </c>
      <c r="E29" s="234">
        <v>92</v>
      </c>
      <c r="F29" s="234">
        <v>43</v>
      </c>
      <c r="G29" s="234">
        <v>55</v>
      </c>
      <c r="H29" s="234">
        <v>72</v>
      </c>
      <c r="I29" s="234">
        <v>149</v>
      </c>
      <c r="J29" s="234">
        <v>151</v>
      </c>
      <c r="K29" s="234">
        <v>66</v>
      </c>
      <c r="L29" s="292">
        <v>113</v>
      </c>
      <c r="N29" s="328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3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</row>
    <row r="30" spans="1:38" ht="9.75" customHeight="1">
      <c r="A30" s="337">
        <v>44866</v>
      </c>
      <c r="B30" s="304">
        <v>89.5</v>
      </c>
      <c r="C30" s="234">
        <v>81</v>
      </c>
      <c r="D30" s="235">
        <v>78</v>
      </c>
      <c r="E30" s="234">
        <v>92</v>
      </c>
      <c r="F30" s="234">
        <v>50</v>
      </c>
      <c r="G30" s="234">
        <v>54</v>
      </c>
      <c r="H30" s="234">
        <v>68</v>
      </c>
      <c r="I30" s="234">
        <v>150</v>
      </c>
      <c r="J30" s="292">
        <v>151</v>
      </c>
      <c r="K30" s="292">
        <v>63</v>
      </c>
      <c r="L30" s="292">
        <v>114</v>
      </c>
      <c r="N30" s="328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</row>
    <row r="31" spans="1:38" ht="9.75" customHeight="1">
      <c r="A31" s="337">
        <v>44896</v>
      </c>
      <c r="B31" s="304">
        <v>92.4</v>
      </c>
      <c r="C31" s="234">
        <v>80</v>
      </c>
      <c r="D31" s="235">
        <v>84</v>
      </c>
      <c r="E31" s="234">
        <v>93</v>
      </c>
      <c r="F31" s="234">
        <v>54</v>
      </c>
      <c r="G31" s="234">
        <v>63</v>
      </c>
      <c r="H31" s="234">
        <v>71</v>
      </c>
      <c r="I31" s="234">
        <v>129</v>
      </c>
      <c r="J31" s="292">
        <v>145</v>
      </c>
      <c r="K31" s="292">
        <v>64</v>
      </c>
      <c r="L31" s="292">
        <v>115</v>
      </c>
      <c r="N31" s="328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A31" s="236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</row>
    <row r="32" spans="1:38" ht="9.75" customHeight="1">
      <c r="A32" s="337">
        <v>44927</v>
      </c>
      <c r="B32" s="304">
        <v>94</v>
      </c>
      <c r="C32" s="234">
        <v>81</v>
      </c>
      <c r="D32" s="235">
        <v>84</v>
      </c>
      <c r="E32" s="234">
        <v>96</v>
      </c>
      <c r="F32" s="234">
        <v>52</v>
      </c>
      <c r="G32" s="234">
        <v>62</v>
      </c>
      <c r="H32" s="234">
        <v>68</v>
      </c>
      <c r="I32" s="234">
        <v>132</v>
      </c>
      <c r="J32" s="292">
        <v>142</v>
      </c>
      <c r="K32" s="292">
        <v>71</v>
      </c>
      <c r="L32" s="292">
        <v>115</v>
      </c>
      <c r="N32" s="328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A32" s="236"/>
      <c r="AB32" s="233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</row>
    <row r="33" spans="1:38" ht="9.75" customHeight="1">
      <c r="A33" s="337">
        <v>44958</v>
      </c>
      <c r="B33" s="304">
        <v>91.1</v>
      </c>
      <c r="C33" s="234">
        <v>81</v>
      </c>
      <c r="D33" s="235">
        <v>81</v>
      </c>
      <c r="E33" s="234">
        <v>92</v>
      </c>
      <c r="F33" s="234">
        <v>50</v>
      </c>
      <c r="G33" s="234">
        <v>61</v>
      </c>
      <c r="H33" s="234">
        <v>71</v>
      </c>
      <c r="I33" s="234">
        <v>109</v>
      </c>
      <c r="J33" s="292">
        <v>146</v>
      </c>
      <c r="K33" s="292">
        <v>76</v>
      </c>
      <c r="L33" s="292">
        <v>114</v>
      </c>
      <c r="N33" s="328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</row>
    <row r="34" spans="1:38" ht="9.75" customHeight="1">
      <c r="A34" s="337">
        <v>44986</v>
      </c>
      <c r="B34" s="304">
        <v>93.6</v>
      </c>
      <c r="C34" s="234">
        <v>79</v>
      </c>
      <c r="D34" s="235">
        <v>85</v>
      </c>
      <c r="E34" s="234">
        <v>95</v>
      </c>
      <c r="F34" s="234">
        <v>54</v>
      </c>
      <c r="G34" s="234">
        <v>65</v>
      </c>
      <c r="H34" s="234">
        <v>74</v>
      </c>
      <c r="I34" s="234">
        <v>115</v>
      </c>
      <c r="J34" s="292">
        <v>146</v>
      </c>
      <c r="K34" s="292">
        <v>86</v>
      </c>
      <c r="L34" s="292">
        <v>113</v>
      </c>
      <c r="N34" s="328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  <c r="AA34" s="236"/>
      <c r="AB34" s="233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</row>
    <row r="35" spans="1:38" ht="9.75" customHeight="1">
      <c r="A35" s="337">
        <v>45017</v>
      </c>
      <c r="B35" s="304">
        <v>97.4</v>
      </c>
      <c r="C35" s="234">
        <v>83</v>
      </c>
      <c r="D35" s="235">
        <v>88</v>
      </c>
      <c r="E35" s="234">
        <v>95</v>
      </c>
      <c r="F35" s="234">
        <v>60</v>
      </c>
      <c r="G35" s="234">
        <v>68</v>
      </c>
      <c r="H35" s="234">
        <v>75</v>
      </c>
      <c r="I35" s="234">
        <v>108</v>
      </c>
      <c r="J35" s="292">
        <v>143</v>
      </c>
      <c r="K35" s="292">
        <v>91</v>
      </c>
      <c r="L35" s="292">
        <v>117</v>
      </c>
      <c r="N35" s="328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  <c r="AA35" s="236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</row>
    <row r="36" spans="1:38" ht="9.75" customHeight="1">
      <c r="A36" s="337">
        <v>45047</v>
      </c>
      <c r="B36" s="304">
        <v>99.5</v>
      </c>
      <c r="C36" s="234">
        <v>84</v>
      </c>
      <c r="D36" s="235">
        <v>89</v>
      </c>
      <c r="E36" s="234">
        <v>98</v>
      </c>
      <c r="F36" s="234">
        <v>65</v>
      </c>
      <c r="G36" s="234">
        <v>73</v>
      </c>
      <c r="H36" s="234">
        <v>77</v>
      </c>
      <c r="I36" s="234">
        <v>109</v>
      </c>
      <c r="J36" s="292">
        <v>138</v>
      </c>
      <c r="K36" s="292">
        <v>96</v>
      </c>
      <c r="L36" s="292">
        <v>118</v>
      </c>
      <c r="N36" s="328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  <c r="AA36" s="236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</row>
    <row r="37" spans="1:38" ht="9.75" customHeight="1">
      <c r="A37" s="337">
        <f>EDATE(A36,1)</f>
        <v>45078</v>
      </c>
      <c r="B37" s="304">
        <v>101.7</v>
      </c>
      <c r="C37" s="234">
        <v>86</v>
      </c>
      <c r="D37" s="235">
        <v>90</v>
      </c>
      <c r="E37" s="234">
        <v>97</v>
      </c>
      <c r="F37" s="234">
        <v>67</v>
      </c>
      <c r="G37" s="234">
        <v>78</v>
      </c>
      <c r="H37" s="234">
        <v>83</v>
      </c>
      <c r="I37" s="234">
        <v>105</v>
      </c>
      <c r="J37" s="292">
        <v>140</v>
      </c>
      <c r="K37" s="292">
        <v>104</v>
      </c>
      <c r="L37" s="292">
        <v>119</v>
      </c>
      <c r="N37" s="328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</row>
    <row r="38" spans="1:38" ht="9.75" customHeight="1">
      <c r="A38" s="337">
        <f t="shared" ref="A38:A54" si="0">EDATE(A37,1)</f>
        <v>45108</v>
      </c>
      <c r="B38" s="304">
        <v>103.2</v>
      </c>
      <c r="C38" s="234">
        <v>86</v>
      </c>
      <c r="D38" s="235">
        <v>92</v>
      </c>
      <c r="E38" s="234">
        <v>96</v>
      </c>
      <c r="F38" s="234">
        <v>73</v>
      </c>
      <c r="G38" s="234">
        <v>83</v>
      </c>
      <c r="H38" s="234">
        <v>86</v>
      </c>
      <c r="I38" s="234">
        <v>111</v>
      </c>
      <c r="J38" s="292">
        <v>137</v>
      </c>
      <c r="K38" s="292">
        <v>103</v>
      </c>
      <c r="L38" s="292">
        <v>121</v>
      </c>
      <c r="N38" s="328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  <c r="AA38" s="236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</row>
    <row r="39" spans="1:38" ht="9.75" customHeight="1">
      <c r="A39" s="337">
        <f t="shared" si="0"/>
        <v>45139</v>
      </c>
      <c r="B39" s="304">
        <v>104</v>
      </c>
      <c r="C39" s="234">
        <v>87</v>
      </c>
      <c r="D39" s="235">
        <v>93</v>
      </c>
      <c r="E39" s="234">
        <v>99</v>
      </c>
      <c r="F39" s="234">
        <v>71</v>
      </c>
      <c r="G39" s="234">
        <v>81</v>
      </c>
      <c r="H39" s="234">
        <v>84</v>
      </c>
      <c r="I39" s="234">
        <v>117</v>
      </c>
      <c r="J39" s="292">
        <v>140</v>
      </c>
      <c r="K39" s="292">
        <v>111</v>
      </c>
      <c r="L39" s="292">
        <v>121</v>
      </c>
      <c r="N39" s="328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  <c r="AA39" s="236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</row>
    <row r="40" spans="1:38" ht="9.75" customHeight="1">
      <c r="A40" s="337">
        <f t="shared" si="0"/>
        <v>45170</v>
      </c>
      <c r="B40" s="304">
        <v>102.4</v>
      </c>
      <c r="C40" s="234">
        <v>88</v>
      </c>
      <c r="D40" s="235">
        <v>92</v>
      </c>
      <c r="E40" s="234">
        <v>98</v>
      </c>
      <c r="F40" s="234">
        <v>68</v>
      </c>
      <c r="G40" s="234">
        <v>74</v>
      </c>
      <c r="H40" s="234">
        <v>77</v>
      </c>
      <c r="I40" s="234">
        <v>118</v>
      </c>
      <c r="J40" s="292">
        <v>144</v>
      </c>
      <c r="K40" s="292">
        <v>111</v>
      </c>
      <c r="L40" s="292">
        <v>119</v>
      </c>
      <c r="N40" s="328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</row>
    <row r="41" spans="1:38" ht="9.75" customHeight="1">
      <c r="A41" s="337">
        <f t="shared" si="0"/>
        <v>45200</v>
      </c>
      <c r="B41" s="304">
        <v>99.7</v>
      </c>
      <c r="C41" s="234">
        <v>85</v>
      </c>
      <c r="D41" s="235">
        <v>90</v>
      </c>
      <c r="E41" s="234">
        <v>97</v>
      </c>
      <c r="F41" s="234">
        <v>63</v>
      </c>
      <c r="G41" s="234">
        <v>70</v>
      </c>
      <c r="H41" s="234">
        <v>77</v>
      </c>
      <c r="I41" s="234">
        <v>127</v>
      </c>
      <c r="J41" s="292">
        <v>146</v>
      </c>
      <c r="K41" s="292">
        <v>111</v>
      </c>
      <c r="L41" s="292">
        <v>118</v>
      </c>
      <c r="N41" s="328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  <c r="AA41" s="236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</row>
    <row r="42" spans="1:38" ht="9.75" customHeight="1">
      <c r="A42" s="337">
        <f t="shared" si="0"/>
        <v>45231</v>
      </c>
      <c r="B42" s="304">
        <v>98.7</v>
      </c>
      <c r="C42" s="234">
        <v>85</v>
      </c>
      <c r="D42" s="235">
        <v>90</v>
      </c>
      <c r="E42" s="234">
        <v>97</v>
      </c>
      <c r="F42" s="234">
        <v>61</v>
      </c>
      <c r="G42" s="234">
        <v>74</v>
      </c>
      <c r="H42" s="234">
        <v>77</v>
      </c>
      <c r="I42" s="234">
        <v>115</v>
      </c>
      <c r="J42" s="292">
        <v>144</v>
      </c>
      <c r="K42" s="292">
        <v>103</v>
      </c>
      <c r="L42" s="292">
        <v>119</v>
      </c>
      <c r="N42" s="328"/>
      <c r="O42" s="236"/>
      <c r="P42" s="236"/>
      <c r="Q42" s="236"/>
      <c r="R42" s="236"/>
      <c r="S42" s="236"/>
      <c r="T42" s="236"/>
      <c r="U42" s="236"/>
      <c r="V42" s="236"/>
      <c r="W42" s="236"/>
      <c r="X42" s="236"/>
      <c r="Y42" s="236"/>
      <c r="Z42" s="236"/>
      <c r="AA42" s="236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</row>
    <row r="43" spans="1:38" ht="9.75" customHeight="1">
      <c r="A43" s="337">
        <f t="shared" si="0"/>
        <v>45261</v>
      </c>
      <c r="B43" s="304">
        <v>99.2</v>
      </c>
      <c r="C43" s="234">
        <v>86</v>
      </c>
      <c r="D43" s="235">
        <v>90</v>
      </c>
      <c r="E43" s="234">
        <v>95</v>
      </c>
      <c r="F43" s="234">
        <v>63</v>
      </c>
      <c r="G43" s="234">
        <v>75</v>
      </c>
      <c r="H43" s="234">
        <v>81</v>
      </c>
      <c r="I43" s="234">
        <v>109</v>
      </c>
      <c r="J43" s="292">
        <v>139</v>
      </c>
      <c r="K43" s="292">
        <v>95</v>
      </c>
      <c r="L43" s="292">
        <v>117</v>
      </c>
      <c r="N43" s="328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</row>
    <row r="44" spans="1:38" ht="9.75" customHeight="1">
      <c r="A44" s="337">
        <v>45292</v>
      </c>
      <c r="B44" s="304">
        <v>102.9</v>
      </c>
      <c r="C44" s="234">
        <v>89</v>
      </c>
      <c r="D44" s="235">
        <v>93</v>
      </c>
      <c r="E44" s="234">
        <v>98</v>
      </c>
      <c r="F44" s="234">
        <v>68</v>
      </c>
      <c r="G44" s="234">
        <v>82</v>
      </c>
      <c r="H44" s="234">
        <v>83</v>
      </c>
      <c r="I44" s="234">
        <v>96</v>
      </c>
      <c r="J44" s="292">
        <v>134</v>
      </c>
      <c r="K44" s="292">
        <v>93</v>
      </c>
      <c r="L44" s="292">
        <v>117</v>
      </c>
      <c r="N44" s="328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3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</row>
    <row r="45" spans="1:38" ht="9.75" customHeight="1">
      <c r="A45" s="337">
        <f t="shared" si="0"/>
        <v>45323</v>
      </c>
      <c r="B45" s="304">
        <v>102.2</v>
      </c>
      <c r="C45" s="234">
        <v>88</v>
      </c>
      <c r="D45" s="235">
        <v>92</v>
      </c>
      <c r="E45" s="234">
        <v>98</v>
      </c>
      <c r="F45" s="234">
        <v>67</v>
      </c>
      <c r="G45" s="234">
        <v>81</v>
      </c>
      <c r="H45" s="234">
        <v>84</v>
      </c>
      <c r="I45" s="234">
        <v>100</v>
      </c>
      <c r="J45" s="292">
        <v>137</v>
      </c>
      <c r="K45" s="292">
        <v>92</v>
      </c>
      <c r="L45" s="292">
        <v>117</v>
      </c>
      <c r="N45" s="410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  <c r="AB45" s="233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</row>
    <row r="46" spans="1:38" ht="9.75" customHeight="1">
      <c r="A46" s="337">
        <f t="shared" si="0"/>
        <v>45352</v>
      </c>
      <c r="B46" s="304">
        <v>101.8</v>
      </c>
      <c r="C46" s="234">
        <v>87</v>
      </c>
      <c r="D46" s="235">
        <v>90</v>
      </c>
      <c r="E46" s="234">
        <v>98</v>
      </c>
      <c r="F46" s="234">
        <v>68</v>
      </c>
      <c r="G46" s="234">
        <v>78</v>
      </c>
      <c r="H46" s="234">
        <v>83</v>
      </c>
      <c r="I46" s="234">
        <v>99</v>
      </c>
      <c r="J46" s="292">
        <v>138</v>
      </c>
      <c r="K46" s="292">
        <v>98</v>
      </c>
      <c r="L46" s="292">
        <v>117</v>
      </c>
      <c r="N46" s="410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</row>
    <row r="47" spans="1:38" ht="9.75" customHeight="1">
      <c r="A47" s="337">
        <f t="shared" si="0"/>
        <v>45383</v>
      </c>
      <c r="B47" s="304">
        <v>101.8</v>
      </c>
      <c r="C47" s="234">
        <v>87</v>
      </c>
      <c r="D47" s="235">
        <v>93</v>
      </c>
      <c r="E47" s="234">
        <v>95</v>
      </c>
      <c r="F47" s="234">
        <v>67</v>
      </c>
      <c r="G47" s="234">
        <v>81</v>
      </c>
      <c r="H47" s="234">
        <v>85</v>
      </c>
      <c r="I47" s="234">
        <v>99</v>
      </c>
      <c r="J47" s="292">
        <v>135</v>
      </c>
      <c r="K47" s="292">
        <v>104</v>
      </c>
      <c r="L47" s="292">
        <v>118</v>
      </c>
      <c r="N47" s="410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  <c r="AA47" s="236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</row>
    <row r="48" spans="1:38" ht="9.75" customHeight="1">
      <c r="A48" s="337">
        <f t="shared" si="0"/>
        <v>45413</v>
      </c>
      <c r="B48" s="304">
        <v>101.9</v>
      </c>
      <c r="C48" s="234">
        <v>89</v>
      </c>
      <c r="D48" s="235">
        <v>90</v>
      </c>
      <c r="E48" s="234">
        <v>96</v>
      </c>
      <c r="F48" s="234">
        <v>68</v>
      </c>
      <c r="G48" s="234">
        <v>83</v>
      </c>
      <c r="H48" s="234">
        <v>84</v>
      </c>
      <c r="I48" s="234">
        <v>105</v>
      </c>
      <c r="J48" s="292">
        <v>140</v>
      </c>
      <c r="K48" s="292">
        <v>104</v>
      </c>
      <c r="L48" s="292">
        <v>119</v>
      </c>
      <c r="N48" s="410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  <c r="AA48" s="236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</row>
    <row r="49" spans="1:38" ht="9.75" customHeight="1">
      <c r="A49" s="337">
        <f t="shared" si="0"/>
        <v>45444</v>
      </c>
      <c r="B49" s="304">
        <v>104.7</v>
      </c>
      <c r="C49" s="234">
        <v>89</v>
      </c>
      <c r="D49" s="235">
        <v>96</v>
      </c>
      <c r="E49" s="234">
        <v>99</v>
      </c>
      <c r="F49" s="234">
        <v>73</v>
      </c>
      <c r="G49" s="234">
        <v>83</v>
      </c>
      <c r="H49" s="234">
        <v>86</v>
      </c>
      <c r="I49" s="234">
        <v>97</v>
      </c>
      <c r="J49" s="292">
        <v>138</v>
      </c>
      <c r="K49" s="292">
        <v>108</v>
      </c>
      <c r="L49" s="292">
        <v>117</v>
      </c>
      <c r="N49" s="328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  <c r="Z49" s="236"/>
      <c r="AA49" s="236"/>
      <c r="AB49" s="233"/>
      <c r="AC49" s="233"/>
      <c r="AD49" s="233"/>
      <c r="AE49" s="233"/>
      <c r="AF49" s="233"/>
      <c r="AG49" s="233"/>
      <c r="AH49" s="233"/>
      <c r="AI49" s="233"/>
      <c r="AJ49" s="233"/>
      <c r="AK49" s="233"/>
      <c r="AL49" s="233"/>
    </row>
    <row r="50" spans="1:38" ht="9.75" customHeight="1">
      <c r="A50" s="337">
        <f t="shared" si="0"/>
        <v>45474</v>
      </c>
      <c r="B50" s="304">
        <v>106.7</v>
      </c>
      <c r="C50" s="234">
        <v>91</v>
      </c>
      <c r="D50" s="235">
        <v>96</v>
      </c>
      <c r="E50" s="234">
        <v>99</v>
      </c>
      <c r="F50" s="234">
        <v>76</v>
      </c>
      <c r="G50" s="234">
        <v>87</v>
      </c>
      <c r="H50" s="234">
        <v>86</v>
      </c>
      <c r="I50" s="234">
        <v>95</v>
      </c>
      <c r="J50" s="292">
        <v>136</v>
      </c>
      <c r="K50" s="292">
        <v>116</v>
      </c>
      <c r="L50" s="292">
        <v>121</v>
      </c>
      <c r="N50" s="410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  <c r="AA50" s="236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</row>
    <row r="51" spans="1:38" ht="9.75" customHeight="1">
      <c r="A51" s="337">
        <f t="shared" si="0"/>
        <v>45505</v>
      </c>
      <c r="B51" s="304">
        <v>104.8</v>
      </c>
      <c r="C51" s="234">
        <v>90</v>
      </c>
      <c r="D51" s="235">
        <v>94</v>
      </c>
      <c r="E51" s="234">
        <v>98</v>
      </c>
      <c r="F51" s="234">
        <v>74</v>
      </c>
      <c r="G51" s="234">
        <v>85</v>
      </c>
      <c r="H51" s="234">
        <v>86</v>
      </c>
      <c r="I51" s="234">
        <v>91</v>
      </c>
      <c r="J51" s="292">
        <v>138</v>
      </c>
      <c r="K51" s="292">
        <v>118</v>
      </c>
      <c r="L51" s="292">
        <v>122</v>
      </c>
      <c r="N51" s="410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</row>
    <row r="52" spans="1:38" ht="9.75" customHeight="1">
      <c r="A52" s="337">
        <f t="shared" si="0"/>
        <v>45536</v>
      </c>
      <c r="B52" s="304">
        <v>103.2</v>
      </c>
      <c r="C52" s="234">
        <v>90</v>
      </c>
      <c r="D52" s="235">
        <v>93</v>
      </c>
      <c r="E52" s="234">
        <v>97</v>
      </c>
      <c r="F52" s="234">
        <v>71</v>
      </c>
      <c r="G52" s="234">
        <v>82</v>
      </c>
      <c r="H52" s="234">
        <v>87</v>
      </c>
      <c r="I52" s="234">
        <v>92</v>
      </c>
      <c r="J52" s="292">
        <v>137</v>
      </c>
      <c r="K52" s="292">
        <v>117</v>
      </c>
      <c r="L52" s="292">
        <v>119</v>
      </c>
      <c r="N52" s="410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</row>
    <row r="53" spans="1:38" ht="9.75" customHeight="1">
      <c r="A53" s="337">
        <f t="shared" si="0"/>
        <v>45566</v>
      </c>
      <c r="B53" s="304">
        <v>104.4</v>
      </c>
      <c r="C53" s="234">
        <v>89</v>
      </c>
      <c r="D53" s="235">
        <v>96</v>
      </c>
      <c r="E53" s="234">
        <v>100</v>
      </c>
      <c r="F53" s="234">
        <v>71</v>
      </c>
      <c r="G53" s="234">
        <v>82</v>
      </c>
      <c r="H53" s="234">
        <v>85</v>
      </c>
      <c r="I53" s="234">
        <v>86</v>
      </c>
      <c r="J53" s="292">
        <v>137</v>
      </c>
      <c r="K53" s="292">
        <v>111</v>
      </c>
      <c r="L53" s="292">
        <v>121</v>
      </c>
      <c r="N53" s="410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</row>
    <row r="54" spans="1:38" ht="9.75" customHeight="1">
      <c r="A54" s="337">
        <f t="shared" si="0"/>
        <v>45597</v>
      </c>
      <c r="B54" s="304">
        <v>105.6</v>
      </c>
      <c r="C54" s="234">
        <v>91</v>
      </c>
      <c r="D54" s="235">
        <v>97</v>
      </c>
      <c r="E54" s="234">
        <v>100</v>
      </c>
      <c r="F54" s="234">
        <v>72</v>
      </c>
      <c r="G54" s="234">
        <v>77</v>
      </c>
      <c r="H54" s="234">
        <v>81</v>
      </c>
      <c r="I54" s="234">
        <v>92</v>
      </c>
      <c r="J54" s="292">
        <v>142</v>
      </c>
      <c r="K54" s="292">
        <v>110</v>
      </c>
      <c r="L54" s="292">
        <v>122</v>
      </c>
      <c r="N54" s="410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3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</row>
    <row r="55" spans="1:38" ht="9.75" customHeight="1">
      <c r="A55" s="384">
        <v>45627</v>
      </c>
      <c r="B55" s="304">
        <v>92.7</v>
      </c>
      <c r="C55" s="234">
        <v>85</v>
      </c>
      <c r="D55" s="235">
        <v>85</v>
      </c>
      <c r="E55" s="234">
        <v>95</v>
      </c>
      <c r="F55" s="234">
        <v>55</v>
      </c>
      <c r="G55" s="234">
        <v>57</v>
      </c>
      <c r="H55" s="234">
        <v>67</v>
      </c>
      <c r="I55" s="234">
        <v>96</v>
      </c>
      <c r="J55" s="292">
        <v>145</v>
      </c>
      <c r="K55" s="292">
        <v>100</v>
      </c>
      <c r="L55" s="292">
        <v>115</v>
      </c>
      <c r="N55" s="410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</row>
    <row r="56" spans="1:38" ht="9.75" customHeight="1">
      <c r="A56" s="384">
        <v>45658</v>
      </c>
      <c r="B56" s="304">
        <v>94.5</v>
      </c>
      <c r="C56" s="234">
        <v>86</v>
      </c>
      <c r="D56" s="235">
        <v>92</v>
      </c>
      <c r="E56" s="234">
        <v>95</v>
      </c>
      <c r="F56" s="234">
        <v>50</v>
      </c>
      <c r="G56" s="234">
        <v>63</v>
      </c>
      <c r="H56" s="234">
        <v>68</v>
      </c>
      <c r="I56" s="234">
        <v>94</v>
      </c>
      <c r="J56" s="292">
        <v>145</v>
      </c>
      <c r="K56" s="292">
        <v>99</v>
      </c>
      <c r="L56" s="292">
        <v>120</v>
      </c>
      <c r="N56" s="410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</row>
    <row r="57" spans="1:38" ht="9.75" customHeight="1">
      <c r="A57" s="384">
        <v>45689</v>
      </c>
      <c r="B57" s="304">
        <v>97</v>
      </c>
      <c r="C57" s="234">
        <v>87</v>
      </c>
      <c r="D57" s="235">
        <v>92</v>
      </c>
      <c r="E57" s="234">
        <v>96</v>
      </c>
      <c r="F57" s="234">
        <v>56</v>
      </c>
      <c r="G57" s="234">
        <v>70</v>
      </c>
      <c r="H57" s="234">
        <v>70</v>
      </c>
      <c r="I57" s="234">
        <v>96</v>
      </c>
      <c r="J57" s="292">
        <v>144</v>
      </c>
      <c r="K57" s="292">
        <v>96</v>
      </c>
      <c r="L57" s="292">
        <v>117</v>
      </c>
      <c r="N57" s="410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</row>
    <row r="58" spans="1:38" ht="9.75" customHeight="1">
      <c r="A58" s="384">
        <v>45717</v>
      </c>
      <c r="B58" s="304">
        <v>97.3</v>
      </c>
      <c r="C58" s="234">
        <v>86</v>
      </c>
      <c r="D58" s="235">
        <v>92</v>
      </c>
      <c r="E58" s="234">
        <v>96</v>
      </c>
      <c r="F58" s="234">
        <v>57</v>
      </c>
      <c r="G58" s="234">
        <v>71</v>
      </c>
      <c r="H58" s="234">
        <v>74</v>
      </c>
      <c r="I58" s="234">
        <v>90</v>
      </c>
      <c r="J58" s="292">
        <v>144</v>
      </c>
      <c r="K58" s="292">
        <v>98</v>
      </c>
      <c r="L58" s="292">
        <v>117</v>
      </c>
      <c r="N58" s="410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</row>
    <row r="59" spans="1:38" ht="9.75" customHeight="1">
      <c r="A59" s="384">
        <v>45748</v>
      </c>
      <c r="B59" s="304">
        <v>96.2</v>
      </c>
      <c r="C59" s="234">
        <v>84</v>
      </c>
      <c r="D59" s="235">
        <v>91</v>
      </c>
      <c r="E59" s="234">
        <v>95</v>
      </c>
      <c r="F59" s="234">
        <v>51</v>
      </c>
      <c r="G59" s="234">
        <v>69</v>
      </c>
      <c r="H59" s="234">
        <v>73</v>
      </c>
      <c r="I59" s="234">
        <v>94</v>
      </c>
      <c r="J59" s="292">
        <v>145</v>
      </c>
      <c r="K59" s="292">
        <v>100</v>
      </c>
      <c r="L59" s="292">
        <v>117</v>
      </c>
      <c r="N59" s="410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  <c r="AA59" s="236"/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</row>
    <row r="60" spans="1:38" ht="9.75" customHeight="1">
      <c r="A60" s="384">
        <v>45778</v>
      </c>
      <c r="B60" s="304">
        <v>103.1</v>
      </c>
      <c r="C60" s="234">
        <v>88</v>
      </c>
      <c r="D60" s="235">
        <v>97</v>
      </c>
      <c r="E60" s="234">
        <v>99</v>
      </c>
      <c r="F60" s="234">
        <v>59</v>
      </c>
      <c r="G60" s="234">
        <v>88</v>
      </c>
      <c r="H60" s="234">
        <v>89</v>
      </c>
      <c r="I60" s="234">
        <v>87</v>
      </c>
      <c r="J60" s="292">
        <v>136</v>
      </c>
      <c r="K60" s="292">
        <v>103</v>
      </c>
      <c r="L60" s="292">
        <v>120</v>
      </c>
      <c r="N60" s="410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</row>
    <row r="61" spans="1:38" ht="9.75" customHeight="1">
      <c r="A61" s="337">
        <f t="shared" ref="A61:A63" si="1">EDATE(A60,1)</f>
        <v>45809</v>
      </c>
      <c r="B61" s="304">
        <v>110.2</v>
      </c>
      <c r="C61" s="234">
        <v>89</v>
      </c>
      <c r="D61" s="235">
        <v>102</v>
      </c>
      <c r="E61" s="234">
        <v>102</v>
      </c>
      <c r="F61" s="234">
        <v>69</v>
      </c>
      <c r="G61" s="234">
        <v>105</v>
      </c>
      <c r="H61" s="234">
        <v>99</v>
      </c>
      <c r="I61" s="234">
        <v>87</v>
      </c>
      <c r="J61" s="292">
        <v>132</v>
      </c>
      <c r="K61" s="292">
        <v>115</v>
      </c>
      <c r="L61" s="292">
        <v>126</v>
      </c>
      <c r="N61" s="410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6"/>
      <c r="Z61" s="236"/>
      <c r="AA61" s="236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</row>
    <row r="62" spans="1:38" ht="9.75" customHeight="1">
      <c r="A62" s="337">
        <f t="shared" si="1"/>
        <v>45839</v>
      </c>
      <c r="B62" s="304">
        <v>112.9</v>
      </c>
      <c r="C62" s="234">
        <v>94</v>
      </c>
      <c r="D62" s="235">
        <v>102</v>
      </c>
      <c r="E62" s="234">
        <v>101</v>
      </c>
      <c r="F62" s="234">
        <v>83</v>
      </c>
      <c r="G62" s="234">
        <v>104</v>
      </c>
      <c r="H62" s="234">
        <v>98</v>
      </c>
      <c r="I62" s="234">
        <v>94</v>
      </c>
      <c r="J62" s="292">
        <v>138</v>
      </c>
      <c r="K62" s="292">
        <v>110</v>
      </c>
      <c r="L62" s="292">
        <v>125</v>
      </c>
      <c r="N62" s="410"/>
      <c r="O62" s="236"/>
      <c r="P62" s="236"/>
      <c r="Q62" s="236"/>
      <c r="R62" s="236"/>
      <c r="S62" s="236"/>
      <c r="T62" s="236"/>
      <c r="U62" s="236"/>
      <c r="V62" s="236"/>
      <c r="W62" s="236"/>
      <c r="X62" s="236"/>
      <c r="Y62" s="236"/>
      <c r="Z62" s="236"/>
      <c r="AA62" s="236"/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</row>
    <row r="63" spans="1:38" ht="9.75" customHeight="1">
      <c r="A63" s="337">
        <f t="shared" si="1"/>
        <v>45870</v>
      </c>
      <c r="B63" s="304">
        <v>114.7</v>
      </c>
      <c r="C63" s="234">
        <v>96</v>
      </c>
      <c r="D63" s="235">
        <v>101</v>
      </c>
      <c r="E63" s="234">
        <v>104</v>
      </c>
      <c r="F63" s="234">
        <v>91</v>
      </c>
      <c r="G63" s="234">
        <v>100</v>
      </c>
      <c r="H63" s="234">
        <v>93</v>
      </c>
      <c r="I63" s="234">
        <v>92</v>
      </c>
      <c r="J63" s="292">
        <v>141</v>
      </c>
      <c r="K63" s="292">
        <v>111</v>
      </c>
      <c r="L63" s="292">
        <v>124</v>
      </c>
      <c r="N63" s="410"/>
      <c r="O63" s="236"/>
      <c r="P63" s="236"/>
      <c r="Q63" s="236"/>
      <c r="R63" s="236"/>
      <c r="S63" s="236"/>
      <c r="T63" s="236"/>
      <c r="U63" s="236"/>
      <c r="V63" s="236"/>
      <c r="W63" s="236"/>
      <c r="X63" s="236"/>
      <c r="Y63" s="236"/>
      <c r="Z63" s="236"/>
      <c r="AA63" s="236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</row>
    <row r="64" spans="1:38" ht="9.75" customHeight="1">
      <c r="A64" s="337">
        <f>EDATE(A63,1)</f>
        <v>45901</v>
      </c>
      <c r="B64" s="304">
        <v>113.8</v>
      </c>
      <c r="C64" s="234">
        <v>97</v>
      </c>
      <c r="D64" s="235">
        <v>100</v>
      </c>
      <c r="E64" s="234">
        <v>103</v>
      </c>
      <c r="F64" s="234">
        <v>91</v>
      </c>
      <c r="G64" s="234">
        <v>96</v>
      </c>
      <c r="H64" s="234">
        <v>93</v>
      </c>
      <c r="I64" s="234">
        <v>91</v>
      </c>
      <c r="J64" s="292">
        <v>138</v>
      </c>
      <c r="K64" s="292">
        <v>113</v>
      </c>
      <c r="L64" s="292">
        <v>123</v>
      </c>
      <c r="N64" s="410"/>
      <c r="O64" s="236"/>
      <c r="P64" s="236"/>
      <c r="Q64" s="236"/>
      <c r="R64" s="236"/>
      <c r="S64" s="236"/>
      <c r="T64" s="236"/>
      <c r="U64" s="236"/>
      <c r="V64" s="236"/>
      <c r="W64" s="236"/>
      <c r="X64" s="236"/>
      <c r="Y64" s="236"/>
      <c r="Z64" s="236"/>
      <c r="AA64" s="236"/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</row>
    <row r="65" spans="1:38" ht="9.75" customHeight="1">
      <c r="A65" s="337">
        <f t="shared" ref="A65" si="2">EDATE(A64,1)</f>
        <v>45931</v>
      </c>
      <c r="B65" s="304">
        <v>112.4</v>
      </c>
      <c r="C65" s="234">
        <v>96</v>
      </c>
      <c r="D65" s="235">
        <v>99</v>
      </c>
      <c r="E65" s="234">
        <v>103</v>
      </c>
      <c r="F65" s="234">
        <v>87</v>
      </c>
      <c r="G65" s="234">
        <v>92</v>
      </c>
      <c r="H65" s="234">
        <v>88</v>
      </c>
      <c r="I65" s="234">
        <v>92</v>
      </c>
      <c r="J65" s="292">
        <v>142</v>
      </c>
      <c r="K65" s="292">
        <v>118</v>
      </c>
      <c r="L65" s="292">
        <v>121</v>
      </c>
      <c r="N65" s="410"/>
      <c r="O65" s="236"/>
      <c r="P65" s="236"/>
      <c r="Q65" s="236"/>
      <c r="R65" s="236"/>
      <c r="S65" s="236"/>
      <c r="T65" s="236"/>
      <c r="U65" s="236"/>
      <c r="V65" s="236"/>
      <c r="W65" s="236"/>
      <c r="X65" s="236"/>
      <c r="Y65" s="236"/>
      <c r="Z65" s="236"/>
      <c r="AA65" s="236"/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</row>
    <row r="66" spans="1:38" ht="9.75" customHeight="1">
      <c r="A66" s="337">
        <f>EDATE(A65,1)</f>
        <v>45962</v>
      </c>
      <c r="B66" s="304">
        <v>115.9</v>
      </c>
      <c r="C66" s="234">
        <v>97</v>
      </c>
      <c r="D66" s="235">
        <v>102</v>
      </c>
      <c r="E66" s="234">
        <v>104</v>
      </c>
      <c r="F66" s="234">
        <v>95</v>
      </c>
      <c r="G66" s="234">
        <v>102</v>
      </c>
      <c r="H66" s="234">
        <v>95</v>
      </c>
      <c r="I66" s="234">
        <v>92</v>
      </c>
      <c r="J66" s="292">
        <v>141</v>
      </c>
      <c r="K66" s="292">
        <v>120</v>
      </c>
      <c r="L66" s="292">
        <v>121</v>
      </c>
      <c r="N66" s="410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</row>
    <row r="67" spans="1:38" s="229" customFormat="1" ht="9.75" customHeight="1">
      <c r="A67" s="337">
        <f t="shared" ref="A67:A71" si="3">EDATE(A66,1)</f>
        <v>45992</v>
      </c>
      <c r="B67" s="304">
        <v>113.4</v>
      </c>
      <c r="C67" s="234">
        <v>94</v>
      </c>
      <c r="D67" s="235">
        <v>100</v>
      </c>
      <c r="E67" s="234">
        <v>103</v>
      </c>
      <c r="F67" s="234">
        <v>89</v>
      </c>
      <c r="G67" s="234">
        <v>98</v>
      </c>
      <c r="H67" s="234">
        <v>91</v>
      </c>
      <c r="I67" s="234">
        <v>102</v>
      </c>
      <c r="J67" s="292">
        <v>146</v>
      </c>
      <c r="K67" s="292">
        <v>121</v>
      </c>
      <c r="L67" s="292">
        <v>120</v>
      </c>
      <c r="M67" s="219"/>
      <c r="N67" s="14"/>
      <c r="O67" s="233"/>
      <c r="P67" s="219"/>
      <c r="Q67" s="219"/>
      <c r="R67" s="219"/>
      <c r="S67" s="219"/>
      <c r="T67" s="219"/>
      <c r="U67" s="219"/>
      <c r="V67" s="219"/>
      <c r="W67" s="219"/>
      <c r="X67" s="219"/>
    </row>
    <row r="68" spans="1:38" s="229" customFormat="1" ht="9.75" customHeight="1">
      <c r="A68" s="337">
        <f t="shared" si="3"/>
        <v>46023</v>
      </c>
      <c r="B68" s="304">
        <v>114.9</v>
      </c>
      <c r="C68" s="458">
        <v>95</v>
      </c>
      <c r="D68" s="458">
        <v>103</v>
      </c>
      <c r="E68" s="458">
        <v>104</v>
      </c>
      <c r="F68" s="458">
        <v>92</v>
      </c>
      <c r="G68" s="458">
        <v>99</v>
      </c>
      <c r="H68" s="458">
        <v>94</v>
      </c>
      <c r="I68" s="458">
        <v>103</v>
      </c>
      <c r="J68" s="458">
        <v>143</v>
      </c>
      <c r="K68" s="458">
        <v>122</v>
      </c>
      <c r="L68" s="458">
        <v>124</v>
      </c>
      <c r="M68" s="219"/>
      <c r="N68" s="14"/>
      <c r="O68" s="233"/>
      <c r="P68" s="219"/>
      <c r="Q68" s="219"/>
      <c r="R68" s="219"/>
      <c r="S68" s="219"/>
      <c r="T68" s="219"/>
      <c r="U68" s="219"/>
      <c r="V68" s="219"/>
      <c r="W68" s="219"/>
      <c r="X68" s="219"/>
    </row>
    <row r="69" spans="1:38" s="229" customFormat="1" ht="9.75" customHeight="1">
      <c r="A69" s="337">
        <f t="shared" si="3"/>
        <v>46054</v>
      </c>
      <c r="B69" s="304">
        <v>116.4</v>
      </c>
      <c r="C69" s="458">
        <v>98</v>
      </c>
      <c r="D69" s="458">
        <v>101</v>
      </c>
      <c r="E69" s="458">
        <v>103</v>
      </c>
      <c r="F69" s="458">
        <v>98</v>
      </c>
      <c r="G69" s="458">
        <v>104</v>
      </c>
      <c r="H69" s="458">
        <v>98</v>
      </c>
      <c r="I69" s="458">
        <v>103</v>
      </c>
      <c r="J69" s="458">
        <v>142</v>
      </c>
      <c r="K69" s="458">
        <v>108</v>
      </c>
      <c r="L69" s="458">
        <v>123</v>
      </c>
      <c r="M69" s="219"/>
      <c r="N69" s="14"/>
      <c r="O69" s="233"/>
      <c r="P69" s="219"/>
      <c r="Q69" s="219"/>
      <c r="R69" s="219"/>
      <c r="S69" s="219"/>
      <c r="T69" s="219"/>
      <c r="U69" s="219"/>
      <c r="V69" s="219"/>
      <c r="W69" s="219"/>
      <c r="X69" s="219"/>
    </row>
    <row r="70" spans="1:38" s="229" customFormat="1" ht="9.75" customHeight="1">
      <c r="A70" s="337">
        <f t="shared" si="3"/>
        <v>46082</v>
      </c>
      <c r="B70" s="304">
        <v>113.4</v>
      </c>
      <c r="C70" s="458">
        <v>97</v>
      </c>
      <c r="D70" s="458">
        <v>100</v>
      </c>
      <c r="E70" s="458">
        <v>103</v>
      </c>
      <c r="F70" s="458">
        <v>89</v>
      </c>
      <c r="G70" s="458">
        <v>92</v>
      </c>
      <c r="H70" s="458">
        <v>90</v>
      </c>
      <c r="I70" s="458">
        <v>108</v>
      </c>
      <c r="J70" s="458">
        <v>142</v>
      </c>
      <c r="K70" s="458">
        <v>97</v>
      </c>
      <c r="L70" s="458">
        <v>122</v>
      </c>
      <c r="M70" s="219"/>
      <c r="N70" s="14"/>
      <c r="O70" s="233"/>
      <c r="P70" s="219"/>
      <c r="Q70" s="219"/>
      <c r="R70" s="219"/>
      <c r="S70" s="219"/>
      <c r="T70" s="219"/>
      <c r="U70" s="219"/>
      <c r="V70" s="219"/>
      <c r="W70" s="219"/>
      <c r="X70" s="219"/>
    </row>
    <row r="71" spans="1:38" s="229" customFormat="1" ht="9.75" customHeight="1">
      <c r="A71" s="337">
        <f t="shared" si="3"/>
        <v>46113</v>
      </c>
      <c r="B71" s="304">
        <v>103.5</v>
      </c>
      <c r="C71" s="458">
        <v>91</v>
      </c>
      <c r="D71" s="458">
        <v>96</v>
      </c>
      <c r="E71" s="458">
        <v>99</v>
      </c>
      <c r="F71" s="458">
        <v>67</v>
      </c>
      <c r="G71" s="458">
        <v>80</v>
      </c>
      <c r="H71" s="458">
        <v>82</v>
      </c>
      <c r="I71" s="458">
        <v>115</v>
      </c>
      <c r="J71" s="458">
        <v>148</v>
      </c>
      <c r="K71" s="458">
        <v>104</v>
      </c>
      <c r="L71" s="458">
        <v>121</v>
      </c>
      <c r="M71" s="219"/>
      <c r="N71" s="14"/>
      <c r="O71" s="233"/>
      <c r="P71" s="219"/>
      <c r="Q71" s="219"/>
      <c r="R71" s="219"/>
      <c r="S71" s="219"/>
      <c r="T71" s="219"/>
      <c r="U71" s="219"/>
      <c r="V71" s="219"/>
      <c r="W71" s="219"/>
      <c r="X71" s="219"/>
    </row>
    <row r="72" spans="1:38" s="229" customFormat="1" ht="11.25" customHeight="1">
      <c r="A72" s="530" t="s">
        <v>5</v>
      </c>
      <c r="B72" s="535" t="s">
        <v>85</v>
      </c>
      <c r="C72" s="536"/>
      <c r="D72" s="319"/>
      <c r="E72" s="237"/>
      <c r="F72" s="237"/>
      <c r="G72" s="237"/>
      <c r="H72" s="319"/>
      <c r="I72" s="319"/>
      <c r="J72" s="319"/>
      <c r="K72" s="319"/>
      <c r="L72" s="319"/>
      <c r="M72" s="219"/>
      <c r="N72" s="108"/>
      <c r="O72" s="358"/>
      <c r="P72" s="226"/>
      <c r="Q72" s="226"/>
      <c r="R72" s="226"/>
      <c r="S72" s="226"/>
      <c r="T72" s="226"/>
      <c r="U72" s="219"/>
      <c r="V72" s="219"/>
      <c r="W72" s="219"/>
      <c r="X72" s="219"/>
      <c r="Y72" s="233"/>
      <c r="Z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</row>
    <row r="73" spans="1:38" ht="9.75" customHeight="1">
      <c r="A73" s="534"/>
      <c r="B73" s="537"/>
      <c r="C73" s="538"/>
      <c r="D73" s="238" t="s">
        <v>86</v>
      </c>
      <c r="E73" s="238" t="s">
        <v>87</v>
      </c>
      <c r="F73" s="238" t="s">
        <v>88</v>
      </c>
      <c r="G73" s="238" t="s">
        <v>89</v>
      </c>
      <c r="H73" s="238" t="s">
        <v>90</v>
      </c>
      <c r="I73" s="238" t="s">
        <v>91</v>
      </c>
      <c r="J73" s="239" t="s">
        <v>92</v>
      </c>
      <c r="K73" s="239" t="s">
        <v>93</v>
      </c>
      <c r="L73" s="239" t="s">
        <v>94</v>
      </c>
      <c r="N73" s="328"/>
      <c r="O73" s="359"/>
      <c r="P73" s="359"/>
      <c r="Q73" s="359"/>
      <c r="R73" s="359"/>
      <c r="S73" s="359"/>
      <c r="T73" s="359"/>
      <c r="U73" s="359"/>
      <c r="V73" s="359"/>
      <c r="W73" s="359"/>
      <c r="X73" s="359"/>
      <c r="Y73" s="359"/>
      <c r="Z73" s="359"/>
      <c r="AA73" s="359"/>
      <c r="AB73" s="359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</row>
    <row r="74" spans="1:38" ht="9.75" customHeight="1">
      <c r="A74" s="336">
        <v>2016</v>
      </c>
      <c r="B74" s="305"/>
      <c r="C74" s="231">
        <v>96</v>
      </c>
      <c r="D74" s="230">
        <v>83</v>
      </c>
      <c r="E74" s="230">
        <v>91</v>
      </c>
      <c r="F74" s="230">
        <v>79</v>
      </c>
      <c r="G74" s="230">
        <v>81</v>
      </c>
      <c r="H74" s="230">
        <v>96</v>
      </c>
      <c r="I74" s="230">
        <v>107</v>
      </c>
      <c r="J74" s="230">
        <v>81</v>
      </c>
      <c r="K74" s="230">
        <v>104</v>
      </c>
      <c r="L74" s="232">
        <v>102</v>
      </c>
      <c r="N74" s="328"/>
      <c r="O74" s="359"/>
      <c r="P74" s="359"/>
      <c r="Q74" s="359"/>
      <c r="R74" s="359"/>
      <c r="S74" s="359"/>
      <c r="T74" s="359"/>
      <c r="U74" s="359"/>
      <c r="V74" s="359"/>
      <c r="W74" s="359"/>
      <c r="X74" s="359"/>
      <c r="Y74" s="359"/>
      <c r="Z74" s="359"/>
      <c r="AA74" s="359"/>
      <c r="AB74" s="359"/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</row>
    <row r="75" spans="1:38" ht="9.75" customHeight="1">
      <c r="A75" s="336">
        <v>2017</v>
      </c>
      <c r="B75" s="305"/>
      <c r="C75" s="231">
        <v>103</v>
      </c>
      <c r="D75" s="230">
        <v>91</v>
      </c>
      <c r="E75" s="230">
        <v>95</v>
      </c>
      <c r="F75" s="230">
        <v>87</v>
      </c>
      <c r="G75" s="230">
        <v>88</v>
      </c>
      <c r="H75" s="230">
        <v>101</v>
      </c>
      <c r="I75" s="230">
        <v>109</v>
      </c>
      <c r="J75" s="230">
        <v>87</v>
      </c>
      <c r="K75" s="230">
        <v>105</v>
      </c>
      <c r="L75" s="232">
        <v>101</v>
      </c>
      <c r="N75" s="328"/>
      <c r="O75" s="359"/>
      <c r="P75" s="359"/>
      <c r="Q75" s="359"/>
      <c r="R75" s="359"/>
      <c r="S75" s="359"/>
      <c r="T75" s="359"/>
      <c r="U75" s="359"/>
      <c r="V75" s="359"/>
      <c r="W75" s="359"/>
      <c r="X75" s="359"/>
      <c r="Y75" s="359"/>
      <c r="Z75" s="359"/>
      <c r="AA75" s="359"/>
      <c r="AB75" s="359"/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</row>
    <row r="76" spans="1:38" ht="9.75" customHeight="1">
      <c r="A76" s="336">
        <v>2018</v>
      </c>
      <c r="B76" s="305"/>
      <c r="C76" s="231">
        <v>101</v>
      </c>
      <c r="D76" s="230">
        <v>89</v>
      </c>
      <c r="E76" s="230">
        <v>89</v>
      </c>
      <c r="F76" s="230">
        <v>84</v>
      </c>
      <c r="G76" s="230">
        <v>79</v>
      </c>
      <c r="H76" s="230">
        <v>99</v>
      </c>
      <c r="I76" s="230">
        <v>112</v>
      </c>
      <c r="J76" s="230">
        <v>82</v>
      </c>
      <c r="K76" s="230">
        <v>105</v>
      </c>
      <c r="L76" s="232">
        <v>103</v>
      </c>
      <c r="M76" s="233"/>
      <c r="N76" s="328"/>
      <c r="O76" s="359"/>
      <c r="P76" s="359"/>
      <c r="Q76" s="359"/>
      <c r="R76" s="359"/>
      <c r="S76" s="359"/>
      <c r="T76" s="359"/>
      <c r="U76" s="359"/>
      <c r="V76" s="359"/>
      <c r="W76" s="359"/>
      <c r="X76" s="359"/>
      <c r="Y76" s="359"/>
      <c r="Z76" s="359"/>
      <c r="AA76" s="359"/>
      <c r="AB76" s="359"/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</row>
    <row r="77" spans="1:38" ht="9.75" customHeight="1">
      <c r="A77" s="336">
        <v>2019</v>
      </c>
      <c r="B77" s="305"/>
      <c r="C77" s="231">
        <v>103</v>
      </c>
      <c r="D77" s="230">
        <v>93</v>
      </c>
      <c r="E77" s="230">
        <v>93</v>
      </c>
      <c r="F77" s="230">
        <v>87</v>
      </c>
      <c r="G77" s="230">
        <v>82</v>
      </c>
      <c r="H77" s="230">
        <v>94</v>
      </c>
      <c r="I77" s="230">
        <v>111</v>
      </c>
      <c r="J77" s="230">
        <v>93</v>
      </c>
      <c r="K77" s="230">
        <v>96</v>
      </c>
      <c r="L77" s="232">
        <v>104</v>
      </c>
      <c r="M77" s="233"/>
      <c r="N77" s="328"/>
      <c r="O77" s="359"/>
      <c r="P77" s="359"/>
      <c r="Q77" s="359"/>
      <c r="R77" s="359"/>
      <c r="S77" s="359"/>
      <c r="T77" s="359"/>
      <c r="U77" s="359"/>
      <c r="V77" s="359"/>
      <c r="W77" s="359"/>
      <c r="X77" s="359"/>
      <c r="Y77" s="359"/>
      <c r="Z77" s="359"/>
      <c r="AA77" s="359"/>
      <c r="AB77" s="359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</row>
    <row r="78" spans="1:38" ht="9.75" customHeight="1">
      <c r="A78" s="336">
        <v>2020</v>
      </c>
      <c r="B78" s="305"/>
      <c r="C78" s="231">
        <v>97</v>
      </c>
      <c r="D78" s="230">
        <v>83</v>
      </c>
      <c r="E78" s="230">
        <v>79</v>
      </c>
      <c r="F78" s="230">
        <v>75</v>
      </c>
      <c r="G78" s="230">
        <v>68</v>
      </c>
      <c r="H78" s="230">
        <v>78</v>
      </c>
      <c r="I78" s="230">
        <v>103</v>
      </c>
      <c r="J78" s="230">
        <v>88</v>
      </c>
      <c r="K78" s="230">
        <v>87</v>
      </c>
      <c r="L78" s="232">
        <v>102</v>
      </c>
      <c r="M78" s="233"/>
      <c r="N78" s="328"/>
      <c r="O78" s="359"/>
      <c r="P78" s="359"/>
      <c r="Q78" s="359"/>
      <c r="R78" s="359"/>
      <c r="S78" s="359"/>
      <c r="T78" s="359"/>
      <c r="U78" s="359"/>
      <c r="V78" s="359"/>
      <c r="W78" s="359"/>
      <c r="X78" s="359"/>
      <c r="Y78" s="359"/>
      <c r="Z78" s="359"/>
      <c r="AA78" s="359"/>
      <c r="AB78" s="359"/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</row>
    <row r="79" spans="1:38" ht="9.75" customHeight="1">
      <c r="A79" s="336">
        <v>2021</v>
      </c>
      <c r="B79" s="305"/>
      <c r="C79" s="231">
        <v>107</v>
      </c>
      <c r="D79" s="230">
        <v>96</v>
      </c>
      <c r="E79" s="230">
        <v>90</v>
      </c>
      <c r="F79" s="230">
        <v>88</v>
      </c>
      <c r="G79" s="230">
        <v>84</v>
      </c>
      <c r="H79" s="230">
        <v>88</v>
      </c>
      <c r="I79" s="230">
        <v>113</v>
      </c>
      <c r="J79" s="230">
        <v>94</v>
      </c>
      <c r="K79" s="230">
        <v>98</v>
      </c>
      <c r="L79" s="232">
        <v>106</v>
      </c>
      <c r="M79" s="233"/>
      <c r="N79" s="328"/>
      <c r="O79" s="359"/>
      <c r="P79" s="359"/>
      <c r="Q79" s="359"/>
      <c r="R79" s="359"/>
      <c r="S79" s="359"/>
      <c r="T79" s="359"/>
      <c r="U79" s="359"/>
      <c r="V79" s="359"/>
      <c r="W79" s="359"/>
      <c r="X79" s="359"/>
      <c r="Y79" s="359"/>
      <c r="Z79" s="359"/>
      <c r="AA79" s="359"/>
      <c r="AB79" s="359"/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</row>
    <row r="80" spans="1:38" ht="9.75" customHeight="1">
      <c r="A80" s="336">
        <v>2022</v>
      </c>
      <c r="B80" s="305"/>
      <c r="C80" s="231">
        <v>106</v>
      </c>
      <c r="D80" s="230">
        <v>87</v>
      </c>
      <c r="E80" s="230">
        <v>94</v>
      </c>
      <c r="F80" s="230">
        <v>91</v>
      </c>
      <c r="G80" s="230">
        <v>88</v>
      </c>
      <c r="H80" s="230">
        <v>98</v>
      </c>
      <c r="I80" s="230">
        <v>111</v>
      </c>
      <c r="J80" s="230">
        <v>89</v>
      </c>
      <c r="K80" s="230">
        <v>109</v>
      </c>
      <c r="L80" s="232">
        <v>109</v>
      </c>
      <c r="M80" s="233"/>
      <c r="N80" s="328"/>
      <c r="O80" s="359"/>
      <c r="P80" s="359"/>
      <c r="Q80" s="359"/>
      <c r="R80" s="359"/>
      <c r="S80" s="359"/>
      <c r="T80" s="359"/>
      <c r="U80" s="359"/>
      <c r="V80" s="359"/>
      <c r="W80" s="359"/>
      <c r="X80" s="359"/>
      <c r="Y80" s="359"/>
      <c r="Z80" s="359"/>
      <c r="AA80" s="359"/>
      <c r="AB80" s="359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</row>
    <row r="81" spans="1:38" ht="9.75" customHeight="1">
      <c r="A81" s="336">
        <v>2023</v>
      </c>
      <c r="B81" s="305"/>
      <c r="C81" s="231">
        <v>108</v>
      </c>
      <c r="D81" s="230">
        <v>91</v>
      </c>
      <c r="E81" s="230">
        <v>94</v>
      </c>
      <c r="F81" s="230">
        <v>94</v>
      </c>
      <c r="G81" s="230">
        <v>91</v>
      </c>
      <c r="H81" s="230">
        <v>97</v>
      </c>
      <c r="I81" s="230">
        <v>112</v>
      </c>
      <c r="J81" s="230">
        <v>88</v>
      </c>
      <c r="K81" s="230">
        <v>107</v>
      </c>
      <c r="L81" s="232">
        <v>106</v>
      </c>
      <c r="M81" s="233"/>
      <c r="N81" s="410"/>
      <c r="O81" s="359"/>
      <c r="P81" s="359"/>
      <c r="Q81" s="359"/>
      <c r="R81" s="359"/>
      <c r="S81" s="359"/>
      <c r="T81" s="359"/>
      <c r="U81" s="359"/>
      <c r="V81" s="359"/>
      <c r="W81" s="359"/>
      <c r="X81" s="359"/>
      <c r="Y81" s="359"/>
      <c r="Z81" s="359"/>
      <c r="AA81" s="359"/>
      <c r="AB81" s="359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</row>
    <row r="82" spans="1:38" ht="9.75" customHeight="1">
      <c r="A82" s="336">
        <v>2024</v>
      </c>
      <c r="B82" s="305"/>
      <c r="C82" s="231">
        <v>102</v>
      </c>
      <c r="D82" s="230">
        <v>89</v>
      </c>
      <c r="E82" s="230">
        <v>93</v>
      </c>
      <c r="F82" s="230">
        <v>89</v>
      </c>
      <c r="G82" s="230">
        <v>90</v>
      </c>
      <c r="H82" s="230">
        <v>95</v>
      </c>
      <c r="I82" s="230">
        <v>112</v>
      </c>
      <c r="J82" s="230">
        <v>86</v>
      </c>
      <c r="K82" s="230">
        <v>106</v>
      </c>
      <c r="L82" s="232">
        <v>103</v>
      </c>
      <c r="M82" s="233"/>
      <c r="N82" s="14"/>
      <c r="O82" s="359"/>
      <c r="P82" s="359"/>
      <c r="Q82" s="359"/>
      <c r="R82" s="359"/>
      <c r="S82" s="359"/>
      <c r="T82" s="359"/>
      <c r="U82" s="359"/>
      <c r="V82" s="359"/>
      <c r="W82" s="359"/>
      <c r="X82" s="359"/>
      <c r="Y82" s="359"/>
      <c r="Z82" s="359"/>
      <c r="AA82" s="359"/>
      <c r="AB82" s="359"/>
    </row>
    <row r="83" spans="1:38" ht="9.75" customHeight="1">
      <c r="A83" s="336">
        <v>2025</v>
      </c>
      <c r="B83" s="305"/>
      <c r="C83" s="231">
        <v>111</v>
      </c>
      <c r="D83" s="230">
        <v>95</v>
      </c>
      <c r="E83" s="230">
        <v>99</v>
      </c>
      <c r="F83" s="230">
        <v>99</v>
      </c>
      <c r="G83" s="230">
        <v>96</v>
      </c>
      <c r="H83" s="230">
        <v>102</v>
      </c>
      <c r="I83" s="230">
        <v>112</v>
      </c>
      <c r="J83" s="230">
        <v>95</v>
      </c>
      <c r="K83" s="230">
        <v>109</v>
      </c>
      <c r="L83" s="232">
        <v>106</v>
      </c>
      <c r="M83" s="233"/>
      <c r="N83" s="14"/>
      <c r="O83" s="359"/>
      <c r="P83" s="359"/>
      <c r="Q83" s="359"/>
      <c r="R83" s="359"/>
      <c r="S83" s="359"/>
      <c r="T83" s="359"/>
      <c r="U83" s="359"/>
      <c r="V83" s="359"/>
      <c r="W83" s="359"/>
      <c r="X83" s="359"/>
      <c r="Y83" s="359"/>
      <c r="Z83" s="359"/>
      <c r="AA83" s="359"/>
      <c r="AB83" s="359"/>
    </row>
    <row r="84" spans="1:38" ht="9.75" customHeight="1">
      <c r="A84" s="324"/>
      <c r="B84" s="305"/>
      <c r="C84" s="231"/>
      <c r="D84" s="230"/>
      <c r="E84" s="230"/>
      <c r="F84" s="230"/>
      <c r="G84" s="230"/>
      <c r="H84" s="230"/>
      <c r="I84" s="230"/>
      <c r="J84" s="230"/>
      <c r="K84" s="230"/>
      <c r="L84" s="301"/>
      <c r="M84" s="233"/>
      <c r="N84" s="14"/>
      <c r="O84" s="359"/>
      <c r="P84" s="359"/>
      <c r="Q84" s="359"/>
      <c r="R84" s="359"/>
      <c r="S84" s="359"/>
      <c r="T84" s="359"/>
      <c r="U84" s="359"/>
      <c r="V84" s="359"/>
      <c r="W84" s="359"/>
      <c r="X84" s="359"/>
      <c r="Y84" s="359"/>
      <c r="Z84" s="359"/>
      <c r="AA84" s="359"/>
      <c r="AB84" s="359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</row>
    <row r="85" spans="1:38" ht="9.75" customHeight="1">
      <c r="A85" s="324"/>
      <c r="B85" s="305"/>
      <c r="C85" s="231"/>
      <c r="D85" s="230"/>
      <c r="E85" s="230"/>
      <c r="F85" s="230"/>
      <c r="G85" s="230"/>
      <c r="H85" s="230"/>
      <c r="I85" s="230"/>
      <c r="J85" s="230"/>
      <c r="K85" s="230"/>
      <c r="L85" s="232"/>
      <c r="M85" s="233"/>
      <c r="N85" s="328"/>
      <c r="O85" s="359"/>
      <c r="P85" s="359"/>
      <c r="Q85" s="359"/>
      <c r="R85" s="359"/>
      <c r="S85" s="359"/>
      <c r="T85" s="359"/>
      <c r="U85" s="359"/>
      <c r="V85" s="359"/>
      <c r="W85" s="359"/>
      <c r="X85" s="359"/>
      <c r="Y85" s="359"/>
      <c r="Z85" s="359"/>
      <c r="AA85" s="359"/>
      <c r="AB85" s="359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</row>
    <row r="86" spans="1:38" ht="9.75" customHeight="1">
      <c r="A86" s="337">
        <v>44562</v>
      </c>
      <c r="B86" s="305"/>
      <c r="C86" s="231">
        <v>106</v>
      </c>
      <c r="D86" s="230">
        <v>92</v>
      </c>
      <c r="E86" s="230">
        <v>89</v>
      </c>
      <c r="F86" s="230">
        <v>87</v>
      </c>
      <c r="G86" s="230">
        <v>80</v>
      </c>
      <c r="H86" s="230">
        <v>85</v>
      </c>
      <c r="I86" s="230">
        <v>112</v>
      </c>
      <c r="J86" s="230">
        <v>96</v>
      </c>
      <c r="K86" s="230">
        <v>95</v>
      </c>
      <c r="L86" s="232">
        <v>104</v>
      </c>
      <c r="M86" s="233"/>
      <c r="N86" s="328"/>
      <c r="O86" s="359"/>
      <c r="P86" s="359"/>
      <c r="Q86" s="359"/>
      <c r="R86" s="359"/>
      <c r="S86" s="359"/>
      <c r="T86" s="359"/>
      <c r="U86" s="359"/>
      <c r="V86" s="359"/>
      <c r="W86" s="359"/>
      <c r="X86" s="359"/>
      <c r="Y86" s="359"/>
      <c r="Z86" s="359"/>
      <c r="AA86" s="359"/>
      <c r="AB86" s="359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</row>
    <row r="87" spans="1:38" ht="9.75" customHeight="1">
      <c r="A87" s="337">
        <v>44593</v>
      </c>
      <c r="B87" s="305"/>
      <c r="C87" s="231">
        <v>106</v>
      </c>
      <c r="D87" s="230">
        <v>93</v>
      </c>
      <c r="E87" s="230">
        <v>88</v>
      </c>
      <c r="F87" s="230">
        <v>85</v>
      </c>
      <c r="G87" s="230">
        <v>79</v>
      </c>
      <c r="H87" s="230">
        <v>85</v>
      </c>
      <c r="I87" s="230">
        <v>108</v>
      </c>
      <c r="J87" s="230">
        <v>94</v>
      </c>
      <c r="K87" s="230">
        <v>96</v>
      </c>
      <c r="L87" s="232">
        <v>104</v>
      </c>
      <c r="M87" s="233"/>
      <c r="N87" s="328"/>
      <c r="O87" s="359"/>
      <c r="P87" s="359"/>
      <c r="Q87" s="359"/>
      <c r="R87" s="359"/>
      <c r="S87" s="359"/>
      <c r="T87" s="359"/>
      <c r="U87" s="359"/>
      <c r="V87" s="359"/>
      <c r="W87" s="359"/>
      <c r="X87" s="359"/>
      <c r="Y87" s="359"/>
      <c r="Z87" s="359"/>
      <c r="AA87" s="359"/>
      <c r="AB87" s="359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</row>
    <row r="88" spans="1:38" ht="9.75" customHeight="1">
      <c r="A88" s="337">
        <v>44621</v>
      </c>
      <c r="B88" s="305"/>
      <c r="C88" s="231">
        <v>109</v>
      </c>
      <c r="D88" s="230">
        <v>97</v>
      </c>
      <c r="E88" s="230">
        <v>91</v>
      </c>
      <c r="F88" s="230">
        <v>92</v>
      </c>
      <c r="G88" s="230">
        <v>87</v>
      </c>
      <c r="H88" s="230">
        <v>89</v>
      </c>
      <c r="I88" s="230">
        <v>111</v>
      </c>
      <c r="J88" s="230">
        <v>98</v>
      </c>
      <c r="K88" s="230">
        <v>103</v>
      </c>
      <c r="L88" s="232">
        <v>106</v>
      </c>
      <c r="M88" s="233"/>
      <c r="N88" s="328"/>
      <c r="O88" s="359"/>
      <c r="P88" s="359"/>
      <c r="Q88" s="359"/>
      <c r="R88" s="359"/>
      <c r="S88" s="359"/>
      <c r="T88" s="359"/>
      <c r="U88" s="359"/>
      <c r="V88" s="359"/>
      <c r="W88" s="359"/>
      <c r="X88" s="359"/>
      <c r="Y88" s="359"/>
      <c r="Z88" s="359"/>
      <c r="AA88" s="359"/>
      <c r="AB88" s="359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</row>
    <row r="89" spans="1:38" ht="9.75" customHeight="1">
      <c r="A89" s="337">
        <v>44652</v>
      </c>
      <c r="B89" s="305"/>
      <c r="C89" s="231">
        <v>109</v>
      </c>
      <c r="D89" s="230">
        <v>98</v>
      </c>
      <c r="E89" s="230">
        <v>94</v>
      </c>
      <c r="F89" s="230">
        <v>96</v>
      </c>
      <c r="G89" s="230">
        <v>95</v>
      </c>
      <c r="H89" s="230">
        <v>96</v>
      </c>
      <c r="I89" s="230">
        <v>111</v>
      </c>
      <c r="J89" s="230">
        <v>102</v>
      </c>
      <c r="K89" s="230">
        <v>103</v>
      </c>
      <c r="L89" s="232">
        <v>108</v>
      </c>
      <c r="M89" s="233"/>
      <c r="N89" s="328"/>
      <c r="O89" s="359"/>
      <c r="P89" s="359"/>
      <c r="Q89" s="359"/>
      <c r="R89" s="359"/>
      <c r="S89" s="359"/>
      <c r="T89" s="359"/>
      <c r="U89" s="359"/>
      <c r="V89" s="359"/>
      <c r="W89" s="359"/>
      <c r="X89" s="359"/>
      <c r="Y89" s="359"/>
      <c r="Z89" s="359"/>
      <c r="AA89" s="359"/>
      <c r="AB89" s="359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</row>
    <row r="90" spans="1:38" ht="9.75" customHeight="1">
      <c r="A90" s="337">
        <v>44682</v>
      </c>
      <c r="B90" s="305"/>
      <c r="C90" s="231">
        <v>112</v>
      </c>
      <c r="D90" s="230">
        <v>97</v>
      </c>
      <c r="E90" s="230">
        <v>95</v>
      </c>
      <c r="F90" s="230">
        <v>95</v>
      </c>
      <c r="G90" s="230">
        <v>97</v>
      </c>
      <c r="H90" s="230">
        <v>98</v>
      </c>
      <c r="I90" s="230">
        <v>110</v>
      </c>
      <c r="J90" s="230">
        <v>103</v>
      </c>
      <c r="K90" s="230">
        <v>103</v>
      </c>
      <c r="L90" s="232">
        <v>106</v>
      </c>
      <c r="M90" s="233"/>
      <c r="N90" s="328"/>
      <c r="O90" s="359"/>
      <c r="P90" s="359"/>
      <c r="Q90" s="359"/>
      <c r="R90" s="359"/>
      <c r="S90" s="359"/>
      <c r="T90" s="359"/>
      <c r="U90" s="359"/>
      <c r="V90" s="359"/>
      <c r="W90" s="359"/>
      <c r="X90" s="359"/>
      <c r="Y90" s="359"/>
      <c r="Z90" s="359"/>
      <c r="AA90" s="359"/>
      <c r="AB90" s="359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</row>
    <row r="91" spans="1:38" ht="9.75" customHeight="1">
      <c r="A91" s="337">
        <v>44713</v>
      </c>
      <c r="B91" s="305"/>
      <c r="C91" s="231">
        <v>105</v>
      </c>
      <c r="D91" s="230">
        <v>88</v>
      </c>
      <c r="E91" s="230">
        <v>92</v>
      </c>
      <c r="F91" s="230">
        <v>89</v>
      </c>
      <c r="G91" s="230">
        <v>89</v>
      </c>
      <c r="H91" s="230">
        <v>98</v>
      </c>
      <c r="I91" s="230">
        <v>112</v>
      </c>
      <c r="J91" s="230">
        <v>89</v>
      </c>
      <c r="K91" s="230">
        <v>112</v>
      </c>
      <c r="L91" s="232">
        <v>106</v>
      </c>
      <c r="M91" s="233"/>
      <c r="N91" s="328"/>
      <c r="O91" s="359"/>
      <c r="P91" s="359"/>
      <c r="Q91" s="359"/>
      <c r="R91" s="359"/>
      <c r="S91" s="359"/>
      <c r="T91" s="359"/>
      <c r="U91" s="359"/>
      <c r="V91" s="359"/>
      <c r="W91" s="359"/>
      <c r="X91" s="359"/>
      <c r="Y91" s="359"/>
      <c r="Z91" s="359"/>
      <c r="AA91" s="359"/>
      <c r="AB91" s="359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</row>
    <row r="92" spans="1:38" ht="9.75" customHeight="1">
      <c r="A92" s="337">
        <v>44743</v>
      </c>
      <c r="B92" s="305"/>
      <c r="C92" s="231">
        <v>109</v>
      </c>
      <c r="D92" s="230">
        <v>93</v>
      </c>
      <c r="E92" s="230">
        <v>93</v>
      </c>
      <c r="F92" s="230">
        <v>93</v>
      </c>
      <c r="G92" s="230">
        <v>90</v>
      </c>
      <c r="H92" s="230">
        <v>96</v>
      </c>
      <c r="I92" s="230">
        <v>112</v>
      </c>
      <c r="J92" s="230">
        <v>95</v>
      </c>
      <c r="K92" s="230">
        <v>111</v>
      </c>
      <c r="L92" s="232">
        <v>110</v>
      </c>
      <c r="M92" s="233"/>
      <c r="N92" s="328"/>
      <c r="O92" s="359"/>
      <c r="P92" s="359"/>
      <c r="Q92" s="359"/>
      <c r="R92" s="359"/>
      <c r="S92" s="359"/>
      <c r="T92" s="359"/>
      <c r="U92" s="359"/>
      <c r="V92" s="359"/>
      <c r="W92" s="359"/>
      <c r="X92" s="359"/>
      <c r="Y92" s="359"/>
      <c r="Z92" s="359"/>
      <c r="AA92" s="359"/>
      <c r="AB92" s="359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</row>
    <row r="93" spans="1:38" ht="9.75" customHeight="1">
      <c r="A93" s="337">
        <v>44774</v>
      </c>
      <c r="B93" s="305"/>
      <c r="C93" s="231">
        <v>106</v>
      </c>
      <c r="D93" s="230">
        <v>91</v>
      </c>
      <c r="E93" s="230">
        <v>91</v>
      </c>
      <c r="F93" s="230">
        <v>91</v>
      </c>
      <c r="G93" s="230">
        <v>85</v>
      </c>
      <c r="H93" s="230">
        <v>97</v>
      </c>
      <c r="I93" s="230">
        <v>113</v>
      </c>
      <c r="J93" s="230">
        <v>91</v>
      </c>
      <c r="K93" s="230">
        <v>109</v>
      </c>
      <c r="L93" s="232">
        <v>109</v>
      </c>
      <c r="M93" s="233"/>
      <c r="N93" s="328"/>
      <c r="O93" s="359"/>
      <c r="P93" s="359"/>
      <c r="Q93" s="359"/>
      <c r="R93" s="359"/>
      <c r="S93" s="359"/>
      <c r="T93" s="359"/>
      <c r="U93" s="359"/>
      <c r="V93" s="359"/>
      <c r="W93" s="359"/>
      <c r="X93" s="359"/>
      <c r="Y93" s="359"/>
      <c r="Z93" s="359"/>
      <c r="AA93" s="359"/>
      <c r="AB93" s="359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</row>
    <row r="94" spans="1:38" ht="9.75" customHeight="1">
      <c r="A94" s="337">
        <v>44805</v>
      </c>
      <c r="B94" s="305"/>
      <c r="C94" s="231">
        <v>106</v>
      </c>
      <c r="D94" s="230">
        <v>92</v>
      </c>
      <c r="E94" s="230">
        <v>92</v>
      </c>
      <c r="F94" s="230">
        <v>87</v>
      </c>
      <c r="G94" s="230">
        <v>89</v>
      </c>
      <c r="H94" s="230">
        <v>96</v>
      </c>
      <c r="I94" s="230">
        <v>112</v>
      </c>
      <c r="J94" s="230">
        <v>92</v>
      </c>
      <c r="K94" s="230">
        <v>106</v>
      </c>
      <c r="L94" s="232">
        <v>107</v>
      </c>
      <c r="M94" s="233"/>
      <c r="N94" s="328"/>
      <c r="O94" s="359"/>
      <c r="P94" s="359"/>
      <c r="Q94" s="359"/>
      <c r="R94" s="359"/>
      <c r="S94" s="359"/>
      <c r="T94" s="359"/>
      <c r="U94" s="359"/>
      <c r="V94" s="359"/>
      <c r="W94" s="359"/>
      <c r="X94" s="359"/>
      <c r="Y94" s="359"/>
      <c r="Z94" s="359"/>
      <c r="AA94" s="359"/>
      <c r="AB94" s="359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</row>
    <row r="95" spans="1:38" ht="9.75" customHeight="1">
      <c r="A95" s="337">
        <v>44835</v>
      </c>
      <c r="B95" s="305"/>
      <c r="C95" s="231">
        <v>107</v>
      </c>
      <c r="D95" s="230">
        <v>89</v>
      </c>
      <c r="E95" s="230">
        <v>92</v>
      </c>
      <c r="F95" s="230">
        <v>91</v>
      </c>
      <c r="G95" s="230">
        <v>89</v>
      </c>
      <c r="H95" s="230">
        <v>93</v>
      </c>
      <c r="I95" s="230">
        <v>110</v>
      </c>
      <c r="J95" s="230">
        <v>89</v>
      </c>
      <c r="K95" s="230">
        <v>106</v>
      </c>
      <c r="L95" s="232">
        <v>108</v>
      </c>
      <c r="M95" s="233"/>
      <c r="N95" s="328"/>
      <c r="O95" s="359"/>
      <c r="P95" s="359"/>
      <c r="Q95" s="359"/>
      <c r="R95" s="359"/>
      <c r="S95" s="359"/>
      <c r="T95" s="359"/>
      <c r="U95" s="359"/>
      <c r="V95" s="359"/>
      <c r="W95" s="359"/>
      <c r="X95" s="359"/>
      <c r="Y95" s="359"/>
      <c r="Z95" s="359"/>
      <c r="AA95" s="359"/>
      <c r="AB95" s="359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</row>
    <row r="96" spans="1:38" ht="9.75" customHeight="1">
      <c r="A96" s="337">
        <v>44866</v>
      </c>
      <c r="B96" s="305"/>
      <c r="C96" s="231">
        <v>107</v>
      </c>
      <c r="D96" s="230">
        <v>91</v>
      </c>
      <c r="E96" s="230">
        <v>90</v>
      </c>
      <c r="F96" s="230">
        <v>90</v>
      </c>
      <c r="G96" s="230">
        <v>90</v>
      </c>
      <c r="H96" s="230">
        <v>96</v>
      </c>
      <c r="I96" s="230">
        <v>112</v>
      </c>
      <c r="J96" s="230">
        <v>89</v>
      </c>
      <c r="K96" s="230">
        <v>106</v>
      </c>
      <c r="L96" s="232">
        <v>109</v>
      </c>
      <c r="M96" s="233"/>
      <c r="N96" s="328"/>
      <c r="O96" s="359"/>
      <c r="P96" s="359"/>
      <c r="Q96" s="359"/>
      <c r="R96" s="359"/>
      <c r="S96" s="359"/>
      <c r="T96" s="359"/>
      <c r="U96" s="359"/>
      <c r="V96" s="359"/>
      <c r="W96" s="359"/>
      <c r="X96" s="359"/>
      <c r="Y96" s="359"/>
      <c r="Z96" s="359"/>
      <c r="AA96" s="359"/>
      <c r="AB96" s="359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</row>
    <row r="97" spans="1:38" ht="9.75" customHeight="1">
      <c r="A97" s="337">
        <v>44896</v>
      </c>
      <c r="B97" s="305"/>
      <c r="C97" s="231">
        <v>106</v>
      </c>
      <c r="D97" s="230">
        <v>87</v>
      </c>
      <c r="E97" s="230">
        <v>94</v>
      </c>
      <c r="F97" s="230">
        <v>91</v>
      </c>
      <c r="G97" s="230">
        <v>88</v>
      </c>
      <c r="H97" s="230">
        <v>98</v>
      </c>
      <c r="I97" s="230">
        <v>111</v>
      </c>
      <c r="J97" s="230">
        <v>89</v>
      </c>
      <c r="K97" s="230">
        <v>109</v>
      </c>
      <c r="L97" s="232">
        <v>109</v>
      </c>
      <c r="M97" s="233"/>
      <c r="N97" s="328"/>
      <c r="O97" s="359"/>
      <c r="P97" s="359"/>
      <c r="Q97" s="359"/>
      <c r="R97" s="359"/>
      <c r="S97" s="359"/>
      <c r="T97" s="359"/>
      <c r="U97" s="359"/>
      <c r="V97" s="359"/>
      <c r="W97" s="359"/>
      <c r="X97" s="359"/>
      <c r="Y97" s="359"/>
      <c r="Z97" s="359"/>
      <c r="AA97" s="359"/>
      <c r="AB97" s="359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</row>
    <row r="98" spans="1:38" ht="9.75" customHeight="1">
      <c r="A98" s="337">
        <v>44927</v>
      </c>
      <c r="B98" s="305"/>
      <c r="C98" s="231">
        <v>108</v>
      </c>
      <c r="D98" s="230">
        <v>88</v>
      </c>
      <c r="E98" s="230">
        <v>89</v>
      </c>
      <c r="F98" s="230">
        <v>91</v>
      </c>
      <c r="G98" s="230">
        <v>90</v>
      </c>
      <c r="H98" s="230">
        <v>97</v>
      </c>
      <c r="I98" s="230">
        <v>114</v>
      </c>
      <c r="J98" s="230">
        <v>89</v>
      </c>
      <c r="K98" s="230">
        <v>111</v>
      </c>
      <c r="L98" s="232">
        <v>108</v>
      </c>
      <c r="M98" s="233"/>
      <c r="N98" s="328"/>
      <c r="O98" s="359"/>
      <c r="P98" s="359"/>
      <c r="Q98" s="359"/>
      <c r="R98" s="359"/>
      <c r="S98" s="359"/>
      <c r="T98" s="359"/>
      <c r="U98" s="359"/>
      <c r="V98" s="359"/>
      <c r="W98" s="359"/>
      <c r="X98" s="359"/>
      <c r="Y98" s="359"/>
      <c r="Z98" s="359"/>
      <c r="AA98" s="359"/>
      <c r="AB98" s="359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</row>
    <row r="99" spans="1:38" ht="9.75" customHeight="1">
      <c r="A99" s="337">
        <v>44958</v>
      </c>
      <c r="B99" s="305"/>
      <c r="C99" s="231">
        <v>107</v>
      </c>
      <c r="D99" s="230">
        <v>88</v>
      </c>
      <c r="E99" s="230">
        <v>90</v>
      </c>
      <c r="F99" s="230">
        <v>87</v>
      </c>
      <c r="G99" s="230">
        <v>86</v>
      </c>
      <c r="H99" s="230">
        <v>98</v>
      </c>
      <c r="I99" s="230">
        <v>112</v>
      </c>
      <c r="J99" s="230">
        <v>87</v>
      </c>
      <c r="K99" s="230">
        <v>114</v>
      </c>
      <c r="L99" s="232">
        <v>107</v>
      </c>
      <c r="M99" s="233"/>
      <c r="N99" s="328"/>
      <c r="O99" s="359"/>
      <c r="P99" s="359"/>
      <c r="Q99" s="359"/>
      <c r="R99" s="359"/>
      <c r="S99" s="359"/>
      <c r="T99" s="359"/>
      <c r="U99" s="359"/>
      <c r="V99" s="359"/>
      <c r="W99" s="359"/>
      <c r="X99" s="359"/>
      <c r="Y99" s="359"/>
      <c r="Z99" s="359"/>
      <c r="AA99" s="359"/>
      <c r="AB99" s="359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</row>
    <row r="100" spans="1:38" ht="9.75" customHeight="1">
      <c r="A100" s="337">
        <v>44986</v>
      </c>
      <c r="B100" s="305"/>
      <c r="C100" s="231">
        <v>107</v>
      </c>
      <c r="D100" s="230">
        <v>88</v>
      </c>
      <c r="E100" s="230">
        <v>93</v>
      </c>
      <c r="F100" s="230">
        <v>86</v>
      </c>
      <c r="G100" s="230">
        <v>93</v>
      </c>
      <c r="H100" s="230">
        <v>98</v>
      </c>
      <c r="I100" s="230">
        <v>112</v>
      </c>
      <c r="J100" s="230">
        <v>89</v>
      </c>
      <c r="K100" s="230">
        <v>109</v>
      </c>
      <c r="L100" s="232">
        <v>110</v>
      </c>
      <c r="M100" s="233"/>
      <c r="N100" s="328"/>
      <c r="O100" s="359"/>
      <c r="P100" s="359"/>
      <c r="Q100" s="359"/>
      <c r="R100" s="359"/>
      <c r="S100" s="359"/>
      <c r="T100" s="359"/>
      <c r="U100" s="359"/>
      <c r="V100" s="359"/>
      <c r="W100" s="359"/>
      <c r="X100" s="359"/>
      <c r="Y100" s="359"/>
      <c r="Z100" s="359"/>
      <c r="AA100" s="359"/>
      <c r="AB100" s="359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</row>
    <row r="101" spans="1:38" ht="9.75" customHeight="1">
      <c r="A101" s="337">
        <v>45017</v>
      </c>
      <c r="B101" s="305"/>
      <c r="C101" s="231">
        <v>110</v>
      </c>
      <c r="D101" s="230">
        <v>92</v>
      </c>
      <c r="E101" s="230">
        <v>94</v>
      </c>
      <c r="F101" s="230">
        <v>91</v>
      </c>
      <c r="G101" s="230">
        <v>93</v>
      </c>
      <c r="H101" s="230">
        <v>99</v>
      </c>
      <c r="I101" s="230">
        <v>115</v>
      </c>
      <c r="J101" s="230">
        <v>89</v>
      </c>
      <c r="K101" s="230">
        <v>109</v>
      </c>
      <c r="L101" s="232">
        <v>106</v>
      </c>
      <c r="M101" s="233"/>
      <c r="N101" s="328"/>
      <c r="O101" s="359"/>
      <c r="P101" s="359"/>
      <c r="Q101" s="359"/>
      <c r="R101" s="359"/>
      <c r="S101" s="359"/>
      <c r="T101" s="359"/>
      <c r="U101" s="359"/>
      <c r="V101" s="359"/>
      <c r="W101" s="359"/>
      <c r="X101" s="359"/>
      <c r="Y101" s="359"/>
      <c r="Z101" s="359"/>
      <c r="AA101" s="359"/>
      <c r="AB101" s="359"/>
      <c r="AC101" s="233"/>
      <c r="AD101" s="233"/>
      <c r="AE101" s="233"/>
      <c r="AF101" s="233"/>
      <c r="AG101" s="233"/>
      <c r="AH101" s="233"/>
      <c r="AI101" s="233"/>
      <c r="AJ101" s="233"/>
      <c r="AK101" s="233"/>
      <c r="AL101" s="233"/>
    </row>
    <row r="102" spans="1:38" ht="9.75" customHeight="1">
      <c r="A102" s="337">
        <v>45047</v>
      </c>
      <c r="B102" s="305"/>
      <c r="C102" s="231">
        <v>108</v>
      </c>
      <c r="D102" s="230">
        <v>94</v>
      </c>
      <c r="E102" s="230">
        <v>96</v>
      </c>
      <c r="F102" s="230">
        <v>94</v>
      </c>
      <c r="G102" s="230">
        <v>96</v>
      </c>
      <c r="H102" s="230">
        <v>96</v>
      </c>
      <c r="I102" s="230">
        <v>111</v>
      </c>
      <c r="J102" s="230">
        <v>95</v>
      </c>
      <c r="K102" s="230">
        <v>109</v>
      </c>
      <c r="L102" s="232">
        <v>105</v>
      </c>
      <c r="M102" s="233"/>
      <c r="N102" s="328"/>
      <c r="O102" s="359"/>
      <c r="P102" s="359"/>
      <c r="Q102" s="359"/>
      <c r="R102" s="359"/>
      <c r="S102" s="359"/>
      <c r="T102" s="359"/>
      <c r="U102" s="359"/>
      <c r="V102" s="359"/>
      <c r="W102" s="359"/>
      <c r="X102" s="359"/>
      <c r="Y102" s="359"/>
      <c r="Z102" s="359"/>
      <c r="AA102" s="359"/>
      <c r="AB102" s="359"/>
      <c r="AC102" s="233"/>
      <c r="AD102" s="233"/>
      <c r="AE102" s="233"/>
      <c r="AF102" s="233"/>
      <c r="AG102" s="233"/>
      <c r="AH102" s="233"/>
      <c r="AI102" s="233"/>
      <c r="AJ102" s="233"/>
      <c r="AK102" s="233"/>
      <c r="AL102" s="233"/>
    </row>
    <row r="103" spans="1:38" ht="9.75" customHeight="1">
      <c r="A103" s="337">
        <f t="shared" ref="A103:A121" si="4">EDATE(A102,1)</f>
        <v>45078</v>
      </c>
      <c r="B103" s="305"/>
      <c r="C103" s="231">
        <v>111</v>
      </c>
      <c r="D103" s="230">
        <v>95</v>
      </c>
      <c r="E103" s="230">
        <v>97</v>
      </c>
      <c r="F103" s="230">
        <v>94</v>
      </c>
      <c r="G103" s="230">
        <v>96</v>
      </c>
      <c r="H103" s="230">
        <v>97</v>
      </c>
      <c r="I103" s="230">
        <v>114</v>
      </c>
      <c r="J103" s="230">
        <v>92</v>
      </c>
      <c r="K103" s="230">
        <v>110</v>
      </c>
      <c r="L103" s="232">
        <v>107</v>
      </c>
      <c r="M103" s="233"/>
      <c r="N103" s="328"/>
      <c r="O103" s="359"/>
      <c r="P103" s="359"/>
      <c r="Q103" s="359"/>
      <c r="R103" s="359"/>
      <c r="S103" s="359"/>
      <c r="T103" s="359"/>
      <c r="U103" s="359"/>
      <c r="V103" s="359"/>
      <c r="W103" s="359"/>
      <c r="X103" s="359"/>
      <c r="Y103" s="359"/>
      <c r="Z103" s="359"/>
      <c r="AA103" s="359"/>
      <c r="AB103" s="359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</row>
    <row r="104" spans="1:38" ht="9.75" customHeight="1">
      <c r="A104" s="337">
        <f t="shared" si="4"/>
        <v>45108</v>
      </c>
      <c r="B104" s="305"/>
      <c r="C104" s="231">
        <v>111</v>
      </c>
      <c r="D104" s="230">
        <v>92</v>
      </c>
      <c r="E104" s="230">
        <v>96</v>
      </c>
      <c r="F104" s="230">
        <v>96</v>
      </c>
      <c r="G104" s="230">
        <v>97</v>
      </c>
      <c r="H104" s="230">
        <v>97</v>
      </c>
      <c r="I104" s="230">
        <v>113</v>
      </c>
      <c r="J104" s="230">
        <v>94</v>
      </c>
      <c r="K104" s="230">
        <v>109</v>
      </c>
      <c r="L104" s="232">
        <v>104</v>
      </c>
      <c r="M104" s="233"/>
      <c r="N104" s="328"/>
      <c r="O104" s="359"/>
      <c r="P104" s="359"/>
      <c r="Q104" s="359"/>
      <c r="R104" s="359"/>
      <c r="S104" s="359"/>
      <c r="T104" s="359"/>
      <c r="U104" s="359"/>
      <c r="V104" s="359"/>
      <c r="W104" s="359"/>
      <c r="X104" s="359"/>
      <c r="Y104" s="359"/>
      <c r="Z104" s="359"/>
      <c r="AA104" s="359"/>
      <c r="AB104" s="359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</row>
    <row r="105" spans="1:38" ht="9.75" customHeight="1">
      <c r="A105" s="337">
        <f t="shared" si="4"/>
        <v>45139</v>
      </c>
      <c r="B105" s="305"/>
      <c r="C105" s="231">
        <v>110</v>
      </c>
      <c r="D105" s="230">
        <v>92</v>
      </c>
      <c r="E105" s="230">
        <v>96</v>
      </c>
      <c r="F105" s="230">
        <v>98</v>
      </c>
      <c r="G105" s="230">
        <v>94</v>
      </c>
      <c r="H105" s="230">
        <v>98</v>
      </c>
      <c r="I105" s="230">
        <v>113</v>
      </c>
      <c r="J105" s="231">
        <v>92</v>
      </c>
      <c r="K105" s="230">
        <v>109</v>
      </c>
      <c r="L105" s="232">
        <v>106</v>
      </c>
      <c r="M105" s="233"/>
      <c r="N105" s="328"/>
      <c r="O105" s="359"/>
      <c r="P105" s="359"/>
      <c r="Q105" s="359"/>
      <c r="R105" s="359"/>
      <c r="S105" s="359"/>
      <c r="T105" s="359"/>
      <c r="U105" s="359"/>
      <c r="V105" s="359"/>
      <c r="W105" s="359"/>
      <c r="X105" s="359"/>
      <c r="Y105" s="359"/>
      <c r="Z105" s="359"/>
      <c r="AA105" s="359"/>
      <c r="AB105" s="359"/>
      <c r="AC105" s="233"/>
      <c r="AD105" s="233"/>
      <c r="AE105" s="233"/>
      <c r="AF105" s="233"/>
      <c r="AG105" s="233"/>
      <c r="AH105" s="233"/>
      <c r="AI105" s="233"/>
      <c r="AJ105" s="233"/>
      <c r="AK105" s="233"/>
      <c r="AL105" s="233"/>
    </row>
    <row r="106" spans="1:38" ht="9.75" customHeight="1">
      <c r="A106" s="337">
        <f t="shared" si="4"/>
        <v>45170</v>
      </c>
      <c r="B106" s="305"/>
      <c r="C106" s="231">
        <v>110</v>
      </c>
      <c r="D106" s="230">
        <v>93</v>
      </c>
      <c r="E106" s="230">
        <v>96</v>
      </c>
      <c r="F106" s="230">
        <v>95</v>
      </c>
      <c r="G106" s="230">
        <v>93</v>
      </c>
      <c r="H106" s="230">
        <v>97</v>
      </c>
      <c r="I106" s="230">
        <v>112</v>
      </c>
      <c r="J106" s="231">
        <v>91</v>
      </c>
      <c r="K106" s="230">
        <v>111</v>
      </c>
      <c r="L106" s="232">
        <v>105</v>
      </c>
      <c r="M106" s="233"/>
      <c r="N106" s="328"/>
      <c r="O106" s="359"/>
      <c r="P106" s="359"/>
      <c r="Q106" s="359"/>
      <c r="R106" s="359"/>
      <c r="S106" s="359"/>
      <c r="T106" s="359"/>
      <c r="U106" s="359"/>
      <c r="V106" s="359"/>
      <c r="W106" s="359"/>
      <c r="X106" s="359"/>
      <c r="Y106" s="359"/>
      <c r="Z106" s="359"/>
      <c r="AA106" s="359"/>
      <c r="AB106" s="359"/>
      <c r="AC106" s="233"/>
      <c r="AD106" s="233"/>
      <c r="AE106" s="233"/>
      <c r="AF106" s="233"/>
      <c r="AG106" s="233"/>
      <c r="AH106" s="233"/>
      <c r="AI106" s="233"/>
      <c r="AJ106" s="233"/>
      <c r="AK106" s="233"/>
      <c r="AL106" s="233"/>
    </row>
    <row r="107" spans="1:38" ht="9.75" customHeight="1">
      <c r="A107" s="337">
        <f t="shared" si="4"/>
        <v>45200</v>
      </c>
      <c r="B107" s="305"/>
      <c r="C107" s="231">
        <v>110</v>
      </c>
      <c r="D107" s="230">
        <v>91</v>
      </c>
      <c r="E107" s="230">
        <v>92</v>
      </c>
      <c r="F107" s="230">
        <v>93</v>
      </c>
      <c r="G107" s="230">
        <v>93</v>
      </c>
      <c r="H107" s="230">
        <v>97</v>
      </c>
      <c r="I107" s="230">
        <v>112</v>
      </c>
      <c r="J107" s="231">
        <v>91</v>
      </c>
      <c r="K107" s="230">
        <v>114</v>
      </c>
      <c r="L107" s="232">
        <v>108</v>
      </c>
      <c r="M107" s="233"/>
      <c r="N107" s="328"/>
      <c r="O107" s="359"/>
      <c r="P107" s="359"/>
      <c r="Q107" s="359"/>
      <c r="R107" s="359"/>
      <c r="S107" s="359"/>
      <c r="T107" s="359"/>
      <c r="U107" s="359"/>
      <c r="V107" s="359"/>
      <c r="W107" s="359"/>
      <c r="X107" s="359"/>
      <c r="Y107" s="359"/>
      <c r="Z107" s="359"/>
      <c r="AA107" s="359"/>
      <c r="AB107" s="359"/>
      <c r="AC107" s="233"/>
      <c r="AD107" s="233"/>
      <c r="AE107" s="233"/>
      <c r="AF107" s="233"/>
      <c r="AG107" s="233"/>
      <c r="AH107" s="233"/>
      <c r="AI107" s="233"/>
      <c r="AJ107" s="233"/>
      <c r="AK107" s="233"/>
      <c r="AL107" s="233"/>
    </row>
    <row r="108" spans="1:38" ht="9.75" customHeight="1">
      <c r="A108" s="337">
        <f t="shared" si="4"/>
        <v>45231</v>
      </c>
      <c r="B108" s="305"/>
      <c r="C108" s="231">
        <v>106</v>
      </c>
      <c r="D108" s="230">
        <v>92</v>
      </c>
      <c r="E108" s="230">
        <v>96</v>
      </c>
      <c r="F108" s="230">
        <v>91</v>
      </c>
      <c r="G108" s="230">
        <v>93</v>
      </c>
      <c r="H108" s="230">
        <v>95</v>
      </c>
      <c r="I108" s="230">
        <v>113</v>
      </c>
      <c r="J108" s="231">
        <v>89</v>
      </c>
      <c r="K108" s="230">
        <v>110</v>
      </c>
      <c r="L108" s="232">
        <v>106</v>
      </c>
      <c r="M108" s="233"/>
      <c r="N108" s="328"/>
      <c r="O108" s="359"/>
      <c r="P108" s="359"/>
      <c r="Q108" s="359"/>
      <c r="R108" s="359"/>
      <c r="S108" s="359"/>
      <c r="T108" s="359"/>
      <c r="U108" s="359"/>
      <c r="V108" s="359"/>
      <c r="W108" s="359"/>
      <c r="X108" s="359"/>
      <c r="Y108" s="359"/>
      <c r="Z108" s="359"/>
      <c r="AA108" s="359"/>
      <c r="AB108" s="359"/>
      <c r="AC108" s="233"/>
      <c r="AD108" s="233"/>
      <c r="AE108" s="233"/>
      <c r="AF108" s="233"/>
      <c r="AG108" s="233"/>
      <c r="AH108" s="233"/>
      <c r="AI108" s="233"/>
      <c r="AJ108" s="233"/>
      <c r="AK108" s="233"/>
      <c r="AL108" s="233"/>
    </row>
    <row r="109" spans="1:38" ht="9.75" customHeight="1">
      <c r="A109" s="337">
        <f t="shared" si="4"/>
        <v>45261</v>
      </c>
      <c r="B109" s="305"/>
      <c r="C109" s="231">
        <v>108</v>
      </c>
      <c r="D109" s="230">
        <v>91</v>
      </c>
      <c r="E109" s="230">
        <v>94</v>
      </c>
      <c r="F109" s="230">
        <v>94</v>
      </c>
      <c r="G109" s="230">
        <v>91</v>
      </c>
      <c r="H109" s="230">
        <v>97</v>
      </c>
      <c r="I109" s="230">
        <v>112</v>
      </c>
      <c r="J109" s="231">
        <v>88</v>
      </c>
      <c r="K109" s="230">
        <v>107</v>
      </c>
      <c r="L109" s="232">
        <v>106</v>
      </c>
      <c r="M109" s="233"/>
      <c r="N109" s="328"/>
      <c r="O109" s="359"/>
      <c r="P109" s="359"/>
      <c r="Q109" s="359"/>
      <c r="R109" s="359"/>
      <c r="S109" s="359"/>
      <c r="T109" s="359"/>
      <c r="U109" s="359"/>
      <c r="V109" s="359"/>
      <c r="W109" s="359"/>
      <c r="X109" s="359"/>
      <c r="Y109" s="359"/>
      <c r="Z109" s="359"/>
      <c r="AA109" s="359"/>
      <c r="AB109" s="359"/>
      <c r="AC109" s="233"/>
      <c r="AD109" s="233"/>
      <c r="AE109" s="233"/>
      <c r="AF109" s="233"/>
      <c r="AG109" s="233"/>
      <c r="AH109" s="233"/>
      <c r="AI109" s="233"/>
      <c r="AJ109" s="233"/>
      <c r="AK109" s="233"/>
      <c r="AL109" s="233"/>
    </row>
    <row r="110" spans="1:38" ht="9.75" customHeight="1">
      <c r="A110" s="337">
        <f t="shared" si="4"/>
        <v>45292</v>
      </c>
      <c r="B110" s="305"/>
      <c r="C110" s="231">
        <v>107</v>
      </c>
      <c r="D110" s="230">
        <v>91</v>
      </c>
      <c r="E110" s="230">
        <v>96</v>
      </c>
      <c r="F110" s="230">
        <v>96</v>
      </c>
      <c r="G110" s="230">
        <v>93</v>
      </c>
      <c r="H110" s="230">
        <v>97</v>
      </c>
      <c r="I110" s="230">
        <v>110</v>
      </c>
      <c r="J110" s="231">
        <v>90</v>
      </c>
      <c r="K110" s="230">
        <v>109</v>
      </c>
      <c r="L110" s="232">
        <v>107</v>
      </c>
      <c r="M110" s="233"/>
      <c r="N110" s="410"/>
      <c r="O110" s="359"/>
      <c r="P110" s="359"/>
      <c r="Q110" s="359"/>
      <c r="R110" s="359"/>
      <c r="S110" s="359"/>
      <c r="T110" s="359"/>
      <c r="U110" s="359"/>
      <c r="V110" s="359"/>
      <c r="W110" s="359"/>
      <c r="X110" s="359"/>
      <c r="Y110" s="359"/>
      <c r="Z110" s="359"/>
      <c r="AA110" s="359"/>
      <c r="AB110" s="359"/>
      <c r="AC110" s="233"/>
      <c r="AD110" s="233"/>
      <c r="AE110" s="233"/>
      <c r="AF110" s="233"/>
      <c r="AG110" s="233"/>
      <c r="AH110" s="233"/>
      <c r="AI110" s="233"/>
      <c r="AJ110" s="233"/>
      <c r="AK110" s="233"/>
      <c r="AL110" s="233"/>
    </row>
    <row r="111" spans="1:38" ht="9.75" customHeight="1">
      <c r="A111" s="337">
        <f t="shared" si="4"/>
        <v>45323</v>
      </c>
      <c r="B111" s="305"/>
      <c r="C111" s="231">
        <v>107</v>
      </c>
      <c r="D111" s="230">
        <v>90</v>
      </c>
      <c r="E111" s="230">
        <v>91</v>
      </c>
      <c r="F111" s="230">
        <v>94</v>
      </c>
      <c r="G111" s="230">
        <v>94</v>
      </c>
      <c r="H111" s="230">
        <v>97</v>
      </c>
      <c r="I111" s="230">
        <v>111</v>
      </c>
      <c r="J111" s="231">
        <v>90</v>
      </c>
      <c r="K111" s="230">
        <v>108</v>
      </c>
      <c r="L111" s="232">
        <v>104</v>
      </c>
      <c r="M111" s="233"/>
      <c r="N111" s="410"/>
      <c r="O111" s="359"/>
      <c r="P111" s="359"/>
      <c r="Q111" s="359"/>
      <c r="R111" s="359"/>
      <c r="S111" s="359"/>
      <c r="T111" s="359"/>
      <c r="U111" s="359"/>
      <c r="V111" s="359"/>
      <c r="W111" s="359"/>
      <c r="X111" s="359"/>
      <c r="Y111" s="359"/>
      <c r="Z111" s="359"/>
      <c r="AA111" s="359"/>
      <c r="AB111" s="359"/>
      <c r="AC111" s="233"/>
      <c r="AD111" s="233"/>
      <c r="AE111" s="233"/>
      <c r="AF111" s="233"/>
      <c r="AG111" s="233"/>
      <c r="AH111" s="233"/>
      <c r="AI111" s="233"/>
      <c r="AJ111" s="233"/>
      <c r="AK111" s="233"/>
      <c r="AL111" s="233"/>
    </row>
    <row r="112" spans="1:38" ht="9.75" customHeight="1">
      <c r="A112" s="337">
        <f t="shared" si="4"/>
        <v>45352</v>
      </c>
      <c r="B112" s="305"/>
      <c r="C112" s="231">
        <v>109</v>
      </c>
      <c r="D112" s="230">
        <v>92</v>
      </c>
      <c r="E112" s="230">
        <v>96</v>
      </c>
      <c r="F112" s="230">
        <v>93</v>
      </c>
      <c r="G112" s="230">
        <v>95</v>
      </c>
      <c r="H112" s="230">
        <v>98</v>
      </c>
      <c r="I112" s="230">
        <v>113</v>
      </c>
      <c r="J112" s="231">
        <v>90</v>
      </c>
      <c r="K112" s="230">
        <v>107</v>
      </c>
      <c r="L112" s="232">
        <v>105</v>
      </c>
      <c r="M112" s="233"/>
      <c r="N112" s="410"/>
      <c r="O112" s="359"/>
      <c r="P112" s="359"/>
      <c r="Q112" s="359"/>
      <c r="R112" s="359"/>
      <c r="S112" s="359"/>
      <c r="T112" s="359"/>
      <c r="U112" s="359"/>
      <c r="V112" s="359"/>
      <c r="W112" s="359"/>
      <c r="X112" s="359"/>
      <c r="Y112" s="359"/>
      <c r="Z112" s="359"/>
      <c r="AA112" s="359"/>
      <c r="AB112" s="359"/>
      <c r="AC112" s="233"/>
      <c r="AD112" s="233"/>
      <c r="AE112" s="233"/>
      <c r="AF112" s="233"/>
      <c r="AG112" s="233"/>
      <c r="AH112" s="233"/>
      <c r="AI112" s="233"/>
      <c r="AJ112" s="233"/>
      <c r="AK112" s="233"/>
      <c r="AL112" s="233"/>
    </row>
    <row r="113" spans="1:38" ht="9.75" customHeight="1">
      <c r="A113" s="337">
        <f t="shared" si="4"/>
        <v>45383</v>
      </c>
      <c r="B113" s="305"/>
      <c r="C113" s="231">
        <v>109</v>
      </c>
      <c r="D113" s="230">
        <v>92</v>
      </c>
      <c r="E113" s="230">
        <v>98</v>
      </c>
      <c r="F113" s="230">
        <v>95</v>
      </c>
      <c r="G113" s="230">
        <v>97</v>
      </c>
      <c r="H113" s="230">
        <v>98</v>
      </c>
      <c r="I113" s="230">
        <v>113</v>
      </c>
      <c r="J113" s="231">
        <v>93</v>
      </c>
      <c r="K113" s="230">
        <v>107</v>
      </c>
      <c r="L113" s="232">
        <v>105</v>
      </c>
      <c r="M113" s="233"/>
      <c r="N113" s="410"/>
      <c r="O113" s="359"/>
      <c r="P113" s="359"/>
      <c r="Q113" s="359"/>
      <c r="R113" s="359"/>
      <c r="S113" s="359"/>
      <c r="T113" s="359"/>
      <c r="U113" s="359"/>
      <c r="V113" s="359"/>
      <c r="W113" s="359"/>
      <c r="X113" s="359"/>
      <c r="Y113" s="359"/>
      <c r="Z113" s="359"/>
      <c r="AA113" s="359"/>
      <c r="AB113" s="359"/>
      <c r="AC113" s="233"/>
      <c r="AD113" s="233"/>
      <c r="AE113" s="233"/>
      <c r="AF113" s="233"/>
      <c r="AG113" s="233"/>
      <c r="AH113" s="233"/>
      <c r="AI113" s="233"/>
      <c r="AJ113" s="233"/>
      <c r="AK113" s="233"/>
      <c r="AL113" s="233"/>
    </row>
    <row r="114" spans="1:38" ht="9.75" customHeight="1">
      <c r="A114" s="337">
        <f t="shared" si="4"/>
        <v>45413</v>
      </c>
      <c r="B114" s="305"/>
      <c r="C114" s="231">
        <v>108</v>
      </c>
      <c r="D114" s="230">
        <v>89</v>
      </c>
      <c r="E114" s="230">
        <v>95</v>
      </c>
      <c r="F114" s="230">
        <v>92</v>
      </c>
      <c r="G114" s="230">
        <v>94</v>
      </c>
      <c r="H114" s="230">
        <v>96</v>
      </c>
      <c r="I114" s="230">
        <v>110</v>
      </c>
      <c r="J114" s="231">
        <v>92</v>
      </c>
      <c r="K114" s="230">
        <v>109</v>
      </c>
      <c r="L114" s="232">
        <v>106</v>
      </c>
      <c r="M114" s="233"/>
      <c r="N114" s="410"/>
      <c r="O114" s="359"/>
      <c r="P114" s="359"/>
      <c r="Q114" s="359"/>
      <c r="R114" s="359"/>
      <c r="S114" s="359"/>
      <c r="T114" s="359"/>
      <c r="U114" s="359"/>
      <c r="V114" s="359"/>
      <c r="W114" s="359"/>
      <c r="X114" s="359"/>
      <c r="Y114" s="359"/>
      <c r="Z114" s="359"/>
      <c r="AA114" s="359"/>
      <c r="AB114" s="359"/>
      <c r="AC114" s="233"/>
      <c r="AD114" s="233"/>
      <c r="AE114" s="233"/>
      <c r="AF114" s="233"/>
      <c r="AG114" s="233"/>
      <c r="AH114" s="233"/>
      <c r="AI114" s="233"/>
      <c r="AJ114" s="233"/>
      <c r="AK114" s="233"/>
      <c r="AL114" s="233"/>
    </row>
    <row r="115" spans="1:38" ht="9.75" customHeight="1">
      <c r="A115" s="337">
        <f t="shared" si="4"/>
        <v>45444</v>
      </c>
      <c r="B115" s="305"/>
      <c r="C115" s="231">
        <v>107</v>
      </c>
      <c r="D115" s="230">
        <v>92</v>
      </c>
      <c r="E115" s="230">
        <v>98</v>
      </c>
      <c r="F115" s="230">
        <v>95</v>
      </c>
      <c r="G115" s="230">
        <v>97</v>
      </c>
      <c r="H115" s="230">
        <v>97</v>
      </c>
      <c r="I115" s="230">
        <v>112</v>
      </c>
      <c r="J115" s="231">
        <v>93</v>
      </c>
      <c r="K115" s="230">
        <v>107</v>
      </c>
      <c r="L115" s="232">
        <v>106</v>
      </c>
      <c r="M115" s="233"/>
      <c r="N115" s="410"/>
      <c r="O115" s="359"/>
      <c r="P115" s="359"/>
      <c r="Q115" s="359"/>
      <c r="R115" s="359"/>
      <c r="S115" s="359"/>
      <c r="T115" s="359"/>
      <c r="U115" s="359"/>
      <c r="V115" s="359"/>
      <c r="W115" s="359"/>
      <c r="X115" s="359"/>
      <c r="Y115" s="359"/>
      <c r="Z115" s="359"/>
      <c r="AA115" s="359"/>
      <c r="AB115" s="359"/>
      <c r="AC115" s="233"/>
      <c r="AD115" s="233"/>
      <c r="AE115" s="233"/>
      <c r="AF115" s="233"/>
      <c r="AG115" s="233"/>
      <c r="AH115" s="233"/>
      <c r="AI115" s="233"/>
      <c r="AJ115" s="233"/>
      <c r="AK115" s="233"/>
      <c r="AL115" s="233"/>
    </row>
    <row r="116" spans="1:38" ht="9.75" customHeight="1">
      <c r="A116" s="337">
        <f t="shared" si="4"/>
        <v>45474</v>
      </c>
      <c r="B116" s="305"/>
      <c r="C116" s="231">
        <v>109</v>
      </c>
      <c r="D116" s="230">
        <v>95</v>
      </c>
      <c r="E116" s="230">
        <v>97</v>
      </c>
      <c r="F116" s="230">
        <v>95</v>
      </c>
      <c r="G116" s="230">
        <v>100</v>
      </c>
      <c r="H116" s="230">
        <v>98</v>
      </c>
      <c r="I116" s="230">
        <v>110</v>
      </c>
      <c r="J116" s="230">
        <v>90</v>
      </c>
      <c r="K116" s="230">
        <v>111</v>
      </c>
      <c r="L116" s="232">
        <v>105</v>
      </c>
      <c r="M116" s="233"/>
      <c r="N116" s="410"/>
      <c r="O116" s="359"/>
      <c r="P116" s="359"/>
      <c r="Q116" s="359"/>
      <c r="R116" s="359"/>
      <c r="S116" s="359"/>
      <c r="T116" s="359"/>
      <c r="U116" s="359"/>
      <c r="V116" s="359"/>
      <c r="W116" s="359"/>
      <c r="X116" s="359"/>
      <c r="Y116" s="359"/>
      <c r="Z116" s="359"/>
      <c r="AA116" s="359"/>
      <c r="AB116" s="359"/>
      <c r="AC116" s="233"/>
      <c r="AD116" s="233"/>
      <c r="AE116" s="233"/>
      <c r="AF116" s="233"/>
      <c r="AG116" s="233"/>
      <c r="AH116" s="233"/>
      <c r="AI116" s="233"/>
      <c r="AJ116" s="233"/>
      <c r="AK116" s="233"/>
      <c r="AL116" s="233"/>
    </row>
    <row r="117" spans="1:38" ht="9.75" customHeight="1">
      <c r="A117" s="384">
        <f t="shared" si="4"/>
        <v>45505</v>
      </c>
      <c r="B117" s="305"/>
      <c r="C117" s="231">
        <v>108</v>
      </c>
      <c r="D117" s="230">
        <v>95</v>
      </c>
      <c r="E117" s="230">
        <v>96</v>
      </c>
      <c r="F117" s="230">
        <v>94</v>
      </c>
      <c r="G117" s="230">
        <v>97</v>
      </c>
      <c r="H117" s="230">
        <v>98</v>
      </c>
      <c r="I117" s="230">
        <v>112</v>
      </c>
      <c r="J117" s="230">
        <v>91</v>
      </c>
      <c r="K117" s="230">
        <v>110</v>
      </c>
      <c r="L117" s="232">
        <v>106</v>
      </c>
      <c r="M117" s="233"/>
      <c r="N117" s="410"/>
      <c r="O117" s="359"/>
      <c r="P117" s="359"/>
      <c r="Q117" s="359"/>
      <c r="R117" s="359"/>
      <c r="S117" s="359"/>
      <c r="T117" s="359"/>
      <c r="U117" s="359"/>
      <c r="V117" s="359"/>
      <c r="W117" s="359"/>
      <c r="X117" s="359"/>
      <c r="Y117" s="359"/>
      <c r="Z117" s="359"/>
      <c r="AA117" s="359"/>
      <c r="AB117" s="359"/>
      <c r="AC117" s="233"/>
      <c r="AD117" s="233"/>
      <c r="AE117" s="233"/>
      <c r="AF117" s="233"/>
      <c r="AG117" s="233"/>
      <c r="AH117" s="233"/>
      <c r="AI117" s="233"/>
      <c r="AJ117" s="233"/>
      <c r="AK117" s="233"/>
      <c r="AL117" s="233"/>
    </row>
    <row r="118" spans="1:38" ht="9.75" customHeight="1">
      <c r="A118" s="384">
        <f t="shared" si="4"/>
        <v>45536</v>
      </c>
      <c r="B118" s="305"/>
      <c r="C118" s="231">
        <v>107</v>
      </c>
      <c r="D118" s="230">
        <v>91</v>
      </c>
      <c r="E118" s="230">
        <v>97</v>
      </c>
      <c r="F118" s="230">
        <v>95</v>
      </c>
      <c r="G118" s="230">
        <v>95</v>
      </c>
      <c r="H118" s="230">
        <v>97</v>
      </c>
      <c r="I118" s="230">
        <v>114</v>
      </c>
      <c r="J118" s="230">
        <v>94</v>
      </c>
      <c r="K118" s="230">
        <v>108</v>
      </c>
      <c r="L118" s="232">
        <v>106</v>
      </c>
      <c r="M118" s="233"/>
      <c r="N118" s="410"/>
      <c r="O118" s="359"/>
      <c r="P118" s="359"/>
      <c r="Q118" s="359"/>
      <c r="R118" s="359"/>
      <c r="S118" s="359"/>
      <c r="T118" s="359"/>
      <c r="U118" s="359"/>
      <c r="V118" s="359"/>
      <c r="W118" s="359"/>
      <c r="X118" s="359"/>
      <c r="Y118" s="359"/>
      <c r="Z118" s="359"/>
      <c r="AA118" s="359"/>
      <c r="AB118" s="359"/>
      <c r="AC118" s="233"/>
      <c r="AD118" s="233"/>
      <c r="AE118" s="233"/>
      <c r="AF118" s="233"/>
      <c r="AG118" s="233"/>
      <c r="AH118" s="233"/>
      <c r="AI118" s="233"/>
      <c r="AJ118" s="233"/>
      <c r="AK118" s="233"/>
      <c r="AL118" s="233"/>
    </row>
    <row r="119" spans="1:38" ht="9.75" customHeight="1">
      <c r="A119" s="384">
        <f t="shared" si="4"/>
        <v>45566</v>
      </c>
      <c r="B119" s="305"/>
      <c r="C119" s="231">
        <v>106</v>
      </c>
      <c r="D119" s="230">
        <v>92</v>
      </c>
      <c r="E119" s="230">
        <v>97</v>
      </c>
      <c r="F119" s="230">
        <v>93</v>
      </c>
      <c r="G119" s="230">
        <v>95</v>
      </c>
      <c r="H119" s="230">
        <v>98</v>
      </c>
      <c r="I119" s="230">
        <v>113</v>
      </c>
      <c r="J119" s="230">
        <v>90</v>
      </c>
      <c r="K119" s="230">
        <v>107</v>
      </c>
      <c r="L119" s="232">
        <v>107</v>
      </c>
      <c r="M119" s="233"/>
      <c r="N119" s="410"/>
      <c r="O119" s="359"/>
      <c r="P119" s="359"/>
      <c r="Q119" s="359"/>
      <c r="R119" s="359"/>
      <c r="S119" s="359"/>
      <c r="T119" s="359"/>
      <c r="U119" s="359"/>
      <c r="V119" s="359"/>
      <c r="W119" s="359"/>
      <c r="X119" s="359"/>
      <c r="Y119" s="359"/>
      <c r="Z119" s="359"/>
      <c r="AA119" s="359"/>
      <c r="AB119" s="359"/>
      <c r="AC119" s="233"/>
      <c r="AD119" s="233"/>
      <c r="AE119" s="233"/>
      <c r="AF119" s="233"/>
      <c r="AG119" s="233"/>
      <c r="AH119" s="233"/>
      <c r="AI119" s="233"/>
      <c r="AJ119" s="233"/>
      <c r="AK119" s="233"/>
      <c r="AL119" s="233"/>
    </row>
    <row r="120" spans="1:38" ht="9.75" customHeight="1">
      <c r="A120" s="384">
        <f t="shared" si="4"/>
        <v>45597</v>
      </c>
      <c r="B120" s="305"/>
      <c r="C120" s="231">
        <v>109</v>
      </c>
      <c r="D120" s="230">
        <v>93</v>
      </c>
      <c r="E120" s="230">
        <v>97</v>
      </c>
      <c r="F120" s="230">
        <v>94</v>
      </c>
      <c r="G120" s="230">
        <v>94</v>
      </c>
      <c r="H120" s="230">
        <v>97</v>
      </c>
      <c r="I120" s="230">
        <v>112</v>
      </c>
      <c r="J120" s="230">
        <v>93</v>
      </c>
      <c r="K120" s="230">
        <v>107</v>
      </c>
      <c r="L120" s="232">
        <v>106</v>
      </c>
      <c r="M120" s="233"/>
      <c r="N120" s="410"/>
      <c r="O120" s="359"/>
      <c r="P120" s="359"/>
      <c r="Q120" s="359"/>
      <c r="R120" s="359"/>
      <c r="S120" s="359"/>
      <c r="T120" s="359"/>
      <c r="U120" s="359"/>
      <c r="V120" s="359"/>
      <c r="W120" s="359"/>
      <c r="X120" s="359"/>
      <c r="Y120" s="359"/>
      <c r="Z120" s="359"/>
      <c r="AA120" s="359"/>
      <c r="AB120" s="359"/>
      <c r="AC120" s="233"/>
      <c r="AD120" s="233"/>
      <c r="AE120" s="233"/>
      <c r="AF120" s="233"/>
      <c r="AG120" s="233"/>
      <c r="AH120" s="233"/>
      <c r="AI120" s="233"/>
      <c r="AJ120" s="233"/>
      <c r="AK120" s="233"/>
      <c r="AL120" s="233"/>
    </row>
    <row r="121" spans="1:38" ht="9.75" customHeight="1">
      <c r="A121" s="384">
        <f t="shared" si="4"/>
        <v>45627</v>
      </c>
      <c r="B121" s="305"/>
      <c r="C121" s="231">
        <v>102</v>
      </c>
      <c r="D121" s="230">
        <v>89</v>
      </c>
      <c r="E121" s="230">
        <v>93</v>
      </c>
      <c r="F121" s="230">
        <v>89</v>
      </c>
      <c r="G121" s="230">
        <v>90</v>
      </c>
      <c r="H121" s="230">
        <v>95</v>
      </c>
      <c r="I121" s="230">
        <v>112</v>
      </c>
      <c r="J121" s="230">
        <v>86</v>
      </c>
      <c r="K121" s="230">
        <v>106</v>
      </c>
      <c r="L121" s="232">
        <v>103</v>
      </c>
      <c r="M121" s="233"/>
      <c r="N121" s="410"/>
      <c r="O121" s="359"/>
      <c r="P121" s="359"/>
      <c r="Q121" s="359"/>
      <c r="R121" s="359"/>
      <c r="S121" s="359"/>
      <c r="T121" s="359"/>
      <c r="U121" s="359"/>
      <c r="V121" s="359"/>
      <c r="W121" s="359"/>
      <c r="X121" s="359"/>
      <c r="Y121" s="359"/>
      <c r="Z121" s="359"/>
      <c r="AA121" s="359"/>
      <c r="AB121" s="359"/>
      <c r="AC121" s="233"/>
      <c r="AD121" s="233"/>
      <c r="AE121" s="233"/>
      <c r="AF121" s="233"/>
      <c r="AG121" s="233"/>
      <c r="AH121" s="233"/>
      <c r="AI121" s="233"/>
      <c r="AJ121" s="233"/>
      <c r="AK121" s="233"/>
      <c r="AL121" s="233"/>
    </row>
    <row r="122" spans="1:38" ht="9.75" customHeight="1">
      <c r="A122" s="384">
        <v>45658</v>
      </c>
      <c r="B122" s="305"/>
      <c r="C122" s="231">
        <v>101</v>
      </c>
      <c r="D122" s="230">
        <v>87</v>
      </c>
      <c r="E122" s="230">
        <v>90</v>
      </c>
      <c r="F122" s="230">
        <v>87</v>
      </c>
      <c r="G122" s="230">
        <v>85</v>
      </c>
      <c r="H122" s="230">
        <v>97</v>
      </c>
      <c r="I122" s="230">
        <v>113</v>
      </c>
      <c r="J122" s="230">
        <v>84</v>
      </c>
      <c r="K122" s="230">
        <v>106</v>
      </c>
      <c r="L122" s="232">
        <v>105</v>
      </c>
      <c r="M122" s="233"/>
      <c r="N122" s="410"/>
      <c r="O122" s="359"/>
      <c r="P122" s="359"/>
      <c r="Q122" s="359"/>
      <c r="R122" s="359"/>
      <c r="S122" s="359"/>
      <c r="T122" s="359"/>
      <c r="U122" s="359"/>
      <c r="V122" s="359"/>
      <c r="W122" s="359"/>
      <c r="X122" s="359"/>
      <c r="Y122" s="359"/>
      <c r="Z122" s="359"/>
      <c r="AA122" s="359"/>
      <c r="AB122" s="359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</row>
    <row r="123" spans="1:38" s="229" customFormat="1" ht="9.75" customHeight="1">
      <c r="A123" s="337">
        <v>45689</v>
      </c>
      <c r="B123" s="305"/>
      <c r="C123" s="231">
        <v>102</v>
      </c>
      <c r="D123" s="230">
        <v>88</v>
      </c>
      <c r="E123" s="230">
        <v>90</v>
      </c>
      <c r="F123" s="230">
        <v>90</v>
      </c>
      <c r="G123" s="230">
        <v>88</v>
      </c>
      <c r="H123" s="230">
        <v>98</v>
      </c>
      <c r="I123" s="230">
        <v>113</v>
      </c>
      <c r="J123" s="230">
        <v>88</v>
      </c>
      <c r="K123" s="230">
        <v>110</v>
      </c>
      <c r="L123" s="232">
        <v>103</v>
      </c>
      <c r="M123" s="358"/>
      <c r="N123" s="410"/>
      <c r="O123" s="359"/>
      <c r="P123" s="359"/>
      <c r="Q123" s="359"/>
      <c r="R123" s="359"/>
      <c r="S123" s="359"/>
      <c r="T123" s="359"/>
      <c r="U123" s="359"/>
      <c r="V123" s="359"/>
      <c r="W123" s="359"/>
      <c r="X123" s="359"/>
      <c r="Y123" s="359"/>
      <c r="Z123" s="359"/>
      <c r="AA123" s="359"/>
      <c r="AB123" s="359"/>
      <c r="AC123" s="358"/>
      <c r="AD123" s="358"/>
      <c r="AE123" s="358"/>
      <c r="AF123" s="358"/>
      <c r="AG123" s="358"/>
      <c r="AH123" s="358"/>
      <c r="AI123" s="358"/>
      <c r="AJ123" s="358"/>
      <c r="AK123" s="358"/>
      <c r="AL123" s="358"/>
    </row>
    <row r="124" spans="1:38" s="229" customFormat="1" ht="9.75" customHeight="1">
      <c r="A124" s="384">
        <v>45717</v>
      </c>
      <c r="B124" s="305"/>
      <c r="C124" s="231">
        <v>103</v>
      </c>
      <c r="D124" s="230">
        <v>89</v>
      </c>
      <c r="E124" s="230">
        <v>92</v>
      </c>
      <c r="F124" s="230">
        <v>89</v>
      </c>
      <c r="G124" s="230">
        <v>90</v>
      </c>
      <c r="H124" s="230">
        <v>98</v>
      </c>
      <c r="I124" s="230">
        <v>111</v>
      </c>
      <c r="J124" s="230">
        <v>88</v>
      </c>
      <c r="K124" s="230">
        <v>106</v>
      </c>
      <c r="L124" s="232">
        <v>105</v>
      </c>
      <c r="M124" s="358"/>
      <c r="N124" s="410"/>
      <c r="O124" s="359"/>
      <c r="P124" s="359"/>
      <c r="Q124" s="359"/>
      <c r="R124" s="359"/>
      <c r="S124" s="359"/>
      <c r="T124" s="359"/>
      <c r="U124" s="359"/>
      <c r="V124" s="359"/>
      <c r="W124" s="359"/>
      <c r="X124" s="359"/>
      <c r="Y124" s="359"/>
      <c r="Z124" s="359"/>
      <c r="AA124" s="359"/>
      <c r="AB124" s="359"/>
      <c r="AC124" s="358"/>
      <c r="AD124" s="358"/>
      <c r="AE124" s="358"/>
      <c r="AF124" s="358"/>
      <c r="AG124" s="358"/>
      <c r="AH124" s="358"/>
      <c r="AI124" s="358"/>
      <c r="AJ124" s="358"/>
      <c r="AK124" s="358"/>
      <c r="AL124" s="358"/>
    </row>
    <row r="125" spans="1:38" s="229" customFormat="1" ht="9.75" customHeight="1">
      <c r="A125" s="384">
        <v>45749</v>
      </c>
      <c r="B125" s="305"/>
      <c r="C125" s="231">
        <v>106</v>
      </c>
      <c r="D125" s="230">
        <v>90</v>
      </c>
      <c r="E125" s="230">
        <v>93</v>
      </c>
      <c r="F125" s="230">
        <v>91</v>
      </c>
      <c r="G125" s="230">
        <v>87</v>
      </c>
      <c r="H125" s="230">
        <v>99</v>
      </c>
      <c r="I125" s="230">
        <v>110</v>
      </c>
      <c r="J125" s="230">
        <v>87</v>
      </c>
      <c r="K125" s="230">
        <v>107</v>
      </c>
      <c r="L125" s="232">
        <v>105</v>
      </c>
      <c r="M125" s="358"/>
      <c r="N125" s="410"/>
      <c r="O125" s="359"/>
      <c r="P125" s="359"/>
      <c r="Q125" s="359"/>
      <c r="R125" s="359"/>
      <c r="S125" s="359"/>
      <c r="T125" s="359"/>
      <c r="U125" s="359"/>
      <c r="V125" s="359"/>
      <c r="W125" s="359"/>
      <c r="X125" s="359"/>
      <c r="Y125" s="359"/>
      <c r="Z125" s="359"/>
      <c r="AA125" s="359"/>
      <c r="AB125" s="359"/>
      <c r="AC125" s="358"/>
      <c r="AD125" s="358"/>
      <c r="AE125" s="358"/>
      <c r="AF125" s="358"/>
      <c r="AG125" s="358"/>
      <c r="AH125" s="358"/>
      <c r="AI125" s="358"/>
      <c r="AJ125" s="358"/>
      <c r="AK125" s="358"/>
      <c r="AL125" s="358"/>
    </row>
    <row r="126" spans="1:38" s="229" customFormat="1" ht="9.75" customHeight="1">
      <c r="A126" s="384">
        <v>45778</v>
      </c>
      <c r="B126" s="305"/>
      <c r="C126" s="231">
        <v>105</v>
      </c>
      <c r="D126" s="230">
        <v>93</v>
      </c>
      <c r="E126" s="230">
        <v>95</v>
      </c>
      <c r="F126" s="230">
        <v>93</v>
      </c>
      <c r="G126" s="230">
        <v>90</v>
      </c>
      <c r="H126" s="230">
        <v>99</v>
      </c>
      <c r="I126" s="230">
        <v>112</v>
      </c>
      <c r="J126" s="230">
        <v>89</v>
      </c>
      <c r="K126" s="230">
        <v>108</v>
      </c>
      <c r="L126" s="232">
        <v>103</v>
      </c>
      <c r="M126" s="358"/>
      <c r="N126" s="410"/>
      <c r="O126" s="359"/>
      <c r="P126" s="359"/>
      <c r="Q126" s="359"/>
      <c r="R126" s="359"/>
      <c r="S126" s="359"/>
      <c r="T126" s="359"/>
      <c r="U126" s="359"/>
      <c r="V126" s="359"/>
      <c r="W126" s="359"/>
      <c r="X126" s="359"/>
      <c r="Y126" s="359"/>
      <c r="Z126" s="359"/>
      <c r="AA126" s="359"/>
      <c r="AB126" s="359"/>
      <c r="AC126" s="358"/>
      <c r="AD126" s="358"/>
      <c r="AE126" s="358"/>
      <c r="AF126" s="358"/>
      <c r="AG126" s="358"/>
      <c r="AH126" s="358"/>
      <c r="AI126" s="358"/>
      <c r="AJ126" s="358"/>
      <c r="AK126" s="358"/>
      <c r="AL126" s="358"/>
    </row>
    <row r="127" spans="1:38" s="229" customFormat="1" ht="9.75" customHeight="1">
      <c r="A127" s="337">
        <f t="shared" ref="A127:A137" si="5">EDATE(A126,1)</f>
        <v>45809</v>
      </c>
      <c r="B127" s="305"/>
      <c r="C127" s="231">
        <v>109</v>
      </c>
      <c r="D127" s="230">
        <v>95</v>
      </c>
      <c r="E127" s="230">
        <v>98</v>
      </c>
      <c r="F127" s="230">
        <v>95</v>
      </c>
      <c r="G127" s="230">
        <v>97</v>
      </c>
      <c r="H127" s="230">
        <v>97</v>
      </c>
      <c r="I127" s="230">
        <v>112</v>
      </c>
      <c r="J127" s="230">
        <v>92</v>
      </c>
      <c r="K127" s="230">
        <v>108</v>
      </c>
      <c r="L127" s="232">
        <v>103</v>
      </c>
      <c r="M127" s="358"/>
      <c r="N127" s="410"/>
      <c r="O127" s="359"/>
      <c r="P127" s="359"/>
      <c r="Q127" s="359"/>
      <c r="R127" s="359"/>
      <c r="S127" s="359"/>
      <c r="T127" s="359"/>
      <c r="U127" s="359"/>
      <c r="V127" s="359"/>
      <c r="W127" s="359"/>
      <c r="X127" s="359"/>
      <c r="Y127" s="359"/>
      <c r="Z127" s="359"/>
      <c r="AA127" s="359"/>
      <c r="AB127" s="359"/>
      <c r="AC127" s="358"/>
      <c r="AD127" s="358"/>
      <c r="AE127" s="358"/>
      <c r="AF127" s="358"/>
      <c r="AG127" s="358"/>
      <c r="AH127" s="358"/>
      <c r="AI127" s="358"/>
      <c r="AJ127" s="358"/>
      <c r="AK127" s="358"/>
      <c r="AL127" s="358"/>
    </row>
    <row r="128" spans="1:38" s="229" customFormat="1" ht="9.75" customHeight="1">
      <c r="A128" s="384">
        <f t="shared" si="5"/>
        <v>45839</v>
      </c>
      <c r="B128" s="305"/>
      <c r="C128" s="231">
        <v>110</v>
      </c>
      <c r="D128" s="230">
        <v>94</v>
      </c>
      <c r="E128" s="230">
        <v>98</v>
      </c>
      <c r="F128" s="230">
        <v>98</v>
      </c>
      <c r="G128" s="230">
        <v>95</v>
      </c>
      <c r="H128" s="230">
        <v>97</v>
      </c>
      <c r="I128" s="230">
        <v>114</v>
      </c>
      <c r="J128" s="230">
        <v>94</v>
      </c>
      <c r="K128" s="230">
        <v>107</v>
      </c>
      <c r="L128" s="232">
        <v>102</v>
      </c>
      <c r="M128" s="358"/>
      <c r="N128" s="410"/>
      <c r="O128" s="359"/>
      <c r="P128" s="359"/>
      <c r="Q128" s="359"/>
      <c r="R128" s="359"/>
      <c r="S128" s="359"/>
      <c r="T128" s="359"/>
      <c r="U128" s="359"/>
      <c r="V128" s="359"/>
      <c r="W128" s="359"/>
      <c r="X128" s="359"/>
      <c r="Y128" s="359"/>
      <c r="Z128" s="359"/>
      <c r="AA128" s="359"/>
      <c r="AB128" s="359"/>
      <c r="AC128" s="358"/>
      <c r="AD128" s="358"/>
      <c r="AE128" s="358"/>
      <c r="AF128" s="358"/>
      <c r="AG128" s="358"/>
      <c r="AH128" s="358"/>
      <c r="AI128" s="358"/>
      <c r="AJ128" s="358"/>
      <c r="AK128" s="358"/>
      <c r="AL128" s="358"/>
    </row>
    <row r="129" spans="1:38" ht="9.75" customHeight="1">
      <c r="A129" s="337">
        <f t="shared" si="5"/>
        <v>45870</v>
      </c>
      <c r="B129" s="305"/>
      <c r="C129" s="231">
        <v>110</v>
      </c>
      <c r="D129" s="230">
        <v>96</v>
      </c>
      <c r="E129" s="230">
        <v>98</v>
      </c>
      <c r="F129" s="230">
        <v>98</v>
      </c>
      <c r="G129" s="230">
        <v>92</v>
      </c>
      <c r="H129" s="230">
        <v>97</v>
      </c>
      <c r="I129" s="230">
        <v>111</v>
      </c>
      <c r="J129" s="230">
        <v>94</v>
      </c>
      <c r="K129" s="230">
        <v>109</v>
      </c>
      <c r="L129" s="232">
        <v>102</v>
      </c>
      <c r="M129" s="233"/>
      <c r="N129" s="410"/>
      <c r="O129" s="359"/>
      <c r="P129" s="359"/>
      <c r="Q129" s="359"/>
      <c r="R129" s="359"/>
      <c r="S129" s="359"/>
      <c r="T129" s="359"/>
      <c r="U129" s="359"/>
      <c r="V129" s="359"/>
      <c r="W129" s="359"/>
      <c r="X129" s="359"/>
      <c r="Y129" s="359"/>
      <c r="Z129" s="359"/>
      <c r="AA129" s="359"/>
      <c r="AB129" s="359"/>
      <c r="AC129" s="233"/>
      <c r="AD129" s="233"/>
      <c r="AE129" s="233"/>
      <c r="AF129" s="233"/>
      <c r="AG129" s="233"/>
      <c r="AH129" s="233"/>
      <c r="AI129" s="233"/>
      <c r="AJ129" s="233"/>
      <c r="AK129" s="233"/>
      <c r="AL129" s="233"/>
    </row>
    <row r="130" spans="1:38" ht="9.75" customHeight="1">
      <c r="A130" s="337">
        <f t="shared" si="5"/>
        <v>45901</v>
      </c>
      <c r="B130" s="305"/>
      <c r="C130" s="231">
        <v>110</v>
      </c>
      <c r="D130" s="230">
        <v>94</v>
      </c>
      <c r="E130" s="230">
        <v>96</v>
      </c>
      <c r="F130" s="230">
        <v>97</v>
      </c>
      <c r="G130" s="230">
        <v>98</v>
      </c>
      <c r="H130" s="230">
        <v>98</v>
      </c>
      <c r="I130" s="230">
        <v>113</v>
      </c>
      <c r="J130" s="230">
        <v>95</v>
      </c>
      <c r="K130" s="230">
        <v>107</v>
      </c>
      <c r="L130" s="232">
        <v>101</v>
      </c>
      <c r="M130" s="233"/>
      <c r="N130" s="410"/>
      <c r="O130" s="359"/>
      <c r="P130" s="359"/>
      <c r="Q130" s="359"/>
      <c r="R130" s="359"/>
      <c r="S130" s="359"/>
      <c r="T130" s="359"/>
      <c r="U130" s="359"/>
      <c r="V130" s="359"/>
      <c r="W130" s="359"/>
      <c r="X130" s="359"/>
      <c r="Y130" s="359"/>
      <c r="Z130" s="359"/>
      <c r="AA130" s="359"/>
      <c r="AB130" s="359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</row>
    <row r="131" spans="1:38" ht="9.75" customHeight="1">
      <c r="A131" s="337">
        <f t="shared" si="5"/>
        <v>45931</v>
      </c>
      <c r="B131" s="305"/>
      <c r="C131" s="231">
        <v>110</v>
      </c>
      <c r="D131" s="230">
        <v>94</v>
      </c>
      <c r="E131" s="230">
        <v>97</v>
      </c>
      <c r="F131" s="230">
        <v>95</v>
      </c>
      <c r="G131" s="230">
        <v>99</v>
      </c>
      <c r="H131" s="230">
        <v>99</v>
      </c>
      <c r="I131" s="230">
        <v>113</v>
      </c>
      <c r="J131" s="230">
        <v>91</v>
      </c>
      <c r="K131" s="230">
        <v>107</v>
      </c>
      <c r="L131" s="232">
        <v>104</v>
      </c>
      <c r="M131" s="233"/>
      <c r="N131" s="410"/>
      <c r="O131" s="359"/>
      <c r="P131" s="359"/>
      <c r="Q131" s="359"/>
      <c r="R131" s="359"/>
      <c r="S131" s="359"/>
      <c r="T131" s="359"/>
      <c r="U131" s="359"/>
      <c r="V131" s="359"/>
      <c r="W131" s="359"/>
      <c r="X131" s="359"/>
      <c r="Y131" s="359"/>
      <c r="Z131" s="359"/>
      <c r="AA131" s="359"/>
      <c r="AB131" s="359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</row>
    <row r="132" spans="1:38" ht="9.75" customHeight="1">
      <c r="A132" s="337">
        <f t="shared" si="5"/>
        <v>45962</v>
      </c>
      <c r="B132" s="305"/>
      <c r="C132" s="231">
        <v>110</v>
      </c>
      <c r="D132" s="230">
        <v>96</v>
      </c>
      <c r="E132" s="230">
        <v>101</v>
      </c>
      <c r="F132" s="230">
        <v>97</v>
      </c>
      <c r="G132" s="230">
        <v>97</v>
      </c>
      <c r="H132" s="230">
        <v>101</v>
      </c>
      <c r="I132" s="230">
        <v>115</v>
      </c>
      <c r="J132" s="230">
        <v>97</v>
      </c>
      <c r="K132" s="230">
        <v>108</v>
      </c>
      <c r="L132" s="232">
        <v>103</v>
      </c>
      <c r="M132" s="233"/>
      <c r="N132" s="410"/>
      <c r="O132" s="359"/>
      <c r="P132" s="359"/>
      <c r="Q132" s="359"/>
      <c r="R132" s="359"/>
      <c r="S132" s="359"/>
      <c r="T132" s="359"/>
      <c r="U132" s="359"/>
      <c r="V132" s="359"/>
      <c r="W132" s="359"/>
      <c r="X132" s="359"/>
      <c r="Y132" s="359"/>
      <c r="Z132" s="359"/>
      <c r="AA132" s="359"/>
      <c r="AB132" s="359"/>
      <c r="AC132" s="233"/>
      <c r="AD132" s="233"/>
      <c r="AE132" s="233"/>
      <c r="AF132" s="233"/>
      <c r="AG132" s="233"/>
      <c r="AH132" s="233"/>
      <c r="AI132" s="233"/>
      <c r="AJ132" s="233"/>
      <c r="AK132" s="233"/>
      <c r="AL132" s="233"/>
    </row>
    <row r="133" spans="1:38" ht="9.75" customHeight="1">
      <c r="A133" s="337">
        <f t="shared" si="5"/>
        <v>45992</v>
      </c>
      <c r="B133" s="305"/>
      <c r="C133" s="231">
        <v>111</v>
      </c>
      <c r="D133" s="230">
        <v>95</v>
      </c>
      <c r="E133" s="230">
        <v>99</v>
      </c>
      <c r="F133" s="230">
        <v>99</v>
      </c>
      <c r="G133" s="230">
        <v>96</v>
      </c>
      <c r="H133" s="230">
        <v>102</v>
      </c>
      <c r="I133" s="230">
        <v>112</v>
      </c>
      <c r="J133" s="230">
        <v>95</v>
      </c>
      <c r="K133" s="230">
        <v>109</v>
      </c>
      <c r="L133" s="232">
        <v>106</v>
      </c>
      <c r="M133" s="233"/>
      <c r="N133" s="410"/>
      <c r="O133" s="359"/>
      <c r="P133" s="359"/>
      <c r="Q133" s="359"/>
      <c r="R133" s="359"/>
      <c r="S133" s="359"/>
      <c r="T133" s="359"/>
      <c r="U133" s="359"/>
      <c r="V133" s="359"/>
      <c r="W133" s="359"/>
      <c r="X133" s="359"/>
      <c r="Y133" s="359"/>
      <c r="Z133" s="359"/>
      <c r="AA133" s="359"/>
      <c r="AB133" s="359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</row>
    <row r="134" spans="1:38" ht="9.75" customHeight="1">
      <c r="A134" s="384">
        <f t="shared" si="5"/>
        <v>46023</v>
      </c>
      <c r="B134" s="389"/>
      <c r="C134" s="390">
        <v>110</v>
      </c>
      <c r="D134" s="390">
        <v>95</v>
      </c>
      <c r="E134" s="390">
        <v>96</v>
      </c>
      <c r="F134" s="390">
        <v>97</v>
      </c>
      <c r="G134" s="390">
        <v>96</v>
      </c>
      <c r="H134" s="390">
        <v>102</v>
      </c>
      <c r="I134" s="390">
        <v>115</v>
      </c>
      <c r="J134" s="390">
        <v>96</v>
      </c>
      <c r="K134" s="390">
        <v>110</v>
      </c>
      <c r="L134" s="390">
        <v>104</v>
      </c>
      <c r="M134" s="233"/>
      <c r="N134" s="328"/>
      <c r="O134" s="236"/>
      <c r="P134" s="236"/>
      <c r="Q134" s="236"/>
      <c r="R134" s="236"/>
      <c r="S134" s="236"/>
      <c r="T134" s="236"/>
      <c r="U134" s="236"/>
      <c r="V134" s="236"/>
      <c r="W134" s="236"/>
    </row>
    <row r="135" spans="1:38" ht="9.75" customHeight="1">
      <c r="A135" s="337">
        <f t="shared" si="5"/>
        <v>46054</v>
      </c>
      <c r="B135" s="389"/>
      <c r="C135" s="390">
        <v>111</v>
      </c>
      <c r="D135" s="390">
        <v>94</v>
      </c>
      <c r="E135" s="390">
        <v>99</v>
      </c>
      <c r="F135" s="390">
        <v>99</v>
      </c>
      <c r="G135" s="390">
        <v>97</v>
      </c>
      <c r="H135" s="390">
        <v>103</v>
      </c>
      <c r="I135" s="390">
        <v>115</v>
      </c>
      <c r="J135" s="390">
        <v>96</v>
      </c>
      <c r="K135" s="390">
        <v>107</v>
      </c>
      <c r="L135" s="390">
        <v>103</v>
      </c>
      <c r="M135" s="233"/>
      <c r="N135" s="410"/>
      <c r="O135" s="236"/>
      <c r="P135" s="236"/>
      <c r="Q135" s="236"/>
      <c r="R135" s="236"/>
      <c r="S135" s="236"/>
      <c r="T135" s="236"/>
      <c r="U135" s="236"/>
      <c r="V135" s="236"/>
      <c r="W135" s="236"/>
    </row>
    <row r="136" spans="1:38" ht="9.75" customHeight="1">
      <c r="A136" s="384">
        <f t="shared" si="5"/>
        <v>46082</v>
      </c>
      <c r="B136" s="389"/>
      <c r="C136" s="390">
        <v>111</v>
      </c>
      <c r="D136" s="390">
        <v>94</v>
      </c>
      <c r="E136" s="390">
        <v>97</v>
      </c>
      <c r="F136" s="390">
        <v>97</v>
      </c>
      <c r="G136" s="390">
        <v>96</v>
      </c>
      <c r="H136" s="390">
        <v>100</v>
      </c>
      <c r="I136" s="390">
        <v>113</v>
      </c>
      <c r="J136" s="390">
        <v>95</v>
      </c>
      <c r="K136" s="390">
        <v>108</v>
      </c>
      <c r="L136" s="390">
        <v>104</v>
      </c>
      <c r="M136" s="233"/>
      <c r="N136" s="410"/>
      <c r="O136" s="236"/>
      <c r="P136" s="236"/>
      <c r="Q136" s="236"/>
      <c r="R136" s="236"/>
      <c r="S136" s="236"/>
      <c r="T136" s="236"/>
      <c r="U136" s="236"/>
      <c r="V136" s="236"/>
      <c r="W136" s="236"/>
    </row>
    <row r="137" spans="1:38" ht="9.75" customHeight="1">
      <c r="A137" s="460">
        <f t="shared" si="5"/>
        <v>46113</v>
      </c>
      <c r="B137" s="468"/>
      <c r="C137" s="469">
        <v>105</v>
      </c>
      <c r="D137" s="469">
        <v>93</v>
      </c>
      <c r="E137" s="469">
        <v>98</v>
      </c>
      <c r="F137" s="469">
        <v>95</v>
      </c>
      <c r="G137" s="469">
        <v>93</v>
      </c>
      <c r="H137" s="469">
        <v>98</v>
      </c>
      <c r="I137" s="469">
        <v>114</v>
      </c>
      <c r="J137" s="469">
        <v>90</v>
      </c>
      <c r="K137" s="469">
        <v>109</v>
      </c>
      <c r="L137" s="469">
        <v>104</v>
      </c>
      <c r="M137" s="233"/>
      <c r="N137" s="410"/>
      <c r="O137" s="236"/>
      <c r="P137" s="236"/>
      <c r="Q137" s="236"/>
      <c r="R137" s="236"/>
      <c r="S137" s="236"/>
      <c r="T137" s="236"/>
      <c r="U137" s="236"/>
      <c r="V137" s="236"/>
      <c r="W137" s="236"/>
    </row>
    <row r="138" spans="1:38" s="154" customFormat="1" ht="9.75" customHeight="1">
      <c r="A138" s="384"/>
      <c r="B138" s="389"/>
      <c r="C138" s="390"/>
      <c r="D138" s="390"/>
      <c r="E138" s="390"/>
      <c r="F138" s="390"/>
      <c r="G138" s="390"/>
      <c r="H138" s="390"/>
      <c r="I138" s="390"/>
      <c r="J138" s="390"/>
      <c r="K138" s="390"/>
      <c r="L138" s="390"/>
      <c r="M138" s="233"/>
      <c r="N138" s="328"/>
      <c r="O138" s="233"/>
      <c r="P138" s="233"/>
      <c r="Q138" s="233"/>
      <c r="R138" s="233"/>
      <c r="S138" s="233"/>
      <c r="T138" s="233"/>
      <c r="U138" s="233"/>
      <c r="V138" s="233"/>
      <c r="W138" s="219"/>
      <c r="X138" s="219"/>
    </row>
    <row r="139" spans="1:38" ht="9.75" customHeight="1">
      <c r="A139" s="392" t="s">
        <v>124</v>
      </c>
      <c r="B139" s="389"/>
      <c r="C139" s="390"/>
      <c r="D139" s="390"/>
      <c r="E139" s="390"/>
      <c r="F139" s="390"/>
      <c r="G139" s="390"/>
      <c r="H139" s="390"/>
      <c r="I139" s="390"/>
      <c r="J139" s="390"/>
      <c r="K139" s="390"/>
      <c r="L139" s="390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</row>
    <row r="140" spans="1:38" s="219" customFormat="1" ht="12" customHeight="1">
      <c r="A140" s="210" t="s">
        <v>132</v>
      </c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X140" s="217"/>
    </row>
    <row r="141" spans="1:38" s="219" customFormat="1" ht="12" customHeight="1">
      <c r="A141" s="210" t="s">
        <v>131</v>
      </c>
      <c r="B141" s="306"/>
      <c r="C141" s="210"/>
      <c r="D141" s="8"/>
      <c r="E141" s="8"/>
      <c r="F141" s="8"/>
      <c r="G141" s="8"/>
      <c r="H141" s="8"/>
      <c r="I141" s="8"/>
      <c r="J141" s="8"/>
      <c r="K141" s="8"/>
      <c r="L141" s="8"/>
      <c r="M141" s="226"/>
      <c r="N141" s="233"/>
    </row>
    <row r="142" spans="1:38" s="219" customFormat="1" ht="12" customHeight="1">
      <c r="A142" s="210" t="s">
        <v>95</v>
      </c>
      <c r="B142" s="303"/>
      <c r="C142" s="221"/>
      <c r="M142" s="226"/>
      <c r="N142" s="233"/>
      <c r="W142" s="226"/>
    </row>
    <row r="143" spans="1:38" s="219" customFormat="1" ht="12" customHeight="1">
      <c r="A143" s="221"/>
      <c r="B143" s="303"/>
      <c r="C143" s="221"/>
      <c r="N143" s="233"/>
      <c r="W143" s="226"/>
    </row>
    <row r="144" spans="1:38" s="219" customFormat="1" ht="12" customHeight="1">
      <c r="A144" s="221"/>
      <c r="B144" s="303"/>
      <c r="C144" s="221"/>
      <c r="I144" s="240"/>
      <c r="J144" s="240"/>
      <c r="K144" s="240"/>
      <c r="M144" s="226"/>
      <c r="N144" s="233"/>
      <c r="W144" s="226"/>
    </row>
    <row r="145" spans="1:23" s="219" customFormat="1" ht="12" customHeight="1">
      <c r="A145" s="221"/>
      <c r="B145" s="303"/>
      <c r="C145" s="221"/>
      <c r="M145" s="226"/>
      <c r="N145" s="226"/>
      <c r="W145" s="226"/>
    </row>
    <row r="146" spans="1:23" s="219" customFormat="1" ht="12" customHeight="1">
      <c r="A146" s="221"/>
      <c r="B146" s="303"/>
      <c r="C146" s="221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</row>
    <row r="147" spans="1:23">
      <c r="D147" s="219"/>
      <c r="E147" s="219"/>
      <c r="F147" s="219"/>
      <c r="G147" s="219"/>
      <c r="H147" s="219"/>
      <c r="I147" s="219"/>
      <c r="J147" s="219"/>
      <c r="K147" s="219"/>
      <c r="L147" s="219"/>
      <c r="M147" s="226"/>
      <c r="O147" s="226"/>
      <c r="P147" s="226"/>
      <c r="Q147" s="226"/>
      <c r="R147" s="226"/>
      <c r="S147" s="226"/>
      <c r="T147" s="226"/>
      <c r="U147" s="226"/>
      <c r="V147" s="226"/>
      <c r="W147" s="226"/>
    </row>
    <row r="148" spans="1:23">
      <c r="D148" s="219"/>
      <c r="E148" s="219"/>
      <c r="F148" s="219"/>
      <c r="G148" s="219"/>
      <c r="H148" s="219"/>
      <c r="I148" s="219"/>
      <c r="J148" s="219"/>
      <c r="K148" s="219"/>
      <c r="L148" s="219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</row>
    <row r="149" spans="1:23"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</row>
    <row r="150" spans="1:23"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</row>
    <row r="151" spans="1:23"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</row>
    <row r="152" spans="1:23"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</row>
    <row r="153" spans="1:23"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</row>
    <row r="154" spans="1:23"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</row>
    <row r="155" spans="1:23"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</row>
    <row r="156" spans="1:23"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</row>
    <row r="157" spans="1:23">
      <c r="M157" s="226"/>
      <c r="N157" s="226"/>
    </row>
    <row r="158" spans="1:23">
      <c r="M158" s="226"/>
      <c r="N158" s="226"/>
    </row>
    <row r="159" spans="1:23">
      <c r="M159" s="226"/>
      <c r="N159" s="226"/>
    </row>
    <row r="160" spans="1:23">
      <c r="M160" s="226"/>
      <c r="N160" s="226"/>
    </row>
    <row r="161" spans="13:14">
      <c r="M161" s="226"/>
      <c r="N161" s="226"/>
    </row>
    <row r="162" spans="13:14">
      <c r="M162" s="226"/>
      <c r="N162" s="226"/>
    </row>
    <row r="163" spans="13:14">
      <c r="M163" s="226"/>
      <c r="N163" s="226"/>
    </row>
    <row r="164" spans="13:14">
      <c r="M164" s="226"/>
      <c r="N164" s="226"/>
    </row>
    <row r="165" spans="13:14">
      <c r="N165" s="226"/>
    </row>
    <row r="166" spans="13:14">
      <c r="N166" s="226"/>
    </row>
    <row r="167" spans="13:14">
      <c r="N167" s="226"/>
    </row>
    <row r="168" spans="13:14">
      <c r="N168" s="226"/>
    </row>
  </sheetData>
  <mergeCells count="4">
    <mergeCell ref="A5:A7"/>
    <mergeCell ref="B5:B7"/>
    <mergeCell ref="A72:A73"/>
    <mergeCell ref="B72:C73"/>
  </mergeCells>
  <phoneticPr fontId="27" type="noConversion"/>
  <conditionalFormatting sqref="A20:A36 A86:A102 A138">
    <cfRule type="expression" dxfId="130" priority="59">
      <formula>MONTH(A20)=1</formula>
    </cfRule>
  </conditionalFormatting>
  <conditionalFormatting sqref="A37:A43">
    <cfRule type="expression" dxfId="129" priority="58">
      <formula>MONTH(A37)=1</formula>
    </cfRule>
  </conditionalFormatting>
  <conditionalFormatting sqref="A103">
    <cfRule type="expression" dxfId="128" priority="51">
      <formula>MONTH(A103)=1</formula>
    </cfRule>
  </conditionalFormatting>
  <conditionalFormatting sqref="A104:A109">
    <cfRule type="expression" dxfId="127" priority="50">
      <formula>MONTH(A104)=1</formula>
    </cfRule>
  </conditionalFormatting>
  <conditionalFormatting sqref="A49:A54 A56:A60">
    <cfRule type="expression" dxfId="126" priority="47">
      <formula>MONTH(A49)=1</formula>
    </cfRule>
  </conditionalFormatting>
  <conditionalFormatting sqref="A44:A54 A56:A60">
    <cfRule type="expression" dxfId="125" priority="48">
      <formula>MONTH(A44)=1</formula>
    </cfRule>
  </conditionalFormatting>
  <conditionalFormatting sqref="A110:A114">
    <cfRule type="expression" dxfId="124" priority="46">
      <formula>MONTH(A110)=1</formula>
    </cfRule>
  </conditionalFormatting>
  <conditionalFormatting sqref="A115">
    <cfRule type="expression" dxfId="123" priority="43">
      <formula>MONTH(A115)=1</formula>
    </cfRule>
  </conditionalFormatting>
  <conditionalFormatting sqref="A116">
    <cfRule type="expression" dxfId="122" priority="42">
      <formula>MONTH(A116)=1</formula>
    </cfRule>
  </conditionalFormatting>
  <conditionalFormatting sqref="A117">
    <cfRule type="expression" dxfId="121" priority="40">
      <formula>MONTH(A117)=1</formula>
    </cfRule>
  </conditionalFormatting>
  <conditionalFormatting sqref="A118">
    <cfRule type="expression" dxfId="120" priority="37">
      <formula>MONTH(A118)=1</formula>
    </cfRule>
  </conditionalFormatting>
  <conditionalFormatting sqref="A119">
    <cfRule type="expression" dxfId="119" priority="35">
      <formula>MONTH(A119)=1</formula>
    </cfRule>
  </conditionalFormatting>
  <conditionalFormatting sqref="A120:A125">
    <cfRule type="expression" dxfId="118" priority="33">
      <formula>MONTH(A120)=1</formula>
    </cfRule>
  </conditionalFormatting>
  <conditionalFormatting sqref="A55">
    <cfRule type="expression" dxfId="117" priority="31">
      <formula>MONTH(A55)=1</formula>
    </cfRule>
  </conditionalFormatting>
  <conditionalFormatting sqref="A55">
    <cfRule type="expression" dxfId="116" priority="32">
      <formula>MONTH(A55)=1</formula>
    </cfRule>
  </conditionalFormatting>
  <conditionalFormatting sqref="A126">
    <cfRule type="expression" dxfId="115" priority="29">
      <formula>MONTH(A126)=1</formula>
    </cfRule>
  </conditionalFormatting>
  <conditionalFormatting sqref="A127">
    <cfRule type="expression" dxfId="114" priority="28">
      <formula>MONTH(A127)=1</formula>
    </cfRule>
  </conditionalFormatting>
  <conditionalFormatting sqref="A127">
    <cfRule type="expression" dxfId="113" priority="27">
      <formula>MONTH(A127)=1</formula>
    </cfRule>
  </conditionalFormatting>
  <conditionalFormatting sqref="A127">
    <cfRule type="expression" dxfId="112" priority="26">
      <formula>MONTH(A127)=1</formula>
    </cfRule>
  </conditionalFormatting>
  <conditionalFormatting sqref="A61">
    <cfRule type="expression" dxfId="111" priority="25">
      <formula>MONTH(A61)=1</formula>
    </cfRule>
  </conditionalFormatting>
  <conditionalFormatting sqref="A129">
    <cfRule type="expression" dxfId="110" priority="19">
      <formula>MONTH(A129)=1</formula>
    </cfRule>
  </conditionalFormatting>
  <conditionalFormatting sqref="A129">
    <cfRule type="expression" dxfId="109" priority="17">
      <formula>MONTH(A129)=1</formula>
    </cfRule>
  </conditionalFormatting>
  <conditionalFormatting sqref="A128">
    <cfRule type="expression" dxfId="108" priority="20">
      <formula>MONTH(A128)=1</formula>
    </cfRule>
  </conditionalFormatting>
  <conditionalFormatting sqref="A129">
    <cfRule type="expression" dxfId="107" priority="18">
      <formula>MONTH(A129)=1</formula>
    </cfRule>
  </conditionalFormatting>
  <conditionalFormatting sqref="A64">
    <cfRule type="expression" dxfId="106" priority="13">
      <formula>MONTH(A64)=1</formula>
    </cfRule>
  </conditionalFormatting>
  <conditionalFormatting sqref="A62">
    <cfRule type="expression" dxfId="105" priority="15">
      <formula>MONTH(A62)=1</formula>
    </cfRule>
  </conditionalFormatting>
  <conditionalFormatting sqref="A63">
    <cfRule type="expression" dxfId="104" priority="14">
      <formula>MONTH(A63)=1</formula>
    </cfRule>
  </conditionalFormatting>
  <conditionalFormatting sqref="A130">
    <cfRule type="expression" dxfId="103" priority="12">
      <formula>MONTH(A130)=1</formula>
    </cfRule>
  </conditionalFormatting>
  <conditionalFormatting sqref="A131">
    <cfRule type="expression" dxfId="102" priority="11">
      <formula>MONTH(A131)=1</formula>
    </cfRule>
  </conditionalFormatting>
  <conditionalFormatting sqref="A65">
    <cfRule type="expression" dxfId="101" priority="9">
      <formula>MONTH(A65)=1</formula>
    </cfRule>
  </conditionalFormatting>
  <conditionalFormatting sqref="A66">
    <cfRule type="expression" dxfId="100" priority="8">
      <formula>MONTH(A66)=1</formula>
    </cfRule>
  </conditionalFormatting>
  <conditionalFormatting sqref="A132:A133">
    <cfRule type="expression" dxfId="99" priority="6">
      <formula>MONTH(A132)=1</formula>
    </cfRule>
  </conditionalFormatting>
  <conditionalFormatting sqref="A67:A71">
    <cfRule type="expression" dxfId="98" priority="2">
      <formula>MONTH(A67)=1</formula>
    </cfRule>
  </conditionalFormatting>
  <conditionalFormatting sqref="A134:A137">
    <cfRule type="expression" dxfId="97" priority="1">
      <formula>MONTH(A134)=1</formula>
    </cfRule>
  </conditionalFormatting>
  <pageMargins left="0.78740157480314965" right="0.78740157480314965" top="1.1417322834645669" bottom="1.1417322834645669" header="0.51181102362204722" footer="0.51181102362204722"/>
  <pageSetup paperSize="9" scale="47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2022-0D6C-4819-87ED-1178E882B148}">
  <sheetPr>
    <pageSetUpPr fitToPage="1"/>
  </sheetPr>
  <dimension ref="A1:X434"/>
  <sheetViews>
    <sheetView view="pageBreakPreview" zoomScale="115" zoomScaleNormal="100" zoomScaleSheetLayoutView="115" workbookViewId="0">
      <pane xSplit="1" ySplit="6" topLeftCell="B7" activePane="bottomRight" state="frozen"/>
      <selection activeCell="AB48" sqref="AB48"/>
      <selection pane="topRight" activeCell="AB48" sqref="AB48"/>
      <selection pane="bottomLeft" activeCell="AB48" sqref="AB48"/>
      <selection pane="bottomRight"/>
    </sheetView>
  </sheetViews>
  <sheetFormatPr defaultRowHeight="13.5"/>
  <cols>
    <col min="1" max="1" width="8.77734375" style="123" customWidth="1"/>
    <col min="2" max="6" width="11" style="123" customWidth="1"/>
    <col min="7" max="7" width="7.88671875" style="115" customWidth="1"/>
    <col min="8" max="8" width="6.6640625" style="115" bestFit="1" customWidth="1"/>
    <col min="9" max="9" width="5.109375" style="115" customWidth="1"/>
    <col min="10" max="10" width="6.44140625" style="115" customWidth="1"/>
    <col min="11" max="11" width="5.44140625" style="115" customWidth="1"/>
    <col min="12" max="12" width="4.33203125" style="106" customWidth="1"/>
    <col min="13" max="13" width="5.6640625" style="106" bestFit="1" customWidth="1"/>
    <col min="14" max="14" width="5.77734375" style="106" bestFit="1" customWidth="1"/>
    <col min="15" max="15" width="5.6640625" style="106" bestFit="1" customWidth="1"/>
    <col min="16" max="16" width="5.77734375" style="106" bestFit="1" customWidth="1"/>
    <col min="17" max="17" width="5.109375" style="106" bestFit="1" customWidth="1"/>
    <col min="18" max="18" width="3.21875" style="106" customWidth="1"/>
    <col min="19" max="24" width="3" style="106" customWidth="1"/>
    <col min="25" max="256" width="8.88671875" style="106"/>
    <col min="257" max="257" width="7.109375" style="106" customWidth="1"/>
    <col min="258" max="262" width="10.5546875" style="106" customWidth="1"/>
    <col min="263" max="263" width="7.88671875" style="106" customWidth="1"/>
    <col min="264" max="264" width="6.6640625" style="106" bestFit="1" customWidth="1"/>
    <col min="265" max="265" width="5.109375" style="106" customWidth="1"/>
    <col min="266" max="266" width="6.44140625" style="106" customWidth="1"/>
    <col min="267" max="267" width="5.44140625" style="106" customWidth="1"/>
    <col min="268" max="268" width="4.33203125" style="106" customWidth="1"/>
    <col min="269" max="269" width="5.6640625" style="106" bestFit="1" customWidth="1"/>
    <col min="270" max="270" width="5.77734375" style="106" bestFit="1" customWidth="1"/>
    <col min="271" max="271" width="5.6640625" style="106" bestFit="1" customWidth="1"/>
    <col min="272" max="272" width="5.77734375" style="106" bestFit="1" customWidth="1"/>
    <col min="273" max="273" width="5.109375" style="106" bestFit="1" customWidth="1"/>
    <col min="274" max="274" width="3.21875" style="106" customWidth="1"/>
    <col min="275" max="280" width="3" style="106" customWidth="1"/>
    <col min="281" max="512" width="8.88671875" style="106"/>
    <col min="513" max="513" width="7.109375" style="106" customWidth="1"/>
    <col min="514" max="518" width="10.5546875" style="106" customWidth="1"/>
    <col min="519" max="519" width="7.88671875" style="106" customWidth="1"/>
    <col min="520" max="520" width="6.6640625" style="106" bestFit="1" customWidth="1"/>
    <col min="521" max="521" width="5.109375" style="106" customWidth="1"/>
    <col min="522" max="522" width="6.44140625" style="106" customWidth="1"/>
    <col min="523" max="523" width="5.44140625" style="106" customWidth="1"/>
    <col min="524" max="524" width="4.33203125" style="106" customWidth="1"/>
    <col min="525" max="525" width="5.6640625" style="106" bestFit="1" customWidth="1"/>
    <col min="526" max="526" width="5.77734375" style="106" bestFit="1" customWidth="1"/>
    <col min="527" max="527" width="5.6640625" style="106" bestFit="1" customWidth="1"/>
    <col min="528" max="528" width="5.77734375" style="106" bestFit="1" customWidth="1"/>
    <col min="529" max="529" width="5.109375" style="106" bestFit="1" customWidth="1"/>
    <col min="530" max="530" width="3.21875" style="106" customWidth="1"/>
    <col min="531" max="536" width="3" style="106" customWidth="1"/>
    <col min="537" max="768" width="8.88671875" style="106"/>
    <col min="769" max="769" width="7.109375" style="106" customWidth="1"/>
    <col min="770" max="774" width="10.5546875" style="106" customWidth="1"/>
    <col min="775" max="775" width="7.88671875" style="106" customWidth="1"/>
    <col min="776" max="776" width="6.6640625" style="106" bestFit="1" customWidth="1"/>
    <col min="777" max="777" width="5.109375" style="106" customWidth="1"/>
    <col min="778" max="778" width="6.44140625" style="106" customWidth="1"/>
    <col min="779" max="779" width="5.44140625" style="106" customWidth="1"/>
    <col min="780" max="780" width="4.33203125" style="106" customWidth="1"/>
    <col min="781" max="781" width="5.6640625" style="106" bestFit="1" customWidth="1"/>
    <col min="782" max="782" width="5.77734375" style="106" bestFit="1" customWidth="1"/>
    <col min="783" max="783" width="5.6640625" style="106" bestFit="1" customWidth="1"/>
    <col min="784" max="784" width="5.77734375" style="106" bestFit="1" customWidth="1"/>
    <col min="785" max="785" width="5.109375" style="106" bestFit="1" customWidth="1"/>
    <col min="786" max="786" width="3.21875" style="106" customWidth="1"/>
    <col min="787" max="792" width="3" style="106" customWidth="1"/>
    <col min="793" max="1024" width="8.88671875" style="106"/>
    <col min="1025" max="1025" width="7.109375" style="106" customWidth="1"/>
    <col min="1026" max="1030" width="10.5546875" style="106" customWidth="1"/>
    <col min="1031" max="1031" width="7.88671875" style="106" customWidth="1"/>
    <col min="1032" max="1032" width="6.6640625" style="106" bestFit="1" customWidth="1"/>
    <col min="1033" max="1033" width="5.109375" style="106" customWidth="1"/>
    <col min="1034" max="1034" width="6.44140625" style="106" customWidth="1"/>
    <col min="1035" max="1035" width="5.44140625" style="106" customWidth="1"/>
    <col min="1036" max="1036" width="4.33203125" style="106" customWidth="1"/>
    <col min="1037" max="1037" width="5.6640625" style="106" bestFit="1" customWidth="1"/>
    <col min="1038" max="1038" width="5.77734375" style="106" bestFit="1" customWidth="1"/>
    <col min="1039" max="1039" width="5.6640625" style="106" bestFit="1" customWidth="1"/>
    <col min="1040" max="1040" width="5.77734375" style="106" bestFit="1" customWidth="1"/>
    <col min="1041" max="1041" width="5.109375" style="106" bestFit="1" customWidth="1"/>
    <col min="1042" max="1042" width="3.21875" style="106" customWidth="1"/>
    <col min="1043" max="1048" width="3" style="106" customWidth="1"/>
    <col min="1049" max="1280" width="8.88671875" style="106"/>
    <col min="1281" max="1281" width="7.109375" style="106" customWidth="1"/>
    <col min="1282" max="1286" width="10.5546875" style="106" customWidth="1"/>
    <col min="1287" max="1287" width="7.88671875" style="106" customWidth="1"/>
    <col min="1288" max="1288" width="6.6640625" style="106" bestFit="1" customWidth="1"/>
    <col min="1289" max="1289" width="5.109375" style="106" customWidth="1"/>
    <col min="1290" max="1290" width="6.44140625" style="106" customWidth="1"/>
    <col min="1291" max="1291" width="5.44140625" style="106" customWidth="1"/>
    <col min="1292" max="1292" width="4.33203125" style="106" customWidth="1"/>
    <col min="1293" max="1293" width="5.6640625" style="106" bestFit="1" customWidth="1"/>
    <col min="1294" max="1294" width="5.77734375" style="106" bestFit="1" customWidth="1"/>
    <col min="1295" max="1295" width="5.6640625" style="106" bestFit="1" customWidth="1"/>
    <col min="1296" max="1296" width="5.77734375" style="106" bestFit="1" customWidth="1"/>
    <col min="1297" max="1297" width="5.109375" style="106" bestFit="1" customWidth="1"/>
    <col min="1298" max="1298" width="3.21875" style="106" customWidth="1"/>
    <col min="1299" max="1304" width="3" style="106" customWidth="1"/>
    <col min="1305" max="1536" width="8.88671875" style="106"/>
    <col min="1537" max="1537" width="7.109375" style="106" customWidth="1"/>
    <col min="1538" max="1542" width="10.5546875" style="106" customWidth="1"/>
    <col min="1543" max="1543" width="7.88671875" style="106" customWidth="1"/>
    <col min="1544" max="1544" width="6.6640625" style="106" bestFit="1" customWidth="1"/>
    <col min="1545" max="1545" width="5.109375" style="106" customWidth="1"/>
    <col min="1546" max="1546" width="6.44140625" style="106" customWidth="1"/>
    <col min="1547" max="1547" width="5.44140625" style="106" customWidth="1"/>
    <col min="1548" max="1548" width="4.33203125" style="106" customWidth="1"/>
    <col min="1549" max="1549" width="5.6640625" style="106" bestFit="1" customWidth="1"/>
    <col min="1550" max="1550" width="5.77734375" style="106" bestFit="1" customWidth="1"/>
    <col min="1551" max="1551" width="5.6640625" style="106" bestFit="1" customWidth="1"/>
    <col min="1552" max="1552" width="5.77734375" style="106" bestFit="1" customWidth="1"/>
    <col min="1553" max="1553" width="5.109375" style="106" bestFit="1" customWidth="1"/>
    <col min="1554" max="1554" width="3.21875" style="106" customWidth="1"/>
    <col min="1555" max="1560" width="3" style="106" customWidth="1"/>
    <col min="1561" max="1792" width="8.88671875" style="106"/>
    <col min="1793" max="1793" width="7.109375" style="106" customWidth="1"/>
    <col min="1794" max="1798" width="10.5546875" style="106" customWidth="1"/>
    <col min="1799" max="1799" width="7.88671875" style="106" customWidth="1"/>
    <col min="1800" max="1800" width="6.6640625" style="106" bestFit="1" customWidth="1"/>
    <col min="1801" max="1801" width="5.109375" style="106" customWidth="1"/>
    <col min="1802" max="1802" width="6.44140625" style="106" customWidth="1"/>
    <col min="1803" max="1803" width="5.44140625" style="106" customWidth="1"/>
    <col min="1804" max="1804" width="4.33203125" style="106" customWidth="1"/>
    <col min="1805" max="1805" width="5.6640625" style="106" bestFit="1" customWidth="1"/>
    <col min="1806" max="1806" width="5.77734375" style="106" bestFit="1" customWidth="1"/>
    <col min="1807" max="1807" width="5.6640625" style="106" bestFit="1" customWidth="1"/>
    <col min="1808" max="1808" width="5.77734375" style="106" bestFit="1" customWidth="1"/>
    <col min="1809" max="1809" width="5.109375" style="106" bestFit="1" customWidth="1"/>
    <col min="1810" max="1810" width="3.21875" style="106" customWidth="1"/>
    <col min="1811" max="1816" width="3" style="106" customWidth="1"/>
    <col min="1817" max="2048" width="8.88671875" style="106"/>
    <col min="2049" max="2049" width="7.109375" style="106" customWidth="1"/>
    <col min="2050" max="2054" width="10.5546875" style="106" customWidth="1"/>
    <col min="2055" max="2055" width="7.88671875" style="106" customWidth="1"/>
    <col min="2056" max="2056" width="6.6640625" style="106" bestFit="1" customWidth="1"/>
    <col min="2057" max="2057" width="5.109375" style="106" customWidth="1"/>
    <col min="2058" max="2058" width="6.44140625" style="106" customWidth="1"/>
    <col min="2059" max="2059" width="5.44140625" style="106" customWidth="1"/>
    <col min="2060" max="2060" width="4.33203125" style="106" customWidth="1"/>
    <col min="2061" max="2061" width="5.6640625" style="106" bestFit="1" customWidth="1"/>
    <col min="2062" max="2062" width="5.77734375" style="106" bestFit="1" customWidth="1"/>
    <col min="2063" max="2063" width="5.6640625" style="106" bestFit="1" customWidth="1"/>
    <col min="2064" max="2064" width="5.77734375" style="106" bestFit="1" customWidth="1"/>
    <col min="2065" max="2065" width="5.109375" style="106" bestFit="1" customWidth="1"/>
    <col min="2066" max="2066" width="3.21875" style="106" customWidth="1"/>
    <col min="2067" max="2072" width="3" style="106" customWidth="1"/>
    <col min="2073" max="2304" width="8.88671875" style="106"/>
    <col min="2305" max="2305" width="7.109375" style="106" customWidth="1"/>
    <col min="2306" max="2310" width="10.5546875" style="106" customWidth="1"/>
    <col min="2311" max="2311" width="7.88671875" style="106" customWidth="1"/>
    <col min="2312" max="2312" width="6.6640625" style="106" bestFit="1" customWidth="1"/>
    <col min="2313" max="2313" width="5.109375" style="106" customWidth="1"/>
    <col min="2314" max="2314" width="6.44140625" style="106" customWidth="1"/>
    <col min="2315" max="2315" width="5.44140625" style="106" customWidth="1"/>
    <col min="2316" max="2316" width="4.33203125" style="106" customWidth="1"/>
    <col min="2317" max="2317" width="5.6640625" style="106" bestFit="1" customWidth="1"/>
    <col min="2318" max="2318" width="5.77734375" style="106" bestFit="1" customWidth="1"/>
    <col min="2319" max="2319" width="5.6640625" style="106" bestFit="1" customWidth="1"/>
    <col min="2320" max="2320" width="5.77734375" style="106" bestFit="1" customWidth="1"/>
    <col min="2321" max="2321" width="5.109375" style="106" bestFit="1" customWidth="1"/>
    <col min="2322" max="2322" width="3.21875" style="106" customWidth="1"/>
    <col min="2323" max="2328" width="3" style="106" customWidth="1"/>
    <col min="2329" max="2560" width="8.88671875" style="106"/>
    <col min="2561" max="2561" width="7.109375" style="106" customWidth="1"/>
    <col min="2562" max="2566" width="10.5546875" style="106" customWidth="1"/>
    <col min="2567" max="2567" width="7.88671875" style="106" customWidth="1"/>
    <col min="2568" max="2568" width="6.6640625" style="106" bestFit="1" customWidth="1"/>
    <col min="2569" max="2569" width="5.109375" style="106" customWidth="1"/>
    <col min="2570" max="2570" width="6.44140625" style="106" customWidth="1"/>
    <col min="2571" max="2571" width="5.44140625" style="106" customWidth="1"/>
    <col min="2572" max="2572" width="4.33203125" style="106" customWidth="1"/>
    <col min="2573" max="2573" width="5.6640625" style="106" bestFit="1" customWidth="1"/>
    <col min="2574" max="2574" width="5.77734375" style="106" bestFit="1" customWidth="1"/>
    <col min="2575" max="2575" width="5.6640625" style="106" bestFit="1" customWidth="1"/>
    <col min="2576" max="2576" width="5.77734375" style="106" bestFit="1" customWidth="1"/>
    <col min="2577" max="2577" width="5.109375" style="106" bestFit="1" customWidth="1"/>
    <col min="2578" max="2578" width="3.21875" style="106" customWidth="1"/>
    <col min="2579" max="2584" width="3" style="106" customWidth="1"/>
    <col min="2585" max="2816" width="8.88671875" style="106"/>
    <col min="2817" max="2817" width="7.109375" style="106" customWidth="1"/>
    <col min="2818" max="2822" width="10.5546875" style="106" customWidth="1"/>
    <col min="2823" max="2823" width="7.88671875" style="106" customWidth="1"/>
    <col min="2824" max="2824" width="6.6640625" style="106" bestFit="1" customWidth="1"/>
    <col min="2825" max="2825" width="5.109375" style="106" customWidth="1"/>
    <col min="2826" max="2826" width="6.44140625" style="106" customWidth="1"/>
    <col min="2827" max="2827" width="5.44140625" style="106" customWidth="1"/>
    <col min="2828" max="2828" width="4.33203125" style="106" customWidth="1"/>
    <col min="2829" max="2829" width="5.6640625" style="106" bestFit="1" customWidth="1"/>
    <col min="2830" max="2830" width="5.77734375" style="106" bestFit="1" customWidth="1"/>
    <col min="2831" max="2831" width="5.6640625" style="106" bestFit="1" customWidth="1"/>
    <col min="2832" max="2832" width="5.77734375" style="106" bestFit="1" customWidth="1"/>
    <col min="2833" max="2833" width="5.109375" style="106" bestFit="1" customWidth="1"/>
    <col min="2834" max="2834" width="3.21875" style="106" customWidth="1"/>
    <col min="2835" max="2840" width="3" style="106" customWidth="1"/>
    <col min="2841" max="3072" width="8.88671875" style="106"/>
    <col min="3073" max="3073" width="7.109375" style="106" customWidth="1"/>
    <col min="3074" max="3078" width="10.5546875" style="106" customWidth="1"/>
    <col min="3079" max="3079" width="7.88671875" style="106" customWidth="1"/>
    <col min="3080" max="3080" width="6.6640625" style="106" bestFit="1" customWidth="1"/>
    <col min="3081" max="3081" width="5.109375" style="106" customWidth="1"/>
    <col min="3082" max="3082" width="6.44140625" style="106" customWidth="1"/>
    <col min="3083" max="3083" width="5.44140625" style="106" customWidth="1"/>
    <col min="3084" max="3084" width="4.33203125" style="106" customWidth="1"/>
    <col min="3085" max="3085" width="5.6640625" style="106" bestFit="1" customWidth="1"/>
    <col min="3086" max="3086" width="5.77734375" style="106" bestFit="1" customWidth="1"/>
    <col min="3087" max="3087" width="5.6640625" style="106" bestFit="1" customWidth="1"/>
    <col min="3088" max="3088" width="5.77734375" style="106" bestFit="1" customWidth="1"/>
    <col min="3089" max="3089" width="5.109375" style="106" bestFit="1" customWidth="1"/>
    <col min="3090" max="3090" width="3.21875" style="106" customWidth="1"/>
    <col min="3091" max="3096" width="3" style="106" customWidth="1"/>
    <col min="3097" max="3328" width="8.88671875" style="106"/>
    <col min="3329" max="3329" width="7.109375" style="106" customWidth="1"/>
    <col min="3330" max="3334" width="10.5546875" style="106" customWidth="1"/>
    <col min="3335" max="3335" width="7.88671875" style="106" customWidth="1"/>
    <col min="3336" max="3336" width="6.6640625" style="106" bestFit="1" customWidth="1"/>
    <col min="3337" max="3337" width="5.109375" style="106" customWidth="1"/>
    <col min="3338" max="3338" width="6.44140625" style="106" customWidth="1"/>
    <col min="3339" max="3339" width="5.44140625" style="106" customWidth="1"/>
    <col min="3340" max="3340" width="4.33203125" style="106" customWidth="1"/>
    <col min="3341" max="3341" width="5.6640625" style="106" bestFit="1" customWidth="1"/>
    <col min="3342" max="3342" width="5.77734375" style="106" bestFit="1" customWidth="1"/>
    <col min="3343" max="3343" width="5.6640625" style="106" bestFit="1" customWidth="1"/>
    <col min="3344" max="3344" width="5.77734375" style="106" bestFit="1" customWidth="1"/>
    <col min="3345" max="3345" width="5.109375" style="106" bestFit="1" customWidth="1"/>
    <col min="3346" max="3346" width="3.21875" style="106" customWidth="1"/>
    <col min="3347" max="3352" width="3" style="106" customWidth="1"/>
    <col min="3353" max="3584" width="8.88671875" style="106"/>
    <col min="3585" max="3585" width="7.109375" style="106" customWidth="1"/>
    <col min="3586" max="3590" width="10.5546875" style="106" customWidth="1"/>
    <col min="3591" max="3591" width="7.88671875" style="106" customWidth="1"/>
    <col min="3592" max="3592" width="6.6640625" style="106" bestFit="1" customWidth="1"/>
    <col min="3593" max="3593" width="5.109375" style="106" customWidth="1"/>
    <col min="3594" max="3594" width="6.44140625" style="106" customWidth="1"/>
    <col min="3595" max="3595" width="5.44140625" style="106" customWidth="1"/>
    <col min="3596" max="3596" width="4.33203125" style="106" customWidth="1"/>
    <col min="3597" max="3597" width="5.6640625" style="106" bestFit="1" customWidth="1"/>
    <col min="3598" max="3598" width="5.77734375" style="106" bestFit="1" customWidth="1"/>
    <col min="3599" max="3599" width="5.6640625" style="106" bestFit="1" customWidth="1"/>
    <col min="3600" max="3600" width="5.77734375" style="106" bestFit="1" customWidth="1"/>
    <col min="3601" max="3601" width="5.109375" style="106" bestFit="1" customWidth="1"/>
    <col min="3602" max="3602" width="3.21875" style="106" customWidth="1"/>
    <col min="3603" max="3608" width="3" style="106" customWidth="1"/>
    <col min="3609" max="3840" width="8.88671875" style="106"/>
    <col min="3841" max="3841" width="7.109375" style="106" customWidth="1"/>
    <col min="3842" max="3846" width="10.5546875" style="106" customWidth="1"/>
    <col min="3847" max="3847" width="7.88671875" style="106" customWidth="1"/>
    <col min="3848" max="3848" width="6.6640625" style="106" bestFit="1" customWidth="1"/>
    <col min="3849" max="3849" width="5.109375" style="106" customWidth="1"/>
    <col min="3850" max="3850" width="6.44140625" style="106" customWidth="1"/>
    <col min="3851" max="3851" width="5.44140625" style="106" customWidth="1"/>
    <col min="3852" max="3852" width="4.33203125" style="106" customWidth="1"/>
    <col min="3853" max="3853" width="5.6640625" style="106" bestFit="1" customWidth="1"/>
    <col min="3854" max="3854" width="5.77734375" style="106" bestFit="1" customWidth="1"/>
    <col min="3855" max="3855" width="5.6640625" style="106" bestFit="1" customWidth="1"/>
    <col min="3856" max="3856" width="5.77734375" style="106" bestFit="1" customWidth="1"/>
    <col min="3857" max="3857" width="5.109375" style="106" bestFit="1" customWidth="1"/>
    <col min="3858" max="3858" width="3.21875" style="106" customWidth="1"/>
    <col min="3859" max="3864" width="3" style="106" customWidth="1"/>
    <col min="3865" max="4096" width="8.88671875" style="106"/>
    <col min="4097" max="4097" width="7.109375" style="106" customWidth="1"/>
    <col min="4098" max="4102" width="10.5546875" style="106" customWidth="1"/>
    <col min="4103" max="4103" width="7.88671875" style="106" customWidth="1"/>
    <col min="4104" max="4104" width="6.6640625" style="106" bestFit="1" customWidth="1"/>
    <col min="4105" max="4105" width="5.109375" style="106" customWidth="1"/>
    <col min="4106" max="4106" width="6.44140625" style="106" customWidth="1"/>
    <col min="4107" max="4107" width="5.44140625" style="106" customWidth="1"/>
    <col min="4108" max="4108" width="4.33203125" style="106" customWidth="1"/>
    <col min="4109" max="4109" width="5.6640625" style="106" bestFit="1" customWidth="1"/>
    <col min="4110" max="4110" width="5.77734375" style="106" bestFit="1" customWidth="1"/>
    <col min="4111" max="4111" width="5.6640625" style="106" bestFit="1" customWidth="1"/>
    <col min="4112" max="4112" width="5.77734375" style="106" bestFit="1" customWidth="1"/>
    <col min="4113" max="4113" width="5.109375" style="106" bestFit="1" customWidth="1"/>
    <col min="4114" max="4114" width="3.21875" style="106" customWidth="1"/>
    <col min="4115" max="4120" width="3" style="106" customWidth="1"/>
    <col min="4121" max="4352" width="8.88671875" style="106"/>
    <col min="4353" max="4353" width="7.109375" style="106" customWidth="1"/>
    <col min="4354" max="4358" width="10.5546875" style="106" customWidth="1"/>
    <col min="4359" max="4359" width="7.88671875" style="106" customWidth="1"/>
    <col min="4360" max="4360" width="6.6640625" style="106" bestFit="1" customWidth="1"/>
    <col min="4361" max="4361" width="5.109375" style="106" customWidth="1"/>
    <col min="4362" max="4362" width="6.44140625" style="106" customWidth="1"/>
    <col min="4363" max="4363" width="5.44140625" style="106" customWidth="1"/>
    <col min="4364" max="4364" width="4.33203125" style="106" customWidth="1"/>
    <col min="4365" max="4365" width="5.6640625" style="106" bestFit="1" customWidth="1"/>
    <col min="4366" max="4366" width="5.77734375" style="106" bestFit="1" customWidth="1"/>
    <col min="4367" max="4367" width="5.6640625" style="106" bestFit="1" customWidth="1"/>
    <col min="4368" max="4368" width="5.77734375" style="106" bestFit="1" customWidth="1"/>
    <col min="4369" max="4369" width="5.109375" style="106" bestFit="1" customWidth="1"/>
    <col min="4370" max="4370" width="3.21875" style="106" customWidth="1"/>
    <col min="4371" max="4376" width="3" style="106" customWidth="1"/>
    <col min="4377" max="4608" width="8.88671875" style="106"/>
    <col min="4609" max="4609" width="7.109375" style="106" customWidth="1"/>
    <col min="4610" max="4614" width="10.5546875" style="106" customWidth="1"/>
    <col min="4615" max="4615" width="7.88671875" style="106" customWidth="1"/>
    <col min="4616" max="4616" width="6.6640625" style="106" bestFit="1" customWidth="1"/>
    <col min="4617" max="4617" width="5.109375" style="106" customWidth="1"/>
    <col min="4618" max="4618" width="6.44140625" style="106" customWidth="1"/>
    <col min="4619" max="4619" width="5.44140625" style="106" customWidth="1"/>
    <col min="4620" max="4620" width="4.33203125" style="106" customWidth="1"/>
    <col min="4621" max="4621" width="5.6640625" style="106" bestFit="1" customWidth="1"/>
    <col min="4622" max="4622" width="5.77734375" style="106" bestFit="1" customWidth="1"/>
    <col min="4623" max="4623" width="5.6640625" style="106" bestFit="1" customWidth="1"/>
    <col min="4624" max="4624" width="5.77734375" style="106" bestFit="1" customWidth="1"/>
    <col min="4625" max="4625" width="5.109375" style="106" bestFit="1" customWidth="1"/>
    <col min="4626" max="4626" width="3.21875" style="106" customWidth="1"/>
    <col min="4627" max="4632" width="3" style="106" customWidth="1"/>
    <col min="4633" max="4864" width="8.88671875" style="106"/>
    <col min="4865" max="4865" width="7.109375" style="106" customWidth="1"/>
    <col min="4866" max="4870" width="10.5546875" style="106" customWidth="1"/>
    <col min="4871" max="4871" width="7.88671875" style="106" customWidth="1"/>
    <col min="4872" max="4872" width="6.6640625" style="106" bestFit="1" customWidth="1"/>
    <col min="4873" max="4873" width="5.109375" style="106" customWidth="1"/>
    <col min="4874" max="4874" width="6.44140625" style="106" customWidth="1"/>
    <col min="4875" max="4875" width="5.44140625" style="106" customWidth="1"/>
    <col min="4876" max="4876" width="4.33203125" style="106" customWidth="1"/>
    <col min="4877" max="4877" width="5.6640625" style="106" bestFit="1" customWidth="1"/>
    <col min="4878" max="4878" width="5.77734375" style="106" bestFit="1" customWidth="1"/>
    <col min="4879" max="4879" width="5.6640625" style="106" bestFit="1" customWidth="1"/>
    <col min="4880" max="4880" width="5.77734375" style="106" bestFit="1" customWidth="1"/>
    <col min="4881" max="4881" width="5.109375" style="106" bestFit="1" customWidth="1"/>
    <col min="4882" max="4882" width="3.21875" style="106" customWidth="1"/>
    <col min="4883" max="4888" width="3" style="106" customWidth="1"/>
    <col min="4889" max="5120" width="8.88671875" style="106"/>
    <col min="5121" max="5121" width="7.109375" style="106" customWidth="1"/>
    <col min="5122" max="5126" width="10.5546875" style="106" customWidth="1"/>
    <col min="5127" max="5127" width="7.88671875" style="106" customWidth="1"/>
    <col min="5128" max="5128" width="6.6640625" style="106" bestFit="1" customWidth="1"/>
    <col min="5129" max="5129" width="5.109375" style="106" customWidth="1"/>
    <col min="5130" max="5130" width="6.44140625" style="106" customWidth="1"/>
    <col min="5131" max="5131" width="5.44140625" style="106" customWidth="1"/>
    <col min="5132" max="5132" width="4.33203125" style="106" customWidth="1"/>
    <col min="5133" max="5133" width="5.6640625" style="106" bestFit="1" customWidth="1"/>
    <col min="5134" max="5134" width="5.77734375" style="106" bestFit="1" customWidth="1"/>
    <col min="5135" max="5135" width="5.6640625" style="106" bestFit="1" customWidth="1"/>
    <col min="5136" max="5136" width="5.77734375" style="106" bestFit="1" customWidth="1"/>
    <col min="5137" max="5137" width="5.109375" style="106" bestFit="1" customWidth="1"/>
    <col min="5138" max="5138" width="3.21875" style="106" customWidth="1"/>
    <col min="5139" max="5144" width="3" style="106" customWidth="1"/>
    <col min="5145" max="5376" width="8.88671875" style="106"/>
    <col min="5377" max="5377" width="7.109375" style="106" customWidth="1"/>
    <col min="5378" max="5382" width="10.5546875" style="106" customWidth="1"/>
    <col min="5383" max="5383" width="7.88671875" style="106" customWidth="1"/>
    <col min="5384" max="5384" width="6.6640625" style="106" bestFit="1" customWidth="1"/>
    <col min="5385" max="5385" width="5.109375" style="106" customWidth="1"/>
    <col min="5386" max="5386" width="6.44140625" style="106" customWidth="1"/>
    <col min="5387" max="5387" width="5.44140625" style="106" customWidth="1"/>
    <col min="5388" max="5388" width="4.33203125" style="106" customWidth="1"/>
    <col min="5389" max="5389" width="5.6640625" style="106" bestFit="1" customWidth="1"/>
    <col min="5390" max="5390" width="5.77734375" style="106" bestFit="1" customWidth="1"/>
    <col min="5391" max="5391" width="5.6640625" style="106" bestFit="1" customWidth="1"/>
    <col min="5392" max="5392" width="5.77734375" style="106" bestFit="1" customWidth="1"/>
    <col min="5393" max="5393" width="5.109375" style="106" bestFit="1" customWidth="1"/>
    <col min="5394" max="5394" width="3.21875" style="106" customWidth="1"/>
    <col min="5395" max="5400" width="3" style="106" customWidth="1"/>
    <col min="5401" max="5632" width="8.88671875" style="106"/>
    <col min="5633" max="5633" width="7.109375" style="106" customWidth="1"/>
    <col min="5634" max="5638" width="10.5546875" style="106" customWidth="1"/>
    <col min="5639" max="5639" width="7.88671875" style="106" customWidth="1"/>
    <col min="5640" max="5640" width="6.6640625" style="106" bestFit="1" customWidth="1"/>
    <col min="5641" max="5641" width="5.109375" style="106" customWidth="1"/>
    <col min="5642" max="5642" width="6.44140625" style="106" customWidth="1"/>
    <col min="5643" max="5643" width="5.44140625" style="106" customWidth="1"/>
    <col min="5644" max="5644" width="4.33203125" style="106" customWidth="1"/>
    <col min="5645" max="5645" width="5.6640625" style="106" bestFit="1" customWidth="1"/>
    <col min="5646" max="5646" width="5.77734375" style="106" bestFit="1" customWidth="1"/>
    <col min="5647" max="5647" width="5.6640625" style="106" bestFit="1" customWidth="1"/>
    <col min="5648" max="5648" width="5.77734375" style="106" bestFit="1" customWidth="1"/>
    <col min="5649" max="5649" width="5.109375" style="106" bestFit="1" customWidth="1"/>
    <col min="5650" max="5650" width="3.21875" style="106" customWidth="1"/>
    <col min="5651" max="5656" width="3" style="106" customWidth="1"/>
    <col min="5657" max="5888" width="8.88671875" style="106"/>
    <col min="5889" max="5889" width="7.109375" style="106" customWidth="1"/>
    <col min="5890" max="5894" width="10.5546875" style="106" customWidth="1"/>
    <col min="5895" max="5895" width="7.88671875" style="106" customWidth="1"/>
    <col min="5896" max="5896" width="6.6640625" style="106" bestFit="1" customWidth="1"/>
    <col min="5897" max="5897" width="5.109375" style="106" customWidth="1"/>
    <col min="5898" max="5898" width="6.44140625" style="106" customWidth="1"/>
    <col min="5899" max="5899" width="5.44140625" style="106" customWidth="1"/>
    <col min="5900" max="5900" width="4.33203125" style="106" customWidth="1"/>
    <col min="5901" max="5901" width="5.6640625" style="106" bestFit="1" customWidth="1"/>
    <col min="5902" max="5902" width="5.77734375" style="106" bestFit="1" customWidth="1"/>
    <col min="5903" max="5903" width="5.6640625" style="106" bestFit="1" customWidth="1"/>
    <col min="5904" max="5904" width="5.77734375" style="106" bestFit="1" customWidth="1"/>
    <col min="5905" max="5905" width="5.109375" style="106" bestFit="1" customWidth="1"/>
    <col min="5906" max="5906" width="3.21875" style="106" customWidth="1"/>
    <col min="5907" max="5912" width="3" style="106" customWidth="1"/>
    <col min="5913" max="6144" width="8.88671875" style="106"/>
    <col min="6145" max="6145" width="7.109375" style="106" customWidth="1"/>
    <col min="6146" max="6150" width="10.5546875" style="106" customWidth="1"/>
    <col min="6151" max="6151" width="7.88671875" style="106" customWidth="1"/>
    <col min="6152" max="6152" width="6.6640625" style="106" bestFit="1" customWidth="1"/>
    <col min="6153" max="6153" width="5.109375" style="106" customWidth="1"/>
    <col min="6154" max="6154" width="6.44140625" style="106" customWidth="1"/>
    <col min="6155" max="6155" width="5.44140625" style="106" customWidth="1"/>
    <col min="6156" max="6156" width="4.33203125" style="106" customWidth="1"/>
    <col min="6157" max="6157" width="5.6640625" style="106" bestFit="1" customWidth="1"/>
    <col min="6158" max="6158" width="5.77734375" style="106" bestFit="1" customWidth="1"/>
    <col min="6159" max="6159" width="5.6640625" style="106" bestFit="1" customWidth="1"/>
    <col min="6160" max="6160" width="5.77734375" style="106" bestFit="1" customWidth="1"/>
    <col min="6161" max="6161" width="5.109375" style="106" bestFit="1" customWidth="1"/>
    <col min="6162" max="6162" width="3.21875" style="106" customWidth="1"/>
    <col min="6163" max="6168" width="3" style="106" customWidth="1"/>
    <col min="6169" max="6400" width="8.88671875" style="106"/>
    <col min="6401" max="6401" width="7.109375" style="106" customWidth="1"/>
    <col min="6402" max="6406" width="10.5546875" style="106" customWidth="1"/>
    <col min="6407" max="6407" width="7.88671875" style="106" customWidth="1"/>
    <col min="6408" max="6408" width="6.6640625" style="106" bestFit="1" customWidth="1"/>
    <col min="6409" max="6409" width="5.109375" style="106" customWidth="1"/>
    <col min="6410" max="6410" width="6.44140625" style="106" customWidth="1"/>
    <col min="6411" max="6411" width="5.44140625" style="106" customWidth="1"/>
    <col min="6412" max="6412" width="4.33203125" style="106" customWidth="1"/>
    <col min="6413" max="6413" width="5.6640625" style="106" bestFit="1" customWidth="1"/>
    <col min="6414" max="6414" width="5.77734375" style="106" bestFit="1" customWidth="1"/>
    <col min="6415" max="6415" width="5.6640625" style="106" bestFit="1" customWidth="1"/>
    <col min="6416" max="6416" width="5.77734375" style="106" bestFit="1" customWidth="1"/>
    <col min="6417" max="6417" width="5.109375" style="106" bestFit="1" customWidth="1"/>
    <col min="6418" max="6418" width="3.21875" style="106" customWidth="1"/>
    <col min="6419" max="6424" width="3" style="106" customWidth="1"/>
    <col min="6425" max="6656" width="8.88671875" style="106"/>
    <col min="6657" max="6657" width="7.109375" style="106" customWidth="1"/>
    <col min="6658" max="6662" width="10.5546875" style="106" customWidth="1"/>
    <col min="6663" max="6663" width="7.88671875" style="106" customWidth="1"/>
    <col min="6664" max="6664" width="6.6640625" style="106" bestFit="1" customWidth="1"/>
    <col min="6665" max="6665" width="5.109375" style="106" customWidth="1"/>
    <col min="6666" max="6666" width="6.44140625" style="106" customWidth="1"/>
    <col min="6667" max="6667" width="5.44140625" style="106" customWidth="1"/>
    <col min="6668" max="6668" width="4.33203125" style="106" customWidth="1"/>
    <col min="6669" max="6669" width="5.6640625" style="106" bestFit="1" customWidth="1"/>
    <col min="6670" max="6670" width="5.77734375" style="106" bestFit="1" customWidth="1"/>
    <col min="6671" max="6671" width="5.6640625" style="106" bestFit="1" customWidth="1"/>
    <col min="6672" max="6672" width="5.77734375" style="106" bestFit="1" customWidth="1"/>
    <col min="6673" max="6673" width="5.109375" style="106" bestFit="1" customWidth="1"/>
    <col min="6674" max="6674" width="3.21875" style="106" customWidth="1"/>
    <col min="6675" max="6680" width="3" style="106" customWidth="1"/>
    <col min="6681" max="6912" width="8.88671875" style="106"/>
    <col min="6913" max="6913" width="7.109375" style="106" customWidth="1"/>
    <col min="6914" max="6918" width="10.5546875" style="106" customWidth="1"/>
    <col min="6919" max="6919" width="7.88671875" style="106" customWidth="1"/>
    <col min="6920" max="6920" width="6.6640625" style="106" bestFit="1" customWidth="1"/>
    <col min="6921" max="6921" width="5.109375" style="106" customWidth="1"/>
    <col min="6922" max="6922" width="6.44140625" style="106" customWidth="1"/>
    <col min="6923" max="6923" width="5.44140625" style="106" customWidth="1"/>
    <col min="6924" max="6924" width="4.33203125" style="106" customWidth="1"/>
    <col min="6925" max="6925" width="5.6640625" style="106" bestFit="1" customWidth="1"/>
    <col min="6926" max="6926" width="5.77734375" style="106" bestFit="1" customWidth="1"/>
    <col min="6927" max="6927" width="5.6640625" style="106" bestFit="1" customWidth="1"/>
    <col min="6928" max="6928" width="5.77734375" style="106" bestFit="1" customWidth="1"/>
    <col min="6929" max="6929" width="5.109375" style="106" bestFit="1" customWidth="1"/>
    <col min="6930" max="6930" width="3.21875" style="106" customWidth="1"/>
    <col min="6931" max="6936" width="3" style="106" customWidth="1"/>
    <col min="6937" max="7168" width="8.88671875" style="106"/>
    <col min="7169" max="7169" width="7.109375" style="106" customWidth="1"/>
    <col min="7170" max="7174" width="10.5546875" style="106" customWidth="1"/>
    <col min="7175" max="7175" width="7.88671875" style="106" customWidth="1"/>
    <col min="7176" max="7176" width="6.6640625" style="106" bestFit="1" customWidth="1"/>
    <col min="7177" max="7177" width="5.109375" style="106" customWidth="1"/>
    <col min="7178" max="7178" width="6.44140625" style="106" customWidth="1"/>
    <col min="7179" max="7179" width="5.44140625" style="106" customWidth="1"/>
    <col min="7180" max="7180" width="4.33203125" style="106" customWidth="1"/>
    <col min="7181" max="7181" width="5.6640625" style="106" bestFit="1" customWidth="1"/>
    <col min="7182" max="7182" width="5.77734375" style="106" bestFit="1" customWidth="1"/>
    <col min="7183" max="7183" width="5.6640625" style="106" bestFit="1" customWidth="1"/>
    <col min="7184" max="7184" width="5.77734375" style="106" bestFit="1" customWidth="1"/>
    <col min="7185" max="7185" width="5.109375" style="106" bestFit="1" customWidth="1"/>
    <col min="7186" max="7186" width="3.21875" style="106" customWidth="1"/>
    <col min="7187" max="7192" width="3" style="106" customWidth="1"/>
    <col min="7193" max="7424" width="8.88671875" style="106"/>
    <col min="7425" max="7425" width="7.109375" style="106" customWidth="1"/>
    <col min="7426" max="7430" width="10.5546875" style="106" customWidth="1"/>
    <col min="7431" max="7431" width="7.88671875" style="106" customWidth="1"/>
    <col min="7432" max="7432" width="6.6640625" style="106" bestFit="1" customWidth="1"/>
    <col min="7433" max="7433" width="5.109375" style="106" customWidth="1"/>
    <col min="7434" max="7434" width="6.44140625" style="106" customWidth="1"/>
    <col min="7435" max="7435" width="5.44140625" style="106" customWidth="1"/>
    <col min="7436" max="7436" width="4.33203125" style="106" customWidth="1"/>
    <col min="7437" max="7437" width="5.6640625" style="106" bestFit="1" customWidth="1"/>
    <col min="7438" max="7438" width="5.77734375" style="106" bestFit="1" customWidth="1"/>
    <col min="7439" max="7439" width="5.6640625" style="106" bestFit="1" customWidth="1"/>
    <col min="7440" max="7440" width="5.77734375" style="106" bestFit="1" customWidth="1"/>
    <col min="7441" max="7441" width="5.109375" style="106" bestFit="1" customWidth="1"/>
    <col min="7442" max="7442" width="3.21875" style="106" customWidth="1"/>
    <col min="7443" max="7448" width="3" style="106" customWidth="1"/>
    <col min="7449" max="7680" width="8.88671875" style="106"/>
    <col min="7681" max="7681" width="7.109375" style="106" customWidth="1"/>
    <col min="7682" max="7686" width="10.5546875" style="106" customWidth="1"/>
    <col min="7687" max="7687" width="7.88671875" style="106" customWidth="1"/>
    <col min="7688" max="7688" width="6.6640625" style="106" bestFit="1" customWidth="1"/>
    <col min="7689" max="7689" width="5.109375" style="106" customWidth="1"/>
    <col min="7690" max="7690" width="6.44140625" style="106" customWidth="1"/>
    <col min="7691" max="7691" width="5.44140625" style="106" customWidth="1"/>
    <col min="7692" max="7692" width="4.33203125" style="106" customWidth="1"/>
    <col min="7693" max="7693" width="5.6640625" style="106" bestFit="1" customWidth="1"/>
    <col min="7694" max="7694" width="5.77734375" style="106" bestFit="1" customWidth="1"/>
    <col min="7695" max="7695" width="5.6640625" style="106" bestFit="1" customWidth="1"/>
    <col min="7696" max="7696" width="5.77734375" style="106" bestFit="1" customWidth="1"/>
    <col min="7697" max="7697" width="5.109375" style="106" bestFit="1" customWidth="1"/>
    <col min="7698" max="7698" width="3.21875" style="106" customWidth="1"/>
    <col min="7699" max="7704" width="3" style="106" customWidth="1"/>
    <col min="7705" max="7936" width="8.88671875" style="106"/>
    <col min="7937" max="7937" width="7.109375" style="106" customWidth="1"/>
    <col min="7938" max="7942" width="10.5546875" style="106" customWidth="1"/>
    <col min="7943" max="7943" width="7.88671875" style="106" customWidth="1"/>
    <col min="7944" max="7944" width="6.6640625" style="106" bestFit="1" customWidth="1"/>
    <col min="7945" max="7945" width="5.109375" style="106" customWidth="1"/>
    <col min="7946" max="7946" width="6.44140625" style="106" customWidth="1"/>
    <col min="7947" max="7947" width="5.44140625" style="106" customWidth="1"/>
    <col min="7948" max="7948" width="4.33203125" style="106" customWidth="1"/>
    <col min="7949" max="7949" width="5.6640625" style="106" bestFit="1" customWidth="1"/>
    <col min="7950" max="7950" width="5.77734375" style="106" bestFit="1" customWidth="1"/>
    <col min="7951" max="7951" width="5.6640625" style="106" bestFit="1" customWidth="1"/>
    <col min="7952" max="7952" width="5.77734375" style="106" bestFit="1" customWidth="1"/>
    <col min="7953" max="7953" width="5.109375" style="106" bestFit="1" customWidth="1"/>
    <col min="7954" max="7954" width="3.21875" style="106" customWidth="1"/>
    <col min="7955" max="7960" width="3" style="106" customWidth="1"/>
    <col min="7961" max="8192" width="8.88671875" style="106"/>
    <col min="8193" max="8193" width="7.109375" style="106" customWidth="1"/>
    <col min="8194" max="8198" width="10.5546875" style="106" customWidth="1"/>
    <col min="8199" max="8199" width="7.88671875" style="106" customWidth="1"/>
    <col min="8200" max="8200" width="6.6640625" style="106" bestFit="1" customWidth="1"/>
    <col min="8201" max="8201" width="5.109375" style="106" customWidth="1"/>
    <col min="8202" max="8202" width="6.44140625" style="106" customWidth="1"/>
    <col min="8203" max="8203" width="5.44140625" style="106" customWidth="1"/>
    <col min="8204" max="8204" width="4.33203125" style="106" customWidth="1"/>
    <col min="8205" max="8205" width="5.6640625" style="106" bestFit="1" customWidth="1"/>
    <col min="8206" max="8206" width="5.77734375" style="106" bestFit="1" customWidth="1"/>
    <col min="8207" max="8207" width="5.6640625" style="106" bestFit="1" customWidth="1"/>
    <col min="8208" max="8208" width="5.77734375" style="106" bestFit="1" customWidth="1"/>
    <col min="8209" max="8209" width="5.109375" style="106" bestFit="1" customWidth="1"/>
    <col min="8210" max="8210" width="3.21875" style="106" customWidth="1"/>
    <col min="8211" max="8216" width="3" style="106" customWidth="1"/>
    <col min="8217" max="8448" width="8.88671875" style="106"/>
    <col min="8449" max="8449" width="7.109375" style="106" customWidth="1"/>
    <col min="8450" max="8454" width="10.5546875" style="106" customWidth="1"/>
    <col min="8455" max="8455" width="7.88671875" style="106" customWidth="1"/>
    <col min="8456" max="8456" width="6.6640625" style="106" bestFit="1" customWidth="1"/>
    <col min="8457" max="8457" width="5.109375" style="106" customWidth="1"/>
    <col min="8458" max="8458" width="6.44140625" style="106" customWidth="1"/>
    <col min="8459" max="8459" width="5.44140625" style="106" customWidth="1"/>
    <col min="8460" max="8460" width="4.33203125" style="106" customWidth="1"/>
    <col min="8461" max="8461" width="5.6640625" style="106" bestFit="1" customWidth="1"/>
    <col min="8462" max="8462" width="5.77734375" style="106" bestFit="1" customWidth="1"/>
    <col min="8463" max="8463" width="5.6640625" style="106" bestFit="1" customWidth="1"/>
    <col min="8464" max="8464" width="5.77734375" style="106" bestFit="1" customWidth="1"/>
    <col min="8465" max="8465" width="5.109375" style="106" bestFit="1" customWidth="1"/>
    <col min="8466" max="8466" width="3.21875" style="106" customWidth="1"/>
    <col min="8467" max="8472" width="3" style="106" customWidth="1"/>
    <col min="8473" max="8704" width="8.88671875" style="106"/>
    <col min="8705" max="8705" width="7.109375" style="106" customWidth="1"/>
    <col min="8706" max="8710" width="10.5546875" style="106" customWidth="1"/>
    <col min="8711" max="8711" width="7.88671875" style="106" customWidth="1"/>
    <col min="8712" max="8712" width="6.6640625" style="106" bestFit="1" customWidth="1"/>
    <col min="8713" max="8713" width="5.109375" style="106" customWidth="1"/>
    <col min="8714" max="8714" width="6.44140625" style="106" customWidth="1"/>
    <col min="8715" max="8715" width="5.44140625" style="106" customWidth="1"/>
    <col min="8716" max="8716" width="4.33203125" style="106" customWidth="1"/>
    <col min="8717" max="8717" width="5.6640625" style="106" bestFit="1" customWidth="1"/>
    <col min="8718" max="8718" width="5.77734375" style="106" bestFit="1" customWidth="1"/>
    <col min="8719" max="8719" width="5.6640625" style="106" bestFit="1" customWidth="1"/>
    <col min="8720" max="8720" width="5.77734375" style="106" bestFit="1" customWidth="1"/>
    <col min="8721" max="8721" width="5.109375" style="106" bestFit="1" customWidth="1"/>
    <col min="8722" max="8722" width="3.21875" style="106" customWidth="1"/>
    <col min="8723" max="8728" width="3" style="106" customWidth="1"/>
    <col min="8729" max="8960" width="8.88671875" style="106"/>
    <col min="8961" max="8961" width="7.109375" style="106" customWidth="1"/>
    <col min="8962" max="8966" width="10.5546875" style="106" customWidth="1"/>
    <col min="8967" max="8967" width="7.88671875" style="106" customWidth="1"/>
    <col min="8968" max="8968" width="6.6640625" style="106" bestFit="1" customWidth="1"/>
    <col min="8969" max="8969" width="5.109375" style="106" customWidth="1"/>
    <col min="8970" max="8970" width="6.44140625" style="106" customWidth="1"/>
    <col min="8971" max="8971" width="5.44140625" style="106" customWidth="1"/>
    <col min="8972" max="8972" width="4.33203125" style="106" customWidth="1"/>
    <col min="8973" max="8973" width="5.6640625" style="106" bestFit="1" customWidth="1"/>
    <col min="8974" max="8974" width="5.77734375" style="106" bestFit="1" customWidth="1"/>
    <col min="8975" max="8975" width="5.6640625" style="106" bestFit="1" customWidth="1"/>
    <col min="8976" max="8976" width="5.77734375" style="106" bestFit="1" customWidth="1"/>
    <col min="8977" max="8977" width="5.109375" style="106" bestFit="1" customWidth="1"/>
    <col min="8978" max="8978" width="3.21875" style="106" customWidth="1"/>
    <col min="8979" max="8984" width="3" style="106" customWidth="1"/>
    <col min="8985" max="9216" width="8.88671875" style="106"/>
    <col min="9217" max="9217" width="7.109375" style="106" customWidth="1"/>
    <col min="9218" max="9222" width="10.5546875" style="106" customWidth="1"/>
    <col min="9223" max="9223" width="7.88671875" style="106" customWidth="1"/>
    <col min="9224" max="9224" width="6.6640625" style="106" bestFit="1" customWidth="1"/>
    <col min="9225" max="9225" width="5.109375" style="106" customWidth="1"/>
    <col min="9226" max="9226" width="6.44140625" style="106" customWidth="1"/>
    <col min="9227" max="9227" width="5.44140625" style="106" customWidth="1"/>
    <col min="9228" max="9228" width="4.33203125" style="106" customWidth="1"/>
    <col min="9229" max="9229" width="5.6640625" style="106" bestFit="1" customWidth="1"/>
    <col min="9230" max="9230" width="5.77734375" style="106" bestFit="1" customWidth="1"/>
    <col min="9231" max="9231" width="5.6640625" style="106" bestFit="1" customWidth="1"/>
    <col min="9232" max="9232" width="5.77734375" style="106" bestFit="1" customWidth="1"/>
    <col min="9233" max="9233" width="5.109375" style="106" bestFit="1" customWidth="1"/>
    <col min="9234" max="9234" width="3.21875" style="106" customWidth="1"/>
    <col min="9235" max="9240" width="3" style="106" customWidth="1"/>
    <col min="9241" max="9472" width="8.88671875" style="106"/>
    <col min="9473" max="9473" width="7.109375" style="106" customWidth="1"/>
    <col min="9474" max="9478" width="10.5546875" style="106" customWidth="1"/>
    <col min="9479" max="9479" width="7.88671875" style="106" customWidth="1"/>
    <col min="9480" max="9480" width="6.6640625" style="106" bestFit="1" customWidth="1"/>
    <col min="9481" max="9481" width="5.109375" style="106" customWidth="1"/>
    <col min="9482" max="9482" width="6.44140625" style="106" customWidth="1"/>
    <col min="9483" max="9483" width="5.44140625" style="106" customWidth="1"/>
    <col min="9484" max="9484" width="4.33203125" style="106" customWidth="1"/>
    <col min="9485" max="9485" width="5.6640625" style="106" bestFit="1" customWidth="1"/>
    <col min="9486" max="9486" width="5.77734375" style="106" bestFit="1" customWidth="1"/>
    <col min="9487" max="9487" width="5.6640625" style="106" bestFit="1" customWidth="1"/>
    <col min="9488" max="9488" width="5.77734375" style="106" bestFit="1" customWidth="1"/>
    <col min="9489" max="9489" width="5.109375" style="106" bestFit="1" customWidth="1"/>
    <col min="9490" max="9490" width="3.21875" style="106" customWidth="1"/>
    <col min="9491" max="9496" width="3" style="106" customWidth="1"/>
    <col min="9497" max="9728" width="8.88671875" style="106"/>
    <col min="9729" max="9729" width="7.109375" style="106" customWidth="1"/>
    <col min="9730" max="9734" width="10.5546875" style="106" customWidth="1"/>
    <col min="9735" max="9735" width="7.88671875" style="106" customWidth="1"/>
    <col min="9736" max="9736" width="6.6640625" style="106" bestFit="1" customWidth="1"/>
    <col min="9737" max="9737" width="5.109375" style="106" customWidth="1"/>
    <col min="9738" max="9738" width="6.44140625" style="106" customWidth="1"/>
    <col min="9739" max="9739" width="5.44140625" style="106" customWidth="1"/>
    <col min="9740" max="9740" width="4.33203125" style="106" customWidth="1"/>
    <col min="9741" max="9741" width="5.6640625" style="106" bestFit="1" customWidth="1"/>
    <col min="9742" max="9742" width="5.77734375" style="106" bestFit="1" customWidth="1"/>
    <col min="9743" max="9743" width="5.6640625" style="106" bestFit="1" customWidth="1"/>
    <col min="9744" max="9744" width="5.77734375" style="106" bestFit="1" customWidth="1"/>
    <col min="9745" max="9745" width="5.109375" style="106" bestFit="1" customWidth="1"/>
    <col min="9746" max="9746" width="3.21875" style="106" customWidth="1"/>
    <col min="9747" max="9752" width="3" style="106" customWidth="1"/>
    <col min="9753" max="9984" width="8.88671875" style="106"/>
    <col min="9985" max="9985" width="7.109375" style="106" customWidth="1"/>
    <col min="9986" max="9990" width="10.5546875" style="106" customWidth="1"/>
    <col min="9991" max="9991" width="7.88671875" style="106" customWidth="1"/>
    <col min="9992" max="9992" width="6.6640625" style="106" bestFit="1" customWidth="1"/>
    <col min="9993" max="9993" width="5.109375" style="106" customWidth="1"/>
    <col min="9994" max="9994" width="6.44140625" style="106" customWidth="1"/>
    <col min="9995" max="9995" width="5.44140625" style="106" customWidth="1"/>
    <col min="9996" max="9996" width="4.33203125" style="106" customWidth="1"/>
    <col min="9997" max="9997" width="5.6640625" style="106" bestFit="1" customWidth="1"/>
    <col min="9998" max="9998" width="5.77734375" style="106" bestFit="1" customWidth="1"/>
    <col min="9999" max="9999" width="5.6640625" style="106" bestFit="1" customWidth="1"/>
    <col min="10000" max="10000" width="5.77734375" style="106" bestFit="1" customWidth="1"/>
    <col min="10001" max="10001" width="5.109375" style="106" bestFit="1" customWidth="1"/>
    <col min="10002" max="10002" width="3.21875" style="106" customWidth="1"/>
    <col min="10003" max="10008" width="3" style="106" customWidth="1"/>
    <col min="10009" max="10240" width="8.88671875" style="106"/>
    <col min="10241" max="10241" width="7.109375" style="106" customWidth="1"/>
    <col min="10242" max="10246" width="10.5546875" style="106" customWidth="1"/>
    <col min="10247" max="10247" width="7.88671875" style="106" customWidth="1"/>
    <col min="10248" max="10248" width="6.6640625" style="106" bestFit="1" customWidth="1"/>
    <col min="10249" max="10249" width="5.109375" style="106" customWidth="1"/>
    <col min="10250" max="10250" width="6.44140625" style="106" customWidth="1"/>
    <col min="10251" max="10251" width="5.44140625" style="106" customWidth="1"/>
    <col min="10252" max="10252" width="4.33203125" style="106" customWidth="1"/>
    <col min="10253" max="10253" width="5.6640625" style="106" bestFit="1" customWidth="1"/>
    <col min="10254" max="10254" width="5.77734375" style="106" bestFit="1" customWidth="1"/>
    <col min="10255" max="10255" width="5.6640625" style="106" bestFit="1" customWidth="1"/>
    <col min="10256" max="10256" width="5.77734375" style="106" bestFit="1" customWidth="1"/>
    <col min="10257" max="10257" width="5.109375" style="106" bestFit="1" customWidth="1"/>
    <col min="10258" max="10258" width="3.21875" style="106" customWidth="1"/>
    <col min="10259" max="10264" width="3" style="106" customWidth="1"/>
    <col min="10265" max="10496" width="8.88671875" style="106"/>
    <col min="10497" max="10497" width="7.109375" style="106" customWidth="1"/>
    <col min="10498" max="10502" width="10.5546875" style="106" customWidth="1"/>
    <col min="10503" max="10503" width="7.88671875" style="106" customWidth="1"/>
    <col min="10504" max="10504" width="6.6640625" style="106" bestFit="1" customWidth="1"/>
    <col min="10505" max="10505" width="5.109375" style="106" customWidth="1"/>
    <col min="10506" max="10506" width="6.44140625" style="106" customWidth="1"/>
    <col min="10507" max="10507" width="5.44140625" style="106" customWidth="1"/>
    <col min="10508" max="10508" width="4.33203125" style="106" customWidth="1"/>
    <col min="10509" max="10509" width="5.6640625" style="106" bestFit="1" customWidth="1"/>
    <col min="10510" max="10510" width="5.77734375" style="106" bestFit="1" customWidth="1"/>
    <col min="10511" max="10511" width="5.6640625" style="106" bestFit="1" customWidth="1"/>
    <col min="10512" max="10512" width="5.77734375" style="106" bestFit="1" customWidth="1"/>
    <col min="10513" max="10513" width="5.109375" style="106" bestFit="1" customWidth="1"/>
    <col min="10514" max="10514" width="3.21875" style="106" customWidth="1"/>
    <col min="10515" max="10520" width="3" style="106" customWidth="1"/>
    <col min="10521" max="10752" width="8.88671875" style="106"/>
    <col min="10753" max="10753" width="7.109375" style="106" customWidth="1"/>
    <col min="10754" max="10758" width="10.5546875" style="106" customWidth="1"/>
    <col min="10759" max="10759" width="7.88671875" style="106" customWidth="1"/>
    <col min="10760" max="10760" width="6.6640625" style="106" bestFit="1" customWidth="1"/>
    <col min="10761" max="10761" width="5.109375" style="106" customWidth="1"/>
    <col min="10762" max="10762" width="6.44140625" style="106" customWidth="1"/>
    <col min="10763" max="10763" width="5.44140625" style="106" customWidth="1"/>
    <col min="10764" max="10764" width="4.33203125" style="106" customWidth="1"/>
    <col min="10765" max="10765" width="5.6640625" style="106" bestFit="1" customWidth="1"/>
    <col min="10766" max="10766" width="5.77734375" style="106" bestFit="1" customWidth="1"/>
    <col min="10767" max="10767" width="5.6640625" style="106" bestFit="1" customWidth="1"/>
    <col min="10768" max="10768" width="5.77734375" style="106" bestFit="1" customWidth="1"/>
    <col min="10769" max="10769" width="5.109375" style="106" bestFit="1" customWidth="1"/>
    <col min="10770" max="10770" width="3.21875" style="106" customWidth="1"/>
    <col min="10771" max="10776" width="3" style="106" customWidth="1"/>
    <col min="10777" max="11008" width="8.88671875" style="106"/>
    <col min="11009" max="11009" width="7.109375" style="106" customWidth="1"/>
    <col min="11010" max="11014" width="10.5546875" style="106" customWidth="1"/>
    <col min="11015" max="11015" width="7.88671875" style="106" customWidth="1"/>
    <col min="11016" max="11016" width="6.6640625" style="106" bestFit="1" customWidth="1"/>
    <col min="11017" max="11017" width="5.109375" style="106" customWidth="1"/>
    <col min="11018" max="11018" width="6.44140625" style="106" customWidth="1"/>
    <col min="11019" max="11019" width="5.44140625" style="106" customWidth="1"/>
    <col min="11020" max="11020" width="4.33203125" style="106" customWidth="1"/>
    <col min="11021" max="11021" width="5.6640625" style="106" bestFit="1" customWidth="1"/>
    <col min="11022" max="11022" width="5.77734375" style="106" bestFit="1" customWidth="1"/>
    <col min="11023" max="11023" width="5.6640625" style="106" bestFit="1" customWidth="1"/>
    <col min="11024" max="11024" width="5.77734375" style="106" bestFit="1" customWidth="1"/>
    <col min="11025" max="11025" width="5.109375" style="106" bestFit="1" customWidth="1"/>
    <col min="11026" max="11026" width="3.21875" style="106" customWidth="1"/>
    <col min="11027" max="11032" width="3" style="106" customWidth="1"/>
    <col min="11033" max="11264" width="8.88671875" style="106"/>
    <col min="11265" max="11265" width="7.109375" style="106" customWidth="1"/>
    <col min="11266" max="11270" width="10.5546875" style="106" customWidth="1"/>
    <col min="11271" max="11271" width="7.88671875" style="106" customWidth="1"/>
    <col min="11272" max="11272" width="6.6640625" style="106" bestFit="1" customWidth="1"/>
    <col min="11273" max="11273" width="5.109375" style="106" customWidth="1"/>
    <col min="11274" max="11274" width="6.44140625" style="106" customWidth="1"/>
    <col min="11275" max="11275" width="5.44140625" style="106" customWidth="1"/>
    <col min="11276" max="11276" width="4.33203125" style="106" customWidth="1"/>
    <col min="11277" max="11277" width="5.6640625" style="106" bestFit="1" customWidth="1"/>
    <col min="11278" max="11278" width="5.77734375" style="106" bestFit="1" customWidth="1"/>
    <col min="11279" max="11279" width="5.6640625" style="106" bestFit="1" customWidth="1"/>
    <col min="11280" max="11280" width="5.77734375" style="106" bestFit="1" customWidth="1"/>
    <col min="11281" max="11281" width="5.109375" style="106" bestFit="1" customWidth="1"/>
    <col min="11282" max="11282" width="3.21875" style="106" customWidth="1"/>
    <col min="11283" max="11288" width="3" style="106" customWidth="1"/>
    <col min="11289" max="11520" width="8.88671875" style="106"/>
    <col min="11521" max="11521" width="7.109375" style="106" customWidth="1"/>
    <col min="11522" max="11526" width="10.5546875" style="106" customWidth="1"/>
    <col min="11527" max="11527" width="7.88671875" style="106" customWidth="1"/>
    <col min="11528" max="11528" width="6.6640625" style="106" bestFit="1" customWidth="1"/>
    <col min="11529" max="11529" width="5.109375" style="106" customWidth="1"/>
    <col min="11530" max="11530" width="6.44140625" style="106" customWidth="1"/>
    <col min="11531" max="11531" width="5.44140625" style="106" customWidth="1"/>
    <col min="11532" max="11532" width="4.33203125" style="106" customWidth="1"/>
    <col min="11533" max="11533" width="5.6640625" style="106" bestFit="1" customWidth="1"/>
    <col min="11534" max="11534" width="5.77734375" style="106" bestFit="1" customWidth="1"/>
    <col min="11535" max="11535" width="5.6640625" style="106" bestFit="1" customWidth="1"/>
    <col min="11536" max="11536" width="5.77734375" style="106" bestFit="1" customWidth="1"/>
    <col min="11537" max="11537" width="5.109375" style="106" bestFit="1" customWidth="1"/>
    <col min="11538" max="11538" width="3.21875" style="106" customWidth="1"/>
    <col min="11539" max="11544" width="3" style="106" customWidth="1"/>
    <col min="11545" max="11776" width="8.88671875" style="106"/>
    <col min="11777" max="11777" width="7.109375" style="106" customWidth="1"/>
    <col min="11778" max="11782" width="10.5546875" style="106" customWidth="1"/>
    <col min="11783" max="11783" width="7.88671875" style="106" customWidth="1"/>
    <col min="11784" max="11784" width="6.6640625" style="106" bestFit="1" customWidth="1"/>
    <col min="11785" max="11785" width="5.109375" style="106" customWidth="1"/>
    <col min="11786" max="11786" width="6.44140625" style="106" customWidth="1"/>
    <col min="11787" max="11787" width="5.44140625" style="106" customWidth="1"/>
    <col min="11788" max="11788" width="4.33203125" style="106" customWidth="1"/>
    <col min="11789" max="11789" width="5.6640625" style="106" bestFit="1" customWidth="1"/>
    <col min="11790" max="11790" width="5.77734375" style="106" bestFit="1" customWidth="1"/>
    <col min="11791" max="11791" width="5.6640625" style="106" bestFit="1" customWidth="1"/>
    <col min="11792" max="11792" width="5.77734375" style="106" bestFit="1" customWidth="1"/>
    <col min="11793" max="11793" width="5.109375" style="106" bestFit="1" customWidth="1"/>
    <col min="11794" max="11794" width="3.21875" style="106" customWidth="1"/>
    <col min="11795" max="11800" width="3" style="106" customWidth="1"/>
    <col min="11801" max="12032" width="8.88671875" style="106"/>
    <col min="12033" max="12033" width="7.109375" style="106" customWidth="1"/>
    <col min="12034" max="12038" width="10.5546875" style="106" customWidth="1"/>
    <col min="12039" max="12039" width="7.88671875" style="106" customWidth="1"/>
    <col min="12040" max="12040" width="6.6640625" style="106" bestFit="1" customWidth="1"/>
    <col min="12041" max="12041" width="5.109375" style="106" customWidth="1"/>
    <col min="12042" max="12042" width="6.44140625" style="106" customWidth="1"/>
    <col min="12043" max="12043" width="5.44140625" style="106" customWidth="1"/>
    <col min="12044" max="12044" width="4.33203125" style="106" customWidth="1"/>
    <col min="12045" max="12045" width="5.6640625" style="106" bestFit="1" customWidth="1"/>
    <col min="12046" max="12046" width="5.77734375" style="106" bestFit="1" customWidth="1"/>
    <col min="12047" max="12047" width="5.6640625" style="106" bestFit="1" customWidth="1"/>
    <col min="12048" max="12048" width="5.77734375" style="106" bestFit="1" customWidth="1"/>
    <col min="12049" max="12049" width="5.109375" style="106" bestFit="1" customWidth="1"/>
    <col min="12050" max="12050" width="3.21875" style="106" customWidth="1"/>
    <col min="12051" max="12056" width="3" style="106" customWidth="1"/>
    <col min="12057" max="12288" width="8.88671875" style="106"/>
    <col min="12289" max="12289" width="7.109375" style="106" customWidth="1"/>
    <col min="12290" max="12294" width="10.5546875" style="106" customWidth="1"/>
    <col min="12295" max="12295" width="7.88671875" style="106" customWidth="1"/>
    <col min="12296" max="12296" width="6.6640625" style="106" bestFit="1" customWidth="1"/>
    <col min="12297" max="12297" width="5.109375" style="106" customWidth="1"/>
    <col min="12298" max="12298" width="6.44140625" style="106" customWidth="1"/>
    <col min="12299" max="12299" width="5.44140625" style="106" customWidth="1"/>
    <col min="12300" max="12300" width="4.33203125" style="106" customWidth="1"/>
    <col min="12301" max="12301" width="5.6640625" style="106" bestFit="1" customWidth="1"/>
    <col min="12302" max="12302" width="5.77734375" style="106" bestFit="1" customWidth="1"/>
    <col min="12303" max="12303" width="5.6640625" style="106" bestFit="1" customWidth="1"/>
    <col min="12304" max="12304" width="5.77734375" style="106" bestFit="1" customWidth="1"/>
    <col min="12305" max="12305" width="5.109375" style="106" bestFit="1" customWidth="1"/>
    <col min="12306" max="12306" width="3.21875" style="106" customWidth="1"/>
    <col min="12307" max="12312" width="3" style="106" customWidth="1"/>
    <col min="12313" max="12544" width="8.88671875" style="106"/>
    <col min="12545" max="12545" width="7.109375" style="106" customWidth="1"/>
    <col min="12546" max="12550" width="10.5546875" style="106" customWidth="1"/>
    <col min="12551" max="12551" width="7.88671875" style="106" customWidth="1"/>
    <col min="12552" max="12552" width="6.6640625" style="106" bestFit="1" customWidth="1"/>
    <col min="12553" max="12553" width="5.109375" style="106" customWidth="1"/>
    <col min="12554" max="12554" width="6.44140625" style="106" customWidth="1"/>
    <col min="12555" max="12555" width="5.44140625" style="106" customWidth="1"/>
    <col min="12556" max="12556" width="4.33203125" style="106" customWidth="1"/>
    <col min="12557" max="12557" width="5.6640625" style="106" bestFit="1" customWidth="1"/>
    <col min="12558" max="12558" width="5.77734375" style="106" bestFit="1" customWidth="1"/>
    <col min="12559" max="12559" width="5.6640625" style="106" bestFit="1" customWidth="1"/>
    <col min="12560" max="12560" width="5.77734375" style="106" bestFit="1" customWidth="1"/>
    <col min="12561" max="12561" width="5.109375" style="106" bestFit="1" customWidth="1"/>
    <col min="12562" max="12562" width="3.21875" style="106" customWidth="1"/>
    <col min="12563" max="12568" width="3" style="106" customWidth="1"/>
    <col min="12569" max="12800" width="8.88671875" style="106"/>
    <col min="12801" max="12801" width="7.109375" style="106" customWidth="1"/>
    <col min="12802" max="12806" width="10.5546875" style="106" customWidth="1"/>
    <col min="12807" max="12807" width="7.88671875" style="106" customWidth="1"/>
    <col min="12808" max="12808" width="6.6640625" style="106" bestFit="1" customWidth="1"/>
    <col min="12809" max="12809" width="5.109375" style="106" customWidth="1"/>
    <col min="12810" max="12810" width="6.44140625" style="106" customWidth="1"/>
    <col min="12811" max="12811" width="5.44140625" style="106" customWidth="1"/>
    <col min="12812" max="12812" width="4.33203125" style="106" customWidth="1"/>
    <col min="12813" max="12813" width="5.6640625" style="106" bestFit="1" customWidth="1"/>
    <col min="12814" max="12814" width="5.77734375" style="106" bestFit="1" customWidth="1"/>
    <col min="12815" max="12815" width="5.6640625" style="106" bestFit="1" customWidth="1"/>
    <col min="12816" max="12816" width="5.77734375" style="106" bestFit="1" customWidth="1"/>
    <col min="12817" max="12817" width="5.109375" style="106" bestFit="1" customWidth="1"/>
    <col min="12818" max="12818" width="3.21875" style="106" customWidth="1"/>
    <col min="12819" max="12824" width="3" style="106" customWidth="1"/>
    <col min="12825" max="13056" width="8.88671875" style="106"/>
    <col min="13057" max="13057" width="7.109375" style="106" customWidth="1"/>
    <col min="13058" max="13062" width="10.5546875" style="106" customWidth="1"/>
    <col min="13063" max="13063" width="7.88671875" style="106" customWidth="1"/>
    <col min="13064" max="13064" width="6.6640625" style="106" bestFit="1" customWidth="1"/>
    <col min="13065" max="13065" width="5.109375" style="106" customWidth="1"/>
    <col min="13066" max="13066" width="6.44140625" style="106" customWidth="1"/>
    <col min="13067" max="13067" width="5.44140625" style="106" customWidth="1"/>
    <col min="13068" max="13068" width="4.33203125" style="106" customWidth="1"/>
    <col min="13069" max="13069" width="5.6640625" style="106" bestFit="1" customWidth="1"/>
    <col min="13070" max="13070" width="5.77734375" style="106" bestFit="1" customWidth="1"/>
    <col min="13071" max="13071" width="5.6640625" style="106" bestFit="1" customWidth="1"/>
    <col min="13072" max="13072" width="5.77734375" style="106" bestFit="1" customWidth="1"/>
    <col min="13073" max="13073" width="5.109375" style="106" bestFit="1" customWidth="1"/>
    <col min="13074" max="13074" width="3.21875" style="106" customWidth="1"/>
    <col min="13075" max="13080" width="3" style="106" customWidth="1"/>
    <col min="13081" max="13312" width="8.88671875" style="106"/>
    <col min="13313" max="13313" width="7.109375" style="106" customWidth="1"/>
    <col min="13314" max="13318" width="10.5546875" style="106" customWidth="1"/>
    <col min="13319" max="13319" width="7.88671875" style="106" customWidth="1"/>
    <col min="13320" max="13320" width="6.6640625" style="106" bestFit="1" customWidth="1"/>
    <col min="13321" max="13321" width="5.109375" style="106" customWidth="1"/>
    <col min="13322" max="13322" width="6.44140625" style="106" customWidth="1"/>
    <col min="13323" max="13323" width="5.44140625" style="106" customWidth="1"/>
    <col min="13324" max="13324" width="4.33203125" style="106" customWidth="1"/>
    <col min="13325" max="13325" width="5.6640625" style="106" bestFit="1" customWidth="1"/>
    <col min="13326" max="13326" width="5.77734375" style="106" bestFit="1" customWidth="1"/>
    <col min="13327" max="13327" width="5.6640625" style="106" bestFit="1" customWidth="1"/>
    <col min="13328" max="13328" width="5.77734375" style="106" bestFit="1" customWidth="1"/>
    <col min="13329" max="13329" width="5.109375" style="106" bestFit="1" customWidth="1"/>
    <col min="13330" max="13330" width="3.21875" style="106" customWidth="1"/>
    <col min="13331" max="13336" width="3" style="106" customWidth="1"/>
    <col min="13337" max="13568" width="8.88671875" style="106"/>
    <col min="13569" max="13569" width="7.109375" style="106" customWidth="1"/>
    <col min="13570" max="13574" width="10.5546875" style="106" customWidth="1"/>
    <col min="13575" max="13575" width="7.88671875" style="106" customWidth="1"/>
    <col min="13576" max="13576" width="6.6640625" style="106" bestFit="1" customWidth="1"/>
    <col min="13577" max="13577" width="5.109375" style="106" customWidth="1"/>
    <col min="13578" max="13578" width="6.44140625" style="106" customWidth="1"/>
    <col min="13579" max="13579" width="5.44140625" style="106" customWidth="1"/>
    <col min="13580" max="13580" width="4.33203125" style="106" customWidth="1"/>
    <col min="13581" max="13581" width="5.6640625" style="106" bestFit="1" customWidth="1"/>
    <col min="13582" max="13582" width="5.77734375" style="106" bestFit="1" customWidth="1"/>
    <col min="13583" max="13583" width="5.6640625" style="106" bestFit="1" customWidth="1"/>
    <col min="13584" max="13584" width="5.77734375" style="106" bestFit="1" customWidth="1"/>
    <col min="13585" max="13585" width="5.109375" style="106" bestFit="1" customWidth="1"/>
    <col min="13586" max="13586" width="3.21875" style="106" customWidth="1"/>
    <col min="13587" max="13592" width="3" style="106" customWidth="1"/>
    <col min="13593" max="13824" width="8.88671875" style="106"/>
    <col min="13825" max="13825" width="7.109375" style="106" customWidth="1"/>
    <col min="13826" max="13830" width="10.5546875" style="106" customWidth="1"/>
    <col min="13831" max="13831" width="7.88671875" style="106" customWidth="1"/>
    <col min="13832" max="13832" width="6.6640625" style="106" bestFit="1" customWidth="1"/>
    <col min="13833" max="13833" width="5.109375" style="106" customWidth="1"/>
    <col min="13834" max="13834" width="6.44140625" style="106" customWidth="1"/>
    <col min="13835" max="13835" width="5.44140625" style="106" customWidth="1"/>
    <col min="13836" max="13836" width="4.33203125" style="106" customWidth="1"/>
    <col min="13837" max="13837" width="5.6640625" style="106" bestFit="1" customWidth="1"/>
    <col min="13838" max="13838" width="5.77734375" style="106" bestFit="1" customWidth="1"/>
    <col min="13839" max="13839" width="5.6640625" style="106" bestFit="1" customWidth="1"/>
    <col min="13840" max="13840" width="5.77734375" style="106" bestFit="1" customWidth="1"/>
    <col min="13841" max="13841" width="5.109375" style="106" bestFit="1" customWidth="1"/>
    <col min="13842" max="13842" width="3.21875" style="106" customWidth="1"/>
    <col min="13843" max="13848" width="3" style="106" customWidth="1"/>
    <col min="13849" max="14080" width="8.88671875" style="106"/>
    <col min="14081" max="14081" width="7.109375" style="106" customWidth="1"/>
    <col min="14082" max="14086" width="10.5546875" style="106" customWidth="1"/>
    <col min="14087" max="14087" width="7.88671875" style="106" customWidth="1"/>
    <col min="14088" max="14088" width="6.6640625" style="106" bestFit="1" customWidth="1"/>
    <col min="14089" max="14089" width="5.109375" style="106" customWidth="1"/>
    <col min="14090" max="14090" width="6.44140625" style="106" customWidth="1"/>
    <col min="14091" max="14091" width="5.44140625" style="106" customWidth="1"/>
    <col min="14092" max="14092" width="4.33203125" style="106" customWidth="1"/>
    <col min="14093" max="14093" width="5.6640625" style="106" bestFit="1" customWidth="1"/>
    <col min="14094" max="14094" width="5.77734375" style="106" bestFit="1" customWidth="1"/>
    <col min="14095" max="14095" width="5.6640625" style="106" bestFit="1" customWidth="1"/>
    <col min="14096" max="14096" width="5.77734375" style="106" bestFit="1" customWidth="1"/>
    <col min="14097" max="14097" width="5.109375" style="106" bestFit="1" customWidth="1"/>
    <col min="14098" max="14098" width="3.21875" style="106" customWidth="1"/>
    <col min="14099" max="14104" width="3" style="106" customWidth="1"/>
    <col min="14105" max="14336" width="8.88671875" style="106"/>
    <col min="14337" max="14337" width="7.109375" style="106" customWidth="1"/>
    <col min="14338" max="14342" width="10.5546875" style="106" customWidth="1"/>
    <col min="14343" max="14343" width="7.88671875" style="106" customWidth="1"/>
    <col min="14344" max="14344" width="6.6640625" style="106" bestFit="1" customWidth="1"/>
    <col min="14345" max="14345" width="5.109375" style="106" customWidth="1"/>
    <col min="14346" max="14346" width="6.44140625" style="106" customWidth="1"/>
    <col min="14347" max="14347" width="5.44140625" style="106" customWidth="1"/>
    <col min="14348" max="14348" width="4.33203125" style="106" customWidth="1"/>
    <col min="14349" max="14349" width="5.6640625" style="106" bestFit="1" customWidth="1"/>
    <col min="14350" max="14350" width="5.77734375" style="106" bestFit="1" customWidth="1"/>
    <col min="14351" max="14351" width="5.6640625" style="106" bestFit="1" customWidth="1"/>
    <col min="14352" max="14352" width="5.77734375" style="106" bestFit="1" customWidth="1"/>
    <col min="14353" max="14353" width="5.109375" style="106" bestFit="1" customWidth="1"/>
    <col min="14354" max="14354" width="3.21875" style="106" customWidth="1"/>
    <col min="14355" max="14360" width="3" style="106" customWidth="1"/>
    <col min="14361" max="14592" width="8.88671875" style="106"/>
    <col min="14593" max="14593" width="7.109375" style="106" customWidth="1"/>
    <col min="14594" max="14598" width="10.5546875" style="106" customWidth="1"/>
    <col min="14599" max="14599" width="7.88671875" style="106" customWidth="1"/>
    <col min="14600" max="14600" width="6.6640625" style="106" bestFit="1" customWidth="1"/>
    <col min="14601" max="14601" width="5.109375" style="106" customWidth="1"/>
    <col min="14602" max="14602" width="6.44140625" style="106" customWidth="1"/>
    <col min="14603" max="14603" width="5.44140625" style="106" customWidth="1"/>
    <col min="14604" max="14604" width="4.33203125" style="106" customWidth="1"/>
    <col min="14605" max="14605" width="5.6640625" style="106" bestFit="1" customWidth="1"/>
    <col min="14606" max="14606" width="5.77734375" style="106" bestFit="1" customWidth="1"/>
    <col min="14607" max="14607" width="5.6640625" style="106" bestFit="1" customWidth="1"/>
    <col min="14608" max="14608" width="5.77734375" style="106" bestFit="1" customWidth="1"/>
    <col min="14609" max="14609" width="5.109375" style="106" bestFit="1" customWidth="1"/>
    <col min="14610" max="14610" width="3.21875" style="106" customWidth="1"/>
    <col min="14611" max="14616" width="3" style="106" customWidth="1"/>
    <col min="14617" max="14848" width="8.88671875" style="106"/>
    <col min="14849" max="14849" width="7.109375" style="106" customWidth="1"/>
    <col min="14850" max="14854" width="10.5546875" style="106" customWidth="1"/>
    <col min="14855" max="14855" width="7.88671875" style="106" customWidth="1"/>
    <col min="14856" max="14856" width="6.6640625" style="106" bestFit="1" customWidth="1"/>
    <col min="14857" max="14857" width="5.109375" style="106" customWidth="1"/>
    <col min="14858" max="14858" width="6.44140625" style="106" customWidth="1"/>
    <col min="14859" max="14859" width="5.44140625" style="106" customWidth="1"/>
    <col min="14860" max="14860" width="4.33203125" style="106" customWidth="1"/>
    <col min="14861" max="14861" width="5.6640625" style="106" bestFit="1" customWidth="1"/>
    <col min="14862" max="14862" width="5.77734375" style="106" bestFit="1" customWidth="1"/>
    <col min="14863" max="14863" width="5.6640625" style="106" bestFit="1" customWidth="1"/>
    <col min="14864" max="14864" width="5.77734375" style="106" bestFit="1" customWidth="1"/>
    <col min="14865" max="14865" width="5.109375" style="106" bestFit="1" customWidth="1"/>
    <col min="14866" max="14866" width="3.21875" style="106" customWidth="1"/>
    <col min="14867" max="14872" width="3" style="106" customWidth="1"/>
    <col min="14873" max="15104" width="8.88671875" style="106"/>
    <col min="15105" max="15105" width="7.109375" style="106" customWidth="1"/>
    <col min="15106" max="15110" width="10.5546875" style="106" customWidth="1"/>
    <col min="15111" max="15111" width="7.88671875" style="106" customWidth="1"/>
    <col min="15112" max="15112" width="6.6640625" style="106" bestFit="1" customWidth="1"/>
    <col min="15113" max="15113" width="5.109375" style="106" customWidth="1"/>
    <col min="15114" max="15114" width="6.44140625" style="106" customWidth="1"/>
    <col min="15115" max="15115" width="5.44140625" style="106" customWidth="1"/>
    <col min="15116" max="15116" width="4.33203125" style="106" customWidth="1"/>
    <col min="15117" max="15117" width="5.6640625" style="106" bestFit="1" customWidth="1"/>
    <col min="15118" max="15118" width="5.77734375" style="106" bestFit="1" customWidth="1"/>
    <col min="15119" max="15119" width="5.6640625" style="106" bestFit="1" customWidth="1"/>
    <col min="15120" max="15120" width="5.77734375" style="106" bestFit="1" customWidth="1"/>
    <col min="15121" max="15121" width="5.109375" style="106" bestFit="1" customWidth="1"/>
    <col min="15122" max="15122" width="3.21875" style="106" customWidth="1"/>
    <col min="15123" max="15128" width="3" style="106" customWidth="1"/>
    <col min="15129" max="15360" width="8.88671875" style="106"/>
    <col min="15361" max="15361" width="7.109375" style="106" customWidth="1"/>
    <col min="15362" max="15366" width="10.5546875" style="106" customWidth="1"/>
    <col min="15367" max="15367" width="7.88671875" style="106" customWidth="1"/>
    <col min="15368" max="15368" width="6.6640625" style="106" bestFit="1" customWidth="1"/>
    <col min="15369" max="15369" width="5.109375" style="106" customWidth="1"/>
    <col min="15370" max="15370" width="6.44140625" style="106" customWidth="1"/>
    <col min="15371" max="15371" width="5.44140625" style="106" customWidth="1"/>
    <col min="15372" max="15372" width="4.33203125" style="106" customWidth="1"/>
    <col min="15373" max="15373" width="5.6640625" style="106" bestFit="1" customWidth="1"/>
    <col min="15374" max="15374" width="5.77734375" style="106" bestFit="1" customWidth="1"/>
    <col min="15375" max="15375" width="5.6640625" style="106" bestFit="1" customWidth="1"/>
    <col min="15376" max="15376" width="5.77734375" style="106" bestFit="1" customWidth="1"/>
    <col min="15377" max="15377" width="5.109375" style="106" bestFit="1" customWidth="1"/>
    <col min="15378" max="15378" width="3.21875" style="106" customWidth="1"/>
    <col min="15379" max="15384" width="3" style="106" customWidth="1"/>
    <col min="15385" max="15616" width="8.88671875" style="106"/>
    <col min="15617" max="15617" width="7.109375" style="106" customWidth="1"/>
    <col min="15618" max="15622" width="10.5546875" style="106" customWidth="1"/>
    <col min="15623" max="15623" width="7.88671875" style="106" customWidth="1"/>
    <col min="15624" max="15624" width="6.6640625" style="106" bestFit="1" customWidth="1"/>
    <col min="15625" max="15625" width="5.109375" style="106" customWidth="1"/>
    <col min="15626" max="15626" width="6.44140625" style="106" customWidth="1"/>
    <col min="15627" max="15627" width="5.44140625" style="106" customWidth="1"/>
    <col min="15628" max="15628" width="4.33203125" style="106" customWidth="1"/>
    <col min="15629" max="15629" width="5.6640625" style="106" bestFit="1" customWidth="1"/>
    <col min="15630" max="15630" width="5.77734375" style="106" bestFit="1" customWidth="1"/>
    <col min="15631" max="15631" width="5.6640625" style="106" bestFit="1" customWidth="1"/>
    <col min="15632" max="15632" width="5.77734375" style="106" bestFit="1" customWidth="1"/>
    <col min="15633" max="15633" width="5.109375" style="106" bestFit="1" customWidth="1"/>
    <col min="15634" max="15634" width="3.21875" style="106" customWidth="1"/>
    <col min="15635" max="15640" width="3" style="106" customWidth="1"/>
    <col min="15641" max="15872" width="8.88671875" style="106"/>
    <col min="15873" max="15873" width="7.109375" style="106" customWidth="1"/>
    <col min="15874" max="15878" width="10.5546875" style="106" customWidth="1"/>
    <col min="15879" max="15879" width="7.88671875" style="106" customWidth="1"/>
    <col min="15880" max="15880" width="6.6640625" style="106" bestFit="1" customWidth="1"/>
    <col min="15881" max="15881" width="5.109375" style="106" customWidth="1"/>
    <col min="15882" max="15882" width="6.44140625" style="106" customWidth="1"/>
    <col min="15883" max="15883" width="5.44140625" style="106" customWidth="1"/>
    <col min="15884" max="15884" width="4.33203125" style="106" customWidth="1"/>
    <col min="15885" max="15885" width="5.6640625" style="106" bestFit="1" customWidth="1"/>
    <col min="15886" max="15886" width="5.77734375" style="106" bestFit="1" customWidth="1"/>
    <col min="15887" max="15887" width="5.6640625" style="106" bestFit="1" customWidth="1"/>
    <col min="15888" max="15888" width="5.77734375" style="106" bestFit="1" customWidth="1"/>
    <col min="15889" max="15889" width="5.109375" style="106" bestFit="1" customWidth="1"/>
    <col min="15890" max="15890" width="3.21875" style="106" customWidth="1"/>
    <col min="15891" max="15896" width="3" style="106" customWidth="1"/>
    <col min="15897" max="16128" width="8.88671875" style="106"/>
    <col min="16129" max="16129" width="7.109375" style="106" customWidth="1"/>
    <col min="16130" max="16134" width="10.5546875" style="106" customWidth="1"/>
    <col min="16135" max="16135" width="7.88671875" style="106" customWidth="1"/>
    <col min="16136" max="16136" width="6.6640625" style="106" bestFit="1" customWidth="1"/>
    <col min="16137" max="16137" width="5.109375" style="106" customWidth="1"/>
    <col min="16138" max="16138" width="6.44140625" style="106" customWidth="1"/>
    <col min="16139" max="16139" width="5.44140625" style="106" customWidth="1"/>
    <col min="16140" max="16140" width="4.33203125" style="106" customWidth="1"/>
    <col min="16141" max="16141" width="5.6640625" style="106" bestFit="1" customWidth="1"/>
    <col min="16142" max="16142" width="5.77734375" style="106" bestFit="1" customWidth="1"/>
    <col min="16143" max="16143" width="5.6640625" style="106" bestFit="1" customWidth="1"/>
    <col min="16144" max="16144" width="5.77734375" style="106" bestFit="1" customWidth="1"/>
    <col min="16145" max="16145" width="5.109375" style="106" bestFit="1" customWidth="1"/>
    <col min="16146" max="16146" width="3.21875" style="106" customWidth="1"/>
    <col min="16147" max="16152" width="3" style="106" customWidth="1"/>
    <col min="16153" max="16384" width="8.88671875" style="106"/>
  </cols>
  <sheetData>
    <row r="1" spans="1:18" s="21" customFormat="1" ht="16.5" customHeight="1">
      <c r="A1" s="341"/>
      <c r="B1" s="341"/>
      <c r="C1" s="341"/>
      <c r="D1" s="341"/>
      <c r="E1" s="341"/>
      <c r="F1" s="341"/>
      <c r="G1" s="341"/>
    </row>
    <row r="2" spans="1:18" s="21" customFormat="1" ht="9.9499999999999993" customHeight="1">
      <c r="A2" s="27"/>
      <c r="B2" s="22"/>
      <c r="C2" s="22"/>
      <c r="D2" s="22"/>
      <c r="E2" s="22"/>
      <c r="F2" s="22"/>
      <c r="G2" s="23"/>
    </row>
    <row r="3" spans="1:18" ht="15" customHeight="1">
      <c r="A3" s="316" t="s">
        <v>96</v>
      </c>
      <c r="B3" s="316"/>
      <c r="C3" s="316"/>
      <c r="D3" s="316"/>
      <c r="E3" s="316"/>
      <c r="F3" s="316"/>
      <c r="G3"/>
      <c r="H3"/>
      <c r="I3"/>
      <c r="J3"/>
      <c r="K3"/>
      <c r="L3"/>
      <c r="M3"/>
      <c r="N3"/>
      <c r="O3"/>
      <c r="P3"/>
      <c r="Q3"/>
      <c r="R3"/>
    </row>
    <row r="4" spans="1:18" ht="15" customHeight="1">
      <c r="A4" s="130" t="s">
        <v>4</v>
      </c>
      <c r="B4" s="19"/>
      <c r="C4" s="19"/>
      <c r="D4" s="19"/>
      <c r="E4" s="19"/>
      <c r="F4" s="133" t="s">
        <v>97</v>
      </c>
    </row>
    <row r="5" spans="1:18" ht="15" customHeight="1">
      <c r="A5" s="481" t="s">
        <v>0</v>
      </c>
      <c r="B5" s="540" t="s">
        <v>98</v>
      </c>
      <c r="C5" s="540" t="s">
        <v>99</v>
      </c>
      <c r="D5" s="540" t="s">
        <v>100</v>
      </c>
      <c r="E5" s="540" t="s">
        <v>101</v>
      </c>
      <c r="F5" s="508" t="s">
        <v>102</v>
      </c>
    </row>
    <row r="6" spans="1:18" s="3" customFormat="1" ht="15" customHeight="1">
      <c r="A6" s="539"/>
      <c r="B6" s="541"/>
      <c r="C6" s="541"/>
      <c r="D6" s="541"/>
      <c r="E6" s="541"/>
      <c r="F6" s="507"/>
      <c r="G6" s="241"/>
      <c r="H6" s="241"/>
      <c r="I6" s="241"/>
      <c r="J6" s="241"/>
      <c r="K6" s="241"/>
    </row>
    <row r="7" spans="1:18" s="191" customFormat="1" ht="13.5" customHeight="1">
      <c r="A7" s="323">
        <v>2009</v>
      </c>
      <c r="B7" s="242">
        <v>94067</v>
      </c>
      <c r="C7" s="242">
        <v>79750</v>
      </c>
      <c r="D7" s="242">
        <v>3139</v>
      </c>
      <c r="E7" s="2">
        <v>10782</v>
      </c>
      <c r="F7" s="243">
        <v>396</v>
      </c>
      <c r="G7" s="84"/>
      <c r="H7" s="195"/>
      <c r="I7" s="244"/>
      <c r="J7" s="244"/>
      <c r="K7" s="244"/>
      <c r="L7" s="192"/>
      <c r="M7" s="192"/>
      <c r="N7" s="192"/>
      <c r="O7" s="192"/>
      <c r="P7" s="192"/>
      <c r="Q7" s="211"/>
      <c r="R7" s="211"/>
    </row>
    <row r="8" spans="1:18" s="191" customFormat="1" ht="13.5" customHeight="1">
      <c r="A8" s="323">
        <v>2010</v>
      </c>
      <c r="B8" s="242">
        <v>101628</v>
      </c>
      <c r="C8" s="242">
        <v>85160</v>
      </c>
      <c r="D8" s="242">
        <v>3720</v>
      </c>
      <c r="E8" s="2">
        <v>12253</v>
      </c>
      <c r="F8" s="243">
        <v>495</v>
      </c>
      <c r="G8" s="84"/>
      <c r="H8" s="195"/>
      <c r="I8" s="244"/>
      <c r="J8" s="244"/>
      <c r="K8" s="244"/>
      <c r="L8" s="192"/>
      <c r="M8" s="192"/>
      <c r="N8" s="192"/>
      <c r="O8" s="192"/>
      <c r="P8" s="192"/>
      <c r="Q8" s="211"/>
      <c r="R8" s="211"/>
    </row>
    <row r="9" spans="1:18" s="191" customFormat="1" ht="13.5" customHeight="1">
      <c r="A9" s="323">
        <v>2011</v>
      </c>
      <c r="B9" s="242">
        <v>99443</v>
      </c>
      <c r="C9" s="242">
        <v>81488</v>
      </c>
      <c r="D9" s="242">
        <v>3913</v>
      </c>
      <c r="E9" s="2">
        <v>13395</v>
      </c>
      <c r="F9" s="243">
        <v>647</v>
      </c>
      <c r="G9" s="84"/>
      <c r="H9" s="195"/>
      <c r="I9" s="244"/>
      <c r="J9" s="244"/>
      <c r="K9" s="244"/>
      <c r="L9" s="192"/>
      <c r="M9" s="192"/>
      <c r="N9" s="192"/>
      <c r="O9" s="192"/>
      <c r="P9" s="192"/>
      <c r="Q9" s="211"/>
      <c r="R9" s="211"/>
    </row>
    <row r="10" spans="1:18" s="191" customFormat="1" ht="13.5" customHeight="1">
      <c r="A10" s="323">
        <v>2012</v>
      </c>
      <c r="B10" s="242">
        <v>95813</v>
      </c>
      <c r="C10" s="242">
        <v>79568</v>
      </c>
      <c r="D10" s="242">
        <v>3579</v>
      </c>
      <c r="E10" s="2">
        <v>12060</v>
      </c>
      <c r="F10" s="243">
        <v>606</v>
      </c>
      <c r="G10" s="84"/>
      <c r="H10" s="195"/>
      <c r="I10" s="244"/>
      <c r="J10" s="244"/>
      <c r="K10" s="244"/>
      <c r="L10" s="192"/>
      <c r="M10" s="192"/>
      <c r="N10" s="192"/>
      <c r="O10" s="192"/>
      <c r="P10" s="192"/>
      <c r="Q10" s="211"/>
      <c r="R10" s="211"/>
    </row>
    <row r="11" spans="1:18" s="191" customFormat="1" ht="13.5" customHeight="1">
      <c r="A11" s="323">
        <v>2013</v>
      </c>
      <c r="B11" s="242">
        <v>94950</v>
      </c>
      <c r="C11" s="242">
        <v>78166</v>
      </c>
      <c r="D11" s="242">
        <v>3713</v>
      </c>
      <c r="E11" s="2">
        <v>12541</v>
      </c>
      <c r="F11" s="243">
        <v>530</v>
      </c>
      <c r="G11" s="84"/>
      <c r="H11" s="195"/>
      <c r="I11" s="244"/>
      <c r="J11" s="244"/>
      <c r="K11" s="244"/>
      <c r="L11" s="192"/>
      <c r="M11" s="192"/>
      <c r="N11" s="192"/>
      <c r="O11" s="192"/>
      <c r="P11" s="192"/>
      <c r="Q11" s="211"/>
      <c r="R11" s="211"/>
    </row>
    <row r="12" spans="1:18" s="191" customFormat="1" ht="13.5" customHeight="1">
      <c r="A12" s="323">
        <v>2014</v>
      </c>
      <c r="B12" s="242">
        <v>105551</v>
      </c>
      <c r="C12" s="242">
        <v>88705</v>
      </c>
      <c r="D12" s="242">
        <v>2892</v>
      </c>
      <c r="E12" s="2">
        <v>13377</v>
      </c>
      <c r="F12" s="243">
        <v>577</v>
      </c>
      <c r="G12" s="84"/>
      <c r="H12" s="195"/>
      <c r="I12" s="244"/>
      <c r="J12" s="244"/>
      <c r="K12" s="244"/>
      <c r="L12" s="192"/>
      <c r="M12" s="192"/>
      <c r="N12" s="192"/>
      <c r="O12" s="192"/>
      <c r="P12" s="192"/>
      <c r="Q12" s="211"/>
      <c r="R12" s="211"/>
    </row>
    <row r="13" spans="1:18" s="191" customFormat="1" ht="13.5" customHeight="1">
      <c r="A13" s="323">
        <v>2015</v>
      </c>
      <c r="B13" s="242">
        <v>117105</v>
      </c>
      <c r="C13" s="242">
        <v>99633</v>
      </c>
      <c r="D13" s="242">
        <v>2850</v>
      </c>
      <c r="E13" s="2">
        <v>13920</v>
      </c>
      <c r="F13" s="243">
        <v>702</v>
      </c>
      <c r="G13" s="84"/>
      <c r="H13" s="195"/>
      <c r="I13" s="244"/>
      <c r="J13" s="244"/>
      <c r="K13" s="244"/>
      <c r="L13" s="192"/>
      <c r="M13" s="192"/>
      <c r="N13" s="192"/>
      <c r="O13" s="192"/>
      <c r="P13" s="192"/>
      <c r="Q13" s="211"/>
      <c r="R13" s="211"/>
    </row>
    <row r="14" spans="1:18" s="191" customFormat="1" ht="13.5" customHeight="1">
      <c r="A14" s="323">
        <v>2016</v>
      </c>
      <c r="B14" s="242">
        <v>113226</v>
      </c>
      <c r="C14" s="242">
        <v>97405</v>
      </c>
      <c r="D14" s="242">
        <v>2179</v>
      </c>
      <c r="E14" s="242">
        <v>12777</v>
      </c>
      <c r="F14" s="243">
        <v>865</v>
      </c>
      <c r="G14" s="84"/>
      <c r="H14" s="195"/>
      <c r="I14" s="244"/>
      <c r="J14" s="244"/>
      <c r="K14" s="244"/>
      <c r="L14" s="192"/>
      <c r="M14" s="192"/>
      <c r="N14" s="192"/>
      <c r="O14" s="192"/>
      <c r="P14" s="192"/>
      <c r="Q14" s="211"/>
      <c r="R14" s="211"/>
    </row>
    <row r="15" spans="1:18" s="191" customFormat="1" ht="13.5" customHeight="1">
      <c r="A15" s="323">
        <v>2017</v>
      </c>
      <c r="B15" s="242">
        <v>124280</v>
      </c>
      <c r="C15" s="242">
        <v>108082</v>
      </c>
      <c r="D15" s="242">
        <v>2313</v>
      </c>
      <c r="E15" s="242">
        <v>13125</v>
      </c>
      <c r="F15" s="243">
        <v>760</v>
      </c>
      <c r="G15" s="84"/>
      <c r="H15" s="195"/>
      <c r="I15" s="244"/>
      <c r="J15" s="244"/>
      <c r="K15" s="244"/>
      <c r="L15" s="192"/>
      <c r="M15" s="192"/>
      <c r="N15" s="192"/>
      <c r="O15" s="192"/>
      <c r="P15" s="192"/>
      <c r="Q15" s="211"/>
      <c r="R15" s="211"/>
    </row>
    <row r="16" spans="1:18" s="191" customFormat="1" ht="13.5" customHeight="1">
      <c r="A16" s="323">
        <v>2018</v>
      </c>
      <c r="B16" s="242">
        <v>119851</v>
      </c>
      <c r="C16" s="242">
        <v>104746</v>
      </c>
      <c r="D16" s="242">
        <v>2292</v>
      </c>
      <c r="E16" s="242">
        <v>12191</v>
      </c>
      <c r="F16" s="243">
        <v>622</v>
      </c>
      <c r="G16" s="84"/>
      <c r="H16" s="195"/>
      <c r="I16" s="244"/>
      <c r="J16" s="244"/>
      <c r="K16" s="244"/>
      <c r="L16" s="192"/>
      <c r="M16" s="192"/>
      <c r="N16" s="192"/>
      <c r="O16" s="192"/>
      <c r="P16" s="192"/>
      <c r="Q16" s="211"/>
      <c r="R16" s="211"/>
    </row>
    <row r="17" spans="1:24" s="191" customFormat="1" ht="13.5" customHeight="1">
      <c r="A17" s="323">
        <v>2019</v>
      </c>
      <c r="B17" s="242">
        <v>112270</v>
      </c>
      <c r="C17" s="242">
        <v>97852</v>
      </c>
      <c r="D17" s="242">
        <v>2312</v>
      </c>
      <c r="E17" s="242">
        <v>11416</v>
      </c>
      <c r="F17" s="243">
        <v>690</v>
      </c>
      <c r="G17" s="84"/>
      <c r="H17" s="195"/>
      <c r="I17" s="244"/>
      <c r="J17" s="244"/>
      <c r="K17" s="244"/>
      <c r="L17" s="192"/>
      <c r="M17" s="192"/>
      <c r="N17" s="192"/>
      <c r="O17" s="192"/>
      <c r="P17" s="192"/>
      <c r="Q17" s="211"/>
      <c r="R17" s="211"/>
    </row>
    <row r="18" spans="1:24" s="191" customFormat="1" ht="13.5" customHeight="1">
      <c r="A18" s="323">
        <v>2020</v>
      </c>
      <c r="B18" s="242">
        <v>116728</v>
      </c>
      <c r="C18" s="242">
        <v>102698</v>
      </c>
      <c r="D18" s="242">
        <v>1792</v>
      </c>
      <c r="E18" s="242">
        <v>11416</v>
      </c>
      <c r="F18" s="243">
        <v>822</v>
      </c>
      <c r="G18" s="84"/>
      <c r="H18" s="195"/>
      <c r="I18" s="244"/>
      <c r="J18" s="244"/>
      <c r="K18" s="244"/>
      <c r="L18" s="192"/>
      <c r="M18" s="192"/>
      <c r="N18" s="192"/>
      <c r="O18" s="192"/>
      <c r="P18" s="192"/>
      <c r="Q18" s="211"/>
      <c r="R18" s="211"/>
    </row>
    <row r="19" spans="1:24" s="191" customFormat="1" ht="13.5" customHeight="1">
      <c r="A19" s="323">
        <v>2021</v>
      </c>
      <c r="B19" s="242">
        <v>121650</v>
      </c>
      <c r="C19" s="242">
        <v>108866</v>
      </c>
      <c r="D19" s="242">
        <v>1203</v>
      </c>
      <c r="E19" s="242">
        <v>10582</v>
      </c>
      <c r="F19" s="243">
        <v>999</v>
      </c>
      <c r="G19" s="84"/>
      <c r="H19" s="195"/>
      <c r="I19" s="244"/>
      <c r="J19" s="244"/>
      <c r="K19" s="244"/>
      <c r="L19" s="192"/>
      <c r="M19" s="192"/>
      <c r="N19" s="192"/>
      <c r="O19" s="192"/>
      <c r="P19" s="192"/>
      <c r="Q19" s="211"/>
      <c r="R19" s="211"/>
    </row>
    <row r="20" spans="1:24" s="41" customFormat="1" ht="13.5" customHeight="1">
      <c r="A20" s="323">
        <v>2022</v>
      </c>
      <c r="B20" s="242">
        <v>122764</v>
      </c>
      <c r="C20" s="242">
        <v>109951</v>
      </c>
      <c r="D20" s="242">
        <v>1301</v>
      </c>
      <c r="E20" s="242">
        <v>10536</v>
      </c>
      <c r="F20" s="243">
        <v>976</v>
      </c>
      <c r="G20" s="84"/>
      <c r="H20" s="195"/>
      <c r="I20" s="244"/>
      <c r="J20" s="244"/>
      <c r="K20" s="244"/>
      <c r="L20" s="192"/>
      <c r="M20" s="192"/>
      <c r="N20" s="192"/>
      <c r="O20" s="192"/>
      <c r="P20" s="192"/>
      <c r="Q20" s="141"/>
      <c r="R20" s="141"/>
      <c r="S20" s="141"/>
      <c r="T20" s="141"/>
      <c r="U20" s="141"/>
      <c r="V20" s="141"/>
      <c r="W20" s="141"/>
      <c r="X20" s="141"/>
    </row>
    <row r="21" spans="1:24" s="41" customFormat="1" ht="13.5" customHeight="1">
      <c r="A21" s="323">
        <v>2023</v>
      </c>
      <c r="B21" s="242">
        <v>122154</v>
      </c>
      <c r="C21" s="242">
        <v>109038</v>
      </c>
      <c r="D21" s="242">
        <v>1387</v>
      </c>
      <c r="E21" s="242">
        <v>11028</v>
      </c>
      <c r="F21" s="243">
        <v>701</v>
      </c>
      <c r="G21" s="84"/>
      <c r="H21" s="195"/>
      <c r="I21" s="244"/>
      <c r="J21" s="244"/>
      <c r="K21" s="244"/>
      <c r="L21" s="192"/>
      <c r="M21" s="192"/>
      <c r="N21" s="192"/>
      <c r="O21" s="192"/>
      <c r="P21" s="192"/>
      <c r="Q21" s="141"/>
      <c r="R21" s="141"/>
      <c r="S21" s="141"/>
      <c r="T21" s="141"/>
      <c r="U21" s="141"/>
      <c r="V21" s="141"/>
      <c r="W21" s="141"/>
      <c r="X21" s="141"/>
    </row>
    <row r="22" spans="1:24" s="397" customFormat="1" ht="13.5" customHeight="1">
      <c r="A22" s="323">
        <v>2024</v>
      </c>
      <c r="B22" s="242">
        <v>127679</v>
      </c>
      <c r="C22" s="242">
        <v>117394</v>
      </c>
      <c r="D22" s="242">
        <v>1390</v>
      </c>
      <c r="E22" s="242">
        <v>8272</v>
      </c>
      <c r="F22" s="243">
        <v>623</v>
      </c>
      <c r="G22" s="401"/>
      <c r="H22" s="195"/>
      <c r="I22" s="244"/>
      <c r="J22" s="244"/>
      <c r="K22" s="244"/>
      <c r="L22" s="192"/>
      <c r="M22" s="192"/>
      <c r="N22" s="192"/>
      <c r="O22" s="192"/>
      <c r="P22" s="192"/>
      <c r="Q22" s="141"/>
      <c r="R22" s="141"/>
      <c r="S22" s="141"/>
      <c r="T22" s="141"/>
      <c r="U22" s="141"/>
      <c r="V22" s="141"/>
      <c r="W22" s="141"/>
      <c r="X22" s="141"/>
    </row>
    <row r="23" spans="1:24" s="397" customFormat="1" ht="13.5" customHeight="1">
      <c r="A23" s="323">
        <v>2025</v>
      </c>
      <c r="B23" s="242">
        <v>127348</v>
      </c>
      <c r="C23" s="242">
        <v>117334</v>
      </c>
      <c r="D23" s="242">
        <v>1391</v>
      </c>
      <c r="E23" s="242">
        <v>8067</v>
      </c>
      <c r="F23" s="243">
        <v>556</v>
      </c>
      <c r="G23" s="401"/>
      <c r="H23" s="195"/>
      <c r="I23" s="244"/>
      <c r="J23" s="244"/>
      <c r="K23" s="244"/>
      <c r="L23" s="192"/>
      <c r="M23" s="192"/>
      <c r="N23" s="192"/>
      <c r="O23" s="192"/>
      <c r="P23" s="192"/>
      <c r="Q23" s="141"/>
      <c r="R23" s="141"/>
      <c r="S23" s="141"/>
      <c r="T23" s="141"/>
      <c r="U23" s="141"/>
      <c r="V23" s="141"/>
      <c r="W23" s="141"/>
      <c r="X23" s="141"/>
    </row>
    <row r="24" spans="1:24" s="41" customFormat="1" ht="13.5" customHeight="1">
      <c r="A24" s="322"/>
      <c r="B24" s="242"/>
      <c r="C24" s="242"/>
      <c r="D24" s="242"/>
      <c r="E24" s="242"/>
      <c r="F24" s="243"/>
      <c r="G24" s="84"/>
      <c r="H24" s="195"/>
      <c r="I24" s="244"/>
      <c r="J24" s="244"/>
      <c r="K24" s="244"/>
      <c r="L24" s="192"/>
      <c r="M24" s="192"/>
      <c r="N24" s="192"/>
      <c r="O24" s="192"/>
      <c r="P24" s="192"/>
      <c r="Q24" s="141"/>
      <c r="R24" s="141"/>
      <c r="S24" s="141"/>
      <c r="T24" s="141"/>
      <c r="U24" s="141"/>
      <c r="V24" s="141"/>
      <c r="W24" s="141"/>
      <c r="X24" s="141"/>
    </row>
    <row r="25" spans="1:24" s="41" customFormat="1" ht="13.5" customHeight="1">
      <c r="A25" s="321"/>
      <c r="B25" s="242"/>
      <c r="C25" s="242"/>
      <c r="D25" s="242"/>
      <c r="E25" s="242"/>
      <c r="F25" s="243"/>
      <c r="G25" s="84"/>
      <c r="H25" s="195"/>
      <c r="I25" s="244"/>
      <c r="J25" s="244"/>
      <c r="K25" s="244"/>
      <c r="L25" s="192"/>
      <c r="M25" s="192"/>
      <c r="N25" s="192"/>
      <c r="O25" s="192"/>
      <c r="P25" s="192"/>
      <c r="Q25" s="141"/>
      <c r="R25" s="141"/>
      <c r="S25" s="141"/>
      <c r="T25" s="141"/>
      <c r="U25" s="141"/>
      <c r="V25" s="141"/>
      <c r="W25" s="141"/>
      <c r="X25" s="141"/>
    </row>
    <row r="26" spans="1:24" s="41" customFormat="1" ht="13.5" customHeight="1">
      <c r="A26" s="337">
        <v>44562</v>
      </c>
      <c r="B26" s="360">
        <v>9716</v>
      </c>
      <c r="C26" s="360">
        <v>8623</v>
      </c>
      <c r="D26" s="360">
        <v>80</v>
      </c>
      <c r="E26" s="360">
        <v>931</v>
      </c>
      <c r="F26" s="361">
        <v>82</v>
      </c>
      <c r="G26" s="84"/>
      <c r="H26" s="195"/>
      <c r="I26" s="160"/>
      <c r="J26" s="160"/>
      <c r="K26" s="159"/>
      <c r="L26" s="192"/>
      <c r="M26" s="192"/>
      <c r="N26" s="192"/>
      <c r="O26" s="192"/>
      <c r="P26" s="192"/>
      <c r="Q26" s="192"/>
      <c r="R26" s="192"/>
      <c r="S26" s="141"/>
      <c r="T26" s="141"/>
      <c r="U26" s="141"/>
      <c r="V26" s="141"/>
      <c r="W26" s="141"/>
      <c r="X26" s="141"/>
    </row>
    <row r="27" spans="1:24" s="41" customFormat="1" ht="13.5" customHeight="1">
      <c r="A27" s="337">
        <v>44593</v>
      </c>
      <c r="B27" s="360">
        <v>9712</v>
      </c>
      <c r="C27" s="360">
        <v>8500</v>
      </c>
      <c r="D27" s="360">
        <v>82</v>
      </c>
      <c r="E27" s="360">
        <v>1059</v>
      </c>
      <c r="F27" s="361">
        <v>71</v>
      </c>
      <c r="G27" s="84"/>
      <c r="H27" s="195"/>
      <c r="I27" s="160"/>
      <c r="J27" s="160"/>
      <c r="K27" s="159"/>
      <c r="L27" s="192"/>
      <c r="M27" s="192"/>
      <c r="N27" s="192"/>
      <c r="O27" s="192"/>
      <c r="P27" s="192"/>
      <c r="Q27" s="192"/>
      <c r="R27" s="192"/>
      <c r="S27" s="141"/>
      <c r="T27" s="141"/>
      <c r="U27" s="141"/>
      <c r="V27" s="141"/>
      <c r="W27" s="141"/>
      <c r="X27" s="141"/>
    </row>
    <row r="28" spans="1:24" s="41" customFormat="1" ht="13.5" customHeight="1">
      <c r="A28" s="337">
        <v>44621</v>
      </c>
      <c r="B28" s="360">
        <v>11595</v>
      </c>
      <c r="C28" s="360">
        <v>10457</v>
      </c>
      <c r="D28" s="360">
        <v>89</v>
      </c>
      <c r="E28" s="360">
        <v>957</v>
      </c>
      <c r="F28" s="361">
        <v>92</v>
      </c>
      <c r="G28" s="84" t="s">
        <v>126</v>
      </c>
      <c r="H28" s="195"/>
      <c r="I28" s="160"/>
      <c r="J28" s="160"/>
      <c r="K28" s="159"/>
      <c r="L28" s="192"/>
      <c r="M28" s="192"/>
      <c r="N28" s="192"/>
      <c r="O28" s="192"/>
      <c r="P28" s="192"/>
      <c r="Q28" s="192"/>
      <c r="R28" s="192"/>
      <c r="S28" s="141"/>
      <c r="T28" s="141"/>
      <c r="U28" s="141"/>
      <c r="V28" s="141"/>
      <c r="W28" s="141"/>
      <c r="X28" s="141"/>
    </row>
    <row r="29" spans="1:24" s="41" customFormat="1" ht="13.5" customHeight="1">
      <c r="A29" s="337">
        <v>44652</v>
      </c>
      <c r="B29" s="360">
        <v>10204</v>
      </c>
      <c r="C29" s="360">
        <v>9234</v>
      </c>
      <c r="D29" s="360">
        <v>113</v>
      </c>
      <c r="E29" s="360">
        <v>779</v>
      </c>
      <c r="F29" s="361">
        <v>78</v>
      </c>
      <c r="G29" s="84"/>
      <c r="H29" s="195"/>
      <c r="I29" s="160"/>
      <c r="J29" s="160"/>
      <c r="K29" s="159"/>
      <c r="L29" s="192"/>
      <c r="M29" s="192"/>
      <c r="N29" s="192"/>
      <c r="O29" s="192"/>
      <c r="P29" s="192"/>
      <c r="Q29" s="192"/>
      <c r="R29" s="192"/>
      <c r="S29" s="141"/>
      <c r="T29" s="141"/>
      <c r="U29" s="141"/>
      <c r="V29" s="141"/>
      <c r="W29" s="141"/>
      <c r="X29" s="141"/>
    </row>
    <row r="30" spans="1:24" s="41" customFormat="1" ht="13.5" customHeight="1">
      <c r="A30" s="337">
        <v>44682</v>
      </c>
      <c r="B30" s="360">
        <v>9992</v>
      </c>
      <c r="C30" s="360">
        <v>8979</v>
      </c>
      <c r="D30" s="360">
        <v>79</v>
      </c>
      <c r="E30" s="360">
        <v>858</v>
      </c>
      <c r="F30" s="361">
        <v>76</v>
      </c>
      <c r="G30" s="84"/>
      <c r="H30" s="195"/>
      <c r="I30" s="160"/>
      <c r="J30" s="160"/>
      <c r="K30" s="159"/>
      <c r="L30" s="192"/>
      <c r="M30" s="192"/>
      <c r="N30" s="192"/>
      <c r="O30" s="192"/>
      <c r="P30" s="192"/>
      <c r="Q30" s="192"/>
      <c r="R30" s="192"/>
      <c r="S30" s="141"/>
      <c r="T30" s="141"/>
      <c r="U30" s="141"/>
      <c r="V30" s="141"/>
      <c r="W30" s="141"/>
      <c r="X30" s="141"/>
    </row>
    <row r="31" spans="1:24" s="41" customFormat="1" ht="13.5" customHeight="1">
      <c r="A31" s="337">
        <v>44713</v>
      </c>
      <c r="B31" s="360">
        <v>10085</v>
      </c>
      <c r="C31" s="360">
        <v>9177</v>
      </c>
      <c r="D31" s="360">
        <v>102</v>
      </c>
      <c r="E31" s="360">
        <v>741</v>
      </c>
      <c r="F31" s="361">
        <v>65</v>
      </c>
      <c r="G31" s="84"/>
      <c r="H31" s="195"/>
      <c r="I31" s="160"/>
      <c r="J31" s="160"/>
      <c r="K31" s="159"/>
      <c r="L31" s="192"/>
      <c r="M31" s="192"/>
      <c r="N31" s="192"/>
      <c r="O31" s="192"/>
      <c r="P31" s="192"/>
      <c r="Q31" s="192"/>
      <c r="R31" s="192"/>
      <c r="S31" s="141"/>
      <c r="T31" s="141"/>
      <c r="U31" s="141"/>
      <c r="V31" s="141"/>
      <c r="W31" s="141"/>
      <c r="X31" s="141"/>
    </row>
    <row r="32" spans="1:24" s="41" customFormat="1" ht="13.5" customHeight="1">
      <c r="A32" s="337">
        <v>44743</v>
      </c>
      <c r="B32" s="360">
        <v>10026</v>
      </c>
      <c r="C32" s="360">
        <v>8942</v>
      </c>
      <c r="D32" s="360">
        <v>126</v>
      </c>
      <c r="E32" s="360">
        <v>871</v>
      </c>
      <c r="F32" s="361">
        <v>87</v>
      </c>
      <c r="G32" s="84"/>
      <c r="H32" s="195"/>
      <c r="I32" s="160"/>
      <c r="J32" s="160"/>
      <c r="K32" s="159"/>
      <c r="L32" s="192"/>
      <c r="M32" s="192"/>
      <c r="N32" s="192"/>
      <c r="O32" s="192"/>
      <c r="P32" s="192"/>
      <c r="Q32" s="192"/>
      <c r="R32" s="192"/>
      <c r="S32" s="141"/>
      <c r="T32" s="141"/>
      <c r="U32" s="141"/>
      <c r="V32" s="141"/>
      <c r="W32" s="141"/>
      <c r="X32" s="141"/>
    </row>
    <row r="33" spans="1:24" s="41" customFormat="1" ht="13.5" customHeight="1">
      <c r="A33" s="337">
        <v>44774</v>
      </c>
      <c r="B33" s="360">
        <v>9376</v>
      </c>
      <c r="C33" s="360">
        <v>8279</v>
      </c>
      <c r="D33" s="360">
        <v>134</v>
      </c>
      <c r="E33" s="360">
        <v>872</v>
      </c>
      <c r="F33" s="361">
        <v>91</v>
      </c>
      <c r="G33" s="84"/>
      <c r="H33" s="195"/>
      <c r="I33" s="160"/>
      <c r="J33" s="160"/>
      <c r="K33" s="159"/>
      <c r="L33" s="192"/>
      <c r="M33" s="192"/>
      <c r="N33" s="192"/>
      <c r="O33" s="192"/>
      <c r="P33" s="192"/>
      <c r="Q33" s="192"/>
      <c r="R33" s="192"/>
      <c r="S33" s="141"/>
      <c r="T33" s="141"/>
      <c r="U33" s="141"/>
      <c r="V33" s="141"/>
      <c r="W33" s="141"/>
      <c r="X33" s="141"/>
    </row>
    <row r="34" spans="1:24" s="41" customFormat="1" ht="13.5" customHeight="1">
      <c r="A34" s="337">
        <v>44805</v>
      </c>
      <c r="B34" s="360">
        <v>10162</v>
      </c>
      <c r="C34" s="360">
        <v>8899</v>
      </c>
      <c r="D34" s="360">
        <v>83</v>
      </c>
      <c r="E34" s="360">
        <v>1093</v>
      </c>
      <c r="F34" s="361">
        <v>87</v>
      </c>
      <c r="G34" s="84"/>
      <c r="H34" s="195"/>
      <c r="I34" s="160"/>
      <c r="J34" s="160"/>
      <c r="K34" s="159"/>
      <c r="L34" s="192"/>
      <c r="M34" s="192"/>
      <c r="N34" s="192"/>
      <c r="O34" s="192"/>
      <c r="P34" s="192"/>
      <c r="Q34" s="192"/>
      <c r="R34" s="192"/>
      <c r="S34" s="141"/>
      <c r="T34" s="141"/>
      <c r="U34" s="141"/>
      <c r="V34" s="141"/>
      <c r="W34" s="141"/>
      <c r="X34" s="141"/>
    </row>
    <row r="35" spans="1:24" s="41" customFormat="1" ht="13.5" customHeight="1">
      <c r="A35" s="337">
        <v>44835</v>
      </c>
      <c r="B35" s="360">
        <v>10373</v>
      </c>
      <c r="C35" s="360">
        <v>9281</v>
      </c>
      <c r="D35" s="360">
        <v>91</v>
      </c>
      <c r="E35" s="360">
        <v>908</v>
      </c>
      <c r="F35" s="361">
        <v>93</v>
      </c>
      <c r="G35" s="84"/>
      <c r="H35" s="195"/>
      <c r="I35" s="160"/>
      <c r="J35" s="160"/>
      <c r="K35" s="159"/>
      <c r="L35" s="192"/>
      <c r="M35" s="192"/>
      <c r="N35" s="192"/>
      <c r="O35" s="192"/>
      <c r="P35" s="192"/>
      <c r="Q35" s="192"/>
      <c r="R35" s="192"/>
      <c r="S35" s="141"/>
      <c r="T35" s="141"/>
      <c r="U35" s="141"/>
      <c r="V35" s="141"/>
      <c r="W35" s="141"/>
      <c r="X35" s="141"/>
    </row>
    <row r="36" spans="1:24" s="41" customFormat="1" ht="13.5" customHeight="1">
      <c r="A36" s="337">
        <v>44866</v>
      </c>
      <c r="B36" s="360">
        <v>11316</v>
      </c>
      <c r="C36" s="360">
        <v>10286</v>
      </c>
      <c r="D36" s="360">
        <v>137</v>
      </c>
      <c r="E36" s="360">
        <v>804</v>
      </c>
      <c r="F36" s="361">
        <v>89</v>
      </c>
      <c r="G36" s="84"/>
      <c r="H36" s="195"/>
      <c r="I36" s="160"/>
      <c r="J36" s="160"/>
      <c r="K36" s="159"/>
      <c r="L36" s="192"/>
      <c r="M36" s="192"/>
      <c r="N36" s="192"/>
      <c r="O36" s="192"/>
      <c r="P36" s="192"/>
      <c r="Q36" s="192"/>
      <c r="R36" s="192"/>
      <c r="S36" s="141"/>
      <c r="T36" s="141"/>
      <c r="U36" s="141"/>
      <c r="V36" s="141"/>
      <c r="W36" s="141"/>
      <c r="X36" s="141"/>
    </row>
    <row r="37" spans="1:24" s="41" customFormat="1" ht="13.5" customHeight="1">
      <c r="A37" s="337">
        <v>44896</v>
      </c>
      <c r="B37" s="360">
        <v>10207</v>
      </c>
      <c r="C37" s="360">
        <v>9294</v>
      </c>
      <c r="D37" s="360">
        <v>185</v>
      </c>
      <c r="E37" s="360">
        <v>663</v>
      </c>
      <c r="F37" s="361">
        <v>65</v>
      </c>
      <c r="G37" s="84"/>
      <c r="H37" s="195"/>
      <c r="I37" s="160"/>
      <c r="J37" s="160"/>
      <c r="K37" s="159"/>
      <c r="L37" s="192"/>
      <c r="M37" s="192"/>
      <c r="N37" s="192"/>
      <c r="O37" s="192"/>
      <c r="P37" s="192"/>
      <c r="Q37" s="192"/>
      <c r="R37" s="192"/>
      <c r="S37" s="141"/>
      <c r="T37" s="141"/>
      <c r="U37" s="141"/>
      <c r="V37" s="141"/>
      <c r="W37" s="141"/>
      <c r="X37" s="141"/>
    </row>
    <row r="38" spans="1:24" s="41" customFormat="1" ht="13.5" customHeight="1">
      <c r="A38" s="337">
        <v>44927</v>
      </c>
      <c r="B38" s="360">
        <v>9650</v>
      </c>
      <c r="C38" s="360">
        <v>8620</v>
      </c>
      <c r="D38" s="360">
        <v>135</v>
      </c>
      <c r="E38" s="360">
        <v>849</v>
      </c>
      <c r="F38" s="361">
        <v>46</v>
      </c>
      <c r="G38" s="84"/>
      <c r="H38" s="195"/>
      <c r="I38" s="160"/>
      <c r="J38" s="160"/>
      <c r="K38" s="159"/>
      <c r="L38" s="192"/>
      <c r="M38" s="192"/>
      <c r="N38" s="192"/>
      <c r="O38" s="192"/>
      <c r="P38" s="192"/>
      <c r="Q38" s="192"/>
      <c r="R38" s="192"/>
      <c r="S38" s="141"/>
      <c r="T38" s="141"/>
      <c r="U38" s="141"/>
      <c r="V38" s="141"/>
      <c r="W38" s="141"/>
      <c r="X38" s="141"/>
    </row>
    <row r="39" spans="1:24" s="41" customFormat="1" ht="13.5" customHeight="1">
      <c r="A39" s="337">
        <v>44958</v>
      </c>
      <c r="B39" s="360">
        <v>9399</v>
      </c>
      <c r="C39" s="360">
        <v>8127</v>
      </c>
      <c r="D39" s="360">
        <v>124</v>
      </c>
      <c r="E39" s="360">
        <v>1112</v>
      </c>
      <c r="F39" s="361">
        <v>36</v>
      </c>
      <c r="G39" s="84"/>
      <c r="H39" s="195"/>
      <c r="I39" s="160"/>
      <c r="J39" s="160"/>
      <c r="K39" s="159"/>
      <c r="L39" s="192"/>
      <c r="M39" s="192"/>
      <c r="N39" s="192"/>
      <c r="O39" s="192"/>
      <c r="P39" s="192"/>
      <c r="Q39" s="192"/>
      <c r="R39" s="192"/>
      <c r="S39" s="141"/>
      <c r="T39" s="141"/>
      <c r="U39" s="141"/>
      <c r="V39" s="141"/>
      <c r="W39" s="141"/>
      <c r="X39" s="141"/>
    </row>
    <row r="40" spans="1:24" s="41" customFormat="1" ht="13.5" customHeight="1">
      <c r="A40" s="337">
        <v>44986</v>
      </c>
      <c r="B40" s="360">
        <v>11692</v>
      </c>
      <c r="C40" s="360">
        <v>10174</v>
      </c>
      <c r="D40" s="360">
        <v>131</v>
      </c>
      <c r="E40" s="360">
        <v>1277</v>
      </c>
      <c r="F40" s="361">
        <v>110</v>
      </c>
      <c r="G40" s="84"/>
      <c r="H40" s="195"/>
      <c r="I40" s="160"/>
      <c r="J40" s="160"/>
      <c r="K40" s="159"/>
      <c r="L40" s="192"/>
      <c r="M40" s="192"/>
      <c r="N40" s="192"/>
      <c r="O40" s="192"/>
      <c r="P40" s="192"/>
      <c r="Q40" s="192"/>
      <c r="R40" s="192"/>
      <c r="S40" s="141"/>
      <c r="T40" s="141"/>
      <c r="U40" s="141"/>
      <c r="V40" s="141"/>
      <c r="W40" s="141"/>
      <c r="X40" s="141"/>
    </row>
    <row r="41" spans="1:24" s="41" customFormat="1" ht="13.5" customHeight="1">
      <c r="A41" s="337">
        <v>45017</v>
      </c>
      <c r="B41" s="360">
        <v>10223</v>
      </c>
      <c r="C41" s="360">
        <v>9122</v>
      </c>
      <c r="D41" s="360">
        <v>125</v>
      </c>
      <c r="E41" s="360">
        <v>906</v>
      </c>
      <c r="F41" s="361">
        <v>70</v>
      </c>
      <c r="G41" s="84"/>
      <c r="H41" s="195"/>
      <c r="I41" s="160"/>
      <c r="J41" s="160"/>
      <c r="K41" s="159"/>
      <c r="L41" s="192"/>
      <c r="M41" s="192"/>
      <c r="N41" s="192"/>
      <c r="O41" s="192"/>
      <c r="P41" s="192"/>
      <c r="Q41" s="192"/>
      <c r="R41" s="192"/>
      <c r="S41" s="141"/>
      <c r="T41" s="141"/>
      <c r="U41" s="141"/>
      <c r="V41" s="141"/>
      <c r="W41" s="141"/>
      <c r="X41" s="141"/>
    </row>
    <row r="42" spans="1:24" s="41" customFormat="1" ht="13.5" customHeight="1">
      <c r="A42" s="345">
        <v>45047</v>
      </c>
      <c r="B42" s="360">
        <v>10494</v>
      </c>
      <c r="C42" s="360">
        <v>9220</v>
      </c>
      <c r="D42" s="360">
        <v>138</v>
      </c>
      <c r="E42" s="360">
        <v>1079</v>
      </c>
      <c r="F42" s="361">
        <v>57</v>
      </c>
      <c r="G42" s="84"/>
      <c r="H42" s="195"/>
      <c r="I42" s="160"/>
      <c r="J42" s="160"/>
      <c r="K42" s="159"/>
      <c r="L42" s="192"/>
      <c r="M42" s="192"/>
      <c r="N42" s="192"/>
      <c r="O42" s="192"/>
      <c r="P42" s="192"/>
      <c r="Q42" s="192"/>
      <c r="R42" s="192"/>
      <c r="S42" s="141"/>
      <c r="T42" s="141"/>
      <c r="U42" s="141"/>
      <c r="V42" s="141"/>
      <c r="W42" s="141"/>
      <c r="X42" s="141"/>
    </row>
    <row r="43" spans="1:24" s="41" customFormat="1" ht="13.5" customHeight="1">
      <c r="A43" s="345">
        <f t="shared" ref="A43:A61" si="0">EDATE(A42,1)</f>
        <v>45078</v>
      </c>
      <c r="B43" s="360">
        <v>11193</v>
      </c>
      <c r="C43" s="360">
        <v>9978</v>
      </c>
      <c r="D43" s="360">
        <v>103</v>
      </c>
      <c r="E43" s="360">
        <v>1025</v>
      </c>
      <c r="F43" s="361">
        <v>87</v>
      </c>
      <c r="G43" s="84"/>
      <c r="H43" s="195"/>
      <c r="I43" s="160"/>
      <c r="J43" s="160"/>
      <c r="K43" s="159"/>
      <c r="L43" s="192"/>
      <c r="M43" s="192"/>
      <c r="N43" s="192"/>
      <c r="O43" s="192"/>
      <c r="P43" s="192"/>
      <c r="Q43" s="192"/>
      <c r="R43" s="192"/>
      <c r="S43" s="141"/>
      <c r="T43" s="141"/>
      <c r="U43" s="141"/>
      <c r="V43" s="141"/>
      <c r="W43" s="141"/>
      <c r="X43" s="141"/>
    </row>
    <row r="44" spans="1:24" s="41" customFormat="1" ht="13.5" customHeight="1">
      <c r="A44" s="345">
        <f t="shared" si="0"/>
        <v>45108</v>
      </c>
      <c r="B44" s="360">
        <v>9674</v>
      </c>
      <c r="C44" s="360">
        <v>8692</v>
      </c>
      <c r="D44" s="360">
        <v>97</v>
      </c>
      <c r="E44" s="360">
        <v>834</v>
      </c>
      <c r="F44" s="361">
        <v>51</v>
      </c>
      <c r="G44" s="84"/>
      <c r="H44" s="195"/>
      <c r="I44" s="160"/>
      <c r="J44" s="160"/>
      <c r="K44" s="159"/>
      <c r="L44" s="192"/>
      <c r="M44" s="192"/>
      <c r="N44" s="192"/>
      <c r="O44" s="192"/>
      <c r="P44" s="192"/>
      <c r="Q44" s="192"/>
      <c r="R44" s="192"/>
      <c r="S44" s="141"/>
      <c r="T44" s="141"/>
      <c r="U44" s="141"/>
      <c r="V44" s="141"/>
      <c r="W44" s="141"/>
      <c r="X44" s="141"/>
    </row>
    <row r="45" spans="1:24" s="41" customFormat="1" ht="13.5" customHeight="1">
      <c r="A45" s="345">
        <f t="shared" si="0"/>
        <v>45139</v>
      </c>
      <c r="B45" s="360">
        <v>9628</v>
      </c>
      <c r="C45" s="360">
        <v>8535</v>
      </c>
      <c r="D45" s="360">
        <v>106</v>
      </c>
      <c r="E45" s="360">
        <v>932</v>
      </c>
      <c r="F45" s="361">
        <v>55</v>
      </c>
      <c r="G45" s="84"/>
      <c r="H45" s="195"/>
      <c r="I45" s="160"/>
      <c r="J45" s="160"/>
      <c r="K45" s="159"/>
      <c r="L45" s="192"/>
      <c r="M45" s="192"/>
      <c r="N45" s="192"/>
      <c r="O45" s="192"/>
      <c r="P45" s="192"/>
      <c r="Q45" s="192"/>
      <c r="R45" s="192"/>
      <c r="S45" s="141"/>
      <c r="T45" s="141"/>
      <c r="U45" s="141"/>
      <c r="V45" s="141"/>
      <c r="W45" s="141"/>
      <c r="X45" s="141"/>
    </row>
    <row r="46" spans="1:24" s="41" customFormat="1" ht="13.5" customHeight="1">
      <c r="A46" s="345">
        <f t="shared" si="0"/>
        <v>45170</v>
      </c>
      <c r="B46" s="360">
        <v>9795</v>
      </c>
      <c r="C46" s="360">
        <v>8906</v>
      </c>
      <c r="D46" s="360">
        <v>94</v>
      </c>
      <c r="E46" s="360">
        <v>735</v>
      </c>
      <c r="F46" s="361">
        <v>60</v>
      </c>
      <c r="G46" s="84"/>
      <c r="H46" s="195"/>
      <c r="I46" s="160"/>
      <c r="J46" s="160"/>
      <c r="K46" s="159"/>
      <c r="L46" s="192"/>
      <c r="M46" s="192"/>
      <c r="N46" s="192"/>
      <c r="O46" s="192"/>
      <c r="P46" s="192"/>
      <c r="Q46" s="192"/>
      <c r="R46" s="192"/>
      <c r="S46" s="141"/>
      <c r="T46" s="141"/>
      <c r="U46" s="141"/>
      <c r="V46" s="141"/>
      <c r="W46" s="141"/>
      <c r="X46" s="141"/>
    </row>
    <row r="47" spans="1:24" s="41" customFormat="1" ht="13.5" customHeight="1">
      <c r="A47" s="345">
        <f t="shared" si="0"/>
        <v>45200</v>
      </c>
      <c r="B47" s="360">
        <v>9421</v>
      </c>
      <c r="C47" s="360">
        <v>8552</v>
      </c>
      <c r="D47" s="360">
        <v>99</v>
      </c>
      <c r="E47" s="360">
        <v>722</v>
      </c>
      <c r="F47" s="361">
        <v>48</v>
      </c>
      <c r="G47" s="84"/>
      <c r="H47" s="195"/>
      <c r="I47" s="160"/>
      <c r="J47" s="160"/>
      <c r="K47" s="159"/>
      <c r="L47" s="192"/>
      <c r="M47" s="192"/>
      <c r="N47" s="192"/>
      <c r="O47" s="192"/>
      <c r="P47" s="192"/>
      <c r="Q47" s="192"/>
      <c r="R47" s="192"/>
      <c r="S47" s="141"/>
      <c r="T47" s="141"/>
      <c r="U47" s="141"/>
      <c r="V47" s="141"/>
      <c r="W47" s="141"/>
      <c r="X47" s="141"/>
    </row>
    <row r="48" spans="1:24" s="41" customFormat="1" ht="13.5" customHeight="1">
      <c r="A48" s="345">
        <f t="shared" si="0"/>
        <v>45231</v>
      </c>
      <c r="B48" s="360">
        <v>11071</v>
      </c>
      <c r="C48" s="360">
        <v>10006</v>
      </c>
      <c r="D48" s="360">
        <v>105</v>
      </c>
      <c r="E48" s="360">
        <v>915</v>
      </c>
      <c r="F48" s="361">
        <v>45</v>
      </c>
      <c r="G48" s="84"/>
      <c r="H48" s="195"/>
      <c r="I48" s="160"/>
      <c r="J48" s="160"/>
      <c r="K48" s="159"/>
      <c r="L48" s="192"/>
      <c r="M48" s="192"/>
      <c r="N48" s="192"/>
      <c r="O48" s="192"/>
      <c r="P48" s="192"/>
      <c r="Q48" s="192"/>
      <c r="R48" s="192"/>
      <c r="S48" s="141"/>
      <c r="T48" s="141"/>
      <c r="U48" s="141"/>
      <c r="V48" s="141"/>
      <c r="W48" s="141"/>
      <c r="X48" s="141"/>
    </row>
    <row r="49" spans="1:24" s="41" customFormat="1" ht="13.5" customHeight="1">
      <c r="A49" s="345">
        <f t="shared" si="0"/>
        <v>45261</v>
      </c>
      <c r="B49" s="360">
        <v>9914</v>
      </c>
      <c r="C49" s="360">
        <v>9106</v>
      </c>
      <c r="D49" s="360">
        <v>130</v>
      </c>
      <c r="E49" s="360">
        <v>642</v>
      </c>
      <c r="F49" s="361">
        <v>36</v>
      </c>
      <c r="G49" s="84"/>
      <c r="H49" s="195"/>
      <c r="I49" s="160"/>
      <c r="J49" s="160"/>
      <c r="K49" s="159"/>
      <c r="L49" s="192"/>
      <c r="M49" s="192"/>
      <c r="N49" s="192"/>
      <c r="O49" s="192"/>
      <c r="P49" s="192"/>
      <c r="Q49" s="192"/>
      <c r="R49" s="192"/>
      <c r="S49" s="141"/>
      <c r="T49" s="141"/>
      <c r="U49" s="141"/>
      <c r="V49" s="141"/>
      <c r="W49" s="141"/>
      <c r="X49" s="141"/>
    </row>
    <row r="50" spans="1:24" s="41" customFormat="1" ht="13.5" customHeight="1">
      <c r="A50" s="345">
        <f t="shared" si="0"/>
        <v>45292</v>
      </c>
      <c r="B50" s="360">
        <v>9539</v>
      </c>
      <c r="C50" s="360">
        <v>8592</v>
      </c>
      <c r="D50" s="360">
        <v>97</v>
      </c>
      <c r="E50" s="360">
        <v>800</v>
      </c>
      <c r="F50" s="361">
        <v>50</v>
      </c>
      <c r="G50" s="84"/>
      <c r="H50" s="195"/>
      <c r="I50" s="160"/>
      <c r="J50" s="160"/>
      <c r="K50" s="159"/>
      <c r="L50" s="192"/>
      <c r="M50" s="192"/>
      <c r="N50" s="192"/>
      <c r="O50" s="192"/>
      <c r="P50" s="192"/>
      <c r="Q50" s="192"/>
      <c r="R50" s="192"/>
      <c r="S50" s="141"/>
      <c r="T50" s="141"/>
      <c r="U50" s="141"/>
      <c r="V50" s="141"/>
      <c r="W50" s="141"/>
      <c r="X50" s="141"/>
    </row>
    <row r="51" spans="1:24" s="397" customFormat="1" ht="13.5" customHeight="1">
      <c r="A51" s="345">
        <f t="shared" si="0"/>
        <v>45323</v>
      </c>
      <c r="B51" s="360">
        <v>8208</v>
      </c>
      <c r="C51" s="360">
        <v>7476</v>
      </c>
      <c r="D51" s="360">
        <v>71</v>
      </c>
      <c r="E51" s="360">
        <v>608</v>
      </c>
      <c r="F51" s="361">
        <v>53</v>
      </c>
      <c r="G51" s="401"/>
      <c r="H51" s="195"/>
      <c r="I51" s="160"/>
      <c r="J51" s="160"/>
      <c r="K51" s="159"/>
      <c r="L51" s="192"/>
      <c r="M51" s="192"/>
      <c r="N51" s="192"/>
      <c r="O51" s="192"/>
      <c r="P51" s="192"/>
      <c r="Q51" s="192"/>
      <c r="R51" s="192"/>
      <c r="S51" s="141"/>
      <c r="T51" s="141"/>
      <c r="U51" s="141"/>
      <c r="V51" s="141"/>
      <c r="W51" s="141"/>
      <c r="X51" s="141"/>
    </row>
    <row r="52" spans="1:24" s="397" customFormat="1" ht="13.5" customHeight="1">
      <c r="A52" s="345">
        <f t="shared" si="0"/>
        <v>45352</v>
      </c>
      <c r="B52" s="360">
        <v>10363</v>
      </c>
      <c r="C52" s="360">
        <v>9380</v>
      </c>
      <c r="D52" s="360">
        <v>93</v>
      </c>
      <c r="E52" s="360">
        <v>826</v>
      </c>
      <c r="F52" s="361">
        <v>64</v>
      </c>
      <c r="G52" s="401"/>
      <c r="H52" s="195"/>
      <c r="I52" s="160"/>
      <c r="J52" s="160"/>
      <c r="K52" s="159"/>
      <c r="L52" s="192"/>
      <c r="M52" s="192"/>
      <c r="N52" s="192"/>
      <c r="O52" s="192"/>
      <c r="P52" s="192"/>
      <c r="Q52" s="192"/>
      <c r="R52" s="192"/>
      <c r="S52" s="141"/>
      <c r="T52" s="141"/>
      <c r="U52" s="141"/>
      <c r="V52" s="141"/>
      <c r="W52" s="141"/>
      <c r="X52" s="141"/>
    </row>
    <row r="53" spans="1:24" s="397" customFormat="1" ht="13.5" customHeight="1">
      <c r="A53" s="345">
        <f t="shared" si="0"/>
        <v>45383</v>
      </c>
      <c r="B53" s="360">
        <v>10938</v>
      </c>
      <c r="C53" s="360">
        <v>10028</v>
      </c>
      <c r="D53" s="360">
        <v>94</v>
      </c>
      <c r="E53" s="360">
        <v>764</v>
      </c>
      <c r="F53" s="361">
        <v>52</v>
      </c>
      <c r="G53" s="401"/>
      <c r="H53" s="195"/>
      <c r="I53" s="160"/>
      <c r="J53" s="160"/>
      <c r="K53" s="159"/>
      <c r="L53" s="192"/>
      <c r="M53" s="192"/>
      <c r="N53" s="192"/>
      <c r="O53" s="192"/>
      <c r="P53" s="192"/>
      <c r="Q53" s="192"/>
      <c r="R53" s="192"/>
      <c r="S53" s="141"/>
      <c r="T53" s="141"/>
      <c r="U53" s="141"/>
      <c r="V53" s="141"/>
      <c r="W53" s="141"/>
      <c r="X53" s="141"/>
    </row>
    <row r="54" spans="1:24" s="397" customFormat="1" ht="13.5" customHeight="1">
      <c r="A54" s="345">
        <f t="shared" si="0"/>
        <v>45413</v>
      </c>
      <c r="B54" s="360">
        <v>11372</v>
      </c>
      <c r="C54" s="360">
        <v>10440</v>
      </c>
      <c r="D54" s="360">
        <v>105</v>
      </c>
      <c r="E54" s="360">
        <v>757</v>
      </c>
      <c r="F54" s="361">
        <v>70</v>
      </c>
      <c r="G54" s="401"/>
      <c r="H54" s="195"/>
      <c r="I54" s="160"/>
      <c r="J54" s="160"/>
      <c r="K54" s="159"/>
      <c r="L54" s="192"/>
      <c r="M54" s="192"/>
      <c r="N54" s="192"/>
      <c r="O54" s="192"/>
      <c r="P54" s="192"/>
      <c r="Q54" s="192"/>
      <c r="R54" s="192"/>
      <c r="S54" s="141"/>
      <c r="T54" s="141"/>
      <c r="U54" s="141"/>
      <c r="V54" s="141"/>
      <c r="W54" s="141"/>
      <c r="X54" s="141"/>
    </row>
    <row r="55" spans="1:24" s="397" customFormat="1" ht="13.5" customHeight="1">
      <c r="A55" s="345">
        <f t="shared" si="0"/>
        <v>45444</v>
      </c>
      <c r="B55" s="360">
        <v>10575</v>
      </c>
      <c r="C55" s="360">
        <v>9720</v>
      </c>
      <c r="D55" s="360">
        <v>129</v>
      </c>
      <c r="E55" s="360">
        <v>673</v>
      </c>
      <c r="F55" s="361">
        <v>53</v>
      </c>
      <c r="G55" s="401"/>
      <c r="H55" s="195"/>
      <c r="I55" s="160"/>
      <c r="J55" s="160"/>
      <c r="K55" s="159"/>
      <c r="L55" s="192"/>
      <c r="M55" s="192"/>
      <c r="N55" s="192"/>
      <c r="O55" s="192"/>
      <c r="P55" s="192"/>
      <c r="Q55" s="192"/>
      <c r="R55" s="192"/>
      <c r="S55" s="141"/>
      <c r="T55" s="141"/>
      <c r="U55" s="141"/>
      <c r="V55" s="141"/>
      <c r="W55" s="141"/>
      <c r="X55" s="141"/>
    </row>
    <row r="56" spans="1:24" s="397" customFormat="1" ht="12" customHeight="1">
      <c r="A56" s="345">
        <f t="shared" si="0"/>
        <v>45474</v>
      </c>
      <c r="B56" s="360">
        <v>11177</v>
      </c>
      <c r="C56" s="360">
        <v>10195</v>
      </c>
      <c r="D56" s="360">
        <v>122</v>
      </c>
      <c r="E56" s="360">
        <v>802</v>
      </c>
      <c r="F56" s="361">
        <v>58</v>
      </c>
      <c r="G56" s="401"/>
      <c r="H56" s="195"/>
      <c r="I56" s="160"/>
      <c r="J56" s="160"/>
      <c r="K56" s="159"/>
      <c r="L56" s="192"/>
      <c r="M56" s="192"/>
      <c r="N56" s="192"/>
      <c r="O56" s="192"/>
      <c r="P56" s="192"/>
      <c r="Q56" s="192"/>
      <c r="R56" s="192"/>
      <c r="S56" s="141"/>
      <c r="T56" s="141"/>
      <c r="U56" s="141"/>
      <c r="V56" s="141"/>
      <c r="W56" s="141"/>
      <c r="X56" s="141"/>
    </row>
    <row r="57" spans="1:24" s="397" customFormat="1" ht="12" customHeight="1">
      <c r="A57" s="345">
        <f t="shared" si="0"/>
        <v>45505</v>
      </c>
      <c r="B57" s="360">
        <v>9995</v>
      </c>
      <c r="C57" s="360">
        <v>9347</v>
      </c>
      <c r="D57" s="360">
        <v>99</v>
      </c>
      <c r="E57" s="360">
        <v>508</v>
      </c>
      <c r="F57" s="361">
        <v>41</v>
      </c>
      <c r="G57" s="401"/>
      <c r="H57" s="195"/>
      <c r="I57" s="160"/>
      <c r="J57" s="160"/>
      <c r="K57" s="159"/>
      <c r="L57" s="192"/>
      <c r="M57" s="192"/>
      <c r="N57" s="192"/>
      <c r="O57" s="192"/>
      <c r="P57" s="192"/>
      <c r="Q57" s="192"/>
      <c r="R57" s="192"/>
      <c r="S57" s="141"/>
      <c r="T57" s="141"/>
      <c r="U57" s="141"/>
      <c r="V57" s="141"/>
      <c r="W57" s="141"/>
      <c r="X57" s="141"/>
    </row>
    <row r="58" spans="1:24" s="397" customFormat="1" ht="12" customHeight="1">
      <c r="A58" s="345">
        <f t="shared" si="0"/>
        <v>45536</v>
      </c>
      <c r="B58" s="360">
        <v>10995</v>
      </c>
      <c r="C58" s="360">
        <v>10304</v>
      </c>
      <c r="D58" s="360">
        <v>78</v>
      </c>
      <c r="E58" s="360">
        <v>578</v>
      </c>
      <c r="F58" s="361">
        <v>35</v>
      </c>
      <c r="G58" s="401"/>
      <c r="H58" s="195"/>
      <c r="I58" s="160"/>
      <c r="J58" s="160"/>
      <c r="K58" s="159"/>
      <c r="L58" s="192"/>
      <c r="M58" s="192"/>
      <c r="N58" s="192"/>
      <c r="O58" s="192"/>
      <c r="P58" s="192"/>
      <c r="Q58" s="192"/>
      <c r="R58" s="192"/>
      <c r="S58" s="141"/>
      <c r="T58" s="141"/>
      <c r="U58" s="141"/>
      <c r="V58" s="141"/>
      <c r="W58" s="141"/>
      <c r="X58" s="141"/>
    </row>
    <row r="59" spans="1:24" s="397" customFormat="1" ht="12" customHeight="1">
      <c r="A59" s="345">
        <f t="shared" si="0"/>
        <v>45566</v>
      </c>
      <c r="B59" s="360">
        <v>11330</v>
      </c>
      <c r="C59" s="360">
        <v>10419</v>
      </c>
      <c r="D59" s="360">
        <v>162</v>
      </c>
      <c r="E59" s="360">
        <v>693</v>
      </c>
      <c r="F59" s="361">
        <v>56</v>
      </c>
      <c r="G59" s="401"/>
      <c r="H59" s="195"/>
      <c r="I59" s="160"/>
      <c r="J59" s="160"/>
      <c r="K59" s="159"/>
      <c r="L59" s="192"/>
      <c r="M59" s="192"/>
      <c r="N59" s="192"/>
      <c r="O59" s="192"/>
      <c r="P59" s="192"/>
      <c r="Q59" s="192"/>
      <c r="R59" s="192"/>
      <c r="S59" s="141"/>
      <c r="T59" s="141"/>
      <c r="U59" s="141"/>
      <c r="V59" s="141"/>
      <c r="W59" s="141"/>
      <c r="X59" s="141"/>
    </row>
    <row r="60" spans="1:24" s="397" customFormat="1" ht="12" customHeight="1">
      <c r="A60" s="345">
        <f t="shared" si="0"/>
        <v>45597</v>
      </c>
      <c r="B60" s="360">
        <v>11601</v>
      </c>
      <c r="C60" s="360">
        <v>10766</v>
      </c>
      <c r="D60" s="360">
        <v>165</v>
      </c>
      <c r="E60" s="360">
        <v>607</v>
      </c>
      <c r="F60" s="361">
        <v>63</v>
      </c>
      <c r="G60" s="401"/>
      <c r="H60" s="195"/>
      <c r="I60" s="160"/>
      <c r="J60" s="160"/>
      <c r="K60" s="159"/>
      <c r="L60" s="192"/>
      <c r="M60" s="192"/>
      <c r="N60" s="192"/>
      <c r="O60" s="192"/>
      <c r="P60" s="192"/>
      <c r="Q60" s="192"/>
      <c r="R60" s="192"/>
      <c r="S60" s="141"/>
      <c r="T60" s="141"/>
      <c r="U60" s="141"/>
      <c r="V60" s="141"/>
      <c r="W60" s="141"/>
      <c r="X60" s="141"/>
    </row>
    <row r="61" spans="1:24" s="397" customFormat="1" ht="12" customHeight="1">
      <c r="A61" s="345">
        <f t="shared" si="0"/>
        <v>45627</v>
      </c>
      <c r="B61" s="360">
        <v>11586</v>
      </c>
      <c r="C61" s="360">
        <v>10727</v>
      </c>
      <c r="D61" s="360">
        <v>175</v>
      </c>
      <c r="E61" s="360">
        <v>656</v>
      </c>
      <c r="F61" s="414">
        <v>28</v>
      </c>
      <c r="G61" s="401"/>
      <c r="H61" s="195"/>
      <c r="I61" s="160"/>
      <c r="J61" s="160"/>
      <c r="K61" s="159"/>
      <c r="L61" s="192"/>
      <c r="M61" s="192"/>
      <c r="N61" s="192"/>
      <c r="O61" s="192"/>
      <c r="P61" s="192"/>
      <c r="Q61" s="192"/>
      <c r="R61" s="192"/>
      <c r="S61" s="141"/>
      <c r="T61" s="141"/>
      <c r="U61" s="141"/>
      <c r="V61" s="141"/>
      <c r="W61" s="141"/>
      <c r="X61" s="141"/>
    </row>
    <row r="62" spans="1:24" s="397" customFormat="1" ht="12" customHeight="1">
      <c r="A62" s="345">
        <v>45658</v>
      </c>
      <c r="B62" s="360">
        <v>9699</v>
      </c>
      <c r="C62" s="360">
        <v>9008</v>
      </c>
      <c r="D62" s="360">
        <v>113</v>
      </c>
      <c r="E62" s="360">
        <v>534</v>
      </c>
      <c r="F62" s="414">
        <v>44</v>
      </c>
      <c r="G62" s="401"/>
      <c r="H62" s="195"/>
      <c r="I62" s="160"/>
      <c r="J62" s="160"/>
      <c r="K62" s="159"/>
      <c r="L62" s="192"/>
      <c r="M62" s="192"/>
      <c r="N62" s="192"/>
      <c r="O62" s="192"/>
      <c r="P62" s="192"/>
      <c r="Q62" s="192"/>
      <c r="R62" s="192"/>
      <c r="S62" s="141"/>
      <c r="T62" s="141"/>
      <c r="U62" s="141"/>
      <c r="V62" s="141"/>
      <c r="W62" s="141"/>
      <c r="X62" s="141"/>
    </row>
    <row r="63" spans="1:24" s="397" customFormat="1" ht="12" customHeight="1">
      <c r="A63" s="345">
        <v>45689</v>
      </c>
      <c r="B63" s="360">
        <v>10513</v>
      </c>
      <c r="C63" s="360">
        <v>9734</v>
      </c>
      <c r="D63" s="360">
        <v>96</v>
      </c>
      <c r="E63" s="360">
        <v>643</v>
      </c>
      <c r="F63" s="414">
        <v>40</v>
      </c>
      <c r="G63" s="401"/>
      <c r="H63" s="195"/>
      <c r="I63" s="160"/>
      <c r="J63" s="160"/>
      <c r="K63" s="159"/>
      <c r="L63" s="192"/>
      <c r="M63" s="192"/>
      <c r="N63" s="192"/>
      <c r="O63" s="192"/>
      <c r="P63" s="192"/>
      <c r="Q63" s="192"/>
      <c r="R63" s="192"/>
      <c r="S63" s="141"/>
      <c r="T63" s="141"/>
      <c r="U63" s="141"/>
      <c r="V63" s="141"/>
      <c r="W63" s="141"/>
      <c r="X63" s="141"/>
    </row>
    <row r="64" spans="1:24" s="397" customFormat="1" ht="12" customHeight="1">
      <c r="A64" s="345">
        <v>45717</v>
      </c>
      <c r="B64" s="360">
        <v>11571</v>
      </c>
      <c r="C64" s="360">
        <v>10738</v>
      </c>
      <c r="D64" s="360">
        <v>117</v>
      </c>
      <c r="E64" s="360">
        <v>642</v>
      </c>
      <c r="F64" s="414">
        <v>74</v>
      </c>
      <c r="G64" s="401"/>
      <c r="H64" s="195"/>
      <c r="I64" s="160"/>
      <c r="J64" s="160"/>
      <c r="K64" s="159"/>
      <c r="L64" s="192"/>
      <c r="M64" s="192"/>
      <c r="N64" s="192"/>
      <c r="O64" s="192"/>
      <c r="P64" s="192"/>
      <c r="Q64" s="192"/>
      <c r="R64" s="192"/>
      <c r="S64" s="141"/>
      <c r="T64" s="141"/>
      <c r="U64" s="141"/>
      <c r="V64" s="141"/>
      <c r="W64" s="141"/>
      <c r="X64" s="141"/>
    </row>
    <row r="65" spans="1:24" s="397" customFormat="1" ht="12" customHeight="1">
      <c r="A65" s="345">
        <v>45749</v>
      </c>
      <c r="B65" s="360">
        <v>11398</v>
      </c>
      <c r="C65" s="360">
        <v>10446</v>
      </c>
      <c r="D65" s="360">
        <v>165</v>
      </c>
      <c r="E65" s="360">
        <v>738</v>
      </c>
      <c r="F65" s="414">
        <v>49</v>
      </c>
      <c r="G65" s="401"/>
      <c r="H65" s="195"/>
      <c r="I65" s="160"/>
      <c r="J65" s="160"/>
      <c r="K65" s="159"/>
      <c r="L65" s="192"/>
      <c r="M65" s="192"/>
      <c r="N65" s="192"/>
      <c r="O65" s="192"/>
      <c r="P65" s="192"/>
      <c r="Q65" s="192"/>
      <c r="R65" s="192"/>
      <c r="S65" s="141"/>
      <c r="T65" s="141"/>
      <c r="U65" s="141"/>
      <c r="V65" s="141"/>
      <c r="W65" s="141"/>
      <c r="X65" s="141"/>
    </row>
    <row r="66" spans="1:24" s="397" customFormat="1" ht="12" customHeight="1">
      <c r="A66" s="345">
        <v>45778</v>
      </c>
      <c r="B66" s="360">
        <v>10740</v>
      </c>
      <c r="C66" s="360">
        <v>9909</v>
      </c>
      <c r="D66" s="360">
        <v>135</v>
      </c>
      <c r="E66" s="360">
        <v>662</v>
      </c>
      <c r="F66" s="414">
        <v>34</v>
      </c>
      <c r="G66" s="401"/>
      <c r="H66" s="195"/>
      <c r="I66" s="160"/>
      <c r="J66" s="160"/>
      <c r="K66" s="159"/>
      <c r="L66" s="192"/>
      <c r="M66" s="192"/>
      <c r="N66" s="192"/>
      <c r="O66" s="192"/>
      <c r="P66" s="192"/>
      <c r="Q66" s="192"/>
      <c r="R66" s="192"/>
      <c r="S66" s="141"/>
      <c r="T66" s="141"/>
      <c r="U66" s="141"/>
      <c r="V66" s="141"/>
      <c r="W66" s="141"/>
      <c r="X66" s="141"/>
    </row>
    <row r="67" spans="1:24" s="397" customFormat="1" ht="12" customHeight="1">
      <c r="A67" s="345">
        <f t="shared" ref="A67:A76" si="1">EDATE(A66,1)</f>
        <v>45809</v>
      </c>
      <c r="B67" s="360">
        <v>10780</v>
      </c>
      <c r="C67" s="360">
        <v>9961</v>
      </c>
      <c r="D67" s="360">
        <v>113</v>
      </c>
      <c r="E67" s="360">
        <v>658</v>
      </c>
      <c r="F67" s="414">
        <v>48</v>
      </c>
      <c r="G67" s="401"/>
      <c r="H67" s="195"/>
      <c r="I67" s="160"/>
      <c r="J67" s="160"/>
      <c r="K67" s="159"/>
      <c r="L67" s="192"/>
      <c r="M67" s="192"/>
      <c r="N67" s="192"/>
      <c r="O67" s="192"/>
      <c r="P67" s="192"/>
      <c r="Q67" s="192"/>
      <c r="R67" s="192"/>
      <c r="S67" s="141"/>
      <c r="T67" s="141"/>
      <c r="U67" s="141"/>
      <c r="V67" s="141"/>
      <c r="W67" s="141"/>
      <c r="X67" s="141"/>
    </row>
    <row r="68" spans="1:24" s="397" customFormat="1" ht="12" customHeight="1">
      <c r="A68" s="412">
        <f t="shared" si="1"/>
        <v>45839</v>
      </c>
      <c r="B68" s="360">
        <v>11762</v>
      </c>
      <c r="C68" s="360">
        <v>10822</v>
      </c>
      <c r="D68" s="360">
        <v>145</v>
      </c>
      <c r="E68" s="360">
        <v>743</v>
      </c>
      <c r="F68" s="414">
        <v>52</v>
      </c>
      <c r="G68" s="401"/>
      <c r="H68" s="195"/>
      <c r="I68" s="160"/>
      <c r="J68" s="160"/>
      <c r="K68" s="159"/>
      <c r="L68" s="192"/>
      <c r="M68" s="192"/>
      <c r="N68" s="192"/>
      <c r="O68" s="192"/>
      <c r="P68" s="192"/>
      <c r="Q68" s="192"/>
      <c r="R68" s="192"/>
      <c r="S68" s="141"/>
      <c r="T68" s="141"/>
      <c r="U68" s="141"/>
      <c r="V68" s="141"/>
      <c r="W68" s="141"/>
      <c r="X68" s="141"/>
    </row>
    <row r="69" spans="1:24" s="397" customFormat="1" ht="12" customHeight="1">
      <c r="A69" s="345">
        <f t="shared" si="1"/>
        <v>45870</v>
      </c>
      <c r="B69" s="360">
        <v>9574</v>
      </c>
      <c r="C69" s="360">
        <v>8844</v>
      </c>
      <c r="D69" s="360">
        <v>77</v>
      </c>
      <c r="E69" s="360">
        <v>611</v>
      </c>
      <c r="F69" s="414">
        <v>42</v>
      </c>
      <c r="G69" s="401"/>
      <c r="H69" s="195"/>
      <c r="I69" s="160"/>
      <c r="J69" s="160"/>
      <c r="K69" s="159"/>
      <c r="L69" s="192"/>
      <c r="M69" s="192"/>
      <c r="N69" s="192"/>
      <c r="O69" s="192"/>
      <c r="P69" s="192"/>
      <c r="Q69" s="192"/>
      <c r="R69" s="192"/>
      <c r="S69" s="141"/>
      <c r="T69" s="141"/>
      <c r="U69" s="141"/>
      <c r="V69" s="141"/>
      <c r="W69" s="141"/>
      <c r="X69" s="141"/>
    </row>
    <row r="70" spans="1:24" s="154" customFormat="1" ht="11.25" customHeight="1">
      <c r="A70" s="345">
        <f t="shared" si="1"/>
        <v>45901</v>
      </c>
      <c r="B70" s="360">
        <v>11105</v>
      </c>
      <c r="C70" s="360">
        <v>10275</v>
      </c>
      <c r="D70" s="360">
        <v>82</v>
      </c>
      <c r="E70" s="360">
        <v>697</v>
      </c>
      <c r="F70" s="361">
        <v>51</v>
      </c>
      <c r="G70" s="84"/>
      <c r="H70" s="195"/>
      <c r="I70" s="160"/>
      <c r="J70" s="160"/>
      <c r="K70" s="159"/>
      <c r="L70" s="192"/>
      <c r="M70" s="192"/>
      <c r="N70" s="159"/>
      <c r="O70" s="141"/>
      <c r="P70" s="160"/>
      <c r="Q70" s="141"/>
    </row>
    <row r="71" spans="1:24" s="154" customFormat="1" ht="11.25" customHeight="1">
      <c r="A71" s="345">
        <f t="shared" si="1"/>
        <v>45931</v>
      </c>
      <c r="B71" s="360">
        <v>8953</v>
      </c>
      <c r="C71" s="360">
        <v>8216</v>
      </c>
      <c r="D71" s="360">
        <v>101</v>
      </c>
      <c r="E71" s="360">
        <v>587</v>
      </c>
      <c r="F71" s="361">
        <v>49</v>
      </c>
      <c r="G71" s="401"/>
      <c r="H71" s="195"/>
      <c r="I71" s="160"/>
      <c r="J71" s="160"/>
      <c r="K71" s="159"/>
      <c r="L71" s="192"/>
      <c r="M71" s="192"/>
      <c r="N71" s="159"/>
      <c r="O71" s="141"/>
      <c r="P71" s="160"/>
      <c r="Q71" s="141"/>
    </row>
    <row r="72" spans="1:24" s="154" customFormat="1" ht="11.25" customHeight="1">
      <c r="A72" s="345">
        <f t="shared" si="1"/>
        <v>45962</v>
      </c>
      <c r="B72" s="360">
        <v>11328</v>
      </c>
      <c r="C72" s="360">
        <v>10317</v>
      </c>
      <c r="D72" s="360">
        <v>120</v>
      </c>
      <c r="E72" s="360">
        <v>851</v>
      </c>
      <c r="F72" s="414">
        <v>40</v>
      </c>
      <c r="G72" s="401"/>
      <c r="H72" s="195"/>
      <c r="I72" s="160"/>
      <c r="J72" s="160"/>
      <c r="K72" s="159"/>
      <c r="L72" s="192"/>
      <c r="M72" s="192"/>
      <c r="N72" s="159"/>
      <c r="O72" s="141"/>
      <c r="P72" s="160"/>
      <c r="Q72" s="141"/>
    </row>
    <row r="73" spans="1:24" s="154" customFormat="1" ht="11.25" customHeight="1">
      <c r="A73" s="345">
        <f t="shared" si="1"/>
        <v>45992</v>
      </c>
      <c r="B73" s="360">
        <v>9925</v>
      </c>
      <c r="C73" s="360">
        <v>9064</v>
      </c>
      <c r="D73" s="360">
        <v>127</v>
      </c>
      <c r="E73" s="360">
        <v>701</v>
      </c>
      <c r="F73" s="414">
        <v>33</v>
      </c>
      <c r="G73" s="401"/>
      <c r="H73" s="195"/>
      <c r="I73" s="160"/>
      <c r="J73" s="160"/>
      <c r="K73" s="159"/>
      <c r="L73" s="192"/>
      <c r="M73" s="192"/>
      <c r="N73" s="159"/>
      <c r="O73" s="141"/>
      <c r="P73" s="160"/>
      <c r="Q73" s="141"/>
    </row>
    <row r="74" spans="1:24" ht="11.25" customHeight="1">
      <c r="A74" s="412">
        <f t="shared" si="1"/>
        <v>46023</v>
      </c>
      <c r="B74" s="414">
        <v>8244</v>
      </c>
      <c r="C74" s="414">
        <v>7646</v>
      </c>
      <c r="D74" s="414">
        <v>93</v>
      </c>
      <c r="E74" s="414">
        <v>479</v>
      </c>
      <c r="F74" s="414">
        <v>26</v>
      </c>
      <c r="G74" s="84"/>
      <c r="H74" s="195"/>
      <c r="I74" s="160"/>
      <c r="J74" s="160"/>
      <c r="K74" s="159"/>
      <c r="L74" s="192"/>
      <c r="M74" s="192"/>
      <c r="N74" s="159"/>
      <c r="O74" s="141"/>
      <c r="P74" s="160"/>
      <c r="Q74" s="141"/>
    </row>
    <row r="75" spans="1:24" ht="11.25" customHeight="1">
      <c r="A75" s="412">
        <f t="shared" si="1"/>
        <v>46054</v>
      </c>
      <c r="B75" s="414">
        <v>8441</v>
      </c>
      <c r="C75" s="414">
        <v>7703</v>
      </c>
      <c r="D75" s="414">
        <v>76</v>
      </c>
      <c r="E75" s="414">
        <v>633</v>
      </c>
      <c r="F75" s="414">
        <v>29</v>
      </c>
      <c r="G75" s="401"/>
      <c r="H75" s="195"/>
      <c r="I75" s="160"/>
      <c r="J75" s="160"/>
      <c r="K75" s="159"/>
      <c r="L75" s="192"/>
      <c r="M75" s="192"/>
      <c r="N75" s="159"/>
      <c r="O75" s="141"/>
      <c r="P75" s="160"/>
      <c r="Q75" s="141"/>
    </row>
    <row r="76" spans="1:24" ht="11.25" customHeight="1">
      <c r="A76" s="438">
        <f t="shared" si="1"/>
        <v>46082</v>
      </c>
      <c r="B76" s="470">
        <v>11382</v>
      </c>
      <c r="C76" s="470">
        <v>10425</v>
      </c>
      <c r="D76" s="470">
        <v>83</v>
      </c>
      <c r="E76" s="470">
        <v>823</v>
      </c>
      <c r="F76" s="470">
        <v>51</v>
      </c>
      <c r="G76" s="401"/>
      <c r="H76" s="195"/>
      <c r="I76" s="160"/>
      <c r="J76" s="160"/>
      <c r="K76" s="159"/>
      <c r="L76" s="192"/>
      <c r="M76" s="192"/>
      <c r="N76" s="159"/>
      <c r="O76" s="141"/>
      <c r="P76" s="160"/>
      <c r="Q76" s="141"/>
    </row>
    <row r="77" spans="1:24" ht="11.25" customHeight="1">
      <c r="A77" s="412"/>
      <c r="B77" s="414"/>
      <c r="C77" s="414"/>
      <c r="D77" s="414"/>
      <c r="E77" s="414"/>
      <c r="F77" s="414"/>
      <c r="G77" s="84"/>
      <c r="H77" s="195"/>
      <c r="I77" s="160"/>
      <c r="J77" s="160"/>
      <c r="K77" s="159"/>
      <c r="L77" s="192"/>
      <c r="M77" s="159"/>
      <c r="N77" s="159"/>
      <c r="O77" s="141"/>
      <c r="P77" s="160"/>
      <c r="Q77" s="141"/>
    </row>
    <row r="78" spans="1:24">
      <c r="A78" s="245" t="s">
        <v>103</v>
      </c>
      <c r="B78" s="246"/>
      <c r="C78" s="195"/>
      <c r="D78" s="195"/>
      <c r="E78" s="195"/>
      <c r="F78" s="195"/>
      <c r="G78" s="84"/>
      <c r="H78" s="195"/>
      <c r="I78" s="160"/>
      <c r="J78" s="160"/>
      <c r="K78" s="159"/>
      <c r="L78" s="192"/>
      <c r="M78" s="159"/>
      <c r="N78" s="159"/>
      <c r="O78" s="141"/>
      <c r="P78" s="160"/>
      <c r="Q78" s="123"/>
    </row>
    <row r="79" spans="1:24">
      <c r="A79" s="247"/>
      <c r="B79" s="195"/>
      <c r="C79" s="195"/>
      <c r="D79" s="195"/>
      <c r="E79" s="195"/>
      <c r="F79" s="195"/>
      <c r="G79" s="84"/>
      <c r="H79" s="195"/>
      <c r="I79" s="160"/>
      <c r="J79" s="160"/>
      <c r="K79" s="159"/>
      <c r="L79" s="192"/>
      <c r="M79" s="159"/>
      <c r="N79" s="160"/>
      <c r="O79" s="160"/>
      <c r="P79" s="160"/>
    </row>
    <row r="80" spans="1:24">
      <c r="A80" s="247"/>
      <c r="B80" s="195"/>
      <c r="C80" s="195"/>
      <c r="D80" s="195"/>
      <c r="E80" s="195"/>
      <c r="F80" s="195"/>
      <c r="G80" s="84"/>
      <c r="H80" s="195"/>
      <c r="I80" s="160"/>
      <c r="J80" s="160"/>
      <c r="K80" s="159"/>
      <c r="L80" s="192"/>
      <c r="M80" s="159"/>
      <c r="N80" s="160"/>
      <c r="O80" s="160"/>
      <c r="P80" s="160"/>
    </row>
    <row r="81" spans="1:16">
      <c r="A81" s="247"/>
      <c r="B81" s="195"/>
      <c r="C81" s="195"/>
      <c r="D81" s="195"/>
      <c r="E81" s="195"/>
      <c r="F81" s="195"/>
      <c r="G81" s="84"/>
      <c r="H81" s="195"/>
      <c r="I81" s="160"/>
      <c r="J81" s="160"/>
      <c r="K81" s="159"/>
      <c r="L81" s="192"/>
      <c r="M81" s="160"/>
      <c r="N81" s="160"/>
      <c r="O81" s="160"/>
      <c r="P81" s="160"/>
    </row>
    <row r="82" spans="1:16">
      <c r="A82" s="247"/>
      <c r="B82" s="195"/>
      <c r="C82" s="195"/>
      <c r="D82" s="195"/>
      <c r="E82" s="195"/>
      <c r="F82" s="195"/>
      <c r="G82" s="84"/>
      <c r="H82" s="195"/>
      <c r="I82" s="160"/>
      <c r="J82" s="160"/>
      <c r="K82" s="159"/>
      <c r="L82" s="192"/>
      <c r="M82" s="160"/>
      <c r="N82" s="160"/>
      <c r="O82" s="160"/>
      <c r="P82" s="160"/>
    </row>
    <row r="83" spans="1:16">
      <c r="A83" s="247"/>
      <c r="B83" s="195"/>
      <c r="C83" s="195"/>
      <c r="D83" s="195"/>
      <c r="E83" s="195"/>
      <c r="F83" s="195"/>
      <c r="G83" s="84"/>
      <c r="H83" s="195"/>
      <c r="I83" s="160"/>
      <c r="J83" s="160"/>
      <c r="K83" s="159"/>
      <c r="L83" s="192"/>
      <c r="M83" s="160"/>
      <c r="N83" s="160"/>
      <c r="O83" s="160"/>
      <c r="P83" s="141"/>
    </row>
    <row r="84" spans="1:16">
      <c r="A84" s="247"/>
      <c r="B84" s="195"/>
      <c r="C84" s="195"/>
      <c r="D84" s="195"/>
      <c r="E84" s="195"/>
      <c r="F84" s="195"/>
      <c r="G84" s="84"/>
      <c r="H84" s="195"/>
      <c r="I84" s="160"/>
      <c r="J84" s="160"/>
      <c r="K84" s="159"/>
      <c r="L84" s="192"/>
      <c r="M84" s="160"/>
      <c r="N84" s="160"/>
      <c r="O84" s="160"/>
      <c r="P84" s="141"/>
    </row>
    <row r="85" spans="1:16">
      <c r="A85" s="247"/>
      <c r="B85" s="195"/>
      <c r="C85" s="195"/>
      <c r="D85" s="195"/>
      <c r="E85" s="195"/>
      <c r="F85" s="195"/>
      <c r="G85" s="84"/>
      <c r="H85" s="195"/>
      <c r="I85" s="160"/>
      <c r="J85" s="160"/>
      <c r="K85" s="159"/>
      <c r="L85" s="192"/>
      <c r="M85" s="160"/>
      <c r="N85" s="160"/>
      <c r="O85" s="160"/>
      <c r="P85" s="141"/>
    </row>
    <row r="86" spans="1:16">
      <c r="A86" s="247"/>
      <c r="B86" s="195"/>
      <c r="C86" s="195"/>
      <c r="D86" s="195"/>
      <c r="E86" s="195"/>
      <c r="F86" s="195"/>
      <c r="G86" s="84"/>
      <c r="H86" s="195"/>
      <c r="I86" s="160"/>
      <c r="J86" s="160"/>
      <c r="K86" s="159"/>
      <c r="L86" s="192"/>
      <c r="M86" s="160"/>
      <c r="N86" s="160"/>
      <c r="O86" s="160"/>
      <c r="P86" s="141"/>
    </row>
    <row r="87" spans="1:16">
      <c r="A87" s="247"/>
      <c r="B87" s="195"/>
      <c r="C87" s="195"/>
      <c r="D87" s="195"/>
      <c r="E87" s="195"/>
      <c r="F87" s="195"/>
      <c r="G87" s="84"/>
      <c r="H87" s="195"/>
      <c r="I87" s="160"/>
      <c r="J87" s="160"/>
      <c r="K87" s="159"/>
      <c r="L87" s="192"/>
      <c r="M87" s="160"/>
      <c r="N87" s="160"/>
      <c r="O87" s="160"/>
      <c r="P87" s="141"/>
    </row>
    <row r="88" spans="1:16">
      <c r="A88" s="247"/>
      <c r="B88" s="195"/>
      <c r="C88" s="195"/>
      <c r="D88" s="195"/>
      <c r="E88" s="195"/>
      <c r="F88" s="195"/>
      <c r="G88" s="84"/>
      <c r="H88" s="195"/>
      <c r="I88" s="160"/>
      <c r="J88" s="160"/>
      <c r="K88" s="159"/>
      <c r="L88" s="192"/>
      <c r="M88" s="160"/>
      <c r="N88" s="160"/>
      <c r="O88" s="160"/>
      <c r="P88" s="141"/>
    </row>
    <row r="89" spans="1:16">
      <c r="A89" s="247"/>
      <c r="B89" s="195"/>
      <c r="C89" s="195"/>
      <c r="D89" s="195"/>
      <c r="E89" s="195"/>
      <c r="F89" s="195"/>
      <c r="G89" s="84"/>
      <c r="H89" s="195"/>
      <c r="I89" s="160"/>
      <c r="J89" s="160"/>
      <c r="K89" s="159"/>
      <c r="L89" s="192"/>
      <c r="M89" s="160"/>
      <c r="N89" s="159"/>
      <c r="O89" s="141"/>
      <c r="P89" s="141"/>
    </row>
    <row r="90" spans="1:16">
      <c r="A90" s="247"/>
      <c r="B90" s="195"/>
      <c r="C90" s="195"/>
      <c r="D90" s="195"/>
      <c r="E90" s="195"/>
      <c r="F90" s="195"/>
      <c r="G90" s="84"/>
      <c r="H90" s="195"/>
      <c r="I90" s="160"/>
      <c r="J90" s="160"/>
      <c r="K90" s="159"/>
      <c r="L90" s="192"/>
      <c r="M90" s="160"/>
      <c r="N90" s="159"/>
      <c r="O90" s="141"/>
      <c r="P90" s="141"/>
    </row>
    <row r="91" spans="1:16">
      <c r="A91" s="247"/>
      <c r="B91" s="195"/>
      <c r="C91" s="195"/>
      <c r="D91" s="195"/>
      <c r="E91" s="195"/>
      <c r="F91" s="195"/>
      <c r="G91" s="84"/>
      <c r="H91" s="195"/>
      <c r="I91" s="160"/>
      <c r="J91" s="160"/>
      <c r="K91" s="159"/>
      <c r="L91" s="192"/>
      <c r="M91" s="160"/>
      <c r="N91" s="159"/>
      <c r="O91" s="141"/>
      <c r="P91" s="141"/>
    </row>
    <row r="92" spans="1:16">
      <c r="A92" s="247"/>
      <c r="B92" s="195"/>
      <c r="C92" s="195"/>
      <c r="D92" s="195"/>
      <c r="E92" s="195"/>
      <c r="F92" s="195"/>
      <c r="G92" s="84"/>
      <c r="H92" s="195"/>
      <c r="I92" s="160"/>
      <c r="J92" s="160"/>
      <c r="K92" s="159"/>
      <c r="L92" s="192"/>
      <c r="M92" s="159"/>
      <c r="N92" s="159"/>
      <c r="O92" s="141"/>
      <c r="P92" s="141"/>
    </row>
    <row r="93" spans="1:16">
      <c r="A93" s="247"/>
      <c r="B93" s="195"/>
      <c r="C93" s="195"/>
      <c r="D93" s="195"/>
      <c r="E93" s="195"/>
      <c r="F93" s="195"/>
      <c r="G93" s="84"/>
      <c r="H93" s="195"/>
      <c r="I93" s="160"/>
      <c r="J93" s="160"/>
      <c r="K93" s="159"/>
      <c r="L93" s="192"/>
      <c r="M93" s="159"/>
      <c r="N93" s="159"/>
      <c r="O93" s="141"/>
      <c r="P93" s="141"/>
    </row>
    <row r="94" spans="1:16">
      <c r="A94" s="247"/>
      <c r="B94" s="195"/>
      <c r="C94" s="195"/>
      <c r="D94" s="195"/>
      <c r="E94" s="195"/>
      <c r="F94" s="195"/>
      <c r="G94" s="84"/>
      <c r="H94" s="195"/>
      <c r="I94" s="160"/>
      <c r="J94" s="160"/>
      <c r="K94" s="159"/>
      <c r="L94" s="192"/>
      <c r="M94" s="159"/>
      <c r="N94" s="159"/>
      <c r="O94" s="141"/>
      <c r="P94" s="141"/>
    </row>
    <row r="95" spans="1:16">
      <c r="A95" s="247"/>
      <c r="B95" s="195"/>
      <c r="C95" s="195"/>
      <c r="D95" s="195"/>
      <c r="E95" s="195"/>
      <c r="F95" s="195"/>
      <c r="G95" s="84"/>
      <c r="H95" s="195"/>
      <c r="I95" s="160"/>
      <c r="J95" s="160"/>
      <c r="K95" s="159"/>
      <c r="L95" s="192"/>
      <c r="M95" s="159"/>
      <c r="N95" s="159"/>
      <c r="O95" s="141"/>
      <c r="P95" s="141"/>
    </row>
    <row r="96" spans="1:16">
      <c r="A96" s="247"/>
      <c r="B96" s="195"/>
      <c r="C96" s="195"/>
      <c r="D96" s="195"/>
      <c r="E96" s="195"/>
      <c r="F96" s="195"/>
      <c r="G96" s="84"/>
      <c r="H96" s="195"/>
      <c r="I96" s="160"/>
      <c r="J96" s="160"/>
      <c r="K96" s="159"/>
      <c r="L96" s="192"/>
      <c r="M96" s="159"/>
      <c r="N96" s="159"/>
      <c r="O96" s="141"/>
      <c r="P96" s="141"/>
    </row>
    <row r="97" spans="1:16">
      <c r="A97" s="247"/>
      <c r="B97" s="195"/>
      <c r="C97" s="195"/>
      <c r="D97" s="195"/>
      <c r="E97" s="195"/>
      <c r="F97" s="195"/>
      <c r="G97" s="84"/>
      <c r="H97" s="195"/>
      <c r="I97" s="160"/>
      <c r="J97" s="160"/>
      <c r="K97" s="159"/>
      <c r="L97" s="192"/>
      <c r="M97" s="159"/>
      <c r="N97" s="159"/>
      <c r="O97" s="141"/>
      <c r="P97" s="141"/>
    </row>
    <row r="98" spans="1:16">
      <c r="A98" s="247"/>
      <c r="B98" s="195"/>
      <c r="C98" s="195"/>
      <c r="D98" s="195"/>
      <c r="E98" s="195"/>
      <c r="F98" s="195"/>
      <c r="G98" s="84"/>
      <c r="H98" s="195"/>
      <c r="I98" s="160"/>
      <c r="J98" s="160"/>
      <c r="K98" s="159"/>
      <c r="L98" s="192"/>
      <c r="M98" s="159"/>
      <c r="N98" s="159"/>
      <c r="O98" s="141"/>
      <c r="P98" s="141"/>
    </row>
    <row r="99" spans="1:16">
      <c r="A99" s="247"/>
      <c r="B99" s="195"/>
      <c r="C99" s="195"/>
      <c r="D99" s="195"/>
      <c r="E99" s="195"/>
      <c r="F99" s="195"/>
      <c r="G99" s="84"/>
      <c r="H99" s="195"/>
      <c r="I99" s="160"/>
      <c r="J99" s="160"/>
      <c r="K99" s="159"/>
      <c r="L99" s="192"/>
      <c r="M99" s="159"/>
      <c r="N99" s="159"/>
      <c r="O99" s="141"/>
      <c r="P99" s="141"/>
    </row>
    <row r="100" spans="1:16">
      <c r="A100" s="247"/>
      <c r="B100" s="195"/>
      <c r="C100" s="195"/>
      <c r="D100" s="195"/>
      <c r="E100" s="195"/>
      <c r="F100" s="195"/>
      <c r="G100" s="84"/>
      <c r="H100" s="195"/>
      <c r="I100" s="160"/>
      <c r="J100" s="160"/>
      <c r="K100" s="159"/>
      <c r="L100" s="192"/>
      <c r="M100" s="159"/>
      <c r="N100" s="159"/>
      <c r="O100" s="141"/>
      <c r="P100" s="141"/>
    </row>
    <row r="101" spans="1:16">
      <c r="A101" s="247"/>
      <c r="B101" s="195"/>
      <c r="C101" s="195"/>
      <c r="D101" s="195"/>
      <c r="E101" s="195"/>
      <c r="F101" s="195"/>
      <c r="G101" s="84"/>
      <c r="H101" s="195"/>
      <c r="I101" s="160"/>
      <c r="J101" s="160"/>
      <c r="K101" s="159"/>
      <c r="L101" s="192"/>
      <c r="M101" s="159"/>
      <c r="N101" s="159"/>
      <c r="O101" s="141"/>
      <c r="P101" s="141"/>
    </row>
    <row r="102" spans="1:16">
      <c r="A102" s="247"/>
      <c r="B102" s="195"/>
      <c r="C102" s="195"/>
      <c r="D102" s="195"/>
      <c r="E102" s="195"/>
      <c r="F102" s="195"/>
      <c r="G102" s="84"/>
      <c r="H102" s="195"/>
      <c r="I102" s="160"/>
      <c r="J102" s="160"/>
      <c r="K102" s="159"/>
      <c r="L102" s="192"/>
      <c r="M102" s="159"/>
      <c r="N102" s="159"/>
      <c r="O102" s="141"/>
      <c r="P102" s="141"/>
    </row>
    <row r="103" spans="1:16">
      <c r="A103" s="247"/>
      <c r="B103" s="195"/>
      <c r="C103" s="195"/>
      <c r="D103" s="195"/>
      <c r="E103" s="195"/>
      <c r="F103" s="195"/>
      <c r="G103" s="84"/>
      <c r="H103" s="195"/>
      <c r="I103" s="160"/>
      <c r="J103" s="160"/>
      <c r="K103" s="159"/>
      <c r="L103" s="192"/>
      <c r="M103" s="159"/>
      <c r="N103" s="159"/>
      <c r="O103" s="141"/>
      <c r="P103" s="141"/>
    </row>
    <row r="104" spans="1:16">
      <c r="A104" s="247"/>
      <c r="B104" s="195"/>
      <c r="C104" s="195"/>
      <c r="D104" s="195"/>
      <c r="E104" s="195"/>
      <c r="F104" s="195"/>
      <c r="G104" s="84"/>
      <c r="H104" s="195"/>
      <c r="I104" s="160"/>
      <c r="J104" s="160"/>
      <c r="K104" s="159"/>
      <c r="L104" s="192"/>
      <c r="M104" s="159"/>
      <c r="N104" s="159"/>
      <c r="O104" s="141"/>
      <c r="P104" s="141"/>
    </row>
    <row r="105" spans="1:16">
      <c r="A105" s="247"/>
      <c r="B105" s="195"/>
      <c r="C105" s="195"/>
      <c r="D105" s="195"/>
      <c r="E105" s="195"/>
      <c r="F105" s="195"/>
      <c r="G105" s="84"/>
      <c r="H105" s="195"/>
      <c r="I105" s="160"/>
      <c r="J105" s="160"/>
      <c r="K105" s="159"/>
      <c r="L105" s="192"/>
      <c r="M105" s="159"/>
      <c r="N105" s="159"/>
      <c r="O105" s="141"/>
      <c r="P105" s="141"/>
    </row>
    <row r="106" spans="1:16">
      <c r="A106" s="247"/>
      <c r="B106" s="195"/>
      <c r="C106" s="195"/>
      <c r="D106" s="195"/>
      <c r="E106" s="195"/>
      <c r="F106" s="195"/>
      <c r="G106" s="84"/>
      <c r="H106" s="195"/>
      <c r="I106" s="160"/>
      <c r="J106" s="160"/>
      <c r="K106" s="159"/>
      <c r="L106" s="192"/>
      <c r="M106" s="159"/>
      <c r="N106" s="159"/>
      <c r="O106" s="141"/>
      <c r="P106" s="141"/>
    </row>
    <row r="107" spans="1:16">
      <c r="A107" s="247"/>
      <c r="B107" s="195"/>
      <c r="C107" s="195"/>
      <c r="D107" s="195"/>
      <c r="E107" s="195"/>
      <c r="F107" s="195"/>
      <c r="G107" s="84"/>
      <c r="H107" s="195"/>
      <c r="I107" s="160"/>
      <c r="J107" s="160"/>
      <c r="K107" s="159"/>
      <c r="L107" s="192"/>
      <c r="M107" s="159"/>
      <c r="N107" s="159"/>
      <c r="O107" s="141"/>
      <c r="P107" s="141"/>
    </row>
    <row r="108" spans="1:16">
      <c r="A108" s="247"/>
      <c r="B108" s="195"/>
      <c r="C108" s="195"/>
      <c r="D108" s="195"/>
      <c r="E108" s="195"/>
      <c r="F108" s="195"/>
      <c r="G108" s="84"/>
      <c r="H108" s="195"/>
      <c r="I108" s="160"/>
      <c r="J108" s="160"/>
      <c r="K108" s="159"/>
      <c r="L108" s="192"/>
      <c r="M108" s="159"/>
      <c r="N108" s="159"/>
      <c r="O108" s="141"/>
      <c r="P108" s="141"/>
    </row>
    <row r="109" spans="1:16">
      <c r="A109" s="247"/>
      <c r="B109" s="195"/>
      <c r="C109" s="195"/>
      <c r="D109" s="195"/>
      <c r="E109" s="195"/>
      <c r="F109" s="195"/>
      <c r="G109" s="84"/>
      <c r="H109" s="195"/>
      <c r="I109" s="160"/>
      <c r="J109" s="160"/>
      <c r="K109" s="159"/>
      <c r="L109" s="192"/>
      <c r="M109" s="159"/>
      <c r="N109" s="159"/>
      <c r="O109" s="141"/>
      <c r="P109" s="141"/>
    </row>
    <row r="110" spans="1:16">
      <c r="A110" s="247"/>
      <c r="B110" s="195"/>
      <c r="C110" s="195"/>
      <c r="D110" s="195"/>
      <c r="E110" s="195"/>
      <c r="F110" s="195"/>
      <c r="G110" s="84"/>
      <c r="H110" s="195"/>
      <c r="I110" s="160"/>
      <c r="J110" s="160"/>
      <c r="K110" s="159"/>
      <c r="L110" s="192"/>
      <c r="M110" s="159"/>
      <c r="N110" s="159"/>
      <c r="O110" s="141"/>
      <c r="P110" s="141"/>
    </row>
    <row r="111" spans="1:16">
      <c r="A111" s="247"/>
      <c r="B111" s="195"/>
      <c r="C111" s="195"/>
      <c r="D111" s="195"/>
      <c r="E111" s="195"/>
      <c r="F111" s="195"/>
      <c r="G111" s="84"/>
      <c r="H111" s="195"/>
      <c r="I111" s="160"/>
      <c r="J111" s="160"/>
      <c r="K111" s="159"/>
      <c r="L111" s="192"/>
      <c r="M111" s="159"/>
      <c r="N111" s="159"/>
      <c r="O111" s="159"/>
      <c r="P111" s="141"/>
    </row>
    <row r="112" spans="1:16">
      <c r="A112" s="247"/>
      <c r="B112" s="195"/>
      <c r="C112" s="195"/>
      <c r="D112" s="195"/>
      <c r="E112" s="195"/>
      <c r="F112" s="195"/>
      <c r="G112" s="84"/>
      <c r="H112" s="195"/>
      <c r="I112" s="160"/>
      <c r="J112" s="160"/>
      <c r="K112" s="159"/>
      <c r="L112" s="192"/>
      <c r="M112" s="159"/>
      <c r="N112" s="160"/>
      <c r="O112" s="160"/>
      <c r="P112" s="141"/>
    </row>
    <row r="113" spans="1:16">
      <c r="A113" s="247"/>
      <c r="B113" s="195"/>
      <c r="C113" s="195"/>
      <c r="D113" s="195"/>
      <c r="E113" s="195"/>
      <c r="F113" s="195"/>
      <c r="G113" s="195"/>
      <c r="H113" s="195"/>
      <c r="I113" s="160"/>
      <c r="J113" s="160"/>
      <c r="K113" s="159"/>
      <c r="L113" s="192"/>
      <c r="M113" s="159"/>
      <c r="N113" s="160"/>
      <c r="O113" s="160"/>
      <c r="P113" s="141"/>
    </row>
    <row r="114" spans="1:16">
      <c r="A114" s="247"/>
      <c r="B114" s="195"/>
      <c r="C114" s="195"/>
      <c r="D114" s="195"/>
      <c r="E114" s="195"/>
      <c r="F114" s="195"/>
      <c r="G114" s="195"/>
      <c r="H114" s="195"/>
      <c r="I114" s="160"/>
      <c r="J114" s="160"/>
      <c r="K114" s="159"/>
      <c r="L114" s="192"/>
      <c r="M114" s="159"/>
      <c r="N114" s="160"/>
      <c r="O114" s="160"/>
      <c r="P114" s="141"/>
    </row>
    <row r="115" spans="1:16">
      <c r="A115" s="248"/>
      <c r="B115" s="195"/>
      <c r="C115" s="195"/>
      <c r="D115" s="195"/>
      <c r="E115" s="195"/>
      <c r="F115" s="195"/>
      <c r="G115" s="195"/>
      <c r="H115" s="195"/>
      <c r="I115" s="160"/>
      <c r="J115" s="160"/>
      <c r="K115" s="159"/>
      <c r="L115" s="192"/>
      <c r="M115" s="160"/>
      <c r="N115" s="160"/>
      <c r="O115" s="160"/>
      <c r="P115" s="141"/>
    </row>
    <row r="116" spans="1:16">
      <c r="A116" s="248"/>
      <c r="B116" s="195"/>
      <c r="C116" s="195"/>
      <c r="D116" s="195"/>
      <c r="E116" s="195"/>
      <c r="F116" s="195"/>
      <c r="G116" s="195"/>
      <c r="H116" s="195"/>
      <c r="I116" s="160"/>
      <c r="J116" s="160"/>
      <c r="K116" s="159"/>
      <c r="L116" s="192"/>
      <c r="M116" s="160"/>
      <c r="N116" s="160"/>
      <c r="O116" s="160"/>
      <c r="P116" s="141"/>
    </row>
    <row r="117" spans="1:16">
      <c r="A117" s="248"/>
      <c r="B117" s="195"/>
      <c r="C117" s="195"/>
      <c r="D117" s="195"/>
      <c r="E117" s="195"/>
      <c r="F117" s="195"/>
      <c r="G117" s="195"/>
      <c r="H117" s="195"/>
      <c r="I117" s="160"/>
      <c r="J117" s="160"/>
      <c r="K117" s="159"/>
      <c r="L117" s="192"/>
      <c r="M117" s="160"/>
      <c r="N117" s="160"/>
      <c r="O117" s="160"/>
      <c r="P117" s="141"/>
    </row>
    <row r="118" spans="1:16">
      <c r="A118" s="248"/>
      <c r="B118" s="195"/>
      <c r="C118" s="195"/>
      <c r="D118" s="195"/>
      <c r="E118" s="195"/>
      <c r="F118" s="195"/>
      <c r="G118" s="195"/>
      <c r="H118" s="195"/>
      <c r="I118" s="160"/>
      <c r="J118" s="160"/>
      <c r="K118" s="159"/>
      <c r="L118" s="192"/>
      <c r="M118" s="160"/>
      <c r="N118" s="160"/>
      <c r="O118" s="160"/>
      <c r="P118" s="141"/>
    </row>
    <row r="119" spans="1:16">
      <c r="A119" s="248"/>
      <c r="B119" s="195"/>
      <c r="C119" s="195"/>
      <c r="D119" s="195"/>
      <c r="E119" s="195"/>
      <c r="F119" s="195"/>
      <c r="G119" s="195"/>
      <c r="H119" s="195"/>
      <c r="I119" s="160"/>
      <c r="J119" s="160"/>
      <c r="K119" s="159"/>
      <c r="L119" s="192"/>
      <c r="M119" s="160"/>
      <c r="N119" s="160"/>
      <c r="O119" s="160"/>
      <c r="P119" s="141"/>
    </row>
    <row r="120" spans="1:16">
      <c r="A120" s="248"/>
      <c r="B120" s="195"/>
      <c r="C120" s="195"/>
      <c r="D120" s="195"/>
      <c r="E120" s="195"/>
      <c r="F120" s="195"/>
      <c r="G120" s="195"/>
      <c r="H120" s="195"/>
      <c r="I120" s="160"/>
      <c r="J120" s="160"/>
      <c r="K120" s="159"/>
      <c r="L120" s="192"/>
      <c r="M120" s="160"/>
      <c r="N120" s="160"/>
      <c r="O120" s="160"/>
    </row>
    <row r="121" spans="1:16">
      <c r="A121" s="248"/>
      <c r="B121" s="195"/>
      <c r="C121" s="195"/>
      <c r="D121" s="195"/>
      <c r="E121" s="195"/>
      <c r="F121" s="195"/>
      <c r="G121" s="195"/>
      <c r="H121" s="195"/>
      <c r="I121" s="160"/>
      <c r="J121" s="160"/>
      <c r="K121" s="159"/>
      <c r="L121" s="192"/>
      <c r="M121" s="160"/>
      <c r="N121" s="159"/>
      <c r="O121" s="159"/>
    </row>
    <row r="122" spans="1:16">
      <c r="A122" s="248"/>
      <c r="B122" s="195"/>
      <c r="C122" s="195"/>
      <c r="D122" s="195"/>
      <c r="E122" s="195"/>
      <c r="F122" s="195"/>
      <c r="G122" s="195"/>
      <c r="H122" s="195"/>
      <c r="I122" s="160"/>
      <c r="J122" s="160"/>
      <c r="K122" s="159"/>
      <c r="L122" s="192"/>
      <c r="M122" s="160"/>
      <c r="N122" s="159"/>
      <c r="O122" s="159"/>
    </row>
    <row r="123" spans="1:16">
      <c r="A123" s="248"/>
      <c r="B123" s="195"/>
      <c r="C123" s="195"/>
      <c r="D123" s="195"/>
      <c r="E123" s="195"/>
      <c r="F123" s="195"/>
      <c r="G123" s="195"/>
      <c r="H123" s="195"/>
      <c r="I123" s="160"/>
      <c r="J123" s="160"/>
      <c r="K123" s="159"/>
      <c r="L123" s="192"/>
      <c r="M123" s="160"/>
      <c r="N123" s="159"/>
      <c r="O123" s="159"/>
    </row>
    <row r="124" spans="1:16">
      <c r="A124" s="248"/>
      <c r="B124" s="195"/>
      <c r="C124" s="195"/>
      <c r="D124" s="195"/>
      <c r="E124" s="195"/>
      <c r="F124" s="195"/>
      <c r="G124" s="195"/>
      <c r="H124" s="195"/>
      <c r="I124" s="160"/>
      <c r="J124" s="160"/>
      <c r="K124" s="159"/>
      <c r="L124" s="192"/>
      <c r="M124" s="159"/>
      <c r="N124" s="159"/>
      <c r="O124" s="159"/>
    </row>
    <row r="125" spans="1:16">
      <c r="A125" s="248"/>
      <c r="B125" s="195"/>
      <c r="C125" s="195"/>
      <c r="D125" s="195"/>
      <c r="E125" s="195"/>
      <c r="F125" s="195"/>
      <c r="G125" s="195"/>
      <c r="H125" s="195"/>
      <c r="I125" s="160"/>
      <c r="J125" s="160"/>
      <c r="K125" s="159"/>
      <c r="L125" s="192"/>
      <c r="M125" s="159"/>
      <c r="N125" s="159"/>
      <c r="O125" s="159"/>
    </row>
    <row r="126" spans="1:16">
      <c r="A126" s="248"/>
      <c r="B126" s="195"/>
      <c r="C126" s="195"/>
      <c r="D126" s="195"/>
      <c r="E126" s="195"/>
      <c r="F126" s="195"/>
      <c r="G126" s="195"/>
      <c r="H126" s="195"/>
      <c r="I126" s="160"/>
      <c r="J126" s="160"/>
      <c r="K126" s="159"/>
      <c r="L126" s="192"/>
      <c r="M126" s="159"/>
      <c r="N126" s="159"/>
      <c r="O126" s="159"/>
    </row>
    <row r="127" spans="1:16">
      <c r="A127" s="145"/>
      <c r="B127" s="195"/>
      <c r="C127" s="195"/>
      <c r="D127" s="195"/>
      <c r="E127" s="195"/>
      <c r="F127" s="195"/>
      <c r="G127" s="195"/>
      <c r="H127" s="195"/>
      <c r="I127" s="160"/>
      <c r="J127" s="160"/>
      <c r="K127" s="159"/>
      <c r="L127" s="192"/>
      <c r="M127" s="159"/>
      <c r="N127" s="159"/>
      <c r="O127" s="159"/>
    </row>
    <row r="128" spans="1:16">
      <c r="A128" s="145"/>
      <c r="B128" s="195"/>
      <c r="C128" s="195"/>
      <c r="D128" s="195"/>
      <c r="E128" s="195"/>
      <c r="F128" s="195"/>
      <c r="G128" s="195"/>
      <c r="H128" s="195"/>
      <c r="I128" s="160"/>
      <c r="J128" s="160"/>
      <c r="K128" s="159"/>
      <c r="L128" s="192"/>
      <c r="M128" s="159"/>
      <c r="N128" s="159"/>
      <c r="O128" s="159"/>
    </row>
    <row r="129" spans="1:15">
      <c r="A129" s="145"/>
      <c r="B129" s="195"/>
      <c r="C129" s="195"/>
      <c r="D129" s="195"/>
      <c r="E129" s="195"/>
      <c r="F129" s="195"/>
      <c r="G129" s="195"/>
      <c r="H129" s="195"/>
      <c r="I129" s="160"/>
      <c r="J129" s="160"/>
      <c r="K129" s="159"/>
      <c r="L129" s="192"/>
      <c r="M129" s="159"/>
      <c r="N129" s="159"/>
      <c r="O129" s="160"/>
    </row>
    <row r="130" spans="1:15">
      <c r="A130" s="145"/>
      <c r="B130" s="195"/>
      <c r="C130" s="195"/>
      <c r="D130" s="195"/>
      <c r="E130" s="195"/>
      <c r="F130" s="195"/>
      <c r="G130" s="195"/>
      <c r="H130" s="195"/>
      <c r="I130" s="160"/>
      <c r="J130" s="160"/>
      <c r="K130" s="159"/>
      <c r="L130" s="192"/>
      <c r="M130" s="159"/>
      <c r="N130" s="160"/>
      <c r="O130" s="160"/>
    </row>
    <row r="131" spans="1:15">
      <c r="A131" s="145"/>
      <c r="B131" s="195"/>
      <c r="C131" s="195"/>
      <c r="D131" s="195"/>
      <c r="E131" s="195"/>
      <c r="F131" s="195"/>
      <c r="G131" s="195"/>
      <c r="H131" s="195"/>
      <c r="I131" s="160"/>
      <c r="J131" s="160"/>
      <c r="K131" s="159"/>
      <c r="L131" s="192"/>
      <c r="M131" s="159"/>
      <c r="N131" s="159"/>
      <c r="O131" s="159"/>
    </row>
    <row r="132" spans="1:15">
      <c r="A132" s="248"/>
      <c r="B132" s="195"/>
      <c r="C132" s="195"/>
      <c r="D132" s="195"/>
      <c r="E132" s="195"/>
      <c r="F132" s="195"/>
      <c r="G132" s="195"/>
      <c r="H132" s="195"/>
      <c r="I132" s="160"/>
      <c r="J132" s="160"/>
      <c r="K132" s="159"/>
      <c r="L132" s="192"/>
      <c r="M132" s="159"/>
      <c r="N132" s="159"/>
      <c r="O132" s="159"/>
    </row>
    <row r="133" spans="1:15">
      <c r="A133" s="248"/>
      <c r="B133" s="195"/>
      <c r="C133" s="195"/>
      <c r="D133" s="195"/>
      <c r="E133" s="195"/>
      <c r="F133" s="195"/>
      <c r="G133" s="195"/>
      <c r="H133" s="195"/>
      <c r="I133" s="160"/>
      <c r="J133" s="160"/>
      <c r="K133" s="159"/>
      <c r="L133" s="192"/>
      <c r="M133" s="160"/>
      <c r="N133" s="159"/>
      <c r="O133" s="159"/>
    </row>
    <row r="134" spans="1:15">
      <c r="A134" s="248"/>
      <c r="B134" s="195"/>
      <c r="C134" s="195"/>
      <c r="D134" s="195"/>
      <c r="E134" s="195"/>
      <c r="F134" s="195"/>
      <c r="G134" s="195"/>
      <c r="H134" s="195"/>
      <c r="I134" s="160"/>
      <c r="J134" s="160"/>
      <c r="K134" s="159"/>
      <c r="L134" s="192"/>
      <c r="M134" s="159"/>
      <c r="N134" s="159"/>
      <c r="O134" s="159"/>
    </row>
    <row r="135" spans="1:15">
      <c r="A135" s="248"/>
      <c r="B135" s="195"/>
      <c r="C135" s="195"/>
      <c r="D135" s="195"/>
      <c r="E135" s="195"/>
      <c r="F135" s="195"/>
      <c r="G135" s="195"/>
      <c r="H135" s="195"/>
      <c r="I135" s="160"/>
      <c r="J135" s="160"/>
      <c r="K135" s="159"/>
      <c r="L135" s="192"/>
      <c r="M135" s="159"/>
      <c r="N135" s="159"/>
      <c r="O135" s="159"/>
    </row>
    <row r="136" spans="1:15">
      <c r="A136" s="248"/>
      <c r="B136" s="195"/>
      <c r="C136" s="195"/>
      <c r="D136" s="195"/>
      <c r="E136" s="195"/>
      <c r="F136" s="195"/>
      <c r="G136" s="195"/>
      <c r="H136" s="195"/>
      <c r="I136" s="160"/>
      <c r="J136" s="160"/>
      <c r="K136" s="159"/>
      <c r="L136" s="192"/>
      <c r="M136" s="159"/>
      <c r="N136" s="159"/>
      <c r="O136" s="160"/>
    </row>
    <row r="137" spans="1:15">
      <c r="A137" s="248"/>
      <c r="B137" s="195"/>
      <c r="C137" s="195"/>
      <c r="D137" s="195"/>
      <c r="E137" s="195"/>
      <c r="F137" s="195"/>
      <c r="G137" s="195"/>
      <c r="H137" s="195"/>
      <c r="I137" s="160"/>
      <c r="J137" s="160"/>
      <c r="K137" s="159"/>
      <c r="L137" s="192"/>
      <c r="M137" s="159"/>
      <c r="N137" s="160"/>
      <c r="O137" s="160"/>
    </row>
    <row r="138" spans="1:15">
      <c r="A138" s="248"/>
      <c r="B138" s="195"/>
      <c r="C138" s="195"/>
      <c r="D138" s="195"/>
      <c r="E138" s="195"/>
      <c r="F138" s="195"/>
      <c r="G138" s="249"/>
      <c r="H138" s="195"/>
      <c r="I138" s="160"/>
      <c r="J138" s="160"/>
      <c r="K138" s="159"/>
      <c r="L138" s="192"/>
      <c r="M138" s="159"/>
      <c r="N138" s="160"/>
      <c r="O138" s="160"/>
    </row>
    <row r="139" spans="1:15">
      <c r="A139" s="145"/>
      <c r="B139" s="195"/>
      <c r="C139" s="195"/>
      <c r="D139" s="195"/>
      <c r="E139" s="195"/>
      <c r="F139" s="195"/>
      <c r="G139" s="249"/>
      <c r="H139" s="195"/>
      <c r="I139" s="160"/>
      <c r="J139" s="160"/>
      <c r="K139" s="159"/>
      <c r="L139" s="192"/>
      <c r="M139" s="159"/>
      <c r="N139" s="160"/>
      <c r="O139" s="160"/>
    </row>
    <row r="140" spans="1:15">
      <c r="A140" s="247"/>
      <c r="B140" s="195"/>
      <c r="C140" s="195"/>
      <c r="D140" s="195"/>
      <c r="E140" s="195"/>
      <c r="F140" s="195"/>
      <c r="G140" s="249"/>
      <c r="H140" s="195"/>
      <c r="I140" s="160"/>
      <c r="J140" s="160"/>
      <c r="K140" s="159"/>
      <c r="L140" s="192"/>
      <c r="M140" s="160"/>
      <c r="N140" s="160"/>
      <c r="O140" s="160"/>
    </row>
    <row r="141" spans="1:15">
      <c r="A141" s="247"/>
      <c r="B141" s="195"/>
      <c r="C141" s="195"/>
      <c r="D141" s="195"/>
      <c r="E141" s="195"/>
      <c r="F141" s="195"/>
      <c r="G141" s="249"/>
      <c r="H141" s="195"/>
      <c r="I141" s="160"/>
      <c r="J141" s="160"/>
      <c r="K141" s="159"/>
      <c r="L141" s="192"/>
      <c r="M141" s="160"/>
      <c r="N141" s="160"/>
      <c r="O141" s="160"/>
    </row>
    <row r="142" spans="1:15">
      <c r="A142" s="247"/>
      <c r="B142" s="195"/>
      <c r="C142" s="195"/>
      <c r="D142" s="195"/>
      <c r="E142" s="195"/>
      <c r="F142" s="195"/>
      <c r="G142" s="249"/>
      <c r="H142" s="195"/>
      <c r="I142" s="160"/>
      <c r="J142" s="160"/>
      <c r="K142" s="159"/>
      <c r="L142" s="192"/>
      <c r="M142" s="160"/>
      <c r="N142" s="160"/>
      <c r="O142" s="160"/>
    </row>
    <row r="143" spans="1:15">
      <c r="A143" s="247"/>
      <c r="B143" s="195"/>
      <c r="C143" s="195"/>
      <c r="D143" s="195"/>
      <c r="E143" s="195"/>
      <c r="F143" s="195"/>
      <c r="G143" s="195"/>
      <c r="H143" s="195"/>
      <c r="I143" s="160"/>
      <c r="J143" s="160"/>
      <c r="K143" s="159"/>
      <c r="L143" s="192"/>
      <c r="M143" s="160"/>
      <c r="N143" s="160"/>
      <c r="O143" s="160"/>
    </row>
    <row r="144" spans="1:15">
      <c r="A144" s="247"/>
      <c r="B144" s="195"/>
      <c r="C144" s="195"/>
      <c r="D144" s="195"/>
      <c r="E144" s="195"/>
      <c r="F144" s="195"/>
      <c r="G144" s="195"/>
      <c r="H144" s="195"/>
      <c r="I144" s="160"/>
      <c r="J144" s="160"/>
      <c r="K144" s="159"/>
      <c r="L144" s="192"/>
      <c r="M144" s="160"/>
      <c r="N144" s="160"/>
      <c r="O144" s="160"/>
    </row>
    <row r="145" spans="1:15">
      <c r="A145" s="247"/>
      <c r="B145" s="195"/>
      <c r="C145" s="195"/>
      <c r="D145" s="195"/>
      <c r="E145" s="195"/>
      <c r="F145" s="195"/>
      <c r="G145" s="195"/>
      <c r="H145" s="195"/>
      <c r="I145" s="160"/>
      <c r="J145" s="160"/>
      <c r="K145" s="159"/>
      <c r="L145" s="192"/>
      <c r="M145" s="160"/>
      <c r="N145" s="160"/>
      <c r="O145" s="160"/>
    </row>
    <row r="146" spans="1:15">
      <c r="A146" s="247"/>
      <c r="B146" s="195"/>
      <c r="C146" s="195"/>
      <c r="D146" s="195"/>
      <c r="E146" s="195"/>
      <c r="F146" s="195"/>
      <c r="G146" s="195"/>
      <c r="H146" s="195"/>
      <c r="I146" s="160"/>
      <c r="J146" s="160"/>
      <c r="K146" s="159"/>
      <c r="L146" s="192"/>
      <c r="M146" s="160"/>
      <c r="N146" s="160"/>
      <c r="O146" s="160"/>
    </row>
    <row r="147" spans="1:15">
      <c r="A147" s="247"/>
      <c r="B147" s="195"/>
      <c r="C147" s="195"/>
      <c r="D147" s="195"/>
      <c r="E147" s="195"/>
      <c r="F147" s="195"/>
      <c r="G147" s="195"/>
      <c r="H147" s="195"/>
      <c r="I147" s="160"/>
      <c r="J147" s="160"/>
      <c r="K147" s="159"/>
      <c r="L147" s="192"/>
      <c r="M147" s="160"/>
      <c r="N147" s="160"/>
      <c r="O147" s="160"/>
    </row>
    <row r="148" spans="1:15">
      <c r="A148" s="247"/>
      <c r="B148" s="195"/>
      <c r="C148" s="195"/>
      <c r="D148" s="195"/>
      <c r="E148" s="195"/>
      <c r="F148" s="195"/>
      <c r="G148" s="195"/>
      <c r="H148" s="195"/>
      <c r="I148" s="160"/>
      <c r="J148" s="160"/>
      <c r="K148" s="159"/>
      <c r="L148" s="192"/>
      <c r="M148" s="160"/>
      <c r="N148" s="160"/>
      <c r="O148" s="160"/>
    </row>
    <row r="149" spans="1:15">
      <c r="A149" s="247"/>
      <c r="B149" s="195"/>
      <c r="C149" s="195"/>
      <c r="D149" s="195"/>
      <c r="E149" s="195"/>
      <c r="F149" s="195"/>
      <c r="G149" s="195"/>
      <c r="H149" s="195"/>
      <c r="I149" s="160"/>
      <c r="J149" s="160"/>
      <c r="K149" s="159"/>
      <c r="L149" s="192"/>
      <c r="M149" s="160"/>
      <c r="N149" s="160"/>
      <c r="O149" s="160"/>
    </row>
    <row r="150" spans="1:15">
      <c r="A150" s="247"/>
      <c r="B150" s="195"/>
      <c r="C150" s="195"/>
      <c r="D150" s="195"/>
      <c r="E150" s="195"/>
      <c r="F150" s="195"/>
      <c r="G150" s="195"/>
      <c r="H150" s="195"/>
      <c r="I150" s="160"/>
      <c r="J150" s="160"/>
      <c r="K150" s="159"/>
      <c r="L150" s="192"/>
      <c r="M150" s="160"/>
      <c r="N150" s="141"/>
      <c r="O150" s="141"/>
    </row>
    <row r="151" spans="1:15">
      <c r="A151" s="145"/>
      <c r="B151" s="195"/>
      <c r="C151" s="195"/>
      <c r="D151" s="195"/>
      <c r="E151" s="195"/>
      <c r="F151" s="195"/>
      <c r="G151" s="195"/>
      <c r="H151" s="195"/>
      <c r="I151" s="160"/>
      <c r="J151" s="160"/>
      <c r="K151" s="159"/>
      <c r="L151" s="192"/>
      <c r="M151" s="160"/>
      <c r="N151" s="141"/>
      <c r="O151" s="141"/>
    </row>
    <row r="152" spans="1:15">
      <c r="A152" s="145"/>
      <c r="B152" s="195"/>
      <c r="C152" s="195"/>
      <c r="D152" s="195"/>
      <c r="E152" s="195"/>
      <c r="F152" s="195"/>
      <c r="G152" s="195"/>
      <c r="H152" s="195"/>
      <c r="I152" s="160"/>
      <c r="J152" s="160"/>
      <c r="K152" s="159"/>
      <c r="L152" s="192"/>
      <c r="M152" s="160"/>
      <c r="N152" s="141"/>
      <c r="O152" s="141"/>
    </row>
    <row r="153" spans="1:15">
      <c r="A153" s="145"/>
      <c r="B153" s="195"/>
      <c r="C153" s="195"/>
      <c r="D153" s="195"/>
      <c r="E153" s="195"/>
      <c r="F153" s="195"/>
      <c r="G153" s="195"/>
      <c r="H153" s="195"/>
      <c r="I153" s="160"/>
      <c r="J153" s="160"/>
      <c r="K153" s="159"/>
      <c r="L153" s="192"/>
      <c r="M153" s="141"/>
      <c r="N153" s="141"/>
      <c r="O153" s="141"/>
    </row>
    <row r="154" spans="1:15">
      <c r="A154" s="145"/>
      <c r="B154" s="195"/>
      <c r="C154" s="195"/>
      <c r="D154" s="195"/>
      <c r="E154" s="195"/>
      <c r="F154" s="195"/>
      <c r="G154" s="195"/>
      <c r="H154" s="195"/>
      <c r="I154" s="160"/>
      <c r="J154" s="160"/>
      <c r="K154" s="159"/>
      <c r="L154" s="192"/>
      <c r="M154" s="141"/>
      <c r="N154" s="141"/>
      <c r="O154" s="141"/>
    </row>
    <row r="155" spans="1:15">
      <c r="A155" s="145"/>
      <c r="B155" s="195"/>
      <c r="C155" s="195"/>
      <c r="D155" s="195"/>
      <c r="E155" s="195"/>
      <c r="F155" s="195"/>
      <c r="G155" s="195"/>
      <c r="H155" s="195"/>
      <c r="I155" s="160"/>
      <c r="J155" s="160"/>
      <c r="K155" s="159"/>
      <c r="L155" s="192"/>
      <c r="M155" s="141"/>
      <c r="N155" s="141"/>
      <c r="O155" s="141"/>
    </row>
    <row r="156" spans="1:15">
      <c r="A156" s="145"/>
      <c r="B156" s="195"/>
      <c r="C156" s="195"/>
      <c r="D156" s="195"/>
      <c r="E156" s="195"/>
      <c r="F156" s="195"/>
      <c r="G156" s="195"/>
      <c r="H156" s="195"/>
      <c r="I156" s="160"/>
      <c r="J156" s="160"/>
      <c r="K156" s="159"/>
      <c r="L156" s="192"/>
      <c r="M156" s="141"/>
      <c r="N156" s="141"/>
      <c r="O156" s="141"/>
    </row>
    <row r="157" spans="1:15">
      <c r="A157" s="145"/>
      <c r="B157" s="195"/>
      <c r="C157" s="195"/>
      <c r="D157" s="195"/>
      <c r="E157" s="195"/>
      <c r="F157" s="195"/>
      <c r="G157" s="195"/>
      <c r="H157" s="195"/>
      <c r="I157" s="160"/>
      <c r="J157" s="160"/>
      <c r="K157" s="159"/>
      <c r="L157" s="192"/>
      <c r="M157" s="141"/>
      <c r="N157" s="141"/>
      <c r="O157" s="141"/>
    </row>
    <row r="158" spans="1:15">
      <c r="A158" s="145"/>
      <c r="B158" s="195"/>
      <c r="C158" s="195"/>
      <c r="D158" s="195"/>
      <c r="E158" s="195"/>
      <c r="F158" s="195"/>
      <c r="G158" s="195"/>
      <c r="H158" s="195"/>
      <c r="I158" s="160"/>
      <c r="J158" s="160"/>
      <c r="K158" s="159"/>
      <c r="L158" s="192"/>
      <c r="M158" s="141"/>
      <c r="N158" s="141"/>
      <c r="O158" s="141"/>
    </row>
    <row r="159" spans="1:15">
      <c r="A159" s="145"/>
      <c r="B159" s="195"/>
      <c r="C159" s="195"/>
      <c r="D159" s="195"/>
      <c r="E159" s="195"/>
      <c r="F159" s="195"/>
      <c r="G159" s="195"/>
      <c r="H159" s="195"/>
      <c r="I159" s="160"/>
      <c r="J159" s="160"/>
      <c r="K159" s="159"/>
      <c r="L159" s="192"/>
      <c r="M159" s="141"/>
      <c r="N159" s="141"/>
      <c r="O159" s="141"/>
    </row>
    <row r="160" spans="1:15">
      <c r="A160" s="145"/>
      <c r="B160" s="195"/>
      <c r="C160" s="195"/>
      <c r="D160" s="195"/>
      <c r="E160" s="195"/>
      <c r="F160" s="195"/>
      <c r="G160" s="195"/>
      <c r="H160" s="195"/>
      <c r="I160" s="160"/>
      <c r="J160" s="160"/>
      <c r="K160" s="159"/>
      <c r="L160" s="192"/>
      <c r="M160" s="141"/>
      <c r="N160" s="141"/>
      <c r="O160" s="141"/>
    </row>
    <row r="161" spans="1:15">
      <c r="A161" s="250"/>
      <c r="B161" s="195"/>
      <c r="C161" s="195"/>
      <c r="D161" s="195"/>
      <c r="E161" s="195"/>
      <c r="F161" s="195"/>
      <c r="G161" s="195"/>
      <c r="H161" s="195"/>
      <c r="I161" s="160"/>
      <c r="J161" s="160"/>
      <c r="K161" s="159"/>
      <c r="L161" s="192"/>
      <c r="M161" s="141"/>
      <c r="N161" s="141"/>
      <c r="O161" s="141"/>
    </row>
    <row r="162" spans="1:15">
      <c r="A162" s="250"/>
      <c r="B162" s="195"/>
      <c r="C162" s="195"/>
      <c r="D162" s="195"/>
      <c r="E162" s="195"/>
      <c r="F162" s="195"/>
      <c r="G162" s="195"/>
      <c r="H162" s="195"/>
      <c r="I162" s="160"/>
      <c r="J162" s="160"/>
      <c r="K162" s="159"/>
      <c r="L162" s="192"/>
      <c r="M162" s="141"/>
      <c r="N162" s="141"/>
      <c r="O162" s="141"/>
    </row>
    <row r="163" spans="1:15">
      <c r="A163" s="145"/>
      <c r="B163" s="195"/>
      <c r="C163" s="195"/>
      <c r="D163" s="195"/>
      <c r="E163" s="195"/>
      <c r="F163" s="195"/>
      <c r="G163" s="195"/>
      <c r="H163" s="195"/>
      <c r="I163" s="160"/>
      <c r="J163" s="160"/>
      <c r="K163" s="159"/>
      <c r="L163" s="192"/>
      <c r="M163" s="141"/>
      <c r="N163" s="141"/>
      <c r="O163" s="141"/>
    </row>
    <row r="164" spans="1:15">
      <c r="A164" s="145"/>
      <c r="B164" s="195"/>
      <c r="C164" s="195"/>
      <c r="D164" s="195"/>
      <c r="E164" s="195"/>
      <c r="F164" s="195"/>
      <c r="G164" s="195"/>
      <c r="H164" s="195"/>
      <c r="I164" s="160"/>
      <c r="J164" s="160"/>
      <c r="K164" s="159"/>
      <c r="L164" s="192"/>
      <c r="M164" s="141"/>
      <c r="N164" s="141"/>
      <c r="O164" s="141"/>
    </row>
    <row r="165" spans="1:15">
      <c r="A165" s="145"/>
      <c r="B165" s="195"/>
      <c r="C165" s="195"/>
      <c r="D165" s="195"/>
      <c r="E165" s="195"/>
      <c r="F165" s="195"/>
      <c r="G165" s="195"/>
      <c r="H165" s="195"/>
      <c r="I165" s="160"/>
      <c r="J165" s="160"/>
      <c r="K165" s="159"/>
      <c r="L165" s="192"/>
      <c r="M165" s="141"/>
      <c r="N165" s="141"/>
      <c r="O165" s="141"/>
    </row>
    <row r="166" spans="1:15">
      <c r="A166" s="145"/>
      <c r="B166" s="195"/>
      <c r="C166" s="195"/>
      <c r="D166" s="195"/>
      <c r="E166" s="195"/>
      <c r="F166" s="195"/>
      <c r="G166" s="195"/>
      <c r="H166" s="195"/>
      <c r="I166" s="160"/>
      <c r="J166" s="160"/>
      <c r="K166" s="159"/>
      <c r="L166" s="192"/>
      <c r="M166" s="141"/>
      <c r="N166" s="141"/>
      <c r="O166" s="141"/>
    </row>
    <row r="167" spans="1:15">
      <c r="A167" s="145"/>
      <c r="B167" s="195"/>
      <c r="C167" s="195"/>
      <c r="D167" s="195"/>
      <c r="E167" s="195"/>
      <c r="F167" s="195"/>
      <c r="G167" s="195"/>
      <c r="H167" s="195"/>
      <c r="I167" s="160"/>
      <c r="J167" s="160"/>
      <c r="K167" s="159"/>
      <c r="L167" s="192"/>
      <c r="M167" s="141"/>
      <c r="N167" s="141"/>
      <c r="O167" s="141"/>
    </row>
    <row r="168" spans="1:15">
      <c r="A168" s="145"/>
      <c r="B168" s="195"/>
      <c r="C168" s="195"/>
      <c r="D168" s="195"/>
      <c r="E168" s="195"/>
      <c r="F168" s="195"/>
      <c r="G168" s="195"/>
      <c r="H168" s="195"/>
      <c r="I168" s="160"/>
      <c r="J168" s="160"/>
      <c r="K168" s="159"/>
      <c r="L168" s="192"/>
      <c r="M168" s="141"/>
      <c r="N168" s="141"/>
      <c r="O168" s="141"/>
    </row>
    <row r="169" spans="1:15">
      <c r="A169" s="145"/>
      <c r="B169" s="195"/>
      <c r="C169" s="195"/>
      <c r="D169" s="195"/>
      <c r="E169" s="195"/>
      <c r="F169" s="195"/>
      <c r="G169" s="195"/>
      <c r="H169" s="195"/>
      <c r="I169" s="160"/>
      <c r="J169" s="160"/>
      <c r="K169" s="159"/>
      <c r="L169" s="192"/>
      <c r="M169" s="141"/>
      <c r="N169" s="141"/>
      <c r="O169" s="141"/>
    </row>
    <row r="170" spans="1:15">
      <c r="A170" s="145"/>
      <c r="B170" s="195"/>
      <c r="C170" s="195"/>
      <c r="D170" s="195"/>
      <c r="E170" s="195"/>
      <c r="F170" s="195"/>
      <c r="G170" s="195"/>
      <c r="H170" s="195"/>
      <c r="I170" s="160"/>
      <c r="J170" s="160"/>
      <c r="K170" s="159"/>
      <c r="L170" s="192"/>
      <c r="M170" s="141"/>
      <c r="N170" s="141"/>
      <c r="O170" s="141"/>
    </row>
    <row r="171" spans="1:15">
      <c r="A171" s="145"/>
      <c r="B171" s="195"/>
      <c r="C171" s="195"/>
      <c r="D171" s="195"/>
      <c r="E171" s="195"/>
      <c r="F171" s="195"/>
      <c r="G171" s="195"/>
      <c r="H171" s="195"/>
      <c r="I171" s="160"/>
      <c r="J171" s="160"/>
      <c r="K171" s="159"/>
      <c r="L171" s="192"/>
      <c r="M171" s="141"/>
      <c r="N171" s="141"/>
      <c r="O171" s="141"/>
    </row>
    <row r="172" spans="1:15">
      <c r="A172" s="145"/>
      <c r="B172" s="195"/>
      <c r="C172" s="195"/>
      <c r="D172" s="195"/>
      <c r="E172" s="195"/>
      <c r="F172" s="195"/>
      <c r="G172" s="195"/>
      <c r="H172" s="195"/>
      <c r="I172" s="160"/>
      <c r="J172" s="160"/>
      <c r="K172" s="159"/>
      <c r="L172" s="192"/>
      <c r="M172" s="141"/>
      <c r="N172" s="141"/>
      <c r="O172" s="141"/>
    </row>
    <row r="173" spans="1:15">
      <c r="A173" s="145"/>
      <c r="B173" s="195"/>
      <c r="C173" s="195"/>
      <c r="D173" s="195"/>
      <c r="E173" s="195"/>
      <c r="F173" s="195"/>
      <c r="G173" s="195"/>
      <c r="H173" s="195"/>
      <c r="I173" s="160"/>
      <c r="J173" s="160"/>
      <c r="K173" s="159"/>
      <c r="L173" s="192"/>
      <c r="M173" s="141"/>
      <c r="N173" s="141"/>
      <c r="O173" s="141"/>
    </row>
    <row r="174" spans="1:15">
      <c r="A174" s="145"/>
      <c r="B174" s="195"/>
      <c r="C174" s="195"/>
      <c r="D174" s="195"/>
      <c r="E174" s="195"/>
      <c r="F174" s="195"/>
      <c r="G174" s="195"/>
      <c r="H174" s="195"/>
      <c r="I174" s="160"/>
      <c r="J174" s="160"/>
      <c r="K174" s="159"/>
      <c r="L174" s="192"/>
      <c r="M174" s="141"/>
      <c r="N174" s="141"/>
      <c r="O174" s="141"/>
    </row>
    <row r="175" spans="1:15">
      <c r="A175" s="145"/>
      <c r="B175" s="195"/>
      <c r="C175" s="195"/>
      <c r="D175" s="195"/>
      <c r="E175" s="195"/>
      <c r="F175" s="195"/>
      <c r="G175" s="195"/>
      <c r="H175" s="195"/>
      <c r="I175" s="160"/>
      <c r="J175" s="160"/>
      <c r="K175" s="159"/>
      <c r="L175" s="192"/>
      <c r="M175" s="141"/>
      <c r="N175" s="141"/>
      <c r="O175" s="141"/>
    </row>
    <row r="176" spans="1:15">
      <c r="A176" s="145"/>
      <c r="B176" s="195"/>
      <c r="C176" s="195"/>
      <c r="D176" s="195"/>
      <c r="E176" s="195"/>
      <c r="F176" s="195"/>
      <c r="G176" s="195"/>
      <c r="H176" s="195"/>
      <c r="I176" s="160"/>
      <c r="J176" s="160"/>
      <c r="K176" s="159"/>
      <c r="L176" s="192"/>
      <c r="M176" s="141"/>
      <c r="N176" s="141"/>
      <c r="O176" s="141"/>
    </row>
    <row r="177" spans="1:15">
      <c r="A177" s="247"/>
      <c r="B177" s="195"/>
      <c r="C177" s="195"/>
      <c r="D177" s="195"/>
      <c r="E177" s="195"/>
      <c r="F177" s="195"/>
      <c r="G177" s="195"/>
      <c r="H177" s="195"/>
      <c r="I177" s="160"/>
      <c r="J177" s="160"/>
      <c r="K177" s="159"/>
      <c r="L177" s="192"/>
      <c r="M177" s="141"/>
      <c r="N177" s="141"/>
      <c r="O177" s="141"/>
    </row>
    <row r="178" spans="1:15">
      <c r="A178" s="247"/>
      <c r="B178" s="195"/>
      <c r="C178" s="195"/>
      <c r="D178" s="195"/>
      <c r="E178" s="195"/>
      <c r="F178" s="195"/>
      <c r="G178" s="195"/>
      <c r="H178" s="195"/>
      <c r="I178" s="160"/>
      <c r="J178" s="160"/>
      <c r="K178" s="159"/>
      <c r="L178" s="192"/>
      <c r="M178" s="141"/>
      <c r="N178" s="141"/>
    </row>
    <row r="179" spans="1:15">
      <c r="A179" s="247"/>
      <c r="B179" s="195"/>
      <c r="C179" s="195"/>
      <c r="D179" s="195"/>
      <c r="E179" s="195"/>
      <c r="F179" s="195"/>
      <c r="G179" s="195"/>
      <c r="H179" s="195"/>
      <c r="I179" s="160"/>
      <c r="J179" s="160"/>
      <c r="K179" s="159"/>
      <c r="L179" s="192"/>
      <c r="M179" s="141"/>
      <c r="N179" s="141"/>
    </row>
    <row r="180" spans="1:15">
      <c r="A180" s="247"/>
      <c r="B180" s="195"/>
      <c r="C180" s="195"/>
      <c r="D180" s="195"/>
      <c r="E180" s="195"/>
      <c r="F180" s="195"/>
      <c r="G180" s="195"/>
      <c r="H180" s="195"/>
      <c r="I180" s="160"/>
      <c r="J180" s="160"/>
      <c r="K180" s="159"/>
      <c r="L180" s="192"/>
      <c r="M180" s="141"/>
      <c r="N180" s="141"/>
    </row>
    <row r="181" spans="1:15">
      <c r="A181" s="247"/>
      <c r="B181" s="195"/>
      <c r="C181" s="195"/>
      <c r="D181" s="195"/>
      <c r="E181" s="195"/>
      <c r="F181" s="195"/>
      <c r="G181" s="195"/>
      <c r="H181" s="195"/>
      <c r="I181" s="160"/>
      <c r="J181" s="160"/>
      <c r="K181" s="159"/>
      <c r="L181" s="192"/>
      <c r="M181" s="141"/>
    </row>
    <row r="182" spans="1:15">
      <c r="A182" s="247"/>
      <c r="B182" s="195"/>
      <c r="C182" s="195"/>
      <c r="D182" s="195"/>
      <c r="E182" s="195"/>
      <c r="F182" s="195"/>
      <c r="G182" s="195"/>
      <c r="H182" s="195"/>
      <c r="I182" s="160"/>
      <c r="J182" s="160"/>
      <c r="K182" s="159"/>
      <c r="L182" s="41"/>
      <c r="M182" s="141"/>
    </row>
    <row r="183" spans="1:15">
      <c r="A183" s="247"/>
      <c r="B183" s="195"/>
      <c r="C183" s="195"/>
      <c r="D183" s="195"/>
      <c r="E183" s="195"/>
      <c r="F183" s="195"/>
      <c r="G183" s="195"/>
      <c r="H183" s="195"/>
      <c r="I183" s="160"/>
      <c r="J183" s="160"/>
      <c r="K183" s="159"/>
      <c r="L183" s="41"/>
      <c r="M183" s="141"/>
    </row>
    <row r="184" spans="1:15">
      <c r="A184" s="247"/>
      <c r="B184" s="195"/>
      <c r="C184" s="195"/>
      <c r="D184" s="195"/>
      <c r="E184" s="195"/>
      <c r="F184" s="195"/>
      <c r="G184" s="195"/>
      <c r="H184" s="195"/>
      <c r="I184" s="160"/>
      <c r="J184" s="160"/>
      <c r="K184" s="159"/>
      <c r="L184" s="41"/>
      <c r="M184" s="141"/>
    </row>
    <row r="185" spans="1:15">
      <c r="A185" s="247"/>
      <c r="B185" s="195"/>
      <c r="C185" s="195"/>
      <c r="D185" s="195"/>
      <c r="E185" s="195"/>
      <c r="F185" s="195"/>
      <c r="G185" s="195"/>
      <c r="H185" s="195"/>
      <c r="I185" s="160"/>
      <c r="J185" s="160"/>
      <c r="K185" s="159"/>
      <c r="L185" s="192"/>
      <c r="M185" s="141"/>
    </row>
    <row r="186" spans="1:15">
      <c r="A186" s="247"/>
      <c r="B186" s="195"/>
      <c r="C186" s="195"/>
      <c r="D186" s="195"/>
      <c r="E186" s="195"/>
      <c r="F186" s="195"/>
      <c r="G186" s="195"/>
      <c r="H186" s="41"/>
      <c r="I186" s="41"/>
      <c r="J186" s="41"/>
      <c r="K186" s="41"/>
      <c r="L186" s="192"/>
      <c r="M186" s="141"/>
    </row>
    <row r="187" spans="1:15">
      <c r="A187" s="145"/>
      <c r="B187" s="195"/>
      <c r="C187" s="195"/>
      <c r="D187" s="195"/>
      <c r="E187" s="195"/>
      <c r="F187" s="195"/>
      <c r="G187" s="195"/>
      <c r="H187" s="41"/>
      <c r="I187" s="41"/>
      <c r="J187" s="41"/>
      <c r="K187" s="41"/>
      <c r="L187" s="192"/>
    </row>
    <row r="188" spans="1:15">
      <c r="A188" s="145"/>
      <c r="B188" s="195"/>
      <c r="C188" s="195"/>
      <c r="D188" s="195"/>
      <c r="E188" s="195"/>
      <c r="F188" s="195"/>
      <c r="G188" s="195"/>
      <c r="H188" s="41"/>
      <c r="I188" s="41"/>
      <c r="J188" s="41"/>
      <c r="K188" s="41"/>
      <c r="L188" s="41"/>
    </row>
    <row r="189" spans="1:15">
      <c r="A189" s="145"/>
      <c r="B189" s="195"/>
      <c r="C189" s="195"/>
      <c r="D189" s="195"/>
      <c r="E189" s="195"/>
      <c r="F189" s="195"/>
      <c r="G189" s="195"/>
      <c r="H189" s="195"/>
      <c r="I189" s="160"/>
      <c r="J189" s="160"/>
      <c r="K189" s="159"/>
      <c r="L189" s="192"/>
    </row>
    <row r="190" spans="1:15">
      <c r="A190" s="145"/>
      <c r="B190" s="195"/>
      <c r="C190" s="195"/>
      <c r="D190" s="195"/>
      <c r="E190" s="195"/>
      <c r="F190" s="195"/>
      <c r="G190" s="195"/>
      <c r="H190" s="195"/>
      <c r="I190" s="160"/>
      <c r="J190" s="160"/>
      <c r="K190" s="159"/>
      <c r="L190" s="192"/>
    </row>
    <row r="191" spans="1:15">
      <c r="A191" s="145"/>
      <c r="B191" s="195"/>
      <c r="C191" s="195"/>
      <c r="D191" s="195"/>
      <c r="E191" s="195"/>
      <c r="F191" s="195"/>
      <c r="G191" s="195"/>
      <c r="H191" s="195"/>
      <c r="I191" s="160"/>
      <c r="J191" s="160"/>
      <c r="K191" s="159"/>
      <c r="L191" s="192"/>
    </row>
    <row r="192" spans="1:15">
      <c r="A192" s="145"/>
      <c r="B192" s="195"/>
      <c r="C192" s="195"/>
      <c r="D192" s="195"/>
      <c r="E192" s="195"/>
      <c r="F192" s="195"/>
      <c r="G192" s="195"/>
      <c r="H192" s="41"/>
      <c r="I192" s="41"/>
      <c r="J192" s="41"/>
      <c r="K192" s="41"/>
      <c r="L192" s="192"/>
    </row>
    <row r="193" spans="1:12">
      <c r="A193" s="145"/>
      <c r="B193" s="195"/>
      <c r="C193" s="195"/>
      <c r="D193" s="195"/>
      <c r="E193" s="195"/>
      <c r="F193" s="195"/>
      <c r="G193" s="195"/>
      <c r="H193" s="195"/>
      <c r="I193" s="160"/>
      <c r="J193" s="160"/>
      <c r="K193" s="159"/>
      <c r="L193" s="192"/>
    </row>
    <row r="194" spans="1:12">
      <c r="A194" s="145"/>
      <c r="B194" s="195"/>
      <c r="C194" s="195"/>
      <c r="D194" s="195"/>
      <c r="E194" s="195"/>
      <c r="F194" s="195"/>
      <c r="G194" s="195"/>
      <c r="H194" s="195"/>
      <c r="I194" s="160"/>
      <c r="J194" s="160"/>
      <c r="K194" s="159"/>
      <c r="L194" s="192"/>
    </row>
    <row r="195" spans="1:12">
      <c r="A195" s="145"/>
      <c r="B195" s="195"/>
      <c r="C195" s="195"/>
      <c r="D195" s="195"/>
      <c r="E195" s="195"/>
      <c r="F195" s="195"/>
      <c r="G195" s="195"/>
      <c r="H195" s="195"/>
      <c r="I195" s="160"/>
      <c r="J195" s="160"/>
      <c r="K195" s="159"/>
      <c r="L195" s="192"/>
    </row>
    <row r="196" spans="1:12">
      <c r="A196" s="248"/>
      <c r="B196" s="195"/>
      <c r="C196" s="195"/>
      <c r="D196" s="195"/>
      <c r="E196" s="195"/>
      <c r="F196" s="195"/>
      <c r="G196" s="195"/>
      <c r="H196" s="195"/>
      <c r="I196" s="160"/>
      <c r="J196" s="160"/>
      <c r="K196" s="159"/>
      <c r="L196" s="192"/>
    </row>
    <row r="197" spans="1:12">
      <c r="A197" s="248"/>
      <c r="B197" s="195"/>
      <c r="C197" s="195"/>
      <c r="D197" s="195"/>
      <c r="E197" s="195"/>
      <c r="F197" s="195"/>
      <c r="G197" s="195"/>
      <c r="H197" s="195"/>
      <c r="I197" s="160"/>
      <c r="J197" s="160"/>
      <c r="K197" s="159"/>
      <c r="L197" s="192"/>
    </row>
    <row r="198" spans="1:12">
      <c r="A198" s="248"/>
      <c r="B198" s="195"/>
      <c r="C198" s="195"/>
      <c r="D198" s="195"/>
      <c r="E198" s="195"/>
      <c r="F198" s="195"/>
      <c r="G198" s="195"/>
      <c r="H198" s="195"/>
      <c r="I198" s="160"/>
      <c r="J198" s="160"/>
      <c r="K198" s="159"/>
      <c r="L198" s="192"/>
    </row>
    <row r="199" spans="1:12">
      <c r="A199" s="248"/>
      <c r="B199" s="195"/>
      <c r="C199" s="195"/>
      <c r="D199" s="195"/>
      <c r="E199" s="195"/>
      <c r="F199" s="195"/>
      <c r="G199" s="195"/>
      <c r="H199" s="195"/>
      <c r="I199" s="160"/>
      <c r="J199" s="160"/>
      <c r="K199" s="159"/>
      <c r="L199" s="195"/>
    </row>
    <row r="200" spans="1:12">
      <c r="A200" s="248"/>
      <c r="B200" s="195"/>
      <c r="C200" s="195"/>
      <c r="D200" s="195"/>
      <c r="E200" s="195"/>
      <c r="F200" s="195"/>
      <c r="G200" s="195"/>
      <c r="H200" s="195"/>
      <c r="I200" s="160"/>
      <c r="J200" s="160"/>
      <c r="K200" s="159"/>
      <c r="L200" s="195"/>
    </row>
    <row r="201" spans="1:12">
      <c r="A201" s="248"/>
      <c r="B201" s="195"/>
      <c r="C201" s="195"/>
      <c r="D201" s="195"/>
      <c r="E201" s="195"/>
      <c r="F201" s="195"/>
      <c r="G201" s="195"/>
      <c r="H201" s="195"/>
      <c r="I201" s="160"/>
      <c r="J201" s="160"/>
      <c r="K201" s="159"/>
      <c r="L201" s="195"/>
    </row>
    <row r="202" spans="1:12">
      <c r="A202" s="248"/>
      <c r="B202" s="195"/>
      <c r="C202" s="195"/>
      <c r="D202" s="195"/>
      <c r="E202" s="195"/>
      <c r="F202" s="195"/>
      <c r="G202" s="195"/>
      <c r="H202" s="195"/>
      <c r="I202" s="160"/>
      <c r="J202" s="160"/>
      <c r="K202" s="159"/>
      <c r="L202" s="195"/>
    </row>
    <row r="203" spans="1:12">
      <c r="A203" s="14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</row>
    <row r="204" spans="1:12">
      <c r="A204" s="14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</row>
    <row r="205" spans="1:12">
      <c r="A205" s="14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</row>
    <row r="206" spans="1:12">
      <c r="A206" s="14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</row>
    <row r="207" spans="1:12">
      <c r="A207" s="14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</row>
    <row r="208" spans="1:12">
      <c r="A208" s="14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</row>
    <row r="209" spans="1:12">
      <c r="A209" s="14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59"/>
    </row>
    <row r="210" spans="1:12">
      <c r="A210" s="14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59"/>
    </row>
    <row r="211" spans="1:12">
      <c r="A211" s="14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59"/>
    </row>
    <row r="212" spans="1:12">
      <c r="A212" s="14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59"/>
    </row>
    <row r="213" spans="1:12">
      <c r="A213" s="145"/>
      <c r="B213" s="195"/>
      <c r="C213" s="195"/>
      <c r="D213" s="195"/>
      <c r="E213" s="195"/>
      <c r="F213" s="195"/>
      <c r="G213" s="195"/>
      <c r="H213" s="84"/>
      <c r="I213" s="84"/>
      <c r="J213" s="84"/>
      <c r="K213" s="84"/>
      <c r="L213" s="159"/>
    </row>
    <row r="214" spans="1:12">
      <c r="A214" s="145"/>
      <c r="B214" s="195"/>
      <c r="C214" s="195"/>
      <c r="D214" s="195"/>
      <c r="E214" s="195"/>
      <c r="F214" s="195"/>
      <c r="G214" s="195"/>
      <c r="H214" s="84"/>
      <c r="I214" s="84"/>
      <c r="J214" s="84"/>
      <c r="K214" s="84"/>
      <c r="L214" s="160"/>
    </row>
    <row r="215" spans="1:12">
      <c r="A215" s="145"/>
      <c r="B215" s="195"/>
      <c r="C215" s="195"/>
      <c r="D215" s="195"/>
      <c r="E215" s="195"/>
      <c r="F215" s="195"/>
      <c r="G215" s="195"/>
      <c r="H215" s="195"/>
      <c r="I215" s="160"/>
      <c r="J215" s="160"/>
      <c r="K215" s="159"/>
      <c r="L215" s="160"/>
    </row>
    <row r="216" spans="1:12">
      <c r="A216" s="145"/>
      <c r="B216" s="195"/>
      <c r="C216" s="195"/>
      <c r="D216" s="195"/>
      <c r="E216" s="195"/>
      <c r="F216" s="195"/>
      <c r="G216" s="195"/>
      <c r="H216" s="195"/>
      <c r="I216" s="160"/>
      <c r="J216" s="160"/>
      <c r="K216" s="159"/>
      <c r="L216" s="160"/>
    </row>
    <row r="217" spans="1:12">
      <c r="A217" s="145"/>
      <c r="B217" s="195"/>
      <c r="C217" s="195"/>
      <c r="D217" s="195"/>
      <c r="E217" s="195"/>
      <c r="F217" s="195"/>
      <c r="G217" s="195"/>
      <c r="H217" s="195"/>
      <c r="I217" s="160"/>
      <c r="J217" s="160"/>
      <c r="K217" s="159"/>
      <c r="L217" s="160"/>
    </row>
    <row r="218" spans="1:12">
      <c r="A218" s="145"/>
      <c r="B218" s="195"/>
      <c r="C218" s="195"/>
      <c r="D218" s="195"/>
      <c r="E218" s="195"/>
      <c r="F218" s="195"/>
      <c r="G218" s="195"/>
      <c r="H218" s="195"/>
      <c r="I218" s="160"/>
      <c r="J218" s="160"/>
      <c r="K218" s="159"/>
      <c r="L218" s="160"/>
    </row>
    <row r="219" spans="1:12">
      <c r="A219" s="145"/>
      <c r="B219" s="195"/>
      <c r="C219" s="195"/>
      <c r="D219" s="195"/>
      <c r="E219" s="195"/>
      <c r="F219" s="195"/>
      <c r="G219" s="195"/>
      <c r="H219" s="195"/>
      <c r="I219" s="160"/>
      <c r="J219" s="160"/>
      <c r="K219" s="159"/>
      <c r="L219" s="160"/>
    </row>
    <row r="220" spans="1:12">
      <c r="A220" s="145"/>
      <c r="B220" s="195"/>
      <c r="C220" s="195"/>
      <c r="D220" s="195"/>
      <c r="E220" s="195"/>
      <c r="F220" s="195"/>
      <c r="G220" s="195"/>
      <c r="H220" s="195"/>
      <c r="I220" s="160"/>
      <c r="J220" s="160"/>
      <c r="K220" s="159"/>
      <c r="L220" s="160"/>
    </row>
    <row r="221" spans="1:12">
      <c r="A221" s="145"/>
      <c r="B221" s="195"/>
      <c r="C221" s="195"/>
      <c r="D221" s="195"/>
      <c r="E221" s="195"/>
      <c r="F221" s="195"/>
      <c r="G221" s="195"/>
      <c r="H221" s="195"/>
      <c r="I221" s="160"/>
      <c r="J221" s="160"/>
      <c r="K221" s="159"/>
      <c r="L221" s="160"/>
    </row>
    <row r="222" spans="1:12">
      <c r="A222" s="145"/>
      <c r="B222" s="195"/>
      <c r="C222" s="195"/>
      <c r="D222" s="195"/>
      <c r="E222" s="195"/>
      <c r="F222" s="195"/>
      <c r="G222" s="195"/>
      <c r="H222" s="195"/>
      <c r="I222" s="160"/>
      <c r="J222" s="160"/>
      <c r="K222" s="159"/>
      <c r="L222" s="160"/>
    </row>
    <row r="223" spans="1:12">
      <c r="A223" s="145"/>
      <c r="B223" s="195"/>
      <c r="C223" s="195"/>
      <c r="D223" s="195"/>
      <c r="E223" s="195"/>
      <c r="F223" s="195"/>
      <c r="G223" s="195"/>
      <c r="H223" s="195"/>
      <c r="I223" s="160"/>
      <c r="J223" s="160"/>
      <c r="K223" s="159"/>
      <c r="L223" s="160"/>
    </row>
    <row r="224" spans="1:12">
      <c r="A224" s="145"/>
      <c r="B224" s="195"/>
      <c r="C224" s="195"/>
      <c r="D224" s="195"/>
      <c r="E224" s="195"/>
      <c r="F224" s="195"/>
      <c r="G224" s="195"/>
      <c r="H224" s="195"/>
      <c r="I224" s="160"/>
      <c r="J224" s="160"/>
      <c r="K224" s="159"/>
      <c r="L224" s="160"/>
    </row>
    <row r="225" spans="1:12">
      <c r="A225" s="145"/>
      <c r="B225" s="195"/>
      <c r="C225" s="195"/>
      <c r="D225" s="195"/>
      <c r="E225" s="195"/>
      <c r="F225" s="195"/>
      <c r="G225" s="195"/>
      <c r="H225" s="195"/>
      <c r="I225" s="160"/>
      <c r="J225" s="160"/>
      <c r="K225" s="159"/>
      <c r="L225" s="159"/>
    </row>
    <row r="226" spans="1:12">
      <c r="A226" s="145"/>
      <c r="B226" s="195"/>
      <c r="C226" s="195"/>
      <c r="D226" s="195"/>
      <c r="E226" s="195"/>
      <c r="F226" s="195"/>
      <c r="G226" s="195"/>
      <c r="H226" s="195"/>
      <c r="I226" s="160"/>
      <c r="J226" s="160"/>
      <c r="K226" s="159"/>
      <c r="L226" s="159"/>
    </row>
    <row r="227" spans="1:12">
      <c r="A227" s="145"/>
      <c r="B227" s="195"/>
      <c r="C227" s="195"/>
      <c r="D227" s="195"/>
      <c r="E227" s="195"/>
      <c r="F227" s="195"/>
      <c r="G227" s="195"/>
      <c r="H227" s="195"/>
      <c r="I227" s="160"/>
      <c r="J227" s="160"/>
      <c r="K227" s="159"/>
      <c r="L227" s="159"/>
    </row>
    <row r="228" spans="1:12">
      <c r="A228" s="145"/>
      <c r="B228" s="195"/>
      <c r="C228" s="195"/>
      <c r="D228" s="195"/>
      <c r="E228" s="195"/>
      <c r="F228" s="195"/>
      <c r="G228" s="195"/>
      <c r="H228" s="195"/>
      <c r="I228" s="160"/>
      <c r="J228" s="160"/>
      <c r="K228" s="159"/>
      <c r="L228" s="159"/>
    </row>
    <row r="229" spans="1:12">
      <c r="A229" s="145"/>
      <c r="B229" s="195"/>
      <c r="C229" s="195"/>
      <c r="D229" s="195"/>
      <c r="E229" s="195"/>
      <c r="F229" s="195"/>
      <c r="G229" s="195"/>
      <c r="H229" s="195"/>
      <c r="I229" s="160"/>
      <c r="J229" s="160"/>
      <c r="K229" s="159"/>
      <c r="L229" s="159"/>
    </row>
    <row r="230" spans="1:12">
      <c r="A230" s="145"/>
      <c r="B230" s="195"/>
      <c r="C230" s="195"/>
      <c r="D230" s="195"/>
      <c r="E230" s="195"/>
      <c r="F230" s="195"/>
      <c r="G230" s="195"/>
      <c r="H230" s="195"/>
      <c r="I230" s="160"/>
      <c r="J230" s="160"/>
      <c r="K230" s="159"/>
      <c r="L230" s="159"/>
    </row>
    <row r="231" spans="1:12">
      <c r="A231" s="145"/>
      <c r="B231" s="195"/>
      <c r="C231" s="195"/>
      <c r="D231" s="195"/>
      <c r="E231" s="195"/>
      <c r="F231" s="195"/>
      <c r="G231" s="195"/>
      <c r="H231" s="195"/>
      <c r="I231" s="160"/>
      <c r="J231" s="160"/>
      <c r="K231" s="159"/>
      <c r="L231" s="159"/>
    </row>
    <row r="232" spans="1:12">
      <c r="A232" s="145"/>
      <c r="B232" s="195"/>
      <c r="C232" s="195"/>
      <c r="D232" s="195"/>
      <c r="E232" s="195"/>
      <c r="F232" s="195"/>
      <c r="G232" s="195"/>
      <c r="H232" s="195"/>
      <c r="I232" s="160"/>
      <c r="J232" s="160"/>
      <c r="K232" s="159"/>
      <c r="L232" s="159"/>
    </row>
    <row r="233" spans="1:12">
      <c r="A233" s="251"/>
      <c r="B233" s="196"/>
      <c r="C233" s="196"/>
      <c r="D233" s="196"/>
      <c r="E233" s="196"/>
      <c r="F233" s="196"/>
      <c r="G233" s="195"/>
      <c r="H233" s="195"/>
      <c r="I233" s="160"/>
      <c r="J233" s="160"/>
      <c r="K233" s="159"/>
      <c r="L233" s="159"/>
    </row>
    <row r="234" spans="1:12">
      <c r="G234" s="195"/>
      <c r="H234" s="84"/>
      <c r="I234" s="84"/>
      <c r="J234" s="84"/>
      <c r="K234" s="84"/>
      <c r="L234" s="159"/>
    </row>
    <row r="235" spans="1:12">
      <c r="G235" s="195"/>
      <c r="H235" s="84"/>
      <c r="I235" s="84"/>
      <c r="J235" s="84"/>
      <c r="K235" s="84"/>
      <c r="L235" s="159"/>
    </row>
    <row r="236" spans="1:12">
      <c r="G236" s="195"/>
      <c r="H236" s="195"/>
      <c r="I236" s="160"/>
      <c r="J236" s="160"/>
      <c r="K236" s="159"/>
      <c r="L236" s="159"/>
    </row>
    <row r="237" spans="1:12">
      <c r="G237" s="195"/>
      <c r="H237" s="195"/>
      <c r="I237" s="160"/>
      <c r="J237" s="160"/>
      <c r="K237" s="159"/>
      <c r="L237" s="159"/>
    </row>
    <row r="238" spans="1:12">
      <c r="G238" s="195"/>
      <c r="H238" s="195"/>
      <c r="I238" s="160"/>
      <c r="J238" s="160"/>
      <c r="K238" s="159"/>
      <c r="L238" s="159"/>
    </row>
    <row r="239" spans="1:12">
      <c r="G239" s="195"/>
      <c r="H239" s="195"/>
      <c r="I239" s="160"/>
      <c r="J239" s="160"/>
      <c r="K239" s="159"/>
      <c r="L239" s="159"/>
    </row>
    <row r="240" spans="1:12">
      <c r="G240" s="195"/>
      <c r="H240" s="195"/>
      <c r="I240" s="160"/>
      <c r="J240" s="160"/>
      <c r="K240" s="159"/>
      <c r="L240" s="159"/>
    </row>
    <row r="241" spans="1:12">
      <c r="G241" s="195"/>
      <c r="H241" s="195"/>
      <c r="I241" s="160"/>
      <c r="J241" s="160"/>
      <c r="K241" s="159"/>
      <c r="L241" s="159"/>
    </row>
    <row r="242" spans="1:12">
      <c r="G242" s="195"/>
      <c r="H242" s="195"/>
      <c r="I242" s="160"/>
      <c r="J242" s="160"/>
      <c r="K242" s="159"/>
      <c r="L242" s="159"/>
    </row>
    <row r="243" spans="1:12">
      <c r="G243" s="195"/>
      <c r="H243" s="195"/>
      <c r="I243" s="160"/>
      <c r="J243" s="160"/>
      <c r="K243" s="159"/>
      <c r="L243" s="159"/>
    </row>
    <row r="244" spans="1:12">
      <c r="G244" s="195"/>
      <c r="H244" s="195"/>
      <c r="I244" s="160"/>
      <c r="J244" s="160"/>
      <c r="K244" s="159"/>
      <c r="L244" s="159"/>
    </row>
    <row r="245" spans="1:12">
      <c r="G245" s="195"/>
      <c r="H245" s="195"/>
      <c r="I245" s="160"/>
      <c r="J245" s="160"/>
      <c r="K245" s="159"/>
      <c r="L245" s="159"/>
    </row>
    <row r="246" spans="1:12">
      <c r="G246" s="195"/>
      <c r="H246" s="195"/>
      <c r="I246" s="160"/>
      <c r="J246" s="160"/>
      <c r="K246" s="159"/>
      <c r="L246" s="159"/>
    </row>
    <row r="247" spans="1:12">
      <c r="G247" s="195"/>
      <c r="H247" s="195"/>
      <c r="I247" s="160"/>
      <c r="J247" s="160"/>
      <c r="K247" s="159"/>
      <c r="L247" s="159"/>
    </row>
    <row r="248" spans="1:12">
      <c r="G248" s="195"/>
      <c r="H248" s="195"/>
      <c r="I248" s="160"/>
      <c r="J248" s="160"/>
      <c r="K248" s="159"/>
      <c r="L248" s="160"/>
    </row>
    <row r="249" spans="1:12">
      <c r="A249" s="106"/>
      <c r="B249" s="106"/>
      <c r="C249" s="106"/>
      <c r="D249" s="106"/>
      <c r="E249" s="106"/>
      <c r="F249" s="106"/>
      <c r="G249" s="195"/>
      <c r="H249" s="195"/>
      <c r="I249" s="160"/>
      <c r="J249" s="160"/>
      <c r="K249" s="159"/>
      <c r="L249" s="160"/>
    </row>
    <row r="250" spans="1:12">
      <c r="A250" s="106"/>
      <c r="B250" s="106"/>
      <c r="C250" s="106"/>
      <c r="D250" s="106"/>
      <c r="E250" s="106"/>
      <c r="F250" s="106"/>
      <c r="G250" s="195"/>
      <c r="H250" s="195"/>
      <c r="I250" s="160"/>
      <c r="J250" s="160"/>
      <c r="K250" s="159"/>
      <c r="L250" s="160"/>
    </row>
    <row r="251" spans="1:12">
      <c r="A251" s="106"/>
      <c r="B251" s="106"/>
      <c r="C251" s="106"/>
      <c r="D251" s="106"/>
      <c r="E251" s="106"/>
      <c r="F251" s="106"/>
      <c r="G251" s="195"/>
      <c r="H251" s="195"/>
      <c r="I251" s="160"/>
      <c r="J251" s="160"/>
      <c r="K251" s="159"/>
      <c r="L251" s="160"/>
    </row>
    <row r="252" spans="1:12">
      <c r="A252" s="106"/>
      <c r="B252" s="106"/>
      <c r="C252" s="106"/>
      <c r="D252" s="106"/>
      <c r="E252" s="106"/>
      <c r="F252" s="106"/>
      <c r="G252" s="195"/>
      <c r="H252" s="195"/>
      <c r="I252" s="160"/>
      <c r="J252" s="160"/>
      <c r="K252" s="159"/>
      <c r="L252" s="160"/>
    </row>
    <row r="253" spans="1:12">
      <c r="A253" s="106"/>
      <c r="B253" s="106"/>
      <c r="C253" s="106"/>
      <c r="D253" s="106"/>
      <c r="E253" s="106"/>
      <c r="F253" s="106"/>
      <c r="G253" s="195"/>
      <c r="H253" s="195"/>
      <c r="I253" s="160"/>
      <c r="J253" s="160"/>
      <c r="K253" s="159"/>
      <c r="L253" s="160"/>
    </row>
    <row r="254" spans="1:12">
      <c r="A254" s="106"/>
      <c r="B254" s="106"/>
      <c r="C254" s="106"/>
      <c r="D254" s="106"/>
      <c r="E254" s="106"/>
      <c r="F254" s="106"/>
      <c r="G254" s="195"/>
      <c r="H254" s="195"/>
      <c r="I254" s="160"/>
      <c r="J254" s="160"/>
      <c r="K254" s="159"/>
      <c r="L254" s="160"/>
    </row>
    <row r="255" spans="1:12">
      <c r="A255" s="106"/>
      <c r="B255" s="106"/>
      <c r="C255" s="106"/>
      <c r="D255" s="106"/>
      <c r="E255" s="106"/>
      <c r="F255" s="106"/>
      <c r="G255" s="195"/>
      <c r="H255" s="195"/>
      <c r="I255" s="160"/>
      <c r="J255" s="160"/>
      <c r="K255" s="159"/>
      <c r="L255" s="160"/>
    </row>
    <row r="256" spans="1:12">
      <c r="A256" s="106"/>
      <c r="B256" s="106"/>
      <c r="C256" s="106"/>
      <c r="D256" s="106"/>
      <c r="E256" s="106"/>
      <c r="F256" s="106"/>
      <c r="G256" s="195"/>
      <c r="H256" s="195"/>
      <c r="I256" s="160"/>
      <c r="J256" s="160"/>
      <c r="K256" s="159"/>
      <c r="L256" s="160"/>
    </row>
    <row r="257" spans="1:12">
      <c r="A257" s="106"/>
      <c r="B257" s="106"/>
      <c r="C257" s="106"/>
      <c r="D257" s="106"/>
      <c r="E257" s="106"/>
      <c r="F257" s="106"/>
      <c r="G257" s="195"/>
      <c r="H257" s="195"/>
      <c r="I257" s="160"/>
      <c r="J257" s="160"/>
      <c r="K257" s="159"/>
      <c r="L257" s="159"/>
    </row>
    <row r="258" spans="1:12">
      <c r="A258" s="106"/>
      <c r="B258" s="106"/>
      <c r="C258" s="106"/>
      <c r="D258" s="106"/>
      <c r="E258" s="106"/>
      <c r="F258" s="106"/>
      <c r="G258" s="195"/>
      <c r="H258" s="195"/>
      <c r="I258" s="160"/>
      <c r="J258" s="160"/>
      <c r="K258" s="159"/>
      <c r="L258" s="159"/>
    </row>
    <row r="259" spans="1:12">
      <c r="A259" s="106"/>
      <c r="B259" s="106"/>
      <c r="C259" s="106"/>
      <c r="D259" s="106"/>
      <c r="E259" s="106"/>
      <c r="F259" s="106"/>
      <c r="G259" s="195"/>
      <c r="H259" s="195"/>
      <c r="I259" s="160"/>
      <c r="J259" s="160"/>
      <c r="K259" s="159"/>
      <c r="L259" s="159"/>
    </row>
    <row r="260" spans="1:12">
      <c r="A260" s="106"/>
      <c r="B260" s="106"/>
      <c r="C260" s="106"/>
      <c r="D260" s="106"/>
      <c r="E260" s="106"/>
      <c r="F260" s="106"/>
      <c r="G260" s="195"/>
      <c r="H260" s="195"/>
      <c r="I260" s="160"/>
      <c r="J260" s="160"/>
      <c r="K260" s="159"/>
      <c r="L260" s="159"/>
    </row>
    <row r="261" spans="1:12">
      <c r="A261" s="106"/>
      <c r="B261" s="106"/>
      <c r="C261" s="106"/>
      <c r="D261" s="106"/>
      <c r="E261" s="106"/>
      <c r="F261" s="106"/>
      <c r="G261" s="195"/>
      <c r="H261" s="195"/>
      <c r="I261" s="160"/>
      <c r="J261" s="160"/>
      <c r="K261" s="159"/>
      <c r="L261" s="159"/>
    </row>
    <row r="262" spans="1:12">
      <c r="A262" s="106"/>
      <c r="B262" s="106"/>
      <c r="C262" s="106"/>
      <c r="D262" s="106"/>
      <c r="E262" s="106"/>
      <c r="F262" s="106"/>
      <c r="G262" s="195"/>
      <c r="H262" s="195"/>
      <c r="I262" s="160"/>
      <c r="J262" s="160"/>
      <c r="K262" s="159"/>
      <c r="L262" s="159"/>
    </row>
    <row r="263" spans="1:12">
      <c r="A263" s="106"/>
      <c r="B263" s="106"/>
      <c r="C263" s="106"/>
      <c r="D263" s="106"/>
      <c r="E263" s="106"/>
      <c r="F263" s="106"/>
      <c r="G263" s="195"/>
      <c r="H263" s="195"/>
      <c r="I263" s="160"/>
      <c r="J263" s="160"/>
      <c r="K263" s="159"/>
      <c r="L263" s="159"/>
    </row>
    <row r="264" spans="1:12">
      <c r="A264" s="106"/>
      <c r="B264" s="106"/>
      <c r="C264" s="106"/>
      <c r="D264" s="106"/>
      <c r="E264" s="106"/>
      <c r="F264" s="106"/>
      <c r="G264" s="195"/>
      <c r="H264" s="195"/>
      <c r="I264" s="160"/>
      <c r="J264" s="160"/>
      <c r="K264" s="159"/>
      <c r="L264" s="159"/>
    </row>
    <row r="265" spans="1:12">
      <c r="A265" s="106"/>
      <c r="B265" s="106"/>
      <c r="C265" s="106"/>
      <c r="D265" s="106"/>
      <c r="E265" s="106"/>
      <c r="F265" s="106"/>
      <c r="G265" s="195"/>
      <c r="H265" s="195"/>
      <c r="I265" s="160"/>
      <c r="J265" s="160"/>
      <c r="K265" s="159"/>
      <c r="L265" s="159"/>
    </row>
    <row r="266" spans="1:12">
      <c r="A266" s="106"/>
      <c r="B266" s="106"/>
      <c r="C266" s="106"/>
      <c r="D266" s="106"/>
      <c r="E266" s="106"/>
      <c r="F266" s="106"/>
      <c r="G266" s="195"/>
      <c r="H266" s="195"/>
      <c r="I266" s="160"/>
      <c r="J266" s="160"/>
      <c r="K266" s="159"/>
      <c r="L266" s="160"/>
    </row>
    <row r="267" spans="1:12">
      <c r="A267" s="106"/>
      <c r="B267" s="106"/>
      <c r="C267" s="106"/>
      <c r="D267" s="106"/>
      <c r="E267" s="106"/>
      <c r="F267" s="106"/>
      <c r="G267" s="195"/>
      <c r="H267" s="195"/>
      <c r="I267" s="160"/>
      <c r="J267" s="160"/>
      <c r="K267" s="159"/>
      <c r="L267" s="159"/>
    </row>
    <row r="268" spans="1:12">
      <c r="A268" s="106"/>
      <c r="B268" s="106"/>
      <c r="C268" s="106"/>
      <c r="D268" s="106"/>
      <c r="E268" s="106"/>
      <c r="F268" s="106"/>
      <c r="G268" s="195"/>
      <c r="H268" s="249"/>
      <c r="I268" s="249"/>
      <c r="J268" s="249"/>
      <c r="K268" s="249"/>
      <c r="L268" s="159"/>
    </row>
    <row r="269" spans="1:12">
      <c r="A269" s="106"/>
      <c r="B269" s="106"/>
      <c r="C269" s="106"/>
      <c r="D269" s="106"/>
      <c r="E269" s="106"/>
      <c r="F269" s="106"/>
      <c r="G269" s="195"/>
      <c r="H269" s="249"/>
      <c r="I269" s="249"/>
      <c r="J269" s="249"/>
      <c r="K269" s="249"/>
      <c r="L269" s="159"/>
    </row>
    <row r="270" spans="1:12">
      <c r="A270" s="106"/>
      <c r="B270" s="106"/>
      <c r="C270" s="106"/>
      <c r="D270" s="106"/>
      <c r="E270" s="106"/>
      <c r="F270" s="106"/>
      <c r="G270" s="195"/>
      <c r="H270" s="249"/>
      <c r="I270" s="249"/>
      <c r="J270" s="249"/>
      <c r="K270" s="249"/>
      <c r="L270" s="159"/>
    </row>
    <row r="271" spans="1:12">
      <c r="A271" s="106"/>
      <c r="B271" s="106"/>
      <c r="C271" s="106"/>
      <c r="D271" s="106"/>
      <c r="E271" s="106"/>
      <c r="F271" s="106"/>
      <c r="G271" s="195"/>
      <c r="H271" s="249"/>
      <c r="I271" s="249"/>
      <c r="J271" s="249"/>
      <c r="K271" s="249"/>
      <c r="L271" s="159"/>
    </row>
    <row r="272" spans="1:12">
      <c r="A272" s="106"/>
      <c r="B272" s="106"/>
      <c r="C272" s="106"/>
      <c r="D272" s="106"/>
      <c r="E272" s="106"/>
      <c r="F272" s="106"/>
      <c r="G272" s="195"/>
      <c r="H272" s="249"/>
      <c r="I272" s="249"/>
      <c r="J272" s="249"/>
      <c r="K272" s="249"/>
      <c r="L272" s="159"/>
    </row>
    <row r="273" spans="1:12">
      <c r="A273" s="106"/>
      <c r="B273" s="106"/>
      <c r="C273" s="106"/>
      <c r="D273" s="106"/>
      <c r="E273" s="106"/>
      <c r="F273" s="106"/>
      <c r="G273" s="195"/>
      <c r="H273" s="195"/>
      <c r="I273" s="160"/>
      <c r="J273" s="160"/>
      <c r="K273" s="159"/>
      <c r="L273" s="160"/>
    </row>
    <row r="274" spans="1:12">
      <c r="A274" s="106"/>
      <c r="B274" s="106"/>
      <c r="C274" s="106"/>
      <c r="D274" s="106"/>
      <c r="E274" s="106"/>
      <c r="F274" s="106"/>
      <c r="G274" s="195"/>
      <c r="H274" s="195"/>
      <c r="I274" s="160"/>
      <c r="J274" s="160"/>
      <c r="K274" s="159"/>
      <c r="L274" s="160"/>
    </row>
    <row r="275" spans="1:12">
      <c r="A275" s="106"/>
      <c r="B275" s="106"/>
      <c r="C275" s="106"/>
      <c r="D275" s="106"/>
      <c r="E275" s="106"/>
      <c r="F275" s="106"/>
      <c r="G275" s="195"/>
      <c r="H275" s="195"/>
      <c r="I275" s="160"/>
      <c r="J275" s="160"/>
      <c r="K275" s="159"/>
      <c r="L275" s="160"/>
    </row>
    <row r="276" spans="1:12">
      <c r="A276" s="106"/>
      <c r="B276" s="106"/>
      <c r="C276" s="106"/>
      <c r="D276" s="106"/>
      <c r="E276" s="106"/>
      <c r="F276" s="106"/>
      <c r="G276" s="195"/>
      <c r="H276" s="195"/>
      <c r="I276" s="160"/>
      <c r="J276" s="160"/>
      <c r="K276" s="159"/>
      <c r="L276" s="160"/>
    </row>
    <row r="277" spans="1:12">
      <c r="A277" s="106"/>
      <c r="B277" s="106"/>
      <c r="C277" s="106"/>
      <c r="D277" s="106"/>
      <c r="E277" s="106"/>
      <c r="F277" s="106"/>
      <c r="G277" s="195"/>
      <c r="H277" s="195"/>
      <c r="I277" s="160"/>
      <c r="J277" s="160"/>
      <c r="K277" s="159"/>
      <c r="L277" s="160"/>
    </row>
    <row r="278" spans="1:12">
      <c r="A278" s="106"/>
      <c r="B278" s="106"/>
      <c r="C278" s="106"/>
      <c r="D278" s="106"/>
      <c r="E278" s="106"/>
      <c r="F278" s="106"/>
      <c r="G278" s="195"/>
      <c r="H278" s="195"/>
      <c r="I278" s="160"/>
      <c r="J278" s="160"/>
      <c r="K278" s="160"/>
      <c r="L278" s="160"/>
    </row>
    <row r="279" spans="1:12">
      <c r="A279" s="106"/>
      <c r="B279" s="106"/>
      <c r="C279" s="106"/>
      <c r="D279" s="106"/>
      <c r="E279" s="106"/>
      <c r="F279" s="106"/>
      <c r="G279" s="195"/>
      <c r="H279" s="195"/>
      <c r="I279" s="160"/>
      <c r="J279" s="160"/>
      <c r="K279" s="160"/>
      <c r="L279" s="160"/>
    </row>
    <row r="280" spans="1:12">
      <c r="A280" s="106"/>
      <c r="B280" s="106"/>
      <c r="C280" s="106"/>
      <c r="D280" s="106"/>
      <c r="E280" s="106"/>
      <c r="F280" s="106"/>
      <c r="G280" s="195"/>
      <c r="H280" s="195"/>
      <c r="I280" s="160"/>
      <c r="J280" s="160"/>
      <c r="K280" s="160"/>
      <c r="L280" s="160"/>
    </row>
    <row r="281" spans="1:12">
      <c r="A281" s="106"/>
      <c r="B281" s="106"/>
      <c r="C281" s="106"/>
      <c r="D281" s="106"/>
      <c r="E281" s="106"/>
      <c r="F281" s="106"/>
      <c r="G281" s="195"/>
      <c r="H281" s="195"/>
      <c r="I281" s="160"/>
      <c r="J281" s="160"/>
      <c r="K281" s="160"/>
      <c r="L281" s="160"/>
    </row>
    <row r="282" spans="1:12">
      <c r="A282" s="106"/>
      <c r="B282" s="106"/>
      <c r="C282" s="106"/>
      <c r="D282" s="106"/>
      <c r="E282" s="106"/>
      <c r="F282" s="106"/>
      <c r="G282" s="195"/>
      <c r="H282" s="195"/>
      <c r="I282" s="160"/>
      <c r="J282" s="160"/>
      <c r="K282" s="160"/>
      <c r="L282" s="160"/>
    </row>
    <row r="283" spans="1:12">
      <c r="A283" s="106"/>
      <c r="B283" s="106"/>
      <c r="C283" s="106"/>
      <c r="D283" s="106"/>
      <c r="E283" s="106"/>
      <c r="F283" s="106"/>
      <c r="G283" s="195"/>
      <c r="H283" s="195"/>
      <c r="I283" s="160"/>
      <c r="J283" s="160"/>
      <c r="K283" s="160"/>
      <c r="L283" s="160"/>
    </row>
    <row r="284" spans="1:12">
      <c r="A284" s="106"/>
      <c r="B284" s="106"/>
      <c r="C284" s="106"/>
      <c r="D284" s="106"/>
      <c r="E284" s="106"/>
      <c r="F284" s="106"/>
      <c r="G284" s="195"/>
      <c r="H284" s="195"/>
      <c r="I284" s="160"/>
      <c r="J284" s="160"/>
      <c r="K284" s="160"/>
      <c r="L284" s="160"/>
    </row>
    <row r="285" spans="1:12">
      <c r="A285" s="106"/>
      <c r="B285" s="106"/>
      <c r="C285" s="106"/>
      <c r="D285" s="106"/>
      <c r="E285" s="106"/>
      <c r="F285" s="106"/>
      <c r="G285" s="195"/>
      <c r="H285" s="195"/>
      <c r="I285" s="160"/>
      <c r="J285" s="160"/>
      <c r="K285" s="160"/>
      <c r="L285" s="160"/>
    </row>
    <row r="286" spans="1:12">
      <c r="A286" s="106"/>
      <c r="B286" s="106"/>
      <c r="C286" s="106"/>
      <c r="D286" s="106"/>
      <c r="E286" s="106"/>
      <c r="F286" s="106"/>
      <c r="G286" s="195"/>
      <c r="H286" s="195"/>
      <c r="I286" s="160"/>
      <c r="J286" s="160"/>
      <c r="K286" s="160"/>
      <c r="L286" s="141"/>
    </row>
    <row r="287" spans="1:12">
      <c r="A287" s="106"/>
      <c r="B287" s="106"/>
      <c r="C287" s="106"/>
      <c r="D287" s="106"/>
      <c r="E287" s="106"/>
      <c r="F287" s="106"/>
      <c r="G287" s="195"/>
      <c r="H287" s="195"/>
      <c r="I287" s="160"/>
      <c r="J287" s="160"/>
      <c r="K287" s="160"/>
      <c r="L287" s="141"/>
    </row>
    <row r="288" spans="1:12">
      <c r="A288" s="106"/>
      <c r="B288" s="106"/>
      <c r="C288" s="106"/>
      <c r="D288" s="106"/>
      <c r="E288" s="106"/>
      <c r="F288" s="106"/>
      <c r="G288" s="195"/>
      <c r="H288" s="195"/>
      <c r="I288" s="160"/>
      <c r="J288" s="160"/>
      <c r="K288" s="160"/>
      <c r="L288" s="141"/>
    </row>
    <row r="289" spans="1:12">
      <c r="A289" s="106"/>
      <c r="B289" s="106"/>
      <c r="C289" s="106"/>
      <c r="D289" s="106"/>
      <c r="E289" s="106"/>
      <c r="F289" s="106"/>
      <c r="G289" s="195"/>
      <c r="H289" s="195"/>
      <c r="I289" s="160"/>
      <c r="J289" s="160"/>
      <c r="K289" s="159"/>
      <c r="L289" s="141"/>
    </row>
    <row r="290" spans="1:12">
      <c r="A290" s="106"/>
      <c r="B290" s="106"/>
      <c r="C290" s="106"/>
      <c r="D290" s="106"/>
      <c r="E290" s="106"/>
      <c r="F290" s="106"/>
      <c r="G290" s="195"/>
      <c r="H290" s="195"/>
      <c r="I290" s="160"/>
      <c r="J290" s="160"/>
      <c r="K290" s="159"/>
      <c r="L290" s="141"/>
    </row>
    <row r="291" spans="1:12">
      <c r="A291" s="106"/>
      <c r="B291" s="106"/>
      <c r="C291" s="106"/>
      <c r="D291" s="106"/>
      <c r="E291" s="106"/>
      <c r="F291" s="106"/>
      <c r="G291" s="195"/>
      <c r="H291" s="195"/>
      <c r="I291" s="160"/>
      <c r="J291" s="160"/>
      <c r="K291" s="159"/>
      <c r="L291" s="141"/>
    </row>
    <row r="292" spans="1:12">
      <c r="A292" s="106"/>
      <c r="B292" s="106"/>
      <c r="C292" s="106"/>
      <c r="D292" s="106"/>
      <c r="E292" s="106"/>
      <c r="F292" s="106"/>
      <c r="G292" s="195"/>
      <c r="H292" s="195"/>
      <c r="I292" s="160"/>
      <c r="J292" s="160"/>
      <c r="K292" s="159"/>
      <c r="L292" s="141"/>
    </row>
    <row r="293" spans="1:12">
      <c r="A293" s="106"/>
      <c r="B293" s="106"/>
      <c r="C293" s="106"/>
      <c r="D293" s="106"/>
      <c r="E293" s="106"/>
      <c r="F293" s="106"/>
      <c r="G293" s="195"/>
      <c r="H293" s="195"/>
      <c r="I293" s="160"/>
      <c r="J293" s="160"/>
      <c r="K293" s="159"/>
      <c r="L293" s="141"/>
    </row>
    <row r="294" spans="1:12">
      <c r="A294" s="106"/>
      <c r="B294" s="106"/>
      <c r="C294" s="106"/>
      <c r="D294" s="106"/>
      <c r="E294" s="106"/>
      <c r="F294" s="106"/>
      <c r="G294" s="195"/>
      <c r="H294" s="195"/>
      <c r="I294" s="160"/>
      <c r="J294" s="160"/>
      <c r="K294" s="159"/>
      <c r="L294" s="141"/>
    </row>
    <row r="295" spans="1:12">
      <c r="A295" s="106"/>
      <c r="B295" s="106"/>
      <c r="C295" s="106"/>
      <c r="D295" s="106"/>
      <c r="E295" s="106"/>
      <c r="F295" s="106"/>
      <c r="G295" s="195"/>
      <c r="H295" s="195"/>
      <c r="I295" s="160"/>
      <c r="J295" s="160"/>
      <c r="K295" s="159"/>
      <c r="L295" s="141"/>
    </row>
    <row r="296" spans="1:12">
      <c r="A296" s="106"/>
      <c r="B296" s="106"/>
      <c r="C296" s="106"/>
      <c r="D296" s="106"/>
      <c r="E296" s="106"/>
      <c r="F296" s="106"/>
      <c r="G296" s="195"/>
      <c r="H296" s="195"/>
      <c r="I296" s="160"/>
      <c r="J296" s="160"/>
      <c r="K296" s="159"/>
      <c r="L296" s="141"/>
    </row>
    <row r="297" spans="1:12">
      <c r="A297" s="106"/>
      <c r="B297" s="106"/>
      <c r="C297" s="106"/>
      <c r="D297" s="106"/>
      <c r="E297" s="106"/>
      <c r="F297" s="106"/>
      <c r="G297" s="195"/>
      <c r="H297" s="195"/>
      <c r="I297" s="160"/>
      <c r="J297" s="160"/>
      <c r="K297" s="159"/>
      <c r="L297" s="141"/>
    </row>
    <row r="298" spans="1:12">
      <c r="A298" s="106"/>
      <c r="B298" s="106"/>
      <c r="C298" s="106"/>
      <c r="D298" s="106"/>
      <c r="E298" s="106"/>
      <c r="F298" s="106"/>
      <c r="G298" s="195"/>
      <c r="H298" s="195"/>
      <c r="I298" s="160"/>
      <c r="J298" s="160"/>
      <c r="K298" s="159"/>
      <c r="L298" s="141"/>
    </row>
    <row r="299" spans="1:12">
      <c r="A299" s="106"/>
      <c r="B299" s="106"/>
      <c r="C299" s="106"/>
      <c r="D299" s="106"/>
      <c r="E299" s="106"/>
      <c r="F299" s="106"/>
      <c r="G299" s="195"/>
      <c r="H299" s="195"/>
      <c r="I299" s="160"/>
      <c r="J299" s="160"/>
      <c r="K299" s="159"/>
      <c r="L299" s="141"/>
    </row>
    <row r="300" spans="1:12">
      <c r="A300" s="106"/>
      <c r="B300" s="106"/>
      <c r="C300" s="106"/>
      <c r="D300" s="106"/>
      <c r="E300" s="106"/>
      <c r="F300" s="106"/>
      <c r="G300" s="195"/>
      <c r="H300" s="195"/>
      <c r="I300" s="160"/>
      <c r="J300" s="160"/>
      <c r="K300" s="159"/>
      <c r="L300" s="141"/>
    </row>
    <row r="301" spans="1:12">
      <c r="A301" s="106"/>
      <c r="B301" s="106"/>
      <c r="C301" s="106"/>
      <c r="D301" s="106"/>
      <c r="E301" s="106"/>
      <c r="F301" s="106"/>
      <c r="G301" s="195"/>
      <c r="H301" s="195"/>
      <c r="I301" s="160"/>
      <c r="J301" s="160"/>
      <c r="K301" s="159"/>
      <c r="L301" s="141"/>
    </row>
    <row r="302" spans="1:12">
      <c r="A302" s="106"/>
      <c r="B302" s="106"/>
      <c r="C302" s="106"/>
      <c r="D302" s="106"/>
      <c r="E302" s="106"/>
      <c r="F302" s="106"/>
      <c r="H302" s="195"/>
      <c r="I302" s="160"/>
      <c r="J302" s="160"/>
      <c r="K302" s="159"/>
      <c r="L302" s="141"/>
    </row>
    <row r="303" spans="1:12">
      <c r="A303" s="106"/>
      <c r="B303" s="106"/>
      <c r="C303" s="106"/>
      <c r="D303" s="106"/>
      <c r="E303" s="106"/>
      <c r="F303" s="106"/>
      <c r="H303" s="195"/>
      <c r="I303" s="160"/>
      <c r="J303" s="160"/>
      <c r="K303" s="159"/>
      <c r="L303" s="141"/>
    </row>
    <row r="304" spans="1:12">
      <c r="A304" s="106"/>
      <c r="B304" s="106"/>
      <c r="C304" s="106"/>
      <c r="D304" s="106"/>
      <c r="E304" s="106"/>
      <c r="F304" s="106"/>
      <c r="H304" s="195"/>
      <c r="I304" s="160"/>
      <c r="J304" s="160"/>
      <c r="K304" s="159"/>
      <c r="L304" s="141"/>
    </row>
    <row r="305" spans="1:12">
      <c r="A305" s="106"/>
      <c r="B305" s="106"/>
      <c r="C305" s="106"/>
      <c r="D305" s="106"/>
      <c r="E305" s="106"/>
      <c r="F305" s="106"/>
      <c r="H305" s="195"/>
      <c r="I305" s="160"/>
      <c r="J305" s="160"/>
      <c r="K305" s="159"/>
      <c r="L305" s="141"/>
    </row>
    <row r="306" spans="1:12">
      <c r="A306" s="106"/>
      <c r="B306" s="106"/>
      <c r="C306" s="106"/>
      <c r="D306" s="106"/>
      <c r="E306" s="106"/>
      <c r="F306" s="106"/>
      <c r="H306" s="195"/>
      <c r="I306" s="160"/>
      <c r="J306" s="160"/>
      <c r="K306" s="159"/>
      <c r="L306" s="141"/>
    </row>
    <row r="307" spans="1:12">
      <c r="A307" s="106"/>
      <c r="B307" s="106"/>
      <c r="C307" s="106"/>
      <c r="D307" s="106"/>
      <c r="E307" s="106"/>
      <c r="F307" s="106"/>
      <c r="H307" s="195"/>
      <c r="I307" s="160"/>
      <c r="J307" s="160"/>
      <c r="K307" s="159"/>
      <c r="L307" s="141"/>
    </row>
    <row r="308" spans="1:12">
      <c r="A308" s="106"/>
      <c r="B308" s="106"/>
      <c r="C308" s="106"/>
      <c r="D308" s="106"/>
      <c r="E308" s="106"/>
      <c r="F308" s="106"/>
      <c r="H308" s="195"/>
      <c r="I308" s="160"/>
      <c r="J308" s="160"/>
      <c r="K308" s="159"/>
      <c r="L308" s="141"/>
    </row>
    <row r="309" spans="1:12">
      <c r="A309" s="106"/>
      <c r="B309" s="106"/>
      <c r="C309" s="106"/>
      <c r="D309" s="106"/>
      <c r="E309" s="106"/>
      <c r="F309" s="106"/>
      <c r="H309" s="195"/>
      <c r="I309" s="160"/>
      <c r="J309" s="160"/>
      <c r="K309" s="159"/>
      <c r="L309" s="141"/>
    </row>
    <row r="310" spans="1:12">
      <c r="A310" s="106"/>
      <c r="B310" s="106"/>
      <c r="C310" s="106"/>
      <c r="D310" s="106"/>
      <c r="E310" s="106"/>
      <c r="F310" s="106"/>
      <c r="G310" s="106"/>
      <c r="H310" s="195"/>
      <c r="I310" s="160"/>
      <c r="J310" s="160"/>
      <c r="K310" s="159"/>
      <c r="L310" s="141"/>
    </row>
    <row r="311" spans="1:12">
      <c r="A311" s="106"/>
      <c r="B311" s="106"/>
      <c r="C311" s="106"/>
      <c r="D311" s="106"/>
      <c r="E311" s="106"/>
      <c r="F311" s="106"/>
      <c r="G311" s="106"/>
      <c r="H311" s="195"/>
      <c r="I311" s="160"/>
      <c r="J311" s="160"/>
      <c r="K311" s="159"/>
      <c r="L311" s="141"/>
    </row>
    <row r="312" spans="1:12">
      <c r="A312" s="106"/>
      <c r="B312" s="106"/>
      <c r="C312" s="106"/>
      <c r="D312" s="106"/>
      <c r="E312" s="106"/>
      <c r="F312" s="106"/>
      <c r="G312" s="106"/>
      <c r="H312" s="195"/>
      <c r="I312" s="160"/>
      <c r="J312" s="160"/>
      <c r="K312" s="160"/>
      <c r="L312" s="141"/>
    </row>
    <row r="313" spans="1:12">
      <c r="A313" s="106"/>
      <c r="B313" s="106"/>
      <c r="C313" s="106"/>
      <c r="D313" s="106"/>
      <c r="E313" s="106"/>
      <c r="F313" s="106"/>
      <c r="G313" s="106"/>
      <c r="H313" s="195"/>
      <c r="I313" s="160"/>
      <c r="J313" s="160"/>
      <c r="K313" s="160"/>
      <c r="L313" s="141"/>
    </row>
    <row r="314" spans="1:12">
      <c r="A314" s="106"/>
      <c r="B314" s="106"/>
      <c r="C314" s="106"/>
      <c r="D314" s="106"/>
      <c r="E314" s="106"/>
      <c r="F314" s="106"/>
      <c r="G314" s="106"/>
      <c r="H314" s="195"/>
      <c r="I314" s="160"/>
      <c r="J314" s="160"/>
      <c r="K314" s="160"/>
      <c r="L314" s="141"/>
    </row>
    <row r="315" spans="1:12">
      <c r="A315" s="106"/>
      <c r="B315" s="106"/>
      <c r="C315" s="106"/>
      <c r="D315" s="106"/>
      <c r="E315" s="106"/>
      <c r="F315" s="106"/>
      <c r="G315" s="106"/>
      <c r="H315" s="195"/>
      <c r="I315" s="160"/>
      <c r="J315" s="160"/>
      <c r="K315" s="160"/>
      <c r="L315" s="141"/>
    </row>
    <row r="316" spans="1:12">
      <c r="A316" s="106"/>
      <c r="B316" s="106"/>
      <c r="C316" s="106"/>
      <c r="D316" s="106"/>
      <c r="E316" s="106"/>
      <c r="F316" s="106"/>
      <c r="G316" s="106"/>
      <c r="H316" s="195"/>
      <c r="I316" s="160"/>
      <c r="J316" s="160"/>
      <c r="K316" s="160"/>
      <c r="L316" s="141"/>
    </row>
    <row r="317" spans="1:12">
      <c r="A317" s="106"/>
      <c r="B317" s="106"/>
      <c r="C317" s="106"/>
      <c r="D317" s="106"/>
      <c r="E317" s="106"/>
      <c r="F317" s="106"/>
      <c r="G317" s="106"/>
      <c r="H317" s="195"/>
      <c r="I317" s="160"/>
      <c r="J317" s="160"/>
      <c r="K317" s="160"/>
      <c r="L317" s="141"/>
    </row>
    <row r="318" spans="1:12">
      <c r="A318" s="106"/>
      <c r="B318" s="106"/>
      <c r="C318" s="106"/>
      <c r="D318" s="106"/>
      <c r="E318" s="106"/>
      <c r="F318" s="106"/>
      <c r="G318" s="106"/>
      <c r="H318" s="195"/>
      <c r="I318" s="160"/>
      <c r="J318" s="160"/>
      <c r="K318" s="160"/>
      <c r="L318" s="141"/>
    </row>
    <row r="319" spans="1:12">
      <c r="A319" s="106"/>
      <c r="B319" s="106"/>
      <c r="C319" s="106"/>
      <c r="D319" s="106"/>
      <c r="E319" s="106"/>
      <c r="F319" s="106"/>
      <c r="G319" s="106"/>
      <c r="H319" s="195"/>
      <c r="I319" s="160"/>
      <c r="J319" s="160"/>
      <c r="K319" s="160"/>
      <c r="L319" s="141"/>
    </row>
    <row r="320" spans="1:12">
      <c r="A320" s="106"/>
      <c r="B320" s="106"/>
      <c r="C320" s="106"/>
      <c r="D320" s="106"/>
      <c r="E320" s="106"/>
      <c r="F320" s="106"/>
      <c r="G320" s="106"/>
      <c r="H320" s="195"/>
      <c r="I320" s="160"/>
      <c r="J320" s="160"/>
      <c r="K320" s="160"/>
    </row>
    <row r="321" spans="1:11">
      <c r="A321" s="106"/>
      <c r="B321" s="106"/>
      <c r="C321" s="106"/>
      <c r="D321" s="106"/>
      <c r="E321" s="106"/>
      <c r="F321" s="106"/>
      <c r="G321" s="106"/>
      <c r="H321" s="195"/>
      <c r="I321" s="160"/>
      <c r="J321" s="160"/>
      <c r="K321" s="159"/>
    </row>
    <row r="322" spans="1:11">
      <c r="A322" s="106"/>
      <c r="B322" s="106"/>
      <c r="C322" s="106"/>
      <c r="D322" s="106"/>
      <c r="E322" s="106"/>
      <c r="F322" s="106"/>
      <c r="G322" s="106"/>
      <c r="H322" s="195"/>
      <c r="I322" s="160"/>
      <c r="J322" s="160"/>
      <c r="K322" s="159"/>
    </row>
    <row r="323" spans="1:11">
      <c r="A323" s="106"/>
      <c r="B323" s="106"/>
      <c r="C323" s="106"/>
      <c r="D323" s="106"/>
      <c r="E323" s="106"/>
      <c r="F323" s="106"/>
      <c r="G323" s="106"/>
      <c r="H323" s="195"/>
      <c r="I323" s="160"/>
      <c r="J323" s="160"/>
      <c r="K323" s="159"/>
    </row>
    <row r="324" spans="1:11">
      <c r="A324" s="106"/>
      <c r="B324" s="106"/>
      <c r="C324" s="106"/>
      <c r="D324" s="106"/>
      <c r="E324" s="106"/>
      <c r="F324" s="106"/>
      <c r="G324" s="106"/>
      <c r="H324" s="195"/>
      <c r="I324" s="160"/>
      <c r="J324" s="160"/>
      <c r="K324" s="159"/>
    </row>
    <row r="325" spans="1:11">
      <c r="A325" s="106"/>
      <c r="B325" s="106"/>
      <c r="C325" s="106"/>
      <c r="D325" s="106"/>
      <c r="E325" s="106"/>
      <c r="F325" s="106"/>
      <c r="G325" s="106"/>
      <c r="H325" s="195"/>
      <c r="I325" s="160"/>
      <c r="J325" s="160"/>
      <c r="K325" s="159"/>
    </row>
    <row r="326" spans="1:11">
      <c r="A326" s="106"/>
      <c r="B326" s="106"/>
      <c r="C326" s="106"/>
      <c r="D326" s="106"/>
      <c r="E326" s="106"/>
      <c r="F326" s="106"/>
      <c r="G326" s="106"/>
      <c r="H326" s="195"/>
      <c r="I326" s="160"/>
      <c r="J326" s="160"/>
      <c r="K326" s="159"/>
    </row>
    <row r="327" spans="1:11">
      <c r="A327" s="106"/>
      <c r="B327" s="106"/>
      <c r="C327" s="106"/>
      <c r="D327" s="106"/>
      <c r="E327" s="106"/>
      <c r="F327" s="106"/>
      <c r="G327" s="106"/>
      <c r="H327" s="195"/>
      <c r="I327" s="160"/>
      <c r="J327" s="160"/>
      <c r="K327" s="159"/>
    </row>
    <row r="328" spans="1:11">
      <c r="A328" s="106"/>
      <c r="B328" s="106"/>
      <c r="C328" s="106"/>
      <c r="D328" s="106"/>
      <c r="E328" s="106"/>
      <c r="F328" s="106"/>
      <c r="G328" s="106"/>
      <c r="H328" s="195"/>
      <c r="I328" s="160"/>
      <c r="J328" s="160"/>
      <c r="K328" s="159"/>
    </row>
    <row r="329" spans="1:11">
      <c r="A329" s="106"/>
      <c r="B329" s="106"/>
      <c r="C329" s="106"/>
      <c r="D329" s="106"/>
      <c r="E329" s="106"/>
      <c r="F329" s="106"/>
      <c r="G329" s="106"/>
      <c r="H329" s="195"/>
      <c r="I329" s="160"/>
      <c r="J329" s="160"/>
      <c r="K329" s="159"/>
    </row>
    <row r="330" spans="1:11">
      <c r="A330" s="106"/>
      <c r="B330" s="106"/>
      <c r="C330" s="106"/>
      <c r="D330" s="106"/>
      <c r="E330" s="106"/>
      <c r="F330" s="106"/>
      <c r="G330" s="106"/>
      <c r="H330" s="195"/>
      <c r="I330" s="160"/>
      <c r="J330" s="160"/>
      <c r="K330" s="159"/>
    </row>
    <row r="331" spans="1:11">
      <c r="A331" s="106"/>
      <c r="B331" s="106"/>
      <c r="C331" s="106"/>
      <c r="D331" s="106"/>
      <c r="E331" s="106"/>
      <c r="F331" s="106"/>
      <c r="G331" s="106"/>
      <c r="H331" s="195"/>
      <c r="I331" s="160"/>
      <c r="J331" s="160"/>
      <c r="K331" s="159"/>
    </row>
    <row r="332" spans="1:11">
      <c r="A332" s="106"/>
      <c r="B332" s="106"/>
      <c r="C332" s="106"/>
      <c r="D332" s="106"/>
      <c r="E332" s="106"/>
      <c r="F332" s="106"/>
      <c r="G332" s="106"/>
      <c r="H332" s="195"/>
      <c r="I332" s="160"/>
      <c r="J332" s="160"/>
      <c r="K332" s="159"/>
    </row>
    <row r="333" spans="1:11">
      <c r="A333" s="106"/>
      <c r="B333" s="106"/>
      <c r="C333" s="106"/>
      <c r="D333" s="106"/>
      <c r="E333" s="106"/>
      <c r="F333" s="106"/>
      <c r="G333" s="106"/>
      <c r="H333" s="195"/>
      <c r="I333" s="160"/>
      <c r="J333" s="160"/>
      <c r="K333" s="159"/>
    </row>
    <row r="334" spans="1:11">
      <c r="A334" s="106"/>
      <c r="B334" s="106"/>
      <c r="C334" s="106"/>
      <c r="D334" s="106"/>
      <c r="E334" s="106"/>
      <c r="F334" s="106"/>
      <c r="G334" s="106"/>
      <c r="H334" s="195"/>
      <c r="I334" s="160"/>
      <c r="J334" s="160"/>
      <c r="K334" s="159"/>
    </row>
    <row r="335" spans="1:11">
      <c r="A335" s="106"/>
      <c r="B335" s="106"/>
      <c r="C335" s="106"/>
      <c r="D335" s="106"/>
      <c r="E335" s="106"/>
      <c r="F335" s="106"/>
      <c r="G335" s="106"/>
      <c r="H335" s="195"/>
      <c r="I335" s="160"/>
      <c r="J335" s="160"/>
      <c r="K335" s="159"/>
    </row>
    <row r="336" spans="1:11">
      <c r="A336" s="106"/>
      <c r="B336" s="106"/>
      <c r="C336" s="106"/>
      <c r="D336" s="106"/>
      <c r="E336" s="106"/>
      <c r="F336" s="106"/>
      <c r="G336" s="106"/>
      <c r="H336" s="195"/>
      <c r="I336" s="160"/>
      <c r="J336" s="160"/>
      <c r="K336" s="159"/>
    </row>
    <row r="337" spans="1:11">
      <c r="A337" s="106"/>
      <c r="B337" s="106"/>
      <c r="C337" s="106"/>
      <c r="D337" s="106"/>
      <c r="E337" s="106"/>
      <c r="F337" s="106"/>
      <c r="G337" s="106"/>
      <c r="H337" s="195"/>
      <c r="I337" s="160"/>
      <c r="J337" s="160"/>
      <c r="K337" s="159"/>
    </row>
    <row r="338" spans="1:11">
      <c r="A338" s="106"/>
      <c r="B338" s="106"/>
      <c r="C338" s="106"/>
      <c r="D338" s="106"/>
      <c r="E338" s="106"/>
      <c r="F338" s="106"/>
      <c r="G338" s="106"/>
      <c r="H338" s="195"/>
      <c r="I338" s="160"/>
      <c r="J338" s="160"/>
      <c r="K338" s="159"/>
    </row>
    <row r="339" spans="1:11">
      <c r="A339" s="106"/>
      <c r="B339" s="106"/>
      <c r="C339" s="106"/>
      <c r="D339" s="106"/>
      <c r="E339" s="106"/>
      <c r="F339" s="106"/>
      <c r="G339" s="106"/>
      <c r="H339" s="195"/>
      <c r="I339" s="160"/>
      <c r="J339" s="160"/>
      <c r="K339" s="159"/>
    </row>
    <row r="340" spans="1:11">
      <c r="A340" s="106"/>
      <c r="B340" s="106"/>
      <c r="C340" s="106"/>
      <c r="D340" s="106"/>
      <c r="E340" s="106"/>
      <c r="F340" s="106"/>
      <c r="G340" s="106"/>
      <c r="H340" s="195"/>
      <c r="I340" s="160"/>
      <c r="J340" s="160"/>
      <c r="K340" s="160"/>
    </row>
    <row r="341" spans="1:11">
      <c r="A341" s="106"/>
      <c r="B341" s="106"/>
      <c r="C341" s="106"/>
      <c r="D341" s="106"/>
      <c r="E341" s="106"/>
      <c r="F341" s="106"/>
      <c r="G341" s="106"/>
      <c r="H341" s="195"/>
      <c r="I341" s="160"/>
      <c r="J341" s="160"/>
      <c r="K341" s="160"/>
    </row>
    <row r="342" spans="1:11">
      <c r="A342" s="106"/>
      <c r="B342" s="106"/>
      <c r="C342" s="106"/>
      <c r="D342" s="106"/>
      <c r="E342" s="106"/>
      <c r="F342" s="106"/>
      <c r="G342" s="106"/>
      <c r="H342" s="195"/>
      <c r="I342" s="160"/>
      <c r="J342" s="160"/>
      <c r="K342" s="160"/>
    </row>
    <row r="343" spans="1:11">
      <c r="A343" s="106"/>
      <c r="B343" s="106"/>
      <c r="C343" s="106"/>
      <c r="D343" s="106"/>
      <c r="E343" s="106"/>
      <c r="F343" s="106"/>
      <c r="G343" s="106"/>
      <c r="H343" s="195"/>
      <c r="I343" s="160"/>
      <c r="J343" s="160"/>
      <c r="K343" s="160"/>
    </row>
    <row r="344" spans="1:11">
      <c r="A344" s="106"/>
      <c r="B344" s="106"/>
      <c r="C344" s="106"/>
      <c r="D344" s="106"/>
      <c r="E344" s="106"/>
      <c r="F344" s="106"/>
      <c r="G344" s="106"/>
      <c r="H344" s="195"/>
      <c r="I344" s="160"/>
      <c r="J344" s="160"/>
      <c r="K344" s="160"/>
    </row>
    <row r="345" spans="1:11">
      <c r="A345" s="106"/>
      <c r="B345" s="106"/>
      <c r="C345" s="106"/>
      <c r="D345" s="106"/>
      <c r="E345" s="106"/>
      <c r="F345" s="106"/>
      <c r="G345" s="106"/>
      <c r="H345" s="195"/>
      <c r="I345" s="160"/>
      <c r="J345" s="160"/>
      <c r="K345" s="160"/>
    </row>
    <row r="346" spans="1:11">
      <c r="A346" s="106"/>
      <c r="B346" s="106"/>
      <c r="C346" s="106"/>
      <c r="D346" s="106"/>
      <c r="E346" s="106"/>
      <c r="F346" s="106"/>
      <c r="G346" s="106"/>
      <c r="H346" s="195"/>
      <c r="I346" s="160"/>
      <c r="J346" s="160"/>
      <c r="K346" s="160"/>
    </row>
    <row r="347" spans="1:11">
      <c r="A347" s="106"/>
      <c r="B347" s="106"/>
      <c r="C347" s="106"/>
      <c r="D347" s="106"/>
      <c r="E347" s="106"/>
      <c r="F347" s="106"/>
      <c r="G347" s="106"/>
      <c r="H347" s="195"/>
      <c r="I347" s="160"/>
      <c r="J347" s="160"/>
      <c r="K347" s="160"/>
    </row>
    <row r="348" spans="1:11">
      <c r="A348" s="106"/>
      <c r="B348" s="106"/>
      <c r="C348" s="106"/>
      <c r="D348" s="106"/>
      <c r="E348" s="106"/>
      <c r="F348" s="106"/>
      <c r="G348" s="106"/>
      <c r="H348" s="195"/>
      <c r="I348" s="160"/>
      <c r="J348" s="160"/>
      <c r="K348" s="160"/>
    </row>
    <row r="349" spans="1:11">
      <c r="A349" s="106"/>
      <c r="B349" s="106"/>
      <c r="C349" s="106"/>
      <c r="D349" s="106"/>
      <c r="E349" s="106"/>
      <c r="F349" s="106"/>
      <c r="G349" s="106"/>
      <c r="H349" s="195"/>
      <c r="I349" s="160"/>
      <c r="J349" s="160"/>
      <c r="K349" s="160"/>
    </row>
    <row r="350" spans="1:11">
      <c r="A350" s="106"/>
      <c r="B350" s="106"/>
      <c r="C350" s="106"/>
      <c r="D350" s="106"/>
      <c r="E350" s="106"/>
      <c r="F350" s="106"/>
      <c r="G350" s="106"/>
      <c r="H350" s="195"/>
      <c r="I350" s="160"/>
      <c r="J350" s="160"/>
      <c r="K350" s="160"/>
    </row>
    <row r="351" spans="1:11">
      <c r="A351" s="106"/>
      <c r="B351" s="106"/>
      <c r="C351" s="106"/>
      <c r="D351" s="106"/>
      <c r="E351" s="106"/>
      <c r="F351" s="106"/>
      <c r="G351" s="106"/>
      <c r="H351" s="195"/>
      <c r="I351" s="160"/>
      <c r="J351" s="160"/>
      <c r="K351" s="160"/>
    </row>
    <row r="352" spans="1:11">
      <c r="A352" s="106"/>
      <c r="B352" s="106"/>
      <c r="C352" s="106"/>
      <c r="D352" s="106"/>
      <c r="E352" s="106"/>
      <c r="F352" s="106"/>
      <c r="G352" s="106"/>
      <c r="H352" s="195"/>
      <c r="I352" s="160"/>
      <c r="J352" s="160"/>
      <c r="K352" s="160"/>
    </row>
    <row r="353" spans="1:11">
      <c r="A353" s="106"/>
      <c r="B353" s="106"/>
      <c r="C353" s="106"/>
      <c r="D353" s="106"/>
      <c r="E353" s="106"/>
      <c r="F353" s="106"/>
      <c r="G353" s="106"/>
      <c r="H353" s="195"/>
      <c r="I353" s="160"/>
      <c r="J353" s="160"/>
      <c r="K353" s="159"/>
    </row>
    <row r="354" spans="1:11">
      <c r="A354" s="106"/>
      <c r="B354" s="106"/>
      <c r="C354" s="106"/>
      <c r="D354" s="106"/>
      <c r="E354" s="106"/>
      <c r="F354" s="106"/>
      <c r="G354" s="106"/>
      <c r="H354" s="195"/>
      <c r="I354" s="160"/>
      <c r="J354" s="160"/>
      <c r="K354" s="160"/>
    </row>
    <row r="355" spans="1:11">
      <c r="A355" s="106"/>
      <c r="B355" s="106"/>
      <c r="C355" s="106"/>
      <c r="D355" s="106"/>
      <c r="E355" s="106"/>
      <c r="F355" s="106"/>
      <c r="G355" s="106"/>
      <c r="H355" s="195"/>
      <c r="I355" s="160"/>
      <c r="J355" s="160"/>
      <c r="K355" s="160"/>
    </row>
    <row r="356" spans="1:11">
      <c r="A356" s="106"/>
      <c r="B356" s="106"/>
      <c r="C356" s="106"/>
      <c r="D356" s="106"/>
      <c r="E356" s="106"/>
      <c r="F356" s="106"/>
      <c r="G356" s="106"/>
      <c r="H356" s="195"/>
      <c r="I356" s="160"/>
      <c r="J356" s="160"/>
      <c r="K356" s="160"/>
    </row>
    <row r="357" spans="1:11">
      <c r="A357" s="106"/>
      <c r="B357" s="106"/>
      <c r="C357" s="106"/>
      <c r="D357" s="106"/>
      <c r="E357" s="106"/>
      <c r="F357" s="106"/>
      <c r="G357" s="106"/>
      <c r="H357" s="195"/>
      <c r="I357" s="160"/>
      <c r="J357" s="160"/>
      <c r="K357" s="160"/>
    </row>
    <row r="358" spans="1:11">
      <c r="A358" s="106"/>
      <c r="B358" s="106"/>
      <c r="C358" s="106"/>
      <c r="D358" s="106"/>
      <c r="E358" s="106"/>
      <c r="F358" s="106"/>
      <c r="G358" s="106"/>
      <c r="H358" s="195"/>
      <c r="I358" s="160"/>
      <c r="J358" s="160"/>
      <c r="K358" s="160"/>
    </row>
    <row r="359" spans="1:11">
      <c r="A359" s="106"/>
      <c r="B359" s="106"/>
      <c r="C359" s="106"/>
      <c r="D359" s="106"/>
      <c r="E359" s="106"/>
      <c r="F359" s="106"/>
      <c r="G359" s="106"/>
      <c r="H359" s="195"/>
      <c r="I359" s="160"/>
      <c r="J359" s="160"/>
      <c r="K359" s="160"/>
    </row>
    <row r="360" spans="1:11">
      <c r="A360" s="106"/>
      <c r="B360" s="106"/>
      <c r="C360" s="106"/>
      <c r="D360" s="106"/>
      <c r="E360" s="106"/>
      <c r="F360" s="106"/>
      <c r="G360" s="106"/>
      <c r="H360" s="195"/>
      <c r="I360" s="160"/>
      <c r="J360" s="160"/>
      <c r="K360" s="160"/>
    </row>
    <row r="361" spans="1:11">
      <c r="A361" s="106"/>
      <c r="B361" s="106"/>
      <c r="C361" s="106"/>
      <c r="D361" s="106"/>
      <c r="E361" s="106"/>
      <c r="F361" s="106"/>
      <c r="G361" s="106"/>
      <c r="H361" s="195"/>
      <c r="I361" s="160"/>
      <c r="J361" s="160"/>
      <c r="K361" s="160"/>
    </row>
    <row r="362" spans="1:11">
      <c r="A362" s="106"/>
      <c r="B362" s="106"/>
      <c r="C362" s="106"/>
      <c r="D362" s="106"/>
      <c r="E362" s="106"/>
      <c r="F362" s="106"/>
      <c r="G362" s="106"/>
      <c r="H362" s="195"/>
      <c r="I362" s="160"/>
      <c r="J362" s="160"/>
      <c r="K362" s="160"/>
    </row>
    <row r="363" spans="1:11">
      <c r="A363" s="106"/>
      <c r="B363" s="106"/>
      <c r="C363" s="106"/>
      <c r="D363" s="106"/>
      <c r="E363" s="106"/>
      <c r="F363" s="106"/>
      <c r="G363" s="106"/>
      <c r="H363" s="195"/>
      <c r="I363" s="160"/>
      <c r="J363" s="160"/>
      <c r="K363" s="160"/>
    </row>
    <row r="364" spans="1:11">
      <c r="A364" s="106"/>
      <c r="B364" s="106"/>
      <c r="C364" s="106"/>
      <c r="D364" s="106"/>
      <c r="E364" s="106"/>
      <c r="F364" s="106"/>
      <c r="G364" s="106"/>
      <c r="H364" s="195"/>
      <c r="I364" s="160"/>
      <c r="J364" s="160"/>
      <c r="K364" s="160"/>
    </row>
    <row r="365" spans="1:11">
      <c r="A365" s="106"/>
      <c r="B365" s="106"/>
      <c r="C365" s="106"/>
      <c r="D365" s="106"/>
      <c r="E365" s="106"/>
      <c r="F365" s="106"/>
      <c r="G365" s="106"/>
      <c r="H365" s="195"/>
      <c r="I365" s="160"/>
      <c r="J365" s="160"/>
      <c r="K365" s="160"/>
    </row>
    <row r="366" spans="1:11">
      <c r="A366" s="106"/>
      <c r="B366" s="106"/>
      <c r="C366" s="106"/>
      <c r="D366" s="106"/>
      <c r="E366" s="106"/>
      <c r="F366" s="106"/>
      <c r="G366" s="106"/>
      <c r="H366" s="195"/>
      <c r="I366" s="160"/>
      <c r="J366" s="160"/>
      <c r="K366" s="160"/>
    </row>
    <row r="367" spans="1:11">
      <c r="A367" s="106"/>
      <c r="B367" s="106"/>
      <c r="C367" s="106"/>
      <c r="D367" s="106"/>
      <c r="E367" s="106"/>
      <c r="F367" s="106"/>
      <c r="G367" s="106"/>
      <c r="H367" s="195"/>
      <c r="I367" s="160"/>
      <c r="J367" s="160"/>
      <c r="K367" s="160"/>
    </row>
    <row r="368" spans="1:11">
      <c r="A368" s="106"/>
      <c r="B368" s="106"/>
      <c r="C368" s="106"/>
      <c r="D368" s="106"/>
      <c r="E368" s="106"/>
      <c r="F368" s="106"/>
      <c r="G368" s="106"/>
      <c r="H368" s="195"/>
      <c r="I368" s="160"/>
      <c r="J368" s="160"/>
      <c r="K368" s="160"/>
    </row>
    <row r="369" spans="1:11">
      <c r="A369" s="106"/>
      <c r="B369" s="106"/>
      <c r="C369" s="106"/>
      <c r="D369" s="106"/>
      <c r="E369" s="106"/>
      <c r="F369" s="106"/>
      <c r="G369" s="106"/>
      <c r="H369" s="195"/>
      <c r="I369" s="160"/>
      <c r="J369" s="160"/>
      <c r="K369" s="160"/>
    </row>
    <row r="370" spans="1:11">
      <c r="A370" s="106"/>
      <c r="B370" s="106"/>
      <c r="C370" s="106"/>
      <c r="D370" s="106"/>
      <c r="E370" s="106"/>
      <c r="F370" s="106"/>
      <c r="G370" s="106"/>
      <c r="H370" s="195"/>
      <c r="I370" s="160"/>
      <c r="J370" s="160"/>
      <c r="K370" s="160"/>
    </row>
    <row r="371" spans="1:11">
      <c r="A371" s="106"/>
      <c r="B371" s="106"/>
      <c r="C371" s="106"/>
      <c r="D371" s="106"/>
      <c r="E371" s="106"/>
      <c r="F371" s="106"/>
      <c r="G371" s="106"/>
      <c r="H371" s="195"/>
      <c r="I371" s="160"/>
      <c r="J371" s="160"/>
      <c r="K371" s="160"/>
    </row>
    <row r="372" spans="1:11">
      <c r="A372" s="106"/>
      <c r="B372" s="106"/>
      <c r="C372" s="106"/>
      <c r="D372" s="106"/>
      <c r="E372" s="106"/>
      <c r="F372" s="106"/>
      <c r="G372" s="106"/>
      <c r="H372" s="195"/>
      <c r="I372" s="160"/>
      <c r="J372" s="160"/>
      <c r="K372" s="160"/>
    </row>
    <row r="373" spans="1:11">
      <c r="A373" s="106"/>
      <c r="B373" s="106"/>
      <c r="C373" s="106"/>
      <c r="D373" s="106"/>
      <c r="E373" s="106"/>
      <c r="F373" s="106"/>
      <c r="G373" s="106"/>
      <c r="H373" s="195"/>
      <c r="I373" s="160"/>
      <c r="J373" s="160"/>
      <c r="K373" s="160"/>
    </row>
    <row r="374" spans="1:11">
      <c r="A374" s="106"/>
      <c r="B374" s="106"/>
      <c r="C374" s="106"/>
      <c r="D374" s="106"/>
      <c r="E374" s="106"/>
      <c r="F374" s="106"/>
      <c r="G374" s="106"/>
      <c r="H374" s="195"/>
      <c r="I374" s="160"/>
      <c r="J374" s="160"/>
      <c r="K374" s="160"/>
    </row>
    <row r="375" spans="1:11">
      <c r="A375" s="106"/>
      <c r="B375" s="106"/>
      <c r="C375" s="106"/>
      <c r="D375" s="106"/>
      <c r="E375" s="106"/>
      <c r="F375" s="106"/>
      <c r="G375" s="106"/>
      <c r="H375" s="195"/>
      <c r="I375" s="160"/>
      <c r="J375" s="160"/>
      <c r="K375" s="160"/>
    </row>
    <row r="376" spans="1:11">
      <c r="A376" s="106"/>
      <c r="B376" s="106"/>
      <c r="C376" s="106"/>
      <c r="D376" s="106"/>
      <c r="E376" s="106"/>
      <c r="F376" s="106"/>
      <c r="G376" s="106"/>
      <c r="H376" s="195"/>
      <c r="I376" s="160"/>
      <c r="J376" s="160"/>
      <c r="K376" s="160"/>
    </row>
    <row r="377" spans="1:11">
      <c r="A377" s="106"/>
      <c r="B377" s="106"/>
      <c r="C377" s="106"/>
      <c r="D377" s="106"/>
      <c r="E377" s="106"/>
      <c r="F377" s="106"/>
      <c r="G377" s="106"/>
      <c r="H377" s="195"/>
      <c r="I377" s="160"/>
      <c r="J377" s="160"/>
      <c r="K377" s="160"/>
    </row>
    <row r="378" spans="1:11">
      <c r="A378" s="106"/>
      <c r="B378" s="106"/>
      <c r="C378" s="106"/>
      <c r="D378" s="106"/>
      <c r="E378" s="106"/>
      <c r="F378" s="106"/>
      <c r="G378" s="106"/>
      <c r="H378" s="195"/>
      <c r="I378" s="160"/>
      <c r="J378" s="160"/>
      <c r="K378" s="160"/>
    </row>
    <row r="379" spans="1:11">
      <c r="A379" s="106"/>
      <c r="B379" s="106"/>
      <c r="C379" s="106"/>
      <c r="D379" s="106"/>
      <c r="E379" s="106"/>
      <c r="F379" s="106"/>
      <c r="G379" s="106"/>
      <c r="H379" s="195"/>
      <c r="I379" s="160"/>
      <c r="J379" s="160"/>
      <c r="K379" s="160"/>
    </row>
    <row r="380" spans="1:11">
      <c r="A380" s="106"/>
      <c r="B380" s="106"/>
      <c r="C380" s="106"/>
      <c r="D380" s="106"/>
      <c r="E380" s="106"/>
      <c r="F380" s="106"/>
      <c r="G380" s="106"/>
      <c r="H380" s="195"/>
      <c r="I380" s="160"/>
      <c r="J380" s="160"/>
      <c r="K380" s="160"/>
    </row>
    <row r="381" spans="1:11">
      <c r="A381" s="106"/>
      <c r="B381" s="106"/>
      <c r="C381" s="106"/>
      <c r="D381" s="106"/>
      <c r="E381" s="106"/>
      <c r="F381" s="106"/>
      <c r="G381" s="106"/>
      <c r="H381" s="195"/>
      <c r="I381" s="160"/>
      <c r="J381" s="160"/>
      <c r="K381" s="160"/>
    </row>
    <row r="382" spans="1:11">
      <c r="A382" s="106"/>
      <c r="B382" s="106"/>
      <c r="C382" s="106"/>
      <c r="D382" s="106"/>
      <c r="E382" s="106"/>
      <c r="F382" s="106"/>
      <c r="G382" s="106"/>
      <c r="H382" s="195"/>
      <c r="I382" s="160"/>
      <c r="J382" s="160"/>
      <c r="K382" s="160"/>
    </row>
    <row r="383" spans="1:11">
      <c r="A383" s="106"/>
      <c r="B383" s="106"/>
      <c r="C383" s="106"/>
      <c r="D383" s="106"/>
      <c r="E383" s="106"/>
      <c r="F383" s="106"/>
      <c r="G383" s="106"/>
      <c r="H383" s="195"/>
      <c r="I383" s="160"/>
      <c r="J383" s="160"/>
      <c r="K383" s="160"/>
    </row>
    <row r="384" spans="1:11">
      <c r="A384" s="106"/>
      <c r="B384" s="106"/>
      <c r="C384" s="106"/>
      <c r="D384" s="106"/>
      <c r="E384" s="106"/>
      <c r="F384" s="106"/>
      <c r="G384" s="106"/>
      <c r="H384" s="195"/>
      <c r="I384" s="160"/>
      <c r="J384" s="160"/>
      <c r="K384" s="160"/>
    </row>
    <row r="385" spans="1:11">
      <c r="A385" s="106"/>
      <c r="B385" s="106"/>
      <c r="C385" s="106"/>
      <c r="D385" s="106"/>
      <c r="E385" s="106"/>
      <c r="F385" s="106"/>
      <c r="G385" s="106"/>
      <c r="H385" s="195"/>
      <c r="I385" s="160"/>
      <c r="J385" s="160"/>
      <c r="K385" s="160"/>
    </row>
    <row r="386" spans="1:11">
      <c r="A386" s="106"/>
      <c r="B386" s="106"/>
      <c r="C386" s="106"/>
      <c r="D386" s="106"/>
      <c r="E386" s="106"/>
      <c r="F386" s="106"/>
      <c r="G386" s="106"/>
      <c r="H386" s="195"/>
      <c r="I386" s="160"/>
      <c r="J386" s="160"/>
      <c r="K386" s="160"/>
    </row>
    <row r="387" spans="1:11">
      <c r="A387" s="106"/>
      <c r="B387" s="106"/>
      <c r="C387" s="106"/>
      <c r="D387" s="106"/>
      <c r="E387" s="106"/>
      <c r="F387" s="106"/>
      <c r="G387" s="106"/>
      <c r="H387" s="195"/>
      <c r="I387" s="160"/>
      <c r="J387" s="160"/>
      <c r="K387" s="160"/>
    </row>
    <row r="388" spans="1:11">
      <c r="A388" s="106"/>
      <c r="B388" s="106"/>
      <c r="C388" s="106"/>
      <c r="D388" s="106"/>
      <c r="E388" s="106"/>
      <c r="F388" s="106"/>
      <c r="G388" s="106"/>
      <c r="H388" s="195"/>
      <c r="I388" s="160"/>
      <c r="J388" s="160"/>
      <c r="K388" s="160"/>
    </row>
    <row r="389" spans="1:11">
      <c r="A389" s="106"/>
      <c r="B389" s="106"/>
      <c r="C389" s="106"/>
      <c r="D389" s="106"/>
      <c r="E389" s="106"/>
      <c r="F389" s="106"/>
      <c r="G389" s="106"/>
      <c r="H389" s="195"/>
      <c r="I389" s="160"/>
      <c r="J389" s="160"/>
      <c r="K389" s="160"/>
    </row>
    <row r="390" spans="1:11">
      <c r="A390" s="106"/>
      <c r="B390" s="106"/>
      <c r="C390" s="106"/>
      <c r="D390" s="106"/>
      <c r="E390" s="106"/>
      <c r="F390" s="106"/>
      <c r="G390" s="106"/>
      <c r="H390" s="195"/>
      <c r="I390" s="160"/>
      <c r="J390" s="160"/>
      <c r="K390" s="160"/>
    </row>
    <row r="391" spans="1:11">
      <c r="A391" s="106"/>
      <c r="B391" s="106"/>
      <c r="C391" s="106"/>
      <c r="D391" s="106"/>
      <c r="E391" s="106"/>
      <c r="F391" s="106"/>
      <c r="G391" s="106"/>
      <c r="H391" s="195"/>
      <c r="I391" s="160"/>
      <c r="J391" s="160"/>
      <c r="K391" s="160"/>
    </row>
    <row r="392" spans="1:11">
      <c r="A392" s="106"/>
      <c r="B392" s="106"/>
      <c r="C392" s="106"/>
      <c r="D392" s="106"/>
      <c r="E392" s="106"/>
      <c r="F392" s="106"/>
      <c r="G392" s="106"/>
      <c r="H392" s="195"/>
      <c r="I392" s="160"/>
      <c r="J392" s="160"/>
      <c r="K392" s="160"/>
    </row>
    <row r="393" spans="1:11">
      <c r="A393" s="106"/>
      <c r="B393" s="106"/>
      <c r="C393" s="106"/>
      <c r="D393" s="106"/>
      <c r="E393" s="106"/>
      <c r="F393" s="106"/>
      <c r="G393" s="106"/>
      <c r="H393" s="195"/>
      <c r="I393" s="160"/>
      <c r="J393" s="160"/>
    </row>
    <row r="394" spans="1:11">
      <c r="A394" s="106"/>
      <c r="B394" s="106"/>
      <c r="C394" s="106"/>
      <c r="D394" s="106"/>
      <c r="E394" s="106"/>
      <c r="F394" s="106"/>
      <c r="G394" s="106"/>
      <c r="H394" s="195"/>
      <c r="I394" s="160"/>
      <c r="J394" s="160"/>
    </row>
    <row r="395" spans="1:11">
      <c r="A395" s="106"/>
      <c r="B395" s="106"/>
      <c r="C395" s="106"/>
      <c r="D395" s="106"/>
      <c r="E395" s="106"/>
      <c r="F395" s="106"/>
      <c r="G395" s="106"/>
      <c r="H395" s="195"/>
      <c r="I395" s="160"/>
      <c r="J395" s="160"/>
    </row>
    <row r="396" spans="1:11">
      <c r="A396" s="106"/>
      <c r="B396" s="106"/>
      <c r="C396" s="106"/>
      <c r="D396" s="106"/>
      <c r="E396" s="106"/>
      <c r="F396" s="106"/>
      <c r="G396" s="106"/>
      <c r="H396" s="195"/>
      <c r="I396" s="160"/>
      <c r="J396" s="160"/>
    </row>
    <row r="397" spans="1:11">
      <c r="A397" s="106"/>
      <c r="B397" s="106"/>
      <c r="C397" s="106"/>
      <c r="D397" s="106"/>
      <c r="E397" s="106"/>
      <c r="F397" s="106"/>
      <c r="G397" s="106"/>
      <c r="H397" s="195"/>
      <c r="I397" s="160"/>
      <c r="J397" s="160"/>
    </row>
    <row r="398" spans="1:11">
      <c r="A398" s="106"/>
      <c r="B398" s="106"/>
      <c r="C398" s="106"/>
      <c r="D398" s="106"/>
      <c r="E398" s="106"/>
      <c r="F398" s="106"/>
      <c r="G398" s="106"/>
      <c r="H398" s="195"/>
      <c r="I398" s="160"/>
      <c r="J398" s="160"/>
    </row>
    <row r="399" spans="1:11">
      <c r="A399" s="106"/>
      <c r="B399" s="106"/>
      <c r="C399" s="106"/>
      <c r="D399" s="106"/>
      <c r="E399" s="106"/>
      <c r="F399" s="106"/>
      <c r="G399" s="106"/>
      <c r="H399" s="195"/>
      <c r="I399" s="160"/>
      <c r="J399" s="160"/>
    </row>
    <row r="400" spans="1:11">
      <c r="A400" s="106"/>
      <c r="B400" s="106"/>
      <c r="C400" s="106"/>
      <c r="D400" s="106"/>
      <c r="E400" s="106"/>
      <c r="F400" s="106"/>
      <c r="G400" s="106"/>
      <c r="H400" s="195"/>
      <c r="I400" s="160"/>
      <c r="J400" s="160"/>
    </row>
    <row r="401" spans="1:11">
      <c r="A401" s="106"/>
      <c r="B401" s="106"/>
      <c r="C401" s="106"/>
      <c r="D401" s="106"/>
      <c r="E401" s="106"/>
      <c r="F401" s="106"/>
      <c r="G401" s="106"/>
      <c r="H401" s="195"/>
      <c r="I401" s="160"/>
      <c r="J401" s="160"/>
    </row>
    <row r="402" spans="1:11">
      <c r="A402" s="106"/>
      <c r="B402" s="106"/>
      <c r="C402" s="106"/>
      <c r="D402" s="106"/>
      <c r="E402" s="106"/>
      <c r="F402" s="106"/>
      <c r="G402" s="106"/>
      <c r="H402" s="195"/>
      <c r="I402" s="160"/>
      <c r="J402" s="160"/>
    </row>
    <row r="403" spans="1:11">
      <c r="A403" s="106"/>
      <c r="B403" s="106"/>
      <c r="C403" s="106"/>
      <c r="D403" s="106"/>
      <c r="E403" s="106"/>
      <c r="F403" s="106"/>
      <c r="G403" s="106"/>
      <c r="H403" s="195"/>
      <c r="I403" s="160"/>
      <c r="J403" s="160"/>
    </row>
    <row r="404" spans="1:11">
      <c r="A404" s="106"/>
      <c r="B404" s="106"/>
      <c r="C404" s="106"/>
      <c r="D404" s="106"/>
      <c r="E404" s="106"/>
      <c r="F404" s="106"/>
      <c r="G404" s="106"/>
      <c r="H404" s="195"/>
      <c r="I404" s="160"/>
      <c r="J404" s="160"/>
    </row>
    <row r="405" spans="1:11">
      <c r="A405" s="106"/>
      <c r="B405" s="106"/>
      <c r="C405" s="106"/>
      <c r="D405" s="106"/>
      <c r="E405" s="106"/>
      <c r="F405" s="106"/>
      <c r="G405" s="106"/>
      <c r="H405" s="195"/>
      <c r="I405" s="160"/>
      <c r="J405" s="160"/>
    </row>
    <row r="406" spans="1:11">
      <c r="A406" s="106"/>
      <c r="B406" s="106"/>
      <c r="C406" s="106"/>
      <c r="D406" s="106"/>
      <c r="E406" s="106"/>
      <c r="F406" s="106"/>
      <c r="G406" s="106"/>
      <c r="H406" s="195"/>
      <c r="I406" s="160"/>
      <c r="J406" s="160"/>
      <c r="K406" s="106"/>
    </row>
    <row r="407" spans="1:11">
      <c r="A407" s="106"/>
      <c r="B407" s="106"/>
      <c r="C407" s="106"/>
      <c r="D407" s="106"/>
      <c r="E407" s="106"/>
      <c r="F407" s="106"/>
      <c r="G407" s="106"/>
      <c r="H407" s="195"/>
      <c r="J407" s="160"/>
      <c r="K407" s="106"/>
    </row>
    <row r="408" spans="1:11">
      <c r="A408" s="106"/>
      <c r="B408" s="106"/>
      <c r="C408" s="106"/>
      <c r="D408" s="106"/>
      <c r="E408" s="106"/>
      <c r="F408" s="106"/>
      <c r="G408" s="106"/>
      <c r="H408" s="195"/>
      <c r="J408" s="160"/>
      <c r="K408" s="106"/>
    </row>
    <row r="409" spans="1:11">
      <c r="A409" s="106"/>
      <c r="B409" s="106"/>
      <c r="C409" s="106"/>
      <c r="D409" s="106"/>
      <c r="E409" s="106"/>
      <c r="F409" s="106"/>
      <c r="G409" s="106"/>
      <c r="H409" s="195"/>
      <c r="J409" s="160"/>
      <c r="K409" s="106"/>
    </row>
    <row r="410" spans="1:11">
      <c r="A410" s="106"/>
      <c r="B410" s="106"/>
      <c r="C410" s="106"/>
      <c r="D410" s="106"/>
      <c r="E410" s="106"/>
      <c r="F410" s="106"/>
      <c r="G410" s="106"/>
      <c r="H410" s="195"/>
      <c r="K410" s="106"/>
    </row>
    <row r="411" spans="1:11">
      <c r="A411" s="106"/>
      <c r="B411" s="106"/>
      <c r="C411" s="106"/>
      <c r="D411" s="106"/>
      <c r="E411" s="106"/>
      <c r="F411" s="106"/>
      <c r="G411" s="106"/>
      <c r="H411" s="195"/>
      <c r="K411" s="106"/>
    </row>
    <row r="412" spans="1:11">
      <c r="A412" s="106"/>
      <c r="B412" s="106"/>
      <c r="C412" s="106"/>
      <c r="D412" s="106"/>
      <c r="E412" s="106"/>
      <c r="F412" s="106"/>
      <c r="G412" s="106"/>
      <c r="H412" s="195"/>
      <c r="K412" s="106"/>
    </row>
    <row r="413" spans="1:11">
      <c r="A413" s="106"/>
      <c r="B413" s="106"/>
      <c r="C413" s="106"/>
      <c r="D413" s="106"/>
      <c r="E413" s="106"/>
      <c r="F413" s="106"/>
      <c r="G413" s="106"/>
      <c r="H413" s="195"/>
      <c r="K413" s="106"/>
    </row>
    <row r="414" spans="1:11">
      <c r="A414" s="106"/>
      <c r="B414" s="106"/>
      <c r="C414" s="106"/>
      <c r="D414" s="106"/>
      <c r="E414" s="106"/>
      <c r="F414" s="106"/>
      <c r="G414" s="106"/>
      <c r="H414" s="195"/>
      <c r="K414" s="106"/>
    </row>
    <row r="415" spans="1:11">
      <c r="A415" s="106"/>
      <c r="B415" s="106"/>
      <c r="C415" s="106"/>
      <c r="D415" s="106"/>
      <c r="E415" s="106"/>
      <c r="F415" s="106"/>
      <c r="G415" s="106"/>
      <c r="H415" s="195"/>
      <c r="K415" s="106"/>
    </row>
    <row r="416" spans="1:11">
      <c r="A416" s="106"/>
      <c r="B416" s="106"/>
      <c r="C416" s="106"/>
      <c r="D416" s="106"/>
      <c r="E416" s="106"/>
      <c r="F416" s="106"/>
      <c r="G416" s="106"/>
      <c r="H416" s="195"/>
      <c r="K416" s="106"/>
    </row>
    <row r="417" spans="1:11">
      <c r="A417" s="106"/>
      <c r="B417" s="106"/>
      <c r="C417" s="106"/>
      <c r="D417" s="106"/>
      <c r="E417" s="106"/>
      <c r="F417" s="106"/>
      <c r="G417" s="106"/>
      <c r="H417" s="195"/>
      <c r="K417" s="106"/>
    </row>
    <row r="418" spans="1:11">
      <c r="A418" s="106"/>
      <c r="B418" s="106"/>
      <c r="C418" s="106"/>
      <c r="D418" s="106"/>
      <c r="E418" s="106"/>
      <c r="F418" s="106"/>
      <c r="G418" s="106"/>
      <c r="H418" s="195"/>
      <c r="K418" s="106"/>
    </row>
    <row r="419" spans="1:11">
      <c r="A419" s="106"/>
      <c r="B419" s="106"/>
      <c r="C419" s="106"/>
      <c r="D419" s="106"/>
      <c r="E419" s="106"/>
      <c r="F419" s="106"/>
      <c r="G419" s="106"/>
      <c r="H419" s="195"/>
      <c r="K419" s="106"/>
    </row>
    <row r="420" spans="1:11">
      <c r="A420" s="106"/>
      <c r="B420" s="106"/>
      <c r="C420" s="106"/>
      <c r="D420" s="106"/>
      <c r="E420" s="106"/>
      <c r="F420" s="106"/>
      <c r="G420" s="106"/>
      <c r="H420" s="195"/>
      <c r="K420" s="106"/>
    </row>
    <row r="421" spans="1:11">
      <c r="A421" s="106"/>
      <c r="B421" s="106"/>
      <c r="C421" s="106"/>
      <c r="D421" s="106"/>
      <c r="E421" s="106"/>
      <c r="F421" s="106"/>
      <c r="G421" s="106"/>
      <c r="H421" s="195"/>
      <c r="K421" s="106"/>
    </row>
    <row r="422" spans="1:11">
      <c r="A422" s="106"/>
      <c r="B422" s="106"/>
      <c r="C422" s="106"/>
      <c r="D422" s="106"/>
      <c r="E422" s="106"/>
      <c r="F422" s="106"/>
      <c r="G422" s="106"/>
      <c r="H422" s="195"/>
      <c r="I422" s="106"/>
      <c r="J422" s="106"/>
      <c r="K422" s="106"/>
    </row>
    <row r="423" spans="1:11">
      <c r="A423" s="106"/>
      <c r="B423" s="106"/>
      <c r="C423" s="106"/>
      <c r="D423" s="106"/>
      <c r="E423" s="106"/>
      <c r="F423" s="106"/>
      <c r="G423" s="106"/>
      <c r="H423" s="195"/>
      <c r="I423" s="106"/>
      <c r="J423" s="106"/>
      <c r="K423" s="106"/>
    </row>
    <row r="424" spans="1:11">
      <c r="A424" s="106"/>
      <c r="B424" s="106"/>
      <c r="C424" s="106"/>
      <c r="D424" s="106"/>
      <c r="E424" s="106"/>
      <c r="F424" s="106"/>
      <c r="G424" s="106"/>
      <c r="H424" s="195"/>
      <c r="I424" s="106"/>
      <c r="J424" s="106"/>
      <c r="K424" s="106"/>
    </row>
    <row r="425" spans="1:11">
      <c r="A425" s="106"/>
      <c r="B425" s="106"/>
      <c r="C425" s="106"/>
      <c r="D425" s="106"/>
      <c r="E425" s="106"/>
      <c r="F425" s="106"/>
      <c r="G425" s="106"/>
      <c r="H425" s="195"/>
      <c r="I425" s="106"/>
      <c r="J425" s="106"/>
      <c r="K425" s="106"/>
    </row>
    <row r="426" spans="1:11">
      <c r="A426" s="106"/>
      <c r="B426" s="106"/>
      <c r="C426" s="106"/>
      <c r="D426" s="106"/>
      <c r="E426" s="106"/>
      <c r="F426" s="106"/>
      <c r="G426" s="106"/>
      <c r="H426" s="195"/>
      <c r="I426" s="106"/>
      <c r="J426" s="106"/>
      <c r="K426" s="106"/>
    </row>
    <row r="427" spans="1:11">
      <c r="A427" s="106"/>
      <c r="B427" s="106"/>
      <c r="C427" s="106"/>
      <c r="D427" s="106"/>
      <c r="E427" s="106"/>
      <c r="F427" s="106"/>
      <c r="G427" s="106"/>
      <c r="H427" s="195"/>
      <c r="I427" s="106"/>
      <c r="J427" s="106"/>
      <c r="K427" s="106"/>
    </row>
    <row r="428" spans="1:11">
      <c r="A428" s="106"/>
      <c r="B428" s="106"/>
      <c r="C428" s="106"/>
      <c r="D428" s="106"/>
      <c r="E428" s="106"/>
      <c r="F428" s="106"/>
      <c r="G428" s="106"/>
      <c r="H428" s="195"/>
      <c r="I428" s="106"/>
      <c r="J428" s="106"/>
      <c r="K428" s="106"/>
    </row>
    <row r="429" spans="1:11">
      <c r="A429" s="106"/>
      <c r="B429" s="106"/>
      <c r="C429" s="106"/>
      <c r="D429" s="106"/>
      <c r="E429" s="106"/>
      <c r="F429" s="106"/>
      <c r="G429" s="106"/>
      <c r="H429" s="195"/>
      <c r="I429" s="106"/>
      <c r="J429" s="106"/>
      <c r="K429" s="106"/>
    </row>
    <row r="430" spans="1:11">
      <c r="A430" s="106"/>
      <c r="B430" s="106"/>
      <c r="C430" s="106"/>
      <c r="D430" s="106"/>
      <c r="E430" s="106"/>
      <c r="F430" s="106"/>
      <c r="G430" s="106"/>
      <c r="H430" s="195"/>
      <c r="I430" s="106"/>
      <c r="J430" s="106"/>
      <c r="K430" s="106"/>
    </row>
    <row r="431" spans="1:11">
      <c r="A431" s="106"/>
      <c r="B431" s="106"/>
      <c r="C431" s="106"/>
      <c r="D431" s="106"/>
      <c r="E431" s="106"/>
      <c r="F431" s="106"/>
      <c r="G431" s="106"/>
      <c r="H431" s="195"/>
      <c r="I431" s="106"/>
      <c r="J431" s="106"/>
      <c r="K431" s="106"/>
    </row>
    <row r="432" spans="1:11">
      <c r="A432" s="106"/>
      <c r="B432" s="106"/>
      <c r="C432" s="106"/>
      <c r="D432" s="106"/>
      <c r="E432" s="106"/>
      <c r="F432" s="106"/>
    </row>
    <row r="433" spans="1:6">
      <c r="A433" s="106"/>
      <c r="B433" s="106"/>
      <c r="C433" s="106"/>
      <c r="D433" s="106"/>
      <c r="E433" s="106"/>
      <c r="F433" s="106"/>
    </row>
    <row r="434" spans="1:6">
      <c r="A434" s="106"/>
      <c r="B434" s="106"/>
      <c r="C434" s="106"/>
      <c r="D434" s="106"/>
      <c r="E434" s="106"/>
      <c r="F434" s="106"/>
    </row>
  </sheetData>
  <mergeCells count="6">
    <mergeCell ref="F5:F6"/>
    <mergeCell ref="A5:A6"/>
    <mergeCell ref="B5:B6"/>
    <mergeCell ref="C5:C6"/>
    <mergeCell ref="D5:D6"/>
    <mergeCell ref="E5:E6"/>
  </mergeCells>
  <phoneticPr fontId="27" type="noConversion"/>
  <conditionalFormatting sqref="A26:A42 A68 A77">
    <cfRule type="expression" dxfId="96" priority="37">
      <formula>MONTH(A26)=1</formula>
    </cfRule>
  </conditionalFormatting>
  <conditionalFormatting sqref="A43">
    <cfRule type="expression" dxfId="95" priority="33">
      <formula>MONTH(A43)=1</formula>
    </cfRule>
  </conditionalFormatting>
  <conditionalFormatting sqref="A50:A54">
    <cfRule type="expression" dxfId="94" priority="29">
      <formula>MONTH(A50)=1</formula>
    </cfRule>
  </conditionalFormatting>
  <conditionalFormatting sqref="A44:A49">
    <cfRule type="expression" dxfId="93" priority="31">
      <formula>MONTH(A44)=1</formula>
    </cfRule>
  </conditionalFormatting>
  <conditionalFormatting sqref="A55">
    <cfRule type="expression" dxfId="92" priority="27">
      <formula>MONTH(A55)=1</formula>
    </cfRule>
  </conditionalFormatting>
  <conditionalFormatting sqref="A56">
    <cfRule type="expression" dxfId="91" priority="26">
      <formula>MONTH(A56)=1</formula>
    </cfRule>
  </conditionalFormatting>
  <conditionalFormatting sqref="A57">
    <cfRule type="expression" dxfId="90" priority="25">
      <formula>MONTH(A57)=1</formula>
    </cfRule>
  </conditionalFormatting>
  <conditionalFormatting sqref="A58">
    <cfRule type="expression" dxfId="89" priority="23">
      <formula>MONTH(A58)=1</formula>
    </cfRule>
  </conditionalFormatting>
  <conditionalFormatting sqref="A59:A60">
    <cfRule type="expression" dxfId="88" priority="21">
      <formula>MONTH(A59)=1</formula>
    </cfRule>
  </conditionalFormatting>
  <conditionalFormatting sqref="A61">
    <cfRule type="expression" dxfId="87" priority="17">
      <formula>MONTH(A61)=1</formula>
    </cfRule>
  </conditionalFormatting>
  <conditionalFormatting sqref="A62">
    <cfRule type="expression" dxfId="86" priority="16">
      <formula>MONTH(A62)=1</formula>
    </cfRule>
  </conditionalFormatting>
  <conditionalFormatting sqref="A63:A64">
    <cfRule type="expression" dxfId="85" priority="15">
      <formula>MONTH(A63)=1</formula>
    </cfRule>
  </conditionalFormatting>
  <conditionalFormatting sqref="A66">
    <cfRule type="expression" dxfId="84" priority="13">
      <formula>MONTH(A66)=1</formula>
    </cfRule>
  </conditionalFormatting>
  <conditionalFormatting sqref="A65">
    <cfRule type="expression" dxfId="83" priority="12">
      <formula>MONTH(A65)=1</formula>
    </cfRule>
  </conditionalFormatting>
  <conditionalFormatting sqref="A67">
    <cfRule type="expression" dxfId="82" priority="11">
      <formula>MONTH(A67)=1</formula>
    </cfRule>
  </conditionalFormatting>
  <conditionalFormatting sqref="A70">
    <cfRule type="expression" dxfId="81" priority="7">
      <formula>MONTH(A70)=1</formula>
    </cfRule>
  </conditionalFormatting>
  <conditionalFormatting sqref="A69">
    <cfRule type="expression" dxfId="80" priority="6">
      <formula>MONTH(A69)=1</formula>
    </cfRule>
  </conditionalFormatting>
  <conditionalFormatting sqref="A71">
    <cfRule type="expression" dxfId="79" priority="4">
      <formula>MONTH(A71)=1</formula>
    </cfRule>
  </conditionalFormatting>
  <conditionalFormatting sqref="A72:A73">
    <cfRule type="expression" dxfId="78" priority="2">
      <formula>MONTH(A72)=1</formula>
    </cfRule>
  </conditionalFormatting>
  <conditionalFormatting sqref="A74:A76">
    <cfRule type="expression" dxfId="77" priority="1">
      <formula>MONTH(A74)=1</formula>
    </cfRule>
  </conditionalFormatting>
  <pageMargins left="0.78740157480314965" right="0.78740157480314965" top="1.1417322834645669" bottom="1.1417322834645669" header="0.51181102362204722" footer="0.51181102362204722"/>
  <pageSetup paperSize="9" scale="65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8712-18D0-47AC-9F12-FB7F52E3F66F}">
  <sheetPr>
    <pageSetUpPr fitToPage="1"/>
  </sheetPr>
  <dimension ref="A1:AH407"/>
  <sheetViews>
    <sheetView view="pageBreakPreview" zoomScale="115" zoomScaleNormal="100" zoomScaleSheetLayoutView="115" workbookViewId="0">
      <pane xSplit="1" ySplit="6" topLeftCell="B7" activePane="bottomRight" state="frozen"/>
      <selection activeCell="P132" sqref="P132"/>
      <selection pane="topRight" activeCell="P132" sqref="P132"/>
      <selection pane="bottomLeft" activeCell="P132" sqref="P132"/>
      <selection pane="bottomRight"/>
    </sheetView>
  </sheetViews>
  <sheetFormatPr defaultRowHeight="13.5"/>
  <cols>
    <col min="1" max="1" width="8" style="123" customWidth="1"/>
    <col min="2" max="2" width="8.33203125" style="132" customWidth="1"/>
    <col min="3" max="4" width="8.33203125" style="127" customWidth="1"/>
    <col min="5" max="5" width="8.6640625" style="127" customWidth="1"/>
    <col min="6" max="6" width="7" style="155" customWidth="1"/>
    <col min="7" max="7" width="7" style="127" customWidth="1"/>
    <col min="8" max="8" width="8.88671875" style="121" customWidth="1"/>
    <col min="9" max="9" width="8.5546875" style="121" customWidth="1"/>
    <col min="10" max="10" width="5.5546875" style="366" bestFit="1" customWidth="1"/>
    <col min="11" max="15" width="6.21875" style="366" bestFit="1" customWidth="1"/>
    <col min="16" max="16" width="6.77734375" style="366" customWidth="1"/>
    <col min="17" max="17" width="3.44140625" style="366" customWidth="1"/>
    <col min="18" max="18" width="7.21875" style="366" bestFit="1" customWidth="1"/>
    <col min="19" max="19" width="6.21875" style="366" bestFit="1" customWidth="1"/>
    <col min="20" max="21" width="7.5546875" style="366" customWidth="1"/>
    <col min="22" max="23" width="6" style="366" customWidth="1"/>
    <col min="24" max="24" width="6.21875" style="366" customWidth="1"/>
    <col min="25" max="28" width="10.88671875" style="366" customWidth="1"/>
    <col min="29" max="256" width="8.88671875" style="106"/>
    <col min="257" max="257" width="7.109375" style="106" customWidth="1"/>
    <col min="258" max="258" width="9.44140625" style="106" customWidth="1"/>
    <col min="259" max="260" width="8.33203125" style="106" customWidth="1"/>
    <col min="261" max="261" width="8.6640625" style="106" customWidth="1"/>
    <col min="262" max="263" width="7" style="106" customWidth="1"/>
    <col min="264" max="264" width="8.88671875" style="106"/>
    <col min="265" max="265" width="8.5546875" style="106" customWidth="1"/>
    <col min="266" max="266" width="7.33203125" style="106" customWidth="1"/>
    <col min="267" max="271" width="7" style="106" customWidth="1"/>
    <col min="272" max="272" width="6.77734375" style="106" customWidth="1"/>
    <col min="273" max="273" width="3.44140625" style="106" customWidth="1"/>
    <col min="274" max="274" width="7.109375" style="106" bestFit="1" customWidth="1"/>
    <col min="275" max="277" width="6.109375" style="106" bestFit="1" customWidth="1"/>
    <col min="278" max="279" width="4.77734375" style="106" bestFit="1" customWidth="1"/>
    <col min="280" max="280" width="6.109375" style="106" bestFit="1" customWidth="1"/>
    <col min="281" max="283" width="3" style="106" customWidth="1"/>
    <col min="284" max="512" width="8.88671875" style="106"/>
    <col min="513" max="513" width="7.109375" style="106" customWidth="1"/>
    <col min="514" max="514" width="9.44140625" style="106" customWidth="1"/>
    <col min="515" max="516" width="8.33203125" style="106" customWidth="1"/>
    <col min="517" max="517" width="8.6640625" style="106" customWidth="1"/>
    <col min="518" max="519" width="7" style="106" customWidth="1"/>
    <col min="520" max="520" width="8.88671875" style="106"/>
    <col min="521" max="521" width="8.5546875" style="106" customWidth="1"/>
    <col min="522" max="522" width="7.33203125" style="106" customWidth="1"/>
    <col min="523" max="527" width="7" style="106" customWidth="1"/>
    <col min="528" max="528" width="6.77734375" style="106" customWidth="1"/>
    <col min="529" max="529" width="3.44140625" style="106" customWidth="1"/>
    <col min="530" max="530" width="7.109375" style="106" bestFit="1" customWidth="1"/>
    <col min="531" max="533" width="6.109375" style="106" bestFit="1" customWidth="1"/>
    <col min="534" max="535" width="4.77734375" style="106" bestFit="1" customWidth="1"/>
    <col min="536" max="536" width="6.109375" style="106" bestFit="1" customWidth="1"/>
    <col min="537" max="539" width="3" style="106" customWidth="1"/>
    <col min="540" max="768" width="8.88671875" style="106"/>
    <col min="769" max="769" width="7.109375" style="106" customWidth="1"/>
    <col min="770" max="770" width="9.44140625" style="106" customWidth="1"/>
    <col min="771" max="772" width="8.33203125" style="106" customWidth="1"/>
    <col min="773" max="773" width="8.6640625" style="106" customWidth="1"/>
    <col min="774" max="775" width="7" style="106" customWidth="1"/>
    <col min="776" max="776" width="8.88671875" style="106"/>
    <col min="777" max="777" width="8.5546875" style="106" customWidth="1"/>
    <col min="778" max="778" width="7.33203125" style="106" customWidth="1"/>
    <col min="779" max="783" width="7" style="106" customWidth="1"/>
    <col min="784" max="784" width="6.77734375" style="106" customWidth="1"/>
    <col min="785" max="785" width="3.44140625" style="106" customWidth="1"/>
    <col min="786" max="786" width="7.109375" style="106" bestFit="1" customWidth="1"/>
    <col min="787" max="789" width="6.109375" style="106" bestFit="1" customWidth="1"/>
    <col min="790" max="791" width="4.77734375" style="106" bestFit="1" customWidth="1"/>
    <col min="792" max="792" width="6.109375" style="106" bestFit="1" customWidth="1"/>
    <col min="793" max="795" width="3" style="106" customWidth="1"/>
    <col min="796" max="1024" width="8.88671875" style="106"/>
    <col min="1025" max="1025" width="7.109375" style="106" customWidth="1"/>
    <col min="1026" max="1026" width="9.44140625" style="106" customWidth="1"/>
    <col min="1027" max="1028" width="8.33203125" style="106" customWidth="1"/>
    <col min="1029" max="1029" width="8.6640625" style="106" customWidth="1"/>
    <col min="1030" max="1031" width="7" style="106" customWidth="1"/>
    <col min="1032" max="1032" width="8.88671875" style="106"/>
    <col min="1033" max="1033" width="8.5546875" style="106" customWidth="1"/>
    <col min="1034" max="1034" width="7.33203125" style="106" customWidth="1"/>
    <col min="1035" max="1039" width="7" style="106" customWidth="1"/>
    <col min="1040" max="1040" width="6.77734375" style="106" customWidth="1"/>
    <col min="1041" max="1041" width="3.44140625" style="106" customWidth="1"/>
    <col min="1042" max="1042" width="7.109375" style="106" bestFit="1" customWidth="1"/>
    <col min="1043" max="1045" width="6.109375" style="106" bestFit="1" customWidth="1"/>
    <col min="1046" max="1047" width="4.77734375" style="106" bestFit="1" customWidth="1"/>
    <col min="1048" max="1048" width="6.109375" style="106" bestFit="1" customWidth="1"/>
    <col min="1049" max="1051" width="3" style="106" customWidth="1"/>
    <col min="1052" max="1280" width="8.88671875" style="106"/>
    <col min="1281" max="1281" width="7.109375" style="106" customWidth="1"/>
    <col min="1282" max="1282" width="9.44140625" style="106" customWidth="1"/>
    <col min="1283" max="1284" width="8.33203125" style="106" customWidth="1"/>
    <col min="1285" max="1285" width="8.6640625" style="106" customWidth="1"/>
    <col min="1286" max="1287" width="7" style="106" customWidth="1"/>
    <col min="1288" max="1288" width="8.88671875" style="106"/>
    <col min="1289" max="1289" width="8.5546875" style="106" customWidth="1"/>
    <col min="1290" max="1290" width="7.33203125" style="106" customWidth="1"/>
    <col min="1291" max="1295" width="7" style="106" customWidth="1"/>
    <col min="1296" max="1296" width="6.77734375" style="106" customWidth="1"/>
    <col min="1297" max="1297" width="3.44140625" style="106" customWidth="1"/>
    <col min="1298" max="1298" width="7.109375" style="106" bestFit="1" customWidth="1"/>
    <col min="1299" max="1301" width="6.109375" style="106" bestFit="1" customWidth="1"/>
    <col min="1302" max="1303" width="4.77734375" style="106" bestFit="1" customWidth="1"/>
    <col min="1304" max="1304" width="6.109375" style="106" bestFit="1" customWidth="1"/>
    <col min="1305" max="1307" width="3" style="106" customWidth="1"/>
    <col min="1308" max="1536" width="8.88671875" style="106"/>
    <col min="1537" max="1537" width="7.109375" style="106" customWidth="1"/>
    <col min="1538" max="1538" width="9.44140625" style="106" customWidth="1"/>
    <col min="1539" max="1540" width="8.33203125" style="106" customWidth="1"/>
    <col min="1541" max="1541" width="8.6640625" style="106" customWidth="1"/>
    <col min="1542" max="1543" width="7" style="106" customWidth="1"/>
    <col min="1544" max="1544" width="8.88671875" style="106"/>
    <col min="1545" max="1545" width="8.5546875" style="106" customWidth="1"/>
    <col min="1546" max="1546" width="7.33203125" style="106" customWidth="1"/>
    <col min="1547" max="1551" width="7" style="106" customWidth="1"/>
    <col min="1552" max="1552" width="6.77734375" style="106" customWidth="1"/>
    <col min="1553" max="1553" width="3.44140625" style="106" customWidth="1"/>
    <col min="1554" max="1554" width="7.109375" style="106" bestFit="1" customWidth="1"/>
    <col min="1555" max="1557" width="6.109375" style="106" bestFit="1" customWidth="1"/>
    <col min="1558" max="1559" width="4.77734375" style="106" bestFit="1" customWidth="1"/>
    <col min="1560" max="1560" width="6.109375" style="106" bestFit="1" customWidth="1"/>
    <col min="1561" max="1563" width="3" style="106" customWidth="1"/>
    <col min="1564" max="1792" width="8.88671875" style="106"/>
    <col min="1793" max="1793" width="7.109375" style="106" customWidth="1"/>
    <col min="1794" max="1794" width="9.44140625" style="106" customWidth="1"/>
    <col min="1795" max="1796" width="8.33203125" style="106" customWidth="1"/>
    <col min="1797" max="1797" width="8.6640625" style="106" customWidth="1"/>
    <col min="1798" max="1799" width="7" style="106" customWidth="1"/>
    <col min="1800" max="1800" width="8.88671875" style="106"/>
    <col min="1801" max="1801" width="8.5546875" style="106" customWidth="1"/>
    <col min="1802" max="1802" width="7.33203125" style="106" customWidth="1"/>
    <col min="1803" max="1807" width="7" style="106" customWidth="1"/>
    <col min="1808" max="1808" width="6.77734375" style="106" customWidth="1"/>
    <col min="1809" max="1809" width="3.44140625" style="106" customWidth="1"/>
    <col min="1810" max="1810" width="7.109375" style="106" bestFit="1" customWidth="1"/>
    <col min="1811" max="1813" width="6.109375" style="106" bestFit="1" customWidth="1"/>
    <col min="1814" max="1815" width="4.77734375" style="106" bestFit="1" customWidth="1"/>
    <col min="1816" max="1816" width="6.109375" style="106" bestFit="1" customWidth="1"/>
    <col min="1817" max="1819" width="3" style="106" customWidth="1"/>
    <col min="1820" max="2048" width="8.88671875" style="106"/>
    <col min="2049" max="2049" width="7.109375" style="106" customWidth="1"/>
    <col min="2050" max="2050" width="9.44140625" style="106" customWidth="1"/>
    <col min="2051" max="2052" width="8.33203125" style="106" customWidth="1"/>
    <col min="2053" max="2053" width="8.6640625" style="106" customWidth="1"/>
    <col min="2054" max="2055" width="7" style="106" customWidth="1"/>
    <col min="2056" max="2056" width="8.88671875" style="106"/>
    <col min="2057" max="2057" width="8.5546875" style="106" customWidth="1"/>
    <col min="2058" max="2058" width="7.33203125" style="106" customWidth="1"/>
    <col min="2059" max="2063" width="7" style="106" customWidth="1"/>
    <col min="2064" max="2064" width="6.77734375" style="106" customWidth="1"/>
    <col min="2065" max="2065" width="3.44140625" style="106" customWidth="1"/>
    <col min="2066" max="2066" width="7.109375" style="106" bestFit="1" customWidth="1"/>
    <col min="2067" max="2069" width="6.109375" style="106" bestFit="1" customWidth="1"/>
    <col min="2070" max="2071" width="4.77734375" style="106" bestFit="1" customWidth="1"/>
    <col min="2072" max="2072" width="6.109375" style="106" bestFit="1" customWidth="1"/>
    <col min="2073" max="2075" width="3" style="106" customWidth="1"/>
    <col min="2076" max="2304" width="8.88671875" style="106"/>
    <col min="2305" max="2305" width="7.109375" style="106" customWidth="1"/>
    <col min="2306" max="2306" width="9.44140625" style="106" customWidth="1"/>
    <col min="2307" max="2308" width="8.33203125" style="106" customWidth="1"/>
    <col min="2309" max="2309" width="8.6640625" style="106" customWidth="1"/>
    <col min="2310" max="2311" width="7" style="106" customWidth="1"/>
    <col min="2312" max="2312" width="8.88671875" style="106"/>
    <col min="2313" max="2313" width="8.5546875" style="106" customWidth="1"/>
    <col min="2314" max="2314" width="7.33203125" style="106" customWidth="1"/>
    <col min="2315" max="2319" width="7" style="106" customWidth="1"/>
    <col min="2320" max="2320" width="6.77734375" style="106" customWidth="1"/>
    <col min="2321" max="2321" width="3.44140625" style="106" customWidth="1"/>
    <col min="2322" max="2322" width="7.109375" style="106" bestFit="1" customWidth="1"/>
    <col min="2323" max="2325" width="6.109375" style="106" bestFit="1" customWidth="1"/>
    <col min="2326" max="2327" width="4.77734375" style="106" bestFit="1" customWidth="1"/>
    <col min="2328" max="2328" width="6.109375" style="106" bestFit="1" customWidth="1"/>
    <col min="2329" max="2331" width="3" style="106" customWidth="1"/>
    <col min="2332" max="2560" width="8.88671875" style="106"/>
    <col min="2561" max="2561" width="7.109375" style="106" customWidth="1"/>
    <col min="2562" max="2562" width="9.44140625" style="106" customWidth="1"/>
    <col min="2563" max="2564" width="8.33203125" style="106" customWidth="1"/>
    <col min="2565" max="2565" width="8.6640625" style="106" customWidth="1"/>
    <col min="2566" max="2567" width="7" style="106" customWidth="1"/>
    <col min="2568" max="2568" width="8.88671875" style="106"/>
    <col min="2569" max="2569" width="8.5546875" style="106" customWidth="1"/>
    <col min="2570" max="2570" width="7.33203125" style="106" customWidth="1"/>
    <col min="2571" max="2575" width="7" style="106" customWidth="1"/>
    <col min="2576" max="2576" width="6.77734375" style="106" customWidth="1"/>
    <col min="2577" max="2577" width="3.44140625" style="106" customWidth="1"/>
    <col min="2578" max="2578" width="7.109375" style="106" bestFit="1" customWidth="1"/>
    <col min="2579" max="2581" width="6.109375" style="106" bestFit="1" customWidth="1"/>
    <col min="2582" max="2583" width="4.77734375" style="106" bestFit="1" customWidth="1"/>
    <col min="2584" max="2584" width="6.109375" style="106" bestFit="1" customWidth="1"/>
    <col min="2585" max="2587" width="3" style="106" customWidth="1"/>
    <col min="2588" max="2816" width="8.88671875" style="106"/>
    <col min="2817" max="2817" width="7.109375" style="106" customWidth="1"/>
    <col min="2818" max="2818" width="9.44140625" style="106" customWidth="1"/>
    <col min="2819" max="2820" width="8.33203125" style="106" customWidth="1"/>
    <col min="2821" max="2821" width="8.6640625" style="106" customWidth="1"/>
    <col min="2822" max="2823" width="7" style="106" customWidth="1"/>
    <col min="2824" max="2824" width="8.88671875" style="106"/>
    <col min="2825" max="2825" width="8.5546875" style="106" customWidth="1"/>
    <col min="2826" max="2826" width="7.33203125" style="106" customWidth="1"/>
    <col min="2827" max="2831" width="7" style="106" customWidth="1"/>
    <col min="2832" max="2832" width="6.77734375" style="106" customWidth="1"/>
    <col min="2833" max="2833" width="3.44140625" style="106" customWidth="1"/>
    <col min="2834" max="2834" width="7.109375" style="106" bestFit="1" customWidth="1"/>
    <col min="2835" max="2837" width="6.109375" style="106" bestFit="1" customWidth="1"/>
    <col min="2838" max="2839" width="4.77734375" style="106" bestFit="1" customWidth="1"/>
    <col min="2840" max="2840" width="6.109375" style="106" bestFit="1" customWidth="1"/>
    <col min="2841" max="2843" width="3" style="106" customWidth="1"/>
    <col min="2844" max="3072" width="8.88671875" style="106"/>
    <col min="3073" max="3073" width="7.109375" style="106" customWidth="1"/>
    <col min="3074" max="3074" width="9.44140625" style="106" customWidth="1"/>
    <col min="3075" max="3076" width="8.33203125" style="106" customWidth="1"/>
    <col min="3077" max="3077" width="8.6640625" style="106" customWidth="1"/>
    <col min="3078" max="3079" width="7" style="106" customWidth="1"/>
    <col min="3080" max="3080" width="8.88671875" style="106"/>
    <col min="3081" max="3081" width="8.5546875" style="106" customWidth="1"/>
    <col min="3082" max="3082" width="7.33203125" style="106" customWidth="1"/>
    <col min="3083" max="3087" width="7" style="106" customWidth="1"/>
    <col min="3088" max="3088" width="6.77734375" style="106" customWidth="1"/>
    <col min="3089" max="3089" width="3.44140625" style="106" customWidth="1"/>
    <col min="3090" max="3090" width="7.109375" style="106" bestFit="1" customWidth="1"/>
    <col min="3091" max="3093" width="6.109375" style="106" bestFit="1" customWidth="1"/>
    <col min="3094" max="3095" width="4.77734375" style="106" bestFit="1" customWidth="1"/>
    <col min="3096" max="3096" width="6.109375" style="106" bestFit="1" customWidth="1"/>
    <col min="3097" max="3099" width="3" style="106" customWidth="1"/>
    <col min="3100" max="3328" width="8.88671875" style="106"/>
    <col min="3329" max="3329" width="7.109375" style="106" customWidth="1"/>
    <col min="3330" max="3330" width="9.44140625" style="106" customWidth="1"/>
    <col min="3331" max="3332" width="8.33203125" style="106" customWidth="1"/>
    <col min="3333" max="3333" width="8.6640625" style="106" customWidth="1"/>
    <col min="3334" max="3335" width="7" style="106" customWidth="1"/>
    <col min="3336" max="3336" width="8.88671875" style="106"/>
    <col min="3337" max="3337" width="8.5546875" style="106" customWidth="1"/>
    <col min="3338" max="3338" width="7.33203125" style="106" customWidth="1"/>
    <col min="3339" max="3343" width="7" style="106" customWidth="1"/>
    <col min="3344" max="3344" width="6.77734375" style="106" customWidth="1"/>
    <col min="3345" max="3345" width="3.44140625" style="106" customWidth="1"/>
    <col min="3346" max="3346" width="7.109375" style="106" bestFit="1" customWidth="1"/>
    <col min="3347" max="3349" width="6.109375" style="106" bestFit="1" customWidth="1"/>
    <col min="3350" max="3351" width="4.77734375" style="106" bestFit="1" customWidth="1"/>
    <col min="3352" max="3352" width="6.109375" style="106" bestFit="1" customWidth="1"/>
    <col min="3353" max="3355" width="3" style="106" customWidth="1"/>
    <col min="3356" max="3584" width="8.88671875" style="106"/>
    <col min="3585" max="3585" width="7.109375" style="106" customWidth="1"/>
    <col min="3586" max="3586" width="9.44140625" style="106" customWidth="1"/>
    <col min="3587" max="3588" width="8.33203125" style="106" customWidth="1"/>
    <col min="3589" max="3589" width="8.6640625" style="106" customWidth="1"/>
    <col min="3590" max="3591" width="7" style="106" customWidth="1"/>
    <col min="3592" max="3592" width="8.88671875" style="106"/>
    <col min="3593" max="3593" width="8.5546875" style="106" customWidth="1"/>
    <col min="3594" max="3594" width="7.33203125" style="106" customWidth="1"/>
    <col min="3595" max="3599" width="7" style="106" customWidth="1"/>
    <col min="3600" max="3600" width="6.77734375" style="106" customWidth="1"/>
    <col min="3601" max="3601" width="3.44140625" style="106" customWidth="1"/>
    <col min="3602" max="3602" width="7.109375" style="106" bestFit="1" customWidth="1"/>
    <col min="3603" max="3605" width="6.109375" style="106" bestFit="1" customWidth="1"/>
    <col min="3606" max="3607" width="4.77734375" style="106" bestFit="1" customWidth="1"/>
    <col min="3608" max="3608" width="6.109375" style="106" bestFit="1" customWidth="1"/>
    <col min="3609" max="3611" width="3" style="106" customWidth="1"/>
    <col min="3612" max="3840" width="8.88671875" style="106"/>
    <col min="3841" max="3841" width="7.109375" style="106" customWidth="1"/>
    <col min="3842" max="3842" width="9.44140625" style="106" customWidth="1"/>
    <col min="3843" max="3844" width="8.33203125" style="106" customWidth="1"/>
    <col min="3845" max="3845" width="8.6640625" style="106" customWidth="1"/>
    <col min="3846" max="3847" width="7" style="106" customWidth="1"/>
    <col min="3848" max="3848" width="8.88671875" style="106"/>
    <col min="3849" max="3849" width="8.5546875" style="106" customWidth="1"/>
    <col min="3850" max="3850" width="7.33203125" style="106" customWidth="1"/>
    <col min="3851" max="3855" width="7" style="106" customWidth="1"/>
    <col min="3856" max="3856" width="6.77734375" style="106" customWidth="1"/>
    <col min="3857" max="3857" width="3.44140625" style="106" customWidth="1"/>
    <col min="3858" max="3858" width="7.109375" style="106" bestFit="1" customWidth="1"/>
    <col min="3859" max="3861" width="6.109375" style="106" bestFit="1" customWidth="1"/>
    <col min="3862" max="3863" width="4.77734375" style="106" bestFit="1" customWidth="1"/>
    <col min="3864" max="3864" width="6.109375" style="106" bestFit="1" customWidth="1"/>
    <col min="3865" max="3867" width="3" style="106" customWidth="1"/>
    <col min="3868" max="4096" width="8.88671875" style="106"/>
    <col min="4097" max="4097" width="7.109375" style="106" customWidth="1"/>
    <col min="4098" max="4098" width="9.44140625" style="106" customWidth="1"/>
    <col min="4099" max="4100" width="8.33203125" style="106" customWidth="1"/>
    <col min="4101" max="4101" width="8.6640625" style="106" customWidth="1"/>
    <col min="4102" max="4103" width="7" style="106" customWidth="1"/>
    <col min="4104" max="4104" width="8.88671875" style="106"/>
    <col min="4105" max="4105" width="8.5546875" style="106" customWidth="1"/>
    <col min="4106" max="4106" width="7.33203125" style="106" customWidth="1"/>
    <col min="4107" max="4111" width="7" style="106" customWidth="1"/>
    <col min="4112" max="4112" width="6.77734375" style="106" customWidth="1"/>
    <col min="4113" max="4113" width="3.44140625" style="106" customWidth="1"/>
    <col min="4114" max="4114" width="7.109375" style="106" bestFit="1" customWidth="1"/>
    <col min="4115" max="4117" width="6.109375" style="106" bestFit="1" customWidth="1"/>
    <col min="4118" max="4119" width="4.77734375" style="106" bestFit="1" customWidth="1"/>
    <col min="4120" max="4120" width="6.109375" style="106" bestFit="1" customWidth="1"/>
    <col min="4121" max="4123" width="3" style="106" customWidth="1"/>
    <col min="4124" max="4352" width="8.88671875" style="106"/>
    <col min="4353" max="4353" width="7.109375" style="106" customWidth="1"/>
    <col min="4354" max="4354" width="9.44140625" style="106" customWidth="1"/>
    <col min="4355" max="4356" width="8.33203125" style="106" customWidth="1"/>
    <col min="4357" max="4357" width="8.6640625" style="106" customWidth="1"/>
    <col min="4358" max="4359" width="7" style="106" customWidth="1"/>
    <col min="4360" max="4360" width="8.88671875" style="106"/>
    <col min="4361" max="4361" width="8.5546875" style="106" customWidth="1"/>
    <col min="4362" max="4362" width="7.33203125" style="106" customWidth="1"/>
    <col min="4363" max="4367" width="7" style="106" customWidth="1"/>
    <col min="4368" max="4368" width="6.77734375" style="106" customWidth="1"/>
    <col min="4369" max="4369" width="3.44140625" style="106" customWidth="1"/>
    <col min="4370" max="4370" width="7.109375" style="106" bestFit="1" customWidth="1"/>
    <col min="4371" max="4373" width="6.109375" style="106" bestFit="1" customWidth="1"/>
    <col min="4374" max="4375" width="4.77734375" style="106" bestFit="1" customWidth="1"/>
    <col min="4376" max="4376" width="6.109375" style="106" bestFit="1" customWidth="1"/>
    <col min="4377" max="4379" width="3" style="106" customWidth="1"/>
    <col min="4380" max="4608" width="8.88671875" style="106"/>
    <col min="4609" max="4609" width="7.109375" style="106" customWidth="1"/>
    <col min="4610" max="4610" width="9.44140625" style="106" customWidth="1"/>
    <col min="4611" max="4612" width="8.33203125" style="106" customWidth="1"/>
    <col min="4613" max="4613" width="8.6640625" style="106" customWidth="1"/>
    <col min="4614" max="4615" width="7" style="106" customWidth="1"/>
    <col min="4616" max="4616" width="8.88671875" style="106"/>
    <col min="4617" max="4617" width="8.5546875" style="106" customWidth="1"/>
    <col min="4618" max="4618" width="7.33203125" style="106" customWidth="1"/>
    <col min="4619" max="4623" width="7" style="106" customWidth="1"/>
    <col min="4624" max="4624" width="6.77734375" style="106" customWidth="1"/>
    <col min="4625" max="4625" width="3.44140625" style="106" customWidth="1"/>
    <col min="4626" max="4626" width="7.109375" style="106" bestFit="1" customWidth="1"/>
    <col min="4627" max="4629" width="6.109375" style="106" bestFit="1" customWidth="1"/>
    <col min="4630" max="4631" width="4.77734375" style="106" bestFit="1" customWidth="1"/>
    <col min="4632" max="4632" width="6.109375" style="106" bestFit="1" customWidth="1"/>
    <col min="4633" max="4635" width="3" style="106" customWidth="1"/>
    <col min="4636" max="4864" width="8.88671875" style="106"/>
    <col min="4865" max="4865" width="7.109375" style="106" customWidth="1"/>
    <col min="4866" max="4866" width="9.44140625" style="106" customWidth="1"/>
    <col min="4867" max="4868" width="8.33203125" style="106" customWidth="1"/>
    <col min="4869" max="4869" width="8.6640625" style="106" customWidth="1"/>
    <col min="4870" max="4871" width="7" style="106" customWidth="1"/>
    <col min="4872" max="4872" width="8.88671875" style="106"/>
    <col min="4873" max="4873" width="8.5546875" style="106" customWidth="1"/>
    <col min="4874" max="4874" width="7.33203125" style="106" customWidth="1"/>
    <col min="4875" max="4879" width="7" style="106" customWidth="1"/>
    <col min="4880" max="4880" width="6.77734375" style="106" customWidth="1"/>
    <col min="4881" max="4881" width="3.44140625" style="106" customWidth="1"/>
    <col min="4882" max="4882" width="7.109375" style="106" bestFit="1" customWidth="1"/>
    <col min="4883" max="4885" width="6.109375" style="106" bestFit="1" customWidth="1"/>
    <col min="4886" max="4887" width="4.77734375" style="106" bestFit="1" customWidth="1"/>
    <col min="4888" max="4888" width="6.109375" style="106" bestFit="1" customWidth="1"/>
    <col min="4889" max="4891" width="3" style="106" customWidth="1"/>
    <col min="4892" max="5120" width="8.88671875" style="106"/>
    <col min="5121" max="5121" width="7.109375" style="106" customWidth="1"/>
    <col min="5122" max="5122" width="9.44140625" style="106" customWidth="1"/>
    <col min="5123" max="5124" width="8.33203125" style="106" customWidth="1"/>
    <col min="5125" max="5125" width="8.6640625" style="106" customWidth="1"/>
    <col min="5126" max="5127" width="7" style="106" customWidth="1"/>
    <col min="5128" max="5128" width="8.88671875" style="106"/>
    <col min="5129" max="5129" width="8.5546875" style="106" customWidth="1"/>
    <col min="5130" max="5130" width="7.33203125" style="106" customWidth="1"/>
    <col min="5131" max="5135" width="7" style="106" customWidth="1"/>
    <col min="5136" max="5136" width="6.77734375" style="106" customWidth="1"/>
    <col min="5137" max="5137" width="3.44140625" style="106" customWidth="1"/>
    <col min="5138" max="5138" width="7.109375" style="106" bestFit="1" customWidth="1"/>
    <col min="5139" max="5141" width="6.109375" style="106" bestFit="1" customWidth="1"/>
    <col min="5142" max="5143" width="4.77734375" style="106" bestFit="1" customWidth="1"/>
    <col min="5144" max="5144" width="6.109375" style="106" bestFit="1" customWidth="1"/>
    <col min="5145" max="5147" width="3" style="106" customWidth="1"/>
    <col min="5148" max="5376" width="8.88671875" style="106"/>
    <col min="5377" max="5377" width="7.109375" style="106" customWidth="1"/>
    <col min="5378" max="5378" width="9.44140625" style="106" customWidth="1"/>
    <col min="5379" max="5380" width="8.33203125" style="106" customWidth="1"/>
    <col min="5381" max="5381" width="8.6640625" style="106" customWidth="1"/>
    <col min="5382" max="5383" width="7" style="106" customWidth="1"/>
    <col min="5384" max="5384" width="8.88671875" style="106"/>
    <col min="5385" max="5385" width="8.5546875" style="106" customWidth="1"/>
    <col min="5386" max="5386" width="7.33203125" style="106" customWidth="1"/>
    <col min="5387" max="5391" width="7" style="106" customWidth="1"/>
    <col min="5392" max="5392" width="6.77734375" style="106" customWidth="1"/>
    <col min="5393" max="5393" width="3.44140625" style="106" customWidth="1"/>
    <col min="5394" max="5394" width="7.109375" style="106" bestFit="1" customWidth="1"/>
    <col min="5395" max="5397" width="6.109375" style="106" bestFit="1" customWidth="1"/>
    <col min="5398" max="5399" width="4.77734375" style="106" bestFit="1" customWidth="1"/>
    <col min="5400" max="5400" width="6.109375" style="106" bestFit="1" customWidth="1"/>
    <col min="5401" max="5403" width="3" style="106" customWidth="1"/>
    <col min="5404" max="5632" width="8.88671875" style="106"/>
    <col min="5633" max="5633" width="7.109375" style="106" customWidth="1"/>
    <col min="5634" max="5634" width="9.44140625" style="106" customWidth="1"/>
    <col min="5635" max="5636" width="8.33203125" style="106" customWidth="1"/>
    <col min="5637" max="5637" width="8.6640625" style="106" customWidth="1"/>
    <col min="5638" max="5639" width="7" style="106" customWidth="1"/>
    <col min="5640" max="5640" width="8.88671875" style="106"/>
    <col min="5641" max="5641" width="8.5546875" style="106" customWidth="1"/>
    <col min="5642" max="5642" width="7.33203125" style="106" customWidth="1"/>
    <col min="5643" max="5647" width="7" style="106" customWidth="1"/>
    <col min="5648" max="5648" width="6.77734375" style="106" customWidth="1"/>
    <col min="5649" max="5649" width="3.44140625" style="106" customWidth="1"/>
    <col min="5650" max="5650" width="7.109375" style="106" bestFit="1" customWidth="1"/>
    <col min="5651" max="5653" width="6.109375" style="106" bestFit="1" customWidth="1"/>
    <col min="5654" max="5655" width="4.77734375" style="106" bestFit="1" customWidth="1"/>
    <col min="5656" max="5656" width="6.109375" style="106" bestFit="1" customWidth="1"/>
    <col min="5657" max="5659" width="3" style="106" customWidth="1"/>
    <col min="5660" max="5888" width="8.88671875" style="106"/>
    <col min="5889" max="5889" width="7.109375" style="106" customWidth="1"/>
    <col min="5890" max="5890" width="9.44140625" style="106" customWidth="1"/>
    <col min="5891" max="5892" width="8.33203125" style="106" customWidth="1"/>
    <col min="5893" max="5893" width="8.6640625" style="106" customWidth="1"/>
    <col min="5894" max="5895" width="7" style="106" customWidth="1"/>
    <col min="5896" max="5896" width="8.88671875" style="106"/>
    <col min="5897" max="5897" width="8.5546875" style="106" customWidth="1"/>
    <col min="5898" max="5898" width="7.33203125" style="106" customWidth="1"/>
    <col min="5899" max="5903" width="7" style="106" customWidth="1"/>
    <col min="5904" max="5904" width="6.77734375" style="106" customWidth="1"/>
    <col min="5905" max="5905" width="3.44140625" style="106" customWidth="1"/>
    <col min="5906" max="5906" width="7.109375" style="106" bestFit="1" customWidth="1"/>
    <col min="5907" max="5909" width="6.109375" style="106" bestFit="1" customWidth="1"/>
    <col min="5910" max="5911" width="4.77734375" style="106" bestFit="1" customWidth="1"/>
    <col min="5912" max="5912" width="6.109375" style="106" bestFit="1" customWidth="1"/>
    <col min="5913" max="5915" width="3" style="106" customWidth="1"/>
    <col min="5916" max="6144" width="8.88671875" style="106"/>
    <col min="6145" max="6145" width="7.109375" style="106" customWidth="1"/>
    <col min="6146" max="6146" width="9.44140625" style="106" customWidth="1"/>
    <col min="6147" max="6148" width="8.33203125" style="106" customWidth="1"/>
    <col min="6149" max="6149" width="8.6640625" style="106" customWidth="1"/>
    <col min="6150" max="6151" width="7" style="106" customWidth="1"/>
    <col min="6152" max="6152" width="8.88671875" style="106"/>
    <col min="6153" max="6153" width="8.5546875" style="106" customWidth="1"/>
    <col min="6154" max="6154" width="7.33203125" style="106" customWidth="1"/>
    <col min="6155" max="6159" width="7" style="106" customWidth="1"/>
    <col min="6160" max="6160" width="6.77734375" style="106" customWidth="1"/>
    <col min="6161" max="6161" width="3.44140625" style="106" customWidth="1"/>
    <col min="6162" max="6162" width="7.109375" style="106" bestFit="1" customWidth="1"/>
    <col min="6163" max="6165" width="6.109375" style="106" bestFit="1" customWidth="1"/>
    <col min="6166" max="6167" width="4.77734375" style="106" bestFit="1" customWidth="1"/>
    <col min="6168" max="6168" width="6.109375" style="106" bestFit="1" customWidth="1"/>
    <col min="6169" max="6171" width="3" style="106" customWidth="1"/>
    <col min="6172" max="6400" width="8.88671875" style="106"/>
    <col min="6401" max="6401" width="7.109375" style="106" customWidth="1"/>
    <col min="6402" max="6402" width="9.44140625" style="106" customWidth="1"/>
    <col min="6403" max="6404" width="8.33203125" style="106" customWidth="1"/>
    <col min="6405" max="6405" width="8.6640625" style="106" customWidth="1"/>
    <col min="6406" max="6407" width="7" style="106" customWidth="1"/>
    <col min="6408" max="6408" width="8.88671875" style="106"/>
    <col min="6409" max="6409" width="8.5546875" style="106" customWidth="1"/>
    <col min="6410" max="6410" width="7.33203125" style="106" customWidth="1"/>
    <col min="6411" max="6415" width="7" style="106" customWidth="1"/>
    <col min="6416" max="6416" width="6.77734375" style="106" customWidth="1"/>
    <col min="6417" max="6417" width="3.44140625" style="106" customWidth="1"/>
    <col min="6418" max="6418" width="7.109375" style="106" bestFit="1" customWidth="1"/>
    <col min="6419" max="6421" width="6.109375" style="106" bestFit="1" customWidth="1"/>
    <col min="6422" max="6423" width="4.77734375" style="106" bestFit="1" customWidth="1"/>
    <col min="6424" max="6424" width="6.109375" style="106" bestFit="1" customWidth="1"/>
    <col min="6425" max="6427" width="3" style="106" customWidth="1"/>
    <col min="6428" max="6656" width="8.88671875" style="106"/>
    <col min="6657" max="6657" width="7.109375" style="106" customWidth="1"/>
    <col min="6658" max="6658" width="9.44140625" style="106" customWidth="1"/>
    <col min="6659" max="6660" width="8.33203125" style="106" customWidth="1"/>
    <col min="6661" max="6661" width="8.6640625" style="106" customWidth="1"/>
    <col min="6662" max="6663" width="7" style="106" customWidth="1"/>
    <col min="6664" max="6664" width="8.88671875" style="106"/>
    <col min="6665" max="6665" width="8.5546875" style="106" customWidth="1"/>
    <col min="6666" max="6666" width="7.33203125" style="106" customWidth="1"/>
    <col min="6667" max="6671" width="7" style="106" customWidth="1"/>
    <col min="6672" max="6672" width="6.77734375" style="106" customWidth="1"/>
    <col min="6673" max="6673" width="3.44140625" style="106" customWidth="1"/>
    <col min="6674" max="6674" width="7.109375" style="106" bestFit="1" customWidth="1"/>
    <col min="6675" max="6677" width="6.109375" style="106" bestFit="1" customWidth="1"/>
    <col min="6678" max="6679" width="4.77734375" style="106" bestFit="1" customWidth="1"/>
    <col min="6680" max="6680" width="6.109375" style="106" bestFit="1" customWidth="1"/>
    <col min="6681" max="6683" width="3" style="106" customWidth="1"/>
    <col min="6684" max="6912" width="8.88671875" style="106"/>
    <col min="6913" max="6913" width="7.109375" style="106" customWidth="1"/>
    <col min="6914" max="6914" width="9.44140625" style="106" customWidth="1"/>
    <col min="6915" max="6916" width="8.33203125" style="106" customWidth="1"/>
    <col min="6917" max="6917" width="8.6640625" style="106" customWidth="1"/>
    <col min="6918" max="6919" width="7" style="106" customWidth="1"/>
    <col min="6920" max="6920" width="8.88671875" style="106"/>
    <col min="6921" max="6921" width="8.5546875" style="106" customWidth="1"/>
    <col min="6922" max="6922" width="7.33203125" style="106" customWidth="1"/>
    <col min="6923" max="6927" width="7" style="106" customWidth="1"/>
    <col min="6928" max="6928" width="6.77734375" style="106" customWidth="1"/>
    <col min="6929" max="6929" width="3.44140625" style="106" customWidth="1"/>
    <col min="6930" max="6930" width="7.109375" style="106" bestFit="1" customWidth="1"/>
    <col min="6931" max="6933" width="6.109375" style="106" bestFit="1" customWidth="1"/>
    <col min="6934" max="6935" width="4.77734375" style="106" bestFit="1" customWidth="1"/>
    <col min="6936" max="6936" width="6.109375" style="106" bestFit="1" customWidth="1"/>
    <col min="6937" max="6939" width="3" style="106" customWidth="1"/>
    <col min="6940" max="7168" width="8.88671875" style="106"/>
    <col min="7169" max="7169" width="7.109375" style="106" customWidth="1"/>
    <col min="7170" max="7170" width="9.44140625" style="106" customWidth="1"/>
    <col min="7171" max="7172" width="8.33203125" style="106" customWidth="1"/>
    <col min="7173" max="7173" width="8.6640625" style="106" customWidth="1"/>
    <col min="7174" max="7175" width="7" style="106" customWidth="1"/>
    <col min="7176" max="7176" width="8.88671875" style="106"/>
    <col min="7177" max="7177" width="8.5546875" style="106" customWidth="1"/>
    <col min="7178" max="7178" width="7.33203125" style="106" customWidth="1"/>
    <col min="7179" max="7183" width="7" style="106" customWidth="1"/>
    <col min="7184" max="7184" width="6.77734375" style="106" customWidth="1"/>
    <col min="7185" max="7185" width="3.44140625" style="106" customWidth="1"/>
    <col min="7186" max="7186" width="7.109375" style="106" bestFit="1" customWidth="1"/>
    <col min="7187" max="7189" width="6.109375" style="106" bestFit="1" customWidth="1"/>
    <col min="7190" max="7191" width="4.77734375" style="106" bestFit="1" customWidth="1"/>
    <col min="7192" max="7192" width="6.109375" style="106" bestFit="1" customWidth="1"/>
    <col min="7193" max="7195" width="3" style="106" customWidth="1"/>
    <col min="7196" max="7424" width="8.88671875" style="106"/>
    <col min="7425" max="7425" width="7.109375" style="106" customWidth="1"/>
    <col min="7426" max="7426" width="9.44140625" style="106" customWidth="1"/>
    <col min="7427" max="7428" width="8.33203125" style="106" customWidth="1"/>
    <col min="7429" max="7429" width="8.6640625" style="106" customWidth="1"/>
    <col min="7430" max="7431" width="7" style="106" customWidth="1"/>
    <col min="7432" max="7432" width="8.88671875" style="106"/>
    <col min="7433" max="7433" width="8.5546875" style="106" customWidth="1"/>
    <col min="7434" max="7434" width="7.33203125" style="106" customWidth="1"/>
    <col min="7435" max="7439" width="7" style="106" customWidth="1"/>
    <col min="7440" max="7440" width="6.77734375" style="106" customWidth="1"/>
    <col min="7441" max="7441" width="3.44140625" style="106" customWidth="1"/>
    <col min="7442" max="7442" width="7.109375" style="106" bestFit="1" customWidth="1"/>
    <col min="7443" max="7445" width="6.109375" style="106" bestFit="1" customWidth="1"/>
    <col min="7446" max="7447" width="4.77734375" style="106" bestFit="1" customWidth="1"/>
    <col min="7448" max="7448" width="6.109375" style="106" bestFit="1" customWidth="1"/>
    <col min="7449" max="7451" width="3" style="106" customWidth="1"/>
    <col min="7452" max="7680" width="8.88671875" style="106"/>
    <col min="7681" max="7681" width="7.109375" style="106" customWidth="1"/>
    <col min="7682" max="7682" width="9.44140625" style="106" customWidth="1"/>
    <col min="7683" max="7684" width="8.33203125" style="106" customWidth="1"/>
    <col min="7685" max="7685" width="8.6640625" style="106" customWidth="1"/>
    <col min="7686" max="7687" width="7" style="106" customWidth="1"/>
    <col min="7688" max="7688" width="8.88671875" style="106"/>
    <col min="7689" max="7689" width="8.5546875" style="106" customWidth="1"/>
    <col min="7690" max="7690" width="7.33203125" style="106" customWidth="1"/>
    <col min="7691" max="7695" width="7" style="106" customWidth="1"/>
    <col min="7696" max="7696" width="6.77734375" style="106" customWidth="1"/>
    <col min="7697" max="7697" width="3.44140625" style="106" customWidth="1"/>
    <col min="7698" max="7698" width="7.109375" style="106" bestFit="1" customWidth="1"/>
    <col min="7699" max="7701" width="6.109375" style="106" bestFit="1" customWidth="1"/>
    <col min="7702" max="7703" width="4.77734375" style="106" bestFit="1" customWidth="1"/>
    <col min="7704" max="7704" width="6.109375" style="106" bestFit="1" customWidth="1"/>
    <col min="7705" max="7707" width="3" style="106" customWidth="1"/>
    <col min="7708" max="7936" width="8.88671875" style="106"/>
    <col min="7937" max="7937" width="7.109375" style="106" customWidth="1"/>
    <col min="7938" max="7938" width="9.44140625" style="106" customWidth="1"/>
    <col min="7939" max="7940" width="8.33203125" style="106" customWidth="1"/>
    <col min="7941" max="7941" width="8.6640625" style="106" customWidth="1"/>
    <col min="7942" max="7943" width="7" style="106" customWidth="1"/>
    <col min="7944" max="7944" width="8.88671875" style="106"/>
    <col min="7945" max="7945" width="8.5546875" style="106" customWidth="1"/>
    <col min="7946" max="7946" width="7.33203125" style="106" customWidth="1"/>
    <col min="7947" max="7951" width="7" style="106" customWidth="1"/>
    <col min="7952" max="7952" width="6.77734375" style="106" customWidth="1"/>
    <col min="7953" max="7953" width="3.44140625" style="106" customWidth="1"/>
    <col min="7954" max="7954" width="7.109375" style="106" bestFit="1" customWidth="1"/>
    <col min="7955" max="7957" width="6.109375" style="106" bestFit="1" customWidth="1"/>
    <col min="7958" max="7959" width="4.77734375" style="106" bestFit="1" customWidth="1"/>
    <col min="7960" max="7960" width="6.109375" style="106" bestFit="1" customWidth="1"/>
    <col min="7961" max="7963" width="3" style="106" customWidth="1"/>
    <col min="7964" max="8192" width="8.88671875" style="106"/>
    <col min="8193" max="8193" width="7.109375" style="106" customWidth="1"/>
    <col min="8194" max="8194" width="9.44140625" style="106" customWidth="1"/>
    <col min="8195" max="8196" width="8.33203125" style="106" customWidth="1"/>
    <col min="8197" max="8197" width="8.6640625" style="106" customWidth="1"/>
    <col min="8198" max="8199" width="7" style="106" customWidth="1"/>
    <col min="8200" max="8200" width="8.88671875" style="106"/>
    <col min="8201" max="8201" width="8.5546875" style="106" customWidth="1"/>
    <col min="8202" max="8202" width="7.33203125" style="106" customWidth="1"/>
    <col min="8203" max="8207" width="7" style="106" customWidth="1"/>
    <col min="8208" max="8208" width="6.77734375" style="106" customWidth="1"/>
    <col min="8209" max="8209" width="3.44140625" style="106" customWidth="1"/>
    <col min="8210" max="8210" width="7.109375" style="106" bestFit="1" customWidth="1"/>
    <col min="8211" max="8213" width="6.109375" style="106" bestFit="1" customWidth="1"/>
    <col min="8214" max="8215" width="4.77734375" style="106" bestFit="1" customWidth="1"/>
    <col min="8216" max="8216" width="6.109375" style="106" bestFit="1" customWidth="1"/>
    <col min="8217" max="8219" width="3" style="106" customWidth="1"/>
    <col min="8220" max="8448" width="8.88671875" style="106"/>
    <col min="8449" max="8449" width="7.109375" style="106" customWidth="1"/>
    <col min="8450" max="8450" width="9.44140625" style="106" customWidth="1"/>
    <col min="8451" max="8452" width="8.33203125" style="106" customWidth="1"/>
    <col min="8453" max="8453" width="8.6640625" style="106" customWidth="1"/>
    <col min="8454" max="8455" width="7" style="106" customWidth="1"/>
    <col min="8456" max="8456" width="8.88671875" style="106"/>
    <col min="8457" max="8457" width="8.5546875" style="106" customWidth="1"/>
    <col min="8458" max="8458" width="7.33203125" style="106" customWidth="1"/>
    <col min="8459" max="8463" width="7" style="106" customWidth="1"/>
    <col min="8464" max="8464" width="6.77734375" style="106" customWidth="1"/>
    <col min="8465" max="8465" width="3.44140625" style="106" customWidth="1"/>
    <col min="8466" max="8466" width="7.109375" style="106" bestFit="1" customWidth="1"/>
    <col min="8467" max="8469" width="6.109375" style="106" bestFit="1" customWidth="1"/>
    <col min="8470" max="8471" width="4.77734375" style="106" bestFit="1" customWidth="1"/>
    <col min="8472" max="8472" width="6.109375" style="106" bestFit="1" customWidth="1"/>
    <col min="8473" max="8475" width="3" style="106" customWidth="1"/>
    <col min="8476" max="8704" width="8.88671875" style="106"/>
    <col min="8705" max="8705" width="7.109375" style="106" customWidth="1"/>
    <col min="8706" max="8706" width="9.44140625" style="106" customWidth="1"/>
    <col min="8707" max="8708" width="8.33203125" style="106" customWidth="1"/>
    <col min="8709" max="8709" width="8.6640625" style="106" customWidth="1"/>
    <col min="8710" max="8711" width="7" style="106" customWidth="1"/>
    <col min="8712" max="8712" width="8.88671875" style="106"/>
    <col min="8713" max="8713" width="8.5546875" style="106" customWidth="1"/>
    <col min="8714" max="8714" width="7.33203125" style="106" customWidth="1"/>
    <col min="8715" max="8719" width="7" style="106" customWidth="1"/>
    <col min="8720" max="8720" width="6.77734375" style="106" customWidth="1"/>
    <col min="8721" max="8721" width="3.44140625" style="106" customWidth="1"/>
    <col min="8722" max="8722" width="7.109375" style="106" bestFit="1" customWidth="1"/>
    <col min="8723" max="8725" width="6.109375" style="106" bestFit="1" customWidth="1"/>
    <col min="8726" max="8727" width="4.77734375" style="106" bestFit="1" customWidth="1"/>
    <col min="8728" max="8728" width="6.109375" style="106" bestFit="1" customWidth="1"/>
    <col min="8729" max="8731" width="3" style="106" customWidth="1"/>
    <col min="8732" max="8960" width="8.88671875" style="106"/>
    <col min="8961" max="8961" width="7.109375" style="106" customWidth="1"/>
    <col min="8962" max="8962" width="9.44140625" style="106" customWidth="1"/>
    <col min="8963" max="8964" width="8.33203125" style="106" customWidth="1"/>
    <col min="8965" max="8965" width="8.6640625" style="106" customWidth="1"/>
    <col min="8966" max="8967" width="7" style="106" customWidth="1"/>
    <col min="8968" max="8968" width="8.88671875" style="106"/>
    <col min="8969" max="8969" width="8.5546875" style="106" customWidth="1"/>
    <col min="8970" max="8970" width="7.33203125" style="106" customWidth="1"/>
    <col min="8971" max="8975" width="7" style="106" customWidth="1"/>
    <col min="8976" max="8976" width="6.77734375" style="106" customWidth="1"/>
    <col min="8977" max="8977" width="3.44140625" style="106" customWidth="1"/>
    <col min="8978" max="8978" width="7.109375" style="106" bestFit="1" customWidth="1"/>
    <col min="8979" max="8981" width="6.109375" style="106" bestFit="1" customWidth="1"/>
    <col min="8982" max="8983" width="4.77734375" style="106" bestFit="1" customWidth="1"/>
    <col min="8984" max="8984" width="6.109375" style="106" bestFit="1" customWidth="1"/>
    <col min="8985" max="8987" width="3" style="106" customWidth="1"/>
    <col min="8988" max="9216" width="8.88671875" style="106"/>
    <col min="9217" max="9217" width="7.109375" style="106" customWidth="1"/>
    <col min="9218" max="9218" width="9.44140625" style="106" customWidth="1"/>
    <col min="9219" max="9220" width="8.33203125" style="106" customWidth="1"/>
    <col min="9221" max="9221" width="8.6640625" style="106" customWidth="1"/>
    <col min="9222" max="9223" width="7" style="106" customWidth="1"/>
    <col min="9224" max="9224" width="8.88671875" style="106"/>
    <col min="9225" max="9225" width="8.5546875" style="106" customWidth="1"/>
    <col min="9226" max="9226" width="7.33203125" style="106" customWidth="1"/>
    <col min="9227" max="9231" width="7" style="106" customWidth="1"/>
    <col min="9232" max="9232" width="6.77734375" style="106" customWidth="1"/>
    <col min="9233" max="9233" width="3.44140625" style="106" customWidth="1"/>
    <col min="9234" max="9234" width="7.109375" style="106" bestFit="1" customWidth="1"/>
    <col min="9235" max="9237" width="6.109375" style="106" bestFit="1" customWidth="1"/>
    <col min="9238" max="9239" width="4.77734375" style="106" bestFit="1" customWidth="1"/>
    <col min="9240" max="9240" width="6.109375" style="106" bestFit="1" customWidth="1"/>
    <col min="9241" max="9243" width="3" style="106" customWidth="1"/>
    <col min="9244" max="9472" width="8.88671875" style="106"/>
    <col min="9473" max="9473" width="7.109375" style="106" customWidth="1"/>
    <col min="9474" max="9474" width="9.44140625" style="106" customWidth="1"/>
    <col min="9475" max="9476" width="8.33203125" style="106" customWidth="1"/>
    <col min="9477" max="9477" width="8.6640625" style="106" customWidth="1"/>
    <col min="9478" max="9479" width="7" style="106" customWidth="1"/>
    <col min="9480" max="9480" width="8.88671875" style="106"/>
    <col min="9481" max="9481" width="8.5546875" style="106" customWidth="1"/>
    <col min="9482" max="9482" width="7.33203125" style="106" customWidth="1"/>
    <col min="9483" max="9487" width="7" style="106" customWidth="1"/>
    <col min="9488" max="9488" width="6.77734375" style="106" customWidth="1"/>
    <col min="9489" max="9489" width="3.44140625" style="106" customWidth="1"/>
    <col min="9490" max="9490" width="7.109375" style="106" bestFit="1" customWidth="1"/>
    <col min="9491" max="9493" width="6.109375" style="106" bestFit="1" customWidth="1"/>
    <col min="9494" max="9495" width="4.77734375" style="106" bestFit="1" customWidth="1"/>
    <col min="9496" max="9496" width="6.109375" style="106" bestFit="1" customWidth="1"/>
    <col min="9497" max="9499" width="3" style="106" customWidth="1"/>
    <col min="9500" max="9728" width="8.88671875" style="106"/>
    <col min="9729" max="9729" width="7.109375" style="106" customWidth="1"/>
    <col min="9730" max="9730" width="9.44140625" style="106" customWidth="1"/>
    <col min="9731" max="9732" width="8.33203125" style="106" customWidth="1"/>
    <col min="9733" max="9733" width="8.6640625" style="106" customWidth="1"/>
    <col min="9734" max="9735" width="7" style="106" customWidth="1"/>
    <col min="9736" max="9736" width="8.88671875" style="106"/>
    <col min="9737" max="9737" width="8.5546875" style="106" customWidth="1"/>
    <col min="9738" max="9738" width="7.33203125" style="106" customWidth="1"/>
    <col min="9739" max="9743" width="7" style="106" customWidth="1"/>
    <col min="9744" max="9744" width="6.77734375" style="106" customWidth="1"/>
    <col min="9745" max="9745" width="3.44140625" style="106" customWidth="1"/>
    <col min="9746" max="9746" width="7.109375" style="106" bestFit="1" customWidth="1"/>
    <col min="9747" max="9749" width="6.109375" style="106" bestFit="1" customWidth="1"/>
    <col min="9750" max="9751" width="4.77734375" style="106" bestFit="1" customWidth="1"/>
    <col min="9752" max="9752" width="6.109375" style="106" bestFit="1" customWidth="1"/>
    <col min="9753" max="9755" width="3" style="106" customWidth="1"/>
    <col min="9756" max="9984" width="8.88671875" style="106"/>
    <col min="9985" max="9985" width="7.109375" style="106" customWidth="1"/>
    <col min="9986" max="9986" width="9.44140625" style="106" customWidth="1"/>
    <col min="9987" max="9988" width="8.33203125" style="106" customWidth="1"/>
    <col min="9989" max="9989" width="8.6640625" style="106" customWidth="1"/>
    <col min="9990" max="9991" width="7" style="106" customWidth="1"/>
    <col min="9992" max="9992" width="8.88671875" style="106"/>
    <col min="9993" max="9993" width="8.5546875" style="106" customWidth="1"/>
    <col min="9994" max="9994" width="7.33203125" style="106" customWidth="1"/>
    <col min="9995" max="9999" width="7" style="106" customWidth="1"/>
    <col min="10000" max="10000" width="6.77734375" style="106" customWidth="1"/>
    <col min="10001" max="10001" width="3.44140625" style="106" customWidth="1"/>
    <col min="10002" max="10002" width="7.109375" style="106" bestFit="1" customWidth="1"/>
    <col min="10003" max="10005" width="6.109375" style="106" bestFit="1" customWidth="1"/>
    <col min="10006" max="10007" width="4.77734375" style="106" bestFit="1" customWidth="1"/>
    <col min="10008" max="10008" width="6.109375" style="106" bestFit="1" customWidth="1"/>
    <col min="10009" max="10011" width="3" style="106" customWidth="1"/>
    <col min="10012" max="10240" width="8.88671875" style="106"/>
    <col min="10241" max="10241" width="7.109375" style="106" customWidth="1"/>
    <col min="10242" max="10242" width="9.44140625" style="106" customWidth="1"/>
    <col min="10243" max="10244" width="8.33203125" style="106" customWidth="1"/>
    <col min="10245" max="10245" width="8.6640625" style="106" customWidth="1"/>
    <col min="10246" max="10247" width="7" style="106" customWidth="1"/>
    <col min="10248" max="10248" width="8.88671875" style="106"/>
    <col min="10249" max="10249" width="8.5546875" style="106" customWidth="1"/>
    <col min="10250" max="10250" width="7.33203125" style="106" customWidth="1"/>
    <col min="10251" max="10255" width="7" style="106" customWidth="1"/>
    <col min="10256" max="10256" width="6.77734375" style="106" customWidth="1"/>
    <col min="10257" max="10257" width="3.44140625" style="106" customWidth="1"/>
    <col min="10258" max="10258" width="7.109375" style="106" bestFit="1" customWidth="1"/>
    <col min="10259" max="10261" width="6.109375" style="106" bestFit="1" customWidth="1"/>
    <col min="10262" max="10263" width="4.77734375" style="106" bestFit="1" customWidth="1"/>
    <col min="10264" max="10264" width="6.109375" style="106" bestFit="1" customWidth="1"/>
    <col min="10265" max="10267" width="3" style="106" customWidth="1"/>
    <col min="10268" max="10496" width="8.88671875" style="106"/>
    <col min="10497" max="10497" width="7.109375" style="106" customWidth="1"/>
    <col min="10498" max="10498" width="9.44140625" style="106" customWidth="1"/>
    <col min="10499" max="10500" width="8.33203125" style="106" customWidth="1"/>
    <col min="10501" max="10501" width="8.6640625" style="106" customWidth="1"/>
    <col min="10502" max="10503" width="7" style="106" customWidth="1"/>
    <col min="10504" max="10504" width="8.88671875" style="106"/>
    <col min="10505" max="10505" width="8.5546875" style="106" customWidth="1"/>
    <col min="10506" max="10506" width="7.33203125" style="106" customWidth="1"/>
    <col min="10507" max="10511" width="7" style="106" customWidth="1"/>
    <col min="10512" max="10512" width="6.77734375" style="106" customWidth="1"/>
    <col min="10513" max="10513" width="3.44140625" style="106" customWidth="1"/>
    <col min="10514" max="10514" width="7.109375" style="106" bestFit="1" customWidth="1"/>
    <col min="10515" max="10517" width="6.109375" style="106" bestFit="1" customWidth="1"/>
    <col min="10518" max="10519" width="4.77734375" style="106" bestFit="1" customWidth="1"/>
    <col min="10520" max="10520" width="6.109375" style="106" bestFit="1" customWidth="1"/>
    <col min="10521" max="10523" width="3" style="106" customWidth="1"/>
    <col min="10524" max="10752" width="8.88671875" style="106"/>
    <col min="10753" max="10753" width="7.109375" style="106" customWidth="1"/>
    <col min="10754" max="10754" width="9.44140625" style="106" customWidth="1"/>
    <col min="10755" max="10756" width="8.33203125" style="106" customWidth="1"/>
    <col min="10757" max="10757" width="8.6640625" style="106" customWidth="1"/>
    <col min="10758" max="10759" width="7" style="106" customWidth="1"/>
    <col min="10760" max="10760" width="8.88671875" style="106"/>
    <col min="10761" max="10761" width="8.5546875" style="106" customWidth="1"/>
    <col min="10762" max="10762" width="7.33203125" style="106" customWidth="1"/>
    <col min="10763" max="10767" width="7" style="106" customWidth="1"/>
    <col min="10768" max="10768" width="6.77734375" style="106" customWidth="1"/>
    <col min="10769" max="10769" width="3.44140625" style="106" customWidth="1"/>
    <col min="10770" max="10770" width="7.109375" style="106" bestFit="1" customWidth="1"/>
    <col min="10771" max="10773" width="6.109375" style="106" bestFit="1" customWidth="1"/>
    <col min="10774" max="10775" width="4.77734375" style="106" bestFit="1" customWidth="1"/>
    <col min="10776" max="10776" width="6.109375" style="106" bestFit="1" customWidth="1"/>
    <col min="10777" max="10779" width="3" style="106" customWidth="1"/>
    <col min="10780" max="11008" width="8.88671875" style="106"/>
    <col min="11009" max="11009" width="7.109375" style="106" customWidth="1"/>
    <col min="11010" max="11010" width="9.44140625" style="106" customWidth="1"/>
    <col min="11011" max="11012" width="8.33203125" style="106" customWidth="1"/>
    <col min="11013" max="11013" width="8.6640625" style="106" customWidth="1"/>
    <col min="11014" max="11015" width="7" style="106" customWidth="1"/>
    <col min="11016" max="11016" width="8.88671875" style="106"/>
    <col min="11017" max="11017" width="8.5546875" style="106" customWidth="1"/>
    <col min="11018" max="11018" width="7.33203125" style="106" customWidth="1"/>
    <col min="11019" max="11023" width="7" style="106" customWidth="1"/>
    <col min="11024" max="11024" width="6.77734375" style="106" customWidth="1"/>
    <col min="11025" max="11025" width="3.44140625" style="106" customWidth="1"/>
    <col min="11026" max="11026" width="7.109375" style="106" bestFit="1" customWidth="1"/>
    <col min="11027" max="11029" width="6.109375" style="106" bestFit="1" customWidth="1"/>
    <col min="11030" max="11031" width="4.77734375" style="106" bestFit="1" customWidth="1"/>
    <col min="11032" max="11032" width="6.109375" style="106" bestFit="1" customWidth="1"/>
    <col min="11033" max="11035" width="3" style="106" customWidth="1"/>
    <col min="11036" max="11264" width="8.88671875" style="106"/>
    <col min="11265" max="11265" width="7.109375" style="106" customWidth="1"/>
    <col min="11266" max="11266" width="9.44140625" style="106" customWidth="1"/>
    <col min="11267" max="11268" width="8.33203125" style="106" customWidth="1"/>
    <col min="11269" max="11269" width="8.6640625" style="106" customWidth="1"/>
    <col min="11270" max="11271" width="7" style="106" customWidth="1"/>
    <col min="11272" max="11272" width="8.88671875" style="106"/>
    <col min="11273" max="11273" width="8.5546875" style="106" customWidth="1"/>
    <col min="11274" max="11274" width="7.33203125" style="106" customWidth="1"/>
    <col min="11275" max="11279" width="7" style="106" customWidth="1"/>
    <col min="11280" max="11280" width="6.77734375" style="106" customWidth="1"/>
    <col min="11281" max="11281" width="3.44140625" style="106" customWidth="1"/>
    <col min="11282" max="11282" width="7.109375" style="106" bestFit="1" customWidth="1"/>
    <col min="11283" max="11285" width="6.109375" style="106" bestFit="1" customWidth="1"/>
    <col min="11286" max="11287" width="4.77734375" style="106" bestFit="1" customWidth="1"/>
    <col min="11288" max="11288" width="6.109375" style="106" bestFit="1" customWidth="1"/>
    <col min="11289" max="11291" width="3" style="106" customWidth="1"/>
    <col min="11292" max="11520" width="8.88671875" style="106"/>
    <col min="11521" max="11521" width="7.109375" style="106" customWidth="1"/>
    <col min="11522" max="11522" width="9.44140625" style="106" customWidth="1"/>
    <col min="11523" max="11524" width="8.33203125" style="106" customWidth="1"/>
    <col min="11525" max="11525" width="8.6640625" style="106" customWidth="1"/>
    <col min="11526" max="11527" width="7" style="106" customWidth="1"/>
    <col min="11528" max="11528" width="8.88671875" style="106"/>
    <col min="11529" max="11529" width="8.5546875" style="106" customWidth="1"/>
    <col min="11530" max="11530" width="7.33203125" style="106" customWidth="1"/>
    <col min="11531" max="11535" width="7" style="106" customWidth="1"/>
    <col min="11536" max="11536" width="6.77734375" style="106" customWidth="1"/>
    <col min="11537" max="11537" width="3.44140625" style="106" customWidth="1"/>
    <col min="11538" max="11538" width="7.109375" style="106" bestFit="1" customWidth="1"/>
    <col min="11539" max="11541" width="6.109375" style="106" bestFit="1" customWidth="1"/>
    <col min="11542" max="11543" width="4.77734375" style="106" bestFit="1" customWidth="1"/>
    <col min="11544" max="11544" width="6.109375" style="106" bestFit="1" customWidth="1"/>
    <col min="11545" max="11547" width="3" style="106" customWidth="1"/>
    <col min="11548" max="11776" width="8.88671875" style="106"/>
    <col min="11777" max="11777" width="7.109375" style="106" customWidth="1"/>
    <col min="11778" max="11778" width="9.44140625" style="106" customWidth="1"/>
    <col min="11779" max="11780" width="8.33203125" style="106" customWidth="1"/>
    <col min="11781" max="11781" width="8.6640625" style="106" customWidth="1"/>
    <col min="11782" max="11783" width="7" style="106" customWidth="1"/>
    <col min="11784" max="11784" width="8.88671875" style="106"/>
    <col min="11785" max="11785" width="8.5546875" style="106" customWidth="1"/>
    <col min="11786" max="11786" width="7.33203125" style="106" customWidth="1"/>
    <col min="11787" max="11791" width="7" style="106" customWidth="1"/>
    <col min="11792" max="11792" width="6.77734375" style="106" customWidth="1"/>
    <col min="11793" max="11793" width="3.44140625" style="106" customWidth="1"/>
    <col min="11794" max="11794" width="7.109375" style="106" bestFit="1" customWidth="1"/>
    <col min="11795" max="11797" width="6.109375" style="106" bestFit="1" customWidth="1"/>
    <col min="11798" max="11799" width="4.77734375" style="106" bestFit="1" customWidth="1"/>
    <col min="11800" max="11800" width="6.109375" style="106" bestFit="1" customWidth="1"/>
    <col min="11801" max="11803" width="3" style="106" customWidth="1"/>
    <col min="11804" max="12032" width="8.88671875" style="106"/>
    <col min="12033" max="12033" width="7.109375" style="106" customWidth="1"/>
    <col min="12034" max="12034" width="9.44140625" style="106" customWidth="1"/>
    <col min="12035" max="12036" width="8.33203125" style="106" customWidth="1"/>
    <col min="12037" max="12037" width="8.6640625" style="106" customWidth="1"/>
    <col min="12038" max="12039" width="7" style="106" customWidth="1"/>
    <col min="12040" max="12040" width="8.88671875" style="106"/>
    <col min="12041" max="12041" width="8.5546875" style="106" customWidth="1"/>
    <col min="12042" max="12042" width="7.33203125" style="106" customWidth="1"/>
    <col min="12043" max="12047" width="7" style="106" customWidth="1"/>
    <col min="12048" max="12048" width="6.77734375" style="106" customWidth="1"/>
    <col min="12049" max="12049" width="3.44140625" style="106" customWidth="1"/>
    <col min="12050" max="12050" width="7.109375" style="106" bestFit="1" customWidth="1"/>
    <col min="12051" max="12053" width="6.109375" style="106" bestFit="1" customWidth="1"/>
    <col min="12054" max="12055" width="4.77734375" style="106" bestFit="1" customWidth="1"/>
    <col min="12056" max="12056" width="6.109375" style="106" bestFit="1" customWidth="1"/>
    <col min="12057" max="12059" width="3" style="106" customWidth="1"/>
    <col min="12060" max="12288" width="8.88671875" style="106"/>
    <col min="12289" max="12289" width="7.109375" style="106" customWidth="1"/>
    <col min="12290" max="12290" width="9.44140625" style="106" customWidth="1"/>
    <col min="12291" max="12292" width="8.33203125" style="106" customWidth="1"/>
    <col min="12293" max="12293" width="8.6640625" style="106" customWidth="1"/>
    <col min="12294" max="12295" width="7" style="106" customWidth="1"/>
    <col min="12296" max="12296" width="8.88671875" style="106"/>
    <col min="12297" max="12297" width="8.5546875" style="106" customWidth="1"/>
    <col min="12298" max="12298" width="7.33203125" style="106" customWidth="1"/>
    <col min="12299" max="12303" width="7" style="106" customWidth="1"/>
    <col min="12304" max="12304" width="6.77734375" style="106" customWidth="1"/>
    <col min="12305" max="12305" width="3.44140625" style="106" customWidth="1"/>
    <col min="12306" max="12306" width="7.109375" style="106" bestFit="1" customWidth="1"/>
    <col min="12307" max="12309" width="6.109375" style="106" bestFit="1" customWidth="1"/>
    <col min="12310" max="12311" width="4.77734375" style="106" bestFit="1" customWidth="1"/>
    <col min="12312" max="12312" width="6.109375" style="106" bestFit="1" customWidth="1"/>
    <col min="12313" max="12315" width="3" style="106" customWidth="1"/>
    <col min="12316" max="12544" width="8.88671875" style="106"/>
    <col min="12545" max="12545" width="7.109375" style="106" customWidth="1"/>
    <col min="12546" max="12546" width="9.44140625" style="106" customWidth="1"/>
    <col min="12547" max="12548" width="8.33203125" style="106" customWidth="1"/>
    <col min="12549" max="12549" width="8.6640625" style="106" customWidth="1"/>
    <col min="12550" max="12551" width="7" style="106" customWidth="1"/>
    <col min="12552" max="12552" width="8.88671875" style="106"/>
    <col min="12553" max="12553" width="8.5546875" style="106" customWidth="1"/>
    <col min="12554" max="12554" width="7.33203125" style="106" customWidth="1"/>
    <col min="12555" max="12559" width="7" style="106" customWidth="1"/>
    <col min="12560" max="12560" width="6.77734375" style="106" customWidth="1"/>
    <col min="12561" max="12561" width="3.44140625" style="106" customWidth="1"/>
    <col min="12562" max="12562" width="7.109375" style="106" bestFit="1" customWidth="1"/>
    <col min="12563" max="12565" width="6.109375" style="106" bestFit="1" customWidth="1"/>
    <col min="12566" max="12567" width="4.77734375" style="106" bestFit="1" customWidth="1"/>
    <col min="12568" max="12568" width="6.109375" style="106" bestFit="1" customWidth="1"/>
    <col min="12569" max="12571" width="3" style="106" customWidth="1"/>
    <col min="12572" max="12800" width="8.88671875" style="106"/>
    <col min="12801" max="12801" width="7.109375" style="106" customWidth="1"/>
    <col min="12802" max="12802" width="9.44140625" style="106" customWidth="1"/>
    <col min="12803" max="12804" width="8.33203125" style="106" customWidth="1"/>
    <col min="12805" max="12805" width="8.6640625" style="106" customWidth="1"/>
    <col min="12806" max="12807" width="7" style="106" customWidth="1"/>
    <col min="12808" max="12808" width="8.88671875" style="106"/>
    <col min="12809" max="12809" width="8.5546875" style="106" customWidth="1"/>
    <col min="12810" max="12810" width="7.33203125" style="106" customWidth="1"/>
    <col min="12811" max="12815" width="7" style="106" customWidth="1"/>
    <col min="12816" max="12816" width="6.77734375" style="106" customWidth="1"/>
    <col min="12817" max="12817" width="3.44140625" style="106" customWidth="1"/>
    <col min="12818" max="12818" width="7.109375" style="106" bestFit="1" customWidth="1"/>
    <col min="12819" max="12821" width="6.109375" style="106" bestFit="1" customWidth="1"/>
    <col min="12822" max="12823" width="4.77734375" style="106" bestFit="1" customWidth="1"/>
    <col min="12824" max="12824" width="6.109375" style="106" bestFit="1" customWidth="1"/>
    <col min="12825" max="12827" width="3" style="106" customWidth="1"/>
    <col min="12828" max="13056" width="8.88671875" style="106"/>
    <col min="13057" max="13057" width="7.109375" style="106" customWidth="1"/>
    <col min="13058" max="13058" width="9.44140625" style="106" customWidth="1"/>
    <col min="13059" max="13060" width="8.33203125" style="106" customWidth="1"/>
    <col min="13061" max="13061" width="8.6640625" style="106" customWidth="1"/>
    <col min="13062" max="13063" width="7" style="106" customWidth="1"/>
    <col min="13064" max="13064" width="8.88671875" style="106"/>
    <col min="13065" max="13065" width="8.5546875" style="106" customWidth="1"/>
    <col min="13066" max="13066" width="7.33203125" style="106" customWidth="1"/>
    <col min="13067" max="13071" width="7" style="106" customWidth="1"/>
    <col min="13072" max="13072" width="6.77734375" style="106" customWidth="1"/>
    <col min="13073" max="13073" width="3.44140625" style="106" customWidth="1"/>
    <col min="13074" max="13074" width="7.109375" style="106" bestFit="1" customWidth="1"/>
    <col min="13075" max="13077" width="6.109375" style="106" bestFit="1" customWidth="1"/>
    <col min="13078" max="13079" width="4.77734375" style="106" bestFit="1" customWidth="1"/>
    <col min="13080" max="13080" width="6.109375" style="106" bestFit="1" customWidth="1"/>
    <col min="13081" max="13083" width="3" style="106" customWidth="1"/>
    <col min="13084" max="13312" width="8.88671875" style="106"/>
    <col min="13313" max="13313" width="7.109375" style="106" customWidth="1"/>
    <col min="13314" max="13314" width="9.44140625" style="106" customWidth="1"/>
    <col min="13315" max="13316" width="8.33203125" style="106" customWidth="1"/>
    <col min="13317" max="13317" width="8.6640625" style="106" customWidth="1"/>
    <col min="13318" max="13319" width="7" style="106" customWidth="1"/>
    <col min="13320" max="13320" width="8.88671875" style="106"/>
    <col min="13321" max="13321" width="8.5546875" style="106" customWidth="1"/>
    <col min="13322" max="13322" width="7.33203125" style="106" customWidth="1"/>
    <col min="13323" max="13327" width="7" style="106" customWidth="1"/>
    <col min="13328" max="13328" width="6.77734375" style="106" customWidth="1"/>
    <col min="13329" max="13329" width="3.44140625" style="106" customWidth="1"/>
    <col min="13330" max="13330" width="7.109375" style="106" bestFit="1" customWidth="1"/>
    <col min="13331" max="13333" width="6.109375" style="106" bestFit="1" customWidth="1"/>
    <col min="13334" max="13335" width="4.77734375" style="106" bestFit="1" customWidth="1"/>
    <col min="13336" max="13336" width="6.109375" style="106" bestFit="1" customWidth="1"/>
    <col min="13337" max="13339" width="3" style="106" customWidth="1"/>
    <col min="13340" max="13568" width="8.88671875" style="106"/>
    <col min="13569" max="13569" width="7.109375" style="106" customWidth="1"/>
    <col min="13570" max="13570" width="9.44140625" style="106" customWidth="1"/>
    <col min="13571" max="13572" width="8.33203125" style="106" customWidth="1"/>
    <col min="13573" max="13573" width="8.6640625" style="106" customWidth="1"/>
    <col min="13574" max="13575" width="7" style="106" customWidth="1"/>
    <col min="13576" max="13576" width="8.88671875" style="106"/>
    <col min="13577" max="13577" width="8.5546875" style="106" customWidth="1"/>
    <col min="13578" max="13578" width="7.33203125" style="106" customWidth="1"/>
    <col min="13579" max="13583" width="7" style="106" customWidth="1"/>
    <col min="13584" max="13584" width="6.77734375" style="106" customWidth="1"/>
    <col min="13585" max="13585" width="3.44140625" style="106" customWidth="1"/>
    <col min="13586" max="13586" width="7.109375" style="106" bestFit="1" customWidth="1"/>
    <col min="13587" max="13589" width="6.109375" style="106" bestFit="1" customWidth="1"/>
    <col min="13590" max="13591" width="4.77734375" style="106" bestFit="1" customWidth="1"/>
    <col min="13592" max="13592" width="6.109375" style="106" bestFit="1" customWidth="1"/>
    <col min="13593" max="13595" width="3" style="106" customWidth="1"/>
    <col min="13596" max="13824" width="8.88671875" style="106"/>
    <col min="13825" max="13825" width="7.109375" style="106" customWidth="1"/>
    <col min="13826" max="13826" width="9.44140625" style="106" customWidth="1"/>
    <col min="13827" max="13828" width="8.33203125" style="106" customWidth="1"/>
    <col min="13829" max="13829" width="8.6640625" style="106" customWidth="1"/>
    <col min="13830" max="13831" width="7" style="106" customWidth="1"/>
    <col min="13832" max="13832" width="8.88671875" style="106"/>
    <col min="13833" max="13833" width="8.5546875" style="106" customWidth="1"/>
    <col min="13834" max="13834" width="7.33203125" style="106" customWidth="1"/>
    <col min="13835" max="13839" width="7" style="106" customWidth="1"/>
    <col min="13840" max="13840" width="6.77734375" style="106" customWidth="1"/>
    <col min="13841" max="13841" width="3.44140625" style="106" customWidth="1"/>
    <col min="13842" max="13842" width="7.109375" style="106" bestFit="1" customWidth="1"/>
    <col min="13843" max="13845" width="6.109375" style="106" bestFit="1" customWidth="1"/>
    <col min="13846" max="13847" width="4.77734375" style="106" bestFit="1" customWidth="1"/>
    <col min="13848" max="13848" width="6.109375" style="106" bestFit="1" customWidth="1"/>
    <col min="13849" max="13851" width="3" style="106" customWidth="1"/>
    <col min="13852" max="14080" width="8.88671875" style="106"/>
    <col min="14081" max="14081" width="7.109375" style="106" customWidth="1"/>
    <col min="14082" max="14082" width="9.44140625" style="106" customWidth="1"/>
    <col min="14083" max="14084" width="8.33203125" style="106" customWidth="1"/>
    <col min="14085" max="14085" width="8.6640625" style="106" customWidth="1"/>
    <col min="14086" max="14087" width="7" style="106" customWidth="1"/>
    <col min="14088" max="14088" width="8.88671875" style="106"/>
    <col min="14089" max="14089" width="8.5546875" style="106" customWidth="1"/>
    <col min="14090" max="14090" width="7.33203125" style="106" customWidth="1"/>
    <col min="14091" max="14095" width="7" style="106" customWidth="1"/>
    <col min="14096" max="14096" width="6.77734375" style="106" customWidth="1"/>
    <col min="14097" max="14097" width="3.44140625" style="106" customWidth="1"/>
    <col min="14098" max="14098" width="7.109375" style="106" bestFit="1" customWidth="1"/>
    <col min="14099" max="14101" width="6.109375" style="106" bestFit="1" customWidth="1"/>
    <col min="14102" max="14103" width="4.77734375" style="106" bestFit="1" customWidth="1"/>
    <col min="14104" max="14104" width="6.109375" style="106" bestFit="1" customWidth="1"/>
    <col min="14105" max="14107" width="3" style="106" customWidth="1"/>
    <col min="14108" max="14336" width="8.88671875" style="106"/>
    <col min="14337" max="14337" width="7.109375" style="106" customWidth="1"/>
    <col min="14338" max="14338" width="9.44140625" style="106" customWidth="1"/>
    <col min="14339" max="14340" width="8.33203125" style="106" customWidth="1"/>
    <col min="14341" max="14341" width="8.6640625" style="106" customWidth="1"/>
    <col min="14342" max="14343" width="7" style="106" customWidth="1"/>
    <col min="14344" max="14344" width="8.88671875" style="106"/>
    <col min="14345" max="14345" width="8.5546875" style="106" customWidth="1"/>
    <col min="14346" max="14346" width="7.33203125" style="106" customWidth="1"/>
    <col min="14347" max="14351" width="7" style="106" customWidth="1"/>
    <col min="14352" max="14352" width="6.77734375" style="106" customWidth="1"/>
    <col min="14353" max="14353" width="3.44140625" style="106" customWidth="1"/>
    <col min="14354" max="14354" width="7.109375" style="106" bestFit="1" customWidth="1"/>
    <col min="14355" max="14357" width="6.109375" style="106" bestFit="1" customWidth="1"/>
    <col min="14358" max="14359" width="4.77734375" style="106" bestFit="1" customWidth="1"/>
    <col min="14360" max="14360" width="6.109375" style="106" bestFit="1" customWidth="1"/>
    <col min="14361" max="14363" width="3" style="106" customWidth="1"/>
    <col min="14364" max="14592" width="8.88671875" style="106"/>
    <col min="14593" max="14593" width="7.109375" style="106" customWidth="1"/>
    <col min="14594" max="14594" width="9.44140625" style="106" customWidth="1"/>
    <col min="14595" max="14596" width="8.33203125" style="106" customWidth="1"/>
    <col min="14597" max="14597" width="8.6640625" style="106" customWidth="1"/>
    <col min="14598" max="14599" width="7" style="106" customWidth="1"/>
    <col min="14600" max="14600" width="8.88671875" style="106"/>
    <col min="14601" max="14601" width="8.5546875" style="106" customWidth="1"/>
    <col min="14602" max="14602" width="7.33203125" style="106" customWidth="1"/>
    <col min="14603" max="14607" width="7" style="106" customWidth="1"/>
    <col min="14608" max="14608" width="6.77734375" style="106" customWidth="1"/>
    <col min="14609" max="14609" width="3.44140625" style="106" customWidth="1"/>
    <col min="14610" max="14610" width="7.109375" style="106" bestFit="1" customWidth="1"/>
    <col min="14611" max="14613" width="6.109375" style="106" bestFit="1" customWidth="1"/>
    <col min="14614" max="14615" width="4.77734375" style="106" bestFit="1" customWidth="1"/>
    <col min="14616" max="14616" width="6.109375" style="106" bestFit="1" customWidth="1"/>
    <col min="14617" max="14619" width="3" style="106" customWidth="1"/>
    <col min="14620" max="14848" width="8.88671875" style="106"/>
    <col min="14849" max="14849" width="7.109375" style="106" customWidth="1"/>
    <col min="14850" max="14850" width="9.44140625" style="106" customWidth="1"/>
    <col min="14851" max="14852" width="8.33203125" style="106" customWidth="1"/>
    <col min="14853" max="14853" width="8.6640625" style="106" customWidth="1"/>
    <col min="14854" max="14855" width="7" style="106" customWidth="1"/>
    <col min="14856" max="14856" width="8.88671875" style="106"/>
    <col min="14857" max="14857" width="8.5546875" style="106" customWidth="1"/>
    <col min="14858" max="14858" width="7.33203125" style="106" customWidth="1"/>
    <col min="14859" max="14863" width="7" style="106" customWidth="1"/>
    <col min="14864" max="14864" width="6.77734375" style="106" customWidth="1"/>
    <col min="14865" max="14865" width="3.44140625" style="106" customWidth="1"/>
    <col min="14866" max="14866" width="7.109375" style="106" bestFit="1" customWidth="1"/>
    <col min="14867" max="14869" width="6.109375" style="106" bestFit="1" customWidth="1"/>
    <col min="14870" max="14871" width="4.77734375" style="106" bestFit="1" customWidth="1"/>
    <col min="14872" max="14872" width="6.109375" style="106" bestFit="1" customWidth="1"/>
    <col min="14873" max="14875" width="3" style="106" customWidth="1"/>
    <col min="14876" max="15104" width="8.88671875" style="106"/>
    <col min="15105" max="15105" width="7.109375" style="106" customWidth="1"/>
    <col min="15106" max="15106" width="9.44140625" style="106" customWidth="1"/>
    <col min="15107" max="15108" width="8.33203125" style="106" customWidth="1"/>
    <col min="15109" max="15109" width="8.6640625" style="106" customWidth="1"/>
    <col min="15110" max="15111" width="7" style="106" customWidth="1"/>
    <col min="15112" max="15112" width="8.88671875" style="106"/>
    <col min="15113" max="15113" width="8.5546875" style="106" customWidth="1"/>
    <col min="15114" max="15114" width="7.33203125" style="106" customWidth="1"/>
    <col min="15115" max="15119" width="7" style="106" customWidth="1"/>
    <col min="15120" max="15120" width="6.77734375" style="106" customWidth="1"/>
    <col min="15121" max="15121" width="3.44140625" style="106" customWidth="1"/>
    <col min="15122" max="15122" width="7.109375" style="106" bestFit="1" customWidth="1"/>
    <col min="15123" max="15125" width="6.109375" style="106" bestFit="1" customWidth="1"/>
    <col min="15126" max="15127" width="4.77734375" style="106" bestFit="1" customWidth="1"/>
    <col min="15128" max="15128" width="6.109375" style="106" bestFit="1" customWidth="1"/>
    <col min="15129" max="15131" width="3" style="106" customWidth="1"/>
    <col min="15132" max="15360" width="8.88671875" style="106"/>
    <col min="15361" max="15361" width="7.109375" style="106" customWidth="1"/>
    <col min="15362" max="15362" width="9.44140625" style="106" customWidth="1"/>
    <col min="15363" max="15364" width="8.33203125" style="106" customWidth="1"/>
    <col min="15365" max="15365" width="8.6640625" style="106" customWidth="1"/>
    <col min="15366" max="15367" width="7" style="106" customWidth="1"/>
    <col min="15368" max="15368" width="8.88671875" style="106"/>
    <col min="15369" max="15369" width="8.5546875" style="106" customWidth="1"/>
    <col min="15370" max="15370" width="7.33203125" style="106" customWidth="1"/>
    <col min="15371" max="15375" width="7" style="106" customWidth="1"/>
    <col min="15376" max="15376" width="6.77734375" style="106" customWidth="1"/>
    <col min="15377" max="15377" width="3.44140625" style="106" customWidth="1"/>
    <col min="15378" max="15378" width="7.109375" style="106" bestFit="1" customWidth="1"/>
    <col min="15379" max="15381" width="6.109375" style="106" bestFit="1" customWidth="1"/>
    <col min="15382" max="15383" width="4.77734375" style="106" bestFit="1" customWidth="1"/>
    <col min="15384" max="15384" width="6.109375" style="106" bestFit="1" customWidth="1"/>
    <col min="15385" max="15387" width="3" style="106" customWidth="1"/>
    <col min="15388" max="15616" width="8.88671875" style="106"/>
    <col min="15617" max="15617" width="7.109375" style="106" customWidth="1"/>
    <col min="15618" max="15618" width="9.44140625" style="106" customWidth="1"/>
    <col min="15619" max="15620" width="8.33203125" style="106" customWidth="1"/>
    <col min="15621" max="15621" width="8.6640625" style="106" customWidth="1"/>
    <col min="15622" max="15623" width="7" style="106" customWidth="1"/>
    <col min="15624" max="15624" width="8.88671875" style="106"/>
    <col min="15625" max="15625" width="8.5546875" style="106" customWidth="1"/>
    <col min="15626" max="15626" width="7.33203125" style="106" customWidth="1"/>
    <col min="15627" max="15631" width="7" style="106" customWidth="1"/>
    <col min="15632" max="15632" width="6.77734375" style="106" customWidth="1"/>
    <col min="15633" max="15633" width="3.44140625" style="106" customWidth="1"/>
    <col min="15634" max="15634" width="7.109375" style="106" bestFit="1" customWidth="1"/>
    <col min="15635" max="15637" width="6.109375" style="106" bestFit="1" customWidth="1"/>
    <col min="15638" max="15639" width="4.77734375" style="106" bestFit="1" customWidth="1"/>
    <col min="15640" max="15640" width="6.109375" style="106" bestFit="1" customWidth="1"/>
    <col min="15641" max="15643" width="3" style="106" customWidth="1"/>
    <col min="15644" max="15872" width="8.88671875" style="106"/>
    <col min="15873" max="15873" width="7.109375" style="106" customWidth="1"/>
    <col min="15874" max="15874" width="9.44140625" style="106" customWidth="1"/>
    <col min="15875" max="15876" width="8.33203125" style="106" customWidth="1"/>
    <col min="15877" max="15877" width="8.6640625" style="106" customWidth="1"/>
    <col min="15878" max="15879" width="7" style="106" customWidth="1"/>
    <col min="15880" max="15880" width="8.88671875" style="106"/>
    <col min="15881" max="15881" width="8.5546875" style="106" customWidth="1"/>
    <col min="15882" max="15882" width="7.33203125" style="106" customWidth="1"/>
    <col min="15883" max="15887" width="7" style="106" customWidth="1"/>
    <col min="15888" max="15888" width="6.77734375" style="106" customWidth="1"/>
    <col min="15889" max="15889" width="3.44140625" style="106" customWidth="1"/>
    <col min="15890" max="15890" width="7.109375" style="106" bestFit="1" customWidth="1"/>
    <col min="15891" max="15893" width="6.109375" style="106" bestFit="1" customWidth="1"/>
    <col min="15894" max="15895" width="4.77734375" style="106" bestFit="1" customWidth="1"/>
    <col min="15896" max="15896" width="6.109375" style="106" bestFit="1" customWidth="1"/>
    <col min="15897" max="15899" width="3" style="106" customWidth="1"/>
    <col min="15900" max="16128" width="8.88671875" style="106"/>
    <col min="16129" max="16129" width="7.109375" style="106" customWidth="1"/>
    <col min="16130" max="16130" width="9.44140625" style="106" customWidth="1"/>
    <col min="16131" max="16132" width="8.33203125" style="106" customWidth="1"/>
    <col min="16133" max="16133" width="8.6640625" style="106" customWidth="1"/>
    <col min="16134" max="16135" width="7" style="106" customWidth="1"/>
    <col min="16136" max="16136" width="8.88671875" style="106"/>
    <col min="16137" max="16137" width="8.5546875" style="106" customWidth="1"/>
    <col min="16138" max="16138" width="7.33203125" style="106" customWidth="1"/>
    <col min="16139" max="16143" width="7" style="106" customWidth="1"/>
    <col min="16144" max="16144" width="6.77734375" style="106" customWidth="1"/>
    <col min="16145" max="16145" width="3.44140625" style="106" customWidth="1"/>
    <col min="16146" max="16146" width="7.109375" style="106" bestFit="1" customWidth="1"/>
    <col min="16147" max="16149" width="6.109375" style="106" bestFit="1" customWidth="1"/>
    <col min="16150" max="16151" width="4.77734375" style="106" bestFit="1" customWidth="1"/>
    <col min="16152" max="16152" width="6.109375" style="106" bestFit="1" customWidth="1"/>
    <col min="16153" max="16155" width="3" style="106" customWidth="1"/>
    <col min="16156" max="16384" width="8.88671875" style="106"/>
  </cols>
  <sheetData>
    <row r="1" spans="1:30" s="21" customFormat="1" ht="16.5" customHeight="1">
      <c r="A1" s="341"/>
      <c r="B1" s="341"/>
      <c r="C1" s="341"/>
      <c r="D1" s="341"/>
      <c r="E1" s="341"/>
      <c r="F1" s="341"/>
      <c r="G1" s="341"/>
    </row>
    <row r="2" spans="1:30" s="21" customFormat="1" ht="9.9499999999999993" customHeight="1">
      <c r="A2" s="27"/>
      <c r="B2" s="22"/>
      <c r="C2" s="22"/>
      <c r="D2" s="22"/>
      <c r="E2" s="22"/>
      <c r="F2" s="22"/>
      <c r="G2" s="23"/>
    </row>
    <row r="3" spans="1:30" ht="15" customHeight="1">
      <c r="A3" s="316" t="s">
        <v>104</v>
      </c>
      <c r="B3" s="252"/>
    </row>
    <row r="4" spans="1:30" ht="15" customHeight="1">
      <c r="A4" s="314" t="s">
        <v>4</v>
      </c>
      <c r="F4" s="106"/>
      <c r="H4" s="133" t="s">
        <v>134</v>
      </c>
      <c r="I4" s="133"/>
    </row>
    <row r="5" spans="1:30" ht="15" customHeight="1">
      <c r="A5" s="481" t="s">
        <v>121</v>
      </c>
      <c r="B5" s="542" t="s">
        <v>105</v>
      </c>
      <c r="C5" s="543"/>
      <c r="D5" s="543"/>
      <c r="E5" s="543"/>
      <c r="F5" s="543"/>
      <c r="G5" s="543"/>
      <c r="H5" s="543"/>
      <c r="I5" s="15"/>
    </row>
    <row r="6" spans="1:30" s="3" customFormat="1" ht="15" customHeight="1">
      <c r="A6" s="483"/>
      <c r="B6" s="315" t="s">
        <v>1</v>
      </c>
      <c r="C6" s="253" t="s">
        <v>106</v>
      </c>
      <c r="D6" s="253" t="s">
        <v>107</v>
      </c>
      <c r="E6" s="253" t="s">
        <v>108</v>
      </c>
      <c r="F6" s="253" t="s">
        <v>109</v>
      </c>
      <c r="G6" s="253" t="s">
        <v>110</v>
      </c>
      <c r="H6" s="254" t="s">
        <v>2</v>
      </c>
      <c r="I6" s="255"/>
      <c r="J6" s="367"/>
      <c r="K6" s="367"/>
      <c r="L6" s="367"/>
      <c r="M6" s="367"/>
      <c r="N6" s="367"/>
      <c r="O6" s="367"/>
      <c r="P6" s="367"/>
      <c r="Q6" s="367"/>
      <c r="R6" s="367"/>
      <c r="S6" s="367"/>
      <c r="T6" s="367"/>
      <c r="U6" s="367"/>
      <c r="V6" s="367"/>
      <c r="W6" s="367"/>
      <c r="X6" s="367"/>
      <c r="Y6" s="367"/>
      <c r="Z6" s="367"/>
      <c r="AA6" s="367"/>
      <c r="AB6" s="367"/>
    </row>
    <row r="7" spans="1:30" s="41" customFormat="1" ht="13.5" customHeight="1">
      <c r="A7" s="323">
        <v>2009</v>
      </c>
      <c r="B7" s="446">
        <v>18689.437999999998</v>
      </c>
      <c r="C7" s="362">
        <v>4128.7939999999999</v>
      </c>
      <c r="D7" s="362">
        <v>1080.2739999999999</v>
      </c>
      <c r="E7" s="362">
        <v>6992.5249999999996</v>
      </c>
      <c r="F7" s="362">
        <v>85.974999999999994</v>
      </c>
      <c r="G7" s="362">
        <v>14.295</v>
      </c>
      <c r="H7" s="363">
        <v>6387.5749999999998</v>
      </c>
      <c r="I7" s="5"/>
      <c r="J7" s="368"/>
      <c r="K7" s="368"/>
      <c r="L7" s="368"/>
      <c r="M7" s="368"/>
      <c r="N7" s="368"/>
      <c r="O7" s="368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  <c r="AA7" s="364"/>
      <c r="AB7" s="364"/>
      <c r="AC7" s="141"/>
      <c r="AD7" s="141"/>
    </row>
    <row r="8" spans="1:30" s="41" customFormat="1" ht="13.5" customHeight="1">
      <c r="A8" s="323">
        <v>2010</v>
      </c>
      <c r="B8" s="446">
        <v>20263.683000000001</v>
      </c>
      <c r="C8" s="362">
        <v>4359.192</v>
      </c>
      <c r="D8" s="362">
        <v>1180.519</v>
      </c>
      <c r="E8" s="362">
        <v>7589.8280000000004</v>
      </c>
      <c r="F8" s="362">
        <v>91.613</v>
      </c>
      <c r="G8" s="362">
        <v>15.492000000000001</v>
      </c>
      <c r="H8" s="363">
        <v>7027.0389999999998</v>
      </c>
      <c r="I8" s="5"/>
      <c r="J8" s="368"/>
      <c r="K8" s="368"/>
      <c r="L8" s="368"/>
      <c r="M8" s="364"/>
      <c r="N8" s="364"/>
      <c r="O8" s="364"/>
      <c r="P8" s="364"/>
      <c r="Q8" s="364"/>
      <c r="R8" s="364"/>
      <c r="S8" s="364"/>
      <c r="T8" s="364"/>
      <c r="U8" s="364"/>
      <c r="V8" s="364"/>
      <c r="W8" s="364"/>
      <c r="X8" s="364"/>
      <c r="Y8" s="364"/>
      <c r="Z8" s="364"/>
      <c r="AA8" s="364"/>
      <c r="AB8" s="364"/>
      <c r="AC8" s="141"/>
      <c r="AD8" s="141"/>
    </row>
    <row r="9" spans="1:30" s="41" customFormat="1" ht="13.5" customHeight="1">
      <c r="A9" s="323">
        <v>2011</v>
      </c>
      <c r="B9" s="446">
        <v>20561.98</v>
      </c>
      <c r="C9" s="362">
        <v>4344.4759999999997</v>
      </c>
      <c r="D9" s="362">
        <v>1244.28</v>
      </c>
      <c r="E9" s="362">
        <v>7434.38</v>
      </c>
      <c r="F9" s="362">
        <v>92.912999999999997</v>
      </c>
      <c r="G9" s="362">
        <v>18.385999999999999</v>
      </c>
      <c r="H9" s="363">
        <v>7427.5450000000001</v>
      </c>
      <c r="I9" s="5"/>
      <c r="J9" s="368"/>
      <c r="K9" s="368"/>
      <c r="L9" s="368"/>
      <c r="M9" s="368"/>
      <c r="N9" s="368"/>
      <c r="O9" s="368"/>
      <c r="P9" s="364"/>
      <c r="Q9" s="364"/>
      <c r="R9" s="364"/>
      <c r="S9" s="364"/>
      <c r="T9" s="364"/>
      <c r="U9" s="364"/>
      <c r="V9" s="364"/>
      <c r="W9" s="364"/>
      <c r="X9" s="364"/>
      <c r="Y9" s="364"/>
      <c r="Z9" s="364"/>
      <c r="AA9" s="364"/>
      <c r="AB9" s="364"/>
      <c r="AC9" s="141"/>
      <c r="AD9" s="141"/>
    </row>
    <row r="10" spans="1:30" s="41" customFormat="1" ht="13.5" customHeight="1">
      <c r="A10" s="323">
        <v>2012</v>
      </c>
      <c r="B10" s="446">
        <v>20664.842000000001</v>
      </c>
      <c r="C10" s="362">
        <v>4442.7650000000003</v>
      </c>
      <c r="D10" s="362">
        <v>1279.8689999999999</v>
      </c>
      <c r="E10" s="362">
        <v>7337.0309999999999</v>
      </c>
      <c r="F10" s="362">
        <v>97.763000000000005</v>
      </c>
      <c r="G10" s="362">
        <v>20.053000000000001</v>
      </c>
      <c r="H10" s="363">
        <v>7487.3609999999999</v>
      </c>
      <c r="I10" s="5"/>
      <c r="J10" s="368"/>
      <c r="K10" s="368"/>
      <c r="L10" s="368"/>
      <c r="M10" s="368"/>
      <c r="N10" s="364"/>
      <c r="O10" s="364"/>
      <c r="P10" s="364"/>
      <c r="Q10" s="364"/>
      <c r="R10" s="364"/>
      <c r="S10" s="364"/>
      <c r="T10" s="364"/>
      <c r="U10" s="364"/>
      <c r="V10" s="364"/>
      <c r="W10" s="364"/>
      <c r="X10" s="364"/>
      <c r="Y10" s="364"/>
      <c r="Z10" s="364"/>
      <c r="AA10" s="364"/>
      <c r="AB10" s="364"/>
      <c r="AC10" s="141"/>
      <c r="AD10" s="141"/>
    </row>
    <row r="11" spans="1:30" s="41" customFormat="1" ht="13.5" customHeight="1">
      <c r="A11" s="323">
        <v>2013</v>
      </c>
      <c r="B11" s="446">
        <v>20364.705000000002</v>
      </c>
      <c r="C11" s="362">
        <v>4437.009</v>
      </c>
      <c r="D11" s="362">
        <v>1211.194</v>
      </c>
      <c r="E11" s="362">
        <v>7330.29</v>
      </c>
      <c r="F11" s="362">
        <v>93.161000000000001</v>
      </c>
      <c r="G11" s="362">
        <v>20.556999999999999</v>
      </c>
      <c r="H11" s="363">
        <v>7272.4939999999997</v>
      </c>
      <c r="I11" s="5"/>
      <c r="J11" s="368"/>
      <c r="K11" s="368"/>
      <c r="L11" s="368"/>
      <c r="M11" s="368"/>
      <c r="N11" s="364"/>
      <c r="O11" s="364"/>
      <c r="P11" s="364"/>
      <c r="Q11" s="364"/>
      <c r="R11" s="364"/>
      <c r="S11" s="364"/>
      <c r="T11" s="364"/>
      <c r="U11" s="364"/>
      <c r="V11" s="364"/>
      <c r="W11" s="364"/>
      <c r="X11" s="364"/>
      <c r="Y11" s="364"/>
      <c r="Z11" s="364"/>
      <c r="AA11" s="364"/>
      <c r="AB11" s="364"/>
      <c r="AC11" s="141"/>
      <c r="AD11" s="141"/>
    </row>
    <row r="12" spans="1:30" s="41" customFormat="1" ht="13.5" customHeight="1">
      <c r="A12" s="323">
        <v>2014</v>
      </c>
      <c r="B12" s="446">
        <v>19980.898000000001</v>
      </c>
      <c r="C12" s="362">
        <v>4309.6030000000001</v>
      </c>
      <c r="D12" s="362">
        <v>1167.56</v>
      </c>
      <c r="E12" s="362">
        <v>7141.2569999999996</v>
      </c>
      <c r="F12" s="362">
        <v>95.472999999999999</v>
      </c>
      <c r="G12" s="362">
        <v>22.702000000000002</v>
      </c>
      <c r="H12" s="363">
        <v>7244.3019999999997</v>
      </c>
      <c r="I12" s="5"/>
      <c r="J12" s="368"/>
      <c r="K12" s="368"/>
      <c r="L12" s="368"/>
      <c r="M12" s="368"/>
      <c r="N12" s="364"/>
      <c r="O12" s="364"/>
      <c r="P12" s="364"/>
      <c r="Q12" s="364"/>
      <c r="R12" s="364"/>
      <c r="S12" s="364"/>
      <c r="T12" s="364"/>
      <c r="U12" s="364"/>
      <c r="V12" s="364"/>
      <c r="W12" s="364"/>
      <c r="X12" s="364"/>
      <c r="Y12" s="364"/>
      <c r="Z12" s="364"/>
      <c r="AA12" s="364"/>
      <c r="AB12" s="364"/>
      <c r="AC12" s="141"/>
      <c r="AD12" s="141"/>
    </row>
    <row r="13" spans="1:30" s="41" customFormat="1" ht="13.5" customHeight="1">
      <c r="A13" s="323">
        <v>2015</v>
      </c>
      <c r="B13" s="446">
        <v>20002.307000000001</v>
      </c>
      <c r="C13" s="362">
        <v>4352.29</v>
      </c>
      <c r="D13" s="362">
        <v>1174.232</v>
      </c>
      <c r="E13" s="362">
        <v>7211.6819999999998</v>
      </c>
      <c r="F13" s="362">
        <v>96.751999999999995</v>
      </c>
      <c r="G13" s="362">
        <v>21.068000000000001</v>
      </c>
      <c r="H13" s="363">
        <v>7146.2849999999999</v>
      </c>
      <c r="I13" s="5"/>
      <c r="J13" s="368"/>
      <c r="K13" s="368"/>
      <c r="L13" s="368"/>
      <c r="M13" s="368"/>
      <c r="N13" s="364"/>
      <c r="O13" s="364"/>
      <c r="P13" s="364"/>
      <c r="Q13" s="364"/>
      <c r="R13" s="364"/>
      <c r="S13" s="364"/>
      <c r="T13" s="364"/>
      <c r="U13" s="364"/>
      <c r="V13" s="364"/>
      <c r="W13" s="364"/>
      <c r="X13" s="364"/>
      <c r="Y13" s="364"/>
      <c r="Z13" s="364"/>
      <c r="AA13" s="364"/>
      <c r="AB13" s="364"/>
      <c r="AC13" s="141"/>
      <c r="AD13" s="141"/>
    </row>
    <row r="14" spans="1:30" s="41" customFormat="1" ht="13.5" customHeight="1">
      <c r="A14" s="323">
        <v>2016</v>
      </c>
      <c r="B14" s="446">
        <v>20467.093000000001</v>
      </c>
      <c r="C14" s="362">
        <v>4472.2619999999997</v>
      </c>
      <c r="D14" s="362">
        <v>1220.8019999999999</v>
      </c>
      <c r="E14" s="362">
        <v>7539.8239999999996</v>
      </c>
      <c r="F14" s="362">
        <v>106.631</v>
      </c>
      <c r="G14" s="362">
        <v>23.195</v>
      </c>
      <c r="H14" s="363">
        <v>7104.3770000000004</v>
      </c>
      <c r="I14" s="5"/>
      <c r="J14" s="368"/>
      <c r="K14" s="368"/>
      <c r="L14" s="368"/>
      <c r="M14" s="368"/>
      <c r="N14" s="364"/>
      <c r="O14" s="364"/>
      <c r="P14" s="364"/>
      <c r="Q14" s="364"/>
      <c r="R14" s="364"/>
      <c r="S14" s="364"/>
      <c r="T14" s="364"/>
      <c r="U14" s="364"/>
      <c r="V14" s="364"/>
      <c r="W14" s="364"/>
      <c r="X14" s="364"/>
      <c r="Y14" s="364"/>
      <c r="Z14" s="364"/>
      <c r="AA14" s="364"/>
      <c r="AB14" s="364"/>
      <c r="AC14" s="141"/>
      <c r="AD14" s="141"/>
    </row>
    <row r="15" spans="1:30" s="41" customFormat="1" ht="13.5" customHeight="1">
      <c r="A15" s="323">
        <v>2017</v>
      </c>
      <c r="B15" s="446">
        <v>21007.358</v>
      </c>
      <c r="C15" s="362">
        <v>4473.51</v>
      </c>
      <c r="D15" s="362">
        <v>1305.876</v>
      </c>
      <c r="E15" s="362">
        <v>7582.1689999999999</v>
      </c>
      <c r="F15" s="362">
        <v>107.92700000000001</v>
      </c>
      <c r="G15" s="362">
        <v>25.289000000000001</v>
      </c>
      <c r="H15" s="363">
        <v>7512.5870000000004</v>
      </c>
      <c r="I15" s="5"/>
      <c r="J15" s="368"/>
      <c r="K15" s="368"/>
      <c r="L15" s="368"/>
      <c r="M15" s="368"/>
      <c r="N15" s="364"/>
      <c r="O15" s="364"/>
      <c r="P15" s="364"/>
      <c r="Q15" s="364"/>
      <c r="R15" s="364"/>
      <c r="S15" s="364"/>
      <c r="T15" s="364"/>
      <c r="U15" s="364"/>
      <c r="V15" s="364"/>
      <c r="W15" s="364"/>
      <c r="X15" s="364"/>
      <c r="Y15" s="364"/>
      <c r="Z15" s="364"/>
      <c r="AA15" s="364"/>
      <c r="AB15" s="364"/>
      <c r="AC15" s="141"/>
      <c r="AD15" s="141"/>
    </row>
    <row r="16" spans="1:30" s="41" customFormat="1" ht="13.5" customHeight="1">
      <c r="A16" s="323">
        <v>2018</v>
      </c>
      <c r="B16" s="446">
        <v>21216.605</v>
      </c>
      <c r="C16" s="362">
        <v>4660.7</v>
      </c>
      <c r="D16" s="362">
        <v>1345.9880000000001</v>
      </c>
      <c r="E16" s="362">
        <v>7736.2250000000004</v>
      </c>
      <c r="F16" s="362">
        <v>121.83799999999999</v>
      </c>
      <c r="G16" s="362">
        <v>20.963999999999999</v>
      </c>
      <c r="H16" s="363">
        <v>7330.89</v>
      </c>
      <c r="I16" s="5"/>
      <c r="J16" s="368"/>
      <c r="K16" s="368"/>
      <c r="L16" s="368"/>
      <c r="M16" s="368"/>
      <c r="N16" s="364"/>
      <c r="O16" s="364"/>
      <c r="P16" s="364"/>
      <c r="Q16" s="364"/>
      <c r="R16" s="364"/>
      <c r="S16" s="364"/>
      <c r="T16" s="364"/>
      <c r="U16" s="364"/>
      <c r="V16" s="364"/>
      <c r="W16" s="364"/>
      <c r="X16" s="364"/>
      <c r="Y16" s="364"/>
      <c r="Z16" s="364"/>
      <c r="AA16" s="364"/>
      <c r="AB16" s="364"/>
      <c r="AC16" s="141"/>
      <c r="AD16" s="141"/>
    </row>
    <row r="17" spans="1:34" s="41" customFormat="1" ht="13.5" customHeight="1">
      <c r="A17" s="323">
        <v>2019</v>
      </c>
      <c r="B17" s="446">
        <v>20802.41</v>
      </c>
      <c r="C17" s="362">
        <v>4624.7420000000002</v>
      </c>
      <c r="D17" s="362">
        <v>1332.992</v>
      </c>
      <c r="E17" s="362">
        <v>7510.4650000000001</v>
      </c>
      <c r="F17" s="362">
        <v>110.821</v>
      </c>
      <c r="G17" s="362">
        <v>18.190999999999999</v>
      </c>
      <c r="H17" s="363">
        <v>7205.1989999999996</v>
      </c>
      <c r="I17" s="5"/>
      <c r="J17" s="369"/>
      <c r="K17" s="368"/>
      <c r="L17" s="368"/>
      <c r="M17" s="369"/>
      <c r="N17" s="369"/>
      <c r="O17" s="370"/>
      <c r="P17" s="364"/>
      <c r="Q17" s="364"/>
      <c r="R17" s="364"/>
      <c r="S17" s="364"/>
      <c r="T17" s="364"/>
      <c r="U17" s="364"/>
      <c r="V17" s="364"/>
      <c r="W17" s="364"/>
      <c r="X17" s="364"/>
      <c r="Y17" s="364"/>
      <c r="Z17" s="364"/>
      <c r="AA17" s="364"/>
      <c r="AB17" s="364"/>
      <c r="AC17" s="141"/>
      <c r="AD17" s="141"/>
    </row>
    <row r="18" spans="1:34" s="41" customFormat="1" ht="12.75" customHeight="1">
      <c r="A18" s="323">
        <v>2020</v>
      </c>
      <c r="B18" s="446">
        <v>20503.969000000001</v>
      </c>
      <c r="C18" s="362">
        <v>4837.4870000000001</v>
      </c>
      <c r="D18" s="362">
        <v>1249.8019999999999</v>
      </c>
      <c r="E18" s="362">
        <v>7416.8370000000004</v>
      </c>
      <c r="F18" s="362">
        <v>106.91500000000001</v>
      </c>
      <c r="G18" s="362">
        <v>18.093</v>
      </c>
      <c r="H18" s="363">
        <v>6874.835</v>
      </c>
      <c r="I18" s="5"/>
      <c r="J18" s="369"/>
      <c r="K18" s="368"/>
      <c r="L18" s="368"/>
      <c r="M18" s="369"/>
      <c r="N18" s="369"/>
      <c r="O18" s="370"/>
      <c r="P18" s="364"/>
      <c r="Q18" s="364"/>
      <c r="R18" s="364"/>
      <c r="S18" s="364"/>
      <c r="T18" s="364"/>
      <c r="U18" s="364"/>
      <c r="V18" s="364"/>
      <c r="W18" s="364"/>
      <c r="X18" s="364"/>
      <c r="Y18" s="364"/>
      <c r="Z18" s="364"/>
      <c r="AA18" s="364"/>
      <c r="AB18" s="364"/>
      <c r="AC18" s="141"/>
      <c r="AD18" s="141"/>
    </row>
    <row r="19" spans="1:34" s="41" customFormat="1" ht="12.75" customHeight="1">
      <c r="A19" s="323">
        <v>2021</v>
      </c>
      <c r="B19" s="446">
        <v>21067.83325</v>
      </c>
      <c r="C19" s="362">
        <v>4974.8886879999991</v>
      </c>
      <c r="D19" s="362">
        <v>1280.1587389999997</v>
      </c>
      <c r="E19" s="362">
        <v>7536.7917350000007</v>
      </c>
      <c r="F19" s="362">
        <v>110.84698900000001</v>
      </c>
      <c r="G19" s="362">
        <v>19.576089</v>
      </c>
      <c r="H19" s="363">
        <v>7145.5710099999997</v>
      </c>
      <c r="I19" s="5"/>
      <c r="J19" s="369"/>
      <c r="K19" s="368"/>
      <c r="L19" s="368"/>
      <c r="M19" s="369"/>
      <c r="N19" s="369"/>
      <c r="O19" s="370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  <c r="AA19" s="364"/>
      <c r="AB19" s="364"/>
      <c r="AC19" s="141"/>
      <c r="AD19" s="141"/>
    </row>
    <row r="20" spans="1:34" s="41" customFormat="1" ht="12.75" customHeight="1">
      <c r="A20" s="323">
        <v>2022</v>
      </c>
      <c r="B20" s="446">
        <v>21493.647967999997</v>
      </c>
      <c r="C20" s="362">
        <v>5054.4299230000006</v>
      </c>
      <c r="D20" s="362">
        <v>1301.3310939999999</v>
      </c>
      <c r="E20" s="362">
        <v>7952.0804029999999</v>
      </c>
      <c r="F20" s="362">
        <v>112.18100800000001</v>
      </c>
      <c r="G20" s="362">
        <v>20.393139000000001</v>
      </c>
      <c r="H20" s="363">
        <v>7053.2324010000011</v>
      </c>
      <c r="I20" s="5"/>
      <c r="J20" s="369"/>
      <c r="K20" s="368"/>
      <c r="L20" s="368"/>
      <c r="M20" s="369"/>
      <c r="N20" s="369"/>
      <c r="O20" s="370"/>
      <c r="P20" s="364"/>
      <c r="Q20" s="364"/>
      <c r="R20" s="364"/>
      <c r="S20" s="364"/>
      <c r="T20" s="364"/>
      <c r="U20" s="364"/>
      <c r="V20" s="364"/>
      <c r="W20" s="364"/>
      <c r="X20" s="364"/>
      <c r="Y20" s="364"/>
      <c r="Z20" s="364"/>
      <c r="AA20" s="364"/>
      <c r="AB20" s="364"/>
      <c r="AC20" s="141"/>
      <c r="AD20" s="141"/>
    </row>
    <row r="21" spans="1:34" s="41" customFormat="1" ht="12.75" customHeight="1">
      <c r="A21" s="323">
        <v>2023</v>
      </c>
      <c r="B21" s="446">
        <v>21067.83325</v>
      </c>
      <c r="C21" s="362">
        <v>4974.8886879999991</v>
      </c>
      <c r="D21" s="362">
        <v>1280.1587389999997</v>
      </c>
      <c r="E21" s="362">
        <v>7536.7917350000007</v>
      </c>
      <c r="F21" s="362">
        <v>110.84698900000001</v>
      </c>
      <c r="G21" s="362">
        <v>19.576089</v>
      </c>
      <c r="H21" s="363">
        <v>7145.5710099999997</v>
      </c>
      <c r="I21" s="5"/>
      <c r="J21" s="369"/>
      <c r="K21" s="368"/>
      <c r="L21" s="368"/>
      <c r="M21" s="369"/>
      <c r="N21" s="369"/>
      <c r="O21" s="370"/>
      <c r="P21" s="364"/>
      <c r="Q21" s="364"/>
      <c r="R21" s="364"/>
      <c r="S21" s="364"/>
      <c r="T21" s="364"/>
      <c r="U21" s="364"/>
      <c r="V21" s="364"/>
      <c r="W21" s="364"/>
      <c r="X21" s="364"/>
      <c r="Y21" s="364"/>
      <c r="Z21" s="364"/>
      <c r="AA21" s="364"/>
      <c r="AB21" s="364"/>
      <c r="AC21" s="141"/>
      <c r="AD21" s="141"/>
    </row>
    <row r="22" spans="1:34" s="397" customFormat="1" ht="12.75" customHeight="1">
      <c r="A22" s="323">
        <v>2024</v>
      </c>
      <c r="B22" s="446">
        <v>21851</v>
      </c>
      <c r="C22" s="362">
        <v>5441</v>
      </c>
      <c r="D22" s="362">
        <v>1340</v>
      </c>
      <c r="E22" s="362">
        <v>8235</v>
      </c>
      <c r="F22" s="362">
        <v>110</v>
      </c>
      <c r="G22" s="362">
        <v>18</v>
      </c>
      <c r="H22" s="363">
        <v>6708</v>
      </c>
      <c r="I22" s="394"/>
      <c r="J22" s="369"/>
      <c r="K22" s="368"/>
      <c r="L22" s="368"/>
      <c r="M22" s="369"/>
      <c r="N22" s="369"/>
      <c r="O22" s="370"/>
      <c r="P22" s="364"/>
      <c r="Q22" s="364"/>
      <c r="R22" s="364"/>
      <c r="S22" s="364"/>
      <c r="T22" s="364"/>
      <c r="U22" s="364"/>
      <c r="V22" s="364"/>
      <c r="W22" s="364"/>
      <c r="X22" s="364"/>
      <c r="Y22" s="364"/>
      <c r="Z22" s="364"/>
      <c r="AA22" s="364"/>
      <c r="AB22" s="364"/>
      <c r="AC22" s="141"/>
      <c r="AD22" s="141"/>
    </row>
    <row r="23" spans="1:34" s="397" customFormat="1" ht="12.75" customHeight="1">
      <c r="A23" s="323">
        <v>2025</v>
      </c>
      <c r="B23" s="446">
        <v>22099.968489000003</v>
      </c>
      <c r="C23" s="446">
        <v>5504.8234680000005</v>
      </c>
      <c r="D23" s="446">
        <v>1360.3887379999999</v>
      </c>
      <c r="E23" s="446">
        <v>8453.5591719999993</v>
      </c>
      <c r="F23" s="446">
        <v>107.47590400000001</v>
      </c>
      <c r="G23" s="446">
        <v>18.148721999999999</v>
      </c>
      <c r="H23" s="446">
        <v>6655.5724850000006</v>
      </c>
      <c r="I23" s="394"/>
      <c r="J23" s="369"/>
      <c r="K23" s="368"/>
      <c r="L23" s="368"/>
      <c r="M23" s="369"/>
      <c r="N23" s="369"/>
      <c r="O23" s="370"/>
      <c r="P23" s="364"/>
      <c r="Q23" s="364"/>
      <c r="R23" s="364"/>
      <c r="S23" s="364"/>
      <c r="T23" s="364"/>
      <c r="U23" s="364"/>
      <c r="V23" s="364"/>
      <c r="W23" s="364"/>
      <c r="X23" s="364"/>
      <c r="Y23" s="364"/>
      <c r="Z23" s="364"/>
      <c r="AA23" s="364"/>
      <c r="AB23" s="364"/>
      <c r="AC23" s="141"/>
      <c r="AD23" s="141"/>
    </row>
    <row r="24" spans="1:34" s="397" customFormat="1" ht="12.75" customHeight="1">
      <c r="A24" s="322"/>
      <c r="B24" s="393"/>
      <c r="C24" s="1"/>
      <c r="D24" s="1"/>
      <c r="E24" s="1"/>
      <c r="F24" s="1"/>
      <c r="G24" s="1"/>
      <c r="H24" s="18"/>
      <c r="I24" s="394"/>
      <c r="J24" s="369"/>
      <c r="K24" s="368"/>
      <c r="L24" s="368"/>
      <c r="M24" s="369"/>
      <c r="N24" s="369"/>
      <c r="O24" s="370"/>
      <c r="P24" s="364"/>
      <c r="Q24" s="364"/>
      <c r="R24" s="364"/>
      <c r="S24" s="364"/>
      <c r="T24" s="364"/>
      <c r="U24" s="364"/>
      <c r="V24" s="364"/>
      <c r="W24" s="364"/>
      <c r="X24" s="364"/>
      <c r="Y24" s="364"/>
      <c r="Z24" s="364"/>
      <c r="AA24" s="364"/>
      <c r="AB24" s="364"/>
      <c r="AC24" s="141"/>
      <c r="AD24" s="141"/>
    </row>
    <row r="25" spans="1:34" s="41" customFormat="1" ht="12.75" customHeight="1">
      <c r="A25" s="321"/>
      <c r="B25" s="393"/>
      <c r="C25" s="1"/>
      <c r="D25" s="1"/>
      <c r="E25" s="1"/>
      <c r="F25" s="1"/>
      <c r="G25" s="1"/>
      <c r="H25" s="18"/>
      <c r="I25" s="5"/>
      <c r="J25" s="369"/>
      <c r="K25" s="368"/>
      <c r="L25" s="368"/>
      <c r="M25" s="369"/>
      <c r="N25" s="369"/>
      <c r="O25" s="370"/>
      <c r="P25" s="364"/>
      <c r="Q25" s="364"/>
      <c r="R25" s="364"/>
      <c r="S25" s="364"/>
      <c r="T25" s="364"/>
      <c r="U25" s="364"/>
      <c r="V25" s="364"/>
      <c r="W25" s="364"/>
      <c r="X25" s="364"/>
      <c r="Y25" s="364"/>
      <c r="Z25" s="364"/>
      <c r="AA25" s="364"/>
      <c r="AB25" s="364"/>
      <c r="AC25" s="141"/>
      <c r="AD25" s="141"/>
    </row>
    <row r="26" spans="1:34" s="41" customFormat="1" ht="12.75" customHeight="1">
      <c r="A26" s="337">
        <v>44562</v>
      </c>
      <c r="B26" s="446">
        <v>1920.9191030000002</v>
      </c>
      <c r="C26" s="446">
        <v>434.004704</v>
      </c>
      <c r="D26" s="446">
        <v>120.98622899999999</v>
      </c>
      <c r="E26" s="446">
        <v>720.70216400000004</v>
      </c>
      <c r="F26" s="446">
        <v>13.883755000000001</v>
      </c>
      <c r="G26" s="446">
        <v>1.910801</v>
      </c>
      <c r="H26" s="447">
        <v>629.43145000000004</v>
      </c>
      <c r="I26" s="5"/>
      <c r="J26" s="369"/>
      <c r="K26" s="369"/>
      <c r="L26" s="369"/>
      <c r="M26" s="369"/>
      <c r="N26" s="369"/>
      <c r="O26" s="369"/>
      <c r="P26" s="369"/>
      <c r="Q26" s="364"/>
      <c r="R26" s="364"/>
      <c r="S26" s="364"/>
      <c r="T26" s="364"/>
      <c r="U26" s="364"/>
      <c r="V26" s="364"/>
      <c r="W26" s="364"/>
      <c r="X26" s="364"/>
      <c r="Y26" s="364"/>
      <c r="Z26" s="364"/>
      <c r="AA26" s="364"/>
      <c r="AB26" s="364"/>
      <c r="AC26" s="141"/>
      <c r="AD26" s="141"/>
    </row>
    <row r="27" spans="1:34" s="41" customFormat="1" ht="12.75" customHeight="1">
      <c r="A27" s="337">
        <v>44593</v>
      </c>
      <c r="B27" s="446">
        <v>1816.6480039999997</v>
      </c>
      <c r="C27" s="446">
        <v>436.00084800000002</v>
      </c>
      <c r="D27" s="446">
        <v>103.09375900000001</v>
      </c>
      <c r="E27" s="446">
        <v>700.72388599999999</v>
      </c>
      <c r="F27" s="446">
        <v>13.423296000000001</v>
      </c>
      <c r="G27" s="446">
        <v>1.664525</v>
      </c>
      <c r="H27" s="447">
        <v>561.74168999999995</v>
      </c>
      <c r="I27" s="5"/>
      <c r="J27" s="369"/>
      <c r="K27" s="369"/>
      <c r="L27" s="369"/>
      <c r="M27" s="369"/>
      <c r="N27" s="369"/>
      <c r="O27" s="369"/>
      <c r="P27" s="369"/>
      <c r="Q27" s="369"/>
      <c r="R27" s="364"/>
      <c r="S27" s="364"/>
      <c r="T27" s="364"/>
      <c r="U27" s="364"/>
      <c r="V27" s="364"/>
      <c r="W27" s="364"/>
      <c r="X27" s="364"/>
      <c r="Y27" s="364"/>
      <c r="Z27" s="369"/>
      <c r="AA27" s="369"/>
      <c r="AB27" s="368"/>
      <c r="AC27" s="369"/>
      <c r="AD27" s="371"/>
      <c r="AE27" s="371"/>
      <c r="AF27" s="371"/>
      <c r="AG27" s="371"/>
      <c r="AH27" s="371"/>
    </row>
    <row r="28" spans="1:34" s="41" customFormat="1" ht="12.75" customHeight="1">
      <c r="A28" s="337">
        <v>44621</v>
      </c>
      <c r="B28" s="446">
        <v>1744.599954</v>
      </c>
      <c r="C28" s="446">
        <v>384.909719</v>
      </c>
      <c r="D28" s="446">
        <v>119.213202</v>
      </c>
      <c r="E28" s="446">
        <v>622.49131299999999</v>
      </c>
      <c r="F28" s="446">
        <v>10.58685</v>
      </c>
      <c r="G28" s="446">
        <v>1.5635289999999999</v>
      </c>
      <c r="H28" s="447">
        <v>605.83534099999997</v>
      </c>
      <c r="I28" s="5"/>
      <c r="J28" s="369"/>
      <c r="K28" s="369"/>
      <c r="L28" s="369"/>
      <c r="M28" s="369"/>
      <c r="N28" s="369"/>
      <c r="O28" s="369"/>
      <c r="P28" s="369"/>
      <c r="Q28" s="369"/>
      <c r="R28" s="364"/>
      <c r="S28" s="364"/>
      <c r="T28" s="364"/>
      <c r="U28" s="364"/>
      <c r="V28" s="364"/>
      <c r="W28" s="364"/>
      <c r="X28" s="364"/>
      <c r="Y28" s="364"/>
      <c r="Z28" s="369"/>
      <c r="AA28" s="369"/>
      <c r="AB28" s="368"/>
      <c r="AC28" s="368"/>
      <c r="AD28" s="368"/>
      <c r="AE28" s="368"/>
      <c r="AF28" s="368"/>
      <c r="AG28" s="368"/>
      <c r="AH28" s="371"/>
    </row>
    <row r="29" spans="1:34" s="41" customFormat="1" ht="12.75" customHeight="1">
      <c r="A29" s="337">
        <v>44652</v>
      </c>
      <c r="B29" s="446">
        <v>1694.381253</v>
      </c>
      <c r="C29" s="446">
        <v>395.93383799999998</v>
      </c>
      <c r="D29" s="446">
        <v>99.943439999999995</v>
      </c>
      <c r="E29" s="446">
        <v>594.39063999999996</v>
      </c>
      <c r="F29" s="446">
        <v>8.6541139999999999</v>
      </c>
      <c r="G29" s="446">
        <v>1.716899</v>
      </c>
      <c r="H29" s="447">
        <v>593.74232199999994</v>
      </c>
      <c r="I29" s="5"/>
      <c r="J29" s="369"/>
      <c r="K29" s="369"/>
      <c r="L29" s="369"/>
      <c r="M29" s="369"/>
      <c r="N29" s="369"/>
      <c r="O29" s="369"/>
      <c r="P29" s="369"/>
      <c r="Q29" s="369"/>
      <c r="R29" s="364"/>
      <c r="S29" s="364"/>
      <c r="T29" s="364"/>
      <c r="U29" s="364"/>
      <c r="V29" s="364"/>
      <c r="W29" s="364"/>
      <c r="X29" s="364"/>
      <c r="Y29" s="364"/>
      <c r="Z29" s="369"/>
      <c r="AA29" s="369"/>
      <c r="AB29" s="369"/>
      <c r="AC29" s="376"/>
      <c r="AD29" s="375"/>
      <c r="AE29" s="375"/>
      <c r="AF29" s="375"/>
      <c r="AG29" s="375"/>
      <c r="AH29" s="371"/>
    </row>
    <row r="30" spans="1:34" s="41" customFormat="1" ht="12.75" customHeight="1">
      <c r="A30" s="337">
        <v>44682</v>
      </c>
      <c r="B30" s="446">
        <v>1631.8345409999997</v>
      </c>
      <c r="C30" s="446">
        <v>365.44203099999999</v>
      </c>
      <c r="D30" s="446">
        <v>93.734842999999998</v>
      </c>
      <c r="E30" s="446">
        <v>578.16181300000005</v>
      </c>
      <c r="F30" s="446">
        <v>7.5858939999999997</v>
      </c>
      <c r="G30" s="446">
        <v>1.590147</v>
      </c>
      <c r="H30" s="447">
        <v>585.31981299999995</v>
      </c>
      <c r="I30" s="5"/>
      <c r="J30" s="369"/>
      <c r="K30" s="369"/>
      <c r="L30" s="369"/>
      <c r="M30" s="369"/>
      <c r="N30" s="369"/>
      <c r="O30" s="369"/>
      <c r="P30" s="369"/>
      <c r="Q30" s="369"/>
      <c r="R30" s="364"/>
      <c r="S30" s="364"/>
      <c r="T30" s="364"/>
      <c r="U30" s="364"/>
      <c r="V30" s="364"/>
      <c r="W30" s="364"/>
      <c r="X30" s="364"/>
      <c r="Y30" s="364"/>
      <c r="Z30" s="369"/>
      <c r="AA30" s="369"/>
      <c r="AB30" s="369"/>
      <c r="AC30" s="376"/>
      <c r="AD30" s="375"/>
      <c r="AE30" s="375"/>
      <c r="AF30" s="375"/>
      <c r="AG30" s="375"/>
      <c r="AH30" s="371"/>
    </row>
    <row r="31" spans="1:34" s="41" customFormat="1" ht="12.75" customHeight="1">
      <c r="A31" s="337">
        <v>44713</v>
      </c>
      <c r="B31" s="446">
        <v>1723.0027650000002</v>
      </c>
      <c r="C31" s="446">
        <v>374.56829900000002</v>
      </c>
      <c r="D31" s="446">
        <v>101.93856</v>
      </c>
      <c r="E31" s="446">
        <v>641.97806300000002</v>
      </c>
      <c r="F31" s="446">
        <v>7.8115430000000003</v>
      </c>
      <c r="G31" s="446">
        <v>1.702196</v>
      </c>
      <c r="H31" s="447">
        <v>595.00410399999998</v>
      </c>
      <c r="I31" s="5"/>
      <c r="J31" s="369"/>
      <c r="K31" s="369"/>
      <c r="L31" s="369"/>
      <c r="M31" s="369"/>
      <c r="N31" s="369"/>
      <c r="O31" s="369"/>
      <c r="P31" s="369"/>
      <c r="Q31" s="369"/>
      <c r="R31" s="364"/>
      <c r="S31" s="364"/>
      <c r="T31" s="364"/>
      <c r="U31" s="364"/>
      <c r="V31" s="364"/>
      <c r="W31" s="364"/>
      <c r="X31" s="364"/>
      <c r="Y31" s="364"/>
      <c r="Z31" s="369"/>
      <c r="AA31" s="369"/>
      <c r="AB31" s="369"/>
      <c r="AC31" s="376"/>
      <c r="AD31" s="375"/>
      <c r="AE31" s="375"/>
      <c r="AF31" s="375"/>
      <c r="AG31" s="375"/>
      <c r="AH31" s="371"/>
    </row>
    <row r="32" spans="1:34" s="41" customFormat="1" ht="12.75" customHeight="1">
      <c r="A32" s="337">
        <v>44743</v>
      </c>
      <c r="B32" s="446">
        <v>1944.9820810000001</v>
      </c>
      <c r="C32" s="446">
        <v>462.714831</v>
      </c>
      <c r="D32" s="446">
        <v>121.396237</v>
      </c>
      <c r="E32" s="446">
        <v>737.28405399999997</v>
      </c>
      <c r="F32" s="446">
        <v>7.4810049999999997</v>
      </c>
      <c r="G32" s="446">
        <v>1.7253160000000001</v>
      </c>
      <c r="H32" s="447">
        <v>614.38063799999998</v>
      </c>
      <c r="I32" s="5"/>
      <c r="J32" s="369"/>
      <c r="K32" s="369"/>
      <c r="L32" s="369"/>
      <c r="M32" s="369"/>
      <c r="N32" s="369"/>
      <c r="O32" s="369"/>
      <c r="P32" s="369"/>
      <c r="Q32" s="369"/>
      <c r="R32" s="364"/>
      <c r="S32" s="364"/>
      <c r="T32" s="364"/>
      <c r="U32" s="364"/>
      <c r="V32" s="364"/>
      <c r="W32" s="364"/>
      <c r="X32" s="364"/>
      <c r="Y32" s="364"/>
      <c r="Z32" s="369"/>
      <c r="AA32" s="369"/>
      <c r="AB32" s="369"/>
      <c r="AC32" s="376"/>
      <c r="AD32" s="375"/>
      <c r="AE32" s="375"/>
      <c r="AF32" s="375"/>
      <c r="AG32" s="375"/>
      <c r="AH32" s="371"/>
    </row>
    <row r="33" spans="1:34" s="41" customFormat="1" ht="12.75" customHeight="1">
      <c r="A33" s="337">
        <v>44774</v>
      </c>
      <c r="B33" s="446">
        <v>2088.8002740000002</v>
      </c>
      <c r="C33" s="446">
        <v>565.65754300000003</v>
      </c>
      <c r="D33" s="446">
        <v>120.75250200000001</v>
      </c>
      <c r="E33" s="446">
        <v>805.20748300000002</v>
      </c>
      <c r="F33" s="446">
        <v>8.9451250000000009</v>
      </c>
      <c r="G33" s="446">
        <v>1.6026640000000001</v>
      </c>
      <c r="H33" s="447">
        <v>586.63495699999999</v>
      </c>
      <c r="I33" s="5"/>
      <c r="J33" s="369"/>
      <c r="K33" s="369"/>
      <c r="L33" s="369"/>
      <c r="M33" s="369"/>
      <c r="N33" s="369"/>
      <c r="O33" s="369"/>
      <c r="P33" s="369"/>
      <c r="Q33" s="369"/>
      <c r="R33" s="364"/>
      <c r="S33" s="364"/>
      <c r="T33" s="364"/>
      <c r="U33" s="364"/>
      <c r="V33" s="364"/>
      <c r="W33" s="364"/>
      <c r="X33" s="364"/>
      <c r="Y33" s="364"/>
      <c r="Z33" s="369"/>
      <c r="AA33" s="369"/>
      <c r="AB33" s="369"/>
      <c r="AC33" s="376"/>
      <c r="AD33" s="375"/>
      <c r="AE33" s="375"/>
      <c r="AF33" s="375"/>
      <c r="AG33" s="375"/>
      <c r="AH33" s="371"/>
    </row>
    <row r="34" spans="1:34" s="41" customFormat="1" ht="12.75" customHeight="1">
      <c r="A34" s="337">
        <v>44805</v>
      </c>
      <c r="B34" s="446">
        <v>1855.336323</v>
      </c>
      <c r="C34" s="446">
        <v>477.57204400000001</v>
      </c>
      <c r="D34" s="446">
        <v>110.96868600000001</v>
      </c>
      <c r="E34" s="446">
        <v>706.28317600000003</v>
      </c>
      <c r="F34" s="446">
        <v>9.4421900000000001</v>
      </c>
      <c r="G34" s="446">
        <v>1.639286</v>
      </c>
      <c r="H34" s="447">
        <v>549.43094099999996</v>
      </c>
      <c r="I34" s="5"/>
      <c r="J34" s="369"/>
      <c r="K34" s="369"/>
      <c r="L34" s="369"/>
      <c r="M34" s="369"/>
      <c r="N34" s="369"/>
      <c r="O34" s="369"/>
      <c r="P34" s="369"/>
      <c r="Q34" s="369"/>
      <c r="R34" s="364"/>
      <c r="S34" s="364"/>
      <c r="T34" s="364"/>
      <c r="U34" s="364"/>
      <c r="V34" s="364"/>
      <c r="W34" s="364"/>
      <c r="X34" s="364"/>
      <c r="Y34" s="364"/>
      <c r="Z34" s="369"/>
      <c r="AA34" s="369"/>
      <c r="AB34" s="369"/>
      <c r="AC34" s="376"/>
      <c r="AD34" s="375"/>
      <c r="AE34" s="375"/>
      <c r="AF34" s="375"/>
      <c r="AG34" s="375"/>
      <c r="AH34" s="371"/>
    </row>
    <row r="35" spans="1:34" s="41" customFormat="1" ht="12.75" customHeight="1">
      <c r="A35" s="337">
        <v>44835</v>
      </c>
      <c r="B35" s="446">
        <v>1664.7444559999999</v>
      </c>
      <c r="C35" s="446">
        <v>381.10879899999998</v>
      </c>
      <c r="D35" s="446">
        <v>98.341354999999993</v>
      </c>
      <c r="E35" s="446">
        <v>607.78095800000006</v>
      </c>
      <c r="F35" s="446">
        <v>6.939368</v>
      </c>
      <c r="G35" s="446">
        <v>1.6358760000000001</v>
      </c>
      <c r="H35" s="447">
        <v>568.93809999999996</v>
      </c>
      <c r="I35" s="5"/>
      <c r="J35" s="369"/>
      <c r="K35" s="369"/>
      <c r="L35" s="369"/>
      <c r="M35" s="369"/>
      <c r="N35" s="369"/>
      <c r="O35" s="369"/>
      <c r="P35" s="369"/>
      <c r="Q35" s="369"/>
      <c r="R35" s="364"/>
      <c r="S35" s="364"/>
      <c r="T35" s="364"/>
      <c r="U35" s="364"/>
      <c r="V35" s="364"/>
      <c r="W35" s="364"/>
      <c r="X35" s="364"/>
      <c r="Y35" s="364"/>
      <c r="Z35" s="369"/>
      <c r="AA35" s="369"/>
      <c r="AB35" s="369"/>
      <c r="AC35" s="376"/>
      <c r="AD35" s="375"/>
      <c r="AE35" s="375"/>
      <c r="AF35" s="375"/>
      <c r="AG35" s="375"/>
      <c r="AH35" s="371"/>
    </row>
    <row r="36" spans="1:34" s="41" customFormat="1" ht="12.75" customHeight="1">
      <c r="A36" s="337">
        <v>44866</v>
      </c>
      <c r="B36" s="446">
        <v>1636.6168830000001</v>
      </c>
      <c r="C36" s="446">
        <v>379.51249000000001</v>
      </c>
      <c r="D36" s="446">
        <v>93.865897000000004</v>
      </c>
      <c r="E36" s="446">
        <v>577.31654200000003</v>
      </c>
      <c r="F36" s="446">
        <v>7.6047539999999998</v>
      </c>
      <c r="G36" s="446">
        <v>1.840384</v>
      </c>
      <c r="H36" s="447">
        <v>576.47681599999999</v>
      </c>
      <c r="I36" s="5"/>
      <c r="J36" s="369"/>
      <c r="K36" s="369"/>
      <c r="L36" s="369"/>
      <c r="M36" s="369"/>
      <c r="N36" s="369"/>
      <c r="O36" s="369"/>
      <c r="P36" s="369"/>
      <c r="Q36" s="369"/>
      <c r="R36" s="364"/>
      <c r="S36" s="364"/>
      <c r="T36" s="364"/>
      <c r="U36" s="364"/>
      <c r="V36" s="364"/>
      <c r="W36" s="364"/>
      <c r="X36" s="364"/>
      <c r="Y36" s="364"/>
      <c r="Z36" s="369"/>
      <c r="AA36" s="369"/>
      <c r="AB36" s="369"/>
      <c r="AC36" s="376"/>
      <c r="AD36" s="375"/>
      <c r="AE36" s="375"/>
      <c r="AF36" s="375"/>
      <c r="AG36" s="375"/>
      <c r="AH36" s="371"/>
    </row>
    <row r="37" spans="1:34" s="41" customFormat="1" ht="12.75" customHeight="1">
      <c r="A37" s="337">
        <v>44896</v>
      </c>
      <c r="B37" s="446">
        <v>1771.7823310000001</v>
      </c>
      <c r="C37" s="446">
        <v>397.00477699999999</v>
      </c>
      <c r="D37" s="446">
        <v>117.096384</v>
      </c>
      <c r="E37" s="446">
        <v>659.760311</v>
      </c>
      <c r="F37" s="446">
        <v>9.8231140000000003</v>
      </c>
      <c r="G37" s="446">
        <v>1.8015159999999999</v>
      </c>
      <c r="H37" s="447">
        <v>586.29622900000004</v>
      </c>
      <c r="I37" s="5"/>
      <c r="J37" s="369"/>
      <c r="K37" s="369"/>
      <c r="L37" s="369"/>
      <c r="M37" s="369"/>
      <c r="N37" s="369"/>
      <c r="O37" s="369"/>
      <c r="P37" s="369"/>
      <c r="Q37" s="369"/>
      <c r="R37" s="364"/>
      <c r="S37" s="364"/>
      <c r="T37" s="364"/>
      <c r="U37" s="364"/>
      <c r="V37" s="364"/>
      <c r="W37" s="364"/>
      <c r="X37" s="364"/>
      <c r="Y37" s="364"/>
      <c r="Z37" s="369"/>
      <c r="AA37" s="369"/>
      <c r="AB37" s="369"/>
      <c r="AC37" s="376"/>
      <c r="AD37" s="375"/>
      <c r="AE37" s="375"/>
      <c r="AF37" s="375"/>
      <c r="AG37" s="375"/>
      <c r="AH37" s="371"/>
    </row>
    <row r="38" spans="1:34" s="41" customFormat="1" ht="12.75" customHeight="1">
      <c r="A38" s="337">
        <v>44927</v>
      </c>
      <c r="B38" s="446">
        <v>1914.62</v>
      </c>
      <c r="C38" s="446">
        <v>440.18200000000002</v>
      </c>
      <c r="D38" s="446">
        <v>126.36799999999999</v>
      </c>
      <c r="E38" s="446">
        <v>748.93799999999999</v>
      </c>
      <c r="F38" s="446">
        <v>14.375</v>
      </c>
      <c r="G38" s="446">
        <v>1.9870000000000001</v>
      </c>
      <c r="H38" s="447">
        <v>582.77</v>
      </c>
      <c r="I38" s="5"/>
      <c r="J38" s="369"/>
      <c r="K38" s="369"/>
      <c r="L38" s="369"/>
      <c r="M38" s="369"/>
      <c r="N38" s="369"/>
      <c r="O38" s="369"/>
      <c r="P38" s="369"/>
      <c r="Q38" s="369"/>
      <c r="R38" s="364"/>
      <c r="S38" s="364"/>
      <c r="T38" s="364"/>
      <c r="U38" s="364"/>
      <c r="V38" s="364"/>
      <c r="W38" s="364"/>
      <c r="X38" s="364"/>
      <c r="Y38" s="364"/>
      <c r="Z38" s="369"/>
      <c r="AA38" s="369"/>
      <c r="AB38" s="369"/>
      <c r="AC38" s="376"/>
      <c r="AD38" s="375"/>
      <c r="AE38" s="375"/>
      <c r="AF38" s="375"/>
      <c r="AG38" s="375"/>
      <c r="AH38" s="371"/>
    </row>
    <row r="39" spans="1:34" s="41" customFormat="1" ht="12.75" customHeight="1">
      <c r="A39" s="337">
        <v>44958</v>
      </c>
      <c r="B39" s="446">
        <v>1847.6</v>
      </c>
      <c r="C39" s="446">
        <v>434.56549999999999</v>
      </c>
      <c r="D39" s="446">
        <v>114.08799999999999</v>
      </c>
      <c r="E39" s="446">
        <v>703.92600000000004</v>
      </c>
      <c r="F39" s="446">
        <v>13.3566</v>
      </c>
      <c r="G39" s="446">
        <v>1.8895599999999999</v>
      </c>
      <c r="H39" s="447">
        <v>579.774</v>
      </c>
      <c r="I39" s="5"/>
      <c r="J39" s="369"/>
      <c r="K39" s="369"/>
      <c r="L39" s="369"/>
      <c r="M39" s="369"/>
      <c r="N39" s="369"/>
      <c r="O39" s="369"/>
      <c r="P39" s="369"/>
      <c r="Q39" s="369"/>
      <c r="R39" s="364"/>
      <c r="S39" s="364"/>
      <c r="T39" s="364"/>
      <c r="U39" s="364"/>
      <c r="V39" s="364"/>
      <c r="W39" s="364"/>
      <c r="X39" s="364"/>
      <c r="Y39" s="364"/>
      <c r="Z39" s="369"/>
      <c r="AA39" s="369"/>
      <c r="AB39" s="369"/>
      <c r="AC39" s="376"/>
      <c r="AD39" s="375"/>
      <c r="AE39" s="375"/>
      <c r="AF39" s="375"/>
      <c r="AG39" s="375"/>
      <c r="AH39" s="371"/>
    </row>
    <row r="40" spans="1:34" s="41" customFormat="1" ht="12.75" customHeight="1">
      <c r="A40" s="337">
        <v>44986</v>
      </c>
      <c r="B40" s="446">
        <v>1677.0889999999999</v>
      </c>
      <c r="C40" s="446">
        <v>369.697</v>
      </c>
      <c r="D40" s="446">
        <v>104.074</v>
      </c>
      <c r="E40" s="446">
        <v>609.77300000000002</v>
      </c>
      <c r="F40" s="446">
        <v>8.952</v>
      </c>
      <c r="G40" s="446">
        <v>1.68</v>
      </c>
      <c r="H40" s="447">
        <v>582.91399999999999</v>
      </c>
      <c r="I40" s="5"/>
      <c r="J40" s="369"/>
      <c r="K40" s="369"/>
      <c r="L40" s="369"/>
      <c r="M40" s="369"/>
      <c r="N40" s="369"/>
      <c r="O40" s="369"/>
      <c r="P40" s="369"/>
      <c r="Q40" s="369"/>
      <c r="R40" s="364"/>
      <c r="S40" s="364"/>
      <c r="T40" s="364"/>
      <c r="U40" s="364"/>
      <c r="V40" s="364"/>
      <c r="W40" s="364"/>
      <c r="X40" s="364"/>
      <c r="Y40" s="364"/>
      <c r="Z40" s="364"/>
      <c r="AA40" s="364"/>
      <c r="AB40" s="364"/>
      <c r="AC40" s="374"/>
      <c r="AD40" s="375"/>
      <c r="AE40" s="375"/>
      <c r="AF40" s="375"/>
      <c r="AG40" s="375"/>
      <c r="AH40" s="371"/>
    </row>
    <row r="41" spans="1:34" s="41" customFormat="1" ht="12.75" customHeight="1">
      <c r="A41" s="337">
        <v>45017</v>
      </c>
      <c r="B41" s="446">
        <v>1655.4849999999999</v>
      </c>
      <c r="C41" s="446">
        <v>386.346</v>
      </c>
      <c r="D41" s="446">
        <v>97.168999999999997</v>
      </c>
      <c r="E41" s="446">
        <v>592.54700000000003</v>
      </c>
      <c r="F41" s="446">
        <v>7.6539999999999999</v>
      </c>
      <c r="G41" s="446">
        <v>1.6679999999999999</v>
      </c>
      <c r="H41" s="447">
        <v>570.10199999999998</v>
      </c>
      <c r="I41" s="5"/>
      <c r="J41" s="369"/>
      <c r="K41" s="369"/>
      <c r="L41" s="369"/>
      <c r="M41" s="369"/>
      <c r="N41" s="369"/>
      <c r="O41" s="369"/>
      <c r="P41" s="369"/>
      <c r="Q41" s="369"/>
      <c r="R41" s="364"/>
      <c r="S41" s="364"/>
      <c r="T41" s="364"/>
      <c r="U41" s="364"/>
      <c r="V41" s="364"/>
      <c r="W41" s="364"/>
      <c r="X41" s="364"/>
      <c r="Y41" s="364"/>
      <c r="Z41" s="364"/>
      <c r="AA41" s="364"/>
      <c r="AB41" s="364"/>
      <c r="AC41" s="374"/>
      <c r="AD41" s="375"/>
      <c r="AE41" s="375"/>
      <c r="AF41" s="375"/>
      <c r="AG41" s="375"/>
      <c r="AH41" s="371"/>
    </row>
    <row r="42" spans="1:34" s="41" customFormat="1" ht="12.75" customHeight="1">
      <c r="A42" s="337">
        <f t="shared" ref="A42:A44" si="0">EDATE(A41,1)</f>
        <v>45047</v>
      </c>
      <c r="B42" s="393">
        <v>1621.009</v>
      </c>
      <c r="C42" s="393">
        <v>369.75400000000002</v>
      </c>
      <c r="D42" s="393">
        <v>94.24</v>
      </c>
      <c r="E42" s="393">
        <v>592.46799999999996</v>
      </c>
      <c r="F42" s="393">
        <v>7.6849999999999996</v>
      </c>
      <c r="G42" s="393">
        <v>1.5840000000000001</v>
      </c>
      <c r="H42" s="395">
        <v>555.27700000000004</v>
      </c>
      <c r="I42" s="5"/>
      <c r="J42" s="369"/>
      <c r="K42" s="369"/>
      <c r="L42" s="369"/>
      <c r="M42" s="369"/>
      <c r="N42" s="369"/>
      <c r="O42" s="369"/>
      <c r="P42" s="369"/>
      <c r="Q42" s="369"/>
      <c r="R42" s="364"/>
      <c r="S42" s="364"/>
      <c r="T42" s="364"/>
      <c r="U42" s="364"/>
      <c r="V42" s="364"/>
      <c r="W42" s="364"/>
      <c r="X42" s="364"/>
      <c r="Y42" s="364"/>
      <c r="Z42" s="364"/>
      <c r="AA42" s="364"/>
      <c r="AB42" s="364"/>
      <c r="AC42" s="374"/>
      <c r="AD42" s="375"/>
      <c r="AE42" s="375"/>
      <c r="AF42" s="375"/>
      <c r="AG42" s="375"/>
      <c r="AH42" s="371"/>
    </row>
    <row r="43" spans="1:34" s="41" customFormat="1" ht="12.75" customHeight="1">
      <c r="A43" s="337">
        <f t="shared" si="0"/>
        <v>45078</v>
      </c>
      <c r="B43" s="393">
        <v>1704.723</v>
      </c>
      <c r="C43" s="393">
        <v>386.57400000000001</v>
      </c>
      <c r="D43" s="393">
        <v>101.681</v>
      </c>
      <c r="E43" s="393">
        <v>655.077</v>
      </c>
      <c r="F43" s="393">
        <v>7.7110000000000003</v>
      </c>
      <c r="G43" s="393">
        <v>1.637</v>
      </c>
      <c r="H43" s="395">
        <v>552.04499999999996</v>
      </c>
      <c r="I43" s="5"/>
      <c r="J43" s="369"/>
      <c r="K43" s="369"/>
      <c r="L43" s="369"/>
      <c r="M43" s="369"/>
      <c r="N43" s="369"/>
      <c r="O43" s="369"/>
      <c r="P43" s="369"/>
      <c r="Q43" s="369"/>
      <c r="R43" s="364"/>
      <c r="S43" s="364"/>
      <c r="T43" s="364"/>
      <c r="U43" s="364"/>
      <c r="V43" s="364"/>
      <c r="W43" s="364"/>
      <c r="X43" s="364"/>
      <c r="Y43" s="364"/>
      <c r="Z43" s="364"/>
      <c r="AA43" s="364"/>
      <c r="AB43" s="364"/>
      <c r="AC43" s="374"/>
      <c r="AD43" s="375"/>
      <c r="AE43" s="375"/>
      <c r="AF43" s="375"/>
      <c r="AG43" s="375"/>
      <c r="AH43" s="371"/>
    </row>
    <row r="44" spans="1:34" s="41" customFormat="1" ht="12.75" customHeight="1">
      <c r="A44" s="337">
        <f t="shared" si="0"/>
        <v>45108</v>
      </c>
      <c r="B44" s="393">
        <v>1890.093525</v>
      </c>
      <c r="C44" s="393">
        <v>436.98270100000002</v>
      </c>
      <c r="D44" s="393">
        <v>116.81886999999999</v>
      </c>
      <c r="E44" s="393">
        <v>746.40714099999991</v>
      </c>
      <c r="F44" s="393">
        <v>7.7601040000000001</v>
      </c>
      <c r="G44" s="393">
        <v>1.599788</v>
      </c>
      <c r="H44" s="395">
        <v>580.52492099999995</v>
      </c>
      <c r="I44" s="5"/>
      <c r="J44" s="369"/>
      <c r="K44" s="368"/>
      <c r="L44" s="368"/>
      <c r="M44" s="369"/>
      <c r="N44" s="369"/>
      <c r="O44" s="370"/>
      <c r="P44" s="364"/>
      <c r="Q44" s="364"/>
      <c r="R44" s="364"/>
      <c r="S44" s="364"/>
      <c r="T44" s="364"/>
      <c r="U44" s="364"/>
      <c r="V44" s="364"/>
      <c r="W44" s="364"/>
      <c r="X44" s="364"/>
      <c r="Y44" s="364"/>
      <c r="Z44" s="364"/>
      <c r="AA44" s="364"/>
      <c r="AB44" s="364"/>
      <c r="AC44" s="364"/>
      <c r="AD44" s="371"/>
      <c r="AE44" s="371"/>
      <c r="AF44" s="371"/>
      <c r="AG44" s="371"/>
      <c r="AH44" s="371"/>
    </row>
    <row r="45" spans="1:34" s="41" customFormat="1" ht="12.75" customHeight="1">
      <c r="A45" s="337">
        <f>EDATE(A44,1)</f>
        <v>45139</v>
      </c>
      <c r="B45" s="393">
        <v>2146.819567</v>
      </c>
      <c r="C45" s="393">
        <v>590.42312500000003</v>
      </c>
      <c r="D45" s="393">
        <v>121.19502800000001</v>
      </c>
      <c r="E45" s="393">
        <v>850.94020799999998</v>
      </c>
      <c r="F45" s="393">
        <v>10.919861999999998</v>
      </c>
      <c r="G45" s="393">
        <v>1.495984</v>
      </c>
      <c r="H45" s="395">
        <v>571.84536000000003</v>
      </c>
      <c r="I45" s="5"/>
      <c r="J45" s="369"/>
      <c r="K45" s="368"/>
      <c r="L45" s="368"/>
      <c r="M45" s="369"/>
      <c r="N45" s="369"/>
      <c r="O45" s="370"/>
      <c r="P45" s="364"/>
      <c r="Q45" s="364"/>
      <c r="R45" s="364"/>
      <c r="S45" s="364"/>
      <c r="T45" s="364"/>
      <c r="U45" s="364"/>
      <c r="V45" s="364"/>
      <c r="W45" s="364"/>
      <c r="X45" s="364"/>
      <c r="Y45" s="364"/>
      <c r="Z45" s="364"/>
      <c r="AA45" s="364"/>
      <c r="AB45" s="364"/>
      <c r="AC45" s="364"/>
      <c r="AD45" s="371"/>
      <c r="AE45" s="371"/>
      <c r="AF45" s="371"/>
      <c r="AG45" s="371"/>
      <c r="AH45" s="371"/>
    </row>
    <row r="46" spans="1:34" s="41" customFormat="1" ht="12.75" customHeight="1">
      <c r="A46" s="337">
        <f t="shared" ref="A46:A71" si="1">EDATE(A45,1)</f>
        <v>45170</v>
      </c>
      <c r="B46" s="393">
        <v>2047.112435</v>
      </c>
      <c r="C46" s="393">
        <v>541.41596400000003</v>
      </c>
      <c r="D46" s="393">
        <v>123.530529</v>
      </c>
      <c r="E46" s="393">
        <v>794.31064300000003</v>
      </c>
      <c r="F46" s="393">
        <v>10.399421</v>
      </c>
      <c r="G46" s="393">
        <v>1.6789390000000002</v>
      </c>
      <c r="H46" s="395">
        <v>575.77693899999997</v>
      </c>
      <c r="I46" s="5"/>
      <c r="J46" s="369"/>
      <c r="K46" s="368"/>
      <c r="L46" s="368"/>
      <c r="M46" s="369"/>
      <c r="N46" s="369"/>
      <c r="O46" s="370"/>
      <c r="P46" s="364"/>
      <c r="Q46" s="364"/>
      <c r="R46" s="364"/>
      <c r="S46" s="364"/>
      <c r="T46" s="364"/>
      <c r="U46" s="364"/>
      <c r="V46" s="364"/>
      <c r="W46" s="364"/>
      <c r="X46" s="364"/>
      <c r="Y46" s="364"/>
      <c r="Z46" s="364"/>
      <c r="AA46" s="364"/>
      <c r="AB46" s="364"/>
      <c r="AC46" s="364"/>
      <c r="AD46" s="371"/>
      <c r="AE46" s="371"/>
      <c r="AF46" s="371"/>
      <c r="AG46" s="371"/>
      <c r="AH46" s="371"/>
    </row>
    <row r="47" spans="1:34" s="41" customFormat="1" ht="12.75" customHeight="1">
      <c r="A47" s="337">
        <f t="shared" si="1"/>
        <v>45200</v>
      </c>
      <c r="B47" s="393">
        <v>1657.7600490000002</v>
      </c>
      <c r="C47" s="393">
        <v>402.094763</v>
      </c>
      <c r="D47" s="393">
        <v>101.31385400000001</v>
      </c>
      <c r="E47" s="393">
        <v>634.42317400000002</v>
      </c>
      <c r="F47" s="393">
        <v>7.7618729999999996</v>
      </c>
      <c r="G47" s="393">
        <v>1.3379860000000001</v>
      </c>
      <c r="H47" s="395">
        <v>510.82839899999999</v>
      </c>
      <c r="I47" s="5"/>
      <c r="J47" s="369"/>
      <c r="K47" s="368"/>
      <c r="L47" s="368"/>
      <c r="M47" s="369"/>
      <c r="N47" s="369"/>
      <c r="O47" s="370"/>
      <c r="P47" s="364"/>
      <c r="Q47" s="364"/>
      <c r="R47" s="364"/>
      <c r="S47" s="364"/>
      <c r="T47" s="364"/>
      <c r="U47" s="364"/>
      <c r="V47" s="364"/>
      <c r="W47" s="364"/>
      <c r="X47" s="364"/>
      <c r="Y47" s="364"/>
      <c r="Z47" s="364"/>
      <c r="AA47" s="364"/>
      <c r="AB47" s="364"/>
      <c r="AC47" s="364"/>
      <c r="AD47" s="371"/>
      <c r="AE47" s="371"/>
      <c r="AF47" s="371"/>
      <c r="AG47" s="371"/>
      <c r="AH47" s="371"/>
    </row>
    <row r="48" spans="1:34" s="41" customFormat="1" ht="12.75" customHeight="1">
      <c r="A48" s="337">
        <f t="shared" si="1"/>
        <v>45231</v>
      </c>
      <c r="B48" s="393">
        <v>1655.6259779999998</v>
      </c>
      <c r="C48" s="393">
        <v>382.22367300000002</v>
      </c>
      <c r="D48" s="393">
        <v>100.527648</v>
      </c>
      <c r="E48" s="393">
        <v>606.31049399999995</v>
      </c>
      <c r="F48" s="393">
        <v>7.366104</v>
      </c>
      <c r="G48" s="393">
        <v>1.6426959999999999</v>
      </c>
      <c r="H48" s="395">
        <v>557.55536300000006</v>
      </c>
      <c r="I48" s="5"/>
      <c r="J48" s="369"/>
      <c r="K48" s="368"/>
      <c r="L48" s="368"/>
      <c r="M48" s="369"/>
      <c r="N48" s="369"/>
      <c r="O48" s="370"/>
      <c r="P48" s="364"/>
      <c r="Q48" s="364"/>
      <c r="R48" s="364"/>
      <c r="S48" s="364"/>
      <c r="T48" s="364"/>
      <c r="U48" s="364"/>
      <c r="V48" s="364"/>
      <c r="W48" s="364"/>
      <c r="X48" s="364"/>
      <c r="Y48" s="364"/>
      <c r="Z48" s="364"/>
      <c r="AA48" s="364"/>
      <c r="AB48" s="364"/>
      <c r="AC48" s="364"/>
      <c r="AD48" s="371"/>
      <c r="AE48" s="371"/>
      <c r="AF48" s="371"/>
      <c r="AG48" s="371"/>
      <c r="AH48" s="371"/>
    </row>
    <row r="49" spans="1:34" s="41" customFormat="1" ht="12.75" customHeight="1">
      <c r="A49" s="337">
        <f t="shared" si="1"/>
        <v>45261</v>
      </c>
      <c r="B49" s="393">
        <v>1737.7268980000001</v>
      </c>
      <c r="C49" s="393">
        <v>402.97996799999999</v>
      </c>
      <c r="D49" s="393">
        <v>117.70161999999999</v>
      </c>
      <c r="E49" s="393">
        <v>660.05270200000007</v>
      </c>
      <c r="F49" s="393">
        <v>9.3508490000000002</v>
      </c>
      <c r="G49" s="393">
        <v>1.6649949999999998</v>
      </c>
      <c r="H49" s="395">
        <v>545.976764</v>
      </c>
      <c r="I49" s="5"/>
      <c r="J49" s="369"/>
      <c r="K49" s="368"/>
      <c r="L49" s="368"/>
      <c r="M49" s="369"/>
      <c r="N49" s="369"/>
      <c r="O49" s="370"/>
      <c r="P49" s="364"/>
      <c r="Q49" s="364"/>
      <c r="R49" s="364"/>
      <c r="S49" s="364"/>
      <c r="T49" s="364"/>
      <c r="U49" s="364"/>
      <c r="V49" s="364"/>
      <c r="W49" s="364"/>
      <c r="X49" s="364"/>
      <c r="Y49" s="364"/>
      <c r="Z49" s="364"/>
      <c r="AA49" s="364"/>
      <c r="AB49" s="364"/>
      <c r="AC49" s="364"/>
      <c r="AD49" s="371"/>
      <c r="AE49" s="371"/>
      <c r="AF49" s="371"/>
      <c r="AG49" s="371"/>
      <c r="AH49" s="371"/>
    </row>
    <row r="50" spans="1:34" s="397" customFormat="1" ht="12.75" customHeight="1">
      <c r="A50" s="337">
        <f t="shared" si="1"/>
        <v>45292</v>
      </c>
      <c r="B50" s="393">
        <v>1878.9687589999999</v>
      </c>
      <c r="C50" s="393">
        <v>438.83241199999998</v>
      </c>
      <c r="D50" s="393">
        <v>123.630185</v>
      </c>
      <c r="E50" s="393">
        <v>727.569388</v>
      </c>
      <c r="F50" s="393">
        <v>12.492883000000001</v>
      </c>
      <c r="G50" s="393">
        <v>1.6996830000000001</v>
      </c>
      <c r="H50" s="395">
        <v>574.74420799999996</v>
      </c>
      <c r="I50" s="394"/>
      <c r="J50" s="369"/>
      <c r="K50" s="368"/>
      <c r="L50" s="368"/>
      <c r="M50" s="369"/>
      <c r="N50" s="369"/>
      <c r="O50" s="370"/>
      <c r="P50" s="364"/>
      <c r="Q50" s="364"/>
      <c r="R50" s="364"/>
      <c r="S50" s="364"/>
      <c r="T50" s="364"/>
      <c r="U50" s="364"/>
      <c r="V50" s="364"/>
      <c r="W50" s="364"/>
      <c r="X50" s="364"/>
      <c r="Y50" s="364"/>
      <c r="Z50" s="364"/>
      <c r="AA50" s="364"/>
      <c r="AB50" s="364"/>
      <c r="AC50" s="364"/>
      <c r="AD50" s="371"/>
      <c r="AE50" s="371"/>
      <c r="AF50" s="371"/>
      <c r="AG50" s="371"/>
      <c r="AH50" s="371"/>
    </row>
    <row r="51" spans="1:34" s="397" customFormat="1" ht="12.75" customHeight="1">
      <c r="A51" s="337">
        <f t="shared" si="1"/>
        <v>45323</v>
      </c>
      <c r="B51" s="393">
        <v>1800.1374539999999</v>
      </c>
      <c r="C51" s="393">
        <v>437.396004</v>
      </c>
      <c r="D51" s="393">
        <v>113.998105</v>
      </c>
      <c r="E51" s="393">
        <v>696.52016900000001</v>
      </c>
      <c r="F51" s="393">
        <v>11.782486</v>
      </c>
      <c r="G51" s="393">
        <v>1.705182</v>
      </c>
      <c r="H51" s="395">
        <v>538.73550799999998</v>
      </c>
      <c r="I51" s="394"/>
      <c r="J51" s="369"/>
      <c r="K51" s="368"/>
      <c r="L51" s="368"/>
      <c r="M51" s="369"/>
      <c r="N51" s="369"/>
      <c r="O51" s="370"/>
      <c r="P51" s="364"/>
      <c r="Q51" s="364"/>
      <c r="R51" s="364"/>
      <c r="S51" s="364"/>
      <c r="T51" s="364"/>
      <c r="U51" s="364"/>
      <c r="V51" s="364"/>
      <c r="W51" s="364"/>
      <c r="X51" s="364"/>
      <c r="Y51" s="364"/>
      <c r="Z51" s="364"/>
      <c r="AA51" s="364"/>
      <c r="AB51" s="364"/>
      <c r="AC51" s="364"/>
      <c r="AD51" s="371"/>
      <c r="AE51" s="371"/>
      <c r="AF51" s="371"/>
      <c r="AG51" s="371"/>
      <c r="AH51" s="371"/>
    </row>
    <row r="52" spans="1:34" s="397" customFormat="1" ht="12.75" customHeight="1">
      <c r="A52" s="337">
        <f t="shared" si="1"/>
        <v>45352</v>
      </c>
      <c r="B52" s="393">
        <v>1716.9819640000001</v>
      </c>
      <c r="C52" s="393">
        <v>398.05378899999999</v>
      </c>
      <c r="D52" s="393">
        <v>111.493838</v>
      </c>
      <c r="E52" s="393">
        <v>634.43902700000001</v>
      </c>
      <c r="F52" s="393">
        <v>10.129117000000001</v>
      </c>
      <c r="G52" s="393">
        <v>1.576365</v>
      </c>
      <c r="H52" s="395">
        <v>561.28982800000006</v>
      </c>
      <c r="I52" s="394"/>
      <c r="J52" s="369"/>
      <c r="K52" s="368"/>
      <c r="L52" s="368"/>
      <c r="M52" s="369"/>
      <c r="N52" s="369"/>
      <c r="O52" s="370"/>
      <c r="P52" s="364"/>
      <c r="Q52" s="364"/>
      <c r="R52" s="364"/>
      <c r="S52" s="364"/>
      <c r="T52" s="364"/>
      <c r="U52" s="364"/>
      <c r="V52" s="364"/>
      <c r="W52" s="364"/>
      <c r="X52" s="364"/>
      <c r="Y52" s="364"/>
      <c r="Z52" s="364"/>
      <c r="AA52" s="364"/>
      <c r="AB52" s="364"/>
      <c r="AC52" s="364"/>
      <c r="AD52" s="371"/>
      <c r="AE52" s="371"/>
      <c r="AF52" s="371"/>
      <c r="AG52" s="371"/>
      <c r="AH52" s="371"/>
    </row>
    <row r="53" spans="1:34" s="397" customFormat="1" ht="12.75" customHeight="1">
      <c r="A53" s="337">
        <f t="shared" si="1"/>
        <v>45383</v>
      </c>
      <c r="B53" s="393">
        <v>1676.5246030000001</v>
      </c>
      <c r="C53" s="393">
        <v>400.58216099999999</v>
      </c>
      <c r="D53" s="393">
        <v>104.004048</v>
      </c>
      <c r="E53" s="393">
        <v>602.438624</v>
      </c>
      <c r="F53" s="393">
        <v>8.5688879999999994</v>
      </c>
      <c r="G53" s="393">
        <v>1.5290029999999999</v>
      </c>
      <c r="H53" s="395">
        <v>559.40187900000001</v>
      </c>
      <c r="I53" s="394"/>
      <c r="J53" s="369"/>
      <c r="K53" s="368"/>
      <c r="L53" s="368"/>
      <c r="M53" s="369"/>
      <c r="N53" s="369"/>
      <c r="O53" s="370"/>
      <c r="P53" s="364"/>
      <c r="Q53" s="364"/>
      <c r="R53" s="364"/>
      <c r="S53" s="364"/>
      <c r="T53" s="364"/>
      <c r="U53" s="364"/>
      <c r="V53" s="364"/>
      <c r="W53" s="364"/>
      <c r="X53" s="364"/>
      <c r="Y53" s="364"/>
      <c r="Z53" s="364"/>
      <c r="AA53" s="364"/>
      <c r="AB53" s="364"/>
      <c r="AC53" s="364"/>
      <c r="AD53" s="371"/>
      <c r="AE53" s="371"/>
      <c r="AF53" s="371"/>
      <c r="AG53" s="371"/>
      <c r="AH53" s="371"/>
    </row>
    <row r="54" spans="1:34" s="397" customFormat="1" ht="12.75" customHeight="1">
      <c r="A54" s="337">
        <f t="shared" si="1"/>
        <v>45413</v>
      </c>
      <c r="B54" s="393">
        <v>1598.7170470000001</v>
      </c>
      <c r="C54" s="393">
        <v>371.98190499999998</v>
      </c>
      <c r="D54" s="393">
        <v>94.382209000000003</v>
      </c>
      <c r="E54" s="393">
        <v>581.65421600000002</v>
      </c>
      <c r="F54" s="393">
        <v>7.1609860000000003</v>
      </c>
      <c r="G54" s="393">
        <v>1.340711</v>
      </c>
      <c r="H54" s="395">
        <v>542.19701999999995</v>
      </c>
      <c r="I54" s="394"/>
      <c r="J54" s="369"/>
      <c r="K54" s="368"/>
      <c r="L54" s="368"/>
      <c r="M54" s="369"/>
      <c r="N54" s="369"/>
      <c r="O54" s="370"/>
      <c r="P54" s="364"/>
      <c r="Q54" s="364"/>
      <c r="R54" s="364"/>
      <c r="S54" s="364"/>
      <c r="T54" s="364"/>
      <c r="U54" s="364"/>
      <c r="V54" s="364"/>
      <c r="W54" s="364"/>
      <c r="X54" s="364"/>
      <c r="Y54" s="364"/>
      <c r="Z54" s="364"/>
      <c r="AA54" s="364"/>
      <c r="AB54" s="364"/>
      <c r="AC54" s="364"/>
      <c r="AD54" s="371"/>
      <c r="AE54" s="371"/>
      <c r="AF54" s="371"/>
      <c r="AG54" s="371"/>
      <c r="AH54" s="371"/>
    </row>
    <row r="55" spans="1:34" s="397" customFormat="1" ht="12.75" customHeight="1">
      <c r="A55" s="384">
        <f t="shared" si="1"/>
        <v>45444</v>
      </c>
      <c r="B55" s="393">
        <v>1704.1172779999999</v>
      </c>
      <c r="C55" s="393">
        <v>389.1465</v>
      </c>
      <c r="D55" s="393">
        <v>101.59710699999999</v>
      </c>
      <c r="E55" s="393">
        <v>638.80386099999998</v>
      </c>
      <c r="F55" s="393">
        <v>7.932404</v>
      </c>
      <c r="G55" s="393">
        <v>1.4080710000000001</v>
      </c>
      <c r="H55" s="4">
        <v>565.22933499999999</v>
      </c>
      <c r="I55" s="394"/>
      <c r="J55" s="369"/>
      <c r="K55" s="368"/>
      <c r="L55" s="368"/>
      <c r="M55" s="369"/>
      <c r="N55" s="369"/>
      <c r="O55" s="370"/>
      <c r="P55" s="364"/>
      <c r="Q55" s="364"/>
      <c r="R55" s="364"/>
      <c r="S55" s="364"/>
      <c r="T55" s="364"/>
      <c r="U55" s="364"/>
      <c r="V55" s="364"/>
      <c r="W55" s="364"/>
      <c r="X55" s="364"/>
      <c r="Y55" s="364"/>
      <c r="Z55" s="364"/>
      <c r="AA55" s="364"/>
      <c r="AB55" s="364"/>
      <c r="AC55" s="364"/>
      <c r="AD55" s="371"/>
      <c r="AE55" s="371"/>
      <c r="AF55" s="371"/>
      <c r="AG55" s="371"/>
      <c r="AH55" s="371"/>
    </row>
    <row r="56" spans="1:34" s="397" customFormat="1" ht="13.5" customHeight="1">
      <c r="A56" s="384">
        <f t="shared" si="1"/>
        <v>45474</v>
      </c>
      <c r="B56" s="393">
        <v>1901.4960360000002</v>
      </c>
      <c r="C56" s="393">
        <v>456.14048200000002</v>
      </c>
      <c r="D56" s="393">
        <v>119.66812</v>
      </c>
      <c r="E56" s="393">
        <v>727.34059500000001</v>
      </c>
      <c r="F56" s="393">
        <v>7.6343779999999999</v>
      </c>
      <c r="G56" s="393">
        <v>1.340314</v>
      </c>
      <c r="H56" s="4">
        <v>589.37214700000004</v>
      </c>
      <c r="I56" s="394"/>
      <c r="J56" s="369"/>
      <c r="K56" s="368"/>
      <c r="L56" s="368"/>
      <c r="M56" s="369"/>
      <c r="N56" s="369"/>
      <c r="O56" s="370"/>
      <c r="P56" s="364"/>
      <c r="Q56" s="364"/>
      <c r="R56" s="364"/>
      <c r="S56" s="364"/>
      <c r="T56" s="364"/>
      <c r="U56" s="364"/>
      <c r="V56" s="364"/>
      <c r="W56" s="364"/>
      <c r="X56" s="364"/>
      <c r="Y56" s="364"/>
      <c r="Z56" s="364"/>
      <c r="AA56" s="364"/>
      <c r="AB56" s="364"/>
      <c r="AC56" s="364"/>
      <c r="AD56" s="371"/>
      <c r="AE56" s="371"/>
      <c r="AF56" s="371"/>
      <c r="AG56" s="371"/>
      <c r="AH56" s="371"/>
    </row>
    <row r="57" spans="1:34" s="397" customFormat="1" ht="13.5" customHeight="1">
      <c r="A57" s="384">
        <f t="shared" si="1"/>
        <v>45505</v>
      </c>
      <c r="B57" s="393">
        <v>2223.2184320000001</v>
      </c>
      <c r="C57" s="393">
        <v>652.07363299999997</v>
      </c>
      <c r="D57" s="393">
        <v>125.240517</v>
      </c>
      <c r="E57" s="393">
        <v>855.13514799999996</v>
      </c>
      <c r="F57" s="393">
        <v>9.5585769999999997</v>
      </c>
      <c r="G57" s="393">
        <v>1.357891</v>
      </c>
      <c r="H57" s="4">
        <v>579.852666</v>
      </c>
      <c r="I57" s="394"/>
      <c r="J57" s="369"/>
      <c r="K57" s="368"/>
      <c r="L57" s="368"/>
      <c r="M57" s="369"/>
      <c r="N57" s="369"/>
      <c r="O57" s="370"/>
      <c r="P57" s="364"/>
      <c r="Q57" s="364"/>
      <c r="R57" s="364"/>
      <c r="S57" s="364"/>
      <c r="T57" s="364"/>
      <c r="U57" s="364"/>
      <c r="V57" s="364"/>
      <c r="W57" s="364"/>
      <c r="X57" s="364"/>
      <c r="Y57" s="364"/>
      <c r="Z57" s="364"/>
      <c r="AA57" s="364"/>
      <c r="AB57" s="364"/>
      <c r="AC57" s="364"/>
      <c r="AD57" s="371"/>
      <c r="AE57" s="371"/>
      <c r="AF57" s="371"/>
      <c r="AG57" s="371"/>
      <c r="AH57" s="371"/>
    </row>
    <row r="58" spans="1:34" s="397" customFormat="1" ht="13.5" customHeight="1">
      <c r="A58" s="384">
        <f t="shared" si="1"/>
        <v>45536</v>
      </c>
      <c r="B58" s="393">
        <v>2182.7011130000001</v>
      </c>
      <c r="C58" s="393">
        <v>644.31738299999995</v>
      </c>
      <c r="D58" s="393">
        <v>127.680904</v>
      </c>
      <c r="E58" s="393">
        <v>826.51005099999998</v>
      </c>
      <c r="F58" s="393">
        <v>8.7294509999999992</v>
      </c>
      <c r="G58" s="393">
        <v>1.483203</v>
      </c>
      <c r="H58" s="4">
        <v>573.98012100000005</v>
      </c>
      <c r="I58" s="394"/>
      <c r="J58" s="369"/>
      <c r="K58" s="368"/>
      <c r="L58" s="368"/>
      <c r="M58" s="369"/>
      <c r="N58" s="369"/>
      <c r="O58" s="370"/>
      <c r="P58" s="364"/>
      <c r="Q58" s="364"/>
      <c r="R58" s="364"/>
      <c r="S58" s="364"/>
      <c r="T58" s="364"/>
      <c r="U58" s="364"/>
      <c r="V58" s="364"/>
      <c r="W58" s="364"/>
      <c r="X58" s="364"/>
      <c r="Y58" s="364"/>
      <c r="Z58" s="364"/>
      <c r="AA58" s="364"/>
      <c r="AB58" s="364"/>
      <c r="AC58" s="364"/>
      <c r="AD58" s="371"/>
      <c r="AE58" s="371"/>
      <c r="AF58" s="371"/>
      <c r="AG58" s="371"/>
      <c r="AH58" s="371"/>
    </row>
    <row r="59" spans="1:34" s="397" customFormat="1" ht="13.5" customHeight="1">
      <c r="A59" s="384">
        <f t="shared" si="1"/>
        <v>45566</v>
      </c>
      <c r="B59" s="393">
        <v>1801.3712580000001</v>
      </c>
      <c r="C59" s="393">
        <v>459.27620000000002</v>
      </c>
      <c r="D59" s="393">
        <v>105.451666</v>
      </c>
      <c r="E59" s="393">
        <v>673.50872600000002</v>
      </c>
      <c r="F59" s="393">
        <v>8.6001619999999992</v>
      </c>
      <c r="G59" s="393">
        <v>1.3498429999999999</v>
      </c>
      <c r="H59" s="4">
        <v>553.18466100000001</v>
      </c>
      <c r="I59" s="394"/>
      <c r="J59" s="369"/>
      <c r="K59" s="368"/>
      <c r="L59" s="368"/>
      <c r="M59" s="369"/>
      <c r="N59" s="369"/>
      <c r="O59" s="370"/>
      <c r="P59" s="364"/>
      <c r="Q59" s="364"/>
      <c r="R59" s="364"/>
      <c r="S59" s="364"/>
      <c r="T59" s="364"/>
      <c r="U59" s="364"/>
      <c r="V59" s="364"/>
      <c r="W59" s="364"/>
      <c r="X59" s="364"/>
      <c r="Y59" s="364"/>
      <c r="Z59" s="364"/>
      <c r="AA59" s="364"/>
      <c r="AB59" s="364"/>
      <c r="AC59" s="364"/>
      <c r="AD59" s="371"/>
      <c r="AE59" s="371"/>
      <c r="AF59" s="371"/>
      <c r="AG59" s="371"/>
      <c r="AH59" s="371"/>
    </row>
    <row r="60" spans="1:34" s="397" customFormat="1" ht="13.5" customHeight="1">
      <c r="A60" s="384">
        <f t="shared" si="1"/>
        <v>45597</v>
      </c>
      <c r="B60" s="393">
        <v>1643.22235</v>
      </c>
      <c r="C60" s="393">
        <v>391.087717</v>
      </c>
      <c r="D60" s="393">
        <v>98.154227000000006</v>
      </c>
      <c r="E60" s="393">
        <v>601.81881499999997</v>
      </c>
      <c r="F60" s="393">
        <v>8.1088760000000004</v>
      </c>
      <c r="G60" s="393">
        <v>1.503851</v>
      </c>
      <c r="H60" s="4">
        <v>542.54886399999998</v>
      </c>
      <c r="I60" s="394"/>
      <c r="J60" s="369"/>
      <c r="K60" s="368"/>
      <c r="L60" s="368"/>
      <c r="M60" s="369"/>
      <c r="N60" s="369"/>
      <c r="O60" s="370"/>
      <c r="P60" s="364"/>
      <c r="Q60" s="364"/>
      <c r="R60" s="364"/>
      <c r="S60" s="364"/>
      <c r="T60" s="364"/>
      <c r="U60" s="364"/>
      <c r="V60" s="364"/>
      <c r="W60" s="364"/>
      <c r="X60" s="364"/>
      <c r="Y60" s="364"/>
      <c r="Z60" s="364"/>
      <c r="AA60" s="364"/>
      <c r="AB60" s="364"/>
      <c r="AC60" s="364"/>
      <c r="AD60" s="371"/>
      <c r="AE60" s="371"/>
      <c r="AF60" s="371"/>
      <c r="AG60" s="371"/>
      <c r="AH60" s="371"/>
    </row>
    <row r="61" spans="1:34" s="397" customFormat="1" ht="13.5" customHeight="1">
      <c r="A61" s="384">
        <f t="shared" si="1"/>
        <v>45627</v>
      </c>
      <c r="B61" s="393">
        <v>1723.8436879999999</v>
      </c>
      <c r="C61" s="393">
        <v>402.36763000000002</v>
      </c>
      <c r="D61" s="393">
        <v>114.355346</v>
      </c>
      <c r="E61" s="393">
        <v>669.13175100000001</v>
      </c>
      <c r="F61" s="393">
        <v>8.9902270000000009</v>
      </c>
      <c r="G61" s="393">
        <v>1.530095</v>
      </c>
      <c r="H61" s="4">
        <v>527.46863900000005</v>
      </c>
      <c r="I61" s="394"/>
      <c r="J61" s="369"/>
      <c r="K61" s="368"/>
      <c r="L61" s="368"/>
      <c r="M61" s="369"/>
      <c r="N61" s="369"/>
      <c r="O61" s="370"/>
      <c r="P61" s="364"/>
      <c r="Q61" s="364"/>
      <c r="R61" s="364"/>
      <c r="S61" s="364"/>
      <c r="T61" s="364"/>
      <c r="U61" s="364"/>
      <c r="V61" s="364"/>
      <c r="W61" s="364"/>
      <c r="X61" s="364"/>
      <c r="Y61" s="364"/>
      <c r="Z61" s="364"/>
      <c r="AA61" s="364"/>
      <c r="AB61" s="364"/>
      <c r="AC61" s="364"/>
      <c r="AD61" s="371"/>
      <c r="AE61" s="371"/>
      <c r="AF61" s="371"/>
      <c r="AG61" s="371"/>
      <c r="AH61" s="371"/>
    </row>
    <row r="62" spans="1:34" s="397" customFormat="1" ht="13.5" customHeight="1">
      <c r="A62" s="384">
        <f t="shared" si="1"/>
        <v>45658</v>
      </c>
      <c r="B62" s="393">
        <v>1898.01965</v>
      </c>
      <c r="C62" s="393">
        <v>446.23309499999999</v>
      </c>
      <c r="D62" s="393">
        <v>123.956553</v>
      </c>
      <c r="E62" s="393">
        <v>748.95349699999997</v>
      </c>
      <c r="F62" s="393">
        <v>13.484137</v>
      </c>
      <c r="G62" s="393">
        <v>1.6680569999999999</v>
      </c>
      <c r="H62" s="4">
        <v>563.72431099999994</v>
      </c>
      <c r="I62" s="394"/>
      <c r="J62" s="369"/>
      <c r="K62" s="368"/>
      <c r="L62" s="368"/>
      <c r="M62" s="369"/>
      <c r="N62" s="369"/>
      <c r="O62" s="370"/>
      <c r="P62" s="364"/>
      <c r="Q62" s="364"/>
      <c r="R62" s="364"/>
      <c r="S62" s="364"/>
      <c r="T62" s="364"/>
      <c r="U62" s="364"/>
      <c r="V62" s="364"/>
      <c r="W62" s="364"/>
      <c r="X62" s="364"/>
      <c r="Y62" s="364"/>
      <c r="Z62" s="364"/>
      <c r="AA62" s="364"/>
      <c r="AB62" s="364"/>
      <c r="AC62" s="364"/>
      <c r="AD62" s="371"/>
      <c r="AE62" s="371"/>
      <c r="AF62" s="371"/>
      <c r="AG62" s="371"/>
      <c r="AH62" s="371"/>
    </row>
    <row r="63" spans="1:34" s="397" customFormat="1" ht="12.75" customHeight="1">
      <c r="A63" s="384">
        <f t="shared" si="1"/>
        <v>45689</v>
      </c>
      <c r="B63" s="393">
        <v>1868.885534</v>
      </c>
      <c r="C63" s="393">
        <v>453.55406400000004</v>
      </c>
      <c r="D63" s="393">
        <v>116.570672</v>
      </c>
      <c r="E63" s="393">
        <v>737.1994840000001</v>
      </c>
      <c r="F63" s="393">
        <v>13.544411</v>
      </c>
      <c r="G63" s="393">
        <v>1.4987460000000001</v>
      </c>
      <c r="H63" s="4">
        <v>546.51815699999997</v>
      </c>
      <c r="I63" s="394"/>
      <c r="J63" s="369"/>
      <c r="K63" s="368"/>
      <c r="L63" s="368"/>
      <c r="M63" s="369"/>
      <c r="N63" s="369"/>
      <c r="O63" s="370"/>
      <c r="P63" s="364"/>
      <c r="Q63" s="364"/>
      <c r="R63" s="364"/>
      <c r="S63" s="364"/>
      <c r="T63" s="364"/>
      <c r="U63" s="364"/>
      <c r="V63" s="364"/>
      <c r="W63" s="364"/>
      <c r="X63" s="364"/>
      <c r="Y63" s="364"/>
      <c r="Z63" s="364"/>
      <c r="AA63" s="364"/>
      <c r="AB63" s="364"/>
      <c r="AC63" s="364"/>
      <c r="AD63" s="371"/>
      <c r="AE63" s="371"/>
      <c r="AF63" s="371"/>
      <c r="AG63" s="371"/>
      <c r="AH63" s="371"/>
    </row>
    <row r="64" spans="1:34" s="397" customFormat="1" ht="12.75" customHeight="1">
      <c r="A64" s="384">
        <f t="shared" si="1"/>
        <v>45717</v>
      </c>
      <c r="B64" s="393">
        <v>1744.891668</v>
      </c>
      <c r="C64" s="393">
        <v>395.70487300000002</v>
      </c>
      <c r="D64" s="393">
        <v>113.38205499999999</v>
      </c>
      <c r="E64" s="393">
        <v>657.4311459999999</v>
      </c>
      <c r="F64" s="393">
        <v>9.7519799999999996</v>
      </c>
      <c r="G64" s="393">
        <v>1.571653</v>
      </c>
      <c r="H64" s="388">
        <v>567.04996100000005</v>
      </c>
      <c r="I64" s="394"/>
      <c r="J64" s="369"/>
      <c r="K64" s="368"/>
      <c r="L64" s="368"/>
      <c r="M64" s="369"/>
      <c r="N64" s="369"/>
      <c r="O64" s="370"/>
      <c r="P64" s="364"/>
      <c r="Q64" s="364"/>
      <c r="R64" s="364"/>
      <c r="S64" s="364"/>
      <c r="T64" s="364"/>
      <c r="U64" s="364"/>
      <c r="V64" s="364"/>
      <c r="W64" s="364"/>
      <c r="X64" s="364"/>
      <c r="Y64" s="364"/>
      <c r="Z64" s="364"/>
      <c r="AA64" s="364"/>
      <c r="AB64" s="364"/>
      <c r="AC64" s="364"/>
      <c r="AD64" s="371"/>
      <c r="AE64" s="371"/>
      <c r="AF64" s="371"/>
      <c r="AG64" s="371"/>
      <c r="AH64" s="371"/>
    </row>
    <row r="65" spans="1:34" s="41" customFormat="1" ht="12.75" customHeight="1">
      <c r="A65" s="384">
        <f t="shared" si="1"/>
        <v>45748</v>
      </c>
      <c r="B65" s="393">
        <v>1700.1436189999999</v>
      </c>
      <c r="C65" s="393">
        <v>403.74220199999996</v>
      </c>
      <c r="D65" s="393">
        <v>104.88529799999999</v>
      </c>
      <c r="E65" s="393">
        <v>614.58415099999991</v>
      </c>
      <c r="F65" s="393">
        <v>7.7669069999999998</v>
      </c>
      <c r="G65" s="393">
        <v>1.6197969999999999</v>
      </c>
      <c r="H65" s="388">
        <v>567.54526399999997</v>
      </c>
      <c r="I65" s="5"/>
      <c r="J65" s="369"/>
      <c r="K65" s="368"/>
      <c r="L65" s="368"/>
      <c r="M65" s="369"/>
      <c r="N65" s="369"/>
      <c r="O65" s="370"/>
      <c r="P65" s="364"/>
      <c r="Q65" s="364"/>
      <c r="R65" s="364"/>
      <c r="S65" s="364"/>
      <c r="T65" s="364"/>
      <c r="U65" s="364"/>
      <c r="V65" s="364"/>
      <c r="W65" s="364"/>
      <c r="X65" s="364"/>
      <c r="Y65" s="364"/>
      <c r="Z65" s="364"/>
      <c r="AA65" s="364"/>
      <c r="AB65" s="364"/>
      <c r="AC65" s="364"/>
      <c r="AD65" s="371"/>
      <c r="AE65" s="371"/>
      <c r="AF65" s="371"/>
      <c r="AG65" s="371"/>
      <c r="AH65" s="371"/>
    </row>
    <row r="66" spans="1:34" s="397" customFormat="1" ht="12.75" customHeight="1">
      <c r="A66" s="419">
        <f t="shared" si="1"/>
        <v>45778</v>
      </c>
      <c r="B66" s="393">
        <v>1594.9875870000001</v>
      </c>
      <c r="C66" s="393">
        <v>377.13256799999999</v>
      </c>
      <c r="D66" s="393">
        <v>93.240168999999995</v>
      </c>
      <c r="E66" s="393">
        <v>587.58525999999995</v>
      </c>
      <c r="F66" s="393">
        <v>6.7151969999999999</v>
      </c>
      <c r="G66" s="393">
        <v>1.29939</v>
      </c>
      <c r="H66" s="427">
        <v>529.01500299999998</v>
      </c>
      <c r="I66" s="394"/>
      <c r="J66" s="369"/>
      <c r="K66" s="368"/>
      <c r="L66" s="368"/>
      <c r="M66" s="369"/>
      <c r="N66" s="369"/>
      <c r="O66" s="370"/>
      <c r="P66" s="364"/>
      <c r="Q66" s="364"/>
      <c r="R66" s="364"/>
      <c r="S66" s="364"/>
      <c r="T66" s="364"/>
      <c r="U66" s="364"/>
      <c r="V66" s="364"/>
      <c r="W66" s="364"/>
      <c r="X66" s="364"/>
      <c r="Y66" s="364"/>
      <c r="Z66" s="364"/>
      <c r="AA66" s="364"/>
      <c r="AB66" s="364"/>
      <c r="AC66" s="364"/>
      <c r="AD66" s="371"/>
      <c r="AE66" s="371"/>
      <c r="AF66" s="371"/>
      <c r="AG66" s="371"/>
      <c r="AH66" s="371"/>
    </row>
    <row r="67" spans="1:34" s="397" customFormat="1" ht="12.75" customHeight="1">
      <c r="A67" s="384">
        <f t="shared" si="1"/>
        <v>45809</v>
      </c>
      <c r="B67" s="393">
        <f t="shared" ref="B67" si="2">SUM(C67:H67)</f>
        <v>1689.47964</v>
      </c>
      <c r="C67" s="393">
        <v>397.69351</v>
      </c>
      <c r="D67" s="393">
        <v>101.130185</v>
      </c>
      <c r="E67" s="393">
        <v>642.505402</v>
      </c>
      <c r="F67" s="393">
        <v>7.0902969999999996</v>
      </c>
      <c r="G67" s="393">
        <v>1.4266300000000001</v>
      </c>
      <c r="H67" s="388">
        <v>539.63361599999996</v>
      </c>
      <c r="I67" s="394"/>
      <c r="J67" s="369"/>
      <c r="K67" s="368"/>
      <c r="L67" s="368"/>
      <c r="M67" s="369"/>
      <c r="N67" s="369"/>
      <c r="O67" s="370"/>
      <c r="P67" s="364"/>
      <c r="Q67" s="364"/>
      <c r="R67" s="364"/>
      <c r="S67" s="364"/>
      <c r="T67" s="364"/>
      <c r="U67" s="364"/>
      <c r="V67" s="364"/>
      <c r="W67" s="364"/>
      <c r="X67" s="364"/>
      <c r="Y67" s="364"/>
      <c r="Z67" s="364"/>
      <c r="AA67" s="364"/>
      <c r="AB67" s="364"/>
      <c r="AC67" s="364"/>
      <c r="AD67" s="371"/>
      <c r="AE67" s="371"/>
      <c r="AF67" s="371"/>
      <c r="AG67" s="371"/>
      <c r="AH67" s="371"/>
    </row>
    <row r="68" spans="1:34" s="397" customFormat="1" ht="12.75" customHeight="1">
      <c r="A68" s="384">
        <f t="shared" si="1"/>
        <v>45839</v>
      </c>
      <c r="B68" s="393">
        <v>2003.9053060000001</v>
      </c>
      <c r="C68" s="393">
        <v>501.20674400000001</v>
      </c>
      <c r="D68" s="393">
        <v>125.06045199999998</v>
      </c>
      <c r="E68" s="393">
        <v>780.434665</v>
      </c>
      <c r="F68" s="393">
        <v>7.9061809999999992</v>
      </c>
      <c r="G68" s="393">
        <v>1.447592</v>
      </c>
      <c r="H68" s="388">
        <v>587.84967200000006</v>
      </c>
      <c r="I68" s="394"/>
      <c r="J68" s="369"/>
      <c r="K68" s="368"/>
      <c r="L68" s="368"/>
      <c r="M68" s="369"/>
      <c r="N68" s="369"/>
      <c r="O68" s="370"/>
      <c r="P68" s="364"/>
      <c r="Q68" s="364"/>
      <c r="R68" s="364"/>
      <c r="S68" s="364"/>
      <c r="T68" s="364"/>
      <c r="U68" s="364"/>
      <c r="V68" s="364"/>
      <c r="W68" s="364"/>
      <c r="X68" s="364"/>
      <c r="Y68" s="364"/>
      <c r="Z68" s="364"/>
      <c r="AA68" s="364"/>
      <c r="AB68" s="364"/>
      <c r="AC68" s="364"/>
      <c r="AD68" s="371"/>
      <c r="AE68" s="371"/>
      <c r="AF68" s="371"/>
      <c r="AG68" s="371"/>
      <c r="AH68" s="371"/>
    </row>
    <row r="69" spans="1:34" s="397" customFormat="1" ht="12.75" customHeight="1">
      <c r="A69" s="419">
        <f t="shared" si="1"/>
        <v>45870</v>
      </c>
      <c r="B69" s="393">
        <v>2217.3907790000003</v>
      </c>
      <c r="C69" s="393">
        <v>641.65469099999996</v>
      </c>
      <c r="D69" s="393">
        <v>124.02466</v>
      </c>
      <c r="E69" s="393">
        <v>871.94798199999991</v>
      </c>
      <c r="F69" s="393">
        <v>10.126276000000001</v>
      </c>
      <c r="G69" s="393">
        <v>1.3702080000000001</v>
      </c>
      <c r="H69" s="427">
        <v>568.26696200000004</v>
      </c>
      <c r="I69" s="394"/>
      <c r="J69" s="369"/>
      <c r="K69" s="368"/>
      <c r="L69" s="368"/>
      <c r="M69" s="369"/>
      <c r="N69" s="369"/>
      <c r="O69" s="370"/>
      <c r="P69" s="364"/>
      <c r="Q69" s="364"/>
      <c r="R69" s="364"/>
      <c r="S69" s="364"/>
      <c r="T69" s="364"/>
      <c r="U69" s="364"/>
      <c r="V69" s="364"/>
      <c r="W69" s="364"/>
      <c r="X69" s="364"/>
      <c r="Y69" s="364"/>
      <c r="Z69" s="364"/>
      <c r="AA69" s="364"/>
      <c r="AB69" s="364"/>
      <c r="AC69" s="364"/>
      <c r="AD69" s="371"/>
      <c r="AE69" s="371"/>
      <c r="AF69" s="371"/>
      <c r="AG69" s="371"/>
      <c r="AH69" s="371"/>
    </row>
    <row r="70" spans="1:34" s="397" customFormat="1" ht="12.75" customHeight="1">
      <c r="A70" s="419">
        <f t="shared" si="1"/>
        <v>45901</v>
      </c>
      <c r="B70" s="439">
        <v>2221.5026360000002</v>
      </c>
      <c r="C70" s="439">
        <v>635.53248899999994</v>
      </c>
      <c r="D70" s="439">
        <v>132.00169200000002</v>
      </c>
      <c r="E70" s="439">
        <v>842.41659800000002</v>
      </c>
      <c r="F70" s="439">
        <v>8.6115339999999989</v>
      </c>
      <c r="G70" s="439">
        <v>1.5729870000000001</v>
      </c>
      <c r="H70" s="440">
        <v>601.36733600000002</v>
      </c>
      <c r="I70" s="394"/>
      <c r="J70" s="369"/>
      <c r="K70" s="368"/>
      <c r="L70" s="368"/>
      <c r="M70" s="369"/>
      <c r="N70" s="369"/>
      <c r="O70" s="370"/>
      <c r="P70" s="364"/>
      <c r="Q70" s="364"/>
      <c r="R70" s="364"/>
      <c r="S70" s="364"/>
      <c r="T70" s="364"/>
      <c r="U70" s="364"/>
      <c r="V70" s="364"/>
      <c r="W70" s="364"/>
      <c r="X70" s="364"/>
      <c r="Y70" s="364"/>
      <c r="Z70" s="364"/>
      <c r="AA70" s="364"/>
      <c r="AB70" s="364"/>
      <c r="AC70" s="364"/>
      <c r="AD70" s="371"/>
      <c r="AE70" s="371"/>
      <c r="AF70" s="371"/>
      <c r="AG70" s="371"/>
      <c r="AH70" s="371"/>
    </row>
    <row r="71" spans="1:34" s="397" customFormat="1" ht="12.75" customHeight="1">
      <c r="A71" s="384">
        <f t="shared" si="1"/>
        <v>45931</v>
      </c>
      <c r="B71" s="393">
        <v>1740.3948720000001</v>
      </c>
      <c r="C71" s="393">
        <v>444.15817499999997</v>
      </c>
      <c r="D71" s="393">
        <v>108.844916</v>
      </c>
      <c r="E71" s="393">
        <v>681.84852999999998</v>
      </c>
      <c r="F71" s="393">
        <v>6.5181100000000001</v>
      </c>
      <c r="G71" s="393">
        <v>1.291766</v>
      </c>
      <c r="H71" s="388">
        <v>497.73337500000002</v>
      </c>
      <c r="I71" s="394"/>
      <c r="J71" s="369"/>
      <c r="K71" s="368"/>
      <c r="L71" s="368"/>
      <c r="M71" s="369"/>
      <c r="N71" s="369"/>
      <c r="O71" s="370"/>
      <c r="P71" s="364"/>
      <c r="Q71" s="364"/>
      <c r="R71" s="364"/>
      <c r="S71" s="364"/>
      <c r="T71" s="364"/>
      <c r="U71" s="364"/>
      <c r="V71" s="364"/>
      <c r="W71" s="364"/>
      <c r="X71" s="364"/>
      <c r="Y71" s="364"/>
      <c r="Z71" s="364"/>
      <c r="AA71" s="364"/>
      <c r="AB71" s="364"/>
      <c r="AC71" s="364"/>
      <c r="AD71" s="371"/>
      <c r="AE71" s="371"/>
      <c r="AF71" s="371"/>
      <c r="AG71" s="371"/>
      <c r="AH71" s="371"/>
    </row>
    <row r="72" spans="1:34" s="397" customFormat="1" ht="12.75" customHeight="1">
      <c r="A72" s="384">
        <v>45962</v>
      </c>
      <c r="B72" s="393">
        <v>1654.5182450000002</v>
      </c>
      <c r="C72" s="393">
        <v>400.36263400000001</v>
      </c>
      <c r="D72" s="393">
        <v>100.011601</v>
      </c>
      <c r="E72" s="393">
        <v>617.61160300000006</v>
      </c>
      <c r="F72" s="393">
        <v>7.0725829999999998</v>
      </c>
      <c r="G72" s="393">
        <v>1.6037049999999999</v>
      </c>
      <c r="H72" s="388">
        <v>527.85611899999992</v>
      </c>
      <c r="I72" s="394"/>
      <c r="J72" s="369"/>
      <c r="K72" s="368"/>
      <c r="L72" s="368"/>
      <c r="M72" s="369"/>
      <c r="N72" s="369"/>
      <c r="O72" s="370"/>
      <c r="P72" s="364"/>
      <c r="Q72" s="364"/>
      <c r="R72" s="364"/>
      <c r="S72" s="364"/>
      <c r="T72" s="364"/>
      <c r="U72" s="364"/>
      <c r="V72" s="364"/>
      <c r="W72" s="364"/>
      <c r="X72" s="364"/>
      <c r="Y72" s="364"/>
      <c r="Z72" s="364"/>
      <c r="AA72" s="364"/>
      <c r="AB72" s="364"/>
      <c r="AC72" s="364"/>
      <c r="AD72" s="371"/>
      <c r="AE72" s="371"/>
      <c r="AF72" s="371"/>
      <c r="AG72" s="371"/>
      <c r="AH72" s="371"/>
    </row>
    <row r="73" spans="1:34" s="397" customFormat="1" ht="12.75" customHeight="1">
      <c r="A73" s="384">
        <v>45992</v>
      </c>
      <c r="B73" s="4">
        <v>1765.8489529999999</v>
      </c>
      <c r="C73" s="4">
        <v>407.84842300000003</v>
      </c>
      <c r="D73" s="4">
        <v>117.280485</v>
      </c>
      <c r="E73" s="4">
        <v>671.04085400000008</v>
      </c>
      <c r="F73" s="4">
        <v>8.8882909999999988</v>
      </c>
      <c r="G73" s="4">
        <v>1.7781910000000001</v>
      </c>
      <c r="H73" s="388">
        <v>559.01270900000009</v>
      </c>
      <c r="I73" s="394"/>
      <c r="J73" s="369"/>
      <c r="K73" s="368"/>
      <c r="L73" s="368"/>
      <c r="M73" s="369"/>
      <c r="N73" s="369"/>
      <c r="O73" s="370"/>
      <c r="P73" s="364"/>
      <c r="Q73" s="364"/>
      <c r="R73" s="364"/>
      <c r="S73" s="364"/>
      <c r="T73" s="364"/>
      <c r="U73" s="364"/>
      <c r="V73" s="364"/>
      <c r="W73" s="364"/>
      <c r="X73" s="364"/>
      <c r="Y73" s="364"/>
      <c r="Z73" s="364"/>
      <c r="AA73" s="364"/>
      <c r="AB73" s="364"/>
      <c r="AC73" s="364"/>
      <c r="AD73" s="371"/>
      <c r="AE73" s="371"/>
      <c r="AF73" s="371"/>
      <c r="AG73" s="371"/>
      <c r="AH73" s="371"/>
    </row>
    <row r="74" spans="1:34" s="397" customFormat="1" ht="12.75" customHeight="1">
      <c r="A74" s="384">
        <v>46023</v>
      </c>
      <c r="B74" s="4">
        <v>1917</v>
      </c>
      <c r="C74" s="4">
        <v>449</v>
      </c>
      <c r="D74" s="4">
        <v>123</v>
      </c>
      <c r="E74" s="4">
        <v>759</v>
      </c>
      <c r="F74" s="4">
        <v>13</v>
      </c>
      <c r="G74" s="4">
        <v>2</v>
      </c>
      <c r="H74" s="388">
        <v>572</v>
      </c>
      <c r="I74" s="394"/>
      <c r="J74" s="369"/>
      <c r="K74" s="368"/>
      <c r="L74" s="368"/>
      <c r="M74" s="369"/>
      <c r="N74" s="369"/>
      <c r="O74" s="370"/>
      <c r="P74" s="364"/>
      <c r="Q74" s="364"/>
      <c r="R74" s="364"/>
      <c r="S74" s="364"/>
      <c r="T74" s="364"/>
      <c r="U74" s="364"/>
      <c r="V74" s="364"/>
      <c r="W74" s="364"/>
      <c r="X74" s="364"/>
      <c r="Y74" s="364"/>
      <c r="Z74" s="364"/>
      <c r="AA74" s="364"/>
      <c r="AB74" s="364"/>
      <c r="AC74" s="364"/>
      <c r="AD74" s="371"/>
      <c r="AE74" s="371"/>
      <c r="AF74" s="371"/>
      <c r="AG74" s="371"/>
      <c r="AH74" s="371"/>
    </row>
    <row r="75" spans="1:34" s="397" customFormat="1" ht="12.75" customHeight="1">
      <c r="A75" s="384">
        <v>46054</v>
      </c>
      <c r="B75" s="4">
        <v>1861</v>
      </c>
      <c r="C75" s="4">
        <v>452</v>
      </c>
      <c r="D75" s="4">
        <v>113</v>
      </c>
      <c r="E75" s="4">
        <v>743</v>
      </c>
      <c r="F75" s="4">
        <v>13</v>
      </c>
      <c r="G75" s="4">
        <v>2</v>
      </c>
      <c r="H75" s="388">
        <v>538</v>
      </c>
      <c r="I75" s="394"/>
      <c r="J75" s="369"/>
      <c r="K75" s="368"/>
      <c r="L75" s="368"/>
      <c r="M75" s="369"/>
      <c r="N75" s="369"/>
      <c r="O75" s="370"/>
      <c r="P75" s="364"/>
      <c r="Q75" s="364"/>
      <c r="R75" s="364"/>
      <c r="S75" s="364"/>
      <c r="T75" s="364"/>
      <c r="U75" s="364"/>
      <c r="V75" s="364"/>
      <c r="W75" s="364"/>
      <c r="X75" s="364"/>
      <c r="Y75" s="364"/>
      <c r="Z75" s="364"/>
      <c r="AA75" s="364"/>
      <c r="AB75" s="364"/>
      <c r="AC75" s="364"/>
      <c r="AD75" s="371"/>
      <c r="AE75" s="371"/>
      <c r="AF75" s="371"/>
      <c r="AG75" s="371"/>
      <c r="AH75" s="371"/>
    </row>
    <row r="76" spans="1:34" s="397" customFormat="1" ht="12.75" customHeight="1">
      <c r="A76" s="460">
        <v>46082</v>
      </c>
      <c r="B76" s="467">
        <v>1710</v>
      </c>
      <c r="C76" s="467">
        <v>391</v>
      </c>
      <c r="D76" s="467">
        <v>106</v>
      </c>
      <c r="E76" s="467">
        <v>642</v>
      </c>
      <c r="F76" s="467">
        <v>8</v>
      </c>
      <c r="G76" s="467">
        <v>2</v>
      </c>
      <c r="H76" s="461">
        <v>561</v>
      </c>
      <c r="I76" s="394"/>
      <c r="J76" s="369"/>
      <c r="K76" s="368"/>
      <c r="L76" s="368"/>
      <c r="M76" s="369"/>
      <c r="N76" s="369"/>
      <c r="O76" s="370"/>
      <c r="P76" s="364"/>
      <c r="Q76" s="364"/>
      <c r="R76" s="364"/>
      <c r="S76" s="364"/>
      <c r="T76" s="364"/>
      <c r="U76" s="364"/>
      <c r="V76" s="364"/>
      <c r="W76" s="364"/>
      <c r="X76" s="364"/>
      <c r="Y76" s="364"/>
      <c r="Z76" s="364"/>
      <c r="AA76" s="364"/>
      <c r="AB76" s="364"/>
      <c r="AC76" s="364"/>
      <c r="AD76" s="371"/>
      <c r="AE76" s="371"/>
      <c r="AF76" s="371"/>
      <c r="AG76" s="371"/>
      <c r="AH76" s="371"/>
    </row>
    <row r="77" spans="1:34" s="397" customFormat="1" ht="12.75" customHeight="1">
      <c r="A77" s="419"/>
      <c r="B77" s="427"/>
      <c r="C77" s="427"/>
      <c r="D77" s="427"/>
      <c r="E77" s="427"/>
      <c r="F77" s="427"/>
      <c r="G77" s="427"/>
      <c r="H77" s="427"/>
      <c r="I77" s="394"/>
      <c r="J77" s="369"/>
      <c r="K77" s="368"/>
      <c r="L77" s="368"/>
      <c r="M77" s="369"/>
      <c r="N77" s="369"/>
      <c r="O77" s="370"/>
      <c r="P77" s="364"/>
      <c r="Q77" s="364"/>
      <c r="R77" s="364"/>
      <c r="S77" s="364"/>
      <c r="T77" s="364"/>
      <c r="U77" s="364"/>
      <c r="V77" s="364"/>
      <c r="W77" s="364"/>
      <c r="X77" s="364"/>
      <c r="Y77" s="364"/>
      <c r="Z77" s="364"/>
      <c r="AA77" s="364"/>
      <c r="AB77" s="364"/>
      <c r="AC77" s="364"/>
      <c r="AD77" s="371"/>
      <c r="AE77" s="371"/>
      <c r="AF77" s="371"/>
      <c r="AG77" s="371"/>
      <c r="AH77" s="371"/>
    </row>
    <row r="78" spans="1:34" s="397" customFormat="1" ht="12.75" customHeight="1">
      <c r="A78" s="46" t="s">
        <v>120</v>
      </c>
      <c r="B78" s="152"/>
      <c r="C78" s="153"/>
      <c r="D78" s="153"/>
      <c r="E78" s="153"/>
      <c r="F78" s="152"/>
      <c r="G78" s="127"/>
      <c r="H78" s="121"/>
      <c r="I78" s="394"/>
      <c r="J78" s="369"/>
      <c r="K78" s="368"/>
      <c r="L78" s="368"/>
      <c r="M78" s="369"/>
      <c r="N78" s="369"/>
      <c r="O78" s="370"/>
      <c r="P78" s="364"/>
      <c r="Q78" s="364"/>
      <c r="R78" s="364"/>
      <c r="S78" s="364"/>
      <c r="T78" s="364"/>
      <c r="U78" s="364"/>
      <c r="V78" s="364"/>
      <c r="W78" s="364"/>
      <c r="X78" s="364"/>
      <c r="Y78" s="364"/>
      <c r="Z78" s="364"/>
      <c r="AA78" s="364"/>
      <c r="AB78" s="364"/>
      <c r="AC78" s="364"/>
      <c r="AD78" s="371"/>
      <c r="AE78" s="371"/>
      <c r="AF78" s="371"/>
      <c r="AG78" s="371"/>
      <c r="AH78" s="371"/>
    </row>
    <row r="79" spans="1:34" s="397" customFormat="1" ht="12.75" customHeight="1">
      <c r="A79" s="46" t="s">
        <v>111</v>
      </c>
      <c r="B79" s="152"/>
      <c r="C79" s="153"/>
      <c r="D79" s="153"/>
      <c r="E79" s="153"/>
      <c r="F79" s="152"/>
      <c r="G79" s="127"/>
      <c r="H79" s="121"/>
      <c r="I79" s="394"/>
      <c r="J79" s="369"/>
      <c r="K79" s="368"/>
      <c r="L79" s="368"/>
      <c r="M79" s="369"/>
      <c r="N79" s="369"/>
      <c r="O79" s="370"/>
      <c r="P79" s="364"/>
      <c r="Q79" s="364"/>
      <c r="R79" s="364"/>
      <c r="S79" s="364"/>
      <c r="T79" s="364"/>
      <c r="U79" s="364"/>
      <c r="V79" s="364"/>
      <c r="W79" s="364"/>
      <c r="X79" s="364"/>
      <c r="Y79" s="364"/>
      <c r="Z79" s="364"/>
      <c r="AA79" s="364"/>
      <c r="AB79" s="364"/>
      <c r="AC79" s="364"/>
      <c r="AD79" s="371"/>
      <c r="AE79" s="371"/>
      <c r="AF79" s="371"/>
      <c r="AG79" s="371"/>
      <c r="AH79" s="371"/>
    </row>
    <row r="80" spans="1:34">
      <c r="F80" s="127"/>
      <c r="I80" s="5"/>
      <c r="J80" s="369"/>
      <c r="K80" s="368"/>
      <c r="L80" s="368"/>
      <c r="M80" s="369"/>
      <c r="N80" s="369"/>
      <c r="O80" s="370"/>
      <c r="P80" s="364"/>
      <c r="Q80" s="364"/>
      <c r="R80" s="364"/>
      <c r="S80" s="364"/>
      <c r="T80" s="369"/>
    </row>
    <row r="81" spans="5:20">
      <c r="E81" s="256"/>
      <c r="F81" s="127"/>
      <c r="I81" s="5"/>
      <c r="J81" s="369"/>
      <c r="K81" s="368"/>
      <c r="L81" s="368"/>
      <c r="M81" s="369"/>
      <c r="N81" s="369"/>
      <c r="O81" s="370"/>
      <c r="P81" s="364"/>
      <c r="Q81" s="364"/>
      <c r="R81" s="364"/>
      <c r="S81" s="364"/>
      <c r="T81" s="369"/>
    </row>
    <row r="82" spans="5:20">
      <c r="F82" s="127"/>
      <c r="I82" s="5"/>
      <c r="J82" s="369"/>
      <c r="K82" s="368"/>
      <c r="L82" s="368"/>
      <c r="M82" s="369"/>
      <c r="N82" s="369"/>
      <c r="O82" s="370"/>
      <c r="P82" s="364"/>
      <c r="Q82" s="364"/>
      <c r="R82" s="364"/>
      <c r="S82" s="364"/>
      <c r="T82" s="369"/>
    </row>
    <row r="83" spans="5:20">
      <c r="F83" s="127"/>
      <c r="I83" s="5"/>
      <c r="J83" s="369"/>
      <c r="K83" s="368"/>
      <c r="L83" s="368"/>
      <c r="M83" s="369"/>
      <c r="N83" s="369"/>
      <c r="O83" s="370"/>
      <c r="P83" s="364"/>
      <c r="Q83" s="364"/>
      <c r="R83" s="364"/>
      <c r="S83" s="364"/>
    </row>
    <row r="84" spans="5:20">
      <c r="F84" s="127"/>
      <c r="I84" s="5"/>
      <c r="J84" s="369"/>
      <c r="K84" s="368"/>
      <c r="L84" s="368"/>
      <c r="M84" s="369"/>
      <c r="N84" s="369"/>
      <c r="O84" s="370"/>
      <c r="P84" s="364"/>
      <c r="Q84" s="364"/>
      <c r="R84" s="364"/>
      <c r="S84" s="364"/>
    </row>
    <row r="85" spans="5:20">
      <c r="F85" s="127"/>
      <c r="I85" s="5"/>
      <c r="J85" s="369"/>
      <c r="K85" s="368"/>
      <c r="L85" s="368"/>
      <c r="M85" s="369"/>
      <c r="N85" s="369"/>
      <c r="O85" s="370"/>
      <c r="P85" s="364"/>
      <c r="Q85" s="364"/>
      <c r="R85" s="364"/>
      <c r="S85" s="364"/>
    </row>
    <row r="86" spans="5:20">
      <c r="F86" s="127"/>
      <c r="I86" s="5"/>
      <c r="J86" s="369"/>
      <c r="K86" s="368"/>
      <c r="L86" s="368"/>
      <c r="M86" s="369"/>
      <c r="N86" s="369"/>
      <c r="O86" s="370"/>
      <c r="P86" s="364"/>
      <c r="Q86" s="364"/>
      <c r="R86" s="364"/>
      <c r="S86" s="364"/>
    </row>
    <row r="87" spans="5:20">
      <c r="F87" s="127"/>
      <c r="I87" s="5"/>
      <c r="J87" s="369"/>
      <c r="K87" s="368"/>
      <c r="L87" s="368"/>
      <c r="M87" s="369"/>
      <c r="N87" s="369"/>
      <c r="O87" s="370"/>
      <c r="P87" s="364"/>
      <c r="Q87" s="364"/>
      <c r="R87" s="364"/>
      <c r="S87" s="364"/>
    </row>
    <row r="88" spans="5:20">
      <c r="F88" s="127"/>
      <c r="I88" s="5"/>
      <c r="J88" s="369"/>
      <c r="K88" s="368"/>
      <c r="L88" s="368"/>
      <c r="M88" s="369"/>
      <c r="N88" s="369"/>
      <c r="O88" s="370"/>
      <c r="P88" s="364"/>
      <c r="Q88" s="364"/>
      <c r="R88" s="364"/>
      <c r="S88" s="364"/>
    </row>
    <row r="89" spans="5:20">
      <c r="F89" s="127"/>
      <c r="I89" s="5"/>
      <c r="J89" s="369"/>
      <c r="K89" s="368"/>
      <c r="L89" s="368"/>
      <c r="M89" s="369"/>
      <c r="N89" s="369"/>
      <c r="O89" s="370"/>
      <c r="P89" s="364"/>
      <c r="Q89" s="364"/>
      <c r="R89" s="369"/>
    </row>
    <row r="90" spans="5:20">
      <c r="F90" s="127"/>
      <c r="I90" s="5"/>
      <c r="J90" s="369"/>
      <c r="K90" s="368"/>
      <c r="L90" s="368"/>
      <c r="M90" s="369"/>
      <c r="N90" s="369"/>
      <c r="O90" s="370"/>
      <c r="P90" s="364"/>
      <c r="Q90" s="369"/>
      <c r="R90" s="364"/>
    </row>
    <row r="91" spans="5:20">
      <c r="F91" s="127"/>
      <c r="I91" s="5"/>
      <c r="J91" s="369"/>
      <c r="K91" s="368"/>
      <c r="L91" s="368"/>
      <c r="M91" s="369"/>
      <c r="N91" s="369"/>
      <c r="O91" s="370"/>
      <c r="P91" s="364"/>
      <c r="Q91" s="369"/>
      <c r="R91" s="364"/>
    </row>
    <row r="92" spans="5:20">
      <c r="F92" s="127"/>
      <c r="I92" s="5"/>
      <c r="J92" s="369"/>
      <c r="K92" s="368"/>
      <c r="L92" s="368"/>
      <c r="M92" s="369"/>
      <c r="N92" s="369"/>
      <c r="O92" s="370"/>
      <c r="P92" s="364"/>
      <c r="Q92" s="369"/>
      <c r="R92" s="364"/>
    </row>
    <row r="93" spans="5:20">
      <c r="F93" s="127"/>
      <c r="I93" s="5"/>
      <c r="J93" s="369"/>
      <c r="K93" s="368"/>
      <c r="L93" s="368"/>
      <c r="M93" s="369"/>
      <c r="N93" s="369"/>
      <c r="O93" s="370"/>
      <c r="P93" s="364"/>
      <c r="Q93" s="369"/>
      <c r="R93" s="364"/>
    </row>
    <row r="94" spans="5:20">
      <c r="F94" s="127"/>
      <c r="I94" s="5"/>
      <c r="J94" s="369"/>
      <c r="K94" s="368"/>
      <c r="L94" s="368"/>
      <c r="M94" s="369"/>
      <c r="N94" s="369"/>
      <c r="O94" s="370"/>
      <c r="P94" s="364"/>
      <c r="Q94" s="369"/>
      <c r="R94" s="364"/>
    </row>
    <row r="95" spans="5:20">
      <c r="F95" s="127"/>
      <c r="I95" s="5"/>
      <c r="J95" s="369"/>
      <c r="K95" s="368"/>
      <c r="L95" s="368"/>
      <c r="M95" s="369"/>
      <c r="N95" s="369"/>
      <c r="O95" s="370"/>
      <c r="P95" s="364"/>
      <c r="Q95" s="369"/>
      <c r="R95" s="364"/>
    </row>
    <row r="96" spans="5:20">
      <c r="F96" s="127"/>
      <c r="I96" s="5"/>
      <c r="J96" s="369"/>
      <c r="K96" s="368"/>
      <c r="L96" s="368"/>
      <c r="M96" s="369"/>
      <c r="N96" s="369"/>
      <c r="O96" s="370"/>
      <c r="P96" s="364"/>
      <c r="Q96" s="369"/>
      <c r="R96" s="364"/>
    </row>
    <row r="97" spans="3:18">
      <c r="F97" s="127"/>
      <c r="I97" s="5"/>
      <c r="J97" s="369"/>
      <c r="K97" s="368"/>
      <c r="L97" s="368"/>
      <c r="M97" s="369"/>
      <c r="N97" s="369"/>
      <c r="O97" s="370"/>
      <c r="P97" s="364"/>
      <c r="Q97" s="364"/>
      <c r="R97" s="364"/>
    </row>
    <row r="98" spans="3:18">
      <c r="F98" s="127"/>
      <c r="I98" s="5"/>
      <c r="J98" s="369"/>
      <c r="K98" s="368"/>
      <c r="L98" s="368"/>
      <c r="M98" s="369"/>
      <c r="N98" s="369"/>
      <c r="O98" s="370"/>
      <c r="P98" s="364"/>
      <c r="Q98" s="364"/>
      <c r="R98" s="364"/>
    </row>
    <row r="99" spans="3:18">
      <c r="F99" s="127"/>
      <c r="I99" s="5"/>
      <c r="J99" s="369"/>
      <c r="K99" s="368"/>
      <c r="L99" s="368"/>
      <c r="M99" s="369"/>
      <c r="N99" s="369"/>
      <c r="O99" s="370"/>
      <c r="P99" s="364"/>
      <c r="Q99" s="364"/>
      <c r="R99" s="364"/>
    </row>
    <row r="100" spans="3:18">
      <c r="F100" s="127"/>
      <c r="I100" s="5"/>
      <c r="J100" s="369"/>
      <c r="K100" s="368"/>
      <c r="L100" s="368"/>
      <c r="M100" s="369"/>
      <c r="N100" s="369"/>
      <c r="O100" s="370"/>
      <c r="P100" s="364"/>
      <c r="Q100" s="364"/>
      <c r="R100" s="364"/>
    </row>
    <row r="101" spans="3:18">
      <c r="F101" s="127"/>
      <c r="I101" s="5"/>
      <c r="J101" s="369"/>
      <c r="K101" s="368"/>
      <c r="L101" s="368"/>
      <c r="M101" s="369"/>
      <c r="N101" s="369"/>
      <c r="O101" s="370"/>
      <c r="P101" s="364"/>
      <c r="Q101" s="364"/>
      <c r="R101" s="364"/>
    </row>
    <row r="102" spans="3:18">
      <c r="F102" s="127"/>
      <c r="I102" s="5"/>
      <c r="J102" s="369"/>
      <c r="K102" s="368"/>
      <c r="L102" s="368"/>
      <c r="M102" s="369"/>
      <c r="N102" s="369"/>
      <c r="O102" s="370"/>
      <c r="P102" s="364"/>
      <c r="Q102" s="364"/>
      <c r="R102" s="364"/>
    </row>
    <row r="103" spans="3:18">
      <c r="F103" s="127"/>
      <c r="I103" s="5"/>
      <c r="J103" s="369"/>
      <c r="K103" s="368"/>
      <c r="L103" s="368"/>
      <c r="M103" s="369"/>
      <c r="N103" s="369"/>
      <c r="O103" s="370"/>
      <c r="P103" s="364"/>
      <c r="Q103" s="364"/>
      <c r="R103" s="364"/>
    </row>
    <row r="104" spans="3:18">
      <c r="F104" s="127"/>
      <c r="I104" s="5"/>
      <c r="J104" s="369"/>
      <c r="K104" s="368"/>
      <c r="L104" s="368"/>
      <c r="M104" s="369"/>
      <c r="N104" s="369"/>
      <c r="O104" s="370"/>
      <c r="P104" s="364"/>
      <c r="Q104" s="364"/>
      <c r="R104" s="364"/>
    </row>
    <row r="105" spans="3:18">
      <c r="F105" s="127"/>
      <c r="I105" s="5"/>
      <c r="J105" s="369"/>
      <c r="K105" s="368"/>
      <c r="L105" s="368"/>
      <c r="M105" s="369"/>
      <c r="N105" s="369"/>
      <c r="O105" s="370"/>
      <c r="P105" s="364"/>
      <c r="Q105" s="364"/>
      <c r="R105" s="364"/>
    </row>
    <row r="106" spans="3:18">
      <c r="F106" s="127"/>
      <c r="I106" s="5"/>
      <c r="J106" s="369"/>
      <c r="K106" s="368"/>
      <c r="L106" s="368"/>
      <c r="M106" s="369"/>
      <c r="N106" s="369"/>
      <c r="O106" s="370"/>
      <c r="P106" s="364"/>
      <c r="Q106" s="364"/>
      <c r="R106" s="364"/>
    </row>
    <row r="107" spans="3:18">
      <c r="F107" s="127"/>
      <c r="I107" s="5"/>
      <c r="J107" s="369"/>
      <c r="K107" s="368"/>
      <c r="L107" s="368"/>
      <c r="M107" s="369"/>
      <c r="N107" s="369"/>
      <c r="O107" s="370"/>
      <c r="P107" s="364"/>
      <c r="Q107" s="364"/>
      <c r="R107" s="364"/>
    </row>
    <row r="108" spans="3:18">
      <c r="F108" s="127"/>
      <c r="I108" s="5"/>
      <c r="J108" s="369"/>
      <c r="K108" s="368"/>
      <c r="L108" s="368"/>
      <c r="M108" s="369"/>
      <c r="N108" s="369"/>
      <c r="O108" s="370"/>
      <c r="P108" s="364"/>
      <c r="Q108" s="364"/>
      <c r="R108" s="364"/>
    </row>
    <row r="109" spans="3:18">
      <c r="C109" s="132"/>
      <c r="D109" s="132"/>
      <c r="E109" s="132"/>
      <c r="F109" s="127"/>
      <c r="I109" s="5"/>
      <c r="J109" s="369"/>
      <c r="K109" s="368"/>
      <c r="L109" s="368"/>
      <c r="M109" s="369"/>
      <c r="N109" s="369"/>
      <c r="O109" s="370"/>
      <c r="P109" s="364"/>
      <c r="Q109" s="364"/>
      <c r="R109" s="364"/>
    </row>
    <row r="110" spans="3:18">
      <c r="C110" s="132"/>
      <c r="D110" s="132"/>
      <c r="E110" s="132"/>
      <c r="F110" s="127"/>
      <c r="I110" s="5"/>
      <c r="J110" s="369"/>
      <c r="K110" s="368"/>
      <c r="L110" s="368"/>
      <c r="M110" s="369"/>
      <c r="N110" s="369"/>
      <c r="O110" s="370"/>
      <c r="P110" s="364"/>
      <c r="Q110" s="364"/>
      <c r="R110" s="364"/>
    </row>
    <row r="111" spans="3:18">
      <c r="C111" s="132"/>
      <c r="D111" s="132"/>
      <c r="E111" s="132"/>
      <c r="F111" s="127"/>
      <c r="I111" s="5"/>
      <c r="J111" s="369"/>
      <c r="K111" s="368"/>
      <c r="L111" s="368"/>
      <c r="M111" s="369"/>
      <c r="N111" s="369"/>
      <c r="O111" s="370"/>
      <c r="P111" s="364"/>
      <c r="Q111" s="364"/>
      <c r="R111" s="364"/>
    </row>
    <row r="112" spans="3:18">
      <c r="C112" s="132"/>
      <c r="D112" s="132"/>
      <c r="E112" s="132"/>
      <c r="F112" s="127"/>
      <c r="I112" s="5"/>
      <c r="J112" s="369"/>
      <c r="K112" s="368"/>
      <c r="L112" s="368"/>
      <c r="M112" s="369"/>
      <c r="N112" s="369"/>
      <c r="O112" s="370"/>
      <c r="P112" s="364"/>
      <c r="Q112" s="364"/>
      <c r="R112" s="364"/>
    </row>
    <row r="113" spans="3:18">
      <c r="C113" s="132"/>
      <c r="D113" s="132"/>
      <c r="E113" s="132"/>
      <c r="F113" s="127"/>
      <c r="I113" s="5"/>
      <c r="J113" s="369"/>
      <c r="K113" s="368"/>
      <c r="L113" s="368"/>
      <c r="M113" s="369"/>
      <c r="N113" s="369"/>
      <c r="O113" s="370"/>
      <c r="P113" s="364"/>
      <c r="Q113" s="364"/>
      <c r="R113" s="364"/>
    </row>
    <row r="114" spans="3:18">
      <c r="C114" s="132"/>
      <c r="D114" s="132"/>
      <c r="E114" s="132"/>
      <c r="F114" s="127"/>
      <c r="I114" s="5"/>
      <c r="J114" s="369"/>
      <c r="K114" s="368"/>
      <c r="L114" s="368"/>
      <c r="M114" s="369"/>
      <c r="N114" s="369"/>
      <c r="O114" s="370"/>
      <c r="P114" s="364"/>
      <c r="Q114" s="364"/>
      <c r="R114" s="364"/>
    </row>
    <row r="115" spans="3:18">
      <c r="C115" s="132"/>
      <c r="D115" s="132"/>
      <c r="E115" s="132"/>
      <c r="F115" s="127"/>
      <c r="I115" s="5"/>
      <c r="J115" s="369"/>
      <c r="K115" s="368"/>
      <c r="L115" s="368"/>
      <c r="M115" s="369"/>
      <c r="N115" s="369"/>
      <c r="O115" s="370"/>
      <c r="P115" s="364"/>
      <c r="Q115" s="364"/>
      <c r="R115" s="364"/>
    </row>
    <row r="116" spans="3:18">
      <c r="C116" s="132"/>
      <c r="D116" s="132"/>
      <c r="E116" s="132"/>
      <c r="F116" s="127"/>
      <c r="I116" s="5"/>
      <c r="J116" s="369"/>
      <c r="K116" s="368"/>
      <c r="L116" s="368"/>
      <c r="M116" s="369"/>
      <c r="N116" s="369"/>
      <c r="O116" s="370"/>
      <c r="P116" s="364"/>
      <c r="Q116" s="364"/>
      <c r="R116" s="364"/>
    </row>
    <row r="117" spans="3:18">
      <c r="C117" s="132"/>
      <c r="D117" s="132"/>
      <c r="E117" s="132"/>
      <c r="F117" s="127"/>
      <c r="I117" s="5"/>
      <c r="J117" s="369"/>
      <c r="K117" s="368"/>
      <c r="L117" s="368"/>
      <c r="M117" s="369"/>
      <c r="N117" s="369"/>
      <c r="O117" s="370"/>
      <c r="P117" s="364"/>
      <c r="Q117" s="364"/>
      <c r="R117" s="364"/>
    </row>
    <row r="118" spans="3:18">
      <c r="C118" s="132"/>
      <c r="D118" s="132"/>
      <c r="E118" s="132"/>
      <c r="F118" s="127"/>
      <c r="I118" s="5"/>
      <c r="J118" s="369"/>
      <c r="K118" s="368"/>
      <c r="L118" s="368"/>
      <c r="M118" s="369"/>
      <c r="N118" s="369"/>
      <c r="O118" s="370"/>
      <c r="P118" s="364"/>
      <c r="Q118" s="364"/>
      <c r="R118" s="364"/>
    </row>
    <row r="119" spans="3:18">
      <c r="C119" s="132"/>
      <c r="D119" s="132"/>
      <c r="E119" s="132"/>
      <c r="F119" s="127"/>
      <c r="I119" s="5"/>
      <c r="J119" s="369"/>
      <c r="K119" s="368"/>
      <c r="L119" s="368"/>
      <c r="M119" s="369"/>
      <c r="N119" s="369"/>
      <c r="O119" s="370"/>
      <c r="P119" s="364"/>
      <c r="Q119" s="370"/>
      <c r="R119" s="364"/>
    </row>
    <row r="120" spans="3:18">
      <c r="C120" s="132"/>
      <c r="D120" s="132"/>
      <c r="E120" s="132"/>
      <c r="F120" s="127"/>
      <c r="I120" s="5"/>
      <c r="J120" s="369"/>
      <c r="K120" s="368"/>
      <c r="L120" s="368"/>
      <c r="M120" s="369"/>
      <c r="N120" s="369"/>
      <c r="O120" s="370"/>
      <c r="P120" s="364"/>
      <c r="Q120" s="369"/>
      <c r="R120" s="364"/>
    </row>
    <row r="121" spans="3:18">
      <c r="C121" s="132"/>
      <c r="D121" s="132"/>
      <c r="E121" s="132"/>
      <c r="F121" s="127"/>
      <c r="I121" s="5"/>
      <c r="J121" s="369"/>
      <c r="K121" s="368"/>
      <c r="L121" s="368"/>
      <c r="M121" s="369"/>
      <c r="N121" s="369"/>
      <c r="O121" s="370"/>
      <c r="P121" s="364"/>
      <c r="Q121" s="369"/>
      <c r="R121" s="364"/>
    </row>
    <row r="122" spans="3:18">
      <c r="C122" s="132"/>
      <c r="D122" s="132"/>
      <c r="E122" s="132"/>
      <c r="F122" s="127"/>
      <c r="I122" s="5"/>
      <c r="J122" s="369"/>
      <c r="K122" s="368"/>
      <c r="L122" s="368"/>
      <c r="M122" s="369"/>
      <c r="N122" s="369"/>
      <c r="O122" s="370"/>
      <c r="P122" s="364"/>
      <c r="Q122" s="369"/>
      <c r="R122" s="364"/>
    </row>
    <row r="123" spans="3:18">
      <c r="C123" s="132"/>
      <c r="D123" s="132"/>
      <c r="E123" s="132"/>
      <c r="F123" s="127"/>
      <c r="I123" s="5"/>
      <c r="J123" s="369"/>
      <c r="K123" s="368"/>
      <c r="L123" s="368"/>
      <c r="M123" s="369"/>
      <c r="N123" s="369"/>
      <c r="O123" s="370"/>
      <c r="P123" s="364"/>
      <c r="Q123" s="369"/>
      <c r="R123" s="364"/>
    </row>
    <row r="124" spans="3:18">
      <c r="F124" s="127"/>
      <c r="I124" s="5"/>
      <c r="J124" s="369"/>
      <c r="K124" s="368"/>
      <c r="L124" s="368"/>
      <c r="M124" s="369"/>
      <c r="N124" s="369"/>
      <c r="O124" s="370"/>
      <c r="P124" s="364"/>
      <c r="Q124" s="369"/>
      <c r="R124" s="364"/>
    </row>
    <row r="125" spans="3:18">
      <c r="F125" s="127"/>
      <c r="I125" s="5"/>
      <c r="J125" s="369"/>
      <c r="K125" s="368"/>
      <c r="L125" s="368"/>
      <c r="M125" s="369"/>
      <c r="N125" s="369"/>
      <c r="O125" s="370"/>
      <c r="P125" s="364"/>
      <c r="Q125" s="369"/>
      <c r="R125" s="364"/>
    </row>
    <row r="126" spans="3:18">
      <c r="F126" s="127"/>
      <c r="I126" s="5"/>
      <c r="J126" s="369"/>
      <c r="K126" s="368"/>
      <c r="L126" s="368"/>
      <c r="M126" s="369"/>
      <c r="N126" s="369"/>
      <c r="O126" s="370"/>
      <c r="P126" s="364"/>
      <c r="Q126" s="369"/>
      <c r="R126" s="364"/>
    </row>
    <row r="127" spans="3:18">
      <c r="F127" s="127"/>
      <c r="I127" s="5"/>
      <c r="J127" s="369"/>
      <c r="K127" s="368"/>
      <c r="L127" s="368"/>
      <c r="M127" s="369"/>
      <c r="N127" s="369"/>
      <c r="O127" s="370"/>
      <c r="P127" s="364"/>
      <c r="Q127" s="369"/>
    </row>
    <row r="128" spans="3:18">
      <c r="F128" s="127"/>
      <c r="I128" s="4"/>
      <c r="J128" s="369"/>
      <c r="K128" s="368"/>
      <c r="L128" s="368"/>
      <c r="M128" s="369"/>
      <c r="N128" s="369"/>
      <c r="O128" s="370"/>
      <c r="P128" s="364"/>
      <c r="Q128" s="369"/>
    </row>
    <row r="129" spans="6:17">
      <c r="F129" s="127"/>
      <c r="I129" s="4"/>
      <c r="J129" s="369"/>
      <c r="K129" s="368"/>
      <c r="L129" s="368"/>
      <c r="M129" s="369"/>
      <c r="N129" s="369"/>
      <c r="O129" s="370"/>
      <c r="P129" s="364"/>
      <c r="Q129" s="370"/>
    </row>
    <row r="130" spans="6:17">
      <c r="I130" s="5"/>
      <c r="J130" s="369"/>
      <c r="K130" s="368"/>
      <c r="L130" s="368"/>
      <c r="M130" s="369"/>
      <c r="N130" s="369"/>
      <c r="O130" s="370"/>
      <c r="P130" s="364"/>
      <c r="Q130" s="370"/>
    </row>
    <row r="131" spans="6:17">
      <c r="I131" s="5"/>
      <c r="J131" s="369"/>
      <c r="K131" s="368"/>
      <c r="L131" s="368"/>
      <c r="M131" s="369"/>
      <c r="N131" s="369"/>
      <c r="O131" s="370"/>
      <c r="P131" s="364"/>
      <c r="Q131" s="370"/>
    </row>
    <row r="132" spans="6:17">
      <c r="I132" s="5"/>
      <c r="J132" s="369"/>
      <c r="K132" s="368"/>
      <c r="L132" s="368"/>
      <c r="M132" s="369"/>
      <c r="N132" s="369"/>
      <c r="O132" s="370"/>
      <c r="P132" s="364"/>
      <c r="Q132" s="370"/>
    </row>
    <row r="133" spans="6:17">
      <c r="I133" s="5"/>
      <c r="J133" s="369"/>
      <c r="K133" s="368"/>
      <c r="L133" s="368"/>
      <c r="M133" s="369"/>
      <c r="N133" s="369"/>
      <c r="O133" s="370"/>
      <c r="P133" s="364"/>
      <c r="Q133" s="370"/>
    </row>
    <row r="134" spans="6:17">
      <c r="J134" s="369"/>
      <c r="K134" s="368"/>
      <c r="L134" s="368"/>
      <c r="M134" s="369"/>
      <c r="N134" s="369"/>
      <c r="O134" s="370"/>
      <c r="P134" s="364"/>
      <c r="Q134" s="370"/>
    </row>
    <row r="135" spans="6:17">
      <c r="J135" s="369"/>
      <c r="K135" s="368"/>
      <c r="L135" s="368"/>
      <c r="M135" s="369"/>
      <c r="N135" s="369"/>
      <c r="O135" s="370"/>
      <c r="P135" s="364"/>
      <c r="Q135" s="370"/>
    </row>
    <row r="136" spans="6:17">
      <c r="J136" s="369"/>
      <c r="K136" s="368"/>
      <c r="L136" s="368"/>
      <c r="M136" s="369"/>
      <c r="N136" s="369"/>
      <c r="O136" s="370"/>
      <c r="P136" s="364"/>
      <c r="Q136" s="370"/>
    </row>
    <row r="137" spans="6:17">
      <c r="J137" s="369"/>
      <c r="K137" s="368"/>
      <c r="L137" s="368"/>
      <c r="M137" s="369"/>
      <c r="N137" s="369"/>
      <c r="O137" s="370"/>
      <c r="P137" s="364"/>
      <c r="Q137" s="369"/>
    </row>
    <row r="138" spans="6:17">
      <c r="J138" s="369"/>
      <c r="K138" s="368"/>
      <c r="L138" s="368"/>
      <c r="M138" s="369"/>
      <c r="N138" s="369"/>
      <c r="O138" s="370"/>
      <c r="P138" s="364"/>
      <c r="Q138" s="369"/>
    </row>
    <row r="139" spans="6:17">
      <c r="J139" s="369"/>
      <c r="K139" s="368"/>
      <c r="L139" s="368"/>
      <c r="M139" s="369"/>
      <c r="N139" s="369"/>
      <c r="O139" s="370"/>
      <c r="P139" s="364"/>
      <c r="Q139" s="370"/>
    </row>
    <row r="140" spans="6:17">
      <c r="J140" s="369"/>
      <c r="K140" s="368"/>
      <c r="L140" s="368"/>
      <c r="M140" s="369"/>
      <c r="N140" s="369"/>
      <c r="O140" s="370"/>
      <c r="P140" s="364"/>
      <c r="Q140" s="370"/>
    </row>
    <row r="141" spans="6:17">
      <c r="J141" s="369"/>
      <c r="K141" s="368"/>
      <c r="L141" s="368"/>
      <c r="M141" s="369"/>
      <c r="N141" s="369"/>
      <c r="O141" s="370"/>
      <c r="P141" s="364"/>
      <c r="Q141" s="370"/>
    </row>
    <row r="142" spans="6:17">
      <c r="J142" s="369"/>
      <c r="K142" s="368"/>
      <c r="L142" s="368"/>
      <c r="M142" s="369"/>
      <c r="N142" s="369"/>
      <c r="O142" s="370"/>
      <c r="P142" s="364"/>
      <c r="Q142" s="370"/>
    </row>
    <row r="143" spans="6:17">
      <c r="J143" s="369"/>
      <c r="K143" s="368"/>
      <c r="L143" s="368"/>
      <c r="M143" s="369"/>
      <c r="N143" s="369"/>
      <c r="O143" s="370"/>
      <c r="P143" s="364"/>
      <c r="Q143" s="370"/>
    </row>
    <row r="144" spans="6:17">
      <c r="J144" s="369"/>
      <c r="K144" s="368"/>
      <c r="L144" s="368"/>
      <c r="M144" s="369"/>
      <c r="N144" s="369"/>
      <c r="O144" s="370"/>
      <c r="P144" s="364"/>
      <c r="Q144" s="369"/>
    </row>
    <row r="145" spans="10:17">
      <c r="J145" s="369"/>
      <c r="K145" s="368"/>
      <c r="L145" s="368"/>
      <c r="M145" s="369"/>
      <c r="N145" s="369"/>
      <c r="O145" s="370"/>
      <c r="P145" s="364"/>
      <c r="Q145" s="369"/>
    </row>
    <row r="146" spans="10:17">
      <c r="J146" s="369"/>
      <c r="K146" s="368"/>
      <c r="L146" s="368"/>
      <c r="M146" s="369"/>
      <c r="N146" s="369"/>
      <c r="O146" s="370"/>
      <c r="P146" s="364"/>
      <c r="Q146" s="369"/>
    </row>
    <row r="147" spans="10:17">
      <c r="J147" s="369"/>
      <c r="K147" s="368"/>
      <c r="L147" s="368"/>
      <c r="M147" s="369"/>
      <c r="N147" s="369"/>
      <c r="O147" s="370"/>
      <c r="P147" s="364"/>
      <c r="Q147" s="369"/>
    </row>
    <row r="148" spans="10:17">
      <c r="J148" s="369"/>
      <c r="K148" s="368"/>
      <c r="L148" s="368"/>
      <c r="M148" s="369"/>
      <c r="N148" s="369"/>
      <c r="O148" s="370"/>
      <c r="P148" s="364"/>
      <c r="Q148" s="369"/>
    </row>
    <row r="149" spans="10:17">
      <c r="J149" s="369"/>
      <c r="K149" s="368"/>
      <c r="L149" s="368"/>
      <c r="M149" s="369"/>
      <c r="N149" s="369"/>
      <c r="O149" s="370"/>
      <c r="P149" s="364"/>
      <c r="Q149" s="369"/>
    </row>
    <row r="150" spans="10:17">
      <c r="J150" s="369"/>
      <c r="K150" s="368"/>
      <c r="L150" s="368"/>
      <c r="M150" s="369"/>
      <c r="N150" s="369"/>
      <c r="O150" s="370"/>
      <c r="P150" s="364"/>
      <c r="Q150" s="369"/>
    </row>
    <row r="151" spans="10:17">
      <c r="J151" s="369"/>
      <c r="K151" s="368"/>
      <c r="L151" s="368"/>
      <c r="M151" s="369"/>
      <c r="N151" s="369"/>
      <c r="O151" s="370"/>
      <c r="P151" s="364"/>
      <c r="Q151" s="369"/>
    </row>
    <row r="152" spans="10:17">
      <c r="J152" s="369"/>
      <c r="K152" s="368"/>
      <c r="L152" s="368"/>
      <c r="M152" s="369"/>
      <c r="N152" s="369"/>
      <c r="O152" s="370"/>
      <c r="P152" s="364"/>
      <c r="Q152" s="369"/>
    </row>
    <row r="153" spans="10:17">
      <c r="J153" s="369"/>
      <c r="K153" s="368"/>
      <c r="L153" s="368"/>
      <c r="M153" s="369"/>
      <c r="N153" s="369"/>
      <c r="O153" s="370"/>
      <c r="P153" s="364"/>
      <c r="Q153" s="369"/>
    </row>
    <row r="154" spans="10:17">
      <c r="J154" s="369"/>
      <c r="K154" s="368"/>
      <c r="L154" s="368"/>
      <c r="M154" s="369"/>
      <c r="N154" s="369"/>
      <c r="O154" s="370"/>
      <c r="P154" s="364"/>
      <c r="Q154" s="369"/>
    </row>
    <row r="155" spans="10:17">
      <c r="J155" s="369"/>
      <c r="K155" s="368"/>
      <c r="L155" s="368"/>
      <c r="M155" s="369"/>
      <c r="N155" s="369"/>
      <c r="O155" s="370"/>
      <c r="P155" s="364"/>
      <c r="Q155" s="369"/>
    </row>
    <row r="156" spans="10:17">
      <c r="J156" s="369"/>
      <c r="K156" s="368"/>
      <c r="L156" s="368"/>
      <c r="M156" s="369"/>
      <c r="N156" s="369"/>
      <c r="O156" s="370"/>
      <c r="P156" s="364"/>
      <c r="Q156" s="369"/>
    </row>
    <row r="157" spans="10:17">
      <c r="J157" s="369"/>
      <c r="K157" s="368"/>
      <c r="L157" s="368"/>
      <c r="M157" s="369"/>
      <c r="N157" s="369"/>
      <c r="O157" s="370"/>
      <c r="P157" s="364"/>
      <c r="Q157" s="369"/>
    </row>
    <row r="158" spans="10:17">
      <c r="J158" s="369"/>
      <c r="K158" s="368"/>
      <c r="L158" s="368"/>
      <c r="M158" s="369"/>
      <c r="N158" s="369"/>
      <c r="O158" s="370"/>
      <c r="P158" s="364"/>
      <c r="Q158" s="364"/>
    </row>
    <row r="159" spans="10:17">
      <c r="J159" s="369"/>
      <c r="K159" s="368"/>
      <c r="L159" s="368"/>
      <c r="M159" s="369"/>
      <c r="N159" s="369"/>
      <c r="O159" s="370"/>
      <c r="P159" s="364"/>
      <c r="Q159" s="364"/>
    </row>
    <row r="160" spans="10:17">
      <c r="J160" s="369"/>
      <c r="K160" s="368"/>
      <c r="L160" s="368"/>
      <c r="M160" s="369"/>
      <c r="N160" s="369"/>
      <c r="O160" s="370"/>
      <c r="P160" s="371"/>
      <c r="Q160" s="364"/>
    </row>
    <row r="161" spans="10:17">
      <c r="J161" s="369"/>
      <c r="K161" s="368"/>
      <c r="L161" s="368"/>
      <c r="M161" s="369"/>
      <c r="N161" s="369"/>
      <c r="O161" s="370"/>
      <c r="P161" s="364"/>
      <c r="Q161" s="364"/>
    </row>
    <row r="162" spans="10:17">
      <c r="J162" s="369"/>
      <c r="K162" s="368"/>
      <c r="L162" s="368"/>
      <c r="M162" s="369"/>
      <c r="N162" s="369"/>
      <c r="O162" s="370"/>
      <c r="P162" s="364"/>
      <c r="Q162" s="364"/>
    </row>
    <row r="163" spans="10:17">
      <c r="J163" s="369"/>
      <c r="K163" s="368"/>
      <c r="L163" s="368"/>
      <c r="M163" s="369"/>
      <c r="N163" s="369"/>
      <c r="O163" s="370"/>
      <c r="P163" s="364"/>
      <c r="Q163" s="364"/>
    </row>
    <row r="164" spans="10:17">
      <c r="J164" s="369"/>
      <c r="K164" s="368"/>
      <c r="L164" s="368"/>
      <c r="M164" s="369"/>
      <c r="N164" s="369"/>
      <c r="O164" s="370"/>
      <c r="P164" s="364"/>
      <c r="Q164" s="364"/>
    </row>
    <row r="165" spans="10:17">
      <c r="J165" s="369"/>
      <c r="K165" s="368"/>
      <c r="L165" s="368"/>
      <c r="M165" s="369"/>
      <c r="N165" s="369"/>
      <c r="O165" s="370"/>
      <c r="P165" s="364"/>
      <c r="Q165" s="364"/>
    </row>
    <row r="166" spans="10:17">
      <c r="J166" s="369"/>
      <c r="K166" s="368"/>
      <c r="L166" s="368"/>
      <c r="M166" s="369"/>
      <c r="N166" s="369"/>
      <c r="O166" s="370"/>
      <c r="P166" s="364"/>
      <c r="Q166" s="364"/>
    </row>
    <row r="167" spans="10:17">
      <c r="J167" s="369"/>
      <c r="K167" s="368"/>
      <c r="L167" s="368"/>
      <c r="M167" s="369"/>
      <c r="N167" s="369"/>
      <c r="O167" s="370"/>
      <c r="P167" s="371"/>
      <c r="Q167" s="364"/>
    </row>
    <row r="168" spans="10:17">
      <c r="J168" s="369"/>
      <c r="K168" s="368"/>
      <c r="L168" s="368"/>
      <c r="M168" s="369"/>
      <c r="N168" s="369"/>
      <c r="O168" s="370"/>
      <c r="Q168" s="364"/>
    </row>
    <row r="169" spans="10:17">
      <c r="J169" s="369"/>
      <c r="K169" s="368"/>
      <c r="L169" s="368"/>
      <c r="M169" s="369"/>
      <c r="N169" s="369"/>
      <c r="O169" s="370"/>
      <c r="Q169" s="364"/>
    </row>
    <row r="170" spans="10:17">
      <c r="J170" s="369"/>
      <c r="K170" s="368"/>
      <c r="L170" s="368"/>
      <c r="M170" s="369"/>
      <c r="N170" s="369"/>
      <c r="O170" s="370"/>
      <c r="P170" s="364"/>
      <c r="Q170" s="364"/>
    </row>
    <row r="171" spans="10:17">
      <c r="J171" s="369"/>
      <c r="K171" s="368"/>
      <c r="L171" s="368"/>
      <c r="M171" s="369"/>
      <c r="N171" s="369"/>
      <c r="O171" s="370"/>
      <c r="P171" s="364"/>
      <c r="Q171" s="364"/>
    </row>
    <row r="172" spans="10:17">
      <c r="J172" s="369"/>
      <c r="K172" s="368"/>
      <c r="L172" s="368"/>
      <c r="M172" s="369"/>
      <c r="N172" s="369"/>
      <c r="O172" s="370"/>
      <c r="P172" s="364"/>
      <c r="Q172" s="364"/>
    </row>
    <row r="173" spans="10:17">
      <c r="J173" s="371"/>
      <c r="K173" s="371"/>
      <c r="L173" s="371"/>
      <c r="M173" s="371"/>
      <c r="N173" s="371"/>
      <c r="O173" s="371"/>
      <c r="P173" s="364"/>
      <c r="Q173" s="364"/>
    </row>
    <row r="174" spans="10:17">
      <c r="J174" s="369"/>
      <c r="K174" s="368"/>
      <c r="L174" s="368"/>
      <c r="M174" s="369"/>
      <c r="N174" s="369"/>
      <c r="O174" s="370"/>
      <c r="P174" s="369"/>
      <c r="Q174" s="364"/>
    </row>
    <row r="175" spans="10:17">
      <c r="J175" s="369"/>
      <c r="K175" s="368"/>
      <c r="L175" s="368"/>
      <c r="M175" s="369"/>
      <c r="N175" s="369"/>
      <c r="O175" s="370"/>
      <c r="P175" s="369"/>
      <c r="Q175" s="364"/>
    </row>
    <row r="176" spans="10:17">
      <c r="J176" s="369"/>
      <c r="K176" s="368"/>
      <c r="L176" s="368"/>
      <c r="M176" s="369"/>
      <c r="N176" s="369"/>
      <c r="O176" s="370"/>
      <c r="P176" s="369"/>
      <c r="Q176" s="364"/>
    </row>
    <row r="177" spans="10:17">
      <c r="J177" s="369"/>
      <c r="K177" s="368"/>
      <c r="L177" s="368"/>
      <c r="M177" s="369"/>
      <c r="N177" s="369"/>
      <c r="O177" s="370"/>
      <c r="P177" s="369"/>
      <c r="Q177" s="364"/>
    </row>
    <row r="178" spans="10:17">
      <c r="J178" s="369"/>
      <c r="K178" s="368"/>
      <c r="L178" s="368"/>
      <c r="M178" s="369"/>
      <c r="N178" s="369"/>
      <c r="O178" s="370"/>
      <c r="P178" s="369"/>
      <c r="Q178" s="364"/>
    </row>
    <row r="179" spans="10:17">
      <c r="J179" s="369"/>
      <c r="K179" s="368"/>
      <c r="L179" s="368"/>
      <c r="M179" s="369"/>
      <c r="N179" s="369"/>
      <c r="O179" s="370"/>
      <c r="P179" s="369"/>
      <c r="Q179" s="364"/>
    </row>
    <row r="180" spans="10:17">
      <c r="J180" s="371"/>
      <c r="K180" s="371"/>
      <c r="L180" s="371"/>
      <c r="M180" s="371"/>
      <c r="N180" s="371"/>
      <c r="O180" s="371"/>
      <c r="P180" s="369"/>
      <c r="Q180" s="364"/>
    </row>
    <row r="181" spans="10:17">
      <c r="P181" s="369"/>
      <c r="Q181" s="364"/>
    </row>
    <row r="182" spans="10:17">
      <c r="P182" s="369"/>
      <c r="Q182" s="364"/>
    </row>
    <row r="183" spans="10:17">
      <c r="J183" s="369"/>
      <c r="K183" s="368"/>
      <c r="L183" s="368"/>
      <c r="M183" s="369"/>
      <c r="N183" s="369"/>
      <c r="O183" s="370"/>
      <c r="P183" s="369"/>
      <c r="Q183" s="364"/>
    </row>
    <row r="184" spans="10:17">
      <c r="J184" s="369"/>
      <c r="K184" s="368"/>
      <c r="L184" s="368"/>
      <c r="M184" s="369"/>
      <c r="N184" s="369"/>
      <c r="O184" s="370"/>
      <c r="P184" s="369"/>
      <c r="Q184" s="364"/>
    </row>
    <row r="185" spans="10:17">
      <c r="J185" s="369"/>
      <c r="K185" s="368"/>
      <c r="L185" s="368"/>
      <c r="M185" s="369"/>
      <c r="N185" s="369"/>
      <c r="O185" s="370"/>
      <c r="P185" s="369"/>
      <c r="Q185" s="364"/>
    </row>
    <row r="186" spans="10:17">
      <c r="J186" s="369"/>
      <c r="K186" s="368"/>
      <c r="L186" s="368"/>
      <c r="M186" s="369"/>
      <c r="N186" s="369"/>
      <c r="O186" s="370"/>
      <c r="P186" s="369"/>
    </row>
    <row r="187" spans="10:17">
      <c r="J187" s="369"/>
      <c r="K187" s="369"/>
      <c r="L187" s="369"/>
      <c r="M187" s="369"/>
      <c r="N187" s="369"/>
      <c r="O187" s="369"/>
      <c r="P187" s="369"/>
    </row>
    <row r="188" spans="10:17">
      <c r="J188" s="369"/>
      <c r="K188" s="369"/>
      <c r="L188" s="369"/>
      <c r="M188" s="369"/>
      <c r="N188" s="369"/>
      <c r="O188" s="369"/>
      <c r="P188" s="364"/>
    </row>
    <row r="189" spans="10:17">
      <c r="J189" s="369"/>
      <c r="K189" s="369"/>
      <c r="L189" s="369"/>
      <c r="M189" s="369"/>
      <c r="N189" s="369"/>
      <c r="O189" s="369"/>
      <c r="P189" s="364"/>
    </row>
    <row r="190" spans="10:17">
      <c r="J190" s="369"/>
      <c r="K190" s="369"/>
      <c r="L190" s="369"/>
      <c r="M190" s="369"/>
      <c r="N190" s="369"/>
      <c r="O190" s="369"/>
      <c r="P190" s="364"/>
    </row>
    <row r="191" spans="10:17">
      <c r="J191" s="369"/>
      <c r="K191" s="369"/>
      <c r="L191" s="369"/>
      <c r="M191" s="369"/>
      <c r="N191" s="369"/>
      <c r="O191" s="369"/>
      <c r="P191" s="364"/>
    </row>
    <row r="192" spans="10:17">
      <c r="J192" s="369"/>
      <c r="K192" s="369"/>
      <c r="L192" s="369"/>
      <c r="M192" s="369"/>
      <c r="N192" s="369"/>
      <c r="O192" s="369"/>
      <c r="P192" s="364"/>
    </row>
    <row r="193" spans="10:16">
      <c r="J193" s="369"/>
      <c r="K193" s="369"/>
      <c r="L193" s="369"/>
      <c r="M193" s="369"/>
      <c r="N193" s="369"/>
      <c r="O193" s="369"/>
      <c r="P193" s="364"/>
    </row>
    <row r="194" spans="10:16">
      <c r="J194" s="369"/>
      <c r="K194" s="369"/>
      <c r="L194" s="369"/>
      <c r="M194" s="369"/>
      <c r="N194" s="369"/>
      <c r="O194" s="369"/>
      <c r="P194" s="364"/>
    </row>
    <row r="195" spans="10:16">
      <c r="J195" s="369"/>
      <c r="K195" s="369"/>
      <c r="L195" s="369"/>
      <c r="M195" s="369"/>
      <c r="N195" s="369"/>
      <c r="O195" s="369"/>
      <c r="P195" s="364"/>
    </row>
    <row r="196" spans="10:16">
      <c r="J196" s="369"/>
      <c r="K196" s="369"/>
      <c r="L196" s="369"/>
      <c r="M196" s="369"/>
      <c r="N196" s="369"/>
      <c r="O196" s="369"/>
      <c r="P196" s="364"/>
    </row>
    <row r="197" spans="10:16">
      <c r="J197" s="372"/>
      <c r="K197" s="372"/>
      <c r="L197" s="372"/>
      <c r="M197" s="372"/>
      <c r="N197" s="372"/>
      <c r="O197" s="372"/>
      <c r="P197" s="364"/>
    </row>
    <row r="198" spans="10:16">
      <c r="J198" s="372"/>
      <c r="K198" s="372"/>
      <c r="L198" s="372"/>
      <c r="M198" s="372"/>
      <c r="N198" s="372"/>
      <c r="O198" s="372"/>
      <c r="P198" s="364"/>
    </row>
    <row r="199" spans="10:16">
      <c r="J199" s="372"/>
      <c r="K199" s="372"/>
      <c r="L199" s="372"/>
      <c r="M199" s="372"/>
      <c r="N199" s="372"/>
      <c r="O199" s="372"/>
      <c r="P199" s="364"/>
    </row>
    <row r="200" spans="10:16">
      <c r="J200" s="372"/>
      <c r="K200" s="372"/>
      <c r="L200" s="372"/>
      <c r="M200" s="372"/>
      <c r="N200" s="372"/>
      <c r="O200" s="372"/>
      <c r="P200" s="364"/>
    </row>
    <row r="201" spans="10:16">
      <c r="J201" s="368"/>
      <c r="K201" s="368"/>
      <c r="L201" s="368"/>
      <c r="M201" s="368"/>
      <c r="N201" s="364"/>
      <c r="O201" s="364"/>
      <c r="P201" s="364"/>
    </row>
    <row r="202" spans="10:16">
      <c r="J202" s="368"/>
      <c r="K202" s="368"/>
      <c r="L202" s="368"/>
      <c r="M202" s="368"/>
      <c r="N202" s="364"/>
      <c r="O202" s="364"/>
      <c r="P202" s="364"/>
    </row>
    <row r="203" spans="10:16">
      <c r="J203" s="372"/>
      <c r="K203" s="372"/>
      <c r="L203" s="372"/>
      <c r="M203" s="372"/>
      <c r="N203" s="372"/>
      <c r="O203" s="372"/>
      <c r="P203" s="364"/>
    </row>
    <row r="204" spans="10:16">
      <c r="J204" s="372"/>
      <c r="K204" s="372"/>
      <c r="L204" s="372"/>
      <c r="M204" s="372"/>
      <c r="N204" s="372"/>
      <c r="O204" s="372"/>
      <c r="P204" s="364"/>
    </row>
    <row r="205" spans="10:16">
      <c r="J205" s="372"/>
      <c r="K205" s="372"/>
      <c r="L205" s="372"/>
      <c r="M205" s="372"/>
      <c r="N205" s="372"/>
      <c r="O205" s="372"/>
      <c r="P205" s="369"/>
    </row>
    <row r="206" spans="10:16">
      <c r="J206" s="369"/>
      <c r="K206" s="368"/>
      <c r="L206" s="368"/>
      <c r="M206" s="369"/>
      <c r="N206" s="369"/>
      <c r="O206" s="370"/>
      <c r="P206" s="369"/>
    </row>
    <row r="207" spans="10:16">
      <c r="J207" s="368"/>
      <c r="K207" s="368"/>
      <c r="L207" s="368"/>
      <c r="M207" s="368"/>
      <c r="N207" s="364"/>
      <c r="O207" s="364"/>
      <c r="P207" s="369"/>
    </row>
    <row r="208" spans="10:16">
      <c r="J208" s="368"/>
      <c r="K208" s="368"/>
      <c r="L208" s="368"/>
      <c r="M208" s="368"/>
      <c r="N208" s="364"/>
      <c r="O208" s="364"/>
      <c r="P208" s="369"/>
    </row>
    <row r="209" spans="10:16">
      <c r="J209" s="368"/>
      <c r="K209" s="368"/>
      <c r="L209" s="368"/>
      <c r="M209" s="368"/>
      <c r="N209" s="364"/>
      <c r="O209" s="364"/>
      <c r="P209" s="369"/>
    </row>
    <row r="210" spans="10:16">
      <c r="J210" s="369"/>
      <c r="K210" s="368"/>
      <c r="L210" s="368"/>
      <c r="M210" s="369"/>
      <c r="N210" s="369"/>
      <c r="O210" s="370"/>
      <c r="P210" s="369"/>
    </row>
    <row r="211" spans="10:16">
      <c r="J211" s="369"/>
      <c r="K211" s="368"/>
      <c r="L211" s="368"/>
      <c r="M211" s="369"/>
      <c r="N211" s="369"/>
      <c r="O211" s="370"/>
      <c r="P211" s="369"/>
    </row>
    <row r="212" spans="10:16">
      <c r="J212" s="369"/>
      <c r="K212" s="368"/>
      <c r="L212" s="368"/>
      <c r="M212" s="369"/>
      <c r="N212" s="369"/>
      <c r="O212" s="370"/>
      <c r="P212" s="369"/>
    </row>
    <row r="213" spans="10:16">
      <c r="J213" s="369"/>
      <c r="K213" s="368"/>
      <c r="L213" s="368"/>
      <c r="M213" s="369"/>
      <c r="N213" s="369"/>
      <c r="O213" s="370"/>
      <c r="P213" s="369"/>
    </row>
    <row r="214" spans="10:16">
      <c r="J214" s="369"/>
      <c r="K214" s="368"/>
      <c r="L214" s="368"/>
      <c r="M214" s="369"/>
      <c r="N214" s="369"/>
      <c r="O214" s="370"/>
      <c r="P214" s="369"/>
    </row>
    <row r="215" spans="10:16">
      <c r="J215" s="369"/>
      <c r="K215" s="368"/>
      <c r="L215" s="368"/>
      <c r="M215" s="369"/>
      <c r="N215" s="369"/>
      <c r="O215" s="370"/>
      <c r="P215" s="364"/>
    </row>
    <row r="216" spans="10:16">
      <c r="J216" s="369"/>
      <c r="K216" s="368"/>
      <c r="L216" s="368"/>
      <c r="M216" s="369"/>
      <c r="N216" s="369"/>
      <c r="O216" s="370"/>
      <c r="P216" s="364"/>
    </row>
    <row r="217" spans="10:16">
      <c r="J217" s="369"/>
      <c r="K217" s="368"/>
      <c r="L217" s="368"/>
      <c r="M217" s="369"/>
      <c r="N217" s="369"/>
      <c r="O217" s="370"/>
      <c r="P217" s="364"/>
    </row>
    <row r="218" spans="10:16">
      <c r="J218" s="372"/>
      <c r="K218" s="372"/>
      <c r="L218" s="372"/>
      <c r="M218" s="372"/>
      <c r="N218" s="372"/>
      <c r="O218" s="372"/>
      <c r="P218" s="364"/>
    </row>
    <row r="219" spans="10:16">
      <c r="J219" s="372"/>
      <c r="K219" s="372"/>
      <c r="L219" s="372"/>
      <c r="M219" s="372"/>
      <c r="N219" s="372"/>
      <c r="O219" s="372"/>
      <c r="P219" s="364"/>
    </row>
    <row r="220" spans="10:16">
      <c r="J220" s="372"/>
      <c r="K220" s="372"/>
      <c r="L220" s="372"/>
      <c r="M220" s="372"/>
      <c r="N220" s="372"/>
      <c r="O220" s="372"/>
      <c r="P220" s="364"/>
    </row>
    <row r="221" spans="10:16">
      <c r="J221" s="372"/>
      <c r="K221" s="372"/>
      <c r="L221" s="372"/>
      <c r="M221" s="372"/>
      <c r="N221" s="372"/>
      <c r="O221" s="372"/>
      <c r="P221" s="369"/>
    </row>
    <row r="222" spans="10:16">
      <c r="J222" s="372"/>
      <c r="K222" s="372"/>
      <c r="L222" s="372"/>
      <c r="M222" s="372"/>
      <c r="N222" s="372"/>
      <c r="O222" s="372"/>
      <c r="P222" s="369"/>
    </row>
    <row r="223" spans="10:16">
      <c r="J223" s="372"/>
      <c r="K223" s="372"/>
      <c r="L223" s="372"/>
      <c r="M223" s="372"/>
      <c r="N223" s="372"/>
      <c r="O223" s="372"/>
      <c r="P223" s="369"/>
    </row>
    <row r="224" spans="10:16">
      <c r="J224" s="372"/>
      <c r="K224" s="372"/>
      <c r="L224" s="372"/>
      <c r="M224" s="372"/>
      <c r="N224" s="372"/>
      <c r="O224" s="372"/>
      <c r="P224" s="369"/>
    </row>
    <row r="225" spans="10:16">
      <c r="J225" s="372"/>
      <c r="K225" s="372"/>
      <c r="L225" s="372"/>
      <c r="M225" s="372"/>
      <c r="N225" s="372"/>
      <c r="O225" s="372"/>
      <c r="P225" s="369"/>
    </row>
    <row r="226" spans="10:16">
      <c r="J226" s="372"/>
      <c r="K226" s="372"/>
      <c r="L226" s="372"/>
      <c r="M226" s="372"/>
      <c r="N226" s="372"/>
      <c r="O226" s="372"/>
      <c r="P226" s="369"/>
    </row>
    <row r="227" spans="10:16">
      <c r="J227" s="372"/>
      <c r="K227" s="372"/>
      <c r="L227" s="372"/>
      <c r="M227" s="372"/>
      <c r="N227" s="372"/>
      <c r="O227" s="372"/>
      <c r="P227" s="369"/>
    </row>
    <row r="228" spans="10:16">
      <c r="J228" s="372"/>
      <c r="K228" s="372"/>
      <c r="L228" s="372"/>
      <c r="M228" s="372"/>
      <c r="N228" s="372"/>
      <c r="O228" s="372"/>
      <c r="P228" s="369"/>
    </row>
    <row r="229" spans="10:16">
      <c r="J229" s="369"/>
      <c r="K229" s="369"/>
      <c r="L229" s="369"/>
      <c r="M229" s="369"/>
      <c r="N229" s="369"/>
      <c r="O229" s="369"/>
      <c r="P229" s="369"/>
    </row>
    <row r="230" spans="10:16">
      <c r="J230" s="369"/>
      <c r="K230" s="369"/>
      <c r="L230" s="369"/>
      <c r="M230" s="369"/>
      <c r="N230" s="369"/>
      <c r="O230" s="369"/>
      <c r="P230" s="369"/>
    </row>
    <row r="231" spans="10:16">
      <c r="J231" s="369"/>
      <c r="K231" s="369"/>
      <c r="L231" s="369"/>
      <c r="M231" s="369"/>
      <c r="N231" s="369"/>
      <c r="O231" s="369"/>
      <c r="P231" s="369"/>
    </row>
    <row r="232" spans="10:16">
      <c r="J232" s="369"/>
      <c r="K232" s="369"/>
      <c r="L232" s="369"/>
      <c r="M232" s="369"/>
      <c r="N232" s="369"/>
      <c r="O232" s="369"/>
      <c r="P232" s="369"/>
    </row>
    <row r="233" spans="10:16">
      <c r="J233" s="369"/>
      <c r="K233" s="369"/>
      <c r="L233" s="369"/>
      <c r="M233" s="369"/>
      <c r="N233" s="369"/>
      <c r="O233" s="369"/>
      <c r="P233" s="370"/>
    </row>
    <row r="234" spans="10:16">
      <c r="J234" s="369"/>
      <c r="K234" s="369"/>
      <c r="L234" s="369"/>
      <c r="M234" s="369"/>
      <c r="N234" s="369"/>
      <c r="O234" s="369"/>
      <c r="P234" s="370"/>
    </row>
    <row r="235" spans="10:16">
      <c r="J235" s="369"/>
      <c r="K235" s="369"/>
      <c r="L235" s="369"/>
      <c r="M235" s="369"/>
      <c r="N235" s="369"/>
      <c r="O235" s="369"/>
      <c r="P235" s="370"/>
    </row>
    <row r="236" spans="10:16">
      <c r="J236" s="369"/>
      <c r="K236" s="369"/>
      <c r="L236" s="369"/>
      <c r="M236" s="369"/>
      <c r="N236" s="369"/>
      <c r="O236" s="369"/>
      <c r="P236" s="370"/>
    </row>
    <row r="237" spans="10:16">
      <c r="J237" s="369"/>
      <c r="K237" s="369"/>
      <c r="L237" s="369"/>
      <c r="M237" s="369"/>
      <c r="N237" s="369"/>
      <c r="O237" s="369"/>
      <c r="P237" s="370"/>
    </row>
    <row r="238" spans="10:16">
      <c r="J238" s="369"/>
      <c r="K238" s="369"/>
      <c r="L238" s="369"/>
      <c r="M238" s="369"/>
      <c r="N238" s="369"/>
      <c r="O238" s="369"/>
      <c r="P238" s="370"/>
    </row>
    <row r="239" spans="10:16">
      <c r="J239" s="369"/>
      <c r="K239" s="369"/>
      <c r="L239" s="369"/>
      <c r="M239" s="369"/>
      <c r="N239" s="369"/>
      <c r="O239" s="369"/>
      <c r="P239" s="370"/>
    </row>
    <row r="240" spans="10:16">
      <c r="J240" s="369"/>
      <c r="K240" s="369"/>
      <c r="L240" s="369"/>
      <c r="M240" s="369"/>
      <c r="N240" s="369"/>
      <c r="O240" s="369"/>
      <c r="P240" s="370"/>
    </row>
    <row r="241" spans="10:16">
      <c r="J241" s="369"/>
      <c r="K241" s="369"/>
      <c r="L241" s="369"/>
      <c r="M241" s="369"/>
      <c r="N241" s="369"/>
      <c r="O241" s="369"/>
      <c r="P241" s="370"/>
    </row>
    <row r="242" spans="10:16">
      <c r="J242" s="369"/>
      <c r="K242" s="369"/>
      <c r="L242" s="369"/>
      <c r="M242" s="369"/>
      <c r="N242" s="369"/>
      <c r="O242" s="369"/>
      <c r="P242" s="370"/>
    </row>
    <row r="243" spans="10:16">
      <c r="J243" s="369"/>
      <c r="K243" s="369"/>
      <c r="L243" s="369"/>
      <c r="M243" s="369"/>
      <c r="N243" s="369"/>
      <c r="O243" s="370"/>
      <c r="P243" s="370"/>
    </row>
    <row r="244" spans="10:16">
      <c r="J244" s="369"/>
      <c r="K244" s="369"/>
      <c r="L244" s="369"/>
      <c r="M244" s="369"/>
      <c r="N244" s="369"/>
      <c r="O244" s="370"/>
      <c r="P244" s="370"/>
    </row>
    <row r="245" spans="10:16">
      <c r="J245" s="369"/>
      <c r="K245" s="369"/>
      <c r="L245" s="369"/>
      <c r="M245" s="369"/>
      <c r="N245" s="369"/>
      <c r="O245" s="370"/>
      <c r="P245" s="370"/>
    </row>
    <row r="246" spans="10:16">
      <c r="J246" s="369"/>
      <c r="K246" s="369"/>
      <c r="L246" s="369"/>
      <c r="M246" s="369"/>
      <c r="N246" s="369"/>
      <c r="O246" s="370"/>
      <c r="P246" s="370"/>
    </row>
    <row r="247" spans="10:16">
      <c r="J247" s="369"/>
      <c r="K247" s="369"/>
      <c r="L247" s="369"/>
      <c r="M247" s="369"/>
      <c r="N247" s="369"/>
      <c r="O247" s="370"/>
      <c r="P247" s="370"/>
    </row>
    <row r="248" spans="10:16">
      <c r="J248" s="369"/>
      <c r="K248" s="369"/>
      <c r="L248" s="369"/>
      <c r="M248" s="369"/>
      <c r="N248" s="369"/>
      <c r="O248" s="370"/>
      <c r="P248" s="370"/>
    </row>
    <row r="249" spans="10:16">
      <c r="J249" s="369"/>
      <c r="K249" s="369"/>
      <c r="L249" s="369"/>
      <c r="M249" s="369"/>
      <c r="N249" s="369"/>
      <c r="O249" s="370"/>
      <c r="P249" s="370"/>
    </row>
    <row r="250" spans="10:16">
      <c r="J250" s="369"/>
      <c r="K250" s="369"/>
      <c r="L250" s="369"/>
      <c r="M250" s="370"/>
      <c r="N250" s="370"/>
      <c r="O250" s="370"/>
      <c r="P250" s="370"/>
    </row>
    <row r="251" spans="10:16">
      <c r="J251" s="369"/>
      <c r="K251" s="369"/>
      <c r="L251" s="369"/>
      <c r="M251" s="369"/>
      <c r="N251" s="369"/>
      <c r="O251" s="370"/>
      <c r="P251" s="370"/>
    </row>
    <row r="252" spans="10:16">
      <c r="J252" s="369"/>
      <c r="K252" s="369"/>
      <c r="L252" s="369"/>
      <c r="M252" s="369"/>
      <c r="N252" s="369"/>
      <c r="O252" s="370"/>
      <c r="P252" s="370"/>
    </row>
    <row r="253" spans="10:16">
      <c r="J253" s="369"/>
      <c r="K253" s="369"/>
      <c r="L253" s="369"/>
      <c r="M253" s="369"/>
      <c r="N253" s="369"/>
      <c r="O253" s="370"/>
      <c r="P253" s="370"/>
    </row>
    <row r="254" spans="10:16">
      <c r="J254" s="369"/>
      <c r="K254" s="369"/>
      <c r="L254" s="369"/>
      <c r="M254" s="369"/>
      <c r="N254" s="369"/>
      <c r="O254" s="370"/>
      <c r="P254" s="370"/>
    </row>
    <row r="255" spans="10:16">
      <c r="J255" s="369"/>
      <c r="K255" s="369"/>
      <c r="L255" s="369"/>
      <c r="M255" s="369"/>
      <c r="N255" s="369"/>
      <c r="O255" s="370"/>
      <c r="P255" s="370"/>
    </row>
    <row r="256" spans="10:16">
      <c r="J256" s="369"/>
      <c r="K256" s="369"/>
      <c r="L256" s="369"/>
      <c r="M256" s="369"/>
      <c r="N256" s="369"/>
      <c r="O256" s="370"/>
      <c r="P256" s="369"/>
    </row>
    <row r="257" spans="10:16">
      <c r="J257" s="369"/>
      <c r="K257" s="369"/>
      <c r="L257" s="369"/>
      <c r="M257" s="369"/>
      <c r="N257" s="369"/>
      <c r="O257" s="370"/>
      <c r="P257" s="369"/>
    </row>
    <row r="258" spans="10:16">
      <c r="J258" s="369"/>
      <c r="K258" s="369"/>
      <c r="L258" s="369"/>
      <c r="M258" s="369"/>
      <c r="N258" s="369"/>
      <c r="O258" s="370"/>
      <c r="P258" s="369"/>
    </row>
    <row r="259" spans="10:16">
      <c r="J259" s="369"/>
      <c r="K259" s="369"/>
      <c r="L259" s="369"/>
      <c r="M259" s="369"/>
      <c r="N259" s="369"/>
      <c r="O259" s="370"/>
      <c r="P259" s="369"/>
    </row>
    <row r="260" spans="10:16">
      <c r="J260" s="369"/>
      <c r="K260" s="369"/>
      <c r="L260" s="369"/>
      <c r="M260" s="369"/>
      <c r="N260" s="369"/>
      <c r="O260" s="370"/>
      <c r="P260" s="369"/>
    </row>
    <row r="261" spans="10:16">
      <c r="J261" s="369"/>
      <c r="K261" s="369"/>
      <c r="L261" s="369"/>
      <c r="M261" s="369"/>
      <c r="N261" s="369"/>
      <c r="O261" s="370"/>
      <c r="P261" s="369"/>
    </row>
    <row r="262" spans="10:16">
      <c r="J262" s="369"/>
      <c r="K262" s="369"/>
      <c r="L262" s="369"/>
      <c r="M262" s="369"/>
      <c r="N262" s="369"/>
      <c r="O262" s="369"/>
      <c r="P262" s="369"/>
    </row>
    <row r="263" spans="10:16">
      <c r="J263" s="369"/>
      <c r="K263" s="369"/>
      <c r="L263" s="369"/>
      <c r="M263" s="369"/>
      <c r="N263" s="369"/>
      <c r="O263" s="369"/>
      <c r="P263" s="369"/>
    </row>
    <row r="264" spans="10:16">
      <c r="J264" s="369"/>
      <c r="K264" s="369"/>
      <c r="L264" s="369"/>
      <c r="M264" s="369"/>
      <c r="N264" s="369"/>
      <c r="O264" s="369"/>
      <c r="P264" s="369"/>
    </row>
    <row r="265" spans="10:16">
      <c r="J265" s="369"/>
      <c r="K265" s="369"/>
      <c r="L265" s="369"/>
      <c r="M265" s="369"/>
      <c r="N265" s="369"/>
      <c r="O265" s="369"/>
      <c r="P265" s="370"/>
    </row>
    <row r="266" spans="10:16">
      <c r="J266" s="369"/>
      <c r="K266" s="373"/>
      <c r="L266" s="373"/>
      <c r="M266" s="373"/>
      <c r="N266" s="373"/>
      <c r="O266" s="373"/>
      <c r="P266" s="370"/>
    </row>
    <row r="267" spans="10:16">
      <c r="J267" s="369"/>
      <c r="K267" s="373"/>
      <c r="L267" s="373"/>
      <c r="M267" s="373"/>
      <c r="N267" s="373"/>
      <c r="O267" s="373"/>
      <c r="P267" s="370"/>
    </row>
    <row r="268" spans="10:16">
      <c r="J268" s="369"/>
      <c r="K268" s="369"/>
      <c r="L268" s="369"/>
      <c r="M268" s="369"/>
      <c r="N268" s="369"/>
      <c r="O268" s="369"/>
      <c r="P268" s="370"/>
    </row>
    <row r="269" spans="10:16">
      <c r="J269" s="369"/>
      <c r="K269" s="369"/>
      <c r="L269" s="369"/>
      <c r="M269" s="369"/>
      <c r="N269" s="369"/>
      <c r="O269" s="369"/>
      <c r="P269" s="370"/>
    </row>
    <row r="270" spans="10:16">
      <c r="J270" s="369"/>
      <c r="K270" s="369"/>
      <c r="L270" s="369"/>
      <c r="M270" s="369"/>
      <c r="N270" s="369"/>
      <c r="O270" s="369"/>
      <c r="P270" s="370"/>
    </row>
    <row r="271" spans="10:16">
      <c r="J271" s="369"/>
      <c r="K271" s="369"/>
      <c r="L271" s="369"/>
      <c r="M271" s="369"/>
      <c r="N271" s="369"/>
      <c r="O271" s="369"/>
      <c r="P271" s="370"/>
    </row>
    <row r="272" spans="10:16">
      <c r="J272" s="369"/>
      <c r="K272" s="369"/>
      <c r="L272" s="369"/>
      <c r="M272" s="369"/>
      <c r="N272" s="369"/>
      <c r="O272" s="369"/>
      <c r="P272" s="370"/>
    </row>
    <row r="273" spans="10:16">
      <c r="J273" s="373"/>
      <c r="K273" s="369"/>
      <c r="L273" s="369"/>
      <c r="M273" s="369"/>
      <c r="N273" s="369"/>
      <c r="O273" s="369"/>
      <c r="P273" s="370"/>
    </row>
    <row r="274" spans="10:16">
      <c r="J274" s="373"/>
      <c r="K274" s="369"/>
      <c r="L274" s="369"/>
      <c r="M274" s="369"/>
      <c r="N274" s="369"/>
      <c r="O274" s="369"/>
      <c r="P274" s="369"/>
    </row>
    <row r="275" spans="10:16">
      <c r="J275" s="369"/>
      <c r="K275" s="369"/>
      <c r="L275" s="369"/>
      <c r="M275" s="369"/>
      <c r="N275" s="369"/>
      <c r="O275" s="369"/>
      <c r="P275" s="370"/>
    </row>
    <row r="276" spans="10:16">
      <c r="J276" s="369"/>
      <c r="K276" s="369"/>
      <c r="L276" s="369"/>
      <c r="M276" s="369"/>
      <c r="N276" s="369"/>
      <c r="O276" s="369"/>
      <c r="P276" s="370"/>
    </row>
    <row r="277" spans="10:16">
      <c r="J277" s="369"/>
      <c r="K277" s="369"/>
      <c r="L277" s="369"/>
      <c r="M277" s="369"/>
      <c r="N277" s="369"/>
      <c r="O277" s="369"/>
      <c r="P277" s="370"/>
    </row>
    <row r="278" spans="10:16">
      <c r="J278" s="369"/>
      <c r="K278" s="369"/>
      <c r="L278" s="369"/>
      <c r="M278" s="369"/>
      <c r="N278" s="369"/>
      <c r="O278" s="369"/>
      <c r="P278" s="370"/>
    </row>
    <row r="279" spans="10:16">
      <c r="J279" s="369"/>
      <c r="K279" s="369"/>
      <c r="L279" s="369"/>
      <c r="M279" s="369"/>
      <c r="N279" s="369"/>
      <c r="O279" s="369"/>
      <c r="P279" s="370"/>
    </row>
    <row r="280" spans="10:16">
      <c r="J280" s="369"/>
      <c r="K280" s="369"/>
      <c r="L280" s="369"/>
      <c r="M280" s="369"/>
      <c r="N280" s="369"/>
      <c r="O280" s="369"/>
      <c r="P280" s="370"/>
    </row>
    <row r="281" spans="10:16">
      <c r="J281" s="369"/>
      <c r="K281" s="369"/>
      <c r="L281" s="369"/>
      <c r="M281" s="369"/>
      <c r="N281" s="369"/>
      <c r="O281" s="369"/>
      <c r="P281" s="369"/>
    </row>
    <row r="282" spans="10:16">
      <c r="J282" s="369"/>
      <c r="K282" s="369"/>
      <c r="L282" s="369"/>
      <c r="M282" s="370"/>
      <c r="N282" s="370"/>
      <c r="O282" s="370"/>
      <c r="P282" s="369"/>
    </row>
    <row r="283" spans="10:16">
      <c r="J283" s="369"/>
      <c r="K283" s="369"/>
      <c r="L283" s="369"/>
      <c r="M283" s="370"/>
      <c r="N283" s="370"/>
      <c r="O283" s="370"/>
      <c r="P283" s="369"/>
    </row>
    <row r="284" spans="10:16">
      <c r="J284" s="369"/>
      <c r="K284" s="369"/>
      <c r="L284" s="369"/>
      <c r="M284" s="370"/>
      <c r="N284" s="370"/>
      <c r="O284" s="370"/>
      <c r="P284" s="369"/>
    </row>
    <row r="285" spans="10:16">
      <c r="J285" s="369"/>
      <c r="K285" s="369"/>
      <c r="L285" s="369"/>
      <c r="M285" s="370"/>
      <c r="N285" s="370"/>
      <c r="O285" s="370"/>
      <c r="P285" s="369"/>
    </row>
    <row r="286" spans="10:16">
      <c r="J286" s="369"/>
      <c r="K286" s="369"/>
      <c r="L286" s="369"/>
      <c r="M286" s="370"/>
      <c r="N286" s="370"/>
      <c r="O286" s="370"/>
      <c r="P286" s="369"/>
    </row>
    <row r="287" spans="10:16">
      <c r="J287" s="369"/>
      <c r="K287" s="369"/>
      <c r="L287" s="369"/>
      <c r="M287" s="370"/>
      <c r="N287" s="370"/>
      <c r="O287" s="370"/>
      <c r="P287" s="369"/>
    </row>
    <row r="288" spans="10:16">
      <c r="J288" s="369"/>
      <c r="K288" s="369"/>
      <c r="L288" s="369"/>
      <c r="M288" s="370"/>
      <c r="N288" s="370"/>
      <c r="O288" s="370"/>
      <c r="P288" s="369"/>
    </row>
    <row r="289" spans="10:16">
      <c r="J289" s="369"/>
      <c r="K289" s="369"/>
      <c r="L289" s="369"/>
      <c r="M289" s="370"/>
      <c r="N289" s="370"/>
      <c r="O289" s="370"/>
      <c r="P289" s="369"/>
    </row>
    <row r="290" spans="10:16">
      <c r="J290" s="369"/>
      <c r="K290" s="369"/>
      <c r="L290" s="369"/>
      <c r="M290" s="370"/>
      <c r="N290" s="370"/>
      <c r="O290" s="370"/>
      <c r="P290" s="369"/>
    </row>
    <row r="291" spans="10:16">
      <c r="J291" s="369"/>
      <c r="K291" s="369"/>
      <c r="L291" s="369"/>
      <c r="M291" s="370"/>
      <c r="N291" s="370"/>
      <c r="O291" s="370"/>
      <c r="P291" s="369"/>
    </row>
    <row r="292" spans="10:16">
      <c r="J292" s="369"/>
      <c r="K292" s="369"/>
      <c r="L292" s="369"/>
      <c r="M292" s="370"/>
      <c r="N292" s="370"/>
      <c r="O292" s="370"/>
      <c r="P292" s="369"/>
    </row>
    <row r="293" spans="10:16">
      <c r="J293" s="369"/>
      <c r="K293" s="369"/>
      <c r="L293" s="369"/>
      <c r="M293" s="370"/>
      <c r="N293" s="370"/>
      <c r="O293" s="370"/>
      <c r="P293" s="369"/>
    </row>
    <row r="294" spans="10:16">
      <c r="J294" s="369"/>
      <c r="K294" s="369"/>
      <c r="L294" s="369"/>
      <c r="M294" s="370"/>
      <c r="N294" s="370"/>
      <c r="O294" s="370"/>
      <c r="P294" s="364"/>
    </row>
    <row r="295" spans="10:16">
      <c r="J295" s="369"/>
      <c r="K295" s="369"/>
      <c r="L295" s="369"/>
      <c r="M295" s="370"/>
      <c r="N295" s="370"/>
      <c r="O295" s="370"/>
      <c r="P295" s="364"/>
    </row>
    <row r="296" spans="10:16">
      <c r="J296" s="369"/>
      <c r="K296" s="369"/>
      <c r="L296" s="369"/>
      <c r="M296" s="370"/>
      <c r="N296" s="370"/>
      <c r="O296" s="370"/>
      <c r="P296" s="364"/>
    </row>
    <row r="297" spans="10:16">
      <c r="J297" s="369"/>
      <c r="K297" s="369"/>
      <c r="L297" s="369"/>
      <c r="M297" s="370"/>
      <c r="N297" s="370"/>
      <c r="O297" s="370"/>
      <c r="P297" s="364"/>
    </row>
    <row r="298" spans="10:16">
      <c r="J298" s="369"/>
      <c r="K298" s="369"/>
      <c r="L298" s="369"/>
      <c r="M298" s="370"/>
      <c r="N298" s="370"/>
      <c r="O298" s="370"/>
      <c r="P298" s="364"/>
    </row>
    <row r="299" spans="10:16">
      <c r="J299" s="369"/>
      <c r="K299" s="369"/>
      <c r="L299" s="369"/>
      <c r="M299" s="370"/>
      <c r="N299" s="370"/>
      <c r="O299" s="370"/>
      <c r="P299" s="364"/>
    </row>
    <row r="300" spans="10:16">
      <c r="J300" s="369"/>
      <c r="K300" s="369"/>
      <c r="L300" s="369"/>
      <c r="M300" s="370"/>
      <c r="N300" s="370"/>
      <c r="O300" s="370"/>
      <c r="P300" s="364"/>
    </row>
    <row r="301" spans="10:16">
      <c r="J301" s="369"/>
      <c r="K301" s="369"/>
      <c r="L301" s="369"/>
      <c r="M301" s="370"/>
      <c r="N301" s="370"/>
      <c r="O301" s="370"/>
      <c r="P301" s="364"/>
    </row>
    <row r="302" spans="10:16">
      <c r="J302" s="369"/>
      <c r="K302" s="369"/>
      <c r="L302" s="369"/>
      <c r="M302" s="370"/>
      <c r="N302" s="370"/>
      <c r="O302" s="370"/>
      <c r="P302" s="364"/>
    </row>
    <row r="303" spans="10:16">
      <c r="J303" s="369"/>
      <c r="K303" s="369"/>
      <c r="L303" s="369"/>
      <c r="M303" s="370"/>
      <c r="N303" s="370"/>
      <c r="O303" s="370"/>
      <c r="P303" s="364"/>
    </row>
    <row r="304" spans="10:16">
      <c r="J304" s="369"/>
      <c r="K304" s="369"/>
      <c r="L304" s="369"/>
      <c r="M304" s="370"/>
      <c r="N304" s="370"/>
      <c r="O304" s="370"/>
      <c r="P304" s="364"/>
    </row>
    <row r="305" spans="10:16">
      <c r="J305" s="369"/>
      <c r="K305" s="369"/>
      <c r="L305" s="369"/>
      <c r="M305" s="369"/>
      <c r="N305" s="369"/>
      <c r="O305" s="369"/>
      <c r="P305" s="364"/>
    </row>
    <row r="306" spans="10:16">
      <c r="J306" s="369"/>
      <c r="K306" s="369"/>
      <c r="L306" s="369"/>
      <c r="M306" s="369"/>
      <c r="N306" s="369"/>
      <c r="O306" s="369"/>
      <c r="P306" s="364"/>
    </row>
    <row r="307" spans="10:16">
      <c r="J307" s="369"/>
      <c r="K307" s="369"/>
      <c r="L307" s="369"/>
      <c r="M307" s="369"/>
      <c r="N307" s="369"/>
      <c r="O307" s="369"/>
      <c r="P307" s="364"/>
    </row>
    <row r="308" spans="10:16">
      <c r="J308" s="369"/>
      <c r="K308" s="369"/>
      <c r="L308" s="369"/>
      <c r="M308" s="369"/>
      <c r="N308" s="369"/>
      <c r="O308" s="369"/>
      <c r="P308" s="364"/>
    </row>
    <row r="309" spans="10:16">
      <c r="J309" s="369"/>
      <c r="K309" s="369"/>
      <c r="L309" s="369"/>
      <c r="M309" s="369"/>
      <c r="N309" s="369"/>
      <c r="O309" s="369"/>
      <c r="P309" s="364"/>
    </row>
    <row r="310" spans="10:16">
      <c r="J310" s="369"/>
      <c r="K310" s="369"/>
      <c r="L310" s="369"/>
      <c r="M310" s="369"/>
      <c r="N310" s="369"/>
      <c r="O310" s="369"/>
      <c r="P310" s="364"/>
    </row>
    <row r="311" spans="10:16">
      <c r="J311" s="369"/>
      <c r="K311" s="369"/>
      <c r="L311" s="369"/>
      <c r="M311" s="369"/>
      <c r="N311" s="369"/>
      <c r="O311" s="369"/>
      <c r="P311" s="364"/>
    </row>
    <row r="312" spans="10:16">
      <c r="J312" s="369"/>
      <c r="K312" s="369"/>
      <c r="L312" s="369"/>
      <c r="M312" s="369"/>
      <c r="N312" s="369"/>
      <c r="O312" s="369"/>
      <c r="P312" s="364"/>
    </row>
    <row r="313" spans="10:16">
      <c r="J313" s="369"/>
      <c r="K313" s="369"/>
      <c r="L313" s="369"/>
      <c r="M313" s="369"/>
      <c r="N313" s="369"/>
      <c r="O313" s="369"/>
      <c r="P313" s="364"/>
    </row>
    <row r="314" spans="10:16">
      <c r="J314" s="369"/>
      <c r="K314" s="369"/>
      <c r="L314" s="369"/>
      <c r="M314" s="370"/>
      <c r="N314" s="370"/>
      <c r="O314" s="370"/>
      <c r="P314" s="364"/>
    </row>
    <row r="315" spans="10:16">
      <c r="J315" s="369"/>
      <c r="K315" s="369"/>
      <c r="L315" s="369"/>
      <c r="M315" s="370"/>
      <c r="N315" s="370"/>
      <c r="O315" s="370"/>
      <c r="P315" s="364"/>
    </row>
    <row r="316" spans="10:16">
      <c r="J316" s="369"/>
      <c r="K316" s="369"/>
      <c r="L316" s="369"/>
      <c r="M316" s="370"/>
      <c r="N316" s="370"/>
      <c r="O316" s="370"/>
      <c r="P316" s="364"/>
    </row>
    <row r="317" spans="10:16">
      <c r="J317" s="369"/>
      <c r="K317" s="369"/>
      <c r="L317" s="369"/>
      <c r="M317" s="370"/>
      <c r="N317" s="370"/>
      <c r="O317" s="370"/>
      <c r="P317" s="364"/>
    </row>
    <row r="318" spans="10:16">
      <c r="J318" s="369"/>
      <c r="K318" s="369"/>
      <c r="L318" s="369"/>
      <c r="M318" s="370"/>
      <c r="N318" s="370"/>
      <c r="O318" s="370"/>
      <c r="P318" s="364"/>
    </row>
    <row r="319" spans="10:16">
      <c r="J319" s="369"/>
      <c r="K319" s="369"/>
      <c r="L319" s="369"/>
      <c r="M319" s="370"/>
      <c r="N319" s="370"/>
      <c r="O319" s="370"/>
      <c r="P319" s="364"/>
    </row>
    <row r="320" spans="10:16">
      <c r="J320" s="369"/>
      <c r="K320" s="369"/>
      <c r="L320" s="369"/>
      <c r="M320" s="370"/>
      <c r="N320" s="370"/>
      <c r="O320" s="370"/>
      <c r="P320" s="364"/>
    </row>
    <row r="321" spans="10:16">
      <c r="J321" s="369"/>
      <c r="K321" s="369"/>
      <c r="L321" s="369"/>
      <c r="M321" s="370"/>
      <c r="N321" s="370"/>
      <c r="O321" s="370"/>
      <c r="P321" s="364"/>
    </row>
    <row r="322" spans="10:16">
      <c r="J322" s="369"/>
      <c r="K322" s="369"/>
      <c r="L322" s="369"/>
      <c r="M322" s="370"/>
      <c r="N322" s="370"/>
      <c r="O322" s="370"/>
      <c r="P322" s="364"/>
    </row>
    <row r="323" spans="10:16">
      <c r="J323" s="369"/>
      <c r="K323" s="369"/>
      <c r="L323" s="369"/>
      <c r="M323" s="370"/>
      <c r="N323" s="369"/>
      <c r="O323" s="369"/>
      <c r="P323" s="364"/>
    </row>
    <row r="324" spans="10:16">
      <c r="J324" s="369"/>
      <c r="K324" s="369"/>
      <c r="L324" s="369"/>
      <c r="M324" s="370"/>
      <c r="N324" s="370"/>
      <c r="O324" s="370"/>
      <c r="P324" s="364"/>
    </row>
    <row r="325" spans="10:16">
      <c r="J325" s="369"/>
      <c r="K325" s="369"/>
      <c r="L325" s="369"/>
      <c r="M325" s="370"/>
      <c r="N325" s="370"/>
      <c r="O325" s="370"/>
    </row>
    <row r="326" spans="10:16">
      <c r="J326" s="369"/>
      <c r="K326" s="369"/>
      <c r="L326" s="369"/>
      <c r="M326" s="370"/>
      <c r="N326" s="370"/>
      <c r="O326" s="370"/>
    </row>
    <row r="327" spans="10:16">
      <c r="J327" s="369"/>
      <c r="K327" s="369"/>
      <c r="L327" s="369"/>
      <c r="M327" s="370"/>
      <c r="N327" s="370"/>
      <c r="O327" s="370"/>
    </row>
    <row r="328" spans="10:16">
      <c r="J328" s="369"/>
      <c r="K328" s="369"/>
      <c r="L328" s="369"/>
      <c r="M328" s="370"/>
      <c r="N328" s="370"/>
      <c r="O328" s="370"/>
    </row>
    <row r="329" spans="10:16">
      <c r="J329" s="369"/>
      <c r="K329" s="369"/>
      <c r="L329" s="369"/>
      <c r="M329" s="370"/>
      <c r="N329" s="370"/>
      <c r="O329" s="370"/>
    </row>
    <row r="330" spans="10:16">
      <c r="J330" s="369"/>
      <c r="K330" s="369"/>
      <c r="L330" s="369"/>
      <c r="M330" s="370"/>
      <c r="N330" s="369"/>
      <c r="O330" s="369"/>
    </row>
    <row r="331" spans="10:16">
      <c r="J331" s="369"/>
      <c r="K331" s="369"/>
      <c r="L331" s="369"/>
      <c r="M331" s="370"/>
      <c r="N331" s="369"/>
      <c r="O331" s="369"/>
    </row>
    <row r="332" spans="10:16">
      <c r="J332" s="369"/>
      <c r="K332" s="369"/>
      <c r="L332" s="369"/>
      <c r="M332" s="370"/>
      <c r="N332" s="369"/>
      <c r="O332" s="369"/>
    </row>
    <row r="333" spans="10:16">
      <c r="J333" s="369"/>
      <c r="K333" s="369"/>
      <c r="L333" s="369"/>
      <c r="M333" s="369"/>
      <c r="N333" s="369"/>
      <c r="O333" s="369"/>
    </row>
    <row r="334" spans="10:16">
      <c r="J334" s="369"/>
      <c r="K334" s="369"/>
      <c r="L334" s="369"/>
      <c r="M334" s="369"/>
      <c r="N334" s="369"/>
      <c r="O334" s="369"/>
    </row>
    <row r="335" spans="10:16">
      <c r="J335" s="369"/>
      <c r="K335" s="369"/>
      <c r="L335" s="369"/>
      <c r="M335" s="369"/>
      <c r="N335" s="369"/>
      <c r="O335" s="369"/>
    </row>
    <row r="336" spans="10:16">
      <c r="J336" s="369"/>
      <c r="K336" s="369"/>
      <c r="L336" s="369"/>
      <c r="M336" s="369"/>
      <c r="N336" s="369"/>
      <c r="O336" s="369"/>
    </row>
    <row r="337" spans="10:15">
      <c r="J337" s="369"/>
      <c r="K337" s="369"/>
      <c r="L337" s="369"/>
      <c r="M337" s="369"/>
      <c r="N337" s="369"/>
      <c r="O337" s="369"/>
    </row>
    <row r="338" spans="10:15">
      <c r="J338" s="369"/>
      <c r="K338" s="369"/>
      <c r="L338" s="369"/>
      <c r="M338" s="369"/>
      <c r="N338" s="369"/>
      <c r="O338" s="369"/>
    </row>
    <row r="339" spans="10:15">
      <c r="J339" s="369"/>
      <c r="K339" s="369"/>
      <c r="L339" s="369"/>
      <c r="M339" s="369"/>
      <c r="N339" s="369"/>
      <c r="O339" s="369"/>
    </row>
    <row r="340" spans="10:15">
      <c r="J340" s="369"/>
      <c r="K340" s="369"/>
      <c r="L340" s="369"/>
      <c r="M340" s="369"/>
      <c r="N340" s="369"/>
      <c r="O340" s="369"/>
    </row>
    <row r="341" spans="10:15">
      <c r="J341" s="369"/>
      <c r="K341" s="369"/>
      <c r="L341" s="369"/>
      <c r="M341" s="369"/>
      <c r="N341" s="369"/>
      <c r="O341" s="369"/>
    </row>
    <row r="342" spans="10:15">
      <c r="J342" s="369"/>
      <c r="K342" s="369"/>
      <c r="L342" s="369"/>
      <c r="M342" s="369"/>
      <c r="N342" s="369"/>
      <c r="O342" s="369"/>
    </row>
    <row r="343" spans="10:15">
      <c r="J343" s="369"/>
      <c r="K343" s="369"/>
      <c r="L343" s="369"/>
      <c r="M343" s="369"/>
      <c r="N343" s="364"/>
      <c r="O343" s="364"/>
    </row>
    <row r="344" spans="10:15">
      <c r="J344" s="369"/>
      <c r="K344" s="369"/>
      <c r="L344" s="369"/>
      <c r="M344" s="369"/>
      <c r="N344" s="364"/>
      <c r="O344" s="364"/>
    </row>
    <row r="345" spans="10:15">
      <c r="J345" s="369"/>
      <c r="K345" s="369"/>
      <c r="L345" s="369"/>
      <c r="M345" s="369"/>
      <c r="N345" s="364"/>
      <c r="O345" s="364"/>
    </row>
    <row r="346" spans="10:15">
      <c r="J346" s="369"/>
      <c r="K346" s="369"/>
      <c r="L346" s="369"/>
      <c r="M346" s="370"/>
      <c r="N346" s="364"/>
      <c r="O346" s="364"/>
    </row>
    <row r="347" spans="10:15">
      <c r="J347" s="369"/>
      <c r="K347" s="369"/>
      <c r="L347" s="369"/>
      <c r="M347" s="364"/>
      <c r="N347" s="364"/>
      <c r="O347" s="364"/>
    </row>
    <row r="348" spans="10:15">
      <c r="J348" s="369"/>
      <c r="K348" s="369"/>
      <c r="L348" s="369"/>
      <c r="M348" s="364"/>
      <c r="N348" s="364"/>
      <c r="O348" s="364"/>
    </row>
    <row r="349" spans="10:15">
      <c r="J349" s="369"/>
      <c r="K349" s="369"/>
      <c r="L349" s="369"/>
      <c r="M349" s="364"/>
      <c r="N349" s="364"/>
      <c r="O349" s="364"/>
    </row>
    <row r="350" spans="10:15">
      <c r="J350" s="369"/>
      <c r="K350" s="369"/>
      <c r="L350" s="369"/>
      <c r="M350" s="364"/>
      <c r="N350" s="364"/>
      <c r="O350" s="364"/>
    </row>
    <row r="351" spans="10:15">
      <c r="J351" s="369"/>
      <c r="K351" s="369"/>
      <c r="L351" s="369"/>
      <c r="M351" s="364"/>
      <c r="N351" s="364"/>
      <c r="O351" s="364"/>
    </row>
    <row r="352" spans="10:15">
      <c r="J352" s="369"/>
      <c r="K352" s="369"/>
      <c r="L352" s="369"/>
      <c r="M352" s="364"/>
      <c r="N352" s="364"/>
      <c r="O352" s="364"/>
    </row>
    <row r="353" spans="10:15">
      <c r="J353" s="369"/>
      <c r="K353" s="369"/>
      <c r="L353" s="369"/>
      <c r="M353" s="364"/>
      <c r="N353" s="364"/>
      <c r="O353" s="364"/>
    </row>
    <row r="354" spans="10:15">
      <c r="J354" s="369"/>
      <c r="K354" s="369"/>
      <c r="L354" s="369"/>
      <c r="M354" s="364"/>
      <c r="N354" s="364"/>
      <c r="O354" s="364"/>
    </row>
    <row r="355" spans="10:15">
      <c r="J355" s="369"/>
      <c r="K355" s="369"/>
      <c r="L355" s="369"/>
      <c r="M355" s="364"/>
      <c r="N355" s="364"/>
      <c r="O355" s="364"/>
    </row>
    <row r="356" spans="10:15">
      <c r="J356" s="369"/>
      <c r="K356" s="369"/>
      <c r="L356" s="369"/>
      <c r="M356" s="364"/>
      <c r="N356" s="364"/>
      <c r="O356" s="364"/>
    </row>
    <row r="357" spans="10:15">
      <c r="J357" s="369"/>
      <c r="K357" s="369"/>
      <c r="L357" s="369"/>
      <c r="M357" s="364"/>
      <c r="N357" s="364"/>
      <c r="O357" s="364"/>
    </row>
    <row r="358" spans="10:15">
      <c r="J358" s="369"/>
      <c r="K358" s="369"/>
      <c r="L358" s="369"/>
      <c r="M358" s="364"/>
      <c r="N358" s="364"/>
      <c r="O358" s="364"/>
    </row>
    <row r="359" spans="10:15">
      <c r="J359" s="369"/>
      <c r="K359" s="369"/>
      <c r="L359" s="369"/>
      <c r="M359" s="364"/>
      <c r="N359" s="364"/>
      <c r="O359" s="364"/>
    </row>
    <row r="360" spans="10:15">
      <c r="J360" s="369"/>
      <c r="K360" s="364"/>
      <c r="L360" s="369"/>
      <c r="M360" s="364"/>
      <c r="N360" s="364"/>
      <c r="O360" s="364"/>
    </row>
    <row r="361" spans="10:15">
      <c r="J361" s="369"/>
      <c r="K361" s="364"/>
      <c r="L361" s="369"/>
      <c r="M361" s="364"/>
      <c r="N361" s="364"/>
      <c r="O361" s="364"/>
    </row>
    <row r="362" spans="10:15">
      <c r="J362" s="369"/>
      <c r="K362" s="364"/>
      <c r="L362" s="369"/>
      <c r="M362" s="364"/>
      <c r="N362" s="364"/>
      <c r="O362" s="364"/>
    </row>
    <row r="363" spans="10:15">
      <c r="J363" s="369"/>
      <c r="K363" s="364"/>
      <c r="L363" s="364"/>
      <c r="M363" s="364"/>
      <c r="N363" s="364"/>
      <c r="O363" s="364"/>
    </row>
    <row r="364" spans="10:15">
      <c r="J364" s="369"/>
      <c r="K364" s="364"/>
      <c r="L364" s="364"/>
      <c r="M364" s="364"/>
      <c r="N364" s="364"/>
      <c r="O364" s="364"/>
    </row>
    <row r="365" spans="10:15">
      <c r="J365" s="369"/>
      <c r="K365" s="364"/>
      <c r="L365" s="364"/>
      <c r="M365" s="364"/>
      <c r="N365" s="364"/>
      <c r="O365" s="364"/>
    </row>
    <row r="366" spans="10:15">
      <c r="J366" s="369"/>
      <c r="K366" s="364"/>
      <c r="L366" s="364"/>
      <c r="M366" s="364"/>
      <c r="N366" s="364"/>
      <c r="O366" s="364"/>
    </row>
    <row r="367" spans="10:15">
      <c r="J367" s="369"/>
      <c r="K367" s="364"/>
      <c r="L367" s="364"/>
      <c r="M367" s="364"/>
      <c r="N367" s="364"/>
      <c r="O367" s="364"/>
    </row>
    <row r="368" spans="10:15">
      <c r="J368" s="369"/>
      <c r="K368" s="364"/>
      <c r="L368" s="364"/>
      <c r="M368" s="364"/>
      <c r="N368" s="364"/>
      <c r="O368" s="364"/>
    </row>
    <row r="369" spans="10:15">
      <c r="J369" s="364"/>
      <c r="K369" s="364"/>
      <c r="L369" s="364"/>
      <c r="M369" s="364"/>
      <c r="N369" s="364"/>
      <c r="O369" s="364"/>
    </row>
    <row r="370" spans="10:15">
      <c r="J370" s="364"/>
      <c r="K370" s="364"/>
      <c r="L370" s="364"/>
      <c r="M370" s="364"/>
      <c r="N370" s="364"/>
      <c r="O370" s="364"/>
    </row>
    <row r="371" spans="10:15">
      <c r="J371" s="364"/>
      <c r="K371" s="364"/>
      <c r="L371" s="364"/>
      <c r="M371" s="364"/>
      <c r="N371" s="364"/>
      <c r="O371" s="364"/>
    </row>
    <row r="372" spans="10:15">
      <c r="J372" s="364"/>
      <c r="K372" s="364"/>
      <c r="L372" s="364"/>
      <c r="M372" s="364"/>
      <c r="N372" s="364"/>
      <c r="O372" s="364"/>
    </row>
    <row r="373" spans="10:15">
      <c r="J373" s="364"/>
      <c r="K373" s="364"/>
      <c r="L373" s="364"/>
      <c r="M373" s="364"/>
      <c r="N373" s="364"/>
      <c r="O373" s="364"/>
    </row>
    <row r="374" spans="10:15">
      <c r="J374" s="364"/>
      <c r="K374" s="364"/>
      <c r="L374" s="364"/>
      <c r="M374" s="364"/>
      <c r="N374" s="364"/>
      <c r="O374" s="364"/>
    </row>
    <row r="375" spans="10:15">
      <c r="J375" s="364"/>
      <c r="K375" s="364"/>
      <c r="L375" s="364"/>
      <c r="M375" s="364"/>
      <c r="N375" s="364"/>
      <c r="O375" s="364"/>
    </row>
    <row r="376" spans="10:15">
      <c r="J376" s="364"/>
      <c r="K376" s="364"/>
      <c r="L376" s="364"/>
      <c r="M376" s="364"/>
      <c r="N376" s="364"/>
      <c r="O376" s="364"/>
    </row>
    <row r="377" spans="10:15">
      <c r="J377" s="364"/>
      <c r="K377" s="364"/>
      <c r="L377" s="364"/>
      <c r="M377" s="364"/>
    </row>
    <row r="378" spans="10:15">
      <c r="J378" s="364"/>
      <c r="K378" s="364"/>
      <c r="L378" s="364"/>
      <c r="M378" s="364"/>
    </row>
    <row r="379" spans="10:15">
      <c r="J379" s="364"/>
      <c r="K379" s="364"/>
      <c r="L379" s="364"/>
      <c r="M379" s="364"/>
    </row>
    <row r="380" spans="10:15">
      <c r="J380" s="364"/>
      <c r="K380" s="364"/>
      <c r="L380" s="364"/>
      <c r="M380" s="364"/>
    </row>
    <row r="381" spans="10:15">
      <c r="J381" s="364"/>
      <c r="K381" s="364"/>
      <c r="L381" s="364"/>
      <c r="M381" s="364"/>
    </row>
    <row r="382" spans="10:15">
      <c r="J382" s="364"/>
      <c r="K382" s="364"/>
      <c r="L382" s="364"/>
      <c r="M382" s="364"/>
    </row>
    <row r="383" spans="10:15">
      <c r="J383" s="364"/>
      <c r="K383" s="364"/>
      <c r="L383" s="364"/>
      <c r="M383" s="364"/>
    </row>
    <row r="384" spans="10:15">
      <c r="J384" s="364"/>
      <c r="K384" s="364"/>
      <c r="L384" s="364"/>
      <c r="M384" s="364"/>
    </row>
    <row r="385" spans="10:13">
      <c r="J385" s="364"/>
      <c r="K385" s="364"/>
      <c r="L385" s="364"/>
      <c r="M385" s="364"/>
    </row>
    <row r="386" spans="10:13">
      <c r="J386" s="364"/>
      <c r="K386" s="364"/>
      <c r="L386" s="364"/>
    </row>
    <row r="387" spans="10:13">
      <c r="J387" s="364"/>
      <c r="K387" s="364"/>
      <c r="L387" s="364"/>
    </row>
    <row r="388" spans="10:13">
      <c r="J388" s="364"/>
      <c r="K388" s="364"/>
      <c r="L388" s="364"/>
    </row>
    <row r="389" spans="10:13">
      <c r="J389" s="364"/>
      <c r="K389" s="364"/>
      <c r="L389" s="364"/>
    </row>
    <row r="390" spans="10:13">
      <c r="J390" s="364"/>
      <c r="K390" s="364"/>
      <c r="L390" s="364"/>
    </row>
    <row r="391" spans="10:13">
      <c r="J391" s="364"/>
      <c r="K391" s="364"/>
      <c r="L391" s="364"/>
    </row>
    <row r="392" spans="10:13">
      <c r="J392" s="364"/>
      <c r="K392" s="364"/>
      <c r="L392" s="364"/>
    </row>
    <row r="393" spans="10:13">
      <c r="J393" s="364"/>
      <c r="K393" s="364"/>
      <c r="L393" s="364"/>
    </row>
    <row r="394" spans="10:13">
      <c r="J394" s="364"/>
      <c r="K394" s="364"/>
      <c r="L394" s="364"/>
    </row>
    <row r="395" spans="10:13">
      <c r="J395" s="364"/>
      <c r="K395" s="364"/>
      <c r="L395" s="364"/>
    </row>
    <row r="396" spans="10:13">
      <c r="J396" s="364"/>
      <c r="K396" s="364"/>
      <c r="L396" s="364"/>
    </row>
    <row r="397" spans="10:13">
      <c r="J397" s="364"/>
      <c r="K397" s="364"/>
      <c r="L397" s="364"/>
    </row>
    <row r="398" spans="10:13">
      <c r="J398" s="364"/>
      <c r="K398" s="364"/>
      <c r="L398" s="364"/>
    </row>
    <row r="399" spans="10:13">
      <c r="J399" s="364"/>
      <c r="K399" s="364"/>
      <c r="L399" s="364"/>
    </row>
    <row r="400" spans="10:13">
      <c r="J400" s="364"/>
      <c r="L400" s="364"/>
    </row>
    <row r="401" spans="10:10">
      <c r="J401" s="364"/>
    </row>
    <row r="402" spans="10:10">
      <c r="J402" s="364"/>
    </row>
    <row r="403" spans="10:10">
      <c r="J403" s="364"/>
    </row>
    <row r="404" spans="10:10">
      <c r="J404" s="364"/>
    </row>
    <row r="405" spans="10:10">
      <c r="J405" s="364"/>
    </row>
    <row r="406" spans="10:10">
      <c r="J406" s="364"/>
    </row>
    <row r="407" spans="10:10">
      <c r="J407" s="364"/>
    </row>
  </sheetData>
  <mergeCells count="2">
    <mergeCell ref="B5:H5"/>
    <mergeCell ref="A5:A6"/>
  </mergeCells>
  <phoneticPr fontId="27" type="noConversion"/>
  <conditionalFormatting sqref="A42:A44">
    <cfRule type="expression" dxfId="76" priority="51">
      <formula>MONTH(A42)=1</formula>
    </cfRule>
  </conditionalFormatting>
  <conditionalFormatting sqref="A26:A41">
    <cfRule type="expression" dxfId="75" priority="52">
      <formula>MONTH(A26)=1</formula>
    </cfRule>
  </conditionalFormatting>
  <conditionalFormatting sqref="A45:A53">
    <cfRule type="expression" dxfId="74" priority="50">
      <formula>MONTH(A45)=1</formula>
    </cfRule>
  </conditionalFormatting>
  <conditionalFormatting sqref="A45:A53">
    <cfRule type="expression" dxfId="73" priority="49">
      <formula>MONTH(A45)=1</formula>
    </cfRule>
  </conditionalFormatting>
  <conditionalFormatting sqref="A55">
    <cfRule type="expression" dxfId="72" priority="48">
      <formula>MONTH(A55)=1</formula>
    </cfRule>
  </conditionalFormatting>
  <conditionalFormatting sqref="A55">
    <cfRule type="expression" dxfId="71" priority="47">
      <formula>MONTH(A55)=1</formula>
    </cfRule>
  </conditionalFormatting>
  <conditionalFormatting sqref="A55">
    <cfRule type="expression" dxfId="70" priority="45">
      <formula>MONTH(A55)=1</formula>
    </cfRule>
  </conditionalFormatting>
  <conditionalFormatting sqref="A55">
    <cfRule type="expression" dxfId="69" priority="46">
      <formula>MONTH(A55)=1</formula>
    </cfRule>
  </conditionalFormatting>
  <conditionalFormatting sqref="A54">
    <cfRule type="expression" dxfId="68" priority="44">
      <formula>MONTH(A54)=1</formula>
    </cfRule>
  </conditionalFormatting>
  <conditionalFormatting sqref="A54">
    <cfRule type="expression" dxfId="67" priority="43">
      <formula>MONTH(A54)=1</formula>
    </cfRule>
  </conditionalFormatting>
  <conditionalFormatting sqref="A56:A58">
    <cfRule type="expression" dxfId="66" priority="41">
      <formula>MONTH(A56)=1</formula>
    </cfRule>
  </conditionalFormatting>
  <conditionalFormatting sqref="A56:A58">
    <cfRule type="expression" dxfId="65" priority="42">
      <formula>MONTH(A56)=1</formula>
    </cfRule>
  </conditionalFormatting>
  <conditionalFormatting sqref="A56:A58">
    <cfRule type="expression" dxfId="64" priority="40">
      <formula>MONTH(A56)=1</formula>
    </cfRule>
  </conditionalFormatting>
  <conditionalFormatting sqref="A56:A58">
    <cfRule type="expression" dxfId="63" priority="39">
      <formula>MONTH(A56)=1</formula>
    </cfRule>
  </conditionalFormatting>
  <conditionalFormatting sqref="A71">
    <cfRule type="expression" dxfId="62" priority="18">
      <formula>MONTH(A71)=1</formula>
    </cfRule>
  </conditionalFormatting>
  <conditionalFormatting sqref="A71">
    <cfRule type="expression" dxfId="61" priority="17">
      <formula>MONTH(A71)=1</formula>
    </cfRule>
  </conditionalFormatting>
  <conditionalFormatting sqref="A71">
    <cfRule type="expression" dxfId="60" priority="20">
      <formula>MONTH(A71)=1</formula>
    </cfRule>
  </conditionalFormatting>
  <conditionalFormatting sqref="A71">
    <cfRule type="expression" dxfId="59" priority="19">
      <formula>MONTH(A71)=1</formula>
    </cfRule>
  </conditionalFormatting>
  <conditionalFormatting sqref="A73:A75">
    <cfRule type="expression" dxfId="58" priority="8">
      <formula>MONTH(A73)=1</formula>
    </cfRule>
  </conditionalFormatting>
  <conditionalFormatting sqref="A73:A75">
    <cfRule type="expression" dxfId="57" priority="7">
      <formula>MONTH(A73)=1</formula>
    </cfRule>
  </conditionalFormatting>
  <conditionalFormatting sqref="A70">
    <cfRule type="expression" dxfId="56" priority="21">
      <formula>MONTH(A70)=1</formula>
    </cfRule>
  </conditionalFormatting>
  <conditionalFormatting sqref="A70">
    <cfRule type="expression" dxfId="55" priority="22">
      <formula>MONTH(A70)=1</formula>
    </cfRule>
  </conditionalFormatting>
  <conditionalFormatting sqref="A59:A65">
    <cfRule type="expression" dxfId="54" priority="37">
      <formula>MONTH(A59)=1</formula>
    </cfRule>
  </conditionalFormatting>
  <conditionalFormatting sqref="A59:A65">
    <cfRule type="expression" dxfId="53" priority="38">
      <formula>MONTH(A59)=1</formula>
    </cfRule>
  </conditionalFormatting>
  <conditionalFormatting sqref="A59:A65">
    <cfRule type="expression" dxfId="52" priority="36">
      <formula>MONTH(A59)=1</formula>
    </cfRule>
  </conditionalFormatting>
  <conditionalFormatting sqref="A59:A65">
    <cfRule type="expression" dxfId="51" priority="35">
      <formula>MONTH(A59)=1</formula>
    </cfRule>
  </conditionalFormatting>
  <conditionalFormatting sqref="A66 A77">
    <cfRule type="expression" dxfId="50" priority="34">
      <formula>MONTH(A66)=1</formula>
    </cfRule>
  </conditionalFormatting>
  <conditionalFormatting sqref="A66 A77">
    <cfRule type="expression" dxfId="49" priority="33">
      <formula>MONTH(A66)=1</formula>
    </cfRule>
  </conditionalFormatting>
  <conditionalFormatting sqref="A67">
    <cfRule type="expression" dxfId="48" priority="31">
      <formula>MONTH(A67)=1</formula>
    </cfRule>
  </conditionalFormatting>
  <conditionalFormatting sqref="A67">
    <cfRule type="expression" dxfId="47" priority="32">
      <formula>MONTH(A67)=1</formula>
    </cfRule>
  </conditionalFormatting>
  <conditionalFormatting sqref="A67">
    <cfRule type="expression" dxfId="46" priority="30">
      <formula>MONTH(A67)=1</formula>
    </cfRule>
  </conditionalFormatting>
  <conditionalFormatting sqref="A67">
    <cfRule type="expression" dxfId="45" priority="29">
      <formula>MONTH(A67)=1</formula>
    </cfRule>
  </conditionalFormatting>
  <conditionalFormatting sqref="A68">
    <cfRule type="expression" dxfId="44" priority="27">
      <formula>MONTH(A68)=1</formula>
    </cfRule>
  </conditionalFormatting>
  <conditionalFormatting sqref="A68">
    <cfRule type="expression" dxfId="43" priority="28">
      <formula>MONTH(A68)=1</formula>
    </cfRule>
  </conditionalFormatting>
  <conditionalFormatting sqref="A68">
    <cfRule type="expression" dxfId="42" priority="26">
      <formula>MONTH(A68)=1</formula>
    </cfRule>
  </conditionalFormatting>
  <conditionalFormatting sqref="A68">
    <cfRule type="expression" dxfId="41" priority="25">
      <formula>MONTH(A68)=1</formula>
    </cfRule>
  </conditionalFormatting>
  <conditionalFormatting sqref="A69">
    <cfRule type="expression" dxfId="40" priority="24">
      <formula>MONTH(A69)=1</formula>
    </cfRule>
  </conditionalFormatting>
  <conditionalFormatting sqref="A69">
    <cfRule type="expression" dxfId="39" priority="23">
      <formula>MONTH(A69)=1</formula>
    </cfRule>
  </conditionalFormatting>
  <conditionalFormatting sqref="A72">
    <cfRule type="expression" dxfId="38" priority="12">
      <formula>MONTH(A72)=1</formula>
    </cfRule>
  </conditionalFormatting>
  <conditionalFormatting sqref="A72">
    <cfRule type="expression" dxfId="37" priority="11">
      <formula>MONTH(A72)=1</formula>
    </cfRule>
  </conditionalFormatting>
  <conditionalFormatting sqref="A72">
    <cfRule type="expression" dxfId="36" priority="9">
      <formula>MONTH(A72)=1</formula>
    </cfRule>
  </conditionalFormatting>
  <conditionalFormatting sqref="A72">
    <cfRule type="expression" dxfId="35" priority="10">
      <formula>MONTH(A72)=1</formula>
    </cfRule>
  </conditionalFormatting>
  <conditionalFormatting sqref="A73:A75">
    <cfRule type="expression" dxfId="34" priority="6">
      <formula>MONTH(A73)=1</formula>
    </cfRule>
  </conditionalFormatting>
  <conditionalFormatting sqref="A73:A75">
    <cfRule type="expression" dxfId="33" priority="5">
      <formula>MONTH(A73)=1</formula>
    </cfRule>
  </conditionalFormatting>
  <conditionalFormatting sqref="A76">
    <cfRule type="expression" dxfId="3" priority="4">
      <formula>MONTH(A76)=1</formula>
    </cfRule>
  </conditionalFormatting>
  <conditionalFormatting sqref="A76">
    <cfRule type="expression" dxfId="2" priority="3">
      <formula>MONTH(A76)=1</formula>
    </cfRule>
  </conditionalFormatting>
  <conditionalFormatting sqref="A76">
    <cfRule type="expression" dxfId="1" priority="2">
      <formula>MONTH(A76)=1</formula>
    </cfRule>
  </conditionalFormatting>
  <conditionalFormatting sqref="A76">
    <cfRule type="expression" dxfId="0" priority="1">
      <formula>MONTH(A76)=1</formula>
    </cfRule>
  </conditionalFormatting>
  <pageMargins left="0.78740157480314965" right="0.78740157480314965" top="1.1417322834645669" bottom="1.1417322834645669" header="0.51181102362204722" footer="0.51181102362204722"/>
  <pageSetup paperSize="9" scale="65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9347-D0BC-4AD4-801A-B7608E7B5634}">
  <sheetPr>
    <pageSetUpPr fitToPage="1"/>
  </sheetPr>
  <dimension ref="A1:AC393"/>
  <sheetViews>
    <sheetView view="pageBreakPreview" zoomScale="115" zoomScaleNormal="100" zoomScaleSheetLayoutView="115" workbookViewId="0">
      <pane xSplit="1" ySplit="7" topLeftCell="B8" activePane="bottomRight" state="frozen"/>
      <selection activeCell="P132" sqref="P132"/>
      <selection pane="topRight" activeCell="P132" sqref="P132"/>
      <selection pane="bottomLeft" activeCell="P132" sqref="P132"/>
      <selection pane="bottomRight"/>
    </sheetView>
  </sheetViews>
  <sheetFormatPr defaultRowHeight="13.5"/>
  <cols>
    <col min="1" max="1" width="8" style="70" customWidth="1"/>
    <col min="2" max="2" width="10" style="105" customWidth="1"/>
    <col min="3" max="5" width="10" style="261" customWidth="1"/>
    <col min="6" max="7" width="10" style="284" customWidth="1"/>
    <col min="8" max="8" width="8.77734375" style="284" customWidth="1"/>
    <col min="9" max="9" width="6.21875" style="106" customWidth="1"/>
    <col min="10" max="10" width="8" style="261" customWidth="1"/>
    <col min="11" max="12" width="8" style="106" customWidth="1"/>
    <col min="13" max="13" width="6.21875" style="262" customWidth="1"/>
    <col min="14" max="14" width="8" style="106" customWidth="1"/>
    <col min="15" max="15" width="7.33203125" style="262" bestFit="1" customWidth="1"/>
    <col min="16" max="16" width="6.21875" style="262" customWidth="1"/>
    <col min="17" max="17" width="9.77734375" style="262" bestFit="1" customWidth="1"/>
    <col min="18" max="19" width="6.21875" style="262" customWidth="1"/>
    <col min="20" max="20" width="7.33203125" style="106" bestFit="1" customWidth="1"/>
    <col min="21" max="21" width="6.21875" style="106" customWidth="1"/>
    <col min="22" max="22" width="6.21875" style="106" bestFit="1" customWidth="1"/>
    <col min="23" max="25" width="5.5546875" style="106" bestFit="1" customWidth="1"/>
    <col min="26" max="26" width="4.44140625" style="106" customWidth="1"/>
    <col min="27" max="255" width="8.88671875" style="106"/>
    <col min="256" max="256" width="7.44140625" style="106" customWidth="1"/>
    <col min="257" max="258" width="7.77734375" style="106" customWidth="1"/>
    <col min="259" max="259" width="7" style="106" customWidth="1"/>
    <col min="260" max="262" width="6.6640625" style="106" customWidth="1"/>
    <col min="263" max="263" width="6.109375" style="106" customWidth="1"/>
    <col min="264" max="264" width="8.21875" style="106" customWidth="1"/>
    <col min="265" max="265" width="6.21875" style="106" customWidth="1"/>
    <col min="266" max="268" width="8" style="106" customWidth="1"/>
    <col min="269" max="269" width="6.21875" style="106" customWidth="1"/>
    <col min="270" max="270" width="8" style="106" customWidth="1"/>
    <col min="271" max="271" width="7.33203125" style="106" bestFit="1" customWidth="1"/>
    <col min="272" max="272" width="6.21875" style="106" customWidth="1"/>
    <col min="273" max="273" width="9.77734375" style="106" bestFit="1" customWidth="1"/>
    <col min="274" max="275" width="6.21875" style="106" customWidth="1"/>
    <col min="276" max="276" width="7.33203125" style="106" bestFit="1" customWidth="1"/>
    <col min="277" max="277" width="6.21875" style="106" customWidth="1"/>
    <col min="278" max="278" width="6.21875" style="106" bestFit="1" customWidth="1"/>
    <col min="279" max="281" width="5.5546875" style="106" bestFit="1" customWidth="1"/>
    <col min="282" max="282" width="4.44140625" style="106" customWidth="1"/>
    <col min="283" max="511" width="8.88671875" style="106"/>
    <col min="512" max="512" width="7.44140625" style="106" customWidth="1"/>
    <col min="513" max="514" width="7.77734375" style="106" customWidth="1"/>
    <col min="515" max="515" width="7" style="106" customWidth="1"/>
    <col min="516" max="518" width="6.6640625" style="106" customWidth="1"/>
    <col min="519" max="519" width="6.109375" style="106" customWidth="1"/>
    <col min="520" max="520" width="8.21875" style="106" customWidth="1"/>
    <col min="521" max="521" width="6.21875" style="106" customWidth="1"/>
    <col min="522" max="524" width="8" style="106" customWidth="1"/>
    <col min="525" max="525" width="6.21875" style="106" customWidth="1"/>
    <col min="526" max="526" width="8" style="106" customWidth="1"/>
    <col min="527" max="527" width="7.33203125" style="106" bestFit="1" customWidth="1"/>
    <col min="528" max="528" width="6.21875" style="106" customWidth="1"/>
    <col min="529" max="529" width="9.77734375" style="106" bestFit="1" customWidth="1"/>
    <col min="530" max="531" width="6.21875" style="106" customWidth="1"/>
    <col min="532" max="532" width="7.33203125" style="106" bestFit="1" customWidth="1"/>
    <col min="533" max="533" width="6.21875" style="106" customWidth="1"/>
    <col min="534" max="534" width="6.21875" style="106" bestFit="1" customWidth="1"/>
    <col min="535" max="537" width="5.5546875" style="106" bestFit="1" customWidth="1"/>
    <col min="538" max="538" width="4.44140625" style="106" customWidth="1"/>
    <col min="539" max="767" width="8.88671875" style="106"/>
    <col min="768" max="768" width="7.44140625" style="106" customWidth="1"/>
    <col min="769" max="770" width="7.77734375" style="106" customWidth="1"/>
    <col min="771" max="771" width="7" style="106" customWidth="1"/>
    <col min="772" max="774" width="6.6640625" style="106" customWidth="1"/>
    <col min="775" max="775" width="6.109375" style="106" customWidth="1"/>
    <col min="776" max="776" width="8.21875" style="106" customWidth="1"/>
    <col min="777" max="777" width="6.21875" style="106" customWidth="1"/>
    <col min="778" max="780" width="8" style="106" customWidth="1"/>
    <col min="781" max="781" width="6.21875" style="106" customWidth="1"/>
    <col min="782" max="782" width="8" style="106" customWidth="1"/>
    <col min="783" max="783" width="7.33203125" style="106" bestFit="1" customWidth="1"/>
    <col min="784" max="784" width="6.21875" style="106" customWidth="1"/>
    <col min="785" max="785" width="9.77734375" style="106" bestFit="1" customWidth="1"/>
    <col min="786" max="787" width="6.21875" style="106" customWidth="1"/>
    <col min="788" max="788" width="7.33203125" style="106" bestFit="1" customWidth="1"/>
    <col min="789" max="789" width="6.21875" style="106" customWidth="1"/>
    <col min="790" max="790" width="6.21875" style="106" bestFit="1" customWidth="1"/>
    <col min="791" max="793" width="5.5546875" style="106" bestFit="1" customWidth="1"/>
    <col min="794" max="794" width="4.44140625" style="106" customWidth="1"/>
    <col min="795" max="1023" width="8.88671875" style="106"/>
    <col min="1024" max="1024" width="7.44140625" style="106" customWidth="1"/>
    <col min="1025" max="1026" width="7.77734375" style="106" customWidth="1"/>
    <col min="1027" max="1027" width="7" style="106" customWidth="1"/>
    <col min="1028" max="1030" width="6.6640625" style="106" customWidth="1"/>
    <col min="1031" max="1031" width="6.109375" style="106" customWidth="1"/>
    <col min="1032" max="1032" width="8.21875" style="106" customWidth="1"/>
    <col min="1033" max="1033" width="6.21875" style="106" customWidth="1"/>
    <col min="1034" max="1036" width="8" style="106" customWidth="1"/>
    <col min="1037" max="1037" width="6.21875" style="106" customWidth="1"/>
    <col min="1038" max="1038" width="8" style="106" customWidth="1"/>
    <col min="1039" max="1039" width="7.33203125" style="106" bestFit="1" customWidth="1"/>
    <col min="1040" max="1040" width="6.21875" style="106" customWidth="1"/>
    <col min="1041" max="1041" width="9.77734375" style="106" bestFit="1" customWidth="1"/>
    <col min="1042" max="1043" width="6.21875" style="106" customWidth="1"/>
    <col min="1044" max="1044" width="7.33203125" style="106" bestFit="1" customWidth="1"/>
    <col min="1045" max="1045" width="6.21875" style="106" customWidth="1"/>
    <col min="1046" max="1046" width="6.21875" style="106" bestFit="1" customWidth="1"/>
    <col min="1047" max="1049" width="5.5546875" style="106" bestFit="1" customWidth="1"/>
    <col min="1050" max="1050" width="4.44140625" style="106" customWidth="1"/>
    <col min="1051" max="1279" width="8.88671875" style="106"/>
    <col min="1280" max="1280" width="7.44140625" style="106" customWidth="1"/>
    <col min="1281" max="1282" width="7.77734375" style="106" customWidth="1"/>
    <col min="1283" max="1283" width="7" style="106" customWidth="1"/>
    <col min="1284" max="1286" width="6.6640625" style="106" customWidth="1"/>
    <col min="1287" max="1287" width="6.109375" style="106" customWidth="1"/>
    <col min="1288" max="1288" width="8.21875" style="106" customWidth="1"/>
    <col min="1289" max="1289" width="6.21875" style="106" customWidth="1"/>
    <col min="1290" max="1292" width="8" style="106" customWidth="1"/>
    <col min="1293" max="1293" width="6.21875" style="106" customWidth="1"/>
    <col min="1294" max="1294" width="8" style="106" customWidth="1"/>
    <col min="1295" max="1295" width="7.33203125" style="106" bestFit="1" customWidth="1"/>
    <col min="1296" max="1296" width="6.21875" style="106" customWidth="1"/>
    <col min="1297" max="1297" width="9.77734375" style="106" bestFit="1" customWidth="1"/>
    <col min="1298" max="1299" width="6.21875" style="106" customWidth="1"/>
    <col min="1300" max="1300" width="7.33203125" style="106" bestFit="1" customWidth="1"/>
    <col min="1301" max="1301" width="6.21875" style="106" customWidth="1"/>
    <col min="1302" max="1302" width="6.21875" style="106" bestFit="1" customWidth="1"/>
    <col min="1303" max="1305" width="5.5546875" style="106" bestFit="1" customWidth="1"/>
    <col min="1306" max="1306" width="4.44140625" style="106" customWidth="1"/>
    <col min="1307" max="1535" width="8.88671875" style="106"/>
    <col min="1536" max="1536" width="7.44140625" style="106" customWidth="1"/>
    <col min="1537" max="1538" width="7.77734375" style="106" customWidth="1"/>
    <col min="1539" max="1539" width="7" style="106" customWidth="1"/>
    <col min="1540" max="1542" width="6.6640625" style="106" customWidth="1"/>
    <col min="1543" max="1543" width="6.109375" style="106" customWidth="1"/>
    <col min="1544" max="1544" width="8.21875" style="106" customWidth="1"/>
    <col min="1545" max="1545" width="6.21875" style="106" customWidth="1"/>
    <col min="1546" max="1548" width="8" style="106" customWidth="1"/>
    <col min="1549" max="1549" width="6.21875" style="106" customWidth="1"/>
    <col min="1550" max="1550" width="8" style="106" customWidth="1"/>
    <col min="1551" max="1551" width="7.33203125" style="106" bestFit="1" customWidth="1"/>
    <col min="1552" max="1552" width="6.21875" style="106" customWidth="1"/>
    <col min="1553" max="1553" width="9.77734375" style="106" bestFit="1" customWidth="1"/>
    <col min="1554" max="1555" width="6.21875" style="106" customWidth="1"/>
    <col min="1556" max="1556" width="7.33203125" style="106" bestFit="1" customWidth="1"/>
    <col min="1557" max="1557" width="6.21875" style="106" customWidth="1"/>
    <col min="1558" max="1558" width="6.21875" style="106" bestFit="1" customWidth="1"/>
    <col min="1559" max="1561" width="5.5546875" style="106" bestFit="1" customWidth="1"/>
    <col min="1562" max="1562" width="4.44140625" style="106" customWidth="1"/>
    <col min="1563" max="1791" width="8.88671875" style="106"/>
    <col min="1792" max="1792" width="7.44140625" style="106" customWidth="1"/>
    <col min="1793" max="1794" width="7.77734375" style="106" customWidth="1"/>
    <col min="1795" max="1795" width="7" style="106" customWidth="1"/>
    <col min="1796" max="1798" width="6.6640625" style="106" customWidth="1"/>
    <col min="1799" max="1799" width="6.109375" style="106" customWidth="1"/>
    <col min="1800" max="1800" width="8.21875" style="106" customWidth="1"/>
    <col min="1801" max="1801" width="6.21875" style="106" customWidth="1"/>
    <col min="1802" max="1804" width="8" style="106" customWidth="1"/>
    <col min="1805" max="1805" width="6.21875" style="106" customWidth="1"/>
    <col min="1806" max="1806" width="8" style="106" customWidth="1"/>
    <col min="1807" max="1807" width="7.33203125" style="106" bestFit="1" customWidth="1"/>
    <col min="1808" max="1808" width="6.21875" style="106" customWidth="1"/>
    <col min="1809" max="1809" width="9.77734375" style="106" bestFit="1" customWidth="1"/>
    <col min="1810" max="1811" width="6.21875" style="106" customWidth="1"/>
    <col min="1812" max="1812" width="7.33203125" style="106" bestFit="1" customWidth="1"/>
    <col min="1813" max="1813" width="6.21875" style="106" customWidth="1"/>
    <col min="1814" max="1814" width="6.21875" style="106" bestFit="1" customWidth="1"/>
    <col min="1815" max="1817" width="5.5546875" style="106" bestFit="1" customWidth="1"/>
    <col min="1818" max="1818" width="4.44140625" style="106" customWidth="1"/>
    <col min="1819" max="2047" width="8.88671875" style="106"/>
    <col min="2048" max="2048" width="7.44140625" style="106" customWidth="1"/>
    <col min="2049" max="2050" width="7.77734375" style="106" customWidth="1"/>
    <col min="2051" max="2051" width="7" style="106" customWidth="1"/>
    <col min="2052" max="2054" width="6.6640625" style="106" customWidth="1"/>
    <col min="2055" max="2055" width="6.109375" style="106" customWidth="1"/>
    <col min="2056" max="2056" width="8.21875" style="106" customWidth="1"/>
    <col min="2057" max="2057" width="6.21875" style="106" customWidth="1"/>
    <col min="2058" max="2060" width="8" style="106" customWidth="1"/>
    <col min="2061" max="2061" width="6.21875" style="106" customWidth="1"/>
    <col min="2062" max="2062" width="8" style="106" customWidth="1"/>
    <col min="2063" max="2063" width="7.33203125" style="106" bestFit="1" customWidth="1"/>
    <col min="2064" max="2064" width="6.21875" style="106" customWidth="1"/>
    <col min="2065" max="2065" width="9.77734375" style="106" bestFit="1" customWidth="1"/>
    <col min="2066" max="2067" width="6.21875" style="106" customWidth="1"/>
    <col min="2068" max="2068" width="7.33203125" style="106" bestFit="1" customWidth="1"/>
    <col min="2069" max="2069" width="6.21875" style="106" customWidth="1"/>
    <col min="2070" max="2070" width="6.21875" style="106" bestFit="1" customWidth="1"/>
    <col min="2071" max="2073" width="5.5546875" style="106" bestFit="1" customWidth="1"/>
    <col min="2074" max="2074" width="4.44140625" style="106" customWidth="1"/>
    <col min="2075" max="2303" width="8.88671875" style="106"/>
    <col min="2304" max="2304" width="7.44140625" style="106" customWidth="1"/>
    <col min="2305" max="2306" width="7.77734375" style="106" customWidth="1"/>
    <col min="2307" max="2307" width="7" style="106" customWidth="1"/>
    <col min="2308" max="2310" width="6.6640625" style="106" customWidth="1"/>
    <col min="2311" max="2311" width="6.109375" style="106" customWidth="1"/>
    <col min="2312" max="2312" width="8.21875" style="106" customWidth="1"/>
    <col min="2313" max="2313" width="6.21875" style="106" customWidth="1"/>
    <col min="2314" max="2316" width="8" style="106" customWidth="1"/>
    <col min="2317" max="2317" width="6.21875" style="106" customWidth="1"/>
    <col min="2318" max="2318" width="8" style="106" customWidth="1"/>
    <col min="2319" max="2319" width="7.33203125" style="106" bestFit="1" customWidth="1"/>
    <col min="2320" max="2320" width="6.21875" style="106" customWidth="1"/>
    <col min="2321" max="2321" width="9.77734375" style="106" bestFit="1" customWidth="1"/>
    <col min="2322" max="2323" width="6.21875" style="106" customWidth="1"/>
    <col min="2324" max="2324" width="7.33203125" style="106" bestFit="1" customWidth="1"/>
    <col min="2325" max="2325" width="6.21875" style="106" customWidth="1"/>
    <col min="2326" max="2326" width="6.21875" style="106" bestFit="1" customWidth="1"/>
    <col min="2327" max="2329" width="5.5546875" style="106" bestFit="1" customWidth="1"/>
    <col min="2330" max="2330" width="4.44140625" style="106" customWidth="1"/>
    <col min="2331" max="2559" width="8.88671875" style="106"/>
    <col min="2560" max="2560" width="7.44140625" style="106" customWidth="1"/>
    <col min="2561" max="2562" width="7.77734375" style="106" customWidth="1"/>
    <col min="2563" max="2563" width="7" style="106" customWidth="1"/>
    <col min="2564" max="2566" width="6.6640625" style="106" customWidth="1"/>
    <col min="2567" max="2567" width="6.109375" style="106" customWidth="1"/>
    <col min="2568" max="2568" width="8.21875" style="106" customWidth="1"/>
    <col min="2569" max="2569" width="6.21875" style="106" customWidth="1"/>
    <col min="2570" max="2572" width="8" style="106" customWidth="1"/>
    <col min="2573" max="2573" width="6.21875" style="106" customWidth="1"/>
    <col min="2574" max="2574" width="8" style="106" customWidth="1"/>
    <col min="2575" max="2575" width="7.33203125" style="106" bestFit="1" customWidth="1"/>
    <col min="2576" max="2576" width="6.21875" style="106" customWidth="1"/>
    <col min="2577" max="2577" width="9.77734375" style="106" bestFit="1" customWidth="1"/>
    <col min="2578" max="2579" width="6.21875" style="106" customWidth="1"/>
    <col min="2580" max="2580" width="7.33203125" style="106" bestFit="1" customWidth="1"/>
    <col min="2581" max="2581" width="6.21875" style="106" customWidth="1"/>
    <col min="2582" max="2582" width="6.21875" style="106" bestFit="1" customWidth="1"/>
    <col min="2583" max="2585" width="5.5546875" style="106" bestFit="1" customWidth="1"/>
    <col min="2586" max="2586" width="4.44140625" style="106" customWidth="1"/>
    <col min="2587" max="2815" width="8.88671875" style="106"/>
    <col min="2816" max="2816" width="7.44140625" style="106" customWidth="1"/>
    <col min="2817" max="2818" width="7.77734375" style="106" customWidth="1"/>
    <col min="2819" max="2819" width="7" style="106" customWidth="1"/>
    <col min="2820" max="2822" width="6.6640625" style="106" customWidth="1"/>
    <col min="2823" max="2823" width="6.109375" style="106" customWidth="1"/>
    <col min="2824" max="2824" width="8.21875" style="106" customWidth="1"/>
    <col min="2825" max="2825" width="6.21875" style="106" customWidth="1"/>
    <col min="2826" max="2828" width="8" style="106" customWidth="1"/>
    <col min="2829" max="2829" width="6.21875" style="106" customWidth="1"/>
    <col min="2830" max="2830" width="8" style="106" customWidth="1"/>
    <col min="2831" max="2831" width="7.33203125" style="106" bestFit="1" customWidth="1"/>
    <col min="2832" max="2832" width="6.21875" style="106" customWidth="1"/>
    <col min="2833" max="2833" width="9.77734375" style="106" bestFit="1" customWidth="1"/>
    <col min="2834" max="2835" width="6.21875" style="106" customWidth="1"/>
    <col min="2836" max="2836" width="7.33203125" style="106" bestFit="1" customWidth="1"/>
    <col min="2837" max="2837" width="6.21875" style="106" customWidth="1"/>
    <col min="2838" max="2838" width="6.21875" style="106" bestFit="1" customWidth="1"/>
    <col min="2839" max="2841" width="5.5546875" style="106" bestFit="1" customWidth="1"/>
    <col min="2842" max="2842" width="4.44140625" style="106" customWidth="1"/>
    <col min="2843" max="3071" width="8.88671875" style="106"/>
    <col min="3072" max="3072" width="7.44140625" style="106" customWidth="1"/>
    <col min="3073" max="3074" width="7.77734375" style="106" customWidth="1"/>
    <col min="3075" max="3075" width="7" style="106" customWidth="1"/>
    <col min="3076" max="3078" width="6.6640625" style="106" customWidth="1"/>
    <col min="3079" max="3079" width="6.109375" style="106" customWidth="1"/>
    <col min="3080" max="3080" width="8.21875" style="106" customWidth="1"/>
    <col min="3081" max="3081" width="6.21875" style="106" customWidth="1"/>
    <col min="3082" max="3084" width="8" style="106" customWidth="1"/>
    <col min="3085" max="3085" width="6.21875" style="106" customWidth="1"/>
    <col min="3086" max="3086" width="8" style="106" customWidth="1"/>
    <col min="3087" max="3087" width="7.33203125" style="106" bestFit="1" customWidth="1"/>
    <col min="3088" max="3088" width="6.21875" style="106" customWidth="1"/>
    <col min="3089" max="3089" width="9.77734375" style="106" bestFit="1" customWidth="1"/>
    <col min="3090" max="3091" width="6.21875" style="106" customWidth="1"/>
    <col min="3092" max="3092" width="7.33203125" style="106" bestFit="1" customWidth="1"/>
    <col min="3093" max="3093" width="6.21875" style="106" customWidth="1"/>
    <col min="3094" max="3094" width="6.21875" style="106" bestFit="1" customWidth="1"/>
    <col min="3095" max="3097" width="5.5546875" style="106" bestFit="1" customWidth="1"/>
    <col min="3098" max="3098" width="4.44140625" style="106" customWidth="1"/>
    <col min="3099" max="3327" width="8.88671875" style="106"/>
    <col min="3328" max="3328" width="7.44140625" style="106" customWidth="1"/>
    <col min="3329" max="3330" width="7.77734375" style="106" customWidth="1"/>
    <col min="3331" max="3331" width="7" style="106" customWidth="1"/>
    <col min="3332" max="3334" width="6.6640625" style="106" customWidth="1"/>
    <col min="3335" max="3335" width="6.109375" style="106" customWidth="1"/>
    <col min="3336" max="3336" width="8.21875" style="106" customWidth="1"/>
    <col min="3337" max="3337" width="6.21875" style="106" customWidth="1"/>
    <col min="3338" max="3340" width="8" style="106" customWidth="1"/>
    <col min="3341" max="3341" width="6.21875" style="106" customWidth="1"/>
    <col min="3342" max="3342" width="8" style="106" customWidth="1"/>
    <col min="3343" max="3343" width="7.33203125" style="106" bestFit="1" customWidth="1"/>
    <col min="3344" max="3344" width="6.21875" style="106" customWidth="1"/>
    <col min="3345" max="3345" width="9.77734375" style="106" bestFit="1" customWidth="1"/>
    <col min="3346" max="3347" width="6.21875" style="106" customWidth="1"/>
    <col min="3348" max="3348" width="7.33203125" style="106" bestFit="1" customWidth="1"/>
    <col min="3349" max="3349" width="6.21875" style="106" customWidth="1"/>
    <col min="3350" max="3350" width="6.21875" style="106" bestFit="1" customWidth="1"/>
    <col min="3351" max="3353" width="5.5546875" style="106" bestFit="1" customWidth="1"/>
    <col min="3354" max="3354" width="4.44140625" style="106" customWidth="1"/>
    <col min="3355" max="3583" width="8.88671875" style="106"/>
    <col min="3584" max="3584" width="7.44140625" style="106" customWidth="1"/>
    <col min="3585" max="3586" width="7.77734375" style="106" customWidth="1"/>
    <col min="3587" max="3587" width="7" style="106" customWidth="1"/>
    <col min="3588" max="3590" width="6.6640625" style="106" customWidth="1"/>
    <col min="3591" max="3591" width="6.109375" style="106" customWidth="1"/>
    <col min="3592" max="3592" width="8.21875" style="106" customWidth="1"/>
    <col min="3593" max="3593" width="6.21875" style="106" customWidth="1"/>
    <col min="3594" max="3596" width="8" style="106" customWidth="1"/>
    <col min="3597" max="3597" width="6.21875" style="106" customWidth="1"/>
    <col min="3598" max="3598" width="8" style="106" customWidth="1"/>
    <col min="3599" max="3599" width="7.33203125" style="106" bestFit="1" customWidth="1"/>
    <col min="3600" max="3600" width="6.21875" style="106" customWidth="1"/>
    <col min="3601" max="3601" width="9.77734375" style="106" bestFit="1" customWidth="1"/>
    <col min="3602" max="3603" width="6.21875" style="106" customWidth="1"/>
    <col min="3604" max="3604" width="7.33203125" style="106" bestFit="1" customWidth="1"/>
    <col min="3605" max="3605" width="6.21875" style="106" customWidth="1"/>
    <col min="3606" max="3606" width="6.21875" style="106" bestFit="1" customWidth="1"/>
    <col min="3607" max="3609" width="5.5546875" style="106" bestFit="1" customWidth="1"/>
    <col min="3610" max="3610" width="4.44140625" style="106" customWidth="1"/>
    <col min="3611" max="3839" width="8.88671875" style="106"/>
    <col min="3840" max="3840" width="7.44140625" style="106" customWidth="1"/>
    <col min="3841" max="3842" width="7.77734375" style="106" customWidth="1"/>
    <col min="3843" max="3843" width="7" style="106" customWidth="1"/>
    <col min="3844" max="3846" width="6.6640625" style="106" customWidth="1"/>
    <col min="3847" max="3847" width="6.109375" style="106" customWidth="1"/>
    <col min="3848" max="3848" width="8.21875" style="106" customWidth="1"/>
    <col min="3849" max="3849" width="6.21875" style="106" customWidth="1"/>
    <col min="3850" max="3852" width="8" style="106" customWidth="1"/>
    <col min="3853" max="3853" width="6.21875" style="106" customWidth="1"/>
    <col min="3854" max="3854" width="8" style="106" customWidth="1"/>
    <col min="3855" max="3855" width="7.33203125" style="106" bestFit="1" customWidth="1"/>
    <col min="3856" max="3856" width="6.21875" style="106" customWidth="1"/>
    <col min="3857" max="3857" width="9.77734375" style="106" bestFit="1" customWidth="1"/>
    <col min="3858" max="3859" width="6.21875" style="106" customWidth="1"/>
    <col min="3860" max="3860" width="7.33203125" style="106" bestFit="1" customWidth="1"/>
    <col min="3861" max="3861" width="6.21875" style="106" customWidth="1"/>
    <col min="3862" max="3862" width="6.21875" style="106" bestFit="1" customWidth="1"/>
    <col min="3863" max="3865" width="5.5546875" style="106" bestFit="1" customWidth="1"/>
    <col min="3866" max="3866" width="4.44140625" style="106" customWidth="1"/>
    <col min="3867" max="4095" width="8.88671875" style="106"/>
    <col min="4096" max="4096" width="7.44140625" style="106" customWidth="1"/>
    <col min="4097" max="4098" width="7.77734375" style="106" customWidth="1"/>
    <col min="4099" max="4099" width="7" style="106" customWidth="1"/>
    <col min="4100" max="4102" width="6.6640625" style="106" customWidth="1"/>
    <col min="4103" max="4103" width="6.109375" style="106" customWidth="1"/>
    <col min="4104" max="4104" width="8.21875" style="106" customWidth="1"/>
    <col min="4105" max="4105" width="6.21875" style="106" customWidth="1"/>
    <col min="4106" max="4108" width="8" style="106" customWidth="1"/>
    <col min="4109" max="4109" width="6.21875" style="106" customWidth="1"/>
    <col min="4110" max="4110" width="8" style="106" customWidth="1"/>
    <col min="4111" max="4111" width="7.33203125" style="106" bestFit="1" customWidth="1"/>
    <col min="4112" max="4112" width="6.21875" style="106" customWidth="1"/>
    <col min="4113" max="4113" width="9.77734375" style="106" bestFit="1" customWidth="1"/>
    <col min="4114" max="4115" width="6.21875" style="106" customWidth="1"/>
    <col min="4116" max="4116" width="7.33203125" style="106" bestFit="1" customWidth="1"/>
    <col min="4117" max="4117" width="6.21875" style="106" customWidth="1"/>
    <col min="4118" max="4118" width="6.21875" style="106" bestFit="1" customWidth="1"/>
    <col min="4119" max="4121" width="5.5546875" style="106" bestFit="1" customWidth="1"/>
    <col min="4122" max="4122" width="4.44140625" style="106" customWidth="1"/>
    <col min="4123" max="4351" width="8.88671875" style="106"/>
    <col min="4352" max="4352" width="7.44140625" style="106" customWidth="1"/>
    <col min="4353" max="4354" width="7.77734375" style="106" customWidth="1"/>
    <col min="4355" max="4355" width="7" style="106" customWidth="1"/>
    <col min="4356" max="4358" width="6.6640625" style="106" customWidth="1"/>
    <col min="4359" max="4359" width="6.109375" style="106" customWidth="1"/>
    <col min="4360" max="4360" width="8.21875" style="106" customWidth="1"/>
    <col min="4361" max="4361" width="6.21875" style="106" customWidth="1"/>
    <col min="4362" max="4364" width="8" style="106" customWidth="1"/>
    <col min="4365" max="4365" width="6.21875" style="106" customWidth="1"/>
    <col min="4366" max="4366" width="8" style="106" customWidth="1"/>
    <col min="4367" max="4367" width="7.33203125" style="106" bestFit="1" customWidth="1"/>
    <col min="4368" max="4368" width="6.21875" style="106" customWidth="1"/>
    <col min="4369" max="4369" width="9.77734375" style="106" bestFit="1" customWidth="1"/>
    <col min="4370" max="4371" width="6.21875" style="106" customWidth="1"/>
    <col min="4372" max="4372" width="7.33203125" style="106" bestFit="1" customWidth="1"/>
    <col min="4373" max="4373" width="6.21875" style="106" customWidth="1"/>
    <col min="4374" max="4374" width="6.21875" style="106" bestFit="1" customWidth="1"/>
    <col min="4375" max="4377" width="5.5546875" style="106" bestFit="1" customWidth="1"/>
    <col min="4378" max="4378" width="4.44140625" style="106" customWidth="1"/>
    <col min="4379" max="4607" width="8.88671875" style="106"/>
    <col min="4608" max="4608" width="7.44140625" style="106" customWidth="1"/>
    <col min="4609" max="4610" width="7.77734375" style="106" customWidth="1"/>
    <col min="4611" max="4611" width="7" style="106" customWidth="1"/>
    <col min="4612" max="4614" width="6.6640625" style="106" customWidth="1"/>
    <col min="4615" max="4615" width="6.109375" style="106" customWidth="1"/>
    <col min="4616" max="4616" width="8.21875" style="106" customWidth="1"/>
    <col min="4617" max="4617" width="6.21875" style="106" customWidth="1"/>
    <col min="4618" max="4620" width="8" style="106" customWidth="1"/>
    <col min="4621" max="4621" width="6.21875" style="106" customWidth="1"/>
    <col min="4622" max="4622" width="8" style="106" customWidth="1"/>
    <col min="4623" max="4623" width="7.33203125" style="106" bestFit="1" customWidth="1"/>
    <col min="4624" max="4624" width="6.21875" style="106" customWidth="1"/>
    <col min="4625" max="4625" width="9.77734375" style="106" bestFit="1" customWidth="1"/>
    <col min="4626" max="4627" width="6.21875" style="106" customWidth="1"/>
    <col min="4628" max="4628" width="7.33203125" style="106" bestFit="1" customWidth="1"/>
    <col min="4629" max="4629" width="6.21875" style="106" customWidth="1"/>
    <col min="4630" max="4630" width="6.21875" style="106" bestFit="1" customWidth="1"/>
    <col min="4631" max="4633" width="5.5546875" style="106" bestFit="1" customWidth="1"/>
    <col min="4634" max="4634" width="4.44140625" style="106" customWidth="1"/>
    <col min="4635" max="4863" width="8.88671875" style="106"/>
    <col min="4864" max="4864" width="7.44140625" style="106" customWidth="1"/>
    <col min="4865" max="4866" width="7.77734375" style="106" customWidth="1"/>
    <col min="4867" max="4867" width="7" style="106" customWidth="1"/>
    <col min="4868" max="4870" width="6.6640625" style="106" customWidth="1"/>
    <col min="4871" max="4871" width="6.109375" style="106" customWidth="1"/>
    <col min="4872" max="4872" width="8.21875" style="106" customWidth="1"/>
    <col min="4873" max="4873" width="6.21875" style="106" customWidth="1"/>
    <col min="4874" max="4876" width="8" style="106" customWidth="1"/>
    <col min="4877" max="4877" width="6.21875" style="106" customWidth="1"/>
    <col min="4878" max="4878" width="8" style="106" customWidth="1"/>
    <col min="4879" max="4879" width="7.33203125" style="106" bestFit="1" customWidth="1"/>
    <col min="4880" max="4880" width="6.21875" style="106" customWidth="1"/>
    <col min="4881" max="4881" width="9.77734375" style="106" bestFit="1" customWidth="1"/>
    <col min="4882" max="4883" width="6.21875" style="106" customWidth="1"/>
    <col min="4884" max="4884" width="7.33203125" style="106" bestFit="1" customWidth="1"/>
    <col min="4885" max="4885" width="6.21875" style="106" customWidth="1"/>
    <col min="4886" max="4886" width="6.21875" style="106" bestFit="1" customWidth="1"/>
    <col min="4887" max="4889" width="5.5546875" style="106" bestFit="1" customWidth="1"/>
    <col min="4890" max="4890" width="4.44140625" style="106" customWidth="1"/>
    <col min="4891" max="5119" width="8.88671875" style="106"/>
    <col min="5120" max="5120" width="7.44140625" style="106" customWidth="1"/>
    <col min="5121" max="5122" width="7.77734375" style="106" customWidth="1"/>
    <col min="5123" max="5123" width="7" style="106" customWidth="1"/>
    <col min="5124" max="5126" width="6.6640625" style="106" customWidth="1"/>
    <col min="5127" max="5127" width="6.109375" style="106" customWidth="1"/>
    <col min="5128" max="5128" width="8.21875" style="106" customWidth="1"/>
    <col min="5129" max="5129" width="6.21875" style="106" customWidth="1"/>
    <col min="5130" max="5132" width="8" style="106" customWidth="1"/>
    <col min="5133" max="5133" width="6.21875" style="106" customWidth="1"/>
    <col min="5134" max="5134" width="8" style="106" customWidth="1"/>
    <col min="5135" max="5135" width="7.33203125" style="106" bestFit="1" customWidth="1"/>
    <col min="5136" max="5136" width="6.21875" style="106" customWidth="1"/>
    <col min="5137" max="5137" width="9.77734375" style="106" bestFit="1" customWidth="1"/>
    <col min="5138" max="5139" width="6.21875" style="106" customWidth="1"/>
    <col min="5140" max="5140" width="7.33203125" style="106" bestFit="1" customWidth="1"/>
    <col min="5141" max="5141" width="6.21875" style="106" customWidth="1"/>
    <col min="5142" max="5142" width="6.21875" style="106" bestFit="1" customWidth="1"/>
    <col min="5143" max="5145" width="5.5546875" style="106" bestFit="1" customWidth="1"/>
    <col min="5146" max="5146" width="4.44140625" style="106" customWidth="1"/>
    <col min="5147" max="5375" width="8.88671875" style="106"/>
    <col min="5376" max="5376" width="7.44140625" style="106" customWidth="1"/>
    <col min="5377" max="5378" width="7.77734375" style="106" customWidth="1"/>
    <col min="5379" max="5379" width="7" style="106" customWidth="1"/>
    <col min="5380" max="5382" width="6.6640625" style="106" customWidth="1"/>
    <col min="5383" max="5383" width="6.109375" style="106" customWidth="1"/>
    <col min="5384" max="5384" width="8.21875" style="106" customWidth="1"/>
    <col min="5385" max="5385" width="6.21875" style="106" customWidth="1"/>
    <col min="5386" max="5388" width="8" style="106" customWidth="1"/>
    <col min="5389" max="5389" width="6.21875" style="106" customWidth="1"/>
    <col min="5390" max="5390" width="8" style="106" customWidth="1"/>
    <col min="5391" max="5391" width="7.33203125" style="106" bestFit="1" customWidth="1"/>
    <col min="5392" max="5392" width="6.21875" style="106" customWidth="1"/>
    <col min="5393" max="5393" width="9.77734375" style="106" bestFit="1" customWidth="1"/>
    <col min="5394" max="5395" width="6.21875" style="106" customWidth="1"/>
    <col min="5396" max="5396" width="7.33203125" style="106" bestFit="1" customWidth="1"/>
    <col min="5397" max="5397" width="6.21875" style="106" customWidth="1"/>
    <col min="5398" max="5398" width="6.21875" style="106" bestFit="1" customWidth="1"/>
    <col min="5399" max="5401" width="5.5546875" style="106" bestFit="1" customWidth="1"/>
    <col min="5402" max="5402" width="4.44140625" style="106" customWidth="1"/>
    <col min="5403" max="5631" width="8.88671875" style="106"/>
    <col min="5632" max="5632" width="7.44140625" style="106" customWidth="1"/>
    <col min="5633" max="5634" width="7.77734375" style="106" customWidth="1"/>
    <col min="5635" max="5635" width="7" style="106" customWidth="1"/>
    <col min="5636" max="5638" width="6.6640625" style="106" customWidth="1"/>
    <col min="5639" max="5639" width="6.109375" style="106" customWidth="1"/>
    <col min="5640" max="5640" width="8.21875" style="106" customWidth="1"/>
    <col min="5641" max="5641" width="6.21875" style="106" customWidth="1"/>
    <col min="5642" max="5644" width="8" style="106" customWidth="1"/>
    <col min="5645" max="5645" width="6.21875" style="106" customWidth="1"/>
    <col min="5646" max="5646" width="8" style="106" customWidth="1"/>
    <col min="5647" max="5647" width="7.33203125" style="106" bestFit="1" customWidth="1"/>
    <col min="5648" max="5648" width="6.21875" style="106" customWidth="1"/>
    <col min="5649" max="5649" width="9.77734375" style="106" bestFit="1" customWidth="1"/>
    <col min="5650" max="5651" width="6.21875" style="106" customWidth="1"/>
    <col min="5652" max="5652" width="7.33203125" style="106" bestFit="1" customWidth="1"/>
    <col min="5653" max="5653" width="6.21875" style="106" customWidth="1"/>
    <col min="5654" max="5654" width="6.21875" style="106" bestFit="1" customWidth="1"/>
    <col min="5655" max="5657" width="5.5546875" style="106" bestFit="1" customWidth="1"/>
    <col min="5658" max="5658" width="4.44140625" style="106" customWidth="1"/>
    <col min="5659" max="5887" width="8.88671875" style="106"/>
    <col min="5888" max="5888" width="7.44140625" style="106" customWidth="1"/>
    <col min="5889" max="5890" width="7.77734375" style="106" customWidth="1"/>
    <col min="5891" max="5891" width="7" style="106" customWidth="1"/>
    <col min="5892" max="5894" width="6.6640625" style="106" customWidth="1"/>
    <col min="5895" max="5895" width="6.109375" style="106" customWidth="1"/>
    <col min="5896" max="5896" width="8.21875" style="106" customWidth="1"/>
    <col min="5897" max="5897" width="6.21875" style="106" customWidth="1"/>
    <col min="5898" max="5900" width="8" style="106" customWidth="1"/>
    <col min="5901" max="5901" width="6.21875" style="106" customWidth="1"/>
    <col min="5902" max="5902" width="8" style="106" customWidth="1"/>
    <col min="5903" max="5903" width="7.33203125" style="106" bestFit="1" customWidth="1"/>
    <col min="5904" max="5904" width="6.21875" style="106" customWidth="1"/>
    <col min="5905" max="5905" width="9.77734375" style="106" bestFit="1" customWidth="1"/>
    <col min="5906" max="5907" width="6.21875" style="106" customWidth="1"/>
    <col min="5908" max="5908" width="7.33203125" style="106" bestFit="1" customWidth="1"/>
    <col min="5909" max="5909" width="6.21875" style="106" customWidth="1"/>
    <col min="5910" max="5910" width="6.21875" style="106" bestFit="1" customWidth="1"/>
    <col min="5911" max="5913" width="5.5546875" style="106" bestFit="1" customWidth="1"/>
    <col min="5914" max="5914" width="4.44140625" style="106" customWidth="1"/>
    <col min="5915" max="6143" width="8.88671875" style="106"/>
    <col min="6144" max="6144" width="7.44140625" style="106" customWidth="1"/>
    <col min="6145" max="6146" width="7.77734375" style="106" customWidth="1"/>
    <col min="6147" max="6147" width="7" style="106" customWidth="1"/>
    <col min="6148" max="6150" width="6.6640625" style="106" customWidth="1"/>
    <col min="6151" max="6151" width="6.109375" style="106" customWidth="1"/>
    <col min="6152" max="6152" width="8.21875" style="106" customWidth="1"/>
    <col min="6153" max="6153" width="6.21875" style="106" customWidth="1"/>
    <col min="6154" max="6156" width="8" style="106" customWidth="1"/>
    <col min="6157" max="6157" width="6.21875" style="106" customWidth="1"/>
    <col min="6158" max="6158" width="8" style="106" customWidth="1"/>
    <col min="6159" max="6159" width="7.33203125" style="106" bestFit="1" customWidth="1"/>
    <col min="6160" max="6160" width="6.21875" style="106" customWidth="1"/>
    <col min="6161" max="6161" width="9.77734375" style="106" bestFit="1" customWidth="1"/>
    <col min="6162" max="6163" width="6.21875" style="106" customWidth="1"/>
    <col min="6164" max="6164" width="7.33203125" style="106" bestFit="1" customWidth="1"/>
    <col min="6165" max="6165" width="6.21875" style="106" customWidth="1"/>
    <col min="6166" max="6166" width="6.21875" style="106" bestFit="1" customWidth="1"/>
    <col min="6167" max="6169" width="5.5546875" style="106" bestFit="1" customWidth="1"/>
    <col min="6170" max="6170" width="4.44140625" style="106" customWidth="1"/>
    <col min="6171" max="6399" width="8.88671875" style="106"/>
    <col min="6400" max="6400" width="7.44140625" style="106" customWidth="1"/>
    <col min="6401" max="6402" width="7.77734375" style="106" customWidth="1"/>
    <col min="6403" max="6403" width="7" style="106" customWidth="1"/>
    <col min="6404" max="6406" width="6.6640625" style="106" customWidth="1"/>
    <col min="6407" max="6407" width="6.109375" style="106" customWidth="1"/>
    <col min="6408" max="6408" width="8.21875" style="106" customWidth="1"/>
    <col min="6409" max="6409" width="6.21875" style="106" customWidth="1"/>
    <col min="6410" max="6412" width="8" style="106" customWidth="1"/>
    <col min="6413" max="6413" width="6.21875" style="106" customWidth="1"/>
    <col min="6414" max="6414" width="8" style="106" customWidth="1"/>
    <col min="6415" max="6415" width="7.33203125" style="106" bestFit="1" customWidth="1"/>
    <col min="6416" max="6416" width="6.21875" style="106" customWidth="1"/>
    <col min="6417" max="6417" width="9.77734375" style="106" bestFit="1" customWidth="1"/>
    <col min="6418" max="6419" width="6.21875" style="106" customWidth="1"/>
    <col min="6420" max="6420" width="7.33203125" style="106" bestFit="1" customWidth="1"/>
    <col min="6421" max="6421" width="6.21875" style="106" customWidth="1"/>
    <col min="6422" max="6422" width="6.21875" style="106" bestFit="1" customWidth="1"/>
    <col min="6423" max="6425" width="5.5546875" style="106" bestFit="1" customWidth="1"/>
    <col min="6426" max="6426" width="4.44140625" style="106" customWidth="1"/>
    <col min="6427" max="6655" width="8.88671875" style="106"/>
    <col min="6656" max="6656" width="7.44140625" style="106" customWidth="1"/>
    <col min="6657" max="6658" width="7.77734375" style="106" customWidth="1"/>
    <col min="6659" max="6659" width="7" style="106" customWidth="1"/>
    <col min="6660" max="6662" width="6.6640625" style="106" customWidth="1"/>
    <col min="6663" max="6663" width="6.109375" style="106" customWidth="1"/>
    <col min="6664" max="6664" width="8.21875" style="106" customWidth="1"/>
    <col min="6665" max="6665" width="6.21875" style="106" customWidth="1"/>
    <col min="6666" max="6668" width="8" style="106" customWidth="1"/>
    <col min="6669" max="6669" width="6.21875" style="106" customWidth="1"/>
    <col min="6670" max="6670" width="8" style="106" customWidth="1"/>
    <col min="6671" max="6671" width="7.33203125" style="106" bestFit="1" customWidth="1"/>
    <col min="6672" max="6672" width="6.21875" style="106" customWidth="1"/>
    <col min="6673" max="6673" width="9.77734375" style="106" bestFit="1" customWidth="1"/>
    <col min="6674" max="6675" width="6.21875" style="106" customWidth="1"/>
    <col min="6676" max="6676" width="7.33203125" style="106" bestFit="1" customWidth="1"/>
    <col min="6677" max="6677" width="6.21875" style="106" customWidth="1"/>
    <col min="6678" max="6678" width="6.21875" style="106" bestFit="1" customWidth="1"/>
    <col min="6679" max="6681" width="5.5546875" style="106" bestFit="1" customWidth="1"/>
    <col min="6682" max="6682" width="4.44140625" style="106" customWidth="1"/>
    <col min="6683" max="6911" width="8.88671875" style="106"/>
    <col min="6912" max="6912" width="7.44140625" style="106" customWidth="1"/>
    <col min="6913" max="6914" width="7.77734375" style="106" customWidth="1"/>
    <col min="6915" max="6915" width="7" style="106" customWidth="1"/>
    <col min="6916" max="6918" width="6.6640625" style="106" customWidth="1"/>
    <col min="6919" max="6919" width="6.109375" style="106" customWidth="1"/>
    <col min="6920" max="6920" width="8.21875" style="106" customWidth="1"/>
    <col min="6921" max="6921" width="6.21875" style="106" customWidth="1"/>
    <col min="6922" max="6924" width="8" style="106" customWidth="1"/>
    <col min="6925" max="6925" width="6.21875" style="106" customWidth="1"/>
    <col min="6926" max="6926" width="8" style="106" customWidth="1"/>
    <col min="6927" max="6927" width="7.33203125" style="106" bestFit="1" customWidth="1"/>
    <col min="6928" max="6928" width="6.21875" style="106" customWidth="1"/>
    <col min="6929" max="6929" width="9.77734375" style="106" bestFit="1" customWidth="1"/>
    <col min="6930" max="6931" width="6.21875" style="106" customWidth="1"/>
    <col min="6932" max="6932" width="7.33203125" style="106" bestFit="1" customWidth="1"/>
    <col min="6933" max="6933" width="6.21875" style="106" customWidth="1"/>
    <col min="6934" max="6934" width="6.21875" style="106" bestFit="1" customWidth="1"/>
    <col min="6935" max="6937" width="5.5546875" style="106" bestFit="1" customWidth="1"/>
    <col min="6938" max="6938" width="4.44140625" style="106" customWidth="1"/>
    <col min="6939" max="7167" width="8.88671875" style="106"/>
    <col min="7168" max="7168" width="7.44140625" style="106" customWidth="1"/>
    <col min="7169" max="7170" width="7.77734375" style="106" customWidth="1"/>
    <col min="7171" max="7171" width="7" style="106" customWidth="1"/>
    <col min="7172" max="7174" width="6.6640625" style="106" customWidth="1"/>
    <col min="7175" max="7175" width="6.109375" style="106" customWidth="1"/>
    <col min="7176" max="7176" width="8.21875" style="106" customWidth="1"/>
    <col min="7177" max="7177" width="6.21875" style="106" customWidth="1"/>
    <col min="7178" max="7180" width="8" style="106" customWidth="1"/>
    <col min="7181" max="7181" width="6.21875" style="106" customWidth="1"/>
    <col min="7182" max="7182" width="8" style="106" customWidth="1"/>
    <col min="7183" max="7183" width="7.33203125" style="106" bestFit="1" customWidth="1"/>
    <col min="7184" max="7184" width="6.21875" style="106" customWidth="1"/>
    <col min="7185" max="7185" width="9.77734375" style="106" bestFit="1" customWidth="1"/>
    <col min="7186" max="7187" width="6.21875" style="106" customWidth="1"/>
    <col min="7188" max="7188" width="7.33203125" style="106" bestFit="1" customWidth="1"/>
    <col min="7189" max="7189" width="6.21875" style="106" customWidth="1"/>
    <col min="7190" max="7190" width="6.21875" style="106" bestFit="1" customWidth="1"/>
    <col min="7191" max="7193" width="5.5546875" style="106" bestFit="1" customWidth="1"/>
    <col min="7194" max="7194" width="4.44140625" style="106" customWidth="1"/>
    <col min="7195" max="7423" width="8.88671875" style="106"/>
    <col min="7424" max="7424" width="7.44140625" style="106" customWidth="1"/>
    <col min="7425" max="7426" width="7.77734375" style="106" customWidth="1"/>
    <col min="7427" max="7427" width="7" style="106" customWidth="1"/>
    <col min="7428" max="7430" width="6.6640625" style="106" customWidth="1"/>
    <col min="7431" max="7431" width="6.109375" style="106" customWidth="1"/>
    <col min="7432" max="7432" width="8.21875" style="106" customWidth="1"/>
    <col min="7433" max="7433" width="6.21875" style="106" customWidth="1"/>
    <col min="7434" max="7436" width="8" style="106" customWidth="1"/>
    <col min="7437" max="7437" width="6.21875" style="106" customWidth="1"/>
    <col min="7438" max="7438" width="8" style="106" customWidth="1"/>
    <col min="7439" max="7439" width="7.33203125" style="106" bestFit="1" customWidth="1"/>
    <col min="7440" max="7440" width="6.21875" style="106" customWidth="1"/>
    <col min="7441" max="7441" width="9.77734375" style="106" bestFit="1" customWidth="1"/>
    <col min="7442" max="7443" width="6.21875" style="106" customWidth="1"/>
    <col min="7444" max="7444" width="7.33203125" style="106" bestFit="1" customWidth="1"/>
    <col min="7445" max="7445" width="6.21875" style="106" customWidth="1"/>
    <col min="7446" max="7446" width="6.21875" style="106" bestFit="1" customWidth="1"/>
    <col min="7447" max="7449" width="5.5546875" style="106" bestFit="1" customWidth="1"/>
    <col min="7450" max="7450" width="4.44140625" style="106" customWidth="1"/>
    <col min="7451" max="7679" width="8.88671875" style="106"/>
    <col min="7680" max="7680" width="7.44140625" style="106" customWidth="1"/>
    <col min="7681" max="7682" width="7.77734375" style="106" customWidth="1"/>
    <col min="7683" max="7683" width="7" style="106" customWidth="1"/>
    <col min="7684" max="7686" width="6.6640625" style="106" customWidth="1"/>
    <col min="7687" max="7687" width="6.109375" style="106" customWidth="1"/>
    <col min="7688" max="7688" width="8.21875" style="106" customWidth="1"/>
    <col min="7689" max="7689" width="6.21875" style="106" customWidth="1"/>
    <col min="7690" max="7692" width="8" style="106" customWidth="1"/>
    <col min="7693" max="7693" width="6.21875" style="106" customWidth="1"/>
    <col min="7694" max="7694" width="8" style="106" customWidth="1"/>
    <col min="7695" max="7695" width="7.33203125" style="106" bestFit="1" customWidth="1"/>
    <col min="7696" max="7696" width="6.21875" style="106" customWidth="1"/>
    <col min="7697" max="7697" width="9.77734375" style="106" bestFit="1" customWidth="1"/>
    <col min="7698" max="7699" width="6.21875" style="106" customWidth="1"/>
    <col min="7700" max="7700" width="7.33203125" style="106" bestFit="1" customWidth="1"/>
    <col min="7701" max="7701" width="6.21875" style="106" customWidth="1"/>
    <col min="7702" max="7702" width="6.21875" style="106" bestFit="1" customWidth="1"/>
    <col min="7703" max="7705" width="5.5546875" style="106" bestFit="1" customWidth="1"/>
    <col min="7706" max="7706" width="4.44140625" style="106" customWidth="1"/>
    <col min="7707" max="7935" width="8.88671875" style="106"/>
    <col min="7936" max="7936" width="7.44140625" style="106" customWidth="1"/>
    <col min="7937" max="7938" width="7.77734375" style="106" customWidth="1"/>
    <col min="7939" max="7939" width="7" style="106" customWidth="1"/>
    <col min="7940" max="7942" width="6.6640625" style="106" customWidth="1"/>
    <col min="7943" max="7943" width="6.109375" style="106" customWidth="1"/>
    <col min="7944" max="7944" width="8.21875" style="106" customWidth="1"/>
    <col min="7945" max="7945" width="6.21875" style="106" customWidth="1"/>
    <col min="7946" max="7948" width="8" style="106" customWidth="1"/>
    <col min="7949" max="7949" width="6.21875" style="106" customWidth="1"/>
    <col min="7950" max="7950" width="8" style="106" customWidth="1"/>
    <col min="7951" max="7951" width="7.33203125" style="106" bestFit="1" customWidth="1"/>
    <col min="7952" max="7952" width="6.21875" style="106" customWidth="1"/>
    <col min="7953" max="7953" width="9.77734375" style="106" bestFit="1" customWidth="1"/>
    <col min="7954" max="7955" width="6.21875" style="106" customWidth="1"/>
    <col min="7956" max="7956" width="7.33203125" style="106" bestFit="1" customWidth="1"/>
    <col min="7957" max="7957" width="6.21875" style="106" customWidth="1"/>
    <col min="7958" max="7958" width="6.21875" style="106" bestFit="1" customWidth="1"/>
    <col min="7959" max="7961" width="5.5546875" style="106" bestFit="1" customWidth="1"/>
    <col min="7962" max="7962" width="4.44140625" style="106" customWidth="1"/>
    <col min="7963" max="8191" width="8.88671875" style="106"/>
    <col min="8192" max="8192" width="7.44140625" style="106" customWidth="1"/>
    <col min="8193" max="8194" width="7.77734375" style="106" customWidth="1"/>
    <col min="8195" max="8195" width="7" style="106" customWidth="1"/>
    <col min="8196" max="8198" width="6.6640625" style="106" customWidth="1"/>
    <col min="8199" max="8199" width="6.109375" style="106" customWidth="1"/>
    <col min="8200" max="8200" width="8.21875" style="106" customWidth="1"/>
    <col min="8201" max="8201" width="6.21875" style="106" customWidth="1"/>
    <col min="8202" max="8204" width="8" style="106" customWidth="1"/>
    <col min="8205" max="8205" width="6.21875" style="106" customWidth="1"/>
    <col min="8206" max="8206" width="8" style="106" customWidth="1"/>
    <col min="8207" max="8207" width="7.33203125" style="106" bestFit="1" customWidth="1"/>
    <col min="8208" max="8208" width="6.21875" style="106" customWidth="1"/>
    <col min="8209" max="8209" width="9.77734375" style="106" bestFit="1" customWidth="1"/>
    <col min="8210" max="8211" width="6.21875" style="106" customWidth="1"/>
    <col min="8212" max="8212" width="7.33203125" style="106" bestFit="1" customWidth="1"/>
    <col min="8213" max="8213" width="6.21875" style="106" customWidth="1"/>
    <col min="8214" max="8214" width="6.21875" style="106" bestFit="1" customWidth="1"/>
    <col min="8215" max="8217" width="5.5546875" style="106" bestFit="1" customWidth="1"/>
    <col min="8218" max="8218" width="4.44140625" style="106" customWidth="1"/>
    <col min="8219" max="8447" width="8.88671875" style="106"/>
    <col min="8448" max="8448" width="7.44140625" style="106" customWidth="1"/>
    <col min="8449" max="8450" width="7.77734375" style="106" customWidth="1"/>
    <col min="8451" max="8451" width="7" style="106" customWidth="1"/>
    <col min="8452" max="8454" width="6.6640625" style="106" customWidth="1"/>
    <col min="8455" max="8455" width="6.109375" style="106" customWidth="1"/>
    <col min="8456" max="8456" width="8.21875" style="106" customWidth="1"/>
    <col min="8457" max="8457" width="6.21875" style="106" customWidth="1"/>
    <col min="8458" max="8460" width="8" style="106" customWidth="1"/>
    <col min="8461" max="8461" width="6.21875" style="106" customWidth="1"/>
    <col min="8462" max="8462" width="8" style="106" customWidth="1"/>
    <col min="8463" max="8463" width="7.33203125" style="106" bestFit="1" customWidth="1"/>
    <col min="8464" max="8464" width="6.21875" style="106" customWidth="1"/>
    <col min="8465" max="8465" width="9.77734375" style="106" bestFit="1" customWidth="1"/>
    <col min="8466" max="8467" width="6.21875" style="106" customWidth="1"/>
    <col min="8468" max="8468" width="7.33203125" style="106" bestFit="1" customWidth="1"/>
    <col min="8469" max="8469" width="6.21875" style="106" customWidth="1"/>
    <col min="8470" max="8470" width="6.21875" style="106" bestFit="1" customWidth="1"/>
    <col min="8471" max="8473" width="5.5546875" style="106" bestFit="1" customWidth="1"/>
    <col min="8474" max="8474" width="4.44140625" style="106" customWidth="1"/>
    <col min="8475" max="8703" width="8.88671875" style="106"/>
    <col min="8704" max="8704" width="7.44140625" style="106" customWidth="1"/>
    <col min="8705" max="8706" width="7.77734375" style="106" customWidth="1"/>
    <col min="8707" max="8707" width="7" style="106" customWidth="1"/>
    <col min="8708" max="8710" width="6.6640625" style="106" customWidth="1"/>
    <col min="8711" max="8711" width="6.109375" style="106" customWidth="1"/>
    <col min="8712" max="8712" width="8.21875" style="106" customWidth="1"/>
    <col min="8713" max="8713" width="6.21875" style="106" customWidth="1"/>
    <col min="8714" max="8716" width="8" style="106" customWidth="1"/>
    <col min="8717" max="8717" width="6.21875" style="106" customWidth="1"/>
    <col min="8718" max="8718" width="8" style="106" customWidth="1"/>
    <col min="8719" max="8719" width="7.33203125" style="106" bestFit="1" customWidth="1"/>
    <col min="8720" max="8720" width="6.21875" style="106" customWidth="1"/>
    <col min="8721" max="8721" width="9.77734375" style="106" bestFit="1" customWidth="1"/>
    <col min="8722" max="8723" width="6.21875" style="106" customWidth="1"/>
    <col min="8724" max="8724" width="7.33203125" style="106" bestFit="1" customWidth="1"/>
    <col min="8725" max="8725" width="6.21875" style="106" customWidth="1"/>
    <col min="8726" max="8726" width="6.21875" style="106" bestFit="1" customWidth="1"/>
    <col min="8727" max="8729" width="5.5546875" style="106" bestFit="1" customWidth="1"/>
    <col min="8730" max="8730" width="4.44140625" style="106" customWidth="1"/>
    <col min="8731" max="8959" width="8.88671875" style="106"/>
    <col min="8960" max="8960" width="7.44140625" style="106" customWidth="1"/>
    <col min="8961" max="8962" width="7.77734375" style="106" customWidth="1"/>
    <col min="8963" max="8963" width="7" style="106" customWidth="1"/>
    <col min="8964" max="8966" width="6.6640625" style="106" customWidth="1"/>
    <col min="8967" max="8967" width="6.109375" style="106" customWidth="1"/>
    <col min="8968" max="8968" width="8.21875" style="106" customWidth="1"/>
    <col min="8969" max="8969" width="6.21875" style="106" customWidth="1"/>
    <col min="8970" max="8972" width="8" style="106" customWidth="1"/>
    <col min="8973" max="8973" width="6.21875" style="106" customWidth="1"/>
    <col min="8974" max="8974" width="8" style="106" customWidth="1"/>
    <col min="8975" max="8975" width="7.33203125" style="106" bestFit="1" customWidth="1"/>
    <col min="8976" max="8976" width="6.21875" style="106" customWidth="1"/>
    <col min="8977" max="8977" width="9.77734375" style="106" bestFit="1" customWidth="1"/>
    <col min="8978" max="8979" width="6.21875" style="106" customWidth="1"/>
    <col min="8980" max="8980" width="7.33203125" style="106" bestFit="1" customWidth="1"/>
    <col min="8981" max="8981" width="6.21875" style="106" customWidth="1"/>
    <col min="8982" max="8982" width="6.21875" style="106" bestFit="1" customWidth="1"/>
    <col min="8983" max="8985" width="5.5546875" style="106" bestFit="1" customWidth="1"/>
    <col min="8986" max="8986" width="4.44140625" style="106" customWidth="1"/>
    <col min="8987" max="9215" width="8.88671875" style="106"/>
    <col min="9216" max="9216" width="7.44140625" style="106" customWidth="1"/>
    <col min="9217" max="9218" width="7.77734375" style="106" customWidth="1"/>
    <col min="9219" max="9219" width="7" style="106" customWidth="1"/>
    <col min="9220" max="9222" width="6.6640625" style="106" customWidth="1"/>
    <col min="9223" max="9223" width="6.109375" style="106" customWidth="1"/>
    <col min="9224" max="9224" width="8.21875" style="106" customWidth="1"/>
    <col min="9225" max="9225" width="6.21875" style="106" customWidth="1"/>
    <col min="9226" max="9228" width="8" style="106" customWidth="1"/>
    <col min="9229" max="9229" width="6.21875" style="106" customWidth="1"/>
    <col min="9230" max="9230" width="8" style="106" customWidth="1"/>
    <col min="9231" max="9231" width="7.33203125" style="106" bestFit="1" customWidth="1"/>
    <col min="9232" max="9232" width="6.21875" style="106" customWidth="1"/>
    <col min="9233" max="9233" width="9.77734375" style="106" bestFit="1" customWidth="1"/>
    <col min="9234" max="9235" width="6.21875" style="106" customWidth="1"/>
    <col min="9236" max="9236" width="7.33203125" style="106" bestFit="1" customWidth="1"/>
    <col min="9237" max="9237" width="6.21875" style="106" customWidth="1"/>
    <col min="9238" max="9238" width="6.21875" style="106" bestFit="1" customWidth="1"/>
    <col min="9239" max="9241" width="5.5546875" style="106" bestFit="1" customWidth="1"/>
    <col min="9242" max="9242" width="4.44140625" style="106" customWidth="1"/>
    <col min="9243" max="9471" width="8.88671875" style="106"/>
    <col min="9472" max="9472" width="7.44140625" style="106" customWidth="1"/>
    <col min="9473" max="9474" width="7.77734375" style="106" customWidth="1"/>
    <col min="9475" max="9475" width="7" style="106" customWidth="1"/>
    <col min="9476" max="9478" width="6.6640625" style="106" customWidth="1"/>
    <col min="9479" max="9479" width="6.109375" style="106" customWidth="1"/>
    <col min="9480" max="9480" width="8.21875" style="106" customWidth="1"/>
    <col min="9481" max="9481" width="6.21875" style="106" customWidth="1"/>
    <col min="9482" max="9484" width="8" style="106" customWidth="1"/>
    <col min="9485" max="9485" width="6.21875" style="106" customWidth="1"/>
    <col min="9486" max="9486" width="8" style="106" customWidth="1"/>
    <col min="9487" max="9487" width="7.33203125" style="106" bestFit="1" customWidth="1"/>
    <col min="9488" max="9488" width="6.21875" style="106" customWidth="1"/>
    <col min="9489" max="9489" width="9.77734375" style="106" bestFit="1" customWidth="1"/>
    <col min="9490" max="9491" width="6.21875" style="106" customWidth="1"/>
    <col min="9492" max="9492" width="7.33203125" style="106" bestFit="1" customWidth="1"/>
    <col min="9493" max="9493" width="6.21875" style="106" customWidth="1"/>
    <col min="9494" max="9494" width="6.21875" style="106" bestFit="1" customWidth="1"/>
    <col min="9495" max="9497" width="5.5546875" style="106" bestFit="1" customWidth="1"/>
    <col min="9498" max="9498" width="4.44140625" style="106" customWidth="1"/>
    <col min="9499" max="9727" width="8.88671875" style="106"/>
    <col min="9728" max="9728" width="7.44140625" style="106" customWidth="1"/>
    <col min="9729" max="9730" width="7.77734375" style="106" customWidth="1"/>
    <col min="9731" max="9731" width="7" style="106" customWidth="1"/>
    <col min="9732" max="9734" width="6.6640625" style="106" customWidth="1"/>
    <col min="9735" max="9735" width="6.109375" style="106" customWidth="1"/>
    <col min="9736" max="9736" width="8.21875" style="106" customWidth="1"/>
    <col min="9737" max="9737" width="6.21875" style="106" customWidth="1"/>
    <col min="9738" max="9740" width="8" style="106" customWidth="1"/>
    <col min="9741" max="9741" width="6.21875" style="106" customWidth="1"/>
    <col min="9742" max="9742" width="8" style="106" customWidth="1"/>
    <col min="9743" max="9743" width="7.33203125" style="106" bestFit="1" customWidth="1"/>
    <col min="9744" max="9744" width="6.21875" style="106" customWidth="1"/>
    <col min="9745" max="9745" width="9.77734375" style="106" bestFit="1" customWidth="1"/>
    <col min="9746" max="9747" width="6.21875" style="106" customWidth="1"/>
    <col min="9748" max="9748" width="7.33203125" style="106" bestFit="1" customWidth="1"/>
    <col min="9749" max="9749" width="6.21875" style="106" customWidth="1"/>
    <col min="9750" max="9750" width="6.21875" style="106" bestFit="1" customWidth="1"/>
    <col min="9751" max="9753" width="5.5546875" style="106" bestFit="1" customWidth="1"/>
    <col min="9754" max="9754" width="4.44140625" style="106" customWidth="1"/>
    <col min="9755" max="9983" width="8.88671875" style="106"/>
    <col min="9984" max="9984" width="7.44140625" style="106" customWidth="1"/>
    <col min="9985" max="9986" width="7.77734375" style="106" customWidth="1"/>
    <col min="9987" max="9987" width="7" style="106" customWidth="1"/>
    <col min="9988" max="9990" width="6.6640625" style="106" customWidth="1"/>
    <col min="9991" max="9991" width="6.109375" style="106" customWidth="1"/>
    <col min="9992" max="9992" width="8.21875" style="106" customWidth="1"/>
    <col min="9993" max="9993" width="6.21875" style="106" customWidth="1"/>
    <col min="9994" max="9996" width="8" style="106" customWidth="1"/>
    <col min="9997" max="9997" width="6.21875" style="106" customWidth="1"/>
    <col min="9998" max="9998" width="8" style="106" customWidth="1"/>
    <col min="9999" max="9999" width="7.33203125" style="106" bestFit="1" customWidth="1"/>
    <col min="10000" max="10000" width="6.21875" style="106" customWidth="1"/>
    <col min="10001" max="10001" width="9.77734375" style="106" bestFit="1" customWidth="1"/>
    <col min="10002" max="10003" width="6.21875" style="106" customWidth="1"/>
    <col min="10004" max="10004" width="7.33203125" style="106" bestFit="1" customWidth="1"/>
    <col min="10005" max="10005" width="6.21875" style="106" customWidth="1"/>
    <col min="10006" max="10006" width="6.21875" style="106" bestFit="1" customWidth="1"/>
    <col min="10007" max="10009" width="5.5546875" style="106" bestFit="1" customWidth="1"/>
    <col min="10010" max="10010" width="4.44140625" style="106" customWidth="1"/>
    <col min="10011" max="10239" width="8.88671875" style="106"/>
    <col min="10240" max="10240" width="7.44140625" style="106" customWidth="1"/>
    <col min="10241" max="10242" width="7.77734375" style="106" customWidth="1"/>
    <col min="10243" max="10243" width="7" style="106" customWidth="1"/>
    <col min="10244" max="10246" width="6.6640625" style="106" customWidth="1"/>
    <col min="10247" max="10247" width="6.109375" style="106" customWidth="1"/>
    <col min="10248" max="10248" width="8.21875" style="106" customWidth="1"/>
    <col min="10249" max="10249" width="6.21875" style="106" customWidth="1"/>
    <col min="10250" max="10252" width="8" style="106" customWidth="1"/>
    <col min="10253" max="10253" width="6.21875" style="106" customWidth="1"/>
    <col min="10254" max="10254" width="8" style="106" customWidth="1"/>
    <col min="10255" max="10255" width="7.33203125" style="106" bestFit="1" customWidth="1"/>
    <col min="10256" max="10256" width="6.21875" style="106" customWidth="1"/>
    <col min="10257" max="10257" width="9.77734375" style="106" bestFit="1" customWidth="1"/>
    <col min="10258" max="10259" width="6.21875" style="106" customWidth="1"/>
    <col min="10260" max="10260" width="7.33203125" style="106" bestFit="1" customWidth="1"/>
    <col min="10261" max="10261" width="6.21875" style="106" customWidth="1"/>
    <col min="10262" max="10262" width="6.21875" style="106" bestFit="1" customWidth="1"/>
    <col min="10263" max="10265" width="5.5546875" style="106" bestFit="1" customWidth="1"/>
    <col min="10266" max="10266" width="4.44140625" style="106" customWidth="1"/>
    <col min="10267" max="10495" width="8.88671875" style="106"/>
    <col min="10496" max="10496" width="7.44140625" style="106" customWidth="1"/>
    <col min="10497" max="10498" width="7.77734375" style="106" customWidth="1"/>
    <col min="10499" max="10499" width="7" style="106" customWidth="1"/>
    <col min="10500" max="10502" width="6.6640625" style="106" customWidth="1"/>
    <col min="10503" max="10503" width="6.109375" style="106" customWidth="1"/>
    <col min="10504" max="10504" width="8.21875" style="106" customWidth="1"/>
    <col min="10505" max="10505" width="6.21875" style="106" customWidth="1"/>
    <col min="10506" max="10508" width="8" style="106" customWidth="1"/>
    <col min="10509" max="10509" width="6.21875" style="106" customWidth="1"/>
    <col min="10510" max="10510" width="8" style="106" customWidth="1"/>
    <col min="10511" max="10511" width="7.33203125" style="106" bestFit="1" customWidth="1"/>
    <col min="10512" max="10512" width="6.21875" style="106" customWidth="1"/>
    <col min="10513" max="10513" width="9.77734375" style="106" bestFit="1" customWidth="1"/>
    <col min="10514" max="10515" width="6.21875" style="106" customWidth="1"/>
    <col min="10516" max="10516" width="7.33203125" style="106" bestFit="1" customWidth="1"/>
    <col min="10517" max="10517" width="6.21875" style="106" customWidth="1"/>
    <col min="10518" max="10518" width="6.21875" style="106" bestFit="1" customWidth="1"/>
    <col min="10519" max="10521" width="5.5546875" style="106" bestFit="1" customWidth="1"/>
    <col min="10522" max="10522" width="4.44140625" style="106" customWidth="1"/>
    <col min="10523" max="10751" width="8.88671875" style="106"/>
    <col min="10752" max="10752" width="7.44140625" style="106" customWidth="1"/>
    <col min="10753" max="10754" width="7.77734375" style="106" customWidth="1"/>
    <col min="10755" max="10755" width="7" style="106" customWidth="1"/>
    <col min="10756" max="10758" width="6.6640625" style="106" customWidth="1"/>
    <col min="10759" max="10759" width="6.109375" style="106" customWidth="1"/>
    <col min="10760" max="10760" width="8.21875" style="106" customWidth="1"/>
    <col min="10761" max="10761" width="6.21875" style="106" customWidth="1"/>
    <col min="10762" max="10764" width="8" style="106" customWidth="1"/>
    <col min="10765" max="10765" width="6.21875" style="106" customWidth="1"/>
    <col min="10766" max="10766" width="8" style="106" customWidth="1"/>
    <col min="10767" max="10767" width="7.33203125" style="106" bestFit="1" customWidth="1"/>
    <col min="10768" max="10768" width="6.21875" style="106" customWidth="1"/>
    <col min="10769" max="10769" width="9.77734375" style="106" bestFit="1" customWidth="1"/>
    <col min="10770" max="10771" width="6.21875" style="106" customWidth="1"/>
    <col min="10772" max="10772" width="7.33203125" style="106" bestFit="1" customWidth="1"/>
    <col min="10773" max="10773" width="6.21875" style="106" customWidth="1"/>
    <col min="10774" max="10774" width="6.21875" style="106" bestFit="1" customWidth="1"/>
    <col min="10775" max="10777" width="5.5546875" style="106" bestFit="1" customWidth="1"/>
    <col min="10778" max="10778" width="4.44140625" style="106" customWidth="1"/>
    <col min="10779" max="11007" width="8.88671875" style="106"/>
    <col min="11008" max="11008" width="7.44140625" style="106" customWidth="1"/>
    <col min="11009" max="11010" width="7.77734375" style="106" customWidth="1"/>
    <col min="11011" max="11011" width="7" style="106" customWidth="1"/>
    <col min="11012" max="11014" width="6.6640625" style="106" customWidth="1"/>
    <col min="11015" max="11015" width="6.109375" style="106" customWidth="1"/>
    <col min="11016" max="11016" width="8.21875" style="106" customWidth="1"/>
    <col min="11017" max="11017" width="6.21875" style="106" customWidth="1"/>
    <col min="11018" max="11020" width="8" style="106" customWidth="1"/>
    <col min="11021" max="11021" width="6.21875" style="106" customWidth="1"/>
    <col min="11022" max="11022" width="8" style="106" customWidth="1"/>
    <col min="11023" max="11023" width="7.33203125" style="106" bestFit="1" customWidth="1"/>
    <col min="11024" max="11024" width="6.21875" style="106" customWidth="1"/>
    <col min="11025" max="11025" width="9.77734375" style="106" bestFit="1" customWidth="1"/>
    <col min="11026" max="11027" width="6.21875" style="106" customWidth="1"/>
    <col min="11028" max="11028" width="7.33203125" style="106" bestFit="1" customWidth="1"/>
    <col min="11029" max="11029" width="6.21875" style="106" customWidth="1"/>
    <col min="11030" max="11030" width="6.21875" style="106" bestFit="1" customWidth="1"/>
    <col min="11031" max="11033" width="5.5546875" style="106" bestFit="1" customWidth="1"/>
    <col min="11034" max="11034" width="4.44140625" style="106" customWidth="1"/>
    <col min="11035" max="11263" width="8.88671875" style="106"/>
    <col min="11264" max="11264" width="7.44140625" style="106" customWidth="1"/>
    <col min="11265" max="11266" width="7.77734375" style="106" customWidth="1"/>
    <col min="11267" max="11267" width="7" style="106" customWidth="1"/>
    <col min="11268" max="11270" width="6.6640625" style="106" customWidth="1"/>
    <col min="11271" max="11271" width="6.109375" style="106" customWidth="1"/>
    <col min="11272" max="11272" width="8.21875" style="106" customWidth="1"/>
    <col min="11273" max="11273" width="6.21875" style="106" customWidth="1"/>
    <col min="11274" max="11276" width="8" style="106" customWidth="1"/>
    <col min="11277" max="11277" width="6.21875" style="106" customWidth="1"/>
    <col min="11278" max="11278" width="8" style="106" customWidth="1"/>
    <col min="11279" max="11279" width="7.33203125" style="106" bestFit="1" customWidth="1"/>
    <col min="11280" max="11280" width="6.21875" style="106" customWidth="1"/>
    <col min="11281" max="11281" width="9.77734375" style="106" bestFit="1" customWidth="1"/>
    <col min="11282" max="11283" width="6.21875" style="106" customWidth="1"/>
    <col min="11284" max="11284" width="7.33203125" style="106" bestFit="1" customWidth="1"/>
    <col min="11285" max="11285" width="6.21875" style="106" customWidth="1"/>
    <col min="11286" max="11286" width="6.21875" style="106" bestFit="1" customWidth="1"/>
    <col min="11287" max="11289" width="5.5546875" style="106" bestFit="1" customWidth="1"/>
    <col min="11290" max="11290" width="4.44140625" style="106" customWidth="1"/>
    <col min="11291" max="11519" width="8.88671875" style="106"/>
    <col min="11520" max="11520" width="7.44140625" style="106" customWidth="1"/>
    <col min="11521" max="11522" width="7.77734375" style="106" customWidth="1"/>
    <col min="11523" max="11523" width="7" style="106" customWidth="1"/>
    <col min="11524" max="11526" width="6.6640625" style="106" customWidth="1"/>
    <col min="11527" max="11527" width="6.109375" style="106" customWidth="1"/>
    <col min="11528" max="11528" width="8.21875" style="106" customWidth="1"/>
    <col min="11529" max="11529" width="6.21875" style="106" customWidth="1"/>
    <col min="11530" max="11532" width="8" style="106" customWidth="1"/>
    <col min="11533" max="11533" width="6.21875" style="106" customWidth="1"/>
    <col min="11534" max="11534" width="8" style="106" customWidth="1"/>
    <col min="11535" max="11535" width="7.33203125" style="106" bestFit="1" customWidth="1"/>
    <col min="11536" max="11536" width="6.21875" style="106" customWidth="1"/>
    <col min="11537" max="11537" width="9.77734375" style="106" bestFit="1" customWidth="1"/>
    <col min="11538" max="11539" width="6.21875" style="106" customWidth="1"/>
    <col min="11540" max="11540" width="7.33203125" style="106" bestFit="1" customWidth="1"/>
    <col min="11541" max="11541" width="6.21875" style="106" customWidth="1"/>
    <col min="11542" max="11542" width="6.21875" style="106" bestFit="1" customWidth="1"/>
    <col min="11543" max="11545" width="5.5546875" style="106" bestFit="1" customWidth="1"/>
    <col min="11546" max="11546" width="4.44140625" style="106" customWidth="1"/>
    <col min="11547" max="11775" width="8.88671875" style="106"/>
    <col min="11776" max="11776" width="7.44140625" style="106" customWidth="1"/>
    <col min="11777" max="11778" width="7.77734375" style="106" customWidth="1"/>
    <col min="11779" max="11779" width="7" style="106" customWidth="1"/>
    <col min="11780" max="11782" width="6.6640625" style="106" customWidth="1"/>
    <col min="11783" max="11783" width="6.109375" style="106" customWidth="1"/>
    <col min="11784" max="11784" width="8.21875" style="106" customWidth="1"/>
    <col min="11785" max="11785" width="6.21875" style="106" customWidth="1"/>
    <col min="11786" max="11788" width="8" style="106" customWidth="1"/>
    <col min="11789" max="11789" width="6.21875" style="106" customWidth="1"/>
    <col min="11790" max="11790" width="8" style="106" customWidth="1"/>
    <col min="11791" max="11791" width="7.33203125" style="106" bestFit="1" customWidth="1"/>
    <col min="11792" max="11792" width="6.21875" style="106" customWidth="1"/>
    <col min="11793" max="11793" width="9.77734375" style="106" bestFit="1" customWidth="1"/>
    <col min="11794" max="11795" width="6.21875" style="106" customWidth="1"/>
    <col min="11796" max="11796" width="7.33203125" style="106" bestFit="1" customWidth="1"/>
    <col min="11797" max="11797" width="6.21875" style="106" customWidth="1"/>
    <col min="11798" max="11798" width="6.21875" style="106" bestFit="1" customWidth="1"/>
    <col min="11799" max="11801" width="5.5546875" style="106" bestFit="1" customWidth="1"/>
    <col min="11802" max="11802" width="4.44140625" style="106" customWidth="1"/>
    <col min="11803" max="12031" width="8.88671875" style="106"/>
    <col min="12032" max="12032" width="7.44140625" style="106" customWidth="1"/>
    <col min="12033" max="12034" width="7.77734375" style="106" customWidth="1"/>
    <col min="12035" max="12035" width="7" style="106" customWidth="1"/>
    <col min="12036" max="12038" width="6.6640625" style="106" customWidth="1"/>
    <col min="12039" max="12039" width="6.109375" style="106" customWidth="1"/>
    <col min="12040" max="12040" width="8.21875" style="106" customWidth="1"/>
    <col min="12041" max="12041" width="6.21875" style="106" customWidth="1"/>
    <col min="12042" max="12044" width="8" style="106" customWidth="1"/>
    <col min="12045" max="12045" width="6.21875" style="106" customWidth="1"/>
    <col min="12046" max="12046" width="8" style="106" customWidth="1"/>
    <col min="12047" max="12047" width="7.33203125" style="106" bestFit="1" customWidth="1"/>
    <col min="12048" max="12048" width="6.21875" style="106" customWidth="1"/>
    <col min="12049" max="12049" width="9.77734375" style="106" bestFit="1" customWidth="1"/>
    <col min="12050" max="12051" width="6.21875" style="106" customWidth="1"/>
    <col min="12052" max="12052" width="7.33203125" style="106" bestFit="1" customWidth="1"/>
    <col min="12053" max="12053" width="6.21875" style="106" customWidth="1"/>
    <col min="12054" max="12054" width="6.21875" style="106" bestFit="1" customWidth="1"/>
    <col min="12055" max="12057" width="5.5546875" style="106" bestFit="1" customWidth="1"/>
    <col min="12058" max="12058" width="4.44140625" style="106" customWidth="1"/>
    <col min="12059" max="12287" width="8.88671875" style="106"/>
    <col min="12288" max="12288" width="7.44140625" style="106" customWidth="1"/>
    <col min="12289" max="12290" width="7.77734375" style="106" customWidth="1"/>
    <col min="12291" max="12291" width="7" style="106" customWidth="1"/>
    <col min="12292" max="12294" width="6.6640625" style="106" customWidth="1"/>
    <col min="12295" max="12295" width="6.109375" style="106" customWidth="1"/>
    <col min="12296" max="12296" width="8.21875" style="106" customWidth="1"/>
    <col min="12297" max="12297" width="6.21875" style="106" customWidth="1"/>
    <col min="12298" max="12300" width="8" style="106" customWidth="1"/>
    <col min="12301" max="12301" width="6.21875" style="106" customWidth="1"/>
    <col min="12302" max="12302" width="8" style="106" customWidth="1"/>
    <col min="12303" max="12303" width="7.33203125" style="106" bestFit="1" customWidth="1"/>
    <col min="12304" max="12304" width="6.21875" style="106" customWidth="1"/>
    <col min="12305" max="12305" width="9.77734375" style="106" bestFit="1" customWidth="1"/>
    <col min="12306" max="12307" width="6.21875" style="106" customWidth="1"/>
    <col min="12308" max="12308" width="7.33203125" style="106" bestFit="1" customWidth="1"/>
    <col min="12309" max="12309" width="6.21875" style="106" customWidth="1"/>
    <col min="12310" max="12310" width="6.21875" style="106" bestFit="1" customWidth="1"/>
    <col min="12311" max="12313" width="5.5546875" style="106" bestFit="1" customWidth="1"/>
    <col min="12314" max="12314" width="4.44140625" style="106" customWidth="1"/>
    <col min="12315" max="12543" width="8.88671875" style="106"/>
    <col min="12544" max="12544" width="7.44140625" style="106" customWidth="1"/>
    <col min="12545" max="12546" width="7.77734375" style="106" customWidth="1"/>
    <col min="12547" max="12547" width="7" style="106" customWidth="1"/>
    <col min="12548" max="12550" width="6.6640625" style="106" customWidth="1"/>
    <col min="12551" max="12551" width="6.109375" style="106" customWidth="1"/>
    <col min="12552" max="12552" width="8.21875" style="106" customWidth="1"/>
    <col min="12553" max="12553" width="6.21875" style="106" customWidth="1"/>
    <col min="12554" max="12556" width="8" style="106" customWidth="1"/>
    <col min="12557" max="12557" width="6.21875" style="106" customWidth="1"/>
    <col min="12558" max="12558" width="8" style="106" customWidth="1"/>
    <col min="12559" max="12559" width="7.33203125" style="106" bestFit="1" customWidth="1"/>
    <col min="12560" max="12560" width="6.21875" style="106" customWidth="1"/>
    <col min="12561" max="12561" width="9.77734375" style="106" bestFit="1" customWidth="1"/>
    <col min="12562" max="12563" width="6.21875" style="106" customWidth="1"/>
    <col min="12564" max="12564" width="7.33203125" style="106" bestFit="1" customWidth="1"/>
    <col min="12565" max="12565" width="6.21875" style="106" customWidth="1"/>
    <col min="12566" max="12566" width="6.21875" style="106" bestFit="1" customWidth="1"/>
    <col min="12567" max="12569" width="5.5546875" style="106" bestFit="1" customWidth="1"/>
    <col min="12570" max="12570" width="4.44140625" style="106" customWidth="1"/>
    <col min="12571" max="12799" width="8.88671875" style="106"/>
    <col min="12800" max="12800" width="7.44140625" style="106" customWidth="1"/>
    <col min="12801" max="12802" width="7.77734375" style="106" customWidth="1"/>
    <col min="12803" max="12803" width="7" style="106" customWidth="1"/>
    <col min="12804" max="12806" width="6.6640625" style="106" customWidth="1"/>
    <col min="12807" max="12807" width="6.109375" style="106" customWidth="1"/>
    <col min="12808" max="12808" width="8.21875" style="106" customWidth="1"/>
    <col min="12809" max="12809" width="6.21875" style="106" customWidth="1"/>
    <col min="12810" max="12812" width="8" style="106" customWidth="1"/>
    <col min="12813" max="12813" width="6.21875" style="106" customWidth="1"/>
    <col min="12814" max="12814" width="8" style="106" customWidth="1"/>
    <col min="12815" max="12815" width="7.33203125" style="106" bestFit="1" customWidth="1"/>
    <col min="12816" max="12816" width="6.21875" style="106" customWidth="1"/>
    <col min="12817" max="12817" width="9.77734375" style="106" bestFit="1" customWidth="1"/>
    <col min="12818" max="12819" width="6.21875" style="106" customWidth="1"/>
    <col min="12820" max="12820" width="7.33203125" style="106" bestFit="1" customWidth="1"/>
    <col min="12821" max="12821" width="6.21875" style="106" customWidth="1"/>
    <col min="12822" max="12822" width="6.21875" style="106" bestFit="1" customWidth="1"/>
    <col min="12823" max="12825" width="5.5546875" style="106" bestFit="1" customWidth="1"/>
    <col min="12826" max="12826" width="4.44140625" style="106" customWidth="1"/>
    <col min="12827" max="13055" width="8.88671875" style="106"/>
    <col min="13056" max="13056" width="7.44140625" style="106" customWidth="1"/>
    <col min="13057" max="13058" width="7.77734375" style="106" customWidth="1"/>
    <col min="13059" max="13059" width="7" style="106" customWidth="1"/>
    <col min="13060" max="13062" width="6.6640625" style="106" customWidth="1"/>
    <col min="13063" max="13063" width="6.109375" style="106" customWidth="1"/>
    <col min="13064" max="13064" width="8.21875" style="106" customWidth="1"/>
    <col min="13065" max="13065" width="6.21875" style="106" customWidth="1"/>
    <col min="13066" max="13068" width="8" style="106" customWidth="1"/>
    <col min="13069" max="13069" width="6.21875" style="106" customWidth="1"/>
    <col min="13070" max="13070" width="8" style="106" customWidth="1"/>
    <col min="13071" max="13071" width="7.33203125" style="106" bestFit="1" customWidth="1"/>
    <col min="13072" max="13072" width="6.21875" style="106" customWidth="1"/>
    <col min="13073" max="13073" width="9.77734375" style="106" bestFit="1" customWidth="1"/>
    <col min="13074" max="13075" width="6.21875" style="106" customWidth="1"/>
    <col min="13076" max="13076" width="7.33203125" style="106" bestFit="1" customWidth="1"/>
    <col min="13077" max="13077" width="6.21875" style="106" customWidth="1"/>
    <col min="13078" max="13078" width="6.21875" style="106" bestFit="1" customWidth="1"/>
    <col min="13079" max="13081" width="5.5546875" style="106" bestFit="1" customWidth="1"/>
    <col min="13082" max="13082" width="4.44140625" style="106" customWidth="1"/>
    <col min="13083" max="13311" width="8.88671875" style="106"/>
    <col min="13312" max="13312" width="7.44140625" style="106" customWidth="1"/>
    <col min="13313" max="13314" width="7.77734375" style="106" customWidth="1"/>
    <col min="13315" max="13315" width="7" style="106" customWidth="1"/>
    <col min="13316" max="13318" width="6.6640625" style="106" customWidth="1"/>
    <col min="13319" max="13319" width="6.109375" style="106" customWidth="1"/>
    <col min="13320" max="13320" width="8.21875" style="106" customWidth="1"/>
    <col min="13321" max="13321" width="6.21875" style="106" customWidth="1"/>
    <col min="13322" max="13324" width="8" style="106" customWidth="1"/>
    <col min="13325" max="13325" width="6.21875" style="106" customWidth="1"/>
    <col min="13326" max="13326" width="8" style="106" customWidth="1"/>
    <col min="13327" max="13327" width="7.33203125" style="106" bestFit="1" customWidth="1"/>
    <col min="13328" max="13328" width="6.21875" style="106" customWidth="1"/>
    <col min="13329" max="13329" width="9.77734375" style="106" bestFit="1" customWidth="1"/>
    <col min="13330" max="13331" width="6.21875" style="106" customWidth="1"/>
    <col min="13332" max="13332" width="7.33203125" style="106" bestFit="1" customWidth="1"/>
    <col min="13333" max="13333" width="6.21875" style="106" customWidth="1"/>
    <col min="13334" max="13334" width="6.21875" style="106" bestFit="1" customWidth="1"/>
    <col min="13335" max="13337" width="5.5546875" style="106" bestFit="1" customWidth="1"/>
    <col min="13338" max="13338" width="4.44140625" style="106" customWidth="1"/>
    <col min="13339" max="13567" width="8.88671875" style="106"/>
    <col min="13568" max="13568" width="7.44140625" style="106" customWidth="1"/>
    <col min="13569" max="13570" width="7.77734375" style="106" customWidth="1"/>
    <col min="13571" max="13571" width="7" style="106" customWidth="1"/>
    <col min="13572" max="13574" width="6.6640625" style="106" customWidth="1"/>
    <col min="13575" max="13575" width="6.109375" style="106" customWidth="1"/>
    <col min="13576" max="13576" width="8.21875" style="106" customWidth="1"/>
    <col min="13577" max="13577" width="6.21875" style="106" customWidth="1"/>
    <col min="13578" max="13580" width="8" style="106" customWidth="1"/>
    <col min="13581" max="13581" width="6.21875" style="106" customWidth="1"/>
    <col min="13582" max="13582" width="8" style="106" customWidth="1"/>
    <col min="13583" max="13583" width="7.33203125" style="106" bestFit="1" customWidth="1"/>
    <col min="13584" max="13584" width="6.21875" style="106" customWidth="1"/>
    <col min="13585" max="13585" width="9.77734375" style="106" bestFit="1" customWidth="1"/>
    <col min="13586" max="13587" width="6.21875" style="106" customWidth="1"/>
    <col min="13588" max="13588" width="7.33203125" style="106" bestFit="1" customWidth="1"/>
    <col min="13589" max="13589" width="6.21875" style="106" customWidth="1"/>
    <col min="13590" max="13590" width="6.21875" style="106" bestFit="1" customWidth="1"/>
    <col min="13591" max="13593" width="5.5546875" style="106" bestFit="1" customWidth="1"/>
    <col min="13594" max="13594" width="4.44140625" style="106" customWidth="1"/>
    <col min="13595" max="13823" width="8.88671875" style="106"/>
    <col min="13824" max="13824" width="7.44140625" style="106" customWidth="1"/>
    <col min="13825" max="13826" width="7.77734375" style="106" customWidth="1"/>
    <col min="13827" max="13827" width="7" style="106" customWidth="1"/>
    <col min="13828" max="13830" width="6.6640625" style="106" customWidth="1"/>
    <col min="13831" max="13831" width="6.109375" style="106" customWidth="1"/>
    <col min="13832" max="13832" width="8.21875" style="106" customWidth="1"/>
    <col min="13833" max="13833" width="6.21875" style="106" customWidth="1"/>
    <col min="13834" max="13836" width="8" style="106" customWidth="1"/>
    <col min="13837" max="13837" width="6.21875" style="106" customWidth="1"/>
    <col min="13838" max="13838" width="8" style="106" customWidth="1"/>
    <col min="13839" max="13839" width="7.33203125" style="106" bestFit="1" customWidth="1"/>
    <col min="13840" max="13840" width="6.21875" style="106" customWidth="1"/>
    <col min="13841" max="13841" width="9.77734375" style="106" bestFit="1" customWidth="1"/>
    <col min="13842" max="13843" width="6.21875" style="106" customWidth="1"/>
    <col min="13844" max="13844" width="7.33203125" style="106" bestFit="1" customWidth="1"/>
    <col min="13845" max="13845" width="6.21875" style="106" customWidth="1"/>
    <col min="13846" max="13846" width="6.21875" style="106" bestFit="1" customWidth="1"/>
    <col min="13847" max="13849" width="5.5546875" style="106" bestFit="1" customWidth="1"/>
    <col min="13850" max="13850" width="4.44140625" style="106" customWidth="1"/>
    <col min="13851" max="14079" width="8.88671875" style="106"/>
    <col min="14080" max="14080" width="7.44140625" style="106" customWidth="1"/>
    <col min="14081" max="14082" width="7.77734375" style="106" customWidth="1"/>
    <col min="14083" max="14083" width="7" style="106" customWidth="1"/>
    <col min="14084" max="14086" width="6.6640625" style="106" customWidth="1"/>
    <col min="14087" max="14087" width="6.109375" style="106" customWidth="1"/>
    <col min="14088" max="14088" width="8.21875" style="106" customWidth="1"/>
    <col min="14089" max="14089" width="6.21875" style="106" customWidth="1"/>
    <col min="14090" max="14092" width="8" style="106" customWidth="1"/>
    <col min="14093" max="14093" width="6.21875" style="106" customWidth="1"/>
    <col min="14094" max="14094" width="8" style="106" customWidth="1"/>
    <col min="14095" max="14095" width="7.33203125" style="106" bestFit="1" customWidth="1"/>
    <col min="14096" max="14096" width="6.21875" style="106" customWidth="1"/>
    <col min="14097" max="14097" width="9.77734375" style="106" bestFit="1" customWidth="1"/>
    <col min="14098" max="14099" width="6.21875" style="106" customWidth="1"/>
    <col min="14100" max="14100" width="7.33203125" style="106" bestFit="1" customWidth="1"/>
    <col min="14101" max="14101" width="6.21875" style="106" customWidth="1"/>
    <col min="14102" max="14102" width="6.21875" style="106" bestFit="1" customWidth="1"/>
    <col min="14103" max="14105" width="5.5546875" style="106" bestFit="1" customWidth="1"/>
    <col min="14106" max="14106" width="4.44140625" style="106" customWidth="1"/>
    <col min="14107" max="14335" width="8.88671875" style="106"/>
    <col min="14336" max="14336" width="7.44140625" style="106" customWidth="1"/>
    <col min="14337" max="14338" width="7.77734375" style="106" customWidth="1"/>
    <col min="14339" max="14339" width="7" style="106" customWidth="1"/>
    <col min="14340" max="14342" width="6.6640625" style="106" customWidth="1"/>
    <col min="14343" max="14343" width="6.109375" style="106" customWidth="1"/>
    <col min="14344" max="14344" width="8.21875" style="106" customWidth="1"/>
    <col min="14345" max="14345" width="6.21875" style="106" customWidth="1"/>
    <col min="14346" max="14348" width="8" style="106" customWidth="1"/>
    <col min="14349" max="14349" width="6.21875" style="106" customWidth="1"/>
    <col min="14350" max="14350" width="8" style="106" customWidth="1"/>
    <col min="14351" max="14351" width="7.33203125" style="106" bestFit="1" customWidth="1"/>
    <col min="14352" max="14352" width="6.21875" style="106" customWidth="1"/>
    <col min="14353" max="14353" width="9.77734375" style="106" bestFit="1" customWidth="1"/>
    <col min="14354" max="14355" width="6.21875" style="106" customWidth="1"/>
    <col min="14356" max="14356" width="7.33203125" style="106" bestFit="1" customWidth="1"/>
    <col min="14357" max="14357" width="6.21875" style="106" customWidth="1"/>
    <col min="14358" max="14358" width="6.21875" style="106" bestFit="1" customWidth="1"/>
    <col min="14359" max="14361" width="5.5546875" style="106" bestFit="1" customWidth="1"/>
    <col min="14362" max="14362" width="4.44140625" style="106" customWidth="1"/>
    <col min="14363" max="14591" width="8.88671875" style="106"/>
    <col min="14592" max="14592" width="7.44140625" style="106" customWidth="1"/>
    <col min="14593" max="14594" width="7.77734375" style="106" customWidth="1"/>
    <col min="14595" max="14595" width="7" style="106" customWidth="1"/>
    <col min="14596" max="14598" width="6.6640625" style="106" customWidth="1"/>
    <col min="14599" max="14599" width="6.109375" style="106" customWidth="1"/>
    <col min="14600" max="14600" width="8.21875" style="106" customWidth="1"/>
    <col min="14601" max="14601" width="6.21875" style="106" customWidth="1"/>
    <col min="14602" max="14604" width="8" style="106" customWidth="1"/>
    <col min="14605" max="14605" width="6.21875" style="106" customWidth="1"/>
    <col min="14606" max="14606" width="8" style="106" customWidth="1"/>
    <col min="14607" max="14607" width="7.33203125" style="106" bestFit="1" customWidth="1"/>
    <col min="14608" max="14608" width="6.21875" style="106" customWidth="1"/>
    <col min="14609" max="14609" width="9.77734375" style="106" bestFit="1" customWidth="1"/>
    <col min="14610" max="14611" width="6.21875" style="106" customWidth="1"/>
    <col min="14612" max="14612" width="7.33203125" style="106" bestFit="1" customWidth="1"/>
    <col min="14613" max="14613" width="6.21875" style="106" customWidth="1"/>
    <col min="14614" max="14614" width="6.21875" style="106" bestFit="1" customWidth="1"/>
    <col min="14615" max="14617" width="5.5546875" style="106" bestFit="1" customWidth="1"/>
    <col min="14618" max="14618" width="4.44140625" style="106" customWidth="1"/>
    <col min="14619" max="14847" width="8.88671875" style="106"/>
    <col min="14848" max="14848" width="7.44140625" style="106" customWidth="1"/>
    <col min="14849" max="14850" width="7.77734375" style="106" customWidth="1"/>
    <col min="14851" max="14851" width="7" style="106" customWidth="1"/>
    <col min="14852" max="14854" width="6.6640625" style="106" customWidth="1"/>
    <col min="14855" max="14855" width="6.109375" style="106" customWidth="1"/>
    <col min="14856" max="14856" width="8.21875" style="106" customWidth="1"/>
    <col min="14857" max="14857" width="6.21875" style="106" customWidth="1"/>
    <col min="14858" max="14860" width="8" style="106" customWidth="1"/>
    <col min="14861" max="14861" width="6.21875" style="106" customWidth="1"/>
    <col min="14862" max="14862" width="8" style="106" customWidth="1"/>
    <col min="14863" max="14863" width="7.33203125" style="106" bestFit="1" customWidth="1"/>
    <col min="14864" max="14864" width="6.21875" style="106" customWidth="1"/>
    <col min="14865" max="14865" width="9.77734375" style="106" bestFit="1" customWidth="1"/>
    <col min="14866" max="14867" width="6.21875" style="106" customWidth="1"/>
    <col min="14868" max="14868" width="7.33203125" style="106" bestFit="1" customWidth="1"/>
    <col min="14869" max="14869" width="6.21875" style="106" customWidth="1"/>
    <col min="14870" max="14870" width="6.21875" style="106" bestFit="1" customWidth="1"/>
    <col min="14871" max="14873" width="5.5546875" style="106" bestFit="1" customWidth="1"/>
    <col min="14874" max="14874" width="4.44140625" style="106" customWidth="1"/>
    <col min="14875" max="15103" width="8.88671875" style="106"/>
    <col min="15104" max="15104" width="7.44140625" style="106" customWidth="1"/>
    <col min="15105" max="15106" width="7.77734375" style="106" customWidth="1"/>
    <col min="15107" max="15107" width="7" style="106" customWidth="1"/>
    <col min="15108" max="15110" width="6.6640625" style="106" customWidth="1"/>
    <col min="15111" max="15111" width="6.109375" style="106" customWidth="1"/>
    <col min="15112" max="15112" width="8.21875" style="106" customWidth="1"/>
    <col min="15113" max="15113" width="6.21875" style="106" customWidth="1"/>
    <col min="15114" max="15116" width="8" style="106" customWidth="1"/>
    <col min="15117" max="15117" width="6.21875" style="106" customWidth="1"/>
    <col min="15118" max="15118" width="8" style="106" customWidth="1"/>
    <col min="15119" max="15119" width="7.33203125" style="106" bestFit="1" customWidth="1"/>
    <col min="15120" max="15120" width="6.21875" style="106" customWidth="1"/>
    <col min="15121" max="15121" width="9.77734375" style="106" bestFit="1" customWidth="1"/>
    <col min="15122" max="15123" width="6.21875" style="106" customWidth="1"/>
    <col min="15124" max="15124" width="7.33203125" style="106" bestFit="1" customWidth="1"/>
    <col min="15125" max="15125" width="6.21875" style="106" customWidth="1"/>
    <col min="15126" max="15126" width="6.21875" style="106" bestFit="1" customWidth="1"/>
    <col min="15127" max="15129" width="5.5546875" style="106" bestFit="1" customWidth="1"/>
    <col min="15130" max="15130" width="4.44140625" style="106" customWidth="1"/>
    <col min="15131" max="15359" width="8.88671875" style="106"/>
    <col min="15360" max="15360" width="7.44140625" style="106" customWidth="1"/>
    <col min="15361" max="15362" width="7.77734375" style="106" customWidth="1"/>
    <col min="15363" max="15363" width="7" style="106" customWidth="1"/>
    <col min="15364" max="15366" width="6.6640625" style="106" customWidth="1"/>
    <col min="15367" max="15367" width="6.109375" style="106" customWidth="1"/>
    <col min="15368" max="15368" width="8.21875" style="106" customWidth="1"/>
    <col min="15369" max="15369" width="6.21875" style="106" customWidth="1"/>
    <col min="15370" max="15372" width="8" style="106" customWidth="1"/>
    <col min="15373" max="15373" width="6.21875" style="106" customWidth="1"/>
    <col min="15374" max="15374" width="8" style="106" customWidth="1"/>
    <col min="15375" max="15375" width="7.33203125" style="106" bestFit="1" customWidth="1"/>
    <col min="15376" max="15376" width="6.21875" style="106" customWidth="1"/>
    <col min="15377" max="15377" width="9.77734375" style="106" bestFit="1" customWidth="1"/>
    <col min="15378" max="15379" width="6.21875" style="106" customWidth="1"/>
    <col min="15380" max="15380" width="7.33203125" style="106" bestFit="1" customWidth="1"/>
    <col min="15381" max="15381" width="6.21875" style="106" customWidth="1"/>
    <col min="15382" max="15382" width="6.21875" style="106" bestFit="1" customWidth="1"/>
    <col min="15383" max="15385" width="5.5546875" style="106" bestFit="1" customWidth="1"/>
    <col min="15386" max="15386" width="4.44140625" style="106" customWidth="1"/>
    <col min="15387" max="15615" width="8.88671875" style="106"/>
    <col min="15616" max="15616" width="7.44140625" style="106" customWidth="1"/>
    <col min="15617" max="15618" width="7.77734375" style="106" customWidth="1"/>
    <col min="15619" max="15619" width="7" style="106" customWidth="1"/>
    <col min="15620" max="15622" width="6.6640625" style="106" customWidth="1"/>
    <col min="15623" max="15623" width="6.109375" style="106" customWidth="1"/>
    <col min="15624" max="15624" width="8.21875" style="106" customWidth="1"/>
    <col min="15625" max="15625" width="6.21875" style="106" customWidth="1"/>
    <col min="15626" max="15628" width="8" style="106" customWidth="1"/>
    <col min="15629" max="15629" width="6.21875" style="106" customWidth="1"/>
    <col min="15630" max="15630" width="8" style="106" customWidth="1"/>
    <col min="15631" max="15631" width="7.33203125" style="106" bestFit="1" customWidth="1"/>
    <col min="15632" max="15632" width="6.21875" style="106" customWidth="1"/>
    <col min="15633" max="15633" width="9.77734375" style="106" bestFit="1" customWidth="1"/>
    <col min="15634" max="15635" width="6.21875" style="106" customWidth="1"/>
    <col min="15636" max="15636" width="7.33203125" style="106" bestFit="1" customWidth="1"/>
    <col min="15637" max="15637" width="6.21875" style="106" customWidth="1"/>
    <col min="15638" max="15638" width="6.21875" style="106" bestFit="1" customWidth="1"/>
    <col min="15639" max="15641" width="5.5546875" style="106" bestFit="1" customWidth="1"/>
    <col min="15642" max="15642" width="4.44140625" style="106" customWidth="1"/>
    <col min="15643" max="15871" width="8.88671875" style="106"/>
    <col min="15872" max="15872" width="7.44140625" style="106" customWidth="1"/>
    <col min="15873" max="15874" width="7.77734375" style="106" customWidth="1"/>
    <col min="15875" max="15875" width="7" style="106" customWidth="1"/>
    <col min="15876" max="15878" width="6.6640625" style="106" customWidth="1"/>
    <col min="15879" max="15879" width="6.109375" style="106" customWidth="1"/>
    <col min="15880" max="15880" width="8.21875" style="106" customWidth="1"/>
    <col min="15881" max="15881" width="6.21875" style="106" customWidth="1"/>
    <col min="15882" max="15884" width="8" style="106" customWidth="1"/>
    <col min="15885" max="15885" width="6.21875" style="106" customWidth="1"/>
    <col min="15886" max="15886" width="8" style="106" customWidth="1"/>
    <col min="15887" max="15887" width="7.33203125" style="106" bestFit="1" customWidth="1"/>
    <col min="15888" max="15888" width="6.21875" style="106" customWidth="1"/>
    <col min="15889" max="15889" width="9.77734375" style="106" bestFit="1" customWidth="1"/>
    <col min="15890" max="15891" width="6.21875" style="106" customWidth="1"/>
    <col min="15892" max="15892" width="7.33203125" style="106" bestFit="1" customWidth="1"/>
    <col min="15893" max="15893" width="6.21875" style="106" customWidth="1"/>
    <col min="15894" max="15894" width="6.21875" style="106" bestFit="1" customWidth="1"/>
    <col min="15895" max="15897" width="5.5546875" style="106" bestFit="1" customWidth="1"/>
    <col min="15898" max="15898" width="4.44140625" style="106" customWidth="1"/>
    <col min="15899" max="16127" width="8.88671875" style="106"/>
    <col min="16128" max="16128" width="7.44140625" style="106" customWidth="1"/>
    <col min="16129" max="16130" width="7.77734375" style="106" customWidth="1"/>
    <col min="16131" max="16131" width="7" style="106" customWidth="1"/>
    <col min="16132" max="16134" width="6.6640625" style="106" customWidth="1"/>
    <col min="16135" max="16135" width="6.109375" style="106" customWidth="1"/>
    <col min="16136" max="16136" width="8.21875" style="106" customWidth="1"/>
    <col min="16137" max="16137" width="6.21875" style="106" customWidth="1"/>
    <col min="16138" max="16140" width="8" style="106" customWidth="1"/>
    <col min="16141" max="16141" width="6.21875" style="106" customWidth="1"/>
    <col min="16142" max="16142" width="8" style="106" customWidth="1"/>
    <col min="16143" max="16143" width="7.33203125" style="106" bestFit="1" customWidth="1"/>
    <col min="16144" max="16144" width="6.21875" style="106" customWidth="1"/>
    <col min="16145" max="16145" width="9.77734375" style="106" bestFit="1" customWidth="1"/>
    <col min="16146" max="16147" width="6.21875" style="106" customWidth="1"/>
    <col min="16148" max="16148" width="7.33203125" style="106" bestFit="1" customWidth="1"/>
    <col min="16149" max="16149" width="6.21875" style="106" customWidth="1"/>
    <col min="16150" max="16150" width="6.21875" style="106" bestFit="1" customWidth="1"/>
    <col min="16151" max="16153" width="5.5546875" style="106" bestFit="1" customWidth="1"/>
    <col min="16154" max="16154" width="4.44140625" style="106" customWidth="1"/>
    <col min="16155" max="16384" width="8.88671875" style="106"/>
  </cols>
  <sheetData>
    <row r="1" spans="1:26" s="21" customFormat="1" ht="16.5" customHeight="1">
      <c r="A1" s="341"/>
      <c r="B1" s="341"/>
      <c r="C1" s="341"/>
      <c r="D1" s="341"/>
      <c r="E1" s="341"/>
      <c r="F1" s="341"/>
    </row>
    <row r="2" spans="1:26" s="21" customFormat="1" ht="9.9499999999999993" customHeight="1">
      <c r="A2" s="27"/>
      <c r="B2" s="22"/>
      <c r="C2" s="22"/>
      <c r="D2" s="22"/>
      <c r="E2" s="22"/>
      <c r="F2" s="23"/>
    </row>
    <row r="3" spans="1:26" s="28" customFormat="1" ht="15" customHeight="1">
      <c r="A3" s="313" t="s">
        <v>112</v>
      </c>
      <c r="B3" s="257"/>
      <c r="C3" s="258"/>
      <c r="D3" s="258"/>
      <c r="E3" s="258"/>
      <c r="F3" s="259"/>
      <c r="G3" s="259"/>
      <c r="H3" s="259"/>
      <c r="J3" s="258"/>
      <c r="M3" s="260"/>
      <c r="O3" s="260"/>
      <c r="P3" s="260"/>
      <c r="Q3" s="260"/>
      <c r="R3" s="260"/>
      <c r="S3" s="260"/>
    </row>
    <row r="4" spans="1:26" ht="15" customHeight="1">
      <c r="A4" s="314" t="s">
        <v>4</v>
      </c>
      <c r="B4" s="127"/>
      <c r="C4" s="127"/>
      <c r="D4" s="127"/>
      <c r="E4" s="106"/>
      <c r="F4" s="127"/>
      <c r="G4" s="133"/>
      <c r="H4" s="133"/>
    </row>
    <row r="5" spans="1:26" s="263" customFormat="1" ht="17.100000000000001" customHeight="1">
      <c r="A5" s="481" t="s">
        <v>133</v>
      </c>
      <c r="B5" s="546" t="s">
        <v>146</v>
      </c>
      <c r="C5" s="542" t="s">
        <v>117</v>
      </c>
      <c r="D5" s="543"/>
      <c r="E5" s="543"/>
      <c r="F5" s="543"/>
      <c r="G5" s="549"/>
      <c r="H5" s="550" t="s">
        <v>147</v>
      </c>
      <c r="J5" s="264"/>
      <c r="M5" s="265"/>
      <c r="O5" s="265"/>
      <c r="P5" s="265"/>
      <c r="Q5" s="265"/>
      <c r="R5" s="265"/>
      <c r="S5" s="265"/>
    </row>
    <row r="6" spans="1:26" s="263" customFormat="1" ht="17.100000000000001" customHeight="1">
      <c r="A6" s="482"/>
      <c r="B6" s="547"/>
      <c r="C6" s="553"/>
      <c r="D6" s="554" t="s">
        <v>113</v>
      </c>
      <c r="E6" s="554" t="s">
        <v>114</v>
      </c>
      <c r="F6" s="555" t="s">
        <v>115</v>
      </c>
      <c r="G6" s="557" t="s">
        <v>116</v>
      </c>
      <c r="H6" s="551"/>
      <c r="J6" s="264"/>
      <c r="M6" s="265"/>
      <c r="O6" s="265"/>
      <c r="P6" s="265"/>
      <c r="Q6" s="265"/>
      <c r="R6" s="265"/>
      <c r="S6" s="265"/>
    </row>
    <row r="7" spans="1:26" s="263" customFormat="1" ht="17.100000000000001" customHeight="1">
      <c r="A7" s="483"/>
      <c r="B7" s="548"/>
      <c r="C7" s="490"/>
      <c r="D7" s="490"/>
      <c r="E7" s="490"/>
      <c r="F7" s="556"/>
      <c r="G7" s="558"/>
      <c r="H7" s="552"/>
      <c r="J7" s="264"/>
      <c r="M7" s="265"/>
      <c r="O7" s="265"/>
      <c r="P7" s="265"/>
      <c r="Q7" s="265"/>
      <c r="R7" s="265"/>
      <c r="S7" s="265"/>
    </row>
    <row r="8" spans="1:26" s="41" customFormat="1" ht="13.5" customHeight="1">
      <c r="A8" s="323">
        <v>2009</v>
      </c>
      <c r="B8" s="377">
        <v>78.8</v>
      </c>
      <c r="C8" s="378">
        <v>11981</v>
      </c>
      <c r="D8" s="378">
        <v>3302</v>
      </c>
      <c r="E8" s="378">
        <v>3267</v>
      </c>
      <c r="F8" s="378">
        <v>5373</v>
      </c>
      <c r="G8" s="378">
        <v>39</v>
      </c>
      <c r="H8" s="379">
        <v>277</v>
      </c>
      <c r="I8" s="169"/>
      <c r="J8" s="266"/>
      <c r="K8" s="156"/>
      <c r="L8" s="169"/>
      <c r="M8" s="267"/>
      <c r="O8" s="267"/>
      <c r="P8" s="267"/>
      <c r="Q8" s="340"/>
      <c r="R8" s="267"/>
      <c r="S8" s="271"/>
      <c r="T8" s="271"/>
      <c r="U8" s="271"/>
      <c r="V8" s="271"/>
      <c r="W8" s="271"/>
      <c r="X8" s="271"/>
      <c r="Y8" s="271"/>
      <c r="Z8" s="271"/>
    </row>
    <row r="9" spans="1:26" s="41" customFormat="1" ht="13.5" customHeight="1">
      <c r="A9" s="323">
        <v>2010</v>
      </c>
      <c r="B9" s="377">
        <v>82.7</v>
      </c>
      <c r="C9" s="378">
        <v>14195</v>
      </c>
      <c r="D9" s="378">
        <v>3923</v>
      </c>
      <c r="E9" s="378">
        <v>3914</v>
      </c>
      <c r="F9" s="378">
        <v>6277</v>
      </c>
      <c r="G9" s="378">
        <v>82</v>
      </c>
      <c r="H9" s="379">
        <v>352</v>
      </c>
      <c r="I9" s="169"/>
      <c r="J9" s="266"/>
      <c r="K9" s="156"/>
      <c r="L9" s="169"/>
      <c r="M9" s="267"/>
      <c r="O9" s="267"/>
      <c r="P9" s="267"/>
      <c r="Q9" s="340"/>
      <c r="R9" s="267"/>
      <c r="S9" s="271"/>
      <c r="T9" s="271"/>
      <c r="U9" s="271"/>
      <c r="V9" s="271"/>
      <c r="W9" s="271"/>
      <c r="X9" s="271"/>
      <c r="Y9" s="271"/>
      <c r="Z9" s="271"/>
    </row>
    <row r="10" spans="1:26" s="41" customFormat="1" ht="13.5" customHeight="1">
      <c r="A10" s="323">
        <v>2011</v>
      </c>
      <c r="B10" s="377">
        <v>89.9</v>
      </c>
      <c r="C10" s="378">
        <v>16185</v>
      </c>
      <c r="D10" s="378">
        <v>4305</v>
      </c>
      <c r="E10" s="378">
        <v>4403</v>
      </c>
      <c r="F10" s="378">
        <v>7353</v>
      </c>
      <c r="G10" s="378">
        <v>124</v>
      </c>
      <c r="H10" s="379">
        <v>445</v>
      </c>
      <c r="I10" s="169"/>
      <c r="J10" s="266"/>
      <c r="K10" s="156"/>
      <c r="L10" s="169"/>
      <c r="M10" s="267"/>
      <c r="O10" s="267"/>
      <c r="P10" s="267"/>
      <c r="Q10" s="340"/>
      <c r="R10" s="267"/>
      <c r="S10" s="271"/>
      <c r="T10" s="271"/>
      <c r="U10" s="271"/>
      <c r="V10" s="271"/>
      <c r="W10" s="271"/>
      <c r="X10" s="271"/>
      <c r="Y10" s="271"/>
      <c r="Z10" s="271"/>
    </row>
    <row r="11" spans="1:26" s="41" customFormat="1" ht="13.5" customHeight="1">
      <c r="A11" s="323">
        <v>2012</v>
      </c>
      <c r="B11" s="377">
        <v>82.2</v>
      </c>
      <c r="C11" s="378">
        <v>17046</v>
      </c>
      <c r="D11" s="378">
        <v>4426</v>
      </c>
      <c r="E11" s="378">
        <v>4382</v>
      </c>
      <c r="F11" s="378">
        <v>8148</v>
      </c>
      <c r="G11" s="378">
        <v>90</v>
      </c>
      <c r="H11" s="379">
        <v>444</v>
      </c>
      <c r="I11" s="169"/>
      <c r="J11" s="266"/>
      <c r="K11" s="156"/>
      <c r="L11" s="169"/>
      <c r="M11" s="267"/>
      <c r="O11" s="267"/>
      <c r="P11" s="267"/>
      <c r="Q11" s="340"/>
      <c r="R11" s="267"/>
      <c r="S11" s="271"/>
      <c r="T11" s="271"/>
      <c r="U11" s="271"/>
      <c r="V11" s="271"/>
      <c r="W11" s="271"/>
      <c r="X11" s="271"/>
      <c r="Y11" s="271"/>
      <c r="Z11" s="271"/>
    </row>
    <row r="12" spans="1:26" s="41" customFormat="1" ht="13.5" customHeight="1">
      <c r="A12" s="323">
        <v>2013</v>
      </c>
      <c r="B12" s="380">
        <v>79.2</v>
      </c>
      <c r="C12" s="378">
        <v>17686</v>
      </c>
      <c r="D12" s="378">
        <v>4509</v>
      </c>
      <c r="E12" s="378">
        <v>4424</v>
      </c>
      <c r="F12" s="378">
        <v>8748</v>
      </c>
      <c r="G12" s="378">
        <v>4</v>
      </c>
      <c r="H12" s="379">
        <v>457</v>
      </c>
      <c r="I12" s="169"/>
      <c r="J12" s="266"/>
      <c r="K12" s="156"/>
      <c r="L12" s="169"/>
      <c r="M12" s="267"/>
      <c r="O12" s="267"/>
      <c r="P12" s="267"/>
      <c r="Q12" s="340"/>
      <c r="R12" s="267"/>
      <c r="S12" s="271"/>
      <c r="T12" s="271"/>
      <c r="U12" s="271"/>
      <c r="V12" s="271"/>
      <c r="W12" s="271"/>
      <c r="X12" s="271"/>
      <c r="Y12" s="271"/>
      <c r="Z12" s="271"/>
    </row>
    <row r="13" spans="1:26" s="41" customFormat="1" ht="13.5" customHeight="1">
      <c r="A13" s="323">
        <v>2014</v>
      </c>
      <c r="B13" s="380">
        <v>69.7</v>
      </c>
      <c r="C13" s="378">
        <v>18683</v>
      </c>
      <c r="D13" s="378">
        <v>4658</v>
      </c>
      <c r="E13" s="378">
        <v>4596</v>
      </c>
      <c r="F13" s="378">
        <v>9429</v>
      </c>
      <c r="G13" s="378">
        <v>0</v>
      </c>
      <c r="H13" s="379">
        <v>575</v>
      </c>
      <c r="I13" s="169"/>
      <c r="J13" s="266"/>
      <c r="K13" s="156"/>
      <c r="L13" s="169"/>
      <c r="M13" s="267"/>
      <c r="O13" s="267"/>
      <c r="P13" s="267"/>
      <c r="Q13" s="340"/>
      <c r="R13" s="267"/>
      <c r="S13" s="271"/>
      <c r="T13" s="271"/>
      <c r="U13" s="271"/>
      <c r="V13" s="271"/>
      <c r="W13" s="271"/>
      <c r="X13" s="271"/>
      <c r="Y13" s="271"/>
      <c r="Z13" s="271"/>
    </row>
    <row r="14" spans="1:26" s="41" customFormat="1" ht="13.5" customHeight="1">
      <c r="A14" s="323">
        <v>2015</v>
      </c>
      <c r="B14" s="380">
        <v>65</v>
      </c>
      <c r="C14" s="378">
        <v>19469</v>
      </c>
      <c r="D14" s="378">
        <v>4650</v>
      </c>
      <c r="E14" s="378">
        <v>4713</v>
      </c>
      <c r="F14" s="378">
        <v>10105</v>
      </c>
      <c r="G14" s="378">
        <v>0</v>
      </c>
      <c r="H14" s="379">
        <v>495</v>
      </c>
      <c r="I14" s="169"/>
      <c r="J14" s="266"/>
      <c r="K14" s="156"/>
      <c r="L14" s="270"/>
      <c r="M14" s="270"/>
      <c r="N14" s="270"/>
      <c r="O14" s="4"/>
      <c r="P14" s="4"/>
      <c r="Q14" s="340"/>
      <c r="R14" s="4"/>
      <c r="S14" s="271"/>
      <c r="T14" s="271"/>
      <c r="U14" s="271"/>
      <c r="V14" s="271"/>
      <c r="W14" s="271"/>
      <c r="X14" s="271"/>
      <c r="Y14" s="271"/>
      <c r="Z14" s="271"/>
    </row>
    <row r="15" spans="1:26" s="41" customFormat="1" ht="13.5" customHeight="1">
      <c r="A15" s="323">
        <v>2016</v>
      </c>
      <c r="B15" s="381">
        <v>67.099999999999994</v>
      </c>
      <c r="C15" s="378">
        <v>19456</v>
      </c>
      <c r="D15" s="378">
        <v>4819</v>
      </c>
      <c r="E15" s="378">
        <v>4801</v>
      </c>
      <c r="F15" s="378">
        <v>9836</v>
      </c>
      <c r="G15" s="378">
        <v>0</v>
      </c>
      <c r="H15" s="379">
        <v>326</v>
      </c>
      <c r="I15" s="169"/>
      <c r="J15" s="266"/>
      <c r="K15" s="156"/>
      <c r="L15" s="270"/>
      <c r="M15" s="270"/>
      <c r="N15" s="270"/>
      <c r="O15" s="4"/>
      <c r="P15" s="4"/>
      <c r="Q15" s="340"/>
      <c r="R15" s="4"/>
      <c r="S15" s="271"/>
      <c r="T15" s="271"/>
      <c r="U15" s="271"/>
      <c r="V15" s="271"/>
      <c r="W15" s="271"/>
      <c r="X15" s="271"/>
      <c r="Y15" s="271"/>
      <c r="Z15" s="271"/>
    </row>
    <row r="16" spans="1:26" s="41" customFormat="1" ht="13.5" customHeight="1">
      <c r="A16" s="323">
        <v>2017</v>
      </c>
      <c r="B16" s="381">
        <v>65.900000000000006</v>
      </c>
      <c r="C16" s="378">
        <v>20493</v>
      </c>
      <c r="D16" s="378">
        <v>5144</v>
      </c>
      <c r="E16" s="378">
        <v>5042</v>
      </c>
      <c r="F16" s="378">
        <v>10225</v>
      </c>
      <c r="G16" s="378">
        <v>82</v>
      </c>
      <c r="H16" s="379">
        <v>333</v>
      </c>
      <c r="I16" s="169"/>
      <c r="J16" s="266"/>
      <c r="K16" s="156"/>
      <c r="L16" s="270"/>
      <c r="M16" s="270"/>
      <c r="N16" s="270"/>
      <c r="O16" s="4"/>
      <c r="P16" s="4"/>
      <c r="Q16" s="340"/>
      <c r="R16" s="4"/>
      <c r="S16" s="271"/>
      <c r="T16" s="271"/>
      <c r="U16" s="271"/>
      <c r="V16" s="271"/>
      <c r="W16" s="271"/>
      <c r="X16" s="271"/>
      <c r="Y16" s="271"/>
      <c r="Z16" s="271"/>
    </row>
    <row r="17" spans="1:29" s="41" customFormat="1" ht="13.5" customHeight="1">
      <c r="A17" s="323">
        <v>2018</v>
      </c>
      <c r="B17" s="381">
        <v>64.099999999999994</v>
      </c>
      <c r="C17" s="378">
        <v>21663</v>
      </c>
      <c r="D17" s="378">
        <v>5116</v>
      </c>
      <c r="E17" s="378">
        <v>5117</v>
      </c>
      <c r="F17" s="378">
        <v>11429</v>
      </c>
      <c r="G17" s="378">
        <v>0</v>
      </c>
      <c r="H17" s="379">
        <v>359</v>
      </c>
      <c r="I17" s="169"/>
      <c r="J17" s="270"/>
      <c r="K17" s="156"/>
      <c r="L17" s="270"/>
      <c r="M17" s="270"/>
      <c r="N17" s="270"/>
      <c r="O17" s="4"/>
      <c r="P17" s="4"/>
      <c r="Q17" s="340"/>
      <c r="R17" s="4"/>
      <c r="S17" s="271"/>
      <c r="T17" s="271"/>
      <c r="U17" s="271"/>
      <c r="V17" s="271"/>
      <c r="W17" s="271"/>
      <c r="X17" s="271"/>
      <c r="Y17" s="271"/>
      <c r="Z17" s="271"/>
    </row>
    <row r="18" spans="1:29" s="41" customFormat="1" ht="13.5" customHeight="1">
      <c r="A18" s="323">
        <v>2019</v>
      </c>
      <c r="B18" s="381">
        <v>67.900000000000006</v>
      </c>
      <c r="C18" s="378">
        <v>21992</v>
      </c>
      <c r="D18" s="378">
        <v>5163</v>
      </c>
      <c r="E18" s="378">
        <v>5192</v>
      </c>
      <c r="F18" s="378">
        <v>11638</v>
      </c>
      <c r="G18" s="378">
        <v>0</v>
      </c>
      <c r="H18" s="379">
        <v>306</v>
      </c>
      <c r="I18" s="169"/>
      <c r="J18" s="270"/>
      <c r="K18" s="156"/>
      <c r="L18" s="270"/>
      <c r="M18" s="270"/>
      <c r="N18" s="270"/>
      <c r="O18" s="4"/>
      <c r="P18" s="4"/>
      <c r="Q18" s="340"/>
      <c r="R18" s="4"/>
      <c r="S18" s="271"/>
      <c r="T18" s="271"/>
      <c r="U18" s="271"/>
      <c r="V18" s="271"/>
      <c r="W18" s="271"/>
      <c r="X18" s="271"/>
      <c r="Y18" s="271"/>
      <c r="Z18" s="271"/>
    </row>
    <row r="19" spans="1:29" s="41" customFormat="1" ht="13.5" customHeight="1">
      <c r="A19" s="323">
        <v>2020</v>
      </c>
      <c r="B19" s="381">
        <v>66.099999999999994</v>
      </c>
      <c r="C19" s="378">
        <v>21824</v>
      </c>
      <c r="D19" s="378">
        <v>4951</v>
      </c>
      <c r="E19" s="378">
        <v>4853</v>
      </c>
      <c r="F19" s="378">
        <v>12020</v>
      </c>
      <c r="G19" s="378">
        <v>0</v>
      </c>
      <c r="H19" s="379">
        <v>376</v>
      </c>
      <c r="I19" s="169"/>
      <c r="J19" s="270"/>
      <c r="K19" s="156"/>
      <c r="L19" s="270"/>
      <c r="M19" s="270"/>
      <c r="N19" s="270"/>
      <c r="O19" s="4"/>
      <c r="P19" s="4"/>
      <c r="Q19" s="340"/>
      <c r="R19" s="4"/>
      <c r="S19" s="271"/>
      <c r="T19" s="271"/>
      <c r="U19" s="271"/>
      <c r="V19" s="271"/>
      <c r="W19" s="271"/>
      <c r="X19" s="271"/>
      <c r="Y19" s="271"/>
      <c r="Z19" s="271"/>
    </row>
    <row r="20" spans="1:29" s="41" customFormat="1" ht="13.5" customHeight="1">
      <c r="A20" s="323">
        <v>2021</v>
      </c>
      <c r="B20" s="380">
        <v>71.8</v>
      </c>
      <c r="C20" s="378">
        <v>22706</v>
      </c>
      <c r="D20" s="378">
        <v>5225</v>
      </c>
      <c r="E20" s="378">
        <v>5208</v>
      </c>
      <c r="F20" s="378">
        <v>12273</v>
      </c>
      <c r="G20" s="24">
        <v>0</v>
      </c>
      <c r="H20" s="365">
        <v>413</v>
      </c>
      <c r="I20" s="169"/>
      <c r="J20" s="270"/>
      <c r="K20" s="156"/>
      <c r="L20" s="270"/>
      <c r="M20" s="270"/>
      <c r="N20" s="270"/>
      <c r="O20" s="4"/>
      <c r="P20" s="4"/>
      <c r="Q20" s="340"/>
      <c r="R20" s="4"/>
      <c r="S20" s="271"/>
      <c r="T20" s="271"/>
      <c r="U20" s="271"/>
      <c r="V20" s="271"/>
      <c r="W20" s="271"/>
      <c r="X20" s="271"/>
      <c r="Y20" s="271"/>
      <c r="Z20" s="271"/>
    </row>
    <row r="21" spans="1:29" s="41" customFormat="1" ht="13.5" customHeight="1">
      <c r="A21" s="323">
        <v>2022</v>
      </c>
      <c r="B21" s="380">
        <v>78.7</v>
      </c>
      <c r="C21" s="378">
        <v>22078</v>
      </c>
      <c r="D21" s="378">
        <v>5178</v>
      </c>
      <c r="E21" s="378">
        <v>5133</v>
      </c>
      <c r="F21" s="378">
        <v>11766</v>
      </c>
      <c r="G21" s="24">
        <v>1</v>
      </c>
      <c r="H21" s="365">
        <v>405</v>
      </c>
      <c r="I21" s="169"/>
      <c r="J21" s="270"/>
      <c r="K21" s="156"/>
      <c r="L21" s="169"/>
      <c r="M21" s="267"/>
      <c r="N21" s="169"/>
      <c r="O21" s="4"/>
      <c r="P21" s="4"/>
      <c r="Q21" s="340"/>
      <c r="R21" s="4"/>
      <c r="S21" s="271"/>
      <c r="T21" s="271"/>
      <c r="U21" s="271"/>
      <c r="V21" s="271"/>
      <c r="W21" s="271"/>
      <c r="X21" s="271"/>
      <c r="Y21" s="271"/>
      <c r="Z21" s="271"/>
    </row>
    <row r="22" spans="1:29" s="41" customFormat="1" ht="13.5" customHeight="1">
      <c r="A22" s="323">
        <v>2023</v>
      </c>
      <c r="B22" s="380">
        <v>71.8</v>
      </c>
      <c r="C22" s="378">
        <v>23154</v>
      </c>
      <c r="D22" s="378">
        <v>5414</v>
      </c>
      <c r="E22" s="378">
        <v>5331</v>
      </c>
      <c r="F22" s="378">
        <v>12409</v>
      </c>
      <c r="G22" s="24">
        <v>1</v>
      </c>
      <c r="H22" s="365">
        <v>327</v>
      </c>
      <c r="I22" s="169"/>
      <c r="J22" s="270"/>
      <c r="K22" s="156"/>
      <c r="L22" s="169"/>
      <c r="M22" s="267"/>
      <c r="N22" s="169"/>
      <c r="O22" s="4"/>
      <c r="P22" s="4"/>
      <c r="Q22" s="340"/>
      <c r="R22" s="4"/>
      <c r="S22" s="271"/>
      <c r="T22" s="271"/>
      <c r="U22" s="271"/>
      <c r="V22" s="271"/>
      <c r="W22" s="271"/>
      <c r="X22" s="271"/>
      <c r="Y22" s="271"/>
      <c r="Z22" s="271"/>
    </row>
    <row r="23" spans="1:29" s="397" customFormat="1" ht="13.5" customHeight="1">
      <c r="A23" s="323">
        <v>2024</v>
      </c>
      <c r="B23" s="380">
        <v>72.3</v>
      </c>
      <c r="C23" s="378">
        <v>24402</v>
      </c>
      <c r="D23" s="378">
        <v>5495</v>
      </c>
      <c r="E23" s="378">
        <v>5410</v>
      </c>
      <c r="F23" s="378">
        <v>13497</v>
      </c>
      <c r="G23" s="396">
        <v>0</v>
      </c>
      <c r="H23" s="365">
        <v>339</v>
      </c>
      <c r="I23" s="403"/>
      <c r="J23" s="270"/>
      <c r="K23" s="156"/>
      <c r="L23" s="403"/>
      <c r="M23" s="406"/>
      <c r="N23" s="403"/>
      <c r="O23" s="4"/>
      <c r="P23" s="4"/>
      <c r="Q23" s="340"/>
      <c r="R23" s="4"/>
      <c r="S23" s="407"/>
      <c r="T23" s="407"/>
      <c r="U23" s="407"/>
      <c r="V23" s="407"/>
      <c r="W23" s="407"/>
      <c r="X23" s="407"/>
      <c r="Y23" s="407"/>
      <c r="Z23" s="407"/>
    </row>
    <row r="24" spans="1:29" s="397" customFormat="1" ht="13.5" customHeight="1">
      <c r="A24" s="323">
        <v>2025</v>
      </c>
      <c r="B24" s="380">
        <v>72.099999999999994</v>
      </c>
      <c r="C24" s="378">
        <v>24883</v>
      </c>
      <c r="D24" s="378">
        <v>5422</v>
      </c>
      <c r="E24" s="378">
        <v>5363</v>
      </c>
      <c r="F24" s="378">
        <v>14098</v>
      </c>
      <c r="G24" s="446">
        <v>0</v>
      </c>
      <c r="H24" s="447">
        <v>346</v>
      </c>
      <c r="I24" s="403"/>
      <c r="J24" s="270"/>
      <c r="K24" s="156"/>
      <c r="L24" s="403"/>
      <c r="M24" s="406"/>
      <c r="N24" s="403"/>
      <c r="O24" s="4"/>
      <c r="P24" s="4"/>
      <c r="Q24" s="340"/>
      <c r="R24" s="4"/>
      <c r="S24" s="407"/>
      <c r="T24" s="407"/>
      <c r="U24" s="407"/>
      <c r="V24" s="407"/>
      <c r="W24" s="407"/>
      <c r="X24" s="407"/>
      <c r="Y24" s="407"/>
      <c r="Z24" s="407"/>
    </row>
    <row r="25" spans="1:29" s="41" customFormat="1" ht="13.5" customHeight="1">
      <c r="A25" s="322"/>
      <c r="B25" s="380"/>
      <c r="C25" s="378"/>
      <c r="D25" s="378"/>
      <c r="E25" s="378"/>
      <c r="F25" s="378"/>
      <c r="G25" s="24"/>
      <c r="H25" s="365"/>
      <c r="I25" s="169"/>
      <c r="J25" s="270"/>
      <c r="K25" s="156"/>
      <c r="L25" s="156"/>
      <c r="M25" s="267"/>
      <c r="N25" s="268"/>
      <c r="O25" s="4"/>
      <c r="P25" s="4"/>
      <c r="Q25" s="4"/>
      <c r="R25" s="4"/>
      <c r="S25" s="4"/>
      <c r="T25" s="267"/>
      <c r="U25" s="267"/>
      <c r="V25" s="267"/>
      <c r="W25" s="267"/>
      <c r="X25" s="267"/>
      <c r="Y25" s="267"/>
    </row>
    <row r="26" spans="1:29" s="41" customFormat="1" ht="13.5" customHeight="1">
      <c r="A26" s="321"/>
      <c r="B26" s="380"/>
      <c r="C26" s="378"/>
      <c r="D26" s="378"/>
      <c r="E26" s="378"/>
      <c r="F26" s="378"/>
      <c r="G26" s="24"/>
      <c r="H26" s="382"/>
      <c r="I26" s="169"/>
      <c r="K26" s="58"/>
      <c r="L26" s="145"/>
      <c r="M26" s="145"/>
      <c r="N26" s="145"/>
      <c r="O26" s="145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  <c r="AA26" s="268"/>
      <c r="AB26" s="267"/>
      <c r="AC26" s="267"/>
    </row>
    <row r="27" spans="1:29" s="41" customFormat="1" ht="13.5" customHeight="1">
      <c r="A27" s="337">
        <v>44562</v>
      </c>
      <c r="B27" s="377">
        <v>76.036344585369505</v>
      </c>
      <c r="C27" s="378">
        <v>1967</v>
      </c>
      <c r="D27" s="378">
        <v>440</v>
      </c>
      <c r="E27" s="378">
        <v>451</v>
      </c>
      <c r="F27" s="378">
        <v>1076</v>
      </c>
      <c r="G27" s="24">
        <v>0</v>
      </c>
      <c r="H27" s="382">
        <v>33</v>
      </c>
      <c r="I27" s="169"/>
      <c r="K27" s="58"/>
      <c r="L27" s="145"/>
      <c r="M27" s="145"/>
      <c r="N27" s="145"/>
      <c r="O27" s="145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  <c r="AA27" s="268"/>
      <c r="AB27" s="267"/>
      <c r="AC27" s="267"/>
    </row>
    <row r="28" spans="1:29" s="41" customFormat="1" ht="13.5" customHeight="1">
      <c r="A28" s="337">
        <v>44593</v>
      </c>
      <c r="B28" s="377">
        <v>77.876396155577439</v>
      </c>
      <c r="C28" s="378">
        <v>1743</v>
      </c>
      <c r="D28" s="378">
        <v>408</v>
      </c>
      <c r="E28" s="378">
        <v>389</v>
      </c>
      <c r="F28" s="378">
        <v>946</v>
      </c>
      <c r="G28" s="24">
        <v>0</v>
      </c>
      <c r="H28" s="382">
        <v>34</v>
      </c>
      <c r="I28" s="169"/>
      <c r="K28" s="58"/>
      <c r="L28" s="145"/>
      <c r="M28" s="145"/>
      <c r="N28" s="145"/>
      <c r="O28" s="145"/>
      <c r="P28" s="271"/>
      <c r="Q28" s="271"/>
      <c r="R28" s="271"/>
      <c r="S28" s="271"/>
      <c r="T28" s="271"/>
      <c r="U28" s="271"/>
      <c r="V28" s="271"/>
      <c r="W28" s="271"/>
      <c r="X28" s="271"/>
      <c r="Y28" s="271"/>
      <c r="Z28" s="271"/>
      <c r="AA28" s="268"/>
      <c r="AB28" s="267"/>
      <c r="AC28" s="267"/>
    </row>
    <row r="29" spans="1:29" s="41" customFormat="1" ht="13.5" customHeight="1">
      <c r="A29" s="337">
        <v>44621</v>
      </c>
      <c r="B29" s="377">
        <v>82.668760197014194</v>
      </c>
      <c r="C29" s="378">
        <v>1876</v>
      </c>
      <c r="D29" s="378">
        <v>450</v>
      </c>
      <c r="E29" s="378">
        <v>470</v>
      </c>
      <c r="F29" s="378">
        <v>956</v>
      </c>
      <c r="G29" s="24">
        <v>0</v>
      </c>
      <c r="H29" s="382">
        <v>32</v>
      </c>
      <c r="I29" s="169"/>
      <c r="K29" s="58"/>
      <c r="L29" s="145"/>
      <c r="M29" s="145"/>
      <c r="N29" s="145"/>
      <c r="O29" s="145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  <c r="AA29" s="268"/>
      <c r="AB29" s="267"/>
      <c r="AC29" s="267"/>
    </row>
    <row r="30" spans="1:29" s="41" customFormat="1" ht="13.5" customHeight="1">
      <c r="A30" s="337">
        <v>44652</v>
      </c>
      <c r="B30" s="377">
        <v>79.381490019167856</v>
      </c>
      <c r="C30" s="378">
        <v>1899</v>
      </c>
      <c r="D30" s="378">
        <v>464</v>
      </c>
      <c r="E30" s="378">
        <v>433</v>
      </c>
      <c r="F30" s="378">
        <v>1003</v>
      </c>
      <c r="G30" s="24">
        <v>0</v>
      </c>
      <c r="H30" s="382">
        <v>30</v>
      </c>
      <c r="I30" s="169"/>
      <c r="K30" s="58"/>
      <c r="L30" s="145"/>
      <c r="M30" s="145"/>
      <c r="N30" s="145"/>
      <c r="O30" s="145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  <c r="AA30" s="268"/>
      <c r="AB30" s="267"/>
      <c r="AC30" s="267"/>
    </row>
    <row r="31" spans="1:29" s="41" customFormat="1" ht="13.5" customHeight="1">
      <c r="A31" s="337">
        <v>44682</v>
      </c>
      <c r="B31" s="377">
        <v>77.81678330882913</v>
      </c>
      <c r="C31" s="378">
        <v>1963</v>
      </c>
      <c r="D31" s="378">
        <v>468</v>
      </c>
      <c r="E31" s="378">
        <v>477</v>
      </c>
      <c r="F31" s="378">
        <v>1018</v>
      </c>
      <c r="G31" s="24">
        <v>0.11</v>
      </c>
      <c r="H31" s="382">
        <v>35</v>
      </c>
      <c r="I31" s="169"/>
      <c r="K31" s="58"/>
      <c r="L31" s="145"/>
      <c r="M31" s="145"/>
      <c r="N31" s="145"/>
      <c r="O31" s="145"/>
      <c r="P31" s="271"/>
      <c r="Q31" s="271"/>
      <c r="R31" s="271"/>
      <c r="S31" s="271"/>
      <c r="T31" s="271"/>
      <c r="U31" s="271"/>
      <c r="V31" s="271"/>
      <c r="W31" s="271"/>
      <c r="X31" s="271"/>
      <c r="Y31" s="271"/>
      <c r="Z31" s="271"/>
      <c r="AA31" s="268"/>
      <c r="AB31" s="267"/>
      <c r="AC31" s="267"/>
    </row>
    <row r="32" spans="1:29" s="41" customFormat="1" ht="14.25" customHeight="1">
      <c r="A32" s="337">
        <v>44713</v>
      </c>
      <c r="B32" s="377">
        <v>77.100705571824051</v>
      </c>
      <c r="C32" s="378">
        <v>1810</v>
      </c>
      <c r="D32" s="378">
        <v>391</v>
      </c>
      <c r="E32" s="378">
        <v>407</v>
      </c>
      <c r="F32" s="378">
        <v>1013</v>
      </c>
      <c r="G32" s="24">
        <v>0.11</v>
      </c>
      <c r="H32" s="382">
        <v>28</v>
      </c>
      <c r="I32" s="169"/>
      <c r="K32" s="58"/>
      <c r="L32" s="145"/>
      <c r="M32" s="145"/>
      <c r="N32" s="145"/>
      <c r="O32" s="145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  <c r="AA32" s="268"/>
      <c r="AB32" s="267"/>
      <c r="AC32" s="267"/>
    </row>
    <row r="33" spans="1:29" s="41" customFormat="1" ht="14.25" customHeight="1">
      <c r="A33" s="337">
        <v>44743</v>
      </c>
      <c r="B33" s="377">
        <v>78.109507186269454</v>
      </c>
      <c r="C33" s="378">
        <v>2009</v>
      </c>
      <c r="D33" s="378">
        <v>481</v>
      </c>
      <c r="E33" s="378">
        <v>442</v>
      </c>
      <c r="F33" s="378">
        <v>1086</v>
      </c>
      <c r="G33" s="24">
        <v>0.11</v>
      </c>
      <c r="H33" s="382">
        <v>36</v>
      </c>
      <c r="I33" s="169"/>
      <c r="K33" s="58"/>
      <c r="L33" s="145"/>
      <c r="M33" s="145"/>
      <c r="N33" s="145"/>
      <c r="O33" s="145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  <c r="AA33" s="268"/>
      <c r="AB33" s="267"/>
      <c r="AC33" s="267"/>
    </row>
    <row r="34" spans="1:29" s="41" customFormat="1" ht="14.25" customHeight="1">
      <c r="A34" s="337">
        <v>44774</v>
      </c>
      <c r="B34" s="377">
        <v>77.900000000000006</v>
      </c>
      <c r="C34" s="378">
        <v>1892</v>
      </c>
      <c r="D34" s="378">
        <v>431</v>
      </c>
      <c r="E34" s="378">
        <v>447</v>
      </c>
      <c r="F34" s="378">
        <v>1014</v>
      </c>
      <c r="G34" s="24">
        <v>0.22</v>
      </c>
      <c r="H34" s="382">
        <v>34</v>
      </c>
      <c r="I34" s="169"/>
      <c r="K34" s="58"/>
      <c r="L34" s="145"/>
      <c r="M34" s="145"/>
      <c r="N34" s="145"/>
      <c r="O34" s="145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/>
      <c r="AA34" s="268"/>
      <c r="AB34" s="267"/>
      <c r="AC34" s="267"/>
    </row>
    <row r="35" spans="1:29" s="41" customFormat="1" ht="14.25" customHeight="1">
      <c r="A35" s="337">
        <v>44805</v>
      </c>
      <c r="B35" s="377">
        <v>74.8</v>
      </c>
      <c r="C35" s="378">
        <v>1560</v>
      </c>
      <c r="D35" s="378">
        <v>385</v>
      </c>
      <c r="E35" s="378">
        <v>353</v>
      </c>
      <c r="F35" s="378">
        <v>822</v>
      </c>
      <c r="G35" s="24">
        <v>0.11</v>
      </c>
      <c r="H35" s="382">
        <v>37</v>
      </c>
      <c r="I35" s="169"/>
      <c r="K35" s="58"/>
      <c r="L35" s="145"/>
      <c r="M35" s="145"/>
      <c r="N35" s="145"/>
      <c r="O35" s="145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271"/>
      <c r="AA35" s="268"/>
      <c r="AB35" s="267"/>
      <c r="AC35" s="267"/>
    </row>
    <row r="36" spans="1:29" s="41" customFormat="1" ht="14.25" customHeight="1">
      <c r="A36" s="337">
        <v>44835</v>
      </c>
      <c r="B36" s="377">
        <v>79.428669042780598</v>
      </c>
      <c r="C36" s="378">
        <v>1829</v>
      </c>
      <c r="D36" s="378">
        <v>438</v>
      </c>
      <c r="E36" s="378">
        <v>415</v>
      </c>
      <c r="F36" s="378">
        <v>976</v>
      </c>
      <c r="G36" s="24">
        <v>0.33</v>
      </c>
      <c r="H36" s="382">
        <v>36</v>
      </c>
      <c r="I36" s="169"/>
      <c r="K36" s="58"/>
      <c r="L36" s="145"/>
      <c r="M36" s="145"/>
      <c r="N36" s="145"/>
      <c r="O36" s="145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  <c r="AA36" s="268"/>
      <c r="AB36" s="267"/>
      <c r="AC36" s="267"/>
    </row>
    <row r="37" spans="1:29" s="41" customFormat="1" ht="14.25" customHeight="1">
      <c r="A37" s="337">
        <v>44866</v>
      </c>
      <c r="B37" s="377">
        <v>82.051621490086006</v>
      </c>
      <c r="C37" s="378">
        <v>1789</v>
      </c>
      <c r="D37" s="378">
        <v>423</v>
      </c>
      <c r="E37" s="378">
        <v>425</v>
      </c>
      <c r="F37" s="378">
        <v>940</v>
      </c>
      <c r="G37" s="24">
        <v>0.22</v>
      </c>
      <c r="H37" s="382">
        <v>34</v>
      </c>
      <c r="I37" s="169"/>
      <c r="K37" s="58"/>
      <c r="L37" s="145"/>
      <c r="M37" s="145"/>
      <c r="N37" s="145"/>
      <c r="O37" s="145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  <c r="AA37" s="268"/>
      <c r="AB37" s="267"/>
      <c r="AC37" s="267"/>
    </row>
    <row r="38" spans="1:29" s="41" customFormat="1" ht="14.25" customHeight="1">
      <c r="A38" s="337">
        <v>44896</v>
      </c>
      <c r="B38" s="377">
        <v>81.712126193346464</v>
      </c>
      <c r="C38" s="378">
        <v>1741</v>
      </c>
      <c r="D38" s="378">
        <v>400</v>
      </c>
      <c r="E38" s="378">
        <v>425</v>
      </c>
      <c r="F38" s="378">
        <v>916</v>
      </c>
      <c r="G38" s="24">
        <v>0.2</v>
      </c>
      <c r="H38" s="382">
        <v>35</v>
      </c>
      <c r="I38" s="169"/>
      <c r="K38" s="58"/>
      <c r="L38" s="145"/>
      <c r="M38" s="145"/>
      <c r="N38" s="145"/>
      <c r="O38" s="145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  <c r="AA38" s="268"/>
      <c r="AB38" s="267"/>
      <c r="AC38" s="267"/>
    </row>
    <row r="39" spans="1:29" s="41" customFormat="1" ht="14.25" customHeight="1">
      <c r="A39" s="345">
        <f t="shared" ref="A39:A44" si="0">EDATE(A38,1)</f>
        <v>44927</v>
      </c>
      <c r="B39" s="377">
        <v>73.914164901827348</v>
      </c>
      <c r="C39" s="378">
        <v>1839</v>
      </c>
      <c r="D39" s="378">
        <v>419</v>
      </c>
      <c r="E39" s="378">
        <v>401</v>
      </c>
      <c r="F39" s="378">
        <v>1018</v>
      </c>
      <c r="G39" s="24">
        <v>0</v>
      </c>
      <c r="H39" s="382">
        <v>29</v>
      </c>
      <c r="I39" s="169"/>
      <c r="K39" s="58"/>
      <c r="L39" s="145"/>
      <c r="M39" s="145"/>
      <c r="N39" s="145"/>
      <c r="O39" s="145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  <c r="AA39" s="268"/>
      <c r="AB39" s="267"/>
      <c r="AC39" s="267"/>
    </row>
    <row r="40" spans="1:29" s="41" customFormat="1" ht="14.25" customHeight="1">
      <c r="A40" s="345">
        <f t="shared" si="0"/>
        <v>44958</v>
      </c>
      <c r="B40" s="377">
        <v>77.635491137680418</v>
      </c>
      <c r="C40" s="378">
        <v>1759</v>
      </c>
      <c r="D40" s="378">
        <v>433</v>
      </c>
      <c r="E40" s="378">
        <v>410</v>
      </c>
      <c r="F40" s="378">
        <v>915</v>
      </c>
      <c r="G40" s="24">
        <v>0.41</v>
      </c>
      <c r="H40" s="382">
        <v>25</v>
      </c>
      <c r="I40" s="169"/>
      <c r="K40" s="58"/>
      <c r="L40" s="145"/>
      <c r="M40" s="145"/>
      <c r="N40" s="145"/>
      <c r="O40" s="145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  <c r="AA40" s="268"/>
      <c r="AB40" s="267"/>
      <c r="AC40" s="267"/>
    </row>
    <row r="41" spans="1:29" s="41" customFormat="1" ht="14.25" customHeight="1">
      <c r="A41" s="345">
        <f t="shared" si="0"/>
        <v>44986</v>
      </c>
      <c r="B41" s="377">
        <v>82.179042173901522</v>
      </c>
      <c r="C41" s="378">
        <v>2078</v>
      </c>
      <c r="D41" s="378">
        <v>472</v>
      </c>
      <c r="E41" s="378">
        <v>497</v>
      </c>
      <c r="F41" s="378">
        <v>1109</v>
      </c>
      <c r="G41" s="24">
        <v>0.1</v>
      </c>
      <c r="H41" s="382">
        <v>27</v>
      </c>
      <c r="I41" s="169"/>
      <c r="K41" s="58"/>
      <c r="L41" s="145"/>
      <c r="M41" s="145"/>
      <c r="N41" s="145"/>
      <c r="O41" s="145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  <c r="AA41" s="268"/>
      <c r="AB41" s="267"/>
      <c r="AC41" s="267"/>
    </row>
    <row r="42" spans="1:29" s="41" customFormat="1" ht="14.25" customHeight="1">
      <c r="A42" s="345">
        <f t="shared" si="0"/>
        <v>45017</v>
      </c>
      <c r="B42" s="377">
        <v>79.795606946325108</v>
      </c>
      <c r="C42" s="378">
        <v>2024</v>
      </c>
      <c r="D42" s="378">
        <v>468</v>
      </c>
      <c r="E42" s="378">
        <v>463</v>
      </c>
      <c r="F42" s="378">
        <v>1093</v>
      </c>
      <c r="G42" s="24">
        <v>0</v>
      </c>
      <c r="H42" s="382">
        <v>28</v>
      </c>
      <c r="I42" s="169"/>
      <c r="K42" s="58"/>
      <c r="L42" s="145"/>
      <c r="M42" s="145"/>
      <c r="N42" s="145"/>
      <c r="O42" s="145"/>
      <c r="P42" s="271"/>
      <c r="Q42" s="271"/>
      <c r="R42" s="271"/>
      <c r="S42" s="271"/>
      <c r="T42" s="271"/>
      <c r="U42" s="271"/>
      <c r="V42" s="271"/>
      <c r="W42" s="271"/>
      <c r="X42" s="271"/>
      <c r="Y42" s="271"/>
      <c r="Z42" s="271"/>
      <c r="AA42" s="268"/>
      <c r="AB42" s="267"/>
      <c r="AC42" s="267"/>
    </row>
    <row r="43" spans="1:29" s="41" customFormat="1" ht="14.25" customHeight="1">
      <c r="A43" s="345">
        <f t="shared" si="0"/>
        <v>45047</v>
      </c>
      <c r="B43" s="377">
        <v>75.561746499944633</v>
      </c>
      <c r="C43" s="378">
        <v>1990</v>
      </c>
      <c r="D43" s="378">
        <v>476</v>
      </c>
      <c r="E43" s="378">
        <v>471</v>
      </c>
      <c r="F43" s="378">
        <v>1044</v>
      </c>
      <c r="G43" s="24">
        <v>0</v>
      </c>
      <c r="H43" s="382">
        <v>28</v>
      </c>
      <c r="I43" s="169"/>
      <c r="K43" s="58"/>
      <c r="L43" s="145"/>
      <c r="M43" s="145"/>
      <c r="N43" s="145"/>
      <c r="O43" s="145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  <c r="AA43" s="268"/>
      <c r="AB43" s="267"/>
      <c r="AC43" s="267"/>
    </row>
    <row r="44" spans="1:29" s="41" customFormat="1" ht="14.25" customHeight="1">
      <c r="A44" s="345">
        <f t="shared" si="0"/>
        <v>45078</v>
      </c>
      <c r="B44" s="377">
        <v>78.43893366579232</v>
      </c>
      <c r="C44" s="378">
        <v>1902</v>
      </c>
      <c r="D44" s="378">
        <v>454</v>
      </c>
      <c r="E44" s="378">
        <v>441</v>
      </c>
      <c r="F44" s="378">
        <v>1007</v>
      </c>
      <c r="G44" s="24">
        <v>0</v>
      </c>
      <c r="H44" s="383">
        <v>28</v>
      </c>
      <c r="I44" s="169"/>
      <c r="K44" s="58"/>
      <c r="L44" s="145"/>
      <c r="M44" s="145"/>
      <c r="N44" s="145"/>
      <c r="O44" s="145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  <c r="AA44" s="268"/>
      <c r="AB44" s="267"/>
      <c r="AC44" s="267"/>
    </row>
    <row r="45" spans="1:29" s="41" customFormat="1" ht="15.75" customHeight="1">
      <c r="A45" s="345">
        <f>EDATE(A44,1)</f>
        <v>45108</v>
      </c>
      <c r="B45" s="377">
        <v>74.202386671525431</v>
      </c>
      <c r="C45" s="378">
        <v>1896</v>
      </c>
      <c r="D45" s="378">
        <v>449</v>
      </c>
      <c r="E45" s="378">
        <v>423</v>
      </c>
      <c r="F45" s="378">
        <v>1024</v>
      </c>
      <c r="G45" s="24">
        <v>0</v>
      </c>
      <c r="H45" s="383">
        <v>28</v>
      </c>
      <c r="I45" s="169"/>
      <c r="K45" s="58"/>
      <c r="L45" s="145"/>
      <c r="M45" s="145"/>
      <c r="N45" s="145"/>
      <c r="O45" s="145"/>
      <c r="P45" s="271"/>
      <c r="Q45" s="271"/>
      <c r="R45" s="267"/>
      <c r="S45" s="271"/>
      <c r="T45" s="271"/>
      <c r="U45" s="271"/>
      <c r="V45" s="271"/>
      <c r="W45" s="271"/>
      <c r="X45" s="271"/>
      <c r="Y45" s="271"/>
      <c r="Z45" s="271"/>
    </row>
    <row r="46" spans="1:29" s="41" customFormat="1" ht="15.75" customHeight="1">
      <c r="A46" s="345">
        <f t="shared" ref="A46:A55" si="1">EDATE(A45,1)</f>
        <v>45139</v>
      </c>
      <c r="B46" s="377">
        <v>72.420353892448219</v>
      </c>
      <c r="C46" s="378">
        <v>1893</v>
      </c>
      <c r="D46" s="378">
        <v>427</v>
      </c>
      <c r="E46" s="378">
        <v>441</v>
      </c>
      <c r="F46" s="378">
        <v>1025</v>
      </c>
      <c r="G46" s="24">
        <v>0</v>
      </c>
      <c r="H46" s="383">
        <v>28</v>
      </c>
      <c r="I46" s="169"/>
      <c r="K46" s="58"/>
      <c r="L46" s="145"/>
      <c r="M46" s="145"/>
      <c r="N46" s="145"/>
      <c r="O46" s="145"/>
      <c r="P46" s="271"/>
      <c r="Q46" s="271"/>
      <c r="R46" s="267"/>
      <c r="S46" s="271"/>
      <c r="T46" s="271"/>
      <c r="U46" s="271"/>
      <c r="V46" s="271"/>
      <c r="W46" s="271"/>
      <c r="X46" s="271"/>
      <c r="Y46" s="271"/>
      <c r="Z46" s="271"/>
    </row>
    <row r="47" spans="1:29" s="41" customFormat="1" ht="15.75" customHeight="1">
      <c r="A47" s="345">
        <f t="shared" si="1"/>
        <v>45170</v>
      </c>
      <c r="B47" s="377">
        <v>71.449430811915704</v>
      </c>
      <c r="C47" s="378">
        <v>1966</v>
      </c>
      <c r="D47" s="378">
        <v>463</v>
      </c>
      <c r="E47" s="378">
        <v>455</v>
      </c>
      <c r="F47" s="378">
        <v>1048</v>
      </c>
      <c r="G47" s="24">
        <v>0</v>
      </c>
      <c r="H47" s="383">
        <v>34</v>
      </c>
      <c r="I47" s="169"/>
      <c r="K47" s="58"/>
      <c r="L47" s="145"/>
      <c r="M47" s="145"/>
      <c r="N47" s="145"/>
      <c r="O47" s="145"/>
      <c r="P47" s="271"/>
      <c r="Q47" s="271"/>
      <c r="R47" s="267"/>
      <c r="S47" s="271"/>
      <c r="T47" s="271"/>
      <c r="U47" s="271"/>
      <c r="V47" s="271"/>
      <c r="W47" s="271"/>
      <c r="X47" s="271"/>
      <c r="Y47" s="271"/>
      <c r="Z47" s="271"/>
    </row>
    <row r="48" spans="1:29" s="41" customFormat="1" ht="15.75" customHeight="1">
      <c r="A48" s="345">
        <f t="shared" si="1"/>
        <v>45200</v>
      </c>
      <c r="B48" s="377">
        <v>75.738162042893592</v>
      </c>
      <c r="C48" s="378">
        <v>1896</v>
      </c>
      <c r="D48" s="378">
        <v>433</v>
      </c>
      <c r="E48" s="378">
        <v>429</v>
      </c>
      <c r="F48" s="378">
        <v>1034</v>
      </c>
      <c r="G48" s="24">
        <v>0</v>
      </c>
      <c r="H48" s="383">
        <v>23</v>
      </c>
      <c r="I48" s="169"/>
      <c r="K48" s="58"/>
      <c r="L48" s="145"/>
      <c r="M48" s="145"/>
      <c r="N48" s="145"/>
      <c r="O48" s="145"/>
      <c r="P48" s="271"/>
      <c r="Q48" s="271"/>
      <c r="R48" s="267"/>
      <c r="S48" s="271"/>
      <c r="T48" s="271"/>
      <c r="U48" s="271"/>
      <c r="V48" s="271"/>
      <c r="W48" s="271"/>
      <c r="X48" s="271"/>
      <c r="Y48" s="271"/>
      <c r="Z48" s="271"/>
    </row>
    <row r="49" spans="1:26" s="41" customFormat="1" ht="15.75" customHeight="1">
      <c r="A49" s="345">
        <f t="shared" si="1"/>
        <v>45231</v>
      </c>
      <c r="B49" s="377">
        <v>70.71707710343756</v>
      </c>
      <c r="C49" s="378">
        <v>1994</v>
      </c>
      <c r="D49" s="378">
        <v>474</v>
      </c>
      <c r="E49" s="378">
        <v>447</v>
      </c>
      <c r="F49" s="378">
        <v>1073</v>
      </c>
      <c r="G49" s="24">
        <v>0</v>
      </c>
      <c r="H49" s="383">
        <v>27</v>
      </c>
      <c r="I49" s="169"/>
      <c r="K49" s="58"/>
      <c r="L49" s="145"/>
      <c r="M49" s="145"/>
      <c r="N49" s="145"/>
      <c r="O49" s="145"/>
      <c r="P49" s="271"/>
      <c r="Q49" s="271"/>
      <c r="R49" s="267"/>
      <c r="S49" s="271"/>
      <c r="T49" s="271"/>
      <c r="U49" s="271"/>
      <c r="V49" s="271"/>
      <c r="W49" s="271"/>
      <c r="X49" s="271"/>
      <c r="Y49" s="271"/>
      <c r="Z49" s="271"/>
    </row>
    <row r="50" spans="1:26" s="41" customFormat="1" ht="15.75" customHeight="1">
      <c r="A50" s="345">
        <f t="shared" si="1"/>
        <v>45261</v>
      </c>
      <c r="B50" s="377">
        <v>72.075755902771604</v>
      </c>
      <c r="C50" s="378">
        <v>1917</v>
      </c>
      <c r="D50" s="378">
        <v>446</v>
      </c>
      <c r="E50" s="378">
        <v>452</v>
      </c>
      <c r="F50" s="378">
        <v>1019</v>
      </c>
      <c r="G50" s="24">
        <v>0</v>
      </c>
      <c r="H50" s="383">
        <v>22</v>
      </c>
      <c r="I50" s="169"/>
      <c r="K50" s="58"/>
      <c r="L50" s="145"/>
      <c r="M50" s="145"/>
      <c r="N50" s="145"/>
      <c r="O50" s="145"/>
      <c r="P50" s="271"/>
      <c r="Q50" s="271"/>
      <c r="R50" s="267"/>
      <c r="S50" s="271"/>
      <c r="T50" s="271"/>
      <c r="U50" s="271"/>
      <c r="V50" s="271"/>
      <c r="W50" s="271"/>
      <c r="X50" s="271"/>
      <c r="Y50" s="271"/>
      <c r="Z50" s="271"/>
    </row>
    <row r="51" spans="1:26" s="397" customFormat="1" ht="15.75" customHeight="1">
      <c r="A51" s="345">
        <f t="shared" si="1"/>
        <v>45292</v>
      </c>
      <c r="B51" s="377">
        <v>74.114582093729524</v>
      </c>
      <c r="C51" s="378">
        <v>1992</v>
      </c>
      <c r="D51" s="378">
        <v>458</v>
      </c>
      <c r="E51" s="378">
        <v>428</v>
      </c>
      <c r="F51" s="378">
        <v>1106</v>
      </c>
      <c r="G51" s="396">
        <v>0</v>
      </c>
      <c r="H51" s="383">
        <v>25</v>
      </c>
      <c r="I51" s="403"/>
      <c r="K51" s="398"/>
      <c r="L51" s="402"/>
      <c r="M51" s="402"/>
      <c r="N51" s="402"/>
      <c r="O51" s="402"/>
      <c r="P51" s="407"/>
      <c r="Q51" s="407"/>
      <c r="R51" s="406"/>
      <c r="S51" s="407"/>
      <c r="T51" s="407"/>
      <c r="U51" s="407"/>
      <c r="V51" s="407"/>
      <c r="W51" s="407"/>
      <c r="X51" s="407"/>
      <c r="Y51" s="407"/>
      <c r="Z51" s="407"/>
    </row>
    <row r="52" spans="1:26" s="397" customFormat="1" ht="15.75" customHeight="1">
      <c r="A52" s="345">
        <f t="shared" si="1"/>
        <v>45323</v>
      </c>
      <c r="B52" s="377">
        <v>69.182973519188337</v>
      </c>
      <c r="C52" s="378">
        <v>1879</v>
      </c>
      <c r="D52" s="378">
        <v>422</v>
      </c>
      <c r="E52" s="378">
        <v>401</v>
      </c>
      <c r="F52" s="378">
        <v>1056</v>
      </c>
      <c r="G52" s="396">
        <v>0</v>
      </c>
      <c r="H52" s="383">
        <v>23</v>
      </c>
      <c r="I52" s="403"/>
      <c r="K52" s="398"/>
      <c r="L52" s="402"/>
      <c r="M52" s="402"/>
      <c r="N52" s="402"/>
      <c r="O52" s="402"/>
      <c r="P52" s="407"/>
      <c r="Q52" s="407"/>
      <c r="R52" s="406"/>
      <c r="S52" s="407"/>
      <c r="T52" s="407"/>
      <c r="U52" s="407"/>
      <c r="V52" s="407"/>
      <c r="W52" s="407"/>
      <c r="X52" s="407"/>
      <c r="Y52" s="407"/>
      <c r="Z52" s="407"/>
    </row>
    <row r="53" spans="1:26" s="397" customFormat="1" ht="15.75" customHeight="1">
      <c r="A53" s="345">
        <f t="shared" si="1"/>
        <v>45352</v>
      </c>
      <c r="B53" s="377">
        <v>70.607559466536429</v>
      </c>
      <c r="C53" s="378">
        <v>2143</v>
      </c>
      <c r="D53" s="378">
        <v>486</v>
      </c>
      <c r="E53" s="378">
        <v>523</v>
      </c>
      <c r="F53" s="378">
        <v>1134</v>
      </c>
      <c r="G53" s="396">
        <v>0</v>
      </c>
      <c r="H53" s="383">
        <v>26</v>
      </c>
      <c r="I53" s="403"/>
      <c r="K53" s="398"/>
      <c r="L53" s="402"/>
      <c r="M53" s="402"/>
      <c r="N53" s="402"/>
      <c r="O53" s="402"/>
      <c r="P53" s="407"/>
      <c r="Q53" s="407"/>
      <c r="R53" s="406"/>
      <c r="S53" s="407"/>
      <c r="T53" s="407"/>
      <c r="U53" s="407"/>
      <c r="V53" s="407"/>
      <c r="W53" s="407"/>
      <c r="X53" s="407"/>
      <c r="Y53" s="407"/>
      <c r="Z53" s="407"/>
    </row>
    <row r="54" spans="1:26" s="397" customFormat="1" ht="15.75" customHeight="1">
      <c r="A54" s="345">
        <f t="shared" si="1"/>
        <v>45383</v>
      </c>
      <c r="B54" s="377" t="s">
        <v>149</v>
      </c>
      <c r="C54" s="378">
        <v>2046</v>
      </c>
      <c r="D54" s="378">
        <v>482</v>
      </c>
      <c r="E54" s="378">
        <v>470</v>
      </c>
      <c r="F54" s="378">
        <v>1094</v>
      </c>
      <c r="G54" s="396">
        <v>0</v>
      </c>
      <c r="H54" s="383">
        <v>31</v>
      </c>
      <c r="I54" s="403"/>
      <c r="K54" s="398"/>
      <c r="L54" s="402"/>
      <c r="M54" s="402"/>
      <c r="N54" s="402"/>
      <c r="O54" s="402"/>
      <c r="P54" s="407"/>
      <c r="Q54" s="407"/>
      <c r="R54" s="406"/>
      <c r="S54" s="407"/>
      <c r="T54" s="407"/>
      <c r="U54" s="407"/>
      <c r="V54" s="407"/>
      <c r="W54" s="407"/>
      <c r="X54" s="407"/>
      <c r="Y54" s="407"/>
      <c r="Z54" s="407"/>
    </row>
    <row r="55" spans="1:26" s="397" customFormat="1" ht="15.75" customHeight="1">
      <c r="A55" s="345">
        <f t="shared" si="1"/>
        <v>45413</v>
      </c>
      <c r="B55" s="377" t="s">
        <v>149</v>
      </c>
      <c r="C55" s="378">
        <v>2098</v>
      </c>
      <c r="D55" s="378">
        <v>467</v>
      </c>
      <c r="E55" s="378">
        <v>461</v>
      </c>
      <c r="F55" s="378">
        <v>1171</v>
      </c>
      <c r="G55" s="396">
        <v>0</v>
      </c>
      <c r="H55" s="383">
        <v>30</v>
      </c>
      <c r="I55" s="403"/>
      <c r="K55" s="398"/>
      <c r="L55" s="402"/>
      <c r="M55" s="402"/>
      <c r="N55" s="402"/>
      <c r="O55" s="402"/>
      <c r="P55" s="407"/>
      <c r="Q55" s="407"/>
      <c r="R55" s="406"/>
      <c r="S55" s="407"/>
      <c r="T55" s="407"/>
      <c r="U55" s="407"/>
      <c r="V55" s="407"/>
      <c r="W55" s="407"/>
      <c r="X55" s="407"/>
      <c r="Y55" s="407"/>
      <c r="Z55" s="407"/>
    </row>
    <row r="56" spans="1:26" s="397" customFormat="1" ht="15.75" customHeight="1">
      <c r="A56" s="345">
        <f>EDATE(A55,1)</f>
        <v>45444</v>
      </c>
      <c r="B56" s="377">
        <v>73.7</v>
      </c>
      <c r="C56" s="378">
        <v>2091</v>
      </c>
      <c r="D56" s="378">
        <v>468</v>
      </c>
      <c r="E56" s="378">
        <v>477</v>
      </c>
      <c r="F56" s="378">
        <v>1145</v>
      </c>
      <c r="G56" s="396">
        <v>0</v>
      </c>
      <c r="H56" s="383">
        <v>20</v>
      </c>
      <c r="I56" s="403"/>
      <c r="K56" s="398"/>
      <c r="L56" s="402"/>
      <c r="M56" s="402"/>
      <c r="N56" s="402"/>
      <c r="O56" s="402"/>
      <c r="P56" s="407"/>
      <c r="Q56" s="407"/>
      <c r="R56" s="406"/>
      <c r="S56" s="407"/>
      <c r="T56" s="407"/>
      <c r="U56" s="407"/>
      <c r="V56" s="407"/>
      <c r="W56" s="407"/>
      <c r="X56" s="407"/>
      <c r="Y56" s="407"/>
      <c r="Z56" s="407"/>
    </row>
    <row r="57" spans="1:26" s="41" customFormat="1" ht="15.75" customHeight="1">
      <c r="A57" s="412">
        <f t="shared" ref="A57:A65" si="2">EDATE(A56,1)</f>
        <v>45474</v>
      </c>
      <c r="B57" s="377" t="s">
        <v>149</v>
      </c>
      <c r="C57" s="378">
        <v>2107</v>
      </c>
      <c r="D57" s="378">
        <v>488</v>
      </c>
      <c r="E57" s="378">
        <v>458</v>
      </c>
      <c r="F57" s="378">
        <v>1161</v>
      </c>
      <c r="G57" s="396">
        <v>0</v>
      </c>
      <c r="H57" s="383">
        <v>32</v>
      </c>
      <c r="I57" s="169"/>
      <c r="K57" s="58"/>
      <c r="L57" s="145"/>
      <c r="M57" s="145"/>
      <c r="N57" s="145"/>
      <c r="O57" s="145"/>
      <c r="P57" s="271"/>
      <c r="Q57" s="271"/>
      <c r="R57" s="267"/>
      <c r="S57" s="271"/>
      <c r="T57" s="271"/>
      <c r="U57" s="271"/>
      <c r="V57" s="271"/>
      <c r="W57" s="271"/>
      <c r="X57" s="271"/>
      <c r="Y57" s="271"/>
      <c r="Z57" s="271"/>
    </row>
    <row r="58" spans="1:26" s="397" customFormat="1" ht="15.75" customHeight="1">
      <c r="A58" s="412">
        <f t="shared" si="2"/>
        <v>45505</v>
      </c>
      <c r="B58" s="377" t="s">
        <v>149</v>
      </c>
      <c r="C58" s="378">
        <v>2053</v>
      </c>
      <c r="D58" s="378">
        <v>457</v>
      </c>
      <c r="E58" s="378">
        <v>456</v>
      </c>
      <c r="F58" s="378">
        <v>1140</v>
      </c>
      <c r="G58" s="396">
        <v>0</v>
      </c>
      <c r="H58" s="383">
        <v>34</v>
      </c>
      <c r="I58" s="403"/>
      <c r="K58" s="398"/>
      <c r="L58" s="402"/>
      <c r="M58" s="402"/>
      <c r="N58" s="402"/>
      <c r="O58" s="402"/>
      <c r="P58" s="407"/>
      <c r="Q58" s="407"/>
      <c r="R58" s="406"/>
      <c r="S58" s="407"/>
      <c r="T58" s="407"/>
      <c r="U58" s="407"/>
      <c r="V58" s="407"/>
      <c r="W58" s="407"/>
      <c r="X58" s="407"/>
      <c r="Y58" s="407"/>
      <c r="Z58" s="407"/>
    </row>
    <row r="59" spans="1:26" s="397" customFormat="1" ht="15.75" customHeight="1">
      <c r="A59" s="412">
        <f t="shared" si="2"/>
        <v>45536</v>
      </c>
      <c r="B59" s="377">
        <v>74.243956359651094</v>
      </c>
      <c r="C59" s="378">
        <v>1877</v>
      </c>
      <c r="D59" s="378">
        <v>411</v>
      </c>
      <c r="E59" s="378">
        <v>419</v>
      </c>
      <c r="F59" s="378">
        <v>1047</v>
      </c>
      <c r="G59" s="396">
        <v>0</v>
      </c>
      <c r="H59" s="383">
        <v>32</v>
      </c>
      <c r="I59" s="403"/>
      <c r="K59" s="398"/>
      <c r="L59" s="402"/>
      <c r="M59" s="402"/>
      <c r="N59" s="402"/>
      <c r="O59" s="402"/>
      <c r="P59" s="407"/>
      <c r="Q59" s="407"/>
      <c r="R59" s="406"/>
      <c r="S59" s="407"/>
      <c r="T59" s="407"/>
      <c r="U59" s="407"/>
      <c r="V59" s="407"/>
      <c r="W59" s="407"/>
      <c r="X59" s="407"/>
      <c r="Y59" s="407"/>
      <c r="Z59" s="407"/>
    </row>
    <row r="60" spans="1:26" s="397" customFormat="1" ht="15.75" customHeight="1">
      <c r="A60" s="412">
        <f t="shared" si="2"/>
        <v>45566</v>
      </c>
      <c r="B60" s="377" t="s">
        <v>149</v>
      </c>
      <c r="C60" s="378">
        <v>2049</v>
      </c>
      <c r="D60" s="378">
        <v>469</v>
      </c>
      <c r="E60" s="378">
        <v>432</v>
      </c>
      <c r="F60" s="378">
        <v>1149</v>
      </c>
      <c r="G60" s="396">
        <v>0</v>
      </c>
      <c r="H60" s="383">
        <v>28</v>
      </c>
      <c r="I60" s="403"/>
      <c r="K60" s="398"/>
      <c r="L60" s="402"/>
      <c r="M60" s="402"/>
      <c r="N60" s="402"/>
      <c r="O60" s="402"/>
      <c r="P60" s="407"/>
      <c r="Q60" s="407"/>
      <c r="R60" s="406"/>
      <c r="S60" s="407"/>
      <c r="T60" s="407"/>
      <c r="U60" s="407"/>
      <c r="V60" s="407"/>
      <c r="W60" s="407"/>
      <c r="X60" s="407"/>
      <c r="Y60" s="407"/>
      <c r="Z60" s="407"/>
    </row>
    <row r="61" spans="1:26" s="397" customFormat="1" ht="15.75" customHeight="1">
      <c r="A61" s="412">
        <f t="shared" si="2"/>
        <v>45597</v>
      </c>
      <c r="B61" s="377" t="s">
        <v>149</v>
      </c>
      <c r="C61" s="378">
        <v>1998</v>
      </c>
      <c r="D61" s="378">
        <v>445</v>
      </c>
      <c r="E61" s="378">
        <v>422</v>
      </c>
      <c r="F61" s="378">
        <v>1132</v>
      </c>
      <c r="G61" s="396">
        <v>0</v>
      </c>
      <c r="H61" s="383">
        <v>31</v>
      </c>
      <c r="I61" s="403"/>
      <c r="K61" s="398"/>
      <c r="L61" s="402"/>
      <c r="M61" s="402"/>
      <c r="N61" s="402"/>
      <c r="O61" s="402"/>
      <c r="P61" s="407"/>
      <c r="Q61" s="407"/>
      <c r="R61" s="406"/>
      <c r="S61" s="407"/>
      <c r="T61" s="407"/>
      <c r="U61" s="407"/>
      <c r="V61" s="407"/>
      <c r="W61" s="407"/>
      <c r="X61" s="407"/>
      <c r="Y61" s="407"/>
      <c r="Z61" s="407"/>
    </row>
    <row r="62" spans="1:26" s="397" customFormat="1" ht="15.75" customHeight="1">
      <c r="A62" s="412">
        <f t="shared" si="2"/>
        <v>45627</v>
      </c>
      <c r="B62" s="377">
        <v>71.613783998438322</v>
      </c>
      <c r="C62" s="378">
        <v>2067</v>
      </c>
      <c r="D62" s="378">
        <v>442</v>
      </c>
      <c r="E62" s="378">
        <v>462</v>
      </c>
      <c r="F62" s="378">
        <v>1163</v>
      </c>
      <c r="G62" s="396">
        <v>0</v>
      </c>
      <c r="H62" s="383">
        <v>27</v>
      </c>
      <c r="I62" s="403"/>
      <c r="K62" s="398"/>
      <c r="L62" s="402"/>
      <c r="M62" s="402"/>
      <c r="N62" s="402"/>
      <c r="O62" s="402"/>
      <c r="P62" s="407"/>
      <c r="Q62" s="407"/>
      <c r="R62" s="406"/>
      <c r="S62" s="407"/>
      <c r="T62" s="407"/>
      <c r="U62" s="407"/>
      <c r="V62" s="407"/>
      <c r="W62" s="407"/>
      <c r="X62" s="407"/>
      <c r="Y62" s="407"/>
      <c r="Z62" s="407"/>
    </row>
    <row r="63" spans="1:26" s="397" customFormat="1" ht="15.75" customHeight="1">
      <c r="A63" s="412">
        <f t="shared" si="2"/>
        <v>45658</v>
      </c>
      <c r="B63" s="377" t="s">
        <v>10</v>
      </c>
      <c r="C63" s="378">
        <v>2126</v>
      </c>
      <c r="D63" s="378">
        <v>434</v>
      </c>
      <c r="E63" s="378">
        <v>468</v>
      </c>
      <c r="F63" s="378">
        <v>1224</v>
      </c>
      <c r="G63" s="396">
        <v>0</v>
      </c>
      <c r="H63" s="383">
        <v>17</v>
      </c>
      <c r="I63" s="403"/>
      <c r="K63" s="398"/>
      <c r="L63" s="402"/>
      <c r="M63" s="402"/>
      <c r="N63" s="402"/>
      <c r="O63" s="402"/>
      <c r="P63" s="407"/>
      <c r="Q63" s="407"/>
      <c r="R63" s="406"/>
      <c r="S63" s="407"/>
      <c r="T63" s="407"/>
      <c r="U63" s="407"/>
      <c r="V63" s="407"/>
      <c r="W63" s="407"/>
      <c r="X63" s="407"/>
      <c r="Y63" s="407"/>
      <c r="Z63" s="407"/>
    </row>
    <row r="64" spans="1:26" s="397" customFormat="1" ht="15.75" customHeight="1">
      <c r="A64" s="412">
        <f t="shared" si="2"/>
        <v>45689</v>
      </c>
      <c r="B64" s="377" t="s">
        <v>10</v>
      </c>
      <c r="C64" s="378">
        <v>1970</v>
      </c>
      <c r="D64" s="378">
        <v>439</v>
      </c>
      <c r="E64" s="378">
        <v>392</v>
      </c>
      <c r="F64" s="378">
        <v>1139</v>
      </c>
      <c r="G64" s="396">
        <v>0</v>
      </c>
      <c r="H64" s="383">
        <v>23</v>
      </c>
      <c r="I64" s="403"/>
      <c r="K64" s="398"/>
      <c r="L64" s="402"/>
      <c r="M64" s="402"/>
      <c r="N64" s="402"/>
      <c r="O64" s="402"/>
      <c r="P64" s="407"/>
      <c r="Q64" s="407"/>
      <c r="R64" s="406"/>
      <c r="S64" s="407"/>
      <c r="T64" s="407"/>
      <c r="U64" s="407"/>
      <c r="V64" s="407"/>
      <c r="W64" s="407"/>
      <c r="X64" s="407"/>
      <c r="Y64" s="407"/>
      <c r="Z64" s="407"/>
    </row>
    <row r="65" spans="1:26" s="397" customFormat="1" ht="15.75" customHeight="1">
      <c r="A65" s="412">
        <f t="shared" si="2"/>
        <v>45717</v>
      </c>
      <c r="B65" s="377">
        <v>71.217364842453847</v>
      </c>
      <c r="C65" s="378">
        <v>2166</v>
      </c>
      <c r="D65" s="378">
        <v>480</v>
      </c>
      <c r="E65" s="378">
        <v>492</v>
      </c>
      <c r="F65" s="378">
        <v>1195</v>
      </c>
      <c r="G65" s="396">
        <v>0</v>
      </c>
      <c r="H65" s="383">
        <v>23</v>
      </c>
      <c r="I65" s="403"/>
      <c r="K65" s="398"/>
      <c r="L65" s="402"/>
      <c r="M65" s="402"/>
      <c r="N65" s="402"/>
      <c r="O65" s="402"/>
      <c r="P65" s="407"/>
      <c r="Q65" s="407"/>
      <c r="R65" s="406"/>
      <c r="S65" s="407"/>
      <c r="T65" s="407"/>
      <c r="U65" s="407"/>
      <c r="V65" s="407"/>
      <c r="W65" s="407"/>
      <c r="X65" s="407"/>
      <c r="Y65" s="407"/>
      <c r="Z65" s="407"/>
    </row>
    <row r="66" spans="1:26" s="397" customFormat="1" ht="15.75" customHeight="1">
      <c r="A66" s="412">
        <v>45748</v>
      </c>
      <c r="B66" s="377" t="s">
        <v>10</v>
      </c>
      <c r="C66" s="378">
        <v>2134</v>
      </c>
      <c r="D66" s="378">
        <v>470</v>
      </c>
      <c r="E66" s="378">
        <v>474</v>
      </c>
      <c r="F66" s="378">
        <v>1190</v>
      </c>
      <c r="G66" s="396">
        <v>0</v>
      </c>
      <c r="H66" s="383">
        <v>28</v>
      </c>
      <c r="I66" s="403"/>
      <c r="K66" s="398"/>
      <c r="L66" s="402"/>
      <c r="M66" s="402"/>
      <c r="N66" s="402"/>
      <c r="O66" s="402"/>
      <c r="P66" s="407"/>
      <c r="Q66" s="407"/>
      <c r="R66" s="406"/>
      <c r="S66" s="407"/>
      <c r="T66" s="407"/>
      <c r="U66" s="407"/>
      <c r="V66" s="407"/>
      <c r="W66" s="407"/>
      <c r="X66" s="407"/>
      <c r="Y66" s="407"/>
      <c r="Z66" s="407"/>
    </row>
    <row r="67" spans="1:26" s="397" customFormat="1" ht="15.75" customHeight="1">
      <c r="A67" s="412">
        <v>45778</v>
      </c>
      <c r="B67" s="377" t="s">
        <v>10</v>
      </c>
      <c r="C67" s="378">
        <v>2230</v>
      </c>
      <c r="D67" s="378">
        <v>476</v>
      </c>
      <c r="E67" s="378">
        <v>479</v>
      </c>
      <c r="F67" s="378">
        <v>1275</v>
      </c>
      <c r="G67" s="396">
        <v>0</v>
      </c>
      <c r="H67" s="383">
        <v>24</v>
      </c>
      <c r="I67" s="403"/>
      <c r="K67" s="398"/>
      <c r="L67" s="402"/>
      <c r="M67" s="402"/>
      <c r="N67" s="402"/>
      <c r="O67" s="402"/>
      <c r="P67" s="407"/>
      <c r="Q67" s="407"/>
      <c r="R67" s="406"/>
      <c r="S67" s="407"/>
      <c r="T67" s="407"/>
      <c r="U67" s="407"/>
      <c r="V67" s="407"/>
      <c r="W67" s="407"/>
      <c r="X67" s="407"/>
      <c r="Y67" s="407"/>
      <c r="Z67" s="407"/>
    </row>
    <row r="68" spans="1:26" s="41" customFormat="1" ht="15.75" customHeight="1">
      <c r="A68" s="419">
        <f t="shared" ref="A68:A77" si="3">EDATE(A67,1)</f>
        <v>45809</v>
      </c>
      <c r="B68" s="377">
        <v>72.003360654062931</v>
      </c>
      <c r="C68" s="378">
        <v>2063</v>
      </c>
      <c r="D68" s="378">
        <v>461</v>
      </c>
      <c r="E68" s="378">
        <v>454</v>
      </c>
      <c r="F68" s="378">
        <v>1148</v>
      </c>
      <c r="G68" s="396">
        <v>0</v>
      </c>
      <c r="H68" s="383">
        <v>28</v>
      </c>
      <c r="I68" s="169"/>
      <c r="K68" s="58"/>
      <c r="L68" s="145"/>
      <c r="M68" s="145"/>
      <c r="N68" s="145"/>
      <c r="O68" s="145"/>
      <c r="P68" s="271"/>
      <c r="Q68" s="271"/>
      <c r="R68" s="267"/>
      <c r="S68" s="271"/>
      <c r="T68" s="271"/>
      <c r="U68" s="271"/>
      <c r="V68" s="271"/>
      <c r="W68" s="271"/>
      <c r="X68" s="271"/>
      <c r="Y68" s="271"/>
      <c r="Z68" s="271"/>
    </row>
    <row r="69" spans="1:26" s="397" customFormat="1" ht="15.75" customHeight="1">
      <c r="A69" s="419">
        <f t="shared" si="3"/>
        <v>45839</v>
      </c>
      <c r="B69" s="377" t="s">
        <v>149</v>
      </c>
      <c r="C69" s="378">
        <v>2113</v>
      </c>
      <c r="D69" s="378">
        <v>490</v>
      </c>
      <c r="E69" s="378">
        <v>456</v>
      </c>
      <c r="F69" s="378">
        <v>1167</v>
      </c>
      <c r="G69" s="396">
        <v>0</v>
      </c>
      <c r="H69" s="431">
        <v>33</v>
      </c>
      <c r="I69" s="403"/>
      <c r="K69" s="398"/>
      <c r="L69" s="402"/>
      <c r="M69" s="402"/>
      <c r="N69" s="402"/>
      <c r="O69" s="402"/>
      <c r="P69" s="407"/>
      <c r="Q69" s="407"/>
      <c r="R69" s="406"/>
      <c r="S69" s="407"/>
      <c r="T69" s="407"/>
      <c r="U69" s="407"/>
      <c r="V69" s="407"/>
      <c r="W69" s="407"/>
      <c r="X69" s="407"/>
      <c r="Y69" s="407"/>
      <c r="Z69" s="407"/>
    </row>
    <row r="70" spans="1:26" s="397" customFormat="1" ht="15.75" customHeight="1">
      <c r="A70" s="419">
        <f t="shared" si="3"/>
        <v>45870</v>
      </c>
      <c r="B70" s="377" t="s">
        <v>149</v>
      </c>
      <c r="C70" s="378">
        <v>1947</v>
      </c>
      <c r="D70" s="378">
        <v>433</v>
      </c>
      <c r="E70" s="378">
        <v>422</v>
      </c>
      <c r="F70" s="396">
        <v>1092</v>
      </c>
      <c r="G70" s="431">
        <v>0</v>
      </c>
      <c r="H70" s="431">
        <v>40</v>
      </c>
      <c r="I70" s="403"/>
      <c r="K70" s="398"/>
      <c r="L70" s="402"/>
      <c r="M70" s="402"/>
      <c r="N70" s="402"/>
      <c r="O70" s="402"/>
      <c r="P70" s="407"/>
      <c r="Q70" s="407"/>
      <c r="R70" s="406"/>
      <c r="S70" s="407"/>
      <c r="T70" s="407"/>
      <c r="U70" s="407"/>
      <c r="V70" s="407"/>
      <c r="W70" s="407"/>
      <c r="X70" s="407"/>
      <c r="Y70" s="407"/>
      <c r="Z70" s="407"/>
    </row>
    <row r="71" spans="1:26" s="397" customFormat="1" ht="15.75" customHeight="1">
      <c r="A71" s="419">
        <f t="shared" si="3"/>
        <v>45901</v>
      </c>
      <c r="B71" s="377">
        <v>73.2646295433603</v>
      </c>
      <c r="C71" s="378">
        <v>2029</v>
      </c>
      <c r="D71" s="378">
        <v>441</v>
      </c>
      <c r="E71" s="378">
        <v>446</v>
      </c>
      <c r="F71" s="378">
        <v>1142</v>
      </c>
      <c r="G71" s="446">
        <v>0</v>
      </c>
      <c r="H71" s="431">
        <v>32</v>
      </c>
      <c r="I71" s="403"/>
      <c r="K71" s="398"/>
      <c r="L71" s="402"/>
      <c r="M71" s="402"/>
      <c r="N71" s="402"/>
      <c r="O71" s="402"/>
      <c r="P71" s="407"/>
      <c r="Q71" s="407"/>
      <c r="R71" s="406"/>
      <c r="S71" s="407"/>
      <c r="T71" s="407"/>
      <c r="U71" s="407"/>
      <c r="V71" s="407"/>
      <c r="W71" s="407"/>
      <c r="X71" s="407"/>
      <c r="Y71" s="407"/>
      <c r="Z71" s="407"/>
    </row>
    <row r="72" spans="1:26" s="397" customFormat="1" ht="15.75" customHeight="1">
      <c r="A72" s="419">
        <f t="shared" si="3"/>
        <v>45931</v>
      </c>
      <c r="B72" s="377" t="s">
        <v>149</v>
      </c>
      <c r="C72" s="378">
        <v>1987</v>
      </c>
      <c r="D72" s="378">
        <v>398</v>
      </c>
      <c r="E72" s="378">
        <v>396</v>
      </c>
      <c r="F72" s="446">
        <v>1192</v>
      </c>
      <c r="G72" s="431">
        <v>0</v>
      </c>
      <c r="H72" s="431">
        <v>34</v>
      </c>
      <c r="I72" s="403"/>
      <c r="K72" s="398"/>
      <c r="L72" s="402"/>
      <c r="M72" s="402"/>
      <c r="N72" s="402"/>
      <c r="O72" s="402"/>
      <c r="P72" s="407"/>
      <c r="Q72" s="407"/>
      <c r="R72" s="406"/>
      <c r="S72" s="407"/>
      <c r="T72" s="407"/>
      <c r="U72" s="407"/>
      <c r="V72" s="407"/>
      <c r="W72" s="407"/>
      <c r="X72" s="407"/>
      <c r="Y72" s="407"/>
      <c r="Z72" s="407"/>
    </row>
    <row r="73" spans="1:26" s="397" customFormat="1" ht="15.75" customHeight="1">
      <c r="A73" s="419">
        <f t="shared" si="3"/>
        <v>45962</v>
      </c>
      <c r="B73" s="377" t="s">
        <v>149</v>
      </c>
      <c r="C73" s="378">
        <v>2029</v>
      </c>
      <c r="D73" s="378">
        <v>447</v>
      </c>
      <c r="E73" s="378">
        <v>411</v>
      </c>
      <c r="F73" s="378">
        <v>1171</v>
      </c>
      <c r="G73" s="446">
        <v>0</v>
      </c>
      <c r="H73" s="431">
        <v>30</v>
      </c>
      <c r="I73" s="403"/>
      <c r="K73" s="398"/>
      <c r="L73" s="402"/>
      <c r="M73" s="402"/>
      <c r="N73" s="402"/>
      <c r="O73" s="402"/>
      <c r="P73" s="407"/>
      <c r="Q73" s="407"/>
      <c r="R73" s="406"/>
      <c r="S73" s="407"/>
      <c r="T73" s="407"/>
      <c r="U73" s="407"/>
      <c r="V73" s="407"/>
      <c r="W73" s="407"/>
      <c r="X73" s="407"/>
      <c r="Y73" s="407"/>
      <c r="Z73" s="407"/>
    </row>
    <row r="74" spans="1:26" s="397" customFormat="1" ht="15.75" customHeight="1">
      <c r="A74" s="419">
        <f t="shared" si="3"/>
        <v>45992</v>
      </c>
      <c r="B74" s="471">
        <v>72.100709141674102</v>
      </c>
      <c r="C74" s="382">
        <v>2087</v>
      </c>
      <c r="D74" s="382">
        <v>453</v>
      </c>
      <c r="E74" s="382">
        <v>472</v>
      </c>
      <c r="F74" s="382">
        <v>1162</v>
      </c>
      <c r="G74" s="388">
        <v>0</v>
      </c>
      <c r="H74" s="443">
        <v>34</v>
      </c>
      <c r="I74" s="403"/>
      <c r="K74" s="398"/>
      <c r="L74" s="402"/>
      <c r="M74" s="402"/>
      <c r="N74" s="402"/>
      <c r="O74" s="402"/>
      <c r="P74" s="407"/>
      <c r="Q74" s="407"/>
      <c r="R74" s="406"/>
      <c r="S74" s="407"/>
      <c r="T74" s="407"/>
      <c r="U74" s="407"/>
      <c r="V74" s="407"/>
      <c r="W74" s="407"/>
      <c r="X74" s="407"/>
      <c r="Y74" s="407"/>
      <c r="Z74" s="407"/>
    </row>
    <row r="75" spans="1:26" s="397" customFormat="1" ht="15.75" customHeight="1">
      <c r="A75" s="419">
        <f t="shared" si="3"/>
        <v>46023</v>
      </c>
      <c r="B75" s="475" t="s">
        <v>160</v>
      </c>
      <c r="C75" s="382">
        <v>1994</v>
      </c>
      <c r="D75" s="382">
        <v>428</v>
      </c>
      <c r="E75" s="382">
        <v>418</v>
      </c>
      <c r="F75" s="382">
        <v>1148</v>
      </c>
      <c r="G75" s="388">
        <v>0</v>
      </c>
      <c r="H75" s="443">
        <v>28</v>
      </c>
      <c r="I75" s="403"/>
      <c r="K75" s="398"/>
      <c r="L75" s="402"/>
      <c r="M75" s="402"/>
      <c r="N75" s="402"/>
      <c r="O75" s="402"/>
      <c r="P75" s="407"/>
      <c r="Q75" s="407"/>
      <c r="R75" s="406"/>
      <c r="S75" s="407"/>
      <c r="T75" s="407"/>
      <c r="U75" s="407"/>
      <c r="V75" s="407"/>
      <c r="W75" s="407"/>
      <c r="X75" s="407"/>
      <c r="Y75" s="407"/>
      <c r="Z75" s="407"/>
    </row>
    <row r="76" spans="1:26" s="397" customFormat="1" ht="15.75" customHeight="1">
      <c r="A76" s="419">
        <f t="shared" si="3"/>
        <v>46054</v>
      </c>
      <c r="B76" s="475" t="s">
        <v>164</v>
      </c>
      <c r="C76" s="382">
        <v>1981</v>
      </c>
      <c r="D76" s="382">
        <v>388</v>
      </c>
      <c r="E76" s="382">
        <v>392</v>
      </c>
      <c r="F76" s="382">
        <v>1202</v>
      </c>
      <c r="G76" s="388">
        <v>0</v>
      </c>
      <c r="H76" s="443">
        <v>19</v>
      </c>
      <c r="I76" s="403"/>
      <c r="K76" s="398"/>
      <c r="L76" s="402"/>
      <c r="M76" s="402"/>
      <c r="N76" s="402"/>
      <c r="O76" s="402"/>
      <c r="P76" s="407"/>
      <c r="Q76" s="407"/>
      <c r="R76" s="406"/>
      <c r="S76" s="407"/>
      <c r="T76" s="407"/>
      <c r="U76" s="407"/>
      <c r="V76" s="407"/>
      <c r="W76" s="407"/>
      <c r="X76" s="407"/>
      <c r="Y76" s="407"/>
      <c r="Z76" s="407"/>
    </row>
    <row r="77" spans="1:26" s="397" customFormat="1" ht="15.75" customHeight="1">
      <c r="A77" s="421">
        <f t="shared" si="3"/>
        <v>46082</v>
      </c>
      <c r="B77" s="563">
        <v>75.7</v>
      </c>
      <c r="C77" s="472">
        <v>2165</v>
      </c>
      <c r="D77" s="472">
        <v>494</v>
      </c>
      <c r="E77" s="472">
        <v>460</v>
      </c>
      <c r="F77" s="472">
        <v>1211</v>
      </c>
      <c r="G77" s="461">
        <v>0</v>
      </c>
      <c r="H77" s="473">
        <v>30</v>
      </c>
      <c r="I77" s="403"/>
      <c r="K77" s="398"/>
      <c r="L77" s="402"/>
      <c r="M77" s="402"/>
      <c r="N77" s="402"/>
      <c r="O77" s="402"/>
      <c r="P77" s="407"/>
      <c r="Q77" s="407"/>
      <c r="R77" s="406"/>
      <c r="S77" s="407"/>
      <c r="T77" s="407"/>
      <c r="U77" s="407"/>
      <c r="V77" s="407"/>
      <c r="W77" s="407"/>
      <c r="X77" s="407"/>
      <c r="Y77" s="407"/>
      <c r="Z77" s="407"/>
    </row>
    <row r="78" spans="1:26" s="397" customFormat="1" ht="15.75" customHeight="1">
      <c r="A78" s="419"/>
      <c r="B78" s="391"/>
      <c r="C78" s="441"/>
      <c r="D78" s="441"/>
      <c r="E78" s="442"/>
      <c r="F78" s="442"/>
      <c r="G78" s="442"/>
      <c r="H78" s="443"/>
      <c r="I78" s="403"/>
      <c r="K78" s="398"/>
      <c r="L78" s="402"/>
      <c r="M78" s="402"/>
      <c r="N78" s="402"/>
      <c r="O78" s="402"/>
      <c r="P78" s="407"/>
      <c r="Q78" s="407"/>
      <c r="R78" s="406"/>
      <c r="S78" s="407"/>
      <c r="T78" s="407"/>
      <c r="U78" s="407"/>
      <c r="V78" s="407"/>
      <c r="W78" s="407"/>
      <c r="X78" s="407"/>
      <c r="Y78" s="407"/>
      <c r="Z78" s="407"/>
    </row>
    <row r="79" spans="1:26" s="276" customFormat="1" ht="11.25" customHeight="1">
      <c r="A79" s="9" t="s">
        <v>144</v>
      </c>
      <c r="B79" s="272"/>
      <c r="C79" s="273"/>
      <c r="D79" s="273"/>
      <c r="E79" s="273"/>
      <c r="F79" s="274"/>
      <c r="G79" s="274"/>
      <c r="H79" s="274"/>
      <c r="I79" s="169"/>
      <c r="J79" s="41"/>
      <c r="K79" s="58"/>
      <c r="L79" s="145"/>
      <c r="M79" s="145"/>
      <c r="N79" s="145"/>
      <c r="O79" s="145"/>
      <c r="P79" s="271"/>
      <c r="Q79" s="271"/>
      <c r="R79" s="267"/>
      <c r="S79" s="275"/>
    </row>
    <row r="80" spans="1:26" s="276" customFormat="1" ht="11.25" customHeight="1">
      <c r="A80" s="9" t="s">
        <v>145</v>
      </c>
      <c r="B80" s="272"/>
      <c r="C80" s="273"/>
      <c r="D80" s="273"/>
      <c r="E80" s="273"/>
      <c r="F80" s="274"/>
      <c r="G80" s="274"/>
      <c r="H80" s="274"/>
      <c r="I80" s="169"/>
      <c r="J80" s="41"/>
      <c r="K80" s="58"/>
      <c r="L80" s="145"/>
      <c r="M80" s="145"/>
      <c r="N80" s="145"/>
      <c r="O80" s="145"/>
      <c r="P80" s="271"/>
      <c r="Q80" s="271"/>
      <c r="R80" s="275"/>
      <c r="S80" s="275"/>
    </row>
    <row r="81" spans="1:19" s="276" customFormat="1">
      <c r="A81" s="544" t="s">
        <v>148</v>
      </c>
      <c r="B81" s="545"/>
      <c r="C81" s="545"/>
      <c r="D81" s="545"/>
      <c r="E81" s="545"/>
      <c r="F81" s="545"/>
      <c r="G81" s="545"/>
      <c r="H81" s="545"/>
      <c r="I81" s="169"/>
      <c r="J81" s="41"/>
      <c r="K81" s="58"/>
      <c r="L81" s="145"/>
      <c r="M81" s="145"/>
      <c r="N81" s="145"/>
      <c r="O81" s="145"/>
      <c r="P81" s="271"/>
      <c r="Q81" s="271"/>
      <c r="R81" s="275"/>
      <c r="S81" s="275"/>
    </row>
    <row r="82" spans="1:19" s="9" customFormat="1" ht="2.25" customHeight="1">
      <c r="A82" s="48"/>
      <c r="B82" s="277"/>
      <c r="C82" s="266"/>
      <c r="D82" s="266"/>
      <c r="E82" s="266"/>
      <c r="F82" s="278"/>
      <c r="G82" s="278"/>
      <c r="H82" s="278"/>
      <c r="I82" s="169"/>
      <c r="J82" s="41"/>
      <c r="K82" s="58"/>
      <c r="L82" s="145"/>
      <c r="M82" s="145"/>
      <c r="N82" s="145"/>
      <c r="O82" s="145"/>
      <c r="P82" s="271"/>
      <c r="Q82" s="271"/>
      <c r="R82" s="275"/>
      <c r="S82" s="279"/>
    </row>
    <row r="83" spans="1:19" s="14" customFormat="1" ht="12">
      <c r="B83" s="277"/>
      <c r="C83" s="266"/>
      <c r="D83" s="266"/>
      <c r="E83" s="266"/>
      <c r="F83" s="280"/>
      <c r="G83" s="280"/>
      <c r="H83" s="280"/>
      <c r="I83" s="169"/>
      <c r="J83" s="41"/>
      <c r="K83" s="58"/>
      <c r="L83" s="145"/>
      <c r="M83" s="145"/>
      <c r="N83" s="145"/>
      <c r="O83" s="145"/>
      <c r="P83" s="271"/>
      <c r="Q83" s="271"/>
      <c r="R83" s="279"/>
      <c r="S83" s="281"/>
    </row>
    <row r="84" spans="1:19" s="14" customFormat="1" ht="12">
      <c r="A84" s="70"/>
      <c r="B84" s="277"/>
      <c r="C84" s="266"/>
      <c r="D84" s="266"/>
      <c r="E84" s="266"/>
      <c r="F84" s="280"/>
      <c r="G84" s="280"/>
      <c r="H84" s="280"/>
      <c r="I84" s="169"/>
      <c r="J84" s="41"/>
      <c r="K84" s="58"/>
      <c r="L84" s="145"/>
      <c r="M84" s="145"/>
      <c r="N84" s="145"/>
      <c r="O84" s="145"/>
      <c r="P84" s="271"/>
      <c r="Q84" s="271"/>
      <c r="R84" s="281"/>
      <c r="S84" s="281"/>
    </row>
    <row r="85" spans="1:19">
      <c r="B85" s="277"/>
      <c r="C85" s="266"/>
      <c r="D85" s="266"/>
      <c r="E85" s="283"/>
      <c r="I85" s="169"/>
      <c r="J85" s="41"/>
      <c r="K85" s="58"/>
      <c r="L85" s="145"/>
      <c r="M85" s="145"/>
      <c r="N85" s="145"/>
      <c r="O85" s="145"/>
      <c r="P85" s="271"/>
      <c r="Q85" s="271"/>
      <c r="R85" s="281"/>
    </row>
    <row r="86" spans="1:19">
      <c r="B86" s="277"/>
      <c r="C86" s="266"/>
      <c r="D86" s="266"/>
      <c r="I86" s="169"/>
      <c r="J86" s="41"/>
      <c r="K86" s="58"/>
      <c r="L86" s="145"/>
      <c r="M86" s="145"/>
      <c r="N86" s="145"/>
      <c r="O86" s="145"/>
      <c r="P86" s="271"/>
      <c r="Q86" s="271"/>
    </row>
    <row r="87" spans="1:19">
      <c r="B87" s="277"/>
      <c r="C87" s="266"/>
      <c r="D87" s="266"/>
      <c r="I87" s="169"/>
      <c r="J87" s="41"/>
      <c r="K87" s="58"/>
      <c r="L87" s="145"/>
      <c r="M87" s="145"/>
      <c r="N87" s="145"/>
      <c r="O87" s="145"/>
      <c r="P87" s="271"/>
      <c r="Q87" s="271"/>
    </row>
    <row r="88" spans="1:19">
      <c r="B88" s="277"/>
      <c r="C88" s="266"/>
      <c r="D88" s="266"/>
      <c r="I88" s="169"/>
      <c r="J88" s="41"/>
      <c r="K88" s="58"/>
      <c r="L88" s="145"/>
      <c r="M88" s="145"/>
      <c r="N88" s="145"/>
      <c r="O88" s="145"/>
      <c r="P88" s="271"/>
      <c r="Q88" s="271"/>
    </row>
    <row r="89" spans="1:19">
      <c r="B89" s="277"/>
      <c r="C89" s="266"/>
      <c r="D89" s="266"/>
      <c r="I89" s="169"/>
      <c r="J89" s="41"/>
      <c r="K89" s="58"/>
      <c r="L89" s="145"/>
      <c r="M89" s="145"/>
      <c r="N89" s="145"/>
      <c r="O89" s="145"/>
      <c r="P89" s="271"/>
      <c r="Q89" s="271"/>
    </row>
    <row r="90" spans="1:19">
      <c r="B90" s="282"/>
      <c r="C90" s="266"/>
      <c r="D90" s="266"/>
      <c r="I90" s="169"/>
      <c r="J90" s="41"/>
      <c r="K90" s="58"/>
      <c r="L90" s="145"/>
      <c r="M90" s="145"/>
      <c r="N90" s="145"/>
      <c r="O90" s="145"/>
      <c r="P90" s="271"/>
      <c r="Q90" s="271"/>
    </row>
    <row r="91" spans="1:19">
      <c r="B91" s="282"/>
      <c r="C91" s="266"/>
      <c r="D91" s="266"/>
      <c r="I91" s="169"/>
      <c r="J91" s="41"/>
      <c r="K91" s="58"/>
      <c r="L91" s="145"/>
      <c r="M91" s="145"/>
      <c r="N91" s="145"/>
      <c r="O91" s="145"/>
      <c r="P91" s="271"/>
      <c r="Q91" s="271"/>
    </row>
    <row r="92" spans="1:19">
      <c r="B92" s="282"/>
      <c r="C92" s="266"/>
      <c r="D92" s="266"/>
      <c r="I92" s="169"/>
      <c r="J92" s="41"/>
      <c r="K92" s="58"/>
      <c r="L92" s="145"/>
      <c r="M92" s="145"/>
      <c r="N92" s="145"/>
      <c r="O92" s="145"/>
      <c r="P92" s="271"/>
      <c r="Q92" s="271"/>
    </row>
    <row r="93" spans="1:19">
      <c r="B93" s="282"/>
      <c r="C93" s="266"/>
      <c r="D93" s="266"/>
      <c r="I93" s="169"/>
      <c r="J93" s="41"/>
      <c r="K93" s="58"/>
      <c r="L93" s="145"/>
      <c r="M93" s="145"/>
      <c r="N93" s="145"/>
      <c r="O93" s="145"/>
      <c r="P93" s="271"/>
      <c r="Q93" s="271"/>
    </row>
    <row r="94" spans="1:19">
      <c r="B94" s="282"/>
      <c r="C94" s="266"/>
      <c r="D94" s="266"/>
      <c r="I94" s="169"/>
      <c r="J94" s="41"/>
      <c r="K94" s="58"/>
      <c r="L94" s="145"/>
      <c r="M94" s="145"/>
      <c r="N94" s="145"/>
      <c r="O94" s="145"/>
      <c r="P94" s="271"/>
      <c r="Q94" s="271"/>
    </row>
    <row r="95" spans="1:19">
      <c r="B95" s="282"/>
      <c r="C95" s="266"/>
      <c r="I95" s="169"/>
      <c r="J95" s="41"/>
      <c r="K95" s="58"/>
      <c r="L95" s="145"/>
      <c r="M95" s="145"/>
      <c r="N95" s="145"/>
      <c r="O95" s="145"/>
      <c r="P95" s="271"/>
      <c r="Q95" s="271"/>
    </row>
    <row r="96" spans="1:19">
      <c r="B96" s="282"/>
      <c r="C96" s="266"/>
      <c r="I96" s="169"/>
      <c r="J96" s="41"/>
      <c r="K96" s="58"/>
      <c r="L96" s="145"/>
      <c r="M96" s="145"/>
      <c r="N96" s="145"/>
      <c r="O96" s="145"/>
      <c r="P96" s="271"/>
      <c r="Q96" s="271"/>
    </row>
    <row r="97" spans="2:17">
      <c r="B97" s="282"/>
      <c r="C97" s="266"/>
      <c r="I97" s="169"/>
      <c r="J97" s="41"/>
      <c r="K97" s="58"/>
      <c r="L97" s="145"/>
      <c r="M97" s="145"/>
      <c r="N97" s="145"/>
      <c r="O97" s="145"/>
      <c r="P97" s="271"/>
      <c r="Q97" s="271"/>
    </row>
    <row r="98" spans="2:17">
      <c r="B98" s="282"/>
      <c r="C98" s="266"/>
      <c r="I98" s="169"/>
      <c r="J98" s="41"/>
      <c r="K98" s="58"/>
      <c r="L98" s="145"/>
      <c r="M98" s="145"/>
      <c r="N98" s="145"/>
      <c r="O98" s="145"/>
      <c r="P98" s="271"/>
      <c r="Q98" s="271"/>
    </row>
    <row r="99" spans="2:17">
      <c r="B99" s="282"/>
      <c r="C99" s="266"/>
      <c r="I99" s="169"/>
      <c r="J99" s="41"/>
      <c r="K99" s="58"/>
      <c r="L99" s="145"/>
      <c r="M99" s="145"/>
      <c r="N99" s="145"/>
      <c r="O99" s="145"/>
      <c r="P99" s="271"/>
      <c r="Q99" s="271"/>
    </row>
    <row r="100" spans="2:17">
      <c r="B100" s="282"/>
      <c r="C100" s="266"/>
      <c r="I100" s="169"/>
      <c r="J100" s="41"/>
      <c r="K100" s="58"/>
      <c r="L100" s="145"/>
      <c r="M100" s="145"/>
      <c r="N100" s="145"/>
      <c r="O100" s="145"/>
      <c r="P100" s="271"/>
      <c r="Q100" s="271"/>
    </row>
    <row r="101" spans="2:17">
      <c r="B101" s="282"/>
      <c r="C101" s="266"/>
      <c r="I101" s="169"/>
      <c r="J101" s="41"/>
      <c r="K101" s="58"/>
      <c r="L101" s="145"/>
      <c r="M101" s="145"/>
      <c r="N101" s="145"/>
      <c r="O101" s="145"/>
      <c r="P101" s="271"/>
      <c r="Q101" s="271"/>
    </row>
    <row r="102" spans="2:17">
      <c r="B102" s="282"/>
      <c r="C102" s="266"/>
      <c r="I102" s="169"/>
      <c r="J102" s="41"/>
      <c r="K102" s="58"/>
      <c r="L102" s="145"/>
      <c r="M102" s="145"/>
      <c r="N102" s="145"/>
      <c r="O102" s="145"/>
      <c r="P102" s="271"/>
      <c r="Q102" s="271"/>
    </row>
    <row r="103" spans="2:17">
      <c r="B103" s="282"/>
      <c r="C103" s="266"/>
      <c r="I103" s="169"/>
      <c r="J103" s="41"/>
      <c r="K103" s="58"/>
      <c r="L103" s="145"/>
      <c r="M103" s="145"/>
      <c r="N103" s="145"/>
      <c r="O103" s="145"/>
      <c r="P103" s="271"/>
      <c r="Q103" s="271"/>
    </row>
    <row r="104" spans="2:17">
      <c r="B104" s="282"/>
      <c r="C104" s="266"/>
      <c r="I104" s="169"/>
      <c r="J104" s="41"/>
      <c r="K104" s="58"/>
      <c r="L104" s="145"/>
      <c r="M104" s="145"/>
      <c r="N104" s="145"/>
      <c r="O104" s="145"/>
      <c r="P104" s="271"/>
      <c r="Q104" s="271"/>
    </row>
    <row r="105" spans="2:17">
      <c r="B105" s="282"/>
      <c r="C105" s="266"/>
      <c r="I105" s="169"/>
      <c r="J105" s="41"/>
      <c r="K105" s="58"/>
      <c r="L105" s="145"/>
      <c r="M105" s="145"/>
      <c r="N105" s="145"/>
      <c r="O105" s="145"/>
      <c r="P105" s="271"/>
      <c r="Q105" s="271"/>
    </row>
    <row r="106" spans="2:17">
      <c r="B106" s="282"/>
      <c r="C106" s="266"/>
      <c r="I106" s="169"/>
      <c r="J106" s="41"/>
      <c r="K106" s="58"/>
      <c r="L106" s="145"/>
      <c r="M106" s="145"/>
      <c r="N106" s="145"/>
      <c r="O106" s="145"/>
      <c r="P106" s="271"/>
      <c r="Q106" s="271"/>
    </row>
    <row r="107" spans="2:17">
      <c r="B107" s="282"/>
      <c r="C107" s="266"/>
      <c r="I107" s="169"/>
      <c r="J107" s="41"/>
      <c r="K107" s="58"/>
      <c r="L107" s="145"/>
      <c r="M107" s="145"/>
      <c r="N107" s="145"/>
      <c r="O107" s="145"/>
      <c r="P107" s="271"/>
      <c r="Q107" s="271"/>
    </row>
    <row r="108" spans="2:17">
      <c r="B108" s="282"/>
      <c r="C108" s="266"/>
      <c r="I108" s="169"/>
      <c r="J108" s="41"/>
      <c r="K108" s="58"/>
      <c r="L108" s="145"/>
      <c r="M108" s="145"/>
      <c r="N108" s="145"/>
      <c r="O108" s="145"/>
      <c r="P108" s="271"/>
      <c r="Q108" s="271"/>
    </row>
    <row r="109" spans="2:17">
      <c r="B109" s="282"/>
      <c r="C109" s="266"/>
      <c r="I109" s="169"/>
      <c r="J109" s="41"/>
      <c r="K109" s="58"/>
      <c r="L109" s="145"/>
      <c r="M109" s="145"/>
      <c r="N109" s="145"/>
      <c r="O109" s="145"/>
      <c r="P109" s="271"/>
      <c r="Q109" s="271"/>
    </row>
    <row r="110" spans="2:17">
      <c r="B110" s="282"/>
      <c r="C110" s="266"/>
      <c r="I110" s="169"/>
      <c r="J110" s="41"/>
      <c r="K110" s="58"/>
      <c r="L110" s="145"/>
      <c r="M110" s="145"/>
      <c r="N110" s="145"/>
      <c r="O110" s="145"/>
      <c r="P110" s="271"/>
      <c r="Q110" s="271"/>
    </row>
    <row r="111" spans="2:17">
      <c r="B111" s="282"/>
      <c r="C111" s="266"/>
      <c r="I111" s="169"/>
      <c r="J111" s="41"/>
      <c r="K111" s="145"/>
      <c r="L111" s="145"/>
      <c r="M111" s="145"/>
      <c r="N111" s="145"/>
      <c r="O111" s="145"/>
      <c r="P111" s="271"/>
      <c r="Q111" s="271"/>
    </row>
    <row r="112" spans="2:17">
      <c r="B112" s="282"/>
      <c r="C112" s="266"/>
      <c r="I112" s="169"/>
      <c r="J112" s="41"/>
      <c r="K112" s="145"/>
      <c r="L112" s="145"/>
      <c r="M112" s="145"/>
      <c r="N112" s="145"/>
      <c r="O112" s="145"/>
      <c r="P112" s="271"/>
      <c r="Q112" s="271"/>
    </row>
    <row r="113" spans="2:17">
      <c r="B113" s="282"/>
      <c r="C113" s="266"/>
      <c r="I113" s="169"/>
      <c r="J113" s="41"/>
      <c r="K113" s="145"/>
      <c r="L113" s="145"/>
      <c r="M113" s="145"/>
      <c r="N113" s="145"/>
      <c r="O113" s="145"/>
      <c r="P113" s="271"/>
      <c r="Q113" s="271"/>
    </row>
    <row r="114" spans="2:17">
      <c r="B114" s="282"/>
      <c r="C114" s="266"/>
      <c r="I114" s="169"/>
      <c r="J114" s="41"/>
      <c r="K114" s="145"/>
      <c r="L114" s="145"/>
      <c r="M114" s="145"/>
      <c r="N114" s="145"/>
      <c r="O114" s="145"/>
      <c r="P114" s="271"/>
      <c r="Q114" s="271"/>
    </row>
    <row r="115" spans="2:17">
      <c r="B115" s="282"/>
      <c r="C115" s="266"/>
      <c r="I115" s="169"/>
      <c r="J115" s="41"/>
      <c r="K115" s="145"/>
      <c r="L115" s="145"/>
      <c r="M115" s="145"/>
      <c r="N115" s="145"/>
      <c r="O115" s="145"/>
      <c r="P115" s="271"/>
      <c r="Q115" s="271"/>
    </row>
    <row r="116" spans="2:17">
      <c r="I116" s="169"/>
      <c r="J116" s="41"/>
      <c r="K116" s="145"/>
      <c r="L116" s="145"/>
      <c r="M116" s="145"/>
      <c r="N116" s="145"/>
      <c r="O116" s="145"/>
      <c r="P116" s="271"/>
      <c r="Q116" s="271"/>
    </row>
    <row r="117" spans="2:17">
      <c r="I117" s="169"/>
      <c r="J117" s="41"/>
      <c r="K117" s="145"/>
      <c r="L117" s="145"/>
      <c r="M117" s="145"/>
      <c r="N117" s="145"/>
      <c r="O117" s="145"/>
      <c r="P117" s="271"/>
      <c r="Q117" s="271"/>
    </row>
    <row r="118" spans="2:17">
      <c r="I118" s="169"/>
      <c r="J118" s="41"/>
      <c r="K118" s="145"/>
      <c r="L118" s="145"/>
      <c r="M118" s="145"/>
      <c r="N118" s="145"/>
      <c r="O118" s="145"/>
      <c r="P118" s="271"/>
      <c r="Q118" s="271"/>
    </row>
    <row r="119" spans="2:17">
      <c r="I119" s="169"/>
      <c r="J119" s="41"/>
      <c r="K119" s="145"/>
      <c r="L119" s="145"/>
      <c r="M119" s="145"/>
      <c r="N119" s="145"/>
      <c r="O119" s="145"/>
      <c r="P119" s="271"/>
      <c r="Q119" s="271"/>
    </row>
    <row r="120" spans="2:17">
      <c r="I120" s="169"/>
      <c r="J120" s="41"/>
      <c r="K120" s="145"/>
      <c r="L120" s="145"/>
      <c r="M120" s="145"/>
      <c r="N120" s="145"/>
      <c r="O120" s="145"/>
      <c r="P120" s="271"/>
      <c r="Q120" s="271"/>
    </row>
    <row r="121" spans="2:17">
      <c r="I121" s="169"/>
      <c r="J121" s="41"/>
      <c r="K121" s="145"/>
      <c r="L121" s="145"/>
      <c r="M121" s="145"/>
      <c r="N121" s="145"/>
      <c r="O121" s="145"/>
      <c r="P121" s="271"/>
      <c r="Q121" s="271"/>
    </row>
    <row r="122" spans="2:17">
      <c r="I122" s="169"/>
      <c r="J122" s="58"/>
      <c r="K122" s="145"/>
      <c r="L122" s="145"/>
      <c r="M122" s="145"/>
      <c r="N122" s="145"/>
      <c r="O122" s="145"/>
      <c r="P122" s="271"/>
      <c r="Q122" s="271"/>
    </row>
    <row r="123" spans="2:17">
      <c r="I123" s="169"/>
      <c r="J123" s="58"/>
      <c r="K123" s="145"/>
      <c r="L123" s="145"/>
      <c r="M123" s="145"/>
      <c r="N123" s="145"/>
      <c r="O123" s="145"/>
      <c r="P123" s="271"/>
      <c r="Q123" s="271"/>
    </row>
    <row r="124" spans="2:17">
      <c r="I124" s="169"/>
      <c r="J124" s="58"/>
      <c r="K124" s="145"/>
      <c r="L124" s="145"/>
      <c r="M124" s="145"/>
      <c r="N124" s="145"/>
      <c r="O124" s="145"/>
      <c r="P124" s="271"/>
      <c r="Q124" s="271"/>
    </row>
    <row r="125" spans="2:17">
      <c r="I125" s="169"/>
      <c r="J125" s="58"/>
      <c r="K125" s="145"/>
      <c r="L125" s="145"/>
      <c r="M125" s="145"/>
      <c r="N125" s="145"/>
      <c r="O125" s="145"/>
      <c r="P125" s="271"/>
      <c r="Q125" s="271"/>
    </row>
    <row r="126" spans="2:17">
      <c r="I126" s="169"/>
      <c r="J126" s="58"/>
      <c r="K126" s="145"/>
      <c r="L126" s="145"/>
      <c r="M126" s="145"/>
      <c r="N126" s="145"/>
      <c r="O126" s="145"/>
      <c r="P126" s="271"/>
      <c r="Q126" s="271"/>
    </row>
    <row r="127" spans="2:17">
      <c r="I127" s="169"/>
      <c r="J127" s="58"/>
      <c r="K127" s="145"/>
      <c r="L127" s="145"/>
      <c r="M127" s="145"/>
      <c r="N127" s="145"/>
      <c r="O127" s="145"/>
      <c r="P127" s="271"/>
      <c r="Q127" s="271"/>
    </row>
    <row r="128" spans="2:17">
      <c r="I128" s="169"/>
      <c r="J128" s="58"/>
      <c r="K128" s="145"/>
      <c r="L128" s="145"/>
      <c r="M128" s="145"/>
      <c r="N128" s="145"/>
      <c r="O128" s="145"/>
      <c r="P128" s="271"/>
      <c r="Q128" s="271"/>
    </row>
    <row r="129" spans="9:17">
      <c r="I129" s="169"/>
      <c r="J129" s="58"/>
      <c r="K129" s="145"/>
      <c r="L129" s="145"/>
      <c r="M129" s="145"/>
      <c r="N129" s="145"/>
      <c r="O129" s="145"/>
      <c r="P129" s="271"/>
      <c r="Q129" s="271"/>
    </row>
    <row r="130" spans="9:17">
      <c r="I130" s="169"/>
      <c r="J130" s="58"/>
      <c r="K130" s="145"/>
      <c r="L130" s="145"/>
      <c r="M130" s="145"/>
      <c r="N130" s="145"/>
      <c r="O130" s="145"/>
      <c r="P130" s="271"/>
      <c r="Q130" s="271"/>
    </row>
    <row r="131" spans="9:17">
      <c r="I131" s="169"/>
      <c r="J131" s="58"/>
      <c r="K131" s="145"/>
      <c r="L131" s="145"/>
      <c r="M131" s="145"/>
      <c r="N131" s="145"/>
      <c r="O131" s="145"/>
      <c r="P131" s="271"/>
      <c r="Q131" s="271"/>
    </row>
    <row r="132" spans="9:17">
      <c r="I132" s="169"/>
      <c r="J132" s="58"/>
      <c r="K132" s="145"/>
      <c r="L132" s="145"/>
      <c r="M132" s="145"/>
      <c r="N132" s="145"/>
      <c r="O132" s="145"/>
      <c r="P132" s="271"/>
      <c r="Q132" s="271"/>
    </row>
    <row r="133" spans="9:17">
      <c r="I133" s="169"/>
      <c r="J133" s="58"/>
      <c r="K133" s="145"/>
      <c r="L133" s="145"/>
      <c r="M133" s="145"/>
      <c r="N133" s="145"/>
      <c r="O133" s="145"/>
      <c r="P133" s="271"/>
      <c r="Q133" s="271"/>
    </row>
    <row r="134" spans="9:17">
      <c r="I134" s="169"/>
      <c r="J134" s="58"/>
      <c r="K134" s="145"/>
      <c r="L134" s="145"/>
      <c r="M134" s="145"/>
      <c r="N134" s="145"/>
      <c r="O134" s="145"/>
      <c r="P134" s="271"/>
      <c r="Q134" s="271"/>
    </row>
    <row r="135" spans="9:17">
      <c r="I135" s="169"/>
      <c r="J135" s="58"/>
      <c r="K135" s="145"/>
      <c r="L135" s="145"/>
      <c r="M135" s="145"/>
      <c r="N135" s="145"/>
      <c r="O135" s="145"/>
      <c r="P135" s="271"/>
      <c r="Q135" s="271"/>
    </row>
    <row r="136" spans="9:17">
      <c r="I136" s="169"/>
      <c r="J136" s="58"/>
      <c r="K136" s="145"/>
      <c r="L136" s="145"/>
      <c r="M136" s="145"/>
      <c r="N136" s="145"/>
      <c r="O136" s="145"/>
      <c r="P136" s="271"/>
      <c r="Q136" s="271"/>
    </row>
    <row r="137" spans="9:17">
      <c r="I137" s="169"/>
      <c r="J137" s="58"/>
      <c r="K137" s="145"/>
      <c r="L137" s="145"/>
      <c r="M137" s="145"/>
      <c r="N137" s="145"/>
      <c r="O137" s="145"/>
      <c r="P137" s="271"/>
      <c r="Q137" s="267"/>
    </row>
    <row r="138" spans="9:17">
      <c r="I138" s="169"/>
      <c r="J138" s="58"/>
      <c r="K138" s="145"/>
      <c r="L138" s="145"/>
      <c r="M138" s="145"/>
      <c r="N138" s="145"/>
      <c r="O138" s="145"/>
      <c r="P138" s="271"/>
      <c r="Q138" s="267"/>
    </row>
    <row r="139" spans="9:17">
      <c r="I139" s="169"/>
      <c r="J139" s="58"/>
      <c r="K139" s="145"/>
      <c r="L139" s="145"/>
      <c r="M139" s="145"/>
      <c r="N139" s="145"/>
      <c r="O139" s="145"/>
      <c r="P139" s="271"/>
      <c r="Q139" s="267"/>
    </row>
    <row r="140" spans="9:17">
      <c r="I140" s="169"/>
      <c r="J140" s="58"/>
      <c r="K140" s="145"/>
      <c r="L140" s="145"/>
      <c r="M140" s="145"/>
      <c r="N140" s="145"/>
      <c r="O140" s="145"/>
      <c r="P140" s="271"/>
      <c r="Q140" s="267"/>
    </row>
    <row r="141" spans="9:17">
      <c r="I141" s="169"/>
      <c r="J141" s="58"/>
      <c r="K141" s="145"/>
      <c r="L141" s="145"/>
      <c r="M141" s="145"/>
      <c r="N141" s="145"/>
      <c r="O141" s="145"/>
      <c r="P141" s="271"/>
      <c r="Q141" s="267"/>
    </row>
    <row r="142" spans="9:17">
      <c r="I142" s="169"/>
      <c r="J142" s="58"/>
      <c r="K142" s="145"/>
      <c r="L142" s="145"/>
      <c r="M142" s="145"/>
      <c r="N142" s="145"/>
      <c r="O142" s="145"/>
      <c r="P142" s="271"/>
      <c r="Q142" s="267"/>
    </row>
    <row r="143" spans="9:17">
      <c r="I143" s="169"/>
      <c r="J143" s="58"/>
      <c r="K143" s="145"/>
      <c r="L143" s="145"/>
      <c r="M143" s="145"/>
      <c r="N143" s="145"/>
      <c r="O143" s="145"/>
      <c r="P143" s="271"/>
      <c r="Q143" s="267"/>
    </row>
    <row r="144" spans="9:17">
      <c r="I144" s="169"/>
      <c r="J144" s="58"/>
      <c r="K144" s="145"/>
      <c r="L144" s="145"/>
      <c r="M144" s="145"/>
      <c r="N144" s="145"/>
      <c r="O144" s="145"/>
      <c r="P144" s="271"/>
      <c r="Q144" s="267"/>
    </row>
    <row r="145" spans="9:17">
      <c r="I145" s="169"/>
      <c r="J145" s="58"/>
      <c r="K145" s="145"/>
      <c r="L145" s="145"/>
      <c r="M145" s="145"/>
      <c r="N145" s="145"/>
      <c r="O145" s="145"/>
      <c r="P145" s="271"/>
      <c r="Q145" s="267"/>
    </row>
    <row r="146" spans="9:17">
      <c r="I146" s="169"/>
      <c r="J146" s="58"/>
      <c r="K146" s="145"/>
      <c r="L146" s="145"/>
      <c r="M146" s="145"/>
      <c r="N146" s="145"/>
      <c r="O146" s="145"/>
      <c r="P146" s="271"/>
      <c r="Q146" s="267"/>
    </row>
    <row r="147" spans="9:17">
      <c r="I147" s="169"/>
      <c r="J147" s="58"/>
      <c r="K147" s="145"/>
      <c r="L147" s="145"/>
      <c r="M147" s="145"/>
      <c r="N147" s="145"/>
      <c r="O147" s="145"/>
      <c r="P147" s="271"/>
      <c r="Q147" s="267"/>
    </row>
    <row r="148" spans="9:17">
      <c r="I148" s="169"/>
      <c r="J148" s="58"/>
      <c r="K148" s="145"/>
      <c r="L148" s="145"/>
      <c r="M148" s="145"/>
      <c r="N148" s="145"/>
      <c r="O148" s="145"/>
      <c r="P148" s="271"/>
      <c r="Q148" s="267"/>
    </row>
    <row r="149" spans="9:17">
      <c r="I149" s="169"/>
      <c r="J149" s="58"/>
      <c r="K149" s="145"/>
      <c r="L149" s="145"/>
      <c r="M149" s="145"/>
      <c r="N149" s="145"/>
      <c r="O149" s="145"/>
      <c r="P149" s="271"/>
      <c r="Q149" s="267"/>
    </row>
    <row r="150" spans="9:17">
      <c r="I150" s="169"/>
      <c r="J150" s="58"/>
      <c r="K150" s="145"/>
      <c r="L150" s="145"/>
      <c r="M150" s="145"/>
      <c r="N150" s="145"/>
      <c r="O150" s="145"/>
      <c r="P150" s="271"/>
      <c r="Q150" s="267"/>
    </row>
    <row r="151" spans="9:17">
      <c r="I151" s="169"/>
      <c r="J151" s="58"/>
      <c r="K151" s="145"/>
      <c r="L151" s="145"/>
      <c r="M151" s="145"/>
      <c r="N151" s="145"/>
      <c r="O151" s="145"/>
      <c r="P151" s="267"/>
      <c r="Q151" s="267"/>
    </row>
    <row r="152" spans="9:17">
      <c r="I152" s="169"/>
      <c r="J152" s="145"/>
      <c r="K152" s="145"/>
      <c r="L152" s="145"/>
      <c r="M152" s="145"/>
      <c r="N152" s="145"/>
      <c r="O152" s="145"/>
      <c r="P152" s="267"/>
      <c r="Q152" s="267"/>
    </row>
    <row r="153" spans="9:17">
      <c r="I153" s="169"/>
      <c r="J153" s="145"/>
      <c r="K153" s="145"/>
      <c r="L153" s="145"/>
      <c r="M153" s="145"/>
      <c r="N153" s="145"/>
      <c r="O153" s="145"/>
      <c r="P153" s="267"/>
      <c r="Q153" s="267"/>
    </row>
    <row r="154" spans="9:17">
      <c r="I154" s="169"/>
      <c r="J154" s="145"/>
      <c r="K154" s="145"/>
      <c r="L154" s="145"/>
      <c r="M154" s="145"/>
      <c r="N154" s="145"/>
      <c r="O154" s="41"/>
      <c r="P154" s="267"/>
      <c r="Q154" s="267"/>
    </row>
    <row r="155" spans="9:17">
      <c r="I155" s="169"/>
      <c r="J155" s="145"/>
      <c r="K155" s="145"/>
      <c r="L155" s="145"/>
      <c r="M155" s="145"/>
      <c r="N155" s="145"/>
      <c r="O155" s="41"/>
      <c r="P155" s="267"/>
      <c r="Q155" s="267"/>
    </row>
    <row r="156" spans="9:17">
      <c r="I156" s="169"/>
      <c r="J156" s="145"/>
      <c r="K156" s="145"/>
      <c r="L156" s="145"/>
      <c r="M156" s="145"/>
      <c r="N156" s="145"/>
      <c r="O156" s="41"/>
      <c r="P156" s="267"/>
      <c r="Q156" s="267"/>
    </row>
    <row r="157" spans="9:17">
      <c r="I157" s="169"/>
      <c r="J157" s="266"/>
      <c r="K157" s="145"/>
      <c r="L157" s="145"/>
      <c r="M157" s="145"/>
      <c r="N157" s="145"/>
      <c r="O157" s="41"/>
      <c r="P157" s="267"/>
      <c r="Q157" s="267"/>
    </row>
    <row r="158" spans="9:17">
      <c r="I158" s="169"/>
      <c r="J158" s="266"/>
      <c r="K158" s="145"/>
      <c r="L158" s="145"/>
      <c r="M158" s="145"/>
      <c r="N158" s="145"/>
      <c r="O158" s="41"/>
      <c r="P158" s="267"/>
      <c r="Q158" s="267"/>
    </row>
    <row r="159" spans="9:17">
      <c r="I159" s="169"/>
      <c r="J159" s="266"/>
      <c r="K159" s="145"/>
      <c r="L159" s="145"/>
      <c r="M159" s="145"/>
      <c r="N159" s="145"/>
      <c r="O159" s="41"/>
      <c r="P159" s="267"/>
      <c r="Q159" s="267"/>
    </row>
    <row r="160" spans="9:17">
      <c r="I160" s="169"/>
      <c r="J160" s="266"/>
      <c r="K160" s="145"/>
      <c r="L160" s="145"/>
      <c r="M160" s="145"/>
      <c r="N160" s="145"/>
      <c r="O160" s="41"/>
      <c r="P160" s="267"/>
      <c r="Q160" s="267"/>
    </row>
    <row r="161" spans="9:17">
      <c r="I161" s="169"/>
      <c r="J161" s="266"/>
      <c r="K161" s="145"/>
      <c r="L161" s="145"/>
      <c r="M161" s="41"/>
      <c r="N161" s="145"/>
      <c r="O161" s="41"/>
      <c r="P161" s="267"/>
      <c r="Q161" s="267"/>
    </row>
    <row r="162" spans="9:17">
      <c r="I162" s="169"/>
      <c r="J162" s="266"/>
      <c r="K162" s="145"/>
      <c r="L162" s="145"/>
      <c r="M162" s="41"/>
      <c r="N162" s="145"/>
      <c r="O162" s="41"/>
      <c r="P162" s="267"/>
      <c r="Q162" s="267"/>
    </row>
    <row r="163" spans="9:17">
      <c r="I163" s="169"/>
      <c r="J163" s="266"/>
      <c r="K163" s="145"/>
      <c r="L163" s="145"/>
      <c r="M163" s="41"/>
      <c r="N163" s="145"/>
      <c r="O163" s="41"/>
      <c r="P163" s="267"/>
      <c r="Q163" s="267"/>
    </row>
    <row r="164" spans="9:17">
      <c r="I164" s="169"/>
      <c r="J164" s="266"/>
      <c r="K164" s="266"/>
      <c r="L164" s="145"/>
      <c r="M164" s="41"/>
      <c r="N164" s="145"/>
      <c r="O164" s="267"/>
      <c r="P164" s="267"/>
      <c r="Q164" s="285"/>
    </row>
    <row r="165" spans="9:17">
      <c r="I165" s="169"/>
      <c r="J165" s="266"/>
      <c r="K165" s="266"/>
      <c r="L165" s="145"/>
      <c r="M165" s="41"/>
      <c r="N165" s="145"/>
      <c r="O165" s="267"/>
      <c r="P165" s="267"/>
      <c r="Q165" s="285"/>
    </row>
    <row r="166" spans="9:17">
      <c r="I166" s="169"/>
      <c r="J166" s="266"/>
      <c r="K166" s="266"/>
      <c r="L166" s="145"/>
      <c r="M166" s="41"/>
      <c r="N166" s="145"/>
      <c r="O166" s="267"/>
      <c r="P166" s="267"/>
      <c r="Q166" s="285"/>
    </row>
    <row r="167" spans="9:17">
      <c r="I167" s="169"/>
      <c r="J167" s="266"/>
      <c r="K167" s="266"/>
      <c r="L167" s="145"/>
      <c r="M167" s="41"/>
      <c r="N167" s="145"/>
      <c r="O167" s="267"/>
      <c r="P167" s="267"/>
      <c r="Q167" s="285"/>
    </row>
    <row r="168" spans="9:17">
      <c r="I168" s="169"/>
      <c r="J168" s="266"/>
      <c r="K168" s="266"/>
      <c r="L168" s="145"/>
      <c r="M168" s="41"/>
      <c r="N168" s="145"/>
      <c r="O168" s="267"/>
      <c r="P168" s="267"/>
      <c r="Q168" s="285"/>
    </row>
    <row r="169" spans="9:17">
      <c r="I169" s="169"/>
      <c r="J169" s="266"/>
      <c r="K169" s="266"/>
      <c r="L169" s="145"/>
      <c r="M169" s="41"/>
      <c r="N169" s="145"/>
      <c r="O169" s="267"/>
      <c r="P169" s="267"/>
      <c r="Q169" s="41"/>
    </row>
    <row r="170" spans="9:17">
      <c r="I170" s="169"/>
      <c r="J170" s="266"/>
      <c r="K170" s="266"/>
      <c r="L170" s="145"/>
      <c r="M170" s="41"/>
      <c r="N170" s="145"/>
      <c r="O170" s="267"/>
      <c r="P170" s="267"/>
      <c r="Q170" s="41"/>
    </row>
    <row r="171" spans="9:17">
      <c r="I171" s="169"/>
      <c r="J171" s="266"/>
      <c r="K171" s="266"/>
      <c r="L171" s="156"/>
      <c r="M171" s="268"/>
      <c r="N171" s="266"/>
      <c r="O171" s="267"/>
      <c r="P171" s="267"/>
      <c r="Q171" s="41"/>
    </row>
    <row r="172" spans="9:17">
      <c r="I172" s="169"/>
      <c r="J172" s="266"/>
      <c r="K172" s="266"/>
      <c r="L172" s="156"/>
      <c r="M172" s="268"/>
      <c r="N172" s="266"/>
      <c r="O172" s="267"/>
      <c r="P172" s="267"/>
      <c r="Q172" s="41"/>
    </row>
    <row r="173" spans="9:17">
      <c r="I173" s="169"/>
      <c r="J173" s="266"/>
      <c r="K173" s="266"/>
      <c r="L173" s="156"/>
      <c r="M173" s="268"/>
      <c r="N173" s="266"/>
      <c r="O173" s="267"/>
      <c r="P173" s="267"/>
      <c r="Q173" s="285"/>
    </row>
    <row r="174" spans="9:17">
      <c r="I174" s="169"/>
      <c r="J174" s="266"/>
      <c r="K174" s="266"/>
      <c r="L174" s="156"/>
      <c r="M174" s="268"/>
      <c r="N174" s="266"/>
      <c r="O174" s="267"/>
      <c r="P174" s="267"/>
      <c r="Q174" s="285"/>
    </row>
    <row r="175" spans="9:17">
      <c r="I175" s="169"/>
      <c r="J175" s="266"/>
      <c r="K175" s="266"/>
      <c r="L175" s="156"/>
      <c r="M175" s="268"/>
      <c r="N175" s="266"/>
      <c r="O175" s="267"/>
      <c r="P175" s="267"/>
      <c r="Q175" s="285"/>
    </row>
    <row r="176" spans="9:17">
      <c r="I176" s="169"/>
      <c r="J176" s="266"/>
      <c r="K176" s="266"/>
      <c r="L176" s="156"/>
      <c r="M176" s="268"/>
      <c r="N176" s="266"/>
      <c r="O176" s="267"/>
      <c r="P176" s="267"/>
      <c r="Q176" s="285"/>
    </row>
    <row r="177" spans="9:17">
      <c r="I177" s="169"/>
      <c r="J177" s="266"/>
      <c r="K177" s="266"/>
      <c r="L177" s="266"/>
      <c r="M177" s="268"/>
      <c r="N177" s="266"/>
      <c r="O177" s="267"/>
      <c r="P177" s="267"/>
      <c r="Q177" s="285"/>
    </row>
    <row r="178" spans="9:17">
      <c r="I178" s="169"/>
      <c r="J178" s="266"/>
      <c r="K178" s="266"/>
      <c r="L178" s="266"/>
      <c r="M178" s="268"/>
      <c r="N178" s="266"/>
      <c r="O178" s="267"/>
      <c r="P178" s="267"/>
      <c r="Q178" s="285"/>
    </row>
    <row r="179" spans="9:17">
      <c r="I179" s="169"/>
      <c r="J179" s="266"/>
      <c r="K179" s="266"/>
      <c r="L179" s="266"/>
      <c r="M179" s="268"/>
      <c r="N179" s="266"/>
      <c r="O179" s="267"/>
      <c r="P179" s="267"/>
      <c r="Q179" s="285"/>
    </row>
    <row r="180" spans="9:17">
      <c r="I180" s="169"/>
      <c r="J180" s="266"/>
      <c r="K180" s="266"/>
      <c r="L180" s="266"/>
      <c r="M180" s="268"/>
      <c r="N180" s="266"/>
      <c r="O180" s="41"/>
      <c r="P180" s="267"/>
      <c r="Q180" s="285"/>
    </row>
    <row r="181" spans="9:17">
      <c r="I181" s="169"/>
      <c r="J181" s="266"/>
      <c r="K181" s="266"/>
      <c r="L181" s="266"/>
      <c r="M181" s="268"/>
      <c r="N181" s="266"/>
      <c r="O181" s="267"/>
      <c r="P181" s="267"/>
      <c r="Q181" s="285"/>
    </row>
    <row r="182" spans="9:17">
      <c r="I182" s="169"/>
      <c r="J182" s="41"/>
      <c r="K182" s="266"/>
      <c r="L182" s="266"/>
      <c r="M182" s="268"/>
      <c r="N182" s="266"/>
      <c r="O182" s="267"/>
      <c r="P182" s="267"/>
      <c r="Q182" s="285"/>
    </row>
    <row r="183" spans="9:17">
      <c r="I183" s="169"/>
      <c r="J183" s="41"/>
      <c r="K183" s="266"/>
      <c r="L183" s="266"/>
      <c r="M183" s="268"/>
      <c r="N183" s="266"/>
      <c r="O183" s="267"/>
      <c r="P183" s="267"/>
      <c r="Q183" s="285"/>
    </row>
    <row r="184" spans="9:17">
      <c r="I184" s="169"/>
      <c r="J184" s="41"/>
      <c r="K184" s="266"/>
      <c r="L184" s="266"/>
      <c r="M184" s="268"/>
      <c r="N184" s="266"/>
      <c r="O184" s="267"/>
      <c r="P184" s="267"/>
      <c r="Q184" s="285"/>
    </row>
    <row r="185" spans="9:17">
      <c r="I185" s="169"/>
      <c r="J185" s="41"/>
      <c r="K185" s="266"/>
      <c r="L185" s="266"/>
      <c r="M185" s="268"/>
      <c r="N185" s="266"/>
      <c r="O185" s="267"/>
      <c r="P185" s="267"/>
      <c r="Q185" s="285"/>
    </row>
    <row r="186" spans="9:17">
      <c r="I186" s="169"/>
      <c r="J186" s="41"/>
      <c r="K186" s="266"/>
      <c r="L186" s="266"/>
      <c r="M186" s="268"/>
      <c r="N186" s="266"/>
      <c r="O186" s="267"/>
      <c r="P186" s="267"/>
      <c r="Q186" s="285"/>
    </row>
    <row r="187" spans="9:17">
      <c r="I187" s="169"/>
      <c r="J187" s="41"/>
      <c r="K187" s="266"/>
      <c r="L187" s="156"/>
      <c r="M187" s="268"/>
      <c r="N187" s="156"/>
      <c r="O187" s="267"/>
      <c r="P187" s="267"/>
      <c r="Q187" s="285"/>
    </row>
    <row r="188" spans="9:17">
      <c r="I188" s="169"/>
      <c r="J188" s="41"/>
      <c r="K188" s="266"/>
      <c r="L188" s="156"/>
      <c r="M188" s="268"/>
      <c r="N188" s="156"/>
      <c r="O188" s="267"/>
      <c r="P188" s="267"/>
      <c r="Q188" s="285"/>
    </row>
    <row r="189" spans="9:17">
      <c r="I189" s="169"/>
      <c r="J189" s="41"/>
      <c r="K189" s="266"/>
      <c r="L189" s="156"/>
      <c r="M189" s="268"/>
      <c r="N189" s="156"/>
      <c r="O189" s="267"/>
      <c r="P189" s="267"/>
      <c r="Q189" s="285"/>
    </row>
    <row r="190" spans="9:17">
      <c r="I190" s="169"/>
      <c r="J190" s="41"/>
      <c r="K190" s="266"/>
      <c r="L190" s="156"/>
      <c r="M190" s="268"/>
      <c r="N190" s="156"/>
      <c r="O190" s="267"/>
      <c r="P190" s="267"/>
      <c r="Q190" s="285"/>
    </row>
    <row r="191" spans="9:17">
      <c r="I191" s="169"/>
      <c r="J191" s="41"/>
      <c r="K191" s="266"/>
      <c r="L191" s="156"/>
      <c r="M191" s="268"/>
      <c r="N191" s="156"/>
      <c r="O191" s="267"/>
      <c r="P191" s="267"/>
      <c r="Q191" s="285"/>
    </row>
    <row r="192" spans="9:17">
      <c r="I192" s="169"/>
      <c r="J192" s="41"/>
      <c r="K192" s="266"/>
      <c r="L192" s="156"/>
      <c r="M192" s="268"/>
      <c r="N192" s="156"/>
      <c r="O192" s="267"/>
      <c r="P192" s="267"/>
      <c r="Q192" s="285"/>
    </row>
    <row r="193" spans="9:17">
      <c r="I193" s="169"/>
      <c r="J193" s="41"/>
      <c r="K193" s="266"/>
      <c r="L193" s="156"/>
      <c r="M193" s="268"/>
      <c r="N193" s="156"/>
      <c r="O193" s="267"/>
      <c r="P193" s="267"/>
      <c r="Q193" s="285"/>
    </row>
    <row r="194" spans="9:17">
      <c r="I194" s="169"/>
      <c r="J194" s="41"/>
      <c r="K194" s="266"/>
      <c r="L194" s="156"/>
      <c r="M194" s="268"/>
      <c r="N194" s="156"/>
      <c r="O194" s="267"/>
      <c r="P194" s="267"/>
      <c r="Q194" s="285"/>
    </row>
    <row r="195" spans="9:17">
      <c r="I195" s="169"/>
      <c r="J195" s="41"/>
      <c r="K195" s="266"/>
      <c r="L195" s="156"/>
      <c r="M195" s="268"/>
      <c r="N195" s="156"/>
      <c r="O195" s="267"/>
      <c r="P195" s="267"/>
      <c r="Q195" s="267"/>
    </row>
    <row r="196" spans="9:17">
      <c r="I196" s="169"/>
      <c r="J196" s="41"/>
      <c r="K196" s="266"/>
      <c r="L196" s="156"/>
      <c r="M196" s="268"/>
      <c r="N196" s="156"/>
      <c r="O196" s="267"/>
      <c r="P196" s="267"/>
      <c r="Q196" s="267"/>
    </row>
    <row r="197" spans="9:17">
      <c r="I197" s="169"/>
      <c r="J197" s="41"/>
      <c r="K197" s="266"/>
      <c r="L197" s="156"/>
      <c r="M197" s="268"/>
      <c r="N197" s="156"/>
      <c r="O197" s="267"/>
      <c r="P197" s="285"/>
      <c r="Q197" s="267"/>
    </row>
    <row r="198" spans="9:17">
      <c r="I198" s="169"/>
      <c r="J198" s="41"/>
      <c r="K198" s="266"/>
      <c r="L198" s="156"/>
      <c r="M198" s="268"/>
      <c r="N198" s="156"/>
      <c r="O198" s="267"/>
      <c r="P198" s="285"/>
      <c r="Q198" s="267"/>
    </row>
    <row r="199" spans="9:17">
      <c r="I199" s="169"/>
      <c r="J199" s="41"/>
      <c r="K199" s="266"/>
      <c r="L199" s="156"/>
      <c r="M199" s="268"/>
      <c r="N199" s="156"/>
      <c r="O199" s="267"/>
      <c r="P199" s="285"/>
      <c r="Q199" s="267"/>
    </row>
    <row r="200" spans="9:17">
      <c r="I200" s="169"/>
      <c r="J200" s="41"/>
      <c r="K200" s="266"/>
      <c r="L200" s="156"/>
      <c r="M200" s="268"/>
      <c r="N200" s="156"/>
      <c r="O200" s="267"/>
      <c r="P200" s="285"/>
      <c r="Q200" s="267"/>
    </row>
    <row r="201" spans="9:17">
      <c r="I201" s="169"/>
      <c r="J201" s="41"/>
      <c r="K201" s="266"/>
      <c r="L201" s="156"/>
      <c r="M201" s="268"/>
      <c r="N201" s="156"/>
      <c r="O201" s="267"/>
      <c r="P201" s="285"/>
      <c r="Q201" s="267"/>
    </row>
    <row r="202" spans="9:17">
      <c r="I202" s="169"/>
      <c r="J202" s="41"/>
      <c r="K202" s="266"/>
      <c r="L202" s="156"/>
      <c r="M202" s="268"/>
      <c r="N202" s="156"/>
      <c r="O202" s="267"/>
      <c r="P202" s="285"/>
      <c r="Q202" s="267"/>
    </row>
    <row r="203" spans="9:17">
      <c r="I203" s="169"/>
      <c r="J203" s="266"/>
      <c r="K203" s="266"/>
      <c r="L203" s="156"/>
      <c r="M203" s="268"/>
      <c r="N203" s="156"/>
      <c r="O203" s="267"/>
      <c r="P203" s="285"/>
      <c r="Q203" s="267"/>
    </row>
    <row r="204" spans="9:17">
      <c r="I204" s="169"/>
      <c r="J204" s="266"/>
      <c r="K204" s="266"/>
      <c r="L204" s="156"/>
      <c r="M204" s="268"/>
      <c r="N204" s="156"/>
      <c r="O204" s="267"/>
      <c r="P204" s="285"/>
      <c r="Q204" s="267"/>
    </row>
    <row r="205" spans="9:17">
      <c r="I205" s="169"/>
      <c r="J205" s="266"/>
      <c r="K205" s="156"/>
      <c r="L205" s="156"/>
      <c r="M205" s="268"/>
      <c r="N205" s="156"/>
      <c r="O205" s="267"/>
      <c r="P205" s="285"/>
      <c r="Q205" s="169"/>
    </row>
    <row r="206" spans="9:17">
      <c r="I206" s="169"/>
      <c r="J206" s="266"/>
      <c r="K206" s="156"/>
      <c r="L206" s="156"/>
      <c r="M206" s="268"/>
      <c r="N206" s="156"/>
      <c r="O206" s="267"/>
      <c r="P206" s="285"/>
      <c r="Q206" s="169"/>
    </row>
    <row r="207" spans="9:17">
      <c r="I207" s="169"/>
      <c r="J207" s="266"/>
      <c r="K207" s="156"/>
      <c r="L207" s="156"/>
      <c r="M207" s="268"/>
      <c r="N207" s="156"/>
      <c r="O207" s="267"/>
      <c r="P207" s="285"/>
      <c r="Q207" s="169"/>
    </row>
    <row r="208" spans="9:17">
      <c r="I208" s="169"/>
      <c r="J208" s="266"/>
      <c r="K208" s="156"/>
      <c r="L208" s="156"/>
      <c r="M208" s="268"/>
      <c r="N208" s="156"/>
      <c r="O208" s="267"/>
      <c r="P208" s="285"/>
      <c r="Q208" s="169"/>
    </row>
    <row r="209" spans="9:17">
      <c r="I209" s="169"/>
      <c r="J209" s="266"/>
      <c r="K209" s="156"/>
      <c r="L209" s="156"/>
      <c r="M209" s="268"/>
      <c r="N209" s="156"/>
      <c r="O209" s="267"/>
      <c r="P209" s="285"/>
      <c r="Q209" s="169"/>
    </row>
    <row r="210" spans="9:17">
      <c r="I210" s="169"/>
      <c r="J210" s="266"/>
      <c r="K210" s="156"/>
      <c r="L210" s="156"/>
      <c r="M210" s="268"/>
      <c r="N210" s="156"/>
      <c r="O210" s="267"/>
      <c r="P210" s="285"/>
      <c r="Q210" s="267"/>
    </row>
    <row r="211" spans="9:17">
      <c r="I211" s="169"/>
      <c r="J211" s="266"/>
      <c r="K211" s="156"/>
      <c r="L211" s="156"/>
      <c r="M211" s="268"/>
      <c r="N211" s="156"/>
      <c r="O211" s="267"/>
      <c r="P211" s="285"/>
      <c r="Q211" s="267"/>
    </row>
    <row r="212" spans="9:17">
      <c r="I212" s="169"/>
      <c r="J212" s="266"/>
      <c r="K212" s="156"/>
      <c r="L212" s="156"/>
      <c r="M212" s="268"/>
      <c r="N212" s="156"/>
      <c r="O212" s="267"/>
      <c r="P212" s="285"/>
      <c r="Q212" s="267"/>
    </row>
    <row r="213" spans="9:17">
      <c r="I213" s="169"/>
      <c r="J213" s="266"/>
      <c r="K213" s="156"/>
      <c r="L213" s="156"/>
      <c r="M213" s="267"/>
      <c r="N213" s="268"/>
      <c r="O213" s="267"/>
      <c r="P213" s="285"/>
      <c r="Q213" s="267"/>
    </row>
    <row r="214" spans="9:17">
      <c r="I214" s="169"/>
      <c r="J214" s="266"/>
      <c r="K214" s="156"/>
      <c r="L214" s="156"/>
      <c r="M214" s="267"/>
      <c r="N214" s="268"/>
      <c r="O214" s="267"/>
      <c r="P214" s="285"/>
      <c r="Q214" s="275"/>
    </row>
    <row r="215" spans="9:17">
      <c r="I215" s="169"/>
      <c r="J215" s="266"/>
      <c r="K215" s="156"/>
      <c r="L215" s="156"/>
      <c r="M215" s="267"/>
      <c r="N215" s="268"/>
      <c r="O215" s="271"/>
      <c r="P215" s="285"/>
      <c r="Q215" s="275"/>
    </row>
    <row r="216" spans="9:17">
      <c r="I216" s="169"/>
      <c r="J216" s="266"/>
      <c r="K216" s="156"/>
      <c r="L216" s="156"/>
      <c r="M216" s="267"/>
      <c r="N216" s="268"/>
      <c r="O216" s="271"/>
      <c r="P216" s="285"/>
      <c r="Q216" s="275"/>
    </row>
    <row r="217" spans="9:17">
      <c r="I217" s="169"/>
      <c r="J217" s="266"/>
      <c r="K217" s="156"/>
      <c r="L217" s="156"/>
      <c r="M217" s="267"/>
      <c r="N217" s="268"/>
      <c r="O217" s="271"/>
      <c r="P217" s="285"/>
      <c r="Q217" s="279"/>
    </row>
    <row r="218" spans="9:17">
      <c r="I218" s="169"/>
      <c r="J218" s="266"/>
      <c r="K218" s="156"/>
      <c r="L218" s="156"/>
      <c r="M218" s="267"/>
      <c r="N218" s="268"/>
      <c r="O218" s="271"/>
      <c r="P218" s="285"/>
      <c r="Q218" s="281"/>
    </row>
    <row r="219" spans="9:17">
      <c r="I219" s="169"/>
      <c r="J219" s="266"/>
      <c r="K219" s="156"/>
      <c r="L219" s="271"/>
      <c r="M219" s="271"/>
      <c r="N219" s="271"/>
      <c r="O219" s="271"/>
      <c r="P219" s="285"/>
      <c r="Q219" s="281"/>
    </row>
    <row r="220" spans="9:17">
      <c r="I220" s="169"/>
      <c r="J220" s="266"/>
      <c r="K220" s="156"/>
      <c r="L220" s="271"/>
      <c r="M220" s="271"/>
      <c r="N220" s="271"/>
      <c r="O220" s="271"/>
      <c r="P220" s="285"/>
    </row>
    <row r="221" spans="9:17">
      <c r="I221" s="169"/>
      <c r="J221" s="266"/>
      <c r="K221" s="156"/>
      <c r="L221" s="271"/>
      <c r="M221" s="271"/>
      <c r="N221" s="271"/>
      <c r="O221" s="271"/>
      <c r="P221" s="285"/>
    </row>
    <row r="222" spans="9:17">
      <c r="I222" s="169"/>
      <c r="J222" s="266"/>
      <c r="K222" s="156"/>
      <c r="L222" s="271"/>
      <c r="M222" s="271"/>
      <c r="N222" s="271"/>
      <c r="O222" s="271"/>
      <c r="P222" s="285"/>
    </row>
    <row r="223" spans="9:17">
      <c r="I223" s="169"/>
      <c r="J223" s="266"/>
      <c r="K223" s="156"/>
      <c r="L223" s="271"/>
      <c r="M223" s="271"/>
      <c r="N223" s="271"/>
      <c r="O223" s="271"/>
      <c r="P223" s="285"/>
    </row>
    <row r="224" spans="9:17">
      <c r="I224" s="169"/>
      <c r="J224" s="266"/>
      <c r="K224" s="156"/>
      <c r="L224" s="271"/>
      <c r="M224" s="271"/>
      <c r="N224" s="271"/>
      <c r="O224" s="271"/>
      <c r="P224" s="285"/>
    </row>
    <row r="225" spans="9:16">
      <c r="I225" s="169"/>
      <c r="J225" s="266"/>
      <c r="K225" s="156"/>
      <c r="L225" s="271"/>
      <c r="M225" s="271"/>
      <c r="N225" s="271"/>
      <c r="O225" s="271"/>
      <c r="P225" s="156"/>
    </row>
    <row r="226" spans="9:16">
      <c r="I226" s="169"/>
      <c r="J226" s="266"/>
      <c r="K226" s="156"/>
      <c r="L226" s="271"/>
      <c r="M226" s="271"/>
      <c r="N226" s="271"/>
      <c r="O226" s="271"/>
      <c r="P226" s="156"/>
    </row>
    <row r="227" spans="9:16">
      <c r="I227" s="169"/>
      <c r="J227" s="266"/>
      <c r="K227" s="156"/>
      <c r="L227" s="271"/>
      <c r="M227" s="271"/>
      <c r="N227" s="271"/>
      <c r="O227" s="271"/>
      <c r="P227" s="156"/>
    </row>
    <row r="228" spans="9:16">
      <c r="I228" s="169"/>
      <c r="J228" s="266"/>
      <c r="K228" s="156"/>
      <c r="L228" s="271"/>
      <c r="M228" s="271"/>
      <c r="N228" s="271"/>
      <c r="O228" s="271"/>
      <c r="P228" s="156"/>
    </row>
    <row r="229" spans="9:16">
      <c r="I229" s="169"/>
      <c r="J229" s="266"/>
      <c r="K229" s="156"/>
      <c r="L229" s="271"/>
      <c r="M229" s="271"/>
      <c r="N229" s="271"/>
      <c r="O229" s="271"/>
      <c r="P229" s="156"/>
    </row>
    <row r="230" spans="9:16">
      <c r="I230" s="169"/>
      <c r="J230" s="266"/>
      <c r="K230" s="156"/>
      <c r="L230" s="271"/>
      <c r="M230" s="271"/>
      <c r="N230" s="271"/>
      <c r="O230" s="271"/>
      <c r="P230" s="156"/>
    </row>
    <row r="231" spans="9:16">
      <c r="I231" s="169"/>
      <c r="J231" s="266"/>
      <c r="K231" s="156"/>
      <c r="L231" s="271"/>
      <c r="M231" s="271"/>
      <c r="N231" s="271"/>
      <c r="O231" s="271"/>
      <c r="P231" s="156"/>
    </row>
    <row r="232" spans="9:16">
      <c r="I232" s="169"/>
      <c r="J232" s="266"/>
      <c r="K232" s="156"/>
      <c r="L232" s="271"/>
      <c r="M232" s="271"/>
      <c r="N232" s="271"/>
      <c r="O232" s="271"/>
      <c r="P232" s="156"/>
    </row>
    <row r="233" spans="9:16">
      <c r="I233" s="169"/>
      <c r="J233" s="266"/>
      <c r="K233" s="156"/>
      <c r="L233" s="271"/>
      <c r="M233" s="271"/>
      <c r="N233" s="271"/>
      <c r="O233" s="271"/>
      <c r="P233" s="156"/>
    </row>
    <row r="234" spans="9:16">
      <c r="I234" s="169"/>
      <c r="J234" s="266"/>
      <c r="K234" s="156"/>
      <c r="L234" s="271"/>
      <c r="M234" s="271"/>
      <c r="N234" s="271"/>
      <c r="O234" s="271"/>
      <c r="P234" s="156"/>
    </row>
    <row r="235" spans="9:16">
      <c r="I235" s="169"/>
      <c r="J235" s="266"/>
      <c r="K235" s="156"/>
      <c r="L235" s="271"/>
      <c r="M235" s="271"/>
      <c r="N235" s="271"/>
      <c r="O235" s="271"/>
      <c r="P235" s="156"/>
    </row>
    <row r="236" spans="9:16">
      <c r="I236" s="169"/>
      <c r="J236" s="266"/>
      <c r="K236" s="156"/>
      <c r="L236" s="271"/>
      <c r="M236" s="271"/>
      <c r="N236" s="271"/>
      <c r="O236" s="271"/>
      <c r="P236" s="156"/>
    </row>
    <row r="237" spans="9:16">
      <c r="I237" s="169"/>
      <c r="J237" s="266"/>
      <c r="K237" s="156"/>
      <c r="L237" s="271"/>
      <c r="M237" s="271"/>
      <c r="N237" s="271"/>
      <c r="O237" s="271"/>
      <c r="P237" s="267"/>
    </row>
    <row r="238" spans="9:16">
      <c r="I238" s="169"/>
      <c r="J238" s="266"/>
      <c r="K238" s="156"/>
      <c r="L238" s="271"/>
      <c r="M238" s="271"/>
      <c r="N238" s="271"/>
      <c r="O238" s="271"/>
      <c r="P238" s="267"/>
    </row>
    <row r="239" spans="9:16">
      <c r="I239" s="169"/>
      <c r="J239" s="266"/>
      <c r="K239" s="156"/>
      <c r="L239" s="271"/>
      <c r="M239" s="271"/>
      <c r="N239" s="271"/>
      <c r="O239" s="271"/>
      <c r="P239" s="267"/>
    </row>
    <row r="240" spans="9:16">
      <c r="I240" s="169"/>
      <c r="J240" s="266"/>
      <c r="K240" s="156"/>
      <c r="L240" s="271"/>
      <c r="M240" s="271"/>
      <c r="N240" s="271"/>
      <c r="O240" s="271"/>
      <c r="P240" s="156"/>
    </row>
    <row r="241" spans="9:16">
      <c r="I241" s="169"/>
      <c r="J241" s="266"/>
      <c r="K241" s="156"/>
      <c r="L241" s="271"/>
      <c r="M241" s="271"/>
      <c r="N241" s="271"/>
      <c r="O241" s="271"/>
      <c r="P241" s="156"/>
    </row>
    <row r="242" spans="9:16">
      <c r="I242" s="169"/>
      <c r="J242" s="266"/>
      <c r="K242" s="156"/>
      <c r="L242" s="271"/>
      <c r="M242" s="271"/>
      <c r="N242" s="271"/>
      <c r="O242" s="271"/>
      <c r="P242" s="156"/>
    </row>
    <row r="243" spans="9:16">
      <c r="I243" s="169"/>
      <c r="J243" s="266"/>
      <c r="K243" s="156"/>
      <c r="L243" s="271"/>
      <c r="M243" s="271"/>
      <c r="N243" s="271"/>
      <c r="O243" s="271"/>
      <c r="P243" s="156"/>
    </row>
    <row r="244" spans="9:16">
      <c r="I244" s="169"/>
      <c r="J244" s="266"/>
      <c r="K244" s="156"/>
      <c r="L244" s="271"/>
      <c r="M244" s="271"/>
      <c r="N244" s="271"/>
      <c r="O244" s="271"/>
      <c r="P244" s="156"/>
    </row>
    <row r="245" spans="9:16">
      <c r="I245" s="169"/>
      <c r="J245" s="266"/>
      <c r="K245" s="156"/>
      <c r="L245" s="271"/>
      <c r="M245" s="271"/>
      <c r="N245" s="271"/>
      <c r="O245" s="271"/>
      <c r="P245" s="156"/>
    </row>
    <row r="246" spans="9:16">
      <c r="I246" s="169"/>
      <c r="J246" s="58"/>
      <c r="K246" s="156"/>
      <c r="L246" s="271"/>
      <c r="M246" s="271"/>
      <c r="N246" s="271"/>
      <c r="O246" s="285"/>
      <c r="P246" s="156"/>
    </row>
    <row r="247" spans="9:16">
      <c r="I247" s="169"/>
      <c r="J247" s="58"/>
      <c r="K247" s="156"/>
      <c r="L247" s="271"/>
      <c r="M247" s="271"/>
      <c r="N247" s="271"/>
      <c r="O247" s="285"/>
      <c r="P247" s="156"/>
    </row>
    <row r="248" spans="9:16">
      <c r="I248" s="169"/>
      <c r="J248" s="41"/>
      <c r="K248" s="156"/>
      <c r="L248" s="271"/>
      <c r="M248" s="271"/>
      <c r="N248" s="271"/>
      <c r="O248" s="285"/>
      <c r="P248" s="156"/>
    </row>
    <row r="249" spans="9:16">
      <c r="I249" s="169"/>
      <c r="J249" s="41"/>
      <c r="K249" s="156"/>
      <c r="L249" s="271"/>
      <c r="M249" s="271"/>
      <c r="N249" s="271"/>
      <c r="O249" s="156"/>
      <c r="P249" s="156"/>
    </row>
    <row r="250" spans="9:16">
      <c r="I250" s="169"/>
      <c r="J250" s="266"/>
      <c r="K250" s="156"/>
      <c r="L250" s="285"/>
      <c r="M250" s="271"/>
      <c r="N250" s="271"/>
      <c r="O250" s="156"/>
      <c r="P250" s="266"/>
    </row>
    <row r="251" spans="9:16">
      <c r="I251" s="169"/>
      <c r="J251" s="266"/>
      <c r="K251" s="156"/>
      <c r="L251" s="285"/>
      <c r="M251" s="271"/>
      <c r="N251" s="271"/>
      <c r="O251" s="156"/>
      <c r="P251" s="266"/>
    </row>
    <row r="252" spans="9:16">
      <c r="I252" s="169"/>
      <c r="J252" s="266"/>
      <c r="K252" s="156"/>
      <c r="L252" s="285"/>
      <c r="M252" s="271"/>
      <c r="N252" s="271"/>
      <c r="O252" s="156"/>
      <c r="P252" s="266"/>
    </row>
    <row r="253" spans="9:16">
      <c r="I253" s="169"/>
      <c r="J253" s="41"/>
      <c r="K253" s="156"/>
      <c r="L253" s="271"/>
      <c r="M253" s="285"/>
      <c r="N253" s="285"/>
      <c r="O253" s="156"/>
      <c r="P253" s="266"/>
    </row>
    <row r="254" spans="9:16">
      <c r="I254" s="169"/>
      <c r="J254" s="266"/>
      <c r="K254" s="156"/>
      <c r="L254" s="271"/>
      <c r="M254" s="285"/>
      <c r="N254" s="285"/>
      <c r="O254" s="156"/>
      <c r="P254" s="266"/>
    </row>
    <row r="255" spans="9:16">
      <c r="I255" s="169"/>
      <c r="J255" s="266"/>
      <c r="K255" s="156"/>
      <c r="L255" s="271"/>
      <c r="M255" s="285"/>
      <c r="N255" s="285"/>
      <c r="O255" s="156"/>
      <c r="P255" s="267"/>
    </row>
    <row r="256" spans="9:16">
      <c r="I256" s="169"/>
      <c r="J256" s="266"/>
      <c r="K256" s="156"/>
      <c r="L256" s="271"/>
      <c r="M256" s="156"/>
      <c r="N256" s="156"/>
      <c r="O256" s="156"/>
      <c r="P256" s="267"/>
    </row>
    <row r="257" spans="9:16">
      <c r="I257" s="169"/>
      <c r="J257" s="266"/>
      <c r="K257" s="156"/>
      <c r="L257" s="271"/>
      <c r="M257" s="156"/>
      <c r="N257" s="156"/>
      <c r="O257" s="156"/>
      <c r="P257" s="267"/>
    </row>
    <row r="258" spans="9:16">
      <c r="I258" s="286"/>
      <c r="J258" s="266"/>
      <c r="K258" s="266"/>
      <c r="L258" s="271"/>
      <c r="M258" s="156"/>
      <c r="N258" s="156"/>
      <c r="O258" s="156"/>
      <c r="P258" s="267"/>
    </row>
    <row r="259" spans="9:16">
      <c r="I259" s="286"/>
      <c r="J259" s="266"/>
      <c r="K259" s="266"/>
      <c r="L259" s="271"/>
      <c r="M259" s="156"/>
      <c r="N259" s="156"/>
      <c r="O259" s="156"/>
      <c r="P259" s="267"/>
    </row>
    <row r="260" spans="9:16">
      <c r="I260" s="169"/>
      <c r="J260" s="266"/>
      <c r="K260" s="266"/>
      <c r="L260" s="271"/>
      <c r="M260" s="156"/>
      <c r="N260" s="156"/>
      <c r="O260" s="156"/>
      <c r="P260" s="267"/>
    </row>
    <row r="261" spans="9:16">
      <c r="I261" s="169"/>
      <c r="J261" s="266"/>
      <c r="K261" s="266"/>
      <c r="L261" s="271"/>
      <c r="M261" s="156"/>
      <c r="N261" s="156"/>
      <c r="O261" s="267"/>
      <c r="P261" s="267"/>
    </row>
    <row r="262" spans="9:16">
      <c r="I262" s="169"/>
      <c r="J262" s="266"/>
      <c r="K262" s="266"/>
      <c r="L262" s="271"/>
      <c r="M262" s="156"/>
      <c r="N262" s="156"/>
      <c r="O262" s="267"/>
      <c r="P262" s="267"/>
    </row>
    <row r="263" spans="9:16">
      <c r="I263" s="169"/>
      <c r="J263" s="266"/>
      <c r="K263" s="266"/>
      <c r="L263" s="271"/>
      <c r="M263" s="156"/>
      <c r="N263" s="156"/>
      <c r="O263" s="267"/>
      <c r="P263" s="275"/>
    </row>
    <row r="264" spans="9:16">
      <c r="I264" s="169"/>
      <c r="J264" s="266"/>
      <c r="K264" s="266"/>
      <c r="L264" s="156"/>
      <c r="M264" s="156"/>
      <c r="N264" s="156"/>
      <c r="O264" s="156"/>
      <c r="P264" s="275"/>
    </row>
    <row r="265" spans="9:16">
      <c r="I265" s="169"/>
      <c r="J265" s="266"/>
      <c r="K265" s="156"/>
      <c r="L265" s="156"/>
      <c r="M265" s="156"/>
      <c r="N265" s="156"/>
      <c r="O265" s="156"/>
      <c r="P265" s="275"/>
    </row>
    <row r="266" spans="9:16">
      <c r="I266" s="169"/>
      <c r="J266" s="266"/>
      <c r="K266" s="156"/>
      <c r="L266" s="156"/>
      <c r="M266" s="156"/>
      <c r="N266" s="156"/>
      <c r="O266" s="156"/>
      <c r="P266" s="279"/>
    </row>
    <row r="267" spans="9:16">
      <c r="I267" s="169"/>
      <c r="J267" s="266"/>
      <c r="K267" s="156"/>
      <c r="L267" s="156"/>
      <c r="M267" s="156"/>
      <c r="N267" s="156"/>
      <c r="O267" s="156"/>
      <c r="P267" s="281"/>
    </row>
    <row r="268" spans="9:16">
      <c r="I268" s="169"/>
      <c r="J268" s="266"/>
      <c r="K268" s="156"/>
      <c r="L268" s="156"/>
      <c r="M268" s="267"/>
      <c r="N268" s="268"/>
      <c r="O268" s="156"/>
      <c r="P268" s="281"/>
    </row>
    <row r="269" spans="9:16">
      <c r="I269" s="169"/>
      <c r="J269" s="169"/>
      <c r="K269" s="156"/>
      <c r="L269" s="156"/>
      <c r="M269" s="267"/>
      <c r="N269" s="268"/>
      <c r="O269" s="156"/>
    </row>
    <row r="270" spans="9:16">
      <c r="I270" s="169"/>
      <c r="J270" s="169"/>
      <c r="K270" s="156"/>
      <c r="L270" s="156"/>
      <c r="M270" s="267"/>
      <c r="N270" s="268"/>
      <c r="O270" s="156"/>
    </row>
    <row r="271" spans="9:16">
      <c r="I271" s="169"/>
      <c r="J271" s="169"/>
      <c r="K271" s="156"/>
      <c r="L271" s="156"/>
      <c r="M271" s="156"/>
      <c r="N271" s="156"/>
      <c r="O271" s="156"/>
    </row>
    <row r="272" spans="9:16">
      <c r="I272" s="169"/>
      <c r="J272" s="169"/>
      <c r="K272" s="156"/>
      <c r="L272" s="156"/>
      <c r="M272" s="156"/>
      <c r="N272" s="156"/>
      <c r="O272" s="156"/>
    </row>
    <row r="273" spans="9:15">
      <c r="I273" s="41"/>
      <c r="J273" s="169"/>
      <c r="K273" s="156"/>
      <c r="L273" s="156"/>
      <c r="M273" s="156"/>
      <c r="N273" s="156"/>
      <c r="O273" s="156"/>
    </row>
    <row r="274" spans="9:15">
      <c r="I274" s="41"/>
      <c r="J274" s="266"/>
      <c r="K274" s="156"/>
      <c r="L274" s="156"/>
      <c r="M274" s="156"/>
      <c r="N274" s="156"/>
      <c r="O274" s="266"/>
    </row>
    <row r="275" spans="9:15">
      <c r="I275" s="41"/>
      <c r="J275" s="266"/>
      <c r="K275" s="156"/>
      <c r="L275" s="156"/>
      <c r="M275" s="156"/>
      <c r="N275" s="156"/>
      <c r="O275" s="266"/>
    </row>
    <row r="276" spans="9:15">
      <c r="I276" s="41"/>
      <c r="J276" s="266"/>
      <c r="K276" s="156"/>
      <c r="L276" s="156"/>
      <c r="M276" s="156"/>
      <c r="N276" s="156"/>
      <c r="O276" s="266"/>
    </row>
    <row r="277" spans="9:15">
      <c r="I277" s="41"/>
      <c r="J277" s="266"/>
      <c r="K277" s="156"/>
      <c r="L277" s="156"/>
      <c r="M277" s="156"/>
      <c r="N277" s="156"/>
      <c r="O277" s="266"/>
    </row>
    <row r="278" spans="9:15">
      <c r="I278" s="41"/>
      <c r="J278" s="266"/>
      <c r="K278" s="156"/>
      <c r="L278" s="266"/>
      <c r="M278" s="156"/>
      <c r="N278" s="156"/>
      <c r="O278" s="266"/>
    </row>
    <row r="279" spans="9:15">
      <c r="I279" s="41"/>
      <c r="J279" s="266"/>
      <c r="K279" s="156"/>
      <c r="L279" s="266"/>
      <c r="M279" s="156"/>
      <c r="N279" s="156"/>
      <c r="O279" s="267"/>
    </row>
    <row r="280" spans="9:15">
      <c r="I280" s="41"/>
      <c r="J280" s="266"/>
      <c r="K280" s="156"/>
      <c r="L280" s="266"/>
      <c r="M280" s="156"/>
      <c r="N280" s="156"/>
      <c r="O280" s="267"/>
    </row>
    <row r="281" spans="9:15">
      <c r="I281" s="41"/>
      <c r="J281" s="266"/>
      <c r="K281" s="156"/>
      <c r="L281" s="266"/>
      <c r="M281" s="266"/>
      <c r="N281" s="266"/>
      <c r="O281" s="267"/>
    </row>
    <row r="282" spans="9:15">
      <c r="I282" s="41"/>
      <c r="J282" s="266"/>
      <c r="K282" s="156"/>
      <c r="L282" s="266"/>
      <c r="M282" s="266"/>
      <c r="N282" s="266"/>
      <c r="O282" s="267"/>
    </row>
    <row r="283" spans="9:15">
      <c r="I283" s="41"/>
      <c r="J283" s="266"/>
      <c r="K283" s="156"/>
      <c r="L283" s="266"/>
      <c r="M283" s="266"/>
      <c r="N283" s="266"/>
      <c r="O283" s="267"/>
    </row>
    <row r="284" spans="9:15">
      <c r="I284" s="41"/>
      <c r="J284" s="266"/>
      <c r="K284" s="156"/>
      <c r="L284" s="266"/>
      <c r="M284" s="266"/>
      <c r="N284" s="266"/>
      <c r="O284" s="267"/>
    </row>
    <row r="285" spans="9:15">
      <c r="I285" s="41"/>
      <c r="J285" s="266"/>
      <c r="K285" s="156"/>
      <c r="L285" s="156"/>
      <c r="M285" s="266"/>
      <c r="N285" s="266"/>
      <c r="O285" s="267"/>
    </row>
    <row r="286" spans="9:15">
      <c r="I286" s="41"/>
      <c r="J286" s="266"/>
      <c r="K286" s="156"/>
      <c r="L286" s="156"/>
      <c r="M286" s="266"/>
      <c r="N286" s="266"/>
      <c r="O286" s="267"/>
    </row>
    <row r="287" spans="9:15">
      <c r="I287" s="41"/>
      <c r="J287" s="266"/>
      <c r="K287" s="156"/>
      <c r="L287" s="156"/>
      <c r="M287" s="266"/>
      <c r="N287" s="266"/>
      <c r="O287" s="275"/>
    </row>
    <row r="288" spans="9:15">
      <c r="I288" s="276"/>
      <c r="J288" s="266"/>
      <c r="K288" s="156"/>
      <c r="L288" s="169"/>
      <c r="M288" s="267"/>
      <c r="N288" s="268"/>
      <c r="O288" s="275"/>
    </row>
    <row r="289" spans="9:15">
      <c r="I289" s="276"/>
      <c r="J289" s="266"/>
      <c r="K289" s="156"/>
      <c r="L289" s="169"/>
      <c r="M289" s="267"/>
      <c r="N289" s="268"/>
      <c r="O289" s="275"/>
    </row>
    <row r="290" spans="9:15">
      <c r="I290" s="276"/>
      <c r="J290" s="266"/>
      <c r="K290" s="156"/>
      <c r="L290" s="169"/>
      <c r="M290" s="267"/>
      <c r="N290" s="268"/>
      <c r="O290" s="279"/>
    </row>
    <row r="291" spans="9:15">
      <c r="I291" s="9"/>
      <c r="J291" s="266"/>
      <c r="K291" s="156"/>
      <c r="L291" s="169"/>
      <c r="M291" s="267"/>
      <c r="N291" s="268"/>
      <c r="O291" s="281"/>
    </row>
    <row r="292" spans="9:15">
      <c r="I292" s="14"/>
      <c r="J292" s="266"/>
      <c r="K292" s="156"/>
      <c r="L292" s="169"/>
      <c r="M292" s="267"/>
      <c r="N292" s="268"/>
      <c r="O292" s="281"/>
    </row>
    <row r="293" spans="9:15">
      <c r="I293" s="14"/>
      <c r="J293" s="266"/>
      <c r="K293" s="156"/>
      <c r="L293" s="169"/>
      <c r="M293" s="267"/>
      <c r="N293" s="268"/>
    </row>
    <row r="294" spans="9:15">
      <c r="J294" s="266"/>
      <c r="K294" s="156"/>
      <c r="L294" s="156"/>
      <c r="M294" s="267"/>
      <c r="N294" s="268"/>
    </row>
    <row r="295" spans="9:15">
      <c r="J295" s="266"/>
      <c r="K295" s="156"/>
      <c r="L295" s="169"/>
      <c r="M295" s="267"/>
      <c r="N295" s="268"/>
    </row>
    <row r="296" spans="9:15">
      <c r="J296" s="266"/>
      <c r="K296" s="156"/>
      <c r="L296" s="169"/>
      <c r="M296" s="267"/>
      <c r="N296" s="268"/>
    </row>
    <row r="297" spans="9:15">
      <c r="J297" s="266"/>
      <c r="K297" s="156"/>
      <c r="L297" s="156"/>
      <c r="M297" s="267"/>
      <c r="N297" s="268"/>
    </row>
    <row r="298" spans="9:15">
      <c r="J298" s="266"/>
      <c r="K298" s="156"/>
      <c r="L298" s="156"/>
      <c r="M298" s="267"/>
      <c r="N298" s="268"/>
    </row>
    <row r="299" spans="9:15">
      <c r="J299" s="266"/>
      <c r="K299" s="156"/>
      <c r="L299" s="156"/>
      <c r="M299" s="267"/>
      <c r="N299" s="268"/>
    </row>
    <row r="300" spans="9:15">
      <c r="J300" s="266"/>
      <c r="K300" s="156"/>
      <c r="L300" s="156"/>
      <c r="M300" s="267"/>
      <c r="N300" s="268"/>
    </row>
    <row r="301" spans="9:15">
      <c r="J301" s="266"/>
      <c r="K301" s="156"/>
      <c r="L301" s="156"/>
      <c r="M301" s="275"/>
      <c r="N301" s="268"/>
    </row>
    <row r="302" spans="9:15">
      <c r="J302" s="266"/>
      <c r="K302" s="156"/>
      <c r="L302" s="156"/>
      <c r="M302" s="275"/>
      <c r="N302" s="268"/>
    </row>
    <row r="303" spans="9:15">
      <c r="J303" s="266"/>
      <c r="K303" s="156"/>
      <c r="L303" s="156"/>
      <c r="M303" s="275"/>
      <c r="N303" s="268"/>
    </row>
    <row r="304" spans="9:15">
      <c r="J304" s="266"/>
      <c r="K304" s="156"/>
      <c r="L304" s="169"/>
      <c r="M304" s="279"/>
      <c r="N304" s="268"/>
    </row>
    <row r="305" spans="10:14">
      <c r="J305" s="266"/>
      <c r="K305" s="156"/>
      <c r="L305" s="169"/>
      <c r="M305" s="281"/>
      <c r="N305" s="268"/>
    </row>
    <row r="306" spans="10:14">
      <c r="J306" s="266"/>
      <c r="K306" s="156"/>
      <c r="L306" s="169"/>
      <c r="M306" s="281"/>
      <c r="N306" s="268"/>
    </row>
    <row r="307" spans="10:14">
      <c r="J307" s="266"/>
      <c r="K307" s="156"/>
      <c r="L307" s="169"/>
      <c r="N307" s="268"/>
    </row>
    <row r="308" spans="10:14">
      <c r="J308" s="266"/>
      <c r="K308" s="156"/>
      <c r="L308" s="169"/>
      <c r="N308" s="268"/>
    </row>
    <row r="309" spans="10:14">
      <c r="J309" s="266"/>
      <c r="K309" s="156"/>
      <c r="L309" s="169"/>
      <c r="N309" s="268"/>
    </row>
    <row r="310" spans="10:14">
      <c r="J310" s="266"/>
      <c r="K310" s="156"/>
      <c r="L310" s="169"/>
      <c r="N310" s="268"/>
    </row>
    <row r="311" spans="10:14">
      <c r="J311" s="266"/>
      <c r="K311" s="156"/>
      <c r="L311" s="169"/>
      <c r="N311" s="268"/>
    </row>
    <row r="312" spans="10:14">
      <c r="J312" s="266"/>
      <c r="K312" s="156"/>
      <c r="L312" s="169"/>
      <c r="N312" s="268"/>
    </row>
    <row r="313" spans="10:14">
      <c r="J313" s="266"/>
      <c r="K313" s="156"/>
      <c r="L313" s="169"/>
      <c r="N313" s="268"/>
    </row>
    <row r="314" spans="10:14">
      <c r="J314" s="266"/>
      <c r="K314" s="156"/>
      <c r="L314" s="169"/>
      <c r="N314" s="268"/>
    </row>
    <row r="315" spans="10:14">
      <c r="J315" s="266"/>
      <c r="K315" s="156"/>
      <c r="L315" s="169"/>
      <c r="N315" s="268"/>
    </row>
    <row r="316" spans="10:14">
      <c r="J316" s="266"/>
      <c r="K316" s="156"/>
      <c r="L316" s="169"/>
      <c r="N316" s="268"/>
    </row>
    <row r="317" spans="10:14">
      <c r="J317" s="266"/>
      <c r="K317" s="156"/>
      <c r="L317" s="169"/>
      <c r="N317" s="268"/>
    </row>
    <row r="318" spans="10:14">
      <c r="J318" s="266"/>
      <c r="K318" s="156"/>
      <c r="L318" s="169"/>
      <c r="N318" s="268"/>
    </row>
    <row r="319" spans="10:14">
      <c r="J319" s="266"/>
      <c r="K319" s="156"/>
      <c r="L319" s="169"/>
      <c r="N319" s="268"/>
    </row>
    <row r="320" spans="10:14">
      <c r="J320" s="266"/>
      <c r="K320" s="156"/>
      <c r="L320" s="169"/>
      <c r="N320" s="268"/>
    </row>
    <row r="321" spans="10:14">
      <c r="J321" s="266"/>
      <c r="K321" s="156"/>
      <c r="L321" s="169"/>
      <c r="N321" s="268"/>
    </row>
    <row r="322" spans="10:14">
      <c r="J322" s="266"/>
      <c r="K322" s="156"/>
      <c r="L322" s="169"/>
      <c r="N322" s="268"/>
    </row>
    <row r="323" spans="10:14">
      <c r="J323" s="266"/>
      <c r="K323" s="156"/>
      <c r="L323" s="169"/>
      <c r="N323" s="268"/>
    </row>
    <row r="324" spans="10:14">
      <c r="J324" s="266"/>
      <c r="K324" s="156"/>
      <c r="L324" s="169"/>
      <c r="N324" s="268"/>
    </row>
    <row r="325" spans="10:14">
      <c r="J325" s="266"/>
      <c r="K325" s="156"/>
      <c r="L325" s="169"/>
      <c r="N325" s="268"/>
    </row>
    <row r="326" spans="10:14">
      <c r="J326" s="266"/>
      <c r="K326" s="156"/>
      <c r="L326" s="169"/>
      <c r="N326" s="268"/>
    </row>
    <row r="327" spans="10:14">
      <c r="J327" s="266"/>
      <c r="K327" s="156"/>
      <c r="L327" s="169"/>
      <c r="N327" s="268"/>
    </row>
    <row r="328" spans="10:14">
      <c r="J328" s="266"/>
      <c r="K328" s="156"/>
      <c r="L328" s="169"/>
      <c r="N328" s="268"/>
    </row>
    <row r="329" spans="10:14">
      <c r="J329" s="266"/>
      <c r="K329" s="156"/>
      <c r="L329" s="169"/>
      <c r="N329" s="268"/>
    </row>
    <row r="330" spans="10:14">
      <c r="J330" s="266"/>
      <c r="K330" s="156"/>
      <c r="L330" s="169"/>
      <c r="N330" s="268"/>
    </row>
    <row r="331" spans="10:14">
      <c r="J331" s="266"/>
      <c r="K331" s="156"/>
      <c r="L331" s="169"/>
      <c r="N331" s="268"/>
    </row>
    <row r="332" spans="10:14">
      <c r="J332" s="266"/>
      <c r="K332" s="156"/>
      <c r="L332" s="169"/>
      <c r="N332" s="268"/>
    </row>
    <row r="333" spans="10:14">
      <c r="J333" s="266"/>
      <c r="K333" s="156"/>
      <c r="L333" s="169"/>
      <c r="N333" s="268"/>
    </row>
    <row r="334" spans="10:14">
      <c r="J334" s="266"/>
      <c r="K334" s="156"/>
      <c r="L334" s="169"/>
      <c r="N334" s="268"/>
    </row>
    <row r="335" spans="10:14">
      <c r="J335" s="266"/>
      <c r="K335" s="156"/>
      <c r="L335" s="169"/>
      <c r="N335" s="268"/>
    </row>
    <row r="336" spans="10:14">
      <c r="J336" s="266"/>
      <c r="K336" s="156"/>
      <c r="L336" s="169"/>
      <c r="N336" s="268"/>
    </row>
    <row r="337" spans="10:14">
      <c r="J337" s="266"/>
      <c r="K337" s="156"/>
      <c r="L337" s="169"/>
      <c r="N337" s="268"/>
    </row>
    <row r="338" spans="10:14">
      <c r="J338" s="266"/>
      <c r="K338" s="156"/>
      <c r="L338" s="169"/>
      <c r="N338" s="268"/>
    </row>
    <row r="339" spans="10:14">
      <c r="J339" s="266"/>
      <c r="K339" s="156"/>
      <c r="L339" s="169"/>
      <c r="N339" s="268"/>
    </row>
    <row r="340" spans="10:14">
      <c r="J340" s="266"/>
      <c r="K340" s="156"/>
      <c r="L340" s="169"/>
      <c r="N340" s="268"/>
    </row>
    <row r="341" spans="10:14">
      <c r="J341" s="266"/>
      <c r="K341" s="156"/>
      <c r="L341" s="169"/>
      <c r="N341" s="268"/>
    </row>
    <row r="342" spans="10:14">
      <c r="J342" s="266"/>
      <c r="K342" s="156"/>
      <c r="L342" s="169"/>
      <c r="N342" s="268"/>
    </row>
    <row r="343" spans="10:14">
      <c r="J343" s="266"/>
      <c r="K343" s="156"/>
      <c r="L343" s="169"/>
      <c r="N343" s="268"/>
    </row>
    <row r="344" spans="10:14">
      <c r="J344" s="266"/>
      <c r="K344" s="156"/>
      <c r="L344" s="169"/>
      <c r="N344" s="41"/>
    </row>
    <row r="345" spans="10:14">
      <c r="J345" s="266"/>
      <c r="K345" s="156"/>
      <c r="L345" s="169"/>
      <c r="N345" s="41"/>
    </row>
    <row r="346" spans="10:14">
      <c r="J346" s="266"/>
      <c r="K346" s="156"/>
      <c r="L346" s="169"/>
      <c r="N346" s="41"/>
    </row>
    <row r="347" spans="10:14">
      <c r="J347" s="266"/>
      <c r="K347" s="156"/>
      <c r="L347" s="169"/>
      <c r="N347" s="41"/>
    </row>
    <row r="348" spans="10:14">
      <c r="J348" s="266"/>
      <c r="K348" s="156"/>
      <c r="L348" s="169"/>
      <c r="N348" s="41"/>
    </row>
    <row r="349" spans="10:14">
      <c r="J349" s="266"/>
      <c r="K349" s="156"/>
      <c r="L349" s="169"/>
      <c r="N349" s="41"/>
    </row>
    <row r="350" spans="10:14">
      <c r="J350" s="266"/>
      <c r="K350" s="156"/>
      <c r="L350" s="169"/>
      <c r="N350" s="41"/>
    </row>
    <row r="351" spans="10:14">
      <c r="J351" s="266"/>
      <c r="K351" s="156"/>
      <c r="L351" s="169"/>
      <c r="N351" s="41"/>
    </row>
    <row r="352" spans="10:14">
      <c r="J352" s="273"/>
      <c r="K352" s="156"/>
      <c r="L352" s="169"/>
      <c r="N352" s="41"/>
    </row>
    <row r="353" spans="10:14">
      <c r="J353" s="273"/>
      <c r="K353" s="287"/>
      <c r="L353" s="287"/>
      <c r="N353" s="41"/>
    </row>
    <row r="354" spans="10:14">
      <c r="J354" s="266"/>
      <c r="K354" s="288"/>
      <c r="L354" s="288"/>
      <c r="N354" s="41"/>
    </row>
    <row r="355" spans="10:14">
      <c r="J355" s="266"/>
      <c r="K355" s="288"/>
      <c r="L355" s="288"/>
      <c r="N355" s="41"/>
    </row>
    <row r="356" spans="10:14">
      <c r="J356" s="266"/>
      <c r="K356" s="287"/>
      <c r="L356" s="287"/>
      <c r="N356" s="17"/>
    </row>
    <row r="357" spans="10:14">
      <c r="J357" s="266"/>
      <c r="K357" s="287"/>
      <c r="L357" s="287"/>
      <c r="N357" s="17"/>
    </row>
    <row r="358" spans="10:14">
      <c r="J358" s="266"/>
      <c r="K358" s="287"/>
      <c r="L358" s="287"/>
      <c r="N358" s="41"/>
    </row>
    <row r="359" spans="10:14">
      <c r="J359" s="266"/>
      <c r="K359" s="287"/>
      <c r="L359" s="287"/>
      <c r="N359" s="41"/>
    </row>
    <row r="360" spans="10:14">
      <c r="J360" s="266"/>
      <c r="K360" s="41"/>
      <c r="L360" s="287"/>
      <c r="N360" s="41"/>
    </row>
    <row r="361" spans="10:14">
      <c r="J361" s="266"/>
      <c r="K361" s="41"/>
      <c r="L361" s="41"/>
      <c r="N361" s="41"/>
    </row>
    <row r="362" spans="10:14">
      <c r="J362" s="266"/>
      <c r="K362" s="276"/>
      <c r="L362" s="276"/>
      <c r="N362" s="41"/>
    </row>
    <row r="363" spans="10:14">
      <c r="J363" s="266"/>
      <c r="K363" s="276"/>
      <c r="L363" s="276"/>
      <c r="N363" s="41"/>
    </row>
    <row r="364" spans="10:14">
      <c r="J364" s="266"/>
      <c r="K364" s="276"/>
      <c r="L364" s="276"/>
      <c r="N364" s="276"/>
    </row>
    <row r="365" spans="10:14">
      <c r="J365" s="266"/>
      <c r="K365" s="9"/>
      <c r="L365" s="9"/>
      <c r="N365" s="276"/>
    </row>
    <row r="366" spans="10:14">
      <c r="J366" s="266"/>
      <c r="K366" s="14"/>
      <c r="L366" s="14"/>
      <c r="N366" s="276"/>
    </row>
    <row r="367" spans="10:14">
      <c r="J367" s="266"/>
      <c r="K367" s="14"/>
      <c r="L367" s="14"/>
      <c r="N367" s="9"/>
    </row>
    <row r="368" spans="10:14">
      <c r="J368" s="266"/>
      <c r="N368" s="14"/>
    </row>
    <row r="369" spans="10:14">
      <c r="J369" s="266"/>
      <c r="N369" s="14"/>
    </row>
    <row r="370" spans="10:14">
      <c r="J370" s="266"/>
    </row>
    <row r="371" spans="10:14">
      <c r="J371" s="266"/>
    </row>
    <row r="372" spans="10:14">
      <c r="J372" s="266"/>
    </row>
    <row r="373" spans="10:14">
      <c r="J373" s="266"/>
    </row>
    <row r="374" spans="10:14">
      <c r="J374" s="266"/>
    </row>
    <row r="375" spans="10:14">
      <c r="J375" s="266"/>
    </row>
    <row r="376" spans="10:14">
      <c r="J376" s="266"/>
    </row>
    <row r="377" spans="10:14">
      <c r="J377" s="266"/>
    </row>
    <row r="378" spans="10:14">
      <c r="J378" s="266"/>
    </row>
    <row r="379" spans="10:14">
      <c r="J379" s="266"/>
    </row>
    <row r="380" spans="10:14">
      <c r="J380" s="266"/>
    </row>
    <row r="381" spans="10:14">
      <c r="J381" s="266"/>
    </row>
    <row r="382" spans="10:14">
      <c r="J382" s="266"/>
    </row>
    <row r="383" spans="10:14">
      <c r="J383" s="266"/>
    </row>
    <row r="384" spans="10:14">
      <c r="J384" s="266"/>
    </row>
    <row r="385" spans="10:10">
      <c r="J385" s="266"/>
    </row>
    <row r="386" spans="10:10">
      <c r="J386" s="266"/>
    </row>
    <row r="387" spans="10:10">
      <c r="J387" s="266"/>
    </row>
    <row r="388" spans="10:10">
      <c r="J388" s="289"/>
    </row>
    <row r="389" spans="10:10">
      <c r="J389" s="289"/>
    </row>
    <row r="390" spans="10:10">
      <c r="J390" s="289"/>
    </row>
    <row r="391" spans="10:10">
      <c r="J391" s="290"/>
    </row>
    <row r="392" spans="10:10">
      <c r="J392" s="283"/>
    </row>
    <row r="393" spans="10:10">
      <c r="J393" s="283"/>
    </row>
  </sheetData>
  <dataConsolidate/>
  <mergeCells count="10">
    <mergeCell ref="A81:H81"/>
    <mergeCell ref="B5:B7"/>
    <mergeCell ref="C5:G5"/>
    <mergeCell ref="H5:H7"/>
    <mergeCell ref="C6:C7"/>
    <mergeCell ref="D6:D7"/>
    <mergeCell ref="E6:E7"/>
    <mergeCell ref="F6:F7"/>
    <mergeCell ref="G6:G7"/>
    <mergeCell ref="A5:A7"/>
  </mergeCells>
  <phoneticPr fontId="104" type="noConversion"/>
  <conditionalFormatting sqref="A27:A38">
    <cfRule type="expression" dxfId="32" priority="45">
      <formula>MONTH(A27)=1</formula>
    </cfRule>
  </conditionalFormatting>
  <conditionalFormatting sqref="A39:A55 A57:A58">
    <cfRule type="expression" dxfId="31" priority="43">
      <formula>MONTH(A39)=1</formula>
    </cfRule>
  </conditionalFormatting>
  <conditionalFormatting sqref="A57:A58">
    <cfRule type="expression" dxfId="30" priority="42">
      <formula>MONTH(A57)=1</formula>
    </cfRule>
  </conditionalFormatting>
  <conditionalFormatting sqref="A57:A58">
    <cfRule type="expression" dxfId="29" priority="41">
      <formula>MONTH(A57)=1</formula>
    </cfRule>
  </conditionalFormatting>
  <conditionalFormatting sqref="A56">
    <cfRule type="expression" dxfId="28" priority="40">
      <formula>MONTH(A56)=1</formula>
    </cfRule>
  </conditionalFormatting>
  <conditionalFormatting sqref="A58">
    <cfRule type="expression" dxfId="27" priority="39">
      <formula>MONTH(A58)=1</formula>
    </cfRule>
  </conditionalFormatting>
  <conditionalFormatting sqref="A58">
    <cfRule type="expression" dxfId="26" priority="38">
      <formula>MONTH(A58)=1</formula>
    </cfRule>
  </conditionalFormatting>
  <conditionalFormatting sqref="A58">
    <cfRule type="expression" dxfId="25" priority="37">
      <formula>MONTH(A58)=1</formula>
    </cfRule>
  </conditionalFormatting>
  <conditionalFormatting sqref="A59">
    <cfRule type="expression" dxfId="24" priority="30">
      <formula>MONTH(A59)=1</formula>
    </cfRule>
  </conditionalFormatting>
  <conditionalFormatting sqref="A59">
    <cfRule type="expression" dxfId="23" priority="29">
      <formula>MONTH(A59)=1</formula>
    </cfRule>
  </conditionalFormatting>
  <conditionalFormatting sqref="A59">
    <cfRule type="expression" dxfId="22" priority="28">
      <formula>MONTH(A59)=1</formula>
    </cfRule>
  </conditionalFormatting>
  <conditionalFormatting sqref="A59">
    <cfRule type="expression" dxfId="21" priority="27">
      <formula>MONTH(A59)=1</formula>
    </cfRule>
  </conditionalFormatting>
  <conditionalFormatting sqref="A59">
    <cfRule type="expression" dxfId="20" priority="26">
      <formula>MONTH(A59)=1</formula>
    </cfRule>
  </conditionalFormatting>
  <conditionalFormatting sqref="A59">
    <cfRule type="expression" dxfId="19" priority="25">
      <formula>MONTH(A59)=1</formula>
    </cfRule>
  </conditionalFormatting>
  <conditionalFormatting sqref="A60">
    <cfRule type="expression" dxfId="18" priority="18">
      <formula>MONTH(A60)=1</formula>
    </cfRule>
  </conditionalFormatting>
  <conditionalFormatting sqref="A60">
    <cfRule type="expression" dxfId="17" priority="17">
      <formula>MONTH(A60)=1</formula>
    </cfRule>
  </conditionalFormatting>
  <conditionalFormatting sqref="A60">
    <cfRule type="expression" dxfId="16" priority="16">
      <formula>MONTH(A60)=1</formula>
    </cfRule>
  </conditionalFormatting>
  <conditionalFormatting sqref="A60">
    <cfRule type="expression" dxfId="15" priority="15">
      <formula>MONTH(A60)=1</formula>
    </cfRule>
  </conditionalFormatting>
  <conditionalFormatting sqref="A60">
    <cfRule type="expression" dxfId="14" priority="14">
      <formula>MONTH(A60)=1</formula>
    </cfRule>
  </conditionalFormatting>
  <conditionalFormatting sqref="A60">
    <cfRule type="expression" dxfId="13" priority="13">
      <formula>MONTH(A60)=1</formula>
    </cfRule>
  </conditionalFormatting>
  <conditionalFormatting sqref="A61:A67">
    <cfRule type="expression" dxfId="12" priority="12">
      <formula>MONTH(A61)=1</formula>
    </cfRule>
  </conditionalFormatting>
  <conditionalFormatting sqref="A61:A67">
    <cfRule type="expression" dxfId="11" priority="11">
      <formula>MONTH(A61)=1</formula>
    </cfRule>
  </conditionalFormatting>
  <conditionalFormatting sqref="A61:A67">
    <cfRule type="expression" dxfId="10" priority="10">
      <formula>MONTH(A61)=1</formula>
    </cfRule>
  </conditionalFormatting>
  <conditionalFormatting sqref="A61:A67">
    <cfRule type="expression" dxfId="9" priority="9">
      <formula>MONTH(A61)=1</formula>
    </cfRule>
  </conditionalFormatting>
  <conditionalFormatting sqref="A61:A67">
    <cfRule type="expression" dxfId="8" priority="8">
      <formula>MONTH(A61)=1</formula>
    </cfRule>
  </conditionalFormatting>
  <conditionalFormatting sqref="A61:A67">
    <cfRule type="expression" dxfId="7" priority="7">
      <formula>MONTH(A61)=1</formula>
    </cfRule>
  </conditionalFormatting>
  <conditionalFormatting sqref="A68:A70 A78">
    <cfRule type="expression" dxfId="6" priority="6">
      <formula>MONTH(A68)=1</formula>
    </cfRule>
  </conditionalFormatting>
  <conditionalFormatting sqref="A71:A73">
    <cfRule type="expression" dxfId="5" priority="5">
      <formula>MONTH(A71)=1</formula>
    </cfRule>
  </conditionalFormatting>
  <conditionalFormatting sqref="A74:A77">
    <cfRule type="expression" dxfId="4" priority="2">
      <formula>MONTH(A74)=1</formula>
    </cfRule>
  </conditionalFormatting>
  <pageMargins left="0.78740157480314965" right="0.78740157480314965" top="1.1417322834645669" bottom="1.1417322834645669" header="0.51181102362204722" footer="0.51181102362204722"/>
  <pageSetup paperSize="9" scale="5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8</vt:i4>
      </vt:variant>
    </vt:vector>
  </HeadingPairs>
  <TitlesOfParts>
    <vt:vector size="19" baseType="lpstr">
      <vt:lpstr>1.제조업 생산활동</vt:lpstr>
      <vt:lpstr>2.소매판매액지수, 대형소매점 판매액지수 및 서비스업 생</vt:lpstr>
      <vt:lpstr>3.건설활동</vt:lpstr>
      <vt:lpstr>4.수출입</vt:lpstr>
      <vt:lpstr>5.취업자수 및 실업률</vt:lpstr>
      <vt:lpstr>6.소비자물가, 주택 및 토지가격지수</vt:lpstr>
      <vt:lpstr>7. 기업경기지수</vt:lpstr>
      <vt:lpstr>8. 소비자동향지수</vt:lpstr>
      <vt:lpstr>9.자동차 신규등록대수</vt:lpstr>
      <vt:lpstr>10. 전력사용량</vt:lpstr>
      <vt:lpstr>11. 지역고유통계</vt:lpstr>
      <vt:lpstr>'10. 전력사용량'!Print_Area</vt:lpstr>
      <vt:lpstr>'2.소매판매액지수, 대형소매점 판매액지수 및 서비스업 생'!Print_Area</vt:lpstr>
      <vt:lpstr>'3.건설활동'!Print_Area</vt:lpstr>
      <vt:lpstr>'4.수출입'!Print_Area</vt:lpstr>
      <vt:lpstr>'5.취업자수 및 실업률'!Print_Area</vt:lpstr>
      <vt:lpstr>'6.소비자물가, 주택 및 토지가격지수'!Print_Area</vt:lpstr>
      <vt:lpstr>'7. 기업경기지수'!Print_Area</vt:lpstr>
      <vt:lpstr>'9.자동차 신규등록대수'!Print_Area</vt:lpstr>
    </vt:vector>
  </TitlesOfParts>
  <Company>한국은행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한국은행</dc:creator>
  <cp:lastModifiedBy>이도홍</cp:lastModifiedBy>
  <cp:lastPrinted>2022-04-19T05:47:22Z</cp:lastPrinted>
  <dcterms:created xsi:type="dcterms:W3CDTF">2000-11-10T04:13:46Z</dcterms:created>
  <dcterms:modified xsi:type="dcterms:W3CDTF">2026-05-28T04:51:26Z</dcterms:modified>
</cp:coreProperties>
</file>