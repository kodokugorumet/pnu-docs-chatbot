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24226"/>
  <mc:AlternateContent xmlns:mc="http://schemas.openxmlformats.org/markup-compatibility/2006">
    <mc:Choice Requires="x15">
      <x15ac:absPath xmlns:x15ac="http://schemas.microsoft.com/office/spreadsheetml/2010/11/ac" url="S:\목포기획조사팀\G5\2. 여수신동향\2026년\202604\"/>
    </mc:Choice>
  </mc:AlternateContent>
  <xr:revisionPtr revIDLastSave="0" documentId="13_ncr:1_{149CDB4E-B12E-4E90-A453-84A6CAD63609}" xr6:coauthVersionLast="36" xr6:coauthVersionMax="36" xr10:uidLastSave="{00000000-0000-0000-0000-000000000000}"/>
  <bookViews>
    <workbookView xWindow="0" yWindow="0" windowWidth="21495" windowHeight="5625" tabRatio="928" xr2:uid="{00000000-000D-0000-FFFF-FFFF00000000}"/>
  </bookViews>
  <sheets>
    <sheet name="목차" sheetId="22" r:id="rId1"/>
    <sheet name="1.1. 예금은행 예금" sheetId="28" r:id="rId2"/>
    <sheet name="1.1.1. 요구불예금" sheetId="29" r:id="rId3"/>
    <sheet name="1.1.2. 저축성예금" sheetId="30" r:id="rId4"/>
    <sheet name="1.2.1. 자금별 대출금" sheetId="31" r:id="rId5"/>
    <sheet name="1.2.2. 주체별·용도별 대출금" sheetId="32" r:id="rId6"/>
    <sheet name="1.2.3. 기업자금 대출금" sheetId="33" r:id="rId7"/>
    <sheet name="1.2.4. 산업별 대출금" sheetId="34" r:id="rId8"/>
    <sheet name="2.1. 비은행 수신" sheetId="35" r:id="rId9"/>
    <sheet name="2.2. 비은행 여신" sheetId="36" r:id="rId10"/>
    <sheet name="3. 어음부도율" sheetId="26" r:id="rId11"/>
  </sheets>
  <definedNames>
    <definedName name="_xlnm.Print_Area" localSheetId="10">'3. 어음부도율'!$A$1:$G$40</definedName>
    <definedName name="_xlnm.Print_Titles" localSheetId="10">'3. 어음부도율'!$A:$A,'3. 어음부도율'!$2:$3</definedName>
  </definedNames>
  <calcPr calcId="191029"/>
</workbook>
</file>

<file path=xl/calcChain.xml><?xml version="1.0" encoding="utf-8"?>
<calcChain xmlns="http://schemas.openxmlformats.org/spreadsheetml/2006/main">
  <c r="B8" i="35" l="1"/>
  <c r="B9" i="35"/>
  <c r="B10" i="35"/>
  <c r="B11" i="35"/>
  <c r="B12" i="35"/>
  <c r="B13" i="35"/>
  <c r="B7" i="35"/>
  <c r="F133" i="28" l="1"/>
  <c r="C133" i="28"/>
  <c r="B133" i="28" s="1"/>
  <c r="I129" i="29" l="1"/>
</calcChain>
</file>

<file path=xl/sharedStrings.xml><?xml version="1.0" encoding="utf-8"?>
<sst xmlns="http://schemas.openxmlformats.org/spreadsheetml/2006/main" count="1218" uniqueCount="310">
  <si>
    <t>교환금액</t>
  </si>
  <si>
    <t>부도금액</t>
  </si>
  <si>
    <t>부도율</t>
  </si>
  <si>
    <t>전국</t>
  </si>
  <si>
    <t>지방</t>
  </si>
  <si>
    <t>광주전남</t>
  </si>
  <si>
    <t>목차</t>
    <phoneticPr fontId="15" type="noConversion"/>
  </si>
  <si>
    <t>전남서남부지역 주요 금융지표</t>
    <phoneticPr fontId="15" type="noConversion"/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</si>
  <si>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</si>
  <si>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</si>
  <si>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</si>
  <si>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</si>
  <si>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</si>
  <si>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</si>
  <si>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</si>
  <si>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</si>
  <si>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</si>
  <si>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</si>
  <si>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</si>
  <si>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</si>
  <si>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</si>
  <si>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</si>
  <si>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</si>
  <si>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</si>
  <si>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</si>
  <si>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</si>
  <si>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</si>
  <si>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</si>
  <si>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</si>
  <si>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</si>
  <si>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</si>
  <si>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</si>
  <si>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</si>
  <si>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</si>
  <si>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</si>
  <si>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</si>
  <si>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</si>
  <si>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</si>
  <si>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</si>
  <si>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</si>
  <si>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</si>
  <si>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</si>
  <si>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</si>
  <si>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</si>
  <si>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</si>
  <si>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* 금융기관의 수정보고 등에 따라 일부 금융지표는 추후 변경될 수 있습니다.</t>
    <phoneticPr fontId="15" type="noConversion"/>
  </si>
  <si>
    <t>201702</t>
  </si>
  <si>
    <t>1.1. 예금은행 예금</t>
    <phoneticPr fontId="15" type="noConversion"/>
  </si>
  <si>
    <t>1.1.1. 예금은행 요구불예금</t>
    <phoneticPr fontId="15" type="noConversion"/>
  </si>
  <si>
    <t>1.1.2. 예금은행 저축성예금</t>
    <phoneticPr fontId="15" type="noConversion"/>
  </si>
  <si>
    <t>1.2.1. 자금별 대출금</t>
    <phoneticPr fontId="15" type="noConversion"/>
  </si>
  <si>
    <t>1.2.2. 주체별 및 용도별 대출금</t>
    <phoneticPr fontId="15" type="noConversion"/>
  </si>
  <si>
    <t>1.2.3. 기업자금 대출금</t>
    <phoneticPr fontId="15" type="noConversion"/>
  </si>
  <si>
    <t>1.2.4. 산업별 대출금</t>
    <phoneticPr fontId="15" type="noConversion"/>
  </si>
  <si>
    <t>2.1. 비은행예금취급기관 수신</t>
    <phoneticPr fontId="15" type="noConversion"/>
  </si>
  <si>
    <t>2.2. 비은행예금취급기관 여신</t>
    <phoneticPr fontId="15" type="noConversion"/>
  </si>
  <si>
    <t>3. 어음부도율동향</t>
    <phoneticPr fontId="15" type="noConversion"/>
  </si>
  <si>
    <r>
      <t xml:space="preserve"> 금융지표</t>
    </r>
    <r>
      <rPr>
        <b/>
        <vertAlign val="superscript"/>
        <sz val="12"/>
        <rFont val="맑은 고딕"/>
        <family val="3"/>
        <charset val="129"/>
        <scheme val="minor"/>
      </rPr>
      <t>*</t>
    </r>
    <phoneticPr fontId="15" type="noConversion"/>
  </si>
  <si>
    <t>1. 예금은행</t>
    <phoneticPr fontId="34" type="noConversion"/>
  </si>
  <si>
    <t>(억원)</t>
    <phoneticPr fontId="34" type="noConversion"/>
  </si>
  <si>
    <t>연월말</t>
    <phoneticPr fontId="34" type="noConversion"/>
  </si>
  <si>
    <t>총수신</t>
    <phoneticPr fontId="34" type="noConversion"/>
  </si>
  <si>
    <t>예금</t>
    <phoneticPr fontId="34" type="noConversion"/>
  </si>
  <si>
    <t>시장성 수신</t>
    <phoneticPr fontId="34" type="noConversion"/>
  </si>
  <si>
    <t>소계</t>
    <phoneticPr fontId="34" type="noConversion"/>
  </si>
  <si>
    <t>요구불예금</t>
    <phoneticPr fontId="34" type="noConversion"/>
  </si>
  <si>
    <t>저축성예금</t>
    <phoneticPr fontId="34" type="noConversion"/>
  </si>
  <si>
    <t>CD</t>
    <phoneticPr fontId="34" type="noConversion"/>
  </si>
  <si>
    <t>금융채</t>
    <phoneticPr fontId="34" type="noConversion"/>
  </si>
  <si>
    <t>매출어음</t>
    <phoneticPr fontId="34" type="noConversion"/>
  </si>
  <si>
    <t>RP</t>
  </si>
  <si>
    <t>201703</t>
  </si>
  <si>
    <t>연월말</t>
    <phoneticPr fontId="34" type="noConversion"/>
  </si>
  <si>
    <t>총예금</t>
    <phoneticPr fontId="34" type="noConversion"/>
  </si>
  <si>
    <t>요구불예금</t>
    <phoneticPr fontId="34" type="noConversion"/>
  </si>
  <si>
    <t>소계</t>
    <phoneticPr fontId="34" type="noConversion"/>
  </si>
  <si>
    <t>당좌예금</t>
    <phoneticPr fontId="34" type="noConversion"/>
  </si>
  <si>
    <t>가계당좌예금</t>
    <phoneticPr fontId="34" type="noConversion"/>
  </si>
  <si>
    <t>보통예금</t>
    <phoneticPr fontId="34" type="noConversion"/>
  </si>
  <si>
    <t>별단예금</t>
    <phoneticPr fontId="34" type="noConversion"/>
  </si>
  <si>
    <t>공금예금</t>
    <phoneticPr fontId="34" type="noConversion"/>
  </si>
  <si>
    <r>
      <t>기타</t>
    </r>
    <r>
      <rPr>
        <vertAlign val="superscript"/>
        <sz val="11"/>
        <color theme="1"/>
        <rFont val="맑은 고딕"/>
        <family val="3"/>
        <charset val="129"/>
        <scheme val="minor"/>
      </rPr>
      <t>1)</t>
    </r>
    <phoneticPr fontId="34" type="noConversion"/>
  </si>
  <si>
    <t>1. 예금은행</t>
    <phoneticPr fontId="34" type="noConversion"/>
  </si>
  <si>
    <t>(억원)</t>
    <phoneticPr fontId="34" type="noConversion"/>
  </si>
  <si>
    <t>연월말</t>
    <phoneticPr fontId="34" type="noConversion"/>
  </si>
  <si>
    <t>저축성예금</t>
    <phoneticPr fontId="34" type="noConversion"/>
  </si>
  <si>
    <t>소계</t>
    <phoneticPr fontId="34" type="noConversion"/>
  </si>
  <si>
    <t>정기예금</t>
    <phoneticPr fontId="34" type="noConversion"/>
  </si>
  <si>
    <t>정기적금</t>
    <phoneticPr fontId="34" type="noConversion"/>
  </si>
  <si>
    <t>저축예금</t>
    <phoneticPr fontId="34" type="noConversion"/>
  </si>
  <si>
    <t>기업자유예금</t>
    <phoneticPr fontId="34" type="noConversion"/>
  </si>
  <si>
    <t>수입부금</t>
    <phoneticPr fontId="34" type="noConversion"/>
  </si>
  <si>
    <t>주택부금</t>
    <phoneticPr fontId="34" type="noConversion"/>
  </si>
  <si>
    <r>
      <t>기타</t>
    </r>
    <r>
      <rPr>
        <vertAlign val="superscript"/>
        <sz val="11"/>
        <color theme="1"/>
        <rFont val="맑은 고딕"/>
        <family val="3"/>
        <charset val="129"/>
        <scheme val="minor"/>
      </rPr>
      <t>1)</t>
    </r>
    <phoneticPr fontId="34" type="noConversion"/>
  </si>
  <si>
    <t>총대출금</t>
    <phoneticPr fontId="34" type="noConversion"/>
  </si>
  <si>
    <t>금융자금</t>
    <phoneticPr fontId="34" type="noConversion"/>
  </si>
  <si>
    <t>소계</t>
    <phoneticPr fontId="34" type="noConversion"/>
  </si>
  <si>
    <t>할인어음</t>
    <phoneticPr fontId="34" type="noConversion"/>
  </si>
  <si>
    <t>당좌대출</t>
    <phoneticPr fontId="34" type="noConversion"/>
  </si>
  <si>
    <t>일반자금</t>
    <phoneticPr fontId="34" type="noConversion"/>
  </si>
  <si>
    <t>기타</t>
    <phoneticPr fontId="34" type="noConversion"/>
  </si>
  <si>
    <t>1. 예금은행</t>
    <phoneticPr fontId="34" type="noConversion"/>
  </si>
  <si>
    <t>(억원)</t>
    <phoneticPr fontId="34" type="noConversion"/>
  </si>
  <si>
    <t>연월말</t>
    <phoneticPr fontId="34" type="noConversion"/>
  </si>
  <si>
    <t>총대출금</t>
    <phoneticPr fontId="34" type="noConversion"/>
  </si>
  <si>
    <t>주체별</t>
    <phoneticPr fontId="34" type="noConversion"/>
  </si>
  <si>
    <t>용도별</t>
    <phoneticPr fontId="34" type="noConversion"/>
  </si>
  <si>
    <t>기업</t>
    <phoneticPr fontId="34" type="noConversion"/>
  </si>
  <si>
    <t>가계</t>
    <phoneticPr fontId="34" type="noConversion"/>
  </si>
  <si>
    <t>운전자금</t>
    <phoneticPr fontId="34" type="noConversion"/>
  </si>
  <si>
    <t>시설자금</t>
    <phoneticPr fontId="34" type="noConversion"/>
  </si>
  <si>
    <t>1. 예금은행</t>
    <phoneticPr fontId="34" type="noConversion"/>
  </si>
  <si>
    <t>(억원, %)</t>
    <phoneticPr fontId="34" type="noConversion"/>
  </si>
  <si>
    <t>연월말</t>
    <phoneticPr fontId="34" type="noConversion"/>
  </si>
  <si>
    <t>총대출금</t>
    <phoneticPr fontId="34" type="noConversion"/>
  </si>
  <si>
    <t>기업자금 대출금</t>
    <phoneticPr fontId="34" type="noConversion"/>
  </si>
  <si>
    <t>소계</t>
    <phoneticPr fontId="34" type="noConversion"/>
  </si>
  <si>
    <t>대기업</t>
    <phoneticPr fontId="34" type="noConversion"/>
  </si>
  <si>
    <t>중소기업</t>
    <phoneticPr fontId="34" type="noConversion"/>
  </si>
  <si>
    <t>운전자금</t>
    <phoneticPr fontId="34" type="noConversion"/>
  </si>
  <si>
    <t>시설자금</t>
    <phoneticPr fontId="34" type="noConversion"/>
  </si>
  <si>
    <r>
      <t xml:space="preserve">중소기업
 </t>
    </r>
    <r>
      <rPr>
        <sz val="11"/>
        <rFont val="맑은 고딕"/>
        <family val="3"/>
        <charset val="129"/>
        <scheme val="minor"/>
      </rPr>
      <t>대출비중</t>
    </r>
    <r>
      <rPr>
        <vertAlign val="superscript"/>
        <sz val="11"/>
        <color theme="1"/>
        <rFont val="맑은 고딕"/>
        <family val="3"/>
        <charset val="129"/>
        <scheme val="minor"/>
      </rPr>
      <t>1)</t>
    </r>
    <phoneticPr fontId="34" type="noConversion"/>
  </si>
  <si>
    <t>농림어업</t>
    <phoneticPr fontId="34" type="noConversion"/>
  </si>
  <si>
    <t>광업</t>
    <phoneticPr fontId="34" type="noConversion"/>
  </si>
  <si>
    <t>제조업</t>
    <phoneticPr fontId="34" type="noConversion"/>
  </si>
  <si>
    <t>전기, 가스
및 수도업</t>
    <phoneticPr fontId="34" type="noConversion"/>
  </si>
  <si>
    <t>건설업</t>
    <phoneticPr fontId="34" type="noConversion"/>
  </si>
  <si>
    <t>도매 및
소매업</t>
    <phoneticPr fontId="34" type="noConversion"/>
  </si>
  <si>
    <t>운수업</t>
    <phoneticPr fontId="34" type="noConversion"/>
  </si>
  <si>
    <t>숙박 및
음식업</t>
    <phoneticPr fontId="34" type="noConversion"/>
  </si>
  <si>
    <t>금융 및
보험업</t>
    <phoneticPr fontId="34" type="noConversion"/>
  </si>
  <si>
    <t>부동산 및
임대업</t>
    <phoneticPr fontId="34" type="noConversion"/>
  </si>
  <si>
    <t>산업별
대출금 합계</t>
    <phoneticPr fontId="34" type="noConversion"/>
  </si>
  <si>
    <t>가계대출</t>
    <phoneticPr fontId="34" type="noConversion"/>
  </si>
  <si>
    <t>대출금 총계</t>
    <phoneticPr fontId="34" type="noConversion"/>
  </si>
  <si>
    <t>비은행예금취급기관</t>
    <phoneticPr fontId="34" type="noConversion"/>
  </si>
  <si>
    <t>계</t>
    <phoneticPr fontId="34" type="noConversion"/>
  </si>
  <si>
    <t>신용협동조합</t>
    <phoneticPr fontId="34" type="noConversion"/>
  </si>
  <si>
    <t>새마을금고</t>
    <phoneticPr fontId="34" type="noConversion"/>
  </si>
  <si>
    <t>상호저축은행</t>
    <phoneticPr fontId="34" type="noConversion"/>
  </si>
  <si>
    <t>(억원)</t>
    <phoneticPr fontId="34" type="noConversion"/>
  </si>
  <si>
    <t>연월말</t>
    <phoneticPr fontId="34" type="noConversion"/>
  </si>
  <si>
    <t>비은행예금취급기관</t>
    <phoneticPr fontId="34" type="noConversion"/>
  </si>
  <si>
    <t>계</t>
    <phoneticPr fontId="34" type="noConversion"/>
  </si>
  <si>
    <t>신용협동조합</t>
    <phoneticPr fontId="34" type="noConversion"/>
  </si>
  <si>
    <t>새마을금고</t>
    <phoneticPr fontId="34" type="noConversion"/>
  </si>
  <si>
    <t>상호저축은행</t>
    <phoneticPr fontId="34" type="noConversion"/>
  </si>
  <si>
    <t>(억원, %)</t>
    <phoneticPr fontId="15" type="noConversion"/>
  </si>
  <si>
    <t>1.1. 전남 서남부지역 예금은행 예금</t>
    <phoneticPr fontId="34" type="noConversion"/>
  </si>
  <si>
    <t>1.1. 전남 서남부지역 예금은행 예금</t>
    <phoneticPr fontId="34" type="noConversion"/>
  </si>
  <si>
    <t>1.1.1 전남 서남부지역 예금은행 요구불예금</t>
    <phoneticPr fontId="34" type="noConversion"/>
  </si>
  <si>
    <t>1.1.2 전남 서남부지역  예금은행 저축성예금</t>
    <phoneticPr fontId="34" type="noConversion"/>
  </si>
  <si>
    <t>1.2. 전남 서남부지역 예금은행 대출금</t>
    <phoneticPr fontId="34" type="noConversion"/>
  </si>
  <si>
    <t>1.2.1 전남 서남부지역 자금별 대출금</t>
    <phoneticPr fontId="34" type="noConversion"/>
  </si>
  <si>
    <t>1.2.2 전남 서남부지역 주체별 및 용도별 대출금</t>
    <phoneticPr fontId="34" type="noConversion"/>
  </si>
  <si>
    <t>1.2.3 전남 서남부지역 기업자금 대출금</t>
    <phoneticPr fontId="34" type="noConversion"/>
  </si>
  <si>
    <r>
      <t>1.2.4 전남 서남부지역 산업별대출금</t>
    </r>
    <r>
      <rPr>
        <vertAlign val="superscript"/>
        <sz val="11"/>
        <color theme="1"/>
        <rFont val="맑은 고딕"/>
        <family val="3"/>
        <charset val="129"/>
        <scheme val="minor"/>
      </rPr>
      <t>1)2)3)</t>
    </r>
    <phoneticPr fontId="34" type="noConversion"/>
  </si>
  <si>
    <t>2.1 전남 서남부지역 비은행예금취급기관 수신</t>
    <phoneticPr fontId="34" type="noConversion"/>
  </si>
  <si>
    <t>2.2 전남 서남부지역 비은행예금취급기관 여신</t>
    <phoneticPr fontId="34" type="noConversion"/>
  </si>
  <si>
    <t>4. 전남 서남부지역 어음부도율 동향</t>
    <phoneticPr fontId="15" type="noConversion"/>
  </si>
  <si>
    <t>201704</t>
  </si>
  <si>
    <t>201705</t>
  </si>
  <si>
    <t xml:space="preserve"> 주: 1) 상호금융, 신탁회사, 신용협동조합, 새마을금고, 상호저축은행, 종합금융회사</t>
  </si>
  <si>
    <t>201706</t>
  </si>
  <si>
    <t xml:space="preserve">      2) 은행간 대출금 및 정부대출금을 제외한 대민간 원화대출금</t>
  </si>
  <si>
    <t xml:space="preserve">      3) 분기별 집계data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</si>
  <si>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</si>
  <si>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</si>
  <si>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</si>
  <si>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</si>
  <si>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</si>
  <si>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</si>
  <si>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</si>
  <si>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</si>
  <si>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</si>
  <si>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</si>
  <si>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</si>
  <si>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</si>
  <si>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</si>
  <si>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</si>
  <si>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</si>
  <si>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</si>
  <si>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</si>
  <si>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</si>
  <si>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</si>
  <si>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</si>
  <si>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</si>
  <si>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</si>
  <si>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</si>
  <si>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</si>
  <si>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</si>
  <si>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</si>
  <si>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</si>
  <si>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</si>
  <si>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</si>
  <si>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</si>
  <si>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 xml:space="preserve"> 주: 1) 차관자금, 국민주택기금 대출금 포함</t>
  </si>
  <si>
    <t>202001</t>
  </si>
  <si>
    <t xml:space="preserve"> 주: 1) 총대출금에서 중소기업대출금이 차지하는 비중</t>
  </si>
  <si>
    <t>202001</t>
    <phoneticPr fontId="34" type="noConversion"/>
  </si>
  <si>
    <t>202002</t>
  </si>
  <si>
    <t>201912</t>
    <phoneticPr fontId="34" type="noConversion"/>
  </si>
  <si>
    <t>202001</t>
    <phoneticPr fontId="34" type="noConversion"/>
  </si>
  <si>
    <t>202002</t>
    <phoneticPr fontId="34" type="noConversion"/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</si>
  <si>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</si>
  <si>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</si>
  <si>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</si>
  <si>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</si>
  <si>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</si>
  <si>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</si>
  <si>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</si>
  <si>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</si>
  <si>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</si>
  <si>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</si>
  <si>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</si>
  <si>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</si>
  <si>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</si>
  <si>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</si>
  <si>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</si>
  <si>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</si>
  <si>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</si>
  <si>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 xml:space="preserve"> 주: 1) 목돈마련저축, 근로자주택마련저축, 근로자장기저축, 기타저축성예금 등</t>
  </si>
  <si>
    <t>202108</t>
  </si>
  <si>
    <t>202109</t>
  </si>
  <si>
    <t>202110</t>
  </si>
  <si>
    <t>202111</t>
  </si>
  <si>
    <t>202111</t>
    <phoneticPr fontId="15" type="noConversion"/>
  </si>
  <si>
    <t>202112</t>
  </si>
  <si>
    <t>202201</t>
  </si>
  <si>
    <t xml:space="preserve"> 주: 1) 국고예금, 기타요구불예금 등 </t>
  </si>
  <si>
    <t>202202</t>
  </si>
  <si>
    <t>202203</t>
  </si>
  <si>
    <r>
      <t>(주택담보대출)</t>
    </r>
    <r>
      <rPr>
        <vertAlign val="superscript"/>
        <sz val="11"/>
        <color theme="1"/>
        <rFont val="맑은 고딕"/>
        <family val="3"/>
        <charset val="129"/>
        <scheme val="minor"/>
      </rPr>
      <t>1)</t>
    </r>
    <phoneticPr fontId="34" type="noConversion"/>
  </si>
  <si>
    <r>
      <t>공공 및
기타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34" type="noConversion"/>
  </si>
  <si>
    <t>202204</t>
  </si>
  <si>
    <t xml:space="preserve"> 주: 1) 전세자금대출, 이주비·중도금대출 등 주택관련대출 포함</t>
  </si>
  <si>
    <t xml:space="preserve">      2) 공공자금대출, 차관자금대출, 주택기금대출 등</t>
  </si>
  <si>
    <t>202205</t>
  </si>
  <si>
    <t>202206</t>
  </si>
  <si>
    <t>202207</t>
  </si>
  <si>
    <t>202207</t>
    <phoneticPr fontId="15" type="noConversion"/>
  </si>
  <si>
    <t>202208</t>
  </si>
  <si>
    <t>202209</t>
    <phoneticPr fontId="15" type="noConversion"/>
  </si>
  <si>
    <t>202210</t>
  </si>
  <si>
    <t>202209</t>
  </si>
  <si>
    <t>202210</t>
    <phoneticPr fontId="15" type="noConversion"/>
  </si>
  <si>
    <t>202211</t>
  </si>
  <si>
    <t>202212</t>
  </si>
  <si>
    <t>202301</t>
  </si>
  <si>
    <t>202301</t>
    <phoneticPr fontId="15" type="noConversion"/>
  </si>
  <si>
    <t>202302</t>
    <phoneticPr fontId="15" type="noConversion"/>
  </si>
  <si>
    <t>202302</t>
    <phoneticPr fontId="15" type="noConversion"/>
  </si>
  <si>
    <r>
      <t>재정자금</t>
    </r>
    <r>
      <rPr>
        <vertAlign val="superscript"/>
        <sz val="11"/>
        <color theme="1"/>
        <rFont val="맑은 고딕"/>
        <family val="3"/>
        <charset val="129"/>
        <scheme val="minor"/>
      </rPr>
      <t>1)</t>
    </r>
    <phoneticPr fontId="34" type="noConversion"/>
  </si>
  <si>
    <t>202303</t>
    <phoneticPr fontId="15" type="noConversion"/>
  </si>
  <si>
    <t>202303</t>
  </si>
  <si>
    <t>202304</t>
  </si>
  <si>
    <t>202304</t>
    <phoneticPr fontId="15" type="noConversion"/>
  </si>
  <si>
    <t>상호금융</t>
    <phoneticPr fontId="34" type="noConversion"/>
  </si>
  <si>
    <t>202305</t>
  </si>
  <si>
    <t>202305</t>
    <phoneticPr fontId="15" type="noConversion"/>
  </si>
  <si>
    <t>202306</t>
  </si>
  <si>
    <t>202306</t>
    <phoneticPr fontId="15" type="noConversion"/>
  </si>
  <si>
    <t>202307</t>
  </si>
  <si>
    <t>202307</t>
    <phoneticPr fontId="15" type="noConversion"/>
  </si>
  <si>
    <t>202307</t>
    <phoneticPr fontId="15" type="noConversion"/>
  </si>
  <si>
    <t>202308</t>
  </si>
  <si>
    <t>202308</t>
    <phoneticPr fontId="15" type="noConversion"/>
  </si>
  <si>
    <t>202309</t>
  </si>
  <si>
    <t>202309</t>
    <phoneticPr fontId="15" type="noConversion"/>
  </si>
  <si>
    <t>202310</t>
  </si>
  <si>
    <t>202310</t>
    <phoneticPr fontId="15" type="noConversion"/>
  </si>
  <si>
    <t>202311</t>
  </si>
  <si>
    <t>202311</t>
    <phoneticPr fontId="15" type="noConversion"/>
  </si>
  <si>
    <t>202312</t>
  </si>
  <si>
    <t>202401</t>
  </si>
  <si>
    <t>202401</t>
    <phoneticPr fontId="34" type="noConversion"/>
  </si>
  <si>
    <t>202402</t>
  </si>
  <si>
    <t>202402</t>
    <phoneticPr fontId="34" type="noConversion"/>
  </si>
  <si>
    <t>202403</t>
  </si>
  <si>
    <t>202404</t>
  </si>
  <si>
    <t>202405</t>
  </si>
  <si>
    <t>202405</t>
    <phoneticPr fontId="15" type="noConversion"/>
  </si>
  <si>
    <t>202406</t>
  </si>
  <si>
    <t>202407</t>
  </si>
  <si>
    <t>202408</t>
  </si>
  <si>
    <t>202409</t>
  </si>
  <si>
    <r>
      <t>2. 비은행예금취급기관</t>
    </r>
    <r>
      <rPr>
        <b/>
        <vertAlign val="superscript"/>
        <sz val="12"/>
        <color theme="1"/>
        <rFont val="맑은 고딕"/>
        <family val="3"/>
        <charset val="129"/>
        <scheme val="minor"/>
      </rPr>
      <t>1)</t>
    </r>
    <phoneticPr fontId="34" type="noConversion"/>
  </si>
  <si>
    <r>
      <t>신탁회사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34" type="noConversion"/>
  </si>
  <si>
    <t xml:space="preserve">      2) 예금은행의 신탁업</t>
    <phoneticPr fontId="15" type="noConversion"/>
  </si>
  <si>
    <t>202410</t>
  </si>
  <si>
    <t>202411</t>
  </si>
  <si>
    <t>202412</t>
  </si>
  <si>
    <t>202501</t>
  </si>
  <si>
    <t>202502</t>
  </si>
  <si>
    <t>202503</t>
  </si>
  <si>
    <t>202504</t>
  </si>
  <si>
    <t xml:space="preserve"> 주: 1) 산업분류는 한국표준산업분류표에 따름(제11차 개정, 2024.7월)</t>
    <phoneticPr fontId="15" type="noConversion"/>
  </si>
  <si>
    <t>※ '산업별 대출금 합계'는 표에 기재된 농림어업, 광업, 제조업 등 항목 외에도 정보통신업, 국제 및 외국기관 등 기타 산업의 대출금이 포함된 금액임</t>
    <phoneticPr fontId="15" type="noConversion"/>
  </si>
  <si>
    <t>202505</t>
  </si>
  <si>
    <t>202506</t>
  </si>
  <si>
    <t>202507</t>
  </si>
  <si>
    <t>202508</t>
  </si>
  <si>
    <t>202509</t>
  </si>
  <si>
    <t>202510</t>
  </si>
  <si>
    <t>202511</t>
  </si>
  <si>
    <t>202512</t>
  </si>
  <si>
    <t>202601</t>
  </si>
  <si>
    <t>202602</t>
  </si>
  <si>
    <t>202603</t>
  </si>
  <si>
    <t>202604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</si>
</sst>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.00_);[Red]\(0.00\)"/>
    <numFmt numFmtId="177" formatCode="#,##0_ "/>
    <numFmt numFmtId="178" formatCode="#,##0_);[Red]\(#,##0\)"/>
  </numFmts>
  <fonts count="49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2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indexed="60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u/>
      <sz val="16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vertAlign val="superscript"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vertAlign val="superscript"/>
      <sz val="11"/>
      <color theme="1"/>
      <name val="맑은 고딕"/>
      <family val="3"/>
      <charset val="129"/>
      <scheme val="minor"/>
    </font>
    <font>
      <b/>
      <vertAlign val="superscript"/>
      <sz val="12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000000"/>
      <name val="맑은 고딕"/>
      <family val="2"/>
      <charset val="129"/>
    </font>
    <font>
      <sz val="11"/>
      <color rgb="FF00000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8">
    <xf numFmtId="0" fontId="0" fillId="0" borderId="0">
      <alignment vertical="center"/>
    </xf>
    <xf numFmtId="0" fontId="16" fillId="2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33" fillId="0" borderId="0">
      <alignment vertical="center"/>
    </xf>
    <xf numFmtId="0" fontId="14" fillId="0" borderId="0"/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20" borderId="1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7" borderId="1" applyNumberFormat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16" fillId="21" borderId="2" applyNumberFormat="0" applyFon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5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14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0" xfId="0" applyBorder="1">
      <alignment vertical="center"/>
    </xf>
    <xf numFmtId="0" fontId="14" fillId="0" borderId="0" xfId="0" applyFont="1" applyBorder="1">
      <alignment vertical="center"/>
    </xf>
    <xf numFmtId="0" fontId="14" fillId="0" borderId="10" xfId="0" applyFont="1" applyBorder="1" applyAlignment="1">
      <alignment horizontal="right"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36" fillId="0" borderId="0" xfId="0" applyFont="1" applyBorder="1">
      <alignment vertical="center"/>
    </xf>
    <xf numFmtId="0" fontId="37" fillId="0" borderId="0" xfId="0" applyFont="1" applyBorder="1">
      <alignment vertical="center"/>
    </xf>
    <xf numFmtId="0" fontId="39" fillId="0" borderId="0" xfId="0" applyFont="1" applyBorder="1" applyAlignment="1">
      <alignment horizontal="left" vertical="center"/>
    </xf>
    <xf numFmtId="0" fontId="39" fillId="0" borderId="0" xfId="0" applyFont="1" applyBorder="1">
      <alignment vertical="center"/>
    </xf>
    <xf numFmtId="0" fontId="39" fillId="0" borderId="0" xfId="0" applyNumberFormat="1" applyFont="1" applyAlignment="1">
      <alignment vertical="center"/>
    </xf>
    <xf numFmtId="0" fontId="40" fillId="0" borderId="0" xfId="0" applyFont="1" applyBorder="1">
      <alignment vertical="center"/>
    </xf>
    <xf numFmtId="0" fontId="41" fillId="0" borderId="0" xfId="46" applyFont="1">
      <alignment vertical="center"/>
    </xf>
    <xf numFmtId="0" fontId="12" fillId="0" borderId="0" xfId="46">
      <alignment vertical="center"/>
    </xf>
    <xf numFmtId="0" fontId="12" fillId="0" borderId="0" xfId="46" applyAlignment="1">
      <alignment horizontal="right" vertical="center"/>
    </xf>
    <xf numFmtId="0" fontId="12" fillId="0" borderId="13" xfId="46" applyBorder="1" applyAlignment="1">
      <alignment horizontal="center" vertical="center"/>
    </xf>
    <xf numFmtId="0" fontId="12" fillId="0" borderId="14" xfId="46" applyBorder="1" applyAlignment="1">
      <alignment horizontal="center" vertical="center"/>
    </xf>
    <xf numFmtId="0" fontId="12" fillId="0" borderId="0" xfId="46" applyFill="1">
      <alignment vertical="center"/>
    </xf>
    <xf numFmtId="0" fontId="12" fillId="0" borderId="0" xfId="46" applyFill="1" applyAlignment="1">
      <alignment horizontal="center" vertical="center"/>
    </xf>
    <xf numFmtId="0" fontId="12" fillId="0" borderId="12" xfId="46" applyBorder="1" applyAlignment="1">
      <alignment horizontal="center" vertical="center"/>
    </xf>
    <xf numFmtId="0" fontId="12" fillId="0" borderId="0" xfId="46" applyBorder="1">
      <alignment vertical="center"/>
    </xf>
    <xf numFmtId="0" fontId="44" fillId="0" borderId="0" xfId="20" applyFont="1" applyBorder="1" applyAlignment="1">
      <alignment vertical="center"/>
    </xf>
    <xf numFmtId="177" fontId="36" fillId="0" borderId="0" xfId="0" applyNumberFormat="1" applyFont="1" applyAlignment="1">
      <alignment horizontal="right" vertical="center"/>
    </xf>
    <xf numFmtId="0" fontId="36" fillId="0" borderId="0" xfId="0" applyFont="1" applyAlignment="1">
      <alignment horizontal="right" vertical="center"/>
    </xf>
    <xf numFmtId="0" fontId="37" fillId="0" borderId="0" xfId="20" applyFont="1" applyBorder="1" applyAlignment="1">
      <alignment vertical="center"/>
    </xf>
    <xf numFmtId="177" fontId="36" fillId="0" borderId="13" xfId="0" applyNumberFormat="1" applyFont="1" applyBorder="1" applyAlignment="1">
      <alignment horizontal="center" vertical="center"/>
    </xf>
    <xf numFmtId="0" fontId="36" fillId="0" borderId="12" xfId="0" applyFont="1" applyBorder="1" applyAlignment="1">
      <alignment horizontal="left" vertical="center"/>
    </xf>
    <xf numFmtId="177" fontId="36" fillId="0" borderId="14" xfId="0" applyNumberFormat="1" applyFont="1" applyBorder="1" applyAlignment="1">
      <alignment horizontal="center" vertical="center"/>
    </xf>
    <xf numFmtId="0" fontId="6" fillId="0" borderId="13" xfId="46" applyFont="1" applyBorder="1" applyAlignment="1">
      <alignment horizontal="center" vertical="center"/>
    </xf>
    <xf numFmtId="0" fontId="45" fillId="0" borderId="15" xfId="0" applyFont="1" applyFill="1" applyBorder="1" applyAlignment="1">
      <alignment horizontal="center" vertical="center"/>
    </xf>
    <xf numFmtId="178" fontId="45" fillId="0" borderId="16" xfId="0" applyNumberFormat="1" applyFont="1" applyBorder="1">
      <alignment vertical="center"/>
    </xf>
    <xf numFmtId="176" fontId="45" fillId="0" borderId="16" xfId="0" applyNumberFormat="1" applyFont="1" applyBorder="1">
      <alignment vertical="center"/>
    </xf>
    <xf numFmtId="176" fontId="45" fillId="0" borderId="16" xfId="0" applyNumberFormat="1" applyFont="1" applyFill="1" applyBorder="1">
      <alignment vertical="center"/>
    </xf>
    <xf numFmtId="176" fontId="45" fillId="0" borderId="17" xfId="0" applyNumberFormat="1" applyFont="1" applyFill="1" applyBorder="1">
      <alignment vertical="center"/>
    </xf>
    <xf numFmtId="0" fontId="45" fillId="0" borderId="18" xfId="0" applyFont="1" applyFill="1" applyBorder="1" applyAlignment="1">
      <alignment horizontal="center" vertical="center"/>
    </xf>
    <xf numFmtId="178" fontId="45" fillId="0" borderId="19" xfId="0" applyNumberFormat="1" applyFont="1" applyBorder="1">
      <alignment vertical="center"/>
    </xf>
    <xf numFmtId="176" fontId="45" fillId="0" borderId="19" xfId="0" applyNumberFormat="1" applyFont="1" applyBorder="1">
      <alignment vertical="center"/>
    </xf>
    <xf numFmtId="176" fontId="45" fillId="0" borderId="19" xfId="0" applyNumberFormat="1" applyFont="1" applyFill="1" applyBorder="1">
      <alignment vertical="center"/>
    </xf>
    <xf numFmtId="176" fontId="45" fillId="0" borderId="20" xfId="0" applyNumberFormat="1" applyFont="1" applyFill="1" applyBorder="1">
      <alignment vertical="center"/>
    </xf>
    <xf numFmtId="0" fontId="45" fillId="0" borderId="18" xfId="0" applyNumberFormat="1" applyFont="1" applyBorder="1" applyAlignment="1">
      <alignment horizontal="center" vertical="center"/>
    </xf>
    <xf numFmtId="177" fontId="45" fillId="0" borderId="19" xfId="0" applyNumberFormat="1" applyFont="1" applyBorder="1">
      <alignment vertical="center"/>
    </xf>
    <xf numFmtId="177" fontId="45" fillId="0" borderId="20" xfId="0" applyNumberFormat="1" applyFont="1" applyBorder="1">
      <alignment vertical="center"/>
    </xf>
    <xf numFmtId="0" fontId="45" fillId="0" borderId="0" xfId="0" applyNumberFormat="1" applyFont="1" applyBorder="1" applyAlignment="1">
      <alignment horizontal="center" vertical="center"/>
    </xf>
    <xf numFmtId="0" fontId="45" fillId="0" borderId="0" xfId="0" applyFont="1" applyBorder="1" applyAlignment="1">
      <alignment horizontal="center" vertical="center"/>
    </xf>
    <xf numFmtId="0" fontId="46" fillId="0" borderId="0" xfId="49" applyFont="1" applyBorder="1" applyAlignment="1">
      <alignment horizontal="center" vertical="center"/>
    </xf>
    <xf numFmtId="177" fontId="46" fillId="0" borderId="19" xfId="49" applyNumberFormat="1" applyFont="1" applyBorder="1">
      <alignment vertical="center"/>
    </xf>
    <xf numFmtId="177" fontId="46" fillId="0" borderId="20" xfId="49" applyNumberFormat="1" applyFont="1" applyBorder="1">
      <alignment vertical="center"/>
    </xf>
    <xf numFmtId="0" fontId="46" fillId="0" borderId="0" xfId="49" applyNumberFormat="1" applyFont="1" applyBorder="1" applyAlignment="1">
      <alignment horizontal="center" vertical="center"/>
    </xf>
    <xf numFmtId="0" fontId="46" fillId="0" borderId="15" xfId="46" applyFont="1" applyBorder="1" applyAlignment="1">
      <alignment horizontal="center" vertical="center"/>
    </xf>
    <xf numFmtId="177" fontId="46" fillId="0" borderId="16" xfId="46" quotePrefix="1" applyNumberFormat="1" applyFont="1" applyBorder="1">
      <alignment vertical="center"/>
    </xf>
    <xf numFmtId="177" fontId="46" fillId="0" borderId="16" xfId="46" applyNumberFormat="1" applyFont="1" applyBorder="1">
      <alignment vertical="center"/>
    </xf>
    <xf numFmtId="177" fontId="46" fillId="0" borderId="17" xfId="46" applyNumberFormat="1" applyFont="1" applyBorder="1">
      <alignment vertical="center"/>
    </xf>
    <xf numFmtId="0" fontId="46" fillId="0" borderId="18" xfId="46" applyFont="1" applyBorder="1" applyAlignment="1">
      <alignment horizontal="center" vertical="center"/>
    </xf>
    <xf numFmtId="177" fontId="46" fillId="0" borderId="19" xfId="46" quotePrefix="1" applyNumberFormat="1" applyFont="1" applyBorder="1">
      <alignment vertical="center"/>
    </xf>
    <xf numFmtId="177" fontId="46" fillId="0" borderId="19" xfId="46" applyNumberFormat="1" applyFont="1" applyBorder="1">
      <alignment vertical="center"/>
    </xf>
    <xf numFmtId="177" fontId="46" fillId="0" borderId="20" xfId="46" applyNumberFormat="1" applyFont="1" applyBorder="1">
      <alignment vertical="center"/>
    </xf>
    <xf numFmtId="0" fontId="45" fillId="0" borderId="18" xfId="0" applyFont="1" applyBorder="1" applyAlignment="1">
      <alignment horizontal="center" vertical="center"/>
    </xf>
    <xf numFmtId="177" fontId="45" fillId="0" borderId="19" xfId="0" quotePrefix="1" applyNumberFormat="1" applyFont="1" applyBorder="1">
      <alignment vertical="center"/>
    </xf>
    <xf numFmtId="0" fontId="46" fillId="0" borderId="18" xfId="47" applyFont="1" applyBorder="1" applyAlignment="1">
      <alignment horizontal="center" vertical="center"/>
    </xf>
    <xf numFmtId="177" fontId="46" fillId="0" borderId="19" xfId="47" quotePrefix="1" applyNumberFormat="1" applyFont="1" applyBorder="1">
      <alignment vertical="center"/>
    </xf>
    <xf numFmtId="177" fontId="46" fillId="0" borderId="19" xfId="47" applyNumberFormat="1" applyFont="1" applyBorder="1">
      <alignment vertical="center"/>
    </xf>
    <xf numFmtId="177" fontId="46" fillId="0" borderId="20" xfId="47" applyNumberFormat="1" applyFont="1" applyBorder="1">
      <alignment vertical="center"/>
    </xf>
    <xf numFmtId="49" fontId="46" fillId="0" borderId="0" xfId="56" applyNumberFormat="1" applyFont="1" applyAlignment="1">
      <alignment horizontal="center" vertical="center"/>
    </xf>
    <xf numFmtId="177" fontId="46" fillId="0" borderId="19" xfId="56" quotePrefix="1" applyNumberFormat="1" applyFont="1" applyBorder="1">
      <alignment vertical="center"/>
    </xf>
    <xf numFmtId="177" fontId="46" fillId="0" borderId="19" xfId="56" applyNumberFormat="1" applyFont="1" applyBorder="1">
      <alignment vertical="center"/>
    </xf>
    <xf numFmtId="177" fontId="46" fillId="0" borderId="20" xfId="56" applyNumberFormat="1" applyFont="1" applyBorder="1">
      <alignment vertical="center"/>
    </xf>
    <xf numFmtId="49" fontId="46" fillId="0" borderId="0" xfId="56" applyNumberFormat="1" applyFont="1" applyBorder="1" applyAlignment="1">
      <alignment horizontal="center" vertical="center"/>
    </xf>
    <xf numFmtId="178" fontId="46" fillId="0" borderId="16" xfId="46" applyNumberFormat="1" applyFont="1" applyBorder="1">
      <alignment vertical="center"/>
    </xf>
    <xf numFmtId="178" fontId="46" fillId="0" borderId="19" xfId="46" applyNumberFormat="1" applyFont="1" applyBorder="1">
      <alignment vertical="center"/>
    </xf>
    <xf numFmtId="38" fontId="46" fillId="0" borderId="19" xfId="56" applyNumberFormat="1" applyFont="1" applyBorder="1">
      <alignment vertical="center"/>
    </xf>
    <xf numFmtId="178" fontId="46" fillId="0" borderId="19" xfId="56" applyNumberFormat="1" applyFont="1" applyBorder="1">
      <alignment vertical="center"/>
    </xf>
    <xf numFmtId="0" fontId="46" fillId="0" borderId="18" xfId="54" applyFont="1" applyBorder="1" applyAlignment="1">
      <alignment horizontal="center" vertical="center"/>
    </xf>
    <xf numFmtId="177" fontId="46" fillId="0" borderId="19" xfId="54" applyNumberFormat="1" applyFont="1" applyBorder="1">
      <alignment vertical="center"/>
    </xf>
    <xf numFmtId="177" fontId="46" fillId="0" borderId="20" xfId="54" applyNumberFormat="1" applyFont="1" applyBorder="1">
      <alignment vertical="center"/>
    </xf>
    <xf numFmtId="49" fontId="46" fillId="0" borderId="0" xfId="54" applyNumberFormat="1" applyFont="1" applyAlignment="1">
      <alignment horizontal="center" vertical="center"/>
    </xf>
    <xf numFmtId="177" fontId="46" fillId="0" borderId="15" xfId="46" applyNumberFormat="1" applyFont="1" applyBorder="1" applyAlignment="1">
      <alignment horizontal="right" vertical="center"/>
    </xf>
    <xf numFmtId="177" fontId="46" fillId="0" borderId="18" xfId="46" applyNumberFormat="1" applyFont="1" applyBorder="1" applyAlignment="1">
      <alignment horizontal="right" vertical="center"/>
    </xf>
    <xf numFmtId="177" fontId="45" fillId="0" borderId="18" xfId="0" applyNumberFormat="1" applyFont="1" applyBorder="1" applyAlignment="1">
      <alignment horizontal="right" vertical="center"/>
    </xf>
    <xf numFmtId="0" fontId="46" fillId="0" borderId="18" xfId="48" applyFont="1" applyBorder="1" applyAlignment="1">
      <alignment horizontal="center" vertical="center"/>
    </xf>
    <xf numFmtId="177" fontId="46" fillId="0" borderId="18" xfId="48" applyNumberFormat="1" applyFont="1" applyBorder="1" applyAlignment="1">
      <alignment horizontal="right" vertical="center"/>
    </xf>
    <xf numFmtId="177" fontId="46" fillId="0" borderId="19" xfId="48" applyNumberFormat="1" applyFont="1" applyBorder="1">
      <alignment vertical="center"/>
    </xf>
    <xf numFmtId="177" fontId="46" fillId="0" borderId="20" xfId="48" applyNumberFormat="1" applyFont="1" applyBorder="1">
      <alignment vertical="center"/>
    </xf>
    <xf numFmtId="49" fontId="46" fillId="0" borderId="18" xfId="52" applyNumberFormat="1" applyFont="1" applyBorder="1" applyAlignment="1">
      <alignment horizontal="center" vertical="center"/>
    </xf>
    <xf numFmtId="177" fontId="46" fillId="0" borderId="18" xfId="52" applyNumberFormat="1" applyFont="1" applyBorder="1" applyAlignment="1">
      <alignment horizontal="right" vertical="center"/>
    </xf>
    <xf numFmtId="177" fontId="46" fillId="0" borderId="19" xfId="52" applyNumberFormat="1" applyFont="1" applyBorder="1">
      <alignment vertical="center"/>
    </xf>
    <xf numFmtId="177" fontId="46" fillId="0" borderId="20" xfId="52" applyNumberFormat="1" applyFont="1" applyBorder="1">
      <alignment vertical="center"/>
    </xf>
    <xf numFmtId="49" fontId="46" fillId="0" borderId="18" xfId="56" applyNumberFormat="1" applyFont="1" applyBorder="1" applyAlignment="1">
      <alignment horizontal="center" vertical="center"/>
    </xf>
    <xf numFmtId="177" fontId="46" fillId="0" borderId="18" xfId="56" applyNumberFormat="1" applyFont="1" applyBorder="1" applyAlignment="1">
      <alignment horizontal="right" vertical="center"/>
    </xf>
    <xf numFmtId="41" fontId="46" fillId="0" borderId="0" xfId="57" applyFont="1">
      <alignment vertical="center"/>
    </xf>
    <xf numFmtId="49" fontId="45" fillId="0" borderId="18" xfId="0" applyNumberFormat="1" applyFont="1" applyBorder="1" applyAlignment="1">
      <alignment horizontal="center" vertical="center"/>
    </xf>
    <xf numFmtId="0" fontId="4" fillId="0" borderId="13" xfId="46" applyFont="1" applyBorder="1" applyAlignment="1">
      <alignment horizontal="center" vertical="center"/>
    </xf>
    <xf numFmtId="177" fontId="12" fillId="0" borderId="0" xfId="46" applyNumberFormat="1">
      <alignment vertical="center"/>
    </xf>
    <xf numFmtId="0" fontId="3" fillId="0" borderId="13" xfId="46" applyFont="1" applyBorder="1" applyAlignment="1">
      <alignment horizontal="center" vertical="center"/>
    </xf>
    <xf numFmtId="0" fontId="3" fillId="0" borderId="0" xfId="46" applyFont="1">
      <alignment vertical="center"/>
    </xf>
    <xf numFmtId="177" fontId="46" fillId="0" borderId="0" xfId="56" applyNumberFormat="1" applyFont="1" applyBorder="1">
      <alignment vertical="center"/>
    </xf>
    <xf numFmtId="177" fontId="46" fillId="0" borderId="18" xfId="56" applyNumberFormat="1" applyFont="1" applyBorder="1">
      <alignment vertical="center"/>
    </xf>
    <xf numFmtId="178" fontId="46" fillId="0" borderId="18" xfId="56" applyNumberFormat="1" applyFont="1" applyBorder="1">
      <alignment vertical="center"/>
    </xf>
    <xf numFmtId="177" fontId="46" fillId="0" borderId="19" xfId="56" applyNumberFormat="1" applyFont="1" applyBorder="1" applyAlignment="1">
      <alignment horizontal="right" vertical="center"/>
    </xf>
    <xf numFmtId="41" fontId="46" fillId="0" borderId="19" xfId="57" applyFont="1" applyBorder="1">
      <alignment vertical="center"/>
    </xf>
    <xf numFmtId="49" fontId="47" fillId="0" borderId="0" xfId="0" applyNumberFormat="1" applyFont="1" applyFill="1" applyBorder="1" applyAlignment="1">
      <alignment horizontal="center" vertical="center"/>
    </xf>
    <xf numFmtId="177" fontId="47" fillId="0" borderId="18" xfId="0" applyNumberFormat="1" applyFont="1" applyFill="1" applyBorder="1" applyAlignment="1">
      <alignment horizontal="right" vertical="center"/>
    </xf>
    <xf numFmtId="177" fontId="47" fillId="0" borderId="19" xfId="0" applyNumberFormat="1" applyFont="1" applyFill="1" applyBorder="1">
      <alignment vertical="center"/>
    </xf>
    <xf numFmtId="177" fontId="47" fillId="0" borderId="20" xfId="0" applyNumberFormat="1" applyFont="1" applyFill="1" applyBorder="1">
      <alignment vertical="center"/>
    </xf>
    <xf numFmtId="49" fontId="47" fillId="0" borderId="18" xfId="0" applyNumberFormat="1" applyFont="1" applyFill="1" applyBorder="1" applyAlignment="1">
      <alignment horizontal="center" vertical="center"/>
    </xf>
    <xf numFmtId="177" fontId="45" fillId="0" borderId="0" xfId="0" applyNumberFormat="1" applyFont="1" applyBorder="1">
      <alignment vertical="center"/>
    </xf>
    <xf numFmtId="177" fontId="48" fillId="0" borderId="19" xfId="0" applyNumberFormat="1" applyFont="1" applyFill="1" applyBorder="1">
      <alignment vertical="center"/>
    </xf>
    <xf numFmtId="177" fontId="48" fillId="0" borderId="0" xfId="0" applyNumberFormat="1" applyFont="1" applyFill="1" applyBorder="1">
      <alignment vertical="center"/>
    </xf>
    <xf numFmtId="178" fontId="45" fillId="0" borderId="19" xfId="0" applyNumberFormat="1" applyFont="1" applyFill="1" applyBorder="1">
      <alignment vertical="center"/>
    </xf>
    <xf numFmtId="177" fontId="47" fillId="0" borderId="0" xfId="0" applyNumberFormat="1" applyFont="1" applyFill="1" applyBorder="1">
      <alignment vertical="center"/>
    </xf>
    <xf numFmtId="177" fontId="46" fillId="0" borderId="0" xfId="49" applyNumberFormat="1" applyFont="1" applyBorder="1">
      <alignment vertical="center"/>
    </xf>
    <xf numFmtId="0" fontId="46" fillId="0" borderId="18" xfId="49" applyNumberFormat="1" applyFont="1" applyBorder="1" applyAlignment="1">
      <alignment horizontal="center" vertical="center"/>
    </xf>
    <xf numFmtId="177" fontId="47" fillId="0" borderId="19" xfId="0" applyNumberFormat="1" applyFont="1" applyFill="1" applyBorder="1" applyAlignment="1">
      <alignment horizontal="right" vertical="center"/>
    </xf>
    <xf numFmtId="41" fontId="46" fillId="0" borderId="18" xfId="57" applyFont="1" applyBorder="1">
      <alignment vertical="center"/>
    </xf>
    <xf numFmtId="177" fontId="48" fillId="0" borderId="18" xfId="0" applyNumberFormat="1" applyFont="1" applyFill="1" applyBorder="1">
      <alignment vertical="center"/>
    </xf>
    <xf numFmtId="177" fontId="45" fillId="0" borderId="18" xfId="0" applyNumberFormat="1" applyFont="1" applyBorder="1">
      <alignment vertical="center"/>
    </xf>
    <xf numFmtId="3" fontId="45" fillId="0" borderId="0" xfId="0" applyNumberFormat="1" applyFont="1">
      <alignment vertical="center"/>
    </xf>
    <xf numFmtId="177" fontId="47" fillId="0" borderId="18" xfId="0" applyNumberFormat="1" applyFont="1" applyFill="1" applyBorder="1">
      <alignment vertical="center"/>
    </xf>
    <xf numFmtId="0" fontId="2" fillId="0" borderId="0" xfId="46" applyFont="1">
      <alignment vertical="center"/>
    </xf>
    <xf numFmtId="0" fontId="1" fillId="0" borderId="0" xfId="46" applyFont="1">
      <alignment vertical="center"/>
    </xf>
    <xf numFmtId="177" fontId="12" fillId="0" borderId="0" xfId="46" applyNumberFormat="1" applyBorder="1">
      <alignment vertical="center"/>
    </xf>
    <xf numFmtId="49" fontId="45" fillId="0" borderId="18" xfId="0" applyNumberFormat="1" applyFont="1" applyFill="1" applyBorder="1" applyAlignment="1">
      <alignment horizontal="center" vertical="center"/>
    </xf>
    <xf numFmtId="177" fontId="45" fillId="0" borderId="19" xfId="0" applyNumberFormat="1" applyFont="1" applyFill="1" applyBorder="1">
      <alignment vertical="center"/>
    </xf>
    <xf numFmtId="177" fontId="45" fillId="0" borderId="20" xfId="0" applyNumberFormat="1" applyFont="1" applyFill="1" applyBorder="1">
      <alignment vertical="center"/>
    </xf>
    <xf numFmtId="178" fontId="47" fillId="0" borderId="19" xfId="0" applyNumberFormat="1" applyFont="1" applyFill="1" applyBorder="1">
      <alignment vertical="center"/>
    </xf>
    <xf numFmtId="0" fontId="35" fillId="0" borderId="0" xfId="0" applyFont="1" applyBorder="1" applyAlignment="1">
      <alignment horizontal="center" vertical="center"/>
    </xf>
    <xf numFmtId="0" fontId="12" fillId="0" borderId="12" xfId="46" applyBorder="1" applyAlignment="1">
      <alignment horizontal="center" vertical="center"/>
    </xf>
    <xf numFmtId="0" fontId="12" fillId="0" borderId="13" xfId="46" applyBorder="1" applyAlignment="1">
      <alignment horizontal="center" vertical="center"/>
    </xf>
    <xf numFmtId="0" fontId="12" fillId="0" borderId="14" xfId="46" applyBorder="1" applyAlignment="1">
      <alignment horizontal="center" vertical="center"/>
    </xf>
    <xf numFmtId="0" fontId="12" fillId="0" borderId="16" xfId="46" applyBorder="1" applyAlignment="1">
      <alignment horizontal="center" vertical="center"/>
    </xf>
    <xf numFmtId="0" fontId="12" fillId="0" borderId="21" xfId="46" applyBorder="1" applyAlignment="1">
      <alignment horizontal="center" vertical="center"/>
    </xf>
    <xf numFmtId="0" fontId="12" fillId="0" borderId="23" xfId="46" applyBorder="1" applyAlignment="1">
      <alignment horizontal="center" vertical="center"/>
    </xf>
    <xf numFmtId="0" fontId="5" fillId="0" borderId="17" xfId="46" applyFont="1" applyBorder="1" applyAlignment="1">
      <alignment horizontal="center" vertical="center"/>
    </xf>
    <xf numFmtId="0" fontId="12" fillId="0" borderId="22" xfId="46" applyBorder="1" applyAlignment="1">
      <alignment horizontal="center" vertical="center"/>
    </xf>
    <xf numFmtId="0" fontId="12" fillId="0" borderId="19" xfId="46" applyBorder="1" applyAlignment="1">
      <alignment horizontal="center" vertical="center"/>
    </xf>
    <xf numFmtId="0" fontId="12" fillId="0" borderId="17" xfId="46" applyBorder="1" applyAlignment="1">
      <alignment horizontal="center" vertical="center"/>
    </xf>
    <xf numFmtId="0" fontId="6" fillId="0" borderId="17" xfId="46" applyFont="1" applyBorder="1" applyAlignment="1">
      <alignment horizontal="center" vertical="center" wrapText="1"/>
    </xf>
    <xf numFmtId="0" fontId="33" fillId="0" borderId="17" xfId="46" applyFont="1" applyBorder="1" applyAlignment="1">
      <alignment horizontal="center" vertical="center" wrapText="1"/>
    </xf>
    <xf numFmtId="0" fontId="33" fillId="0" borderId="20" xfId="46" applyFont="1" applyBorder="1" applyAlignment="1">
      <alignment horizontal="center" vertical="center" wrapText="1"/>
    </xf>
    <xf numFmtId="0" fontId="33" fillId="0" borderId="22" xfId="46" applyFont="1" applyBorder="1" applyAlignment="1">
      <alignment horizontal="center" vertical="center" wrapText="1"/>
    </xf>
    <xf numFmtId="0" fontId="12" fillId="0" borderId="16" xfId="46" applyBorder="1" applyAlignment="1">
      <alignment horizontal="center" vertical="center" wrapText="1"/>
    </xf>
    <xf numFmtId="0" fontId="12" fillId="0" borderId="11" xfId="46" applyBorder="1" applyAlignment="1">
      <alignment horizontal="center" vertical="center"/>
    </xf>
  </cellXfs>
  <cellStyles count="58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40% - Accent1" xfId="7" xr:uid="{00000000-0005-0000-0000-000006000000}"/>
    <cellStyle name="40% - Accent2" xfId="8" xr:uid="{00000000-0005-0000-0000-000007000000}"/>
    <cellStyle name="40% - Accent3" xfId="9" xr:uid="{00000000-0005-0000-0000-000008000000}"/>
    <cellStyle name="40% - Accent4" xfId="10" xr:uid="{00000000-0005-0000-0000-000009000000}"/>
    <cellStyle name="40% - Accent5" xfId="11" xr:uid="{00000000-0005-0000-0000-00000A000000}"/>
    <cellStyle name="40% - Accent6" xfId="12" xr:uid="{00000000-0005-0000-0000-00000B000000}"/>
    <cellStyle name="60% - Accent1" xfId="13" xr:uid="{00000000-0005-0000-0000-00000C000000}"/>
    <cellStyle name="60% - Accent2" xfId="14" xr:uid="{00000000-0005-0000-0000-00000D000000}"/>
    <cellStyle name="60% - Accent3" xfId="15" xr:uid="{00000000-0005-0000-0000-00000E000000}"/>
    <cellStyle name="60% - Accent4" xfId="16" xr:uid="{00000000-0005-0000-0000-00000F000000}"/>
    <cellStyle name="60% - Accent5" xfId="17" xr:uid="{00000000-0005-0000-0000-000010000000}"/>
    <cellStyle name="60% - Accent6" xfId="18" xr:uid="{00000000-0005-0000-0000-000011000000}"/>
    <cellStyle name="Accent1" xfId="21" xr:uid="{00000000-0005-0000-0000-000012000000}"/>
    <cellStyle name="Accent2" xfId="22" xr:uid="{00000000-0005-0000-0000-000013000000}"/>
    <cellStyle name="Accent3" xfId="23" xr:uid="{00000000-0005-0000-0000-000014000000}"/>
    <cellStyle name="Accent4" xfId="24" xr:uid="{00000000-0005-0000-0000-000015000000}"/>
    <cellStyle name="Accent5" xfId="25" xr:uid="{00000000-0005-0000-0000-000016000000}"/>
    <cellStyle name="Accent6" xfId="26" xr:uid="{00000000-0005-0000-0000-000017000000}"/>
    <cellStyle name="Bad" xfId="27" xr:uid="{00000000-0005-0000-0000-000018000000}"/>
    <cellStyle name="Calculation" xfId="28" xr:uid="{00000000-0005-0000-0000-000019000000}"/>
    <cellStyle name="Check Cell" xfId="29" xr:uid="{00000000-0005-0000-0000-00001A000000}"/>
    <cellStyle name="Explanatory Text" xfId="30" xr:uid="{00000000-0005-0000-0000-00001B000000}"/>
    <cellStyle name="Good" xfId="31" xr:uid="{00000000-0005-0000-0000-00001C000000}"/>
    <cellStyle name="Heading 1" xfId="32" xr:uid="{00000000-0005-0000-0000-00001D000000}"/>
    <cellStyle name="Heading 2" xfId="33" xr:uid="{00000000-0005-0000-0000-00001E000000}"/>
    <cellStyle name="Heading 3" xfId="34" xr:uid="{00000000-0005-0000-0000-00001F000000}"/>
    <cellStyle name="Heading 4" xfId="35" xr:uid="{00000000-0005-0000-0000-000020000000}"/>
    <cellStyle name="Input" xfId="36" xr:uid="{00000000-0005-0000-0000-000021000000}"/>
    <cellStyle name="Linked Cell" xfId="37" xr:uid="{00000000-0005-0000-0000-000022000000}"/>
    <cellStyle name="Neutral" xfId="38" xr:uid="{00000000-0005-0000-0000-000023000000}"/>
    <cellStyle name="Note" xfId="39" xr:uid="{00000000-0005-0000-0000-000024000000}"/>
    <cellStyle name="Output" xfId="40" xr:uid="{00000000-0005-0000-0000-000025000000}"/>
    <cellStyle name="Title" xfId="41" xr:uid="{00000000-0005-0000-0000-000026000000}"/>
    <cellStyle name="Total" xfId="42" xr:uid="{00000000-0005-0000-0000-000027000000}"/>
    <cellStyle name="Warning Text" xfId="43" xr:uid="{00000000-0005-0000-0000-000028000000}"/>
    <cellStyle name="쉼표 [0]" xfId="57" builtinId="6"/>
    <cellStyle name="쉼표 [0] 2" xfId="45" xr:uid="{00000000-0005-0000-0000-00002A000000}"/>
    <cellStyle name="표준" xfId="0" builtinId="0"/>
    <cellStyle name="표준 2" xfId="19" xr:uid="{00000000-0005-0000-0000-00002C000000}"/>
    <cellStyle name="표준 3" xfId="44" xr:uid="{00000000-0005-0000-0000-00002D000000}"/>
    <cellStyle name="표준 4" xfId="46" xr:uid="{00000000-0005-0000-0000-00002E000000}"/>
    <cellStyle name="표준 4 2" xfId="48" xr:uid="{00000000-0005-0000-0000-00002F000000}"/>
    <cellStyle name="표준 4 3" xfId="50" xr:uid="{00000000-0005-0000-0000-000030000000}"/>
    <cellStyle name="표준 4 4" xfId="52" xr:uid="{00000000-0005-0000-0000-000031000000}"/>
    <cellStyle name="표준 4 5" xfId="54" xr:uid="{00000000-0005-0000-0000-000032000000}"/>
    <cellStyle name="표준 4 6" xfId="56" xr:uid="{00000000-0005-0000-0000-000033000000}"/>
    <cellStyle name="표준 5" xfId="47" xr:uid="{00000000-0005-0000-0000-000034000000}"/>
    <cellStyle name="표준 6" xfId="49" xr:uid="{00000000-0005-0000-0000-000035000000}"/>
    <cellStyle name="표준 7" xfId="51" xr:uid="{00000000-0005-0000-0000-000036000000}"/>
    <cellStyle name="표준 8" xfId="53" xr:uid="{00000000-0005-0000-0000-000037000000}"/>
    <cellStyle name="표준 9" xfId="55" xr:uid="{00000000-0005-0000-0000-000038000000}"/>
    <cellStyle name="표준_book(경제동향-표)" xfId="20" xr:uid="{00000000-0005-0000-0000-00003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view="pageBreakPreview" zoomScale="85" zoomScaleNormal="85" zoomScaleSheetLayoutView="85" workbookViewId="0">
      <selection activeCell="G5" sqref="G5"/>
    </sheetView>
  </sheetViews>
  <sheetFormatPr defaultRowHeight="28.5" customHeight="1" x14ac:dyDescent="0.15"/>
  <cols>
    <col min="1" max="1" width="3.5546875" style="1" customWidth="1"/>
    <col min="2" max="2" width="6.44140625" style="1" customWidth="1"/>
    <col min="3" max="7" width="8.88671875" style="1"/>
    <col min="8" max="8" width="10.77734375" style="1" customWidth="1"/>
    <col min="9" max="9" width="3.88671875" style="1" customWidth="1"/>
    <col min="10" max="16384" width="8.88671875" style="1"/>
  </cols>
  <sheetData>
    <row r="1" spans="1:9" ht="38.25" customHeight="1" x14ac:dyDescent="0.15">
      <c r="A1" s="124" t="s">
        <v>7</v>
      </c>
      <c r="B1" s="124"/>
      <c r="C1" s="124"/>
      <c r="D1" s="124"/>
      <c r="E1" s="124"/>
      <c r="F1" s="124"/>
      <c r="G1" s="124"/>
      <c r="H1" s="124"/>
    </row>
    <row r="2" spans="1:9" ht="18.75" customHeight="1" x14ac:dyDescent="0.15">
      <c r="B2" s="6"/>
      <c r="C2" s="6"/>
      <c r="D2" s="6"/>
      <c r="E2" s="6"/>
      <c r="F2" s="6"/>
      <c r="G2" s="6"/>
      <c r="H2" s="6"/>
    </row>
    <row r="3" spans="1:9" ht="28.5" customHeight="1" x14ac:dyDescent="0.15">
      <c r="B3" s="7" t="s">
        <v>6</v>
      </c>
      <c r="C3" s="6"/>
      <c r="D3" s="6"/>
      <c r="E3" s="6"/>
      <c r="F3" s="6"/>
      <c r="G3" s="6"/>
      <c r="H3" s="6"/>
    </row>
    <row r="4" spans="1:9" ht="11.25" customHeight="1" x14ac:dyDescent="0.15">
      <c r="B4" s="6"/>
      <c r="C4" s="6"/>
      <c r="D4" s="6"/>
      <c r="E4" s="6"/>
      <c r="F4" s="6"/>
      <c r="G4" s="6"/>
      <c r="H4" s="6"/>
    </row>
    <row r="5" spans="1:9" ht="28.5" customHeight="1" x14ac:dyDescent="0.15">
      <c r="B5" s="7" t="s">
        <v>57</v>
      </c>
      <c r="C5" s="8"/>
      <c r="D5" s="9"/>
      <c r="E5" s="6"/>
      <c r="F5" s="6"/>
      <c r="G5" s="6"/>
      <c r="H5" s="6"/>
      <c r="I5" s="2"/>
    </row>
    <row r="6" spans="1:9" ht="28.5" customHeight="1" x14ac:dyDescent="0.15">
      <c r="B6" s="7"/>
      <c r="C6" s="8"/>
      <c r="D6" s="9"/>
      <c r="E6" s="6"/>
      <c r="F6" s="6"/>
      <c r="G6" s="6"/>
      <c r="H6" s="6"/>
      <c r="I6" s="2"/>
    </row>
    <row r="7" spans="1:9" ht="28.5" customHeight="1" x14ac:dyDescent="0.15">
      <c r="B7" s="7"/>
      <c r="C7" s="10" t="s">
        <v>47</v>
      </c>
      <c r="D7" s="9"/>
      <c r="E7" s="6"/>
      <c r="F7" s="6"/>
      <c r="G7" s="6"/>
      <c r="H7" s="6"/>
      <c r="I7" s="2"/>
    </row>
    <row r="8" spans="1:9" ht="28.5" customHeight="1" x14ac:dyDescent="0.15">
      <c r="B8" s="7"/>
      <c r="C8" s="10" t="s">
        <v>48</v>
      </c>
      <c r="D8" s="9"/>
      <c r="E8" s="6"/>
      <c r="F8" s="6"/>
      <c r="G8" s="6"/>
      <c r="H8" s="6"/>
      <c r="I8" s="2"/>
    </row>
    <row r="9" spans="1:9" ht="28.5" customHeight="1" x14ac:dyDescent="0.15">
      <c r="B9" s="7"/>
      <c r="C9" s="10" t="s">
        <v>49</v>
      </c>
      <c r="D9" s="9"/>
      <c r="E9" s="6"/>
      <c r="F9" s="6"/>
      <c r="G9" s="6"/>
      <c r="H9" s="6"/>
      <c r="I9" s="2"/>
    </row>
    <row r="10" spans="1:9" ht="28.5" customHeight="1" x14ac:dyDescent="0.15">
      <c r="B10" s="7"/>
      <c r="C10" s="10" t="s">
        <v>50</v>
      </c>
      <c r="D10" s="9"/>
      <c r="E10" s="6"/>
      <c r="F10" s="6"/>
      <c r="G10" s="6"/>
      <c r="H10" s="6"/>
      <c r="I10" s="2"/>
    </row>
    <row r="11" spans="1:9" ht="28.5" customHeight="1" x14ac:dyDescent="0.15">
      <c r="B11" s="7"/>
      <c r="C11" s="10" t="s">
        <v>51</v>
      </c>
      <c r="D11" s="9"/>
      <c r="E11" s="6"/>
      <c r="F11" s="6"/>
      <c r="G11" s="6"/>
      <c r="H11" s="6"/>
      <c r="I11" s="2"/>
    </row>
    <row r="12" spans="1:9" ht="28.5" customHeight="1" x14ac:dyDescent="0.15">
      <c r="B12" s="6"/>
      <c r="C12" s="10" t="s">
        <v>52</v>
      </c>
      <c r="D12" s="9"/>
      <c r="E12" s="6"/>
      <c r="F12" s="6"/>
      <c r="G12" s="6"/>
      <c r="H12" s="6"/>
      <c r="I12" s="2"/>
    </row>
    <row r="13" spans="1:9" ht="28.5" customHeight="1" x14ac:dyDescent="0.15">
      <c r="B13" s="6"/>
      <c r="C13" s="10" t="s">
        <v>53</v>
      </c>
      <c r="D13" s="9"/>
      <c r="E13" s="6"/>
      <c r="F13" s="6"/>
      <c r="G13" s="6"/>
      <c r="H13" s="6"/>
      <c r="I13" s="2"/>
    </row>
    <row r="14" spans="1:9" ht="28.5" customHeight="1" x14ac:dyDescent="0.15">
      <c r="B14" s="6"/>
      <c r="C14" s="10" t="s">
        <v>54</v>
      </c>
      <c r="D14" s="9"/>
      <c r="E14" s="6"/>
      <c r="F14" s="6"/>
      <c r="G14" s="6"/>
      <c r="H14" s="6"/>
    </row>
    <row r="15" spans="1:9" ht="28.5" customHeight="1" x14ac:dyDescent="0.15">
      <c r="B15" s="6"/>
      <c r="C15" s="10" t="s">
        <v>55</v>
      </c>
      <c r="D15" s="9"/>
      <c r="E15" s="6"/>
      <c r="F15" s="6"/>
      <c r="G15" s="6"/>
      <c r="H15" s="6"/>
    </row>
    <row r="16" spans="1:9" ht="28.5" customHeight="1" x14ac:dyDescent="0.15">
      <c r="B16" s="6"/>
      <c r="C16" s="10" t="s">
        <v>56</v>
      </c>
      <c r="D16" s="6"/>
      <c r="E16" s="6"/>
      <c r="F16" s="6"/>
      <c r="G16" s="6"/>
      <c r="H16" s="6"/>
    </row>
    <row r="17" spans="2:8" ht="28.5" customHeight="1" x14ac:dyDescent="0.15">
      <c r="B17" s="6"/>
      <c r="C17" s="6"/>
      <c r="D17" s="6"/>
      <c r="E17" s="6"/>
      <c r="F17" s="6"/>
      <c r="G17" s="6"/>
      <c r="H17" s="6"/>
    </row>
    <row r="18" spans="2:8" ht="28.5" customHeight="1" x14ac:dyDescent="0.15">
      <c r="B18" s="11" t="s">
        <v>45</v>
      </c>
      <c r="C18" s="6"/>
      <c r="D18" s="6"/>
      <c r="E18" s="6"/>
      <c r="F18" s="6"/>
      <c r="G18" s="6"/>
      <c r="H18" s="6"/>
    </row>
  </sheetData>
  <mergeCells count="1">
    <mergeCell ref="A1:H1"/>
  </mergeCells>
  <phoneticPr fontId="15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482"/>
  <sheetViews>
    <sheetView zoomScale="85" zoomScaleNormal="85" workbookViewId="0">
      <pane ySplit="6" topLeftCell="A127" activePane="bottomLeft" state="frozen"/>
      <selection pane="bottomLeft" activeCell="K146" sqref="K146"/>
    </sheetView>
  </sheetViews>
  <sheetFormatPr defaultRowHeight="16.5" x14ac:dyDescent="0.15"/>
  <cols>
    <col min="1" max="1" width="8.88671875" style="13"/>
    <col min="2" max="3" width="9.21875" style="13" bestFit="1" customWidth="1"/>
    <col min="4" max="5" width="9.77734375" style="13" bestFit="1" customWidth="1"/>
    <col min="6" max="10" width="9.21875" style="13" bestFit="1" customWidth="1"/>
    <col min="11" max="16384" width="8.88671875" style="13"/>
  </cols>
  <sheetData>
    <row r="1" spans="1:10" ht="17.25" x14ac:dyDescent="0.15">
      <c r="A1" s="12" t="s">
        <v>58</v>
      </c>
    </row>
    <row r="3" spans="1:10" x14ac:dyDescent="0.15">
      <c r="A3" s="13" t="s">
        <v>148</v>
      </c>
    </row>
    <row r="4" spans="1:10" s="17" customFormat="1" x14ac:dyDescent="0.15">
      <c r="B4" s="18"/>
      <c r="C4" s="18"/>
      <c r="D4" s="18"/>
      <c r="E4" s="18"/>
      <c r="F4" s="18"/>
      <c r="G4" s="18"/>
      <c r="H4" s="18"/>
      <c r="I4" s="18"/>
      <c r="J4" s="14" t="s">
        <v>59</v>
      </c>
    </row>
    <row r="5" spans="1:10" x14ac:dyDescent="0.15">
      <c r="A5" s="125" t="s">
        <v>60</v>
      </c>
      <c r="B5" s="126" t="s">
        <v>61</v>
      </c>
      <c r="C5" s="126" t="s">
        <v>62</v>
      </c>
      <c r="D5" s="126"/>
      <c r="E5" s="126"/>
      <c r="F5" s="126" t="s">
        <v>63</v>
      </c>
      <c r="G5" s="126"/>
      <c r="H5" s="126"/>
      <c r="I5" s="126"/>
      <c r="J5" s="127"/>
    </row>
    <row r="6" spans="1:10" x14ac:dyDescent="0.15">
      <c r="A6" s="125"/>
      <c r="B6" s="126"/>
      <c r="C6" s="15" t="s">
        <v>64</v>
      </c>
      <c r="D6" s="15" t="s">
        <v>65</v>
      </c>
      <c r="E6" s="15" t="s">
        <v>66</v>
      </c>
      <c r="F6" s="15" t="s">
        <v>64</v>
      </c>
      <c r="G6" s="15" t="s">
        <v>67</v>
      </c>
      <c r="H6" s="15" t="s">
        <v>68</v>
      </c>
      <c r="I6" s="15" t="s">
        <v>69</v>
      </c>
      <c r="J6" s="16" t="s">
        <v>70</v>
      </c>
    </row>
    <row r="7" spans="1:10" x14ac:dyDescent="0.15">
      <c r="A7" s="48" t="s">
        <v>8</v>
      </c>
      <c r="B7" s="49">
        <v>66106.73000000001</v>
      </c>
      <c r="C7" s="50">
        <v>61935.91</v>
      </c>
      <c r="D7" s="50">
        <v>8553.33</v>
      </c>
      <c r="E7" s="50">
        <v>53382.58</v>
      </c>
      <c r="F7" s="50">
        <v>4170.82</v>
      </c>
      <c r="G7" s="50">
        <v>396.32</v>
      </c>
      <c r="H7" s="50">
        <v>1572.11</v>
      </c>
      <c r="I7" s="50">
        <v>205.96</v>
      </c>
      <c r="J7" s="51">
        <v>1996.43</v>
      </c>
    </row>
    <row r="8" spans="1:10" x14ac:dyDescent="0.15">
      <c r="A8" s="52" t="s">
        <v>9</v>
      </c>
      <c r="B8" s="53">
        <v>68421.08</v>
      </c>
      <c r="C8" s="54">
        <v>66065.440000000002</v>
      </c>
      <c r="D8" s="54">
        <v>8390.2900000000009</v>
      </c>
      <c r="E8" s="54">
        <v>57675.15</v>
      </c>
      <c r="F8" s="54">
        <v>2355.64</v>
      </c>
      <c r="G8" s="54">
        <v>322.91000000000003</v>
      </c>
      <c r="H8" s="54">
        <v>1611.16</v>
      </c>
      <c r="I8" s="54">
        <v>172.62</v>
      </c>
      <c r="J8" s="55">
        <v>248.95</v>
      </c>
    </row>
    <row r="9" spans="1:10" x14ac:dyDescent="0.15">
      <c r="A9" s="52" t="s">
        <v>10</v>
      </c>
      <c r="B9" s="53">
        <v>69173.760000000009</v>
      </c>
      <c r="C9" s="54">
        <v>65142.810000000005</v>
      </c>
      <c r="D9" s="54">
        <v>8511.83</v>
      </c>
      <c r="E9" s="54">
        <v>56630.98</v>
      </c>
      <c r="F9" s="54">
        <v>4030.95</v>
      </c>
      <c r="G9" s="54">
        <v>312.58999999999997</v>
      </c>
      <c r="H9" s="54">
        <v>1616.52</v>
      </c>
      <c r="I9" s="54">
        <v>148.28</v>
      </c>
      <c r="J9" s="55">
        <v>1953.56</v>
      </c>
    </row>
    <row r="10" spans="1:10" x14ac:dyDescent="0.15">
      <c r="A10" s="52" t="s">
        <v>11</v>
      </c>
      <c r="B10" s="53">
        <v>69310.77</v>
      </c>
      <c r="C10" s="54">
        <v>65168.17</v>
      </c>
      <c r="D10" s="54">
        <v>8784.67</v>
      </c>
      <c r="E10" s="54">
        <v>56383.5</v>
      </c>
      <c r="F10" s="54">
        <v>4142.6000000000004</v>
      </c>
      <c r="G10" s="54">
        <v>372.28</v>
      </c>
      <c r="H10" s="54">
        <v>1628.45</v>
      </c>
      <c r="I10" s="54">
        <v>183.29</v>
      </c>
      <c r="J10" s="55">
        <v>1958.58</v>
      </c>
    </row>
    <row r="11" spans="1:10" x14ac:dyDescent="0.15">
      <c r="A11" s="52" t="s">
        <v>12</v>
      </c>
      <c r="B11" s="53">
        <v>70861.040000000008</v>
      </c>
      <c r="C11" s="54">
        <v>66909.88</v>
      </c>
      <c r="D11" s="54">
        <v>8767.99</v>
      </c>
      <c r="E11" s="54">
        <v>58141.89</v>
      </c>
      <c r="F11" s="54">
        <v>3951.16</v>
      </c>
      <c r="G11" s="54">
        <v>375.82</v>
      </c>
      <c r="H11" s="54">
        <v>1464.47</v>
      </c>
      <c r="I11" s="54">
        <v>159.65</v>
      </c>
      <c r="J11" s="55">
        <v>1951.22</v>
      </c>
    </row>
    <row r="12" spans="1:10" x14ac:dyDescent="0.15">
      <c r="A12" s="52" t="s">
        <v>13</v>
      </c>
      <c r="B12" s="53">
        <v>70676.23000000001</v>
      </c>
      <c r="C12" s="54">
        <v>66772.820000000007</v>
      </c>
      <c r="D12" s="54">
        <v>8515.25</v>
      </c>
      <c r="E12" s="54">
        <v>58257.57</v>
      </c>
      <c r="F12" s="54">
        <v>3903.41</v>
      </c>
      <c r="G12" s="54">
        <v>375.71</v>
      </c>
      <c r="H12" s="54">
        <v>1428.31</v>
      </c>
      <c r="I12" s="54">
        <v>152.63</v>
      </c>
      <c r="J12" s="55">
        <v>1946.76</v>
      </c>
    </row>
    <row r="13" spans="1:10" x14ac:dyDescent="0.15">
      <c r="A13" s="52" t="s">
        <v>14</v>
      </c>
      <c r="B13" s="53">
        <v>69914.649999999994</v>
      </c>
      <c r="C13" s="54">
        <v>66047.819999999992</v>
      </c>
      <c r="D13" s="54">
        <v>8029.47</v>
      </c>
      <c r="E13" s="54">
        <v>58018.35</v>
      </c>
      <c r="F13" s="54">
        <v>3866.83</v>
      </c>
      <c r="G13" s="54">
        <v>356.46</v>
      </c>
      <c r="H13" s="54">
        <v>1412.23</v>
      </c>
      <c r="I13" s="54">
        <v>135.13999999999999</v>
      </c>
      <c r="J13" s="55">
        <v>1963</v>
      </c>
    </row>
    <row r="14" spans="1:10" x14ac:dyDescent="0.15">
      <c r="A14" s="52" t="s">
        <v>15</v>
      </c>
      <c r="B14" s="53">
        <v>71078.27</v>
      </c>
      <c r="C14" s="54">
        <v>67163.510000000009</v>
      </c>
      <c r="D14" s="54">
        <v>8495.2800000000007</v>
      </c>
      <c r="E14" s="54">
        <v>58668.23</v>
      </c>
      <c r="F14" s="54">
        <v>3914.76</v>
      </c>
      <c r="G14" s="54">
        <v>355.62</v>
      </c>
      <c r="H14" s="54">
        <v>1395.53</v>
      </c>
      <c r="I14" s="54">
        <v>180.37</v>
      </c>
      <c r="J14" s="55">
        <v>1983.24</v>
      </c>
    </row>
    <row r="15" spans="1:10" x14ac:dyDescent="0.15">
      <c r="A15" s="52" t="s">
        <v>16</v>
      </c>
      <c r="B15" s="53">
        <v>69998.959999999992</v>
      </c>
      <c r="C15" s="54">
        <v>66486.399999999994</v>
      </c>
      <c r="D15" s="54">
        <v>8840.33</v>
      </c>
      <c r="E15" s="54">
        <v>57646.07</v>
      </c>
      <c r="F15" s="54">
        <v>3512.5600000000004</v>
      </c>
      <c r="G15" s="54">
        <v>348.1</v>
      </c>
      <c r="H15" s="54">
        <v>1390.26</v>
      </c>
      <c r="I15" s="54">
        <v>177.81</v>
      </c>
      <c r="J15" s="55">
        <v>1596.39</v>
      </c>
    </row>
    <row r="16" spans="1:10" x14ac:dyDescent="0.15">
      <c r="A16" s="52" t="s">
        <v>17</v>
      </c>
      <c r="B16" s="53">
        <v>69046.86</v>
      </c>
      <c r="C16" s="54">
        <v>65514.770000000004</v>
      </c>
      <c r="D16" s="54">
        <v>8607.4699999999993</v>
      </c>
      <c r="E16" s="54">
        <v>56907.3</v>
      </c>
      <c r="F16" s="54">
        <v>3532.09</v>
      </c>
      <c r="G16" s="54">
        <v>398.17</v>
      </c>
      <c r="H16" s="54">
        <v>1344.34</v>
      </c>
      <c r="I16" s="54">
        <v>194.48</v>
      </c>
      <c r="J16" s="55">
        <v>1595.1</v>
      </c>
    </row>
    <row r="17" spans="1:10" x14ac:dyDescent="0.15">
      <c r="A17" s="52" t="s">
        <v>18</v>
      </c>
      <c r="B17" s="53">
        <v>71654.27</v>
      </c>
      <c r="C17" s="54">
        <v>68498.600000000006</v>
      </c>
      <c r="D17" s="54">
        <v>8994.5499999999993</v>
      </c>
      <c r="E17" s="54">
        <v>59504.05</v>
      </c>
      <c r="F17" s="54">
        <v>3155.67</v>
      </c>
      <c r="G17" s="54">
        <v>445.57</v>
      </c>
      <c r="H17" s="54">
        <v>1310.5</v>
      </c>
      <c r="I17" s="54">
        <v>190.4</v>
      </c>
      <c r="J17" s="55">
        <v>1209.2</v>
      </c>
    </row>
    <row r="18" spans="1:10" x14ac:dyDescent="0.15">
      <c r="A18" s="52" t="s">
        <v>19</v>
      </c>
      <c r="B18" s="53">
        <v>67181.53</v>
      </c>
      <c r="C18" s="54">
        <v>64614.420000000006</v>
      </c>
      <c r="D18" s="54">
        <v>9317.94</v>
      </c>
      <c r="E18" s="54">
        <v>55296.480000000003</v>
      </c>
      <c r="F18" s="54">
        <v>2567.11</v>
      </c>
      <c r="G18" s="54">
        <v>441.68</v>
      </c>
      <c r="H18" s="54">
        <v>1266.06</v>
      </c>
      <c r="I18" s="54">
        <v>198.27</v>
      </c>
      <c r="J18" s="55">
        <v>661.1</v>
      </c>
    </row>
    <row r="19" spans="1:10" x14ac:dyDescent="0.15">
      <c r="A19" s="52" t="s">
        <v>20</v>
      </c>
      <c r="B19" s="53">
        <v>70292.09</v>
      </c>
      <c r="C19" s="54">
        <v>67881.53</v>
      </c>
      <c r="D19" s="54">
        <v>11006.14</v>
      </c>
      <c r="E19" s="54">
        <v>56875.39</v>
      </c>
      <c r="F19" s="54">
        <v>2410.56</v>
      </c>
      <c r="G19" s="54">
        <v>337.01</v>
      </c>
      <c r="H19" s="54">
        <v>1273</v>
      </c>
      <c r="I19" s="54">
        <v>200.05</v>
      </c>
      <c r="J19" s="55">
        <v>600.5</v>
      </c>
    </row>
    <row r="20" spans="1:10" x14ac:dyDescent="0.15">
      <c r="A20" s="52" t="s">
        <v>21</v>
      </c>
      <c r="B20" s="53">
        <v>73852.78</v>
      </c>
      <c r="C20" s="54">
        <v>71515.039999999994</v>
      </c>
      <c r="D20" s="54">
        <v>11778.98</v>
      </c>
      <c r="E20" s="54">
        <v>59736.06</v>
      </c>
      <c r="F20" s="54">
        <v>2337.7399999999998</v>
      </c>
      <c r="G20" s="54">
        <v>358.95</v>
      </c>
      <c r="H20" s="54">
        <v>1281.0999999999999</v>
      </c>
      <c r="I20" s="54">
        <v>170.96</v>
      </c>
      <c r="J20" s="55">
        <v>526.73</v>
      </c>
    </row>
    <row r="21" spans="1:10" x14ac:dyDescent="0.15">
      <c r="A21" s="52" t="s">
        <v>22</v>
      </c>
      <c r="B21" s="53">
        <v>74145.23</v>
      </c>
      <c r="C21" s="54">
        <v>71939.86</v>
      </c>
      <c r="D21" s="54">
        <v>12368.92</v>
      </c>
      <c r="E21" s="54">
        <v>59570.94</v>
      </c>
      <c r="F21" s="54">
        <v>2205.3700000000003</v>
      </c>
      <c r="G21" s="54">
        <v>508.64</v>
      </c>
      <c r="H21" s="54">
        <v>1268.76</v>
      </c>
      <c r="I21" s="54">
        <v>122.18</v>
      </c>
      <c r="J21" s="55">
        <v>305.79000000000002</v>
      </c>
    </row>
    <row r="22" spans="1:10" x14ac:dyDescent="0.15">
      <c r="A22" s="52" t="s">
        <v>23</v>
      </c>
      <c r="B22" s="53">
        <v>73831.740000000005</v>
      </c>
      <c r="C22" s="54">
        <v>71703.070000000007</v>
      </c>
      <c r="D22" s="54">
        <v>12307.56</v>
      </c>
      <c r="E22" s="54">
        <v>59395.51</v>
      </c>
      <c r="F22" s="54">
        <v>2128.67</v>
      </c>
      <c r="G22" s="54">
        <v>450.69</v>
      </c>
      <c r="H22" s="54">
        <v>1267.6400000000001</v>
      </c>
      <c r="I22" s="54">
        <v>104.3</v>
      </c>
      <c r="J22" s="55">
        <v>306.04000000000002</v>
      </c>
    </row>
    <row r="23" spans="1:10" x14ac:dyDescent="0.15">
      <c r="A23" s="52" t="s">
        <v>24</v>
      </c>
      <c r="B23" s="53">
        <v>75229.84</v>
      </c>
      <c r="C23" s="54">
        <v>73142.429999999993</v>
      </c>
      <c r="D23" s="54">
        <v>12692.86</v>
      </c>
      <c r="E23" s="54">
        <v>60449.57</v>
      </c>
      <c r="F23" s="54">
        <v>2087.41</v>
      </c>
      <c r="G23" s="54">
        <v>410.31</v>
      </c>
      <c r="H23" s="54">
        <v>1262.4000000000001</v>
      </c>
      <c r="I23" s="54">
        <v>108.36</v>
      </c>
      <c r="J23" s="55">
        <v>306.33999999999997</v>
      </c>
    </row>
    <row r="24" spans="1:10" x14ac:dyDescent="0.15">
      <c r="A24" s="52" t="s">
        <v>25</v>
      </c>
      <c r="B24" s="53">
        <v>75204.67</v>
      </c>
      <c r="C24" s="54">
        <v>73353.59</v>
      </c>
      <c r="D24" s="54">
        <v>12636.04</v>
      </c>
      <c r="E24" s="54">
        <v>60717.55</v>
      </c>
      <c r="F24" s="54">
        <v>1851.08</v>
      </c>
      <c r="G24" s="54">
        <v>333.02</v>
      </c>
      <c r="H24" s="54">
        <v>1171.69</v>
      </c>
      <c r="I24" s="54">
        <v>40.35</v>
      </c>
      <c r="J24" s="55">
        <v>306.02</v>
      </c>
    </row>
    <row r="25" spans="1:10" x14ac:dyDescent="0.15">
      <c r="A25" s="52" t="s">
        <v>26</v>
      </c>
      <c r="B25" s="53">
        <v>77117.61</v>
      </c>
      <c r="C25" s="54">
        <v>75206.100000000006</v>
      </c>
      <c r="D25" s="54">
        <v>11578.53</v>
      </c>
      <c r="E25" s="54">
        <v>63627.57</v>
      </c>
      <c r="F25" s="54">
        <v>1911.5099999999998</v>
      </c>
      <c r="G25" s="54">
        <v>350.38</v>
      </c>
      <c r="H25" s="54">
        <v>1183.57</v>
      </c>
      <c r="I25" s="54">
        <v>43.55</v>
      </c>
      <c r="J25" s="55">
        <v>334.01</v>
      </c>
    </row>
    <row r="26" spans="1:10" x14ac:dyDescent="0.15">
      <c r="A26" s="52" t="s">
        <v>27</v>
      </c>
      <c r="B26" s="53">
        <v>79159.689999999988</v>
      </c>
      <c r="C26" s="54">
        <v>77237.51999999999</v>
      </c>
      <c r="D26" s="54">
        <v>11500.57</v>
      </c>
      <c r="E26" s="54">
        <v>65736.95</v>
      </c>
      <c r="F26" s="54">
        <v>1922.17</v>
      </c>
      <c r="G26" s="54">
        <v>400.73</v>
      </c>
      <c r="H26" s="54">
        <v>1168.08</v>
      </c>
      <c r="I26" s="54">
        <v>30.94</v>
      </c>
      <c r="J26" s="55">
        <v>322.42</v>
      </c>
    </row>
    <row r="27" spans="1:10" x14ac:dyDescent="0.15">
      <c r="A27" s="52" t="s">
        <v>28</v>
      </c>
      <c r="B27" s="53">
        <v>81755.44</v>
      </c>
      <c r="C27" s="54">
        <v>79859.33</v>
      </c>
      <c r="D27" s="54">
        <v>11818.63</v>
      </c>
      <c r="E27" s="54">
        <v>68040.7</v>
      </c>
      <c r="F27" s="54">
        <v>1896.1100000000001</v>
      </c>
      <c r="G27" s="54">
        <v>398.73</v>
      </c>
      <c r="H27" s="54">
        <v>1170.28</v>
      </c>
      <c r="I27" s="54">
        <v>17.91</v>
      </c>
      <c r="J27" s="55">
        <v>309.19</v>
      </c>
    </row>
    <row r="28" spans="1:10" x14ac:dyDescent="0.15">
      <c r="A28" s="52" t="s">
        <v>29</v>
      </c>
      <c r="B28" s="53">
        <v>78338.53</v>
      </c>
      <c r="C28" s="54">
        <v>76437.97</v>
      </c>
      <c r="D28" s="54">
        <v>13174.56</v>
      </c>
      <c r="E28" s="54">
        <v>63263.41</v>
      </c>
      <c r="F28" s="54">
        <v>1900.56</v>
      </c>
      <c r="G28" s="54">
        <v>393.77</v>
      </c>
      <c r="H28" s="54">
        <v>1183.77</v>
      </c>
      <c r="I28" s="54">
        <v>20.56</v>
      </c>
      <c r="J28" s="55">
        <v>302.45999999999998</v>
      </c>
    </row>
    <row r="29" spans="1:10" x14ac:dyDescent="0.15">
      <c r="A29" s="52" t="s">
        <v>30</v>
      </c>
      <c r="B29" s="53">
        <v>76406.98</v>
      </c>
      <c r="C29" s="54">
        <v>74550.95</v>
      </c>
      <c r="D29" s="54">
        <v>14359.17</v>
      </c>
      <c r="E29" s="54">
        <v>60191.78</v>
      </c>
      <c r="F29" s="54">
        <v>1856.03</v>
      </c>
      <c r="G29" s="54">
        <v>378.59</v>
      </c>
      <c r="H29" s="54">
        <v>1168.8800000000001</v>
      </c>
      <c r="I29" s="54">
        <v>22.07</v>
      </c>
      <c r="J29" s="55">
        <v>286.49</v>
      </c>
    </row>
    <row r="30" spans="1:10" x14ac:dyDescent="0.15">
      <c r="A30" s="52" t="s">
        <v>31</v>
      </c>
      <c r="B30" s="53">
        <v>69889.889999999985</v>
      </c>
      <c r="C30" s="54">
        <v>68136.709999999992</v>
      </c>
      <c r="D30" s="54">
        <v>11022.9</v>
      </c>
      <c r="E30" s="54">
        <v>57113.81</v>
      </c>
      <c r="F30" s="54">
        <v>1753.1799999999998</v>
      </c>
      <c r="G30" s="54">
        <v>343.51</v>
      </c>
      <c r="H30" s="54">
        <v>1203.97</v>
      </c>
      <c r="I30" s="54">
        <v>15.33</v>
      </c>
      <c r="J30" s="55">
        <v>190.37</v>
      </c>
    </row>
    <row r="31" spans="1:10" x14ac:dyDescent="0.15">
      <c r="A31" s="52" t="s">
        <v>32</v>
      </c>
      <c r="B31" s="53">
        <v>74103.490000000005</v>
      </c>
      <c r="C31" s="54">
        <v>72418.25</v>
      </c>
      <c r="D31" s="54">
        <v>13883.91</v>
      </c>
      <c r="E31" s="54">
        <v>58534.34</v>
      </c>
      <c r="F31" s="54">
        <v>1685.24</v>
      </c>
      <c r="G31" s="54">
        <v>291.52</v>
      </c>
      <c r="H31" s="54">
        <v>1225.55</v>
      </c>
      <c r="I31" s="54">
        <v>12.98</v>
      </c>
      <c r="J31" s="55">
        <v>155.19</v>
      </c>
    </row>
    <row r="32" spans="1:10" x14ac:dyDescent="0.15">
      <c r="A32" s="52" t="s">
        <v>33</v>
      </c>
      <c r="B32" s="53">
        <v>77331.09</v>
      </c>
      <c r="C32" s="54">
        <v>75686.64</v>
      </c>
      <c r="D32" s="54">
        <v>12367.39</v>
      </c>
      <c r="E32" s="54">
        <v>63319.25</v>
      </c>
      <c r="F32" s="54">
        <v>1644.4500000000003</v>
      </c>
      <c r="G32" s="54">
        <v>266.86</v>
      </c>
      <c r="H32" s="54">
        <v>1251.4000000000001</v>
      </c>
      <c r="I32" s="54">
        <v>5.67</v>
      </c>
      <c r="J32" s="55">
        <v>120.52</v>
      </c>
    </row>
    <row r="33" spans="1:10" x14ac:dyDescent="0.15">
      <c r="A33" s="52" t="s">
        <v>34</v>
      </c>
      <c r="B33" s="53">
        <v>77002.969999999987</v>
      </c>
      <c r="C33" s="54">
        <v>75477.709999999992</v>
      </c>
      <c r="D33" s="54">
        <v>13165.86</v>
      </c>
      <c r="E33" s="54">
        <v>62311.85</v>
      </c>
      <c r="F33" s="54">
        <v>1525.2599999999998</v>
      </c>
      <c r="G33" s="54">
        <v>207.05</v>
      </c>
      <c r="H33" s="54">
        <v>1289.27</v>
      </c>
      <c r="I33" s="54">
        <v>2.83</v>
      </c>
      <c r="J33" s="55">
        <v>26.11</v>
      </c>
    </row>
    <row r="34" spans="1:10" x14ac:dyDescent="0.15">
      <c r="A34" s="52" t="s">
        <v>35</v>
      </c>
      <c r="B34" s="53">
        <v>77265.570000000007</v>
      </c>
      <c r="C34" s="54">
        <v>75647.13</v>
      </c>
      <c r="D34" s="54">
        <v>11686.13</v>
      </c>
      <c r="E34" s="54">
        <v>63961</v>
      </c>
      <c r="F34" s="54">
        <v>1618.44</v>
      </c>
      <c r="G34" s="54">
        <v>209.41</v>
      </c>
      <c r="H34" s="54">
        <v>1366.76</v>
      </c>
      <c r="I34" s="54">
        <v>3.01</v>
      </c>
      <c r="J34" s="55">
        <v>39.26</v>
      </c>
    </row>
    <row r="35" spans="1:10" x14ac:dyDescent="0.15">
      <c r="A35" s="52" t="s">
        <v>36</v>
      </c>
      <c r="B35" s="53">
        <v>76853.76999999999</v>
      </c>
      <c r="C35" s="54">
        <v>75267.23</v>
      </c>
      <c r="D35" s="54">
        <v>11830.83</v>
      </c>
      <c r="E35" s="54">
        <v>63436.4</v>
      </c>
      <c r="F35" s="54">
        <v>1586.54</v>
      </c>
      <c r="G35" s="54">
        <v>120.02</v>
      </c>
      <c r="H35" s="54">
        <v>1421.11</v>
      </c>
      <c r="I35" s="54">
        <v>0.18</v>
      </c>
      <c r="J35" s="55">
        <v>45.23</v>
      </c>
    </row>
    <row r="36" spans="1:10" x14ac:dyDescent="0.15">
      <c r="A36" s="52" t="s">
        <v>37</v>
      </c>
      <c r="B36" s="53">
        <v>75645.08</v>
      </c>
      <c r="C36" s="54">
        <v>74042.33</v>
      </c>
      <c r="D36" s="54">
        <v>12044.7</v>
      </c>
      <c r="E36" s="54">
        <v>61997.63</v>
      </c>
      <c r="F36" s="54">
        <v>1602.7500000000002</v>
      </c>
      <c r="G36" s="54">
        <v>106.65</v>
      </c>
      <c r="H36" s="54">
        <v>1462.2</v>
      </c>
      <c r="I36" s="54">
        <v>1.26</v>
      </c>
      <c r="J36" s="55">
        <v>32.64</v>
      </c>
    </row>
    <row r="37" spans="1:10" x14ac:dyDescent="0.15">
      <c r="A37" s="52" t="s">
        <v>38</v>
      </c>
      <c r="B37" s="53">
        <v>78944.78</v>
      </c>
      <c r="C37" s="54">
        <v>77276.13</v>
      </c>
      <c r="D37" s="54">
        <v>14592.27</v>
      </c>
      <c r="E37" s="54">
        <v>62683.86</v>
      </c>
      <c r="F37" s="54">
        <v>1668.65</v>
      </c>
      <c r="G37" s="54">
        <v>97.41</v>
      </c>
      <c r="H37" s="54">
        <v>1386.73</v>
      </c>
      <c r="I37" s="54">
        <v>12.14</v>
      </c>
      <c r="J37" s="55">
        <v>172.37</v>
      </c>
    </row>
    <row r="38" spans="1:10" x14ac:dyDescent="0.15">
      <c r="A38" s="52" t="s">
        <v>39</v>
      </c>
      <c r="B38" s="53">
        <v>80080.23</v>
      </c>
      <c r="C38" s="54">
        <v>78366.11</v>
      </c>
      <c r="D38" s="54">
        <v>13414.2</v>
      </c>
      <c r="E38" s="54">
        <v>64951.91</v>
      </c>
      <c r="F38" s="54">
        <v>1714.1200000000001</v>
      </c>
      <c r="G38" s="54">
        <v>98.22</v>
      </c>
      <c r="H38" s="54">
        <v>1434</v>
      </c>
      <c r="I38" s="54">
        <v>10.88</v>
      </c>
      <c r="J38" s="55">
        <v>171.02</v>
      </c>
    </row>
    <row r="39" spans="1:10" x14ac:dyDescent="0.15">
      <c r="A39" s="52" t="s">
        <v>40</v>
      </c>
      <c r="B39" s="53">
        <v>82230.840000000011</v>
      </c>
      <c r="C39" s="54">
        <v>80276.38</v>
      </c>
      <c r="D39" s="54">
        <v>15203.27</v>
      </c>
      <c r="E39" s="54">
        <v>65073.11</v>
      </c>
      <c r="F39" s="54">
        <v>1954.46</v>
      </c>
      <c r="G39" s="54">
        <v>96.82</v>
      </c>
      <c r="H39" s="54">
        <v>1472.14</v>
      </c>
      <c r="I39" s="54">
        <v>9.0399999999999991</v>
      </c>
      <c r="J39" s="55">
        <v>376.46</v>
      </c>
    </row>
    <row r="40" spans="1:10" x14ac:dyDescent="0.15">
      <c r="A40" s="52" t="s">
        <v>41</v>
      </c>
      <c r="B40" s="53">
        <v>84392.82</v>
      </c>
      <c r="C40" s="54">
        <v>82609.72</v>
      </c>
      <c r="D40" s="54">
        <v>15853.73</v>
      </c>
      <c r="E40" s="54">
        <v>66755.990000000005</v>
      </c>
      <c r="F40" s="54">
        <v>1783.1000000000001</v>
      </c>
      <c r="G40" s="54">
        <v>114.42</v>
      </c>
      <c r="H40" s="54">
        <v>1485.98</v>
      </c>
      <c r="I40" s="54">
        <v>9.0399999999999991</v>
      </c>
      <c r="J40" s="55">
        <v>173.66</v>
      </c>
    </row>
    <row r="41" spans="1:10" x14ac:dyDescent="0.15">
      <c r="A41" s="52" t="s">
        <v>42</v>
      </c>
      <c r="B41" s="53">
        <v>83888.76999999999</v>
      </c>
      <c r="C41" s="54">
        <v>82083.179999999993</v>
      </c>
      <c r="D41" s="54">
        <v>17290.07</v>
      </c>
      <c r="E41" s="54">
        <v>64793.11</v>
      </c>
      <c r="F41" s="54">
        <v>1805.5900000000001</v>
      </c>
      <c r="G41" s="54">
        <v>113.21</v>
      </c>
      <c r="H41" s="54">
        <v>1509.15</v>
      </c>
      <c r="I41" s="54">
        <v>12.96</v>
      </c>
      <c r="J41" s="55">
        <v>170.27</v>
      </c>
    </row>
    <row r="42" spans="1:10" x14ac:dyDescent="0.15">
      <c r="A42" s="52" t="s">
        <v>43</v>
      </c>
      <c r="B42" s="53">
        <v>74341.5</v>
      </c>
      <c r="C42" s="54">
        <v>72712.78</v>
      </c>
      <c r="D42" s="54">
        <v>17230.02</v>
      </c>
      <c r="E42" s="54">
        <v>55482.76</v>
      </c>
      <c r="F42" s="54">
        <v>1628.72</v>
      </c>
      <c r="G42" s="54">
        <v>103.25</v>
      </c>
      <c r="H42" s="54">
        <v>1346.73</v>
      </c>
      <c r="I42" s="54">
        <v>12.96</v>
      </c>
      <c r="J42" s="55">
        <v>165.78</v>
      </c>
    </row>
    <row r="43" spans="1:10" x14ac:dyDescent="0.15">
      <c r="A43" s="52" t="s">
        <v>44</v>
      </c>
      <c r="B43" s="53">
        <v>77053.099999999991</v>
      </c>
      <c r="C43" s="54">
        <v>75288.899999999994</v>
      </c>
      <c r="D43" s="54">
        <v>16203.3</v>
      </c>
      <c r="E43" s="54">
        <v>59085.599999999999</v>
      </c>
      <c r="F43" s="54">
        <v>1764.2</v>
      </c>
      <c r="G43" s="54">
        <v>114.61</v>
      </c>
      <c r="H43" s="54">
        <v>1603.05</v>
      </c>
      <c r="I43" s="54">
        <v>30.64</v>
      </c>
      <c r="J43" s="55">
        <v>15.9</v>
      </c>
    </row>
    <row r="44" spans="1:10" x14ac:dyDescent="0.15">
      <c r="A44" s="52" t="s">
        <v>46</v>
      </c>
      <c r="B44" s="53">
        <v>81476.23000000001</v>
      </c>
      <c r="C44" s="54">
        <v>79638.66</v>
      </c>
      <c r="D44" s="54">
        <v>16678.68</v>
      </c>
      <c r="E44" s="54">
        <v>62959.98</v>
      </c>
      <c r="F44" s="54">
        <v>1837.5700000000002</v>
      </c>
      <c r="G44" s="54">
        <v>143.86000000000001</v>
      </c>
      <c r="H44" s="54">
        <v>1665.83</v>
      </c>
      <c r="I44" s="54">
        <v>17.690000000000001</v>
      </c>
      <c r="J44" s="55">
        <v>10.19</v>
      </c>
    </row>
    <row r="45" spans="1:10" x14ac:dyDescent="0.15">
      <c r="A45" s="52" t="s">
        <v>71</v>
      </c>
      <c r="B45" s="53">
        <v>76669.45</v>
      </c>
      <c r="C45" s="54">
        <v>74803.69</v>
      </c>
      <c r="D45" s="54">
        <v>14583.51</v>
      </c>
      <c r="E45" s="54">
        <v>60220.18</v>
      </c>
      <c r="F45" s="54">
        <v>1865.7599999999998</v>
      </c>
      <c r="G45" s="54">
        <v>140.28</v>
      </c>
      <c r="H45" s="54">
        <v>1713.11</v>
      </c>
      <c r="I45" s="54">
        <v>1.75</v>
      </c>
      <c r="J45" s="55">
        <v>10.62</v>
      </c>
    </row>
    <row r="46" spans="1:10" x14ac:dyDescent="0.15">
      <c r="A46" s="52" t="s">
        <v>160</v>
      </c>
      <c r="B46" s="53">
        <v>81286.740000000005</v>
      </c>
      <c r="C46" s="54">
        <v>79377.39</v>
      </c>
      <c r="D46" s="54">
        <v>18657.71</v>
      </c>
      <c r="E46" s="54">
        <v>60719.68</v>
      </c>
      <c r="F46" s="54">
        <v>1909.35</v>
      </c>
      <c r="G46" s="54">
        <v>177.8</v>
      </c>
      <c r="H46" s="54">
        <v>1720.33</v>
      </c>
      <c r="I46" s="54">
        <v>1.25</v>
      </c>
      <c r="J46" s="55">
        <v>9.9700000000000006</v>
      </c>
    </row>
    <row r="47" spans="1:10" x14ac:dyDescent="0.15">
      <c r="A47" s="56" t="s">
        <v>161</v>
      </c>
      <c r="B47" s="57">
        <v>82803.86</v>
      </c>
      <c r="C47" s="40">
        <v>80776.160000000003</v>
      </c>
      <c r="D47" s="40">
        <v>18902.060000000001</v>
      </c>
      <c r="E47" s="40">
        <v>61874.1</v>
      </c>
      <c r="F47" s="40">
        <v>2027.7</v>
      </c>
      <c r="G47" s="40">
        <v>228.5</v>
      </c>
      <c r="H47" s="40">
        <v>1789.23</v>
      </c>
      <c r="I47" s="40">
        <v>0</v>
      </c>
      <c r="J47" s="41">
        <v>9.9700000000000006</v>
      </c>
    </row>
    <row r="48" spans="1:10" x14ac:dyDescent="0.15">
      <c r="A48" s="56" t="s">
        <v>163</v>
      </c>
      <c r="B48" s="57">
        <v>79637.990000000005</v>
      </c>
      <c r="C48" s="40">
        <v>77561</v>
      </c>
      <c r="D48" s="40">
        <v>14985.06</v>
      </c>
      <c r="E48" s="40">
        <v>62575.94</v>
      </c>
      <c r="F48" s="40">
        <v>2076.9899999999998</v>
      </c>
      <c r="G48" s="40">
        <v>243.4</v>
      </c>
      <c r="H48" s="40">
        <v>1822.98</v>
      </c>
      <c r="I48" s="40">
        <v>0.45</v>
      </c>
      <c r="J48" s="41">
        <v>10.16</v>
      </c>
    </row>
    <row r="49" spans="1:10" x14ac:dyDescent="0.15">
      <c r="A49" s="56" t="s">
        <v>166</v>
      </c>
      <c r="B49" s="57">
        <v>77632.789999999994</v>
      </c>
      <c r="C49" s="40">
        <v>75490.23</v>
      </c>
      <c r="D49" s="40">
        <v>14132.4</v>
      </c>
      <c r="E49" s="40">
        <v>61357.83</v>
      </c>
      <c r="F49" s="40">
        <v>2142.5599999999995</v>
      </c>
      <c r="G49" s="40">
        <v>242.24</v>
      </c>
      <c r="H49" s="40">
        <v>1889.87</v>
      </c>
      <c r="I49" s="40">
        <v>0.45</v>
      </c>
      <c r="J49" s="41">
        <v>10</v>
      </c>
    </row>
    <row r="50" spans="1:10" x14ac:dyDescent="0.15">
      <c r="A50" s="56" t="s">
        <v>167</v>
      </c>
      <c r="B50" s="57">
        <v>82430.06</v>
      </c>
      <c r="C50" s="40">
        <v>80284.06</v>
      </c>
      <c r="D50" s="40">
        <v>17053.759999999998</v>
      </c>
      <c r="E50" s="40">
        <v>63230.3</v>
      </c>
      <c r="F50" s="40">
        <v>2146</v>
      </c>
      <c r="G50" s="40">
        <v>228.69</v>
      </c>
      <c r="H50" s="40">
        <v>1907.31</v>
      </c>
      <c r="I50" s="40">
        <v>0</v>
      </c>
      <c r="J50" s="41">
        <v>10</v>
      </c>
    </row>
    <row r="51" spans="1:10" x14ac:dyDescent="0.15">
      <c r="A51" s="56" t="s">
        <v>168</v>
      </c>
      <c r="B51" s="57">
        <v>81436.97</v>
      </c>
      <c r="C51" s="40">
        <v>79292.100000000006</v>
      </c>
      <c r="D51" s="40">
        <v>15563.95</v>
      </c>
      <c r="E51" s="40">
        <v>63728.15</v>
      </c>
      <c r="F51" s="40">
        <v>2144.87</v>
      </c>
      <c r="G51" s="40">
        <v>233.49</v>
      </c>
      <c r="H51" s="40">
        <v>1901.2</v>
      </c>
      <c r="I51" s="40">
        <v>0</v>
      </c>
      <c r="J51" s="41">
        <v>10.18</v>
      </c>
    </row>
    <row r="52" spans="1:10" x14ac:dyDescent="0.15">
      <c r="A52" s="56" t="s">
        <v>169</v>
      </c>
      <c r="B52" s="57">
        <v>85504.37</v>
      </c>
      <c r="C52" s="40">
        <v>83388.78</v>
      </c>
      <c r="D52" s="40">
        <v>18797.29</v>
      </c>
      <c r="E52" s="40">
        <v>64591.49</v>
      </c>
      <c r="F52" s="40">
        <v>2115.59</v>
      </c>
      <c r="G52" s="40">
        <v>233.97</v>
      </c>
      <c r="H52" s="40">
        <v>1873.24</v>
      </c>
      <c r="I52" s="40">
        <v>0</v>
      </c>
      <c r="J52" s="41">
        <v>8.3800000000000008</v>
      </c>
    </row>
    <row r="53" spans="1:10" x14ac:dyDescent="0.15">
      <c r="A53" s="56" t="s">
        <v>170</v>
      </c>
      <c r="B53" s="57">
        <v>84620.09</v>
      </c>
      <c r="C53" s="40">
        <v>82537.399999999994</v>
      </c>
      <c r="D53" s="40">
        <v>17316.03</v>
      </c>
      <c r="E53" s="40">
        <v>65221.37</v>
      </c>
      <c r="F53" s="40">
        <v>2082.6900000000005</v>
      </c>
      <c r="G53" s="40">
        <v>171.3</v>
      </c>
      <c r="H53" s="40">
        <v>1895.65</v>
      </c>
      <c r="I53" s="40">
        <v>6.98</v>
      </c>
      <c r="J53" s="41">
        <v>8.76</v>
      </c>
    </row>
    <row r="54" spans="1:10" x14ac:dyDescent="0.15">
      <c r="A54" s="56" t="s">
        <v>171</v>
      </c>
      <c r="B54" s="57">
        <v>76901.959999999992</v>
      </c>
      <c r="C54" s="40">
        <v>74854.559999999998</v>
      </c>
      <c r="D54" s="40">
        <v>18722.39</v>
      </c>
      <c r="E54" s="40">
        <v>56132.17</v>
      </c>
      <c r="F54" s="40">
        <v>2047.4</v>
      </c>
      <c r="G54" s="40">
        <v>172.74</v>
      </c>
      <c r="H54" s="40">
        <v>1861.83</v>
      </c>
      <c r="I54" s="40">
        <v>8.1300000000000008</v>
      </c>
      <c r="J54" s="41">
        <v>4.7</v>
      </c>
    </row>
    <row r="55" spans="1:10" x14ac:dyDescent="0.15">
      <c r="A55" s="56" t="s">
        <v>172</v>
      </c>
      <c r="B55" s="57">
        <v>79039.19</v>
      </c>
      <c r="C55" s="40">
        <v>76951.98</v>
      </c>
      <c r="D55" s="40">
        <v>15276.83</v>
      </c>
      <c r="E55" s="40">
        <v>61675.15</v>
      </c>
      <c r="F55" s="40">
        <v>2087.21</v>
      </c>
      <c r="G55" s="40">
        <v>178.92</v>
      </c>
      <c r="H55" s="40">
        <v>1877.47</v>
      </c>
      <c r="I55" s="40">
        <v>26.59</v>
      </c>
      <c r="J55" s="41">
        <v>4.2300000000000004</v>
      </c>
    </row>
    <row r="56" spans="1:10" x14ac:dyDescent="0.15">
      <c r="A56" s="56" t="s">
        <v>173</v>
      </c>
      <c r="B56" s="57">
        <v>83007.670000000013</v>
      </c>
      <c r="C56" s="40">
        <v>80940.570000000007</v>
      </c>
      <c r="D56" s="40">
        <v>14121.94</v>
      </c>
      <c r="E56" s="40">
        <v>66818.63</v>
      </c>
      <c r="F56" s="40">
        <v>2067.1</v>
      </c>
      <c r="G56" s="40">
        <v>188.52</v>
      </c>
      <c r="H56" s="40">
        <v>1868.96</v>
      </c>
      <c r="I56" s="40">
        <v>4.99</v>
      </c>
      <c r="J56" s="41">
        <v>4.63</v>
      </c>
    </row>
    <row r="57" spans="1:10" x14ac:dyDescent="0.15">
      <c r="A57" s="56" t="s">
        <v>174</v>
      </c>
      <c r="B57" s="57">
        <v>81214.490000000005</v>
      </c>
      <c r="C57" s="40">
        <v>79126.11</v>
      </c>
      <c r="D57" s="40">
        <v>14687.67</v>
      </c>
      <c r="E57" s="40">
        <v>64438.44</v>
      </c>
      <c r="F57" s="40">
        <v>2088.3799999999997</v>
      </c>
      <c r="G57" s="40">
        <v>186.87</v>
      </c>
      <c r="H57" s="40">
        <v>1884.62</v>
      </c>
      <c r="I57" s="40">
        <v>6.25</v>
      </c>
      <c r="J57" s="41">
        <v>10.64</v>
      </c>
    </row>
    <row r="58" spans="1:10" x14ac:dyDescent="0.15">
      <c r="A58" s="56" t="s">
        <v>175</v>
      </c>
      <c r="B58" s="57">
        <v>86080.069999999992</v>
      </c>
      <c r="C58" s="40">
        <v>83766.92</v>
      </c>
      <c r="D58" s="40">
        <v>14225.03</v>
      </c>
      <c r="E58" s="40">
        <v>69541.89</v>
      </c>
      <c r="F58" s="40">
        <v>2313.15</v>
      </c>
      <c r="G58" s="40">
        <v>180.67</v>
      </c>
      <c r="H58" s="40">
        <v>1920.92</v>
      </c>
      <c r="I58" s="40">
        <v>0</v>
      </c>
      <c r="J58" s="41">
        <v>211.56</v>
      </c>
    </row>
    <row r="59" spans="1:10" x14ac:dyDescent="0.15">
      <c r="A59" s="56" t="s">
        <v>176</v>
      </c>
      <c r="B59" s="57">
        <v>88430.09</v>
      </c>
      <c r="C59" s="40">
        <v>86119.12999999999</v>
      </c>
      <c r="D59" s="40">
        <v>13968.59</v>
      </c>
      <c r="E59" s="40">
        <v>72150.539999999994</v>
      </c>
      <c r="F59" s="40">
        <v>2310.9599999999996</v>
      </c>
      <c r="G59" s="40">
        <v>181.7</v>
      </c>
      <c r="H59" s="40">
        <v>1920.85</v>
      </c>
      <c r="I59" s="40">
        <v>0</v>
      </c>
      <c r="J59" s="41">
        <v>208.41</v>
      </c>
    </row>
    <row r="60" spans="1:10" x14ac:dyDescent="0.15">
      <c r="A60" s="56" t="s">
        <v>177</v>
      </c>
      <c r="B60" s="57">
        <v>88662.42</v>
      </c>
      <c r="C60" s="40">
        <v>86001.64</v>
      </c>
      <c r="D60" s="40">
        <v>15228.99</v>
      </c>
      <c r="E60" s="40">
        <v>70772.649999999994</v>
      </c>
      <c r="F60" s="40">
        <v>2660.7799999999997</v>
      </c>
      <c r="G60" s="40">
        <v>188.47</v>
      </c>
      <c r="H60" s="40">
        <v>1957.84</v>
      </c>
      <c r="I60" s="40">
        <v>0</v>
      </c>
      <c r="J60" s="41">
        <v>514.47</v>
      </c>
    </row>
    <row r="61" spans="1:10" x14ac:dyDescent="0.15">
      <c r="A61" s="56" t="s">
        <v>178</v>
      </c>
      <c r="B61" s="57">
        <v>89270.190000000017</v>
      </c>
      <c r="C61" s="40">
        <v>86494.700000000012</v>
      </c>
      <c r="D61" s="40">
        <v>14243.79</v>
      </c>
      <c r="E61" s="40">
        <v>72250.91</v>
      </c>
      <c r="F61" s="40">
        <v>2775.4900000000002</v>
      </c>
      <c r="G61" s="40">
        <v>228.74</v>
      </c>
      <c r="H61" s="40">
        <v>2036.19</v>
      </c>
      <c r="I61" s="40">
        <v>2.46</v>
      </c>
      <c r="J61" s="41">
        <v>508.1</v>
      </c>
    </row>
    <row r="62" spans="1:10" x14ac:dyDescent="0.15">
      <c r="A62" s="56" t="s">
        <v>179</v>
      </c>
      <c r="B62" s="57">
        <v>92521.62</v>
      </c>
      <c r="C62" s="40">
        <v>89731.43</v>
      </c>
      <c r="D62" s="40">
        <v>13984.5</v>
      </c>
      <c r="E62" s="40">
        <v>75746.929999999993</v>
      </c>
      <c r="F62" s="40">
        <v>2790.19</v>
      </c>
      <c r="G62" s="40">
        <v>277.19</v>
      </c>
      <c r="H62" s="40">
        <v>2002.88</v>
      </c>
      <c r="I62" s="40">
        <v>2.46</v>
      </c>
      <c r="J62" s="41">
        <v>507.66</v>
      </c>
    </row>
    <row r="63" spans="1:10" x14ac:dyDescent="0.15">
      <c r="A63" s="56" t="s">
        <v>180</v>
      </c>
      <c r="B63" s="57">
        <v>93222.91</v>
      </c>
      <c r="C63" s="40">
        <v>90547.31</v>
      </c>
      <c r="D63" s="40">
        <v>13757.54</v>
      </c>
      <c r="E63" s="40">
        <v>76789.77</v>
      </c>
      <c r="F63" s="40">
        <v>2675.6</v>
      </c>
      <c r="G63" s="40">
        <v>266.05</v>
      </c>
      <c r="H63" s="40">
        <v>1905.67</v>
      </c>
      <c r="I63" s="40">
        <v>3.22</v>
      </c>
      <c r="J63" s="41">
        <v>500.66</v>
      </c>
    </row>
    <row r="64" spans="1:10" x14ac:dyDescent="0.15">
      <c r="A64" s="56" t="s">
        <v>181</v>
      </c>
      <c r="B64" s="57">
        <v>93337.51999999999</v>
      </c>
      <c r="C64" s="40">
        <v>90619.87</v>
      </c>
      <c r="D64" s="40">
        <v>13309.19</v>
      </c>
      <c r="E64" s="40">
        <v>77310.679999999993</v>
      </c>
      <c r="F64" s="40">
        <v>2717.6499999999996</v>
      </c>
      <c r="G64" s="40">
        <v>240.03</v>
      </c>
      <c r="H64" s="40">
        <v>1864.22</v>
      </c>
      <c r="I64" s="40">
        <v>3.22</v>
      </c>
      <c r="J64" s="41">
        <v>610.17999999999995</v>
      </c>
    </row>
    <row r="65" spans="1:10" x14ac:dyDescent="0.15">
      <c r="A65" s="56" t="s">
        <v>182</v>
      </c>
      <c r="B65" s="57">
        <v>89634.540000000008</v>
      </c>
      <c r="C65" s="40">
        <v>87254.91</v>
      </c>
      <c r="D65" s="40">
        <v>14694.29</v>
      </c>
      <c r="E65" s="40">
        <v>72560.62</v>
      </c>
      <c r="F65" s="40">
        <v>2379.63</v>
      </c>
      <c r="G65" s="40">
        <v>232.74</v>
      </c>
      <c r="H65" s="40">
        <v>1833.06</v>
      </c>
      <c r="I65" s="40">
        <v>3.62</v>
      </c>
      <c r="J65" s="41">
        <v>310.20999999999998</v>
      </c>
    </row>
    <row r="66" spans="1:10" x14ac:dyDescent="0.15">
      <c r="A66" s="56" t="s">
        <v>183</v>
      </c>
      <c r="B66" s="57">
        <v>81315.510000000009</v>
      </c>
      <c r="C66" s="40">
        <v>78605.69</v>
      </c>
      <c r="D66" s="40">
        <v>16050.02</v>
      </c>
      <c r="E66" s="40">
        <v>62555.67</v>
      </c>
      <c r="F66" s="40">
        <v>2709.8199999999997</v>
      </c>
      <c r="G66" s="40">
        <v>289.2</v>
      </c>
      <c r="H66" s="40">
        <v>1806.22</v>
      </c>
      <c r="I66" s="40">
        <v>3.62</v>
      </c>
      <c r="J66" s="41">
        <v>610.78</v>
      </c>
    </row>
    <row r="67" spans="1:10" x14ac:dyDescent="0.15">
      <c r="A67" s="56" t="s">
        <v>184</v>
      </c>
      <c r="B67" s="57">
        <v>85635.549999999988</v>
      </c>
      <c r="C67" s="40">
        <v>83055.459999999992</v>
      </c>
      <c r="D67" s="40">
        <v>16809.43</v>
      </c>
      <c r="E67" s="40">
        <v>66246.03</v>
      </c>
      <c r="F67" s="40">
        <v>2580.09</v>
      </c>
      <c r="G67" s="40">
        <v>304</v>
      </c>
      <c r="H67" s="40">
        <v>1616.74</v>
      </c>
      <c r="I67" s="40">
        <v>3.71</v>
      </c>
      <c r="J67" s="41">
        <v>655.64</v>
      </c>
    </row>
    <row r="68" spans="1:10" x14ac:dyDescent="0.15">
      <c r="A68" s="56" t="s">
        <v>185</v>
      </c>
      <c r="B68" s="57">
        <v>92354.2</v>
      </c>
      <c r="C68" s="40">
        <v>90061.8</v>
      </c>
      <c r="D68" s="40">
        <v>15752.48</v>
      </c>
      <c r="E68" s="40">
        <v>74309.320000000007</v>
      </c>
      <c r="F68" s="40">
        <v>2292.4</v>
      </c>
      <c r="G68" s="40">
        <v>305.49</v>
      </c>
      <c r="H68" s="40">
        <v>1627.76</v>
      </c>
      <c r="I68" s="40">
        <v>3.71</v>
      </c>
      <c r="J68" s="41">
        <v>355.44</v>
      </c>
    </row>
    <row r="69" spans="1:10" x14ac:dyDescent="0.15">
      <c r="A69" s="56" t="s">
        <v>186</v>
      </c>
      <c r="B69" s="57">
        <v>91299.6</v>
      </c>
      <c r="C69" s="40">
        <v>88934.400000000009</v>
      </c>
      <c r="D69" s="40">
        <v>15104.66</v>
      </c>
      <c r="E69" s="40">
        <v>73829.740000000005</v>
      </c>
      <c r="F69" s="40">
        <v>2365.1999999999998</v>
      </c>
      <c r="G69" s="40">
        <v>371.15</v>
      </c>
      <c r="H69" s="40">
        <v>1638.85</v>
      </c>
      <c r="I69" s="40">
        <v>0</v>
      </c>
      <c r="J69" s="41">
        <v>355.2</v>
      </c>
    </row>
    <row r="70" spans="1:10" x14ac:dyDescent="0.15">
      <c r="A70" s="56" t="s">
        <v>187</v>
      </c>
      <c r="B70" s="57">
        <v>97888.17</v>
      </c>
      <c r="C70" s="40">
        <v>95511.679999999993</v>
      </c>
      <c r="D70" s="40">
        <v>16356.9</v>
      </c>
      <c r="E70" s="40">
        <v>79154.78</v>
      </c>
      <c r="F70" s="40">
        <v>2376.4899999999998</v>
      </c>
      <c r="G70" s="40">
        <v>343.34</v>
      </c>
      <c r="H70" s="40">
        <v>1665.97</v>
      </c>
      <c r="I70" s="40">
        <v>11.97</v>
      </c>
      <c r="J70" s="41">
        <v>355.21</v>
      </c>
    </row>
    <row r="71" spans="1:10" x14ac:dyDescent="0.15">
      <c r="A71" s="56" t="s">
        <v>188</v>
      </c>
      <c r="B71" s="57">
        <v>100169.95999999999</v>
      </c>
      <c r="C71" s="40">
        <v>97588.37999999999</v>
      </c>
      <c r="D71" s="40">
        <v>15834.2</v>
      </c>
      <c r="E71" s="40">
        <v>81754.179999999993</v>
      </c>
      <c r="F71" s="40">
        <v>2581.58</v>
      </c>
      <c r="G71" s="40">
        <v>617.62</v>
      </c>
      <c r="H71" s="40">
        <v>1593.99</v>
      </c>
      <c r="I71" s="40">
        <v>11.97</v>
      </c>
      <c r="J71" s="41">
        <v>358</v>
      </c>
    </row>
    <row r="72" spans="1:10" x14ac:dyDescent="0.15">
      <c r="A72" s="56" t="s">
        <v>189</v>
      </c>
      <c r="B72" s="57">
        <v>97782.069999999992</v>
      </c>
      <c r="C72" s="40">
        <v>95542.43</v>
      </c>
      <c r="D72" s="40">
        <v>15940.51</v>
      </c>
      <c r="E72" s="40">
        <v>79601.919999999998</v>
      </c>
      <c r="F72" s="40">
        <v>2239.64</v>
      </c>
      <c r="G72" s="40">
        <v>633.96</v>
      </c>
      <c r="H72" s="40">
        <v>1547.62</v>
      </c>
      <c r="I72" s="40">
        <v>0</v>
      </c>
      <c r="J72" s="41">
        <v>58.06</v>
      </c>
    </row>
    <row r="73" spans="1:10" x14ac:dyDescent="0.15">
      <c r="A73" s="56" t="s">
        <v>190</v>
      </c>
      <c r="B73" s="57">
        <v>99568.99</v>
      </c>
      <c r="C73" s="40">
        <v>97398.25</v>
      </c>
      <c r="D73" s="40">
        <v>16128.89</v>
      </c>
      <c r="E73" s="40">
        <v>81269.36</v>
      </c>
      <c r="F73" s="40">
        <v>2170.7399999999998</v>
      </c>
      <c r="G73" s="40">
        <v>606.37</v>
      </c>
      <c r="H73" s="40">
        <v>1498.67</v>
      </c>
      <c r="I73" s="40">
        <v>6.64</v>
      </c>
      <c r="J73" s="41">
        <v>59.06</v>
      </c>
    </row>
    <row r="74" spans="1:10" x14ac:dyDescent="0.15">
      <c r="A74" s="56" t="s">
        <v>191</v>
      </c>
      <c r="B74" s="57">
        <v>100400.16</v>
      </c>
      <c r="C74" s="40">
        <v>98193.46</v>
      </c>
      <c r="D74" s="40">
        <v>15495.74</v>
      </c>
      <c r="E74" s="40">
        <v>82697.72</v>
      </c>
      <c r="F74" s="40">
        <v>2206.6999999999998</v>
      </c>
      <c r="G74" s="40">
        <v>650.51</v>
      </c>
      <c r="H74" s="40">
        <v>1471.95</v>
      </c>
      <c r="I74" s="40">
        <v>25.18</v>
      </c>
      <c r="J74" s="41">
        <v>59.06</v>
      </c>
    </row>
    <row r="75" spans="1:10" x14ac:dyDescent="0.15">
      <c r="A75" s="58" t="s">
        <v>192</v>
      </c>
      <c r="B75" s="59">
        <v>100754.86000000002</v>
      </c>
      <c r="C75" s="60">
        <v>98491.650000000009</v>
      </c>
      <c r="D75" s="60">
        <v>16216.3</v>
      </c>
      <c r="E75" s="60">
        <v>82275.350000000006</v>
      </c>
      <c r="F75" s="60">
        <v>2263.2099999999996</v>
      </c>
      <c r="G75" s="60">
        <v>693.21</v>
      </c>
      <c r="H75" s="60">
        <v>1479.37</v>
      </c>
      <c r="I75" s="60">
        <v>32.49</v>
      </c>
      <c r="J75" s="61">
        <v>58.14</v>
      </c>
    </row>
    <row r="76" spans="1:10" x14ac:dyDescent="0.15">
      <c r="A76" s="58" t="s">
        <v>193</v>
      </c>
      <c r="B76" s="59">
        <v>102014.93000000001</v>
      </c>
      <c r="C76" s="60">
        <v>99802.880000000005</v>
      </c>
      <c r="D76" s="60">
        <v>17616.13</v>
      </c>
      <c r="E76" s="60">
        <v>82186.75</v>
      </c>
      <c r="F76" s="60">
        <v>2212.0500000000002</v>
      </c>
      <c r="G76" s="60">
        <v>669.43</v>
      </c>
      <c r="H76" s="60">
        <v>1468.01</v>
      </c>
      <c r="I76" s="60">
        <v>26.26</v>
      </c>
      <c r="J76" s="61">
        <v>48.35</v>
      </c>
    </row>
    <row r="77" spans="1:10" x14ac:dyDescent="0.15">
      <c r="A77" s="58" t="s">
        <v>194</v>
      </c>
      <c r="B77" s="59">
        <v>98043.29</v>
      </c>
      <c r="C77" s="60">
        <v>95856.42</v>
      </c>
      <c r="D77" s="60">
        <v>15217.88</v>
      </c>
      <c r="E77" s="60">
        <v>80638.539999999994</v>
      </c>
      <c r="F77" s="60">
        <v>2186.8700000000003</v>
      </c>
      <c r="G77" s="60">
        <v>678.57</v>
      </c>
      <c r="H77" s="60">
        <v>1445.77</v>
      </c>
      <c r="I77" s="60">
        <v>14.53</v>
      </c>
      <c r="J77" s="61">
        <v>48</v>
      </c>
    </row>
    <row r="78" spans="1:10" x14ac:dyDescent="0.15">
      <c r="A78" s="58" t="s">
        <v>201</v>
      </c>
      <c r="B78" s="59">
        <v>88939.88</v>
      </c>
      <c r="C78" s="60">
        <v>86775.75</v>
      </c>
      <c r="D78" s="60">
        <v>17040.38</v>
      </c>
      <c r="E78" s="60">
        <v>69735.37</v>
      </c>
      <c r="F78" s="60">
        <v>2164.1299999999997</v>
      </c>
      <c r="G78" s="60">
        <v>670.76</v>
      </c>
      <c r="H78" s="60">
        <v>1443.06</v>
      </c>
      <c r="I78" s="60">
        <v>2.2200000000000002</v>
      </c>
      <c r="J78" s="61">
        <v>48.09</v>
      </c>
    </row>
    <row r="79" spans="1:10" x14ac:dyDescent="0.15">
      <c r="A79" s="58" t="s">
        <v>202</v>
      </c>
      <c r="B79" s="59">
        <v>92526.92</v>
      </c>
      <c r="C79" s="60">
        <v>90390.3</v>
      </c>
      <c r="D79" s="60">
        <v>17310.580000000002</v>
      </c>
      <c r="E79" s="60">
        <v>73079.72</v>
      </c>
      <c r="F79" s="60">
        <v>2136.62</v>
      </c>
      <c r="G79" s="60">
        <v>720.63</v>
      </c>
      <c r="H79" s="60">
        <v>1406.51</v>
      </c>
      <c r="I79" s="60">
        <v>6</v>
      </c>
      <c r="J79" s="61">
        <v>3.48</v>
      </c>
    </row>
    <row r="80" spans="1:10" x14ac:dyDescent="0.15">
      <c r="A80" s="58" t="s">
        <v>203</v>
      </c>
      <c r="B80" s="59">
        <v>101104.72000000002</v>
      </c>
      <c r="C80" s="60">
        <v>98998.170000000013</v>
      </c>
      <c r="D80" s="60">
        <v>21055.4</v>
      </c>
      <c r="E80" s="60">
        <v>77942.77</v>
      </c>
      <c r="F80" s="60">
        <v>2106.5500000000002</v>
      </c>
      <c r="G80" s="60">
        <v>718.25</v>
      </c>
      <c r="H80" s="60">
        <v>1383.65</v>
      </c>
      <c r="I80" s="60">
        <v>1.26</v>
      </c>
      <c r="J80" s="61">
        <v>3.39</v>
      </c>
    </row>
    <row r="81" spans="1:10" x14ac:dyDescent="0.15">
      <c r="A81" s="62" t="s">
        <v>204</v>
      </c>
      <c r="B81" s="63">
        <v>94525.440000000002</v>
      </c>
      <c r="C81" s="64">
        <v>92511.34</v>
      </c>
      <c r="D81" s="64">
        <v>23286.799999999999</v>
      </c>
      <c r="E81" s="64">
        <v>69224.539999999994</v>
      </c>
      <c r="F81" s="64">
        <v>2014.1000000000001</v>
      </c>
      <c r="G81" s="64">
        <v>673.17</v>
      </c>
      <c r="H81" s="64">
        <v>1331.04</v>
      </c>
      <c r="I81" s="64">
        <v>6.5</v>
      </c>
      <c r="J81" s="65">
        <v>3.39</v>
      </c>
    </row>
    <row r="82" spans="1:10" x14ac:dyDescent="0.15">
      <c r="A82" s="62" t="s">
        <v>205</v>
      </c>
      <c r="B82" s="63">
        <v>93156.95</v>
      </c>
      <c r="C82" s="64">
        <v>91164.3</v>
      </c>
      <c r="D82" s="64">
        <v>23533.64</v>
      </c>
      <c r="E82" s="64">
        <v>67630.66</v>
      </c>
      <c r="F82" s="64">
        <v>1992.6499999999999</v>
      </c>
      <c r="G82" s="64">
        <v>677.27</v>
      </c>
      <c r="H82" s="64">
        <v>1304.83</v>
      </c>
      <c r="I82" s="64">
        <v>7.46</v>
      </c>
      <c r="J82" s="65">
        <v>3.09</v>
      </c>
    </row>
    <row r="83" spans="1:10" x14ac:dyDescent="0.15">
      <c r="A83" s="62" t="s">
        <v>206</v>
      </c>
      <c r="B83" s="63">
        <v>98065.409999999989</v>
      </c>
      <c r="C83" s="64">
        <v>96121.349999999991</v>
      </c>
      <c r="D83" s="64">
        <v>24711.34</v>
      </c>
      <c r="E83" s="64">
        <v>71410.009999999995</v>
      </c>
      <c r="F83" s="64">
        <v>1944.06</v>
      </c>
      <c r="G83" s="64">
        <v>626.53</v>
      </c>
      <c r="H83" s="64">
        <v>1295.01</v>
      </c>
      <c r="I83" s="64">
        <v>19.52</v>
      </c>
      <c r="J83" s="65">
        <v>3</v>
      </c>
    </row>
    <row r="84" spans="1:10" x14ac:dyDescent="0.15">
      <c r="A84" s="62" t="s">
        <v>207</v>
      </c>
      <c r="B84" s="63">
        <v>97352.71</v>
      </c>
      <c r="C84" s="64">
        <v>95535.430000000008</v>
      </c>
      <c r="D84" s="64">
        <v>26230.49</v>
      </c>
      <c r="E84" s="64">
        <v>69304.94</v>
      </c>
      <c r="F84" s="64">
        <v>1817.28</v>
      </c>
      <c r="G84" s="64">
        <v>516.77</v>
      </c>
      <c r="H84" s="64">
        <v>1289.48</v>
      </c>
      <c r="I84" s="64">
        <v>8.0299999999999994</v>
      </c>
      <c r="J84" s="65">
        <v>3</v>
      </c>
    </row>
    <row r="85" spans="1:10" x14ac:dyDescent="0.15">
      <c r="A85" s="62" t="s">
        <v>208</v>
      </c>
      <c r="B85" s="63">
        <v>95924.59</v>
      </c>
      <c r="C85" s="64">
        <v>94225.03</v>
      </c>
      <c r="D85" s="64">
        <v>25818.35</v>
      </c>
      <c r="E85" s="64">
        <v>68406.679999999993</v>
      </c>
      <c r="F85" s="64">
        <v>1699.56</v>
      </c>
      <c r="G85" s="64">
        <v>400.35</v>
      </c>
      <c r="H85" s="64">
        <v>1286.21</v>
      </c>
      <c r="I85" s="64">
        <v>10</v>
      </c>
      <c r="J85" s="65">
        <v>3</v>
      </c>
    </row>
    <row r="86" spans="1:10" x14ac:dyDescent="0.15">
      <c r="A86" s="62" t="s">
        <v>209</v>
      </c>
      <c r="B86" s="63">
        <v>98318.76</v>
      </c>
      <c r="C86" s="64">
        <v>96677.54</v>
      </c>
      <c r="D86" s="64">
        <v>29624.11</v>
      </c>
      <c r="E86" s="64">
        <v>67053.429999999993</v>
      </c>
      <c r="F86" s="64">
        <v>1641.22</v>
      </c>
      <c r="G86" s="64">
        <v>351.37</v>
      </c>
      <c r="H86" s="64">
        <v>1280.5899999999999</v>
      </c>
      <c r="I86" s="64">
        <v>6.26</v>
      </c>
      <c r="J86" s="65">
        <v>3</v>
      </c>
    </row>
    <row r="87" spans="1:10" x14ac:dyDescent="0.15">
      <c r="A87" s="62" t="s">
        <v>210</v>
      </c>
      <c r="B87" s="63">
        <v>94951</v>
      </c>
      <c r="C87" s="64">
        <v>93315</v>
      </c>
      <c r="D87" s="64">
        <v>27165</v>
      </c>
      <c r="E87" s="64">
        <v>66151</v>
      </c>
      <c r="F87" s="64">
        <v>1635</v>
      </c>
      <c r="G87" s="64">
        <v>272</v>
      </c>
      <c r="H87" s="64">
        <v>1351</v>
      </c>
      <c r="I87" s="64">
        <v>0</v>
      </c>
      <c r="J87" s="65">
        <v>13</v>
      </c>
    </row>
    <row r="88" spans="1:10" x14ac:dyDescent="0.15">
      <c r="A88" s="62" t="s">
        <v>211</v>
      </c>
      <c r="B88" s="63">
        <v>95537.330000000016</v>
      </c>
      <c r="C88" s="64">
        <v>93932.760000000009</v>
      </c>
      <c r="D88" s="64">
        <v>30032.1</v>
      </c>
      <c r="E88" s="64">
        <v>63900.66</v>
      </c>
      <c r="F88" s="64">
        <v>1604.57</v>
      </c>
      <c r="G88" s="64">
        <v>246.46</v>
      </c>
      <c r="H88" s="64">
        <v>1345.06</v>
      </c>
      <c r="I88" s="64">
        <v>0</v>
      </c>
      <c r="J88" s="65">
        <v>13.05</v>
      </c>
    </row>
    <row r="89" spans="1:10" x14ac:dyDescent="0.15">
      <c r="A89" s="62" t="s">
        <v>212</v>
      </c>
      <c r="B89" s="63">
        <v>96017.65</v>
      </c>
      <c r="C89" s="64">
        <v>94422.64</v>
      </c>
      <c r="D89" s="64">
        <v>32267.71</v>
      </c>
      <c r="E89" s="64">
        <v>62154.93</v>
      </c>
      <c r="F89" s="64">
        <v>1595.01</v>
      </c>
      <c r="G89" s="64">
        <v>241.88</v>
      </c>
      <c r="H89" s="64">
        <v>1340.06</v>
      </c>
      <c r="I89" s="64">
        <v>0</v>
      </c>
      <c r="J89" s="65">
        <v>13.07</v>
      </c>
    </row>
    <row r="90" spans="1:10" x14ac:dyDescent="0.15">
      <c r="A90" s="62" t="s">
        <v>213</v>
      </c>
      <c r="B90" s="63">
        <v>90076.14</v>
      </c>
      <c r="C90" s="64">
        <v>88458.94</v>
      </c>
      <c r="D90" s="64">
        <v>31473.84</v>
      </c>
      <c r="E90" s="64">
        <v>56985.1</v>
      </c>
      <c r="F90" s="64">
        <v>1617.1999999999998</v>
      </c>
      <c r="G90" s="64">
        <v>258.27</v>
      </c>
      <c r="H90" s="64">
        <v>1355.84</v>
      </c>
      <c r="I90" s="64">
        <v>0</v>
      </c>
      <c r="J90" s="65">
        <v>3.09</v>
      </c>
    </row>
    <row r="91" spans="1:10" x14ac:dyDescent="0.15">
      <c r="A91" s="62" t="s">
        <v>214</v>
      </c>
      <c r="B91" s="63">
        <v>97023.66</v>
      </c>
      <c r="C91" s="64">
        <v>95284.02</v>
      </c>
      <c r="D91" s="64">
        <v>35893.15</v>
      </c>
      <c r="E91" s="64">
        <v>59390.87</v>
      </c>
      <c r="F91" s="64">
        <v>1739.6399999999999</v>
      </c>
      <c r="G91" s="64">
        <v>357.86</v>
      </c>
      <c r="H91" s="64">
        <v>1372.28</v>
      </c>
      <c r="I91" s="64">
        <v>0</v>
      </c>
      <c r="J91" s="65">
        <v>9.5</v>
      </c>
    </row>
    <row r="92" spans="1:10" x14ac:dyDescent="0.15">
      <c r="A92" s="62" t="s">
        <v>215</v>
      </c>
      <c r="B92" s="63">
        <v>102687.26</v>
      </c>
      <c r="C92" s="64">
        <v>100940.95</v>
      </c>
      <c r="D92" s="64">
        <v>40927.03</v>
      </c>
      <c r="E92" s="64">
        <v>60013.919999999998</v>
      </c>
      <c r="F92" s="64">
        <v>1746.31</v>
      </c>
      <c r="G92" s="64">
        <v>367.04</v>
      </c>
      <c r="H92" s="64">
        <v>1366.54</v>
      </c>
      <c r="I92" s="64">
        <v>0</v>
      </c>
      <c r="J92" s="65">
        <v>12.73</v>
      </c>
    </row>
    <row r="93" spans="1:10" x14ac:dyDescent="0.15">
      <c r="A93" s="62" t="s">
        <v>216</v>
      </c>
      <c r="B93" s="63">
        <v>94388.48000000001</v>
      </c>
      <c r="C93" s="64">
        <v>92650.430000000008</v>
      </c>
      <c r="D93" s="64">
        <v>31804.02</v>
      </c>
      <c r="E93" s="64">
        <v>60846.41</v>
      </c>
      <c r="F93" s="64">
        <v>1738.05</v>
      </c>
      <c r="G93" s="64">
        <v>395.26</v>
      </c>
      <c r="H93" s="64">
        <v>1330.09</v>
      </c>
      <c r="I93" s="64">
        <v>0</v>
      </c>
      <c r="J93" s="65">
        <v>12.7</v>
      </c>
    </row>
    <row r="94" spans="1:10" x14ac:dyDescent="0.15">
      <c r="A94" s="62" t="s">
        <v>217</v>
      </c>
      <c r="B94" s="63">
        <v>95843.59</v>
      </c>
      <c r="C94" s="64">
        <v>94214.42</v>
      </c>
      <c r="D94" s="64">
        <v>33850.43</v>
      </c>
      <c r="E94" s="64">
        <v>60363.99</v>
      </c>
      <c r="F94" s="64">
        <v>1629.17</v>
      </c>
      <c r="G94" s="64">
        <v>397.18</v>
      </c>
      <c r="H94" s="64">
        <v>1228.57</v>
      </c>
      <c r="I94" s="64">
        <v>0</v>
      </c>
      <c r="J94" s="65">
        <v>3.42</v>
      </c>
    </row>
    <row r="95" spans="1:10" x14ac:dyDescent="0.15">
      <c r="A95" s="66" t="s">
        <v>218</v>
      </c>
      <c r="B95" s="63">
        <v>104427.31</v>
      </c>
      <c r="C95" s="64">
        <v>102750.89</v>
      </c>
      <c r="D95" s="64">
        <v>39692.69</v>
      </c>
      <c r="E95" s="64">
        <v>63058.2</v>
      </c>
      <c r="F95" s="64">
        <v>1676.42</v>
      </c>
      <c r="G95" s="64">
        <v>440.9</v>
      </c>
      <c r="H95" s="64">
        <v>1231.1199999999999</v>
      </c>
      <c r="I95" s="64">
        <v>0</v>
      </c>
      <c r="J95" s="65">
        <v>4.4000000000000004</v>
      </c>
    </row>
    <row r="96" spans="1:10" x14ac:dyDescent="0.15">
      <c r="A96" s="66" t="s">
        <v>219</v>
      </c>
      <c r="B96" s="63">
        <v>102229.39</v>
      </c>
      <c r="C96" s="64">
        <v>100471.21</v>
      </c>
      <c r="D96" s="64">
        <v>34520.14</v>
      </c>
      <c r="E96" s="64">
        <v>65951.070000000007</v>
      </c>
      <c r="F96" s="64">
        <v>1758.18</v>
      </c>
      <c r="G96" s="64">
        <v>553.27</v>
      </c>
      <c r="H96" s="64">
        <v>1200.6600000000001</v>
      </c>
      <c r="I96" s="64">
        <v>0</v>
      </c>
      <c r="J96" s="65">
        <v>4.25</v>
      </c>
    </row>
    <row r="97" spans="1:10" x14ac:dyDescent="0.15">
      <c r="A97" s="66" t="s">
        <v>220</v>
      </c>
      <c r="B97" s="63">
        <v>101312.89</v>
      </c>
      <c r="C97" s="64">
        <v>99545.91</v>
      </c>
      <c r="D97" s="64">
        <v>32876.870000000003</v>
      </c>
      <c r="E97" s="64">
        <v>66669.039999999994</v>
      </c>
      <c r="F97" s="64">
        <v>1766.98</v>
      </c>
      <c r="G97" s="64">
        <v>551.58000000000004</v>
      </c>
      <c r="H97" s="64">
        <v>1211.4000000000001</v>
      </c>
      <c r="I97" s="64">
        <v>0</v>
      </c>
      <c r="J97" s="65">
        <v>4</v>
      </c>
    </row>
    <row r="98" spans="1:10" x14ac:dyDescent="0.15">
      <c r="A98" s="66" t="s">
        <v>222</v>
      </c>
      <c r="B98" s="63">
        <v>107882.55</v>
      </c>
      <c r="C98" s="64">
        <v>106142.7</v>
      </c>
      <c r="D98" s="64">
        <v>38456.550000000003</v>
      </c>
      <c r="E98" s="64">
        <v>67686.149999999994</v>
      </c>
      <c r="F98" s="64">
        <v>1739.85</v>
      </c>
      <c r="G98" s="64">
        <v>551.78</v>
      </c>
      <c r="H98" s="64">
        <v>1184.07</v>
      </c>
      <c r="I98" s="64">
        <v>0</v>
      </c>
      <c r="J98" s="65">
        <v>4</v>
      </c>
    </row>
    <row r="99" spans="1:10" x14ac:dyDescent="0.15">
      <c r="A99" s="66" t="s">
        <v>223</v>
      </c>
      <c r="B99" s="63">
        <v>106024.98999999999</v>
      </c>
      <c r="C99" s="64">
        <v>104307.01</v>
      </c>
      <c r="D99" s="64">
        <v>29208.31</v>
      </c>
      <c r="E99" s="64">
        <v>75098.7</v>
      </c>
      <c r="F99" s="64">
        <v>1717.98</v>
      </c>
      <c r="G99" s="64">
        <v>558.45000000000005</v>
      </c>
      <c r="H99" s="64">
        <v>1155.47</v>
      </c>
      <c r="I99" s="64">
        <v>0</v>
      </c>
      <c r="J99" s="65">
        <v>4.0599999999999996</v>
      </c>
    </row>
    <row r="100" spans="1:10" x14ac:dyDescent="0.15">
      <c r="A100" s="66" t="s">
        <v>224</v>
      </c>
      <c r="B100" s="63">
        <v>107552.12000000001</v>
      </c>
      <c r="C100" s="64">
        <v>105872.38</v>
      </c>
      <c r="D100" s="64">
        <v>28777.53</v>
      </c>
      <c r="E100" s="64">
        <v>77094.850000000006</v>
      </c>
      <c r="F100" s="64">
        <v>1679.7399999999998</v>
      </c>
      <c r="G100" s="64">
        <v>538.87</v>
      </c>
      <c r="H100" s="64">
        <v>1136.8499999999999</v>
      </c>
      <c r="I100" s="64">
        <v>0</v>
      </c>
      <c r="J100" s="65">
        <v>4.0199999999999996</v>
      </c>
    </row>
    <row r="101" spans="1:10" x14ac:dyDescent="0.15">
      <c r="A101" s="66" t="s">
        <v>226</v>
      </c>
      <c r="B101" s="63">
        <v>108450</v>
      </c>
      <c r="C101" s="64">
        <v>106758</v>
      </c>
      <c r="D101" s="64">
        <v>26995</v>
      </c>
      <c r="E101" s="64">
        <v>79763</v>
      </c>
      <c r="F101" s="64">
        <v>1692</v>
      </c>
      <c r="G101" s="64">
        <v>534</v>
      </c>
      <c r="H101" s="64">
        <v>1154</v>
      </c>
      <c r="I101" s="64">
        <v>0</v>
      </c>
      <c r="J101" s="65">
        <v>4</v>
      </c>
    </row>
    <row r="102" spans="1:10" x14ac:dyDescent="0.15">
      <c r="A102" s="66" t="s">
        <v>227</v>
      </c>
      <c r="B102" s="63">
        <v>96621.64</v>
      </c>
      <c r="C102" s="64">
        <v>94955.05</v>
      </c>
      <c r="D102" s="64">
        <v>26494.31</v>
      </c>
      <c r="E102" s="64">
        <v>68460.740000000005</v>
      </c>
      <c r="F102" s="64">
        <v>1666.5900000000001</v>
      </c>
      <c r="G102" s="64">
        <v>501.93</v>
      </c>
      <c r="H102" s="64">
        <v>1160.6400000000001</v>
      </c>
      <c r="I102" s="64">
        <v>0</v>
      </c>
      <c r="J102" s="65">
        <v>4.0199999999999996</v>
      </c>
    </row>
    <row r="103" spans="1:10" x14ac:dyDescent="0.15">
      <c r="A103" s="66" t="s">
        <v>228</v>
      </c>
      <c r="B103" s="63">
        <v>99039.74</v>
      </c>
      <c r="C103" s="64">
        <v>97297.35</v>
      </c>
      <c r="D103" s="64">
        <v>27280.21</v>
      </c>
      <c r="E103" s="64">
        <v>70017.14</v>
      </c>
      <c r="F103" s="64">
        <v>1742.39</v>
      </c>
      <c r="G103" s="64">
        <v>533.65</v>
      </c>
      <c r="H103" s="64">
        <v>1203.73</v>
      </c>
      <c r="I103" s="64">
        <v>1</v>
      </c>
      <c r="J103" s="65">
        <v>4.01</v>
      </c>
    </row>
    <row r="104" spans="1:10" x14ac:dyDescent="0.15">
      <c r="A104" s="66" t="s">
        <v>230</v>
      </c>
      <c r="B104" s="63">
        <v>110276.94</v>
      </c>
      <c r="C104" s="64">
        <v>108609.37</v>
      </c>
      <c r="D104" s="64">
        <v>37697.370000000003</v>
      </c>
      <c r="E104" s="64">
        <v>70912</v>
      </c>
      <c r="F104" s="64">
        <v>1667.5700000000002</v>
      </c>
      <c r="G104" s="64">
        <v>484.11</v>
      </c>
      <c r="H104" s="64">
        <v>1178.33</v>
      </c>
      <c r="I104" s="64">
        <v>1</v>
      </c>
      <c r="J104" s="65">
        <v>4.13</v>
      </c>
    </row>
    <row r="105" spans="1:10" x14ac:dyDescent="0.15">
      <c r="A105" s="66" t="s">
        <v>231</v>
      </c>
      <c r="B105" s="63">
        <v>100536.67000000001</v>
      </c>
      <c r="C105" s="64">
        <v>98844.6</v>
      </c>
      <c r="D105" s="64">
        <v>25507.25</v>
      </c>
      <c r="E105" s="64">
        <v>73337.350000000006</v>
      </c>
      <c r="F105" s="64">
        <v>1692.0700000000002</v>
      </c>
      <c r="G105" s="64">
        <v>454.43</v>
      </c>
      <c r="H105" s="64">
        <v>1232.6300000000001</v>
      </c>
      <c r="I105" s="64">
        <v>1</v>
      </c>
      <c r="J105" s="65">
        <v>4.01</v>
      </c>
    </row>
    <row r="106" spans="1:10" x14ac:dyDescent="0.15">
      <c r="A106" s="66" t="s">
        <v>234</v>
      </c>
      <c r="B106" s="63">
        <v>108168.32999999999</v>
      </c>
      <c r="C106" s="64">
        <v>106479.51999999999</v>
      </c>
      <c r="D106" s="64">
        <v>23829.18</v>
      </c>
      <c r="E106" s="64">
        <v>82650.34</v>
      </c>
      <c r="F106" s="64">
        <v>1688.81</v>
      </c>
      <c r="G106" s="64">
        <v>453.97</v>
      </c>
      <c r="H106" s="64">
        <v>1229.8399999999999</v>
      </c>
      <c r="I106" s="64">
        <v>1</v>
      </c>
      <c r="J106" s="65">
        <v>4</v>
      </c>
    </row>
    <row r="107" spans="1:10" x14ac:dyDescent="0.15">
      <c r="A107" s="66" t="s">
        <v>237</v>
      </c>
      <c r="B107" s="63">
        <v>115119.79</v>
      </c>
      <c r="C107" s="64">
        <v>113474.65999999999</v>
      </c>
      <c r="D107" s="64">
        <v>24800.73</v>
      </c>
      <c r="E107" s="64">
        <v>88673.93</v>
      </c>
      <c r="F107" s="64">
        <v>1645.13</v>
      </c>
      <c r="G107" s="64">
        <v>402.9</v>
      </c>
      <c r="H107" s="64">
        <v>1237.21</v>
      </c>
      <c r="I107" s="64">
        <v>1</v>
      </c>
      <c r="J107" s="65">
        <v>4.0199999999999996</v>
      </c>
    </row>
    <row r="108" spans="1:10" x14ac:dyDescent="0.15">
      <c r="A108" s="66" t="s">
        <v>238</v>
      </c>
      <c r="B108" s="63">
        <v>112472</v>
      </c>
      <c r="C108" s="64">
        <v>110931.91</v>
      </c>
      <c r="D108" s="64">
        <v>24754.21</v>
      </c>
      <c r="E108" s="64">
        <v>86177.7</v>
      </c>
      <c r="F108" s="64">
        <v>1540.09</v>
      </c>
      <c r="G108" s="64">
        <v>266.82</v>
      </c>
      <c r="H108" s="64">
        <v>1268.27</v>
      </c>
      <c r="I108" s="64">
        <v>1</v>
      </c>
      <c r="J108" s="65">
        <v>4</v>
      </c>
    </row>
    <row r="109" spans="1:10" x14ac:dyDescent="0.15">
      <c r="A109" s="66" t="s">
        <v>240</v>
      </c>
      <c r="B109" s="63">
        <v>115338.65000000001</v>
      </c>
      <c r="C109" s="64">
        <v>113678.52</v>
      </c>
      <c r="D109" s="64">
        <v>23154.639999999999</v>
      </c>
      <c r="E109" s="64">
        <v>90523.88</v>
      </c>
      <c r="F109" s="64">
        <v>1660.1299999999999</v>
      </c>
      <c r="G109" s="64">
        <v>267.33</v>
      </c>
      <c r="H109" s="64">
        <v>1387.69</v>
      </c>
      <c r="I109" s="64">
        <v>1</v>
      </c>
      <c r="J109" s="65">
        <v>4.1100000000000003</v>
      </c>
    </row>
    <row r="110" spans="1:10" x14ac:dyDescent="0.15">
      <c r="A110" s="66" t="s">
        <v>241</v>
      </c>
      <c r="B110" s="63">
        <v>120850.09</v>
      </c>
      <c r="C110" s="64">
        <v>119077.66</v>
      </c>
      <c r="D110" s="64">
        <v>24200.77</v>
      </c>
      <c r="E110" s="64">
        <v>94876.89</v>
      </c>
      <c r="F110" s="64">
        <v>1772.43</v>
      </c>
      <c r="G110" s="64">
        <v>267.91000000000003</v>
      </c>
      <c r="H110" s="64">
        <v>1499.49</v>
      </c>
      <c r="I110" s="64">
        <v>1</v>
      </c>
      <c r="J110" s="65">
        <v>4.03</v>
      </c>
    </row>
    <row r="111" spans="1:10" x14ac:dyDescent="0.15">
      <c r="A111" s="66" t="s">
        <v>242</v>
      </c>
      <c r="B111" s="63">
        <v>121677.28</v>
      </c>
      <c r="C111" s="64">
        <v>119847.99</v>
      </c>
      <c r="D111" s="64">
        <v>23134.99</v>
      </c>
      <c r="E111" s="64">
        <v>96713</v>
      </c>
      <c r="F111" s="64">
        <v>1829.29</v>
      </c>
      <c r="G111" s="64">
        <v>283.22000000000003</v>
      </c>
      <c r="H111" s="64">
        <v>1545.05</v>
      </c>
      <c r="I111" s="64">
        <v>1</v>
      </c>
      <c r="J111" s="65">
        <v>0.02</v>
      </c>
    </row>
    <row r="112" spans="1:10" x14ac:dyDescent="0.15">
      <c r="A112" s="66" t="s">
        <v>243</v>
      </c>
      <c r="B112" s="63">
        <v>130080.88</v>
      </c>
      <c r="C112" s="64">
        <v>128327.03</v>
      </c>
      <c r="D112" s="64">
        <v>21943.42</v>
      </c>
      <c r="E112" s="64">
        <v>106383.61</v>
      </c>
      <c r="F112" s="64">
        <v>1753.85</v>
      </c>
      <c r="G112" s="64">
        <v>284.27</v>
      </c>
      <c r="H112" s="64">
        <v>1468.31</v>
      </c>
      <c r="I112" s="64">
        <v>1</v>
      </c>
      <c r="J112" s="65">
        <v>0.27</v>
      </c>
    </row>
    <row r="113" spans="1:16" x14ac:dyDescent="0.15">
      <c r="A113" s="66" t="s">
        <v>246</v>
      </c>
      <c r="B113" s="63">
        <v>130606.09</v>
      </c>
      <c r="C113" s="64">
        <v>128781.23999999999</v>
      </c>
      <c r="D113" s="64">
        <v>22093.23</v>
      </c>
      <c r="E113" s="64">
        <v>106688.01</v>
      </c>
      <c r="F113" s="64">
        <v>1824.85</v>
      </c>
      <c r="G113" s="64">
        <v>284.57</v>
      </c>
      <c r="H113" s="64">
        <v>1539.25</v>
      </c>
      <c r="I113" s="64">
        <v>1</v>
      </c>
      <c r="J113" s="65">
        <v>0.03</v>
      </c>
    </row>
    <row r="114" spans="1:16" x14ac:dyDescent="0.15">
      <c r="A114" s="66" t="s">
        <v>247</v>
      </c>
      <c r="B114" s="63">
        <v>117754.77</v>
      </c>
      <c r="C114" s="64">
        <v>115996.52</v>
      </c>
      <c r="D114" s="64">
        <v>22356.44</v>
      </c>
      <c r="E114" s="64">
        <v>93640.08</v>
      </c>
      <c r="F114" s="64">
        <v>1758.2499999999998</v>
      </c>
      <c r="G114" s="64">
        <v>245.64</v>
      </c>
      <c r="H114" s="64">
        <v>1511.6</v>
      </c>
      <c r="I114" s="64">
        <v>1</v>
      </c>
      <c r="J114" s="65">
        <v>0.01</v>
      </c>
    </row>
    <row r="115" spans="1:16" x14ac:dyDescent="0.15">
      <c r="A115" s="66" t="s">
        <v>248</v>
      </c>
      <c r="B115" s="63">
        <v>119530.42</v>
      </c>
      <c r="C115" s="64">
        <v>117906.75</v>
      </c>
      <c r="D115" s="64">
        <v>22341.119999999999</v>
      </c>
      <c r="E115" s="64">
        <v>95565.63</v>
      </c>
      <c r="F115" s="64">
        <v>1623.67</v>
      </c>
      <c r="G115" s="64">
        <v>134.94</v>
      </c>
      <c r="H115" s="64">
        <v>1487.4</v>
      </c>
      <c r="I115" s="64">
        <v>1</v>
      </c>
      <c r="J115" s="65">
        <v>0.33</v>
      </c>
    </row>
    <row r="116" spans="1:16" x14ac:dyDescent="0.15">
      <c r="A116" s="66" t="s">
        <v>250</v>
      </c>
      <c r="B116" s="63">
        <v>131577.93</v>
      </c>
      <c r="C116" s="64">
        <v>129992.2</v>
      </c>
      <c r="D116" s="64">
        <v>22945.67</v>
      </c>
      <c r="E116" s="64">
        <v>107046.53</v>
      </c>
      <c r="F116" s="64">
        <v>1585.73</v>
      </c>
      <c r="G116" s="64">
        <v>135.16</v>
      </c>
      <c r="H116" s="64">
        <v>1449.54</v>
      </c>
      <c r="I116" s="64">
        <v>1</v>
      </c>
      <c r="J116" s="65">
        <v>0.03</v>
      </c>
    </row>
    <row r="117" spans="1:16" x14ac:dyDescent="0.15">
      <c r="A117" s="66" t="s">
        <v>253</v>
      </c>
      <c r="B117" s="63">
        <v>124951.98000000001</v>
      </c>
      <c r="C117" s="64">
        <v>123344.67000000001</v>
      </c>
      <c r="D117" s="64">
        <v>21631.15</v>
      </c>
      <c r="E117" s="64">
        <v>101713.52</v>
      </c>
      <c r="F117" s="64">
        <v>1607.3100000000002</v>
      </c>
      <c r="G117" s="64">
        <v>88.95</v>
      </c>
      <c r="H117" s="64">
        <v>1517.22</v>
      </c>
      <c r="I117" s="64">
        <v>1</v>
      </c>
      <c r="J117" s="65">
        <v>0.14000000000000001</v>
      </c>
    </row>
    <row r="118" spans="1:16" x14ac:dyDescent="0.15">
      <c r="A118" s="66" t="s">
        <v>256</v>
      </c>
      <c r="B118" s="63">
        <v>123178.09999999999</v>
      </c>
      <c r="C118" s="64">
        <v>121540.67</v>
      </c>
      <c r="D118" s="64">
        <v>22188.97</v>
      </c>
      <c r="E118" s="64">
        <v>99351.7</v>
      </c>
      <c r="F118" s="64">
        <v>1637.43</v>
      </c>
      <c r="G118" s="64">
        <v>107.48</v>
      </c>
      <c r="H118" s="64">
        <v>1528.92</v>
      </c>
      <c r="I118" s="64">
        <v>1</v>
      </c>
      <c r="J118" s="65">
        <v>0.03</v>
      </c>
    </row>
    <row r="119" spans="1:16" x14ac:dyDescent="0.15">
      <c r="A119" s="66" t="s">
        <v>259</v>
      </c>
      <c r="B119" s="63">
        <v>124936.44</v>
      </c>
      <c r="C119" s="64">
        <v>123304.40000000001</v>
      </c>
      <c r="D119" s="64">
        <v>21496.83</v>
      </c>
      <c r="E119" s="64">
        <v>101807.57</v>
      </c>
      <c r="F119" s="64">
        <v>1632.04</v>
      </c>
      <c r="G119" s="64">
        <v>106.94</v>
      </c>
      <c r="H119" s="64">
        <v>1524.08</v>
      </c>
      <c r="I119" s="64">
        <v>1</v>
      </c>
      <c r="J119" s="65">
        <v>0.02</v>
      </c>
    </row>
    <row r="120" spans="1:16" x14ac:dyDescent="0.15">
      <c r="A120" s="66" t="s">
        <v>261</v>
      </c>
      <c r="B120" s="63">
        <v>119845.99</v>
      </c>
      <c r="C120" s="64">
        <v>118111.53</v>
      </c>
      <c r="D120" s="64">
        <v>22372.880000000001</v>
      </c>
      <c r="E120" s="64">
        <v>95738.65</v>
      </c>
      <c r="F120" s="64">
        <v>1734.46</v>
      </c>
      <c r="G120" s="64">
        <v>240.16</v>
      </c>
      <c r="H120" s="64">
        <v>1493.09</v>
      </c>
      <c r="I120" s="64">
        <v>1</v>
      </c>
      <c r="J120" s="65">
        <v>0.21</v>
      </c>
    </row>
    <row r="121" spans="1:16" x14ac:dyDescent="0.15">
      <c r="A121" s="66" t="s">
        <v>263</v>
      </c>
      <c r="B121" s="63">
        <v>122814.14</v>
      </c>
      <c r="C121" s="64">
        <v>121038.26</v>
      </c>
      <c r="D121" s="64">
        <v>20741.169999999998</v>
      </c>
      <c r="E121" s="64">
        <v>100297.09</v>
      </c>
      <c r="F121" s="64">
        <v>1775.8799999999999</v>
      </c>
      <c r="G121" s="64">
        <v>276.79000000000002</v>
      </c>
      <c r="H121" s="64">
        <v>1498.07</v>
      </c>
      <c r="I121" s="64">
        <v>1</v>
      </c>
      <c r="J121" s="65">
        <v>0.02</v>
      </c>
    </row>
    <row r="122" spans="1:16" x14ac:dyDescent="0.15">
      <c r="A122" s="66" t="s">
        <v>266</v>
      </c>
      <c r="B122" s="63">
        <v>126797.56999999999</v>
      </c>
      <c r="C122" s="64">
        <v>125022.23999999999</v>
      </c>
      <c r="D122" s="64">
        <v>19739.57</v>
      </c>
      <c r="E122" s="64">
        <v>105282.67</v>
      </c>
      <c r="F122" s="64">
        <v>1775.33</v>
      </c>
      <c r="G122" s="64">
        <v>275.98</v>
      </c>
      <c r="H122" s="64">
        <v>1498.32</v>
      </c>
      <c r="I122" s="64">
        <v>1</v>
      </c>
      <c r="J122" s="65">
        <v>0.03</v>
      </c>
    </row>
    <row r="123" spans="1:16" x14ac:dyDescent="0.15">
      <c r="A123" s="66" t="s">
        <v>268</v>
      </c>
      <c r="B123" s="63">
        <v>123114.51</v>
      </c>
      <c r="C123" s="64">
        <v>121354.58</v>
      </c>
      <c r="D123" s="64">
        <v>18736.080000000002</v>
      </c>
      <c r="E123" s="64">
        <v>102618.5</v>
      </c>
      <c r="F123" s="64">
        <v>1759.9299999999998</v>
      </c>
      <c r="G123" s="64">
        <v>251.81</v>
      </c>
      <c r="H123" s="64">
        <v>1507.1</v>
      </c>
      <c r="I123" s="64">
        <v>1</v>
      </c>
      <c r="J123" s="65">
        <v>0.02</v>
      </c>
    </row>
    <row r="124" spans="1:16" x14ac:dyDescent="0.15">
      <c r="A124" s="66" t="s">
        <v>270</v>
      </c>
      <c r="B124" s="63">
        <v>121432.76000000001</v>
      </c>
      <c r="C124" s="64">
        <v>119666.76000000001</v>
      </c>
      <c r="D124" s="64">
        <v>17861.77</v>
      </c>
      <c r="E124" s="64">
        <v>101804.99</v>
      </c>
      <c r="F124" s="64">
        <v>1766</v>
      </c>
      <c r="G124" s="64">
        <v>237.73</v>
      </c>
      <c r="H124" s="64">
        <v>1527.25</v>
      </c>
      <c r="I124" s="64">
        <v>1</v>
      </c>
      <c r="J124" s="65">
        <v>0.02</v>
      </c>
    </row>
    <row r="125" spans="1:16" x14ac:dyDescent="0.15">
      <c r="A125" s="66" t="s">
        <v>272</v>
      </c>
      <c r="B125" s="63">
        <v>127237.14</v>
      </c>
      <c r="C125" s="64">
        <v>125416.88</v>
      </c>
      <c r="D125" s="64">
        <v>21210.9</v>
      </c>
      <c r="E125" s="64">
        <v>104205.98</v>
      </c>
      <c r="F125" s="64">
        <v>1820.26</v>
      </c>
      <c r="G125" s="64">
        <v>265.77999999999997</v>
      </c>
      <c r="H125" s="64">
        <v>1553.43</v>
      </c>
      <c r="I125" s="64">
        <v>1</v>
      </c>
      <c r="J125" s="65">
        <v>0.05</v>
      </c>
    </row>
    <row r="126" spans="1:16" x14ac:dyDescent="0.15">
      <c r="A126" s="66" t="s">
        <v>273</v>
      </c>
      <c r="B126" s="63">
        <v>116234.62</v>
      </c>
      <c r="C126" s="64">
        <v>114360.25</v>
      </c>
      <c r="D126" s="64">
        <v>22076.11</v>
      </c>
      <c r="E126" s="64">
        <v>92284.14</v>
      </c>
      <c r="F126" s="64">
        <v>1874.37</v>
      </c>
      <c r="G126" s="64">
        <v>298.33</v>
      </c>
      <c r="H126" s="64">
        <v>1575.02</v>
      </c>
      <c r="I126" s="64">
        <v>1</v>
      </c>
      <c r="J126" s="65">
        <v>0.02</v>
      </c>
      <c r="P126" s="91"/>
    </row>
    <row r="127" spans="1:16" x14ac:dyDescent="0.15">
      <c r="A127" s="66" t="s">
        <v>274</v>
      </c>
      <c r="B127" s="63">
        <v>117571.85999999999</v>
      </c>
      <c r="C127" s="64">
        <v>115552.81999999999</v>
      </c>
      <c r="D127" s="64">
        <v>21646.03</v>
      </c>
      <c r="E127" s="64">
        <v>93906.79</v>
      </c>
      <c r="F127" s="64">
        <v>2019.04</v>
      </c>
      <c r="G127" s="64">
        <v>362.7</v>
      </c>
      <c r="H127" s="64">
        <v>1655.29</v>
      </c>
      <c r="I127" s="64">
        <v>1</v>
      </c>
      <c r="J127" s="65">
        <v>0.05</v>
      </c>
    </row>
    <row r="128" spans="1:16" x14ac:dyDescent="0.15">
      <c r="A128" s="66" t="s">
        <v>276</v>
      </c>
      <c r="B128" s="63">
        <v>128192.89</v>
      </c>
      <c r="C128" s="64">
        <v>126139.86</v>
      </c>
      <c r="D128" s="64">
        <v>21812.47</v>
      </c>
      <c r="E128" s="64">
        <v>104327.39</v>
      </c>
      <c r="F128" s="64">
        <v>2053.0300000000002</v>
      </c>
      <c r="G128" s="64">
        <v>363.91</v>
      </c>
      <c r="H128" s="64">
        <v>1688.07</v>
      </c>
      <c r="I128" s="64">
        <v>1</v>
      </c>
      <c r="J128" s="65">
        <v>0.05</v>
      </c>
    </row>
    <row r="129" spans="1:10" x14ac:dyDescent="0.15">
      <c r="A129" s="66" t="s">
        <v>278</v>
      </c>
      <c r="B129" s="63">
        <v>118898.35</v>
      </c>
      <c r="C129" s="64">
        <v>116914.33</v>
      </c>
      <c r="D129" s="64">
        <v>21961.73</v>
      </c>
      <c r="E129" s="64">
        <v>94952.6</v>
      </c>
      <c r="F129" s="64">
        <v>1984.0199999999998</v>
      </c>
      <c r="G129" s="64">
        <v>364.55</v>
      </c>
      <c r="H129" s="64">
        <v>1618.35</v>
      </c>
      <c r="I129" s="64">
        <v>1</v>
      </c>
      <c r="J129" s="65">
        <v>0.12</v>
      </c>
    </row>
    <row r="130" spans="1:10" x14ac:dyDescent="0.15">
      <c r="A130" s="66" t="s">
        <v>279</v>
      </c>
      <c r="B130" s="63">
        <v>117058.74999999999</v>
      </c>
      <c r="C130" s="64">
        <v>114944.48999999999</v>
      </c>
      <c r="D130" s="64">
        <v>21122.37</v>
      </c>
      <c r="E130" s="64">
        <v>93822.12</v>
      </c>
      <c r="F130" s="64">
        <v>2114.2599999999998</v>
      </c>
      <c r="G130" s="64">
        <v>445.85</v>
      </c>
      <c r="H130" s="64">
        <v>1667.35</v>
      </c>
      <c r="I130" s="64">
        <v>1</v>
      </c>
      <c r="J130" s="65">
        <v>0.06</v>
      </c>
    </row>
    <row r="131" spans="1:10" x14ac:dyDescent="0.15">
      <c r="A131" s="66" t="s">
        <v>280</v>
      </c>
      <c r="B131" s="63">
        <v>122711.98</v>
      </c>
      <c r="C131" s="64">
        <v>120615.09</v>
      </c>
      <c r="D131" s="64">
        <v>21309.8</v>
      </c>
      <c r="E131" s="64">
        <v>99305.29</v>
      </c>
      <c r="F131" s="64">
        <v>2096.8900000000003</v>
      </c>
      <c r="G131" s="64">
        <v>400.14</v>
      </c>
      <c r="H131" s="64">
        <v>1695.72</v>
      </c>
      <c r="I131" s="64">
        <v>1</v>
      </c>
      <c r="J131" s="65">
        <v>0.03</v>
      </c>
    </row>
    <row r="132" spans="1:10" x14ac:dyDescent="0.15">
      <c r="A132" s="66" t="s">
        <v>282</v>
      </c>
      <c r="B132" s="63">
        <v>118132.98</v>
      </c>
      <c r="C132" s="64">
        <v>115913.48999999999</v>
      </c>
      <c r="D132" s="64">
        <v>21928.68</v>
      </c>
      <c r="E132" s="64">
        <v>93984.81</v>
      </c>
      <c r="F132" s="64">
        <v>2219.4900000000002</v>
      </c>
      <c r="G132" s="64">
        <v>481.18</v>
      </c>
      <c r="H132" s="64">
        <v>1737.28</v>
      </c>
      <c r="I132" s="64">
        <v>1</v>
      </c>
      <c r="J132" s="65">
        <v>0.03</v>
      </c>
    </row>
    <row r="133" spans="1:10" x14ac:dyDescent="0.15">
      <c r="A133" s="66" t="s">
        <v>283</v>
      </c>
      <c r="B133" s="63">
        <f>SUM(C133,F133)</f>
        <v>116158.33</v>
      </c>
      <c r="C133" s="64">
        <f t="shared" ref="C133" si="0">SUM(D133:E133)</f>
        <v>113948.5</v>
      </c>
      <c r="D133" s="64">
        <v>22489.46</v>
      </c>
      <c r="E133" s="64">
        <v>91459.04</v>
      </c>
      <c r="F133" s="64">
        <f t="shared" ref="F133" si="1">SUM(G133:J133)</f>
        <v>2209.8300000000004</v>
      </c>
      <c r="G133" s="64">
        <v>436.23</v>
      </c>
      <c r="H133" s="64">
        <v>1772.45</v>
      </c>
      <c r="I133" s="64">
        <v>1</v>
      </c>
      <c r="J133" s="65">
        <v>0.15</v>
      </c>
    </row>
    <row r="134" spans="1:10" x14ac:dyDescent="0.15">
      <c r="A134" s="66" t="s">
        <v>284</v>
      </c>
      <c r="B134" s="63">
        <v>121307.83000000002</v>
      </c>
      <c r="C134" s="64">
        <v>119204.39000000001</v>
      </c>
      <c r="D134" s="64">
        <v>24345.15</v>
      </c>
      <c r="E134" s="64">
        <v>94859.24</v>
      </c>
      <c r="F134" s="64">
        <v>2103.44</v>
      </c>
      <c r="G134" s="64">
        <v>245.75</v>
      </c>
      <c r="H134" s="64">
        <v>1856.67</v>
      </c>
      <c r="I134" s="64">
        <v>1</v>
      </c>
      <c r="J134" s="65">
        <v>0.02</v>
      </c>
    </row>
    <row r="135" spans="1:10" x14ac:dyDescent="0.15">
      <c r="A135" s="66" t="s">
        <v>285</v>
      </c>
      <c r="B135" s="63">
        <v>117567.20000000001</v>
      </c>
      <c r="C135" s="64">
        <v>115490.76000000001</v>
      </c>
      <c r="D135" s="64">
        <v>21519.91</v>
      </c>
      <c r="E135" s="64">
        <v>93970.85</v>
      </c>
      <c r="F135" s="64">
        <v>2076.44</v>
      </c>
      <c r="G135" s="64">
        <v>244.31</v>
      </c>
      <c r="H135" s="64">
        <v>1831.1</v>
      </c>
      <c r="I135" s="64">
        <v>1</v>
      </c>
      <c r="J135" s="65">
        <v>0.03</v>
      </c>
    </row>
    <row r="136" spans="1:10" x14ac:dyDescent="0.15">
      <c r="A136" s="66" t="s">
        <v>289</v>
      </c>
      <c r="B136" s="63">
        <v>117962.67</v>
      </c>
      <c r="C136" s="64">
        <v>115885.37</v>
      </c>
      <c r="D136" s="64">
        <v>21306.01</v>
      </c>
      <c r="E136" s="64">
        <v>94579.36</v>
      </c>
      <c r="F136" s="64">
        <v>2077.3000000000002</v>
      </c>
      <c r="G136" s="64">
        <v>234.05</v>
      </c>
      <c r="H136" s="64">
        <v>1842.1</v>
      </c>
      <c r="I136" s="64">
        <v>1</v>
      </c>
      <c r="J136" s="65">
        <v>0.15</v>
      </c>
    </row>
    <row r="137" spans="1:10" x14ac:dyDescent="0.15">
      <c r="A137" s="66" t="s">
        <v>290</v>
      </c>
      <c r="B137" s="63">
        <v>122341.28</v>
      </c>
      <c r="C137" s="64">
        <v>120306.06999999999</v>
      </c>
      <c r="D137" s="64">
        <v>21613.59</v>
      </c>
      <c r="E137" s="64">
        <v>98692.479999999996</v>
      </c>
      <c r="F137" s="64">
        <v>2035.21</v>
      </c>
      <c r="G137" s="64">
        <v>234.38</v>
      </c>
      <c r="H137" s="64">
        <v>1799.77</v>
      </c>
      <c r="I137" s="64">
        <v>1</v>
      </c>
      <c r="J137" s="65">
        <v>0.06</v>
      </c>
    </row>
    <row r="138" spans="1:10" x14ac:dyDescent="0.15">
      <c r="A138" s="66" t="s">
        <v>291</v>
      </c>
      <c r="B138" s="63">
        <v>110263.15000000001</v>
      </c>
      <c r="C138" s="64">
        <v>108417.13</v>
      </c>
      <c r="D138" s="64">
        <v>21783.65</v>
      </c>
      <c r="E138" s="64">
        <v>86633.48</v>
      </c>
      <c r="F138" s="64">
        <v>1846.02</v>
      </c>
      <c r="G138" s="64">
        <v>113.81</v>
      </c>
      <c r="H138" s="64">
        <v>1731.19</v>
      </c>
      <c r="I138" s="64">
        <v>1</v>
      </c>
      <c r="J138" s="65">
        <v>0.02</v>
      </c>
    </row>
    <row r="139" spans="1:10" x14ac:dyDescent="0.15">
      <c r="A139" s="66" t="s">
        <v>292</v>
      </c>
      <c r="B139" s="63">
        <v>108663.26</v>
      </c>
      <c r="C139" s="64">
        <v>106766.65</v>
      </c>
      <c r="D139" s="64">
        <v>21559.48</v>
      </c>
      <c r="E139" s="64">
        <v>85207.17</v>
      </c>
      <c r="F139" s="64">
        <v>1896.6100000000001</v>
      </c>
      <c r="G139" s="64">
        <v>105.23</v>
      </c>
      <c r="H139" s="64">
        <v>1790.38</v>
      </c>
      <c r="I139" s="64">
        <v>1</v>
      </c>
      <c r="J139" s="65">
        <v>0</v>
      </c>
    </row>
    <row r="140" spans="1:10" x14ac:dyDescent="0.15">
      <c r="A140" s="66" t="s">
        <v>293</v>
      </c>
      <c r="B140" s="63">
        <v>119808.2</v>
      </c>
      <c r="C140" s="64">
        <v>117906.8</v>
      </c>
      <c r="D140" s="64">
        <v>23170.75</v>
      </c>
      <c r="E140" s="64">
        <v>94736.05</v>
      </c>
      <c r="F140" s="64">
        <v>1901.4</v>
      </c>
      <c r="G140" s="64">
        <v>107.45</v>
      </c>
      <c r="H140" s="64">
        <v>1792.92</v>
      </c>
      <c r="I140" s="64">
        <v>1</v>
      </c>
      <c r="J140" s="65">
        <v>0.03</v>
      </c>
    </row>
    <row r="141" spans="1:10" x14ac:dyDescent="0.15">
      <c r="A141" s="66" t="s">
        <v>294</v>
      </c>
      <c r="B141" s="63">
        <v>109501.42</v>
      </c>
      <c r="C141" s="64">
        <v>107655.81</v>
      </c>
      <c r="D141" s="64">
        <v>24303.32</v>
      </c>
      <c r="E141" s="64">
        <v>83352.490000000005</v>
      </c>
      <c r="F141" s="64">
        <v>1845.6100000000001</v>
      </c>
      <c r="G141" s="64">
        <v>115.67</v>
      </c>
      <c r="H141" s="64">
        <v>1728.78</v>
      </c>
      <c r="I141" s="64">
        <v>1</v>
      </c>
      <c r="J141" s="65">
        <v>0.16</v>
      </c>
    </row>
    <row r="142" spans="1:10" x14ac:dyDescent="0.15">
      <c r="A142" s="66" t="s">
        <v>295</v>
      </c>
      <c r="B142" s="63">
        <v>108614.23</v>
      </c>
      <c r="C142" s="64">
        <v>106768.65</v>
      </c>
      <c r="D142" s="64">
        <v>23630.48</v>
      </c>
      <c r="E142" s="64">
        <v>83138.17</v>
      </c>
      <c r="F142" s="64">
        <v>1845.5800000000002</v>
      </c>
      <c r="G142" s="64">
        <v>115.93</v>
      </c>
      <c r="H142" s="64">
        <v>1728.64</v>
      </c>
      <c r="I142" s="64">
        <v>1</v>
      </c>
      <c r="J142" s="65">
        <v>0.01</v>
      </c>
    </row>
    <row r="143" spans="1:10" x14ac:dyDescent="0.15">
      <c r="A143" s="66" t="s">
        <v>298</v>
      </c>
      <c r="B143" s="63">
        <v>111675.9</v>
      </c>
      <c r="C143" s="64">
        <v>109831.75</v>
      </c>
      <c r="D143" s="64">
        <v>22511.62</v>
      </c>
      <c r="E143" s="64">
        <v>87320.13</v>
      </c>
      <c r="F143" s="64">
        <v>1844.15</v>
      </c>
      <c r="G143" s="64">
        <v>113.22</v>
      </c>
      <c r="H143" s="64">
        <v>1729.93</v>
      </c>
      <c r="I143" s="64">
        <v>1</v>
      </c>
      <c r="J143" s="65">
        <v>0</v>
      </c>
    </row>
    <row r="144" spans="1:10" x14ac:dyDescent="0.15">
      <c r="A144" s="66" t="s">
        <v>299</v>
      </c>
      <c r="B144" s="63">
        <v>109247.99</v>
      </c>
      <c r="C144" s="64">
        <v>107396.89</v>
      </c>
      <c r="D144" s="64">
        <v>22999.23</v>
      </c>
      <c r="E144" s="64">
        <v>84397.66</v>
      </c>
      <c r="F144" s="64">
        <v>1851.1000000000001</v>
      </c>
      <c r="G144" s="64">
        <v>113.48</v>
      </c>
      <c r="H144" s="64">
        <v>1736.45</v>
      </c>
      <c r="I144" s="64">
        <v>1</v>
      </c>
      <c r="J144" s="65">
        <v>0.17</v>
      </c>
    </row>
    <row r="145" spans="1:10" x14ac:dyDescent="0.15">
      <c r="A145" s="66" t="s">
        <v>300</v>
      </c>
      <c r="B145" s="63">
        <v>108672.11000000002</v>
      </c>
      <c r="C145" s="64">
        <v>106871.29000000001</v>
      </c>
      <c r="D145" s="64">
        <v>22087.99</v>
      </c>
      <c r="E145" s="64">
        <v>84783.3</v>
      </c>
      <c r="F145" s="64">
        <v>1800.82</v>
      </c>
      <c r="G145" s="64">
        <v>103.63</v>
      </c>
      <c r="H145" s="64">
        <v>1695.14</v>
      </c>
      <c r="I145" s="64">
        <v>1</v>
      </c>
      <c r="J145" s="65">
        <v>1.05</v>
      </c>
    </row>
    <row r="146" spans="1:10" x14ac:dyDescent="0.15">
      <c r="A146" s="66" t="s">
        <v>301</v>
      </c>
      <c r="B146" s="63">
        <v>115929.44</v>
      </c>
      <c r="C146" s="64">
        <v>114112.84</v>
      </c>
      <c r="D146" s="64">
        <v>24153.1</v>
      </c>
      <c r="E146" s="64">
        <v>89959.74</v>
      </c>
      <c r="F146" s="64">
        <v>1816.6</v>
      </c>
      <c r="G146" s="64">
        <v>103.87</v>
      </c>
      <c r="H146" s="64">
        <v>1711.73</v>
      </c>
      <c r="I146" s="64">
        <v>1</v>
      </c>
      <c r="J146" s="65">
        <v>0</v>
      </c>
    </row>
    <row r="147" spans="1:10" x14ac:dyDescent="0.15">
      <c r="A147" s="66" t="s">
        <v>302</v>
      </c>
      <c r="B147" s="63">
        <v>112876.6</v>
      </c>
      <c r="C147" s="64">
        <v>111061.04000000001</v>
      </c>
      <c r="D147" s="64">
        <v>21474.27</v>
      </c>
      <c r="E147" s="64">
        <v>89586.77</v>
      </c>
      <c r="F147" s="64">
        <v>1815.56</v>
      </c>
      <c r="G147" s="64">
        <v>107.38</v>
      </c>
      <c r="H147" s="64">
        <v>1707.16</v>
      </c>
      <c r="I147" s="64">
        <v>1</v>
      </c>
      <c r="J147" s="65">
        <v>0.02</v>
      </c>
    </row>
    <row r="148" spans="1:10" x14ac:dyDescent="0.15">
      <c r="A148" s="86" t="s">
        <v>303</v>
      </c>
      <c r="B148" s="63">
        <v>111827.73</v>
      </c>
      <c r="C148" s="64">
        <v>109983.61</v>
      </c>
      <c r="D148" s="64">
        <v>20305.98</v>
      </c>
      <c r="E148" s="64">
        <v>89677.63</v>
      </c>
      <c r="F148" s="64">
        <v>1844.1200000000001</v>
      </c>
      <c r="G148" s="64">
        <v>107.42</v>
      </c>
      <c r="H148" s="64">
        <v>1735.68</v>
      </c>
      <c r="I148" s="64">
        <v>1</v>
      </c>
      <c r="J148" s="65">
        <v>0.02</v>
      </c>
    </row>
    <row r="149" spans="1:10" x14ac:dyDescent="0.15">
      <c r="A149" s="66" t="s">
        <v>304</v>
      </c>
      <c r="B149" s="63">
        <v>120014.62</v>
      </c>
      <c r="C149" s="64">
        <v>118169.70999999999</v>
      </c>
      <c r="D149" s="64">
        <v>19939.04</v>
      </c>
      <c r="E149" s="64">
        <v>98230.67</v>
      </c>
      <c r="F149" s="64">
        <v>1844.9099999999999</v>
      </c>
      <c r="G149" s="64">
        <v>89.8</v>
      </c>
      <c r="H149" s="64">
        <v>1754.09</v>
      </c>
      <c r="I149" s="64">
        <v>1</v>
      </c>
      <c r="J149" s="65">
        <v>0.02</v>
      </c>
    </row>
    <row r="150" spans="1:10" x14ac:dyDescent="0.15">
      <c r="A150" s="66" t="s">
        <v>305</v>
      </c>
      <c r="B150" s="63">
        <v>100008.78000000001</v>
      </c>
      <c r="C150" s="64">
        <v>98123.040000000008</v>
      </c>
      <c r="D150" s="64">
        <v>22325.02</v>
      </c>
      <c r="E150" s="64">
        <v>75798.02</v>
      </c>
      <c r="F150" s="64">
        <v>1885.74</v>
      </c>
      <c r="G150" s="64">
        <v>60.82</v>
      </c>
      <c r="H150" s="64">
        <v>1823.74</v>
      </c>
      <c r="I150" s="64">
        <v>1</v>
      </c>
      <c r="J150" s="65">
        <v>0.18</v>
      </c>
    </row>
    <row r="151" spans="1:10" x14ac:dyDescent="0.15">
      <c r="A151" s="66" t="s">
        <v>306</v>
      </c>
      <c r="B151" s="63">
        <v>101286.44</v>
      </c>
      <c r="C151" s="64">
        <v>99392.72</v>
      </c>
      <c r="D151" s="64">
        <v>23513.34</v>
      </c>
      <c r="E151" s="64">
        <v>75879.38</v>
      </c>
      <c r="F151" s="64">
        <v>1893.72</v>
      </c>
      <c r="G151" s="64">
        <v>58.06</v>
      </c>
      <c r="H151" s="64">
        <v>1834.64</v>
      </c>
      <c r="I151" s="64">
        <v>1</v>
      </c>
      <c r="J151" s="65">
        <v>0.02</v>
      </c>
    </row>
    <row r="152" spans="1:10" x14ac:dyDescent="0.15">
      <c r="A152" s="66" t="s">
        <v>307</v>
      </c>
      <c r="B152" s="63">
        <v>115696.51</v>
      </c>
      <c r="C152" s="64">
        <v>113744.51</v>
      </c>
      <c r="D152" s="64">
        <v>26406.84</v>
      </c>
      <c r="E152" s="64">
        <v>87337.67</v>
      </c>
      <c r="F152" s="64">
        <v>1952</v>
      </c>
      <c r="G152" s="64">
        <v>56.01</v>
      </c>
      <c r="H152" s="64">
        <v>1894.94</v>
      </c>
      <c r="I152" s="64">
        <v>1</v>
      </c>
      <c r="J152" s="65">
        <v>0.05</v>
      </c>
    </row>
    <row r="153" spans="1:10" x14ac:dyDescent="0.15">
      <c r="A153" s="66" t="s">
        <v>308</v>
      </c>
      <c r="B153" s="63">
        <v>107793.56999999999</v>
      </c>
      <c r="C153" s="64">
        <v>105789.48</v>
      </c>
      <c r="D153" s="64">
        <v>25642.22</v>
      </c>
      <c r="E153" s="64">
        <v>80147.259999999995</v>
      </c>
      <c r="F153" s="64">
        <v>2004.09</v>
      </c>
      <c r="G153" s="64">
        <v>34.07</v>
      </c>
      <c r="H153" s="64">
        <v>1968.67</v>
      </c>
      <c r="I153" s="64">
        <v>1</v>
      </c>
      <c r="J153" s="65">
        <v>0.35</v>
      </c>
    </row>
    <row r="154" spans="1:10" x14ac:dyDescent="0.15">
      <c r="A154" s="66" t="s">
        <v>309</v>
      </c>
      <c r="B154" s="63">
        <v>109021.03</v>
      </c>
      <c r="C154" s="64">
        <v>106900.20999999999</v>
      </c>
      <c r="D154" s="64">
        <v>23354.87</v>
      </c>
      <c r="E154" s="64">
        <v>83545.34</v>
      </c>
      <c r="F154" s="64">
        <v>2120.8200000000002</v>
      </c>
      <c r="G154" s="64">
        <v>33.799999999999997</v>
      </c>
      <c r="H154" s="64">
        <v>2085.98</v>
      </c>
      <c r="I154" s="64">
        <v>1</v>
      </c>
      <c r="J154" s="65">
        <v>0.04</v>
      </c>
    </row>
    <row r="155" spans="1:10" x14ac:dyDescent="0.15">
      <c r="A155" s="66"/>
      <c r="B155" s="63"/>
      <c r="C155" s="64"/>
      <c r="D155" s="64"/>
      <c r="E155" s="64"/>
      <c r="F155" s="64"/>
      <c r="G155" s="64"/>
      <c r="H155" s="64"/>
      <c r="I155" s="64"/>
      <c r="J155" s="65"/>
    </row>
    <row r="156" spans="1:10" x14ac:dyDescent="0.15">
      <c r="A156" s="66"/>
      <c r="B156" s="63"/>
      <c r="C156" s="64"/>
      <c r="D156" s="64"/>
      <c r="E156" s="64"/>
      <c r="F156" s="64"/>
      <c r="G156" s="64"/>
      <c r="H156" s="64"/>
      <c r="I156" s="64"/>
      <c r="J156" s="65"/>
    </row>
    <row r="157" spans="1:10" x14ac:dyDescent="0.15">
      <c r="A157" s="66"/>
      <c r="B157" s="63"/>
      <c r="C157" s="64"/>
      <c r="D157" s="64"/>
      <c r="E157" s="64"/>
      <c r="F157" s="64"/>
      <c r="G157" s="64"/>
      <c r="H157" s="64"/>
      <c r="I157" s="64"/>
      <c r="J157" s="65"/>
    </row>
    <row r="158" spans="1:10" x14ac:dyDescent="0.15">
      <c r="A158" s="66"/>
      <c r="B158" s="63"/>
      <c r="C158" s="64"/>
      <c r="D158" s="64"/>
      <c r="E158" s="64"/>
      <c r="F158" s="64"/>
      <c r="G158" s="64"/>
      <c r="H158" s="64"/>
      <c r="I158" s="64"/>
      <c r="J158" s="65"/>
    </row>
    <row r="159" spans="1:10" x14ac:dyDescent="0.15">
      <c r="A159" s="66"/>
      <c r="B159" s="63"/>
      <c r="C159" s="64"/>
      <c r="D159" s="64"/>
      <c r="E159" s="64"/>
      <c r="F159" s="64"/>
      <c r="G159" s="64"/>
      <c r="H159" s="64"/>
      <c r="I159" s="64"/>
      <c r="J159" s="65"/>
    </row>
    <row r="160" spans="1:10" x14ac:dyDescent="0.15">
      <c r="A160" s="66"/>
      <c r="B160" s="63"/>
      <c r="C160" s="64"/>
      <c r="D160" s="64"/>
      <c r="E160" s="64"/>
      <c r="F160" s="64"/>
      <c r="G160" s="64"/>
      <c r="H160" s="64"/>
      <c r="I160" s="64"/>
      <c r="J160" s="65"/>
    </row>
    <row r="161" spans="1:10" x14ac:dyDescent="0.15">
      <c r="A161" s="66"/>
      <c r="B161" s="63"/>
      <c r="C161" s="64"/>
      <c r="D161" s="64"/>
      <c r="E161" s="64"/>
      <c r="F161" s="64"/>
      <c r="G161" s="64"/>
      <c r="H161" s="64"/>
      <c r="I161" s="64"/>
      <c r="J161" s="65"/>
    </row>
    <row r="162" spans="1:10" x14ac:dyDescent="0.15">
      <c r="A162" s="66"/>
      <c r="B162" s="63"/>
      <c r="C162" s="64"/>
      <c r="D162" s="64"/>
      <c r="E162" s="64"/>
      <c r="F162" s="64"/>
      <c r="G162" s="64"/>
      <c r="H162" s="64"/>
      <c r="I162" s="64"/>
      <c r="J162" s="65"/>
    </row>
    <row r="163" spans="1:10" x14ac:dyDescent="0.15">
      <c r="A163" s="66"/>
      <c r="B163" s="63"/>
      <c r="C163" s="64"/>
      <c r="D163" s="64"/>
      <c r="E163" s="64"/>
      <c r="F163" s="64"/>
      <c r="G163" s="64"/>
      <c r="H163" s="64"/>
      <c r="I163" s="64"/>
      <c r="J163" s="65"/>
    </row>
    <row r="164" spans="1:10" x14ac:dyDescent="0.15">
      <c r="A164" s="66"/>
      <c r="B164" s="63"/>
      <c r="C164" s="64"/>
      <c r="D164" s="64"/>
      <c r="E164" s="64"/>
      <c r="F164" s="64"/>
      <c r="G164" s="64"/>
      <c r="H164" s="64"/>
      <c r="I164" s="64"/>
      <c r="J164" s="65"/>
    </row>
    <row r="165" spans="1:10" x14ac:dyDescent="0.15">
      <c r="A165" s="66"/>
      <c r="B165" s="63"/>
      <c r="C165" s="64"/>
      <c r="D165" s="64"/>
      <c r="E165" s="64"/>
      <c r="F165" s="64"/>
      <c r="G165" s="64"/>
      <c r="H165" s="64"/>
      <c r="I165" s="64"/>
      <c r="J165" s="65"/>
    </row>
    <row r="166" spans="1:10" x14ac:dyDescent="0.15">
      <c r="A166" s="66"/>
      <c r="B166" s="63"/>
      <c r="C166" s="64"/>
      <c r="D166" s="64"/>
      <c r="E166" s="64"/>
      <c r="F166" s="64"/>
      <c r="G166" s="64"/>
      <c r="H166" s="64"/>
      <c r="I166" s="64"/>
      <c r="J166" s="65"/>
    </row>
    <row r="167" spans="1:10" x14ac:dyDescent="0.15">
      <c r="A167" s="66"/>
      <c r="B167" s="63"/>
      <c r="C167" s="64"/>
      <c r="D167" s="64"/>
      <c r="E167" s="64"/>
      <c r="F167" s="64"/>
      <c r="G167" s="64"/>
      <c r="H167" s="64"/>
      <c r="I167" s="64"/>
      <c r="J167" s="65"/>
    </row>
    <row r="168" spans="1:10" x14ac:dyDescent="0.15">
      <c r="A168" s="66"/>
      <c r="B168" s="63"/>
      <c r="C168" s="64"/>
      <c r="D168" s="64"/>
      <c r="E168" s="64"/>
      <c r="F168" s="64"/>
      <c r="G168" s="64"/>
      <c r="H168" s="64"/>
      <c r="I168" s="64"/>
      <c r="J168" s="65"/>
    </row>
    <row r="169" spans="1:10" x14ac:dyDescent="0.15">
      <c r="A169" s="66"/>
      <c r="B169" s="63"/>
      <c r="C169" s="64"/>
      <c r="D169" s="64"/>
      <c r="E169" s="64"/>
      <c r="F169" s="64"/>
      <c r="G169" s="64"/>
      <c r="H169" s="64"/>
      <c r="I169" s="64"/>
      <c r="J169" s="65"/>
    </row>
    <row r="170" spans="1:10" x14ac:dyDescent="0.15">
      <c r="A170" s="66"/>
      <c r="B170" s="63"/>
      <c r="C170" s="64"/>
      <c r="D170" s="64"/>
      <c r="E170" s="64"/>
      <c r="F170" s="64"/>
      <c r="G170" s="64"/>
      <c r="H170" s="64"/>
      <c r="I170" s="64"/>
      <c r="J170" s="65"/>
    </row>
    <row r="171" spans="1:10" x14ac:dyDescent="0.15">
      <c r="A171" s="66"/>
      <c r="B171" s="63"/>
      <c r="C171" s="64"/>
      <c r="D171" s="64"/>
      <c r="E171" s="64"/>
      <c r="F171" s="64"/>
      <c r="G171" s="64"/>
      <c r="H171" s="64"/>
      <c r="I171" s="64"/>
      <c r="J171" s="65"/>
    </row>
    <row r="172" spans="1:10" x14ac:dyDescent="0.15">
      <c r="A172" s="66"/>
      <c r="B172" s="63"/>
      <c r="C172" s="64"/>
      <c r="D172" s="64"/>
      <c r="E172" s="64"/>
      <c r="F172" s="64"/>
      <c r="G172" s="64"/>
      <c r="H172" s="64"/>
      <c r="I172" s="64"/>
      <c r="J172" s="65"/>
    </row>
    <row r="173" spans="1:10" x14ac:dyDescent="0.15">
      <c r="A173" s="66"/>
      <c r="B173" s="63"/>
      <c r="C173" s="64"/>
      <c r="D173" s="64"/>
      <c r="E173" s="64"/>
      <c r="F173" s="64"/>
      <c r="G173" s="64"/>
      <c r="H173" s="64"/>
      <c r="I173" s="64"/>
      <c r="J173" s="65"/>
    </row>
    <row r="174" spans="1:10" x14ac:dyDescent="0.15">
      <c r="A174" s="66"/>
      <c r="B174" s="63"/>
      <c r="C174" s="64"/>
      <c r="D174" s="64"/>
      <c r="E174" s="64"/>
      <c r="F174" s="64"/>
      <c r="G174" s="64"/>
      <c r="H174" s="64"/>
      <c r="I174" s="64"/>
      <c r="J174" s="65"/>
    </row>
    <row r="175" spans="1:10" x14ac:dyDescent="0.15">
      <c r="A175" s="66"/>
      <c r="B175" s="63"/>
      <c r="C175" s="64"/>
      <c r="D175" s="64"/>
      <c r="E175" s="64"/>
      <c r="F175" s="64"/>
      <c r="G175" s="64"/>
      <c r="H175" s="64"/>
      <c r="I175" s="64"/>
      <c r="J175" s="65"/>
    </row>
    <row r="176" spans="1:10" x14ac:dyDescent="0.15">
      <c r="A176" s="66"/>
      <c r="B176" s="63"/>
      <c r="C176" s="64"/>
      <c r="D176" s="64"/>
      <c r="E176" s="64"/>
      <c r="F176" s="64"/>
      <c r="G176" s="64"/>
      <c r="H176" s="64"/>
      <c r="I176" s="64"/>
      <c r="J176" s="65"/>
    </row>
    <row r="177" spans="1:10" x14ac:dyDescent="0.15">
      <c r="A177" s="66"/>
      <c r="B177" s="63"/>
      <c r="C177" s="64"/>
      <c r="D177" s="64"/>
      <c r="E177" s="64"/>
      <c r="F177" s="64"/>
      <c r="G177" s="64"/>
      <c r="H177" s="64"/>
      <c r="I177" s="64"/>
      <c r="J177" s="65"/>
    </row>
    <row r="178" spans="1:10" x14ac:dyDescent="0.15">
      <c r="A178" s="66"/>
      <c r="B178" s="63"/>
      <c r="C178" s="64"/>
      <c r="D178" s="64"/>
      <c r="E178" s="64"/>
      <c r="F178" s="64"/>
      <c r="G178" s="64"/>
      <c r="H178" s="64"/>
      <c r="I178" s="64"/>
      <c r="J178" s="65"/>
    </row>
    <row r="179" spans="1:10" x14ac:dyDescent="0.15">
      <c r="A179" s="66"/>
      <c r="B179" s="63"/>
      <c r="C179" s="64"/>
      <c r="D179" s="64"/>
      <c r="E179" s="64"/>
      <c r="F179" s="64"/>
      <c r="G179" s="64"/>
      <c r="H179" s="64"/>
      <c r="I179" s="64"/>
      <c r="J179" s="65"/>
    </row>
    <row r="180" spans="1:10" x14ac:dyDescent="0.15">
      <c r="A180" s="66"/>
      <c r="B180" s="63"/>
      <c r="C180" s="64"/>
      <c r="D180" s="64"/>
      <c r="E180" s="64"/>
      <c r="F180" s="64"/>
      <c r="G180" s="64"/>
      <c r="H180" s="64"/>
      <c r="I180" s="64"/>
      <c r="J180" s="65"/>
    </row>
    <row r="181" spans="1:10" x14ac:dyDescent="0.15">
      <c r="A181" s="66"/>
      <c r="B181" s="63"/>
      <c r="C181" s="64"/>
      <c r="D181" s="64"/>
      <c r="E181" s="64"/>
      <c r="F181" s="64"/>
      <c r="G181" s="64"/>
      <c r="H181" s="64"/>
      <c r="I181" s="64"/>
      <c r="J181" s="65"/>
    </row>
    <row r="182" spans="1:10" x14ac:dyDescent="0.15">
      <c r="A182" s="66"/>
      <c r="B182" s="63"/>
      <c r="C182" s="64"/>
      <c r="D182" s="64"/>
      <c r="E182" s="64"/>
      <c r="F182" s="64"/>
      <c r="G182" s="64"/>
      <c r="H182" s="64"/>
      <c r="I182" s="64"/>
      <c r="J182" s="65"/>
    </row>
    <row r="183" spans="1:10" x14ac:dyDescent="0.15">
      <c r="A183" s="66"/>
      <c r="B183" s="63"/>
      <c r="C183" s="64"/>
      <c r="D183" s="64"/>
      <c r="E183" s="64"/>
      <c r="F183" s="64"/>
      <c r="G183" s="64"/>
      <c r="H183" s="64"/>
      <c r="I183" s="64"/>
      <c r="J183" s="65"/>
    </row>
    <row r="184" spans="1:10" x14ac:dyDescent="0.15">
      <c r="A184" s="66"/>
      <c r="B184" s="63"/>
      <c r="C184" s="64"/>
      <c r="D184" s="64"/>
      <c r="E184" s="64"/>
      <c r="F184" s="64"/>
      <c r="G184" s="64"/>
      <c r="H184" s="64"/>
      <c r="I184" s="64"/>
      <c r="J184" s="65"/>
    </row>
    <row r="185" spans="1:10" x14ac:dyDescent="0.15">
      <c r="A185" s="66"/>
      <c r="B185" s="63"/>
      <c r="C185" s="64"/>
      <c r="D185" s="64"/>
      <c r="E185" s="64"/>
      <c r="F185" s="64"/>
      <c r="G185" s="64"/>
      <c r="H185" s="64"/>
      <c r="I185" s="64"/>
      <c r="J185" s="65"/>
    </row>
    <row r="186" spans="1:10" x14ac:dyDescent="0.15">
      <c r="A186" s="66"/>
      <c r="B186" s="63"/>
      <c r="C186" s="64"/>
      <c r="D186" s="64"/>
      <c r="E186" s="64"/>
      <c r="F186" s="64"/>
      <c r="G186" s="64"/>
      <c r="H186" s="64"/>
      <c r="I186" s="64"/>
      <c r="J186" s="65"/>
    </row>
    <row r="187" spans="1:10" x14ac:dyDescent="0.15">
      <c r="A187" s="66"/>
      <c r="B187" s="63"/>
      <c r="C187" s="64"/>
      <c r="D187" s="64"/>
      <c r="E187" s="64"/>
      <c r="F187" s="64"/>
      <c r="G187" s="64"/>
      <c r="H187" s="64"/>
      <c r="I187" s="64"/>
      <c r="J187" s="65"/>
    </row>
    <row r="188" spans="1:10" x14ac:dyDescent="0.15">
      <c r="A188" s="66"/>
      <c r="B188" s="63"/>
      <c r="C188" s="64"/>
      <c r="D188" s="64"/>
      <c r="E188" s="64"/>
      <c r="F188" s="64"/>
      <c r="G188" s="64"/>
      <c r="H188" s="64"/>
      <c r="I188" s="64"/>
      <c r="J188" s="65"/>
    </row>
    <row r="189" spans="1:10" x14ac:dyDescent="0.15">
      <c r="A189" s="66"/>
      <c r="B189" s="63"/>
      <c r="C189" s="64"/>
      <c r="D189" s="64"/>
      <c r="E189" s="64"/>
      <c r="F189" s="64"/>
      <c r="G189" s="64"/>
      <c r="H189" s="64"/>
      <c r="I189" s="64"/>
      <c r="J189" s="65"/>
    </row>
    <row r="190" spans="1:10" x14ac:dyDescent="0.15">
      <c r="A190" s="66"/>
      <c r="B190" s="63"/>
      <c r="C190" s="64"/>
      <c r="D190" s="64"/>
      <c r="E190" s="64"/>
      <c r="F190" s="64"/>
      <c r="G190" s="64"/>
      <c r="H190" s="64"/>
      <c r="I190" s="64"/>
      <c r="J190" s="65"/>
    </row>
    <row r="191" spans="1:10" x14ac:dyDescent="0.15">
      <c r="A191" s="66"/>
      <c r="B191" s="63"/>
      <c r="C191" s="64"/>
      <c r="D191" s="64"/>
      <c r="E191" s="64"/>
      <c r="F191" s="64"/>
      <c r="G191" s="64"/>
      <c r="H191" s="64"/>
      <c r="I191" s="64"/>
      <c r="J191" s="65"/>
    </row>
    <row r="192" spans="1:10" x14ac:dyDescent="0.15">
      <c r="A192" s="66"/>
      <c r="B192" s="63"/>
      <c r="C192" s="64"/>
      <c r="D192" s="64"/>
      <c r="E192" s="64"/>
      <c r="F192" s="64"/>
      <c r="G192" s="64"/>
      <c r="H192" s="64"/>
      <c r="I192" s="64"/>
      <c r="J192" s="65"/>
    </row>
    <row r="193" spans="1:10" x14ac:dyDescent="0.15">
      <c r="A193" s="66"/>
      <c r="B193" s="63"/>
      <c r="C193" s="64"/>
      <c r="D193" s="64"/>
      <c r="E193" s="64"/>
      <c r="F193" s="64"/>
      <c r="G193" s="64"/>
      <c r="H193" s="64"/>
      <c r="I193" s="64"/>
      <c r="J193" s="65"/>
    </row>
    <row r="194" spans="1:10" x14ac:dyDescent="0.15">
      <c r="A194" s="66"/>
      <c r="B194" s="63"/>
      <c r="C194" s="64"/>
      <c r="D194" s="64"/>
      <c r="E194" s="64"/>
      <c r="F194" s="64"/>
      <c r="G194" s="64"/>
      <c r="H194" s="64"/>
      <c r="I194" s="64"/>
      <c r="J194" s="65"/>
    </row>
    <row r="195" spans="1:10" x14ac:dyDescent="0.15">
      <c r="A195" s="66"/>
      <c r="B195" s="63"/>
      <c r="C195" s="64"/>
      <c r="D195" s="64"/>
      <c r="E195" s="64"/>
      <c r="F195" s="64"/>
      <c r="G195" s="64"/>
      <c r="H195" s="64"/>
      <c r="I195" s="64"/>
      <c r="J195" s="65"/>
    </row>
    <row r="196" spans="1:10" x14ac:dyDescent="0.15">
      <c r="A196" s="66"/>
      <c r="B196" s="63"/>
      <c r="C196" s="64"/>
      <c r="D196" s="64"/>
      <c r="E196" s="64"/>
      <c r="F196" s="64"/>
      <c r="G196" s="64"/>
      <c r="H196" s="64"/>
      <c r="I196" s="64"/>
      <c r="J196" s="65"/>
    </row>
    <row r="197" spans="1:10" x14ac:dyDescent="0.15">
      <c r="A197" s="66"/>
      <c r="B197" s="63"/>
      <c r="C197" s="64"/>
      <c r="D197" s="64"/>
      <c r="E197" s="64"/>
      <c r="F197" s="64"/>
      <c r="G197" s="64"/>
      <c r="H197" s="64"/>
      <c r="I197" s="64"/>
      <c r="J197" s="65"/>
    </row>
    <row r="198" spans="1:10" x14ac:dyDescent="0.15">
      <c r="A198" s="66"/>
      <c r="B198" s="63"/>
      <c r="C198" s="64"/>
      <c r="D198" s="64"/>
      <c r="E198" s="64"/>
      <c r="F198" s="64"/>
      <c r="G198" s="64"/>
      <c r="H198" s="64"/>
      <c r="I198" s="64"/>
      <c r="J198" s="65"/>
    </row>
    <row r="199" spans="1:10" x14ac:dyDescent="0.15">
      <c r="A199" s="66"/>
      <c r="B199" s="63"/>
      <c r="C199" s="64"/>
      <c r="D199" s="64"/>
      <c r="E199" s="64"/>
      <c r="F199" s="64"/>
      <c r="G199" s="64"/>
      <c r="H199" s="64"/>
      <c r="I199" s="64"/>
      <c r="J199" s="65"/>
    </row>
    <row r="200" spans="1:10" x14ac:dyDescent="0.15">
      <c r="A200" s="66"/>
      <c r="B200" s="63"/>
      <c r="C200" s="64"/>
      <c r="D200" s="64"/>
      <c r="E200" s="64"/>
      <c r="F200" s="64"/>
      <c r="G200" s="64"/>
      <c r="H200" s="64"/>
      <c r="I200" s="64"/>
      <c r="J200" s="65"/>
    </row>
    <row r="201" spans="1:10" x14ac:dyDescent="0.15">
      <c r="A201" s="66"/>
      <c r="B201" s="63"/>
      <c r="C201" s="64"/>
      <c r="D201" s="64"/>
      <c r="E201" s="64"/>
      <c r="F201" s="64"/>
      <c r="G201" s="64"/>
      <c r="H201" s="64"/>
      <c r="I201" s="64"/>
      <c r="J201" s="65"/>
    </row>
    <row r="202" spans="1:10" x14ac:dyDescent="0.15">
      <c r="A202" s="66"/>
      <c r="B202" s="63"/>
      <c r="C202" s="64"/>
      <c r="D202" s="64"/>
      <c r="E202" s="64"/>
      <c r="F202" s="64"/>
      <c r="G202" s="64"/>
      <c r="H202" s="64"/>
      <c r="I202" s="64"/>
      <c r="J202" s="65"/>
    </row>
    <row r="203" spans="1:10" x14ac:dyDescent="0.15">
      <c r="A203" s="66"/>
      <c r="B203" s="63"/>
      <c r="C203" s="64"/>
      <c r="D203" s="64"/>
      <c r="E203" s="64"/>
      <c r="F203" s="64"/>
      <c r="G203" s="64"/>
      <c r="H203" s="64"/>
      <c r="I203" s="64"/>
      <c r="J203" s="65"/>
    </row>
    <row r="204" spans="1:10" x14ac:dyDescent="0.15">
      <c r="A204" s="66"/>
      <c r="B204" s="63"/>
      <c r="C204" s="64"/>
      <c r="D204" s="64"/>
      <c r="E204" s="64"/>
      <c r="F204" s="64"/>
      <c r="G204" s="64"/>
      <c r="H204" s="64"/>
      <c r="I204" s="64"/>
      <c r="J204" s="65"/>
    </row>
    <row r="205" spans="1:10" x14ac:dyDescent="0.15">
      <c r="A205" s="66"/>
      <c r="B205" s="63"/>
      <c r="C205" s="64"/>
      <c r="D205" s="64"/>
      <c r="E205" s="64"/>
      <c r="F205" s="64"/>
      <c r="G205" s="64"/>
      <c r="H205" s="64"/>
      <c r="I205" s="64"/>
      <c r="J205" s="65"/>
    </row>
    <row r="206" spans="1:10" x14ac:dyDescent="0.15">
      <c r="A206" s="66"/>
      <c r="B206" s="63"/>
      <c r="C206" s="64"/>
      <c r="D206" s="64"/>
      <c r="E206" s="64"/>
      <c r="F206" s="64"/>
      <c r="G206" s="64"/>
      <c r="H206" s="64"/>
      <c r="I206" s="64"/>
      <c r="J206" s="65"/>
    </row>
    <row r="207" spans="1:10" x14ac:dyDescent="0.15">
      <c r="A207" s="66"/>
      <c r="B207" s="63"/>
      <c r="C207" s="64"/>
      <c r="D207" s="64"/>
      <c r="E207" s="64"/>
      <c r="F207" s="64"/>
      <c r="G207" s="64"/>
      <c r="H207" s="64"/>
      <c r="I207" s="64"/>
      <c r="J207" s="65"/>
    </row>
    <row r="208" spans="1:10" x14ac:dyDescent="0.15">
      <c r="A208" s="66"/>
      <c r="B208" s="63"/>
      <c r="C208" s="64"/>
      <c r="D208" s="64"/>
      <c r="E208" s="64"/>
      <c r="F208" s="64"/>
      <c r="G208" s="64"/>
      <c r="H208" s="64"/>
      <c r="I208" s="64"/>
      <c r="J208" s="65"/>
    </row>
    <row r="209" spans="1:10" x14ac:dyDescent="0.15">
      <c r="A209" s="66"/>
      <c r="B209" s="63"/>
      <c r="C209" s="64"/>
      <c r="D209" s="64"/>
      <c r="E209" s="64"/>
      <c r="F209" s="64"/>
      <c r="G209" s="64"/>
      <c r="H209" s="64"/>
      <c r="I209" s="64"/>
      <c r="J209" s="65"/>
    </row>
    <row r="210" spans="1:10" x14ac:dyDescent="0.15">
      <c r="A210" s="66"/>
      <c r="B210" s="63"/>
      <c r="C210" s="64"/>
      <c r="D210" s="64"/>
      <c r="E210" s="64"/>
      <c r="F210" s="64"/>
      <c r="G210" s="64"/>
      <c r="H210" s="64"/>
      <c r="I210" s="64"/>
      <c r="J210" s="65"/>
    </row>
    <row r="211" spans="1:10" x14ac:dyDescent="0.15">
      <c r="A211" s="66"/>
      <c r="B211" s="63"/>
      <c r="C211" s="64"/>
      <c r="D211" s="64"/>
      <c r="E211" s="64"/>
      <c r="F211" s="64"/>
      <c r="G211" s="64"/>
      <c r="H211" s="64"/>
      <c r="I211" s="64"/>
      <c r="J211" s="65"/>
    </row>
    <row r="212" spans="1:10" x14ac:dyDescent="0.15">
      <c r="A212" s="66"/>
      <c r="B212" s="63"/>
      <c r="C212" s="64"/>
      <c r="D212" s="64"/>
      <c r="E212" s="64"/>
      <c r="F212" s="64"/>
      <c r="G212" s="64"/>
      <c r="H212" s="64"/>
      <c r="I212" s="64"/>
      <c r="J212" s="65"/>
    </row>
    <row r="213" spans="1:10" x14ac:dyDescent="0.15">
      <c r="A213" s="66"/>
      <c r="B213" s="63"/>
      <c r="C213" s="64"/>
      <c r="D213" s="64"/>
      <c r="E213" s="64"/>
      <c r="F213" s="64"/>
      <c r="G213" s="64"/>
      <c r="H213" s="64"/>
      <c r="I213" s="64"/>
      <c r="J213" s="65"/>
    </row>
    <row r="214" spans="1:10" x14ac:dyDescent="0.15">
      <c r="A214" s="66"/>
      <c r="B214" s="63"/>
      <c r="C214" s="64"/>
      <c r="D214" s="64"/>
      <c r="E214" s="64"/>
      <c r="F214" s="64"/>
      <c r="G214" s="64"/>
      <c r="H214" s="64"/>
      <c r="I214" s="64"/>
      <c r="J214" s="65"/>
    </row>
    <row r="215" spans="1:10" x14ac:dyDescent="0.15">
      <c r="A215" s="66"/>
      <c r="B215" s="63"/>
      <c r="C215" s="64"/>
      <c r="D215" s="64"/>
      <c r="E215" s="64"/>
      <c r="F215" s="64"/>
      <c r="G215" s="64"/>
      <c r="H215" s="64"/>
      <c r="I215" s="64"/>
      <c r="J215" s="65"/>
    </row>
    <row r="216" spans="1:10" x14ac:dyDescent="0.15">
      <c r="A216" s="66"/>
      <c r="B216" s="63"/>
      <c r="C216" s="64"/>
      <c r="D216" s="64"/>
      <c r="E216" s="64"/>
      <c r="F216" s="64"/>
      <c r="G216" s="64"/>
      <c r="H216" s="64"/>
      <c r="I216" s="64"/>
      <c r="J216" s="65"/>
    </row>
    <row r="217" spans="1:10" x14ac:dyDescent="0.15">
      <c r="A217" s="66"/>
      <c r="B217" s="63"/>
      <c r="C217" s="64"/>
      <c r="D217" s="64"/>
      <c r="E217" s="64"/>
      <c r="F217" s="64"/>
      <c r="G217" s="64"/>
      <c r="H217" s="64"/>
      <c r="I217" s="64"/>
      <c r="J217" s="65"/>
    </row>
    <row r="218" spans="1:10" x14ac:dyDescent="0.15">
      <c r="A218" s="66"/>
      <c r="B218" s="63"/>
      <c r="C218" s="64"/>
      <c r="D218" s="64"/>
      <c r="E218" s="64"/>
      <c r="F218" s="64"/>
      <c r="G218" s="64"/>
      <c r="H218" s="64"/>
      <c r="I218" s="64"/>
      <c r="J218" s="65"/>
    </row>
    <row r="219" spans="1:10" x14ac:dyDescent="0.15">
      <c r="A219" s="66"/>
      <c r="B219" s="63"/>
      <c r="C219" s="64"/>
      <c r="D219" s="64"/>
      <c r="E219" s="64"/>
      <c r="F219" s="64"/>
      <c r="G219" s="64"/>
      <c r="H219" s="64"/>
      <c r="I219" s="64"/>
      <c r="J219" s="65"/>
    </row>
    <row r="220" spans="1:10" x14ac:dyDescent="0.15">
      <c r="A220" s="66"/>
      <c r="B220" s="63"/>
      <c r="C220" s="64"/>
      <c r="D220" s="64"/>
      <c r="E220" s="64"/>
      <c r="F220" s="64"/>
      <c r="G220" s="64"/>
      <c r="H220" s="64"/>
      <c r="I220" s="64"/>
      <c r="J220" s="65"/>
    </row>
    <row r="221" spans="1:10" x14ac:dyDescent="0.15">
      <c r="A221" s="66"/>
      <c r="B221" s="63"/>
      <c r="C221" s="64"/>
      <c r="D221" s="64"/>
      <c r="E221" s="64"/>
      <c r="F221" s="64"/>
      <c r="G221" s="64"/>
      <c r="H221" s="64"/>
      <c r="I221" s="64"/>
      <c r="J221" s="65"/>
    </row>
    <row r="222" spans="1:10" x14ac:dyDescent="0.15">
      <c r="A222" s="66"/>
      <c r="B222" s="63"/>
      <c r="C222" s="64"/>
      <c r="D222" s="64"/>
      <c r="E222" s="64"/>
      <c r="F222" s="64"/>
      <c r="G222" s="64"/>
      <c r="H222" s="64"/>
      <c r="I222" s="64"/>
      <c r="J222" s="65"/>
    </row>
    <row r="223" spans="1:10" x14ac:dyDescent="0.15">
      <c r="A223" s="66"/>
      <c r="B223" s="63"/>
      <c r="C223" s="64"/>
      <c r="D223" s="64"/>
      <c r="E223" s="64"/>
      <c r="F223" s="64"/>
      <c r="G223" s="64"/>
      <c r="H223" s="64"/>
      <c r="I223" s="64"/>
      <c r="J223" s="65"/>
    </row>
    <row r="224" spans="1:10" x14ac:dyDescent="0.15">
      <c r="A224" s="66"/>
      <c r="B224" s="63"/>
      <c r="C224" s="64"/>
      <c r="D224" s="64"/>
      <c r="E224" s="64"/>
      <c r="F224" s="64"/>
      <c r="G224" s="64"/>
      <c r="H224" s="64"/>
      <c r="I224" s="64"/>
      <c r="J224" s="65"/>
    </row>
    <row r="225" spans="1:10" x14ac:dyDescent="0.15">
      <c r="A225" s="66"/>
      <c r="B225" s="63"/>
      <c r="C225" s="64"/>
      <c r="D225" s="64"/>
      <c r="E225" s="64"/>
      <c r="F225" s="64"/>
      <c r="G225" s="64"/>
      <c r="H225" s="64"/>
      <c r="I225" s="64"/>
      <c r="J225" s="65"/>
    </row>
    <row r="226" spans="1:10" x14ac:dyDescent="0.15">
      <c r="A226" s="66"/>
      <c r="B226" s="63"/>
      <c r="C226" s="64"/>
      <c r="D226" s="64"/>
      <c r="E226" s="64"/>
      <c r="F226" s="64"/>
      <c r="G226" s="64"/>
      <c r="H226" s="64"/>
      <c r="I226" s="64"/>
      <c r="J226" s="65"/>
    </row>
    <row r="227" spans="1:10" x14ac:dyDescent="0.15">
      <c r="A227" s="66"/>
      <c r="B227" s="63"/>
      <c r="C227" s="64"/>
      <c r="D227" s="64"/>
      <c r="E227" s="64"/>
      <c r="F227" s="64"/>
      <c r="G227" s="64"/>
      <c r="H227" s="64"/>
      <c r="I227" s="64"/>
      <c r="J227" s="65"/>
    </row>
    <row r="228" spans="1:10" x14ac:dyDescent="0.15">
      <c r="A228" s="66"/>
      <c r="B228" s="63"/>
      <c r="C228" s="64"/>
      <c r="D228" s="64"/>
      <c r="E228" s="64"/>
      <c r="F228" s="64"/>
      <c r="G228" s="64"/>
      <c r="H228" s="64"/>
      <c r="I228" s="64"/>
      <c r="J228" s="65"/>
    </row>
    <row r="229" spans="1:10" x14ac:dyDescent="0.15">
      <c r="A229" s="66"/>
      <c r="B229" s="63"/>
      <c r="C229" s="64"/>
      <c r="D229" s="64"/>
      <c r="E229" s="64"/>
      <c r="F229" s="64"/>
      <c r="G229" s="64"/>
      <c r="H229" s="64"/>
      <c r="I229" s="64"/>
      <c r="J229" s="65"/>
    </row>
    <row r="230" spans="1:10" x14ac:dyDescent="0.15">
      <c r="A230" s="66"/>
      <c r="B230" s="63"/>
      <c r="C230" s="64"/>
      <c r="D230" s="64"/>
      <c r="E230" s="64"/>
      <c r="F230" s="64"/>
      <c r="G230" s="64"/>
      <c r="H230" s="64"/>
      <c r="I230" s="64"/>
      <c r="J230" s="65"/>
    </row>
    <row r="231" spans="1:10" x14ac:dyDescent="0.15">
      <c r="A231" s="66"/>
      <c r="B231" s="63"/>
      <c r="C231" s="64"/>
      <c r="D231" s="64"/>
      <c r="E231" s="64"/>
      <c r="F231" s="64"/>
      <c r="G231" s="64"/>
      <c r="H231" s="64"/>
      <c r="I231" s="64"/>
      <c r="J231" s="65"/>
    </row>
    <row r="232" spans="1:10" x14ac:dyDescent="0.15">
      <c r="A232" s="66"/>
      <c r="B232" s="63"/>
      <c r="C232" s="64"/>
      <c r="D232" s="64"/>
      <c r="E232" s="64"/>
      <c r="F232" s="64"/>
      <c r="G232" s="64"/>
      <c r="H232" s="64"/>
      <c r="I232" s="64"/>
      <c r="J232" s="65"/>
    </row>
    <row r="233" spans="1:10" x14ac:dyDescent="0.15">
      <c r="A233" s="66"/>
      <c r="B233" s="63"/>
      <c r="C233" s="64"/>
      <c r="D233" s="64"/>
      <c r="E233" s="64"/>
      <c r="F233" s="64"/>
      <c r="G233" s="64"/>
      <c r="H233" s="64"/>
      <c r="I233" s="64"/>
      <c r="J233" s="65"/>
    </row>
    <row r="234" spans="1:10" x14ac:dyDescent="0.15">
      <c r="A234" s="66"/>
      <c r="B234" s="63"/>
      <c r="C234" s="64"/>
      <c r="D234" s="64"/>
      <c r="E234" s="64"/>
      <c r="F234" s="64"/>
      <c r="G234" s="64"/>
      <c r="H234" s="64"/>
      <c r="I234" s="64"/>
      <c r="J234" s="65"/>
    </row>
    <row r="235" spans="1:10" x14ac:dyDescent="0.15">
      <c r="A235" s="66"/>
      <c r="B235" s="63"/>
      <c r="C235" s="64"/>
      <c r="D235" s="64"/>
      <c r="E235" s="64"/>
      <c r="F235" s="64"/>
      <c r="G235" s="64"/>
      <c r="H235" s="64"/>
      <c r="I235" s="64"/>
      <c r="J235" s="65"/>
    </row>
    <row r="236" spans="1:10" x14ac:dyDescent="0.15">
      <c r="A236" s="66"/>
      <c r="B236" s="63"/>
      <c r="C236" s="64"/>
      <c r="D236" s="64"/>
      <c r="E236" s="64"/>
      <c r="F236" s="64"/>
      <c r="G236" s="64"/>
      <c r="H236" s="64"/>
      <c r="I236" s="64"/>
      <c r="J236" s="65"/>
    </row>
    <row r="237" spans="1:10" x14ac:dyDescent="0.15">
      <c r="A237" s="66"/>
      <c r="B237" s="63"/>
      <c r="C237" s="64"/>
      <c r="D237" s="64"/>
      <c r="E237" s="64"/>
      <c r="F237" s="64"/>
      <c r="G237" s="64"/>
      <c r="H237" s="64"/>
      <c r="I237" s="64"/>
      <c r="J237" s="65"/>
    </row>
    <row r="238" spans="1:10" x14ac:dyDescent="0.15">
      <c r="A238" s="66"/>
      <c r="B238" s="63"/>
      <c r="C238" s="64"/>
      <c r="D238" s="64"/>
      <c r="E238" s="64"/>
      <c r="F238" s="64"/>
      <c r="G238" s="64"/>
      <c r="H238" s="64"/>
      <c r="I238" s="64"/>
      <c r="J238" s="65"/>
    </row>
    <row r="239" spans="1:10" x14ac:dyDescent="0.15">
      <c r="A239" s="66"/>
      <c r="B239" s="63"/>
      <c r="C239" s="64"/>
      <c r="D239" s="64"/>
      <c r="E239" s="64"/>
      <c r="F239" s="64"/>
      <c r="G239" s="64"/>
      <c r="H239" s="64"/>
      <c r="I239" s="64"/>
      <c r="J239" s="65"/>
    </row>
    <row r="240" spans="1:10" x14ac:dyDescent="0.15">
      <c r="A240" s="66"/>
      <c r="B240" s="63"/>
      <c r="C240" s="64"/>
      <c r="D240" s="64"/>
      <c r="E240" s="64"/>
      <c r="F240" s="64"/>
      <c r="G240" s="64"/>
      <c r="H240" s="64"/>
      <c r="I240" s="64"/>
      <c r="J240" s="65"/>
    </row>
    <row r="241" spans="1:10" x14ac:dyDescent="0.15">
      <c r="A241" s="66"/>
      <c r="B241" s="63"/>
      <c r="C241" s="64"/>
      <c r="D241" s="64"/>
      <c r="E241" s="64"/>
      <c r="F241" s="64"/>
      <c r="G241" s="64"/>
      <c r="H241" s="64"/>
      <c r="I241" s="64"/>
      <c r="J241" s="65"/>
    </row>
    <row r="242" spans="1:10" x14ac:dyDescent="0.15">
      <c r="A242" s="66"/>
      <c r="B242" s="63"/>
      <c r="C242" s="64"/>
      <c r="D242" s="64"/>
      <c r="E242" s="64"/>
      <c r="F242" s="64"/>
      <c r="G242" s="64"/>
      <c r="H242" s="64"/>
      <c r="I242" s="64"/>
      <c r="J242" s="65"/>
    </row>
    <row r="243" spans="1:10" x14ac:dyDescent="0.15">
      <c r="A243" s="66"/>
      <c r="B243" s="63"/>
      <c r="C243" s="64"/>
      <c r="D243" s="64"/>
      <c r="E243" s="64"/>
      <c r="F243" s="64"/>
      <c r="G243" s="64"/>
      <c r="H243" s="64"/>
      <c r="I243" s="64"/>
      <c r="J243" s="65"/>
    </row>
    <row r="244" spans="1:10" x14ac:dyDescent="0.15">
      <c r="A244" s="66"/>
      <c r="B244" s="63"/>
      <c r="C244" s="64"/>
      <c r="D244" s="64"/>
      <c r="E244" s="64"/>
      <c r="F244" s="64"/>
      <c r="G244" s="64"/>
      <c r="H244" s="64"/>
      <c r="I244" s="64"/>
      <c r="J244" s="65"/>
    </row>
    <row r="245" spans="1:10" x14ac:dyDescent="0.15">
      <c r="A245" s="66"/>
      <c r="B245" s="63"/>
      <c r="C245" s="64"/>
      <c r="D245" s="64"/>
      <c r="E245" s="64"/>
      <c r="F245" s="64"/>
      <c r="G245" s="64"/>
      <c r="H245" s="64"/>
      <c r="I245" s="64"/>
      <c r="J245" s="65"/>
    </row>
    <row r="246" spans="1:10" x14ac:dyDescent="0.15">
      <c r="A246" s="66"/>
      <c r="B246" s="63"/>
      <c r="C246" s="64"/>
      <c r="D246" s="64"/>
      <c r="E246" s="64"/>
      <c r="F246" s="64"/>
      <c r="G246" s="64"/>
      <c r="H246" s="64"/>
      <c r="I246" s="64"/>
      <c r="J246" s="65"/>
    </row>
    <row r="247" spans="1:10" x14ac:dyDescent="0.15">
      <c r="A247" s="66"/>
      <c r="B247" s="63"/>
      <c r="C247" s="64"/>
      <c r="D247" s="64"/>
      <c r="E247" s="64"/>
      <c r="F247" s="64"/>
      <c r="G247" s="64"/>
      <c r="H247" s="64"/>
      <c r="I247" s="64"/>
      <c r="J247" s="65"/>
    </row>
    <row r="248" spans="1:10" x14ac:dyDescent="0.15">
      <c r="A248" s="66"/>
      <c r="B248" s="63"/>
      <c r="C248" s="64"/>
      <c r="D248" s="64"/>
      <c r="E248" s="64"/>
      <c r="F248" s="64"/>
      <c r="G248" s="64"/>
      <c r="H248" s="64"/>
      <c r="I248" s="64"/>
      <c r="J248" s="65"/>
    </row>
    <row r="249" spans="1:10" x14ac:dyDescent="0.15">
      <c r="A249" s="66"/>
      <c r="B249" s="63"/>
      <c r="C249" s="64"/>
      <c r="D249" s="64"/>
      <c r="E249" s="64"/>
      <c r="F249" s="64"/>
      <c r="G249" s="64"/>
      <c r="H249" s="64"/>
      <c r="I249" s="64"/>
      <c r="J249" s="65"/>
    </row>
    <row r="250" spans="1:10" x14ac:dyDescent="0.15">
      <c r="A250" s="66"/>
      <c r="B250" s="63"/>
      <c r="C250" s="64"/>
      <c r="D250" s="64"/>
      <c r="E250" s="64"/>
      <c r="F250" s="64"/>
      <c r="G250" s="64"/>
      <c r="H250" s="64"/>
      <c r="I250" s="64"/>
      <c r="J250" s="65"/>
    </row>
    <row r="251" spans="1:10" x14ac:dyDescent="0.15">
      <c r="A251" s="66"/>
      <c r="B251" s="63"/>
      <c r="C251" s="64"/>
      <c r="D251" s="64"/>
      <c r="E251" s="64"/>
      <c r="F251" s="64"/>
      <c r="G251" s="64"/>
      <c r="H251" s="64"/>
      <c r="I251" s="64"/>
      <c r="J251" s="65"/>
    </row>
    <row r="252" spans="1:10" x14ac:dyDescent="0.15">
      <c r="A252" s="66"/>
      <c r="B252" s="63"/>
      <c r="C252" s="64"/>
      <c r="D252" s="64"/>
      <c r="E252" s="64"/>
      <c r="F252" s="64"/>
      <c r="G252" s="64"/>
      <c r="H252" s="64"/>
      <c r="I252" s="64"/>
      <c r="J252" s="65"/>
    </row>
    <row r="253" spans="1:10" x14ac:dyDescent="0.15">
      <c r="A253" s="66"/>
      <c r="B253" s="63"/>
      <c r="C253" s="64"/>
      <c r="D253" s="64"/>
      <c r="E253" s="64"/>
      <c r="F253" s="64"/>
      <c r="G253" s="64"/>
      <c r="H253" s="64"/>
      <c r="I253" s="64"/>
      <c r="J253" s="65"/>
    </row>
    <row r="254" spans="1:10" x14ac:dyDescent="0.15">
      <c r="A254" s="66"/>
      <c r="B254" s="63"/>
      <c r="C254" s="64"/>
      <c r="D254" s="64"/>
      <c r="E254" s="64"/>
      <c r="F254" s="64"/>
      <c r="G254" s="64"/>
      <c r="H254" s="64"/>
      <c r="I254" s="64"/>
      <c r="J254" s="65"/>
    </row>
    <row r="255" spans="1:10" x14ac:dyDescent="0.15">
      <c r="A255" s="66"/>
      <c r="B255" s="63"/>
      <c r="C255" s="64"/>
      <c r="D255" s="64"/>
      <c r="E255" s="64"/>
      <c r="F255" s="64"/>
      <c r="G255" s="64"/>
      <c r="H255" s="64"/>
      <c r="I255" s="64"/>
      <c r="J255" s="65"/>
    </row>
    <row r="256" spans="1:10" x14ac:dyDescent="0.15">
      <c r="A256" s="66"/>
      <c r="B256" s="63"/>
      <c r="C256" s="64"/>
      <c r="D256" s="64"/>
      <c r="E256" s="64"/>
      <c r="F256" s="64"/>
      <c r="G256" s="64"/>
      <c r="H256" s="64"/>
      <c r="I256" s="64"/>
      <c r="J256" s="65"/>
    </row>
    <row r="257" spans="1:10" x14ac:dyDescent="0.15">
      <c r="A257" s="66"/>
      <c r="B257" s="63"/>
      <c r="C257" s="64"/>
      <c r="D257" s="64"/>
      <c r="E257" s="64"/>
      <c r="F257" s="64"/>
      <c r="G257" s="64"/>
      <c r="H257" s="64"/>
      <c r="I257" s="64"/>
      <c r="J257" s="65"/>
    </row>
    <row r="258" spans="1:10" x14ac:dyDescent="0.15">
      <c r="A258" s="66"/>
      <c r="B258" s="63"/>
      <c r="C258" s="64"/>
      <c r="D258" s="64"/>
      <c r="E258" s="64"/>
      <c r="F258" s="64"/>
      <c r="G258" s="64"/>
      <c r="H258" s="64"/>
      <c r="I258" s="64"/>
      <c r="J258" s="65"/>
    </row>
    <row r="259" spans="1:10" x14ac:dyDescent="0.15">
      <c r="A259" s="66"/>
      <c r="B259" s="63"/>
      <c r="C259" s="64"/>
      <c r="D259" s="64"/>
      <c r="E259" s="64"/>
      <c r="F259" s="64"/>
      <c r="G259" s="64"/>
      <c r="H259" s="64"/>
      <c r="I259" s="64"/>
      <c r="J259" s="65"/>
    </row>
    <row r="260" spans="1:10" x14ac:dyDescent="0.15">
      <c r="A260" s="66"/>
      <c r="B260" s="63"/>
      <c r="C260" s="64"/>
      <c r="D260" s="64"/>
      <c r="E260" s="64"/>
      <c r="F260" s="64"/>
      <c r="G260" s="64"/>
      <c r="H260" s="64"/>
      <c r="I260" s="64"/>
      <c r="J260" s="65"/>
    </row>
    <row r="261" spans="1:10" x14ac:dyDescent="0.15">
      <c r="A261" s="66"/>
      <c r="B261" s="63"/>
      <c r="C261" s="64"/>
      <c r="D261" s="64"/>
      <c r="E261" s="64"/>
      <c r="F261" s="64"/>
      <c r="G261" s="64"/>
      <c r="H261" s="64"/>
      <c r="I261" s="64"/>
      <c r="J261" s="65"/>
    </row>
    <row r="262" spans="1:10" x14ac:dyDescent="0.15">
      <c r="A262" s="66"/>
      <c r="B262" s="63"/>
      <c r="C262" s="64"/>
      <c r="D262" s="64"/>
      <c r="E262" s="64"/>
      <c r="F262" s="64"/>
      <c r="G262" s="64"/>
      <c r="H262" s="64"/>
      <c r="I262" s="64"/>
      <c r="J262" s="65"/>
    </row>
    <row r="263" spans="1:10" x14ac:dyDescent="0.15">
      <c r="A263" s="66"/>
      <c r="B263" s="63"/>
      <c r="C263" s="64"/>
      <c r="D263" s="64"/>
      <c r="E263" s="64"/>
      <c r="F263" s="64"/>
      <c r="G263" s="64"/>
      <c r="H263" s="64"/>
      <c r="I263" s="64"/>
      <c r="J263" s="65"/>
    </row>
    <row r="264" spans="1:10" x14ac:dyDescent="0.15">
      <c r="A264" s="66"/>
      <c r="B264" s="63"/>
      <c r="C264" s="64"/>
      <c r="D264" s="64"/>
      <c r="E264" s="64"/>
      <c r="F264" s="64"/>
      <c r="G264" s="64"/>
      <c r="H264" s="64"/>
      <c r="I264" s="64"/>
      <c r="J264" s="65"/>
    </row>
    <row r="265" spans="1:10" x14ac:dyDescent="0.15">
      <c r="A265" s="66"/>
      <c r="B265" s="63"/>
      <c r="C265" s="64"/>
      <c r="D265" s="64"/>
      <c r="E265" s="64"/>
      <c r="F265" s="64"/>
      <c r="G265" s="64"/>
      <c r="H265" s="64"/>
      <c r="I265" s="64"/>
      <c r="J265" s="65"/>
    </row>
    <row r="266" spans="1:10" x14ac:dyDescent="0.15">
      <c r="A266" s="66"/>
      <c r="B266" s="63"/>
      <c r="C266" s="64"/>
      <c r="D266" s="64"/>
      <c r="E266" s="64"/>
      <c r="F266" s="64"/>
      <c r="G266" s="64"/>
      <c r="H266" s="64"/>
      <c r="I266" s="64"/>
      <c r="J266" s="65"/>
    </row>
    <row r="267" spans="1:10" x14ac:dyDescent="0.15">
      <c r="A267" s="66"/>
      <c r="B267" s="63"/>
      <c r="C267" s="64"/>
      <c r="D267" s="64"/>
      <c r="E267" s="64"/>
      <c r="F267" s="64"/>
      <c r="G267" s="64"/>
      <c r="H267" s="64"/>
      <c r="I267" s="64"/>
      <c r="J267" s="65"/>
    </row>
    <row r="268" spans="1:10" x14ac:dyDescent="0.15">
      <c r="A268" s="66"/>
      <c r="B268" s="63"/>
      <c r="C268" s="64"/>
      <c r="D268" s="64"/>
      <c r="E268" s="64"/>
      <c r="F268" s="64"/>
      <c r="G268" s="64"/>
      <c r="H268" s="64"/>
      <c r="I268" s="64"/>
      <c r="J268" s="65"/>
    </row>
    <row r="269" spans="1:10" x14ac:dyDescent="0.15">
      <c r="A269" s="66"/>
      <c r="B269" s="63"/>
      <c r="C269" s="64"/>
      <c r="D269" s="64"/>
      <c r="E269" s="64"/>
      <c r="F269" s="64"/>
      <c r="G269" s="64"/>
      <c r="H269" s="64"/>
      <c r="I269" s="64"/>
      <c r="J269" s="65"/>
    </row>
    <row r="270" spans="1:10" x14ac:dyDescent="0.15">
      <c r="A270" s="66"/>
      <c r="B270" s="63"/>
      <c r="C270" s="64"/>
      <c r="D270" s="64"/>
      <c r="E270" s="64"/>
      <c r="F270" s="64"/>
      <c r="G270" s="64"/>
      <c r="H270" s="64"/>
      <c r="I270" s="64"/>
      <c r="J270" s="65"/>
    </row>
    <row r="271" spans="1:10" x14ac:dyDescent="0.15">
      <c r="A271" s="66"/>
      <c r="B271" s="63"/>
      <c r="C271" s="64"/>
      <c r="D271" s="64"/>
      <c r="E271" s="64"/>
      <c r="F271" s="64"/>
      <c r="G271" s="64"/>
      <c r="H271" s="64"/>
      <c r="I271" s="64"/>
      <c r="J271" s="65"/>
    </row>
    <row r="272" spans="1:10" x14ac:dyDescent="0.15">
      <c r="A272" s="66"/>
      <c r="B272" s="63"/>
      <c r="C272" s="64"/>
      <c r="D272" s="64"/>
      <c r="E272" s="64"/>
      <c r="F272" s="64"/>
      <c r="G272" s="64"/>
      <c r="H272" s="64"/>
      <c r="I272" s="64"/>
      <c r="J272" s="65"/>
    </row>
    <row r="273" spans="1:10" x14ac:dyDescent="0.15">
      <c r="A273" s="66"/>
      <c r="B273" s="63"/>
      <c r="C273" s="64"/>
      <c r="D273" s="64"/>
      <c r="E273" s="64"/>
      <c r="F273" s="64"/>
      <c r="G273" s="64"/>
      <c r="H273" s="64"/>
      <c r="I273" s="64"/>
      <c r="J273" s="65"/>
    </row>
    <row r="274" spans="1:10" x14ac:dyDescent="0.15">
      <c r="A274" s="66"/>
      <c r="B274" s="63"/>
      <c r="C274" s="64"/>
      <c r="D274" s="64"/>
      <c r="E274" s="64"/>
      <c r="F274" s="64"/>
      <c r="G274" s="64"/>
      <c r="H274" s="64"/>
      <c r="I274" s="64"/>
      <c r="J274" s="65"/>
    </row>
    <row r="275" spans="1:10" x14ac:dyDescent="0.15">
      <c r="A275" s="66"/>
      <c r="B275" s="63"/>
      <c r="C275" s="64"/>
      <c r="D275" s="64"/>
      <c r="E275" s="64"/>
      <c r="F275" s="64"/>
      <c r="G275" s="64"/>
      <c r="H275" s="64"/>
      <c r="I275" s="64"/>
      <c r="J275" s="65"/>
    </row>
    <row r="276" spans="1:10" x14ac:dyDescent="0.15">
      <c r="A276" s="66"/>
      <c r="B276" s="63"/>
      <c r="C276" s="64"/>
      <c r="D276" s="64"/>
      <c r="E276" s="64"/>
      <c r="F276" s="64"/>
      <c r="G276" s="64"/>
      <c r="H276" s="64"/>
      <c r="I276" s="64"/>
      <c r="J276" s="65"/>
    </row>
    <row r="277" spans="1:10" x14ac:dyDescent="0.15">
      <c r="A277" s="66"/>
      <c r="B277" s="63"/>
      <c r="C277" s="64"/>
      <c r="D277" s="64"/>
      <c r="E277" s="64"/>
      <c r="F277" s="64"/>
      <c r="G277" s="64"/>
      <c r="H277" s="64"/>
      <c r="I277" s="64"/>
      <c r="J277" s="65"/>
    </row>
    <row r="278" spans="1:10" x14ac:dyDescent="0.15">
      <c r="A278" s="66"/>
      <c r="B278" s="63"/>
      <c r="C278" s="64"/>
      <c r="D278" s="64"/>
      <c r="E278" s="64"/>
      <c r="F278" s="64"/>
      <c r="G278" s="64"/>
      <c r="H278" s="64"/>
      <c r="I278" s="64"/>
      <c r="J278" s="65"/>
    </row>
    <row r="279" spans="1:10" x14ac:dyDescent="0.15">
      <c r="A279" s="66"/>
      <c r="B279" s="63"/>
      <c r="C279" s="64"/>
      <c r="D279" s="64"/>
      <c r="E279" s="64"/>
      <c r="F279" s="64"/>
      <c r="G279" s="64"/>
      <c r="H279" s="64"/>
      <c r="I279" s="64"/>
      <c r="J279" s="65"/>
    </row>
    <row r="280" spans="1:10" x14ac:dyDescent="0.15">
      <c r="A280" s="66"/>
      <c r="B280" s="63"/>
      <c r="C280" s="64"/>
      <c r="D280" s="64"/>
      <c r="E280" s="64"/>
      <c r="F280" s="64"/>
      <c r="G280" s="64"/>
      <c r="H280" s="64"/>
      <c r="I280" s="64"/>
      <c r="J280" s="65"/>
    </row>
    <row r="281" spans="1:10" x14ac:dyDescent="0.15">
      <c r="A281" s="66"/>
      <c r="B281" s="63"/>
      <c r="C281" s="64"/>
      <c r="D281" s="64"/>
      <c r="E281" s="64"/>
      <c r="F281" s="64"/>
      <c r="G281" s="64"/>
      <c r="H281" s="64"/>
      <c r="I281" s="64"/>
      <c r="J281" s="65"/>
    </row>
    <row r="282" spans="1:10" x14ac:dyDescent="0.15">
      <c r="A282" s="66"/>
      <c r="B282" s="63"/>
      <c r="C282" s="64"/>
      <c r="D282" s="64"/>
      <c r="E282" s="64"/>
      <c r="F282" s="64"/>
      <c r="G282" s="64"/>
      <c r="H282" s="64"/>
      <c r="I282" s="64"/>
      <c r="J282" s="65"/>
    </row>
    <row r="283" spans="1:10" x14ac:dyDescent="0.15">
      <c r="A283" s="66"/>
      <c r="B283" s="63"/>
      <c r="C283" s="64"/>
      <c r="D283" s="64"/>
      <c r="E283" s="64"/>
      <c r="F283" s="64"/>
      <c r="G283" s="64"/>
      <c r="H283" s="64"/>
      <c r="I283" s="64"/>
      <c r="J283" s="65"/>
    </row>
    <row r="284" spans="1:10" x14ac:dyDescent="0.15">
      <c r="A284" s="66"/>
      <c r="B284" s="63"/>
      <c r="C284" s="64"/>
      <c r="D284" s="64"/>
      <c r="E284" s="64"/>
      <c r="F284" s="64"/>
      <c r="G284" s="64"/>
      <c r="H284" s="64"/>
      <c r="I284" s="64"/>
      <c r="J284" s="65"/>
    </row>
    <row r="285" spans="1:10" x14ac:dyDescent="0.15">
      <c r="A285" s="66"/>
      <c r="B285" s="63"/>
      <c r="C285" s="64"/>
      <c r="D285" s="64"/>
      <c r="E285" s="64"/>
      <c r="F285" s="64"/>
      <c r="G285" s="64"/>
      <c r="H285" s="64"/>
      <c r="I285" s="64"/>
      <c r="J285" s="65"/>
    </row>
    <row r="286" spans="1:10" x14ac:dyDescent="0.15">
      <c r="A286" s="66"/>
      <c r="B286" s="63"/>
      <c r="C286" s="64"/>
      <c r="D286" s="64"/>
      <c r="E286" s="64"/>
      <c r="F286" s="64"/>
      <c r="G286" s="64"/>
      <c r="H286" s="64"/>
      <c r="I286" s="64"/>
      <c r="J286" s="65"/>
    </row>
    <row r="287" spans="1:10" x14ac:dyDescent="0.15">
      <c r="A287" s="66"/>
      <c r="B287" s="63"/>
      <c r="C287" s="64"/>
      <c r="D287" s="64"/>
      <c r="E287" s="64"/>
      <c r="F287" s="64"/>
      <c r="G287" s="64"/>
      <c r="H287" s="64"/>
      <c r="I287" s="64"/>
      <c r="J287" s="65"/>
    </row>
    <row r="288" spans="1:10" x14ac:dyDescent="0.15">
      <c r="A288" s="66"/>
      <c r="B288" s="63"/>
      <c r="C288" s="64"/>
      <c r="D288" s="64"/>
      <c r="E288" s="64"/>
      <c r="F288" s="64"/>
      <c r="G288" s="64"/>
      <c r="H288" s="64"/>
      <c r="I288" s="64"/>
      <c r="J288" s="65"/>
    </row>
    <row r="289" spans="1:10" x14ac:dyDescent="0.15">
      <c r="A289" s="66"/>
      <c r="B289" s="63"/>
      <c r="C289" s="64"/>
      <c r="D289" s="64"/>
      <c r="E289" s="64"/>
      <c r="F289" s="64"/>
      <c r="G289" s="64"/>
      <c r="H289" s="64"/>
      <c r="I289" s="64"/>
      <c r="J289" s="65"/>
    </row>
    <row r="290" spans="1:10" x14ac:dyDescent="0.15">
      <c r="A290" s="66"/>
      <c r="B290" s="63"/>
      <c r="C290" s="64"/>
      <c r="D290" s="64"/>
      <c r="E290" s="64"/>
      <c r="F290" s="64"/>
      <c r="G290" s="64"/>
      <c r="H290" s="64"/>
      <c r="I290" s="64"/>
      <c r="J290" s="65"/>
    </row>
    <row r="291" spans="1:10" x14ac:dyDescent="0.15">
      <c r="A291" s="66"/>
      <c r="B291" s="63"/>
      <c r="C291" s="64"/>
      <c r="D291" s="64"/>
      <c r="E291" s="64"/>
      <c r="F291" s="64"/>
      <c r="G291" s="64"/>
      <c r="H291" s="64"/>
      <c r="I291" s="64"/>
      <c r="J291" s="65"/>
    </row>
    <row r="292" spans="1:10" x14ac:dyDescent="0.15">
      <c r="A292" s="66"/>
      <c r="B292" s="63"/>
      <c r="C292" s="64"/>
      <c r="D292" s="64"/>
      <c r="E292" s="64"/>
      <c r="F292" s="64"/>
      <c r="G292" s="64"/>
      <c r="H292" s="64"/>
      <c r="I292" s="64"/>
      <c r="J292" s="65"/>
    </row>
    <row r="293" spans="1:10" x14ac:dyDescent="0.15">
      <c r="A293" s="66"/>
      <c r="B293" s="63"/>
      <c r="C293" s="64"/>
      <c r="D293" s="64"/>
      <c r="E293" s="64"/>
      <c r="F293" s="64"/>
      <c r="G293" s="64"/>
      <c r="H293" s="64"/>
      <c r="I293" s="64"/>
      <c r="J293" s="65"/>
    </row>
    <row r="294" spans="1:10" x14ac:dyDescent="0.15">
      <c r="A294" s="66"/>
      <c r="B294" s="63"/>
      <c r="C294" s="64"/>
      <c r="D294" s="64"/>
      <c r="E294" s="64"/>
      <c r="F294" s="64"/>
      <c r="G294" s="64"/>
      <c r="H294" s="64"/>
      <c r="I294" s="64"/>
      <c r="J294" s="65"/>
    </row>
    <row r="295" spans="1:10" x14ac:dyDescent="0.15">
      <c r="A295" s="66"/>
      <c r="B295" s="63"/>
      <c r="C295" s="64"/>
      <c r="D295" s="64"/>
      <c r="E295" s="64"/>
      <c r="F295" s="64"/>
      <c r="G295" s="64"/>
      <c r="H295" s="64"/>
      <c r="I295" s="64"/>
      <c r="J295" s="65"/>
    </row>
    <row r="296" spans="1:10" x14ac:dyDescent="0.15">
      <c r="A296" s="66"/>
      <c r="B296" s="63"/>
      <c r="C296" s="64"/>
      <c r="D296" s="64"/>
      <c r="E296" s="64"/>
      <c r="F296" s="64"/>
      <c r="G296" s="64"/>
      <c r="H296" s="64"/>
      <c r="I296" s="64"/>
      <c r="J296" s="65"/>
    </row>
    <row r="297" spans="1:10" x14ac:dyDescent="0.15">
      <c r="A297" s="66"/>
      <c r="B297" s="63"/>
      <c r="C297" s="64"/>
      <c r="D297" s="64"/>
      <c r="E297" s="64"/>
      <c r="F297" s="64"/>
      <c r="G297" s="64"/>
      <c r="H297" s="64"/>
      <c r="I297" s="64"/>
      <c r="J297" s="65"/>
    </row>
    <row r="298" spans="1:10" x14ac:dyDescent="0.15">
      <c r="A298" s="66"/>
      <c r="B298" s="63"/>
      <c r="C298" s="64"/>
      <c r="D298" s="64"/>
      <c r="E298" s="64"/>
      <c r="F298" s="64"/>
      <c r="G298" s="64"/>
      <c r="H298" s="64"/>
      <c r="I298" s="64"/>
      <c r="J298" s="65"/>
    </row>
    <row r="299" spans="1:10" x14ac:dyDescent="0.15">
      <c r="A299" s="66"/>
      <c r="B299" s="63"/>
      <c r="C299" s="64"/>
      <c r="D299" s="64"/>
      <c r="E299" s="64"/>
      <c r="F299" s="64"/>
      <c r="G299" s="64"/>
      <c r="H299" s="64"/>
      <c r="I299" s="64"/>
      <c r="J299" s="65"/>
    </row>
    <row r="300" spans="1:10" x14ac:dyDescent="0.15">
      <c r="A300" s="66"/>
      <c r="B300" s="63"/>
      <c r="C300" s="64"/>
      <c r="D300" s="64"/>
      <c r="E300" s="64"/>
      <c r="F300" s="64"/>
      <c r="G300" s="64"/>
      <c r="H300" s="64"/>
      <c r="I300" s="64"/>
      <c r="J300" s="65"/>
    </row>
    <row r="301" spans="1:10" x14ac:dyDescent="0.15">
      <c r="A301" s="66"/>
      <c r="B301" s="63"/>
      <c r="C301" s="64"/>
      <c r="D301" s="64"/>
      <c r="E301" s="64"/>
      <c r="F301" s="64"/>
      <c r="G301" s="64"/>
      <c r="H301" s="64"/>
      <c r="I301" s="64"/>
      <c r="J301" s="65"/>
    </row>
    <row r="302" spans="1:10" x14ac:dyDescent="0.15">
      <c r="A302" s="66"/>
      <c r="B302" s="63"/>
      <c r="C302" s="64"/>
      <c r="D302" s="64"/>
      <c r="E302" s="64"/>
      <c r="F302" s="64"/>
      <c r="G302" s="64"/>
      <c r="H302" s="64"/>
      <c r="I302" s="64"/>
      <c r="J302" s="65"/>
    </row>
    <row r="303" spans="1:10" x14ac:dyDescent="0.15">
      <c r="A303" s="66"/>
      <c r="B303" s="63"/>
      <c r="C303" s="64"/>
      <c r="D303" s="64"/>
      <c r="E303" s="64"/>
      <c r="F303" s="64"/>
      <c r="G303" s="64"/>
      <c r="H303" s="64"/>
      <c r="I303" s="64"/>
      <c r="J303" s="65"/>
    </row>
    <row r="304" spans="1:10" x14ac:dyDescent="0.15">
      <c r="A304" s="66"/>
      <c r="B304" s="63"/>
      <c r="C304" s="64"/>
      <c r="D304" s="64"/>
      <c r="E304" s="64"/>
      <c r="F304" s="64"/>
      <c r="G304" s="64"/>
      <c r="H304" s="64"/>
      <c r="I304" s="64"/>
      <c r="J304" s="65"/>
    </row>
    <row r="305" spans="1:10" x14ac:dyDescent="0.15">
      <c r="A305" s="66"/>
      <c r="B305" s="63"/>
      <c r="C305" s="64"/>
      <c r="D305" s="64"/>
      <c r="E305" s="64"/>
      <c r="F305" s="64"/>
      <c r="G305" s="64"/>
      <c r="H305" s="64"/>
      <c r="I305" s="64"/>
      <c r="J305" s="65"/>
    </row>
    <row r="306" spans="1:10" x14ac:dyDescent="0.15">
      <c r="A306" s="66"/>
      <c r="B306" s="63"/>
      <c r="C306" s="64"/>
      <c r="D306" s="64"/>
      <c r="E306" s="64"/>
      <c r="F306" s="64"/>
      <c r="G306" s="64"/>
      <c r="H306" s="64"/>
      <c r="I306" s="64"/>
      <c r="J306" s="65"/>
    </row>
    <row r="307" spans="1:10" x14ac:dyDescent="0.15">
      <c r="A307" s="66"/>
      <c r="B307" s="63"/>
      <c r="C307" s="64"/>
      <c r="D307" s="64"/>
      <c r="E307" s="64"/>
      <c r="F307" s="64"/>
      <c r="G307" s="64"/>
      <c r="H307" s="64"/>
      <c r="I307" s="64"/>
      <c r="J307" s="65"/>
    </row>
    <row r="308" spans="1:10" x14ac:dyDescent="0.15">
      <c r="A308" s="66"/>
      <c r="B308" s="63"/>
      <c r="C308" s="64"/>
      <c r="D308" s="64"/>
      <c r="E308" s="64"/>
      <c r="F308" s="64"/>
      <c r="G308" s="64"/>
      <c r="H308" s="64"/>
      <c r="I308" s="64"/>
      <c r="J308" s="65"/>
    </row>
    <row r="309" spans="1:10" x14ac:dyDescent="0.15">
      <c r="A309" s="66"/>
      <c r="B309" s="63"/>
      <c r="C309" s="64"/>
      <c r="D309" s="64"/>
      <c r="E309" s="64"/>
      <c r="F309" s="64"/>
      <c r="G309" s="64"/>
      <c r="H309" s="64"/>
      <c r="I309" s="64"/>
      <c r="J309" s="65"/>
    </row>
    <row r="310" spans="1:10" x14ac:dyDescent="0.15">
      <c r="A310" s="66"/>
      <c r="B310" s="63"/>
      <c r="C310" s="64"/>
      <c r="D310" s="64"/>
      <c r="E310" s="64"/>
      <c r="F310" s="64"/>
      <c r="G310" s="64"/>
      <c r="H310" s="64"/>
      <c r="I310" s="64"/>
      <c r="J310" s="65"/>
    </row>
    <row r="311" spans="1:10" x14ac:dyDescent="0.15">
      <c r="A311" s="66"/>
      <c r="B311" s="63"/>
      <c r="C311" s="64"/>
      <c r="D311" s="64"/>
      <c r="E311" s="64"/>
      <c r="F311" s="64"/>
      <c r="G311" s="64"/>
      <c r="H311" s="64"/>
      <c r="I311" s="64"/>
      <c r="J311" s="65"/>
    </row>
    <row r="312" spans="1:10" x14ac:dyDescent="0.15">
      <c r="A312" s="66"/>
      <c r="B312" s="63"/>
      <c r="C312" s="64"/>
      <c r="D312" s="64"/>
      <c r="E312" s="64"/>
      <c r="F312" s="64"/>
      <c r="G312" s="64"/>
      <c r="H312" s="64"/>
      <c r="I312" s="64"/>
      <c r="J312" s="65"/>
    </row>
    <row r="313" spans="1:10" x14ac:dyDescent="0.15">
      <c r="A313" s="66"/>
      <c r="B313" s="63"/>
      <c r="C313" s="64"/>
      <c r="D313" s="64"/>
      <c r="E313" s="64"/>
      <c r="F313" s="64"/>
      <c r="G313" s="64"/>
      <c r="H313" s="64"/>
      <c r="I313" s="64"/>
      <c r="J313" s="65"/>
    </row>
    <row r="314" spans="1:10" x14ac:dyDescent="0.15">
      <c r="A314" s="66"/>
      <c r="B314" s="63"/>
      <c r="C314" s="64"/>
      <c r="D314" s="64"/>
      <c r="E314" s="64"/>
      <c r="F314" s="64"/>
      <c r="G314" s="64"/>
      <c r="H314" s="64"/>
      <c r="I314" s="64"/>
      <c r="J314" s="65"/>
    </row>
    <row r="315" spans="1:10" x14ac:dyDescent="0.15">
      <c r="A315" s="66"/>
      <c r="B315" s="63"/>
      <c r="C315" s="64"/>
      <c r="D315" s="64"/>
      <c r="E315" s="64"/>
      <c r="F315" s="64"/>
      <c r="G315" s="64"/>
      <c r="H315" s="64"/>
      <c r="I315" s="64"/>
      <c r="J315" s="65"/>
    </row>
    <row r="316" spans="1:10" x14ac:dyDescent="0.15">
      <c r="A316" s="66"/>
      <c r="B316" s="63"/>
      <c r="C316" s="64"/>
      <c r="D316" s="64"/>
      <c r="E316" s="64"/>
      <c r="F316" s="64"/>
      <c r="G316" s="64"/>
      <c r="H316" s="64"/>
      <c r="I316" s="64"/>
      <c r="J316" s="65"/>
    </row>
    <row r="317" spans="1:10" x14ac:dyDescent="0.15">
      <c r="A317" s="66"/>
      <c r="B317" s="63"/>
      <c r="C317" s="64"/>
      <c r="D317" s="64"/>
      <c r="E317" s="64"/>
      <c r="F317" s="64"/>
      <c r="G317" s="64"/>
      <c r="H317" s="64"/>
      <c r="I317" s="64"/>
      <c r="J317" s="65"/>
    </row>
    <row r="318" spans="1:10" x14ac:dyDescent="0.15">
      <c r="A318" s="66"/>
      <c r="B318" s="63"/>
      <c r="C318" s="64"/>
      <c r="D318" s="64"/>
      <c r="E318" s="64"/>
      <c r="F318" s="64"/>
      <c r="G318" s="64"/>
      <c r="H318" s="64"/>
      <c r="I318" s="64"/>
      <c r="J318" s="65"/>
    </row>
    <row r="319" spans="1:10" x14ac:dyDescent="0.15">
      <c r="A319" s="66"/>
      <c r="B319" s="63"/>
      <c r="C319" s="64"/>
      <c r="D319" s="64"/>
      <c r="E319" s="64"/>
      <c r="F319" s="64"/>
      <c r="G319" s="64"/>
      <c r="H319" s="64"/>
      <c r="I319" s="64"/>
      <c r="J319" s="65"/>
    </row>
    <row r="320" spans="1:10" x14ac:dyDescent="0.15">
      <c r="A320" s="66"/>
      <c r="B320" s="63"/>
      <c r="C320" s="64"/>
      <c r="D320" s="64"/>
      <c r="E320" s="64"/>
      <c r="F320" s="64"/>
      <c r="G320" s="64"/>
      <c r="H320" s="64"/>
      <c r="I320" s="64"/>
      <c r="J320" s="65"/>
    </row>
    <row r="321" spans="1:10" x14ac:dyDescent="0.15">
      <c r="A321" s="66"/>
      <c r="B321" s="63"/>
      <c r="C321" s="64"/>
      <c r="D321" s="64"/>
      <c r="E321" s="64"/>
      <c r="F321" s="64"/>
      <c r="G321" s="64"/>
      <c r="H321" s="64"/>
      <c r="I321" s="64"/>
      <c r="J321" s="65"/>
    </row>
    <row r="322" spans="1:10" x14ac:dyDescent="0.15">
      <c r="A322" s="66"/>
      <c r="B322" s="63"/>
      <c r="C322" s="64"/>
      <c r="D322" s="64"/>
      <c r="E322" s="64"/>
      <c r="F322" s="64"/>
      <c r="G322" s="64"/>
      <c r="H322" s="64"/>
      <c r="I322" s="64"/>
      <c r="J322" s="65"/>
    </row>
    <row r="323" spans="1:10" x14ac:dyDescent="0.15">
      <c r="A323" s="66"/>
      <c r="B323" s="63"/>
      <c r="C323" s="64"/>
      <c r="D323" s="64"/>
      <c r="E323" s="64"/>
      <c r="F323" s="64"/>
      <c r="G323" s="64"/>
      <c r="H323" s="64"/>
      <c r="I323" s="64"/>
      <c r="J323" s="65"/>
    </row>
    <row r="324" spans="1:10" x14ac:dyDescent="0.15">
      <c r="A324" s="66"/>
      <c r="B324" s="63"/>
      <c r="C324" s="64"/>
      <c r="D324" s="64"/>
      <c r="E324" s="64"/>
      <c r="F324" s="64"/>
      <c r="G324" s="64"/>
      <c r="H324" s="64"/>
      <c r="I324" s="64"/>
      <c r="J324" s="65"/>
    </row>
    <row r="325" spans="1:10" x14ac:dyDescent="0.15">
      <c r="A325" s="66"/>
      <c r="B325" s="63"/>
      <c r="C325" s="64"/>
      <c r="D325" s="64"/>
      <c r="E325" s="64"/>
      <c r="F325" s="64"/>
      <c r="G325" s="64"/>
      <c r="H325" s="64"/>
      <c r="I325" s="64"/>
      <c r="J325" s="65"/>
    </row>
    <row r="326" spans="1:10" x14ac:dyDescent="0.15">
      <c r="A326" s="66"/>
      <c r="B326" s="63"/>
      <c r="C326" s="64"/>
      <c r="D326" s="64"/>
      <c r="E326" s="64"/>
      <c r="F326" s="64"/>
      <c r="G326" s="64"/>
      <c r="H326" s="64"/>
      <c r="I326" s="64"/>
      <c r="J326" s="65"/>
    </row>
    <row r="327" spans="1:10" x14ac:dyDescent="0.15">
      <c r="A327" s="66"/>
      <c r="B327" s="63"/>
      <c r="C327" s="64"/>
      <c r="D327" s="64"/>
      <c r="E327" s="64"/>
      <c r="F327" s="64"/>
      <c r="G327" s="64"/>
      <c r="H327" s="64"/>
      <c r="I327" s="64"/>
      <c r="J327" s="65"/>
    </row>
    <row r="328" spans="1:10" x14ac:dyDescent="0.15">
      <c r="A328" s="66"/>
      <c r="B328" s="63"/>
      <c r="C328" s="64"/>
      <c r="D328" s="64"/>
      <c r="E328" s="64"/>
      <c r="F328" s="64"/>
      <c r="G328" s="64"/>
      <c r="H328" s="64"/>
      <c r="I328" s="64"/>
      <c r="J328" s="65"/>
    </row>
    <row r="329" spans="1:10" x14ac:dyDescent="0.15">
      <c r="A329" s="66"/>
      <c r="B329" s="63"/>
      <c r="C329" s="64"/>
      <c r="D329" s="64"/>
      <c r="E329" s="64"/>
      <c r="F329" s="64"/>
      <c r="G329" s="64"/>
      <c r="H329" s="64"/>
      <c r="I329" s="64"/>
      <c r="J329" s="65"/>
    </row>
    <row r="330" spans="1:10" x14ac:dyDescent="0.15">
      <c r="A330" s="66"/>
      <c r="B330" s="63"/>
      <c r="C330" s="64"/>
      <c r="D330" s="64"/>
      <c r="E330" s="64"/>
      <c r="F330" s="64"/>
      <c r="G330" s="64"/>
      <c r="H330" s="64"/>
      <c r="I330" s="64"/>
      <c r="J330" s="65"/>
    </row>
    <row r="331" spans="1:10" x14ac:dyDescent="0.15">
      <c r="A331" s="66"/>
      <c r="B331" s="63"/>
      <c r="C331" s="64"/>
      <c r="D331" s="64"/>
      <c r="E331" s="64"/>
      <c r="F331" s="64"/>
      <c r="G331" s="64"/>
      <c r="H331" s="64"/>
      <c r="I331" s="64"/>
      <c r="J331" s="65"/>
    </row>
    <row r="332" spans="1:10" x14ac:dyDescent="0.15">
      <c r="A332" s="66"/>
      <c r="B332" s="63"/>
      <c r="C332" s="64"/>
      <c r="D332" s="64"/>
      <c r="E332" s="64"/>
      <c r="F332" s="64"/>
      <c r="G332" s="64"/>
      <c r="H332" s="64"/>
      <c r="I332" s="64"/>
      <c r="J332" s="65"/>
    </row>
    <row r="333" spans="1:10" x14ac:dyDescent="0.15">
      <c r="A333" s="66"/>
      <c r="B333" s="63"/>
      <c r="C333" s="64"/>
      <c r="D333" s="64"/>
      <c r="E333" s="64"/>
      <c r="F333" s="64"/>
      <c r="G333" s="64"/>
      <c r="H333" s="64"/>
      <c r="I333" s="64"/>
      <c r="J333" s="65"/>
    </row>
    <row r="334" spans="1:10" x14ac:dyDescent="0.15">
      <c r="A334" s="66"/>
      <c r="B334" s="63"/>
      <c r="C334" s="64"/>
      <c r="D334" s="64"/>
      <c r="E334" s="64"/>
      <c r="F334" s="64"/>
      <c r="G334" s="64"/>
      <c r="H334" s="64"/>
      <c r="I334" s="64"/>
      <c r="J334" s="65"/>
    </row>
    <row r="335" spans="1:10" x14ac:dyDescent="0.15">
      <c r="A335" s="66"/>
      <c r="B335" s="63"/>
      <c r="C335" s="64"/>
      <c r="D335" s="64"/>
      <c r="E335" s="64"/>
      <c r="F335" s="64"/>
      <c r="G335" s="64"/>
      <c r="H335" s="64"/>
      <c r="I335" s="64"/>
      <c r="J335" s="65"/>
    </row>
    <row r="336" spans="1:10" x14ac:dyDescent="0.15">
      <c r="A336" s="66"/>
      <c r="B336" s="63"/>
      <c r="C336" s="64"/>
      <c r="D336" s="64"/>
      <c r="E336" s="64"/>
      <c r="F336" s="64"/>
      <c r="G336" s="64"/>
      <c r="H336" s="64"/>
      <c r="I336" s="64"/>
      <c r="J336" s="65"/>
    </row>
    <row r="337" spans="1:10" x14ac:dyDescent="0.15">
      <c r="A337" s="66"/>
      <c r="B337" s="63"/>
      <c r="C337" s="64"/>
      <c r="D337" s="64"/>
      <c r="E337" s="64"/>
      <c r="F337" s="64"/>
      <c r="G337" s="64"/>
      <c r="H337" s="64"/>
      <c r="I337" s="64"/>
      <c r="J337" s="65"/>
    </row>
    <row r="338" spans="1:10" x14ac:dyDescent="0.15">
      <c r="A338" s="66"/>
      <c r="B338" s="63"/>
      <c r="C338" s="64"/>
      <c r="D338" s="64"/>
      <c r="E338" s="64"/>
      <c r="F338" s="64"/>
      <c r="G338" s="64"/>
      <c r="H338" s="64"/>
      <c r="I338" s="64"/>
      <c r="J338" s="65"/>
    </row>
    <row r="339" spans="1:10" x14ac:dyDescent="0.15">
      <c r="A339" s="66"/>
      <c r="B339" s="63"/>
      <c r="C339" s="64"/>
      <c r="D339" s="64"/>
      <c r="E339" s="64"/>
      <c r="F339" s="64"/>
      <c r="G339" s="64"/>
      <c r="H339" s="64"/>
      <c r="I339" s="64"/>
      <c r="J339" s="65"/>
    </row>
    <row r="340" spans="1:10" x14ac:dyDescent="0.15">
      <c r="A340" s="66"/>
      <c r="B340" s="63"/>
      <c r="C340" s="64"/>
      <c r="D340" s="64"/>
      <c r="E340" s="64"/>
      <c r="F340" s="64"/>
      <c r="G340" s="64"/>
      <c r="H340" s="64"/>
      <c r="I340" s="64"/>
      <c r="J340" s="65"/>
    </row>
    <row r="341" spans="1:10" x14ac:dyDescent="0.15">
      <c r="A341" s="66"/>
      <c r="B341" s="63"/>
      <c r="C341" s="64"/>
      <c r="D341" s="64"/>
      <c r="E341" s="64"/>
      <c r="F341" s="64"/>
      <c r="G341" s="64"/>
      <c r="H341" s="64"/>
      <c r="I341" s="64"/>
      <c r="J341" s="65"/>
    </row>
    <row r="342" spans="1:10" x14ac:dyDescent="0.15">
      <c r="A342" s="66"/>
      <c r="B342" s="63"/>
      <c r="C342" s="64"/>
      <c r="D342" s="64"/>
      <c r="E342" s="64"/>
      <c r="F342" s="64"/>
      <c r="G342" s="64"/>
      <c r="H342" s="64"/>
      <c r="I342" s="64"/>
      <c r="J342" s="65"/>
    </row>
    <row r="343" spans="1:10" x14ac:dyDescent="0.15">
      <c r="A343" s="66"/>
      <c r="B343" s="63"/>
      <c r="C343" s="64"/>
      <c r="D343" s="64"/>
      <c r="E343" s="64"/>
      <c r="F343" s="64"/>
      <c r="G343" s="64"/>
      <c r="H343" s="64"/>
      <c r="I343" s="64"/>
      <c r="J343" s="65"/>
    </row>
    <row r="344" spans="1:10" x14ac:dyDescent="0.15">
      <c r="A344" s="66"/>
      <c r="B344" s="63"/>
      <c r="C344" s="64"/>
      <c r="D344" s="64"/>
      <c r="E344" s="64"/>
      <c r="F344" s="64"/>
      <c r="G344" s="64"/>
      <c r="H344" s="64"/>
      <c r="I344" s="64"/>
      <c r="J344" s="65"/>
    </row>
    <row r="345" spans="1:10" x14ac:dyDescent="0.15">
      <c r="A345" s="66"/>
      <c r="B345" s="63"/>
      <c r="C345" s="64"/>
      <c r="D345" s="64"/>
      <c r="E345" s="64"/>
      <c r="F345" s="64"/>
      <c r="G345" s="64"/>
      <c r="H345" s="64"/>
      <c r="I345" s="64"/>
      <c r="J345" s="65"/>
    </row>
    <row r="346" spans="1:10" x14ac:dyDescent="0.15">
      <c r="A346" s="66"/>
      <c r="B346" s="63"/>
      <c r="C346" s="64"/>
      <c r="D346" s="64"/>
      <c r="E346" s="64"/>
      <c r="F346" s="64"/>
      <c r="G346" s="64"/>
      <c r="H346" s="64"/>
      <c r="I346" s="64"/>
      <c r="J346" s="65"/>
    </row>
    <row r="347" spans="1:10" x14ac:dyDescent="0.15">
      <c r="A347" s="66"/>
      <c r="B347" s="63"/>
      <c r="C347" s="64"/>
      <c r="D347" s="64"/>
      <c r="E347" s="64"/>
      <c r="F347" s="64"/>
      <c r="G347" s="64"/>
      <c r="H347" s="64"/>
      <c r="I347" s="64"/>
      <c r="J347" s="65"/>
    </row>
    <row r="348" spans="1:10" x14ac:dyDescent="0.15">
      <c r="A348" s="66"/>
      <c r="B348" s="63"/>
      <c r="C348" s="64"/>
      <c r="D348" s="64"/>
      <c r="E348" s="64"/>
      <c r="F348" s="64"/>
      <c r="G348" s="64"/>
      <c r="H348" s="64"/>
      <c r="I348" s="64"/>
      <c r="J348" s="65"/>
    </row>
    <row r="349" spans="1:10" x14ac:dyDescent="0.15">
      <c r="A349" s="66"/>
      <c r="B349" s="63"/>
      <c r="C349" s="64"/>
      <c r="D349" s="64"/>
      <c r="E349" s="64"/>
      <c r="F349" s="64"/>
      <c r="G349" s="64"/>
      <c r="H349" s="64"/>
      <c r="I349" s="64"/>
      <c r="J349" s="65"/>
    </row>
    <row r="350" spans="1:10" x14ac:dyDescent="0.15">
      <c r="A350" s="66"/>
      <c r="B350" s="63"/>
      <c r="C350" s="64"/>
      <c r="D350" s="64"/>
      <c r="E350" s="64"/>
      <c r="F350" s="64"/>
      <c r="G350" s="64"/>
      <c r="H350" s="64"/>
      <c r="I350" s="64"/>
      <c r="J350" s="65"/>
    </row>
    <row r="351" spans="1:10" x14ac:dyDescent="0.15">
      <c r="A351" s="66"/>
      <c r="B351" s="63"/>
      <c r="C351" s="64"/>
      <c r="D351" s="64"/>
      <c r="E351" s="64"/>
      <c r="F351" s="64"/>
      <c r="G351" s="64"/>
      <c r="H351" s="64"/>
      <c r="I351" s="64"/>
      <c r="J351" s="65"/>
    </row>
    <row r="352" spans="1:10" x14ac:dyDescent="0.15">
      <c r="A352" s="66"/>
      <c r="B352" s="63"/>
      <c r="C352" s="64"/>
      <c r="D352" s="64"/>
      <c r="E352" s="64"/>
      <c r="F352" s="64"/>
      <c r="G352" s="64"/>
      <c r="H352" s="64"/>
      <c r="I352" s="64"/>
      <c r="J352" s="65"/>
    </row>
    <row r="353" spans="1:10" x14ac:dyDescent="0.15">
      <c r="A353" s="66"/>
      <c r="B353" s="63"/>
      <c r="C353" s="64"/>
      <c r="D353" s="64"/>
      <c r="E353" s="64"/>
      <c r="F353" s="64"/>
      <c r="G353" s="64"/>
      <c r="H353" s="64"/>
      <c r="I353" s="64"/>
      <c r="J353" s="65"/>
    </row>
    <row r="354" spans="1:10" x14ac:dyDescent="0.15">
      <c r="A354" s="66"/>
      <c r="B354" s="63"/>
      <c r="C354" s="64"/>
      <c r="D354" s="64"/>
      <c r="E354" s="64"/>
      <c r="F354" s="64"/>
      <c r="G354" s="64"/>
      <c r="H354" s="64"/>
      <c r="I354" s="64"/>
      <c r="J354" s="65"/>
    </row>
    <row r="355" spans="1:10" x14ac:dyDescent="0.15">
      <c r="A355" s="66"/>
      <c r="B355" s="63"/>
      <c r="C355" s="64"/>
      <c r="D355" s="64"/>
      <c r="E355" s="64"/>
      <c r="F355" s="64"/>
      <c r="G355" s="64"/>
      <c r="H355" s="64"/>
      <c r="I355" s="64"/>
      <c r="J355" s="65"/>
    </row>
    <row r="356" spans="1:10" x14ac:dyDescent="0.15">
      <c r="A356" s="66"/>
      <c r="B356" s="63"/>
      <c r="C356" s="64"/>
      <c r="D356" s="64"/>
      <c r="E356" s="64"/>
      <c r="F356" s="64"/>
      <c r="G356" s="64"/>
      <c r="H356" s="64"/>
      <c r="I356" s="64"/>
      <c r="J356" s="65"/>
    </row>
    <row r="357" spans="1:10" x14ac:dyDescent="0.15">
      <c r="A357" s="66"/>
      <c r="B357" s="63"/>
      <c r="C357" s="64"/>
      <c r="D357" s="64"/>
      <c r="E357" s="64"/>
      <c r="F357" s="64"/>
      <c r="G357" s="64"/>
      <c r="H357" s="64"/>
      <c r="I357" s="64"/>
      <c r="J357" s="65"/>
    </row>
    <row r="358" spans="1:10" x14ac:dyDescent="0.15">
      <c r="A358" s="66"/>
      <c r="B358" s="63"/>
      <c r="C358" s="64"/>
      <c r="D358" s="64"/>
      <c r="E358" s="64"/>
      <c r="F358" s="64"/>
      <c r="G358" s="64"/>
      <c r="H358" s="64"/>
      <c r="I358" s="64"/>
      <c r="J358" s="65"/>
    </row>
    <row r="359" spans="1:10" x14ac:dyDescent="0.15">
      <c r="A359" s="66"/>
      <c r="B359" s="63"/>
      <c r="C359" s="64"/>
      <c r="D359" s="64"/>
      <c r="E359" s="64"/>
      <c r="F359" s="64"/>
      <c r="G359" s="64"/>
      <c r="H359" s="64"/>
      <c r="I359" s="64"/>
      <c r="J359" s="65"/>
    </row>
    <row r="360" spans="1:10" x14ac:dyDescent="0.15">
      <c r="A360" s="66"/>
      <c r="B360" s="63"/>
      <c r="C360" s="64"/>
      <c r="D360" s="64"/>
      <c r="E360" s="64"/>
      <c r="F360" s="64"/>
      <c r="G360" s="64"/>
      <c r="H360" s="64"/>
      <c r="I360" s="64"/>
      <c r="J360" s="65"/>
    </row>
    <row r="361" spans="1:10" x14ac:dyDescent="0.15">
      <c r="A361" s="66"/>
      <c r="B361" s="63"/>
      <c r="C361" s="64"/>
      <c r="D361" s="64"/>
      <c r="E361" s="64"/>
      <c r="F361" s="64"/>
      <c r="G361" s="64"/>
      <c r="H361" s="64"/>
      <c r="I361" s="64"/>
      <c r="J361" s="65"/>
    </row>
    <row r="362" spans="1:10" x14ac:dyDescent="0.15">
      <c r="A362" s="66"/>
      <c r="B362" s="63"/>
      <c r="C362" s="64"/>
      <c r="D362" s="64"/>
      <c r="E362" s="64"/>
      <c r="F362" s="64"/>
      <c r="G362" s="64"/>
      <c r="H362" s="64"/>
      <c r="I362" s="64"/>
      <c r="J362" s="65"/>
    </row>
    <row r="363" spans="1:10" x14ac:dyDescent="0.15">
      <c r="A363" s="66"/>
      <c r="B363" s="63"/>
      <c r="C363" s="64"/>
      <c r="D363" s="64"/>
      <c r="E363" s="64"/>
      <c r="F363" s="64"/>
      <c r="G363" s="64"/>
      <c r="H363" s="64"/>
      <c r="I363" s="64"/>
      <c r="J363" s="65"/>
    </row>
    <row r="364" spans="1:10" x14ac:dyDescent="0.15">
      <c r="A364" s="66"/>
      <c r="B364" s="63"/>
      <c r="C364" s="64"/>
      <c r="D364" s="64"/>
      <c r="E364" s="64"/>
      <c r="F364" s="64"/>
      <c r="G364" s="64"/>
      <c r="H364" s="64"/>
      <c r="I364" s="64"/>
      <c r="J364" s="65"/>
    </row>
    <row r="365" spans="1:10" x14ac:dyDescent="0.15">
      <c r="A365" s="66"/>
      <c r="B365" s="63"/>
      <c r="C365" s="64"/>
      <c r="D365" s="64"/>
      <c r="E365" s="64"/>
      <c r="F365" s="64"/>
      <c r="G365" s="64"/>
      <c r="H365" s="64"/>
      <c r="I365" s="64"/>
      <c r="J365" s="65"/>
    </row>
    <row r="366" spans="1:10" x14ac:dyDescent="0.15">
      <c r="A366" s="66"/>
      <c r="B366" s="63"/>
      <c r="C366" s="64"/>
      <c r="D366" s="64"/>
      <c r="E366" s="64"/>
      <c r="F366" s="64"/>
      <c r="G366" s="64"/>
      <c r="H366" s="64"/>
      <c r="I366" s="64"/>
      <c r="J366" s="65"/>
    </row>
    <row r="367" spans="1:10" x14ac:dyDescent="0.15">
      <c r="A367" s="66"/>
      <c r="B367" s="63"/>
      <c r="C367" s="64"/>
      <c r="D367" s="64"/>
      <c r="E367" s="64"/>
      <c r="F367" s="64"/>
      <c r="G367" s="64"/>
      <c r="H367" s="64"/>
      <c r="I367" s="64"/>
      <c r="J367" s="65"/>
    </row>
    <row r="368" spans="1:10" x14ac:dyDescent="0.15">
      <c r="A368" s="66"/>
      <c r="B368" s="63"/>
      <c r="C368" s="64"/>
      <c r="D368" s="64"/>
      <c r="E368" s="64"/>
      <c r="F368" s="64"/>
      <c r="G368" s="64"/>
      <c r="H368" s="64"/>
      <c r="I368" s="64"/>
      <c r="J368" s="65"/>
    </row>
    <row r="369" spans="1:10" x14ac:dyDescent="0.15">
      <c r="A369" s="66"/>
      <c r="B369" s="63"/>
      <c r="C369" s="64"/>
      <c r="D369" s="64"/>
      <c r="E369" s="64"/>
      <c r="F369" s="64"/>
      <c r="G369" s="64"/>
      <c r="H369" s="64"/>
      <c r="I369" s="64"/>
      <c r="J369" s="65"/>
    </row>
    <row r="370" spans="1:10" x14ac:dyDescent="0.15">
      <c r="A370" s="66"/>
      <c r="B370" s="63"/>
      <c r="C370" s="64"/>
      <c r="D370" s="64"/>
      <c r="E370" s="64"/>
      <c r="F370" s="64"/>
      <c r="G370" s="64"/>
      <c r="H370" s="64"/>
      <c r="I370" s="64"/>
      <c r="J370" s="65"/>
    </row>
    <row r="371" spans="1:10" x14ac:dyDescent="0.15">
      <c r="A371" s="66"/>
      <c r="B371" s="63"/>
      <c r="C371" s="64"/>
      <c r="D371" s="64"/>
      <c r="E371" s="64"/>
      <c r="F371" s="64"/>
      <c r="G371" s="64"/>
      <c r="H371" s="64"/>
      <c r="I371" s="64"/>
      <c r="J371" s="65"/>
    </row>
    <row r="372" spans="1:10" x14ac:dyDescent="0.15">
      <c r="A372" s="66"/>
      <c r="B372" s="63"/>
      <c r="C372" s="64"/>
      <c r="D372" s="64"/>
      <c r="E372" s="64"/>
      <c r="F372" s="64"/>
      <c r="G372" s="64"/>
      <c r="H372" s="64"/>
      <c r="I372" s="64"/>
      <c r="J372" s="65"/>
    </row>
    <row r="373" spans="1:10" x14ac:dyDescent="0.15">
      <c r="A373" s="66"/>
      <c r="B373" s="63"/>
      <c r="C373" s="64"/>
      <c r="D373" s="64"/>
      <c r="E373" s="64"/>
      <c r="F373" s="64"/>
      <c r="G373" s="64"/>
      <c r="H373" s="64"/>
      <c r="I373" s="64"/>
      <c r="J373" s="65"/>
    </row>
    <row r="374" spans="1:10" x14ac:dyDescent="0.15">
      <c r="A374" s="66"/>
      <c r="B374" s="63"/>
      <c r="C374" s="64"/>
      <c r="D374" s="64"/>
      <c r="E374" s="64"/>
      <c r="F374" s="64"/>
      <c r="G374" s="64"/>
      <c r="H374" s="64"/>
      <c r="I374" s="64"/>
      <c r="J374" s="65"/>
    </row>
    <row r="375" spans="1:10" x14ac:dyDescent="0.15">
      <c r="A375" s="66"/>
      <c r="B375" s="63"/>
      <c r="C375" s="64"/>
      <c r="D375" s="64"/>
      <c r="E375" s="64"/>
      <c r="F375" s="64"/>
      <c r="G375" s="64"/>
      <c r="H375" s="64"/>
      <c r="I375" s="64"/>
      <c r="J375" s="65"/>
    </row>
    <row r="376" spans="1:10" x14ac:dyDescent="0.15">
      <c r="A376" s="66"/>
      <c r="B376" s="63"/>
      <c r="C376" s="64"/>
      <c r="D376" s="64"/>
      <c r="E376" s="64"/>
      <c r="F376" s="64"/>
      <c r="G376" s="64"/>
      <c r="H376" s="64"/>
      <c r="I376" s="64"/>
      <c r="J376" s="65"/>
    </row>
    <row r="377" spans="1:10" x14ac:dyDescent="0.15">
      <c r="A377" s="66"/>
      <c r="B377" s="63"/>
      <c r="C377" s="64"/>
      <c r="D377" s="64"/>
      <c r="E377" s="64"/>
      <c r="F377" s="64"/>
      <c r="G377" s="64"/>
      <c r="H377" s="64"/>
      <c r="I377" s="64"/>
      <c r="J377" s="65"/>
    </row>
    <row r="378" spans="1:10" x14ac:dyDescent="0.15">
      <c r="A378" s="66"/>
      <c r="B378" s="63"/>
      <c r="C378" s="64"/>
      <c r="D378" s="64"/>
      <c r="E378" s="64"/>
      <c r="F378" s="64"/>
      <c r="G378" s="64"/>
      <c r="H378" s="64"/>
      <c r="I378" s="64"/>
      <c r="J378" s="65"/>
    </row>
    <row r="379" spans="1:10" x14ac:dyDescent="0.15">
      <c r="A379" s="66"/>
      <c r="B379" s="63"/>
      <c r="C379" s="64"/>
      <c r="D379" s="64"/>
      <c r="E379" s="64"/>
      <c r="F379" s="64"/>
      <c r="G379" s="64"/>
      <c r="H379" s="64"/>
      <c r="I379" s="64"/>
      <c r="J379" s="65"/>
    </row>
    <row r="380" spans="1:10" x14ac:dyDescent="0.15">
      <c r="A380" s="66"/>
      <c r="B380" s="63"/>
      <c r="C380" s="64"/>
      <c r="D380" s="64"/>
      <c r="E380" s="64"/>
      <c r="F380" s="64"/>
      <c r="G380" s="64"/>
      <c r="H380" s="64"/>
      <c r="I380" s="64"/>
      <c r="J380" s="65"/>
    </row>
    <row r="381" spans="1:10" x14ac:dyDescent="0.15">
      <c r="A381" s="66"/>
      <c r="B381" s="63"/>
      <c r="C381" s="64"/>
      <c r="D381" s="64"/>
      <c r="E381" s="64"/>
      <c r="F381" s="64"/>
      <c r="G381" s="64"/>
      <c r="H381" s="64"/>
      <c r="I381" s="64"/>
      <c r="J381" s="65"/>
    </row>
    <row r="382" spans="1:10" x14ac:dyDescent="0.15">
      <c r="A382" s="66"/>
      <c r="B382" s="63"/>
      <c r="C382" s="64"/>
      <c r="D382" s="64"/>
      <c r="E382" s="64"/>
      <c r="F382" s="64"/>
      <c r="G382" s="64"/>
      <c r="H382" s="64"/>
      <c r="I382" s="64"/>
      <c r="J382" s="65"/>
    </row>
    <row r="383" spans="1:10" x14ac:dyDescent="0.15">
      <c r="A383" s="66"/>
      <c r="B383" s="63"/>
      <c r="C383" s="64"/>
      <c r="D383" s="64"/>
      <c r="E383" s="64"/>
      <c r="F383" s="64"/>
      <c r="G383" s="64"/>
      <c r="H383" s="64"/>
      <c r="I383" s="64"/>
      <c r="J383" s="65"/>
    </row>
    <row r="384" spans="1:10" x14ac:dyDescent="0.15">
      <c r="A384" s="66"/>
      <c r="B384" s="63"/>
      <c r="C384" s="64"/>
      <c r="D384" s="64"/>
      <c r="E384" s="64"/>
      <c r="F384" s="64"/>
      <c r="G384" s="64"/>
      <c r="H384" s="64"/>
      <c r="I384" s="64"/>
      <c r="J384" s="65"/>
    </row>
    <row r="385" spans="1:10" x14ac:dyDescent="0.15">
      <c r="A385" s="66"/>
      <c r="B385" s="63"/>
      <c r="C385" s="64"/>
      <c r="D385" s="64"/>
      <c r="E385" s="64"/>
      <c r="F385" s="64"/>
      <c r="G385" s="64"/>
      <c r="H385" s="64"/>
      <c r="I385" s="64"/>
      <c r="J385" s="65"/>
    </row>
    <row r="386" spans="1:10" x14ac:dyDescent="0.15">
      <c r="A386" s="66"/>
      <c r="B386" s="63"/>
      <c r="C386" s="64"/>
      <c r="D386" s="64"/>
      <c r="E386" s="64"/>
      <c r="F386" s="64"/>
      <c r="G386" s="64"/>
      <c r="H386" s="64"/>
      <c r="I386" s="64"/>
      <c r="J386" s="65"/>
    </row>
    <row r="387" spans="1:10" x14ac:dyDescent="0.15">
      <c r="A387" s="66"/>
      <c r="B387" s="63"/>
      <c r="C387" s="64"/>
      <c r="D387" s="64"/>
      <c r="E387" s="64"/>
      <c r="F387" s="64"/>
      <c r="G387" s="64"/>
      <c r="H387" s="64"/>
      <c r="I387" s="64"/>
      <c r="J387" s="65"/>
    </row>
    <row r="388" spans="1:10" x14ac:dyDescent="0.15">
      <c r="A388" s="66"/>
      <c r="B388" s="63"/>
      <c r="C388" s="64"/>
      <c r="D388" s="64"/>
      <c r="E388" s="64"/>
      <c r="F388" s="64"/>
      <c r="G388" s="64"/>
      <c r="H388" s="64"/>
      <c r="I388" s="64"/>
      <c r="J388" s="65"/>
    </row>
    <row r="389" spans="1:10" x14ac:dyDescent="0.15">
      <c r="A389" s="66"/>
      <c r="B389" s="63"/>
      <c r="C389" s="64"/>
      <c r="D389" s="64"/>
      <c r="E389" s="64"/>
      <c r="F389" s="64"/>
      <c r="G389" s="64"/>
      <c r="H389" s="64"/>
      <c r="I389" s="64"/>
      <c r="J389" s="65"/>
    </row>
    <row r="390" spans="1:10" x14ac:dyDescent="0.15">
      <c r="A390" s="66"/>
      <c r="B390" s="63"/>
      <c r="C390" s="64"/>
      <c r="D390" s="64"/>
      <c r="E390" s="64"/>
      <c r="F390" s="64"/>
      <c r="G390" s="64"/>
      <c r="H390" s="64"/>
      <c r="I390" s="64"/>
      <c r="J390" s="65"/>
    </row>
    <row r="391" spans="1:10" x14ac:dyDescent="0.15">
      <c r="A391" s="66"/>
      <c r="B391" s="63"/>
      <c r="C391" s="64"/>
      <c r="D391" s="64"/>
      <c r="E391" s="64"/>
      <c r="F391" s="64"/>
      <c r="G391" s="64"/>
      <c r="H391" s="64"/>
      <c r="I391" s="64"/>
      <c r="J391" s="65"/>
    </row>
    <row r="392" spans="1:10" x14ac:dyDescent="0.15">
      <c r="A392" s="66"/>
      <c r="B392" s="63"/>
      <c r="C392" s="64"/>
      <c r="D392" s="64"/>
      <c r="E392" s="64"/>
      <c r="F392" s="64"/>
      <c r="G392" s="64"/>
      <c r="H392" s="64"/>
      <c r="I392" s="64"/>
      <c r="J392" s="65"/>
    </row>
    <row r="393" spans="1:10" x14ac:dyDescent="0.15">
      <c r="A393" s="66"/>
      <c r="B393" s="63"/>
      <c r="C393" s="64"/>
      <c r="D393" s="64"/>
      <c r="E393" s="64"/>
      <c r="F393" s="64"/>
      <c r="G393" s="64"/>
      <c r="H393" s="64"/>
      <c r="I393" s="64"/>
      <c r="J393" s="65"/>
    </row>
    <row r="394" spans="1:10" x14ac:dyDescent="0.15">
      <c r="A394" s="66"/>
      <c r="B394" s="63"/>
      <c r="C394" s="64"/>
      <c r="D394" s="64"/>
      <c r="E394" s="64"/>
      <c r="F394" s="64"/>
      <c r="G394" s="64"/>
      <c r="H394" s="64"/>
      <c r="I394" s="64"/>
      <c r="J394" s="65"/>
    </row>
    <row r="395" spans="1:10" x14ac:dyDescent="0.15">
      <c r="A395" s="66"/>
      <c r="B395" s="63"/>
      <c r="C395" s="64"/>
      <c r="D395" s="64"/>
      <c r="E395" s="64"/>
      <c r="F395" s="64"/>
      <c r="G395" s="64"/>
      <c r="H395" s="64"/>
      <c r="I395" s="64"/>
      <c r="J395" s="65"/>
    </row>
    <row r="396" spans="1:10" x14ac:dyDescent="0.15">
      <c r="A396" s="66"/>
      <c r="B396" s="63"/>
      <c r="C396" s="64"/>
      <c r="D396" s="64"/>
      <c r="E396" s="64"/>
      <c r="F396" s="64"/>
      <c r="G396" s="64"/>
      <c r="H396" s="64"/>
      <c r="I396" s="64"/>
      <c r="J396" s="65"/>
    </row>
    <row r="397" spans="1:10" x14ac:dyDescent="0.15">
      <c r="A397" s="66"/>
      <c r="B397" s="63"/>
      <c r="C397" s="64"/>
      <c r="D397" s="64"/>
      <c r="E397" s="64"/>
      <c r="F397" s="64"/>
      <c r="G397" s="64"/>
      <c r="H397" s="64"/>
      <c r="I397" s="64"/>
      <c r="J397" s="65"/>
    </row>
    <row r="398" spans="1:10" x14ac:dyDescent="0.15">
      <c r="A398" s="66"/>
      <c r="B398" s="63"/>
      <c r="C398" s="64"/>
      <c r="D398" s="64"/>
      <c r="E398" s="64"/>
      <c r="F398" s="64"/>
      <c r="G398" s="64"/>
      <c r="H398" s="64"/>
      <c r="I398" s="64"/>
      <c r="J398" s="65"/>
    </row>
    <row r="399" spans="1:10" x14ac:dyDescent="0.15">
      <c r="A399" s="66"/>
      <c r="B399" s="63"/>
      <c r="C399" s="64"/>
      <c r="D399" s="64"/>
      <c r="E399" s="64"/>
      <c r="F399" s="64"/>
      <c r="G399" s="64"/>
      <c r="H399" s="64"/>
      <c r="I399" s="64"/>
      <c r="J399" s="65"/>
    </row>
    <row r="400" spans="1:10" x14ac:dyDescent="0.15">
      <c r="A400" s="66"/>
      <c r="B400" s="63"/>
      <c r="C400" s="64"/>
      <c r="D400" s="64"/>
      <c r="E400" s="64"/>
      <c r="F400" s="64"/>
      <c r="G400" s="64"/>
      <c r="H400" s="64"/>
      <c r="I400" s="64"/>
      <c r="J400" s="65"/>
    </row>
    <row r="401" spans="1:10" x14ac:dyDescent="0.15">
      <c r="A401" s="66"/>
      <c r="B401" s="63"/>
      <c r="C401" s="64"/>
      <c r="D401" s="64"/>
      <c r="E401" s="64"/>
      <c r="F401" s="64"/>
      <c r="G401" s="64"/>
      <c r="H401" s="64"/>
      <c r="I401" s="64"/>
      <c r="J401" s="65"/>
    </row>
    <row r="402" spans="1:10" x14ac:dyDescent="0.15">
      <c r="A402" s="66"/>
      <c r="B402" s="63"/>
      <c r="C402" s="64"/>
      <c r="D402" s="64"/>
      <c r="E402" s="64"/>
      <c r="F402" s="64"/>
      <c r="G402" s="64"/>
      <c r="H402" s="64"/>
      <c r="I402" s="64"/>
      <c r="J402" s="65"/>
    </row>
    <row r="403" spans="1:10" x14ac:dyDescent="0.15">
      <c r="A403" s="66"/>
      <c r="B403" s="63"/>
      <c r="C403" s="64"/>
      <c r="D403" s="64"/>
      <c r="E403" s="64"/>
      <c r="F403" s="64"/>
      <c r="G403" s="64"/>
      <c r="H403" s="64"/>
      <c r="I403" s="64"/>
      <c r="J403" s="65"/>
    </row>
    <row r="404" spans="1:10" x14ac:dyDescent="0.15">
      <c r="A404" s="66"/>
      <c r="B404" s="63"/>
      <c r="C404" s="64"/>
      <c r="D404" s="64"/>
      <c r="E404" s="64"/>
      <c r="F404" s="64"/>
      <c r="G404" s="64"/>
      <c r="H404" s="64"/>
      <c r="I404" s="64"/>
      <c r="J404" s="65"/>
    </row>
    <row r="405" spans="1:10" x14ac:dyDescent="0.15">
      <c r="A405" s="66"/>
      <c r="B405" s="63"/>
      <c r="C405" s="64"/>
      <c r="D405" s="64"/>
      <c r="E405" s="64"/>
      <c r="F405" s="64"/>
      <c r="G405" s="64"/>
      <c r="H405" s="64"/>
      <c r="I405" s="64"/>
      <c r="J405" s="65"/>
    </row>
    <row r="406" spans="1:10" x14ac:dyDescent="0.15">
      <c r="A406" s="66"/>
      <c r="B406" s="63"/>
      <c r="C406" s="64"/>
      <c r="D406" s="64"/>
      <c r="E406" s="64"/>
      <c r="F406" s="64"/>
      <c r="G406" s="64"/>
      <c r="H406" s="64"/>
      <c r="I406" s="64"/>
      <c r="J406" s="65"/>
    </row>
    <row r="407" spans="1:10" x14ac:dyDescent="0.15">
      <c r="A407" s="66"/>
      <c r="B407" s="63"/>
      <c r="C407" s="64"/>
      <c r="D407" s="64"/>
      <c r="E407" s="64"/>
      <c r="F407" s="64"/>
      <c r="G407" s="64"/>
      <c r="H407" s="64"/>
      <c r="I407" s="64"/>
      <c r="J407" s="65"/>
    </row>
    <row r="408" spans="1:10" x14ac:dyDescent="0.15">
      <c r="A408" s="66"/>
      <c r="B408" s="63"/>
      <c r="C408" s="64"/>
      <c r="D408" s="64"/>
      <c r="E408" s="64"/>
      <c r="F408" s="64"/>
      <c r="G408" s="64"/>
      <c r="H408" s="64"/>
      <c r="I408" s="64"/>
      <c r="J408" s="65"/>
    </row>
    <row r="409" spans="1:10" x14ac:dyDescent="0.15">
      <c r="A409" s="66"/>
      <c r="B409" s="63"/>
      <c r="C409" s="64"/>
      <c r="D409" s="64"/>
      <c r="E409" s="64"/>
      <c r="F409" s="64"/>
      <c r="G409" s="64"/>
      <c r="H409" s="64"/>
      <c r="I409" s="64"/>
      <c r="J409" s="65"/>
    </row>
    <row r="410" spans="1:10" x14ac:dyDescent="0.15">
      <c r="A410" s="66"/>
      <c r="B410" s="63"/>
      <c r="C410" s="64"/>
      <c r="D410" s="64"/>
      <c r="E410" s="64"/>
      <c r="F410" s="64"/>
      <c r="G410" s="64"/>
      <c r="H410" s="64"/>
      <c r="I410" s="64"/>
      <c r="J410" s="65"/>
    </row>
    <row r="411" spans="1:10" x14ac:dyDescent="0.15">
      <c r="A411" s="66"/>
      <c r="B411" s="63"/>
      <c r="C411" s="64"/>
      <c r="D411" s="64"/>
      <c r="E411" s="64"/>
      <c r="F411" s="64"/>
      <c r="G411" s="64"/>
      <c r="H411" s="64"/>
      <c r="I411" s="64"/>
      <c r="J411" s="65"/>
    </row>
    <row r="412" spans="1:10" x14ac:dyDescent="0.15">
      <c r="A412" s="66"/>
      <c r="B412" s="63"/>
      <c r="C412" s="64"/>
      <c r="D412" s="64"/>
      <c r="E412" s="64"/>
      <c r="F412" s="64"/>
      <c r="G412" s="64"/>
      <c r="H412" s="64"/>
      <c r="I412" s="64"/>
      <c r="J412" s="65"/>
    </row>
    <row r="413" spans="1:10" x14ac:dyDescent="0.15">
      <c r="A413" s="66"/>
      <c r="B413" s="63"/>
      <c r="C413" s="64"/>
      <c r="D413" s="64"/>
      <c r="E413" s="64"/>
      <c r="F413" s="64"/>
      <c r="G413" s="64"/>
      <c r="H413" s="64"/>
      <c r="I413" s="64"/>
      <c r="J413" s="65"/>
    </row>
    <row r="414" spans="1:10" x14ac:dyDescent="0.15">
      <c r="A414" s="66"/>
      <c r="B414" s="63"/>
      <c r="C414" s="64"/>
      <c r="D414" s="64"/>
      <c r="E414" s="64"/>
      <c r="F414" s="64"/>
      <c r="G414" s="64"/>
      <c r="H414" s="64"/>
      <c r="I414" s="64"/>
      <c r="J414" s="65"/>
    </row>
    <row r="415" spans="1:10" x14ac:dyDescent="0.15">
      <c r="A415" s="66"/>
      <c r="B415" s="63"/>
      <c r="C415" s="64"/>
      <c r="D415" s="64"/>
      <c r="E415" s="64"/>
      <c r="F415" s="64"/>
      <c r="G415" s="64"/>
      <c r="H415" s="64"/>
      <c r="I415" s="64"/>
      <c r="J415" s="65"/>
    </row>
    <row r="416" spans="1:10" x14ac:dyDescent="0.15">
      <c r="A416" s="66"/>
      <c r="B416" s="63"/>
      <c r="C416" s="64"/>
      <c r="D416" s="64"/>
      <c r="E416" s="64"/>
      <c r="F416" s="64"/>
      <c r="G416" s="64"/>
      <c r="H416" s="64"/>
      <c r="I416" s="64"/>
      <c r="J416" s="65"/>
    </row>
    <row r="417" spans="1:10" x14ac:dyDescent="0.15">
      <c r="A417" s="66"/>
      <c r="B417" s="63"/>
      <c r="C417" s="64"/>
      <c r="D417" s="64"/>
      <c r="E417" s="64"/>
      <c r="F417" s="64"/>
      <c r="G417" s="64"/>
      <c r="H417" s="64"/>
      <c r="I417" s="64"/>
      <c r="J417" s="65"/>
    </row>
    <row r="418" spans="1:10" x14ac:dyDescent="0.15">
      <c r="A418" s="66"/>
      <c r="B418" s="63"/>
      <c r="C418" s="64"/>
      <c r="D418" s="64"/>
      <c r="E418" s="64"/>
      <c r="F418" s="64"/>
      <c r="G418" s="64"/>
      <c r="H418" s="64"/>
      <c r="I418" s="64"/>
      <c r="J418" s="65"/>
    </row>
    <row r="419" spans="1:10" x14ac:dyDescent="0.15">
      <c r="A419" s="66"/>
      <c r="B419" s="63"/>
      <c r="C419" s="64"/>
      <c r="D419" s="64"/>
      <c r="E419" s="64"/>
      <c r="F419" s="64"/>
      <c r="G419" s="64"/>
      <c r="H419" s="64"/>
      <c r="I419" s="64"/>
      <c r="J419" s="65"/>
    </row>
    <row r="420" spans="1:10" x14ac:dyDescent="0.15">
      <c r="A420" s="66"/>
      <c r="B420" s="63"/>
      <c r="C420" s="64"/>
      <c r="D420" s="64"/>
      <c r="E420" s="64"/>
      <c r="F420" s="64"/>
      <c r="G420" s="64"/>
      <c r="H420" s="64"/>
      <c r="I420" s="64"/>
      <c r="J420" s="65"/>
    </row>
    <row r="421" spans="1:10" x14ac:dyDescent="0.15">
      <c r="A421" s="66"/>
      <c r="B421" s="63"/>
      <c r="C421" s="64"/>
      <c r="D421" s="64"/>
      <c r="E421" s="64"/>
      <c r="F421" s="64"/>
      <c r="G421" s="64"/>
      <c r="H421" s="64"/>
      <c r="I421" s="64"/>
      <c r="J421" s="65"/>
    </row>
    <row r="422" spans="1:10" x14ac:dyDescent="0.15">
      <c r="A422" s="66"/>
      <c r="B422" s="63"/>
      <c r="C422" s="64"/>
      <c r="D422" s="64"/>
      <c r="E422" s="64"/>
      <c r="F422" s="64"/>
      <c r="G422" s="64"/>
      <c r="H422" s="64"/>
      <c r="I422" s="64"/>
      <c r="J422" s="65"/>
    </row>
    <row r="423" spans="1:10" x14ac:dyDescent="0.15">
      <c r="A423" s="66"/>
      <c r="B423" s="63"/>
      <c r="C423" s="64"/>
      <c r="D423" s="64"/>
      <c r="E423" s="64"/>
      <c r="F423" s="64"/>
      <c r="G423" s="64"/>
      <c r="H423" s="64"/>
      <c r="I423" s="64"/>
      <c r="J423" s="65"/>
    </row>
    <row r="424" spans="1:10" x14ac:dyDescent="0.15">
      <c r="A424" s="66"/>
      <c r="B424" s="63"/>
      <c r="C424" s="64"/>
      <c r="D424" s="64"/>
      <c r="E424" s="64"/>
      <c r="F424" s="64"/>
      <c r="G424" s="64"/>
      <c r="H424" s="64"/>
      <c r="I424" s="64"/>
      <c r="J424" s="65"/>
    </row>
    <row r="425" spans="1:10" x14ac:dyDescent="0.15">
      <c r="A425" s="66"/>
      <c r="B425" s="63"/>
      <c r="C425" s="64"/>
      <c r="D425" s="64"/>
      <c r="E425" s="64"/>
      <c r="F425" s="64"/>
      <c r="G425" s="64"/>
      <c r="H425" s="64"/>
      <c r="I425" s="64"/>
      <c r="J425" s="65"/>
    </row>
    <row r="426" spans="1:10" x14ac:dyDescent="0.15">
      <c r="A426" s="66"/>
      <c r="B426" s="63"/>
      <c r="C426" s="64"/>
      <c r="D426" s="64"/>
      <c r="E426" s="64"/>
      <c r="F426" s="64"/>
      <c r="G426" s="64"/>
      <c r="H426" s="64"/>
      <c r="I426" s="64"/>
      <c r="J426" s="65"/>
    </row>
    <row r="427" spans="1:10" x14ac:dyDescent="0.15">
      <c r="A427" s="66"/>
      <c r="B427" s="63"/>
      <c r="C427" s="64"/>
      <c r="D427" s="64"/>
      <c r="E427" s="64"/>
      <c r="F427" s="64"/>
      <c r="G427" s="64"/>
      <c r="H427" s="64"/>
      <c r="I427" s="64"/>
      <c r="J427" s="65"/>
    </row>
    <row r="428" spans="1:10" x14ac:dyDescent="0.15">
      <c r="A428" s="66"/>
      <c r="B428" s="63"/>
      <c r="C428" s="64"/>
      <c r="D428" s="64"/>
      <c r="E428" s="64"/>
      <c r="F428" s="64"/>
      <c r="G428" s="64"/>
      <c r="H428" s="64"/>
      <c r="I428" s="64"/>
      <c r="J428" s="65"/>
    </row>
    <row r="429" spans="1:10" x14ac:dyDescent="0.15">
      <c r="A429" s="66"/>
      <c r="B429" s="63"/>
      <c r="C429" s="64"/>
      <c r="D429" s="64"/>
      <c r="E429" s="64"/>
      <c r="F429" s="64"/>
      <c r="G429" s="64"/>
      <c r="H429" s="64"/>
      <c r="I429" s="64"/>
      <c r="J429" s="65"/>
    </row>
    <row r="430" spans="1:10" x14ac:dyDescent="0.15">
      <c r="A430" s="66"/>
      <c r="B430" s="63"/>
      <c r="C430" s="64"/>
      <c r="D430" s="64"/>
      <c r="E430" s="64"/>
      <c r="F430" s="64"/>
      <c r="G430" s="64"/>
      <c r="H430" s="64"/>
      <c r="I430" s="64"/>
      <c r="J430" s="65"/>
    </row>
    <row r="431" spans="1:10" x14ac:dyDescent="0.15">
      <c r="A431" s="66"/>
      <c r="B431" s="63"/>
      <c r="C431" s="64"/>
      <c r="D431" s="64"/>
      <c r="E431" s="64"/>
      <c r="F431" s="64"/>
      <c r="G431" s="64"/>
      <c r="H431" s="64"/>
      <c r="I431" s="64"/>
      <c r="J431" s="65"/>
    </row>
    <row r="432" spans="1:10" x14ac:dyDescent="0.15">
      <c r="A432" s="66"/>
      <c r="B432" s="63"/>
      <c r="C432" s="64"/>
      <c r="D432" s="64"/>
      <c r="E432" s="64"/>
      <c r="F432" s="64"/>
      <c r="G432" s="64"/>
      <c r="H432" s="64"/>
      <c r="I432" s="64"/>
      <c r="J432" s="65"/>
    </row>
    <row r="433" spans="1:10" x14ac:dyDescent="0.15">
      <c r="A433" s="66"/>
      <c r="B433" s="63"/>
      <c r="C433" s="64"/>
      <c r="D433" s="64"/>
      <c r="E433" s="64"/>
      <c r="F433" s="64"/>
      <c r="G433" s="64"/>
      <c r="H433" s="64"/>
      <c r="I433" s="64"/>
      <c r="J433" s="65"/>
    </row>
    <row r="434" spans="1:10" x14ac:dyDescent="0.15">
      <c r="A434" s="66"/>
      <c r="B434" s="63"/>
      <c r="C434" s="64"/>
      <c r="D434" s="64"/>
      <c r="E434" s="64"/>
      <c r="F434" s="64"/>
      <c r="G434" s="64"/>
      <c r="H434" s="64"/>
      <c r="I434" s="64"/>
      <c r="J434" s="65"/>
    </row>
    <row r="435" spans="1:10" x14ac:dyDescent="0.15">
      <c r="A435" s="66"/>
      <c r="B435" s="63"/>
      <c r="C435" s="64"/>
      <c r="D435" s="64"/>
      <c r="E435" s="64"/>
      <c r="F435" s="64"/>
      <c r="G435" s="64"/>
      <c r="H435" s="64"/>
      <c r="I435" s="64"/>
      <c r="J435" s="65"/>
    </row>
    <row r="436" spans="1:10" x14ac:dyDescent="0.15">
      <c r="A436" s="66"/>
      <c r="B436" s="63"/>
      <c r="C436" s="64"/>
      <c r="D436" s="64"/>
      <c r="E436" s="64"/>
      <c r="F436" s="64"/>
      <c r="G436" s="64"/>
      <c r="H436" s="64"/>
      <c r="I436" s="64"/>
      <c r="J436" s="65"/>
    </row>
    <row r="437" spans="1:10" x14ac:dyDescent="0.15">
      <c r="A437" s="66"/>
      <c r="B437" s="63"/>
      <c r="C437" s="64"/>
      <c r="D437" s="64"/>
      <c r="E437" s="64"/>
      <c r="F437" s="64"/>
      <c r="G437" s="64"/>
      <c r="H437" s="64"/>
      <c r="I437" s="64"/>
      <c r="J437" s="65"/>
    </row>
    <row r="438" spans="1:10" x14ac:dyDescent="0.15">
      <c r="A438" s="66"/>
      <c r="B438" s="63"/>
      <c r="C438" s="64"/>
      <c r="D438" s="64"/>
      <c r="E438" s="64"/>
      <c r="F438" s="64"/>
      <c r="G438" s="64"/>
      <c r="H438" s="64"/>
      <c r="I438" s="64"/>
      <c r="J438" s="65"/>
    </row>
    <row r="439" spans="1:10" x14ac:dyDescent="0.15">
      <c r="A439" s="66"/>
      <c r="B439" s="63"/>
      <c r="C439" s="64"/>
      <c r="D439" s="64"/>
      <c r="E439" s="64"/>
      <c r="F439" s="64"/>
      <c r="G439" s="64"/>
      <c r="H439" s="64"/>
      <c r="I439" s="64"/>
      <c r="J439" s="65"/>
    </row>
    <row r="440" spans="1:10" x14ac:dyDescent="0.15">
      <c r="A440" s="66"/>
      <c r="B440" s="63"/>
      <c r="C440" s="64"/>
      <c r="D440" s="64"/>
      <c r="E440" s="64"/>
      <c r="F440" s="64"/>
      <c r="G440" s="64"/>
      <c r="H440" s="64"/>
      <c r="I440" s="64"/>
      <c r="J440" s="65"/>
    </row>
    <row r="441" spans="1:10" x14ac:dyDescent="0.15">
      <c r="A441" s="66"/>
      <c r="B441" s="63"/>
      <c r="C441" s="64"/>
      <c r="D441" s="64"/>
      <c r="E441" s="64"/>
      <c r="F441" s="64"/>
      <c r="G441" s="64"/>
      <c r="H441" s="64"/>
      <c r="I441" s="64"/>
      <c r="J441" s="65"/>
    </row>
    <row r="442" spans="1:10" x14ac:dyDescent="0.15">
      <c r="A442" s="66"/>
      <c r="B442" s="63"/>
      <c r="C442" s="64"/>
      <c r="D442" s="64"/>
      <c r="E442" s="64"/>
      <c r="F442" s="64"/>
      <c r="G442" s="64"/>
      <c r="H442" s="64"/>
      <c r="I442" s="64"/>
      <c r="J442" s="65"/>
    </row>
    <row r="443" spans="1:10" x14ac:dyDescent="0.15">
      <c r="A443" s="66"/>
      <c r="B443" s="63"/>
      <c r="C443" s="64"/>
      <c r="D443" s="64"/>
      <c r="E443" s="64"/>
      <c r="F443" s="64"/>
      <c r="G443" s="64"/>
      <c r="H443" s="64"/>
      <c r="I443" s="64"/>
      <c r="J443" s="65"/>
    </row>
    <row r="444" spans="1:10" x14ac:dyDescent="0.15">
      <c r="A444" s="66"/>
      <c r="B444" s="63"/>
      <c r="C444" s="64"/>
      <c r="D444" s="64"/>
      <c r="E444" s="64"/>
      <c r="F444" s="64"/>
      <c r="G444" s="64"/>
      <c r="H444" s="64"/>
      <c r="I444" s="64"/>
      <c r="J444" s="65"/>
    </row>
    <row r="445" spans="1:10" x14ac:dyDescent="0.15">
      <c r="A445" s="66"/>
      <c r="B445" s="63"/>
      <c r="C445" s="64"/>
      <c r="D445" s="64"/>
      <c r="E445" s="64"/>
      <c r="F445" s="64"/>
      <c r="G445" s="64"/>
      <c r="H445" s="64"/>
      <c r="I445" s="64"/>
      <c r="J445" s="65"/>
    </row>
    <row r="446" spans="1:10" x14ac:dyDescent="0.15">
      <c r="A446" s="66"/>
      <c r="B446" s="63"/>
      <c r="C446" s="64"/>
      <c r="D446" s="64"/>
      <c r="E446" s="64"/>
      <c r="F446" s="64"/>
      <c r="G446" s="64"/>
      <c r="H446" s="64"/>
      <c r="I446" s="64"/>
      <c r="J446" s="65"/>
    </row>
    <row r="447" spans="1:10" x14ac:dyDescent="0.15">
      <c r="A447" s="66"/>
      <c r="B447" s="63"/>
      <c r="C447" s="64"/>
      <c r="D447" s="64"/>
      <c r="E447" s="64"/>
      <c r="F447" s="64"/>
      <c r="G447" s="64"/>
      <c r="H447" s="64"/>
      <c r="I447" s="64"/>
      <c r="J447" s="65"/>
    </row>
    <row r="448" spans="1:10" x14ac:dyDescent="0.15">
      <c r="A448" s="66"/>
      <c r="B448" s="63"/>
      <c r="C448" s="64"/>
      <c r="D448" s="64"/>
      <c r="E448" s="64"/>
      <c r="F448" s="64"/>
      <c r="G448" s="64"/>
      <c r="H448" s="64"/>
      <c r="I448" s="64"/>
      <c r="J448" s="65"/>
    </row>
    <row r="449" spans="1:10" x14ac:dyDescent="0.15">
      <c r="A449" s="66"/>
      <c r="B449" s="63"/>
      <c r="C449" s="64"/>
      <c r="D449" s="64"/>
      <c r="E449" s="64"/>
      <c r="F449" s="64"/>
      <c r="G449" s="64"/>
      <c r="H449" s="64"/>
      <c r="I449" s="64"/>
      <c r="J449" s="65"/>
    </row>
    <row r="450" spans="1:10" x14ac:dyDescent="0.15">
      <c r="A450" s="66"/>
      <c r="B450" s="63"/>
      <c r="C450" s="64"/>
      <c r="D450" s="64"/>
      <c r="E450" s="64"/>
      <c r="F450" s="64"/>
      <c r="G450" s="64"/>
      <c r="H450" s="64"/>
      <c r="I450" s="64"/>
      <c r="J450" s="65"/>
    </row>
    <row r="451" spans="1:10" x14ac:dyDescent="0.15">
      <c r="A451" s="66"/>
      <c r="B451" s="63"/>
      <c r="C451" s="64"/>
      <c r="D451" s="64"/>
      <c r="E451" s="64"/>
      <c r="F451" s="64"/>
      <c r="G451" s="64"/>
      <c r="H451" s="64"/>
      <c r="I451" s="64"/>
      <c r="J451" s="65"/>
    </row>
    <row r="452" spans="1:10" x14ac:dyDescent="0.15">
      <c r="A452" s="66"/>
      <c r="B452" s="63"/>
      <c r="C452" s="64"/>
      <c r="D452" s="64"/>
      <c r="E452" s="64"/>
      <c r="F452" s="64"/>
      <c r="G452" s="64"/>
      <c r="H452" s="64"/>
      <c r="I452" s="64"/>
      <c r="J452" s="65"/>
    </row>
    <row r="453" spans="1:10" x14ac:dyDescent="0.15">
      <c r="A453" s="66"/>
      <c r="B453" s="63"/>
      <c r="C453" s="64"/>
      <c r="D453" s="64"/>
      <c r="E453" s="64"/>
      <c r="F453" s="64"/>
      <c r="G453" s="64"/>
      <c r="H453" s="64"/>
      <c r="I453" s="64"/>
      <c r="J453" s="65"/>
    </row>
    <row r="454" spans="1:10" x14ac:dyDescent="0.15">
      <c r="A454" s="66"/>
      <c r="B454" s="63"/>
      <c r="C454" s="64"/>
      <c r="D454" s="64"/>
      <c r="E454" s="64"/>
      <c r="F454" s="64"/>
      <c r="G454" s="64"/>
      <c r="H454" s="64"/>
      <c r="I454" s="64"/>
      <c r="J454" s="65"/>
    </row>
    <row r="455" spans="1:10" x14ac:dyDescent="0.15">
      <c r="A455" s="66"/>
      <c r="B455" s="63"/>
      <c r="C455" s="64"/>
      <c r="D455" s="64"/>
      <c r="E455" s="64"/>
      <c r="F455" s="64"/>
      <c r="G455" s="64"/>
      <c r="H455" s="64"/>
      <c r="I455" s="64"/>
      <c r="J455" s="65"/>
    </row>
    <row r="456" spans="1:10" x14ac:dyDescent="0.15">
      <c r="A456" s="66"/>
      <c r="B456" s="63"/>
      <c r="C456" s="64"/>
      <c r="D456" s="64"/>
      <c r="E456" s="64"/>
      <c r="F456" s="64"/>
      <c r="G456" s="64"/>
      <c r="H456" s="64"/>
      <c r="I456" s="64"/>
      <c r="J456" s="65"/>
    </row>
    <row r="457" spans="1:10" x14ac:dyDescent="0.15">
      <c r="A457" s="66"/>
      <c r="B457" s="63"/>
      <c r="C457" s="64"/>
      <c r="D457" s="64"/>
      <c r="E457" s="64"/>
      <c r="F457" s="64"/>
      <c r="G457" s="64"/>
      <c r="H457" s="64"/>
      <c r="I457" s="64"/>
      <c r="J457" s="65"/>
    </row>
    <row r="458" spans="1:10" x14ac:dyDescent="0.15">
      <c r="A458" s="66"/>
      <c r="B458" s="63"/>
      <c r="C458" s="64"/>
      <c r="D458" s="64"/>
      <c r="E458" s="64"/>
      <c r="F458" s="64"/>
      <c r="G458" s="64"/>
      <c r="H458" s="64"/>
      <c r="I458" s="64"/>
      <c r="J458" s="65"/>
    </row>
    <row r="459" spans="1:10" x14ac:dyDescent="0.15">
      <c r="A459" s="66"/>
      <c r="B459" s="63"/>
      <c r="C459" s="64"/>
      <c r="D459" s="64"/>
      <c r="E459" s="64"/>
      <c r="F459" s="64"/>
      <c r="G459" s="64"/>
      <c r="H459" s="64"/>
      <c r="I459" s="64"/>
      <c r="J459" s="65"/>
    </row>
    <row r="460" spans="1:10" x14ac:dyDescent="0.15">
      <c r="A460" s="66"/>
      <c r="B460" s="63"/>
      <c r="C460" s="64"/>
      <c r="D460" s="64"/>
      <c r="E460" s="64"/>
      <c r="F460" s="64"/>
      <c r="G460" s="64"/>
      <c r="H460" s="64"/>
      <c r="I460" s="64"/>
      <c r="J460" s="65"/>
    </row>
    <row r="461" spans="1:10" x14ac:dyDescent="0.15">
      <c r="A461" s="66"/>
      <c r="B461" s="63"/>
      <c r="C461" s="64"/>
      <c r="D461" s="64"/>
      <c r="E461" s="64"/>
      <c r="F461" s="64"/>
      <c r="G461" s="64"/>
      <c r="H461" s="64"/>
      <c r="I461" s="64"/>
      <c r="J461" s="65"/>
    </row>
    <row r="462" spans="1:10" x14ac:dyDescent="0.15">
      <c r="A462" s="66"/>
      <c r="B462" s="63"/>
      <c r="C462" s="64"/>
      <c r="D462" s="64"/>
      <c r="E462" s="64"/>
      <c r="F462" s="64"/>
      <c r="G462" s="64"/>
      <c r="H462" s="64"/>
      <c r="I462" s="64"/>
      <c r="J462" s="65"/>
    </row>
    <row r="463" spans="1:10" x14ac:dyDescent="0.15">
      <c r="A463" s="66"/>
      <c r="B463" s="63"/>
      <c r="C463" s="64"/>
      <c r="D463" s="64"/>
      <c r="E463" s="64"/>
      <c r="F463" s="64"/>
      <c r="G463" s="64"/>
      <c r="H463" s="64"/>
      <c r="I463" s="64"/>
      <c r="J463" s="65"/>
    </row>
    <row r="464" spans="1:10" x14ac:dyDescent="0.15">
      <c r="A464" s="66"/>
      <c r="B464" s="63"/>
      <c r="C464" s="64"/>
      <c r="D464" s="64"/>
      <c r="E464" s="64"/>
      <c r="F464" s="64"/>
      <c r="G464" s="64"/>
      <c r="H464" s="64"/>
      <c r="I464" s="64"/>
      <c r="J464" s="65"/>
    </row>
    <row r="465" spans="1:10" x14ac:dyDescent="0.15">
      <c r="A465" s="66"/>
      <c r="B465" s="63"/>
      <c r="C465" s="64"/>
      <c r="D465" s="64"/>
      <c r="E465" s="64"/>
      <c r="F465" s="64"/>
      <c r="G465" s="64"/>
      <c r="H465" s="64"/>
      <c r="I465" s="64"/>
      <c r="J465" s="65"/>
    </row>
    <row r="466" spans="1:10" x14ac:dyDescent="0.15">
      <c r="A466" s="66"/>
      <c r="B466" s="63"/>
      <c r="C466" s="64"/>
      <c r="D466" s="64"/>
      <c r="E466" s="64"/>
      <c r="F466" s="64"/>
      <c r="G466" s="64"/>
      <c r="H466" s="64"/>
      <c r="I466" s="64"/>
      <c r="J466" s="65"/>
    </row>
    <row r="467" spans="1:10" x14ac:dyDescent="0.15">
      <c r="A467" s="66"/>
      <c r="B467" s="63"/>
      <c r="C467" s="64"/>
      <c r="D467" s="64"/>
      <c r="E467" s="64"/>
      <c r="F467" s="64"/>
      <c r="G467" s="64"/>
      <c r="H467" s="64"/>
      <c r="I467" s="64"/>
      <c r="J467" s="65"/>
    </row>
    <row r="468" spans="1:10" x14ac:dyDescent="0.15">
      <c r="A468" s="66"/>
      <c r="B468" s="63"/>
      <c r="C468" s="64"/>
      <c r="D468" s="64"/>
      <c r="E468" s="64"/>
      <c r="F468" s="64"/>
      <c r="G468" s="64"/>
      <c r="H468" s="64"/>
      <c r="I468" s="64"/>
      <c r="J468" s="65"/>
    </row>
    <row r="469" spans="1:10" x14ac:dyDescent="0.15">
      <c r="A469" s="66"/>
      <c r="B469" s="63"/>
      <c r="C469" s="64"/>
      <c r="D469" s="64"/>
      <c r="E469" s="64"/>
      <c r="F469" s="64"/>
      <c r="G469" s="64"/>
      <c r="H469" s="64"/>
      <c r="I469" s="64"/>
      <c r="J469" s="65"/>
    </row>
    <row r="470" spans="1:10" x14ac:dyDescent="0.15">
      <c r="A470" s="66"/>
      <c r="B470" s="63"/>
      <c r="C470" s="64"/>
      <c r="D470" s="64"/>
      <c r="E470" s="64"/>
      <c r="F470" s="64"/>
      <c r="G470" s="64"/>
      <c r="H470" s="64"/>
      <c r="I470" s="64"/>
      <c r="J470" s="65"/>
    </row>
    <row r="471" spans="1:10" x14ac:dyDescent="0.15">
      <c r="A471" s="66"/>
      <c r="B471" s="63"/>
      <c r="C471" s="64"/>
      <c r="D471" s="64"/>
      <c r="E471" s="64"/>
      <c r="F471" s="64"/>
      <c r="G471" s="64"/>
      <c r="H471" s="64"/>
      <c r="I471" s="64"/>
      <c r="J471" s="65"/>
    </row>
    <row r="472" spans="1:10" x14ac:dyDescent="0.15">
      <c r="A472" s="66"/>
      <c r="B472" s="63"/>
      <c r="C472" s="64"/>
      <c r="D472" s="64"/>
      <c r="E472" s="64"/>
      <c r="F472" s="64"/>
      <c r="G472" s="64"/>
      <c r="H472" s="64"/>
      <c r="I472" s="64"/>
      <c r="J472" s="65"/>
    </row>
    <row r="473" spans="1:10" x14ac:dyDescent="0.15">
      <c r="A473" s="66"/>
      <c r="B473" s="63"/>
      <c r="C473" s="64"/>
      <c r="D473" s="64"/>
      <c r="E473" s="64"/>
      <c r="F473" s="64"/>
      <c r="G473" s="64"/>
      <c r="H473" s="64"/>
      <c r="I473" s="64"/>
      <c r="J473" s="65"/>
    </row>
    <row r="474" spans="1:10" x14ac:dyDescent="0.15">
      <c r="A474" s="66"/>
      <c r="B474" s="63"/>
      <c r="C474" s="64"/>
      <c r="D474" s="64"/>
      <c r="E474" s="64"/>
      <c r="F474" s="64"/>
      <c r="G474" s="64"/>
      <c r="H474" s="64"/>
      <c r="I474" s="64"/>
      <c r="J474" s="65"/>
    </row>
    <row r="475" spans="1:10" x14ac:dyDescent="0.15">
      <c r="A475" s="66"/>
      <c r="B475" s="63"/>
      <c r="C475" s="64"/>
      <c r="D475" s="64"/>
      <c r="E475" s="64"/>
      <c r="F475" s="64"/>
      <c r="G475" s="64"/>
      <c r="H475" s="64"/>
      <c r="I475" s="64"/>
      <c r="J475" s="65"/>
    </row>
    <row r="476" spans="1:10" x14ac:dyDescent="0.15">
      <c r="A476" s="66"/>
      <c r="B476" s="63"/>
      <c r="C476" s="64"/>
      <c r="D476" s="64"/>
      <c r="E476" s="64"/>
      <c r="F476" s="64"/>
      <c r="G476" s="64"/>
      <c r="H476" s="64"/>
      <c r="I476" s="64"/>
      <c r="J476" s="65"/>
    </row>
    <row r="477" spans="1:10" x14ac:dyDescent="0.15">
      <c r="A477" s="66"/>
      <c r="B477" s="63"/>
      <c r="C477" s="64"/>
      <c r="D477" s="64"/>
      <c r="E477" s="64"/>
      <c r="F477" s="64"/>
      <c r="G477" s="64"/>
      <c r="H477" s="64"/>
      <c r="I477" s="64"/>
      <c r="J477" s="65"/>
    </row>
    <row r="478" spans="1:10" x14ac:dyDescent="0.15">
      <c r="A478" s="66"/>
      <c r="B478" s="63"/>
      <c r="C478" s="64"/>
      <c r="D478" s="64"/>
      <c r="E478" s="64"/>
      <c r="F478" s="64"/>
      <c r="G478" s="64"/>
      <c r="H478" s="64"/>
      <c r="I478" s="64"/>
      <c r="J478" s="65"/>
    </row>
    <row r="479" spans="1:10" x14ac:dyDescent="0.15">
      <c r="A479" s="66"/>
      <c r="B479" s="63"/>
      <c r="C479" s="64"/>
      <c r="D479" s="64"/>
      <c r="E479" s="64"/>
      <c r="F479" s="64"/>
      <c r="G479" s="64"/>
      <c r="H479" s="64"/>
      <c r="I479" s="64"/>
      <c r="J479" s="65"/>
    </row>
    <row r="480" spans="1:10" x14ac:dyDescent="0.15">
      <c r="A480" s="66"/>
      <c r="B480" s="63"/>
      <c r="C480" s="64"/>
      <c r="D480" s="64"/>
      <c r="E480" s="64"/>
      <c r="F480" s="64"/>
      <c r="G480" s="64"/>
      <c r="H480" s="64"/>
      <c r="I480" s="64"/>
      <c r="J480" s="65"/>
    </row>
    <row r="481" spans="1:10" x14ac:dyDescent="0.15">
      <c r="A481" s="66"/>
      <c r="B481" s="63"/>
      <c r="C481" s="64"/>
      <c r="D481" s="64"/>
      <c r="E481" s="64"/>
      <c r="F481" s="64"/>
      <c r="G481" s="64"/>
      <c r="H481" s="64"/>
      <c r="I481" s="64"/>
      <c r="J481" s="65"/>
    </row>
    <row r="482" spans="1:10" x14ac:dyDescent="0.15">
      <c r="A482" s="66"/>
      <c r="B482" s="63"/>
      <c r="C482" s="64"/>
      <c r="D482" s="64"/>
      <c r="E482" s="64"/>
      <c r="F482" s="64"/>
      <c r="G482" s="64"/>
      <c r="H482" s="64"/>
      <c r="I482" s="64"/>
      <c r="J482" s="65"/>
    </row>
  </sheetData>
  <mergeCells count="4">
    <mergeCell ref="A5:A6"/>
    <mergeCell ref="B5:B6"/>
    <mergeCell ref="C5:E5"/>
    <mergeCell ref="F5:J5"/>
  </mergeCells>
  <phoneticPr fontId="15" type="noConversion"/>
  <pageMargins left="0.25" right="0.25" top="0.75" bottom="0.75" header="0.3" footer="0.3"/>
  <pageSetup paperSize="9" scale="9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157"/>
  <sheetViews>
    <sheetView zoomScale="85" zoomScaleNormal="85" workbookViewId="0">
      <pane ySplit="8" topLeftCell="A139" activePane="bottomLeft" state="frozen"/>
      <selection pane="bottomLeft" activeCell="H156" sqref="H156"/>
    </sheetView>
  </sheetViews>
  <sheetFormatPr defaultRowHeight="16.5" x14ac:dyDescent="0.15"/>
  <cols>
    <col min="1" max="1" width="8.88671875" style="13"/>
    <col min="2" max="4" width="9.21875" style="13" bestFit="1" customWidth="1"/>
    <col min="5" max="5" width="11.5546875" style="13" bestFit="1" customWidth="1"/>
    <col min="6" max="6" width="9.21875" style="13" customWidth="1"/>
    <col min="7" max="7" width="9.21875" style="13" bestFit="1" customWidth="1"/>
    <col min="8" max="9" width="9.21875" style="13" customWidth="1"/>
    <col min="10" max="16384" width="8.88671875" style="13"/>
  </cols>
  <sheetData>
    <row r="1" spans="1:9" ht="17.25" x14ac:dyDescent="0.15">
      <c r="A1" s="12" t="s">
        <v>58</v>
      </c>
    </row>
    <row r="3" spans="1:9" x14ac:dyDescent="0.15">
      <c r="A3" s="13" t="s">
        <v>149</v>
      </c>
    </row>
    <row r="5" spans="1:9" x14ac:dyDescent="0.15">
      <c r="A5" s="13" t="s">
        <v>150</v>
      </c>
    </row>
    <row r="6" spans="1:9" s="17" customFormat="1" x14ac:dyDescent="0.15">
      <c r="B6" s="18"/>
      <c r="C6" s="18"/>
      <c r="D6" s="18"/>
      <c r="E6" s="18"/>
      <c r="F6" s="18"/>
      <c r="G6" s="18"/>
      <c r="H6" s="18"/>
      <c r="I6" s="14" t="s">
        <v>59</v>
      </c>
    </row>
    <row r="7" spans="1:9" x14ac:dyDescent="0.15">
      <c r="A7" s="125" t="s">
        <v>72</v>
      </c>
      <c r="B7" s="126" t="s">
        <v>73</v>
      </c>
      <c r="C7" s="126" t="s">
        <v>74</v>
      </c>
      <c r="D7" s="126"/>
      <c r="E7" s="126"/>
      <c r="F7" s="126"/>
      <c r="G7" s="126"/>
      <c r="H7" s="126"/>
      <c r="I7" s="127"/>
    </row>
    <row r="8" spans="1:9" x14ac:dyDescent="0.15">
      <c r="A8" s="125"/>
      <c r="B8" s="126"/>
      <c r="C8" s="15" t="s">
        <v>75</v>
      </c>
      <c r="D8" s="15" t="s">
        <v>76</v>
      </c>
      <c r="E8" s="15" t="s">
        <v>77</v>
      </c>
      <c r="F8" s="15" t="s">
        <v>78</v>
      </c>
      <c r="G8" s="15" t="s">
        <v>79</v>
      </c>
      <c r="H8" s="15" t="s">
        <v>80</v>
      </c>
      <c r="I8" s="16" t="s">
        <v>81</v>
      </c>
    </row>
    <row r="9" spans="1:9" x14ac:dyDescent="0.15">
      <c r="A9" s="48" t="s">
        <v>8</v>
      </c>
      <c r="B9" s="67">
        <v>61935.91</v>
      </c>
      <c r="C9" s="50">
        <v>8553.33</v>
      </c>
      <c r="D9" s="50">
        <v>40.1</v>
      </c>
      <c r="E9" s="50">
        <v>43.15</v>
      </c>
      <c r="F9" s="50">
        <v>5045.8999999999996</v>
      </c>
      <c r="G9" s="50">
        <v>1273.0999999999999</v>
      </c>
      <c r="H9" s="50">
        <v>2115.35</v>
      </c>
      <c r="I9" s="51">
        <v>35.729999999999563</v>
      </c>
    </row>
    <row r="10" spans="1:9" x14ac:dyDescent="0.15">
      <c r="A10" s="52" t="s">
        <v>9</v>
      </c>
      <c r="B10" s="68">
        <v>66065.440000000002</v>
      </c>
      <c r="C10" s="54">
        <v>8390.2900000000009</v>
      </c>
      <c r="D10" s="54">
        <v>22</v>
      </c>
      <c r="E10" s="54">
        <v>41.94</v>
      </c>
      <c r="F10" s="54">
        <v>5415.05</v>
      </c>
      <c r="G10" s="54">
        <v>1444.06</v>
      </c>
      <c r="H10" s="54">
        <v>1434.03</v>
      </c>
      <c r="I10" s="55">
        <v>33.210000000000946</v>
      </c>
    </row>
    <row r="11" spans="1:9" x14ac:dyDescent="0.15">
      <c r="A11" s="52" t="s">
        <v>10</v>
      </c>
      <c r="B11" s="68">
        <v>65142.810000000005</v>
      </c>
      <c r="C11" s="54">
        <v>8511.83</v>
      </c>
      <c r="D11" s="54">
        <v>22.44</v>
      </c>
      <c r="E11" s="54">
        <v>40.64</v>
      </c>
      <c r="F11" s="54">
        <v>5637.96</v>
      </c>
      <c r="G11" s="54">
        <v>1359.98</v>
      </c>
      <c r="H11" s="54">
        <v>1408.47</v>
      </c>
      <c r="I11" s="55">
        <v>42.340000000000146</v>
      </c>
    </row>
    <row r="12" spans="1:9" x14ac:dyDescent="0.15">
      <c r="A12" s="52" t="s">
        <v>11</v>
      </c>
      <c r="B12" s="68">
        <v>65168.17</v>
      </c>
      <c r="C12" s="54">
        <v>8784.67</v>
      </c>
      <c r="D12" s="54">
        <v>16.96</v>
      </c>
      <c r="E12" s="54">
        <v>40.119999999999997</v>
      </c>
      <c r="F12" s="54">
        <v>5520.74</v>
      </c>
      <c r="G12" s="54">
        <v>1313.47</v>
      </c>
      <c r="H12" s="54">
        <v>1846.79</v>
      </c>
      <c r="I12" s="55">
        <v>46.590000000000146</v>
      </c>
    </row>
    <row r="13" spans="1:9" x14ac:dyDescent="0.15">
      <c r="A13" s="52" t="s">
        <v>12</v>
      </c>
      <c r="B13" s="68">
        <v>66909.88</v>
      </c>
      <c r="C13" s="54">
        <v>8767.99</v>
      </c>
      <c r="D13" s="54">
        <v>35.92</v>
      </c>
      <c r="E13" s="54">
        <v>45.29</v>
      </c>
      <c r="F13" s="54">
        <v>5586.56</v>
      </c>
      <c r="G13" s="54">
        <v>1302.69</v>
      </c>
      <c r="H13" s="54">
        <v>1754.04</v>
      </c>
      <c r="I13" s="55">
        <v>43.489999999999782</v>
      </c>
    </row>
    <row r="14" spans="1:9" x14ac:dyDescent="0.15">
      <c r="A14" s="52" t="s">
        <v>13</v>
      </c>
      <c r="B14" s="68">
        <v>66772.820000000007</v>
      </c>
      <c r="C14" s="54">
        <v>8515.25</v>
      </c>
      <c r="D14" s="54">
        <v>13.56</v>
      </c>
      <c r="E14" s="54">
        <v>43.31</v>
      </c>
      <c r="F14" s="54">
        <v>5717.74</v>
      </c>
      <c r="G14" s="54">
        <v>1297.08</v>
      </c>
      <c r="H14" s="54">
        <v>1370.54</v>
      </c>
      <c r="I14" s="55">
        <v>73.020000000000437</v>
      </c>
    </row>
    <row r="15" spans="1:9" x14ac:dyDescent="0.15">
      <c r="A15" s="52" t="s">
        <v>14</v>
      </c>
      <c r="B15" s="68">
        <v>66047.819999999992</v>
      </c>
      <c r="C15" s="54">
        <v>8029.47</v>
      </c>
      <c r="D15" s="54">
        <v>14.94</v>
      </c>
      <c r="E15" s="54">
        <v>45.87</v>
      </c>
      <c r="F15" s="54">
        <v>5464.48</v>
      </c>
      <c r="G15" s="54">
        <v>1323.21</v>
      </c>
      <c r="H15" s="54">
        <v>1129.23</v>
      </c>
      <c r="I15" s="55">
        <v>51.740000000000691</v>
      </c>
    </row>
    <row r="16" spans="1:9" x14ac:dyDescent="0.15">
      <c r="A16" s="52" t="s">
        <v>15</v>
      </c>
      <c r="B16" s="68">
        <v>67163.510000000009</v>
      </c>
      <c r="C16" s="54">
        <v>8495.2800000000007</v>
      </c>
      <c r="D16" s="54">
        <v>48.11</v>
      </c>
      <c r="E16" s="54">
        <v>46.39</v>
      </c>
      <c r="F16" s="54">
        <v>5731.17</v>
      </c>
      <c r="G16" s="54">
        <v>1343.78</v>
      </c>
      <c r="H16" s="54">
        <v>1282.8399999999999</v>
      </c>
      <c r="I16" s="55">
        <v>42.990000000001601</v>
      </c>
    </row>
    <row r="17" spans="1:9" x14ac:dyDescent="0.15">
      <c r="A17" s="52" t="s">
        <v>16</v>
      </c>
      <c r="B17" s="68">
        <v>66486.399999999994</v>
      </c>
      <c r="C17" s="54">
        <v>8840.33</v>
      </c>
      <c r="D17" s="54">
        <v>27.15</v>
      </c>
      <c r="E17" s="54">
        <v>49.39</v>
      </c>
      <c r="F17" s="54">
        <v>5901.46</v>
      </c>
      <c r="G17" s="54">
        <v>1382.83</v>
      </c>
      <c r="H17" s="54">
        <v>1432.16</v>
      </c>
      <c r="I17" s="55">
        <v>47.340000000000146</v>
      </c>
    </row>
    <row r="18" spans="1:9" x14ac:dyDescent="0.15">
      <c r="A18" s="52" t="s">
        <v>17</v>
      </c>
      <c r="B18" s="68">
        <v>65514.770000000004</v>
      </c>
      <c r="C18" s="54">
        <v>8607.4699999999993</v>
      </c>
      <c r="D18" s="54">
        <v>20.82</v>
      </c>
      <c r="E18" s="54">
        <v>45.92</v>
      </c>
      <c r="F18" s="54">
        <v>5534.76</v>
      </c>
      <c r="G18" s="54">
        <v>1448.6</v>
      </c>
      <c r="H18" s="54">
        <v>1505.38</v>
      </c>
      <c r="I18" s="55">
        <v>51.989999999999782</v>
      </c>
    </row>
    <row r="19" spans="1:9" x14ac:dyDescent="0.15">
      <c r="A19" s="52" t="s">
        <v>18</v>
      </c>
      <c r="B19" s="68">
        <v>68498.600000000006</v>
      </c>
      <c r="C19" s="54">
        <v>8994.5499999999993</v>
      </c>
      <c r="D19" s="54">
        <v>177.3</v>
      </c>
      <c r="E19" s="54">
        <v>51.72</v>
      </c>
      <c r="F19" s="54">
        <v>5428.1</v>
      </c>
      <c r="G19" s="54">
        <v>1488.96</v>
      </c>
      <c r="H19" s="54">
        <v>1816.29</v>
      </c>
      <c r="I19" s="55">
        <v>32.179999999998472</v>
      </c>
    </row>
    <row r="20" spans="1:9" x14ac:dyDescent="0.15">
      <c r="A20" s="52" t="s">
        <v>19</v>
      </c>
      <c r="B20" s="68">
        <v>64614.420000000006</v>
      </c>
      <c r="C20" s="54">
        <v>9317.94</v>
      </c>
      <c r="D20" s="54">
        <v>15.03</v>
      </c>
      <c r="E20" s="54">
        <v>46.8</v>
      </c>
      <c r="F20" s="54">
        <v>5853.21</v>
      </c>
      <c r="G20" s="54">
        <v>1416.23</v>
      </c>
      <c r="H20" s="54">
        <v>1980.83</v>
      </c>
      <c r="I20" s="55">
        <v>5.8400000000001455</v>
      </c>
    </row>
    <row r="21" spans="1:9" x14ac:dyDescent="0.15">
      <c r="A21" s="52" t="s">
        <v>20</v>
      </c>
      <c r="B21" s="68">
        <v>67881.53</v>
      </c>
      <c r="C21" s="54">
        <v>11006.14</v>
      </c>
      <c r="D21" s="54">
        <v>41.57</v>
      </c>
      <c r="E21" s="54">
        <v>48.29</v>
      </c>
      <c r="F21" s="54">
        <v>5910.04</v>
      </c>
      <c r="G21" s="54">
        <v>1392.42</v>
      </c>
      <c r="H21" s="54">
        <v>3569.7</v>
      </c>
      <c r="I21" s="55">
        <v>44.119999999998981</v>
      </c>
    </row>
    <row r="22" spans="1:9" x14ac:dyDescent="0.15">
      <c r="A22" s="52" t="s">
        <v>21</v>
      </c>
      <c r="B22" s="68">
        <v>71515.039999999994</v>
      </c>
      <c r="C22" s="54">
        <v>11778.98</v>
      </c>
      <c r="D22" s="54">
        <v>40.020000000000003</v>
      </c>
      <c r="E22" s="54">
        <v>47.83</v>
      </c>
      <c r="F22" s="54">
        <v>6284.41</v>
      </c>
      <c r="G22" s="54">
        <v>1426.31</v>
      </c>
      <c r="H22" s="54">
        <v>3939.45</v>
      </c>
      <c r="I22" s="55">
        <v>40.959999999999127</v>
      </c>
    </row>
    <row r="23" spans="1:9" x14ac:dyDescent="0.15">
      <c r="A23" s="52" t="s">
        <v>22</v>
      </c>
      <c r="B23" s="68">
        <v>71939.86</v>
      </c>
      <c r="C23" s="54">
        <v>12368.92</v>
      </c>
      <c r="D23" s="54">
        <v>25.35</v>
      </c>
      <c r="E23" s="54">
        <v>51.1</v>
      </c>
      <c r="F23" s="54">
        <v>7919.6</v>
      </c>
      <c r="G23" s="54">
        <v>1484.93</v>
      </c>
      <c r="H23" s="54">
        <v>2830.4</v>
      </c>
      <c r="I23" s="55">
        <v>57.540000000000873</v>
      </c>
    </row>
    <row r="24" spans="1:9" x14ac:dyDescent="0.15">
      <c r="A24" s="52" t="s">
        <v>23</v>
      </c>
      <c r="B24" s="68">
        <v>71703.070000000007</v>
      </c>
      <c r="C24" s="54">
        <v>12307.56</v>
      </c>
      <c r="D24" s="54">
        <v>38.75</v>
      </c>
      <c r="E24" s="54">
        <v>45.72</v>
      </c>
      <c r="F24" s="54">
        <v>7558</v>
      </c>
      <c r="G24" s="54">
        <v>1582.57</v>
      </c>
      <c r="H24" s="54">
        <v>3021.83</v>
      </c>
      <c r="I24" s="55">
        <v>60.68999999999869</v>
      </c>
    </row>
    <row r="25" spans="1:9" x14ac:dyDescent="0.15">
      <c r="A25" s="52" t="s">
        <v>24</v>
      </c>
      <c r="B25" s="68">
        <v>73142.429999999993</v>
      </c>
      <c r="C25" s="54">
        <v>12692.86</v>
      </c>
      <c r="D25" s="54">
        <v>38.299999999999997</v>
      </c>
      <c r="E25" s="54">
        <v>47.17</v>
      </c>
      <c r="F25" s="54">
        <v>7965.33</v>
      </c>
      <c r="G25" s="54">
        <v>1508.1</v>
      </c>
      <c r="H25" s="54">
        <v>3083.63</v>
      </c>
      <c r="I25" s="55">
        <v>50.330000000001746</v>
      </c>
    </row>
    <row r="26" spans="1:9" x14ac:dyDescent="0.15">
      <c r="A26" s="52" t="s">
        <v>25</v>
      </c>
      <c r="B26" s="68">
        <v>73353.59</v>
      </c>
      <c r="C26" s="54">
        <v>12636.04</v>
      </c>
      <c r="D26" s="54">
        <v>21</v>
      </c>
      <c r="E26" s="54">
        <v>46.19</v>
      </c>
      <c r="F26" s="54">
        <v>8714.35</v>
      </c>
      <c r="G26" s="54">
        <v>1348.81</v>
      </c>
      <c r="H26" s="54">
        <v>2430.58</v>
      </c>
      <c r="I26" s="55">
        <v>75.110000000000582</v>
      </c>
    </row>
    <row r="27" spans="1:9" x14ac:dyDescent="0.15">
      <c r="A27" s="52" t="s">
        <v>26</v>
      </c>
      <c r="B27" s="68">
        <v>75206.100000000006</v>
      </c>
      <c r="C27" s="54">
        <v>11578.53</v>
      </c>
      <c r="D27" s="54">
        <v>22.83</v>
      </c>
      <c r="E27" s="54">
        <v>54.12</v>
      </c>
      <c r="F27" s="54">
        <v>7957.55</v>
      </c>
      <c r="G27" s="54">
        <v>1328.06</v>
      </c>
      <c r="H27" s="54">
        <v>2147.64</v>
      </c>
      <c r="I27" s="55">
        <v>68.330000000001746</v>
      </c>
    </row>
    <row r="28" spans="1:9" x14ac:dyDescent="0.15">
      <c r="A28" s="52" t="s">
        <v>27</v>
      </c>
      <c r="B28" s="68">
        <v>77237.51999999999</v>
      </c>
      <c r="C28" s="54">
        <v>11500.57</v>
      </c>
      <c r="D28" s="54">
        <v>26.06</v>
      </c>
      <c r="E28" s="54">
        <v>52.33</v>
      </c>
      <c r="F28" s="54">
        <v>7253.77</v>
      </c>
      <c r="G28" s="54">
        <v>1376.48</v>
      </c>
      <c r="H28" s="54">
        <v>2738.96</v>
      </c>
      <c r="I28" s="55">
        <v>52.969999999997526</v>
      </c>
    </row>
    <row r="29" spans="1:9" x14ac:dyDescent="0.15">
      <c r="A29" s="52" t="s">
        <v>28</v>
      </c>
      <c r="B29" s="68">
        <v>79859.33</v>
      </c>
      <c r="C29" s="54">
        <v>11818.63</v>
      </c>
      <c r="D29" s="54">
        <v>29.65</v>
      </c>
      <c r="E29" s="54">
        <v>55.39</v>
      </c>
      <c r="F29" s="54">
        <v>8138.55</v>
      </c>
      <c r="G29" s="54">
        <v>1329.49</v>
      </c>
      <c r="H29" s="54">
        <v>2201.61</v>
      </c>
      <c r="I29" s="55">
        <v>63.93999999999869</v>
      </c>
    </row>
    <row r="30" spans="1:9" x14ac:dyDescent="0.15">
      <c r="A30" s="52" t="s">
        <v>29</v>
      </c>
      <c r="B30" s="68">
        <v>76437.97</v>
      </c>
      <c r="C30" s="54">
        <v>13174.56</v>
      </c>
      <c r="D30" s="54">
        <v>55.54</v>
      </c>
      <c r="E30" s="54">
        <v>52.03</v>
      </c>
      <c r="F30" s="54">
        <v>8678.32</v>
      </c>
      <c r="G30" s="54">
        <v>1290.5</v>
      </c>
      <c r="H30" s="54">
        <v>3030.01</v>
      </c>
      <c r="I30" s="55">
        <v>68.159999999999854</v>
      </c>
    </row>
    <row r="31" spans="1:9" x14ac:dyDescent="0.15">
      <c r="A31" s="52" t="s">
        <v>30</v>
      </c>
      <c r="B31" s="68">
        <v>74550.95</v>
      </c>
      <c r="C31" s="54">
        <v>14359.17</v>
      </c>
      <c r="D31" s="54">
        <v>34.380000000000003</v>
      </c>
      <c r="E31" s="54">
        <v>51.85</v>
      </c>
      <c r="F31" s="54">
        <v>9632.67</v>
      </c>
      <c r="G31" s="54">
        <v>1351.74</v>
      </c>
      <c r="H31" s="54">
        <v>3234.13</v>
      </c>
      <c r="I31" s="55">
        <v>54.399999999999636</v>
      </c>
    </row>
    <row r="32" spans="1:9" x14ac:dyDescent="0.15">
      <c r="A32" s="52" t="s">
        <v>31</v>
      </c>
      <c r="B32" s="68">
        <v>68136.709999999992</v>
      </c>
      <c r="C32" s="54">
        <v>11022.9</v>
      </c>
      <c r="D32" s="54">
        <v>28.52</v>
      </c>
      <c r="E32" s="54">
        <v>56.03</v>
      </c>
      <c r="F32" s="54">
        <v>7976.8</v>
      </c>
      <c r="G32" s="54">
        <v>1336.85</v>
      </c>
      <c r="H32" s="54">
        <v>1618.4</v>
      </c>
      <c r="I32" s="55">
        <v>6.2999999999992724</v>
      </c>
    </row>
    <row r="33" spans="1:9" x14ac:dyDescent="0.15">
      <c r="A33" s="52" t="s">
        <v>32</v>
      </c>
      <c r="B33" s="68">
        <v>72418.25</v>
      </c>
      <c r="C33" s="54">
        <v>13883.91</v>
      </c>
      <c r="D33" s="54">
        <v>31.31</v>
      </c>
      <c r="E33" s="54">
        <v>60.95</v>
      </c>
      <c r="F33" s="54">
        <v>8165.4</v>
      </c>
      <c r="G33" s="54">
        <v>1394.05</v>
      </c>
      <c r="H33" s="54">
        <v>4176.7700000000004</v>
      </c>
      <c r="I33" s="55">
        <v>55.430000000000291</v>
      </c>
    </row>
    <row r="34" spans="1:9" x14ac:dyDescent="0.15">
      <c r="A34" s="52" t="s">
        <v>33</v>
      </c>
      <c r="B34" s="68">
        <v>75686.64</v>
      </c>
      <c r="C34" s="54">
        <v>12367.39</v>
      </c>
      <c r="D34" s="54">
        <v>21.3</v>
      </c>
      <c r="E34" s="54">
        <v>59.71</v>
      </c>
      <c r="F34" s="54">
        <v>7809.05</v>
      </c>
      <c r="G34" s="54">
        <v>1387.5</v>
      </c>
      <c r="H34" s="54">
        <v>3030.12</v>
      </c>
      <c r="I34" s="55">
        <v>59.709999999999127</v>
      </c>
    </row>
    <row r="35" spans="1:9" x14ac:dyDescent="0.15">
      <c r="A35" s="52" t="s">
        <v>34</v>
      </c>
      <c r="B35" s="68">
        <v>75477.709999999992</v>
      </c>
      <c r="C35" s="54">
        <v>13165.86</v>
      </c>
      <c r="D35" s="54">
        <v>32.72</v>
      </c>
      <c r="E35" s="54">
        <v>57.04</v>
      </c>
      <c r="F35" s="54">
        <v>8842.73</v>
      </c>
      <c r="G35" s="54">
        <v>1396.93</v>
      </c>
      <c r="H35" s="54">
        <v>2752.04</v>
      </c>
      <c r="I35" s="55">
        <v>84.400000000001455</v>
      </c>
    </row>
    <row r="36" spans="1:9" x14ac:dyDescent="0.15">
      <c r="A36" s="52" t="s">
        <v>35</v>
      </c>
      <c r="B36" s="68">
        <v>75647.13</v>
      </c>
      <c r="C36" s="54">
        <v>11686.13</v>
      </c>
      <c r="D36" s="54">
        <v>44.32</v>
      </c>
      <c r="E36" s="54">
        <v>64.27</v>
      </c>
      <c r="F36" s="54">
        <v>8027.92</v>
      </c>
      <c r="G36" s="54">
        <v>1334.01</v>
      </c>
      <c r="H36" s="54">
        <v>2144.5300000000002</v>
      </c>
      <c r="I36" s="55">
        <v>71.079999999998108</v>
      </c>
    </row>
    <row r="37" spans="1:9" x14ac:dyDescent="0.15">
      <c r="A37" s="52" t="s">
        <v>36</v>
      </c>
      <c r="B37" s="68">
        <v>75267.23</v>
      </c>
      <c r="C37" s="54">
        <v>11830.83</v>
      </c>
      <c r="D37" s="54">
        <v>36.33</v>
      </c>
      <c r="E37" s="54">
        <v>55.22</v>
      </c>
      <c r="F37" s="54">
        <v>7787.36</v>
      </c>
      <c r="G37" s="54">
        <v>1397.45</v>
      </c>
      <c r="H37" s="54">
        <v>2496.0300000000002</v>
      </c>
      <c r="I37" s="55">
        <v>58.43999999999869</v>
      </c>
    </row>
    <row r="38" spans="1:9" x14ac:dyDescent="0.15">
      <c r="A38" s="52" t="s">
        <v>37</v>
      </c>
      <c r="B38" s="68">
        <v>74042.33</v>
      </c>
      <c r="C38" s="54">
        <v>12044.7</v>
      </c>
      <c r="D38" s="54">
        <v>24.97</v>
      </c>
      <c r="E38" s="54">
        <v>59.07</v>
      </c>
      <c r="F38" s="54">
        <v>8318.8700000000008</v>
      </c>
      <c r="G38" s="54">
        <v>1459.59</v>
      </c>
      <c r="H38" s="54">
        <v>2072.2600000000002</v>
      </c>
      <c r="I38" s="55">
        <v>109.93999999999869</v>
      </c>
    </row>
    <row r="39" spans="1:9" x14ac:dyDescent="0.15">
      <c r="A39" s="52" t="s">
        <v>38</v>
      </c>
      <c r="B39" s="68">
        <v>77276.13</v>
      </c>
      <c r="C39" s="54">
        <v>14592.27</v>
      </c>
      <c r="D39" s="54">
        <v>51.65</v>
      </c>
      <c r="E39" s="54">
        <v>61.75</v>
      </c>
      <c r="F39" s="54">
        <v>9605.65</v>
      </c>
      <c r="G39" s="54">
        <v>1456.09</v>
      </c>
      <c r="H39" s="54">
        <v>3346.05</v>
      </c>
      <c r="I39" s="55">
        <v>71.080000000001746</v>
      </c>
    </row>
    <row r="40" spans="1:9" x14ac:dyDescent="0.15">
      <c r="A40" s="52" t="s">
        <v>39</v>
      </c>
      <c r="B40" s="68">
        <v>78366.11</v>
      </c>
      <c r="C40" s="54">
        <v>13414.2</v>
      </c>
      <c r="D40" s="54">
        <v>31.12</v>
      </c>
      <c r="E40" s="54">
        <v>54.82</v>
      </c>
      <c r="F40" s="54">
        <v>8779.24</v>
      </c>
      <c r="G40" s="54">
        <v>1416.04</v>
      </c>
      <c r="H40" s="54">
        <v>3081.95</v>
      </c>
      <c r="I40" s="55">
        <v>51.029999999998836</v>
      </c>
    </row>
    <row r="41" spans="1:9" x14ac:dyDescent="0.15">
      <c r="A41" s="52" t="s">
        <v>40</v>
      </c>
      <c r="B41" s="68">
        <v>80276.38</v>
      </c>
      <c r="C41" s="54">
        <v>15203.27</v>
      </c>
      <c r="D41" s="54">
        <v>33.200000000000003</v>
      </c>
      <c r="E41" s="54">
        <v>56.86</v>
      </c>
      <c r="F41" s="54">
        <v>10074.9</v>
      </c>
      <c r="G41" s="54">
        <v>1384.03</v>
      </c>
      <c r="H41" s="54">
        <v>3598.79</v>
      </c>
      <c r="I41" s="55">
        <v>55.490000000001601</v>
      </c>
    </row>
    <row r="42" spans="1:9" x14ac:dyDescent="0.15">
      <c r="A42" s="52" t="s">
        <v>41</v>
      </c>
      <c r="B42" s="68">
        <v>82609.72</v>
      </c>
      <c r="C42" s="54">
        <v>15853.73</v>
      </c>
      <c r="D42" s="54">
        <v>36.64</v>
      </c>
      <c r="E42" s="54">
        <v>56.16</v>
      </c>
      <c r="F42" s="54">
        <v>10007.629999999999</v>
      </c>
      <c r="G42" s="54">
        <v>1284.9100000000001</v>
      </c>
      <c r="H42" s="54">
        <v>4417.26</v>
      </c>
      <c r="I42" s="55">
        <v>51.130000000001019</v>
      </c>
    </row>
    <row r="43" spans="1:9" x14ac:dyDescent="0.15">
      <c r="A43" s="52" t="s">
        <v>42</v>
      </c>
      <c r="B43" s="68">
        <v>82083.179999999993</v>
      </c>
      <c r="C43" s="54">
        <v>17290.07</v>
      </c>
      <c r="D43" s="54">
        <v>43.89</v>
      </c>
      <c r="E43" s="54">
        <v>59.75</v>
      </c>
      <c r="F43" s="54">
        <v>12206.13</v>
      </c>
      <c r="G43" s="54">
        <v>1275.42</v>
      </c>
      <c r="H43" s="54">
        <v>3669.06</v>
      </c>
      <c r="I43" s="55">
        <v>35.819999999999709</v>
      </c>
    </row>
    <row r="44" spans="1:9" x14ac:dyDescent="0.15">
      <c r="A44" s="52" t="s">
        <v>43</v>
      </c>
      <c r="B44" s="68">
        <v>72712.78</v>
      </c>
      <c r="C44" s="54">
        <v>17230.02</v>
      </c>
      <c r="D44" s="54">
        <v>53.61</v>
      </c>
      <c r="E44" s="54">
        <v>58.16</v>
      </c>
      <c r="F44" s="54">
        <v>11969.74</v>
      </c>
      <c r="G44" s="54">
        <v>1367.23</v>
      </c>
      <c r="H44" s="54">
        <v>3772.86</v>
      </c>
      <c r="I44" s="55">
        <v>8.4200000000018917</v>
      </c>
    </row>
    <row r="45" spans="1:9" x14ac:dyDescent="0.15">
      <c r="A45" s="52" t="s">
        <v>44</v>
      </c>
      <c r="B45" s="68">
        <v>75288.899999999994</v>
      </c>
      <c r="C45" s="54">
        <v>16203.3</v>
      </c>
      <c r="D45" s="54">
        <v>35.020000000000003</v>
      </c>
      <c r="E45" s="54">
        <v>60.81</v>
      </c>
      <c r="F45" s="54">
        <v>10914.99</v>
      </c>
      <c r="G45" s="54">
        <v>1341.4</v>
      </c>
      <c r="H45" s="54">
        <v>3793.2</v>
      </c>
      <c r="I45" s="55">
        <v>57.880000000001019</v>
      </c>
    </row>
    <row r="46" spans="1:9" x14ac:dyDescent="0.15">
      <c r="A46" s="52" t="s">
        <v>46</v>
      </c>
      <c r="B46" s="68">
        <v>79638.66</v>
      </c>
      <c r="C46" s="54">
        <v>16678.68</v>
      </c>
      <c r="D46" s="54">
        <v>90.54</v>
      </c>
      <c r="E46" s="54">
        <v>60.66</v>
      </c>
      <c r="F46" s="54">
        <v>9763.83</v>
      </c>
      <c r="G46" s="54">
        <v>1377.89</v>
      </c>
      <c r="H46" s="54">
        <v>5328.21</v>
      </c>
      <c r="I46" s="55">
        <v>57.549999999999272</v>
      </c>
    </row>
    <row r="47" spans="1:9" x14ac:dyDescent="0.15">
      <c r="A47" s="56" t="s">
        <v>71</v>
      </c>
      <c r="B47" s="35">
        <v>74803.69</v>
      </c>
      <c r="C47" s="40">
        <v>14583.51</v>
      </c>
      <c r="D47" s="40">
        <v>48.76</v>
      </c>
      <c r="E47" s="40">
        <v>73.14</v>
      </c>
      <c r="F47" s="40">
        <v>9434.91</v>
      </c>
      <c r="G47" s="40">
        <v>1362.01</v>
      </c>
      <c r="H47" s="40">
        <v>3587.25</v>
      </c>
      <c r="I47" s="41">
        <v>77.440000000000509</v>
      </c>
    </row>
    <row r="48" spans="1:9" x14ac:dyDescent="0.15">
      <c r="A48" s="56" t="s">
        <v>160</v>
      </c>
      <c r="B48" s="35">
        <v>79377.39</v>
      </c>
      <c r="C48" s="40">
        <v>18657.71</v>
      </c>
      <c r="D48" s="40">
        <v>46.33</v>
      </c>
      <c r="E48" s="40">
        <v>61.88</v>
      </c>
      <c r="F48" s="40">
        <v>11936.39</v>
      </c>
      <c r="G48" s="40">
        <v>1232.51</v>
      </c>
      <c r="H48" s="40">
        <v>5297.77</v>
      </c>
      <c r="I48" s="41">
        <v>82.830000000001746</v>
      </c>
    </row>
    <row r="49" spans="1:9" x14ac:dyDescent="0.15">
      <c r="A49" s="56" t="s">
        <v>161</v>
      </c>
      <c r="B49" s="35">
        <v>80776.160000000003</v>
      </c>
      <c r="C49" s="40">
        <v>18902.060000000001</v>
      </c>
      <c r="D49" s="40">
        <v>24.44</v>
      </c>
      <c r="E49" s="40">
        <v>60.24</v>
      </c>
      <c r="F49" s="40">
        <v>12867.69</v>
      </c>
      <c r="G49" s="40">
        <v>1240.03</v>
      </c>
      <c r="H49" s="40">
        <v>4638.45</v>
      </c>
      <c r="I49" s="41">
        <v>71.209999999999127</v>
      </c>
    </row>
    <row r="50" spans="1:9" x14ac:dyDescent="0.15">
      <c r="A50" s="56" t="s">
        <v>163</v>
      </c>
      <c r="B50" s="35">
        <v>77561</v>
      </c>
      <c r="C50" s="40">
        <v>14985.06</v>
      </c>
      <c r="D50" s="40">
        <v>36.409999999999997</v>
      </c>
      <c r="E50" s="40">
        <v>60.87</v>
      </c>
      <c r="F50" s="40">
        <v>10205.129999999999</v>
      </c>
      <c r="G50" s="40">
        <v>1279.99</v>
      </c>
      <c r="H50" s="40">
        <v>3323.48</v>
      </c>
      <c r="I50" s="41">
        <v>79.180000000000291</v>
      </c>
    </row>
    <row r="51" spans="1:9" x14ac:dyDescent="0.15">
      <c r="A51" s="56" t="s">
        <v>166</v>
      </c>
      <c r="B51" s="35">
        <v>75490.23</v>
      </c>
      <c r="C51" s="40">
        <v>14132.4</v>
      </c>
      <c r="D51" s="40">
        <v>38.380000000000003</v>
      </c>
      <c r="E51" s="40">
        <v>70.45</v>
      </c>
      <c r="F51" s="40">
        <v>10078.879999999999</v>
      </c>
      <c r="G51" s="40">
        <v>1307.3900000000001</v>
      </c>
      <c r="H51" s="40">
        <v>2575.0100000000002</v>
      </c>
      <c r="I51" s="41">
        <v>62.290000000000873</v>
      </c>
    </row>
    <row r="52" spans="1:9" x14ac:dyDescent="0.15">
      <c r="A52" s="56" t="s">
        <v>167</v>
      </c>
      <c r="B52" s="35">
        <v>80284.06</v>
      </c>
      <c r="C52" s="40">
        <v>17053.759999999998</v>
      </c>
      <c r="D52" s="40">
        <v>38.840000000000003</v>
      </c>
      <c r="E52" s="40">
        <v>63.28</v>
      </c>
      <c r="F52" s="40">
        <v>11589.57</v>
      </c>
      <c r="G52" s="40">
        <v>1198.03</v>
      </c>
      <c r="H52" s="40">
        <v>4104.4799999999996</v>
      </c>
      <c r="I52" s="41">
        <v>59.559999999997672</v>
      </c>
    </row>
    <row r="53" spans="1:9" x14ac:dyDescent="0.15">
      <c r="A53" s="56" t="s">
        <v>168</v>
      </c>
      <c r="B53" s="35">
        <v>79292.100000000006</v>
      </c>
      <c r="C53" s="40">
        <v>15563.95</v>
      </c>
      <c r="D53" s="40">
        <v>79.5</v>
      </c>
      <c r="E53" s="40">
        <v>66.61</v>
      </c>
      <c r="F53" s="40">
        <v>11113.86</v>
      </c>
      <c r="G53" s="40">
        <v>1289.58</v>
      </c>
      <c r="H53" s="40">
        <v>2957.24</v>
      </c>
      <c r="I53" s="41">
        <v>57.159999999999854</v>
      </c>
    </row>
    <row r="54" spans="1:9" x14ac:dyDescent="0.15">
      <c r="A54" s="56" t="s">
        <v>169</v>
      </c>
      <c r="B54" s="35">
        <v>83388.78</v>
      </c>
      <c r="C54" s="40">
        <v>18797.29</v>
      </c>
      <c r="D54" s="40">
        <v>48.71</v>
      </c>
      <c r="E54" s="40">
        <v>67.959999999999994</v>
      </c>
      <c r="F54" s="40">
        <v>11981.24</v>
      </c>
      <c r="G54" s="40">
        <v>1245.82</v>
      </c>
      <c r="H54" s="40">
        <v>5403.03</v>
      </c>
      <c r="I54" s="41">
        <v>50.530000000002474</v>
      </c>
    </row>
    <row r="55" spans="1:9" x14ac:dyDescent="0.15">
      <c r="A55" s="56" t="s">
        <v>170</v>
      </c>
      <c r="B55" s="35">
        <v>82537.399999999994</v>
      </c>
      <c r="C55" s="40">
        <v>17316.03</v>
      </c>
      <c r="D55" s="40">
        <v>46.02</v>
      </c>
      <c r="E55" s="40">
        <v>67.489999999999995</v>
      </c>
      <c r="F55" s="40">
        <v>10818.33</v>
      </c>
      <c r="G55" s="40">
        <v>1285.4100000000001</v>
      </c>
      <c r="H55" s="40">
        <v>5065.88</v>
      </c>
      <c r="I55" s="41">
        <v>32.899999999997817</v>
      </c>
    </row>
    <row r="56" spans="1:9" x14ac:dyDescent="0.15">
      <c r="A56" s="56" t="s">
        <v>171</v>
      </c>
      <c r="B56" s="35">
        <v>74854.559999999998</v>
      </c>
      <c r="C56" s="40">
        <v>18722.39</v>
      </c>
      <c r="D56" s="40">
        <v>46.48</v>
      </c>
      <c r="E56" s="40">
        <v>77.930000000000007</v>
      </c>
      <c r="F56" s="40">
        <v>12725.75</v>
      </c>
      <c r="G56" s="40">
        <v>1386.09</v>
      </c>
      <c r="H56" s="40">
        <v>4479.6099999999997</v>
      </c>
      <c r="I56" s="41">
        <v>6.5299999999988358</v>
      </c>
    </row>
    <row r="57" spans="1:9" x14ac:dyDescent="0.15">
      <c r="A57" s="56" t="s">
        <v>172</v>
      </c>
      <c r="B57" s="35">
        <v>76951.98</v>
      </c>
      <c r="C57" s="40">
        <v>15276.83</v>
      </c>
      <c r="D57" s="40">
        <v>29.47</v>
      </c>
      <c r="E57" s="40">
        <v>78.25</v>
      </c>
      <c r="F57" s="40">
        <v>9674.84</v>
      </c>
      <c r="G57" s="40">
        <v>1395.39</v>
      </c>
      <c r="H57" s="40">
        <v>4052.36</v>
      </c>
      <c r="I57" s="41">
        <v>46.520000000000437</v>
      </c>
    </row>
    <row r="58" spans="1:9" x14ac:dyDescent="0.15">
      <c r="A58" s="56" t="s">
        <v>173</v>
      </c>
      <c r="B58" s="35">
        <v>80940.570000000007</v>
      </c>
      <c r="C58" s="40">
        <v>14121.94</v>
      </c>
      <c r="D58" s="40">
        <v>47.27</v>
      </c>
      <c r="E58" s="40">
        <v>67.62</v>
      </c>
      <c r="F58" s="40">
        <v>8879.85</v>
      </c>
      <c r="G58" s="40">
        <v>1451.53</v>
      </c>
      <c r="H58" s="40">
        <v>3634.17</v>
      </c>
      <c r="I58" s="41">
        <v>41.5</v>
      </c>
    </row>
    <row r="59" spans="1:9" x14ac:dyDescent="0.15">
      <c r="A59" s="56" t="s">
        <v>174</v>
      </c>
      <c r="B59" s="35">
        <v>79126.11</v>
      </c>
      <c r="C59" s="40">
        <v>14687.67</v>
      </c>
      <c r="D59" s="40">
        <v>66.27</v>
      </c>
      <c r="E59" s="40">
        <v>61.53</v>
      </c>
      <c r="F59" s="40">
        <v>9414.8799999999992</v>
      </c>
      <c r="G59" s="40">
        <v>1601.39</v>
      </c>
      <c r="H59" s="40">
        <v>3484.39</v>
      </c>
      <c r="I59" s="41">
        <v>59.210000000002765</v>
      </c>
    </row>
    <row r="60" spans="1:9" x14ac:dyDescent="0.15">
      <c r="A60" s="56" t="s">
        <v>175</v>
      </c>
      <c r="B60" s="35">
        <v>83766.92</v>
      </c>
      <c r="C60" s="40">
        <v>14225.03</v>
      </c>
      <c r="D60" s="40">
        <v>68.290000000000006</v>
      </c>
      <c r="E60" s="40">
        <v>58.38</v>
      </c>
      <c r="F60" s="40">
        <v>9124.0499999999993</v>
      </c>
      <c r="G60" s="40">
        <v>1364.12</v>
      </c>
      <c r="H60" s="40">
        <v>3542.32</v>
      </c>
      <c r="I60" s="41">
        <v>67.8700000000008</v>
      </c>
    </row>
    <row r="61" spans="1:9" x14ac:dyDescent="0.15">
      <c r="A61" s="56" t="s">
        <v>176</v>
      </c>
      <c r="B61" s="35">
        <v>86119.13</v>
      </c>
      <c r="C61" s="40">
        <v>13968.59</v>
      </c>
      <c r="D61" s="40">
        <v>20.420000000000002</v>
      </c>
      <c r="E61" s="40">
        <v>57.57</v>
      </c>
      <c r="F61" s="40">
        <v>9203.65</v>
      </c>
      <c r="G61" s="40">
        <v>1368.15</v>
      </c>
      <c r="H61" s="40">
        <v>3260.97</v>
      </c>
      <c r="I61" s="41">
        <v>57.830000000001746</v>
      </c>
    </row>
    <row r="62" spans="1:9" x14ac:dyDescent="0.15">
      <c r="A62" s="56" t="s">
        <v>177</v>
      </c>
      <c r="B62" s="35">
        <v>86001.64</v>
      </c>
      <c r="C62" s="40">
        <v>15228.99</v>
      </c>
      <c r="D62" s="40">
        <v>102.22</v>
      </c>
      <c r="E62" s="40">
        <v>61.1</v>
      </c>
      <c r="F62" s="40">
        <v>10152.48</v>
      </c>
      <c r="G62" s="40">
        <v>1320.85</v>
      </c>
      <c r="H62" s="40">
        <v>3521.78</v>
      </c>
      <c r="I62" s="41">
        <v>70.559999999999491</v>
      </c>
    </row>
    <row r="63" spans="1:9" x14ac:dyDescent="0.15">
      <c r="A63" s="56" t="s">
        <v>178</v>
      </c>
      <c r="B63" s="35">
        <v>86494.7</v>
      </c>
      <c r="C63" s="40">
        <v>14243.79</v>
      </c>
      <c r="D63" s="40">
        <v>39.44</v>
      </c>
      <c r="E63" s="40">
        <v>56.52</v>
      </c>
      <c r="F63" s="40">
        <v>8868.83</v>
      </c>
      <c r="G63" s="40">
        <v>1464.02</v>
      </c>
      <c r="H63" s="40">
        <v>3745.36</v>
      </c>
      <c r="I63" s="41">
        <v>69.6200000000008</v>
      </c>
    </row>
    <row r="64" spans="1:9" x14ac:dyDescent="0.15">
      <c r="A64" s="56" t="s">
        <v>179</v>
      </c>
      <c r="B64" s="35">
        <v>89731.43</v>
      </c>
      <c r="C64" s="40">
        <v>13984.5</v>
      </c>
      <c r="D64" s="40">
        <v>28.59</v>
      </c>
      <c r="E64" s="40">
        <v>52.6</v>
      </c>
      <c r="F64" s="40">
        <v>8834.9599999999991</v>
      </c>
      <c r="G64" s="40">
        <v>1278.93</v>
      </c>
      <c r="H64" s="40">
        <v>3732.37</v>
      </c>
      <c r="I64" s="41">
        <v>57.049999999999272</v>
      </c>
    </row>
    <row r="65" spans="1:9" x14ac:dyDescent="0.15">
      <c r="A65" s="56" t="s">
        <v>180</v>
      </c>
      <c r="B65" s="35">
        <v>90547.31</v>
      </c>
      <c r="C65" s="40">
        <v>13757.54</v>
      </c>
      <c r="D65" s="40">
        <v>51.38</v>
      </c>
      <c r="E65" s="40">
        <v>56.9</v>
      </c>
      <c r="F65" s="40">
        <v>8721.59</v>
      </c>
      <c r="G65" s="40">
        <v>1350.7</v>
      </c>
      <c r="H65" s="40">
        <v>3514.45</v>
      </c>
      <c r="I65" s="41">
        <v>62.520000000000437</v>
      </c>
    </row>
    <row r="66" spans="1:9" x14ac:dyDescent="0.15">
      <c r="A66" s="56" t="s">
        <v>181</v>
      </c>
      <c r="B66" s="35">
        <v>90619.87</v>
      </c>
      <c r="C66" s="40">
        <v>13309.19</v>
      </c>
      <c r="D66" s="40">
        <v>34.76</v>
      </c>
      <c r="E66" s="40">
        <v>56.85</v>
      </c>
      <c r="F66" s="40">
        <v>8837.07</v>
      </c>
      <c r="G66" s="40">
        <v>1452.74</v>
      </c>
      <c r="H66" s="40">
        <v>2867.16</v>
      </c>
      <c r="I66" s="41">
        <v>60.610000000000582</v>
      </c>
    </row>
    <row r="67" spans="1:9" x14ac:dyDescent="0.15">
      <c r="A67" s="56" t="s">
        <v>182</v>
      </c>
      <c r="B67" s="35">
        <v>87254.91</v>
      </c>
      <c r="C67" s="40">
        <v>14694.29</v>
      </c>
      <c r="D67" s="40">
        <v>28.52</v>
      </c>
      <c r="E67" s="40">
        <v>52.31</v>
      </c>
      <c r="F67" s="40">
        <v>9475.68</v>
      </c>
      <c r="G67" s="40">
        <v>1485.33</v>
      </c>
      <c r="H67" s="40">
        <v>3610.08</v>
      </c>
      <c r="I67" s="41">
        <v>42.3700000000008</v>
      </c>
    </row>
    <row r="68" spans="1:9" x14ac:dyDescent="0.15">
      <c r="A68" s="56" t="s">
        <v>183</v>
      </c>
      <c r="B68" s="35">
        <v>78605.69</v>
      </c>
      <c r="C68" s="40">
        <v>16050.02</v>
      </c>
      <c r="D68" s="40">
        <v>18.43</v>
      </c>
      <c r="E68" s="40">
        <v>52.55</v>
      </c>
      <c r="F68" s="40">
        <v>10550.03</v>
      </c>
      <c r="G68" s="40">
        <v>2166.69</v>
      </c>
      <c r="H68" s="40">
        <v>3254.04</v>
      </c>
      <c r="I68" s="41">
        <v>8.2799999999988358</v>
      </c>
    </row>
    <row r="69" spans="1:9" x14ac:dyDescent="0.15">
      <c r="A69" s="56" t="s">
        <v>184</v>
      </c>
      <c r="B69" s="35">
        <v>83055.460000000006</v>
      </c>
      <c r="C69" s="40">
        <v>16809.43</v>
      </c>
      <c r="D69" s="40">
        <v>19.93</v>
      </c>
      <c r="E69" s="40">
        <v>49.47</v>
      </c>
      <c r="F69" s="40">
        <v>11148.43</v>
      </c>
      <c r="G69" s="40">
        <v>2003.39</v>
      </c>
      <c r="H69" s="40">
        <v>3539.34</v>
      </c>
      <c r="I69" s="41">
        <v>48.870000000002619</v>
      </c>
    </row>
    <row r="70" spans="1:9" x14ac:dyDescent="0.15">
      <c r="A70" s="56" t="s">
        <v>185</v>
      </c>
      <c r="B70" s="35">
        <v>90061.8</v>
      </c>
      <c r="C70" s="40">
        <v>15752.48</v>
      </c>
      <c r="D70" s="40">
        <v>21.71</v>
      </c>
      <c r="E70" s="40">
        <v>53.69</v>
      </c>
      <c r="F70" s="40">
        <v>9527.02</v>
      </c>
      <c r="G70" s="40">
        <v>1802.23</v>
      </c>
      <c r="H70" s="40">
        <v>4301.46</v>
      </c>
      <c r="I70" s="41">
        <v>46.369999999998981</v>
      </c>
    </row>
    <row r="71" spans="1:9" x14ac:dyDescent="0.15">
      <c r="A71" s="56" t="s">
        <v>186</v>
      </c>
      <c r="B71" s="35">
        <v>88934.399999999994</v>
      </c>
      <c r="C71" s="40">
        <v>15104.66</v>
      </c>
      <c r="D71" s="40">
        <v>54.81</v>
      </c>
      <c r="E71" s="40">
        <v>52.97</v>
      </c>
      <c r="F71" s="40">
        <v>9957.24</v>
      </c>
      <c r="G71" s="40">
        <v>1636.97</v>
      </c>
      <c r="H71" s="40">
        <v>3342.88</v>
      </c>
      <c r="I71" s="41">
        <v>59.790000000000873</v>
      </c>
    </row>
    <row r="72" spans="1:9" x14ac:dyDescent="0.15">
      <c r="A72" s="56" t="s">
        <v>187</v>
      </c>
      <c r="B72" s="35">
        <v>95511.679999999993</v>
      </c>
      <c r="C72" s="40">
        <v>16356.9</v>
      </c>
      <c r="D72" s="40">
        <v>29.95</v>
      </c>
      <c r="E72" s="40">
        <v>51.36</v>
      </c>
      <c r="F72" s="40">
        <v>10131.4</v>
      </c>
      <c r="G72" s="40">
        <v>1617.04</v>
      </c>
      <c r="H72" s="40">
        <v>4460.22</v>
      </c>
      <c r="I72" s="41">
        <v>66.929999999998472</v>
      </c>
    </row>
    <row r="73" spans="1:9" x14ac:dyDescent="0.15">
      <c r="A73" s="56" t="s">
        <v>188</v>
      </c>
      <c r="B73" s="35">
        <v>97588.38</v>
      </c>
      <c r="C73" s="40">
        <v>15834.2</v>
      </c>
      <c r="D73" s="40">
        <v>19.54</v>
      </c>
      <c r="E73" s="40">
        <v>50.44</v>
      </c>
      <c r="F73" s="40">
        <v>10636.88</v>
      </c>
      <c r="G73" s="40">
        <v>1545.34</v>
      </c>
      <c r="H73" s="40">
        <v>3518.24</v>
      </c>
      <c r="I73" s="41">
        <v>63.760000000002037</v>
      </c>
    </row>
    <row r="74" spans="1:9" x14ac:dyDescent="0.15">
      <c r="A74" s="56" t="s">
        <v>189</v>
      </c>
      <c r="B74" s="35">
        <v>95542.43</v>
      </c>
      <c r="C74" s="40">
        <v>15940.51</v>
      </c>
      <c r="D74" s="40">
        <v>61.19</v>
      </c>
      <c r="E74" s="40">
        <v>56.8</v>
      </c>
      <c r="F74" s="40">
        <v>10691.68</v>
      </c>
      <c r="G74" s="40">
        <v>1488.76</v>
      </c>
      <c r="H74" s="40">
        <v>3555.94</v>
      </c>
      <c r="I74" s="41">
        <v>86.139999999999418</v>
      </c>
    </row>
    <row r="75" spans="1:9" x14ac:dyDescent="0.15">
      <c r="A75" s="56" t="s">
        <v>190</v>
      </c>
      <c r="B75" s="35">
        <v>97398.25</v>
      </c>
      <c r="C75" s="40">
        <v>16128.89</v>
      </c>
      <c r="D75" s="40">
        <v>22.19</v>
      </c>
      <c r="E75" s="40">
        <v>72.55</v>
      </c>
      <c r="F75" s="40">
        <v>10411.280000000001</v>
      </c>
      <c r="G75" s="40">
        <v>1604.84</v>
      </c>
      <c r="H75" s="40">
        <v>3935.55</v>
      </c>
      <c r="I75" s="41">
        <v>82.479999999999563</v>
      </c>
    </row>
    <row r="76" spans="1:9" x14ac:dyDescent="0.15">
      <c r="A76" s="56" t="s">
        <v>191</v>
      </c>
      <c r="B76" s="35">
        <v>98193.46</v>
      </c>
      <c r="C76" s="40">
        <v>15495.74</v>
      </c>
      <c r="D76" s="40">
        <v>51.51</v>
      </c>
      <c r="E76" s="40">
        <v>71.41</v>
      </c>
      <c r="F76" s="40">
        <v>9969.7199999999993</v>
      </c>
      <c r="G76" s="40">
        <v>1698.92</v>
      </c>
      <c r="H76" s="40">
        <v>3636.01</v>
      </c>
      <c r="I76" s="41">
        <v>68.170000000000073</v>
      </c>
    </row>
    <row r="77" spans="1:9" x14ac:dyDescent="0.15">
      <c r="A77" s="56" t="s">
        <v>192</v>
      </c>
      <c r="B77" s="35">
        <v>98491.65</v>
      </c>
      <c r="C77" s="40">
        <v>16216.3</v>
      </c>
      <c r="D77" s="40">
        <v>29.94</v>
      </c>
      <c r="E77" s="40">
        <v>71.36</v>
      </c>
      <c r="F77" s="40">
        <v>10427.1</v>
      </c>
      <c r="G77" s="40">
        <v>1571.8</v>
      </c>
      <c r="H77" s="40">
        <v>4054.51</v>
      </c>
      <c r="I77" s="41">
        <v>61.590000000000146</v>
      </c>
    </row>
    <row r="78" spans="1:9" x14ac:dyDescent="0.15">
      <c r="A78" s="56" t="s">
        <v>193</v>
      </c>
      <c r="B78" s="35">
        <v>99802.880000000005</v>
      </c>
      <c r="C78" s="40">
        <v>17616.13</v>
      </c>
      <c r="D78" s="40">
        <v>37.25</v>
      </c>
      <c r="E78" s="40">
        <v>67.84</v>
      </c>
      <c r="F78" s="40">
        <v>10963.97</v>
      </c>
      <c r="G78" s="40">
        <v>1579.79</v>
      </c>
      <c r="H78" s="40">
        <v>4903.6499999999996</v>
      </c>
      <c r="I78" s="41">
        <v>63.630000000001019</v>
      </c>
    </row>
    <row r="79" spans="1:9" x14ac:dyDescent="0.15">
      <c r="A79" s="56" t="s">
        <v>194</v>
      </c>
      <c r="B79" s="35">
        <v>95856.42</v>
      </c>
      <c r="C79" s="40">
        <v>15217.88</v>
      </c>
      <c r="D79" s="40">
        <v>67.19</v>
      </c>
      <c r="E79" s="40">
        <v>72.599999999999994</v>
      </c>
      <c r="F79" s="40">
        <v>10747.64</v>
      </c>
      <c r="G79" s="40">
        <v>1646.54</v>
      </c>
      <c r="H79" s="40">
        <v>2634.73</v>
      </c>
      <c r="I79" s="41">
        <v>49.179999999998472</v>
      </c>
    </row>
    <row r="80" spans="1:9" x14ac:dyDescent="0.15">
      <c r="A80" s="56" t="s">
        <v>195</v>
      </c>
      <c r="B80" s="35">
        <v>86775.75</v>
      </c>
      <c r="C80" s="40">
        <v>17040.38</v>
      </c>
      <c r="D80" s="40">
        <v>37.159999999999997</v>
      </c>
      <c r="E80" s="40">
        <v>73.11</v>
      </c>
      <c r="F80" s="40">
        <v>11714.86</v>
      </c>
      <c r="G80" s="40">
        <v>1650.06</v>
      </c>
      <c r="H80" s="40">
        <v>3552.06</v>
      </c>
      <c r="I80" s="41">
        <v>13.130000000001019</v>
      </c>
    </row>
    <row r="81" spans="1:9" x14ac:dyDescent="0.15">
      <c r="A81" s="56" t="s">
        <v>199</v>
      </c>
      <c r="B81" s="35">
        <v>90390.3</v>
      </c>
      <c r="C81" s="40">
        <v>17310.580000000002</v>
      </c>
      <c r="D81" s="40">
        <v>31</v>
      </c>
      <c r="E81" s="40">
        <v>71.41</v>
      </c>
      <c r="F81" s="40">
        <v>10619.24</v>
      </c>
      <c r="G81" s="40">
        <v>1726.55</v>
      </c>
      <c r="H81" s="40">
        <v>4807.4399999999996</v>
      </c>
      <c r="I81" s="41">
        <v>54.940000000002328</v>
      </c>
    </row>
    <row r="82" spans="1:9" x14ac:dyDescent="0.15">
      <c r="A82" s="56" t="s">
        <v>203</v>
      </c>
      <c r="B82" s="35">
        <v>98998.17</v>
      </c>
      <c r="C82" s="40">
        <v>21055.4</v>
      </c>
      <c r="D82" s="40">
        <v>62.05</v>
      </c>
      <c r="E82" s="40">
        <v>75.86</v>
      </c>
      <c r="F82" s="40">
        <v>10915.2</v>
      </c>
      <c r="G82" s="40">
        <v>1660.62</v>
      </c>
      <c r="H82" s="40">
        <v>8284.59</v>
      </c>
      <c r="I82" s="41">
        <v>57.080000000001746</v>
      </c>
    </row>
    <row r="83" spans="1:9" x14ac:dyDescent="0.15">
      <c r="A83" s="66" t="s">
        <v>204</v>
      </c>
      <c r="B83" s="69">
        <v>92511.34</v>
      </c>
      <c r="C83" s="64">
        <v>23286.799999999999</v>
      </c>
      <c r="D83" s="64">
        <v>33.5</v>
      </c>
      <c r="E83" s="64">
        <v>75.31</v>
      </c>
      <c r="F83" s="64">
        <v>15630.51</v>
      </c>
      <c r="G83" s="64">
        <v>1657.23</v>
      </c>
      <c r="H83" s="64">
        <v>5802.78</v>
      </c>
      <c r="I83" s="65">
        <v>87.470000000001164</v>
      </c>
    </row>
    <row r="84" spans="1:9" x14ac:dyDescent="0.15">
      <c r="A84" s="66" t="s">
        <v>205</v>
      </c>
      <c r="B84" s="69">
        <v>91164.3</v>
      </c>
      <c r="C84" s="64">
        <v>23533.64</v>
      </c>
      <c r="D84" s="64">
        <v>47.89</v>
      </c>
      <c r="E84" s="64">
        <v>75.099999999999994</v>
      </c>
      <c r="F84" s="64">
        <v>13973.75</v>
      </c>
      <c r="G84" s="64">
        <v>1802.85</v>
      </c>
      <c r="H84" s="64">
        <v>7552.72</v>
      </c>
      <c r="I84" s="65">
        <v>81.329999999998108</v>
      </c>
    </row>
    <row r="85" spans="1:9" x14ac:dyDescent="0.15">
      <c r="A85" s="66" t="s">
        <v>206</v>
      </c>
      <c r="B85" s="69">
        <v>96121.35</v>
      </c>
      <c r="C85" s="64">
        <v>24711.34</v>
      </c>
      <c r="D85" s="64">
        <v>57.02</v>
      </c>
      <c r="E85" s="64">
        <v>84.45</v>
      </c>
      <c r="F85" s="64">
        <v>16764.87</v>
      </c>
      <c r="G85" s="64">
        <v>1629.35</v>
      </c>
      <c r="H85" s="64">
        <v>6099.82</v>
      </c>
      <c r="I85" s="65">
        <v>75.830000000001746</v>
      </c>
    </row>
    <row r="86" spans="1:9" x14ac:dyDescent="0.15">
      <c r="A86" s="66" t="s">
        <v>207</v>
      </c>
      <c r="B86" s="69">
        <v>95535.43</v>
      </c>
      <c r="C86" s="64">
        <v>26230.49</v>
      </c>
      <c r="D86" s="64">
        <v>39</v>
      </c>
      <c r="E86" s="64">
        <v>90.99</v>
      </c>
      <c r="F86" s="64">
        <v>14250.07</v>
      </c>
      <c r="G86" s="64">
        <v>1699.6</v>
      </c>
      <c r="H86" s="64">
        <v>10046.89</v>
      </c>
      <c r="I86" s="65">
        <v>103.94000000000233</v>
      </c>
    </row>
    <row r="87" spans="1:9" x14ac:dyDescent="0.15">
      <c r="A87" s="66" t="s">
        <v>208</v>
      </c>
      <c r="B87" s="69">
        <v>94225.03</v>
      </c>
      <c r="C87" s="64">
        <v>25818.35</v>
      </c>
      <c r="D87" s="64">
        <v>46.21</v>
      </c>
      <c r="E87" s="64">
        <v>93.67</v>
      </c>
      <c r="F87" s="64">
        <v>15680.26</v>
      </c>
      <c r="G87" s="64">
        <v>1734.98</v>
      </c>
      <c r="H87" s="64">
        <v>8171.79</v>
      </c>
      <c r="I87" s="65">
        <v>91.43999999999869</v>
      </c>
    </row>
    <row r="88" spans="1:9" x14ac:dyDescent="0.15">
      <c r="A88" s="66" t="s">
        <v>209</v>
      </c>
      <c r="B88" s="69">
        <v>96677.54</v>
      </c>
      <c r="C88" s="64">
        <v>29624.11</v>
      </c>
      <c r="D88" s="64">
        <v>29.1</v>
      </c>
      <c r="E88" s="64">
        <v>93.99</v>
      </c>
      <c r="F88" s="64">
        <v>18514.919999999998</v>
      </c>
      <c r="G88" s="64">
        <v>1798.02</v>
      </c>
      <c r="H88" s="64">
        <v>9108.0400000000009</v>
      </c>
      <c r="I88" s="65">
        <v>80.040000000000873</v>
      </c>
    </row>
    <row r="89" spans="1:9" x14ac:dyDescent="0.15">
      <c r="A89" s="66" t="s">
        <v>210</v>
      </c>
      <c r="B89" s="69">
        <v>93315</v>
      </c>
      <c r="C89" s="64">
        <v>27165</v>
      </c>
      <c r="D89" s="64">
        <v>69</v>
      </c>
      <c r="E89" s="64">
        <v>90</v>
      </c>
      <c r="F89" s="64">
        <v>17818</v>
      </c>
      <c r="G89" s="64">
        <v>1717</v>
      </c>
      <c r="H89" s="64">
        <v>7392</v>
      </c>
      <c r="I89" s="65">
        <v>80</v>
      </c>
    </row>
    <row r="90" spans="1:9" x14ac:dyDescent="0.15">
      <c r="A90" s="66" t="s">
        <v>211</v>
      </c>
      <c r="B90" s="69">
        <v>93932.76</v>
      </c>
      <c r="C90" s="64">
        <v>30032.1</v>
      </c>
      <c r="D90" s="64">
        <v>76.23</v>
      </c>
      <c r="E90" s="64">
        <v>93.2</v>
      </c>
      <c r="F90" s="64">
        <v>18224.03</v>
      </c>
      <c r="G90" s="64">
        <v>1744.3</v>
      </c>
      <c r="H90" s="64">
        <v>9820.48</v>
      </c>
      <c r="I90" s="65">
        <v>73.860000000000582</v>
      </c>
    </row>
    <row r="91" spans="1:9" x14ac:dyDescent="0.15">
      <c r="A91" s="66" t="s">
        <v>212</v>
      </c>
      <c r="B91" s="69">
        <v>94422.64</v>
      </c>
      <c r="C91" s="64">
        <v>32267.71</v>
      </c>
      <c r="D91" s="64">
        <v>62.24</v>
      </c>
      <c r="E91" s="64">
        <v>90.57</v>
      </c>
      <c r="F91" s="64">
        <v>18390.21</v>
      </c>
      <c r="G91" s="64">
        <v>1721.97</v>
      </c>
      <c r="H91" s="64">
        <v>11945.49</v>
      </c>
      <c r="I91" s="65">
        <v>57.229999999995925</v>
      </c>
    </row>
    <row r="92" spans="1:9" x14ac:dyDescent="0.15">
      <c r="A92" s="66" t="s">
        <v>213</v>
      </c>
      <c r="B92" s="69">
        <v>88458.94</v>
      </c>
      <c r="C92" s="64">
        <v>31473.84</v>
      </c>
      <c r="D92" s="64">
        <v>47.91</v>
      </c>
      <c r="E92" s="64">
        <v>86.11</v>
      </c>
      <c r="F92" s="64">
        <v>20381.47</v>
      </c>
      <c r="G92" s="64">
        <v>1727</v>
      </c>
      <c r="H92" s="64">
        <v>9220.65</v>
      </c>
      <c r="I92" s="65">
        <v>10.700000000000728</v>
      </c>
    </row>
    <row r="93" spans="1:9" x14ac:dyDescent="0.15">
      <c r="A93" s="66" t="s">
        <v>214</v>
      </c>
      <c r="B93" s="69">
        <v>95284.02</v>
      </c>
      <c r="C93" s="64">
        <v>35893.15</v>
      </c>
      <c r="D93" s="64">
        <v>52.43</v>
      </c>
      <c r="E93" s="64">
        <v>90.49</v>
      </c>
      <c r="F93" s="64">
        <v>23195.7</v>
      </c>
      <c r="G93" s="64">
        <v>1732.73</v>
      </c>
      <c r="H93" s="64">
        <v>10768.86</v>
      </c>
      <c r="I93" s="65">
        <v>52.940000000002328</v>
      </c>
    </row>
    <row r="94" spans="1:9" x14ac:dyDescent="0.15">
      <c r="A94" s="66" t="s">
        <v>215</v>
      </c>
      <c r="B94" s="69">
        <v>100940.95</v>
      </c>
      <c r="C94" s="64">
        <v>40927.03</v>
      </c>
      <c r="D94" s="64">
        <v>82.77</v>
      </c>
      <c r="E94" s="64">
        <v>100.88</v>
      </c>
      <c r="F94" s="64">
        <v>24552.68</v>
      </c>
      <c r="G94" s="64">
        <v>1745.4</v>
      </c>
      <c r="H94" s="64">
        <v>14390.6</v>
      </c>
      <c r="I94" s="65">
        <v>54.69999999999709</v>
      </c>
    </row>
    <row r="95" spans="1:9" x14ac:dyDescent="0.15">
      <c r="A95" s="66" t="s">
        <v>216</v>
      </c>
      <c r="B95" s="69">
        <v>92650.43</v>
      </c>
      <c r="C95" s="64">
        <v>31804.02</v>
      </c>
      <c r="D95" s="64">
        <v>28.86</v>
      </c>
      <c r="E95" s="64">
        <v>104.61</v>
      </c>
      <c r="F95" s="64">
        <v>21932.5</v>
      </c>
      <c r="G95" s="64">
        <v>1729.45</v>
      </c>
      <c r="H95" s="64">
        <v>7932.24</v>
      </c>
      <c r="I95" s="65">
        <v>76.359999999996944</v>
      </c>
    </row>
    <row r="96" spans="1:9" x14ac:dyDescent="0.15">
      <c r="A96" s="66" t="s">
        <v>217</v>
      </c>
      <c r="B96" s="69">
        <v>94214.42</v>
      </c>
      <c r="C96" s="64">
        <v>33850.43</v>
      </c>
      <c r="D96" s="64">
        <v>35.79</v>
      </c>
      <c r="E96" s="64">
        <v>111.31</v>
      </c>
      <c r="F96" s="64">
        <v>21432.02</v>
      </c>
      <c r="G96" s="64">
        <v>1633.47</v>
      </c>
      <c r="H96" s="64">
        <v>10561.21</v>
      </c>
      <c r="I96" s="65">
        <v>76.629999999997381</v>
      </c>
    </row>
    <row r="97" spans="1:9" x14ac:dyDescent="0.15">
      <c r="A97" s="66" t="s">
        <v>218</v>
      </c>
      <c r="B97" s="69">
        <v>102750.89</v>
      </c>
      <c r="C97" s="64">
        <v>39692.69</v>
      </c>
      <c r="D97" s="64">
        <v>30.62</v>
      </c>
      <c r="E97" s="64">
        <v>110.28</v>
      </c>
      <c r="F97" s="64">
        <v>25171.15</v>
      </c>
      <c r="G97" s="64">
        <v>1621.32</v>
      </c>
      <c r="H97" s="64">
        <v>12686.6</v>
      </c>
      <c r="I97" s="65">
        <v>72.720000000001164</v>
      </c>
    </row>
    <row r="98" spans="1:9" x14ac:dyDescent="0.15">
      <c r="A98" s="66" t="s">
        <v>219</v>
      </c>
      <c r="B98" s="69">
        <v>100471.21</v>
      </c>
      <c r="C98" s="64">
        <v>34520.14</v>
      </c>
      <c r="D98" s="64">
        <v>25.86</v>
      </c>
      <c r="E98" s="64">
        <v>109.82</v>
      </c>
      <c r="F98" s="64">
        <v>19316.509999999998</v>
      </c>
      <c r="G98" s="64">
        <v>1557.92</v>
      </c>
      <c r="H98" s="64">
        <v>13397.75</v>
      </c>
      <c r="I98" s="65">
        <v>112.27999999999884</v>
      </c>
    </row>
    <row r="99" spans="1:9" x14ac:dyDescent="0.15">
      <c r="A99" s="66" t="s">
        <v>220</v>
      </c>
      <c r="B99" s="69">
        <v>99545.91</v>
      </c>
      <c r="C99" s="64">
        <v>32876.870000000003</v>
      </c>
      <c r="D99" s="64">
        <v>46.09</v>
      </c>
      <c r="E99" s="64">
        <v>106.02</v>
      </c>
      <c r="F99" s="64">
        <v>19024.810000000001</v>
      </c>
      <c r="G99" s="64">
        <v>1630.48</v>
      </c>
      <c r="H99" s="64">
        <v>11976.82</v>
      </c>
      <c r="I99" s="65">
        <v>92.650000000001455</v>
      </c>
    </row>
    <row r="100" spans="1:9" x14ac:dyDescent="0.15">
      <c r="A100" s="66" t="s">
        <v>222</v>
      </c>
      <c r="B100" s="69">
        <v>106142.7</v>
      </c>
      <c r="C100" s="64">
        <v>38456.550000000003</v>
      </c>
      <c r="D100" s="64">
        <v>27.14</v>
      </c>
      <c r="E100" s="64">
        <v>99.39</v>
      </c>
      <c r="F100" s="64">
        <v>21703.5</v>
      </c>
      <c r="G100" s="64">
        <v>1586.02</v>
      </c>
      <c r="H100" s="64">
        <v>14971.18</v>
      </c>
      <c r="I100" s="65">
        <v>69.320000000006985</v>
      </c>
    </row>
    <row r="101" spans="1:9" x14ac:dyDescent="0.15">
      <c r="A101" s="66" t="s">
        <v>223</v>
      </c>
      <c r="B101" s="69">
        <v>104307.01</v>
      </c>
      <c r="C101" s="64">
        <v>29208.31</v>
      </c>
      <c r="D101" s="64">
        <v>42.53</v>
      </c>
      <c r="E101" s="64">
        <v>94.24</v>
      </c>
      <c r="F101" s="64">
        <v>17956.060000000001</v>
      </c>
      <c r="G101" s="64">
        <v>1622.43</v>
      </c>
      <c r="H101" s="64">
        <v>9406.34</v>
      </c>
      <c r="I101" s="65">
        <v>86.709999999999127</v>
      </c>
    </row>
    <row r="102" spans="1:9" x14ac:dyDescent="0.15">
      <c r="A102" s="66" t="s">
        <v>224</v>
      </c>
      <c r="B102" s="70">
        <v>105872.38</v>
      </c>
      <c r="C102" s="64">
        <v>28777.53</v>
      </c>
      <c r="D102" s="64">
        <v>47.29</v>
      </c>
      <c r="E102" s="64">
        <v>97.71</v>
      </c>
      <c r="F102" s="64">
        <v>15585.43</v>
      </c>
      <c r="G102" s="64">
        <v>1726.25</v>
      </c>
      <c r="H102" s="64">
        <v>11252.61</v>
      </c>
      <c r="I102" s="65">
        <v>68.239999999998005</v>
      </c>
    </row>
    <row r="103" spans="1:9" x14ac:dyDescent="0.15">
      <c r="A103" s="66" t="s">
        <v>225</v>
      </c>
      <c r="B103" s="70">
        <v>106758.3</v>
      </c>
      <c r="C103" s="64">
        <v>26994.89</v>
      </c>
      <c r="D103" s="64">
        <v>27.91</v>
      </c>
      <c r="E103" s="64">
        <v>96.61</v>
      </c>
      <c r="F103" s="64">
        <v>15140.83</v>
      </c>
      <c r="G103" s="64">
        <v>1904.36</v>
      </c>
      <c r="H103" s="64">
        <v>9780.16</v>
      </c>
      <c r="I103" s="65">
        <v>45.020000000000437</v>
      </c>
    </row>
    <row r="104" spans="1:9" x14ac:dyDescent="0.15">
      <c r="A104" s="66" t="s">
        <v>227</v>
      </c>
      <c r="B104" s="70">
        <v>94955.05</v>
      </c>
      <c r="C104" s="64">
        <v>26494.31</v>
      </c>
      <c r="D104" s="64">
        <v>29.59</v>
      </c>
      <c r="E104" s="64">
        <v>94.15</v>
      </c>
      <c r="F104" s="64">
        <v>16101.29</v>
      </c>
      <c r="G104" s="64">
        <v>1713.18</v>
      </c>
      <c r="H104" s="64">
        <v>8543.2199999999993</v>
      </c>
      <c r="I104" s="65">
        <v>12.880000000001019</v>
      </c>
    </row>
    <row r="105" spans="1:9" x14ac:dyDescent="0.15">
      <c r="A105" s="66" t="s">
        <v>228</v>
      </c>
      <c r="B105" s="70">
        <v>97297.35</v>
      </c>
      <c r="C105" s="64">
        <v>27280.21</v>
      </c>
      <c r="D105" s="64">
        <v>50.62</v>
      </c>
      <c r="E105" s="64">
        <v>99.81</v>
      </c>
      <c r="F105" s="64">
        <v>15499.05</v>
      </c>
      <c r="G105" s="64">
        <v>1654.26</v>
      </c>
      <c r="H105" s="64">
        <v>9911.2199999999993</v>
      </c>
      <c r="I105" s="65">
        <v>65.25</v>
      </c>
    </row>
    <row r="106" spans="1:9" x14ac:dyDescent="0.15">
      <c r="A106" s="66" t="s">
        <v>230</v>
      </c>
      <c r="B106" s="70">
        <v>108609.37</v>
      </c>
      <c r="C106" s="64">
        <v>37697.370000000003</v>
      </c>
      <c r="D106" s="64">
        <v>53.8</v>
      </c>
      <c r="E106" s="64">
        <v>96.54</v>
      </c>
      <c r="F106" s="64">
        <v>21474.240000000002</v>
      </c>
      <c r="G106" s="64">
        <v>1642</v>
      </c>
      <c r="H106" s="64">
        <v>14369.83</v>
      </c>
      <c r="I106" s="65">
        <v>60.959999999999127</v>
      </c>
    </row>
    <row r="107" spans="1:9" x14ac:dyDescent="0.15">
      <c r="A107" s="66" t="s">
        <v>231</v>
      </c>
      <c r="B107" s="70">
        <v>98844.6</v>
      </c>
      <c r="C107" s="64">
        <v>25507.25</v>
      </c>
      <c r="D107" s="64">
        <v>47.64</v>
      </c>
      <c r="E107" s="64">
        <v>103.63</v>
      </c>
      <c r="F107" s="64">
        <v>15255.39</v>
      </c>
      <c r="G107" s="64">
        <v>1604.44</v>
      </c>
      <c r="H107" s="64">
        <v>8412.42</v>
      </c>
      <c r="I107" s="65">
        <v>83.730000000003201</v>
      </c>
    </row>
    <row r="108" spans="1:9" x14ac:dyDescent="0.15">
      <c r="A108" s="66" t="s">
        <v>234</v>
      </c>
      <c r="B108" s="70">
        <v>106479.52</v>
      </c>
      <c r="C108" s="64">
        <v>23829.18</v>
      </c>
      <c r="D108" s="64">
        <v>61.51</v>
      </c>
      <c r="E108" s="64">
        <v>73.37</v>
      </c>
      <c r="F108" s="64">
        <v>16147.31</v>
      </c>
      <c r="G108" s="64">
        <v>1782.86</v>
      </c>
      <c r="H108" s="64">
        <v>5685.19</v>
      </c>
      <c r="I108" s="65">
        <v>78.940000000002328</v>
      </c>
    </row>
    <row r="109" spans="1:9" x14ac:dyDescent="0.15">
      <c r="A109" s="66" t="s">
        <v>237</v>
      </c>
      <c r="B109" s="70">
        <v>113474.66</v>
      </c>
      <c r="C109" s="64">
        <v>24800.73</v>
      </c>
      <c r="D109" s="64">
        <v>46.82</v>
      </c>
      <c r="E109" s="64">
        <v>92.6</v>
      </c>
      <c r="F109" s="64">
        <v>17056.03</v>
      </c>
      <c r="G109" s="64">
        <v>1709.14</v>
      </c>
      <c r="H109" s="64">
        <v>5828.42</v>
      </c>
      <c r="I109" s="65">
        <v>67.720000000004802</v>
      </c>
    </row>
    <row r="110" spans="1:9" x14ac:dyDescent="0.15">
      <c r="A110" s="66" t="s">
        <v>238</v>
      </c>
      <c r="B110" s="70">
        <v>110931.91</v>
      </c>
      <c r="C110" s="64">
        <v>24754.21</v>
      </c>
      <c r="D110" s="64">
        <v>44.18</v>
      </c>
      <c r="E110" s="64">
        <v>95.87</v>
      </c>
      <c r="F110" s="64">
        <v>15614.89</v>
      </c>
      <c r="G110" s="64">
        <v>1667</v>
      </c>
      <c r="H110" s="64">
        <v>7249.68</v>
      </c>
      <c r="I110" s="65">
        <v>82.590000000000146</v>
      </c>
    </row>
    <row r="111" spans="1:9" x14ac:dyDescent="0.15">
      <c r="A111" s="66" t="s">
        <v>239</v>
      </c>
      <c r="B111" s="70">
        <v>113678.52</v>
      </c>
      <c r="C111" s="64">
        <v>23154.639999999999</v>
      </c>
      <c r="D111" s="64">
        <v>57.93</v>
      </c>
      <c r="E111" s="64">
        <v>98.91</v>
      </c>
      <c r="F111" s="64">
        <v>14745.69</v>
      </c>
      <c r="G111" s="64">
        <v>1585.4</v>
      </c>
      <c r="H111" s="64">
        <v>6590.41</v>
      </c>
      <c r="I111" s="65">
        <v>76.299999999999272</v>
      </c>
    </row>
    <row r="112" spans="1:9" x14ac:dyDescent="0.15">
      <c r="A112" s="66" t="s">
        <v>241</v>
      </c>
      <c r="B112" s="70">
        <v>119077.66</v>
      </c>
      <c r="C112" s="64">
        <v>24200.77</v>
      </c>
      <c r="D112" s="64">
        <v>65.59</v>
      </c>
      <c r="E112" s="64">
        <v>71.11</v>
      </c>
      <c r="F112" s="64">
        <v>14720.11</v>
      </c>
      <c r="G112" s="64">
        <v>1640.41</v>
      </c>
      <c r="H112" s="64">
        <v>7641.48</v>
      </c>
      <c r="I112" s="65">
        <v>62.069999999999709</v>
      </c>
    </row>
    <row r="113" spans="1:9" x14ac:dyDescent="0.15">
      <c r="A113" s="66" t="s">
        <v>242</v>
      </c>
      <c r="B113" s="70">
        <v>119847.99</v>
      </c>
      <c r="C113" s="64">
        <v>23134.99</v>
      </c>
      <c r="D113" s="64">
        <v>72.739999999999995</v>
      </c>
      <c r="E113" s="64">
        <v>65.989999999999995</v>
      </c>
      <c r="F113" s="64">
        <v>14912.05</v>
      </c>
      <c r="G113" s="64">
        <v>1576.53</v>
      </c>
      <c r="H113" s="64">
        <v>6444.53</v>
      </c>
      <c r="I113" s="65">
        <v>63.150000000005093</v>
      </c>
    </row>
    <row r="114" spans="1:9" x14ac:dyDescent="0.15">
      <c r="A114" s="66" t="s">
        <v>243</v>
      </c>
      <c r="B114" s="70">
        <v>128327.03</v>
      </c>
      <c r="C114" s="64">
        <v>21943.42</v>
      </c>
      <c r="D114" s="64">
        <v>68.05</v>
      </c>
      <c r="E114" s="64">
        <v>64.39</v>
      </c>
      <c r="F114" s="64">
        <v>14301.96</v>
      </c>
      <c r="G114" s="64">
        <v>1542.73</v>
      </c>
      <c r="H114" s="64">
        <v>5911.4</v>
      </c>
      <c r="I114" s="65">
        <v>54.889999999999418</v>
      </c>
    </row>
    <row r="115" spans="1:9" x14ac:dyDescent="0.15">
      <c r="A115" s="66" t="s">
        <v>246</v>
      </c>
      <c r="B115" s="70">
        <v>128781.24</v>
      </c>
      <c r="C115" s="64">
        <v>22093.23</v>
      </c>
      <c r="D115" s="64">
        <v>43.86</v>
      </c>
      <c r="E115" s="64">
        <v>61.63</v>
      </c>
      <c r="F115" s="64">
        <v>14430.96</v>
      </c>
      <c r="G115" s="64">
        <v>1527.55</v>
      </c>
      <c r="H115" s="64">
        <v>5989.96</v>
      </c>
      <c r="I115" s="65">
        <v>39.270000000000437</v>
      </c>
    </row>
    <row r="116" spans="1:9" x14ac:dyDescent="0.15">
      <c r="A116" s="66" t="s">
        <v>247</v>
      </c>
      <c r="B116" s="70">
        <v>115996.52</v>
      </c>
      <c r="C116" s="64">
        <v>22356.44</v>
      </c>
      <c r="D116" s="64">
        <v>64.290000000000006</v>
      </c>
      <c r="E116" s="64">
        <v>56.92</v>
      </c>
      <c r="F116" s="64">
        <v>14636.81</v>
      </c>
      <c r="G116" s="64">
        <v>1585.96</v>
      </c>
      <c r="H116" s="64">
        <v>6001.63</v>
      </c>
      <c r="I116" s="65">
        <v>10.829999999998108</v>
      </c>
    </row>
    <row r="117" spans="1:9" x14ac:dyDescent="0.15">
      <c r="A117" s="66" t="s">
        <v>248</v>
      </c>
      <c r="B117" s="70">
        <v>117906.75</v>
      </c>
      <c r="C117" s="64">
        <v>22341.119999999999</v>
      </c>
      <c r="D117" s="64">
        <v>21.29</v>
      </c>
      <c r="E117" s="64">
        <v>53.15</v>
      </c>
      <c r="F117" s="64">
        <v>13794.24</v>
      </c>
      <c r="G117" s="64">
        <v>1701.33</v>
      </c>
      <c r="H117" s="64">
        <v>6706.17</v>
      </c>
      <c r="I117" s="65">
        <v>64.93999999999869</v>
      </c>
    </row>
    <row r="118" spans="1:9" x14ac:dyDescent="0.15">
      <c r="A118" s="66" t="s">
        <v>250</v>
      </c>
      <c r="B118" s="70">
        <v>129992.2</v>
      </c>
      <c r="C118" s="64">
        <v>22945.67</v>
      </c>
      <c r="D118" s="64">
        <v>23.08</v>
      </c>
      <c r="E118" s="64">
        <v>56.88</v>
      </c>
      <c r="F118" s="64">
        <v>14901.27</v>
      </c>
      <c r="G118" s="64">
        <v>1475.72</v>
      </c>
      <c r="H118" s="64">
        <v>6429.87</v>
      </c>
      <c r="I118" s="65">
        <v>58.849999999998545</v>
      </c>
    </row>
    <row r="119" spans="1:9" x14ac:dyDescent="0.15">
      <c r="A119" s="66" t="s">
        <v>253</v>
      </c>
      <c r="B119" s="70">
        <v>123344.67</v>
      </c>
      <c r="C119" s="64">
        <v>21631.15</v>
      </c>
      <c r="D119" s="64">
        <v>29.08</v>
      </c>
      <c r="E119" s="64">
        <v>51.94</v>
      </c>
      <c r="F119" s="64">
        <v>14571.57</v>
      </c>
      <c r="G119" s="64">
        <v>1499</v>
      </c>
      <c r="H119" s="64">
        <v>5397.14</v>
      </c>
      <c r="I119" s="65">
        <v>82.420000000001892</v>
      </c>
    </row>
    <row r="120" spans="1:9" x14ac:dyDescent="0.15">
      <c r="A120" s="66" t="s">
        <v>255</v>
      </c>
      <c r="B120" s="70">
        <v>121540.67</v>
      </c>
      <c r="C120" s="64">
        <v>22188.97</v>
      </c>
      <c r="D120" s="64">
        <v>36.71</v>
      </c>
      <c r="E120" s="64">
        <v>56.35</v>
      </c>
      <c r="F120" s="64">
        <v>14306.6</v>
      </c>
      <c r="G120" s="64">
        <v>1496.95</v>
      </c>
      <c r="H120" s="64">
        <v>6213.72</v>
      </c>
      <c r="I120" s="65">
        <v>78.639999999999418</v>
      </c>
    </row>
    <row r="121" spans="1:9" x14ac:dyDescent="0.15">
      <c r="A121" s="66" t="s">
        <v>258</v>
      </c>
      <c r="B121" s="70">
        <v>123304.4</v>
      </c>
      <c r="C121" s="64">
        <v>21496.83</v>
      </c>
      <c r="D121" s="64">
        <v>28.63</v>
      </c>
      <c r="E121" s="64">
        <v>56.86</v>
      </c>
      <c r="F121" s="64">
        <v>14112.6</v>
      </c>
      <c r="G121" s="64">
        <v>1517.28</v>
      </c>
      <c r="H121" s="64">
        <v>5713.22</v>
      </c>
      <c r="I121" s="65">
        <v>68.240000000001601</v>
      </c>
    </row>
    <row r="122" spans="1:9" x14ac:dyDescent="0.15">
      <c r="A122" s="66" t="s">
        <v>260</v>
      </c>
      <c r="B122" s="70">
        <v>118111.53</v>
      </c>
      <c r="C122" s="64">
        <v>22372.880000000001</v>
      </c>
      <c r="D122" s="64">
        <v>49.58</v>
      </c>
      <c r="E122" s="64">
        <v>55.87</v>
      </c>
      <c r="F122" s="64">
        <v>15281.71</v>
      </c>
      <c r="G122" s="64">
        <v>1449.16</v>
      </c>
      <c r="H122" s="64">
        <v>5450.6</v>
      </c>
      <c r="I122" s="65">
        <v>85.960000000002765</v>
      </c>
    </row>
    <row r="123" spans="1:9" x14ac:dyDescent="0.15">
      <c r="A123" s="66" t="s">
        <v>262</v>
      </c>
      <c r="B123" s="70">
        <v>121038.26</v>
      </c>
      <c r="C123" s="64">
        <v>20741.169999999998</v>
      </c>
      <c r="D123" s="64">
        <v>45.7</v>
      </c>
      <c r="E123" s="64">
        <v>52.76</v>
      </c>
      <c r="F123" s="64">
        <v>13563.72</v>
      </c>
      <c r="G123" s="64">
        <v>1474.17</v>
      </c>
      <c r="H123" s="64">
        <v>5525.1</v>
      </c>
      <c r="I123" s="65">
        <v>79.720000000001164</v>
      </c>
    </row>
    <row r="124" spans="1:9" x14ac:dyDescent="0.15">
      <c r="A124" s="66" t="s">
        <v>265</v>
      </c>
      <c r="B124" s="70">
        <v>125022.24</v>
      </c>
      <c r="C124" s="64">
        <v>19739.57</v>
      </c>
      <c r="D124" s="64">
        <v>52.39</v>
      </c>
      <c r="E124" s="64">
        <v>50.98</v>
      </c>
      <c r="F124" s="64">
        <v>13358.34</v>
      </c>
      <c r="G124" s="64">
        <v>1453.03</v>
      </c>
      <c r="H124" s="64">
        <v>4763.17</v>
      </c>
      <c r="I124" s="65">
        <v>61.659999999996217</v>
      </c>
    </row>
    <row r="125" spans="1:9" x14ac:dyDescent="0.15">
      <c r="A125" s="66" t="s">
        <v>267</v>
      </c>
      <c r="B125" s="70">
        <v>121354.58</v>
      </c>
      <c r="C125" s="64">
        <v>18736.080000000002</v>
      </c>
      <c r="D125" s="64">
        <v>57.99</v>
      </c>
      <c r="E125" s="64">
        <v>52.78</v>
      </c>
      <c r="F125" s="64">
        <v>13762.26</v>
      </c>
      <c r="G125" s="64">
        <v>1425.54</v>
      </c>
      <c r="H125" s="64">
        <v>3379.16</v>
      </c>
      <c r="I125" s="65">
        <v>58.350000000002183</v>
      </c>
    </row>
    <row r="126" spans="1:9" x14ac:dyDescent="0.15">
      <c r="A126" s="66" t="s">
        <v>269</v>
      </c>
      <c r="B126" s="70">
        <v>119666.76</v>
      </c>
      <c r="C126" s="64">
        <v>17861.77</v>
      </c>
      <c r="D126" s="64">
        <v>37.049999999999997</v>
      </c>
      <c r="E126" s="64">
        <v>53.16</v>
      </c>
      <c r="F126" s="64">
        <v>13347.09</v>
      </c>
      <c r="G126" s="64">
        <v>1430.49</v>
      </c>
      <c r="H126" s="64">
        <v>2935.8</v>
      </c>
      <c r="I126" s="65">
        <v>58.180000000000291</v>
      </c>
    </row>
    <row r="127" spans="1:9" x14ac:dyDescent="0.15">
      <c r="A127" s="66" t="s">
        <v>271</v>
      </c>
      <c r="B127" s="70">
        <v>125416.88</v>
      </c>
      <c r="C127" s="64">
        <v>21210.9</v>
      </c>
      <c r="D127" s="64">
        <v>36.94</v>
      </c>
      <c r="E127" s="64">
        <v>57.82</v>
      </c>
      <c r="F127" s="64">
        <v>14157.21</v>
      </c>
      <c r="G127" s="64">
        <v>1506.3</v>
      </c>
      <c r="H127" s="64">
        <v>5415.07</v>
      </c>
      <c r="I127" s="65">
        <v>37.560000000004948</v>
      </c>
    </row>
    <row r="128" spans="1:9" x14ac:dyDescent="0.15">
      <c r="A128" s="66" t="s">
        <v>273</v>
      </c>
      <c r="B128" s="70">
        <v>114360.25</v>
      </c>
      <c r="C128" s="64">
        <v>22076.11</v>
      </c>
      <c r="D128" s="64">
        <v>30.44</v>
      </c>
      <c r="E128" s="64">
        <v>55.44</v>
      </c>
      <c r="F128" s="64">
        <v>15092.71</v>
      </c>
      <c r="G128" s="64">
        <v>1510.61</v>
      </c>
      <c r="H128" s="64">
        <v>5378.57</v>
      </c>
      <c r="I128" s="65">
        <v>8.3400000000037835</v>
      </c>
    </row>
    <row r="129" spans="1:9" x14ac:dyDescent="0.15">
      <c r="A129" s="66" t="s">
        <v>275</v>
      </c>
      <c r="B129" s="70">
        <v>115552.82</v>
      </c>
      <c r="C129" s="64">
        <v>21646.03</v>
      </c>
      <c r="D129" s="64">
        <v>25.88</v>
      </c>
      <c r="E129" s="64">
        <v>52.81</v>
      </c>
      <c r="F129" s="64">
        <v>15419.45</v>
      </c>
      <c r="G129" s="64">
        <v>1538.28</v>
      </c>
      <c r="H129" s="64">
        <v>4553.2700000000004</v>
      </c>
      <c r="I129" s="65">
        <f t="shared" ref="I129" si="0">C129-SUM(D129:H129)</f>
        <v>56.339999999996508</v>
      </c>
    </row>
    <row r="130" spans="1:9" x14ac:dyDescent="0.15">
      <c r="A130" s="66" t="s">
        <v>277</v>
      </c>
      <c r="B130" s="70">
        <v>126139.86</v>
      </c>
      <c r="C130" s="64">
        <v>21812.47</v>
      </c>
      <c r="D130" s="64">
        <v>15.95</v>
      </c>
      <c r="E130" s="64">
        <v>54.78</v>
      </c>
      <c r="F130" s="64">
        <v>14846.14</v>
      </c>
      <c r="G130" s="64">
        <v>1490.51</v>
      </c>
      <c r="H130" s="64">
        <v>5347.38</v>
      </c>
      <c r="I130" s="65">
        <v>57.710000000002765</v>
      </c>
    </row>
    <row r="131" spans="1:9" x14ac:dyDescent="0.15">
      <c r="A131" s="66" t="s">
        <v>278</v>
      </c>
      <c r="B131" s="70">
        <v>116914.33</v>
      </c>
      <c r="C131" s="64">
        <v>21961.73</v>
      </c>
      <c r="D131" s="64">
        <v>24.84</v>
      </c>
      <c r="E131" s="64">
        <v>58.25</v>
      </c>
      <c r="F131" s="64">
        <v>15308.28</v>
      </c>
      <c r="G131" s="64">
        <v>1436.02</v>
      </c>
      <c r="H131" s="64">
        <v>5051.41</v>
      </c>
      <c r="I131" s="65">
        <v>82.930000000000291</v>
      </c>
    </row>
    <row r="132" spans="1:9" x14ac:dyDescent="0.15">
      <c r="A132" s="66" t="s">
        <v>279</v>
      </c>
      <c r="B132" s="70">
        <v>114944.49</v>
      </c>
      <c r="C132" s="64">
        <v>21122.37</v>
      </c>
      <c r="D132" s="64">
        <v>17.079999999999998</v>
      </c>
      <c r="E132" s="64">
        <v>54.27</v>
      </c>
      <c r="F132" s="64">
        <v>15756.23</v>
      </c>
      <c r="G132" s="64">
        <v>1443.28</v>
      </c>
      <c r="H132" s="64">
        <v>3775.22</v>
      </c>
      <c r="I132" s="65">
        <v>76.289999999997235</v>
      </c>
    </row>
    <row r="133" spans="1:9" x14ac:dyDescent="0.15">
      <c r="A133" s="66" t="s">
        <v>280</v>
      </c>
      <c r="B133" s="70">
        <v>120615.09</v>
      </c>
      <c r="C133" s="64">
        <v>21309.8</v>
      </c>
      <c r="D133" s="64">
        <v>16.079999999999998</v>
      </c>
      <c r="E133" s="64">
        <v>55.75</v>
      </c>
      <c r="F133" s="64">
        <v>15949.43</v>
      </c>
      <c r="G133" s="64">
        <v>1450.71</v>
      </c>
      <c r="H133" s="64">
        <v>3773.7</v>
      </c>
      <c r="I133" s="65">
        <v>64.129999999997381</v>
      </c>
    </row>
    <row r="134" spans="1:9" x14ac:dyDescent="0.15">
      <c r="A134" s="66" t="s">
        <v>282</v>
      </c>
      <c r="B134" s="70">
        <v>115913.49</v>
      </c>
      <c r="C134" s="64">
        <v>21928.68</v>
      </c>
      <c r="D134" s="64">
        <v>23.55</v>
      </c>
      <c r="E134" s="64">
        <v>61.83</v>
      </c>
      <c r="F134" s="64">
        <v>15694.7</v>
      </c>
      <c r="G134" s="64">
        <v>1481.58</v>
      </c>
      <c r="H134" s="64">
        <v>4586.57</v>
      </c>
      <c r="I134" s="65">
        <v>80.450000000000728</v>
      </c>
    </row>
    <row r="135" spans="1:9" x14ac:dyDescent="0.15">
      <c r="A135" s="66" t="s">
        <v>283</v>
      </c>
      <c r="B135" s="70">
        <v>113948.5</v>
      </c>
      <c r="C135" s="64">
        <v>22489.46</v>
      </c>
      <c r="D135" s="64">
        <v>20.55</v>
      </c>
      <c r="E135" s="64">
        <v>58.44</v>
      </c>
      <c r="F135" s="64">
        <v>15540.56</v>
      </c>
      <c r="G135" s="64">
        <v>1537.02</v>
      </c>
      <c r="H135" s="64">
        <v>5254.52</v>
      </c>
      <c r="I135" s="65">
        <v>78.369999999998981</v>
      </c>
    </row>
    <row r="136" spans="1:9" x14ac:dyDescent="0.15">
      <c r="A136" s="66" t="s">
        <v>284</v>
      </c>
      <c r="B136" s="70">
        <v>119204.39</v>
      </c>
      <c r="C136" s="64">
        <v>24345.15</v>
      </c>
      <c r="D136" s="64">
        <v>30.76</v>
      </c>
      <c r="E136" s="64">
        <v>57.93</v>
      </c>
      <c r="F136" s="64">
        <v>16910.79</v>
      </c>
      <c r="G136" s="64">
        <v>1497.92</v>
      </c>
      <c r="H136" s="64">
        <v>5783.92</v>
      </c>
      <c r="I136" s="65">
        <v>63.830000000001746</v>
      </c>
    </row>
    <row r="137" spans="1:9" x14ac:dyDescent="0.15">
      <c r="A137" s="66" t="s">
        <v>285</v>
      </c>
      <c r="B137" s="70">
        <v>115490.76</v>
      </c>
      <c r="C137" s="64">
        <v>21519.91</v>
      </c>
      <c r="D137" s="64">
        <v>19.96</v>
      </c>
      <c r="E137" s="64">
        <v>54.22</v>
      </c>
      <c r="F137" s="64">
        <v>14358.88</v>
      </c>
      <c r="G137" s="64">
        <v>1626.14</v>
      </c>
      <c r="H137" s="64">
        <v>5400.24</v>
      </c>
      <c r="I137" s="65">
        <v>60.470000000001164</v>
      </c>
    </row>
    <row r="138" spans="1:9" x14ac:dyDescent="0.15">
      <c r="A138" s="66" t="s">
        <v>289</v>
      </c>
      <c r="B138" s="70">
        <v>115885.37</v>
      </c>
      <c r="C138" s="64">
        <v>21306.01</v>
      </c>
      <c r="D138" s="64">
        <v>15.82</v>
      </c>
      <c r="E138" s="64">
        <v>53.2</v>
      </c>
      <c r="F138" s="64">
        <v>15515.21</v>
      </c>
      <c r="G138" s="64">
        <v>1626.46</v>
      </c>
      <c r="H138" s="64">
        <v>4035.21</v>
      </c>
      <c r="I138" s="65">
        <v>60.110000000000582</v>
      </c>
    </row>
    <row r="139" spans="1:9" x14ac:dyDescent="0.15">
      <c r="A139" s="66" t="s">
        <v>290</v>
      </c>
      <c r="B139" s="70">
        <v>120306.07</v>
      </c>
      <c r="C139" s="64">
        <v>21613.59</v>
      </c>
      <c r="D139" s="64">
        <v>24.3</v>
      </c>
      <c r="E139" s="64">
        <v>53.43</v>
      </c>
      <c r="F139" s="64">
        <v>14517.21</v>
      </c>
      <c r="G139" s="64">
        <v>1455.56</v>
      </c>
      <c r="H139" s="64">
        <v>5518.85</v>
      </c>
      <c r="I139" s="65">
        <v>44.240000000001601</v>
      </c>
    </row>
    <row r="140" spans="1:9" x14ac:dyDescent="0.15">
      <c r="A140" s="86" t="s">
        <v>291</v>
      </c>
      <c r="B140" s="96">
        <v>108417.13</v>
      </c>
      <c r="C140" s="64">
        <v>21783.65</v>
      </c>
      <c r="D140" s="64">
        <v>12.87</v>
      </c>
      <c r="E140" s="64">
        <v>55.43</v>
      </c>
      <c r="F140" s="64">
        <v>15688.14</v>
      </c>
      <c r="G140" s="64">
        <v>1439.25</v>
      </c>
      <c r="H140" s="64">
        <v>4577.6499999999996</v>
      </c>
      <c r="I140" s="94">
        <v>10.310000000004948</v>
      </c>
    </row>
    <row r="141" spans="1:9" x14ac:dyDescent="0.15">
      <c r="A141" s="86" t="s">
        <v>292</v>
      </c>
      <c r="B141" s="70">
        <v>106766.65</v>
      </c>
      <c r="C141" s="64">
        <v>21559.48</v>
      </c>
      <c r="D141" s="64">
        <v>11.86</v>
      </c>
      <c r="E141" s="64">
        <v>55.42</v>
      </c>
      <c r="F141" s="64">
        <v>15613.37</v>
      </c>
      <c r="G141" s="64">
        <v>1494.04</v>
      </c>
      <c r="H141" s="64">
        <v>4320.9399999999996</v>
      </c>
      <c r="I141" s="94">
        <v>63.849999999998545</v>
      </c>
    </row>
    <row r="142" spans="1:9" x14ac:dyDescent="0.15">
      <c r="A142" s="86" t="s">
        <v>293</v>
      </c>
      <c r="B142" s="70">
        <v>117906.8</v>
      </c>
      <c r="C142" s="64">
        <v>23170.75</v>
      </c>
      <c r="D142" s="64">
        <v>18.16</v>
      </c>
      <c r="E142" s="64">
        <v>55.75</v>
      </c>
      <c r="F142" s="64">
        <v>15981.36</v>
      </c>
      <c r="G142" s="64">
        <v>1640.49</v>
      </c>
      <c r="H142" s="64">
        <v>5405.45</v>
      </c>
      <c r="I142" s="94">
        <v>69.539999999997235</v>
      </c>
    </row>
    <row r="143" spans="1:9" x14ac:dyDescent="0.15">
      <c r="A143" s="86" t="s">
        <v>294</v>
      </c>
      <c r="B143" s="96">
        <v>107655.81</v>
      </c>
      <c r="C143" s="95">
        <v>24303.32</v>
      </c>
      <c r="D143" s="95">
        <v>13.93</v>
      </c>
      <c r="E143" s="95">
        <v>56.8</v>
      </c>
      <c r="F143" s="95">
        <v>15954</v>
      </c>
      <c r="G143" s="95">
        <v>1570.71</v>
      </c>
      <c r="H143" s="95">
        <v>6609.58</v>
      </c>
      <c r="I143" s="94">
        <v>98.30000000000291</v>
      </c>
    </row>
    <row r="144" spans="1:9" x14ac:dyDescent="0.15">
      <c r="A144" s="86" t="s">
        <v>295</v>
      </c>
      <c r="B144" s="96">
        <v>106768.65</v>
      </c>
      <c r="C144" s="95">
        <v>23630.48</v>
      </c>
      <c r="D144" s="95">
        <v>14.15</v>
      </c>
      <c r="E144" s="64">
        <v>61.13</v>
      </c>
      <c r="F144" s="64">
        <v>17189.8</v>
      </c>
      <c r="G144" s="64">
        <v>1534.03</v>
      </c>
      <c r="H144" s="64">
        <v>4733.2</v>
      </c>
      <c r="I144" s="94">
        <v>98.170000000001892</v>
      </c>
    </row>
    <row r="145" spans="1:10" x14ac:dyDescent="0.15">
      <c r="A145" s="86" t="s">
        <v>298</v>
      </c>
      <c r="B145" s="70">
        <v>109831.75</v>
      </c>
      <c r="C145" s="64">
        <v>22511.62</v>
      </c>
      <c r="D145" s="64">
        <v>19.91</v>
      </c>
      <c r="E145" s="64">
        <v>60.06</v>
      </c>
      <c r="F145" s="64">
        <v>15688.73</v>
      </c>
      <c r="G145" s="64">
        <v>1513.21</v>
      </c>
      <c r="H145" s="64">
        <v>5145.66</v>
      </c>
      <c r="I145" s="94">
        <v>84.049999999999272</v>
      </c>
    </row>
    <row r="146" spans="1:10" x14ac:dyDescent="0.15">
      <c r="A146" s="86" t="s">
        <v>299</v>
      </c>
      <c r="B146" s="70">
        <v>107396.89</v>
      </c>
      <c r="C146" s="64">
        <v>22999.23</v>
      </c>
      <c r="D146" s="64">
        <v>13.47</v>
      </c>
      <c r="E146" s="64">
        <v>58.35</v>
      </c>
      <c r="F146" s="64">
        <v>17486.560000000001</v>
      </c>
      <c r="G146" s="64">
        <v>1476.7</v>
      </c>
      <c r="H146" s="64">
        <v>3857.17</v>
      </c>
      <c r="I146" s="94">
        <v>106.97999999999956</v>
      </c>
    </row>
    <row r="147" spans="1:10" x14ac:dyDescent="0.15">
      <c r="A147" s="86" t="s">
        <v>300</v>
      </c>
      <c r="B147" s="96">
        <v>106871.29</v>
      </c>
      <c r="C147" s="95">
        <v>22087.99</v>
      </c>
      <c r="D147" s="95">
        <v>11.2</v>
      </c>
      <c r="E147" s="95">
        <v>56.6</v>
      </c>
      <c r="F147" s="95">
        <v>15569.83</v>
      </c>
      <c r="G147" s="95">
        <v>1470.24</v>
      </c>
      <c r="H147" s="95">
        <v>4885.2700000000004</v>
      </c>
      <c r="I147" s="94">
        <v>94.850000000002183</v>
      </c>
    </row>
    <row r="148" spans="1:10" x14ac:dyDescent="0.15">
      <c r="A148" s="86" t="s">
        <v>301</v>
      </c>
      <c r="B148" s="70">
        <v>114112.84</v>
      </c>
      <c r="C148" s="64">
        <v>24153.1</v>
      </c>
      <c r="D148" s="64">
        <v>26.46</v>
      </c>
      <c r="E148" s="64">
        <v>59.92</v>
      </c>
      <c r="F148" s="64">
        <v>17595.080000000002</v>
      </c>
      <c r="G148" s="64">
        <v>1466.96</v>
      </c>
      <c r="H148" s="64">
        <v>4920.88</v>
      </c>
      <c r="I148" s="94">
        <v>83.799999999995634</v>
      </c>
      <c r="J148" s="20"/>
    </row>
    <row r="149" spans="1:10" x14ac:dyDescent="0.15">
      <c r="A149" s="99" t="s">
        <v>302</v>
      </c>
      <c r="B149" s="123">
        <v>111061.04</v>
      </c>
      <c r="C149" s="101">
        <v>21474.27</v>
      </c>
      <c r="D149" s="101">
        <v>10.55</v>
      </c>
      <c r="E149" s="101">
        <v>57.05</v>
      </c>
      <c r="F149" s="101">
        <v>15978.59</v>
      </c>
      <c r="G149" s="101">
        <v>1451.37</v>
      </c>
      <c r="H149" s="101">
        <v>3880.45</v>
      </c>
      <c r="I149" s="102">
        <v>96.259999999998399</v>
      </c>
    </row>
    <row r="150" spans="1:10" x14ac:dyDescent="0.15">
      <c r="A150" s="103" t="s">
        <v>303</v>
      </c>
      <c r="B150" s="123">
        <v>109983.61</v>
      </c>
      <c r="C150" s="101">
        <v>20305.98</v>
      </c>
      <c r="D150" s="101">
        <v>17.27</v>
      </c>
      <c r="E150" s="101">
        <v>62.69</v>
      </c>
      <c r="F150" s="101">
        <v>15425.83</v>
      </c>
      <c r="G150" s="101">
        <v>1469.95</v>
      </c>
      <c r="H150" s="101">
        <v>3249.17</v>
      </c>
      <c r="I150" s="108">
        <v>81.070000000003347</v>
      </c>
    </row>
    <row r="151" spans="1:10" x14ac:dyDescent="0.15">
      <c r="A151" s="103" t="s">
        <v>304</v>
      </c>
      <c r="B151" s="123">
        <v>118169.71</v>
      </c>
      <c r="C151" s="101">
        <v>19939.04</v>
      </c>
      <c r="D151" s="101">
        <v>29.11</v>
      </c>
      <c r="E151" s="101">
        <v>59.74</v>
      </c>
      <c r="F151" s="101">
        <v>14538.94</v>
      </c>
      <c r="G151" s="101">
        <v>1571.25</v>
      </c>
      <c r="H151" s="101">
        <v>3667.74</v>
      </c>
      <c r="I151" s="108">
        <v>72.260000000002037</v>
      </c>
    </row>
    <row r="152" spans="1:10" x14ac:dyDescent="0.15">
      <c r="A152" s="103" t="s">
        <v>305</v>
      </c>
      <c r="B152" s="123">
        <v>98123.04</v>
      </c>
      <c r="C152" s="101">
        <v>22325.02</v>
      </c>
      <c r="D152" s="101">
        <v>8.8699999999999992</v>
      </c>
      <c r="E152" s="101">
        <v>58.32</v>
      </c>
      <c r="F152" s="101">
        <v>16269.52</v>
      </c>
      <c r="G152" s="101">
        <v>1599.88</v>
      </c>
      <c r="H152" s="101">
        <v>4376.6400000000003</v>
      </c>
      <c r="I152" s="108">
        <v>11.790000000000873</v>
      </c>
    </row>
    <row r="153" spans="1:10" x14ac:dyDescent="0.15">
      <c r="A153" s="103" t="s">
        <v>306</v>
      </c>
      <c r="B153" s="123">
        <v>99392.72</v>
      </c>
      <c r="C153" s="101">
        <v>23513.34</v>
      </c>
      <c r="D153" s="101">
        <v>35.96</v>
      </c>
      <c r="E153" s="101">
        <v>57.11</v>
      </c>
      <c r="F153" s="101">
        <v>16096.39</v>
      </c>
      <c r="G153" s="101">
        <v>1660.03</v>
      </c>
      <c r="H153" s="101">
        <v>5593.25</v>
      </c>
      <c r="I153" s="108">
        <v>70.600000000002183</v>
      </c>
    </row>
    <row r="154" spans="1:10" x14ac:dyDescent="0.15">
      <c r="A154" s="103" t="s">
        <v>307</v>
      </c>
      <c r="B154" s="123">
        <v>113744.51</v>
      </c>
      <c r="C154" s="101">
        <v>26406.84</v>
      </c>
      <c r="D154" s="101">
        <v>20.75</v>
      </c>
      <c r="E154" s="101">
        <v>60.15</v>
      </c>
      <c r="F154" s="101">
        <v>18680.8</v>
      </c>
      <c r="G154" s="101">
        <v>1729.83</v>
      </c>
      <c r="H154" s="101">
        <v>5846.42</v>
      </c>
      <c r="I154" s="108">
        <v>68.890000000003056</v>
      </c>
    </row>
    <row r="155" spans="1:10" x14ac:dyDescent="0.15">
      <c r="A155" s="103" t="s">
        <v>308</v>
      </c>
      <c r="B155" s="123">
        <v>105789.48</v>
      </c>
      <c r="C155" s="101">
        <v>25642.22</v>
      </c>
      <c r="D155" s="101">
        <v>8.19</v>
      </c>
      <c r="E155" s="101">
        <v>62.55</v>
      </c>
      <c r="F155" s="101">
        <v>17254.46</v>
      </c>
      <c r="G155" s="101">
        <v>1694.86</v>
      </c>
      <c r="H155" s="101">
        <v>6540.94</v>
      </c>
      <c r="I155" s="108">
        <v>81.220000000001164</v>
      </c>
    </row>
    <row r="156" spans="1:10" x14ac:dyDescent="0.15">
      <c r="A156" s="103" t="s">
        <v>309</v>
      </c>
      <c r="B156" s="123">
        <v>106900.21</v>
      </c>
      <c r="C156" s="101">
        <v>23354.87</v>
      </c>
      <c r="D156" s="101">
        <v>12.8</v>
      </c>
      <c r="E156" s="101">
        <v>57.66</v>
      </c>
      <c r="F156" s="101">
        <v>16404.740000000002</v>
      </c>
      <c r="G156" s="101">
        <v>1636.92</v>
      </c>
      <c r="H156" s="101">
        <v>5139.07</v>
      </c>
      <c r="I156" s="108">
        <v>103.67999999999665</v>
      </c>
    </row>
    <row r="157" spans="1:10" x14ac:dyDescent="0.15">
      <c r="A157" s="13" t="s">
        <v>229</v>
      </c>
    </row>
  </sheetData>
  <mergeCells count="3">
    <mergeCell ref="A7:A8"/>
    <mergeCell ref="B7:B8"/>
    <mergeCell ref="C7:I7"/>
  </mergeCells>
  <phoneticPr fontId="15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157"/>
  <sheetViews>
    <sheetView zoomScale="85" zoomScaleNormal="85" workbookViewId="0">
      <pane ySplit="8" topLeftCell="A137" activePane="bottomLeft" state="frozen"/>
      <selection pane="bottomLeft" activeCell="H167" sqref="H167"/>
    </sheetView>
  </sheetViews>
  <sheetFormatPr defaultRowHeight="16.5" x14ac:dyDescent="0.15"/>
  <cols>
    <col min="1" max="1" width="8.88671875" style="13"/>
    <col min="2" max="3" width="9.21875" style="13" bestFit="1" customWidth="1"/>
    <col min="4" max="4" width="9.33203125" style="13" customWidth="1"/>
    <col min="5" max="5" width="9.21875" style="13" customWidth="1"/>
    <col min="6" max="6" width="11.5546875" style="13" bestFit="1" customWidth="1"/>
    <col min="7" max="9" width="9.21875" style="13" customWidth="1"/>
    <col min="10" max="16384" width="8.88671875" style="13"/>
  </cols>
  <sheetData>
    <row r="1" spans="1:9" ht="17.25" x14ac:dyDescent="0.15">
      <c r="A1" s="12" t="s">
        <v>82</v>
      </c>
    </row>
    <row r="3" spans="1:9" x14ac:dyDescent="0.15">
      <c r="A3" s="13" t="s">
        <v>149</v>
      </c>
    </row>
    <row r="5" spans="1:9" x14ac:dyDescent="0.15">
      <c r="A5" s="13" t="s">
        <v>151</v>
      </c>
    </row>
    <row r="6" spans="1:9" s="17" customFormat="1" x14ac:dyDescent="0.15">
      <c r="B6" s="18"/>
      <c r="C6" s="18"/>
      <c r="D6" s="18"/>
      <c r="E6" s="18"/>
      <c r="F6" s="18"/>
      <c r="G6" s="18"/>
      <c r="H6" s="18"/>
      <c r="I6" s="14" t="s">
        <v>83</v>
      </c>
    </row>
    <row r="7" spans="1:9" x14ac:dyDescent="0.15">
      <c r="A7" s="125" t="s">
        <v>84</v>
      </c>
      <c r="B7" s="126" t="s">
        <v>85</v>
      </c>
      <c r="C7" s="126"/>
      <c r="D7" s="126"/>
      <c r="E7" s="126"/>
      <c r="F7" s="126"/>
      <c r="G7" s="126"/>
      <c r="H7" s="127"/>
      <c r="I7" s="127"/>
    </row>
    <row r="8" spans="1:9" x14ac:dyDescent="0.15">
      <c r="A8" s="125"/>
      <c r="B8" s="15" t="s">
        <v>86</v>
      </c>
      <c r="C8" s="15" t="s">
        <v>87</v>
      </c>
      <c r="D8" s="15" t="s">
        <v>88</v>
      </c>
      <c r="E8" s="15" t="s">
        <v>89</v>
      </c>
      <c r="F8" s="15" t="s">
        <v>90</v>
      </c>
      <c r="G8" s="15" t="s">
        <v>91</v>
      </c>
      <c r="H8" s="16" t="s">
        <v>92</v>
      </c>
      <c r="I8" s="16" t="s">
        <v>93</v>
      </c>
    </row>
    <row r="9" spans="1:9" x14ac:dyDescent="0.15">
      <c r="A9" s="48" t="s">
        <v>8</v>
      </c>
      <c r="B9" s="50">
        <v>53382.58</v>
      </c>
      <c r="C9" s="50">
        <v>36521.94</v>
      </c>
      <c r="D9" s="50">
        <v>1921.61</v>
      </c>
      <c r="E9" s="50">
        <v>7971.91</v>
      </c>
      <c r="F9" s="50">
        <v>5514.52</v>
      </c>
      <c r="G9" s="50">
        <v>790.03</v>
      </c>
      <c r="H9" s="51">
        <v>15.56</v>
      </c>
      <c r="I9" s="51">
        <v>647.00999999999476</v>
      </c>
    </row>
    <row r="10" spans="1:9" x14ac:dyDescent="0.15">
      <c r="A10" s="52" t="s">
        <v>9</v>
      </c>
      <c r="B10" s="54">
        <v>57675.15</v>
      </c>
      <c r="C10" s="54">
        <v>38364.81</v>
      </c>
      <c r="D10" s="54">
        <v>1896.08</v>
      </c>
      <c r="E10" s="54">
        <v>7819.46</v>
      </c>
      <c r="F10" s="54">
        <v>8129.76</v>
      </c>
      <c r="G10" s="54">
        <v>817.51</v>
      </c>
      <c r="H10" s="55">
        <v>15.1</v>
      </c>
      <c r="I10" s="55">
        <v>632.43000000000029</v>
      </c>
    </row>
    <row r="11" spans="1:9" x14ac:dyDescent="0.15">
      <c r="A11" s="52" t="s">
        <v>10</v>
      </c>
      <c r="B11" s="54">
        <v>56630.98</v>
      </c>
      <c r="C11" s="54">
        <v>39769.279999999999</v>
      </c>
      <c r="D11" s="54">
        <v>1849.21</v>
      </c>
      <c r="E11" s="54">
        <v>7765.62</v>
      </c>
      <c r="F11" s="54">
        <v>5755.06</v>
      </c>
      <c r="G11" s="54">
        <v>851.34</v>
      </c>
      <c r="H11" s="55">
        <v>14.78</v>
      </c>
      <c r="I11" s="55">
        <v>625.6900000000096</v>
      </c>
    </row>
    <row r="12" spans="1:9" x14ac:dyDescent="0.15">
      <c r="A12" s="52" t="s">
        <v>11</v>
      </c>
      <c r="B12" s="54">
        <v>56383.5</v>
      </c>
      <c r="C12" s="54">
        <v>40490.300000000003</v>
      </c>
      <c r="D12" s="54">
        <v>1839.04</v>
      </c>
      <c r="E12" s="54">
        <v>7840</v>
      </c>
      <c r="F12" s="54">
        <v>4685.57</v>
      </c>
      <c r="G12" s="54">
        <v>888.99</v>
      </c>
      <c r="H12" s="55">
        <v>14.6</v>
      </c>
      <c r="I12" s="55">
        <v>625</v>
      </c>
    </row>
    <row r="13" spans="1:9" x14ac:dyDescent="0.15">
      <c r="A13" s="52" t="s">
        <v>12</v>
      </c>
      <c r="B13" s="54">
        <v>58141.89</v>
      </c>
      <c r="C13" s="54">
        <v>41229.82</v>
      </c>
      <c r="D13" s="54">
        <v>1803.64</v>
      </c>
      <c r="E13" s="54">
        <v>8126.29</v>
      </c>
      <c r="F13" s="54">
        <v>5427.87</v>
      </c>
      <c r="G13" s="54">
        <v>913.88</v>
      </c>
      <c r="H13" s="55">
        <v>14.61</v>
      </c>
      <c r="I13" s="55">
        <v>625.77999999999884</v>
      </c>
    </row>
    <row r="14" spans="1:9" x14ac:dyDescent="0.15">
      <c r="A14" s="52" t="s">
        <v>13</v>
      </c>
      <c r="B14" s="54">
        <v>58257.57</v>
      </c>
      <c r="C14" s="54">
        <v>40743.24</v>
      </c>
      <c r="D14" s="54">
        <v>1832.99</v>
      </c>
      <c r="E14" s="54">
        <v>7990.01</v>
      </c>
      <c r="F14" s="54">
        <v>6103.66</v>
      </c>
      <c r="G14" s="54">
        <v>944.53</v>
      </c>
      <c r="H14" s="55">
        <v>14.62</v>
      </c>
      <c r="I14" s="55">
        <v>628.52000000000407</v>
      </c>
    </row>
    <row r="15" spans="1:9" x14ac:dyDescent="0.15">
      <c r="A15" s="52" t="s">
        <v>14</v>
      </c>
      <c r="B15" s="54">
        <v>58018.35</v>
      </c>
      <c r="C15" s="54">
        <v>41754.800000000003</v>
      </c>
      <c r="D15" s="54">
        <v>1835.27</v>
      </c>
      <c r="E15" s="54">
        <v>8103.34</v>
      </c>
      <c r="F15" s="54">
        <v>4707.92</v>
      </c>
      <c r="G15" s="54">
        <v>967.75</v>
      </c>
      <c r="H15" s="55">
        <v>14.5</v>
      </c>
      <c r="I15" s="55">
        <v>634.7699999999968</v>
      </c>
    </row>
    <row r="16" spans="1:9" x14ac:dyDescent="0.15">
      <c r="A16" s="52" t="s">
        <v>15</v>
      </c>
      <c r="B16" s="54">
        <v>58668.23</v>
      </c>
      <c r="C16" s="54">
        <v>42445.22</v>
      </c>
      <c r="D16" s="54">
        <v>1830.59</v>
      </c>
      <c r="E16" s="54">
        <v>8165.83</v>
      </c>
      <c r="F16" s="54">
        <v>4581.21</v>
      </c>
      <c r="G16" s="54">
        <v>997.33</v>
      </c>
      <c r="H16" s="55">
        <v>14.3</v>
      </c>
      <c r="I16" s="55">
        <v>633.75</v>
      </c>
    </row>
    <row r="17" spans="1:9" x14ac:dyDescent="0.15">
      <c r="A17" s="52" t="s">
        <v>16</v>
      </c>
      <c r="B17" s="54">
        <v>57646.07</v>
      </c>
      <c r="C17" s="54">
        <v>42285</v>
      </c>
      <c r="D17" s="54">
        <v>1860.52</v>
      </c>
      <c r="E17" s="54">
        <v>8009.07</v>
      </c>
      <c r="F17" s="54">
        <v>3804.28</v>
      </c>
      <c r="G17" s="54">
        <v>1036.22</v>
      </c>
      <c r="H17" s="55">
        <v>14.12</v>
      </c>
      <c r="I17" s="55">
        <v>636.86000000000058</v>
      </c>
    </row>
    <row r="18" spans="1:9" x14ac:dyDescent="0.15">
      <c r="A18" s="52" t="s">
        <v>17</v>
      </c>
      <c r="B18" s="54">
        <v>56907.3</v>
      </c>
      <c r="C18" s="54">
        <v>41286.050000000003</v>
      </c>
      <c r="D18" s="54">
        <v>1842.68</v>
      </c>
      <c r="E18" s="54">
        <v>8158.06</v>
      </c>
      <c r="F18" s="54">
        <v>3909.49</v>
      </c>
      <c r="G18" s="54">
        <v>1054.29</v>
      </c>
      <c r="H18" s="55">
        <v>13.9</v>
      </c>
      <c r="I18" s="55">
        <v>642.83000000000175</v>
      </c>
    </row>
    <row r="19" spans="1:9" x14ac:dyDescent="0.15">
      <c r="A19" s="52" t="s">
        <v>18</v>
      </c>
      <c r="B19" s="54">
        <v>59504.05</v>
      </c>
      <c r="C19" s="54">
        <v>40467.39</v>
      </c>
      <c r="D19" s="54">
        <v>1849.12</v>
      </c>
      <c r="E19" s="54">
        <v>8350.41</v>
      </c>
      <c r="F19" s="54">
        <v>7117.12</v>
      </c>
      <c r="G19" s="54">
        <v>1061.46</v>
      </c>
      <c r="H19" s="55">
        <v>13.77</v>
      </c>
      <c r="I19" s="55">
        <v>644.78000000000611</v>
      </c>
    </row>
    <row r="20" spans="1:9" x14ac:dyDescent="0.15">
      <c r="A20" s="52" t="s">
        <v>19</v>
      </c>
      <c r="B20" s="54">
        <v>55296.480000000003</v>
      </c>
      <c r="C20" s="54">
        <v>38300.980000000003</v>
      </c>
      <c r="D20" s="54">
        <v>1865.65</v>
      </c>
      <c r="E20" s="54">
        <v>8603.2999999999993</v>
      </c>
      <c r="F20" s="54">
        <v>4835.41</v>
      </c>
      <c r="G20" s="54">
        <v>1043.27</v>
      </c>
      <c r="H20" s="55">
        <v>13.59</v>
      </c>
      <c r="I20" s="55">
        <v>634.27999999999884</v>
      </c>
    </row>
    <row r="21" spans="1:9" x14ac:dyDescent="0.15">
      <c r="A21" s="52" t="s">
        <v>20</v>
      </c>
      <c r="B21" s="54">
        <v>56875.39</v>
      </c>
      <c r="C21" s="54">
        <v>40000.86</v>
      </c>
      <c r="D21" s="54">
        <v>1849.34</v>
      </c>
      <c r="E21" s="54">
        <v>8688.0400000000009</v>
      </c>
      <c r="F21" s="54">
        <v>4665.5200000000004</v>
      </c>
      <c r="G21" s="54">
        <v>1028.7</v>
      </c>
      <c r="H21" s="55">
        <v>13.3</v>
      </c>
      <c r="I21" s="55">
        <v>629.63000000000466</v>
      </c>
    </row>
    <row r="22" spans="1:9" x14ac:dyDescent="0.15">
      <c r="A22" s="52" t="s">
        <v>21</v>
      </c>
      <c r="B22" s="54">
        <v>59736.06</v>
      </c>
      <c r="C22" s="54">
        <v>43191.26</v>
      </c>
      <c r="D22" s="54">
        <v>1818.67</v>
      </c>
      <c r="E22" s="54">
        <v>8966.24</v>
      </c>
      <c r="F22" s="54">
        <v>4071.09</v>
      </c>
      <c r="G22" s="54">
        <v>1047.44</v>
      </c>
      <c r="H22" s="55">
        <v>13.41</v>
      </c>
      <c r="I22" s="55">
        <v>627.94999999999709</v>
      </c>
    </row>
    <row r="23" spans="1:9" x14ac:dyDescent="0.15">
      <c r="A23" s="52" t="s">
        <v>22</v>
      </c>
      <c r="B23" s="54">
        <v>59570.94</v>
      </c>
      <c r="C23" s="54">
        <v>43750.23</v>
      </c>
      <c r="D23" s="54">
        <v>1825.21</v>
      </c>
      <c r="E23" s="54">
        <v>9079</v>
      </c>
      <c r="F23" s="54">
        <v>3213.2</v>
      </c>
      <c r="G23" s="54">
        <v>1061.56</v>
      </c>
      <c r="H23" s="55">
        <v>13.51</v>
      </c>
      <c r="I23" s="55">
        <v>628.2300000000032</v>
      </c>
    </row>
    <row r="24" spans="1:9" x14ac:dyDescent="0.15">
      <c r="A24" s="52" t="s">
        <v>23</v>
      </c>
      <c r="B24" s="54">
        <v>59395.51</v>
      </c>
      <c r="C24" s="54">
        <v>43370.95</v>
      </c>
      <c r="D24" s="54">
        <v>1840.07</v>
      </c>
      <c r="E24" s="54">
        <v>9290.9500000000007</v>
      </c>
      <c r="F24" s="54">
        <v>3144.37</v>
      </c>
      <c r="G24" s="54">
        <v>1097.01</v>
      </c>
      <c r="H24" s="55">
        <v>13.41</v>
      </c>
      <c r="I24" s="55">
        <v>638.74999999999272</v>
      </c>
    </row>
    <row r="25" spans="1:9" x14ac:dyDescent="0.15">
      <c r="A25" s="52" t="s">
        <v>24</v>
      </c>
      <c r="B25" s="54">
        <v>60449.57</v>
      </c>
      <c r="C25" s="54">
        <v>44233.66</v>
      </c>
      <c r="D25" s="54">
        <v>1828.17</v>
      </c>
      <c r="E25" s="54">
        <v>9286.68</v>
      </c>
      <c r="F25" s="54">
        <v>3306.27</v>
      </c>
      <c r="G25" s="54">
        <v>1139.53</v>
      </c>
      <c r="H25" s="55">
        <v>13.34</v>
      </c>
      <c r="I25" s="55">
        <v>641.92000000000553</v>
      </c>
    </row>
    <row r="26" spans="1:9" x14ac:dyDescent="0.15">
      <c r="A26" s="52" t="s">
        <v>25</v>
      </c>
      <c r="B26" s="54">
        <v>60717.55</v>
      </c>
      <c r="C26" s="54">
        <v>44300.86</v>
      </c>
      <c r="D26" s="54">
        <v>1840.45</v>
      </c>
      <c r="E26" s="54">
        <v>9387.5</v>
      </c>
      <c r="F26" s="54">
        <v>3331.76</v>
      </c>
      <c r="G26" s="54">
        <v>1196.79</v>
      </c>
      <c r="H26" s="55">
        <v>13.42</v>
      </c>
      <c r="I26" s="55">
        <v>646.77000000000407</v>
      </c>
    </row>
    <row r="27" spans="1:9" x14ac:dyDescent="0.15">
      <c r="A27" s="52" t="s">
        <v>26</v>
      </c>
      <c r="B27" s="54">
        <v>63627.57</v>
      </c>
      <c r="C27" s="54">
        <v>45552.49</v>
      </c>
      <c r="D27" s="54">
        <v>1849.1</v>
      </c>
      <c r="E27" s="54">
        <v>9704.2099999999991</v>
      </c>
      <c r="F27" s="54">
        <v>4605.32</v>
      </c>
      <c r="G27" s="54">
        <v>1243.55</v>
      </c>
      <c r="H27" s="55">
        <v>13.22</v>
      </c>
      <c r="I27" s="55">
        <v>659.68000000000029</v>
      </c>
    </row>
    <row r="28" spans="1:9" x14ac:dyDescent="0.15">
      <c r="A28" s="52" t="s">
        <v>27</v>
      </c>
      <c r="B28" s="54">
        <v>65736.95</v>
      </c>
      <c r="C28" s="54">
        <v>49384.78</v>
      </c>
      <c r="D28" s="54">
        <v>1862.98</v>
      </c>
      <c r="E28" s="54">
        <v>9473</v>
      </c>
      <c r="F28" s="54">
        <v>3090.81</v>
      </c>
      <c r="G28" s="54">
        <v>1252.1199999999999</v>
      </c>
      <c r="H28" s="55">
        <v>13.17</v>
      </c>
      <c r="I28" s="55">
        <v>660.08999999999651</v>
      </c>
    </row>
    <row r="29" spans="1:9" x14ac:dyDescent="0.15">
      <c r="A29" s="52" t="s">
        <v>28</v>
      </c>
      <c r="B29" s="54">
        <v>68040.7</v>
      </c>
      <c r="C29" s="54">
        <v>50685.440000000002</v>
      </c>
      <c r="D29" s="54">
        <v>1900.06</v>
      </c>
      <c r="E29" s="54">
        <v>9754.48</v>
      </c>
      <c r="F29" s="54">
        <v>3755.48</v>
      </c>
      <c r="G29" s="54">
        <v>1272.43</v>
      </c>
      <c r="H29" s="55">
        <v>13.09</v>
      </c>
      <c r="I29" s="55">
        <v>659.72000000001572</v>
      </c>
    </row>
    <row r="30" spans="1:9" x14ac:dyDescent="0.15">
      <c r="A30" s="52" t="s">
        <v>29</v>
      </c>
      <c r="B30" s="54">
        <v>63263.41</v>
      </c>
      <c r="C30" s="54">
        <v>45785.62</v>
      </c>
      <c r="D30" s="54">
        <v>1897.65</v>
      </c>
      <c r="E30" s="54">
        <v>9932.81</v>
      </c>
      <c r="F30" s="54">
        <v>3646.13</v>
      </c>
      <c r="G30" s="54">
        <v>1319.97</v>
      </c>
      <c r="H30" s="55">
        <v>13.17</v>
      </c>
      <c r="I30" s="55">
        <v>668.06000000000495</v>
      </c>
    </row>
    <row r="31" spans="1:9" x14ac:dyDescent="0.15">
      <c r="A31" s="52" t="s">
        <v>30</v>
      </c>
      <c r="B31" s="54">
        <v>60191.78</v>
      </c>
      <c r="C31" s="54">
        <v>42866.41</v>
      </c>
      <c r="D31" s="54">
        <v>1912.26</v>
      </c>
      <c r="E31" s="54">
        <v>9827.34</v>
      </c>
      <c r="F31" s="54">
        <v>3560.81</v>
      </c>
      <c r="G31" s="54">
        <v>1341.85</v>
      </c>
      <c r="H31" s="55">
        <v>13.2</v>
      </c>
      <c r="I31" s="55">
        <v>669.90999999999622</v>
      </c>
    </row>
    <row r="32" spans="1:9" x14ac:dyDescent="0.15">
      <c r="A32" s="52" t="s">
        <v>31</v>
      </c>
      <c r="B32" s="54">
        <v>57113.81</v>
      </c>
      <c r="C32" s="54">
        <v>39700.61</v>
      </c>
      <c r="D32" s="54">
        <v>1903.67</v>
      </c>
      <c r="E32" s="54">
        <v>10328.469999999999</v>
      </c>
      <c r="F32" s="54">
        <v>3120.68</v>
      </c>
      <c r="G32" s="54">
        <v>1377.09</v>
      </c>
      <c r="H32" s="55">
        <v>13.28</v>
      </c>
      <c r="I32" s="55">
        <v>670.01000000000204</v>
      </c>
    </row>
    <row r="33" spans="1:9" x14ac:dyDescent="0.15">
      <c r="A33" s="52" t="s">
        <v>32</v>
      </c>
      <c r="B33" s="54">
        <v>58534.34</v>
      </c>
      <c r="C33" s="54">
        <v>41478.089999999997</v>
      </c>
      <c r="D33" s="54">
        <v>1848.09</v>
      </c>
      <c r="E33" s="54">
        <v>10472.049999999999</v>
      </c>
      <c r="F33" s="54">
        <v>2653.66</v>
      </c>
      <c r="G33" s="54">
        <v>1387.64</v>
      </c>
      <c r="H33" s="55">
        <v>13.07</v>
      </c>
      <c r="I33" s="55">
        <v>681.73999999999796</v>
      </c>
    </row>
    <row r="34" spans="1:9" x14ac:dyDescent="0.15">
      <c r="A34" s="52" t="s">
        <v>33</v>
      </c>
      <c r="B34" s="54">
        <v>63319.25</v>
      </c>
      <c r="C34" s="54">
        <v>45867.34</v>
      </c>
      <c r="D34" s="54">
        <v>1841.01</v>
      </c>
      <c r="E34" s="54">
        <v>10566.66</v>
      </c>
      <c r="F34" s="54">
        <v>2957.38</v>
      </c>
      <c r="G34" s="54">
        <v>1388.82</v>
      </c>
      <c r="H34" s="55">
        <v>12.97</v>
      </c>
      <c r="I34" s="55">
        <v>685.07000000000698</v>
      </c>
    </row>
    <row r="35" spans="1:9" x14ac:dyDescent="0.15">
      <c r="A35" s="52" t="s">
        <v>34</v>
      </c>
      <c r="B35" s="54">
        <v>62311.85</v>
      </c>
      <c r="C35" s="54">
        <v>44453.29</v>
      </c>
      <c r="D35" s="54">
        <v>1793.14</v>
      </c>
      <c r="E35" s="54">
        <v>10638.06</v>
      </c>
      <c r="F35" s="54">
        <v>3354.94</v>
      </c>
      <c r="G35" s="54">
        <v>1372.49</v>
      </c>
      <c r="H35" s="55">
        <v>12.91</v>
      </c>
      <c r="I35" s="55">
        <v>687.0199999999968</v>
      </c>
    </row>
    <row r="36" spans="1:9" x14ac:dyDescent="0.15">
      <c r="A36" s="52" t="s">
        <v>35</v>
      </c>
      <c r="B36" s="54">
        <v>63961</v>
      </c>
      <c r="C36" s="54">
        <v>46155.75</v>
      </c>
      <c r="D36" s="54">
        <v>1793.05</v>
      </c>
      <c r="E36" s="54">
        <v>10872.12</v>
      </c>
      <c r="F36" s="54">
        <v>3069.71</v>
      </c>
      <c r="G36" s="54">
        <v>1354.36</v>
      </c>
      <c r="H36" s="55">
        <v>12.87</v>
      </c>
      <c r="I36" s="55">
        <v>703.13999999999214</v>
      </c>
    </row>
    <row r="37" spans="1:9" x14ac:dyDescent="0.15">
      <c r="A37" s="52" t="s">
        <v>36</v>
      </c>
      <c r="B37" s="54">
        <v>63436.4</v>
      </c>
      <c r="C37" s="54">
        <v>45684.22</v>
      </c>
      <c r="D37" s="54">
        <v>1756.56</v>
      </c>
      <c r="E37" s="54">
        <v>10538.87</v>
      </c>
      <c r="F37" s="54">
        <v>3396.74</v>
      </c>
      <c r="G37" s="54">
        <v>1334.98</v>
      </c>
      <c r="H37" s="55">
        <v>12.93</v>
      </c>
      <c r="I37" s="55">
        <v>712.09999999999854</v>
      </c>
    </row>
    <row r="38" spans="1:9" x14ac:dyDescent="0.15">
      <c r="A38" s="52" t="s">
        <v>37</v>
      </c>
      <c r="B38" s="54">
        <v>61997.63</v>
      </c>
      <c r="C38" s="54">
        <v>43732.66</v>
      </c>
      <c r="D38" s="54">
        <v>1741.55</v>
      </c>
      <c r="E38" s="54">
        <v>10740.14</v>
      </c>
      <c r="F38" s="54">
        <v>3751.34</v>
      </c>
      <c r="G38" s="54">
        <v>1297.08</v>
      </c>
      <c r="H38" s="55">
        <v>13.05</v>
      </c>
      <c r="I38" s="55">
        <v>721.8099999999904</v>
      </c>
    </row>
    <row r="39" spans="1:9" x14ac:dyDescent="0.15">
      <c r="A39" s="52" t="s">
        <v>38</v>
      </c>
      <c r="B39" s="54">
        <v>62683.86</v>
      </c>
      <c r="C39" s="54">
        <v>44203.63</v>
      </c>
      <c r="D39" s="54">
        <v>1742.41</v>
      </c>
      <c r="E39" s="54">
        <v>11225.78</v>
      </c>
      <c r="F39" s="54">
        <v>3482.6</v>
      </c>
      <c r="G39" s="54">
        <v>1280.1400000000001</v>
      </c>
      <c r="H39" s="55">
        <v>12.93</v>
      </c>
      <c r="I39" s="55">
        <v>736.37000000000262</v>
      </c>
    </row>
    <row r="40" spans="1:9" x14ac:dyDescent="0.15">
      <c r="A40" s="52" t="s">
        <v>39</v>
      </c>
      <c r="B40" s="54">
        <v>64951.91</v>
      </c>
      <c r="C40" s="54">
        <v>46701.42</v>
      </c>
      <c r="D40" s="54">
        <v>1737.96</v>
      </c>
      <c r="E40" s="54">
        <v>10971.74</v>
      </c>
      <c r="F40" s="54">
        <v>3516.16</v>
      </c>
      <c r="G40" s="54">
        <v>1268.3399999999999</v>
      </c>
      <c r="H40" s="55">
        <v>13.02</v>
      </c>
      <c r="I40" s="55">
        <v>743.27000000001135</v>
      </c>
    </row>
    <row r="41" spans="1:9" x14ac:dyDescent="0.15">
      <c r="A41" s="52" t="s">
        <v>40</v>
      </c>
      <c r="B41" s="54">
        <v>65073.11</v>
      </c>
      <c r="C41" s="54">
        <v>46645.38</v>
      </c>
      <c r="D41" s="54">
        <v>1760.12</v>
      </c>
      <c r="E41" s="54">
        <v>11075.55</v>
      </c>
      <c r="F41" s="54">
        <v>3568.21</v>
      </c>
      <c r="G41" s="54">
        <v>1258.08</v>
      </c>
      <c r="H41" s="55">
        <v>12.86</v>
      </c>
      <c r="I41" s="55">
        <v>752.90999999999622</v>
      </c>
    </row>
    <row r="42" spans="1:9" x14ac:dyDescent="0.15">
      <c r="A42" s="52" t="s">
        <v>41</v>
      </c>
      <c r="B42" s="54">
        <v>66755.990000000005</v>
      </c>
      <c r="C42" s="54">
        <v>48337.120000000003</v>
      </c>
      <c r="D42" s="54">
        <v>1745.49</v>
      </c>
      <c r="E42" s="54">
        <v>11170.26</v>
      </c>
      <c r="F42" s="54">
        <v>3499.19</v>
      </c>
      <c r="G42" s="54">
        <v>1227.6400000000001</v>
      </c>
      <c r="H42" s="55">
        <v>13</v>
      </c>
      <c r="I42" s="55">
        <v>763.2899999999936</v>
      </c>
    </row>
    <row r="43" spans="1:9" x14ac:dyDescent="0.15">
      <c r="A43" s="52" t="s">
        <v>42</v>
      </c>
      <c r="B43" s="54">
        <v>64793.11</v>
      </c>
      <c r="C43" s="54">
        <v>46202.67</v>
      </c>
      <c r="D43" s="54">
        <v>1736.01</v>
      </c>
      <c r="E43" s="54">
        <v>11185.28</v>
      </c>
      <c r="F43" s="54">
        <v>3688.92</v>
      </c>
      <c r="G43" s="54">
        <v>1209.8699999999999</v>
      </c>
      <c r="H43" s="55">
        <v>12.63</v>
      </c>
      <c r="I43" s="55">
        <v>757.7300000000032</v>
      </c>
    </row>
    <row r="44" spans="1:9" x14ac:dyDescent="0.15">
      <c r="A44" s="52" t="s">
        <v>43</v>
      </c>
      <c r="B44" s="54">
        <v>55482.76</v>
      </c>
      <c r="C44" s="54">
        <v>36970.06</v>
      </c>
      <c r="D44" s="54">
        <v>1722.01</v>
      </c>
      <c r="E44" s="54">
        <v>11913.01</v>
      </c>
      <c r="F44" s="54">
        <v>2960.11</v>
      </c>
      <c r="G44" s="54">
        <v>1180.08</v>
      </c>
      <c r="H44" s="55">
        <v>12.35</v>
      </c>
      <c r="I44" s="55">
        <v>725.13999999999942</v>
      </c>
    </row>
    <row r="45" spans="1:9" x14ac:dyDescent="0.15">
      <c r="A45" s="52" t="s">
        <v>44</v>
      </c>
      <c r="B45" s="54">
        <v>59085.599999999999</v>
      </c>
      <c r="C45" s="54">
        <v>40704.07</v>
      </c>
      <c r="D45" s="54">
        <v>1682.13</v>
      </c>
      <c r="E45" s="54">
        <v>11781.56</v>
      </c>
      <c r="F45" s="54">
        <v>3028.62</v>
      </c>
      <c r="G45" s="54">
        <v>1153.8399999999999</v>
      </c>
      <c r="H45" s="55">
        <v>12.28</v>
      </c>
      <c r="I45" s="55">
        <v>723.10000000000582</v>
      </c>
    </row>
    <row r="46" spans="1:9" x14ac:dyDescent="0.15">
      <c r="A46" s="52" t="s">
        <v>46</v>
      </c>
      <c r="B46" s="54">
        <v>62959.98</v>
      </c>
      <c r="C46" s="54">
        <v>44847.63</v>
      </c>
      <c r="D46" s="54">
        <v>1634.17</v>
      </c>
      <c r="E46" s="54">
        <v>11687.95</v>
      </c>
      <c r="F46" s="54">
        <v>2974.96</v>
      </c>
      <c r="G46" s="54">
        <v>1080.1199999999999</v>
      </c>
      <c r="H46" s="55">
        <v>11.56</v>
      </c>
      <c r="I46" s="55">
        <v>723.59000000000378</v>
      </c>
    </row>
    <row r="47" spans="1:9" x14ac:dyDescent="0.15">
      <c r="A47" s="56" t="s">
        <v>71</v>
      </c>
      <c r="B47" s="40">
        <v>60220.18</v>
      </c>
      <c r="C47" s="40">
        <v>40552.9</v>
      </c>
      <c r="D47" s="40">
        <v>1603.72</v>
      </c>
      <c r="E47" s="40">
        <v>11892.19</v>
      </c>
      <c r="F47" s="40">
        <v>4398.24</v>
      </c>
      <c r="G47" s="40">
        <v>1029.99</v>
      </c>
      <c r="H47" s="41">
        <v>11.51</v>
      </c>
      <c r="I47" s="41">
        <v>731.62999999999738</v>
      </c>
    </row>
    <row r="48" spans="1:9" x14ac:dyDescent="0.15">
      <c r="A48" s="56" t="s">
        <v>160</v>
      </c>
      <c r="B48" s="40">
        <v>60719.68</v>
      </c>
      <c r="C48" s="40">
        <v>41931.57</v>
      </c>
      <c r="D48" s="40">
        <v>1585.3</v>
      </c>
      <c r="E48" s="40">
        <v>11937.26</v>
      </c>
      <c r="F48" s="40">
        <v>3498.42</v>
      </c>
      <c r="G48" s="40">
        <v>1010.83</v>
      </c>
      <c r="H48" s="41">
        <v>11.41</v>
      </c>
      <c r="I48" s="41">
        <v>744.88999999999214</v>
      </c>
    </row>
    <row r="49" spans="1:9" x14ac:dyDescent="0.15">
      <c r="A49" s="56" t="s">
        <v>161</v>
      </c>
      <c r="B49" s="40">
        <v>61874.1</v>
      </c>
      <c r="C49" s="40">
        <v>43292.5</v>
      </c>
      <c r="D49" s="40">
        <v>1531.05</v>
      </c>
      <c r="E49" s="40">
        <v>11750.13</v>
      </c>
      <c r="F49" s="40">
        <v>3527.81</v>
      </c>
      <c r="G49" s="40">
        <v>1008.32</v>
      </c>
      <c r="H49" s="41">
        <v>11.44</v>
      </c>
      <c r="I49" s="41">
        <v>752.84999999999854</v>
      </c>
    </row>
    <row r="50" spans="1:9" x14ac:dyDescent="0.15">
      <c r="A50" s="56" t="s">
        <v>163</v>
      </c>
      <c r="B50" s="40">
        <v>62575.94</v>
      </c>
      <c r="C50" s="40">
        <v>43808.53</v>
      </c>
      <c r="D50" s="40">
        <v>1528.14</v>
      </c>
      <c r="E50" s="40">
        <v>11888.63</v>
      </c>
      <c r="F50" s="40">
        <v>3591.25</v>
      </c>
      <c r="G50" s="40">
        <v>989.2</v>
      </c>
      <c r="H50" s="41">
        <v>11.39</v>
      </c>
      <c r="I50" s="41">
        <v>758.80000000001019</v>
      </c>
    </row>
    <row r="51" spans="1:9" x14ac:dyDescent="0.15">
      <c r="A51" s="56" t="s">
        <v>166</v>
      </c>
      <c r="B51" s="40">
        <v>61357.83</v>
      </c>
      <c r="C51" s="40">
        <v>42832.28</v>
      </c>
      <c r="D51" s="40">
        <v>1523.03</v>
      </c>
      <c r="E51" s="40">
        <v>11988.98</v>
      </c>
      <c r="F51" s="40">
        <v>3244.65</v>
      </c>
      <c r="G51" s="40">
        <v>982.23</v>
      </c>
      <c r="H51" s="41">
        <v>11.35</v>
      </c>
      <c r="I51" s="41">
        <v>775.31000000000495</v>
      </c>
    </row>
    <row r="52" spans="1:9" x14ac:dyDescent="0.15">
      <c r="A52" s="56" t="s">
        <v>167</v>
      </c>
      <c r="B52" s="40">
        <v>63230.3</v>
      </c>
      <c r="C52" s="40">
        <v>44992.22</v>
      </c>
      <c r="D52" s="40">
        <v>1515.68</v>
      </c>
      <c r="E52" s="40">
        <v>11811.46</v>
      </c>
      <c r="F52" s="40">
        <v>3151.59</v>
      </c>
      <c r="G52" s="40">
        <v>964.08</v>
      </c>
      <c r="H52" s="41">
        <v>11.38</v>
      </c>
      <c r="I52" s="41">
        <v>783.89000000000669</v>
      </c>
    </row>
    <row r="53" spans="1:9" x14ac:dyDescent="0.15">
      <c r="A53" s="56" t="s">
        <v>168</v>
      </c>
      <c r="B53" s="40">
        <v>63728.15</v>
      </c>
      <c r="C53" s="40">
        <v>44864.75</v>
      </c>
      <c r="D53" s="40">
        <v>1516.17</v>
      </c>
      <c r="E53" s="40">
        <v>12430.45</v>
      </c>
      <c r="F53" s="40">
        <v>3154.99</v>
      </c>
      <c r="G53" s="40">
        <v>958.52</v>
      </c>
      <c r="H53" s="41">
        <v>11.31</v>
      </c>
      <c r="I53" s="41">
        <v>791.96000000001368</v>
      </c>
    </row>
    <row r="54" spans="1:9" x14ac:dyDescent="0.15">
      <c r="A54" s="56" t="s">
        <v>169</v>
      </c>
      <c r="B54" s="40">
        <v>64591.49</v>
      </c>
      <c r="C54" s="40">
        <v>46416.37</v>
      </c>
      <c r="D54" s="40">
        <v>1523.62</v>
      </c>
      <c r="E54" s="40">
        <v>11949.28</v>
      </c>
      <c r="F54" s="40">
        <v>2928.53</v>
      </c>
      <c r="G54" s="40">
        <v>956.69</v>
      </c>
      <c r="H54" s="41">
        <v>11.25</v>
      </c>
      <c r="I54" s="41">
        <v>805.74999999999272</v>
      </c>
    </row>
    <row r="55" spans="1:9" x14ac:dyDescent="0.15">
      <c r="A55" s="56" t="s">
        <v>170</v>
      </c>
      <c r="B55" s="40">
        <v>65221.37</v>
      </c>
      <c r="C55" s="40">
        <v>47120.78</v>
      </c>
      <c r="D55" s="40">
        <v>1503.97</v>
      </c>
      <c r="E55" s="40">
        <v>11873.34</v>
      </c>
      <c r="F55" s="40">
        <v>2940.12</v>
      </c>
      <c r="G55" s="40">
        <v>962.03</v>
      </c>
      <c r="H55" s="41">
        <v>11.16</v>
      </c>
      <c r="I55" s="41">
        <v>809.97000000000116</v>
      </c>
    </row>
    <row r="56" spans="1:9" x14ac:dyDescent="0.15">
      <c r="A56" s="56" t="s">
        <v>171</v>
      </c>
      <c r="B56" s="40">
        <v>56132.17</v>
      </c>
      <c r="C56" s="40">
        <v>37919.1</v>
      </c>
      <c r="D56" s="40">
        <v>1490.52</v>
      </c>
      <c r="E56" s="40">
        <v>12363.76</v>
      </c>
      <c r="F56" s="40">
        <v>2566.42</v>
      </c>
      <c r="G56" s="40">
        <v>975.81</v>
      </c>
      <c r="H56" s="41">
        <v>11.02</v>
      </c>
      <c r="I56" s="41">
        <v>805.54000000000815</v>
      </c>
    </row>
    <row r="57" spans="1:9" x14ac:dyDescent="0.15">
      <c r="A57" s="56" t="s">
        <v>172</v>
      </c>
      <c r="B57" s="40">
        <v>61675.15</v>
      </c>
      <c r="C57" s="40">
        <v>43340.86</v>
      </c>
      <c r="D57" s="40">
        <v>1442.18</v>
      </c>
      <c r="E57" s="40">
        <v>12180.1</v>
      </c>
      <c r="F57" s="40">
        <v>2906.28</v>
      </c>
      <c r="G57" s="40">
        <v>982</v>
      </c>
      <c r="H57" s="41">
        <v>10.54</v>
      </c>
      <c r="I57" s="41">
        <v>813.19000000000233</v>
      </c>
    </row>
    <row r="58" spans="1:9" x14ac:dyDescent="0.15">
      <c r="A58" s="56" t="s">
        <v>173</v>
      </c>
      <c r="B58" s="40">
        <v>66818.63</v>
      </c>
      <c r="C58" s="40">
        <v>45549.05</v>
      </c>
      <c r="D58" s="40">
        <v>1416.24</v>
      </c>
      <c r="E58" s="40">
        <v>12256.64</v>
      </c>
      <c r="F58" s="40">
        <v>5784.57</v>
      </c>
      <c r="G58" s="40">
        <v>986.8</v>
      </c>
      <c r="H58" s="41">
        <v>10.62</v>
      </c>
      <c r="I58" s="41">
        <v>814.7100000000064</v>
      </c>
    </row>
    <row r="59" spans="1:9" x14ac:dyDescent="0.15">
      <c r="A59" s="56" t="s">
        <v>174</v>
      </c>
      <c r="B59" s="40">
        <v>64438.44</v>
      </c>
      <c r="C59" s="40">
        <v>44959.48</v>
      </c>
      <c r="D59" s="40">
        <v>1352.75</v>
      </c>
      <c r="E59" s="40">
        <v>12275.08</v>
      </c>
      <c r="F59" s="40">
        <v>4032.06</v>
      </c>
      <c r="G59" s="40">
        <v>990.11</v>
      </c>
      <c r="H59" s="41">
        <v>10.56</v>
      </c>
      <c r="I59" s="41">
        <v>818.40000000000146</v>
      </c>
    </row>
    <row r="60" spans="1:9" x14ac:dyDescent="0.15">
      <c r="A60" s="56" t="s">
        <v>175</v>
      </c>
      <c r="B60" s="40">
        <v>69541.89</v>
      </c>
      <c r="C60" s="40">
        <v>47597.71</v>
      </c>
      <c r="D60" s="40">
        <v>1345.92</v>
      </c>
      <c r="E60" s="40">
        <v>12125.19</v>
      </c>
      <c r="F60" s="40">
        <v>6645.47</v>
      </c>
      <c r="G60" s="40">
        <v>986.53</v>
      </c>
      <c r="H60" s="41">
        <v>10.61</v>
      </c>
      <c r="I60" s="41">
        <v>830.4600000000064</v>
      </c>
    </row>
    <row r="61" spans="1:9" x14ac:dyDescent="0.15">
      <c r="A61" s="56" t="s">
        <v>176</v>
      </c>
      <c r="B61" s="40">
        <v>72150.539999999994</v>
      </c>
      <c r="C61" s="40">
        <v>50915.43</v>
      </c>
      <c r="D61" s="40">
        <v>1314.94</v>
      </c>
      <c r="E61" s="40">
        <v>11949.37</v>
      </c>
      <c r="F61" s="40">
        <v>6150.21</v>
      </c>
      <c r="G61" s="40">
        <v>972.79</v>
      </c>
      <c r="H61" s="41">
        <v>10.5</v>
      </c>
      <c r="I61" s="41">
        <v>837.29999999998836</v>
      </c>
    </row>
    <row r="62" spans="1:9" x14ac:dyDescent="0.15">
      <c r="A62" s="56" t="s">
        <v>177</v>
      </c>
      <c r="B62" s="40">
        <v>70772.649999999994</v>
      </c>
      <c r="C62" s="40">
        <v>51208.69</v>
      </c>
      <c r="D62" s="40">
        <v>1302.07</v>
      </c>
      <c r="E62" s="40">
        <v>12145.95</v>
      </c>
      <c r="F62" s="40">
        <v>4296.75</v>
      </c>
      <c r="G62" s="40">
        <v>965.48</v>
      </c>
      <c r="H62" s="41">
        <v>10.55</v>
      </c>
      <c r="I62" s="41">
        <v>843.15999999998894</v>
      </c>
    </row>
    <row r="63" spans="1:9" x14ac:dyDescent="0.15">
      <c r="A63" s="56" t="s">
        <v>178</v>
      </c>
      <c r="B63" s="40">
        <v>72250.91</v>
      </c>
      <c r="C63" s="40">
        <v>52405.120000000003</v>
      </c>
      <c r="D63" s="40">
        <v>1303.33</v>
      </c>
      <c r="E63" s="40">
        <v>12102.35</v>
      </c>
      <c r="F63" s="40">
        <v>4596.82</v>
      </c>
      <c r="G63" s="40">
        <v>974.41</v>
      </c>
      <c r="H63" s="41">
        <v>10.46</v>
      </c>
      <c r="I63" s="41">
        <v>858.41999999999825</v>
      </c>
    </row>
    <row r="64" spans="1:9" x14ac:dyDescent="0.15">
      <c r="A64" s="56" t="s">
        <v>179</v>
      </c>
      <c r="B64" s="40">
        <v>75746.929999999993</v>
      </c>
      <c r="C64" s="40">
        <v>54381.17</v>
      </c>
      <c r="D64" s="40">
        <v>1307.07</v>
      </c>
      <c r="E64" s="40">
        <v>12011.33</v>
      </c>
      <c r="F64" s="40">
        <v>6175.12</v>
      </c>
      <c r="G64" s="40">
        <v>996.2</v>
      </c>
      <c r="H64" s="41">
        <v>10.35</v>
      </c>
      <c r="I64" s="41">
        <v>865.69000000000233</v>
      </c>
    </row>
    <row r="65" spans="1:9" x14ac:dyDescent="0.15">
      <c r="A65" s="71" t="s">
        <v>180</v>
      </c>
      <c r="B65" s="72">
        <v>76789.77</v>
      </c>
      <c r="C65" s="72">
        <v>55781.52</v>
      </c>
      <c r="D65" s="72">
        <v>1326.8</v>
      </c>
      <c r="E65" s="72">
        <v>12418.96</v>
      </c>
      <c r="F65" s="72">
        <v>5368.16</v>
      </c>
      <c r="G65" s="72">
        <v>1011.62</v>
      </c>
      <c r="H65" s="73">
        <v>10.210000000000001</v>
      </c>
      <c r="I65" s="73">
        <v>872.5</v>
      </c>
    </row>
    <row r="66" spans="1:9" x14ac:dyDescent="0.15">
      <c r="A66" s="71" t="s">
        <v>181</v>
      </c>
      <c r="B66" s="72">
        <v>77310.679999999993</v>
      </c>
      <c r="C66" s="72">
        <v>57778.18</v>
      </c>
      <c r="D66" s="72">
        <v>1315.62</v>
      </c>
      <c r="E66" s="72">
        <v>12249.73</v>
      </c>
      <c r="F66" s="72">
        <v>4042.44</v>
      </c>
      <c r="G66" s="72">
        <v>1031.82</v>
      </c>
      <c r="H66" s="73">
        <v>10.220000000000001</v>
      </c>
      <c r="I66" s="73">
        <v>882.6699999999837</v>
      </c>
    </row>
    <row r="67" spans="1:9" x14ac:dyDescent="0.15">
      <c r="A67" s="71" t="s">
        <v>182</v>
      </c>
      <c r="B67" s="72">
        <v>72560.62</v>
      </c>
      <c r="C67" s="72">
        <v>52610</v>
      </c>
      <c r="D67" s="72">
        <v>1324.41</v>
      </c>
      <c r="E67" s="72">
        <v>12132.53</v>
      </c>
      <c r="F67" s="72">
        <v>4550.96</v>
      </c>
      <c r="G67" s="72">
        <v>1047.1500000000001</v>
      </c>
      <c r="H67" s="73">
        <v>10.19</v>
      </c>
      <c r="I67" s="73">
        <v>885.3799999999901</v>
      </c>
    </row>
    <row r="68" spans="1:9" x14ac:dyDescent="0.15">
      <c r="A68" s="71" t="s">
        <v>183</v>
      </c>
      <c r="B68" s="72">
        <v>62555.67</v>
      </c>
      <c r="C68" s="72">
        <v>41965.81</v>
      </c>
      <c r="D68" s="72">
        <v>1329.22</v>
      </c>
      <c r="E68" s="72">
        <v>12374.85</v>
      </c>
      <c r="F68" s="72">
        <v>4926.24</v>
      </c>
      <c r="G68" s="72">
        <v>1068.58</v>
      </c>
      <c r="H68" s="73">
        <v>10.32</v>
      </c>
      <c r="I68" s="73">
        <v>880.65000000000146</v>
      </c>
    </row>
    <row r="69" spans="1:9" x14ac:dyDescent="0.15">
      <c r="A69" s="71" t="s">
        <v>184</v>
      </c>
      <c r="B69" s="72">
        <v>66246.03</v>
      </c>
      <c r="C69" s="72">
        <v>45527.4</v>
      </c>
      <c r="D69" s="72">
        <v>1304.19</v>
      </c>
      <c r="E69" s="72">
        <v>12690.31</v>
      </c>
      <c r="F69" s="72">
        <v>4755.6499999999996</v>
      </c>
      <c r="G69" s="72">
        <v>1071.3399999999999</v>
      </c>
      <c r="H69" s="73">
        <v>10.39</v>
      </c>
      <c r="I69" s="73">
        <v>886.75</v>
      </c>
    </row>
    <row r="70" spans="1:9" x14ac:dyDescent="0.15">
      <c r="A70" s="71" t="s">
        <v>185</v>
      </c>
      <c r="B70" s="72">
        <v>74309.320000000007</v>
      </c>
      <c r="C70" s="72">
        <v>51215.43</v>
      </c>
      <c r="D70" s="72">
        <v>1311.86</v>
      </c>
      <c r="E70" s="72">
        <v>12563.4</v>
      </c>
      <c r="F70" s="72">
        <v>7205.2</v>
      </c>
      <c r="G70" s="72">
        <v>1110.98</v>
      </c>
      <c r="H70" s="73">
        <v>10.33</v>
      </c>
      <c r="I70" s="73">
        <v>892.1200000000099</v>
      </c>
    </row>
    <row r="71" spans="1:9" x14ac:dyDescent="0.15">
      <c r="A71" s="71" t="s">
        <v>186</v>
      </c>
      <c r="B71" s="72">
        <v>73829.740000000005</v>
      </c>
      <c r="C71" s="72">
        <v>50828.44</v>
      </c>
      <c r="D71" s="72">
        <v>1309.67</v>
      </c>
      <c r="E71" s="72">
        <v>12816.34</v>
      </c>
      <c r="F71" s="72">
        <v>6823.16</v>
      </c>
      <c r="G71" s="72">
        <v>1147.06</v>
      </c>
      <c r="H71" s="73">
        <v>10.36</v>
      </c>
      <c r="I71" s="73">
        <v>894.7100000000064</v>
      </c>
    </row>
    <row r="72" spans="1:9" x14ac:dyDescent="0.15">
      <c r="A72" s="71" t="s">
        <v>187</v>
      </c>
      <c r="B72" s="72">
        <v>79154.78</v>
      </c>
      <c r="C72" s="72">
        <v>54469.03</v>
      </c>
      <c r="D72" s="72">
        <v>1313.45</v>
      </c>
      <c r="E72" s="72">
        <v>12812.09</v>
      </c>
      <c r="F72" s="72">
        <v>8469.83</v>
      </c>
      <c r="G72" s="72">
        <v>1176.23</v>
      </c>
      <c r="H72" s="73">
        <v>10.33</v>
      </c>
      <c r="I72" s="73">
        <v>903.82000000000698</v>
      </c>
    </row>
    <row r="73" spans="1:9" x14ac:dyDescent="0.15">
      <c r="A73" s="71" t="s">
        <v>188</v>
      </c>
      <c r="B73" s="72">
        <v>81754.179999999993</v>
      </c>
      <c r="C73" s="72">
        <v>57615.46</v>
      </c>
      <c r="D73" s="72">
        <v>1275.6400000000001</v>
      </c>
      <c r="E73" s="72">
        <v>12814.61</v>
      </c>
      <c r="F73" s="72">
        <v>7909.98</v>
      </c>
      <c r="G73" s="72">
        <v>1219.51</v>
      </c>
      <c r="H73" s="73">
        <v>10.15</v>
      </c>
      <c r="I73" s="73">
        <v>908.8300000000163</v>
      </c>
    </row>
    <row r="74" spans="1:9" x14ac:dyDescent="0.15">
      <c r="A74" s="71" t="s">
        <v>189</v>
      </c>
      <c r="B74" s="72">
        <v>79601.919999999998</v>
      </c>
      <c r="C74" s="72">
        <v>59583.17</v>
      </c>
      <c r="D74" s="72">
        <v>1283.5999999999999</v>
      </c>
      <c r="E74" s="72">
        <v>13009.17</v>
      </c>
      <c r="F74" s="72">
        <v>3563.45</v>
      </c>
      <c r="G74" s="72">
        <v>1238.83</v>
      </c>
      <c r="H74" s="73">
        <v>10.29</v>
      </c>
      <c r="I74" s="73">
        <v>913.41000000000349</v>
      </c>
    </row>
    <row r="75" spans="1:9" x14ac:dyDescent="0.15">
      <c r="A75" s="71" t="s">
        <v>190</v>
      </c>
      <c r="B75" s="72">
        <v>81269.36</v>
      </c>
      <c r="C75" s="72">
        <v>59560.45</v>
      </c>
      <c r="D75" s="72">
        <v>1308.8800000000001</v>
      </c>
      <c r="E75" s="72">
        <v>13008.16</v>
      </c>
      <c r="F75" s="72">
        <v>5191.57</v>
      </c>
      <c r="G75" s="72">
        <v>1262.58</v>
      </c>
      <c r="H75" s="73">
        <v>10.199999999999999</v>
      </c>
      <c r="I75" s="73">
        <v>927.52000000000407</v>
      </c>
    </row>
    <row r="76" spans="1:9" x14ac:dyDescent="0.15">
      <c r="A76" s="71" t="s">
        <v>191</v>
      </c>
      <c r="B76" s="72">
        <v>82697.72</v>
      </c>
      <c r="C76" s="72">
        <v>58758.36</v>
      </c>
      <c r="D76" s="72">
        <v>1317.16</v>
      </c>
      <c r="E76" s="72">
        <v>12976.03</v>
      </c>
      <c r="F76" s="72">
        <v>7419.08</v>
      </c>
      <c r="G76" s="72">
        <v>1285.55</v>
      </c>
      <c r="H76" s="73">
        <v>10.27</v>
      </c>
      <c r="I76" s="73">
        <v>931.26999999998952</v>
      </c>
    </row>
    <row r="77" spans="1:9" x14ac:dyDescent="0.15">
      <c r="A77" s="71" t="s">
        <v>192</v>
      </c>
      <c r="B77" s="72">
        <v>82275.350000000006</v>
      </c>
      <c r="C77" s="72">
        <v>58931.8</v>
      </c>
      <c r="D77" s="72">
        <v>1357.98</v>
      </c>
      <c r="E77" s="72">
        <v>13235.49</v>
      </c>
      <c r="F77" s="72">
        <v>6480.12</v>
      </c>
      <c r="G77" s="72">
        <v>1320.86</v>
      </c>
      <c r="H77" s="73">
        <v>10.19</v>
      </c>
      <c r="I77" s="73">
        <v>938.91000000000349</v>
      </c>
    </row>
    <row r="78" spans="1:9" x14ac:dyDescent="0.15">
      <c r="A78" s="71" t="s">
        <v>193</v>
      </c>
      <c r="B78" s="72">
        <v>82186.75</v>
      </c>
      <c r="C78" s="72">
        <v>57827.51</v>
      </c>
      <c r="D78" s="72">
        <v>1370.29</v>
      </c>
      <c r="E78" s="72">
        <v>13173.98</v>
      </c>
      <c r="F78" s="72">
        <v>7526.33</v>
      </c>
      <c r="G78" s="72">
        <v>1327.63</v>
      </c>
      <c r="H78" s="73">
        <v>10.29</v>
      </c>
      <c r="I78" s="73">
        <v>950.72000000000116</v>
      </c>
    </row>
    <row r="79" spans="1:9" x14ac:dyDescent="0.15">
      <c r="A79" s="71" t="s">
        <v>194</v>
      </c>
      <c r="B79" s="72">
        <v>80638.539999999994</v>
      </c>
      <c r="C79" s="72">
        <v>55076.25</v>
      </c>
      <c r="D79" s="72">
        <v>1386.65</v>
      </c>
      <c r="E79" s="72">
        <v>13575.56</v>
      </c>
      <c r="F79" s="72">
        <v>8287.07</v>
      </c>
      <c r="G79" s="72">
        <v>1349.12</v>
      </c>
      <c r="H79" s="73">
        <v>9.99</v>
      </c>
      <c r="I79" s="73">
        <v>953.89999999999418</v>
      </c>
    </row>
    <row r="80" spans="1:9" x14ac:dyDescent="0.15">
      <c r="A80" s="74" t="s">
        <v>195</v>
      </c>
      <c r="B80" s="72">
        <v>69735.37</v>
      </c>
      <c r="C80" s="72">
        <v>47128.22</v>
      </c>
      <c r="D80" s="72">
        <v>1402.67</v>
      </c>
      <c r="E80" s="72">
        <v>14178.64</v>
      </c>
      <c r="F80" s="72">
        <v>4718.28</v>
      </c>
      <c r="G80" s="72">
        <v>1350.19</v>
      </c>
      <c r="H80" s="73">
        <v>9.8000000000000007</v>
      </c>
      <c r="I80" s="73">
        <v>947.56999999999243</v>
      </c>
    </row>
    <row r="81" spans="1:9" x14ac:dyDescent="0.15">
      <c r="A81" s="71" t="s">
        <v>202</v>
      </c>
      <c r="B81" s="72">
        <v>73079.72</v>
      </c>
      <c r="C81" s="72">
        <v>48370.82</v>
      </c>
      <c r="D81" s="72">
        <v>1396.92</v>
      </c>
      <c r="E81" s="72">
        <v>14434.45</v>
      </c>
      <c r="F81" s="72">
        <v>6560.3</v>
      </c>
      <c r="G81" s="72">
        <v>1346.55</v>
      </c>
      <c r="H81" s="73">
        <v>9.73</v>
      </c>
      <c r="I81" s="73">
        <v>960.94999999999709</v>
      </c>
    </row>
    <row r="82" spans="1:9" x14ac:dyDescent="0.15">
      <c r="A82" s="71" t="s">
        <v>203</v>
      </c>
      <c r="B82" s="72">
        <v>77942.77</v>
      </c>
      <c r="C82" s="72">
        <v>48966.45</v>
      </c>
      <c r="D82" s="72">
        <v>1375.26</v>
      </c>
      <c r="E82" s="72">
        <v>14473.01</v>
      </c>
      <c r="F82" s="72">
        <v>10805.3</v>
      </c>
      <c r="G82" s="72">
        <v>1346.6</v>
      </c>
      <c r="H82" s="73">
        <v>9.42</v>
      </c>
      <c r="I82" s="73">
        <v>966.72999999999593</v>
      </c>
    </row>
    <row r="83" spans="1:9" x14ac:dyDescent="0.15">
      <c r="A83" s="66" t="s">
        <v>204</v>
      </c>
      <c r="B83" s="64">
        <v>69224.539999999994</v>
      </c>
      <c r="C83" s="64">
        <v>47912</v>
      </c>
      <c r="D83" s="64">
        <v>1371.7</v>
      </c>
      <c r="E83" s="64">
        <v>14725.1</v>
      </c>
      <c r="F83" s="64">
        <v>3042.47</v>
      </c>
      <c r="G83" s="64">
        <v>1354.47</v>
      </c>
      <c r="H83" s="65">
        <v>9.31</v>
      </c>
      <c r="I83" s="65">
        <v>809.49000000000524</v>
      </c>
    </row>
    <row r="84" spans="1:9" x14ac:dyDescent="0.15">
      <c r="A84" s="66" t="s">
        <v>205</v>
      </c>
      <c r="B84" s="64">
        <v>67630.66</v>
      </c>
      <c r="C84" s="64">
        <v>45912.31</v>
      </c>
      <c r="D84" s="64">
        <v>1389.9</v>
      </c>
      <c r="E84" s="64">
        <v>14956.79</v>
      </c>
      <c r="F84" s="64">
        <v>3236.69</v>
      </c>
      <c r="G84" s="64">
        <v>1363.54</v>
      </c>
      <c r="H84" s="65">
        <v>9.26</v>
      </c>
      <c r="I84" s="65">
        <v>762.17000000001281</v>
      </c>
    </row>
    <row r="85" spans="1:9" x14ac:dyDescent="0.15">
      <c r="A85" s="66" t="s">
        <v>206</v>
      </c>
      <c r="B85" s="64">
        <v>71410.009999999995</v>
      </c>
      <c r="C85" s="64">
        <v>48975.53</v>
      </c>
      <c r="D85" s="64">
        <v>1396.04</v>
      </c>
      <c r="E85" s="64">
        <v>15371.19</v>
      </c>
      <c r="F85" s="64">
        <v>3538.02</v>
      </c>
      <c r="G85" s="64">
        <v>1375.37</v>
      </c>
      <c r="H85" s="65">
        <v>9.27</v>
      </c>
      <c r="I85" s="65">
        <v>744.58999999999651</v>
      </c>
    </row>
    <row r="86" spans="1:9" x14ac:dyDescent="0.15">
      <c r="A86" s="66" t="s">
        <v>207</v>
      </c>
      <c r="B86" s="64">
        <v>69304.94</v>
      </c>
      <c r="C86" s="64">
        <v>46314.78</v>
      </c>
      <c r="D86" s="64">
        <v>1437.79</v>
      </c>
      <c r="E86" s="64">
        <v>15707.75</v>
      </c>
      <c r="F86" s="64">
        <v>3742.85</v>
      </c>
      <c r="G86" s="64">
        <v>1364.31</v>
      </c>
      <c r="H86" s="65">
        <v>9.2200000000000006</v>
      </c>
      <c r="I86" s="65">
        <v>728.24000000000524</v>
      </c>
    </row>
    <row r="87" spans="1:9" x14ac:dyDescent="0.15">
      <c r="A87" s="66" t="s">
        <v>208</v>
      </c>
      <c r="B87" s="64">
        <v>68406.679999999993</v>
      </c>
      <c r="C87" s="64">
        <v>45652.77</v>
      </c>
      <c r="D87" s="64">
        <v>1465.06</v>
      </c>
      <c r="E87" s="64">
        <v>15848.52</v>
      </c>
      <c r="F87" s="64">
        <v>3342.49</v>
      </c>
      <c r="G87" s="64">
        <v>1369.83</v>
      </c>
      <c r="H87" s="65">
        <v>9.36</v>
      </c>
      <c r="I87" s="65">
        <v>718.64999999999418</v>
      </c>
    </row>
    <row r="88" spans="1:9" x14ac:dyDescent="0.15">
      <c r="A88" s="66" t="s">
        <v>209</v>
      </c>
      <c r="B88" s="64">
        <v>67053</v>
      </c>
      <c r="C88" s="64">
        <v>44434</v>
      </c>
      <c r="D88" s="64">
        <v>1478</v>
      </c>
      <c r="E88" s="64">
        <v>15652</v>
      </c>
      <c r="F88" s="64">
        <v>3407</v>
      </c>
      <c r="G88" s="64">
        <v>1362</v>
      </c>
      <c r="H88" s="65">
        <v>9</v>
      </c>
      <c r="I88" s="65">
        <v>711</v>
      </c>
    </row>
    <row r="89" spans="1:9" x14ac:dyDescent="0.15">
      <c r="A89" s="66" t="s">
        <v>210</v>
      </c>
      <c r="B89" s="64">
        <v>66151</v>
      </c>
      <c r="C89" s="64">
        <v>42967</v>
      </c>
      <c r="D89" s="64">
        <v>1513</v>
      </c>
      <c r="E89" s="64">
        <v>16328</v>
      </c>
      <c r="F89" s="64">
        <v>3264</v>
      </c>
      <c r="G89" s="64">
        <v>1367</v>
      </c>
      <c r="H89" s="65">
        <v>9</v>
      </c>
      <c r="I89" s="65">
        <v>702</v>
      </c>
    </row>
    <row r="90" spans="1:9" x14ac:dyDescent="0.15">
      <c r="A90" s="66" t="s">
        <v>211</v>
      </c>
      <c r="B90" s="64">
        <v>63900.66</v>
      </c>
      <c r="C90" s="64">
        <v>40808.160000000003</v>
      </c>
      <c r="D90" s="64">
        <v>1546.39</v>
      </c>
      <c r="E90" s="64">
        <v>16145.8</v>
      </c>
      <c r="F90" s="64">
        <v>3307.72</v>
      </c>
      <c r="G90" s="64">
        <v>1377.44</v>
      </c>
      <c r="H90" s="65">
        <v>9.11</v>
      </c>
      <c r="I90" s="65">
        <v>706.0399999999936</v>
      </c>
    </row>
    <row r="91" spans="1:9" x14ac:dyDescent="0.15">
      <c r="A91" s="66" t="s">
        <v>212</v>
      </c>
      <c r="B91" s="64">
        <v>62154.93</v>
      </c>
      <c r="C91" s="64">
        <v>39154.19</v>
      </c>
      <c r="D91" s="64">
        <v>1513.78</v>
      </c>
      <c r="E91" s="64">
        <v>16233.89</v>
      </c>
      <c r="F91" s="64">
        <v>3153.87</v>
      </c>
      <c r="G91" s="64">
        <v>1384.94</v>
      </c>
      <c r="H91" s="65">
        <v>9.07</v>
      </c>
      <c r="I91" s="65">
        <v>705.18999999999505</v>
      </c>
    </row>
    <row r="92" spans="1:9" x14ac:dyDescent="0.15">
      <c r="A92" s="66" t="s">
        <v>213</v>
      </c>
      <c r="B92" s="64">
        <v>56985.1</v>
      </c>
      <c r="C92" s="64">
        <v>33251.4</v>
      </c>
      <c r="D92" s="64">
        <v>1530.05</v>
      </c>
      <c r="E92" s="64">
        <v>16948.43</v>
      </c>
      <c r="F92" s="64">
        <v>3176.35</v>
      </c>
      <c r="G92" s="64">
        <v>1367.67</v>
      </c>
      <c r="H92" s="65">
        <v>8.8000000000000007</v>
      </c>
      <c r="I92" s="65">
        <v>702.39999999999418</v>
      </c>
    </row>
    <row r="93" spans="1:9" x14ac:dyDescent="0.15">
      <c r="A93" s="66" t="s">
        <v>214</v>
      </c>
      <c r="B93" s="64">
        <v>59390.87</v>
      </c>
      <c r="C93" s="64">
        <v>35600.26</v>
      </c>
      <c r="D93" s="64">
        <v>1509.98</v>
      </c>
      <c r="E93" s="64">
        <v>17288.53</v>
      </c>
      <c r="F93" s="64">
        <v>2938.33</v>
      </c>
      <c r="G93" s="64">
        <v>1342.11</v>
      </c>
      <c r="H93" s="65">
        <v>8.36</v>
      </c>
      <c r="I93" s="65">
        <v>703.29999999999563</v>
      </c>
    </row>
    <row r="94" spans="1:9" x14ac:dyDescent="0.15">
      <c r="A94" s="66" t="s">
        <v>215</v>
      </c>
      <c r="B94" s="64">
        <v>60013.919999999998</v>
      </c>
      <c r="C94" s="64">
        <v>35748.050000000003</v>
      </c>
      <c r="D94" s="64">
        <v>1351.29</v>
      </c>
      <c r="E94" s="64">
        <v>17579.830000000002</v>
      </c>
      <c r="F94" s="64">
        <v>3319.3</v>
      </c>
      <c r="G94" s="64">
        <v>1306.3499999999999</v>
      </c>
      <c r="H94" s="65">
        <v>8.48</v>
      </c>
      <c r="I94" s="65">
        <v>700.61999999998807</v>
      </c>
    </row>
    <row r="95" spans="1:9" x14ac:dyDescent="0.15">
      <c r="A95" s="66" t="s">
        <v>216</v>
      </c>
      <c r="B95" s="64">
        <v>60846.41</v>
      </c>
      <c r="C95" s="64">
        <v>36304.980000000003</v>
      </c>
      <c r="D95" s="64">
        <v>1316.17</v>
      </c>
      <c r="E95" s="64">
        <v>17880.7</v>
      </c>
      <c r="F95" s="64">
        <v>3378.54</v>
      </c>
      <c r="G95" s="64">
        <v>1278.2</v>
      </c>
      <c r="H95" s="65">
        <v>8.36</v>
      </c>
      <c r="I95" s="65">
        <v>679.45999999999913</v>
      </c>
    </row>
    <row r="96" spans="1:9" x14ac:dyDescent="0.15">
      <c r="A96" s="66" t="s">
        <v>217</v>
      </c>
      <c r="B96" s="64">
        <v>60363.99</v>
      </c>
      <c r="C96" s="64">
        <v>36373.79</v>
      </c>
      <c r="D96" s="64">
        <v>1309.82</v>
      </c>
      <c r="E96" s="64">
        <v>17212.64</v>
      </c>
      <c r="F96" s="64">
        <v>3532.41</v>
      </c>
      <c r="G96" s="64">
        <v>1254.74</v>
      </c>
      <c r="H96" s="65">
        <v>8.42</v>
      </c>
      <c r="I96" s="65">
        <v>672.16999999999825</v>
      </c>
    </row>
    <row r="97" spans="1:9" x14ac:dyDescent="0.15">
      <c r="A97" s="66" t="s">
        <v>218</v>
      </c>
      <c r="B97" s="64">
        <v>63058.2</v>
      </c>
      <c r="C97" s="64">
        <v>38905.1</v>
      </c>
      <c r="D97" s="64">
        <v>1285.55</v>
      </c>
      <c r="E97" s="64">
        <v>17260.14</v>
      </c>
      <c r="F97" s="64">
        <v>3679.53</v>
      </c>
      <c r="G97" s="64">
        <v>1249.02</v>
      </c>
      <c r="H97" s="65">
        <v>8.33</v>
      </c>
      <c r="I97" s="65">
        <v>670.52999999999884</v>
      </c>
    </row>
    <row r="98" spans="1:9" x14ac:dyDescent="0.15">
      <c r="A98" s="66" t="s">
        <v>219</v>
      </c>
      <c r="B98" s="64">
        <v>65951.070000000007</v>
      </c>
      <c r="C98" s="64">
        <v>41081.980000000003</v>
      </c>
      <c r="D98" s="64">
        <v>1301.96</v>
      </c>
      <c r="E98" s="64">
        <v>17362.54</v>
      </c>
      <c r="F98" s="64">
        <v>4291.34</v>
      </c>
      <c r="G98" s="64">
        <v>1237.92</v>
      </c>
      <c r="H98" s="65">
        <v>8.42</v>
      </c>
      <c r="I98" s="65">
        <v>666.91000000000349</v>
      </c>
    </row>
    <row r="99" spans="1:9" x14ac:dyDescent="0.15">
      <c r="A99" s="66" t="s">
        <v>220</v>
      </c>
      <c r="B99" s="64">
        <v>66669.039999999994</v>
      </c>
      <c r="C99" s="64">
        <v>42325.29</v>
      </c>
      <c r="D99" s="64">
        <v>1292.92</v>
      </c>
      <c r="E99" s="64">
        <v>17275.900000000001</v>
      </c>
      <c r="F99" s="64">
        <v>3870.48</v>
      </c>
      <c r="G99" s="64">
        <v>1230.67</v>
      </c>
      <c r="H99" s="65">
        <v>8.2799999999999994</v>
      </c>
      <c r="I99" s="65">
        <v>665.49999999998545</v>
      </c>
    </row>
    <row r="100" spans="1:9" x14ac:dyDescent="0.15">
      <c r="A100" s="66" t="s">
        <v>222</v>
      </c>
      <c r="B100" s="64">
        <v>67686.149999999994</v>
      </c>
      <c r="C100" s="64">
        <v>43794.7</v>
      </c>
      <c r="D100" s="64">
        <v>1292.52</v>
      </c>
      <c r="E100" s="64">
        <v>17106.669999999998</v>
      </c>
      <c r="F100" s="64">
        <v>3594.64</v>
      </c>
      <c r="G100" s="64">
        <v>1226.79</v>
      </c>
      <c r="H100" s="65">
        <v>8.09</v>
      </c>
      <c r="I100" s="65">
        <v>662.74000000000524</v>
      </c>
    </row>
    <row r="101" spans="1:9" x14ac:dyDescent="0.15">
      <c r="A101" s="66" t="s">
        <v>223</v>
      </c>
      <c r="B101" s="64">
        <v>75098.7</v>
      </c>
      <c r="C101" s="64">
        <v>50850.46</v>
      </c>
      <c r="D101" s="64">
        <v>1319.12</v>
      </c>
      <c r="E101" s="64">
        <v>17362.09</v>
      </c>
      <c r="F101" s="64">
        <v>3670.88</v>
      </c>
      <c r="G101" s="64">
        <v>1228.9000000000001</v>
      </c>
      <c r="H101" s="65">
        <v>8.0500000000000007</v>
      </c>
      <c r="I101" s="65">
        <v>659.19999999999709</v>
      </c>
    </row>
    <row r="102" spans="1:9" x14ac:dyDescent="0.15">
      <c r="A102" s="66" t="s">
        <v>224</v>
      </c>
      <c r="B102" s="64">
        <v>77094.850000000006</v>
      </c>
      <c r="C102" s="64">
        <v>47195.29</v>
      </c>
      <c r="D102" s="64">
        <v>1335.85</v>
      </c>
      <c r="E102" s="64">
        <v>17575.29</v>
      </c>
      <c r="F102" s="64">
        <v>9127.7900000000009</v>
      </c>
      <c r="G102" s="64">
        <v>1190.0999999999999</v>
      </c>
      <c r="H102" s="65">
        <v>8.17</v>
      </c>
      <c r="I102" s="65">
        <v>662.36000000000058</v>
      </c>
    </row>
    <row r="103" spans="1:9" x14ac:dyDescent="0.15">
      <c r="A103" s="66" t="s">
        <v>225</v>
      </c>
      <c r="B103" s="64">
        <v>79763.41</v>
      </c>
      <c r="C103" s="64">
        <v>49288.44</v>
      </c>
      <c r="D103" s="64">
        <v>1348.98</v>
      </c>
      <c r="E103" s="64">
        <v>17622.95</v>
      </c>
      <c r="F103" s="64">
        <v>9680.5300000000007</v>
      </c>
      <c r="G103" s="64">
        <v>1155.8800000000001</v>
      </c>
      <c r="H103" s="65">
        <v>8.15</v>
      </c>
      <c r="I103" s="65">
        <v>658.47999999999593</v>
      </c>
    </row>
    <row r="104" spans="1:9" x14ac:dyDescent="0.15">
      <c r="A104" s="66" t="s">
        <v>227</v>
      </c>
      <c r="B104" s="64">
        <v>68460.740000000005</v>
      </c>
      <c r="C104" s="64">
        <v>39395.78</v>
      </c>
      <c r="D104" s="64">
        <v>1361.87</v>
      </c>
      <c r="E104" s="64">
        <v>17927.05</v>
      </c>
      <c r="F104" s="64">
        <v>8003.19</v>
      </c>
      <c r="G104" s="64">
        <v>1116.5899999999999</v>
      </c>
      <c r="H104" s="65">
        <v>8.2799999999999994</v>
      </c>
      <c r="I104" s="65">
        <v>647.98000000001048</v>
      </c>
    </row>
    <row r="105" spans="1:9" x14ac:dyDescent="0.15">
      <c r="A105" s="66" t="s">
        <v>228</v>
      </c>
      <c r="B105" s="64">
        <v>70017.14</v>
      </c>
      <c r="C105" s="64">
        <v>42389.65</v>
      </c>
      <c r="D105" s="64">
        <v>1347.55</v>
      </c>
      <c r="E105" s="64">
        <v>18199.990000000002</v>
      </c>
      <c r="F105" s="64">
        <v>6343.22</v>
      </c>
      <c r="G105" s="64">
        <v>1077.2</v>
      </c>
      <c r="H105" s="65">
        <v>8.1999999999999993</v>
      </c>
      <c r="I105" s="65">
        <v>651.33000000000175</v>
      </c>
    </row>
    <row r="106" spans="1:9" x14ac:dyDescent="0.15">
      <c r="A106" s="66" t="s">
        <v>230</v>
      </c>
      <c r="B106" s="64">
        <v>70912</v>
      </c>
      <c r="C106" s="64">
        <v>42463.99</v>
      </c>
      <c r="D106" s="64">
        <v>1351.08</v>
      </c>
      <c r="E106" s="64">
        <v>17735.66</v>
      </c>
      <c r="F106" s="64">
        <v>7677.29</v>
      </c>
      <c r="G106" s="64">
        <v>1038.97</v>
      </c>
      <c r="H106" s="65">
        <v>8.08</v>
      </c>
      <c r="I106" s="65">
        <v>636.93000000000757</v>
      </c>
    </row>
    <row r="107" spans="1:9" x14ac:dyDescent="0.15">
      <c r="A107" s="66" t="s">
        <v>231</v>
      </c>
      <c r="B107" s="64">
        <v>73337.350000000006</v>
      </c>
      <c r="C107" s="64">
        <v>45901.86</v>
      </c>
      <c r="D107" s="64">
        <v>1392.81</v>
      </c>
      <c r="E107" s="64">
        <v>17853.55</v>
      </c>
      <c r="F107" s="64">
        <v>6544.16</v>
      </c>
      <c r="G107" s="64">
        <v>1015.36</v>
      </c>
      <c r="H107" s="65">
        <v>8.11</v>
      </c>
      <c r="I107" s="65">
        <v>621.5</v>
      </c>
    </row>
    <row r="108" spans="1:9" x14ac:dyDescent="0.15">
      <c r="A108" s="66" t="s">
        <v>234</v>
      </c>
      <c r="B108" s="64">
        <v>82650.34</v>
      </c>
      <c r="C108" s="64">
        <v>50775.53</v>
      </c>
      <c r="D108" s="64">
        <v>1455.08</v>
      </c>
      <c r="E108" s="64">
        <v>17782.96</v>
      </c>
      <c r="F108" s="64">
        <v>11013.71</v>
      </c>
      <c r="G108" s="64">
        <v>997.97</v>
      </c>
      <c r="H108" s="65">
        <v>8.09</v>
      </c>
      <c r="I108" s="65">
        <v>617</v>
      </c>
    </row>
    <row r="109" spans="1:9" x14ac:dyDescent="0.15">
      <c r="A109" s="66" t="s">
        <v>237</v>
      </c>
      <c r="B109" s="64">
        <v>88673.93</v>
      </c>
      <c r="C109" s="64">
        <v>54230.3</v>
      </c>
      <c r="D109" s="64">
        <v>1486.07</v>
      </c>
      <c r="E109" s="64">
        <v>17881.490000000002</v>
      </c>
      <c r="F109" s="64">
        <v>13466.42</v>
      </c>
      <c r="G109" s="64">
        <v>993.65</v>
      </c>
      <c r="H109" s="65">
        <v>7.86</v>
      </c>
      <c r="I109" s="65">
        <v>608.13999999999942</v>
      </c>
    </row>
    <row r="110" spans="1:9" x14ac:dyDescent="0.15">
      <c r="A110" s="66" t="s">
        <v>238</v>
      </c>
      <c r="B110" s="64">
        <v>86177.7</v>
      </c>
      <c r="C110" s="64">
        <v>59035.97</v>
      </c>
      <c r="D110" s="64">
        <v>1559.97</v>
      </c>
      <c r="E110" s="64">
        <v>17692.53</v>
      </c>
      <c r="F110" s="64">
        <v>6295.94</v>
      </c>
      <c r="G110" s="64">
        <v>978.99</v>
      </c>
      <c r="H110" s="65">
        <v>7.94</v>
      </c>
      <c r="I110" s="65">
        <v>606.35999999998603</v>
      </c>
    </row>
    <row r="111" spans="1:9" x14ac:dyDescent="0.15">
      <c r="A111" s="66" t="s">
        <v>239</v>
      </c>
      <c r="B111" s="64">
        <v>90523.88</v>
      </c>
      <c r="C111" s="64">
        <v>62758.79</v>
      </c>
      <c r="D111" s="64">
        <v>1589.25</v>
      </c>
      <c r="E111" s="64">
        <v>17395.91</v>
      </c>
      <c r="F111" s="64">
        <v>7235.15</v>
      </c>
      <c r="G111" s="64">
        <v>945.34</v>
      </c>
      <c r="H111" s="65">
        <v>8.01</v>
      </c>
      <c r="I111" s="65">
        <v>591.43000000002212</v>
      </c>
    </row>
    <row r="112" spans="1:9" x14ac:dyDescent="0.15">
      <c r="A112" s="66" t="s">
        <v>241</v>
      </c>
      <c r="B112" s="64">
        <v>94876.89</v>
      </c>
      <c r="C112" s="64">
        <v>65455.81</v>
      </c>
      <c r="D112" s="64">
        <v>1644.78</v>
      </c>
      <c r="E112" s="64">
        <v>16965.599999999999</v>
      </c>
      <c r="F112" s="64">
        <v>9311.2999999999993</v>
      </c>
      <c r="G112" s="64">
        <v>912.21</v>
      </c>
      <c r="H112" s="65">
        <v>8.09</v>
      </c>
      <c r="I112" s="65">
        <v>579.09999999999127</v>
      </c>
    </row>
    <row r="113" spans="1:9" x14ac:dyDescent="0.15">
      <c r="A113" s="66" t="s">
        <v>242</v>
      </c>
      <c r="B113" s="64">
        <v>96713</v>
      </c>
      <c r="C113" s="64">
        <v>68555.7</v>
      </c>
      <c r="D113" s="64">
        <v>1694.17</v>
      </c>
      <c r="E113" s="64">
        <v>16711.759999999998</v>
      </c>
      <c r="F113" s="64">
        <v>8291.51</v>
      </c>
      <c r="G113" s="64">
        <v>885.87</v>
      </c>
      <c r="H113" s="65">
        <v>7.94</v>
      </c>
      <c r="I113" s="65">
        <v>566.05000000001746</v>
      </c>
    </row>
    <row r="114" spans="1:9" x14ac:dyDescent="0.15">
      <c r="A114" s="66" t="s">
        <v>243</v>
      </c>
      <c r="B114" s="64">
        <v>106383.61</v>
      </c>
      <c r="C114" s="64">
        <v>75504.97</v>
      </c>
      <c r="D114" s="64">
        <v>1724.24</v>
      </c>
      <c r="E114" s="64">
        <v>16129.4</v>
      </c>
      <c r="F114" s="64">
        <v>11621.73</v>
      </c>
      <c r="G114" s="64">
        <v>858.22</v>
      </c>
      <c r="H114" s="65">
        <v>7.85</v>
      </c>
      <c r="I114" s="65">
        <v>537.19999999999709</v>
      </c>
    </row>
    <row r="115" spans="1:9" x14ac:dyDescent="0.15">
      <c r="A115" s="66" t="s">
        <v>246</v>
      </c>
      <c r="B115" s="64">
        <v>106688.01</v>
      </c>
      <c r="C115" s="64">
        <v>80002.720000000001</v>
      </c>
      <c r="D115" s="64">
        <v>1738.91</v>
      </c>
      <c r="E115" s="64">
        <v>15538.5</v>
      </c>
      <c r="F115" s="64">
        <v>8103.1</v>
      </c>
      <c r="G115" s="64">
        <v>809</v>
      </c>
      <c r="H115" s="65">
        <v>6.79</v>
      </c>
      <c r="I115" s="65">
        <v>488.98999999999069</v>
      </c>
    </row>
    <row r="116" spans="1:9" x14ac:dyDescent="0.15">
      <c r="A116" s="66" t="s">
        <v>247</v>
      </c>
      <c r="B116" s="64">
        <v>93640.08</v>
      </c>
      <c r="C116" s="64">
        <v>67156.240000000005</v>
      </c>
      <c r="D116" s="64">
        <v>1774.71</v>
      </c>
      <c r="E116" s="64">
        <v>15238.07</v>
      </c>
      <c r="F116" s="64">
        <v>8296.0400000000009</v>
      </c>
      <c r="G116" s="64">
        <v>768.58</v>
      </c>
      <c r="H116" s="65">
        <v>6.71</v>
      </c>
      <c r="I116" s="65">
        <v>399.72999999996682</v>
      </c>
    </row>
    <row r="117" spans="1:9" x14ac:dyDescent="0.15">
      <c r="A117" s="66" t="s">
        <v>248</v>
      </c>
      <c r="B117" s="64">
        <v>95565.63</v>
      </c>
      <c r="C117" s="64">
        <v>71889.679999999993</v>
      </c>
      <c r="D117" s="64">
        <v>1783.72</v>
      </c>
      <c r="E117" s="64">
        <v>14778.54</v>
      </c>
      <c r="F117" s="64">
        <v>6001.91</v>
      </c>
      <c r="G117" s="64">
        <v>755.18</v>
      </c>
      <c r="H117" s="65">
        <v>6.47</v>
      </c>
      <c r="I117" s="65">
        <v>350.13000000000466</v>
      </c>
    </row>
    <row r="118" spans="1:9" x14ac:dyDescent="0.15">
      <c r="A118" s="66" t="s">
        <v>250</v>
      </c>
      <c r="B118" s="64">
        <v>107046.53</v>
      </c>
      <c r="C118" s="64">
        <v>84282.99</v>
      </c>
      <c r="D118" s="64">
        <v>1786.49</v>
      </c>
      <c r="E118" s="64">
        <v>14724.95</v>
      </c>
      <c r="F118" s="64">
        <v>5150.76</v>
      </c>
      <c r="G118" s="64">
        <v>747.18</v>
      </c>
      <c r="H118" s="65">
        <v>6.22</v>
      </c>
      <c r="I118" s="65">
        <v>347.94000000000233</v>
      </c>
    </row>
    <row r="119" spans="1:9" x14ac:dyDescent="0.15">
      <c r="A119" s="66" t="s">
        <v>253</v>
      </c>
      <c r="B119" s="64">
        <v>101713.52</v>
      </c>
      <c r="C119" s="64">
        <v>80667.789999999994</v>
      </c>
      <c r="D119" s="64">
        <v>1847.33</v>
      </c>
      <c r="E119" s="64">
        <v>15314.51</v>
      </c>
      <c r="F119" s="64">
        <v>2902.63</v>
      </c>
      <c r="G119" s="64">
        <v>746.59</v>
      </c>
      <c r="H119" s="65">
        <v>5.99</v>
      </c>
      <c r="I119" s="65">
        <v>228.68000000000757</v>
      </c>
    </row>
    <row r="120" spans="1:9" x14ac:dyDescent="0.15">
      <c r="A120" s="66" t="s">
        <v>255</v>
      </c>
      <c r="B120" s="64">
        <v>99351.7</v>
      </c>
      <c r="C120" s="64">
        <v>78605.820000000007</v>
      </c>
      <c r="D120" s="64">
        <v>1914.66</v>
      </c>
      <c r="E120" s="64">
        <v>15151.24</v>
      </c>
      <c r="F120" s="64">
        <v>2714.35</v>
      </c>
      <c r="G120" s="64">
        <v>771.56</v>
      </c>
      <c r="H120" s="65">
        <v>5.87</v>
      </c>
      <c r="I120" s="65">
        <v>188.19999999998254</v>
      </c>
    </row>
    <row r="121" spans="1:9" x14ac:dyDescent="0.15">
      <c r="A121" s="66" t="s">
        <v>258</v>
      </c>
      <c r="B121" s="64">
        <v>101807.57</v>
      </c>
      <c r="C121" s="64">
        <v>81176.45</v>
      </c>
      <c r="D121" s="64">
        <v>1965.03</v>
      </c>
      <c r="E121" s="64">
        <v>14910.95</v>
      </c>
      <c r="F121" s="64">
        <v>2797.78</v>
      </c>
      <c r="G121" s="64">
        <v>786.85</v>
      </c>
      <c r="H121" s="65">
        <v>5.86</v>
      </c>
      <c r="I121" s="65">
        <v>164.65000000000873</v>
      </c>
    </row>
    <row r="122" spans="1:9" x14ac:dyDescent="0.15">
      <c r="A122" s="66" t="s">
        <v>260</v>
      </c>
      <c r="B122" s="64">
        <v>95738.65</v>
      </c>
      <c r="C122" s="64">
        <v>74211.990000000005</v>
      </c>
      <c r="D122" s="64">
        <v>2030.64</v>
      </c>
      <c r="E122" s="64">
        <v>15149.13</v>
      </c>
      <c r="F122" s="64">
        <v>3393.12</v>
      </c>
      <c r="G122" s="64">
        <v>794.35</v>
      </c>
      <c r="H122" s="65">
        <v>5.85</v>
      </c>
      <c r="I122" s="65">
        <v>153.56999999997788</v>
      </c>
    </row>
    <row r="123" spans="1:9" x14ac:dyDescent="0.15">
      <c r="A123" s="66" t="s">
        <v>262</v>
      </c>
      <c r="B123" s="64">
        <v>100297.09</v>
      </c>
      <c r="C123" s="64">
        <v>78514.899999999994</v>
      </c>
      <c r="D123" s="64">
        <v>2093.27</v>
      </c>
      <c r="E123" s="64">
        <v>15097.36</v>
      </c>
      <c r="F123" s="64">
        <v>3630.78</v>
      </c>
      <c r="G123" s="64">
        <v>811.95</v>
      </c>
      <c r="H123" s="65">
        <v>5.81</v>
      </c>
      <c r="I123" s="65">
        <v>143.02000000000407</v>
      </c>
    </row>
    <row r="124" spans="1:9" x14ac:dyDescent="0.15">
      <c r="A124" s="66" t="s">
        <v>265</v>
      </c>
      <c r="B124" s="64">
        <v>105282.67</v>
      </c>
      <c r="C124" s="64">
        <v>83785.34</v>
      </c>
      <c r="D124" s="64">
        <v>2131.8200000000002</v>
      </c>
      <c r="E124" s="64">
        <v>14922.02</v>
      </c>
      <c r="F124" s="64">
        <v>3478.93</v>
      </c>
      <c r="G124" s="64">
        <v>821.11</v>
      </c>
      <c r="H124" s="65">
        <v>5.69</v>
      </c>
      <c r="I124" s="65">
        <v>137.75999999999476</v>
      </c>
    </row>
    <row r="125" spans="1:9" x14ac:dyDescent="0.15">
      <c r="A125" s="66" t="s">
        <v>267</v>
      </c>
      <c r="B125" s="64">
        <v>102618.5</v>
      </c>
      <c r="C125" s="64">
        <v>80857.740000000005</v>
      </c>
      <c r="D125" s="64">
        <v>2199.8200000000002</v>
      </c>
      <c r="E125" s="64">
        <v>15355.72</v>
      </c>
      <c r="F125" s="64">
        <v>3237.03</v>
      </c>
      <c r="G125" s="64">
        <v>828.27</v>
      </c>
      <c r="H125" s="65">
        <v>5.68</v>
      </c>
      <c r="I125" s="65">
        <v>134.23999999999069</v>
      </c>
    </row>
    <row r="126" spans="1:9" x14ac:dyDescent="0.15">
      <c r="A126" s="66" t="s">
        <v>269</v>
      </c>
      <c r="B126" s="64">
        <v>101804.99</v>
      </c>
      <c r="C126" s="64">
        <v>79845.88</v>
      </c>
      <c r="D126" s="64">
        <v>2255.44</v>
      </c>
      <c r="E126" s="64">
        <v>14944.47</v>
      </c>
      <c r="F126" s="64">
        <v>3825.75</v>
      </c>
      <c r="G126" s="64">
        <v>796.82</v>
      </c>
      <c r="H126" s="65">
        <v>5.53</v>
      </c>
      <c r="I126" s="65">
        <v>131.09999999999127</v>
      </c>
    </row>
    <row r="127" spans="1:9" x14ac:dyDescent="0.15">
      <c r="A127" s="66" t="s">
        <v>271</v>
      </c>
      <c r="B127" s="64">
        <v>104205.98</v>
      </c>
      <c r="C127" s="64">
        <v>80977.039999999994</v>
      </c>
      <c r="D127" s="64">
        <v>2306.52</v>
      </c>
      <c r="E127" s="64">
        <v>14956.22</v>
      </c>
      <c r="F127" s="64">
        <v>5084.9799999999996</v>
      </c>
      <c r="G127" s="64">
        <v>751.12</v>
      </c>
      <c r="H127" s="65">
        <v>5.25</v>
      </c>
      <c r="I127" s="65">
        <v>124.85000000000582</v>
      </c>
    </row>
    <row r="128" spans="1:9" x14ac:dyDescent="0.15">
      <c r="A128" s="66" t="s">
        <v>273</v>
      </c>
      <c r="B128" s="64">
        <v>92284.14</v>
      </c>
      <c r="C128" s="64">
        <v>68837.3</v>
      </c>
      <c r="D128" s="64">
        <v>2378.12</v>
      </c>
      <c r="E128" s="64">
        <v>15511.45</v>
      </c>
      <c r="F128" s="64">
        <v>4715.49</v>
      </c>
      <c r="G128" s="64">
        <v>716.67</v>
      </c>
      <c r="H128" s="65">
        <v>5.13</v>
      </c>
      <c r="I128" s="65">
        <v>119.97999999999593</v>
      </c>
    </row>
    <row r="129" spans="1:9" x14ac:dyDescent="0.15">
      <c r="A129" s="66" t="s">
        <v>274</v>
      </c>
      <c r="B129" s="64">
        <v>93906.79</v>
      </c>
      <c r="C129" s="64">
        <v>71094.080000000002</v>
      </c>
      <c r="D129" s="64">
        <v>2438.0500000000002</v>
      </c>
      <c r="E129" s="64">
        <v>15210.48</v>
      </c>
      <c r="F129" s="64">
        <v>4344.21</v>
      </c>
      <c r="G129" s="64">
        <v>700.2</v>
      </c>
      <c r="H129" s="65">
        <v>5.09</v>
      </c>
      <c r="I129" s="65">
        <v>114.67999999999302</v>
      </c>
    </row>
    <row r="130" spans="1:9" x14ac:dyDescent="0.15">
      <c r="A130" s="66" t="s">
        <v>276</v>
      </c>
      <c r="B130" s="64">
        <v>104327.39</v>
      </c>
      <c r="C130" s="64">
        <v>80860.320000000007</v>
      </c>
      <c r="D130" s="64">
        <v>1800.65</v>
      </c>
      <c r="E130" s="64">
        <v>15843.09</v>
      </c>
      <c r="F130" s="64">
        <v>5009.82</v>
      </c>
      <c r="G130" s="64">
        <v>695.72</v>
      </c>
      <c r="H130" s="65">
        <v>5.05</v>
      </c>
      <c r="I130" s="65">
        <v>112.73999999999069</v>
      </c>
    </row>
    <row r="131" spans="1:9" x14ac:dyDescent="0.15">
      <c r="A131" s="66" t="s">
        <v>278</v>
      </c>
      <c r="B131" s="64">
        <v>94952.6</v>
      </c>
      <c r="C131" s="64">
        <v>72400.59</v>
      </c>
      <c r="D131" s="64">
        <v>1671.23</v>
      </c>
      <c r="E131" s="64">
        <v>16122.85</v>
      </c>
      <c r="F131" s="64">
        <v>3936.4</v>
      </c>
      <c r="G131" s="64">
        <v>705.46</v>
      </c>
      <c r="H131" s="65">
        <v>4.8600000000000003</v>
      </c>
      <c r="I131" s="65">
        <v>111.2100000000064</v>
      </c>
    </row>
    <row r="132" spans="1:9" x14ac:dyDescent="0.15">
      <c r="A132" s="66" t="s">
        <v>279</v>
      </c>
      <c r="B132" s="64">
        <v>93822.12</v>
      </c>
      <c r="C132" s="64">
        <v>70870.929999999993</v>
      </c>
      <c r="D132" s="64">
        <v>1650.03</v>
      </c>
      <c r="E132" s="64">
        <v>15837.6</v>
      </c>
      <c r="F132" s="64">
        <v>4626.84</v>
      </c>
      <c r="G132" s="64">
        <v>722.43</v>
      </c>
      <c r="H132" s="65">
        <v>4.8600000000000003</v>
      </c>
      <c r="I132" s="65">
        <v>109.43000000000757</v>
      </c>
    </row>
    <row r="133" spans="1:9" x14ac:dyDescent="0.15">
      <c r="A133" s="66" t="s">
        <v>280</v>
      </c>
      <c r="B133" s="64">
        <v>99305.29</v>
      </c>
      <c r="C133" s="64">
        <v>76094.22</v>
      </c>
      <c r="D133" s="64">
        <v>1698.11</v>
      </c>
      <c r="E133" s="64">
        <v>15746.53</v>
      </c>
      <c r="F133" s="64">
        <v>4917.1400000000003</v>
      </c>
      <c r="G133" s="64">
        <v>736.36</v>
      </c>
      <c r="H133" s="65">
        <v>4.84</v>
      </c>
      <c r="I133" s="65">
        <v>108.08999999999651</v>
      </c>
    </row>
    <row r="134" spans="1:9" x14ac:dyDescent="0.15">
      <c r="A134" s="66" t="s">
        <v>282</v>
      </c>
      <c r="B134" s="64">
        <v>93984.81</v>
      </c>
      <c r="C134" s="64">
        <v>70859.81</v>
      </c>
      <c r="D134" s="64">
        <v>1765.64</v>
      </c>
      <c r="E134" s="64">
        <v>15883.32</v>
      </c>
      <c r="F134" s="64">
        <v>4626.8500000000004</v>
      </c>
      <c r="G134" s="64">
        <v>737.83</v>
      </c>
      <c r="H134" s="65">
        <v>4.84</v>
      </c>
      <c r="I134" s="65">
        <v>106.52000000000407</v>
      </c>
    </row>
    <row r="135" spans="1:9" x14ac:dyDescent="0.15">
      <c r="A135" s="66" t="s">
        <v>283</v>
      </c>
      <c r="B135" s="64">
        <v>91459.04</v>
      </c>
      <c r="C135" s="64">
        <v>68672.960000000006</v>
      </c>
      <c r="D135" s="64">
        <v>1845.13</v>
      </c>
      <c r="E135" s="64">
        <v>15747.03</v>
      </c>
      <c r="F135" s="64">
        <v>4347.76</v>
      </c>
      <c r="G135" s="64">
        <v>734.5</v>
      </c>
      <c r="H135" s="65">
        <v>4.79</v>
      </c>
      <c r="I135" s="65">
        <v>106.86999999999534</v>
      </c>
    </row>
    <row r="136" spans="1:9" x14ac:dyDescent="0.15">
      <c r="A136" s="66" t="s">
        <v>284</v>
      </c>
      <c r="B136" s="64">
        <v>94859.24</v>
      </c>
      <c r="C136" s="64">
        <v>72201.31</v>
      </c>
      <c r="D136" s="64">
        <v>1924.33</v>
      </c>
      <c r="E136" s="64">
        <v>15589.21</v>
      </c>
      <c r="F136" s="64">
        <v>4301.8100000000004</v>
      </c>
      <c r="G136" s="64">
        <v>734.72</v>
      </c>
      <c r="H136" s="65">
        <v>4.74</v>
      </c>
      <c r="I136" s="65">
        <v>103.11999999999534</v>
      </c>
    </row>
    <row r="137" spans="1:9" x14ac:dyDescent="0.15">
      <c r="A137" s="66" t="s">
        <v>285</v>
      </c>
      <c r="B137" s="64">
        <v>93970.85</v>
      </c>
      <c r="C137" s="64">
        <v>70963.759999999995</v>
      </c>
      <c r="D137" s="64">
        <v>1993.85</v>
      </c>
      <c r="E137" s="64">
        <v>15643.4</v>
      </c>
      <c r="F137" s="64">
        <v>4532.47</v>
      </c>
      <c r="G137" s="64">
        <v>731.28</v>
      </c>
      <c r="H137" s="65">
        <v>4.6900000000000004</v>
      </c>
      <c r="I137" s="65">
        <v>101.40000000000873</v>
      </c>
    </row>
    <row r="138" spans="1:9" x14ac:dyDescent="0.15">
      <c r="A138" s="66" t="s">
        <v>289</v>
      </c>
      <c r="B138" s="64">
        <v>94579.36</v>
      </c>
      <c r="C138" s="64">
        <v>71885.31</v>
      </c>
      <c r="D138" s="64">
        <v>2028.87</v>
      </c>
      <c r="E138" s="64">
        <v>15750.93</v>
      </c>
      <c r="F138" s="64">
        <v>4082.38</v>
      </c>
      <c r="G138" s="64">
        <v>725.65</v>
      </c>
      <c r="H138" s="65">
        <v>4.66</v>
      </c>
      <c r="I138" s="65">
        <v>101.56000000001222</v>
      </c>
    </row>
    <row r="139" spans="1:9" x14ac:dyDescent="0.15">
      <c r="A139" s="66" t="s">
        <v>290</v>
      </c>
      <c r="B139" s="64">
        <v>98692.479999999996</v>
      </c>
      <c r="C139" s="64">
        <v>73736.73</v>
      </c>
      <c r="D139" s="64">
        <v>2088.96</v>
      </c>
      <c r="E139" s="64">
        <v>15971.02</v>
      </c>
      <c r="F139" s="64">
        <v>6090.67</v>
      </c>
      <c r="G139" s="64">
        <v>702.08</v>
      </c>
      <c r="H139" s="65">
        <v>4.6100000000000003</v>
      </c>
      <c r="I139" s="65">
        <v>98.409999999988941</v>
      </c>
    </row>
    <row r="140" spans="1:9" x14ac:dyDescent="0.15">
      <c r="A140" s="86" t="s">
        <v>291</v>
      </c>
      <c r="B140" s="64">
        <v>86633.48</v>
      </c>
      <c r="C140" s="64">
        <v>62403.61</v>
      </c>
      <c r="D140" s="64">
        <v>2145.3200000000002</v>
      </c>
      <c r="E140" s="64">
        <v>16709.52</v>
      </c>
      <c r="F140" s="64">
        <v>4597.97</v>
      </c>
      <c r="G140" s="64">
        <v>677.47</v>
      </c>
      <c r="H140" s="95">
        <v>4.71</v>
      </c>
      <c r="I140" s="94">
        <v>94.879999999990105</v>
      </c>
    </row>
    <row r="141" spans="1:9" x14ac:dyDescent="0.15">
      <c r="A141" s="86" t="s">
        <v>292</v>
      </c>
      <c r="B141" s="64">
        <v>85207.17</v>
      </c>
      <c r="C141" s="64">
        <v>61768.65</v>
      </c>
      <c r="D141" s="64">
        <v>2172.98</v>
      </c>
      <c r="E141" s="64">
        <v>16489.560000000001</v>
      </c>
      <c r="F141" s="64">
        <v>4006.59</v>
      </c>
      <c r="G141" s="64">
        <v>670.31</v>
      </c>
      <c r="H141" s="64">
        <v>4.5</v>
      </c>
      <c r="I141" s="94">
        <v>94.580000000001746</v>
      </c>
    </row>
    <row r="142" spans="1:9" x14ac:dyDescent="0.15">
      <c r="A142" s="86" t="s">
        <v>293</v>
      </c>
      <c r="B142" s="95">
        <v>94736.05</v>
      </c>
      <c r="C142" s="95">
        <v>69040.710000000006</v>
      </c>
      <c r="D142" s="95">
        <v>2223.36</v>
      </c>
      <c r="E142" s="95">
        <v>16499.55</v>
      </c>
      <c r="F142" s="95">
        <v>6218.66</v>
      </c>
      <c r="G142" s="95">
        <v>658.28</v>
      </c>
      <c r="H142" s="95">
        <v>4.43</v>
      </c>
      <c r="I142" s="94">
        <v>91.059999999997672</v>
      </c>
    </row>
    <row r="143" spans="1:9" x14ac:dyDescent="0.15">
      <c r="A143" s="86" t="s">
        <v>294</v>
      </c>
      <c r="B143" s="95">
        <v>83352.490000000005</v>
      </c>
      <c r="C143" s="95">
        <v>57967.65</v>
      </c>
      <c r="D143" s="95">
        <v>2288.4899999999998</v>
      </c>
      <c r="E143" s="95">
        <v>16648.37</v>
      </c>
      <c r="F143" s="95">
        <v>5709.1</v>
      </c>
      <c r="G143" s="95">
        <v>647.61</v>
      </c>
      <c r="H143" s="95">
        <v>4.4000000000000004</v>
      </c>
      <c r="I143" s="94">
        <v>86.870000000009895</v>
      </c>
    </row>
    <row r="144" spans="1:9" x14ac:dyDescent="0.15">
      <c r="A144" s="86" t="s">
        <v>295</v>
      </c>
      <c r="B144" s="64">
        <v>83138.17</v>
      </c>
      <c r="C144" s="64">
        <v>57723.96</v>
      </c>
      <c r="D144" s="64">
        <v>2380.88</v>
      </c>
      <c r="E144" s="64">
        <v>16397.84</v>
      </c>
      <c r="F144" s="64">
        <v>5896.36</v>
      </c>
      <c r="G144" s="64">
        <v>652.69000000000005</v>
      </c>
      <c r="H144" s="64">
        <v>4.3</v>
      </c>
      <c r="I144" s="94">
        <v>82.139999999999418</v>
      </c>
    </row>
    <row r="145" spans="1:9" x14ac:dyDescent="0.15">
      <c r="A145" s="86" t="s">
        <v>298</v>
      </c>
      <c r="B145" s="64">
        <v>87320.13</v>
      </c>
      <c r="C145" s="64">
        <v>59621.25</v>
      </c>
      <c r="D145" s="64">
        <v>2459.1999999999998</v>
      </c>
      <c r="E145" s="64">
        <v>16418.28</v>
      </c>
      <c r="F145" s="64">
        <v>8094.89</v>
      </c>
      <c r="G145" s="64">
        <v>641.13</v>
      </c>
      <c r="H145" s="64">
        <v>4.34</v>
      </c>
      <c r="I145" s="94">
        <v>81.040000000008149</v>
      </c>
    </row>
    <row r="146" spans="1:9" x14ac:dyDescent="0.15">
      <c r="A146" s="86" t="s">
        <v>299</v>
      </c>
      <c r="B146" s="95">
        <v>84397.66</v>
      </c>
      <c r="C146" s="64">
        <v>58471.1</v>
      </c>
      <c r="D146" s="64">
        <v>2533.79</v>
      </c>
      <c r="E146" s="64">
        <v>16410.61</v>
      </c>
      <c r="F146" s="64">
        <v>6249.84</v>
      </c>
      <c r="G146" s="64">
        <v>648.96</v>
      </c>
      <c r="H146" s="64">
        <v>4.28</v>
      </c>
      <c r="I146" s="94">
        <v>79.080000000001746</v>
      </c>
    </row>
    <row r="147" spans="1:9" x14ac:dyDescent="0.15">
      <c r="A147" s="86" t="s">
        <v>300</v>
      </c>
      <c r="B147" s="95">
        <v>84783.3</v>
      </c>
      <c r="C147" s="95">
        <v>58544.33</v>
      </c>
      <c r="D147" s="95">
        <v>2547.15</v>
      </c>
      <c r="E147" s="95">
        <v>16658.580000000002</v>
      </c>
      <c r="F147" s="95">
        <v>6299.19</v>
      </c>
      <c r="G147" s="95">
        <v>655.92</v>
      </c>
      <c r="H147" s="95">
        <v>4.3</v>
      </c>
      <c r="I147" s="94">
        <v>73.830000000001746</v>
      </c>
    </row>
    <row r="148" spans="1:9" x14ac:dyDescent="0.15">
      <c r="A148" s="86" t="s">
        <v>301</v>
      </c>
      <c r="B148" s="64">
        <v>89959.74</v>
      </c>
      <c r="C148" s="95">
        <v>64668.43</v>
      </c>
      <c r="D148" s="95">
        <v>2624.88</v>
      </c>
      <c r="E148" s="95">
        <v>16724.599999999999</v>
      </c>
      <c r="F148" s="95">
        <v>5208.75</v>
      </c>
      <c r="G148" s="95">
        <v>657.45</v>
      </c>
      <c r="H148" s="95">
        <v>4.3600000000000003</v>
      </c>
      <c r="I148" s="94">
        <v>71.270000000004075</v>
      </c>
    </row>
    <row r="149" spans="1:9" x14ac:dyDescent="0.15">
      <c r="A149" s="86" t="s">
        <v>302</v>
      </c>
      <c r="B149" s="95">
        <v>89586.77</v>
      </c>
      <c r="C149" s="64">
        <v>63140.06</v>
      </c>
      <c r="D149" s="95">
        <v>2709.28</v>
      </c>
      <c r="E149" s="95">
        <v>16913.669999999998</v>
      </c>
      <c r="F149" s="95">
        <v>6081.19</v>
      </c>
      <c r="G149" s="95">
        <v>669.4</v>
      </c>
      <c r="H149" s="95">
        <v>4.3099999999999996</v>
      </c>
      <c r="I149" s="94">
        <v>68.860000000015134</v>
      </c>
    </row>
    <row r="150" spans="1:9" x14ac:dyDescent="0.15">
      <c r="A150" s="86" t="s">
        <v>303</v>
      </c>
      <c r="B150" s="64">
        <v>89677.63</v>
      </c>
      <c r="C150" s="64">
        <v>63946.8</v>
      </c>
      <c r="D150" s="64">
        <v>2738.17</v>
      </c>
      <c r="E150" s="64">
        <v>16940.29</v>
      </c>
      <c r="F150" s="64">
        <v>5316.14</v>
      </c>
      <c r="G150" s="64">
        <v>667.4</v>
      </c>
      <c r="H150" s="64">
        <v>4.29</v>
      </c>
      <c r="I150" s="94">
        <v>64.540000000008149</v>
      </c>
    </row>
    <row r="151" spans="1:9" x14ac:dyDescent="0.15">
      <c r="A151" s="86" t="s">
        <v>304</v>
      </c>
      <c r="B151" s="64">
        <v>98230.67</v>
      </c>
      <c r="C151" s="64">
        <v>66229.990000000005</v>
      </c>
      <c r="D151" s="64">
        <v>2779.71</v>
      </c>
      <c r="E151" s="94">
        <v>17019.88</v>
      </c>
      <c r="F151" s="95">
        <v>11492.92</v>
      </c>
      <c r="G151" s="64">
        <v>642.54999999999995</v>
      </c>
      <c r="H151" s="64">
        <v>4.32</v>
      </c>
      <c r="I151" s="94">
        <v>61.299999999973807</v>
      </c>
    </row>
    <row r="152" spans="1:9" x14ac:dyDescent="0.15">
      <c r="A152" s="86" t="s">
        <v>305</v>
      </c>
      <c r="B152" s="64">
        <v>75798.02</v>
      </c>
      <c r="C152" s="64">
        <v>49802.73</v>
      </c>
      <c r="D152" s="64">
        <v>2837.62</v>
      </c>
      <c r="E152" s="94">
        <v>17668.400000000001</v>
      </c>
      <c r="F152" s="95">
        <v>4825.08</v>
      </c>
      <c r="G152" s="64">
        <v>613.88</v>
      </c>
      <c r="H152" s="64">
        <v>4.26</v>
      </c>
      <c r="I152" s="94">
        <v>46.05000000000291</v>
      </c>
    </row>
    <row r="153" spans="1:9" x14ac:dyDescent="0.15">
      <c r="A153" s="86" t="s">
        <v>306</v>
      </c>
      <c r="B153" s="64">
        <v>75879.38</v>
      </c>
      <c r="C153" s="64">
        <v>49638.32</v>
      </c>
      <c r="D153" s="64">
        <v>2866.62</v>
      </c>
      <c r="E153" s="94">
        <v>17331.169999999998</v>
      </c>
      <c r="F153" s="95">
        <v>5415.32</v>
      </c>
      <c r="G153" s="64">
        <v>586.41</v>
      </c>
      <c r="H153" s="64">
        <v>4.24</v>
      </c>
      <c r="I153" s="94">
        <v>37.30000000000291</v>
      </c>
    </row>
    <row r="154" spans="1:9" x14ac:dyDescent="0.15">
      <c r="A154" s="86" t="s">
        <v>307</v>
      </c>
      <c r="B154" s="64">
        <v>87337.67</v>
      </c>
      <c r="C154" s="64">
        <v>57046.09</v>
      </c>
      <c r="D154" s="64">
        <v>2892.62</v>
      </c>
      <c r="E154" s="94">
        <v>17671.23</v>
      </c>
      <c r="F154" s="95">
        <v>9131.41</v>
      </c>
      <c r="G154" s="64">
        <v>556.11</v>
      </c>
      <c r="H154" s="64">
        <v>4.18</v>
      </c>
      <c r="I154" s="94">
        <v>36.029999999998836</v>
      </c>
    </row>
    <row r="155" spans="1:9" x14ac:dyDescent="0.15">
      <c r="A155" s="86" t="s">
        <v>308</v>
      </c>
      <c r="B155" s="64">
        <v>80147.259999999995</v>
      </c>
      <c r="C155" s="64">
        <v>53551.28</v>
      </c>
      <c r="D155" s="64">
        <v>2926.03</v>
      </c>
      <c r="E155" s="94">
        <v>17489.25</v>
      </c>
      <c r="F155" s="95">
        <v>5604.76</v>
      </c>
      <c r="G155" s="64">
        <v>536.79999999999995</v>
      </c>
      <c r="H155" s="64">
        <v>4.12</v>
      </c>
      <c r="I155" s="94">
        <v>35.020000000004075</v>
      </c>
    </row>
    <row r="156" spans="1:9" x14ac:dyDescent="0.15">
      <c r="A156" s="86" t="s">
        <v>309</v>
      </c>
      <c r="B156" s="64">
        <v>83545.34</v>
      </c>
      <c r="C156" s="64">
        <v>57034.27</v>
      </c>
      <c r="D156" s="64">
        <v>2986.62</v>
      </c>
      <c r="E156" s="94">
        <v>17444.91</v>
      </c>
      <c r="F156" s="95">
        <v>5501.46</v>
      </c>
      <c r="G156" s="64">
        <v>539.11</v>
      </c>
      <c r="H156" s="64">
        <v>4</v>
      </c>
      <c r="I156" s="94">
        <v>34.969999999986612</v>
      </c>
    </row>
    <row r="157" spans="1:9" x14ac:dyDescent="0.15">
      <c r="A157" s="13" t="s">
        <v>221</v>
      </c>
    </row>
  </sheetData>
  <mergeCells count="2">
    <mergeCell ref="A7:A8"/>
    <mergeCell ref="B7:I7"/>
  </mergeCells>
  <phoneticPr fontId="15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157"/>
  <sheetViews>
    <sheetView zoomScale="85" zoomScaleNormal="85" workbookViewId="0">
      <pane ySplit="8" topLeftCell="A144" activePane="bottomLeft" state="frozen"/>
      <selection pane="bottomLeft" activeCell="N169" sqref="N169"/>
    </sheetView>
  </sheetViews>
  <sheetFormatPr defaultRowHeight="16.5" x14ac:dyDescent="0.15"/>
  <cols>
    <col min="1" max="1" width="8.88671875" style="13"/>
    <col min="2" max="2" width="9.33203125" style="13" customWidth="1"/>
    <col min="3" max="4" width="9.21875" style="13" bestFit="1" customWidth="1"/>
    <col min="5" max="5" width="9.33203125" style="13" customWidth="1"/>
    <col min="6" max="6" width="9.21875" style="13" customWidth="1"/>
    <col min="7" max="7" width="9.33203125" style="13" customWidth="1"/>
    <col min="8" max="8" width="9.21875" style="13" customWidth="1"/>
    <col min="9" max="16384" width="8.88671875" style="13"/>
  </cols>
  <sheetData>
    <row r="1" spans="1:8" ht="17.25" x14ac:dyDescent="0.15">
      <c r="A1" s="12" t="s">
        <v>82</v>
      </c>
      <c r="B1" s="12"/>
    </row>
    <row r="3" spans="1:8" x14ac:dyDescent="0.15">
      <c r="A3" s="13" t="s">
        <v>152</v>
      </c>
    </row>
    <row r="5" spans="1:8" x14ac:dyDescent="0.15">
      <c r="A5" s="13" t="s">
        <v>153</v>
      </c>
    </row>
    <row r="6" spans="1:8" s="17" customFormat="1" x14ac:dyDescent="0.15">
      <c r="B6" s="18"/>
      <c r="C6" s="18"/>
      <c r="D6" s="18"/>
      <c r="E6" s="18"/>
      <c r="F6" s="18"/>
      <c r="G6" s="18"/>
      <c r="H6" s="14" t="s">
        <v>83</v>
      </c>
    </row>
    <row r="7" spans="1:8" x14ac:dyDescent="0.15">
      <c r="A7" s="125" t="s">
        <v>84</v>
      </c>
      <c r="B7" s="128" t="s">
        <v>94</v>
      </c>
      <c r="C7" s="127" t="s">
        <v>95</v>
      </c>
      <c r="D7" s="130"/>
      <c r="E7" s="130"/>
      <c r="F7" s="130"/>
      <c r="G7" s="125"/>
      <c r="H7" s="131" t="s">
        <v>252</v>
      </c>
    </row>
    <row r="8" spans="1:8" x14ac:dyDescent="0.15">
      <c r="A8" s="125"/>
      <c r="B8" s="129"/>
      <c r="C8" s="15" t="s">
        <v>96</v>
      </c>
      <c r="D8" s="15" t="s">
        <v>97</v>
      </c>
      <c r="E8" s="15" t="s">
        <v>98</v>
      </c>
      <c r="F8" s="15" t="s">
        <v>99</v>
      </c>
      <c r="G8" s="15" t="s">
        <v>100</v>
      </c>
      <c r="H8" s="132"/>
    </row>
    <row r="9" spans="1:8" x14ac:dyDescent="0.15">
      <c r="A9" s="48" t="s">
        <v>8</v>
      </c>
      <c r="B9" s="75">
        <v>61886.21</v>
      </c>
      <c r="C9" s="50">
        <v>56488.52</v>
      </c>
      <c r="D9" s="50">
        <v>315.32</v>
      </c>
      <c r="E9" s="50">
        <v>197.69</v>
      </c>
      <c r="F9" s="50">
        <v>40840.78</v>
      </c>
      <c r="G9" s="50">
        <v>15134.729999999996</v>
      </c>
      <c r="H9" s="51">
        <v>5397.69</v>
      </c>
    </row>
    <row r="10" spans="1:8" x14ac:dyDescent="0.15">
      <c r="A10" s="52" t="s">
        <v>9</v>
      </c>
      <c r="B10" s="76">
        <v>62432.38</v>
      </c>
      <c r="C10" s="54">
        <v>57011.5</v>
      </c>
      <c r="D10" s="54">
        <v>273.79000000000002</v>
      </c>
      <c r="E10" s="54">
        <v>216.79</v>
      </c>
      <c r="F10" s="54">
        <v>41512.239999999998</v>
      </c>
      <c r="G10" s="54">
        <v>15008.68</v>
      </c>
      <c r="H10" s="55">
        <v>5420.88</v>
      </c>
    </row>
    <row r="11" spans="1:8" x14ac:dyDescent="0.15">
      <c r="A11" s="52" t="s">
        <v>10</v>
      </c>
      <c r="B11" s="76">
        <v>61936.2</v>
      </c>
      <c r="C11" s="54">
        <v>56594.57</v>
      </c>
      <c r="D11" s="54">
        <v>250.62</v>
      </c>
      <c r="E11" s="54">
        <v>206.79</v>
      </c>
      <c r="F11" s="54">
        <v>41451.480000000003</v>
      </c>
      <c r="G11" s="54">
        <v>14685.679999999993</v>
      </c>
      <c r="H11" s="55">
        <v>5341.62</v>
      </c>
    </row>
    <row r="12" spans="1:8" x14ac:dyDescent="0.15">
      <c r="A12" s="52" t="s">
        <v>11</v>
      </c>
      <c r="B12" s="76">
        <v>61863.03</v>
      </c>
      <c r="C12" s="54">
        <v>56552.66</v>
      </c>
      <c r="D12" s="54">
        <v>267.44</v>
      </c>
      <c r="E12" s="54">
        <v>200.48</v>
      </c>
      <c r="F12" s="54">
        <v>41619.949999999997</v>
      </c>
      <c r="G12" s="54">
        <v>14464.790000000008</v>
      </c>
      <c r="H12" s="55">
        <v>5310.37</v>
      </c>
    </row>
    <row r="13" spans="1:8" x14ac:dyDescent="0.15">
      <c r="A13" s="52" t="s">
        <v>12</v>
      </c>
      <c r="B13" s="76">
        <v>62290.5</v>
      </c>
      <c r="C13" s="54">
        <v>56981.53</v>
      </c>
      <c r="D13" s="54">
        <v>263.76</v>
      </c>
      <c r="E13" s="54">
        <v>202.08</v>
      </c>
      <c r="F13" s="54">
        <v>41796.11</v>
      </c>
      <c r="G13" s="54">
        <v>14719.580000000002</v>
      </c>
      <c r="H13" s="55">
        <v>5308.97</v>
      </c>
    </row>
    <row r="14" spans="1:8" x14ac:dyDescent="0.15">
      <c r="A14" s="52" t="s">
        <v>13</v>
      </c>
      <c r="B14" s="76">
        <v>62392.29</v>
      </c>
      <c r="C14" s="54">
        <v>57123.37</v>
      </c>
      <c r="D14" s="54">
        <v>259.19</v>
      </c>
      <c r="E14" s="54">
        <v>78.28</v>
      </c>
      <c r="F14" s="54">
        <v>42013.09</v>
      </c>
      <c r="G14" s="54">
        <v>14772.810000000005</v>
      </c>
      <c r="H14" s="55">
        <v>5268.92</v>
      </c>
    </row>
    <row r="15" spans="1:8" x14ac:dyDescent="0.15">
      <c r="A15" s="52" t="s">
        <v>14</v>
      </c>
      <c r="B15" s="76">
        <v>63005</v>
      </c>
      <c r="C15" s="54">
        <v>57720.2</v>
      </c>
      <c r="D15" s="54">
        <v>252.15</v>
      </c>
      <c r="E15" s="54">
        <v>104.28</v>
      </c>
      <c r="F15" s="54">
        <v>42289.54</v>
      </c>
      <c r="G15" s="54">
        <v>15074.229999999996</v>
      </c>
      <c r="H15" s="55">
        <v>5284.81</v>
      </c>
    </row>
    <row r="16" spans="1:8" x14ac:dyDescent="0.15">
      <c r="A16" s="52" t="s">
        <v>15</v>
      </c>
      <c r="B16" s="76">
        <v>62620.41</v>
      </c>
      <c r="C16" s="54">
        <v>57316.35</v>
      </c>
      <c r="D16" s="54">
        <v>250.31</v>
      </c>
      <c r="E16" s="54">
        <v>79.239999999999995</v>
      </c>
      <c r="F16" s="54">
        <v>41869.629999999997</v>
      </c>
      <c r="G16" s="54">
        <v>15117.169999999998</v>
      </c>
      <c r="H16" s="55">
        <v>5304.06</v>
      </c>
    </row>
    <row r="17" spans="1:8" x14ac:dyDescent="0.15">
      <c r="A17" s="52" t="s">
        <v>16</v>
      </c>
      <c r="B17" s="76">
        <v>63926.400000000001</v>
      </c>
      <c r="C17" s="54">
        <v>58716.99</v>
      </c>
      <c r="D17" s="54">
        <v>215.99</v>
      </c>
      <c r="E17" s="54">
        <v>83.15</v>
      </c>
      <c r="F17" s="54">
        <v>43118.06</v>
      </c>
      <c r="G17" s="54">
        <v>15299.79</v>
      </c>
      <c r="H17" s="55">
        <v>5209.41</v>
      </c>
    </row>
    <row r="18" spans="1:8" x14ac:dyDescent="0.15">
      <c r="A18" s="52" t="s">
        <v>17</v>
      </c>
      <c r="B18" s="76">
        <v>64679</v>
      </c>
      <c r="C18" s="54">
        <v>59509.91</v>
      </c>
      <c r="D18" s="54">
        <v>194.38</v>
      </c>
      <c r="E18" s="54">
        <v>99.72</v>
      </c>
      <c r="F18" s="54">
        <v>42703.93</v>
      </c>
      <c r="G18" s="54">
        <v>16511.880000000005</v>
      </c>
      <c r="H18" s="55">
        <v>5169.09</v>
      </c>
    </row>
    <row r="19" spans="1:8" x14ac:dyDescent="0.15">
      <c r="A19" s="52" t="s">
        <v>18</v>
      </c>
      <c r="B19" s="76">
        <v>64815.41</v>
      </c>
      <c r="C19" s="54">
        <v>59727.31</v>
      </c>
      <c r="D19" s="54">
        <v>199.67</v>
      </c>
      <c r="E19" s="54">
        <v>77.760000000000005</v>
      </c>
      <c r="F19" s="54">
        <v>43009.4</v>
      </c>
      <c r="G19" s="54">
        <v>16440.479999999996</v>
      </c>
      <c r="H19" s="55">
        <v>5088.1000000000004</v>
      </c>
    </row>
    <row r="20" spans="1:8" x14ac:dyDescent="0.15">
      <c r="A20" s="52" t="s">
        <v>19</v>
      </c>
      <c r="B20" s="76">
        <v>66137.149999999994</v>
      </c>
      <c r="C20" s="54">
        <v>61474.1</v>
      </c>
      <c r="D20" s="54">
        <v>184.95</v>
      </c>
      <c r="E20" s="54">
        <v>73.94</v>
      </c>
      <c r="F20" s="54">
        <v>44789.69</v>
      </c>
      <c r="G20" s="54">
        <v>16425.519999999997</v>
      </c>
      <c r="H20" s="55">
        <v>4663.04</v>
      </c>
    </row>
    <row r="21" spans="1:8" x14ac:dyDescent="0.15">
      <c r="A21" s="52" t="s">
        <v>20</v>
      </c>
      <c r="B21" s="76">
        <v>65785.66</v>
      </c>
      <c r="C21" s="54">
        <v>61164.39</v>
      </c>
      <c r="D21" s="54">
        <v>172.82</v>
      </c>
      <c r="E21" s="54">
        <v>79.069999999999993</v>
      </c>
      <c r="F21" s="54">
        <v>44477.84</v>
      </c>
      <c r="G21" s="54">
        <v>16434.660000000003</v>
      </c>
      <c r="H21" s="55">
        <v>4621.26</v>
      </c>
    </row>
    <row r="22" spans="1:8" x14ac:dyDescent="0.15">
      <c r="A22" s="52" t="s">
        <v>21</v>
      </c>
      <c r="B22" s="76">
        <v>67059.73</v>
      </c>
      <c r="C22" s="54">
        <v>62448.21</v>
      </c>
      <c r="D22" s="54">
        <v>166.65</v>
      </c>
      <c r="E22" s="54">
        <v>85.9</v>
      </c>
      <c r="F22" s="54">
        <v>45531.25</v>
      </c>
      <c r="G22" s="54">
        <v>16664.409999999996</v>
      </c>
      <c r="H22" s="55">
        <v>4611.5200000000004</v>
      </c>
    </row>
    <row r="23" spans="1:8" x14ac:dyDescent="0.15">
      <c r="A23" s="52" t="s">
        <v>22</v>
      </c>
      <c r="B23" s="76">
        <v>66977.149999999994</v>
      </c>
      <c r="C23" s="54">
        <v>62618.35</v>
      </c>
      <c r="D23" s="54">
        <v>165.67</v>
      </c>
      <c r="E23" s="54">
        <v>80.5</v>
      </c>
      <c r="F23" s="54">
        <v>45771.07</v>
      </c>
      <c r="G23" s="54">
        <v>16601.11</v>
      </c>
      <c r="H23" s="55">
        <v>4358.78</v>
      </c>
    </row>
    <row r="24" spans="1:8" x14ac:dyDescent="0.15">
      <c r="A24" s="52" t="s">
        <v>23</v>
      </c>
      <c r="B24" s="76">
        <v>67605.820000000007</v>
      </c>
      <c r="C24" s="54">
        <v>63287.56</v>
      </c>
      <c r="D24" s="54">
        <v>155.46</v>
      </c>
      <c r="E24" s="54">
        <v>88.78</v>
      </c>
      <c r="F24" s="54">
        <v>46549.57</v>
      </c>
      <c r="G24" s="54">
        <v>16493.75</v>
      </c>
      <c r="H24" s="55">
        <v>4318.2700000000004</v>
      </c>
    </row>
    <row r="25" spans="1:8" x14ac:dyDescent="0.15">
      <c r="A25" s="52" t="s">
        <v>24</v>
      </c>
      <c r="B25" s="76">
        <v>67938.86</v>
      </c>
      <c r="C25" s="54">
        <v>63710.879999999997</v>
      </c>
      <c r="D25" s="54">
        <v>149.27000000000001</v>
      </c>
      <c r="E25" s="54">
        <v>72.38</v>
      </c>
      <c r="F25" s="54">
        <v>47120.83</v>
      </c>
      <c r="G25" s="54">
        <v>16368.399999999994</v>
      </c>
      <c r="H25" s="55">
        <v>4227.99</v>
      </c>
    </row>
    <row r="26" spans="1:8" x14ac:dyDescent="0.15">
      <c r="A26" s="52" t="s">
        <v>25</v>
      </c>
      <c r="B26" s="76">
        <v>67526.41</v>
      </c>
      <c r="C26" s="54">
        <v>63297.599999999999</v>
      </c>
      <c r="D26" s="54">
        <v>125.42</v>
      </c>
      <c r="E26" s="54">
        <v>75.05</v>
      </c>
      <c r="F26" s="54">
        <v>47048.21</v>
      </c>
      <c r="G26" s="54">
        <v>16048.919999999998</v>
      </c>
      <c r="H26" s="55">
        <v>4228.82</v>
      </c>
    </row>
    <row r="27" spans="1:8" x14ac:dyDescent="0.15">
      <c r="A27" s="52" t="s">
        <v>26</v>
      </c>
      <c r="B27" s="76">
        <v>68098.3</v>
      </c>
      <c r="C27" s="54">
        <v>63847.74</v>
      </c>
      <c r="D27" s="54">
        <v>122.55</v>
      </c>
      <c r="E27" s="54">
        <v>82.05</v>
      </c>
      <c r="F27" s="54">
        <v>47383.63</v>
      </c>
      <c r="G27" s="54">
        <v>16259.510000000002</v>
      </c>
      <c r="H27" s="55">
        <v>4250.55</v>
      </c>
    </row>
    <row r="28" spans="1:8" x14ac:dyDescent="0.15">
      <c r="A28" s="52" t="s">
        <v>27</v>
      </c>
      <c r="B28" s="76">
        <v>68831.520000000004</v>
      </c>
      <c r="C28" s="54">
        <v>64576.38</v>
      </c>
      <c r="D28" s="54">
        <v>113.48</v>
      </c>
      <c r="E28" s="54">
        <v>83.15</v>
      </c>
      <c r="F28" s="54">
        <v>48118.71</v>
      </c>
      <c r="G28" s="54">
        <v>16261.04</v>
      </c>
      <c r="H28" s="55">
        <v>4255.12</v>
      </c>
    </row>
    <row r="29" spans="1:8" x14ac:dyDescent="0.15">
      <c r="A29" s="52" t="s">
        <v>28</v>
      </c>
      <c r="B29" s="76">
        <v>69164.37</v>
      </c>
      <c r="C29" s="54">
        <v>64938.49</v>
      </c>
      <c r="D29" s="54">
        <v>111.36</v>
      </c>
      <c r="E29" s="54">
        <v>87.29</v>
      </c>
      <c r="F29" s="54">
        <v>48412.32</v>
      </c>
      <c r="G29" s="54">
        <v>16327.519999999997</v>
      </c>
      <c r="H29" s="55">
        <v>4225.8900000000003</v>
      </c>
    </row>
    <row r="30" spans="1:8" x14ac:dyDescent="0.15">
      <c r="A30" s="52" t="s">
        <v>29</v>
      </c>
      <c r="B30" s="76">
        <v>69773.33</v>
      </c>
      <c r="C30" s="54">
        <v>65533.83</v>
      </c>
      <c r="D30" s="54">
        <v>122.71</v>
      </c>
      <c r="E30" s="54">
        <v>73.12</v>
      </c>
      <c r="F30" s="54">
        <v>48513.11</v>
      </c>
      <c r="G30" s="54">
        <v>16824.89</v>
      </c>
      <c r="H30" s="55">
        <v>4239.49</v>
      </c>
    </row>
    <row r="31" spans="1:8" x14ac:dyDescent="0.15">
      <c r="A31" s="52" t="s">
        <v>30</v>
      </c>
      <c r="B31" s="76">
        <v>69967.320000000007</v>
      </c>
      <c r="C31" s="54">
        <v>65732.149999999994</v>
      </c>
      <c r="D31" s="54">
        <v>106.59</v>
      </c>
      <c r="E31" s="54">
        <v>72.97</v>
      </c>
      <c r="F31" s="54">
        <v>48759.01</v>
      </c>
      <c r="G31" s="54">
        <v>16793.579999999994</v>
      </c>
      <c r="H31" s="55">
        <v>4235.1499999999996</v>
      </c>
    </row>
    <row r="32" spans="1:8" x14ac:dyDescent="0.15">
      <c r="A32" s="52" t="s">
        <v>31</v>
      </c>
      <c r="B32" s="76">
        <v>72604.77</v>
      </c>
      <c r="C32" s="54">
        <v>68405.679999999993</v>
      </c>
      <c r="D32" s="54">
        <v>106.61</v>
      </c>
      <c r="E32" s="54">
        <v>64.48</v>
      </c>
      <c r="F32" s="54">
        <v>51161.9</v>
      </c>
      <c r="G32" s="54">
        <v>17072.689999999995</v>
      </c>
      <c r="H32" s="55">
        <v>4199.08</v>
      </c>
    </row>
    <row r="33" spans="1:8" x14ac:dyDescent="0.15">
      <c r="A33" s="52" t="s">
        <v>32</v>
      </c>
      <c r="B33" s="76">
        <v>71330.009999999995</v>
      </c>
      <c r="C33" s="54">
        <v>67141.3</v>
      </c>
      <c r="D33" s="54">
        <v>108.42</v>
      </c>
      <c r="E33" s="54">
        <v>98.14</v>
      </c>
      <c r="F33" s="54">
        <v>49975.16</v>
      </c>
      <c r="G33" s="54">
        <v>16959.580000000002</v>
      </c>
      <c r="H33" s="55">
        <v>4188.6899999999996</v>
      </c>
    </row>
    <row r="34" spans="1:8" x14ac:dyDescent="0.15">
      <c r="A34" s="52" t="s">
        <v>33</v>
      </c>
      <c r="B34" s="76">
        <v>71454.02</v>
      </c>
      <c r="C34" s="54">
        <v>67295.240000000005</v>
      </c>
      <c r="D34" s="54">
        <v>95.55</v>
      </c>
      <c r="E34" s="54">
        <v>87.79</v>
      </c>
      <c r="F34" s="54">
        <v>50103.41</v>
      </c>
      <c r="G34" s="54">
        <v>17008.490000000005</v>
      </c>
      <c r="H34" s="55">
        <v>4158.79</v>
      </c>
    </row>
    <row r="35" spans="1:8" x14ac:dyDescent="0.15">
      <c r="A35" s="52" t="s">
        <v>34</v>
      </c>
      <c r="B35" s="76">
        <v>71532.759999999995</v>
      </c>
      <c r="C35" s="54">
        <v>67457</v>
      </c>
      <c r="D35" s="54">
        <v>84.4</v>
      </c>
      <c r="E35" s="54">
        <v>90.94</v>
      </c>
      <c r="F35" s="54">
        <v>50514.81</v>
      </c>
      <c r="G35" s="54">
        <v>16766.850000000006</v>
      </c>
      <c r="H35" s="55">
        <v>4075.76</v>
      </c>
    </row>
    <row r="36" spans="1:8" x14ac:dyDescent="0.15">
      <c r="A36" s="52" t="s">
        <v>35</v>
      </c>
      <c r="B36" s="76">
        <v>71676.210000000006</v>
      </c>
      <c r="C36" s="54">
        <v>67608.479999999996</v>
      </c>
      <c r="D36" s="54">
        <v>89.29</v>
      </c>
      <c r="E36" s="54">
        <v>87.78</v>
      </c>
      <c r="F36" s="54">
        <v>50698.23</v>
      </c>
      <c r="G36" s="54">
        <v>16733.179999999993</v>
      </c>
      <c r="H36" s="55">
        <v>4067.74</v>
      </c>
    </row>
    <row r="37" spans="1:8" x14ac:dyDescent="0.15">
      <c r="A37" s="52" t="s">
        <v>36</v>
      </c>
      <c r="B37" s="76">
        <v>71922.149999999994</v>
      </c>
      <c r="C37" s="54">
        <v>67893.25</v>
      </c>
      <c r="D37" s="54">
        <v>92.09</v>
      </c>
      <c r="E37" s="54">
        <v>63.55</v>
      </c>
      <c r="F37" s="54">
        <v>50841.27</v>
      </c>
      <c r="G37" s="54">
        <v>16896.340000000004</v>
      </c>
      <c r="H37" s="55">
        <v>4028.92</v>
      </c>
    </row>
    <row r="38" spans="1:8" x14ac:dyDescent="0.15">
      <c r="A38" s="52" t="s">
        <v>37</v>
      </c>
      <c r="B38" s="76">
        <v>71641.27</v>
      </c>
      <c r="C38" s="54">
        <v>67596.33</v>
      </c>
      <c r="D38" s="54">
        <v>94.59</v>
      </c>
      <c r="E38" s="54">
        <v>48.61</v>
      </c>
      <c r="F38" s="54">
        <v>50967.68</v>
      </c>
      <c r="G38" s="54">
        <v>16485.450000000004</v>
      </c>
      <c r="H38" s="55">
        <v>4044.94</v>
      </c>
    </row>
    <row r="39" spans="1:8" x14ac:dyDescent="0.15">
      <c r="A39" s="52" t="s">
        <v>38</v>
      </c>
      <c r="B39" s="76">
        <v>71900.61</v>
      </c>
      <c r="C39" s="54">
        <v>67905.78</v>
      </c>
      <c r="D39" s="54">
        <v>98.96</v>
      </c>
      <c r="E39" s="54">
        <v>60.74</v>
      </c>
      <c r="F39" s="54">
        <v>51083.37</v>
      </c>
      <c r="G39" s="54">
        <v>16662.71</v>
      </c>
      <c r="H39" s="55">
        <v>3994.84</v>
      </c>
    </row>
    <row r="40" spans="1:8" x14ac:dyDescent="0.15">
      <c r="A40" s="52" t="s">
        <v>39</v>
      </c>
      <c r="B40" s="76">
        <v>70905.09</v>
      </c>
      <c r="C40" s="54">
        <v>66913.63</v>
      </c>
      <c r="D40" s="54">
        <v>85.54</v>
      </c>
      <c r="E40" s="54">
        <v>47.17</v>
      </c>
      <c r="F40" s="54">
        <v>50412.63</v>
      </c>
      <c r="G40" s="54">
        <v>16368.290000000008</v>
      </c>
      <c r="H40" s="55">
        <v>3991.47</v>
      </c>
    </row>
    <row r="41" spans="1:8" x14ac:dyDescent="0.15">
      <c r="A41" s="52" t="s">
        <v>40</v>
      </c>
      <c r="B41" s="76">
        <v>71636.149999999994</v>
      </c>
      <c r="C41" s="54">
        <v>67706.86</v>
      </c>
      <c r="D41" s="54">
        <v>81.97</v>
      </c>
      <c r="E41" s="54">
        <v>64.16</v>
      </c>
      <c r="F41" s="54">
        <v>50874.71</v>
      </c>
      <c r="G41" s="54">
        <v>16686.020000000004</v>
      </c>
      <c r="H41" s="55">
        <v>3929.3</v>
      </c>
    </row>
    <row r="42" spans="1:8" x14ac:dyDescent="0.15">
      <c r="A42" s="52" t="s">
        <v>41</v>
      </c>
      <c r="B42" s="76">
        <v>72989.33</v>
      </c>
      <c r="C42" s="54">
        <v>69069.649999999994</v>
      </c>
      <c r="D42" s="54">
        <v>68.42</v>
      </c>
      <c r="E42" s="54">
        <v>71.16</v>
      </c>
      <c r="F42" s="54">
        <v>51018.879999999997</v>
      </c>
      <c r="G42" s="54">
        <v>17911.189999999995</v>
      </c>
      <c r="H42" s="55">
        <v>3919.68</v>
      </c>
    </row>
    <row r="43" spans="1:8" x14ac:dyDescent="0.15">
      <c r="A43" s="52" t="s">
        <v>42</v>
      </c>
      <c r="B43" s="76">
        <v>73314.960000000006</v>
      </c>
      <c r="C43" s="54">
        <v>69411.42</v>
      </c>
      <c r="D43" s="54">
        <v>70.3</v>
      </c>
      <c r="E43" s="54">
        <v>85.07</v>
      </c>
      <c r="F43" s="54">
        <v>51380.87</v>
      </c>
      <c r="G43" s="54">
        <v>17875.179999999993</v>
      </c>
      <c r="H43" s="55">
        <v>3903.52</v>
      </c>
    </row>
    <row r="44" spans="1:8" x14ac:dyDescent="0.15">
      <c r="A44" s="52" t="s">
        <v>43</v>
      </c>
      <c r="B44" s="76">
        <v>73736.28</v>
      </c>
      <c r="C44" s="54">
        <v>69875.48</v>
      </c>
      <c r="D44" s="54">
        <v>71.88</v>
      </c>
      <c r="E44" s="54">
        <v>57.35</v>
      </c>
      <c r="F44" s="54">
        <v>51560.12</v>
      </c>
      <c r="G44" s="54">
        <v>18186.12999999999</v>
      </c>
      <c r="H44" s="55">
        <v>3860.81</v>
      </c>
    </row>
    <row r="45" spans="1:8" x14ac:dyDescent="0.15">
      <c r="A45" s="52" t="s">
        <v>44</v>
      </c>
      <c r="B45" s="76">
        <v>74162.240000000005</v>
      </c>
      <c r="C45" s="54">
        <v>70302.42</v>
      </c>
      <c r="D45" s="54">
        <v>74.69</v>
      </c>
      <c r="E45" s="54">
        <v>85.16</v>
      </c>
      <c r="F45" s="54">
        <v>51828.480000000003</v>
      </c>
      <c r="G45" s="54">
        <v>18314.089999999997</v>
      </c>
      <c r="H45" s="55">
        <v>3859.82</v>
      </c>
    </row>
    <row r="46" spans="1:8" x14ac:dyDescent="0.15">
      <c r="A46" s="52" t="s">
        <v>46</v>
      </c>
      <c r="B46" s="76">
        <v>74192</v>
      </c>
      <c r="C46" s="54">
        <v>70299.259999999995</v>
      </c>
      <c r="D46" s="54">
        <v>69.290000000000006</v>
      </c>
      <c r="E46" s="54">
        <v>77.180000000000007</v>
      </c>
      <c r="F46" s="54">
        <v>52023.360000000001</v>
      </c>
      <c r="G46" s="54">
        <v>18129.429999999993</v>
      </c>
      <c r="H46" s="55">
        <v>3892.75</v>
      </c>
    </row>
    <row r="47" spans="1:8" x14ac:dyDescent="0.15">
      <c r="A47" s="56" t="s">
        <v>71</v>
      </c>
      <c r="B47" s="77">
        <v>74582.87</v>
      </c>
      <c r="C47" s="40">
        <v>70722.880000000005</v>
      </c>
      <c r="D47" s="40">
        <v>74.900000000000006</v>
      </c>
      <c r="E47" s="40">
        <v>71.09</v>
      </c>
      <c r="F47" s="40">
        <v>52305.63</v>
      </c>
      <c r="G47" s="40">
        <v>18271.260000000009</v>
      </c>
      <c r="H47" s="41">
        <v>3860.01</v>
      </c>
    </row>
    <row r="48" spans="1:8" x14ac:dyDescent="0.15">
      <c r="A48" s="56" t="s">
        <v>160</v>
      </c>
      <c r="B48" s="77">
        <v>74438.009999999995</v>
      </c>
      <c r="C48" s="40">
        <v>70556.17</v>
      </c>
      <c r="D48" s="40">
        <v>71.930000000000007</v>
      </c>
      <c r="E48" s="40">
        <v>84.83</v>
      </c>
      <c r="F48" s="40">
        <v>52230.55</v>
      </c>
      <c r="G48" s="40">
        <v>18168.859999999993</v>
      </c>
      <c r="H48" s="41">
        <v>3881.84</v>
      </c>
    </row>
    <row r="49" spans="1:8" x14ac:dyDescent="0.15">
      <c r="A49" s="56" t="s">
        <v>161</v>
      </c>
      <c r="B49" s="77">
        <v>73776.070000000007</v>
      </c>
      <c r="C49" s="40">
        <v>69927.990000000005</v>
      </c>
      <c r="D49" s="40">
        <v>65.25</v>
      </c>
      <c r="E49" s="40">
        <v>70.599999999999994</v>
      </c>
      <c r="F49" s="40">
        <v>52216.52</v>
      </c>
      <c r="G49" s="40">
        <v>17575.62000000001</v>
      </c>
      <c r="H49" s="41">
        <v>3848.06</v>
      </c>
    </row>
    <row r="50" spans="1:8" x14ac:dyDescent="0.15">
      <c r="A50" s="56" t="s">
        <v>163</v>
      </c>
      <c r="B50" s="77">
        <v>72611.83</v>
      </c>
      <c r="C50" s="40">
        <v>68607.11</v>
      </c>
      <c r="D50" s="40">
        <v>64.959999999999994</v>
      </c>
      <c r="E50" s="40">
        <v>60.61</v>
      </c>
      <c r="F50" s="40">
        <v>51598.239999999998</v>
      </c>
      <c r="G50" s="40">
        <v>16883.300000000003</v>
      </c>
      <c r="H50" s="41">
        <v>4004.71</v>
      </c>
    </row>
    <row r="51" spans="1:8" x14ac:dyDescent="0.15">
      <c r="A51" s="56" t="s">
        <v>166</v>
      </c>
      <c r="B51" s="77">
        <v>72959.17</v>
      </c>
      <c r="C51" s="40">
        <v>69022.87</v>
      </c>
      <c r="D51" s="40">
        <v>67.77</v>
      </c>
      <c r="E51" s="40">
        <v>67.53</v>
      </c>
      <c r="F51" s="40">
        <v>51544.61</v>
      </c>
      <c r="G51" s="40">
        <v>17342.959999999992</v>
      </c>
      <c r="H51" s="41">
        <v>3936.31</v>
      </c>
    </row>
    <row r="52" spans="1:8" x14ac:dyDescent="0.15">
      <c r="A52" s="56" t="s">
        <v>167</v>
      </c>
      <c r="B52" s="77">
        <v>73193.38</v>
      </c>
      <c r="C52" s="40">
        <v>69303.149999999994</v>
      </c>
      <c r="D52" s="40">
        <v>69.94</v>
      </c>
      <c r="E52" s="40">
        <v>65.040000000000006</v>
      </c>
      <c r="F52" s="40">
        <v>51647.15</v>
      </c>
      <c r="G52" s="40">
        <v>17521.01999999999</v>
      </c>
      <c r="H52" s="41">
        <v>3890.22</v>
      </c>
    </row>
    <row r="53" spans="1:8" x14ac:dyDescent="0.15">
      <c r="A53" s="56" t="s">
        <v>168</v>
      </c>
      <c r="B53" s="77">
        <v>73281.41</v>
      </c>
      <c r="C53" s="40">
        <v>69428.37</v>
      </c>
      <c r="D53" s="40">
        <v>72.8</v>
      </c>
      <c r="E53" s="40">
        <v>61.42</v>
      </c>
      <c r="F53" s="40">
        <v>51813.95</v>
      </c>
      <c r="G53" s="40">
        <v>17480.199999999997</v>
      </c>
      <c r="H53" s="41">
        <v>3853.07</v>
      </c>
    </row>
    <row r="54" spans="1:8" x14ac:dyDescent="0.15">
      <c r="A54" s="56" t="s">
        <v>169</v>
      </c>
      <c r="B54" s="77">
        <v>74689.61</v>
      </c>
      <c r="C54" s="40">
        <v>70850.600000000006</v>
      </c>
      <c r="D54" s="40">
        <v>58.46</v>
      </c>
      <c r="E54" s="40">
        <v>69.55</v>
      </c>
      <c r="F54" s="40">
        <v>52221.09</v>
      </c>
      <c r="G54" s="40">
        <v>18501.500000000007</v>
      </c>
      <c r="H54" s="41">
        <v>3838.99</v>
      </c>
    </row>
    <row r="55" spans="1:8" x14ac:dyDescent="0.15">
      <c r="A55" s="56" t="s">
        <v>170</v>
      </c>
      <c r="B55" s="77">
        <v>75128.58</v>
      </c>
      <c r="C55" s="40">
        <v>71275.649999999994</v>
      </c>
      <c r="D55" s="40">
        <v>70.09</v>
      </c>
      <c r="E55" s="40">
        <v>65.38</v>
      </c>
      <c r="F55" s="40">
        <v>52341.65</v>
      </c>
      <c r="G55" s="40">
        <v>18798.529999999992</v>
      </c>
      <c r="H55" s="41">
        <v>3852.93</v>
      </c>
    </row>
    <row r="56" spans="1:8" x14ac:dyDescent="0.15">
      <c r="A56" s="56" t="s">
        <v>171</v>
      </c>
      <c r="B56" s="77">
        <v>76820.56</v>
      </c>
      <c r="C56" s="40">
        <v>73025.37</v>
      </c>
      <c r="D56" s="40">
        <v>81.33</v>
      </c>
      <c r="E56" s="40">
        <v>64.680000000000007</v>
      </c>
      <c r="F56" s="40">
        <v>53268.51</v>
      </c>
      <c r="G56" s="40">
        <v>19610.849999999991</v>
      </c>
      <c r="H56" s="41">
        <v>3795.16</v>
      </c>
    </row>
    <row r="57" spans="1:8" x14ac:dyDescent="0.15">
      <c r="A57" s="56" t="s">
        <v>172</v>
      </c>
      <c r="B57" s="77">
        <v>78215.509999999995</v>
      </c>
      <c r="C57" s="40">
        <v>74444.429999999993</v>
      </c>
      <c r="D57" s="40">
        <v>74.47</v>
      </c>
      <c r="E57" s="40">
        <v>68.81</v>
      </c>
      <c r="F57" s="40">
        <v>54341.279999999999</v>
      </c>
      <c r="G57" s="40">
        <v>19959.869999999995</v>
      </c>
      <c r="H57" s="41">
        <v>3771.09</v>
      </c>
    </row>
    <row r="58" spans="1:8" x14ac:dyDescent="0.15">
      <c r="A58" s="56" t="s">
        <v>173</v>
      </c>
      <c r="B58" s="77">
        <v>78291.86</v>
      </c>
      <c r="C58" s="40">
        <v>74514.11</v>
      </c>
      <c r="D58" s="40">
        <v>71.34</v>
      </c>
      <c r="E58" s="40">
        <v>71.150000000000006</v>
      </c>
      <c r="F58" s="40">
        <v>54340.800000000003</v>
      </c>
      <c r="G58" s="40">
        <v>20030.82</v>
      </c>
      <c r="H58" s="41">
        <v>3777.77</v>
      </c>
    </row>
    <row r="59" spans="1:8" x14ac:dyDescent="0.15">
      <c r="A59" s="56" t="s">
        <v>174</v>
      </c>
      <c r="B59" s="77">
        <v>78141.45</v>
      </c>
      <c r="C59" s="40">
        <v>74373.39</v>
      </c>
      <c r="D59" s="40">
        <v>70.930000000000007</v>
      </c>
      <c r="E59" s="40">
        <v>49.1</v>
      </c>
      <c r="F59" s="40">
        <v>54422.11</v>
      </c>
      <c r="G59" s="40">
        <v>19831.25</v>
      </c>
      <c r="H59" s="41">
        <v>3768.06</v>
      </c>
    </row>
    <row r="60" spans="1:8" x14ac:dyDescent="0.15">
      <c r="A60" s="56" t="s">
        <v>175</v>
      </c>
      <c r="B60" s="77">
        <v>76567.16</v>
      </c>
      <c r="C60" s="40">
        <v>72746.59</v>
      </c>
      <c r="D60" s="40">
        <v>47.91</v>
      </c>
      <c r="E60" s="40">
        <v>67.290000000000006</v>
      </c>
      <c r="F60" s="40">
        <v>52755.39</v>
      </c>
      <c r="G60" s="40">
        <v>19876</v>
      </c>
      <c r="H60" s="41">
        <v>3820.58</v>
      </c>
    </row>
    <row r="61" spans="1:8" x14ac:dyDescent="0.15">
      <c r="A61" s="56" t="s">
        <v>176</v>
      </c>
      <c r="B61" s="77">
        <v>76819.37</v>
      </c>
      <c r="C61" s="40">
        <v>72936.98</v>
      </c>
      <c r="D61" s="40">
        <v>40.31</v>
      </c>
      <c r="E61" s="40">
        <v>60.25</v>
      </c>
      <c r="F61" s="40">
        <v>53116.33</v>
      </c>
      <c r="G61" s="40">
        <v>19720.089999999997</v>
      </c>
      <c r="H61" s="41">
        <v>3882.41</v>
      </c>
    </row>
    <row r="62" spans="1:8" x14ac:dyDescent="0.15">
      <c r="A62" s="56" t="s">
        <v>177</v>
      </c>
      <c r="B62" s="77">
        <v>76388.820000000007</v>
      </c>
      <c r="C62" s="40">
        <v>72510.92</v>
      </c>
      <c r="D62" s="40">
        <v>38.58</v>
      </c>
      <c r="E62" s="40">
        <v>40.01</v>
      </c>
      <c r="F62" s="40">
        <v>53478.82</v>
      </c>
      <c r="G62" s="40">
        <v>18953.510000000002</v>
      </c>
      <c r="H62" s="41">
        <v>3877.91</v>
      </c>
    </row>
    <row r="63" spans="1:8" x14ac:dyDescent="0.15">
      <c r="A63" s="56" t="s">
        <v>178</v>
      </c>
      <c r="B63" s="77">
        <v>76830.8</v>
      </c>
      <c r="C63" s="40">
        <v>72846.009999999995</v>
      </c>
      <c r="D63" s="40">
        <v>32.21</v>
      </c>
      <c r="E63" s="40">
        <v>79</v>
      </c>
      <c r="F63" s="40">
        <v>53448.13</v>
      </c>
      <c r="G63" s="40">
        <v>19286.669999999998</v>
      </c>
      <c r="H63" s="41">
        <v>3984.84</v>
      </c>
    </row>
    <row r="64" spans="1:8" x14ac:dyDescent="0.15">
      <c r="A64" s="56" t="s">
        <v>179</v>
      </c>
      <c r="B64" s="77">
        <v>77848.350000000006</v>
      </c>
      <c r="C64" s="40">
        <v>73807.27</v>
      </c>
      <c r="D64" s="40">
        <v>37.75</v>
      </c>
      <c r="E64" s="40">
        <v>79.89</v>
      </c>
      <c r="F64" s="40">
        <v>53772.42</v>
      </c>
      <c r="G64" s="40">
        <v>19917.210000000006</v>
      </c>
      <c r="H64" s="41">
        <v>4041.08</v>
      </c>
    </row>
    <row r="65" spans="1:8" x14ac:dyDescent="0.15">
      <c r="A65" s="56" t="s">
        <v>180</v>
      </c>
      <c r="B65" s="77">
        <v>78043.03</v>
      </c>
      <c r="C65" s="40">
        <v>74010.86</v>
      </c>
      <c r="D65" s="40">
        <v>47.85</v>
      </c>
      <c r="E65" s="40">
        <v>67.5</v>
      </c>
      <c r="F65" s="40">
        <v>53754.48</v>
      </c>
      <c r="G65" s="40">
        <v>20141.03</v>
      </c>
      <c r="H65" s="41">
        <v>4032.14</v>
      </c>
    </row>
    <row r="66" spans="1:8" x14ac:dyDescent="0.15">
      <c r="A66" s="56" t="s">
        <v>181</v>
      </c>
      <c r="B66" s="77">
        <v>80492.56</v>
      </c>
      <c r="C66" s="40">
        <v>76488.899999999994</v>
      </c>
      <c r="D66" s="40">
        <v>45.01</v>
      </c>
      <c r="E66" s="40">
        <v>63.16</v>
      </c>
      <c r="F66" s="40">
        <v>54694.92</v>
      </c>
      <c r="G66" s="40">
        <v>21685.809999999998</v>
      </c>
      <c r="H66" s="41">
        <v>4003.62</v>
      </c>
    </row>
    <row r="67" spans="1:8" x14ac:dyDescent="0.15">
      <c r="A67" s="56" t="s">
        <v>182</v>
      </c>
      <c r="B67" s="77">
        <v>81479</v>
      </c>
      <c r="C67" s="40">
        <v>77441.570000000007</v>
      </c>
      <c r="D67" s="40">
        <v>52.19</v>
      </c>
      <c r="E67" s="40">
        <v>62.75</v>
      </c>
      <c r="F67" s="40">
        <v>55152.17</v>
      </c>
      <c r="G67" s="40">
        <v>22174.460000000006</v>
      </c>
      <c r="H67" s="41">
        <v>4037.44</v>
      </c>
    </row>
    <row r="68" spans="1:8" x14ac:dyDescent="0.15">
      <c r="A68" s="56" t="s">
        <v>183</v>
      </c>
      <c r="B68" s="77">
        <v>80346.09</v>
      </c>
      <c r="C68" s="40">
        <v>76329.429999999993</v>
      </c>
      <c r="D68" s="40">
        <v>57.61</v>
      </c>
      <c r="E68" s="40">
        <v>66.05</v>
      </c>
      <c r="F68" s="40">
        <v>53353.3</v>
      </c>
      <c r="G68" s="40">
        <v>22852.469999999987</v>
      </c>
      <c r="H68" s="41">
        <v>4016.68</v>
      </c>
    </row>
    <row r="69" spans="1:8" x14ac:dyDescent="0.15">
      <c r="A69" s="56" t="s">
        <v>184</v>
      </c>
      <c r="B69" s="77">
        <v>81110.2</v>
      </c>
      <c r="C69" s="40">
        <v>77094.2</v>
      </c>
      <c r="D69" s="40">
        <v>56.34</v>
      </c>
      <c r="E69" s="40">
        <v>79.150000000000006</v>
      </c>
      <c r="F69" s="40">
        <v>54007.83</v>
      </c>
      <c r="G69" s="40">
        <v>22950.879999999997</v>
      </c>
      <c r="H69" s="41">
        <v>4015.99</v>
      </c>
    </row>
    <row r="70" spans="1:8" x14ac:dyDescent="0.15">
      <c r="A70" s="56" t="s">
        <v>185</v>
      </c>
      <c r="B70" s="77">
        <v>81362.77</v>
      </c>
      <c r="C70" s="40">
        <v>77320.37</v>
      </c>
      <c r="D70" s="40">
        <v>49.05</v>
      </c>
      <c r="E70" s="40">
        <v>68.14</v>
      </c>
      <c r="F70" s="40">
        <v>54343.06</v>
      </c>
      <c r="G70" s="40">
        <v>22860.119999999995</v>
      </c>
      <c r="H70" s="41">
        <v>4042.43</v>
      </c>
    </row>
    <row r="71" spans="1:8" x14ac:dyDescent="0.15">
      <c r="A71" s="56" t="s">
        <v>186</v>
      </c>
      <c r="B71" s="77">
        <v>81116.98</v>
      </c>
      <c r="C71" s="40">
        <v>77106.58</v>
      </c>
      <c r="D71" s="40">
        <v>49.95</v>
      </c>
      <c r="E71" s="40">
        <v>66.489999999999995</v>
      </c>
      <c r="F71" s="40">
        <v>54149.01</v>
      </c>
      <c r="G71" s="40">
        <v>22841.129999999997</v>
      </c>
      <c r="H71" s="41">
        <v>4010.38</v>
      </c>
    </row>
    <row r="72" spans="1:8" x14ac:dyDescent="0.15">
      <c r="A72" s="56" t="s">
        <v>187</v>
      </c>
      <c r="B72" s="77">
        <v>79911.66</v>
      </c>
      <c r="C72" s="40">
        <v>75917.789999999994</v>
      </c>
      <c r="D72" s="40">
        <v>34.299999999999997</v>
      </c>
      <c r="E72" s="40">
        <v>66.099999999999994</v>
      </c>
      <c r="F72" s="40">
        <v>53348.75</v>
      </c>
      <c r="G72" s="40">
        <v>22468.639999999992</v>
      </c>
      <c r="H72" s="41">
        <v>3993.89</v>
      </c>
    </row>
    <row r="73" spans="1:8" x14ac:dyDescent="0.15">
      <c r="A73" s="56" t="s">
        <v>188</v>
      </c>
      <c r="B73" s="77">
        <v>80390.179999999993</v>
      </c>
      <c r="C73" s="40">
        <v>76343.08</v>
      </c>
      <c r="D73" s="40">
        <v>31.69</v>
      </c>
      <c r="E73" s="40">
        <v>49.61</v>
      </c>
      <c r="F73" s="40">
        <v>53290.78</v>
      </c>
      <c r="G73" s="40">
        <v>22971</v>
      </c>
      <c r="H73" s="41">
        <v>4047.12</v>
      </c>
    </row>
    <row r="74" spans="1:8" x14ac:dyDescent="0.15">
      <c r="A74" s="56" t="s">
        <v>189</v>
      </c>
      <c r="B74" s="77">
        <v>79584.91</v>
      </c>
      <c r="C74" s="40">
        <v>75541.039999999994</v>
      </c>
      <c r="D74" s="40">
        <v>33.68</v>
      </c>
      <c r="E74" s="40">
        <v>35.03</v>
      </c>
      <c r="F74" s="40">
        <v>53280.53</v>
      </c>
      <c r="G74" s="40">
        <v>22191.799999999996</v>
      </c>
      <c r="H74" s="41">
        <v>4043.89</v>
      </c>
    </row>
    <row r="75" spans="1:8" x14ac:dyDescent="0.15">
      <c r="A75" s="56" t="s">
        <v>190</v>
      </c>
      <c r="B75" s="77">
        <v>80766.8</v>
      </c>
      <c r="C75" s="40">
        <v>76721.3</v>
      </c>
      <c r="D75" s="40">
        <v>23.77</v>
      </c>
      <c r="E75" s="40">
        <v>57.78</v>
      </c>
      <c r="F75" s="40">
        <v>53770.79</v>
      </c>
      <c r="G75" s="40">
        <v>22868.959999999999</v>
      </c>
      <c r="H75" s="41">
        <v>4045.52</v>
      </c>
    </row>
    <row r="76" spans="1:8" x14ac:dyDescent="0.15">
      <c r="A76" s="56" t="s">
        <v>191</v>
      </c>
      <c r="B76" s="77">
        <v>78754.97</v>
      </c>
      <c r="C76" s="40">
        <v>74699.179999999993</v>
      </c>
      <c r="D76" s="40">
        <v>25.78</v>
      </c>
      <c r="E76" s="40">
        <v>51.26</v>
      </c>
      <c r="F76" s="40">
        <v>51856.75</v>
      </c>
      <c r="G76" s="40">
        <v>22765.389999999992</v>
      </c>
      <c r="H76" s="41">
        <v>4055.8</v>
      </c>
    </row>
    <row r="77" spans="1:8" x14ac:dyDescent="0.15">
      <c r="A77" s="56" t="s">
        <v>192</v>
      </c>
      <c r="B77" s="77">
        <v>79022.559999999998</v>
      </c>
      <c r="C77" s="40">
        <v>75016.160000000003</v>
      </c>
      <c r="D77" s="40">
        <v>23.31</v>
      </c>
      <c r="E77" s="40">
        <v>72.150000000000006</v>
      </c>
      <c r="F77" s="40">
        <v>51884.84</v>
      </c>
      <c r="G77" s="40">
        <v>23035.860000000008</v>
      </c>
      <c r="H77" s="41">
        <v>4006.4</v>
      </c>
    </row>
    <row r="78" spans="1:8" x14ac:dyDescent="0.15">
      <c r="A78" s="56" t="s">
        <v>193</v>
      </c>
      <c r="B78" s="77">
        <v>81266.52</v>
      </c>
      <c r="C78" s="40">
        <v>77279.92</v>
      </c>
      <c r="D78" s="40">
        <v>30.81</v>
      </c>
      <c r="E78" s="40">
        <v>54.59</v>
      </c>
      <c r="F78" s="40">
        <v>52585.94</v>
      </c>
      <c r="G78" s="40">
        <v>24608.579999999994</v>
      </c>
      <c r="H78" s="41">
        <v>3986.62</v>
      </c>
    </row>
    <row r="79" spans="1:8" x14ac:dyDescent="0.15">
      <c r="A79" s="78" t="s">
        <v>194</v>
      </c>
      <c r="B79" s="79">
        <v>81910.070000000007</v>
      </c>
      <c r="C79" s="80">
        <v>77927.850000000006</v>
      </c>
      <c r="D79" s="80">
        <v>44.27</v>
      </c>
      <c r="E79" s="80">
        <v>52.3</v>
      </c>
      <c r="F79" s="80">
        <v>52850.239999999998</v>
      </c>
      <c r="G79" s="80">
        <v>24981.040000000008</v>
      </c>
      <c r="H79" s="81">
        <v>3982.25</v>
      </c>
    </row>
    <row r="80" spans="1:8" x14ac:dyDescent="0.15">
      <c r="A80" s="82" t="s">
        <v>195</v>
      </c>
      <c r="B80" s="83">
        <v>82316.850000000006</v>
      </c>
      <c r="C80" s="84">
        <v>78308.62</v>
      </c>
      <c r="D80" s="84">
        <v>42.09</v>
      </c>
      <c r="E80" s="84">
        <v>51.95</v>
      </c>
      <c r="F80" s="84">
        <v>52306.21</v>
      </c>
      <c r="G80" s="84">
        <v>25908.369999999995</v>
      </c>
      <c r="H80" s="85">
        <v>4008.24</v>
      </c>
    </row>
    <row r="81" spans="1:8" x14ac:dyDescent="0.15">
      <c r="A81" s="56" t="s">
        <v>197</v>
      </c>
      <c r="B81" s="77">
        <v>81905.009999999995</v>
      </c>
      <c r="C81" s="40">
        <v>77922.740000000005</v>
      </c>
      <c r="D81" s="40">
        <v>39.29</v>
      </c>
      <c r="E81" s="40">
        <v>54.18</v>
      </c>
      <c r="F81" s="40">
        <v>51671.05</v>
      </c>
      <c r="G81" s="40">
        <v>26158.22</v>
      </c>
      <c r="H81" s="41">
        <v>3982.31</v>
      </c>
    </row>
    <row r="82" spans="1:8" x14ac:dyDescent="0.15">
      <c r="A82" s="56" t="s">
        <v>200</v>
      </c>
      <c r="B82" s="77">
        <v>81700.570000000007</v>
      </c>
      <c r="C82" s="40">
        <v>77702.399999999994</v>
      </c>
      <c r="D82" s="40">
        <v>40.56</v>
      </c>
      <c r="E82" s="40">
        <v>50.66</v>
      </c>
      <c r="F82" s="40">
        <v>51545.64</v>
      </c>
      <c r="G82" s="40">
        <v>26065.539999999994</v>
      </c>
      <c r="H82" s="41">
        <v>3998.22</v>
      </c>
    </row>
    <row r="83" spans="1:8" x14ac:dyDescent="0.15">
      <c r="A83" s="86" t="s">
        <v>204</v>
      </c>
      <c r="B83" s="87">
        <v>82918.97</v>
      </c>
      <c r="C83" s="64">
        <v>78764.05</v>
      </c>
      <c r="D83" s="64">
        <v>32.64</v>
      </c>
      <c r="E83" s="64">
        <v>52.49</v>
      </c>
      <c r="F83" s="64">
        <v>52293.72</v>
      </c>
      <c r="G83" s="64">
        <v>26385.200000000004</v>
      </c>
      <c r="H83" s="65">
        <v>4154.8900000000003</v>
      </c>
    </row>
    <row r="84" spans="1:8" x14ac:dyDescent="0.15">
      <c r="A84" s="86" t="s">
        <v>205</v>
      </c>
      <c r="B84" s="87">
        <v>83962.32</v>
      </c>
      <c r="C84" s="64">
        <v>79386.3</v>
      </c>
      <c r="D84" s="64">
        <v>30.25</v>
      </c>
      <c r="E84" s="64">
        <v>52.18</v>
      </c>
      <c r="F84" s="64">
        <v>52848.42</v>
      </c>
      <c r="G84" s="64">
        <v>26455.450000000004</v>
      </c>
      <c r="H84" s="65">
        <v>4576.0200000000004</v>
      </c>
    </row>
    <row r="85" spans="1:8" x14ac:dyDescent="0.15">
      <c r="A85" s="86" t="s">
        <v>206</v>
      </c>
      <c r="B85" s="87">
        <v>84776.43</v>
      </c>
      <c r="C85" s="64">
        <v>80117.649999999994</v>
      </c>
      <c r="D85" s="64">
        <v>29.78</v>
      </c>
      <c r="E85" s="64">
        <v>50.14</v>
      </c>
      <c r="F85" s="64">
        <v>53757.61</v>
      </c>
      <c r="G85" s="64">
        <v>26280.119999999995</v>
      </c>
      <c r="H85" s="65">
        <v>4658.8100000000004</v>
      </c>
    </row>
    <row r="86" spans="1:8" x14ac:dyDescent="0.15">
      <c r="A86" s="86" t="s">
        <v>207</v>
      </c>
      <c r="B86" s="87">
        <v>84480.13</v>
      </c>
      <c r="C86" s="64">
        <v>79775.23</v>
      </c>
      <c r="D86" s="64">
        <v>20.47</v>
      </c>
      <c r="E86" s="64">
        <v>41.36</v>
      </c>
      <c r="F86" s="64">
        <v>54387.95</v>
      </c>
      <c r="G86" s="64">
        <v>25325.449999999997</v>
      </c>
      <c r="H86" s="65">
        <v>4704.95</v>
      </c>
    </row>
    <row r="87" spans="1:8" x14ac:dyDescent="0.15">
      <c r="A87" s="86" t="s">
        <v>208</v>
      </c>
      <c r="B87" s="87">
        <v>84072.54</v>
      </c>
      <c r="C87" s="64">
        <v>79310.759999999995</v>
      </c>
      <c r="D87" s="64">
        <v>19.940000000000001</v>
      </c>
      <c r="E87" s="64">
        <v>51.66</v>
      </c>
      <c r="F87" s="64">
        <v>54277.14</v>
      </c>
      <c r="G87" s="64">
        <v>24962.019999999997</v>
      </c>
      <c r="H87" s="65">
        <v>4761.78</v>
      </c>
    </row>
    <row r="88" spans="1:8" x14ac:dyDescent="0.15">
      <c r="A88" s="86" t="s">
        <v>209</v>
      </c>
      <c r="B88" s="87">
        <v>85587</v>
      </c>
      <c r="C88" s="64">
        <v>80824</v>
      </c>
      <c r="D88" s="64">
        <v>21</v>
      </c>
      <c r="E88" s="64">
        <v>53</v>
      </c>
      <c r="F88" s="64">
        <v>54909</v>
      </c>
      <c r="G88" s="64">
        <v>25840</v>
      </c>
      <c r="H88" s="65">
        <v>4764</v>
      </c>
    </row>
    <row r="89" spans="1:8" x14ac:dyDescent="0.15">
      <c r="A89" s="86" t="s">
        <v>210</v>
      </c>
      <c r="B89" s="87">
        <v>85828</v>
      </c>
      <c r="C89" s="64">
        <v>81034</v>
      </c>
      <c r="D89" s="64">
        <v>22</v>
      </c>
      <c r="E89" s="64">
        <v>53</v>
      </c>
      <c r="F89" s="64">
        <v>55204</v>
      </c>
      <c r="G89" s="64">
        <v>25754</v>
      </c>
      <c r="H89" s="65">
        <v>4794</v>
      </c>
    </row>
    <row r="90" spans="1:8" x14ac:dyDescent="0.15">
      <c r="A90" s="86" t="s">
        <v>211</v>
      </c>
      <c r="B90" s="87">
        <v>87445.56</v>
      </c>
      <c r="C90" s="64">
        <v>82682.52</v>
      </c>
      <c r="D90" s="64">
        <v>16.48</v>
      </c>
      <c r="E90" s="64">
        <v>51.53</v>
      </c>
      <c r="F90" s="64">
        <v>55809.71</v>
      </c>
      <c r="G90" s="64">
        <v>26804.800000000003</v>
      </c>
      <c r="H90" s="65">
        <v>4763.04</v>
      </c>
    </row>
    <row r="91" spans="1:8" x14ac:dyDescent="0.15">
      <c r="A91" s="86" t="s">
        <v>212</v>
      </c>
      <c r="B91" s="87">
        <v>88114.55</v>
      </c>
      <c r="C91" s="64">
        <v>83371.850000000006</v>
      </c>
      <c r="D91" s="64">
        <v>13.65</v>
      </c>
      <c r="E91" s="64">
        <v>58.46</v>
      </c>
      <c r="F91" s="64">
        <v>56543.98</v>
      </c>
      <c r="G91" s="64">
        <v>26755.760000000002</v>
      </c>
      <c r="H91" s="65">
        <v>4742.7299999999996</v>
      </c>
    </row>
    <row r="92" spans="1:8" x14ac:dyDescent="0.15">
      <c r="A92" s="86" t="s">
        <v>213</v>
      </c>
      <c r="B92" s="87">
        <v>88837.43</v>
      </c>
      <c r="C92" s="64">
        <v>84167.97</v>
      </c>
      <c r="D92" s="64">
        <v>17.68</v>
      </c>
      <c r="E92" s="64">
        <v>55.69</v>
      </c>
      <c r="F92" s="64">
        <v>56661.34</v>
      </c>
      <c r="G92" s="64">
        <v>27433.260000000002</v>
      </c>
      <c r="H92" s="65">
        <v>4669.46</v>
      </c>
    </row>
    <row r="93" spans="1:8" x14ac:dyDescent="0.15">
      <c r="A93" s="86" t="s">
        <v>214</v>
      </c>
      <c r="B93" s="87">
        <v>88834.36</v>
      </c>
      <c r="C93" s="64">
        <v>84182.83</v>
      </c>
      <c r="D93" s="64">
        <v>14.86</v>
      </c>
      <c r="E93" s="64">
        <v>54.08</v>
      </c>
      <c r="F93" s="64">
        <v>56678.46</v>
      </c>
      <c r="G93" s="64">
        <v>27435.43</v>
      </c>
      <c r="H93" s="65">
        <v>4651.5200000000004</v>
      </c>
    </row>
    <row r="94" spans="1:8" x14ac:dyDescent="0.15">
      <c r="A94" s="86" t="s">
        <v>215</v>
      </c>
      <c r="B94" s="87">
        <v>89007.7</v>
      </c>
      <c r="C94" s="64">
        <v>84354.36</v>
      </c>
      <c r="D94" s="64">
        <v>26.48</v>
      </c>
      <c r="E94" s="64">
        <v>59.8</v>
      </c>
      <c r="F94" s="64">
        <v>56761.91</v>
      </c>
      <c r="G94" s="64">
        <v>27506.17</v>
      </c>
      <c r="H94" s="65">
        <v>4653.33</v>
      </c>
    </row>
    <row r="95" spans="1:8" x14ac:dyDescent="0.15">
      <c r="A95" s="86" t="s">
        <v>216</v>
      </c>
      <c r="B95" s="87">
        <v>88942.52</v>
      </c>
      <c r="C95" s="64">
        <v>84278.51</v>
      </c>
      <c r="D95" s="64">
        <v>22.07</v>
      </c>
      <c r="E95" s="64">
        <v>55.53</v>
      </c>
      <c r="F95" s="64">
        <v>56831.18</v>
      </c>
      <c r="G95" s="64">
        <v>27369.729999999996</v>
      </c>
      <c r="H95" s="65">
        <v>4664.0200000000004</v>
      </c>
    </row>
    <row r="96" spans="1:8" x14ac:dyDescent="0.15">
      <c r="A96" s="86" t="s">
        <v>217</v>
      </c>
      <c r="B96" s="87">
        <v>89566.31</v>
      </c>
      <c r="C96" s="64">
        <v>84892.04</v>
      </c>
      <c r="D96" s="64">
        <v>19.079999999999998</v>
      </c>
      <c r="E96" s="64">
        <v>53.21</v>
      </c>
      <c r="F96" s="64">
        <v>57438.27</v>
      </c>
      <c r="G96" s="64">
        <v>27381.479999999996</v>
      </c>
      <c r="H96" s="65">
        <v>4674.3</v>
      </c>
    </row>
    <row r="97" spans="1:8" x14ac:dyDescent="0.15">
      <c r="A97" s="86" t="s">
        <v>218</v>
      </c>
      <c r="B97" s="87">
        <v>89569.31</v>
      </c>
      <c r="C97" s="64">
        <v>84897.279999999999</v>
      </c>
      <c r="D97" s="64">
        <v>7.93</v>
      </c>
      <c r="E97" s="64">
        <v>51.43</v>
      </c>
      <c r="F97" s="64">
        <v>57624.98</v>
      </c>
      <c r="G97" s="64">
        <v>27212.939999999995</v>
      </c>
      <c r="H97" s="65">
        <v>4672.05</v>
      </c>
    </row>
    <row r="98" spans="1:8" x14ac:dyDescent="0.15">
      <c r="A98" s="86" t="s">
        <v>219</v>
      </c>
      <c r="B98" s="87">
        <v>88898.41</v>
      </c>
      <c r="C98" s="64">
        <v>84189.73</v>
      </c>
      <c r="D98" s="64">
        <v>8</v>
      </c>
      <c r="E98" s="64">
        <v>42.13</v>
      </c>
      <c r="F98" s="64">
        <v>57753.24</v>
      </c>
      <c r="G98" s="64">
        <v>26386.36</v>
      </c>
      <c r="H98" s="65">
        <v>4708.68</v>
      </c>
    </row>
    <row r="99" spans="1:8" x14ac:dyDescent="0.15">
      <c r="A99" s="86" t="s">
        <v>220</v>
      </c>
      <c r="B99" s="87">
        <v>89739.48</v>
      </c>
      <c r="C99" s="64">
        <v>85101.18</v>
      </c>
      <c r="D99" s="64">
        <v>8.81</v>
      </c>
      <c r="E99" s="64">
        <v>47.44</v>
      </c>
      <c r="F99" s="64">
        <v>58160.63</v>
      </c>
      <c r="G99" s="64">
        <v>26884.299999999996</v>
      </c>
      <c r="H99" s="65">
        <v>4638.3</v>
      </c>
    </row>
    <row r="100" spans="1:8" x14ac:dyDescent="0.15">
      <c r="A100" s="86" t="s">
        <v>222</v>
      </c>
      <c r="B100" s="87">
        <v>89888.75</v>
      </c>
      <c r="C100" s="64">
        <v>85246.85</v>
      </c>
      <c r="D100" s="64">
        <v>9.35</v>
      </c>
      <c r="E100" s="64">
        <v>46.5</v>
      </c>
      <c r="F100" s="64">
        <v>58477.98</v>
      </c>
      <c r="G100" s="64">
        <v>26713.020000000004</v>
      </c>
      <c r="H100" s="65">
        <v>4641.93</v>
      </c>
    </row>
    <row r="101" spans="1:8" x14ac:dyDescent="0.15">
      <c r="A101" s="86" t="s">
        <v>223</v>
      </c>
      <c r="B101" s="87">
        <v>89959.16</v>
      </c>
      <c r="C101" s="64">
        <v>85319.43</v>
      </c>
      <c r="D101" s="64">
        <v>11.61</v>
      </c>
      <c r="E101" s="64">
        <v>42.79</v>
      </c>
      <c r="F101" s="64">
        <v>58221.05</v>
      </c>
      <c r="G101" s="64">
        <v>27043.979999999989</v>
      </c>
      <c r="H101" s="65">
        <v>4639.74</v>
      </c>
    </row>
    <row r="102" spans="1:8" x14ac:dyDescent="0.15">
      <c r="A102" s="86" t="s">
        <v>224</v>
      </c>
      <c r="B102" s="87">
        <v>90489.48</v>
      </c>
      <c r="C102" s="64">
        <v>85862.03</v>
      </c>
      <c r="D102" s="64">
        <v>21.6</v>
      </c>
      <c r="E102" s="64">
        <v>43.66</v>
      </c>
      <c r="F102" s="64">
        <v>58146.61</v>
      </c>
      <c r="G102" s="64">
        <v>27650.159999999996</v>
      </c>
      <c r="H102" s="65">
        <v>4627.42</v>
      </c>
    </row>
    <row r="103" spans="1:8" x14ac:dyDescent="0.15">
      <c r="A103" s="86" t="s">
        <v>225</v>
      </c>
      <c r="B103" s="87">
        <v>90786.03</v>
      </c>
      <c r="C103" s="64">
        <v>86193.58</v>
      </c>
      <c r="D103" s="64">
        <v>16.190000000000001</v>
      </c>
      <c r="E103" s="64">
        <v>46.76</v>
      </c>
      <c r="F103" s="64">
        <v>58375.199999999997</v>
      </c>
      <c r="G103" s="64">
        <v>27755.430000000008</v>
      </c>
      <c r="H103" s="65">
        <v>4592.46</v>
      </c>
    </row>
    <row r="104" spans="1:8" x14ac:dyDescent="0.15">
      <c r="A104" s="86" t="s">
        <v>227</v>
      </c>
      <c r="B104" s="87">
        <v>91573.24</v>
      </c>
      <c r="C104" s="64">
        <v>87029.7</v>
      </c>
      <c r="D104" s="64">
        <v>11.16</v>
      </c>
      <c r="E104" s="64">
        <v>45.94</v>
      </c>
      <c r="F104" s="64">
        <v>57947.32</v>
      </c>
      <c r="G104" s="64">
        <v>29025.279999999999</v>
      </c>
      <c r="H104" s="65">
        <v>4543.55</v>
      </c>
    </row>
    <row r="105" spans="1:8" x14ac:dyDescent="0.15">
      <c r="A105" s="86" t="s">
        <v>228</v>
      </c>
      <c r="B105" s="87">
        <v>91641.31</v>
      </c>
      <c r="C105" s="64">
        <v>87098.04</v>
      </c>
      <c r="D105" s="64">
        <v>7.42</v>
      </c>
      <c r="E105" s="64">
        <v>43.37</v>
      </c>
      <c r="F105" s="64">
        <v>57527.53</v>
      </c>
      <c r="G105" s="64">
        <v>29519.719999999994</v>
      </c>
      <c r="H105" s="65">
        <v>4543.24</v>
      </c>
    </row>
    <row r="106" spans="1:8" x14ac:dyDescent="0.15">
      <c r="A106" s="86" t="s">
        <v>230</v>
      </c>
      <c r="B106" s="87">
        <v>91255.76</v>
      </c>
      <c r="C106" s="64">
        <v>86673.58</v>
      </c>
      <c r="D106" s="64">
        <v>9.58</v>
      </c>
      <c r="E106" s="64">
        <v>47.07</v>
      </c>
      <c r="F106" s="64">
        <v>57693.37</v>
      </c>
      <c r="G106" s="64">
        <v>28923.559999999998</v>
      </c>
      <c r="H106" s="65">
        <v>4582.17</v>
      </c>
    </row>
    <row r="107" spans="1:8" x14ac:dyDescent="0.15">
      <c r="A107" s="86" t="s">
        <v>231</v>
      </c>
      <c r="B107" s="87">
        <v>90971.23</v>
      </c>
      <c r="C107" s="64">
        <v>86353.39</v>
      </c>
      <c r="D107" s="64">
        <v>11.48</v>
      </c>
      <c r="E107" s="64">
        <v>50.43</v>
      </c>
      <c r="F107" s="64">
        <v>57767.25</v>
      </c>
      <c r="G107" s="64">
        <v>28524.229999999996</v>
      </c>
      <c r="H107" s="65">
        <v>4617.88</v>
      </c>
    </row>
    <row r="108" spans="1:8" x14ac:dyDescent="0.15">
      <c r="A108" s="86" t="s">
        <v>234</v>
      </c>
      <c r="B108" s="87">
        <v>90751.24</v>
      </c>
      <c r="C108" s="64">
        <v>86160.320000000007</v>
      </c>
      <c r="D108" s="64">
        <v>20.149999999999999</v>
      </c>
      <c r="E108" s="64">
        <v>44.99</v>
      </c>
      <c r="F108" s="64">
        <v>57776.71</v>
      </c>
      <c r="G108" s="64">
        <v>28318.470000000008</v>
      </c>
      <c r="H108" s="65">
        <v>4590.93</v>
      </c>
    </row>
    <row r="109" spans="1:8" x14ac:dyDescent="0.15">
      <c r="A109" s="86" t="s">
        <v>237</v>
      </c>
      <c r="B109" s="87">
        <v>90922.77</v>
      </c>
      <c r="C109" s="64">
        <v>86225.29</v>
      </c>
      <c r="D109" s="64">
        <v>21.29</v>
      </c>
      <c r="E109" s="64">
        <v>46.67</v>
      </c>
      <c r="F109" s="64">
        <v>57729.48</v>
      </c>
      <c r="G109" s="64">
        <v>28427.849999999991</v>
      </c>
      <c r="H109" s="65">
        <v>4697.4799999999996</v>
      </c>
    </row>
    <row r="110" spans="1:8" x14ac:dyDescent="0.15">
      <c r="A110" s="86" t="s">
        <v>238</v>
      </c>
      <c r="B110" s="87">
        <v>90165.97</v>
      </c>
      <c r="C110" s="64">
        <v>85415.91</v>
      </c>
      <c r="D110" s="64">
        <v>22.77</v>
      </c>
      <c r="E110" s="64">
        <v>43.26</v>
      </c>
      <c r="F110" s="64">
        <v>57558.01</v>
      </c>
      <c r="G110" s="64">
        <v>27791.870000000003</v>
      </c>
      <c r="H110" s="65">
        <v>4750.07</v>
      </c>
    </row>
    <row r="111" spans="1:8" x14ac:dyDescent="0.15">
      <c r="A111" s="86" t="s">
        <v>239</v>
      </c>
      <c r="B111" s="87">
        <v>89462.5</v>
      </c>
      <c r="C111" s="64">
        <v>84671.91</v>
      </c>
      <c r="D111" s="64">
        <v>13.07</v>
      </c>
      <c r="E111" s="64">
        <v>44.5</v>
      </c>
      <c r="F111" s="64">
        <v>57144.5</v>
      </c>
      <c r="G111" s="64">
        <v>27469.840000000004</v>
      </c>
      <c r="H111" s="65">
        <v>4790.57</v>
      </c>
    </row>
    <row r="112" spans="1:8" x14ac:dyDescent="0.15">
      <c r="A112" s="86" t="s">
        <v>241</v>
      </c>
      <c r="B112" s="87">
        <v>89465.51</v>
      </c>
      <c r="C112" s="64">
        <v>84685.41</v>
      </c>
      <c r="D112" s="64">
        <v>11.67</v>
      </c>
      <c r="E112" s="64">
        <v>43.76</v>
      </c>
      <c r="F112" s="64">
        <v>57245.31</v>
      </c>
      <c r="G112" s="64">
        <v>27384.670000000006</v>
      </c>
      <c r="H112" s="65">
        <v>4780.1400000000003</v>
      </c>
    </row>
    <row r="113" spans="1:8" x14ac:dyDescent="0.15">
      <c r="A113" s="86" t="s">
        <v>242</v>
      </c>
      <c r="B113" s="87">
        <v>89519.88</v>
      </c>
      <c r="C113" s="64">
        <v>84790.54</v>
      </c>
      <c r="D113" s="64">
        <v>10.26</v>
      </c>
      <c r="E113" s="64">
        <v>45.56</v>
      </c>
      <c r="F113" s="64">
        <v>57239.92</v>
      </c>
      <c r="G113" s="64">
        <v>27494.799999999996</v>
      </c>
      <c r="H113" s="65">
        <v>4729.3500000000004</v>
      </c>
    </row>
    <row r="114" spans="1:8" x14ac:dyDescent="0.15">
      <c r="A114" s="86" t="s">
        <v>243</v>
      </c>
      <c r="B114" s="87">
        <v>90349.7</v>
      </c>
      <c r="C114" s="64">
        <v>85584.69</v>
      </c>
      <c r="D114" s="64">
        <v>6.21</v>
      </c>
      <c r="E114" s="64">
        <v>49.65</v>
      </c>
      <c r="F114" s="64">
        <v>57162.78</v>
      </c>
      <c r="G114" s="64">
        <v>28366.050000000003</v>
      </c>
      <c r="H114" s="65">
        <v>4765.0200000000004</v>
      </c>
    </row>
    <row r="115" spans="1:8" x14ac:dyDescent="0.15">
      <c r="A115" s="86" t="s">
        <v>246</v>
      </c>
      <c r="B115" s="87">
        <v>90230.97</v>
      </c>
      <c r="C115" s="64">
        <v>85466.83</v>
      </c>
      <c r="D115" s="64">
        <v>18.850000000000001</v>
      </c>
      <c r="E115" s="64">
        <v>49.43</v>
      </c>
      <c r="F115" s="64">
        <v>56874.239999999998</v>
      </c>
      <c r="G115" s="64">
        <v>28524.310000000005</v>
      </c>
      <c r="H115" s="65">
        <v>4764.1499999999996</v>
      </c>
    </row>
    <row r="116" spans="1:8" x14ac:dyDescent="0.15">
      <c r="A116" s="86" t="s">
        <v>247</v>
      </c>
      <c r="B116" s="87">
        <v>92102.53</v>
      </c>
      <c r="C116" s="64">
        <v>87390.49</v>
      </c>
      <c r="D116" s="64">
        <v>20.53</v>
      </c>
      <c r="E116" s="64">
        <v>46.91</v>
      </c>
      <c r="F116" s="64">
        <v>56653.97</v>
      </c>
      <c r="G116" s="64">
        <v>30669.08</v>
      </c>
      <c r="H116" s="65">
        <v>4712.04</v>
      </c>
    </row>
    <row r="117" spans="1:8" x14ac:dyDescent="0.15">
      <c r="A117" s="86" t="s">
        <v>248</v>
      </c>
      <c r="B117" s="87">
        <v>91871.1</v>
      </c>
      <c r="C117" s="64">
        <v>87167.77</v>
      </c>
      <c r="D117" s="64">
        <v>15.38</v>
      </c>
      <c r="E117" s="64">
        <v>75.98</v>
      </c>
      <c r="F117" s="64">
        <v>56004.32</v>
      </c>
      <c r="G117" s="64">
        <v>31072.090000000004</v>
      </c>
      <c r="H117" s="65">
        <v>4703.3100000000004</v>
      </c>
    </row>
    <row r="118" spans="1:8" x14ac:dyDescent="0.15">
      <c r="A118" s="86" t="s">
        <v>250</v>
      </c>
      <c r="B118" s="87">
        <v>91843.87</v>
      </c>
      <c r="C118" s="64">
        <v>87122.28</v>
      </c>
      <c r="D118" s="64">
        <v>17.12</v>
      </c>
      <c r="E118" s="64">
        <v>75.36</v>
      </c>
      <c r="F118" s="64">
        <v>55990.47</v>
      </c>
      <c r="G118" s="64">
        <v>31039.329999999994</v>
      </c>
      <c r="H118" s="65">
        <v>4721.6099999999997</v>
      </c>
    </row>
    <row r="119" spans="1:8" x14ac:dyDescent="0.15">
      <c r="A119" s="86" t="s">
        <v>253</v>
      </c>
      <c r="B119" s="87">
        <v>91087.25</v>
      </c>
      <c r="C119" s="64">
        <v>86384.62</v>
      </c>
      <c r="D119" s="64">
        <v>12.95</v>
      </c>
      <c r="E119" s="64">
        <v>67.5</v>
      </c>
      <c r="F119" s="64">
        <v>55597.71</v>
      </c>
      <c r="G119" s="64">
        <v>30706.46</v>
      </c>
      <c r="H119" s="65">
        <v>4702.58</v>
      </c>
    </row>
    <row r="120" spans="1:8" x14ac:dyDescent="0.15">
      <c r="A120" s="86" t="s">
        <v>255</v>
      </c>
      <c r="B120" s="87">
        <v>90846.99</v>
      </c>
      <c r="C120" s="64">
        <v>86051.07</v>
      </c>
      <c r="D120" s="64">
        <v>12.56</v>
      </c>
      <c r="E120" s="64">
        <v>49.82</v>
      </c>
      <c r="F120" s="64">
        <v>55589.25</v>
      </c>
      <c r="G120" s="64">
        <v>30399.44000000001</v>
      </c>
      <c r="H120" s="65">
        <v>4795.8999999999996</v>
      </c>
    </row>
    <row r="121" spans="1:8" x14ac:dyDescent="0.15">
      <c r="A121" s="86" t="s">
        <v>258</v>
      </c>
      <c r="B121" s="87">
        <v>91483.199999999997</v>
      </c>
      <c r="C121" s="64">
        <v>86690.19</v>
      </c>
      <c r="D121" s="64">
        <v>8.5299999999999994</v>
      </c>
      <c r="E121" s="64">
        <v>43.9</v>
      </c>
      <c r="F121" s="64">
        <v>55758.05</v>
      </c>
      <c r="G121" s="64">
        <v>30879.71</v>
      </c>
      <c r="H121" s="65">
        <v>4793.03</v>
      </c>
    </row>
    <row r="122" spans="1:8" x14ac:dyDescent="0.15">
      <c r="A122" s="86" t="s">
        <v>260</v>
      </c>
      <c r="B122" s="87">
        <v>90837.58</v>
      </c>
      <c r="C122" s="64">
        <v>86039.08</v>
      </c>
      <c r="D122" s="64">
        <v>7.78</v>
      </c>
      <c r="E122" s="64">
        <v>44.03</v>
      </c>
      <c r="F122" s="64">
        <v>56015.5</v>
      </c>
      <c r="G122" s="64">
        <v>29971.770000000004</v>
      </c>
      <c r="H122" s="65">
        <v>4798.5</v>
      </c>
    </row>
    <row r="123" spans="1:8" x14ac:dyDescent="0.15">
      <c r="A123" s="86" t="s">
        <v>262</v>
      </c>
      <c r="B123" s="87">
        <v>91373.71</v>
      </c>
      <c r="C123" s="64">
        <v>86613.9</v>
      </c>
      <c r="D123" s="64">
        <v>21.94</v>
      </c>
      <c r="E123" s="64">
        <v>49.66</v>
      </c>
      <c r="F123" s="64">
        <v>56252.17</v>
      </c>
      <c r="G123" s="64">
        <v>30290.129999999997</v>
      </c>
      <c r="H123" s="65">
        <v>4759.8100000000004</v>
      </c>
    </row>
    <row r="124" spans="1:8" x14ac:dyDescent="0.15">
      <c r="A124" s="86" t="s">
        <v>265</v>
      </c>
      <c r="B124" s="87">
        <v>91990.37</v>
      </c>
      <c r="C124" s="64">
        <v>87271.66</v>
      </c>
      <c r="D124" s="64">
        <v>16.149999999999999</v>
      </c>
      <c r="E124" s="64">
        <v>47.38</v>
      </c>
      <c r="F124" s="64">
        <v>56390.54</v>
      </c>
      <c r="G124" s="64">
        <v>30817.590000000004</v>
      </c>
      <c r="H124" s="65">
        <v>4718.75</v>
      </c>
    </row>
    <row r="125" spans="1:8" x14ac:dyDescent="0.15">
      <c r="A125" s="86" t="s">
        <v>267</v>
      </c>
      <c r="B125" s="87">
        <v>91952.95</v>
      </c>
      <c r="C125" s="64">
        <v>87225.56</v>
      </c>
      <c r="D125" s="64">
        <v>22.74</v>
      </c>
      <c r="E125" s="64">
        <v>45.5</v>
      </c>
      <c r="F125" s="64">
        <v>56196.32</v>
      </c>
      <c r="G125" s="64">
        <v>30961</v>
      </c>
      <c r="H125" s="65">
        <v>4727.3999999999996</v>
      </c>
    </row>
    <row r="126" spans="1:8" x14ac:dyDescent="0.15">
      <c r="A126" s="86" t="s">
        <v>269</v>
      </c>
      <c r="B126" s="87">
        <v>93438.53</v>
      </c>
      <c r="C126" s="64">
        <v>88687.54</v>
      </c>
      <c r="D126" s="64">
        <v>25.69</v>
      </c>
      <c r="E126" s="64">
        <v>43.48</v>
      </c>
      <c r="F126" s="64">
        <v>56663.25</v>
      </c>
      <c r="G126" s="64">
        <v>31955.119999999995</v>
      </c>
      <c r="H126" s="65">
        <v>4750.96</v>
      </c>
    </row>
    <row r="127" spans="1:8" x14ac:dyDescent="0.15">
      <c r="A127" s="86" t="s">
        <v>271</v>
      </c>
      <c r="B127" s="87">
        <v>93289.2</v>
      </c>
      <c r="C127" s="64">
        <v>88575.09</v>
      </c>
      <c r="D127" s="64">
        <v>23.44</v>
      </c>
      <c r="E127" s="64">
        <v>46.06</v>
      </c>
      <c r="F127" s="64">
        <v>56569.440000000002</v>
      </c>
      <c r="G127" s="64">
        <v>31936.149999999994</v>
      </c>
      <c r="H127" s="65">
        <v>4714.13</v>
      </c>
    </row>
    <row r="128" spans="1:8" x14ac:dyDescent="0.15">
      <c r="A128" s="86" t="s">
        <v>273</v>
      </c>
      <c r="B128" s="87">
        <v>95450.3</v>
      </c>
      <c r="C128" s="64">
        <v>90760.81</v>
      </c>
      <c r="D128" s="64">
        <v>21.13</v>
      </c>
      <c r="E128" s="64">
        <v>41.66</v>
      </c>
      <c r="F128" s="64">
        <v>56415.81</v>
      </c>
      <c r="G128" s="64">
        <v>34282.21</v>
      </c>
      <c r="H128" s="65">
        <v>4689.49</v>
      </c>
    </row>
    <row r="129" spans="1:8" x14ac:dyDescent="0.15">
      <c r="A129" s="86" t="s">
        <v>274</v>
      </c>
      <c r="B129" s="87">
        <v>95392.37</v>
      </c>
      <c r="C129" s="64">
        <v>90744.15</v>
      </c>
      <c r="D129" s="64">
        <v>16.89</v>
      </c>
      <c r="E129" s="64">
        <v>47</v>
      </c>
      <c r="F129" s="64">
        <v>56749.88</v>
      </c>
      <c r="G129" s="64">
        <v>33930.379999999997</v>
      </c>
      <c r="H129" s="65">
        <v>4648.24</v>
      </c>
    </row>
    <row r="130" spans="1:8" x14ac:dyDescent="0.15">
      <c r="A130" s="86" t="s">
        <v>276</v>
      </c>
      <c r="B130" s="87">
        <v>95232.42</v>
      </c>
      <c r="C130" s="64">
        <v>90544.77</v>
      </c>
      <c r="D130" s="64">
        <v>12.98</v>
      </c>
      <c r="E130" s="64">
        <v>47.8</v>
      </c>
      <c r="F130" s="64">
        <v>56655.88</v>
      </c>
      <c r="G130" s="64">
        <v>33828.110000000008</v>
      </c>
      <c r="H130" s="65">
        <v>4687.6499999999996</v>
      </c>
    </row>
    <row r="131" spans="1:8" x14ac:dyDescent="0.15">
      <c r="A131" s="86" t="s">
        <v>278</v>
      </c>
      <c r="B131" s="87">
        <v>94837.92</v>
      </c>
      <c r="C131" s="64">
        <v>90262.9</v>
      </c>
      <c r="D131" s="64">
        <v>19.920000000000002</v>
      </c>
      <c r="E131" s="64">
        <v>49.48</v>
      </c>
      <c r="F131" s="64">
        <v>56442.13</v>
      </c>
      <c r="G131" s="64">
        <v>33751.369999999995</v>
      </c>
      <c r="H131" s="65">
        <v>4575.03</v>
      </c>
    </row>
    <row r="132" spans="1:8" x14ac:dyDescent="0.15">
      <c r="A132" s="86" t="s">
        <v>279</v>
      </c>
      <c r="B132" s="87">
        <v>95040.46</v>
      </c>
      <c r="C132" s="64">
        <v>90379.49</v>
      </c>
      <c r="D132" s="64">
        <v>6.01</v>
      </c>
      <c r="E132" s="64">
        <v>47.37</v>
      </c>
      <c r="F132" s="64">
        <v>56679.47</v>
      </c>
      <c r="G132" s="64">
        <v>33646.640000000007</v>
      </c>
      <c r="H132" s="65">
        <v>4660.9399999999996</v>
      </c>
    </row>
    <row r="133" spans="1:8" x14ac:dyDescent="0.15">
      <c r="A133" s="86" t="s">
        <v>280</v>
      </c>
      <c r="B133" s="87">
        <v>95190.33</v>
      </c>
      <c r="C133" s="64">
        <v>90320.61</v>
      </c>
      <c r="D133" s="64">
        <v>18.71</v>
      </c>
      <c r="E133" s="64">
        <v>46.52</v>
      </c>
      <c r="F133" s="64">
        <v>56978.52</v>
      </c>
      <c r="G133" s="64">
        <v>33276.86</v>
      </c>
      <c r="H133" s="65">
        <v>4869.72</v>
      </c>
    </row>
    <row r="134" spans="1:8" x14ac:dyDescent="0.15">
      <c r="A134" s="86" t="s">
        <v>282</v>
      </c>
      <c r="B134" s="87">
        <v>94380.4</v>
      </c>
      <c r="C134" s="64">
        <v>89358.97</v>
      </c>
      <c r="D134" s="64">
        <v>19.71</v>
      </c>
      <c r="E134" s="64">
        <v>31.51</v>
      </c>
      <c r="F134" s="64">
        <v>57330.21</v>
      </c>
      <c r="G134" s="64">
        <v>31977.54</v>
      </c>
      <c r="H134" s="65">
        <v>5021.45</v>
      </c>
    </row>
    <row r="135" spans="1:8" x14ac:dyDescent="0.15">
      <c r="A135" s="86" t="s">
        <v>283</v>
      </c>
      <c r="B135" s="87">
        <v>94153.34</v>
      </c>
      <c r="C135" s="64">
        <v>89152.11</v>
      </c>
      <c r="D135" s="64">
        <v>17.53</v>
      </c>
      <c r="E135" s="64">
        <v>36.369999999999997</v>
      </c>
      <c r="F135" s="64">
        <v>57622.07</v>
      </c>
      <c r="G135" s="64">
        <v>31476.14</v>
      </c>
      <c r="H135" s="65">
        <v>5001.25</v>
      </c>
    </row>
    <row r="136" spans="1:8" x14ac:dyDescent="0.15">
      <c r="A136" s="86" t="s">
        <v>284</v>
      </c>
      <c r="B136" s="87">
        <v>94615.31</v>
      </c>
      <c r="C136" s="64">
        <v>89578.62</v>
      </c>
      <c r="D136" s="64">
        <v>16.190000000000001</v>
      </c>
      <c r="E136" s="64">
        <v>31.21</v>
      </c>
      <c r="F136" s="64">
        <v>58400.75</v>
      </c>
      <c r="G136" s="64">
        <v>31130.469999999994</v>
      </c>
      <c r="H136" s="65">
        <v>5036.6499999999996</v>
      </c>
    </row>
    <row r="137" spans="1:8" x14ac:dyDescent="0.15">
      <c r="A137" s="86" t="s">
        <v>285</v>
      </c>
      <c r="B137" s="87">
        <v>94331.98</v>
      </c>
      <c r="C137" s="64">
        <v>89326.68</v>
      </c>
      <c r="D137" s="64">
        <v>12.1</v>
      </c>
      <c r="E137" s="64">
        <v>29.63</v>
      </c>
      <c r="F137" s="64">
        <v>58692.17</v>
      </c>
      <c r="G137" s="64">
        <v>30592.779999999992</v>
      </c>
      <c r="H137" s="65">
        <v>5005.3</v>
      </c>
    </row>
    <row r="138" spans="1:8" x14ac:dyDescent="0.15">
      <c r="A138" s="86" t="s">
        <v>289</v>
      </c>
      <c r="B138" s="87">
        <v>95689.81</v>
      </c>
      <c r="C138" s="64">
        <v>90660.81</v>
      </c>
      <c r="D138" s="64">
        <v>9.68</v>
      </c>
      <c r="E138" s="64">
        <v>27.73</v>
      </c>
      <c r="F138" s="64">
        <v>58621.8</v>
      </c>
      <c r="G138" s="64">
        <v>32001.599999999991</v>
      </c>
      <c r="H138" s="65">
        <v>5029</v>
      </c>
    </row>
    <row r="139" spans="1:8" x14ac:dyDescent="0.15">
      <c r="A139" s="86" t="s">
        <v>290</v>
      </c>
      <c r="B139" s="87">
        <v>95422.15</v>
      </c>
      <c r="C139" s="64">
        <v>90389.65</v>
      </c>
      <c r="D139" s="64">
        <v>10.38</v>
      </c>
      <c r="E139" s="64">
        <v>27.79</v>
      </c>
      <c r="F139" s="64">
        <v>58462.06</v>
      </c>
      <c r="G139" s="64">
        <v>31889.42</v>
      </c>
      <c r="H139" s="65">
        <v>5032.5</v>
      </c>
    </row>
    <row r="140" spans="1:8" x14ac:dyDescent="0.15">
      <c r="A140" s="86" t="s">
        <v>291</v>
      </c>
      <c r="B140" s="87">
        <v>96825.94</v>
      </c>
      <c r="C140" s="95">
        <v>91853.7</v>
      </c>
      <c r="D140" s="95">
        <v>9.48</v>
      </c>
      <c r="E140" s="95">
        <v>74.78</v>
      </c>
      <c r="F140" s="95">
        <v>57989.01</v>
      </c>
      <c r="G140" s="95">
        <v>33780.429999999993</v>
      </c>
      <c r="H140" s="94">
        <v>4972.25</v>
      </c>
    </row>
    <row r="141" spans="1:8" x14ac:dyDescent="0.15">
      <c r="A141" s="86" t="s">
        <v>292</v>
      </c>
      <c r="B141" s="97">
        <v>96909.27</v>
      </c>
      <c r="C141" s="64">
        <v>91983.2</v>
      </c>
      <c r="D141" s="64">
        <v>10.7</v>
      </c>
      <c r="E141" s="64">
        <v>46.1</v>
      </c>
      <c r="F141" s="64">
        <v>57746.6</v>
      </c>
      <c r="G141" s="64">
        <v>34179.799999999996</v>
      </c>
      <c r="H141" s="94">
        <v>4926.0600000000004</v>
      </c>
    </row>
    <row r="142" spans="1:8" x14ac:dyDescent="0.15">
      <c r="A142" s="86" t="s">
        <v>293</v>
      </c>
      <c r="B142" s="87">
        <v>97967.51</v>
      </c>
      <c r="C142" s="95">
        <v>93012.94</v>
      </c>
      <c r="D142" s="95">
        <v>5.81</v>
      </c>
      <c r="E142" s="95">
        <v>28.9</v>
      </c>
      <c r="F142" s="95">
        <v>58093.81</v>
      </c>
      <c r="G142" s="95">
        <v>34884.420000000006</v>
      </c>
      <c r="H142" s="94">
        <v>4954.55</v>
      </c>
    </row>
    <row r="143" spans="1:8" x14ac:dyDescent="0.15">
      <c r="A143" s="86" t="s">
        <v>294</v>
      </c>
      <c r="B143" s="87">
        <v>98114.559999999998</v>
      </c>
      <c r="C143" s="95">
        <v>93140.5</v>
      </c>
      <c r="D143" s="95">
        <v>10.45</v>
      </c>
      <c r="E143" s="95">
        <v>33.229999999999997</v>
      </c>
      <c r="F143" s="95">
        <v>58164.81</v>
      </c>
      <c r="G143" s="95">
        <v>34932.01</v>
      </c>
      <c r="H143" s="94">
        <v>4974.05</v>
      </c>
    </row>
    <row r="144" spans="1:8" x14ac:dyDescent="0.15">
      <c r="A144" s="86" t="s">
        <v>295</v>
      </c>
      <c r="B144" s="97">
        <v>98472.69</v>
      </c>
      <c r="C144" s="64">
        <v>93474.05</v>
      </c>
      <c r="D144" s="64">
        <v>14.06</v>
      </c>
      <c r="E144" s="64">
        <v>28.13</v>
      </c>
      <c r="F144" s="64">
        <v>58473.37</v>
      </c>
      <c r="G144" s="64">
        <v>34958.49</v>
      </c>
      <c r="H144" s="94">
        <v>4998.6499999999996</v>
      </c>
    </row>
    <row r="145" spans="1:8" x14ac:dyDescent="0.15">
      <c r="A145" s="86" t="s">
        <v>298</v>
      </c>
      <c r="B145" s="97">
        <v>99275.67</v>
      </c>
      <c r="C145" s="64">
        <v>94262.24</v>
      </c>
      <c r="D145" s="64">
        <v>16.89</v>
      </c>
      <c r="E145" s="64">
        <v>23.59</v>
      </c>
      <c r="F145" s="64">
        <v>58774.11</v>
      </c>
      <c r="G145" s="64">
        <v>35447.65</v>
      </c>
      <c r="H145" s="94">
        <v>5013.4399999999996</v>
      </c>
    </row>
    <row r="146" spans="1:8" x14ac:dyDescent="0.15">
      <c r="A146" s="86" t="s">
        <v>299</v>
      </c>
      <c r="B146" s="97">
        <v>97378.06</v>
      </c>
      <c r="C146" s="64">
        <v>92334.6</v>
      </c>
      <c r="D146" s="64">
        <v>11.63</v>
      </c>
      <c r="E146" s="64">
        <v>26.53</v>
      </c>
      <c r="F146" s="64">
        <v>58880.04</v>
      </c>
      <c r="G146" s="64">
        <v>33416.400000000001</v>
      </c>
      <c r="H146" s="94">
        <v>5043.51</v>
      </c>
    </row>
    <row r="147" spans="1:8" x14ac:dyDescent="0.15">
      <c r="A147" s="86" t="s">
        <v>300</v>
      </c>
      <c r="B147" s="87">
        <v>98618.94</v>
      </c>
      <c r="C147" s="64">
        <v>93508.67</v>
      </c>
      <c r="D147" s="95">
        <v>12.31</v>
      </c>
      <c r="E147" s="95">
        <v>26.94</v>
      </c>
      <c r="F147" s="95">
        <v>60061.59</v>
      </c>
      <c r="G147" s="95">
        <v>33407.83</v>
      </c>
      <c r="H147" s="94">
        <v>5110.29</v>
      </c>
    </row>
    <row r="148" spans="1:8" x14ac:dyDescent="0.15">
      <c r="A148" s="86" t="s">
        <v>301</v>
      </c>
      <c r="B148" s="87">
        <v>98785.76</v>
      </c>
      <c r="C148" s="95">
        <v>93610.880000000005</v>
      </c>
      <c r="D148" s="95">
        <v>11.04</v>
      </c>
      <c r="E148" s="95">
        <v>20.5</v>
      </c>
      <c r="F148" s="95">
        <v>60416.67</v>
      </c>
      <c r="G148" s="95">
        <v>33162.670000000006</v>
      </c>
      <c r="H148" s="94">
        <v>5174.87</v>
      </c>
    </row>
    <row r="149" spans="1:8" x14ac:dyDescent="0.15">
      <c r="A149" s="86" t="s">
        <v>302</v>
      </c>
      <c r="B149" s="97">
        <v>98115.59</v>
      </c>
      <c r="C149" s="64">
        <v>92944.21</v>
      </c>
      <c r="D149" s="64">
        <v>12.38</v>
      </c>
      <c r="E149" s="64">
        <v>25.55</v>
      </c>
      <c r="F149" s="64">
        <v>60279.4</v>
      </c>
      <c r="G149" s="64">
        <v>32626.880000000005</v>
      </c>
      <c r="H149" s="94">
        <v>5171.33</v>
      </c>
    </row>
    <row r="150" spans="1:8" x14ac:dyDescent="0.15">
      <c r="A150" s="86" t="s">
        <v>303</v>
      </c>
      <c r="B150" s="97">
        <v>99035.47</v>
      </c>
      <c r="C150" s="64">
        <v>93905.26</v>
      </c>
      <c r="D150" s="64">
        <v>12.72</v>
      </c>
      <c r="E150" s="64">
        <v>21.31</v>
      </c>
      <c r="F150" s="64">
        <v>60363.37</v>
      </c>
      <c r="G150" s="64">
        <v>33507.859999999993</v>
      </c>
      <c r="H150" s="94">
        <v>5130.18</v>
      </c>
    </row>
    <row r="151" spans="1:8" x14ac:dyDescent="0.15">
      <c r="A151" s="86" t="s">
        <v>304</v>
      </c>
      <c r="B151" s="97">
        <v>99405.46</v>
      </c>
      <c r="C151" s="64">
        <v>94293.04</v>
      </c>
      <c r="D151" s="64">
        <v>12.41</v>
      </c>
      <c r="E151" s="64">
        <v>21.11</v>
      </c>
      <c r="F151" s="64">
        <v>60584.14</v>
      </c>
      <c r="G151" s="64">
        <v>33675.379999999997</v>
      </c>
      <c r="H151" s="94">
        <v>5112.41</v>
      </c>
    </row>
    <row r="152" spans="1:8" x14ac:dyDescent="0.15">
      <c r="A152" s="86" t="s">
        <v>305</v>
      </c>
      <c r="B152" s="97">
        <v>100881.51</v>
      </c>
      <c r="C152" s="64">
        <v>95844.87</v>
      </c>
      <c r="D152" s="64">
        <v>12.88</v>
      </c>
      <c r="E152" s="64">
        <v>37.83</v>
      </c>
      <c r="F152" s="64">
        <v>60439.44</v>
      </c>
      <c r="G152" s="64">
        <v>35354.719999999994</v>
      </c>
      <c r="H152" s="94">
        <v>5036.67</v>
      </c>
    </row>
    <row r="153" spans="1:8" x14ac:dyDescent="0.15">
      <c r="A153" s="86" t="s">
        <v>306</v>
      </c>
      <c r="B153" s="97">
        <v>101278.37</v>
      </c>
      <c r="C153" s="64">
        <v>96260.52</v>
      </c>
      <c r="D153" s="64">
        <v>5.69</v>
      </c>
      <c r="E153" s="64">
        <v>21.84</v>
      </c>
      <c r="F153" s="64">
        <v>60650.89</v>
      </c>
      <c r="G153" s="64">
        <v>35582.100000000006</v>
      </c>
      <c r="H153" s="94">
        <v>5017.83</v>
      </c>
    </row>
    <row r="154" spans="1:8" x14ac:dyDescent="0.15">
      <c r="A154" s="86" t="s">
        <v>307</v>
      </c>
      <c r="B154" s="97">
        <v>100959.35</v>
      </c>
      <c r="C154" s="64">
        <v>95864.24</v>
      </c>
      <c r="D154" s="64">
        <v>8.1199999999999992</v>
      </c>
      <c r="E154" s="64">
        <v>21.28</v>
      </c>
      <c r="F154" s="64">
        <v>60464.62</v>
      </c>
      <c r="G154" s="64">
        <v>35370.22</v>
      </c>
      <c r="H154" s="94">
        <v>5095.12</v>
      </c>
    </row>
    <row r="155" spans="1:8" x14ac:dyDescent="0.15">
      <c r="A155" s="86" t="s">
        <v>308</v>
      </c>
      <c r="B155" s="97">
        <v>100804.33</v>
      </c>
      <c r="C155" s="64">
        <v>95770.49</v>
      </c>
      <c r="D155" s="64">
        <v>13.62</v>
      </c>
      <c r="E155" s="64">
        <v>19.559999999999999</v>
      </c>
      <c r="F155" s="64">
        <v>60599.93</v>
      </c>
      <c r="G155" s="64">
        <v>35137.380000000005</v>
      </c>
      <c r="H155" s="94">
        <v>5033.84</v>
      </c>
    </row>
    <row r="156" spans="1:8" x14ac:dyDescent="0.15">
      <c r="A156" s="86" t="s">
        <v>309</v>
      </c>
      <c r="B156" s="97">
        <v>100658.09</v>
      </c>
      <c r="C156" s="64">
        <v>95572.65</v>
      </c>
      <c r="D156" s="64">
        <v>15.21</v>
      </c>
      <c r="E156" s="64">
        <v>15.59</v>
      </c>
      <c r="F156" s="64">
        <v>60640.73</v>
      </c>
      <c r="G156" s="64">
        <v>34901.119999999988</v>
      </c>
      <c r="H156" s="94">
        <v>5085.4399999999996</v>
      </c>
    </row>
    <row r="157" spans="1:8" x14ac:dyDescent="0.15">
      <c r="A157" s="13" t="s">
        <v>196</v>
      </c>
    </row>
  </sheetData>
  <mergeCells count="4">
    <mergeCell ref="A7:A8"/>
    <mergeCell ref="B7:B8"/>
    <mergeCell ref="C7:G7"/>
    <mergeCell ref="H7:H8"/>
  </mergeCells>
  <phoneticPr fontId="15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59"/>
  <sheetViews>
    <sheetView zoomScale="85" zoomScaleNormal="85" workbookViewId="0">
      <pane ySplit="9" topLeftCell="A139" activePane="bottomLeft" state="frozen"/>
      <selection pane="bottomLeft" activeCell="H156" sqref="H156"/>
    </sheetView>
  </sheetViews>
  <sheetFormatPr defaultRowHeight="16.5" x14ac:dyDescent="0.15"/>
  <cols>
    <col min="1" max="1" width="8.88671875" style="13"/>
    <col min="2" max="2" width="9.33203125" style="13" customWidth="1"/>
    <col min="3" max="4" width="9.21875" style="13" bestFit="1" customWidth="1"/>
    <col min="5" max="5" width="12.6640625" style="13" bestFit="1" customWidth="1"/>
    <col min="6" max="6" width="9.21875" style="13" customWidth="1"/>
    <col min="7" max="7" width="9.33203125" style="13" customWidth="1"/>
    <col min="8" max="8" width="9.21875" style="13" customWidth="1"/>
    <col min="9" max="16384" width="8.88671875" style="13"/>
  </cols>
  <sheetData>
    <row r="1" spans="1:8" ht="17.25" x14ac:dyDescent="0.15">
      <c r="A1" s="12" t="s">
        <v>101</v>
      </c>
      <c r="B1" s="12"/>
    </row>
    <row r="3" spans="1:8" x14ac:dyDescent="0.15">
      <c r="A3" s="13" t="s">
        <v>152</v>
      </c>
    </row>
    <row r="5" spans="1:8" x14ac:dyDescent="0.15">
      <c r="A5" s="13" t="s">
        <v>154</v>
      </c>
    </row>
    <row r="6" spans="1:8" s="17" customFormat="1" x14ac:dyDescent="0.15">
      <c r="B6" s="18"/>
      <c r="C6" s="18"/>
      <c r="D6" s="18"/>
      <c r="E6" s="18"/>
      <c r="F6" s="18"/>
      <c r="G6" s="18"/>
      <c r="H6" s="14" t="s">
        <v>102</v>
      </c>
    </row>
    <row r="7" spans="1:8" x14ac:dyDescent="0.15">
      <c r="A7" s="125" t="s">
        <v>103</v>
      </c>
      <c r="B7" s="128" t="s">
        <v>104</v>
      </c>
      <c r="C7" s="127" t="s">
        <v>105</v>
      </c>
      <c r="D7" s="130"/>
      <c r="E7" s="130"/>
      <c r="F7" s="130"/>
      <c r="G7" s="126" t="s">
        <v>106</v>
      </c>
      <c r="H7" s="127"/>
    </row>
    <row r="8" spans="1:8" x14ac:dyDescent="0.15">
      <c r="A8" s="125"/>
      <c r="B8" s="133"/>
      <c r="C8" s="128" t="s">
        <v>107</v>
      </c>
      <c r="D8" s="134" t="s">
        <v>108</v>
      </c>
      <c r="E8" s="19"/>
      <c r="F8" s="135" t="s">
        <v>233</v>
      </c>
      <c r="G8" s="126" t="s">
        <v>109</v>
      </c>
      <c r="H8" s="127" t="s">
        <v>110</v>
      </c>
    </row>
    <row r="9" spans="1:8" ht="16.5" customHeight="1" x14ac:dyDescent="0.15">
      <c r="A9" s="125"/>
      <c r="B9" s="129"/>
      <c r="C9" s="129"/>
      <c r="D9" s="129"/>
      <c r="E9" s="28" t="s">
        <v>232</v>
      </c>
      <c r="F9" s="132"/>
      <c r="G9" s="126"/>
      <c r="H9" s="127"/>
    </row>
    <row r="10" spans="1:8" x14ac:dyDescent="0.15">
      <c r="A10" s="48" t="s">
        <v>8</v>
      </c>
      <c r="B10" s="75">
        <v>61886.21</v>
      </c>
      <c r="C10" s="50">
        <v>40067.769999999997</v>
      </c>
      <c r="D10" s="50">
        <v>18129.57</v>
      </c>
      <c r="E10" s="88">
        <v>9578.14</v>
      </c>
      <c r="F10" s="50">
        <v>3688.87</v>
      </c>
      <c r="G10" s="50">
        <v>42456.13</v>
      </c>
      <c r="H10" s="51">
        <v>19430.080000000002</v>
      </c>
    </row>
    <row r="11" spans="1:8" x14ac:dyDescent="0.15">
      <c r="A11" s="52" t="s">
        <v>9</v>
      </c>
      <c r="B11" s="76">
        <v>62432.38</v>
      </c>
      <c r="C11" s="54">
        <v>40221.379999999997</v>
      </c>
      <c r="D11" s="54">
        <v>17927.29</v>
      </c>
      <c r="E11" s="88">
        <v>9385.15</v>
      </c>
      <c r="F11" s="54">
        <v>4283.71</v>
      </c>
      <c r="G11" s="54">
        <v>42267.4</v>
      </c>
      <c r="H11" s="55">
        <v>20164.98</v>
      </c>
    </row>
    <row r="12" spans="1:8" x14ac:dyDescent="0.15">
      <c r="A12" s="52" t="s">
        <v>10</v>
      </c>
      <c r="B12" s="76">
        <v>61936.2</v>
      </c>
      <c r="C12" s="54">
        <v>39991.67</v>
      </c>
      <c r="D12" s="54">
        <v>17896.830000000002</v>
      </c>
      <c r="E12" s="88">
        <v>9402.1200000000008</v>
      </c>
      <c r="F12" s="54">
        <v>4047.69</v>
      </c>
      <c r="G12" s="54">
        <v>42059.22</v>
      </c>
      <c r="H12" s="55">
        <v>19876.97</v>
      </c>
    </row>
    <row r="13" spans="1:8" x14ac:dyDescent="0.15">
      <c r="A13" s="52" t="s">
        <v>11</v>
      </c>
      <c r="B13" s="76">
        <v>61863.03</v>
      </c>
      <c r="C13" s="54">
        <v>39858.9</v>
      </c>
      <c r="D13" s="54">
        <v>17966.46</v>
      </c>
      <c r="E13" s="88">
        <v>9459.89</v>
      </c>
      <c r="F13" s="54">
        <v>4037.67</v>
      </c>
      <c r="G13" s="54">
        <v>41977.26</v>
      </c>
      <c r="H13" s="55">
        <v>19885.77</v>
      </c>
    </row>
    <row r="14" spans="1:8" x14ac:dyDescent="0.15">
      <c r="A14" s="52" t="s">
        <v>12</v>
      </c>
      <c r="B14" s="76">
        <v>62290.5</v>
      </c>
      <c r="C14" s="54">
        <v>39808.18</v>
      </c>
      <c r="D14" s="54">
        <v>18419.740000000002</v>
      </c>
      <c r="E14" s="88">
        <v>9892.33</v>
      </c>
      <c r="F14" s="54">
        <v>4062.58</v>
      </c>
      <c r="G14" s="54">
        <v>42266.81</v>
      </c>
      <c r="H14" s="55">
        <v>20023.689999999999</v>
      </c>
    </row>
    <row r="15" spans="1:8" x14ac:dyDescent="0.15">
      <c r="A15" s="52" t="s">
        <v>13</v>
      </c>
      <c r="B15" s="76">
        <v>62392.29</v>
      </c>
      <c r="C15" s="54">
        <v>39746.97</v>
      </c>
      <c r="D15" s="54">
        <v>18592.78</v>
      </c>
      <c r="E15" s="88">
        <v>9987.83</v>
      </c>
      <c r="F15" s="54">
        <v>4052.53</v>
      </c>
      <c r="G15" s="54">
        <v>42454.23</v>
      </c>
      <c r="H15" s="55">
        <v>19938.05</v>
      </c>
    </row>
    <row r="16" spans="1:8" x14ac:dyDescent="0.15">
      <c r="A16" s="52" t="s">
        <v>14</v>
      </c>
      <c r="B16" s="76">
        <v>63005</v>
      </c>
      <c r="C16" s="54">
        <v>40538.629999999997</v>
      </c>
      <c r="D16" s="54">
        <v>18438.34</v>
      </c>
      <c r="E16" s="88">
        <v>9802.1</v>
      </c>
      <c r="F16" s="54">
        <v>4028.03</v>
      </c>
      <c r="G16" s="54">
        <v>42882.85</v>
      </c>
      <c r="H16" s="55">
        <v>20122.150000000001</v>
      </c>
    </row>
    <row r="17" spans="1:8" x14ac:dyDescent="0.15">
      <c r="A17" s="52" t="s">
        <v>15</v>
      </c>
      <c r="B17" s="76">
        <v>62620.41</v>
      </c>
      <c r="C17" s="54">
        <v>40123.49</v>
      </c>
      <c r="D17" s="54">
        <v>18371.63</v>
      </c>
      <c r="E17" s="88">
        <v>9756.4699999999993</v>
      </c>
      <c r="F17" s="54">
        <v>4125.29</v>
      </c>
      <c r="G17" s="54">
        <v>42354.62</v>
      </c>
      <c r="H17" s="55">
        <v>20265.79</v>
      </c>
    </row>
    <row r="18" spans="1:8" x14ac:dyDescent="0.15">
      <c r="A18" s="52" t="s">
        <v>16</v>
      </c>
      <c r="B18" s="76">
        <v>63926.400000000001</v>
      </c>
      <c r="C18" s="54">
        <v>40396.6</v>
      </c>
      <c r="D18" s="54">
        <v>18492.82</v>
      </c>
      <c r="E18" s="88">
        <v>9837.82</v>
      </c>
      <c r="F18" s="54">
        <v>5036.9799999999996</v>
      </c>
      <c r="G18" s="54">
        <v>43416.75</v>
      </c>
      <c r="H18" s="55">
        <v>20509.650000000001</v>
      </c>
    </row>
    <row r="19" spans="1:8" x14ac:dyDescent="0.15">
      <c r="A19" s="52" t="s">
        <v>17</v>
      </c>
      <c r="B19" s="76">
        <v>64679</v>
      </c>
      <c r="C19" s="54">
        <v>41925.75</v>
      </c>
      <c r="D19" s="54">
        <v>18722.21</v>
      </c>
      <c r="E19" s="88">
        <v>9993.16</v>
      </c>
      <c r="F19" s="54">
        <v>4031.04</v>
      </c>
      <c r="G19" s="54">
        <v>43946.58</v>
      </c>
      <c r="H19" s="55">
        <v>20732.419999999998</v>
      </c>
    </row>
    <row r="20" spans="1:8" x14ac:dyDescent="0.15">
      <c r="A20" s="52" t="s">
        <v>18</v>
      </c>
      <c r="B20" s="76">
        <v>64815.41</v>
      </c>
      <c r="C20" s="54">
        <v>41906.81</v>
      </c>
      <c r="D20" s="54">
        <v>18907.71</v>
      </c>
      <c r="E20" s="88">
        <v>10095.64</v>
      </c>
      <c r="F20" s="54">
        <v>4000.89</v>
      </c>
      <c r="G20" s="54">
        <v>44102.32</v>
      </c>
      <c r="H20" s="55">
        <v>20713.09</v>
      </c>
    </row>
    <row r="21" spans="1:8" x14ac:dyDescent="0.15">
      <c r="A21" s="52" t="s">
        <v>19</v>
      </c>
      <c r="B21" s="76">
        <v>66137.149999999994</v>
      </c>
      <c r="C21" s="54">
        <v>41798.730000000003</v>
      </c>
      <c r="D21" s="54">
        <v>18871.12</v>
      </c>
      <c r="E21" s="88">
        <v>10067.61</v>
      </c>
      <c r="F21" s="54">
        <v>5467.3</v>
      </c>
      <c r="G21" s="54">
        <v>43731.27</v>
      </c>
      <c r="H21" s="55">
        <v>22405.87</v>
      </c>
    </row>
    <row r="22" spans="1:8" x14ac:dyDescent="0.15">
      <c r="A22" s="52" t="s">
        <v>20</v>
      </c>
      <c r="B22" s="76">
        <v>65785.66</v>
      </c>
      <c r="C22" s="54">
        <v>41843.03</v>
      </c>
      <c r="D22" s="54">
        <v>18778.84</v>
      </c>
      <c r="E22" s="88">
        <v>10030.57</v>
      </c>
      <c r="F22" s="54">
        <v>5163.78</v>
      </c>
      <c r="G22" s="54">
        <v>43531.9</v>
      </c>
      <c r="H22" s="55">
        <v>22253.75</v>
      </c>
    </row>
    <row r="23" spans="1:8" x14ac:dyDescent="0.15">
      <c r="A23" s="52" t="s">
        <v>21</v>
      </c>
      <c r="B23" s="76">
        <v>67059.73</v>
      </c>
      <c r="C23" s="54">
        <v>41957.89</v>
      </c>
      <c r="D23" s="54">
        <v>18920.66</v>
      </c>
      <c r="E23" s="88">
        <v>10219.91</v>
      </c>
      <c r="F23" s="54">
        <v>6181.17</v>
      </c>
      <c r="G23" s="54">
        <v>43690.3</v>
      </c>
      <c r="H23" s="55">
        <v>23369.42</v>
      </c>
    </row>
    <row r="24" spans="1:8" x14ac:dyDescent="0.15">
      <c r="A24" s="52" t="s">
        <v>22</v>
      </c>
      <c r="B24" s="76">
        <v>66977.149999999994</v>
      </c>
      <c r="C24" s="54">
        <v>41844.26</v>
      </c>
      <c r="D24" s="54">
        <v>18986.599999999999</v>
      </c>
      <c r="E24" s="88">
        <v>10377.86</v>
      </c>
      <c r="F24" s="54">
        <v>6146.28</v>
      </c>
      <c r="G24" s="54">
        <v>43413.51</v>
      </c>
      <c r="H24" s="55">
        <v>23563.62</v>
      </c>
    </row>
    <row r="25" spans="1:8" x14ac:dyDescent="0.15">
      <c r="A25" s="52" t="s">
        <v>23</v>
      </c>
      <c r="B25" s="76">
        <v>67605.820000000007</v>
      </c>
      <c r="C25" s="54">
        <v>42169.48</v>
      </c>
      <c r="D25" s="54">
        <v>19272.8</v>
      </c>
      <c r="E25" s="88">
        <v>10622.52</v>
      </c>
      <c r="F25" s="54">
        <v>6163.54</v>
      </c>
      <c r="G25" s="54">
        <v>43749.77</v>
      </c>
      <c r="H25" s="55">
        <v>23856.05</v>
      </c>
    </row>
    <row r="26" spans="1:8" x14ac:dyDescent="0.15">
      <c r="A26" s="52" t="s">
        <v>24</v>
      </c>
      <c r="B26" s="76">
        <v>67938.86</v>
      </c>
      <c r="C26" s="54">
        <v>42512.85</v>
      </c>
      <c r="D26" s="54">
        <v>19259.62</v>
      </c>
      <c r="E26" s="88">
        <v>10481.64</v>
      </c>
      <c r="F26" s="54">
        <v>6166.39</v>
      </c>
      <c r="G26" s="54">
        <v>43863.9</v>
      </c>
      <c r="H26" s="55">
        <v>24074.97</v>
      </c>
    </row>
    <row r="27" spans="1:8" x14ac:dyDescent="0.15">
      <c r="A27" s="52" t="s">
        <v>25</v>
      </c>
      <c r="B27" s="76">
        <v>67526.41</v>
      </c>
      <c r="C27" s="54">
        <v>42470.58</v>
      </c>
      <c r="D27" s="54">
        <v>18968.71</v>
      </c>
      <c r="E27" s="88">
        <v>10146.540000000001</v>
      </c>
      <c r="F27" s="54">
        <v>6087.13</v>
      </c>
      <c r="G27" s="54">
        <v>43370.06</v>
      </c>
      <c r="H27" s="55">
        <v>24156.36</v>
      </c>
    </row>
    <row r="28" spans="1:8" x14ac:dyDescent="0.15">
      <c r="A28" s="52" t="s">
        <v>26</v>
      </c>
      <c r="B28" s="76">
        <v>68098.3</v>
      </c>
      <c r="C28" s="54">
        <v>42961.279999999999</v>
      </c>
      <c r="D28" s="54">
        <v>19066.02</v>
      </c>
      <c r="E28" s="88">
        <v>10188.24</v>
      </c>
      <c r="F28" s="54">
        <v>6070.99</v>
      </c>
      <c r="G28" s="54">
        <v>43794</v>
      </c>
      <c r="H28" s="55">
        <v>24304.29</v>
      </c>
    </row>
    <row r="29" spans="1:8" x14ac:dyDescent="0.15">
      <c r="A29" s="52" t="s">
        <v>27</v>
      </c>
      <c r="B29" s="76">
        <v>68831.520000000004</v>
      </c>
      <c r="C29" s="54">
        <v>43292.2</v>
      </c>
      <c r="D29" s="54">
        <v>19444.099999999999</v>
      </c>
      <c r="E29" s="88">
        <v>10324.450000000001</v>
      </c>
      <c r="F29" s="54">
        <v>6095.23</v>
      </c>
      <c r="G29" s="54">
        <v>44217.66</v>
      </c>
      <c r="H29" s="55">
        <v>24613.85</v>
      </c>
    </row>
    <row r="30" spans="1:8" x14ac:dyDescent="0.15">
      <c r="A30" s="52" t="s">
        <v>28</v>
      </c>
      <c r="B30" s="76">
        <v>69164.37</v>
      </c>
      <c r="C30" s="54">
        <v>43515.18</v>
      </c>
      <c r="D30" s="54">
        <v>19586.53</v>
      </c>
      <c r="E30" s="88">
        <v>10424.85</v>
      </c>
      <c r="F30" s="54">
        <v>6062.67</v>
      </c>
      <c r="G30" s="54">
        <v>44445.69</v>
      </c>
      <c r="H30" s="55">
        <v>24718.69</v>
      </c>
    </row>
    <row r="31" spans="1:8" x14ac:dyDescent="0.15">
      <c r="A31" s="52" t="s">
        <v>29</v>
      </c>
      <c r="B31" s="76">
        <v>69773.33</v>
      </c>
      <c r="C31" s="54">
        <v>44188.82</v>
      </c>
      <c r="D31" s="54">
        <v>19665.95</v>
      </c>
      <c r="E31" s="88">
        <v>10366.82</v>
      </c>
      <c r="F31" s="54">
        <v>5918.56</v>
      </c>
      <c r="G31" s="54">
        <v>45234.2</v>
      </c>
      <c r="H31" s="55">
        <v>24539.119999999999</v>
      </c>
    </row>
    <row r="32" spans="1:8" x14ac:dyDescent="0.15">
      <c r="A32" s="52" t="s">
        <v>30</v>
      </c>
      <c r="B32" s="76">
        <v>69967.320000000007</v>
      </c>
      <c r="C32" s="54">
        <v>44234.75</v>
      </c>
      <c r="D32" s="54">
        <v>19848.12</v>
      </c>
      <c r="E32" s="88">
        <v>10410.799999999999</v>
      </c>
      <c r="F32" s="54">
        <v>5884.45</v>
      </c>
      <c r="G32" s="54">
        <v>45389.89</v>
      </c>
      <c r="H32" s="55">
        <v>24577.42</v>
      </c>
    </row>
    <row r="33" spans="1:8" x14ac:dyDescent="0.15">
      <c r="A33" s="52" t="s">
        <v>31</v>
      </c>
      <c r="B33" s="76">
        <v>72604.77</v>
      </c>
      <c r="C33" s="54">
        <v>44388.53</v>
      </c>
      <c r="D33" s="54">
        <v>19944.52</v>
      </c>
      <c r="E33" s="88">
        <v>10491.18</v>
      </c>
      <c r="F33" s="54">
        <v>8271.7099999999991</v>
      </c>
      <c r="G33" s="54">
        <v>45651.89</v>
      </c>
      <c r="H33" s="55">
        <v>26952.87</v>
      </c>
    </row>
    <row r="34" spans="1:8" x14ac:dyDescent="0.15">
      <c r="A34" s="52" t="s">
        <v>32</v>
      </c>
      <c r="B34" s="76">
        <v>71330.009999999995</v>
      </c>
      <c r="C34" s="54">
        <v>43280.01</v>
      </c>
      <c r="D34" s="54">
        <v>19836.71</v>
      </c>
      <c r="E34" s="88">
        <v>10405.74</v>
      </c>
      <c r="F34" s="54">
        <v>8213.27</v>
      </c>
      <c r="G34" s="54">
        <v>45103.31</v>
      </c>
      <c r="H34" s="55">
        <v>26226.69</v>
      </c>
    </row>
    <row r="35" spans="1:8" x14ac:dyDescent="0.15">
      <c r="A35" s="52" t="s">
        <v>33</v>
      </c>
      <c r="B35" s="76">
        <v>71454.02</v>
      </c>
      <c r="C35" s="54">
        <v>43312.160000000003</v>
      </c>
      <c r="D35" s="54">
        <v>19930.79</v>
      </c>
      <c r="E35" s="88">
        <v>10452.65</v>
      </c>
      <c r="F35" s="54">
        <v>8211.07</v>
      </c>
      <c r="G35" s="54">
        <v>45228.71</v>
      </c>
      <c r="H35" s="55">
        <v>26225.31</v>
      </c>
    </row>
    <row r="36" spans="1:8" x14ac:dyDescent="0.15">
      <c r="A36" s="52" t="s">
        <v>34</v>
      </c>
      <c r="B36" s="76">
        <v>71532.759999999995</v>
      </c>
      <c r="C36" s="54">
        <v>43333.599999999999</v>
      </c>
      <c r="D36" s="54">
        <v>20014.240000000002</v>
      </c>
      <c r="E36" s="88">
        <v>10478.950000000001</v>
      </c>
      <c r="F36" s="54">
        <v>8184.91</v>
      </c>
      <c r="G36" s="54">
        <v>44972</v>
      </c>
      <c r="H36" s="55">
        <v>26560.76</v>
      </c>
    </row>
    <row r="37" spans="1:8" x14ac:dyDescent="0.15">
      <c r="A37" s="52" t="s">
        <v>35</v>
      </c>
      <c r="B37" s="76">
        <v>71676.210000000006</v>
      </c>
      <c r="C37" s="54">
        <v>43364.29</v>
      </c>
      <c r="D37" s="54">
        <v>20128.59</v>
      </c>
      <c r="E37" s="88">
        <v>10576.19</v>
      </c>
      <c r="F37" s="54">
        <v>8183.34</v>
      </c>
      <c r="G37" s="54">
        <v>44963.46</v>
      </c>
      <c r="H37" s="55">
        <v>26712.76</v>
      </c>
    </row>
    <row r="38" spans="1:8" x14ac:dyDescent="0.15">
      <c r="A38" s="52" t="s">
        <v>36</v>
      </c>
      <c r="B38" s="76">
        <v>71922.149999999994</v>
      </c>
      <c r="C38" s="54">
        <v>43428.74</v>
      </c>
      <c r="D38" s="54">
        <v>20302.09</v>
      </c>
      <c r="E38" s="88">
        <v>10595.81</v>
      </c>
      <c r="F38" s="54">
        <v>8191.31</v>
      </c>
      <c r="G38" s="54">
        <v>45292.41</v>
      </c>
      <c r="H38" s="55">
        <v>26629.74</v>
      </c>
    </row>
    <row r="39" spans="1:8" x14ac:dyDescent="0.15">
      <c r="A39" s="52" t="s">
        <v>37</v>
      </c>
      <c r="B39" s="76">
        <v>71641.27</v>
      </c>
      <c r="C39" s="54">
        <v>43128.28</v>
      </c>
      <c r="D39" s="54">
        <v>20379.54</v>
      </c>
      <c r="E39" s="88">
        <v>10601.95</v>
      </c>
      <c r="F39" s="54">
        <v>8133.46</v>
      </c>
      <c r="G39" s="54">
        <v>44992.59</v>
      </c>
      <c r="H39" s="55">
        <v>26648.68</v>
      </c>
    </row>
    <row r="40" spans="1:8" x14ac:dyDescent="0.15">
      <c r="A40" s="52" t="s">
        <v>38</v>
      </c>
      <c r="B40" s="76">
        <v>71900.61</v>
      </c>
      <c r="C40" s="54">
        <v>43469.45</v>
      </c>
      <c r="D40" s="54">
        <v>20360.84</v>
      </c>
      <c r="E40" s="88">
        <v>10583.3</v>
      </c>
      <c r="F40" s="54">
        <v>8070.33</v>
      </c>
      <c r="G40" s="54">
        <v>45244.67</v>
      </c>
      <c r="H40" s="55">
        <v>26655.95</v>
      </c>
    </row>
    <row r="41" spans="1:8" x14ac:dyDescent="0.15">
      <c r="A41" s="52" t="s">
        <v>39</v>
      </c>
      <c r="B41" s="76">
        <v>70905.09</v>
      </c>
      <c r="C41" s="54">
        <v>43571.39</v>
      </c>
      <c r="D41" s="54">
        <v>20535.38</v>
      </c>
      <c r="E41" s="88">
        <v>10619.49</v>
      </c>
      <c r="F41" s="54">
        <v>6798.33</v>
      </c>
      <c r="G41" s="54">
        <v>45336.160000000003</v>
      </c>
      <c r="H41" s="55">
        <v>25568.95</v>
      </c>
    </row>
    <row r="42" spans="1:8" x14ac:dyDescent="0.15">
      <c r="A42" s="52" t="s">
        <v>40</v>
      </c>
      <c r="B42" s="76">
        <v>71636.149999999994</v>
      </c>
      <c r="C42" s="54">
        <v>44240.4</v>
      </c>
      <c r="D42" s="54">
        <v>20599.7</v>
      </c>
      <c r="E42" s="88">
        <v>10637.84</v>
      </c>
      <c r="F42" s="54">
        <v>6796.05</v>
      </c>
      <c r="G42" s="54">
        <v>45946.44</v>
      </c>
      <c r="H42" s="55">
        <v>25689.71</v>
      </c>
    </row>
    <row r="43" spans="1:8" x14ac:dyDescent="0.15">
      <c r="A43" s="52" t="s">
        <v>41</v>
      </c>
      <c r="B43" s="76">
        <v>72989.33</v>
      </c>
      <c r="C43" s="54">
        <v>45432.91</v>
      </c>
      <c r="D43" s="54">
        <v>20766.27</v>
      </c>
      <c r="E43" s="88">
        <v>10630.8</v>
      </c>
      <c r="F43" s="54">
        <v>6790.15</v>
      </c>
      <c r="G43" s="54">
        <v>47357.11</v>
      </c>
      <c r="H43" s="55">
        <v>25632.22</v>
      </c>
    </row>
    <row r="44" spans="1:8" x14ac:dyDescent="0.15">
      <c r="A44" s="52" t="s">
        <v>42</v>
      </c>
      <c r="B44" s="76">
        <v>73314.960000000006</v>
      </c>
      <c r="C44" s="54">
        <v>45706.400000000001</v>
      </c>
      <c r="D44" s="54">
        <v>20837.689999999999</v>
      </c>
      <c r="E44" s="88">
        <v>10573.39</v>
      </c>
      <c r="F44" s="54">
        <v>6770.88</v>
      </c>
      <c r="G44" s="54">
        <v>47412.07</v>
      </c>
      <c r="H44" s="55">
        <v>25902.89</v>
      </c>
    </row>
    <row r="45" spans="1:8" x14ac:dyDescent="0.15">
      <c r="A45" s="52" t="s">
        <v>43</v>
      </c>
      <c r="B45" s="76">
        <v>73736.28</v>
      </c>
      <c r="C45" s="54">
        <v>45631.08</v>
      </c>
      <c r="D45" s="54">
        <v>20719.39</v>
      </c>
      <c r="E45" s="88">
        <v>10531.89</v>
      </c>
      <c r="F45" s="54">
        <v>7385.82</v>
      </c>
      <c r="G45" s="54">
        <v>47454.07</v>
      </c>
      <c r="H45" s="55">
        <v>26282.22</v>
      </c>
    </row>
    <row r="46" spans="1:8" x14ac:dyDescent="0.15">
      <c r="A46" s="52" t="s">
        <v>44</v>
      </c>
      <c r="B46" s="76">
        <v>74162.240000000005</v>
      </c>
      <c r="C46" s="54">
        <v>46148.27</v>
      </c>
      <c r="D46" s="54">
        <v>20630.48</v>
      </c>
      <c r="E46" s="88">
        <v>10462.01</v>
      </c>
      <c r="F46" s="54">
        <v>7383.5</v>
      </c>
      <c r="G46" s="54">
        <v>47776.7</v>
      </c>
      <c r="H46" s="55">
        <v>26385.54</v>
      </c>
    </row>
    <row r="47" spans="1:8" x14ac:dyDescent="0.15">
      <c r="A47" s="52" t="s">
        <v>46</v>
      </c>
      <c r="B47" s="76">
        <v>74192</v>
      </c>
      <c r="C47" s="54">
        <v>46151.3</v>
      </c>
      <c r="D47" s="54">
        <v>20821.73</v>
      </c>
      <c r="E47" s="88">
        <v>10472.74</v>
      </c>
      <c r="F47" s="54">
        <v>7218.96</v>
      </c>
      <c r="G47" s="54">
        <v>47926.239999999998</v>
      </c>
      <c r="H47" s="55">
        <v>26265.75</v>
      </c>
    </row>
    <row r="48" spans="1:8" x14ac:dyDescent="0.15">
      <c r="A48" s="56" t="s">
        <v>71</v>
      </c>
      <c r="B48" s="77">
        <v>74582.87</v>
      </c>
      <c r="C48" s="40">
        <v>46468.11</v>
      </c>
      <c r="D48" s="40">
        <v>20906.55</v>
      </c>
      <c r="E48" s="88">
        <v>10526.57</v>
      </c>
      <c r="F48" s="40">
        <v>7208.2</v>
      </c>
      <c r="G48" s="40">
        <v>48056.12</v>
      </c>
      <c r="H48" s="41">
        <v>26526.77</v>
      </c>
    </row>
    <row r="49" spans="1:8" x14ac:dyDescent="0.15">
      <c r="A49" s="56" t="s">
        <v>160</v>
      </c>
      <c r="B49" s="77">
        <v>74438.009999999995</v>
      </c>
      <c r="C49" s="40">
        <v>46318.8</v>
      </c>
      <c r="D49" s="40">
        <v>20933.7</v>
      </c>
      <c r="E49" s="88">
        <v>10503</v>
      </c>
      <c r="F49" s="40">
        <v>7185.49</v>
      </c>
      <c r="G49" s="40">
        <v>47973.49</v>
      </c>
      <c r="H49" s="41">
        <v>26464.49</v>
      </c>
    </row>
    <row r="50" spans="1:8" x14ac:dyDescent="0.15">
      <c r="A50" s="56" t="s">
        <v>161</v>
      </c>
      <c r="B50" s="77">
        <v>73776.070000000007</v>
      </c>
      <c r="C50" s="40">
        <v>45589.32</v>
      </c>
      <c r="D50" s="40">
        <v>21000.959999999999</v>
      </c>
      <c r="E50" s="88">
        <v>10463.68</v>
      </c>
      <c r="F50" s="40">
        <v>7185.79</v>
      </c>
      <c r="G50" s="40">
        <v>47352.92</v>
      </c>
      <c r="H50" s="41">
        <v>26423.13</v>
      </c>
    </row>
    <row r="51" spans="1:8" x14ac:dyDescent="0.15">
      <c r="A51" s="56" t="s">
        <v>163</v>
      </c>
      <c r="B51" s="77">
        <v>72611.83</v>
      </c>
      <c r="C51" s="40">
        <v>44930.31</v>
      </c>
      <c r="D51" s="40">
        <v>21279.51</v>
      </c>
      <c r="E51" s="88">
        <v>10545.96</v>
      </c>
      <c r="F51" s="40">
        <v>6402.03</v>
      </c>
      <c r="G51" s="40">
        <v>47059.34</v>
      </c>
      <c r="H51" s="41">
        <v>25552.5</v>
      </c>
    </row>
    <row r="52" spans="1:8" x14ac:dyDescent="0.15">
      <c r="A52" s="56" t="s">
        <v>166</v>
      </c>
      <c r="B52" s="77">
        <v>72959.17</v>
      </c>
      <c r="C52" s="40">
        <v>45456.01</v>
      </c>
      <c r="D52" s="40">
        <v>21262.23</v>
      </c>
      <c r="E52" s="88">
        <v>10529.94</v>
      </c>
      <c r="F52" s="40">
        <v>6240.94</v>
      </c>
      <c r="G52" s="40">
        <v>47472.18</v>
      </c>
      <c r="H52" s="41">
        <v>25487.01</v>
      </c>
    </row>
    <row r="53" spans="1:8" x14ac:dyDescent="0.15">
      <c r="A53" s="56" t="s">
        <v>167</v>
      </c>
      <c r="B53" s="77">
        <v>73193.38</v>
      </c>
      <c r="C53" s="40">
        <v>45606.51</v>
      </c>
      <c r="D53" s="40">
        <v>21498.799999999999</v>
      </c>
      <c r="E53" s="88">
        <v>10643.29</v>
      </c>
      <c r="F53" s="40">
        <v>6088.06</v>
      </c>
      <c r="G53" s="40">
        <v>47814.35</v>
      </c>
      <c r="H53" s="41">
        <v>25379.01</v>
      </c>
    </row>
    <row r="54" spans="1:8" x14ac:dyDescent="0.15">
      <c r="A54" s="56" t="s">
        <v>168</v>
      </c>
      <c r="B54" s="77">
        <v>73281.41</v>
      </c>
      <c r="C54" s="40">
        <v>45593.48</v>
      </c>
      <c r="D54" s="40">
        <v>21615.32</v>
      </c>
      <c r="E54" s="88">
        <v>10694.95</v>
      </c>
      <c r="F54" s="40">
        <v>6072.61</v>
      </c>
      <c r="G54" s="40">
        <v>47828.88</v>
      </c>
      <c r="H54" s="41">
        <v>25452.51</v>
      </c>
    </row>
    <row r="55" spans="1:8" x14ac:dyDescent="0.15">
      <c r="A55" s="56" t="s">
        <v>169</v>
      </c>
      <c r="B55" s="77">
        <v>74689.61</v>
      </c>
      <c r="C55" s="40">
        <v>46780.55</v>
      </c>
      <c r="D55" s="40">
        <v>21865.13</v>
      </c>
      <c r="E55" s="88">
        <v>10774.16</v>
      </c>
      <c r="F55" s="40">
        <v>6043.91</v>
      </c>
      <c r="G55" s="40">
        <v>49095.46</v>
      </c>
      <c r="H55" s="41">
        <v>25594.14</v>
      </c>
    </row>
    <row r="56" spans="1:8" x14ac:dyDescent="0.15">
      <c r="A56" s="56" t="s">
        <v>170</v>
      </c>
      <c r="B56" s="77">
        <v>75128.58</v>
      </c>
      <c r="C56" s="40">
        <v>46767.24</v>
      </c>
      <c r="D56" s="40">
        <v>22310.17</v>
      </c>
      <c r="E56" s="88">
        <v>11044.67</v>
      </c>
      <c r="F56" s="40">
        <v>6051.19</v>
      </c>
      <c r="G56" s="40">
        <v>49615.01</v>
      </c>
      <c r="H56" s="41">
        <v>25513.58</v>
      </c>
    </row>
    <row r="57" spans="1:8" x14ac:dyDescent="0.15">
      <c r="A57" s="56" t="s">
        <v>171</v>
      </c>
      <c r="B57" s="77">
        <v>76820.56</v>
      </c>
      <c r="C57" s="40">
        <v>47278.86</v>
      </c>
      <c r="D57" s="40">
        <v>22440.09</v>
      </c>
      <c r="E57" s="88">
        <v>11117.89</v>
      </c>
      <c r="F57" s="40">
        <v>7101.63</v>
      </c>
      <c r="G57" s="40">
        <v>50183.12</v>
      </c>
      <c r="H57" s="41">
        <v>26637.45</v>
      </c>
    </row>
    <row r="58" spans="1:8" x14ac:dyDescent="0.15">
      <c r="A58" s="56" t="s">
        <v>172</v>
      </c>
      <c r="B58" s="77">
        <v>78215.509999999995</v>
      </c>
      <c r="C58" s="40">
        <v>48576.7</v>
      </c>
      <c r="D58" s="40">
        <v>22550.41</v>
      </c>
      <c r="E58" s="88">
        <v>11116.58</v>
      </c>
      <c r="F58" s="40">
        <v>7088.4</v>
      </c>
      <c r="G58" s="40">
        <v>51426.32</v>
      </c>
      <c r="H58" s="41">
        <v>26789.18</v>
      </c>
    </row>
    <row r="59" spans="1:8" x14ac:dyDescent="0.15">
      <c r="A59" s="56" t="s">
        <v>173</v>
      </c>
      <c r="B59" s="77">
        <v>78291.86</v>
      </c>
      <c r="C59" s="40">
        <v>48586.55</v>
      </c>
      <c r="D59" s="40">
        <v>22749.4</v>
      </c>
      <c r="E59" s="88">
        <v>11220.64</v>
      </c>
      <c r="F59" s="40">
        <v>6955.93</v>
      </c>
      <c r="G59" s="40">
        <v>51617.36</v>
      </c>
      <c r="H59" s="41">
        <v>26674.5</v>
      </c>
    </row>
    <row r="60" spans="1:8" x14ac:dyDescent="0.15">
      <c r="A60" s="56" t="s">
        <v>174</v>
      </c>
      <c r="B60" s="77">
        <v>78141.45</v>
      </c>
      <c r="C60" s="40">
        <v>48257.74</v>
      </c>
      <c r="D60" s="40">
        <v>22950.53</v>
      </c>
      <c r="E60" s="88">
        <v>11383.8</v>
      </c>
      <c r="F60" s="40">
        <v>6933.17</v>
      </c>
      <c r="G60" s="40">
        <v>51452.67</v>
      </c>
      <c r="H60" s="41">
        <v>26688.77</v>
      </c>
    </row>
    <row r="61" spans="1:8" x14ac:dyDescent="0.15">
      <c r="A61" s="56" t="s">
        <v>175</v>
      </c>
      <c r="B61" s="77">
        <v>76567.16</v>
      </c>
      <c r="C61" s="40">
        <v>48144.98</v>
      </c>
      <c r="D61" s="40">
        <v>23331.919999999998</v>
      </c>
      <c r="E61" s="88">
        <v>11705.99</v>
      </c>
      <c r="F61" s="40">
        <v>5090.25</v>
      </c>
      <c r="G61" s="40">
        <v>51702.75</v>
      </c>
      <c r="H61" s="41">
        <v>24864.42</v>
      </c>
    </row>
    <row r="62" spans="1:8" x14ac:dyDescent="0.15">
      <c r="A62" s="56" t="s">
        <v>176</v>
      </c>
      <c r="B62" s="77">
        <v>76819.37</v>
      </c>
      <c r="C62" s="40">
        <v>48262.75</v>
      </c>
      <c r="D62" s="40">
        <v>23470.959999999999</v>
      </c>
      <c r="E62" s="88">
        <v>11722.5</v>
      </c>
      <c r="F62" s="40">
        <v>5085.6499999999996</v>
      </c>
      <c r="G62" s="40">
        <v>51862.39</v>
      </c>
      <c r="H62" s="41">
        <v>24957.01</v>
      </c>
    </row>
    <row r="63" spans="1:8" x14ac:dyDescent="0.15">
      <c r="A63" s="56" t="s">
        <v>177</v>
      </c>
      <c r="B63" s="77">
        <v>76388.820000000007</v>
      </c>
      <c r="C63" s="40">
        <v>47300.160000000003</v>
      </c>
      <c r="D63" s="40">
        <v>24018.14</v>
      </c>
      <c r="E63" s="88">
        <v>12200.96</v>
      </c>
      <c r="F63" s="40">
        <v>5070.5200000000004</v>
      </c>
      <c r="G63" s="40">
        <v>51571.3</v>
      </c>
      <c r="H63" s="41">
        <v>24817.51</v>
      </c>
    </row>
    <row r="64" spans="1:8" x14ac:dyDescent="0.15">
      <c r="A64" s="56" t="s">
        <v>178</v>
      </c>
      <c r="B64" s="77">
        <v>76830.8</v>
      </c>
      <c r="C64" s="40">
        <v>47625.64</v>
      </c>
      <c r="D64" s="40">
        <v>24126.94</v>
      </c>
      <c r="E64" s="88">
        <v>12270.6</v>
      </c>
      <c r="F64" s="40">
        <v>5078.25</v>
      </c>
      <c r="G64" s="40">
        <v>51878.18</v>
      </c>
      <c r="H64" s="41">
        <v>24952.66</v>
      </c>
    </row>
    <row r="65" spans="1:8" x14ac:dyDescent="0.15">
      <c r="A65" s="56" t="s">
        <v>179</v>
      </c>
      <c r="B65" s="77">
        <v>77848.350000000006</v>
      </c>
      <c r="C65" s="40">
        <v>48365.71</v>
      </c>
      <c r="D65" s="40">
        <v>24412.52</v>
      </c>
      <c r="E65" s="88">
        <v>12466.31</v>
      </c>
      <c r="F65" s="40">
        <v>5070.1000000000004</v>
      </c>
      <c r="G65" s="40">
        <v>52602.75</v>
      </c>
      <c r="H65" s="41">
        <v>25245.58</v>
      </c>
    </row>
    <row r="66" spans="1:8" x14ac:dyDescent="0.15">
      <c r="A66" s="56" t="s">
        <v>180</v>
      </c>
      <c r="B66" s="77">
        <v>78043.03</v>
      </c>
      <c r="C66" s="40">
        <v>48478.66</v>
      </c>
      <c r="D66" s="40">
        <v>24497.05</v>
      </c>
      <c r="E66" s="88">
        <v>12543.17</v>
      </c>
      <c r="F66" s="40">
        <v>5067.32</v>
      </c>
      <c r="G66" s="40">
        <v>52833.33</v>
      </c>
      <c r="H66" s="41">
        <v>25209.67</v>
      </c>
    </row>
    <row r="67" spans="1:8" x14ac:dyDescent="0.15">
      <c r="A67" s="56" t="s">
        <v>181</v>
      </c>
      <c r="B67" s="77">
        <v>80492.56</v>
      </c>
      <c r="C67" s="40">
        <v>49918.31</v>
      </c>
      <c r="D67" s="40">
        <v>25506.78</v>
      </c>
      <c r="E67" s="88">
        <v>13361.24</v>
      </c>
      <c r="F67" s="40">
        <v>5067.46</v>
      </c>
      <c r="G67" s="40">
        <v>54983.22</v>
      </c>
      <c r="H67" s="41">
        <v>25509.34</v>
      </c>
    </row>
    <row r="68" spans="1:8" x14ac:dyDescent="0.15">
      <c r="A68" s="56" t="s">
        <v>182</v>
      </c>
      <c r="B68" s="77">
        <v>81479</v>
      </c>
      <c r="C68" s="40">
        <v>50349.42</v>
      </c>
      <c r="D68" s="40">
        <v>26060.83</v>
      </c>
      <c r="E68" s="88">
        <v>13808.6</v>
      </c>
      <c r="F68" s="40">
        <v>5068.7700000000004</v>
      </c>
      <c r="G68" s="40">
        <v>55653.39</v>
      </c>
      <c r="H68" s="41">
        <v>25825.599999999999</v>
      </c>
    </row>
    <row r="69" spans="1:8" x14ac:dyDescent="0.15">
      <c r="A69" s="56" t="s">
        <v>183</v>
      </c>
      <c r="B69" s="77">
        <v>80346.09</v>
      </c>
      <c r="C69" s="40">
        <v>49996.73</v>
      </c>
      <c r="D69" s="40">
        <v>26127.54</v>
      </c>
      <c r="E69" s="88">
        <v>13934.33</v>
      </c>
      <c r="F69" s="40">
        <v>4221.84</v>
      </c>
      <c r="G69" s="40">
        <v>55428.89</v>
      </c>
      <c r="H69" s="41">
        <v>24917.19</v>
      </c>
    </row>
    <row r="70" spans="1:8" x14ac:dyDescent="0.15">
      <c r="A70" s="56" t="s">
        <v>184</v>
      </c>
      <c r="B70" s="77">
        <v>81110.2</v>
      </c>
      <c r="C70" s="40">
        <v>50896.91</v>
      </c>
      <c r="D70" s="40">
        <v>25976</v>
      </c>
      <c r="E70" s="88">
        <v>13946.19</v>
      </c>
      <c r="F70" s="40">
        <v>4237.3100000000004</v>
      </c>
      <c r="G70" s="40">
        <v>56192.45</v>
      </c>
      <c r="H70" s="41">
        <v>24917.73</v>
      </c>
    </row>
    <row r="71" spans="1:8" x14ac:dyDescent="0.15">
      <c r="A71" s="56" t="s">
        <v>185</v>
      </c>
      <c r="B71" s="77">
        <v>81362.77</v>
      </c>
      <c r="C71" s="40">
        <v>50634.45</v>
      </c>
      <c r="D71" s="40">
        <v>26621.32</v>
      </c>
      <c r="E71" s="88">
        <v>14554.37</v>
      </c>
      <c r="F71" s="40">
        <v>4107.0200000000004</v>
      </c>
      <c r="G71" s="40">
        <v>56439.85</v>
      </c>
      <c r="H71" s="41">
        <v>24922.91</v>
      </c>
    </row>
    <row r="72" spans="1:8" x14ac:dyDescent="0.15">
      <c r="A72" s="56" t="s">
        <v>186</v>
      </c>
      <c r="B72" s="77">
        <v>81116.98</v>
      </c>
      <c r="C72" s="40">
        <v>50267.39</v>
      </c>
      <c r="D72" s="40">
        <v>26733.16</v>
      </c>
      <c r="E72" s="88">
        <v>14697.95</v>
      </c>
      <c r="F72" s="40">
        <v>4116.43</v>
      </c>
      <c r="G72" s="40">
        <v>56346.6</v>
      </c>
      <c r="H72" s="41">
        <v>24770.36</v>
      </c>
    </row>
    <row r="73" spans="1:8" x14ac:dyDescent="0.15">
      <c r="A73" s="56" t="s">
        <v>187</v>
      </c>
      <c r="B73" s="77">
        <v>79911.66</v>
      </c>
      <c r="C73" s="40">
        <v>50243.11</v>
      </c>
      <c r="D73" s="40">
        <v>26661.439999999999</v>
      </c>
      <c r="E73" s="88">
        <v>14659.64</v>
      </c>
      <c r="F73" s="40">
        <v>3007.1</v>
      </c>
      <c r="G73" s="40">
        <v>56175.83</v>
      </c>
      <c r="H73" s="41">
        <v>23735.82</v>
      </c>
    </row>
    <row r="74" spans="1:8" x14ac:dyDescent="0.15">
      <c r="A74" s="56" t="s">
        <v>188</v>
      </c>
      <c r="B74" s="77">
        <v>80390.179999999993</v>
      </c>
      <c r="C74" s="40">
        <v>50559.67</v>
      </c>
      <c r="D74" s="40">
        <v>26812.12</v>
      </c>
      <c r="E74" s="88">
        <v>14739.42</v>
      </c>
      <c r="F74" s="40">
        <v>3018.4</v>
      </c>
      <c r="G74" s="40">
        <v>56661.37</v>
      </c>
      <c r="H74" s="41">
        <v>23728.83</v>
      </c>
    </row>
    <row r="75" spans="1:8" x14ac:dyDescent="0.15">
      <c r="A75" s="56" t="s">
        <v>189</v>
      </c>
      <c r="B75" s="77">
        <v>79584.91</v>
      </c>
      <c r="C75" s="40">
        <v>49694.49</v>
      </c>
      <c r="D75" s="40">
        <v>26892.59</v>
      </c>
      <c r="E75" s="88">
        <v>14801.48</v>
      </c>
      <c r="F75" s="40">
        <v>2997.86</v>
      </c>
      <c r="G75" s="40">
        <v>55782.13</v>
      </c>
      <c r="H75" s="41">
        <v>23802.78</v>
      </c>
    </row>
    <row r="76" spans="1:8" x14ac:dyDescent="0.15">
      <c r="A76" s="56" t="s">
        <v>190</v>
      </c>
      <c r="B76" s="77">
        <v>80766.8</v>
      </c>
      <c r="C76" s="40">
        <v>50018.21</v>
      </c>
      <c r="D76" s="40">
        <v>27733.599999999999</v>
      </c>
      <c r="E76" s="88">
        <v>15673.96</v>
      </c>
      <c r="F76" s="40">
        <v>3014.97</v>
      </c>
      <c r="G76" s="40">
        <v>56734.43</v>
      </c>
      <c r="H76" s="41">
        <v>24032.400000000001</v>
      </c>
    </row>
    <row r="77" spans="1:8" x14ac:dyDescent="0.15">
      <c r="A77" s="56" t="s">
        <v>191</v>
      </c>
      <c r="B77" s="77">
        <v>78754.97</v>
      </c>
      <c r="C77" s="40">
        <v>50035.11</v>
      </c>
      <c r="D77" s="40">
        <v>27752.2</v>
      </c>
      <c r="E77" s="88">
        <v>15617.6</v>
      </c>
      <c r="F77" s="40">
        <v>967.68</v>
      </c>
      <c r="G77" s="40">
        <v>56543.25</v>
      </c>
      <c r="H77" s="41">
        <v>22211.71</v>
      </c>
    </row>
    <row r="78" spans="1:8" x14ac:dyDescent="0.15">
      <c r="A78" s="56" t="s">
        <v>192</v>
      </c>
      <c r="B78" s="77">
        <v>79022.559999999998</v>
      </c>
      <c r="C78" s="40">
        <v>50198.96</v>
      </c>
      <c r="D78" s="40">
        <v>27915.24</v>
      </c>
      <c r="E78" s="88">
        <v>15769.78</v>
      </c>
      <c r="F78" s="40">
        <v>908.34</v>
      </c>
      <c r="G78" s="40">
        <v>56650.86</v>
      </c>
      <c r="H78" s="41">
        <v>22371.71</v>
      </c>
    </row>
    <row r="79" spans="1:8" x14ac:dyDescent="0.15">
      <c r="A79" s="56" t="s">
        <v>193</v>
      </c>
      <c r="B79" s="77">
        <v>81266.52</v>
      </c>
      <c r="C79" s="40">
        <v>52109.91</v>
      </c>
      <c r="D79" s="40">
        <v>28237.16</v>
      </c>
      <c r="E79" s="88">
        <v>16029.01</v>
      </c>
      <c r="F79" s="40">
        <v>919.42</v>
      </c>
      <c r="G79" s="40">
        <v>58624.75</v>
      </c>
      <c r="H79" s="41">
        <v>22641.77</v>
      </c>
    </row>
    <row r="80" spans="1:8" x14ac:dyDescent="0.15">
      <c r="A80" s="56" t="s">
        <v>194</v>
      </c>
      <c r="B80" s="77">
        <v>81910.070000000007</v>
      </c>
      <c r="C80" s="40">
        <v>52287.88</v>
      </c>
      <c r="D80" s="40">
        <v>28658.06</v>
      </c>
      <c r="E80" s="88">
        <v>16410.32</v>
      </c>
      <c r="F80" s="40">
        <v>964.15</v>
      </c>
      <c r="G80" s="40">
        <v>59133.13</v>
      </c>
      <c r="H80" s="41">
        <v>22776.97</v>
      </c>
    </row>
    <row r="81" spans="1:8" x14ac:dyDescent="0.15">
      <c r="A81" s="56" t="s">
        <v>195</v>
      </c>
      <c r="B81" s="83">
        <v>82316.850000000006</v>
      </c>
      <c r="C81" s="84">
        <v>52743.57</v>
      </c>
      <c r="D81" s="84">
        <v>28598.9</v>
      </c>
      <c r="E81" s="88">
        <v>16392.72</v>
      </c>
      <c r="F81" s="84">
        <v>974.37</v>
      </c>
      <c r="G81" s="84">
        <v>59510.879999999997</v>
      </c>
      <c r="H81" s="85">
        <v>22805.97</v>
      </c>
    </row>
    <row r="82" spans="1:8" x14ac:dyDescent="0.15">
      <c r="A82" s="56" t="s">
        <v>197</v>
      </c>
      <c r="B82" s="83">
        <v>81905.009999999995</v>
      </c>
      <c r="C82" s="84">
        <v>52556.35</v>
      </c>
      <c r="D82" s="84">
        <v>28359.09</v>
      </c>
      <c r="E82" s="88">
        <v>16280.54</v>
      </c>
      <c r="F82" s="84">
        <v>989.56</v>
      </c>
      <c r="G82" s="84">
        <v>58918.29</v>
      </c>
      <c r="H82" s="85">
        <v>22986.73</v>
      </c>
    </row>
    <row r="83" spans="1:8" x14ac:dyDescent="0.15">
      <c r="A83" s="56" t="s">
        <v>200</v>
      </c>
      <c r="B83" s="83">
        <v>81700.570000000007</v>
      </c>
      <c r="C83" s="84">
        <v>52279.05</v>
      </c>
      <c r="D83" s="84">
        <v>28434.51</v>
      </c>
      <c r="E83" s="88">
        <v>16214.13</v>
      </c>
      <c r="F83" s="84">
        <v>987.05</v>
      </c>
      <c r="G83" s="84">
        <v>58694.92</v>
      </c>
      <c r="H83" s="85">
        <v>23005.68</v>
      </c>
    </row>
    <row r="84" spans="1:8" x14ac:dyDescent="0.15">
      <c r="A84" s="86" t="s">
        <v>204</v>
      </c>
      <c r="B84" s="87">
        <v>82918.97</v>
      </c>
      <c r="C84" s="64">
        <v>52848.79</v>
      </c>
      <c r="D84" s="64">
        <v>29096.71</v>
      </c>
      <c r="E84" s="88">
        <v>16850.28</v>
      </c>
      <c r="F84" s="64">
        <v>973.46</v>
      </c>
      <c r="G84" s="64">
        <v>59737.04</v>
      </c>
      <c r="H84" s="65">
        <v>23181.91</v>
      </c>
    </row>
    <row r="85" spans="1:8" x14ac:dyDescent="0.15">
      <c r="A85" s="86" t="s">
        <v>205</v>
      </c>
      <c r="B85" s="87">
        <v>83962.32</v>
      </c>
      <c r="C85" s="64">
        <v>53697.35</v>
      </c>
      <c r="D85" s="64">
        <v>29245.39</v>
      </c>
      <c r="E85" s="88">
        <v>16997.2</v>
      </c>
      <c r="F85" s="64">
        <v>1019.57</v>
      </c>
      <c r="G85" s="64">
        <v>60509.38</v>
      </c>
      <c r="H85" s="65">
        <v>23452.94</v>
      </c>
    </row>
    <row r="86" spans="1:8" x14ac:dyDescent="0.15">
      <c r="A86" s="86" t="s">
        <v>206</v>
      </c>
      <c r="B86" s="87">
        <v>84776.43</v>
      </c>
      <c r="C86" s="64">
        <v>54171</v>
      </c>
      <c r="D86" s="64">
        <v>29580.12</v>
      </c>
      <c r="E86" s="88">
        <v>17266.87</v>
      </c>
      <c r="F86" s="64">
        <v>1025.3399999999999</v>
      </c>
      <c r="G86" s="64">
        <v>61329.73</v>
      </c>
      <c r="H86" s="65">
        <v>23446.73</v>
      </c>
    </row>
    <row r="87" spans="1:8" x14ac:dyDescent="0.15">
      <c r="A87" s="86" t="s">
        <v>207</v>
      </c>
      <c r="B87" s="87">
        <v>84480.13</v>
      </c>
      <c r="C87" s="64">
        <v>54079.08</v>
      </c>
      <c r="D87" s="64">
        <v>29413.33</v>
      </c>
      <c r="E87" s="88">
        <v>17004.97</v>
      </c>
      <c r="F87" s="64">
        <v>987.71</v>
      </c>
      <c r="G87" s="64">
        <v>61074.66</v>
      </c>
      <c r="H87" s="65">
        <v>23405.5</v>
      </c>
    </row>
    <row r="88" spans="1:8" x14ac:dyDescent="0.15">
      <c r="A88" s="86" t="s">
        <v>208</v>
      </c>
      <c r="B88" s="87">
        <v>84072.54</v>
      </c>
      <c r="C88" s="64">
        <v>53931.21</v>
      </c>
      <c r="D88" s="64">
        <v>29142.62</v>
      </c>
      <c r="E88" s="88">
        <v>16586.88</v>
      </c>
      <c r="F88" s="64">
        <v>998.76</v>
      </c>
      <c r="G88" s="64">
        <v>60528.79</v>
      </c>
      <c r="H88" s="65">
        <v>23543.73</v>
      </c>
    </row>
    <row r="89" spans="1:8" x14ac:dyDescent="0.15">
      <c r="A89" s="86" t="s">
        <v>209</v>
      </c>
      <c r="B89" s="87">
        <v>85587</v>
      </c>
      <c r="C89" s="64">
        <v>54785</v>
      </c>
      <c r="D89" s="64">
        <v>29777</v>
      </c>
      <c r="E89" s="88">
        <v>16930.66</v>
      </c>
      <c r="F89" s="64">
        <v>1025</v>
      </c>
      <c r="G89" s="64">
        <v>61807</v>
      </c>
      <c r="H89" s="65">
        <v>23780</v>
      </c>
    </row>
    <row r="90" spans="1:8" x14ac:dyDescent="0.15">
      <c r="A90" s="86" t="s">
        <v>210</v>
      </c>
      <c r="B90" s="87">
        <v>85828</v>
      </c>
      <c r="C90" s="64">
        <v>54959</v>
      </c>
      <c r="D90" s="64">
        <v>29929</v>
      </c>
      <c r="E90" s="88">
        <v>16963.59</v>
      </c>
      <c r="F90" s="64">
        <v>940</v>
      </c>
      <c r="G90" s="64">
        <v>61887</v>
      </c>
      <c r="H90" s="65">
        <v>23941</v>
      </c>
    </row>
    <row r="91" spans="1:8" x14ac:dyDescent="0.15">
      <c r="A91" s="86" t="s">
        <v>211</v>
      </c>
      <c r="B91" s="87">
        <v>87445.56</v>
      </c>
      <c r="C91" s="64">
        <v>56271.22</v>
      </c>
      <c r="D91" s="64">
        <v>30245.63</v>
      </c>
      <c r="E91" s="88">
        <v>17117.150000000001</v>
      </c>
      <c r="F91" s="64">
        <v>928.7</v>
      </c>
      <c r="G91" s="64">
        <v>63463.32</v>
      </c>
      <c r="H91" s="65">
        <v>23982.23</v>
      </c>
    </row>
    <row r="92" spans="1:8" x14ac:dyDescent="0.15">
      <c r="A92" s="86" t="s">
        <v>212</v>
      </c>
      <c r="B92" s="87">
        <v>88114.55</v>
      </c>
      <c r="C92" s="64">
        <v>56417.77</v>
      </c>
      <c r="D92" s="64">
        <v>30784.19</v>
      </c>
      <c r="E92" s="88">
        <v>17402.439999999999</v>
      </c>
      <c r="F92" s="64">
        <v>912.61</v>
      </c>
      <c r="G92" s="64">
        <v>64005.1</v>
      </c>
      <c r="H92" s="65">
        <v>24109.47</v>
      </c>
    </row>
    <row r="93" spans="1:8" x14ac:dyDescent="0.15">
      <c r="A93" s="86" t="s">
        <v>213</v>
      </c>
      <c r="B93" s="87">
        <v>88837.43</v>
      </c>
      <c r="C93" s="64">
        <v>57057.7</v>
      </c>
      <c r="D93" s="64">
        <v>30843.22</v>
      </c>
      <c r="E93" s="88">
        <v>17443.490000000002</v>
      </c>
      <c r="F93" s="64">
        <v>936.51</v>
      </c>
      <c r="G93" s="64">
        <v>64520.57</v>
      </c>
      <c r="H93" s="65">
        <v>24316.86</v>
      </c>
    </row>
    <row r="94" spans="1:8" x14ac:dyDescent="0.15">
      <c r="A94" s="86" t="s">
        <v>214</v>
      </c>
      <c r="B94" s="87">
        <v>88834.36</v>
      </c>
      <c r="C94" s="64">
        <v>57237.66</v>
      </c>
      <c r="D94" s="64">
        <v>30675.03</v>
      </c>
      <c r="E94" s="88">
        <v>17208.64</v>
      </c>
      <c r="F94" s="64">
        <v>921.66</v>
      </c>
      <c r="G94" s="64">
        <v>64408.480000000003</v>
      </c>
      <c r="H94" s="65">
        <v>24425.87</v>
      </c>
    </row>
    <row r="95" spans="1:8" x14ac:dyDescent="0.15">
      <c r="A95" s="86" t="s">
        <v>215</v>
      </c>
      <c r="B95" s="87">
        <v>89007.7</v>
      </c>
      <c r="C95" s="64">
        <v>57276.71</v>
      </c>
      <c r="D95" s="64">
        <v>30798.22</v>
      </c>
      <c r="E95" s="88">
        <v>17322.009999999998</v>
      </c>
      <c r="F95" s="64">
        <v>932.74</v>
      </c>
      <c r="G95" s="64">
        <v>64408.44</v>
      </c>
      <c r="H95" s="65">
        <v>24599.21</v>
      </c>
    </row>
    <row r="96" spans="1:8" x14ac:dyDescent="0.15">
      <c r="A96" s="86" t="s">
        <v>216</v>
      </c>
      <c r="B96" s="87">
        <v>88942.52</v>
      </c>
      <c r="C96" s="64">
        <v>57426.1</v>
      </c>
      <c r="D96" s="64">
        <v>30577.79</v>
      </c>
      <c r="E96" s="88">
        <v>17112.02</v>
      </c>
      <c r="F96" s="64">
        <v>938.67</v>
      </c>
      <c r="G96" s="64">
        <v>64339.83</v>
      </c>
      <c r="H96" s="65">
        <v>24602.71</v>
      </c>
    </row>
    <row r="97" spans="1:8" x14ac:dyDescent="0.15">
      <c r="A97" s="86" t="s">
        <v>217</v>
      </c>
      <c r="B97" s="87">
        <v>89566.31</v>
      </c>
      <c r="C97" s="64">
        <v>57643.13</v>
      </c>
      <c r="D97" s="64">
        <v>30985.48</v>
      </c>
      <c r="E97" s="88">
        <v>17088.61</v>
      </c>
      <c r="F97" s="64">
        <v>937.71</v>
      </c>
      <c r="G97" s="64">
        <v>64829.04</v>
      </c>
      <c r="H97" s="65">
        <v>24737.29</v>
      </c>
    </row>
    <row r="98" spans="1:8" x14ac:dyDescent="0.15">
      <c r="A98" s="86" t="s">
        <v>218</v>
      </c>
      <c r="B98" s="87">
        <v>89569.31</v>
      </c>
      <c r="C98" s="64">
        <v>57869.67</v>
      </c>
      <c r="D98" s="64">
        <v>30741</v>
      </c>
      <c r="E98" s="88">
        <v>16873.150000000001</v>
      </c>
      <c r="F98" s="64">
        <v>958.67</v>
      </c>
      <c r="G98" s="64">
        <v>64757.99</v>
      </c>
      <c r="H98" s="65">
        <v>24811.34</v>
      </c>
    </row>
    <row r="99" spans="1:8" x14ac:dyDescent="0.15">
      <c r="A99" s="86" t="s">
        <v>219</v>
      </c>
      <c r="B99" s="87">
        <v>88898.41</v>
      </c>
      <c r="C99" s="64">
        <v>57219.46</v>
      </c>
      <c r="D99" s="64">
        <v>30712.11</v>
      </c>
      <c r="E99" s="88">
        <v>16791.41</v>
      </c>
      <c r="F99" s="64">
        <v>966.85</v>
      </c>
      <c r="G99" s="64">
        <v>64106.44</v>
      </c>
      <c r="H99" s="65">
        <v>24791.97</v>
      </c>
    </row>
    <row r="100" spans="1:8" x14ac:dyDescent="0.15">
      <c r="A100" s="86" t="s">
        <v>220</v>
      </c>
      <c r="B100" s="87">
        <v>89739.48</v>
      </c>
      <c r="C100" s="64">
        <v>58141.9</v>
      </c>
      <c r="D100" s="64">
        <v>30623.61</v>
      </c>
      <c r="E100" s="88">
        <v>16812.439999999999</v>
      </c>
      <c r="F100" s="64">
        <v>973.98</v>
      </c>
      <c r="G100" s="64">
        <v>64607.03</v>
      </c>
      <c r="H100" s="65">
        <v>25132.46</v>
      </c>
    </row>
    <row r="101" spans="1:8" x14ac:dyDescent="0.15">
      <c r="A101" s="86" t="s">
        <v>222</v>
      </c>
      <c r="B101" s="87">
        <v>89888.75</v>
      </c>
      <c r="C101" s="64">
        <v>58242.13</v>
      </c>
      <c r="D101" s="64">
        <v>30690</v>
      </c>
      <c r="E101" s="88">
        <v>16835.37</v>
      </c>
      <c r="F101" s="64">
        <v>956.62</v>
      </c>
      <c r="G101" s="64">
        <v>64551.26</v>
      </c>
      <c r="H101" s="65">
        <v>25337.54</v>
      </c>
    </row>
    <row r="102" spans="1:8" x14ac:dyDescent="0.15">
      <c r="A102" s="86" t="s">
        <v>223</v>
      </c>
      <c r="B102" s="87">
        <v>89959.16</v>
      </c>
      <c r="C102" s="64">
        <v>58211.79</v>
      </c>
      <c r="D102" s="64">
        <v>30774.97</v>
      </c>
      <c r="E102" s="88">
        <v>16983.150000000001</v>
      </c>
      <c r="F102" s="64">
        <v>972.41</v>
      </c>
      <c r="G102" s="64">
        <v>64528</v>
      </c>
      <c r="H102" s="65">
        <v>25431.17</v>
      </c>
    </row>
    <row r="103" spans="1:8" x14ac:dyDescent="0.15">
      <c r="A103" s="86" t="s">
        <v>224</v>
      </c>
      <c r="B103" s="87">
        <v>90489.48</v>
      </c>
      <c r="C103" s="64">
        <v>58797.82</v>
      </c>
      <c r="D103" s="64">
        <v>30719.18</v>
      </c>
      <c r="E103" s="88">
        <v>16916.009999999998</v>
      </c>
      <c r="F103" s="64">
        <v>972.47</v>
      </c>
      <c r="G103" s="64">
        <v>64970.400000000001</v>
      </c>
      <c r="H103" s="65">
        <v>25519.040000000001</v>
      </c>
    </row>
    <row r="104" spans="1:8" x14ac:dyDescent="0.15">
      <c r="A104" s="86" t="s">
        <v>225</v>
      </c>
      <c r="B104" s="87">
        <v>90786.03</v>
      </c>
      <c r="C104" s="64">
        <v>59402.94</v>
      </c>
      <c r="D104" s="64">
        <v>30391.61</v>
      </c>
      <c r="E104" s="88">
        <v>16616.16</v>
      </c>
      <c r="F104" s="64">
        <v>991.47</v>
      </c>
      <c r="G104" s="64">
        <v>65206.41</v>
      </c>
      <c r="H104" s="65">
        <v>25579.64</v>
      </c>
    </row>
    <row r="105" spans="1:8" x14ac:dyDescent="0.15">
      <c r="A105" s="86" t="s">
        <v>227</v>
      </c>
      <c r="B105" s="87">
        <v>91573.24</v>
      </c>
      <c r="C105" s="64">
        <v>60696.58</v>
      </c>
      <c r="D105" s="64">
        <v>29892.06</v>
      </c>
      <c r="E105" s="88">
        <v>16261.77</v>
      </c>
      <c r="F105" s="64">
        <v>984.61</v>
      </c>
      <c r="G105" s="64">
        <v>65884.149999999994</v>
      </c>
      <c r="H105" s="65">
        <v>25689.11</v>
      </c>
    </row>
    <row r="106" spans="1:8" x14ac:dyDescent="0.15">
      <c r="A106" s="86" t="s">
        <v>228</v>
      </c>
      <c r="B106" s="87">
        <v>91641.31</v>
      </c>
      <c r="C106" s="64">
        <v>61003.71</v>
      </c>
      <c r="D106" s="64">
        <v>29649.26</v>
      </c>
      <c r="E106" s="88">
        <v>16224.39</v>
      </c>
      <c r="F106" s="64">
        <v>988.34</v>
      </c>
      <c r="G106" s="64">
        <v>65797.09</v>
      </c>
      <c r="H106" s="65">
        <v>25844.21</v>
      </c>
    </row>
    <row r="107" spans="1:8" x14ac:dyDescent="0.15">
      <c r="A107" s="86" t="s">
        <v>230</v>
      </c>
      <c r="B107" s="87">
        <v>91255.76</v>
      </c>
      <c r="C107" s="64">
        <v>61062.28</v>
      </c>
      <c r="D107" s="64">
        <v>29201.24</v>
      </c>
      <c r="E107" s="88">
        <v>16024.32</v>
      </c>
      <c r="F107" s="64">
        <v>992.24</v>
      </c>
      <c r="G107" s="64">
        <v>65030.82</v>
      </c>
      <c r="H107" s="65">
        <v>26224.97</v>
      </c>
    </row>
    <row r="108" spans="1:8" x14ac:dyDescent="0.15">
      <c r="A108" s="86" t="s">
        <v>231</v>
      </c>
      <c r="B108" s="87">
        <v>90971.23</v>
      </c>
      <c r="C108" s="64">
        <v>61359.6</v>
      </c>
      <c r="D108" s="64">
        <v>28627.86</v>
      </c>
      <c r="E108" s="88">
        <v>15672.67</v>
      </c>
      <c r="F108" s="64">
        <v>983.76</v>
      </c>
      <c r="G108" s="64">
        <v>64413.55</v>
      </c>
      <c r="H108" s="65">
        <v>26557.69</v>
      </c>
    </row>
    <row r="109" spans="1:8" x14ac:dyDescent="0.15">
      <c r="A109" s="86" t="s">
        <v>234</v>
      </c>
      <c r="B109" s="87">
        <v>90751.24</v>
      </c>
      <c r="C109" s="64">
        <v>61392.53</v>
      </c>
      <c r="D109" s="64">
        <v>28384.3</v>
      </c>
      <c r="E109" s="88">
        <v>15493.02</v>
      </c>
      <c r="F109" s="64">
        <v>974.4</v>
      </c>
      <c r="G109" s="64">
        <v>64085.16</v>
      </c>
      <c r="H109" s="65">
        <v>26666.06</v>
      </c>
    </row>
    <row r="110" spans="1:8" x14ac:dyDescent="0.15">
      <c r="A110" s="86" t="s">
        <v>237</v>
      </c>
      <c r="B110" s="87">
        <v>90922.77</v>
      </c>
      <c r="C110" s="64">
        <v>61477.72</v>
      </c>
      <c r="D110" s="64">
        <v>28442.74</v>
      </c>
      <c r="E110" s="88">
        <v>15565.13</v>
      </c>
      <c r="F110" s="64">
        <v>1002.33</v>
      </c>
      <c r="G110" s="64">
        <v>64069.55</v>
      </c>
      <c r="H110" s="65">
        <v>26853.200000000001</v>
      </c>
    </row>
    <row r="111" spans="1:8" x14ac:dyDescent="0.15">
      <c r="A111" s="86" t="s">
        <v>238</v>
      </c>
      <c r="B111" s="87">
        <v>90165.97</v>
      </c>
      <c r="C111" s="64">
        <v>60642.400000000001</v>
      </c>
      <c r="D111" s="64">
        <v>28491.4</v>
      </c>
      <c r="E111" s="88">
        <v>15691.02</v>
      </c>
      <c r="F111" s="64">
        <v>1032.17</v>
      </c>
      <c r="G111" s="64">
        <v>63360.61</v>
      </c>
      <c r="H111" s="65">
        <v>26805.360000000001</v>
      </c>
    </row>
    <row r="112" spans="1:8" x14ac:dyDescent="0.15">
      <c r="A112" s="86" t="s">
        <v>239</v>
      </c>
      <c r="B112" s="87">
        <v>89462.5</v>
      </c>
      <c r="C112" s="64">
        <v>60082.63</v>
      </c>
      <c r="D112" s="64">
        <v>28352.42</v>
      </c>
      <c r="E112" s="88">
        <v>15719.88</v>
      </c>
      <c r="F112" s="64">
        <v>1027.47</v>
      </c>
      <c r="G112" s="64">
        <v>62645.29</v>
      </c>
      <c r="H112" s="65">
        <v>26817.19</v>
      </c>
    </row>
    <row r="113" spans="1:8" x14ac:dyDescent="0.15">
      <c r="A113" s="86" t="s">
        <v>241</v>
      </c>
      <c r="B113" s="87">
        <v>89465.51</v>
      </c>
      <c r="C113" s="64">
        <v>60181.98</v>
      </c>
      <c r="D113" s="64">
        <v>28228.2</v>
      </c>
      <c r="E113" s="88">
        <v>15665.06</v>
      </c>
      <c r="F113" s="64">
        <v>1055.3399999999999</v>
      </c>
      <c r="G113" s="64">
        <v>62170.1</v>
      </c>
      <c r="H113" s="65">
        <v>27295.45</v>
      </c>
    </row>
    <row r="114" spans="1:8" x14ac:dyDescent="0.15">
      <c r="A114" s="86" t="s">
        <v>242</v>
      </c>
      <c r="B114" s="87">
        <v>89519.88</v>
      </c>
      <c r="C114" s="64">
        <v>60021.29</v>
      </c>
      <c r="D114" s="64">
        <v>28430.63</v>
      </c>
      <c r="E114" s="88">
        <v>16023.27</v>
      </c>
      <c r="F114" s="64">
        <v>1067.94</v>
      </c>
      <c r="G114" s="64">
        <v>61838.95</v>
      </c>
      <c r="H114" s="65">
        <v>27680.94</v>
      </c>
    </row>
    <row r="115" spans="1:8" x14ac:dyDescent="0.15">
      <c r="A115" s="86" t="s">
        <v>243</v>
      </c>
      <c r="B115" s="87">
        <v>90349.7</v>
      </c>
      <c r="C115" s="64">
        <v>60592.2</v>
      </c>
      <c r="D115" s="64">
        <v>28695.66</v>
      </c>
      <c r="E115" s="88">
        <v>16422.43</v>
      </c>
      <c r="F115" s="64">
        <v>1061.8399999999999</v>
      </c>
      <c r="G115" s="64">
        <v>62543.29</v>
      </c>
      <c r="H115" s="65">
        <v>27806.400000000001</v>
      </c>
    </row>
    <row r="116" spans="1:8" x14ac:dyDescent="0.15">
      <c r="A116" s="86" t="s">
        <v>246</v>
      </c>
      <c r="B116" s="87">
        <v>90230.97</v>
      </c>
      <c r="C116" s="64">
        <v>60508.44</v>
      </c>
      <c r="D116" s="64">
        <v>28660.89</v>
      </c>
      <c r="E116" s="88">
        <v>16551.87</v>
      </c>
      <c r="F116" s="64">
        <v>1061.6199999999999</v>
      </c>
      <c r="G116" s="64">
        <v>62356.06</v>
      </c>
      <c r="H116" s="65">
        <v>27874.92</v>
      </c>
    </row>
    <row r="117" spans="1:8" x14ac:dyDescent="0.15">
      <c r="A117" s="86" t="s">
        <v>247</v>
      </c>
      <c r="B117" s="87">
        <v>92102.53</v>
      </c>
      <c r="C117" s="64">
        <v>62305.41</v>
      </c>
      <c r="D117" s="64">
        <v>28736.95</v>
      </c>
      <c r="E117" s="88">
        <v>16887.599999999999</v>
      </c>
      <c r="F117" s="64">
        <v>1060.1600000000001</v>
      </c>
      <c r="G117" s="64">
        <v>63995.18</v>
      </c>
      <c r="H117" s="65">
        <v>28107.360000000001</v>
      </c>
    </row>
    <row r="118" spans="1:8" x14ac:dyDescent="0.15">
      <c r="A118" s="86" t="s">
        <v>249</v>
      </c>
      <c r="B118" s="87">
        <v>91871.1</v>
      </c>
      <c r="C118" s="64">
        <v>61865.760000000002</v>
      </c>
      <c r="D118" s="64">
        <v>28968.09</v>
      </c>
      <c r="E118" s="88">
        <v>17387.400000000001</v>
      </c>
      <c r="F118" s="64">
        <v>1037.29</v>
      </c>
      <c r="G118" s="64">
        <v>63984.1</v>
      </c>
      <c r="H118" s="65">
        <v>27887.03</v>
      </c>
    </row>
    <row r="119" spans="1:8" x14ac:dyDescent="0.15">
      <c r="A119" s="86" t="s">
        <v>251</v>
      </c>
      <c r="B119" s="87">
        <v>91843.87</v>
      </c>
      <c r="C119" s="64">
        <v>61647.33</v>
      </c>
      <c r="D119" s="64">
        <v>29177.96</v>
      </c>
      <c r="E119" s="88">
        <v>17686.86</v>
      </c>
      <c r="F119" s="64">
        <v>1018.63</v>
      </c>
      <c r="G119" s="64">
        <v>63818.71</v>
      </c>
      <c r="H119" s="65">
        <v>28025.17</v>
      </c>
    </row>
    <row r="120" spans="1:8" x14ac:dyDescent="0.15">
      <c r="A120" s="86" t="s">
        <v>253</v>
      </c>
      <c r="B120" s="87">
        <v>91087.25</v>
      </c>
      <c r="C120" s="64">
        <v>61566.9</v>
      </c>
      <c r="D120" s="64">
        <v>28502.35</v>
      </c>
      <c r="E120" s="88">
        <v>17268.89</v>
      </c>
      <c r="F120" s="64">
        <v>1017.97</v>
      </c>
      <c r="G120" s="64">
        <v>63091.35</v>
      </c>
      <c r="H120" s="65">
        <v>27995.87</v>
      </c>
    </row>
    <row r="121" spans="1:8" x14ac:dyDescent="0.15">
      <c r="A121" s="86" t="s">
        <v>255</v>
      </c>
      <c r="B121" s="87">
        <v>90846.99</v>
      </c>
      <c r="C121" s="64">
        <v>61656.24</v>
      </c>
      <c r="D121" s="64">
        <v>28176</v>
      </c>
      <c r="E121" s="88">
        <v>17030.04</v>
      </c>
      <c r="F121" s="64">
        <v>1014.75</v>
      </c>
      <c r="G121" s="64">
        <v>62556.99</v>
      </c>
      <c r="H121" s="65">
        <v>28289.99</v>
      </c>
    </row>
    <row r="122" spans="1:8" x14ac:dyDescent="0.15">
      <c r="A122" s="86" t="s">
        <v>258</v>
      </c>
      <c r="B122" s="87">
        <v>91483.199999999997</v>
      </c>
      <c r="C122" s="64">
        <v>61995.27</v>
      </c>
      <c r="D122" s="64">
        <v>28466.94</v>
      </c>
      <c r="E122" s="88">
        <v>17330.36</v>
      </c>
      <c r="F122" s="64">
        <v>1020.97</v>
      </c>
      <c r="G122" s="64">
        <v>62805.17</v>
      </c>
      <c r="H122" s="65">
        <v>28678.03</v>
      </c>
    </row>
    <row r="123" spans="1:8" x14ac:dyDescent="0.15">
      <c r="A123" s="86" t="s">
        <v>260</v>
      </c>
      <c r="B123" s="87">
        <v>90837.58</v>
      </c>
      <c r="C123" s="64">
        <v>60765.27</v>
      </c>
      <c r="D123" s="64">
        <v>29032.79</v>
      </c>
      <c r="E123" s="88">
        <v>17915.849999999999</v>
      </c>
      <c r="F123" s="64">
        <v>1039.52</v>
      </c>
      <c r="G123" s="64">
        <v>61842.080000000002</v>
      </c>
      <c r="H123" s="65">
        <v>28995.52</v>
      </c>
    </row>
    <row r="124" spans="1:8" x14ac:dyDescent="0.15">
      <c r="A124" s="86" t="s">
        <v>262</v>
      </c>
      <c r="B124" s="87">
        <v>91373.71</v>
      </c>
      <c r="C124" s="64">
        <v>61261.86</v>
      </c>
      <c r="D124" s="64">
        <v>29080.45</v>
      </c>
      <c r="E124" s="88">
        <v>18048.52</v>
      </c>
      <c r="F124" s="64">
        <v>1031.3900000000001</v>
      </c>
      <c r="G124" s="64">
        <v>61955.46</v>
      </c>
      <c r="H124" s="65">
        <v>29418.25</v>
      </c>
    </row>
    <row r="125" spans="1:8" x14ac:dyDescent="0.15">
      <c r="A125" s="86" t="s">
        <v>265</v>
      </c>
      <c r="B125" s="87">
        <v>91990.37</v>
      </c>
      <c r="C125" s="64">
        <v>61519.51</v>
      </c>
      <c r="D125" s="64">
        <v>29482.04</v>
      </c>
      <c r="E125" s="88">
        <v>18463.68</v>
      </c>
      <c r="F125" s="64">
        <v>988.81</v>
      </c>
      <c r="G125" s="64">
        <v>62313.09</v>
      </c>
      <c r="H125" s="65">
        <v>29677.32</v>
      </c>
    </row>
    <row r="126" spans="1:8" x14ac:dyDescent="0.15">
      <c r="A126" s="86" t="s">
        <v>267</v>
      </c>
      <c r="B126" s="87">
        <v>91952.95</v>
      </c>
      <c r="C126" s="64">
        <v>61571.47</v>
      </c>
      <c r="D126" s="64">
        <v>29386.94</v>
      </c>
      <c r="E126" s="88">
        <v>18498.18</v>
      </c>
      <c r="F126" s="64">
        <v>994.55</v>
      </c>
      <c r="G126" s="64">
        <v>61927.76</v>
      </c>
      <c r="H126" s="65">
        <v>30025.22</v>
      </c>
    </row>
    <row r="127" spans="1:8" x14ac:dyDescent="0.15">
      <c r="A127" s="86" t="s">
        <v>269</v>
      </c>
      <c r="B127" s="87">
        <v>93438.53</v>
      </c>
      <c r="C127" s="64">
        <v>62604.42</v>
      </c>
      <c r="D127" s="64">
        <v>29839.89</v>
      </c>
      <c r="E127" s="88">
        <v>18942.89</v>
      </c>
      <c r="F127" s="64">
        <v>994.2</v>
      </c>
      <c r="G127" s="64">
        <v>63220.36</v>
      </c>
      <c r="H127" s="65">
        <v>30218.14</v>
      </c>
    </row>
    <row r="128" spans="1:8" x14ac:dyDescent="0.15">
      <c r="A128" s="86" t="s">
        <v>271</v>
      </c>
      <c r="B128" s="87">
        <v>93289.2</v>
      </c>
      <c r="C128" s="64">
        <v>62644.21</v>
      </c>
      <c r="D128" s="64">
        <v>29622.45</v>
      </c>
      <c r="E128" s="88">
        <v>18762.669999999998</v>
      </c>
      <c r="F128" s="64">
        <v>1022.59</v>
      </c>
      <c r="G128" s="64">
        <v>62947.22</v>
      </c>
      <c r="H128" s="65">
        <v>30342</v>
      </c>
    </row>
    <row r="129" spans="1:8" x14ac:dyDescent="0.15">
      <c r="A129" s="86" t="s">
        <v>273</v>
      </c>
      <c r="B129" s="87">
        <v>95450.3</v>
      </c>
      <c r="C129" s="64">
        <v>64977.4</v>
      </c>
      <c r="D129" s="64">
        <v>29430.36</v>
      </c>
      <c r="E129" s="88">
        <v>18676.400000000001</v>
      </c>
      <c r="F129" s="64">
        <v>1042.54</v>
      </c>
      <c r="G129" s="64">
        <v>65104.41</v>
      </c>
      <c r="H129" s="65">
        <v>30345.9</v>
      </c>
    </row>
    <row r="130" spans="1:8" x14ac:dyDescent="0.15">
      <c r="A130" s="86" t="s">
        <v>274</v>
      </c>
      <c r="B130" s="87">
        <v>95392.37</v>
      </c>
      <c r="C130" s="64">
        <v>64683.87</v>
      </c>
      <c r="D130" s="64">
        <v>29652.79</v>
      </c>
      <c r="E130" s="88">
        <v>19069.47</v>
      </c>
      <c r="F130" s="64">
        <v>1055.73</v>
      </c>
      <c r="G130" s="64">
        <v>65133.440000000002</v>
      </c>
      <c r="H130" s="65">
        <v>30258.94</v>
      </c>
    </row>
    <row r="131" spans="1:8" x14ac:dyDescent="0.15">
      <c r="A131" s="86" t="s">
        <v>276</v>
      </c>
      <c r="B131" s="87">
        <v>95232.42</v>
      </c>
      <c r="C131" s="64">
        <v>64580.160000000003</v>
      </c>
      <c r="D131" s="64">
        <v>29594.71</v>
      </c>
      <c r="E131" s="88">
        <v>19163.240000000002</v>
      </c>
      <c r="F131" s="64">
        <v>1057.5999999999999</v>
      </c>
      <c r="G131" s="64">
        <v>65041.48</v>
      </c>
      <c r="H131" s="65">
        <v>30190.95</v>
      </c>
    </row>
    <row r="132" spans="1:8" x14ac:dyDescent="0.15">
      <c r="A132" s="86" t="s">
        <v>278</v>
      </c>
      <c r="B132" s="87">
        <v>94837.92</v>
      </c>
      <c r="C132" s="64">
        <v>64554.720000000001</v>
      </c>
      <c r="D132" s="64">
        <v>29263.06</v>
      </c>
      <c r="E132" s="88">
        <v>18989.5</v>
      </c>
      <c r="F132" s="64">
        <v>1020.13</v>
      </c>
      <c r="G132" s="64">
        <v>64655.3</v>
      </c>
      <c r="H132" s="65">
        <v>30182.63</v>
      </c>
    </row>
    <row r="133" spans="1:8" x14ac:dyDescent="0.15">
      <c r="A133" s="86" t="s">
        <v>279</v>
      </c>
      <c r="B133" s="87">
        <v>95040.46</v>
      </c>
      <c r="C133" s="64">
        <v>64667.65</v>
      </c>
      <c r="D133" s="64">
        <v>29367.13</v>
      </c>
      <c r="E133" s="88">
        <v>19041.95</v>
      </c>
      <c r="F133" s="64">
        <v>1005.64</v>
      </c>
      <c r="G133" s="64">
        <v>64702.559999999998</v>
      </c>
      <c r="H133" s="65">
        <v>30337.87</v>
      </c>
    </row>
    <row r="134" spans="1:8" x14ac:dyDescent="0.15">
      <c r="A134" s="86" t="s">
        <v>280</v>
      </c>
      <c r="B134" s="87">
        <v>95190.33</v>
      </c>
      <c r="C134" s="64">
        <v>64938.28</v>
      </c>
      <c r="D134" s="64">
        <v>29256.400000000001</v>
      </c>
      <c r="E134" s="88">
        <v>18954.21</v>
      </c>
      <c r="F134" s="64">
        <v>995.67</v>
      </c>
      <c r="G134" s="64">
        <v>64517.78</v>
      </c>
      <c r="H134" s="65">
        <v>30672.54</v>
      </c>
    </row>
    <row r="135" spans="1:8" x14ac:dyDescent="0.15">
      <c r="A135" s="86" t="s">
        <v>282</v>
      </c>
      <c r="B135" s="87">
        <v>94380.4</v>
      </c>
      <c r="C135" s="64">
        <v>63421.16</v>
      </c>
      <c r="D135" s="64">
        <v>29929.69</v>
      </c>
      <c r="E135" s="88">
        <v>19640.32</v>
      </c>
      <c r="F135" s="64">
        <v>1029.56</v>
      </c>
      <c r="G135" s="64">
        <v>63457.36</v>
      </c>
      <c r="H135" s="65">
        <v>30923.06</v>
      </c>
    </row>
    <row r="136" spans="1:8" x14ac:dyDescent="0.15">
      <c r="A136" s="86" t="s">
        <v>283</v>
      </c>
      <c r="B136" s="87">
        <v>94153.34</v>
      </c>
      <c r="C136" s="64">
        <v>63125.79</v>
      </c>
      <c r="D136" s="64">
        <v>30001.38</v>
      </c>
      <c r="E136" s="88">
        <v>19765.61</v>
      </c>
      <c r="F136" s="64">
        <v>1026.17</v>
      </c>
      <c r="G136" s="64">
        <v>63396.65</v>
      </c>
      <c r="H136" s="65">
        <v>30756.69</v>
      </c>
    </row>
    <row r="137" spans="1:8" x14ac:dyDescent="0.15">
      <c r="A137" s="86" t="s">
        <v>284</v>
      </c>
      <c r="B137" s="87">
        <v>94615.31</v>
      </c>
      <c r="C137" s="64">
        <v>62735.56</v>
      </c>
      <c r="D137" s="64">
        <v>30871.95</v>
      </c>
      <c r="E137" s="88">
        <v>20617.900000000001</v>
      </c>
      <c r="F137" s="64">
        <v>1007.78</v>
      </c>
      <c r="G137" s="64">
        <v>63837.37</v>
      </c>
      <c r="H137" s="65">
        <v>30777.9</v>
      </c>
    </row>
    <row r="138" spans="1:8" x14ac:dyDescent="0.15">
      <c r="A138" s="86" t="s">
        <v>285</v>
      </c>
      <c r="B138" s="87">
        <v>94331.98</v>
      </c>
      <c r="C138" s="64">
        <v>62333.97</v>
      </c>
      <c r="D138" s="64">
        <v>30981.5</v>
      </c>
      <c r="E138" s="88">
        <v>20783.37</v>
      </c>
      <c r="F138" s="64">
        <v>1016.51</v>
      </c>
      <c r="G138" s="64">
        <v>63287</v>
      </c>
      <c r="H138" s="65">
        <v>31044.99</v>
      </c>
    </row>
    <row r="139" spans="1:8" x14ac:dyDescent="0.15">
      <c r="A139" s="86" t="s">
        <v>289</v>
      </c>
      <c r="B139" s="87">
        <v>95689.81</v>
      </c>
      <c r="C139" s="64">
        <v>63808.63</v>
      </c>
      <c r="D139" s="64">
        <v>30882.240000000002</v>
      </c>
      <c r="E139" s="88">
        <v>20688.87</v>
      </c>
      <c r="F139" s="64">
        <v>998.96</v>
      </c>
      <c r="G139" s="64">
        <v>64608.97</v>
      </c>
      <c r="H139" s="65">
        <v>31080.85</v>
      </c>
    </row>
    <row r="140" spans="1:8" x14ac:dyDescent="0.15">
      <c r="A140" s="86" t="s">
        <v>290</v>
      </c>
      <c r="B140" s="87">
        <v>95422.15</v>
      </c>
      <c r="C140" s="64">
        <v>63854.58</v>
      </c>
      <c r="D140" s="64">
        <v>30634.38</v>
      </c>
      <c r="E140" s="88">
        <v>20431.07</v>
      </c>
      <c r="F140" s="64">
        <v>933.21</v>
      </c>
      <c r="G140" s="64">
        <v>64438.6</v>
      </c>
      <c r="H140" s="65">
        <v>30983.55</v>
      </c>
    </row>
    <row r="141" spans="1:8" x14ac:dyDescent="0.15">
      <c r="A141" s="86" t="s">
        <v>291</v>
      </c>
      <c r="B141" s="97">
        <v>96825.94</v>
      </c>
      <c r="C141" s="64">
        <v>64891.35</v>
      </c>
      <c r="D141" s="64">
        <v>30851.41</v>
      </c>
      <c r="E141" s="98">
        <v>20769.61</v>
      </c>
      <c r="F141" s="64">
        <v>1083.18</v>
      </c>
      <c r="G141" s="64">
        <v>65878.22</v>
      </c>
      <c r="H141" s="94">
        <v>30947.72</v>
      </c>
    </row>
    <row r="142" spans="1:8" x14ac:dyDescent="0.15">
      <c r="A142" s="86" t="s">
        <v>292</v>
      </c>
      <c r="B142" s="97">
        <v>96909.27</v>
      </c>
      <c r="C142" s="64">
        <v>65132.65</v>
      </c>
      <c r="D142" s="64">
        <v>30708.85</v>
      </c>
      <c r="E142" s="98">
        <v>20795.650000000001</v>
      </c>
      <c r="F142" s="64">
        <v>1067.78</v>
      </c>
      <c r="G142" s="64">
        <v>66043.19</v>
      </c>
      <c r="H142" s="94">
        <v>30866.1</v>
      </c>
    </row>
    <row r="143" spans="1:8" x14ac:dyDescent="0.15">
      <c r="A143" s="86" t="s">
        <v>293</v>
      </c>
      <c r="B143" s="87">
        <v>97967.51</v>
      </c>
      <c r="C143" s="95">
        <v>66039.58</v>
      </c>
      <c r="D143" s="95">
        <v>30867.93</v>
      </c>
      <c r="E143" s="112">
        <v>20980.26</v>
      </c>
      <c r="F143" s="95">
        <v>1059.96</v>
      </c>
      <c r="G143" s="95">
        <v>66518.48</v>
      </c>
      <c r="H143" s="94">
        <v>31449.02</v>
      </c>
    </row>
    <row r="144" spans="1:8" x14ac:dyDescent="0.15">
      <c r="A144" s="86" t="s">
        <v>294</v>
      </c>
      <c r="B144" s="87">
        <v>98114.559999999998</v>
      </c>
      <c r="C144" s="95">
        <v>65947.83</v>
      </c>
      <c r="D144" s="95">
        <v>31158.67</v>
      </c>
      <c r="E144" s="112">
        <v>21399.85</v>
      </c>
      <c r="F144" s="95">
        <v>1008.03</v>
      </c>
      <c r="G144" s="95">
        <v>66649.86</v>
      </c>
      <c r="H144" s="94">
        <v>31464.67</v>
      </c>
    </row>
    <row r="145" spans="1:8" x14ac:dyDescent="0.15">
      <c r="A145" s="86" t="s">
        <v>295</v>
      </c>
      <c r="B145" s="97">
        <v>98472.69</v>
      </c>
      <c r="C145" s="64">
        <v>66109.34</v>
      </c>
      <c r="D145" s="64">
        <v>31392.04</v>
      </c>
      <c r="E145" s="98">
        <v>21626.78</v>
      </c>
      <c r="F145" s="64">
        <v>971.32</v>
      </c>
      <c r="G145" s="64">
        <v>66733.69</v>
      </c>
      <c r="H145" s="94">
        <v>31738.99</v>
      </c>
    </row>
    <row r="146" spans="1:8" x14ac:dyDescent="0.15">
      <c r="A146" s="86" t="s">
        <v>298</v>
      </c>
      <c r="B146" s="97">
        <v>99275.67</v>
      </c>
      <c r="C146" s="64">
        <v>66851.929999999993</v>
      </c>
      <c r="D146" s="64">
        <v>31417.18</v>
      </c>
      <c r="E146" s="98">
        <v>21655.38</v>
      </c>
      <c r="F146" s="64">
        <v>1006.58</v>
      </c>
      <c r="G146" s="64">
        <v>67048.070000000007</v>
      </c>
      <c r="H146" s="94">
        <v>32227.599999999999</v>
      </c>
    </row>
    <row r="147" spans="1:8" x14ac:dyDescent="0.15">
      <c r="A147" s="86" t="s">
        <v>299</v>
      </c>
      <c r="B147" s="97">
        <v>97378.06</v>
      </c>
      <c r="C147" s="64">
        <v>64666.15</v>
      </c>
      <c r="D147" s="64">
        <v>31713.56</v>
      </c>
      <c r="E147" s="98">
        <v>21902.66</v>
      </c>
      <c r="F147" s="64">
        <v>998.37</v>
      </c>
      <c r="G147" s="64">
        <v>65279.37</v>
      </c>
      <c r="H147" s="94">
        <v>32098.74</v>
      </c>
    </row>
    <row r="148" spans="1:8" x14ac:dyDescent="0.15">
      <c r="A148" s="86" t="s">
        <v>300</v>
      </c>
      <c r="B148" s="87">
        <v>98618.94</v>
      </c>
      <c r="C148" s="95">
        <v>65756.160000000003</v>
      </c>
      <c r="D148" s="95">
        <v>31833.279999999999</v>
      </c>
      <c r="E148" s="112">
        <v>22114.48</v>
      </c>
      <c r="F148" s="95">
        <v>1029.52</v>
      </c>
      <c r="G148" s="95">
        <v>65370.13</v>
      </c>
      <c r="H148" s="94">
        <v>33248.82</v>
      </c>
    </row>
    <row r="149" spans="1:8" x14ac:dyDescent="0.15">
      <c r="A149" s="86" t="s">
        <v>301</v>
      </c>
      <c r="B149" s="97">
        <v>98785.76</v>
      </c>
      <c r="C149" s="64">
        <v>65736.789999999994</v>
      </c>
      <c r="D149" s="64">
        <v>32024.61</v>
      </c>
      <c r="E149" s="98">
        <v>22342.41</v>
      </c>
      <c r="F149" s="64">
        <v>1024.3599999999999</v>
      </c>
      <c r="G149" s="64">
        <v>65442.79</v>
      </c>
      <c r="H149" s="94">
        <v>33342.980000000003</v>
      </c>
    </row>
    <row r="150" spans="1:8" x14ac:dyDescent="0.15">
      <c r="A150" s="86" t="s">
        <v>302</v>
      </c>
      <c r="B150" s="97">
        <v>98115.59</v>
      </c>
      <c r="C150" s="64">
        <v>65439.11</v>
      </c>
      <c r="D150" s="64">
        <v>31660.15</v>
      </c>
      <c r="E150" s="98">
        <v>22038.639999999999</v>
      </c>
      <c r="F150" s="95">
        <v>1016.32</v>
      </c>
      <c r="G150" s="64">
        <v>64628.19</v>
      </c>
      <c r="H150" s="94">
        <v>33487.379999999997</v>
      </c>
    </row>
    <row r="151" spans="1:8" x14ac:dyDescent="0.15">
      <c r="A151" s="86" t="s">
        <v>303</v>
      </c>
      <c r="B151" s="97">
        <v>99035.47</v>
      </c>
      <c r="C151" s="94">
        <v>66388.479999999996</v>
      </c>
      <c r="D151" s="95">
        <v>31602.38</v>
      </c>
      <c r="E151" s="98">
        <v>22003.22</v>
      </c>
      <c r="F151" s="64">
        <v>1044.5999999999999</v>
      </c>
      <c r="G151" s="64">
        <v>65553.100000000006</v>
      </c>
      <c r="H151" s="94">
        <v>33482.36</v>
      </c>
    </row>
    <row r="152" spans="1:8" x14ac:dyDescent="0.15">
      <c r="A152" s="86" t="s">
        <v>304</v>
      </c>
      <c r="B152" s="97">
        <v>99405.46</v>
      </c>
      <c r="C152" s="94">
        <v>66712.33</v>
      </c>
      <c r="D152" s="95">
        <v>31650.01</v>
      </c>
      <c r="E152" s="98">
        <v>21949.47</v>
      </c>
      <c r="F152" s="64">
        <v>1043.1400000000001</v>
      </c>
      <c r="G152" s="64">
        <v>65814.7</v>
      </c>
      <c r="H152" s="94">
        <v>33590.769999999997</v>
      </c>
    </row>
    <row r="153" spans="1:8" x14ac:dyDescent="0.15">
      <c r="A153" s="86" t="s">
        <v>305</v>
      </c>
      <c r="B153" s="97">
        <v>100881.51</v>
      </c>
      <c r="C153" s="94">
        <v>68175.73</v>
      </c>
      <c r="D153" s="95">
        <v>31489.439999999999</v>
      </c>
      <c r="E153" s="98">
        <v>21912.89</v>
      </c>
      <c r="F153" s="64">
        <v>1216.3499999999999</v>
      </c>
      <c r="G153" s="64">
        <v>67021.05</v>
      </c>
      <c r="H153" s="94">
        <v>33860.49</v>
      </c>
    </row>
    <row r="154" spans="1:8" x14ac:dyDescent="0.15">
      <c r="A154" s="86" t="s">
        <v>306</v>
      </c>
      <c r="B154" s="97">
        <v>101278.37</v>
      </c>
      <c r="C154" s="94">
        <v>68580.09</v>
      </c>
      <c r="D154" s="95">
        <v>31492.799999999999</v>
      </c>
      <c r="E154" s="98">
        <v>22003.31</v>
      </c>
      <c r="F154" s="64">
        <v>1205.49</v>
      </c>
      <c r="G154" s="64">
        <v>67152.490000000005</v>
      </c>
      <c r="H154" s="94">
        <v>34125.839999999997</v>
      </c>
    </row>
    <row r="155" spans="1:8" x14ac:dyDescent="0.15">
      <c r="A155" s="86" t="s">
        <v>307</v>
      </c>
      <c r="B155" s="97">
        <v>100959.35</v>
      </c>
      <c r="C155" s="94">
        <v>68337.69</v>
      </c>
      <c r="D155" s="95">
        <v>31418.15</v>
      </c>
      <c r="E155" s="98">
        <v>22000.21</v>
      </c>
      <c r="F155" s="64">
        <v>1203.51</v>
      </c>
      <c r="G155" s="64">
        <v>66838.17</v>
      </c>
      <c r="H155" s="94">
        <v>34121.19</v>
      </c>
    </row>
    <row r="156" spans="1:8" x14ac:dyDescent="0.15">
      <c r="A156" s="86" t="s">
        <v>308</v>
      </c>
      <c r="B156" s="97">
        <v>100804.33</v>
      </c>
      <c r="C156" s="94">
        <v>68481.34</v>
      </c>
      <c r="D156" s="95">
        <v>31127.54</v>
      </c>
      <c r="E156" s="98">
        <v>21768.45</v>
      </c>
      <c r="F156" s="64">
        <v>1195.44</v>
      </c>
      <c r="G156" s="64">
        <v>66336.02</v>
      </c>
      <c r="H156" s="94">
        <v>34468.31</v>
      </c>
    </row>
    <row r="157" spans="1:8" x14ac:dyDescent="0.15">
      <c r="A157" s="86" t="s">
        <v>309</v>
      </c>
      <c r="B157" s="97">
        <v>100658.09</v>
      </c>
      <c r="C157" s="94">
        <v>68389.509999999995</v>
      </c>
      <c r="D157" s="95">
        <v>31087.8</v>
      </c>
      <c r="E157" s="98">
        <v>21763.82</v>
      </c>
      <c r="F157" s="64">
        <v>1180.75</v>
      </c>
      <c r="G157" s="64">
        <v>66240.740000000005</v>
      </c>
      <c r="H157" s="94">
        <v>34417.33</v>
      </c>
    </row>
    <row r="158" spans="1:8" x14ac:dyDescent="0.15">
      <c r="A158" s="13" t="s">
        <v>235</v>
      </c>
    </row>
    <row r="159" spans="1:8" x14ac:dyDescent="0.15">
      <c r="A159" s="13" t="s">
        <v>236</v>
      </c>
    </row>
  </sheetData>
  <mergeCells count="9">
    <mergeCell ref="A7:A9"/>
    <mergeCell ref="B7:B9"/>
    <mergeCell ref="C7:F7"/>
    <mergeCell ref="G7:H7"/>
    <mergeCell ref="C8:C9"/>
    <mergeCell ref="D8:D9"/>
    <mergeCell ref="F8:F9"/>
    <mergeCell ref="G8:G9"/>
    <mergeCell ref="H8:H9"/>
  </mergeCells>
  <phoneticPr fontId="15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158"/>
  <sheetViews>
    <sheetView zoomScale="85" zoomScaleNormal="85" workbookViewId="0">
      <pane ySplit="9" topLeftCell="A146" activePane="bottomLeft" state="frozen"/>
      <selection pane="bottomLeft" activeCell="J156" sqref="J156"/>
    </sheetView>
  </sheetViews>
  <sheetFormatPr defaultRowHeight="16.5" x14ac:dyDescent="0.15"/>
  <cols>
    <col min="1" max="1" width="8.88671875" style="13"/>
    <col min="2" max="2" width="9.33203125" style="13" customWidth="1"/>
    <col min="3" max="3" width="9.21875" style="13" bestFit="1" customWidth="1"/>
    <col min="4" max="4" width="9.21875" style="13" customWidth="1"/>
    <col min="5" max="5" width="9.21875" style="13" bestFit="1" customWidth="1"/>
    <col min="6" max="7" width="9.33203125" style="13" customWidth="1"/>
    <col min="8" max="8" width="9.21875" style="13" customWidth="1"/>
    <col min="9" max="16384" width="8.88671875" style="13"/>
  </cols>
  <sheetData>
    <row r="1" spans="1:8" ht="17.25" x14ac:dyDescent="0.15">
      <c r="A1" s="12" t="s">
        <v>111</v>
      </c>
      <c r="B1" s="12"/>
    </row>
    <row r="3" spans="1:8" x14ac:dyDescent="0.15">
      <c r="A3" s="13" t="s">
        <v>152</v>
      </c>
    </row>
    <row r="5" spans="1:8" x14ac:dyDescent="0.15">
      <c r="A5" s="13" t="s">
        <v>155</v>
      </c>
    </row>
    <row r="6" spans="1:8" s="17" customFormat="1" x14ac:dyDescent="0.15">
      <c r="B6" s="18"/>
      <c r="C6" s="18"/>
      <c r="D6" s="18"/>
      <c r="E6" s="18"/>
      <c r="F6" s="18"/>
      <c r="G6" s="18"/>
      <c r="H6" s="14" t="s">
        <v>112</v>
      </c>
    </row>
    <row r="7" spans="1:8" x14ac:dyDescent="0.15">
      <c r="A7" s="125" t="s">
        <v>113</v>
      </c>
      <c r="B7" s="128" t="s">
        <v>114</v>
      </c>
      <c r="C7" s="127" t="s">
        <v>115</v>
      </c>
      <c r="D7" s="130"/>
      <c r="E7" s="130"/>
      <c r="F7" s="130"/>
      <c r="G7" s="130"/>
      <c r="H7" s="136" t="s">
        <v>121</v>
      </c>
    </row>
    <row r="8" spans="1:8" ht="16.5" customHeight="1" x14ac:dyDescent="0.15">
      <c r="A8" s="125"/>
      <c r="B8" s="133"/>
      <c r="C8" s="128" t="s">
        <v>116</v>
      </c>
      <c r="D8" s="128" t="s">
        <v>117</v>
      </c>
      <c r="E8" s="134" t="s">
        <v>118</v>
      </c>
      <c r="F8" s="130"/>
      <c r="G8" s="130"/>
      <c r="H8" s="137"/>
    </row>
    <row r="9" spans="1:8" x14ac:dyDescent="0.15">
      <c r="A9" s="125"/>
      <c r="B9" s="129"/>
      <c r="C9" s="129"/>
      <c r="D9" s="129"/>
      <c r="E9" s="129"/>
      <c r="F9" s="15" t="s">
        <v>119</v>
      </c>
      <c r="G9" s="16" t="s">
        <v>120</v>
      </c>
      <c r="H9" s="138"/>
    </row>
    <row r="10" spans="1:8" x14ac:dyDescent="0.15">
      <c r="A10" s="48" t="s">
        <v>8</v>
      </c>
      <c r="B10" s="75">
        <v>61886.21</v>
      </c>
      <c r="C10" s="50">
        <v>40067.769999999997</v>
      </c>
      <c r="D10" s="50">
        <v>2950.34</v>
      </c>
      <c r="E10" s="50">
        <v>37117.39</v>
      </c>
      <c r="F10" s="50">
        <v>21596.22</v>
      </c>
      <c r="G10" s="50">
        <v>15521.22</v>
      </c>
      <c r="H10" s="51">
        <v>59.976834903930943</v>
      </c>
    </row>
    <row r="11" spans="1:8" x14ac:dyDescent="0.15">
      <c r="A11" s="52" t="s">
        <v>9</v>
      </c>
      <c r="B11" s="76">
        <v>62432.38</v>
      </c>
      <c r="C11" s="54">
        <v>40221.379999999997</v>
      </c>
      <c r="D11" s="54">
        <v>3025.81</v>
      </c>
      <c r="E11" s="54">
        <v>37195.550000000003</v>
      </c>
      <c r="F11" s="54">
        <v>21561.03</v>
      </c>
      <c r="G11" s="54">
        <v>15634.49</v>
      </c>
      <c r="H11" s="55">
        <v>59.577337913435315</v>
      </c>
    </row>
    <row r="12" spans="1:8" x14ac:dyDescent="0.15">
      <c r="A12" s="52" t="s">
        <v>10</v>
      </c>
      <c r="B12" s="76">
        <v>61936.2</v>
      </c>
      <c r="C12" s="54">
        <v>39991.67</v>
      </c>
      <c r="D12" s="54">
        <v>3026.56</v>
      </c>
      <c r="E12" s="54">
        <v>36965.199999999997</v>
      </c>
      <c r="F12" s="54">
        <v>21383.200000000001</v>
      </c>
      <c r="G12" s="54">
        <v>15581.95</v>
      </c>
      <c r="H12" s="55">
        <v>59.682705752048072</v>
      </c>
    </row>
    <row r="13" spans="1:8" x14ac:dyDescent="0.15">
      <c r="A13" s="52" t="s">
        <v>11</v>
      </c>
      <c r="B13" s="76">
        <v>61863.03</v>
      </c>
      <c r="C13" s="54">
        <v>39858.9</v>
      </c>
      <c r="D13" s="54">
        <v>2998.83</v>
      </c>
      <c r="E13" s="54">
        <v>36860.019999999997</v>
      </c>
      <c r="F13" s="54">
        <v>21241.439999999999</v>
      </c>
      <c r="G13" s="54">
        <v>15618.59</v>
      </c>
      <c r="H13" s="55">
        <v>59.583276150553885</v>
      </c>
    </row>
    <row r="14" spans="1:8" x14ac:dyDescent="0.15">
      <c r="A14" s="52" t="s">
        <v>12</v>
      </c>
      <c r="B14" s="76">
        <v>62290.5</v>
      </c>
      <c r="C14" s="54">
        <v>39808.18</v>
      </c>
      <c r="D14" s="54">
        <v>2939.05</v>
      </c>
      <c r="E14" s="54">
        <v>36869.07</v>
      </c>
      <c r="F14" s="54">
        <v>21105.96</v>
      </c>
      <c r="G14" s="54">
        <v>15763.09</v>
      </c>
      <c r="H14" s="55">
        <v>59.188913237170993</v>
      </c>
    </row>
    <row r="15" spans="1:8" x14ac:dyDescent="0.15">
      <c r="A15" s="52" t="s">
        <v>13</v>
      </c>
      <c r="B15" s="76">
        <v>62392.29</v>
      </c>
      <c r="C15" s="54">
        <v>39746.97</v>
      </c>
      <c r="D15" s="54">
        <v>2824.82</v>
      </c>
      <c r="E15" s="54">
        <v>36922.11</v>
      </c>
      <c r="F15" s="54">
        <v>21214.53</v>
      </c>
      <c r="G15" s="54">
        <v>15707.61</v>
      </c>
      <c r="H15" s="55">
        <v>59.177359894948559</v>
      </c>
    </row>
    <row r="16" spans="1:8" x14ac:dyDescent="0.15">
      <c r="A16" s="52" t="s">
        <v>14</v>
      </c>
      <c r="B16" s="76">
        <v>63005</v>
      </c>
      <c r="C16" s="54">
        <v>40538.629999999997</v>
      </c>
      <c r="D16" s="54">
        <v>3119.45</v>
      </c>
      <c r="E16" s="54">
        <v>37419.11</v>
      </c>
      <c r="F16" s="54">
        <v>21632.16</v>
      </c>
      <c r="G16" s="54">
        <v>15786.93</v>
      </c>
      <c r="H16" s="55">
        <v>59.390699150861046</v>
      </c>
    </row>
    <row r="17" spans="1:8" x14ac:dyDescent="0.15">
      <c r="A17" s="52" t="s">
        <v>15</v>
      </c>
      <c r="B17" s="76">
        <v>62620.41</v>
      </c>
      <c r="C17" s="54">
        <v>40123.49</v>
      </c>
      <c r="D17" s="54">
        <v>2925.59</v>
      </c>
      <c r="E17" s="54">
        <v>37197.839999999997</v>
      </c>
      <c r="F17" s="54">
        <v>21307.31</v>
      </c>
      <c r="G17" s="54">
        <v>15890.52</v>
      </c>
      <c r="H17" s="55">
        <v>59.402102285820227</v>
      </c>
    </row>
    <row r="18" spans="1:8" x14ac:dyDescent="0.15">
      <c r="A18" s="52" t="s">
        <v>16</v>
      </c>
      <c r="B18" s="76">
        <v>63926.400000000001</v>
      </c>
      <c r="C18" s="54">
        <v>40396.6</v>
      </c>
      <c r="D18" s="54">
        <v>2897.88</v>
      </c>
      <c r="E18" s="54">
        <v>37498.68</v>
      </c>
      <c r="F18" s="54">
        <v>21389.85</v>
      </c>
      <c r="G18" s="54">
        <v>16108.79</v>
      </c>
      <c r="H18" s="55">
        <v>58.659145517344946</v>
      </c>
    </row>
    <row r="19" spans="1:8" x14ac:dyDescent="0.15">
      <c r="A19" s="52" t="s">
        <v>17</v>
      </c>
      <c r="B19" s="76">
        <v>64679</v>
      </c>
      <c r="C19" s="54">
        <v>41925.75</v>
      </c>
      <c r="D19" s="54">
        <v>2935.85</v>
      </c>
      <c r="E19" s="54">
        <v>38989.89</v>
      </c>
      <c r="F19" s="54">
        <v>22614.880000000001</v>
      </c>
      <c r="G19" s="54">
        <v>16374.95</v>
      </c>
      <c r="H19" s="55">
        <v>60.282147219344765</v>
      </c>
    </row>
    <row r="20" spans="1:8" x14ac:dyDescent="0.15">
      <c r="A20" s="52" t="s">
        <v>18</v>
      </c>
      <c r="B20" s="76">
        <v>64815.41</v>
      </c>
      <c r="C20" s="54">
        <v>41906.81</v>
      </c>
      <c r="D20" s="54">
        <v>2772.88</v>
      </c>
      <c r="E20" s="54">
        <v>39133.870000000003</v>
      </c>
      <c r="F20" s="54">
        <v>22666.51</v>
      </c>
      <c r="G20" s="54">
        <v>16467.28</v>
      </c>
      <c r="H20" s="55">
        <v>60.377416419953221</v>
      </c>
    </row>
    <row r="21" spans="1:8" x14ac:dyDescent="0.15">
      <c r="A21" s="52" t="s">
        <v>19</v>
      </c>
      <c r="B21" s="76">
        <v>66137.149999999994</v>
      </c>
      <c r="C21" s="54">
        <v>41798.730000000003</v>
      </c>
      <c r="D21" s="54">
        <v>2757.01</v>
      </c>
      <c r="E21" s="54">
        <v>39041.61</v>
      </c>
      <c r="F21" s="54">
        <v>22372.7</v>
      </c>
      <c r="G21" s="54">
        <v>16668.86</v>
      </c>
      <c r="H21" s="55">
        <v>59.031285744849917</v>
      </c>
    </row>
    <row r="22" spans="1:8" x14ac:dyDescent="0.15">
      <c r="A22" s="52" t="s">
        <v>20</v>
      </c>
      <c r="B22" s="76">
        <v>65785.66</v>
      </c>
      <c r="C22" s="54">
        <v>41843.03</v>
      </c>
      <c r="D22" s="54">
        <v>2676.4</v>
      </c>
      <c r="E22" s="54">
        <v>39166.559999999998</v>
      </c>
      <c r="F22" s="54">
        <v>22371.96</v>
      </c>
      <c r="G22" s="54">
        <v>16794.63</v>
      </c>
      <c r="H22" s="55">
        <v>59.536622418928374</v>
      </c>
    </row>
    <row r="23" spans="1:8" x14ac:dyDescent="0.15">
      <c r="A23" s="52" t="s">
        <v>21</v>
      </c>
      <c r="B23" s="76">
        <v>67059.73</v>
      </c>
      <c r="C23" s="54">
        <v>41957.89</v>
      </c>
      <c r="D23" s="54">
        <v>2541.33</v>
      </c>
      <c r="E23" s="54">
        <v>39416.44</v>
      </c>
      <c r="F23" s="54">
        <v>22520.720000000001</v>
      </c>
      <c r="G23" s="54">
        <v>16895.689999999999</v>
      </c>
      <c r="H23" s="55">
        <v>58.778107218743656</v>
      </c>
    </row>
    <row r="24" spans="1:8" x14ac:dyDescent="0.15">
      <c r="A24" s="52" t="s">
        <v>22</v>
      </c>
      <c r="B24" s="76">
        <v>66977.149999999994</v>
      </c>
      <c r="C24" s="54">
        <v>41844.26</v>
      </c>
      <c r="D24" s="54">
        <v>2445.17</v>
      </c>
      <c r="E24" s="54">
        <v>39399.129999999997</v>
      </c>
      <c r="F24" s="54">
        <v>22267.119999999999</v>
      </c>
      <c r="G24" s="54">
        <v>17131.96</v>
      </c>
      <c r="H24" s="55">
        <v>58.824733509861204</v>
      </c>
    </row>
    <row r="25" spans="1:8" x14ac:dyDescent="0.15">
      <c r="A25" s="52" t="s">
        <v>23</v>
      </c>
      <c r="B25" s="76">
        <v>67605.820000000007</v>
      </c>
      <c r="C25" s="54">
        <v>42169.48</v>
      </c>
      <c r="D25" s="54">
        <v>2425.9499999999998</v>
      </c>
      <c r="E25" s="54">
        <v>39743.51</v>
      </c>
      <c r="F25" s="54">
        <v>22311.27</v>
      </c>
      <c r="G25" s="54">
        <v>17432.25</v>
      </c>
      <c r="H25" s="55">
        <v>58.787113298825453</v>
      </c>
    </row>
    <row r="26" spans="1:8" x14ac:dyDescent="0.15">
      <c r="A26" s="52" t="s">
        <v>24</v>
      </c>
      <c r="B26" s="76">
        <v>67938.86</v>
      </c>
      <c r="C26" s="54">
        <v>42512.85</v>
      </c>
      <c r="D26" s="54">
        <v>2407.04</v>
      </c>
      <c r="E26" s="54">
        <v>40105.760000000002</v>
      </c>
      <c r="F26" s="54">
        <v>22440.46</v>
      </c>
      <c r="G26" s="54">
        <v>17665.27</v>
      </c>
      <c r="H26" s="55">
        <v>59.032135658443494</v>
      </c>
    </row>
    <row r="27" spans="1:8" x14ac:dyDescent="0.15">
      <c r="A27" s="52" t="s">
        <v>25</v>
      </c>
      <c r="B27" s="76">
        <v>67526.41</v>
      </c>
      <c r="C27" s="54">
        <v>42470.58</v>
      </c>
      <c r="D27" s="54">
        <v>1985.02</v>
      </c>
      <c r="E27" s="54">
        <v>40485.51</v>
      </c>
      <c r="F27" s="54">
        <v>22551.57</v>
      </c>
      <c r="G27" s="54">
        <v>17933.849999999999</v>
      </c>
      <c r="H27" s="55">
        <v>59.955075354961117</v>
      </c>
    </row>
    <row r="28" spans="1:8" x14ac:dyDescent="0.15">
      <c r="A28" s="52" t="s">
        <v>26</v>
      </c>
      <c r="B28" s="76">
        <v>68098.3</v>
      </c>
      <c r="C28" s="54">
        <v>42961.279999999999</v>
      </c>
      <c r="D28" s="54">
        <v>2127.17</v>
      </c>
      <c r="E28" s="54">
        <v>40834.04</v>
      </c>
      <c r="F28" s="54">
        <v>22754.81</v>
      </c>
      <c r="G28" s="54">
        <v>18079.22</v>
      </c>
      <c r="H28" s="55">
        <v>59.963376471953048</v>
      </c>
    </row>
    <row r="29" spans="1:8" x14ac:dyDescent="0.15">
      <c r="A29" s="52" t="s">
        <v>27</v>
      </c>
      <c r="B29" s="76">
        <v>68831.520000000004</v>
      </c>
      <c r="C29" s="54">
        <v>43292.2</v>
      </c>
      <c r="D29" s="54">
        <v>1986.33</v>
      </c>
      <c r="E29" s="54">
        <v>41305.839999999997</v>
      </c>
      <c r="F29" s="54">
        <v>22908.46</v>
      </c>
      <c r="G29" s="54">
        <v>18397.37</v>
      </c>
      <c r="H29" s="55">
        <v>60.010065156195871</v>
      </c>
    </row>
    <row r="30" spans="1:8" x14ac:dyDescent="0.15">
      <c r="A30" s="52" t="s">
        <v>28</v>
      </c>
      <c r="B30" s="76">
        <v>69164.37</v>
      </c>
      <c r="C30" s="54">
        <v>43515.18</v>
      </c>
      <c r="D30" s="54">
        <v>1969.68</v>
      </c>
      <c r="E30" s="54">
        <v>41545.370000000003</v>
      </c>
      <c r="F30" s="54">
        <v>23028.26</v>
      </c>
      <c r="G30" s="54">
        <v>18517.07</v>
      </c>
      <c r="H30" s="55">
        <v>60.067589714183768</v>
      </c>
    </row>
    <row r="31" spans="1:8" x14ac:dyDescent="0.15">
      <c r="A31" s="52" t="s">
        <v>29</v>
      </c>
      <c r="B31" s="76">
        <v>69773.33</v>
      </c>
      <c r="C31" s="54">
        <v>44188.82</v>
      </c>
      <c r="D31" s="54">
        <v>1698.44</v>
      </c>
      <c r="E31" s="54">
        <v>42490.32</v>
      </c>
      <c r="F31" s="54">
        <v>23836.79</v>
      </c>
      <c r="G31" s="54">
        <v>18653.5</v>
      </c>
      <c r="H31" s="55">
        <v>60.897652441126141</v>
      </c>
    </row>
    <row r="32" spans="1:8" x14ac:dyDescent="0.15">
      <c r="A32" s="52" t="s">
        <v>30</v>
      </c>
      <c r="B32" s="76">
        <v>69967.320000000007</v>
      </c>
      <c r="C32" s="54">
        <v>44234.75</v>
      </c>
      <c r="D32" s="54">
        <v>1605.8</v>
      </c>
      <c r="E32" s="54">
        <v>42633.919999999998</v>
      </c>
      <c r="F32" s="54">
        <v>23874.1</v>
      </c>
      <c r="G32" s="54">
        <v>18759.849999999999</v>
      </c>
      <c r="H32" s="55">
        <v>60.934047495316378</v>
      </c>
    </row>
    <row r="33" spans="1:8" x14ac:dyDescent="0.15">
      <c r="A33" s="52" t="s">
        <v>31</v>
      </c>
      <c r="B33" s="76">
        <v>72604.77</v>
      </c>
      <c r="C33" s="54">
        <v>44388.53</v>
      </c>
      <c r="D33" s="54">
        <v>1568.26</v>
      </c>
      <c r="E33" s="54">
        <v>42820.21</v>
      </c>
      <c r="F33" s="54">
        <v>24090.34</v>
      </c>
      <c r="G33" s="54">
        <v>18729.91</v>
      </c>
      <c r="H33" s="55">
        <v>58.977130565939397</v>
      </c>
    </row>
    <row r="34" spans="1:8" x14ac:dyDescent="0.15">
      <c r="A34" s="52" t="s">
        <v>32</v>
      </c>
      <c r="B34" s="76">
        <v>71330.009999999995</v>
      </c>
      <c r="C34" s="54">
        <v>43280.01</v>
      </c>
      <c r="D34" s="54">
        <v>478.95</v>
      </c>
      <c r="E34" s="54">
        <v>42801.04</v>
      </c>
      <c r="F34" s="54">
        <v>24153.83</v>
      </c>
      <c r="G34" s="54">
        <v>18647.2</v>
      </c>
      <c r="H34" s="55">
        <v>60.004253469192001</v>
      </c>
    </row>
    <row r="35" spans="1:8" x14ac:dyDescent="0.15">
      <c r="A35" s="52" t="s">
        <v>33</v>
      </c>
      <c r="B35" s="76">
        <v>71454.02</v>
      </c>
      <c r="C35" s="54">
        <v>43312.160000000003</v>
      </c>
      <c r="D35" s="54">
        <v>456.85</v>
      </c>
      <c r="E35" s="54">
        <v>42855.31</v>
      </c>
      <c r="F35" s="54">
        <v>24196.47</v>
      </c>
      <c r="G35" s="54">
        <v>18658.849999999999</v>
      </c>
      <c r="H35" s="55">
        <v>59.976065727302675</v>
      </c>
    </row>
    <row r="36" spans="1:8" x14ac:dyDescent="0.15">
      <c r="A36" s="52" t="s">
        <v>34</v>
      </c>
      <c r="B36" s="76">
        <v>71532.759999999995</v>
      </c>
      <c r="C36" s="54">
        <v>43333.599999999999</v>
      </c>
      <c r="D36" s="54">
        <v>464.1</v>
      </c>
      <c r="E36" s="54">
        <v>42869.57</v>
      </c>
      <c r="F36" s="54">
        <v>23888.21</v>
      </c>
      <c r="G36" s="54">
        <v>18981.32</v>
      </c>
      <c r="H36" s="55">
        <v>59.929981731447249</v>
      </c>
    </row>
    <row r="37" spans="1:8" x14ac:dyDescent="0.15">
      <c r="A37" s="52" t="s">
        <v>35</v>
      </c>
      <c r="B37" s="76">
        <v>71676.210000000006</v>
      </c>
      <c r="C37" s="54">
        <v>43364.29</v>
      </c>
      <c r="D37" s="54">
        <v>587.28</v>
      </c>
      <c r="E37" s="54">
        <v>42776.92</v>
      </c>
      <c r="F37" s="54">
        <v>23641.99</v>
      </c>
      <c r="G37" s="54">
        <v>19134.91</v>
      </c>
      <c r="H37" s="55">
        <v>59.680778322402915</v>
      </c>
    </row>
    <row r="38" spans="1:8" x14ac:dyDescent="0.15">
      <c r="A38" s="52" t="s">
        <v>36</v>
      </c>
      <c r="B38" s="76">
        <v>71922.149999999994</v>
      </c>
      <c r="C38" s="54">
        <v>43428.74</v>
      </c>
      <c r="D38" s="54">
        <v>561.79999999999995</v>
      </c>
      <c r="E38" s="54">
        <v>42866.89</v>
      </c>
      <c r="F38" s="54">
        <v>23808.98</v>
      </c>
      <c r="G38" s="54">
        <v>19057.89</v>
      </c>
      <c r="H38" s="55">
        <v>59.601791659454008</v>
      </c>
    </row>
    <row r="39" spans="1:8" x14ac:dyDescent="0.15">
      <c r="A39" s="52" t="s">
        <v>37</v>
      </c>
      <c r="B39" s="76">
        <v>71641.27</v>
      </c>
      <c r="C39" s="54">
        <v>43128.28</v>
      </c>
      <c r="D39" s="54">
        <v>526.94000000000005</v>
      </c>
      <c r="E39" s="54">
        <v>42601.34</v>
      </c>
      <c r="F39" s="54">
        <v>23504.53</v>
      </c>
      <c r="G39" s="54">
        <v>19096.8</v>
      </c>
      <c r="H39" s="55">
        <v>59.464802899222747</v>
      </c>
    </row>
    <row r="40" spans="1:8" x14ac:dyDescent="0.15">
      <c r="A40" s="52" t="s">
        <v>38</v>
      </c>
      <c r="B40" s="76">
        <v>71900.61</v>
      </c>
      <c r="C40" s="54">
        <v>43469.45</v>
      </c>
      <c r="D40" s="54">
        <v>649.65</v>
      </c>
      <c r="E40" s="54">
        <v>42819.76</v>
      </c>
      <c r="F40" s="54">
        <v>23636.49</v>
      </c>
      <c r="G40" s="54">
        <v>19183.25</v>
      </c>
      <c r="H40" s="55">
        <v>59.55409835883173</v>
      </c>
    </row>
    <row r="41" spans="1:8" x14ac:dyDescent="0.15">
      <c r="A41" s="52" t="s">
        <v>39</v>
      </c>
      <c r="B41" s="76">
        <v>70905.09</v>
      </c>
      <c r="C41" s="54">
        <v>43571.39</v>
      </c>
      <c r="D41" s="54">
        <v>577.07000000000005</v>
      </c>
      <c r="E41" s="54">
        <v>42994.31</v>
      </c>
      <c r="F41" s="54">
        <v>23639.759999999998</v>
      </c>
      <c r="G41" s="54">
        <v>19354.55</v>
      </c>
      <c r="H41" s="55">
        <v>60.6364225755866</v>
      </c>
    </row>
    <row r="42" spans="1:8" x14ac:dyDescent="0.15">
      <c r="A42" s="52" t="s">
        <v>40</v>
      </c>
      <c r="B42" s="76">
        <v>71636.149999999994</v>
      </c>
      <c r="C42" s="54">
        <v>44240.4</v>
      </c>
      <c r="D42" s="54">
        <v>871.4</v>
      </c>
      <c r="E42" s="54">
        <v>43368.86</v>
      </c>
      <c r="F42" s="54">
        <v>23899.55</v>
      </c>
      <c r="G42" s="54">
        <v>19469.34</v>
      </c>
      <c r="H42" s="55">
        <v>60.54046734784044</v>
      </c>
    </row>
    <row r="43" spans="1:8" x14ac:dyDescent="0.15">
      <c r="A43" s="52" t="s">
        <v>41</v>
      </c>
      <c r="B43" s="76">
        <v>72989.33</v>
      </c>
      <c r="C43" s="54">
        <v>45432.91</v>
      </c>
      <c r="D43" s="54">
        <v>1073.6300000000001</v>
      </c>
      <c r="E43" s="54">
        <v>44359.29</v>
      </c>
      <c r="F43" s="54">
        <v>24997.84</v>
      </c>
      <c r="G43" s="54">
        <v>19361.36</v>
      </c>
      <c r="H43" s="55">
        <v>60.775033830287249</v>
      </c>
    </row>
    <row r="44" spans="1:8" x14ac:dyDescent="0.15">
      <c r="A44" s="52" t="s">
        <v>42</v>
      </c>
      <c r="B44" s="76">
        <v>73314.960000000006</v>
      </c>
      <c r="C44" s="54">
        <v>45706.400000000001</v>
      </c>
      <c r="D44" s="54">
        <v>1061.1500000000001</v>
      </c>
      <c r="E44" s="54">
        <v>44645.2</v>
      </c>
      <c r="F44" s="54">
        <v>25007.85</v>
      </c>
      <c r="G44" s="54">
        <v>19637.3</v>
      </c>
      <c r="H44" s="55">
        <v>60.895075166105237</v>
      </c>
    </row>
    <row r="45" spans="1:8" x14ac:dyDescent="0.15">
      <c r="A45" s="52" t="s">
        <v>43</v>
      </c>
      <c r="B45" s="76">
        <v>73736.28</v>
      </c>
      <c r="C45" s="54">
        <v>45631.08</v>
      </c>
      <c r="D45" s="54">
        <v>997.27</v>
      </c>
      <c r="E45" s="54">
        <v>44633.83</v>
      </c>
      <c r="F45" s="54">
        <v>25236.87</v>
      </c>
      <c r="G45" s="54">
        <v>19396.93</v>
      </c>
      <c r="H45" s="55">
        <v>60.531708407313204</v>
      </c>
    </row>
    <row r="46" spans="1:8" x14ac:dyDescent="0.15">
      <c r="A46" s="52" t="s">
        <v>44</v>
      </c>
      <c r="B46" s="76">
        <v>74162.240000000005</v>
      </c>
      <c r="C46" s="54">
        <v>46148.27</v>
      </c>
      <c r="D46" s="54">
        <v>1174.76</v>
      </c>
      <c r="E46" s="54">
        <v>44973.51</v>
      </c>
      <c r="F46" s="54">
        <v>25468.7</v>
      </c>
      <c r="G46" s="54">
        <v>19504.78</v>
      </c>
      <c r="H46" s="55">
        <v>60.642059894631018</v>
      </c>
    </row>
    <row r="47" spans="1:8" x14ac:dyDescent="0.15">
      <c r="A47" s="52" t="s">
        <v>46</v>
      </c>
      <c r="B47" s="76">
        <v>74192</v>
      </c>
      <c r="C47" s="54">
        <v>46151.3</v>
      </c>
      <c r="D47" s="54">
        <v>1164.04</v>
      </c>
      <c r="E47" s="54">
        <v>44987.19</v>
      </c>
      <c r="F47" s="54">
        <v>25509.01</v>
      </c>
      <c r="G47" s="54">
        <v>19478.150000000001</v>
      </c>
      <c r="H47" s="55">
        <v>60.63617371145137</v>
      </c>
    </row>
    <row r="48" spans="1:8" x14ac:dyDescent="0.15">
      <c r="A48" s="56" t="s">
        <v>71</v>
      </c>
      <c r="B48" s="77">
        <v>74582.87</v>
      </c>
      <c r="C48" s="40">
        <v>46468.11</v>
      </c>
      <c r="D48" s="40">
        <v>1240.6300000000001</v>
      </c>
      <c r="E48" s="40">
        <v>45227.48</v>
      </c>
      <c r="F48" s="40">
        <v>25526.46</v>
      </c>
      <c r="G48" s="40">
        <v>19701.009999999998</v>
      </c>
      <c r="H48" s="41">
        <v>60.640573364902693</v>
      </c>
    </row>
    <row r="49" spans="1:8" x14ac:dyDescent="0.15">
      <c r="A49" s="56" t="s">
        <v>160</v>
      </c>
      <c r="B49" s="77">
        <v>74438.009999999995</v>
      </c>
      <c r="C49" s="40">
        <v>46318.8</v>
      </c>
      <c r="D49" s="40">
        <v>1370.5</v>
      </c>
      <c r="E49" s="40">
        <v>44948.27</v>
      </c>
      <c r="F49" s="40">
        <v>25300.65</v>
      </c>
      <c r="G49" s="40">
        <v>19647.64</v>
      </c>
      <c r="H49" s="41">
        <v>60.383492250800366</v>
      </c>
    </row>
    <row r="50" spans="1:8" x14ac:dyDescent="0.15">
      <c r="A50" s="56" t="s">
        <v>161</v>
      </c>
      <c r="B50" s="77">
        <v>73776.070000000007</v>
      </c>
      <c r="C50" s="40">
        <v>45589.32</v>
      </c>
      <c r="D50" s="40">
        <v>1335.81</v>
      </c>
      <c r="E50" s="40">
        <v>44253.48</v>
      </c>
      <c r="F50" s="40">
        <v>24646.35</v>
      </c>
      <c r="G50" s="40">
        <v>19607.11</v>
      </c>
      <c r="H50" s="41">
        <v>59.98351497985729</v>
      </c>
    </row>
    <row r="51" spans="1:8" x14ac:dyDescent="0.15">
      <c r="A51" s="56" t="s">
        <v>163</v>
      </c>
      <c r="B51" s="77">
        <v>72611.83</v>
      </c>
      <c r="C51" s="40">
        <v>44930.31</v>
      </c>
      <c r="D51" s="40">
        <v>1298.92</v>
      </c>
      <c r="E51" s="40">
        <v>43631.29</v>
      </c>
      <c r="F51" s="40">
        <v>24106.49</v>
      </c>
      <c r="G51" s="40">
        <v>19524.77</v>
      </c>
      <c r="H51" s="41">
        <v>60.088404327504207</v>
      </c>
    </row>
    <row r="52" spans="1:8" x14ac:dyDescent="0.15">
      <c r="A52" s="56" t="s">
        <v>166</v>
      </c>
      <c r="B52" s="77">
        <v>72959.17</v>
      </c>
      <c r="C52" s="40">
        <v>45456.01</v>
      </c>
      <c r="D52" s="40">
        <v>1424.4</v>
      </c>
      <c r="E52" s="40">
        <v>44031.56</v>
      </c>
      <c r="F52" s="40">
        <v>24419.34</v>
      </c>
      <c r="G52" s="40">
        <v>19612.21</v>
      </c>
      <c r="H52" s="41">
        <v>60.350960681159059</v>
      </c>
    </row>
    <row r="53" spans="1:8" x14ac:dyDescent="0.15">
      <c r="A53" s="56" t="s">
        <v>167</v>
      </c>
      <c r="B53" s="77">
        <v>73193.38</v>
      </c>
      <c r="C53" s="40">
        <v>45606.51</v>
      </c>
      <c r="D53" s="40">
        <v>1393.5</v>
      </c>
      <c r="E53" s="40">
        <v>44212.97</v>
      </c>
      <c r="F53" s="40">
        <v>24552.94</v>
      </c>
      <c r="G53" s="40">
        <v>19660.03</v>
      </c>
      <c r="H53" s="41">
        <v>60.405695159862816</v>
      </c>
    </row>
    <row r="54" spans="1:8" x14ac:dyDescent="0.15">
      <c r="A54" s="56" t="s">
        <v>168</v>
      </c>
      <c r="B54" s="77">
        <v>73281.41</v>
      </c>
      <c r="C54" s="40">
        <v>45593.48</v>
      </c>
      <c r="D54" s="40">
        <v>1373.11</v>
      </c>
      <c r="E54" s="40">
        <v>44220.32</v>
      </c>
      <c r="F54" s="40">
        <v>24482.69</v>
      </c>
      <c r="G54" s="40">
        <v>19737.7</v>
      </c>
      <c r="H54" s="41">
        <v>60.343162065249558</v>
      </c>
    </row>
    <row r="55" spans="1:8" x14ac:dyDescent="0.15">
      <c r="A55" s="56" t="s">
        <v>169</v>
      </c>
      <c r="B55" s="77">
        <v>74689.61</v>
      </c>
      <c r="C55" s="40">
        <v>46780.55</v>
      </c>
      <c r="D55" s="40">
        <v>1432.68</v>
      </c>
      <c r="E55" s="40">
        <v>45347.87</v>
      </c>
      <c r="F55" s="40">
        <v>25483.119999999999</v>
      </c>
      <c r="G55" s="40">
        <v>19864.759999999998</v>
      </c>
      <c r="H55" s="41">
        <v>60.71509812408982</v>
      </c>
    </row>
    <row r="56" spans="1:8" x14ac:dyDescent="0.15">
      <c r="A56" s="56" t="s">
        <v>170</v>
      </c>
      <c r="B56" s="77">
        <v>75128.58</v>
      </c>
      <c r="C56" s="40">
        <v>46767.24</v>
      </c>
      <c r="D56" s="40">
        <v>1397.56</v>
      </c>
      <c r="E56" s="40">
        <v>45369.74</v>
      </c>
      <c r="F56" s="40">
        <v>25594.11</v>
      </c>
      <c r="G56" s="40">
        <v>19775.560000000001</v>
      </c>
      <c r="H56" s="41">
        <v>60.389454985040317</v>
      </c>
    </row>
    <row r="57" spans="1:8" x14ac:dyDescent="0.15">
      <c r="A57" s="56" t="s">
        <v>171</v>
      </c>
      <c r="B57" s="77">
        <v>76820.56</v>
      </c>
      <c r="C57" s="40">
        <v>47278.86</v>
      </c>
      <c r="D57" s="40">
        <v>1365.18</v>
      </c>
      <c r="E57" s="40">
        <v>45913.82</v>
      </c>
      <c r="F57" s="40">
        <v>26061.54</v>
      </c>
      <c r="G57" s="40">
        <v>19852.29</v>
      </c>
      <c r="H57" s="41">
        <v>59.767619501862526</v>
      </c>
    </row>
    <row r="58" spans="1:8" x14ac:dyDescent="0.15">
      <c r="A58" s="56" t="s">
        <v>172</v>
      </c>
      <c r="B58" s="77">
        <v>78215.509999999995</v>
      </c>
      <c r="C58" s="40">
        <v>48576.7</v>
      </c>
      <c r="D58" s="40">
        <v>2165.13</v>
      </c>
      <c r="E58" s="40">
        <v>46411.55</v>
      </c>
      <c r="F58" s="40">
        <v>26396.01</v>
      </c>
      <c r="G58" s="40">
        <v>20015.53</v>
      </c>
      <c r="H58" s="41">
        <v>59.338039220098423</v>
      </c>
    </row>
    <row r="59" spans="1:8" x14ac:dyDescent="0.15">
      <c r="A59" s="56" t="s">
        <v>173</v>
      </c>
      <c r="B59" s="77">
        <v>78291.86</v>
      </c>
      <c r="C59" s="40">
        <v>48586.55</v>
      </c>
      <c r="D59" s="40">
        <v>2141.62</v>
      </c>
      <c r="E59" s="40">
        <v>46445.02</v>
      </c>
      <c r="F59" s="40">
        <v>26413.43</v>
      </c>
      <c r="G59" s="40">
        <v>20031.560000000001</v>
      </c>
      <c r="H59" s="41">
        <v>59.322923225990543</v>
      </c>
    </row>
    <row r="60" spans="1:8" x14ac:dyDescent="0.15">
      <c r="A60" s="56" t="s">
        <v>174</v>
      </c>
      <c r="B60" s="77">
        <v>78141.45</v>
      </c>
      <c r="C60" s="40">
        <v>48257.74</v>
      </c>
      <c r="D60" s="40">
        <v>2099.88</v>
      </c>
      <c r="E60" s="40">
        <v>46157.86</v>
      </c>
      <c r="F60" s="40">
        <v>26110.080000000002</v>
      </c>
      <c r="G60" s="40">
        <v>20047.79</v>
      </c>
      <c r="H60" s="41">
        <v>59.06962310016003</v>
      </c>
    </row>
    <row r="61" spans="1:8" x14ac:dyDescent="0.15">
      <c r="A61" s="56" t="s">
        <v>175</v>
      </c>
      <c r="B61" s="77">
        <v>76567.16</v>
      </c>
      <c r="C61" s="40">
        <v>48144.98</v>
      </c>
      <c r="D61" s="40">
        <v>2896.89</v>
      </c>
      <c r="E61" s="40">
        <v>45248.03</v>
      </c>
      <c r="F61" s="40">
        <v>25636.87</v>
      </c>
      <c r="G61" s="40">
        <v>19611.21</v>
      </c>
      <c r="H61" s="41">
        <v>59.095870866831156</v>
      </c>
    </row>
    <row r="62" spans="1:8" x14ac:dyDescent="0.15">
      <c r="A62" s="56" t="s">
        <v>176</v>
      </c>
      <c r="B62" s="77">
        <v>76819.37</v>
      </c>
      <c r="C62" s="40">
        <v>48262.75</v>
      </c>
      <c r="D62" s="40">
        <v>2953.52</v>
      </c>
      <c r="E62" s="40">
        <v>45309.22</v>
      </c>
      <c r="F62" s="40">
        <v>25601.71</v>
      </c>
      <c r="G62" s="40">
        <v>19707.55</v>
      </c>
      <c r="H62" s="41">
        <v>58.981504274247499</v>
      </c>
    </row>
    <row r="63" spans="1:8" x14ac:dyDescent="0.15">
      <c r="A63" s="56" t="s">
        <v>177</v>
      </c>
      <c r="B63" s="77">
        <v>76388.820000000007</v>
      </c>
      <c r="C63" s="40">
        <v>47300.160000000003</v>
      </c>
      <c r="D63" s="40">
        <v>3227.95</v>
      </c>
      <c r="E63" s="40">
        <v>44072.27</v>
      </c>
      <c r="F63" s="40">
        <v>24700.01</v>
      </c>
      <c r="G63" s="40">
        <v>19372.27</v>
      </c>
      <c r="H63" s="41">
        <v>57.694660030093402</v>
      </c>
    </row>
    <row r="64" spans="1:8" x14ac:dyDescent="0.15">
      <c r="A64" s="56" t="s">
        <v>178</v>
      </c>
      <c r="B64" s="77">
        <v>76830.8</v>
      </c>
      <c r="C64" s="40">
        <v>47625.64</v>
      </c>
      <c r="D64" s="40">
        <v>3186.24</v>
      </c>
      <c r="E64" s="40">
        <v>44439.34</v>
      </c>
      <c r="F64" s="40">
        <v>24871.27</v>
      </c>
      <c r="G64" s="40">
        <v>19568.169999999998</v>
      </c>
      <c r="H64" s="41">
        <v>57.840527496785135</v>
      </c>
    </row>
    <row r="65" spans="1:8" x14ac:dyDescent="0.15">
      <c r="A65" s="56" t="s">
        <v>179</v>
      </c>
      <c r="B65" s="77">
        <v>77848.350000000006</v>
      </c>
      <c r="C65" s="40">
        <v>48365.71</v>
      </c>
      <c r="D65" s="40">
        <v>3412.26</v>
      </c>
      <c r="E65" s="40">
        <v>44953.55</v>
      </c>
      <c r="F65" s="40">
        <v>25095.64</v>
      </c>
      <c r="G65" s="40">
        <v>19857.93</v>
      </c>
      <c r="H65" s="41">
        <v>57.745026066705329</v>
      </c>
    </row>
    <row r="66" spans="1:8" x14ac:dyDescent="0.15">
      <c r="A66" s="56" t="s">
        <v>180</v>
      </c>
      <c r="B66" s="77">
        <v>78043.03</v>
      </c>
      <c r="C66" s="40">
        <v>48478.66</v>
      </c>
      <c r="D66" s="40">
        <v>3272.92</v>
      </c>
      <c r="E66" s="40">
        <v>45205.68</v>
      </c>
      <c r="F66" s="40">
        <v>25372.02</v>
      </c>
      <c r="G66" s="40">
        <v>19833.650000000001</v>
      </c>
      <c r="H66" s="41">
        <v>57.924045235045327</v>
      </c>
    </row>
    <row r="67" spans="1:8" x14ac:dyDescent="0.15">
      <c r="A67" s="56" t="s">
        <v>181</v>
      </c>
      <c r="B67" s="77">
        <v>80492.56</v>
      </c>
      <c r="C67" s="40">
        <v>49918.31</v>
      </c>
      <c r="D67" s="40">
        <v>3307.27</v>
      </c>
      <c r="E67" s="40">
        <v>46611.06</v>
      </c>
      <c r="F67" s="40">
        <v>26500.47</v>
      </c>
      <c r="G67" s="40">
        <v>20110.599999999999</v>
      </c>
      <c r="H67" s="41">
        <v>57.907289816599196</v>
      </c>
    </row>
    <row r="68" spans="1:8" x14ac:dyDescent="0.15">
      <c r="A68" s="56" t="s">
        <v>182</v>
      </c>
      <c r="B68" s="77">
        <v>81479</v>
      </c>
      <c r="C68" s="40">
        <v>50349.42</v>
      </c>
      <c r="D68" s="40">
        <v>3246.22</v>
      </c>
      <c r="E68" s="40">
        <v>47103.11</v>
      </c>
      <c r="F68" s="40">
        <v>26674.54</v>
      </c>
      <c r="G68" s="40">
        <v>20428.580000000002</v>
      </c>
      <c r="H68" s="41">
        <v>57.810122853741454</v>
      </c>
    </row>
    <row r="69" spans="1:8" x14ac:dyDescent="0.15">
      <c r="A69" s="56" t="s">
        <v>183</v>
      </c>
      <c r="B69" s="77">
        <v>80346.09</v>
      </c>
      <c r="C69" s="40">
        <v>49996.73</v>
      </c>
      <c r="D69" s="40">
        <v>2504.19</v>
      </c>
      <c r="E69" s="40">
        <v>47492.4</v>
      </c>
      <c r="F69" s="40">
        <v>27077.11</v>
      </c>
      <c r="G69" s="40">
        <v>20415.3</v>
      </c>
      <c r="H69" s="41">
        <v>59.109783687046878</v>
      </c>
    </row>
    <row r="70" spans="1:8" x14ac:dyDescent="0.15">
      <c r="A70" s="56" t="s">
        <v>184</v>
      </c>
      <c r="B70" s="77">
        <v>81110.2</v>
      </c>
      <c r="C70" s="40">
        <v>50896.91</v>
      </c>
      <c r="D70" s="40">
        <v>3242.68</v>
      </c>
      <c r="E70" s="40">
        <v>47654.14</v>
      </c>
      <c r="F70" s="40">
        <v>27192.54</v>
      </c>
      <c r="G70" s="40">
        <v>20461.59</v>
      </c>
      <c r="H70" s="41">
        <v>58.752339409839948</v>
      </c>
    </row>
    <row r="71" spans="1:8" x14ac:dyDescent="0.15">
      <c r="A71" s="56" t="s">
        <v>185</v>
      </c>
      <c r="B71" s="77">
        <v>81362.77</v>
      </c>
      <c r="C71" s="40">
        <v>50634.45</v>
      </c>
      <c r="D71" s="40">
        <v>3197.71</v>
      </c>
      <c r="E71" s="40">
        <v>47436.69</v>
      </c>
      <c r="F71" s="40">
        <v>26832.12</v>
      </c>
      <c r="G71" s="40">
        <v>20604.63</v>
      </c>
      <c r="H71" s="41">
        <v>58.302697904705056</v>
      </c>
    </row>
    <row r="72" spans="1:8" x14ac:dyDescent="0.15">
      <c r="A72" s="56" t="s">
        <v>186</v>
      </c>
      <c r="B72" s="77">
        <v>81116.98</v>
      </c>
      <c r="C72" s="40">
        <v>50267.39</v>
      </c>
      <c r="D72" s="40">
        <v>3119.89</v>
      </c>
      <c r="E72" s="40">
        <v>47147.45</v>
      </c>
      <c r="F72" s="40">
        <v>26693.599999999999</v>
      </c>
      <c r="G72" s="40">
        <v>20453.87</v>
      </c>
      <c r="H72" s="41">
        <v>58.122787608710283</v>
      </c>
    </row>
    <row r="73" spans="1:8" x14ac:dyDescent="0.15">
      <c r="A73" s="56" t="s">
        <v>187</v>
      </c>
      <c r="B73" s="77">
        <v>79911.66</v>
      </c>
      <c r="C73" s="40">
        <v>50243.11</v>
      </c>
      <c r="D73" s="40">
        <v>3254.47</v>
      </c>
      <c r="E73" s="40">
        <v>46988.63</v>
      </c>
      <c r="F73" s="40">
        <v>26458.39</v>
      </c>
      <c r="G73" s="40">
        <v>20530.18</v>
      </c>
      <c r="H73" s="41">
        <v>58.800718193064682</v>
      </c>
    </row>
    <row r="74" spans="1:8" x14ac:dyDescent="0.15">
      <c r="A74" s="56" t="s">
        <v>188</v>
      </c>
      <c r="B74" s="77">
        <v>80390.179999999993</v>
      </c>
      <c r="C74" s="40">
        <v>50559.67</v>
      </c>
      <c r="D74" s="40">
        <v>3268.99</v>
      </c>
      <c r="E74" s="40">
        <v>47290.64</v>
      </c>
      <c r="F74" s="40">
        <v>26782.33</v>
      </c>
      <c r="G74" s="40">
        <v>20508.29</v>
      </c>
      <c r="H74" s="41">
        <v>58.826388994277664</v>
      </c>
    </row>
    <row r="75" spans="1:8" x14ac:dyDescent="0.15">
      <c r="A75" s="56" t="s">
        <v>189</v>
      </c>
      <c r="B75" s="77">
        <v>79584.91</v>
      </c>
      <c r="C75" s="40">
        <v>49694.49</v>
      </c>
      <c r="D75" s="40">
        <v>3299.51</v>
      </c>
      <c r="E75" s="40">
        <v>46394.98</v>
      </c>
      <c r="F75" s="40">
        <v>25800.959999999999</v>
      </c>
      <c r="G75" s="40">
        <v>20594.02</v>
      </c>
      <c r="H75" s="41">
        <v>58.296202131786032</v>
      </c>
    </row>
    <row r="76" spans="1:8" x14ac:dyDescent="0.15">
      <c r="A76" s="56" t="s">
        <v>190</v>
      </c>
      <c r="B76" s="77">
        <v>80766.8</v>
      </c>
      <c r="C76" s="40">
        <v>50018.21</v>
      </c>
      <c r="D76" s="40">
        <v>3214.7</v>
      </c>
      <c r="E76" s="40">
        <v>46803.54</v>
      </c>
      <c r="F76" s="40">
        <v>25929.73</v>
      </c>
      <c r="G76" s="40">
        <v>20873.82</v>
      </c>
      <c r="H76" s="41">
        <v>57.948983988470502</v>
      </c>
    </row>
    <row r="77" spans="1:8" x14ac:dyDescent="0.15">
      <c r="A77" s="56" t="s">
        <v>191</v>
      </c>
      <c r="B77" s="77">
        <v>78754.97</v>
      </c>
      <c r="C77" s="40">
        <v>50035.11</v>
      </c>
      <c r="D77" s="40">
        <v>3186.16</v>
      </c>
      <c r="E77" s="40">
        <v>46848.93</v>
      </c>
      <c r="F77" s="40">
        <v>25746.19</v>
      </c>
      <c r="G77" s="40">
        <v>21102.71</v>
      </c>
      <c r="H77" s="41">
        <v>59.486950474363709</v>
      </c>
    </row>
    <row r="78" spans="1:8" x14ac:dyDescent="0.15">
      <c r="A78" s="56" t="s">
        <v>192</v>
      </c>
      <c r="B78" s="77">
        <v>79022.559999999998</v>
      </c>
      <c r="C78" s="40">
        <v>50198.96</v>
      </c>
      <c r="D78" s="40">
        <v>3186.72</v>
      </c>
      <c r="E78" s="40">
        <v>47012.160000000003</v>
      </c>
      <c r="F78" s="40">
        <v>25671.58</v>
      </c>
      <c r="G78" s="40">
        <v>21340.62</v>
      </c>
      <c r="H78" s="41">
        <v>59.492074162112694</v>
      </c>
    </row>
    <row r="79" spans="1:8" x14ac:dyDescent="0.15">
      <c r="A79" s="56" t="s">
        <v>193</v>
      </c>
      <c r="B79" s="77">
        <v>81266.52</v>
      </c>
      <c r="C79" s="40">
        <v>52109.91</v>
      </c>
      <c r="D79" s="40">
        <v>3432.59</v>
      </c>
      <c r="E79" s="40">
        <v>48677.27</v>
      </c>
      <c r="F79" s="40">
        <v>27042.92</v>
      </c>
      <c r="G79" s="40">
        <v>21634.41</v>
      </c>
      <c r="H79" s="41">
        <v>59.898307445673801</v>
      </c>
    </row>
    <row r="80" spans="1:8" x14ac:dyDescent="0.15">
      <c r="A80" s="56" t="s">
        <v>194</v>
      </c>
      <c r="B80" s="77">
        <v>81910.070000000007</v>
      </c>
      <c r="C80" s="40">
        <v>52287.88</v>
      </c>
      <c r="D80" s="40">
        <v>3380.31</v>
      </c>
      <c r="E80" s="40">
        <v>48907.58</v>
      </c>
      <c r="F80" s="40">
        <v>27137.91</v>
      </c>
      <c r="G80" s="40">
        <v>21769.7</v>
      </c>
      <c r="H80" s="41">
        <v>59.708873402256891</v>
      </c>
    </row>
    <row r="81" spans="1:8" x14ac:dyDescent="0.15">
      <c r="A81" s="56" t="s">
        <v>195</v>
      </c>
      <c r="B81" s="83">
        <v>82316.850000000006</v>
      </c>
      <c r="C81" s="84">
        <v>52743.57</v>
      </c>
      <c r="D81" s="84">
        <v>3234.75</v>
      </c>
      <c r="E81" s="84">
        <v>49508.79</v>
      </c>
      <c r="F81" s="84">
        <v>27701.27</v>
      </c>
      <c r="G81" s="84">
        <v>21807.56</v>
      </c>
      <c r="H81" s="85">
        <v>60.144174613095615</v>
      </c>
    </row>
    <row r="82" spans="1:8" x14ac:dyDescent="0.15">
      <c r="A82" s="56" t="s">
        <v>197</v>
      </c>
      <c r="B82" s="83">
        <v>81905.009999999995</v>
      </c>
      <c r="C82" s="84">
        <v>52556.35</v>
      </c>
      <c r="D82" s="84">
        <v>2539.9299999999998</v>
      </c>
      <c r="E82" s="84">
        <v>50016.42</v>
      </c>
      <c r="F82" s="84">
        <v>27995.83</v>
      </c>
      <c r="G82" s="84">
        <v>22020.59</v>
      </c>
      <c r="H82" s="85">
        <v>61.066374328017304</v>
      </c>
    </row>
    <row r="83" spans="1:8" x14ac:dyDescent="0.15">
      <c r="A83" s="56" t="s">
        <v>200</v>
      </c>
      <c r="B83" s="83">
        <v>81700.570000000007</v>
      </c>
      <c r="C83" s="84">
        <v>52279.05</v>
      </c>
      <c r="D83" s="84">
        <v>2534.9</v>
      </c>
      <c r="E83" s="84">
        <v>49744.15</v>
      </c>
      <c r="F83" s="84">
        <v>27690.02</v>
      </c>
      <c r="G83" s="84">
        <v>22054.16</v>
      </c>
      <c r="H83" s="85">
        <v>60.885927723637664</v>
      </c>
    </row>
    <row r="84" spans="1:8" x14ac:dyDescent="0.15">
      <c r="A84" s="86" t="s">
        <v>204</v>
      </c>
      <c r="B84" s="87">
        <v>82918.97</v>
      </c>
      <c r="C84" s="64">
        <v>52848.79</v>
      </c>
      <c r="D84" s="64">
        <v>2488.1799999999998</v>
      </c>
      <c r="E84" s="64">
        <v>50360.63</v>
      </c>
      <c r="F84" s="64">
        <v>28096.54</v>
      </c>
      <c r="G84" s="64">
        <v>22264.06</v>
      </c>
      <c r="H84" s="65">
        <v>60.734751046714642</v>
      </c>
    </row>
    <row r="85" spans="1:8" x14ac:dyDescent="0.15">
      <c r="A85" s="86" t="s">
        <v>205</v>
      </c>
      <c r="B85" s="87">
        <v>83962.32</v>
      </c>
      <c r="C85" s="64">
        <v>53697.35</v>
      </c>
      <c r="D85" s="64">
        <v>2454.79</v>
      </c>
      <c r="E85" s="64">
        <v>51242.61</v>
      </c>
      <c r="F85" s="64">
        <v>28705.99</v>
      </c>
      <c r="G85" s="64">
        <v>22536.63</v>
      </c>
      <c r="H85" s="65">
        <v>61.030483674105241</v>
      </c>
    </row>
    <row r="86" spans="1:8" x14ac:dyDescent="0.15">
      <c r="A86" s="86" t="s">
        <v>206</v>
      </c>
      <c r="B86" s="87">
        <v>84776.43</v>
      </c>
      <c r="C86" s="64">
        <v>54171</v>
      </c>
      <c r="D86" s="64">
        <v>2538.56</v>
      </c>
      <c r="E86" s="64">
        <v>51632.38</v>
      </c>
      <c r="F86" s="64">
        <v>29103.84</v>
      </c>
      <c r="G86" s="64">
        <v>22528.49</v>
      </c>
      <c r="H86" s="65">
        <v>60.904168764832399</v>
      </c>
    </row>
    <row r="87" spans="1:8" x14ac:dyDescent="0.15">
      <c r="A87" s="86" t="s">
        <v>207</v>
      </c>
      <c r="B87" s="87">
        <v>84480.13</v>
      </c>
      <c r="C87" s="64">
        <v>54079.08</v>
      </c>
      <c r="D87" s="64">
        <v>2879.12</v>
      </c>
      <c r="E87" s="64">
        <v>51199.97</v>
      </c>
      <c r="F87" s="64">
        <v>28656.3</v>
      </c>
      <c r="G87" s="64">
        <v>22543.74</v>
      </c>
      <c r="H87" s="65">
        <v>60.605931832727997</v>
      </c>
    </row>
    <row r="88" spans="1:8" x14ac:dyDescent="0.15">
      <c r="A88" s="86" t="s">
        <v>208</v>
      </c>
      <c r="B88" s="87">
        <v>84072.54</v>
      </c>
      <c r="C88" s="64">
        <v>53931.21</v>
      </c>
      <c r="D88" s="64">
        <v>2896.7</v>
      </c>
      <c r="E88" s="64">
        <v>51034.41</v>
      </c>
      <c r="F88" s="64">
        <v>28319.439999999999</v>
      </c>
      <c r="G88" s="64">
        <v>22714.99</v>
      </c>
      <c r="H88" s="65">
        <v>60.702828771439535</v>
      </c>
    </row>
    <row r="89" spans="1:8" x14ac:dyDescent="0.15">
      <c r="A89" s="86" t="s">
        <v>209</v>
      </c>
      <c r="B89" s="87">
        <v>85587</v>
      </c>
      <c r="C89" s="64">
        <v>54785</v>
      </c>
      <c r="D89" s="64">
        <v>3119</v>
      </c>
      <c r="E89" s="64">
        <v>51666</v>
      </c>
      <c r="F89" s="64">
        <v>28731</v>
      </c>
      <c r="G89" s="64">
        <v>22935</v>
      </c>
      <c r="H89" s="65">
        <v>60</v>
      </c>
    </row>
    <row r="90" spans="1:8" x14ac:dyDescent="0.15">
      <c r="A90" s="86" t="s">
        <v>210</v>
      </c>
      <c r="B90" s="87">
        <v>85828</v>
      </c>
      <c r="C90" s="64">
        <v>54959</v>
      </c>
      <c r="D90" s="64">
        <v>3177</v>
      </c>
      <c r="E90" s="64">
        <v>51782</v>
      </c>
      <c r="F90" s="64">
        <v>28816</v>
      </c>
      <c r="G90" s="64">
        <v>22966</v>
      </c>
      <c r="H90" s="65">
        <v>60</v>
      </c>
    </row>
    <row r="91" spans="1:8" x14ac:dyDescent="0.15">
      <c r="A91" s="86" t="s">
        <v>211</v>
      </c>
      <c r="B91" s="87">
        <v>87445.56</v>
      </c>
      <c r="C91" s="64">
        <v>56271.22</v>
      </c>
      <c r="D91" s="64">
        <v>3227.31</v>
      </c>
      <c r="E91" s="64">
        <v>53043.86</v>
      </c>
      <c r="F91" s="64">
        <v>30089.54</v>
      </c>
      <c r="G91" s="64">
        <v>22954.32</v>
      </c>
      <c r="H91" s="65">
        <v>60.659294765794854</v>
      </c>
    </row>
    <row r="92" spans="1:8" x14ac:dyDescent="0.15">
      <c r="A92" s="86" t="s">
        <v>212</v>
      </c>
      <c r="B92" s="87">
        <v>88114.55</v>
      </c>
      <c r="C92" s="64">
        <v>56417.77</v>
      </c>
      <c r="D92" s="64">
        <v>3250.11</v>
      </c>
      <c r="E92" s="64">
        <v>53167.66</v>
      </c>
      <c r="F92" s="64">
        <v>30109.39</v>
      </c>
      <c r="G92" s="64">
        <v>23058.240000000002</v>
      </c>
      <c r="H92" s="65">
        <v>60.339251576498995</v>
      </c>
    </row>
    <row r="93" spans="1:8" x14ac:dyDescent="0.15">
      <c r="A93" s="86" t="s">
        <v>213</v>
      </c>
      <c r="B93" s="87">
        <v>88837.43</v>
      </c>
      <c r="C93" s="64">
        <v>57057.7</v>
      </c>
      <c r="D93" s="64">
        <v>3229.1</v>
      </c>
      <c r="E93" s="64">
        <v>53828.61</v>
      </c>
      <c r="F93" s="64">
        <v>30710.28</v>
      </c>
      <c r="G93" s="64">
        <v>23118.32</v>
      </c>
      <c r="H93" s="65">
        <v>60.592263868957041</v>
      </c>
    </row>
    <row r="94" spans="1:8" x14ac:dyDescent="0.15">
      <c r="A94" s="86" t="s">
        <v>214</v>
      </c>
      <c r="B94" s="87">
        <v>88834.36</v>
      </c>
      <c r="C94" s="64">
        <v>57237.66</v>
      </c>
      <c r="D94" s="64">
        <v>3002.63</v>
      </c>
      <c r="E94" s="64">
        <v>54234.99</v>
      </c>
      <c r="F94" s="64">
        <v>30986.6</v>
      </c>
      <c r="G94" s="64">
        <v>23248.400000000001</v>
      </c>
      <c r="H94" s="65">
        <v>61.051815986516921</v>
      </c>
    </row>
    <row r="95" spans="1:8" x14ac:dyDescent="0.15">
      <c r="A95" s="86" t="s">
        <v>215</v>
      </c>
      <c r="B95" s="87">
        <v>89007.7</v>
      </c>
      <c r="C95" s="64">
        <v>57276.71</v>
      </c>
      <c r="D95" s="64">
        <v>2793.28</v>
      </c>
      <c r="E95" s="64">
        <v>54483.39</v>
      </c>
      <c r="F95" s="64">
        <v>31065.53</v>
      </c>
      <c r="G95" s="64">
        <v>23417.86</v>
      </c>
      <c r="H95" s="65">
        <v>61.211996265491642</v>
      </c>
    </row>
    <row r="96" spans="1:8" x14ac:dyDescent="0.15">
      <c r="A96" s="86" t="s">
        <v>216</v>
      </c>
      <c r="B96" s="87">
        <v>88942.52</v>
      </c>
      <c r="C96" s="64">
        <v>57426.1</v>
      </c>
      <c r="D96" s="64">
        <v>2747.62</v>
      </c>
      <c r="E96" s="64">
        <v>54678.53</v>
      </c>
      <c r="F96" s="64">
        <v>31231.119999999999</v>
      </c>
      <c r="G96" s="64">
        <v>23447.360000000001</v>
      </c>
      <c r="H96" s="65">
        <v>61.476254551816155</v>
      </c>
    </row>
    <row r="97" spans="1:8" x14ac:dyDescent="0.15">
      <c r="A97" s="86" t="s">
        <v>217</v>
      </c>
      <c r="B97" s="87">
        <v>89566.31</v>
      </c>
      <c r="C97" s="64">
        <v>57643.13</v>
      </c>
      <c r="D97" s="64">
        <v>2678.54</v>
      </c>
      <c r="E97" s="64">
        <v>54964.65</v>
      </c>
      <c r="F97" s="64">
        <v>31336.58</v>
      </c>
      <c r="G97" s="64">
        <v>23628.07</v>
      </c>
      <c r="H97" s="65">
        <v>61.36754991916046</v>
      </c>
    </row>
    <row r="98" spans="1:8" x14ac:dyDescent="0.15">
      <c r="A98" s="86" t="s">
        <v>218</v>
      </c>
      <c r="B98" s="87">
        <v>89569.31</v>
      </c>
      <c r="C98" s="64">
        <v>57869.67</v>
      </c>
      <c r="D98" s="64">
        <v>2764.83</v>
      </c>
      <c r="E98" s="64">
        <v>55104.800000000003</v>
      </c>
      <c r="F98" s="64">
        <v>31415.98</v>
      </c>
      <c r="G98" s="64">
        <v>23688.87</v>
      </c>
      <c r="H98" s="65">
        <v>61.521965503585996</v>
      </c>
    </row>
    <row r="99" spans="1:8" x14ac:dyDescent="0.15">
      <c r="A99" s="86" t="s">
        <v>219</v>
      </c>
      <c r="B99" s="87">
        <v>88898.41</v>
      </c>
      <c r="C99" s="64">
        <v>57219.46</v>
      </c>
      <c r="D99" s="64">
        <v>2754.28</v>
      </c>
      <c r="E99" s="64">
        <v>54465.16</v>
      </c>
      <c r="F99" s="64">
        <v>30808.12</v>
      </c>
      <c r="G99" s="64">
        <v>23657.040000000001</v>
      </c>
      <c r="H99" s="65">
        <v>61.266742566036889</v>
      </c>
    </row>
    <row r="100" spans="1:8" x14ac:dyDescent="0.15">
      <c r="A100" s="86" t="s">
        <v>220</v>
      </c>
      <c r="B100" s="87">
        <v>89739.48</v>
      </c>
      <c r="C100" s="64">
        <v>58141.9</v>
      </c>
      <c r="D100" s="64">
        <v>3035.59</v>
      </c>
      <c r="E100" s="64">
        <v>55106.25</v>
      </c>
      <c r="F100" s="64">
        <v>31099.86</v>
      </c>
      <c r="G100" s="64">
        <v>24006.41</v>
      </c>
      <c r="H100" s="65">
        <v>61.406919228861142</v>
      </c>
    </row>
    <row r="101" spans="1:8" x14ac:dyDescent="0.15">
      <c r="A101" s="86" t="s">
        <v>222</v>
      </c>
      <c r="B101" s="87">
        <v>89888.75</v>
      </c>
      <c r="C101" s="64">
        <v>58242.13</v>
      </c>
      <c r="D101" s="64">
        <v>3277</v>
      </c>
      <c r="E101" s="64">
        <v>54965.13</v>
      </c>
      <c r="F101" s="64">
        <v>30752.34</v>
      </c>
      <c r="G101" s="64">
        <v>24212.84</v>
      </c>
      <c r="H101" s="65">
        <v>61.147952329963431</v>
      </c>
    </row>
    <row r="102" spans="1:8" x14ac:dyDescent="0.15">
      <c r="A102" s="86" t="s">
        <v>223</v>
      </c>
      <c r="B102" s="87">
        <v>89959.16</v>
      </c>
      <c r="C102" s="64">
        <v>58211.79</v>
      </c>
      <c r="D102" s="64">
        <v>3226.41</v>
      </c>
      <c r="E102" s="64">
        <v>54985.36</v>
      </c>
      <c r="F102" s="64">
        <v>30670.02</v>
      </c>
      <c r="G102" s="64">
        <v>24315.32</v>
      </c>
      <c r="H102" s="65">
        <v>61.122580513201761</v>
      </c>
    </row>
    <row r="103" spans="1:8" x14ac:dyDescent="0.15">
      <c r="A103" s="86" t="s">
        <v>224</v>
      </c>
      <c r="B103" s="87">
        <v>90489.48</v>
      </c>
      <c r="C103" s="64">
        <v>58797.82</v>
      </c>
      <c r="D103" s="64">
        <v>3223.03</v>
      </c>
      <c r="E103" s="64">
        <v>55574.79</v>
      </c>
      <c r="F103" s="64">
        <v>31153</v>
      </c>
      <c r="G103" s="64">
        <v>24421.8</v>
      </c>
      <c r="H103" s="65">
        <v>61.415746891240843</v>
      </c>
    </row>
    <row r="104" spans="1:8" x14ac:dyDescent="0.15">
      <c r="A104" s="86" t="s">
        <v>225</v>
      </c>
      <c r="B104" s="87">
        <v>90786.03</v>
      </c>
      <c r="C104" s="64">
        <v>59402.94</v>
      </c>
      <c r="D104" s="64">
        <v>3342.98</v>
      </c>
      <c r="E104" s="64">
        <v>56059.96</v>
      </c>
      <c r="F104" s="64">
        <v>31608.880000000001</v>
      </c>
      <c r="G104" s="64">
        <v>24451.06</v>
      </c>
      <c r="H104" s="65">
        <v>61.749544505911317</v>
      </c>
    </row>
    <row r="105" spans="1:8" x14ac:dyDescent="0.15">
      <c r="A105" s="86" t="s">
        <v>227</v>
      </c>
      <c r="B105" s="87">
        <v>91573.24</v>
      </c>
      <c r="C105" s="64">
        <v>60696.58</v>
      </c>
      <c r="D105" s="64">
        <v>3271.63</v>
      </c>
      <c r="E105" s="64">
        <v>57425</v>
      </c>
      <c r="F105" s="64">
        <v>32853.33</v>
      </c>
      <c r="G105" s="64">
        <v>24571.67</v>
      </c>
      <c r="H105" s="65">
        <v>62.709367933252111</v>
      </c>
    </row>
    <row r="106" spans="1:8" x14ac:dyDescent="0.15">
      <c r="A106" s="86" t="s">
        <v>228</v>
      </c>
      <c r="B106" s="87">
        <v>91641.31</v>
      </c>
      <c r="C106" s="64">
        <v>61003.71</v>
      </c>
      <c r="D106" s="64">
        <v>2889.47</v>
      </c>
      <c r="E106" s="64">
        <v>58114.19</v>
      </c>
      <c r="F106" s="64">
        <v>33370.410000000003</v>
      </c>
      <c r="G106" s="64">
        <v>24743.77</v>
      </c>
      <c r="H106" s="65">
        <v>63.41483987952595</v>
      </c>
    </row>
    <row r="107" spans="1:8" x14ac:dyDescent="0.15">
      <c r="A107" s="86" t="s">
        <v>230</v>
      </c>
      <c r="B107" s="87">
        <v>91255.76</v>
      </c>
      <c r="C107" s="64">
        <v>61062.28</v>
      </c>
      <c r="D107" s="64">
        <v>2899.45</v>
      </c>
      <c r="E107" s="64">
        <v>58162.85</v>
      </c>
      <c r="F107" s="64">
        <v>33044.699999999997</v>
      </c>
      <c r="G107" s="64">
        <v>25118.11</v>
      </c>
      <c r="H107" s="65">
        <v>63.736086357726897</v>
      </c>
    </row>
    <row r="108" spans="1:8" x14ac:dyDescent="0.15">
      <c r="A108" s="86" t="s">
        <v>231</v>
      </c>
      <c r="B108" s="87">
        <v>90971.23</v>
      </c>
      <c r="C108" s="64">
        <v>61359.6</v>
      </c>
      <c r="D108" s="64">
        <v>2972.28</v>
      </c>
      <c r="E108" s="64">
        <v>58387.37</v>
      </c>
      <c r="F108" s="64">
        <v>32986.699999999997</v>
      </c>
      <c r="G108" s="64">
        <v>25400.73</v>
      </c>
      <c r="H108" s="65">
        <v>64.182236515874308</v>
      </c>
    </row>
    <row r="109" spans="1:8" x14ac:dyDescent="0.15">
      <c r="A109" s="86" t="s">
        <v>234</v>
      </c>
      <c r="B109" s="87">
        <v>90751.24</v>
      </c>
      <c r="C109" s="64">
        <v>61392.53</v>
      </c>
      <c r="D109" s="64">
        <v>2945.42</v>
      </c>
      <c r="E109" s="64">
        <v>58446.98</v>
      </c>
      <c r="F109" s="64">
        <v>32921.480000000003</v>
      </c>
      <c r="G109" s="64">
        <v>25525.56</v>
      </c>
      <c r="H109" s="65">
        <v>64.403505671107084</v>
      </c>
    </row>
    <row r="110" spans="1:8" x14ac:dyDescent="0.15">
      <c r="A110" s="86" t="s">
        <v>237</v>
      </c>
      <c r="B110" s="87">
        <v>90922.77</v>
      </c>
      <c r="C110" s="64">
        <v>61477.72</v>
      </c>
      <c r="D110" s="64">
        <v>2934.42</v>
      </c>
      <c r="E110" s="64">
        <v>58543.38</v>
      </c>
      <c r="F110" s="64">
        <v>32868.49</v>
      </c>
      <c r="G110" s="64">
        <v>25674.85</v>
      </c>
      <c r="H110" s="65">
        <v>64.388029533196132</v>
      </c>
    </row>
    <row r="111" spans="1:8" x14ac:dyDescent="0.15">
      <c r="A111" s="86" t="s">
        <v>238</v>
      </c>
      <c r="B111" s="87">
        <v>90165.97</v>
      </c>
      <c r="C111" s="64">
        <v>60642.400000000001</v>
      </c>
      <c r="D111" s="64">
        <v>2920.72</v>
      </c>
      <c r="E111" s="64">
        <v>57721.64</v>
      </c>
      <c r="F111" s="64">
        <v>32122.12</v>
      </c>
      <c r="G111" s="64">
        <v>25599.51</v>
      </c>
      <c r="H111" s="65">
        <v>64.017100908469132</v>
      </c>
    </row>
    <row r="112" spans="1:8" x14ac:dyDescent="0.15">
      <c r="A112" s="86" t="s">
        <v>239</v>
      </c>
      <c r="B112" s="87">
        <v>89462.5</v>
      </c>
      <c r="C112" s="64">
        <v>60082.63</v>
      </c>
      <c r="D112" s="64">
        <v>2879.06</v>
      </c>
      <c r="E112" s="64">
        <v>57203.57</v>
      </c>
      <c r="F112" s="64">
        <v>31575.93</v>
      </c>
      <c r="G112" s="64">
        <v>25627.64</v>
      </c>
      <c r="H112" s="65">
        <v>63.941394439010757</v>
      </c>
    </row>
    <row r="113" spans="1:8" x14ac:dyDescent="0.15">
      <c r="A113" s="86" t="s">
        <v>241</v>
      </c>
      <c r="B113" s="87">
        <v>89465.51</v>
      </c>
      <c r="C113" s="64">
        <v>60181.98</v>
      </c>
      <c r="D113" s="64">
        <v>2889.28</v>
      </c>
      <c r="E113" s="64">
        <v>57292.72</v>
      </c>
      <c r="F113" s="64">
        <v>31248.84</v>
      </c>
      <c r="G113" s="64">
        <v>26043.91</v>
      </c>
      <c r="H113" s="65">
        <v>64.038890517697837</v>
      </c>
    </row>
    <row r="114" spans="1:8" x14ac:dyDescent="0.15">
      <c r="A114" s="86" t="s">
        <v>242</v>
      </c>
      <c r="B114" s="87">
        <v>89519.88</v>
      </c>
      <c r="C114" s="64">
        <v>60021.29</v>
      </c>
      <c r="D114" s="64">
        <v>2911.46</v>
      </c>
      <c r="E114" s="64">
        <v>57109.83</v>
      </c>
      <c r="F114" s="64">
        <v>30676.799999999999</v>
      </c>
      <c r="G114" s="64">
        <v>26433.01</v>
      </c>
      <c r="H114" s="65">
        <v>63.79569543658905</v>
      </c>
    </row>
    <row r="115" spans="1:8" x14ac:dyDescent="0.15">
      <c r="A115" s="86" t="s">
        <v>243</v>
      </c>
      <c r="B115" s="87">
        <v>90349.7</v>
      </c>
      <c r="C115" s="64">
        <v>60592.2</v>
      </c>
      <c r="D115" s="64">
        <v>2887.04</v>
      </c>
      <c r="E115" s="64">
        <v>57705.14</v>
      </c>
      <c r="F115" s="64">
        <v>31127.29</v>
      </c>
      <c r="G115" s="64">
        <v>26577.86</v>
      </c>
      <c r="H115" s="65">
        <v>63.868657007162177</v>
      </c>
    </row>
    <row r="116" spans="1:8" x14ac:dyDescent="0.15">
      <c r="A116" s="86" t="s">
        <v>246</v>
      </c>
      <c r="B116" s="87">
        <v>90230.97</v>
      </c>
      <c r="C116" s="64">
        <v>60508.44</v>
      </c>
      <c r="D116" s="64">
        <v>2877.2</v>
      </c>
      <c r="E116" s="64">
        <v>57631.25</v>
      </c>
      <c r="F116" s="64">
        <v>30988.3</v>
      </c>
      <c r="G116" s="64">
        <v>26643.01</v>
      </c>
      <c r="H116" s="65">
        <v>63.870808437502113</v>
      </c>
    </row>
    <row r="117" spans="1:8" x14ac:dyDescent="0.15">
      <c r="A117" s="86" t="s">
        <v>247</v>
      </c>
      <c r="B117" s="87">
        <v>92102.53</v>
      </c>
      <c r="C117" s="64">
        <v>62305.41</v>
      </c>
      <c r="D117" s="64">
        <v>2851.29</v>
      </c>
      <c r="E117" s="64">
        <v>59454.12</v>
      </c>
      <c r="F117" s="64">
        <v>32563.200000000001</v>
      </c>
      <c r="G117" s="64">
        <v>26890.92</v>
      </c>
      <c r="H117" s="65">
        <v>64.552102966118312</v>
      </c>
    </row>
    <row r="118" spans="1:8" x14ac:dyDescent="0.15">
      <c r="A118" s="86" t="s">
        <v>248</v>
      </c>
      <c r="B118" s="87">
        <v>91871.1</v>
      </c>
      <c r="C118" s="64">
        <v>61865.760000000002</v>
      </c>
      <c r="D118" s="64">
        <v>2807.83</v>
      </c>
      <c r="E118" s="64">
        <v>59057.82</v>
      </c>
      <c r="F118" s="64">
        <v>32355.43</v>
      </c>
      <c r="G118" s="64">
        <v>26702.37</v>
      </c>
      <c r="H118" s="65">
        <v>64.283349170740294</v>
      </c>
    </row>
    <row r="119" spans="1:8" x14ac:dyDescent="0.15">
      <c r="A119" s="86" t="s">
        <v>250</v>
      </c>
      <c r="B119" s="87">
        <v>91843.87</v>
      </c>
      <c r="C119" s="64">
        <v>61647.33</v>
      </c>
      <c r="D119" s="64">
        <v>2780.52</v>
      </c>
      <c r="E119" s="64">
        <v>58866.79</v>
      </c>
      <c r="F119" s="64">
        <v>32016.42</v>
      </c>
      <c r="G119" s="64">
        <v>26850.400000000001</v>
      </c>
      <c r="H119" s="65">
        <v>64.094413704474789</v>
      </c>
    </row>
    <row r="120" spans="1:8" x14ac:dyDescent="0.15">
      <c r="A120" s="86" t="s">
        <v>253</v>
      </c>
      <c r="B120" s="87">
        <v>91087.25</v>
      </c>
      <c r="C120" s="64">
        <v>61566.9</v>
      </c>
      <c r="D120" s="64">
        <v>2787.85</v>
      </c>
      <c r="E120" s="64">
        <v>58779.03</v>
      </c>
      <c r="F120" s="64">
        <v>32009.18</v>
      </c>
      <c r="G120" s="64">
        <v>26769.85</v>
      </c>
      <c r="H120" s="65">
        <v>64.530469412568721</v>
      </c>
    </row>
    <row r="121" spans="1:8" x14ac:dyDescent="0.15">
      <c r="A121" s="86" t="s">
        <v>255</v>
      </c>
      <c r="B121" s="87">
        <v>90846.99</v>
      </c>
      <c r="C121" s="64">
        <v>61656.24</v>
      </c>
      <c r="D121" s="64">
        <v>2946.21</v>
      </c>
      <c r="E121" s="64">
        <v>58710.03</v>
      </c>
      <c r="F121" s="64">
        <v>31615.16</v>
      </c>
      <c r="G121" s="64">
        <v>27094.82</v>
      </c>
      <c r="H121" s="65">
        <v>64.625179106099168</v>
      </c>
    </row>
    <row r="122" spans="1:8" x14ac:dyDescent="0.15">
      <c r="A122" s="86" t="s">
        <v>258</v>
      </c>
      <c r="B122" s="87">
        <v>91483.199999999997</v>
      </c>
      <c r="C122" s="64">
        <v>61995.27</v>
      </c>
      <c r="D122" s="64">
        <v>3002.64</v>
      </c>
      <c r="E122" s="64">
        <v>58992.68</v>
      </c>
      <c r="F122" s="64">
        <v>31542.33</v>
      </c>
      <c r="G122" s="64">
        <v>27450.39</v>
      </c>
      <c r="H122" s="65">
        <v>64.48471413330536</v>
      </c>
    </row>
    <row r="123" spans="1:8" x14ac:dyDescent="0.15">
      <c r="A123" s="86" t="s">
        <v>260</v>
      </c>
      <c r="B123" s="87">
        <v>90837.58</v>
      </c>
      <c r="C123" s="64">
        <v>60765.27</v>
      </c>
      <c r="D123" s="64">
        <v>3209.35</v>
      </c>
      <c r="E123" s="64">
        <v>57555.82</v>
      </c>
      <c r="F123" s="64">
        <v>29845.72</v>
      </c>
      <c r="G123" s="64">
        <v>27710.12</v>
      </c>
      <c r="H123" s="65">
        <v>63.361243221142615</v>
      </c>
    </row>
    <row r="124" spans="1:8" x14ac:dyDescent="0.15">
      <c r="A124" s="86" t="s">
        <v>262</v>
      </c>
      <c r="B124" s="87">
        <v>91373.71</v>
      </c>
      <c r="C124" s="64">
        <v>61261.86</v>
      </c>
      <c r="D124" s="64">
        <v>3172.4</v>
      </c>
      <c r="E124" s="64">
        <v>58089.37</v>
      </c>
      <c r="F124" s="64">
        <v>29924.53</v>
      </c>
      <c r="G124" s="64">
        <v>28164.89</v>
      </c>
      <c r="H124" s="65">
        <v>63.57339545477577</v>
      </c>
    </row>
    <row r="125" spans="1:8" x14ac:dyDescent="0.15">
      <c r="A125" s="86" t="s">
        <v>265</v>
      </c>
      <c r="B125" s="87">
        <v>91990.37</v>
      </c>
      <c r="C125" s="64">
        <v>61519.51</v>
      </c>
      <c r="D125" s="64">
        <v>3346.45</v>
      </c>
      <c r="E125" s="64">
        <v>58173.03</v>
      </c>
      <c r="F125" s="64">
        <v>29743.42</v>
      </c>
      <c r="G125" s="64">
        <v>28429.72</v>
      </c>
      <c r="H125" s="65">
        <v>63.238173734924651</v>
      </c>
    </row>
    <row r="126" spans="1:8" x14ac:dyDescent="0.15">
      <c r="A126" s="86" t="s">
        <v>267</v>
      </c>
      <c r="B126" s="87">
        <v>91952.95</v>
      </c>
      <c r="C126" s="64">
        <v>61571.47</v>
      </c>
      <c r="D126" s="64">
        <v>3227.15</v>
      </c>
      <c r="E126" s="64">
        <v>58344.28</v>
      </c>
      <c r="F126" s="64">
        <v>29581.040000000001</v>
      </c>
      <c r="G126" s="64">
        <v>28763.23</v>
      </c>
      <c r="H126" s="65">
        <v>63.45014488387811</v>
      </c>
    </row>
    <row r="127" spans="1:8" x14ac:dyDescent="0.15">
      <c r="A127" s="86" t="s">
        <v>269</v>
      </c>
      <c r="B127" s="87">
        <v>93438.53</v>
      </c>
      <c r="C127" s="64">
        <v>62604.42</v>
      </c>
      <c r="D127" s="64">
        <v>3344.74</v>
      </c>
      <c r="E127" s="64">
        <v>59259.63</v>
      </c>
      <c r="F127" s="64">
        <v>30325.7</v>
      </c>
      <c r="G127" s="64">
        <v>28933.919999999998</v>
      </c>
      <c r="H127" s="65">
        <v>63.420978476437931</v>
      </c>
    </row>
    <row r="128" spans="1:8" x14ac:dyDescent="0.15">
      <c r="A128" s="86" t="s">
        <v>271</v>
      </c>
      <c r="B128" s="87">
        <v>93289.2</v>
      </c>
      <c r="C128" s="64">
        <v>62644.21</v>
      </c>
      <c r="D128" s="64">
        <v>3367.39</v>
      </c>
      <c r="E128" s="64">
        <v>59276.82</v>
      </c>
      <c r="F128" s="64">
        <v>30263.52</v>
      </c>
      <c r="G128" s="64">
        <v>29013.31</v>
      </c>
      <c r="H128" s="65">
        <v>63.540924351371864</v>
      </c>
    </row>
    <row r="129" spans="1:8" x14ac:dyDescent="0.15">
      <c r="A129" s="86" t="s">
        <v>273</v>
      </c>
      <c r="B129" s="87">
        <v>95450.3</v>
      </c>
      <c r="C129" s="64">
        <v>64977.4</v>
      </c>
      <c r="D129" s="64">
        <v>3337.82</v>
      </c>
      <c r="E129" s="64">
        <v>61639.519999999997</v>
      </c>
      <c r="F129" s="64">
        <v>32627.79</v>
      </c>
      <c r="G129" s="64">
        <v>29011.74</v>
      </c>
      <c r="H129" s="65">
        <v>64.577607404062633</v>
      </c>
    </row>
    <row r="130" spans="1:8" x14ac:dyDescent="0.15">
      <c r="A130" s="86" t="s">
        <v>274</v>
      </c>
      <c r="B130" s="87">
        <v>95392.37</v>
      </c>
      <c r="C130" s="64">
        <v>64683.87</v>
      </c>
      <c r="D130" s="64">
        <v>3362.56</v>
      </c>
      <c r="E130" s="64">
        <v>61321.24</v>
      </c>
      <c r="F130" s="64">
        <v>32367.9</v>
      </c>
      <c r="G130" s="64">
        <v>28953.38</v>
      </c>
      <c r="H130" s="65">
        <v>64.283170656101746</v>
      </c>
    </row>
    <row r="131" spans="1:8" x14ac:dyDescent="0.15">
      <c r="A131" s="86" t="s">
        <v>276</v>
      </c>
      <c r="B131" s="87">
        <v>95232.42</v>
      </c>
      <c r="C131" s="64">
        <v>64580.160000000003</v>
      </c>
      <c r="D131" s="64">
        <v>3394.66</v>
      </c>
      <c r="E131" s="64">
        <v>61185.43</v>
      </c>
      <c r="F131" s="64">
        <v>32305.74</v>
      </c>
      <c r="G131" s="64">
        <v>28879.68</v>
      </c>
      <c r="H131" s="65">
        <v>64.248530069906863</v>
      </c>
    </row>
    <row r="132" spans="1:8" x14ac:dyDescent="0.15">
      <c r="A132" s="86" t="s">
        <v>278</v>
      </c>
      <c r="B132" s="87">
        <v>94837.92</v>
      </c>
      <c r="C132" s="64">
        <v>64554.720000000001</v>
      </c>
      <c r="D132" s="64">
        <v>3349.8</v>
      </c>
      <c r="E132" s="64">
        <v>61204.83</v>
      </c>
      <c r="F132" s="64">
        <v>32326.58</v>
      </c>
      <c r="G132" s="64">
        <v>28878.29</v>
      </c>
      <c r="H132" s="65">
        <v>64.536242465039308</v>
      </c>
    </row>
    <row r="133" spans="1:8" x14ac:dyDescent="0.15">
      <c r="A133" s="86" t="s">
        <v>279</v>
      </c>
      <c r="B133" s="87">
        <v>95040.46</v>
      </c>
      <c r="C133" s="64">
        <v>64667.65</v>
      </c>
      <c r="D133" s="64">
        <v>3389.51</v>
      </c>
      <c r="E133" s="64">
        <v>61278.15</v>
      </c>
      <c r="F133" s="64">
        <v>32218.28</v>
      </c>
      <c r="G133" s="64">
        <v>29059.81</v>
      </c>
      <c r="H133" s="65">
        <v>64.475855861808753</v>
      </c>
    </row>
    <row r="134" spans="1:8" x14ac:dyDescent="0.15">
      <c r="A134" s="86" t="s">
        <v>280</v>
      </c>
      <c r="B134" s="87">
        <v>95190.33</v>
      </c>
      <c r="C134" s="64">
        <v>64938.28</v>
      </c>
      <c r="D134" s="64">
        <v>3732.24</v>
      </c>
      <c r="E134" s="64">
        <v>61205.93</v>
      </c>
      <c r="F134" s="64">
        <v>31822.98</v>
      </c>
      <c r="G134" s="64">
        <v>29382.95</v>
      </c>
      <c r="H134" s="65">
        <v>64.298474435375937</v>
      </c>
    </row>
    <row r="135" spans="1:8" x14ac:dyDescent="0.15">
      <c r="A135" s="86" t="s">
        <v>282</v>
      </c>
      <c r="B135" s="87">
        <v>94380.4</v>
      </c>
      <c r="C135" s="64">
        <v>63421.16</v>
      </c>
      <c r="D135" s="64">
        <v>3594.31</v>
      </c>
      <c r="E135" s="64">
        <v>59826.84</v>
      </c>
      <c r="F135" s="64">
        <v>30224.99</v>
      </c>
      <c r="G135" s="64">
        <v>29601.85</v>
      </c>
      <c r="H135" s="65">
        <v>63.389051116545382</v>
      </c>
    </row>
    <row r="136" spans="1:8" x14ac:dyDescent="0.15">
      <c r="A136" s="86" t="s">
        <v>283</v>
      </c>
      <c r="B136" s="87">
        <v>94153.34</v>
      </c>
      <c r="C136" s="64">
        <v>63125.79</v>
      </c>
      <c r="D136" s="64">
        <v>3517.09</v>
      </c>
      <c r="E136" s="64">
        <v>59608.68</v>
      </c>
      <c r="F136" s="64">
        <v>30129.599999999999</v>
      </c>
      <c r="G136" s="64">
        <v>29479.07</v>
      </c>
      <c r="H136" s="65">
        <v>63.310212893137944</v>
      </c>
    </row>
    <row r="137" spans="1:8" x14ac:dyDescent="0.15">
      <c r="A137" s="86" t="s">
        <v>284</v>
      </c>
      <c r="B137" s="87">
        <v>94615.31</v>
      </c>
      <c r="C137" s="64">
        <v>62735.56</v>
      </c>
      <c r="D137" s="64">
        <v>3488.47</v>
      </c>
      <c r="E137" s="64">
        <v>59247.09</v>
      </c>
      <c r="F137" s="64">
        <v>29731.53</v>
      </c>
      <c r="G137" s="64">
        <v>29515.56</v>
      </c>
      <c r="H137" s="65">
        <v>62.618924992160366</v>
      </c>
    </row>
    <row r="138" spans="1:8" x14ac:dyDescent="0.15">
      <c r="A138" s="86" t="s">
        <v>285</v>
      </c>
      <c r="B138" s="87">
        <v>94331.98</v>
      </c>
      <c r="C138" s="64">
        <v>62333.97</v>
      </c>
      <c r="D138" s="64">
        <v>3668.65</v>
      </c>
      <c r="E138" s="64">
        <v>58665.31</v>
      </c>
      <c r="F138" s="64">
        <v>28897.51</v>
      </c>
      <c r="G138" s="64">
        <v>29767.85</v>
      </c>
      <c r="H138" s="65">
        <v>62.190266757890591</v>
      </c>
    </row>
    <row r="139" spans="1:8" x14ac:dyDescent="0.15">
      <c r="A139" s="86" t="s">
        <v>289</v>
      </c>
      <c r="B139" s="87">
        <v>95689.81</v>
      </c>
      <c r="C139" s="64">
        <v>63808.63</v>
      </c>
      <c r="D139" s="64">
        <v>3906.92</v>
      </c>
      <c r="E139" s="64">
        <v>59901.71</v>
      </c>
      <c r="F139" s="64">
        <v>30164.52</v>
      </c>
      <c r="G139" s="64">
        <v>29737.17</v>
      </c>
      <c r="H139" s="65">
        <v>62.599883937485089</v>
      </c>
    </row>
    <row r="140" spans="1:8" x14ac:dyDescent="0.15">
      <c r="A140" s="86" t="s">
        <v>290</v>
      </c>
      <c r="B140" s="87">
        <v>95422.15</v>
      </c>
      <c r="C140" s="64">
        <v>63854.58</v>
      </c>
      <c r="D140" s="64">
        <v>3833.37</v>
      </c>
      <c r="E140" s="64">
        <v>60021.25</v>
      </c>
      <c r="F140" s="64">
        <v>30314.26</v>
      </c>
      <c r="G140" s="64">
        <v>29706.99</v>
      </c>
      <c r="H140" s="65">
        <v>62.900752079050839</v>
      </c>
    </row>
    <row r="141" spans="1:8" x14ac:dyDescent="0.15">
      <c r="A141" s="103" t="s">
        <v>291</v>
      </c>
      <c r="B141" s="100">
        <v>96825.94</v>
      </c>
      <c r="C141" s="101">
        <v>64891.35</v>
      </c>
      <c r="D141" s="101">
        <v>3849.97</v>
      </c>
      <c r="E141" s="101">
        <v>61041.35</v>
      </c>
      <c r="F141" s="101">
        <v>31533.32</v>
      </c>
      <c r="G141" s="101">
        <v>29508.07</v>
      </c>
      <c r="H141" s="102">
        <v>63.042352080444552</v>
      </c>
    </row>
    <row r="142" spans="1:8" x14ac:dyDescent="0.15">
      <c r="A142" s="103" t="s">
        <v>292</v>
      </c>
      <c r="B142" s="111">
        <v>96909.27</v>
      </c>
      <c r="C142" s="101">
        <v>65132.65</v>
      </c>
      <c r="D142" s="101">
        <v>3719.03</v>
      </c>
      <c r="E142" s="101">
        <v>61413.58</v>
      </c>
      <c r="F142" s="101">
        <v>31926.35</v>
      </c>
      <c r="G142" s="101">
        <v>29487.18</v>
      </c>
      <c r="H142" s="108">
        <v>63.372244987502228</v>
      </c>
    </row>
    <row r="143" spans="1:8" x14ac:dyDescent="0.15">
      <c r="A143" s="103" t="s">
        <v>293</v>
      </c>
      <c r="B143" s="111">
        <v>97967.51</v>
      </c>
      <c r="C143" s="101">
        <v>66039.58</v>
      </c>
      <c r="D143" s="101">
        <v>4116.8500000000004</v>
      </c>
      <c r="E143" s="101">
        <v>61922.7</v>
      </c>
      <c r="F143" s="101">
        <v>32290.49</v>
      </c>
      <c r="G143" s="101">
        <v>29632.21</v>
      </c>
      <c r="H143" s="108">
        <v>63.207383754062953</v>
      </c>
    </row>
    <row r="144" spans="1:8" x14ac:dyDescent="0.15">
      <c r="A144" s="103" t="s">
        <v>294</v>
      </c>
      <c r="B144" s="100">
        <v>98114.559999999998</v>
      </c>
      <c r="C144" s="116">
        <v>65947.83</v>
      </c>
      <c r="D144" s="116">
        <v>4041.48</v>
      </c>
      <c r="E144" s="116">
        <v>61906.32</v>
      </c>
      <c r="F144" s="116">
        <v>32200.37</v>
      </c>
      <c r="G144" s="116">
        <v>29705.99</v>
      </c>
      <c r="H144" s="108">
        <v>63.095956400354844</v>
      </c>
    </row>
    <row r="145" spans="1:8" x14ac:dyDescent="0.15">
      <c r="A145" s="103" t="s">
        <v>295</v>
      </c>
      <c r="B145" s="100">
        <v>98472.69</v>
      </c>
      <c r="C145" s="116">
        <v>66109.34</v>
      </c>
      <c r="D145" s="116">
        <v>3999.52</v>
      </c>
      <c r="E145" s="116">
        <v>62109.78</v>
      </c>
      <c r="F145" s="116">
        <v>32099.02</v>
      </c>
      <c r="G145" s="116">
        <v>30010.81</v>
      </c>
      <c r="H145" s="108">
        <v>63.073101790963563</v>
      </c>
    </row>
    <row r="146" spans="1:8" x14ac:dyDescent="0.15">
      <c r="A146" s="103" t="s">
        <v>298</v>
      </c>
      <c r="B146" s="111">
        <v>99275.67</v>
      </c>
      <c r="C146" s="101">
        <v>66851.929999999993</v>
      </c>
      <c r="D146" s="101">
        <v>4018.74</v>
      </c>
      <c r="E146" s="101">
        <v>62833.2</v>
      </c>
      <c r="F146" s="101">
        <v>32419.09</v>
      </c>
      <c r="G146" s="116">
        <v>30414.12</v>
      </c>
      <c r="H146" s="108">
        <v>63.291640338463594</v>
      </c>
    </row>
    <row r="147" spans="1:8" x14ac:dyDescent="0.15">
      <c r="A147" s="103" t="s">
        <v>299</v>
      </c>
      <c r="B147" s="111">
        <v>97378.06</v>
      </c>
      <c r="C147" s="101">
        <v>64666.15</v>
      </c>
      <c r="D147" s="101">
        <v>3574.09</v>
      </c>
      <c r="E147" s="101">
        <v>61092.11</v>
      </c>
      <c r="F147" s="101">
        <v>30447.31</v>
      </c>
      <c r="G147" s="101">
        <v>30644.81</v>
      </c>
      <c r="H147" s="108">
        <v>62.737037480516655</v>
      </c>
    </row>
    <row r="148" spans="1:8" x14ac:dyDescent="0.15">
      <c r="A148" s="103" t="s">
        <v>300</v>
      </c>
      <c r="B148" s="100">
        <v>98618.94</v>
      </c>
      <c r="C148" s="116">
        <v>65756.160000000003</v>
      </c>
      <c r="D148" s="116">
        <v>4469.41</v>
      </c>
      <c r="E148" s="116">
        <v>61286.7</v>
      </c>
      <c r="F148" s="116">
        <v>30491.14</v>
      </c>
      <c r="G148" s="116">
        <v>30795.56</v>
      </c>
      <c r="H148" s="108">
        <v>62.144959173156799</v>
      </c>
    </row>
    <row r="149" spans="1:8" x14ac:dyDescent="0.15">
      <c r="A149" s="103" t="s">
        <v>301</v>
      </c>
      <c r="B149" s="111">
        <v>98785.76</v>
      </c>
      <c r="C149" s="101">
        <v>65736.789999999994</v>
      </c>
      <c r="D149" s="101">
        <v>4627.32</v>
      </c>
      <c r="E149" s="101">
        <v>61109.46</v>
      </c>
      <c r="F149" s="101">
        <v>30211.71</v>
      </c>
      <c r="G149" s="101">
        <v>30897.72</v>
      </c>
      <c r="H149" s="108">
        <v>61.860596102110264</v>
      </c>
    </row>
    <row r="150" spans="1:8" x14ac:dyDescent="0.15">
      <c r="A150" s="103" t="s">
        <v>302</v>
      </c>
      <c r="B150" s="111">
        <v>98115.59</v>
      </c>
      <c r="C150" s="101">
        <v>65439.11</v>
      </c>
      <c r="D150" s="101">
        <v>4915.21</v>
      </c>
      <c r="E150" s="101">
        <v>60523.85</v>
      </c>
      <c r="F150" s="101">
        <v>29466.03</v>
      </c>
      <c r="G150" s="101">
        <v>31057.75</v>
      </c>
      <c r="H150" s="108">
        <v>61.686272283538223</v>
      </c>
    </row>
    <row r="151" spans="1:8" x14ac:dyDescent="0.15">
      <c r="A151" s="103" t="s">
        <v>303</v>
      </c>
      <c r="B151" s="111">
        <v>99035.47</v>
      </c>
      <c r="C151" s="101">
        <v>66388.479999999996</v>
      </c>
      <c r="D151" s="101">
        <v>5214.78</v>
      </c>
      <c r="E151" s="101">
        <v>61173.7</v>
      </c>
      <c r="F151" s="116">
        <v>30123.86</v>
      </c>
      <c r="G151" s="101">
        <v>31049.79</v>
      </c>
      <c r="H151" s="108">
        <v>61.769485215751487</v>
      </c>
    </row>
    <row r="152" spans="1:8" x14ac:dyDescent="0.15">
      <c r="A152" s="103" t="s">
        <v>304</v>
      </c>
      <c r="B152" s="111">
        <v>99405.46</v>
      </c>
      <c r="C152" s="101">
        <v>66712.33</v>
      </c>
      <c r="D152" s="101">
        <v>5189.68</v>
      </c>
      <c r="E152" s="101">
        <v>61522.66</v>
      </c>
      <c r="F152" s="101">
        <v>30354.959999999999</v>
      </c>
      <c r="G152" s="101">
        <v>31167.68</v>
      </c>
      <c r="H152" s="108">
        <v>61.890624519015361</v>
      </c>
    </row>
    <row r="153" spans="1:8" ht="15.75" customHeight="1" x14ac:dyDescent="0.15">
      <c r="A153" s="103" t="s">
        <v>305</v>
      </c>
      <c r="B153" s="111">
        <v>100881.51</v>
      </c>
      <c r="C153" s="101">
        <v>68175.73</v>
      </c>
      <c r="D153" s="101">
        <v>5045.18</v>
      </c>
      <c r="E153" s="101">
        <v>63130.61</v>
      </c>
      <c r="F153" s="101">
        <v>31947.119999999999</v>
      </c>
      <c r="G153" s="101">
        <v>31183.51</v>
      </c>
      <c r="H153" s="108">
        <v>62.578970120490865</v>
      </c>
    </row>
    <row r="154" spans="1:8" x14ac:dyDescent="0.15">
      <c r="A154" s="103" t="s">
        <v>306</v>
      </c>
      <c r="B154" s="111">
        <v>101278.37</v>
      </c>
      <c r="C154" s="101">
        <v>68580.09</v>
      </c>
      <c r="D154" s="101">
        <v>5074.08</v>
      </c>
      <c r="E154" s="101">
        <v>63505.95</v>
      </c>
      <c r="F154" s="101">
        <v>32030.14</v>
      </c>
      <c r="G154" s="101">
        <v>31475.77</v>
      </c>
      <c r="H154" s="108">
        <v>62.704356320110598</v>
      </c>
    </row>
    <row r="155" spans="1:8" x14ac:dyDescent="0.15">
      <c r="A155" s="103" t="s">
        <v>307</v>
      </c>
      <c r="B155" s="111">
        <v>100959.35</v>
      </c>
      <c r="C155" s="101">
        <v>68337.69</v>
      </c>
      <c r="D155" s="101">
        <v>5122.6899999999996</v>
      </c>
      <c r="E155" s="101">
        <v>63214.99</v>
      </c>
      <c r="F155" s="101">
        <v>31739.78</v>
      </c>
      <c r="G155" s="101">
        <v>31475.23</v>
      </c>
      <c r="H155" s="108">
        <v>62.614299715677646</v>
      </c>
    </row>
    <row r="156" spans="1:8" x14ac:dyDescent="0.15">
      <c r="A156" s="103" t="s">
        <v>308</v>
      </c>
      <c r="B156" s="111">
        <v>100804.33</v>
      </c>
      <c r="C156" s="101">
        <v>68481.34</v>
      </c>
      <c r="D156" s="101">
        <v>5269.74</v>
      </c>
      <c r="E156" s="101">
        <v>63211.61</v>
      </c>
      <c r="F156" s="101">
        <v>31485.03</v>
      </c>
      <c r="G156" s="101">
        <v>31726.58</v>
      </c>
      <c r="H156" s="108">
        <v>62.707236881590298</v>
      </c>
    </row>
    <row r="157" spans="1:8" x14ac:dyDescent="0.15">
      <c r="A157" s="103" t="s">
        <v>309</v>
      </c>
      <c r="B157" s="111">
        <v>100658.09</v>
      </c>
      <c r="C157" s="101">
        <v>68389.509999999995</v>
      </c>
      <c r="D157" s="101">
        <v>5190.0600000000004</v>
      </c>
      <c r="E157" s="101">
        <v>63199.46</v>
      </c>
      <c r="F157" s="101">
        <v>31492.47</v>
      </c>
      <c r="G157" s="101">
        <v>31707.03</v>
      </c>
      <c r="H157" s="108">
        <v>62.786269836830797</v>
      </c>
    </row>
    <row r="158" spans="1:8" x14ac:dyDescent="0.15">
      <c r="A158" s="13" t="s">
        <v>198</v>
      </c>
    </row>
  </sheetData>
  <mergeCells count="8">
    <mergeCell ref="A7:A9"/>
    <mergeCell ref="B7:B9"/>
    <mergeCell ref="C7:G7"/>
    <mergeCell ref="H7:H9"/>
    <mergeCell ref="C8:C9"/>
    <mergeCell ref="D8:D9"/>
    <mergeCell ref="E8:E9"/>
    <mergeCell ref="F8:G8"/>
  </mergeCells>
  <phoneticPr fontId="15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61"/>
  <sheetViews>
    <sheetView zoomScale="85" zoomScaleNormal="85" workbookViewId="0">
      <pane ySplit="8" topLeftCell="A42" activePane="bottomLeft" state="frozen"/>
      <selection pane="bottomLeft" activeCell="Q72" sqref="Q72"/>
    </sheetView>
  </sheetViews>
  <sheetFormatPr defaultRowHeight="16.5" x14ac:dyDescent="0.15"/>
  <cols>
    <col min="1" max="1" width="8.88671875" style="13"/>
    <col min="2" max="2" width="9.21875" style="13" bestFit="1" customWidth="1"/>
    <col min="3" max="9" width="9.21875" style="13" customWidth="1"/>
    <col min="10" max="10" width="9.33203125" style="13" customWidth="1"/>
    <col min="11" max="11" width="9.21875" style="13" customWidth="1"/>
    <col min="12" max="12" width="9.33203125" style="13" customWidth="1"/>
    <col min="13" max="14" width="9.21875" style="13" customWidth="1"/>
    <col min="15" max="16384" width="8.88671875" style="13"/>
  </cols>
  <sheetData>
    <row r="1" spans="1:14" ht="17.25" x14ac:dyDescent="0.15">
      <c r="A1" s="12" t="s">
        <v>82</v>
      </c>
    </row>
    <row r="3" spans="1:14" x14ac:dyDescent="0.15">
      <c r="A3" s="13" t="s">
        <v>152</v>
      </c>
    </row>
    <row r="5" spans="1:14" x14ac:dyDescent="0.15">
      <c r="A5" s="13" t="s">
        <v>156</v>
      </c>
    </row>
    <row r="6" spans="1:14" s="17" customFormat="1" x14ac:dyDescent="0.15"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4" t="s">
        <v>83</v>
      </c>
    </row>
    <row r="7" spans="1:14" x14ac:dyDescent="0.15">
      <c r="A7" s="125" t="s">
        <v>84</v>
      </c>
      <c r="B7" s="128" t="s">
        <v>122</v>
      </c>
      <c r="C7" s="128" t="s">
        <v>123</v>
      </c>
      <c r="D7" s="128" t="s">
        <v>124</v>
      </c>
      <c r="E7" s="139" t="s">
        <v>125</v>
      </c>
      <c r="F7" s="128" t="s">
        <v>126</v>
      </c>
      <c r="G7" s="139" t="s">
        <v>127</v>
      </c>
      <c r="H7" s="134" t="s">
        <v>128</v>
      </c>
      <c r="I7" s="139" t="s">
        <v>129</v>
      </c>
      <c r="J7" s="139" t="s">
        <v>130</v>
      </c>
      <c r="K7" s="139" t="s">
        <v>131</v>
      </c>
      <c r="L7" s="139" t="s">
        <v>132</v>
      </c>
      <c r="M7" s="139" t="s">
        <v>133</v>
      </c>
      <c r="N7" s="134" t="s">
        <v>134</v>
      </c>
    </row>
    <row r="8" spans="1:14" ht="16.5" customHeight="1" x14ac:dyDescent="0.15">
      <c r="A8" s="125"/>
      <c r="B8" s="129"/>
      <c r="C8" s="129"/>
      <c r="D8" s="129" t="s">
        <v>88</v>
      </c>
      <c r="E8" s="129" t="s">
        <v>89</v>
      </c>
      <c r="F8" s="129" t="s">
        <v>90</v>
      </c>
      <c r="G8" s="129" t="s">
        <v>91</v>
      </c>
      <c r="H8" s="132" t="s">
        <v>92</v>
      </c>
      <c r="I8" s="129"/>
      <c r="J8" s="129"/>
      <c r="K8" s="129"/>
      <c r="L8" s="129"/>
      <c r="M8" s="129"/>
      <c r="N8" s="132"/>
    </row>
    <row r="9" spans="1:14" x14ac:dyDescent="0.15">
      <c r="A9" s="39">
        <v>201403</v>
      </c>
      <c r="B9" s="40">
        <v>7041.82</v>
      </c>
      <c r="C9" s="40">
        <v>245.5</v>
      </c>
      <c r="D9" s="40">
        <v>14292.56</v>
      </c>
      <c r="E9" s="40">
        <v>131.91999999999999</v>
      </c>
      <c r="F9" s="40">
        <v>1255.73</v>
      </c>
      <c r="G9" s="40">
        <v>5200</v>
      </c>
      <c r="H9" s="40">
        <v>1514.47</v>
      </c>
      <c r="I9" s="40">
        <v>1649.55</v>
      </c>
      <c r="J9" s="40">
        <v>2173.3200000000002</v>
      </c>
      <c r="K9" s="40">
        <v>2903.3</v>
      </c>
      <c r="L9" s="40">
        <v>44039.45</v>
      </c>
      <c r="M9" s="40">
        <v>17896.77</v>
      </c>
      <c r="N9" s="41">
        <v>61936.2</v>
      </c>
    </row>
    <row r="10" spans="1:14" x14ac:dyDescent="0.15">
      <c r="A10" s="39">
        <v>201406</v>
      </c>
      <c r="B10" s="40">
        <v>7132.6</v>
      </c>
      <c r="C10" s="40">
        <v>243.03</v>
      </c>
      <c r="D10" s="40">
        <v>14008.9</v>
      </c>
      <c r="E10" s="40">
        <v>133.5</v>
      </c>
      <c r="F10" s="40">
        <v>1190.81</v>
      </c>
      <c r="G10" s="40">
        <v>5206.99</v>
      </c>
      <c r="H10" s="40">
        <v>1542.75</v>
      </c>
      <c r="I10" s="40">
        <v>1741.42</v>
      </c>
      <c r="J10" s="40">
        <v>1740.48</v>
      </c>
      <c r="K10" s="40">
        <v>3039.69</v>
      </c>
      <c r="L10" s="40">
        <v>43799.46</v>
      </c>
      <c r="M10" s="40">
        <v>18592.830000000002</v>
      </c>
      <c r="N10" s="41">
        <v>62392.3</v>
      </c>
    </row>
    <row r="11" spans="1:14" x14ac:dyDescent="0.15">
      <c r="A11" s="39">
        <v>201409</v>
      </c>
      <c r="B11" s="40">
        <v>7184.38</v>
      </c>
      <c r="C11" s="40">
        <v>261.31</v>
      </c>
      <c r="D11" s="40">
        <v>14137.72</v>
      </c>
      <c r="E11" s="40">
        <v>131.43</v>
      </c>
      <c r="F11" s="40">
        <v>1156.33</v>
      </c>
      <c r="G11" s="40">
        <v>5352.53</v>
      </c>
      <c r="H11" s="40">
        <v>1570.98</v>
      </c>
      <c r="I11" s="40">
        <v>1809.44</v>
      </c>
      <c r="J11" s="40">
        <v>1693.37</v>
      </c>
      <c r="K11" s="40">
        <v>3277.36</v>
      </c>
      <c r="L11" s="40">
        <v>45433.55</v>
      </c>
      <c r="M11" s="40">
        <v>18492.8</v>
      </c>
      <c r="N11" s="41">
        <v>63926.36</v>
      </c>
    </row>
    <row r="12" spans="1:14" x14ac:dyDescent="0.15">
      <c r="A12" s="39">
        <v>201412</v>
      </c>
      <c r="B12" s="40">
        <v>7197.58</v>
      </c>
      <c r="C12" s="40">
        <v>250.03</v>
      </c>
      <c r="D12" s="40">
        <v>14712.74</v>
      </c>
      <c r="E12" s="40">
        <v>138.06</v>
      </c>
      <c r="F12" s="40">
        <v>878.15</v>
      </c>
      <c r="G12" s="40">
        <v>5437.83</v>
      </c>
      <c r="H12" s="40">
        <v>1497.67</v>
      </c>
      <c r="I12" s="40">
        <v>1815.69</v>
      </c>
      <c r="J12" s="40">
        <v>2644.54</v>
      </c>
      <c r="K12" s="40">
        <v>3443.84</v>
      </c>
      <c r="L12" s="40">
        <v>47266.12</v>
      </c>
      <c r="M12" s="40">
        <v>18871.25</v>
      </c>
      <c r="N12" s="41">
        <v>66137.34</v>
      </c>
    </row>
    <row r="13" spans="1:14" x14ac:dyDescent="0.15">
      <c r="A13" s="39">
        <v>201503</v>
      </c>
      <c r="B13" s="40">
        <v>7072.87</v>
      </c>
      <c r="C13" s="40">
        <v>237.17</v>
      </c>
      <c r="D13" s="40">
        <v>14985.75</v>
      </c>
      <c r="E13" s="40">
        <v>173.97</v>
      </c>
      <c r="F13" s="40">
        <v>952.57</v>
      </c>
      <c r="G13" s="40">
        <v>5334.61</v>
      </c>
      <c r="H13" s="40">
        <v>1516.46</v>
      </c>
      <c r="I13" s="40">
        <v>1881.86</v>
      </c>
      <c r="J13" s="40">
        <v>2578.06</v>
      </c>
      <c r="K13" s="40">
        <v>3279.67</v>
      </c>
      <c r="L13" s="40">
        <v>47990.55</v>
      </c>
      <c r="M13" s="40">
        <v>18986.560000000001</v>
      </c>
      <c r="N13" s="41">
        <v>66977.14</v>
      </c>
    </row>
    <row r="14" spans="1:14" x14ac:dyDescent="0.15">
      <c r="A14" s="39">
        <v>201506</v>
      </c>
      <c r="B14" s="40">
        <v>7113.31</v>
      </c>
      <c r="C14" s="40">
        <v>343.46</v>
      </c>
      <c r="D14" s="40">
        <v>14803.96</v>
      </c>
      <c r="E14" s="40">
        <v>228.93</v>
      </c>
      <c r="F14" s="40">
        <v>1002.2</v>
      </c>
      <c r="G14" s="40">
        <v>5549.71</v>
      </c>
      <c r="H14" s="40">
        <v>1611.95</v>
      </c>
      <c r="I14" s="40">
        <v>2048.4899999999998</v>
      </c>
      <c r="J14" s="40">
        <v>2111.98</v>
      </c>
      <c r="K14" s="40">
        <v>3705.05</v>
      </c>
      <c r="L14" s="40">
        <v>48557.64</v>
      </c>
      <c r="M14" s="40">
        <v>18968.71</v>
      </c>
      <c r="N14" s="41">
        <v>67526.31</v>
      </c>
    </row>
    <row r="15" spans="1:14" x14ac:dyDescent="0.15">
      <c r="A15" s="39">
        <v>201509</v>
      </c>
      <c r="B15" s="40">
        <v>7221.59</v>
      </c>
      <c r="C15" s="40">
        <v>360.49</v>
      </c>
      <c r="D15" s="40">
        <v>14923.62</v>
      </c>
      <c r="E15" s="40">
        <v>253.16</v>
      </c>
      <c r="F15" s="40">
        <v>1054.79</v>
      </c>
      <c r="G15" s="40">
        <v>5661.56</v>
      </c>
      <c r="H15" s="40">
        <v>1752.56</v>
      </c>
      <c r="I15" s="40">
        <v>2158.31</v>
      </c>
      <c r="J15" s="40">
        <v>1933.09</v>
      </c>
      <c r="K15" s="40">
        <v>4212.57</v>
      </c>
      <c r="L15" s="40">
        <v>49577.73</v>
      </c>
      <c r="M15" s="40">
        <v>19586.57</v>
      </c>
      <c r="N15" s="41">
        <v>69164.289999999994</v>
      </c>
    </row>
    <row r="16" spans="1:14" x14ac:dyDescent="0.15">
      <c r="A16" s="39">
        <v>201512</v>
      </c>
      <c r="B16" s="40">
        <v>7252.77</v>
      </c>
      <c r="C16" s="40">
        <v>351.14</v>
      </c>
      <c r="D16" s="40">
        <v>14934.11</v>
      </c>
      <c r="E16" s="40">
        <v>247.64</v>
      </c>
      <c r="F16" s="40">
        <v>1035.7</v>
      </c>
      <c r="G16" s="40">
        <v>5752.8</v>
      </c>
      <c r="H16" s="40">
        <v>1460.17</v>
      </c>
      <c r="I16" s="40">
        <v>2216.08</v>
      </c>
      <c r="J16" s="40">
        <v>2825.44</v>
      </c>
      <c r="K16" s="40">
        <v>4170.7299999999996</v>
      </c>
      <c r="L16" s="40">
        <v>52660.19</v>
      </c>
      <c r="M16" s="40">
        <v>19944.689999999999</v>
      </c>
      <c r="N16" s="41">
        <v>72604.88</v>
      </c>
    </row>
    <row r="17" spans="1:14" x14ac:dyDescent="0.15">
      <c r="A17" s="39">
        <v>201603</v>
      </c>
      <c r="B17" s="40">
        <v>7210.08</v>
      </c>
      <c r="C17" s="40">
        <v>319.89999999999998</v>
      </c>
      <c r="D17" s="40">
        <v>13844.09</v>
      </c>
      <c r="E17" s="40">
        <v>247.51</v>
      </c>
      <c r="F17" s="40">
        <v>1033.33</v>
      </c>
      <c r="G17" s="40">
        <v>5786.21</v>
      </c>
      <c r="H17" s="40">
        <v>1440.37</v>
      </c>
      <c r="I17" s="40">
        <v>2236.29</v>
      </c>
      <c r="J17" s="40">
        <v>2699.75</v>
      </c>
      <c r="K17" s="40">
        <v>4237.8100000000004</v>
      </c>
      <c r="L17" s="40">
        <v>51518.63</v>
      </c>
      <c r="M17" s="40">
        <v>20014.310000000001</v>
      </c>
      <c r="N17" s="41">
        <v>71532.92</v>
      </c>
    </row>
    <row r="18" spans="1:14" x14ac:dyDescent="0.15">
      <c r="A18" s="39">
        <v>201606</v>
      </c>
      <c r="B18" s="40">
        <v>7381.14</v>
      </c>
      <c r="C18" s="40">
        <v>312.13</v>
      </c>
      <c r="D18" s="40">
        <v>13763.46</v>
      </c>
      <c r="E18" s="40">
        <v>253.05</v>
      </c>
      <c r="F18" s="40">
        <v>952.3</v>
      </c>
      <c r="G18" s="40">
        <v>5873.71</v>
      </c>
      <c r="H18" s="40">
        <v>1346.4</v>
      </c>
      <c r="I18" s="40">
        <v>2318.67</v>
      </c>
      <c r="J18" s="40">
        <v>2267.8000000000002</v>
      </c>
      <c r="K18" s="40">
        <v>4398.9799999999996</v>
      </c>
      <c r="L18" s="40">
        <v>51261.760000000002</v>
      </c>
      <c r="M18" s="40">
        <v>20379.509999999998</v>
      </c>
      <c r="N18" s="41">
        <v>71641.22</v>
      </c>
    </row>
    <row r="19" spans="1:14" x14ac:dyDescent="0.15">
      <c r="A19" s="39">
        <v>201609</v>
      </c>
      <c r="B19" s="40">
        <v>7528.52</v>
      </c>
      <c r="C19" s="40">
        <v>270.66000000000003</v>
      </c>
      <c r="D19" s="40">
        <v>14035.96</v>
      </c>
      <c r="E19" s="40">
        <v>254.98</v>
      </c>
      <c r="F19" s="40">
        <v>1108.31</v>
      </c>
      <c r="G19" s="40">
        <v>5999.97</v>
      </c>
      <c r="H19" s="40">
        <v>1341.39</v>
      </c>
      <c r="I19" s="40">
        <v>2245.85</v>
      </c>
      <c r="J19" s="40">
        <v>2345.5300000000002</v>
      </c>
      <c r="K19" s="40">
        <v>4718.5200000000004</v>
      </c>
      <c r="L19" s="40">
        <v>51036.54</v>
      </c>
      <c r="M19" s="40">
        <v>20599.68</v>
      </c>
      <c r="N19" s="41">
        <v>71636.22</v>
      </c>
    </row>
    <row r="20" spans="1:14" x14ac:dyDescent="0.15">
      <c r="A20" s="39">
        <v>201612</v>
      </c>
      <c r="B20" s="40">
        <v>7553.01</v>
      </c>
      <c r="C20" s="40">
        <v>267.83999999999997</v>
      </c>
      <c r="D20" s="40">
        <v>14024.87</v>
      </c>
      <c r="E20" s="40">
        <v>255.84</v>
      </c>
      <c r="F20" s="40">
        <v>1136.9000000000001</v>
      </c>
      <c r="G20" s="40">
        <v>6012.73</v>
      </c>
      <c r="H20" s="40">
        <v>1333.56</v>
      </c>
      <c r="I20" s="40">
        <v>2233.2600000000002</v>
      </c>
      <c r="J20" s="40">
        <v>3760.53</v>
      </c>
      <c r="K20" s="40">
        <v>4786.38</v>
      </c>
      <c r="L20" s="40">
        <v>53016.95</v>
      </c>
      <c r="M20" s="40">
        <v>20719.419999999998</v>
      </c>
      <c r="N20" s="41">
        <v>73736.3</v>
      </c>
    </row>
    <row r="21" spans="1:14" x14ac:dyDescent="0.15">
      <c r="A21" s="39">
        <v>201703</v>
      </c>
      <c r="B21" s="40">
        <v>7656.29</v>
      </c>
      <c r="C21" s="40">
        <v>291.58999999999997</v>
      </c>
      <c r="D21" s="40">
        <v>14316.93</v>
      </c>
      <c r="E21" s="40">
        <v>261.64999999999998</v>
      </c>
      <c r="F21" s="40">
        <v>1206.73</v>
      </c>
      <c r="G21" s="40">
        <v>6118.44</v>
      </c>
      <c r="H21" s="40">
        <v>1318.05</v>
      </c>
      <c r="I21" s="40">
        <v>2215.16</v>
      </c>
      <c r="J21" s="40">
        <v>3752.73</v>
      </c>
      <c r="K21" s="40">
        <v>4917.7</v>
      </c>
      <c r="L21" s="40">
        <v>53676.38</v>
      </c>
      <c r="M21" s="40">
        <v>20906.54</v>
      </c>
      <c r="N21" s="41">
        <v>74582.95</v>
      </c>
    </row>
    <row r="22" spans="1:14" x14ac:dyDescent="0.15">
      <c r="A22" s="39">
        <v>201706</v>
      </c>
      <c r="B22" s="40">
        <v>7777.85</v>
      </c>
      <c r="C22" s="40">
        <v>306.63</v>
      </c>
      <c r="D22" s="40">
        <v>14154.92</v>
      </c>
      <c r="E22" s="40">
        <v>260.66000000000003</v>
      </c>
      <c r="F22" s="40">
        <v>1077.6300000000001</v>
      </c>
      <c r="G22" s="40">
        <v>6142.5</v>
      </c>
      <c r="H22" s="40">
        <v>1351.06</v>
      </c>
      <c r="I22" s="40">
        <v>2240.6999999999998</v>
      </c>
      <c r="J22" s="40">
        <v>2506.6999999999998</v>
      </c>
      <c r="K22" s="40">
        <v>4712.1000000000004</v>
      </c>
      <c r="L22" s="40">
        <v>51332.28</v>
      </c>
      <c r="M22" s="40">
        <v>21279.58</v>
      </c>
      <c r="N22" s="41">
        <v>72611.820000000007</v>
      </c>
    </row>
    <row r="23" spans="1:14" x14ac:dyDescent="0.15">
      <c r="A23" s="39">
        <v>201709</v>
      </c>
      <c r="B23" s="40">
        <v>8027.43</v>
      </c>
      <c r="C23" s="40">
        <v>250.9</v>
      </c>
      <c r="D23" s="40">
        <v>14599.9</v>
      </c>
      <c r="E23" s="40">
        <v>178.74</v>
      </c>
      <c r="F23" s="40">
        <v>1123.6099999999999</v>
      </c>
      <c r="G23" s="40">
        <v>5964.59</v>
      </c>
      <c r="H23" s="40">
        <v>1355.4</v>
      </c>
      <c r="I23" s="40">
        <v>2239.0100000000002</v>
      </c>
      <c r="J23" s="40">
        <v>2757.08</v>
      </c>
      <c r="K23" s="40">
        <v>4720.79</v>
      </c>
      <c r="L23" s="40">
        <v>51666.080000000002</v>
      </c>
      <c r="M23" s="40">
        <v>21615.27</v>
      </c>
      <c r="N23" s="41">
        <v>73281.34</v>
      </c>
    </row>
    <row r="24" spans="1:14" x14ac:dyDescent="0.15">
      <c r="A24" s="39">
        <v>201712</v>
      </c>
      <c r="B24" s="40">
        <v>8108.8</v>
      </c>
      <c r="C24" s="40">
        <v>245.68</v>
      </c>
      <c r="D24" s="40">
        <v>14948.65</v>
      </c>
      <c r="E24" s="40">
        <v>162.33000000000001</v>
      </c>
      <c r="F24" s="40">
        <v>1096.53</v>
      </c>
      <c r="G24" s="40">
        <v>5886.9</v>
      </c>
      <c r="H24" s="40">
        <v>1487.73</v>
      </c>
      <c r="I24" s="40">
        <v>2230.9499999999998</v>
      </c>
      <c r="J24" s="40">
        <v>4145.97</v>
      </c>
      <c r="K24" s="40">
        <v>4858.8599999999997</v>
      </c>
      <c r="L24" s="40">
        <v>54380.44</v>
      </c>
      <c r="M24" s="40">
        <v>22440.13</v>
      </c>
      <c r="N24" s="41">
        <v>76820.59</v>
      </c>
    </row>
    <row r="25" spans="1:14" x14ac:dyDescent="0.15">
      <c r="A25" s="42">
        <v>201803</v>
      </c>
      <c r="B25" s="40">
        <v>8199.98</v>
      </c>
      <c r="C25" s="40">
        <v>246.95</v>
      </c>
      <c r="D25" s="40">
        <v>15788.25</v>
      </c>
      <c r="E25" s="40">
        <v>248.84</v>
      </c>
      <c r="F25" s="40">
        <v>1067.97</v>
      </c>
      <c r="G25" s="40">
        <v>5963.08</v>
      </c>
      <c r="H25" s="40">
        <v>1471.24</v>
      </c>
      <c r="I25" s="40">
        <v>2192.06</v>
      </c>
      <c r="J25" s="40">
        <v>4100.2700000000004</v>
      </c>
      <c r="K25" s="40">
        <v>4735.4399999999996</v>
      </c>
      <c r="L25" s="40">
        <v>55190.879999999997</v>
      </c>
      <c r="M25" s="40">
        <v>22950.49</v>
      </c>
      <c r="N25" s="41">
        <v>78141.38</v>
      </c>
    </row>
    <row r="26" spans="1:14" x14ac:dyDescent="0.15">
      <c r="A26" s="42">
        <v>201806</v>
      </c>
      <c r="B26" s="40">
        <v>8440.16</v>
      </c>
      <c r="C26" s="40">
        <v>256.49</v>
      </c>
      <c r="D26" s="40">
        <v>15690.52</v>
      </c>
      <c r="E26" s="40">
        <v>327.72</v>
      </c>
      <c r="F26" s="40">
        <v>1025.17</v>
      </c>
      <c r="G26" s="40">
        <v>6225.94</v>
      </c>
      <c r="H26" s="40">
        <v>1503.25</v>
      </c>
      <c r="I26" s="40">
        <v>2190.1</v>
      </c>
      <c r="J26" s="40">
        <v>2902.02</v>
      </c>
      <c r="K26" s="40">
        <v>4754.88</v>
      </c>
      <c r="L26" s="40">
        <v>52370.67</v>
      </c>
      <c r="M26" s="40">
        <v>24018.13</v>
      </c>
      <c r="N26" s="41">
        <v>76388.759999999995</v>
      </c>
    </row>
    <row r="27" spans="1:14" x14ac:dyDescent="0.15">
      <c r="A27" s="42">
        <v>201809</v>
      </c>
      <c r="B27" s="40">
        <v>8465.85</v>
      </c>
      <c r="C27" s="40">
        <v>252.41</v>
      </c>
      <c r="D27" s="40">
        <v>15715.82</v>
      </c>
      <c r="E27" s="40">
        <v>319.07</v>
      </c>
      <c r="F27" s="40">
        <v>1028.29</v>
      </c>
      <c r="G27" s="40">
        <v>6327.43</v>
      </c>
      <c r="H27" s="40">
        <v>1478.2</v>
      </c>
      <c r="I27" s="40">
        <v>2301.27</v>
      </c>
      <c r="J27" s="40">
        <v>3674.12</v>
      </c>
      <c r="K27" s="40">
        <v>4916.3100000000004</v>
      </c>
      <c r="L27" s="40">
        <v>53545.93</v>
      </c>
      <c r="M27" s="40">
        <v>24497.02</v>
      </c>
      <c r="N27" s="41">
        <v>78042.91</v>
      </c>
    </row>
    <row r="28" spans="1:14" x14ac:dyDescent="0.15">
      <c r="A28" s="42">
        <v>201812</v>
      </c>
      <c r="B28" s="40">
        <v>8726.11</v>
      </c>
      <c r="C28" s="40">
        <v>238.92</v>
      </c>
      <c r="D28" s="40">
        <v>15439.16</v>
      </c>
      <c r="E28" s="40">
        <v>373.3</v>
      </c>
      <c r="F28" s="40">
        <v>1038.71</v>
      </c>
      <c r="G28" s="40">
        <v>6372.44</v>
      </c>
      <c r="H28" s="40">
        <v>1373.1</v>
      </c>
      <c r="I28" s="40">
        <v>2402.66</v>
      </c>
      <c r="J28" s="40">
        <v>5040.9799999999996</v>
      </c>
      <c r="K28" s="40">
        <v>5008.93</v>
      </c>
      <c r="L28" s="40">
        <v>54218.45</v>
      </c>
      <c r="M28" s="40">
        <v>26127.55</v>
      </c>
      <c r="N28" s="41">
        <v>80345.94</v>
      </c>
    </row>
    <row r="29" spans="1:14" x14ac:dyDescent="0.15">
      <c r="A29" s="43">
        <v>201903</v>
      </c>
      <c r="B29" s="40">
        <v>8821.08</v>
      </c>
      <c r="C29" s="40">
        <v>229.32</v>
      </c>
      <c r="D29" s="40">
        <v>15858.45</v>
      </c>
      <c r="E29" s="40">
        <v>412.9</v>
      </c>
      <c r="F29" s="40">
        <v>1054.17</v>
      </c>
      <c r="G29" s="40">
        <v>6423.69</v>
      </c>
      <c r="H29" s="40">
        <v>1383.09</v>
      </c>
      <c r="I29" s="40">
        <v>2483.1999999999998</v>
      </c>
      <c r="J29" s="40">
        <v>4467.5600000000004</v>
      </c>
      <c r="K29" s="40">
        <v>4941.75</v>
      </c>
      <c r="L29" s="40">
        <v>54383.82</v>
      </c>
      <c r="M29" s="40">
        <v>26733.17</v>
      </c>
      <c r="N29" s="41">
        <v>81116.97</v>
      </c>
    </row>
    <row r="30" spans="1:14" x14ac:dyDescent="0.15">
      <c r="A30" s="43" t="s">
        <v>189</v>
      </c>
      <c r="B30" s="40">
        <v>9058.4500000000007</v>
      </c>
      <c r="C30" s="40">
        <v>218.09</v>
      </c>
      <c r="D30" s="40">
        <v>15958.98</v>
      </c>
      <c r="E30" s="40">
        <v>436.45</v>
      </c>
      <c r="F30" s="40">
        <v>991.34</v>
      </c>
      <c r="G30" s="40">
        <v>6535.38</v>
      </c>
      <c r="H30" s="40">
        <v>1159.05</v>
      </c>
      <c r="I30" s="40">
        <v>2478</v>
      </c>
      <c r="J30" s="40">
        <v>3663.41</v>
      </c>
      <c r="K30" s="40">
        <v>4968.84</v>
      </c>
      <c r="L30" s="40">
        <v>52692.29</v>
      </c>
      <c r="M30" s="40">
        <v>26892.59</v>
      </c>
      <c r="N30" s="41">
        <v>79584.84</v>
      </c>
    </row>
    <row r="31" spans="1:14" x14ac:dyDescent="0.15">
      <c r="A31" s="44" t="s">
        <v>192</v>
      </c>
      <c r="B31" s="45">
        <v>9250.31</v>
      </c>
      <c r="C31" s="45">
        <v>211.31</v>
      </c>
      <c r="D31" s="45">
        <v>16054.98</v>
      </c>
      <c r="E31" s="45">
        <v>469.59</v>
      </c>
      <c r="F31" s="45">
        <v>1037.0999999999999</v>
      </c>
      <c r="G31" s="45">
        <v>6690.58</v>
      </c>
      <c r="H31" s="45">
        <v>1225.1400000000001</v>
      </c>
      <c r="I31" s="45">
        <v>2559.6999999999998</v>
      </c>
      <c r="J31" s="45">
        <v>3480.74</v>
      </c>
      <c r="K31" s="45">
        <v>5171.3999999999996</v>
      </c>
      <c r="L31" s="45">
        <v>51107.24</v>
      </c>
      <c r="M31" s="45">
        <v>27915.29</v>
      </c>
      <c r="N31" s="46">
        <v>79022.509999999995</v>
      </c>
    </row>
    <row r="32" spans="1:14" x14ac:dyDescent="0.15">
      <c r="A32" s="44" t="s">
        <v>195</v>
      </c>
      <c r="B32" s="45">
        <v>9437.7099999999991</v>
      </c>
      <c r="C32" s="45">
        <v>175.82</v>
      </c>
      <c r="D32" s="45">
        <v>16428.080000000002</v>
      </c>
      <c r="E32" s="45">
        <v>517.55999999999995</v>
      </c>
      <c r="F32" s="45">
        <v>970.78</v>
      </c>
      <c r="G32" s="45">
        <v>6769.58</v>
      </c>
      <c r="H32" s="45">
        <v>1181.1300000000001</v>
      </c>
      <c r="I32" s="45">
        <v>2590.23</v>
      </c>
      <c r="J32" s="45">
        <v>5497.28</v>
      </c>
      <c r="K32" s="45">
        <v>5220.08</v>
      </c>
      <c r="L32" s="45">
        <v>53717.91</v>
      </c>
      <c r="M32" s="45">
        <v>28598.85</v>
      </c>
      <c r="N32" s="46">
        <v>82316.800000000003</v>
      </c>
    </row>
    <row r="33" spans="1:14" x14ac:dyDescent="0.15">
      <c r="A33" s="44" t="s">
        <v>204</v>
      </c>
      <c r="B33" s="45">
        <v>9611.7099999999991</v>
      </c>
      <c r="C33" s="45">
        <v>175.27</v>
      </c>
      <c r="D33" s="45">
        <v>15863.84</v>
      </c>
      <c r="E33" s="45">
        <v>588.32000000000005</v>
      </c>
      <c r="F33" s="45">
        <v>957.15</v>
      </c>
      <c r="G33" s="45">
        <v>7019.54</v>
      </c>
      <c r="H33" s="45">
        <v>1228.3</v>
      </c>
      <c r="I33" s="45">
        <v>2680.81</v>
      </c>
      <c r="J33" s="45">
        <v>5283.05</v>
      </c>
      <c r="K33" s="45">
        <v>5488.33</v>
      </c>
      <c r="L33" s="45">
        <v>53822.080000000002</v>
      </c>
      <c r="M33" s="45">
        <v>29096.69</v>
      </c>
      <c r="N33" s="46">
        <v>82918.759999999995</v>
      </c>
    </row>
    <row r="34" spans="1:14" x14ac:dyDescent="0.15">
      <c r="A34" s="44" t="s">
        <v>207</v>
      </c>
      <c r="B34" s="45">
        <v>9995.9699999999993</v>
      </c>
      <c r="C34" s="45">
        <v>125.77</v>
      </c>
      <c r="D34" s="45">
        <v>16378.39</v>
      </c>
      <c r="E34" s="45">
        <v>623.42999999999995</v>
      </c>
      <c r="F34" s="45">
        <v>1059.47</v>
      </c>
      <c r="G34" s="45">
        <v>7604.31</v>
      </c>
      <c r="H34" s="45">
        <v>1327.31</v>
      </c>
      <c r="I34" s="45">
        <v>3192.9</v>
      </c>
      <c r="J34" s="45">
        <v>4107.88</v>
      </c>
      <c r="K34" s="45">
        <v>5238.13</v>
      </c>
      <c r="L34" s="45">
        <v>55066.62</v>
      </c>
      <c r="M34" s="45">
        <v>29413.33</v>
      </c>
      <c r="N34" s="46">
        <v>84479.94</v>
      </c>
    </row>
    <row r="35" spans="1:14" x14ac:dyDescent="0.15">
      <c r="A35" s="44">
        <v>202009</v>
      </c>
      <c r="B35" s="45">
        <v>10210</v>
      </c>
      <c r="C35" s="45">
        <v>118</v>
      </c>
      <c r="D35" s="45">
        <v>16631</v>
      </c>
      <c r="E35" s="45">
        <v>669</v>
      </c>
      <c r="F35" s="45">
        <v>1101</v>
      </c>
      <c r="G35" s="45">
        <v>7713</v>
      </c>
      <c r="H35" s="45">
        <v>1392</v>
      </c>
      <c r="I35" s="45">
        <v>3164</v>
      </c>
      <c r="J35" s="45">
        <v>4089</v>
      </c>
      <c r="K35" s="45">
        <v>5254</v>
      </c>
      <c r="L35" s="45">
        <v>55899</v>
      </c>
      <c r="M35" s="45">
        <v>29929</v>
      </c>
      <c r="N35" s="46">
        <v>85827</v>
      </c>
    </row>
    <row r="36" spans="1:14" x14ac:dyDescent="0.15">
      <c r="A36" s="44">
        <v>202012</v>
      </c>
      <c r="B36" s="45">
        <v>10276.59</v>
      </c>
      <c r="C36" s="45">
        <v>119.82</v>
      </c>
      <c r="D36" s="45">
        <v>17251.2</v>
      </c>
      <c r="E36" s="45">
        <v>631.64</v>
      </c>
      <c r="F36" s="45">
        <v>1059.5899999999999</v>
      </c>
      <c r="G36" s="45">
        <v>7650.71</v>
      </c>
      <c r="H36" s="45">
        <v>1387</v>
      </c>
      <c r="I36" s="45">
        <v>3202.67</v>
      </c>
      <c r="J36" s="45">
        <v>5501.36</v>
      </c>
      <c r="K36" s="45">
        <v>5215</v>
      </c>
      <c r="L36" s="45">
        <v>57994.080000000002</v>
      </c>
      <c r="M36" s="45">
        <v>30843.23</v>
      </c>
      <c r="N36" s="46">
        <v>88837.32</v>
      </c>
    </row>
    <row r="37" spans="1:14" x14ac:dyDescent="0.15">
      <c r="A37" s="44">
        <v>202103</v>
      </c>
      <c r="B37" s="45">
        <v>10546.53</v>
      </c>
      <c r="C37" s="45">
        <v>129.01</v>
      </c>
      <c r="D37" s="45">
        <v>16885.23</v>
      </c>
      <c r="E37" s="45">
        <v>645.35</v>
      </c>
      <c r="F37" s="45">
        <v>1155.6199999999999</v>
      </c>
      <c r="G37" s="45">
        <v>7811.64</v>
      </c>
      <c r="H37" s="45">
        <v>1430.18</v>
      </c>
      <c r="I37" s="45">
        <v>3203.13</v>
      </c>
      <c r="J37" s="45">
        <v>5403.22</v>
      </c>
      <c r="K37" s="45">
        <v>5275.48</v>
      </c>
      <c r="L37" s="45">
        <v>58364.68</v>
      </c>
      <c r="M37" s="45">
        <v>30577.82</v>
      </c>
      <c r="N37" s="46">
        <v>88942.44</v>
      </c>
    </row>
    <row r="38" spans="1:14" x14ac:dyDescent="0.15">
      <c r="A38" s="44">
        <v>202106</v>
      </c>
      <c r="B38" s="45">
        <v>10795.49</v>
      </c>
      <c r="C38" s="45">
        <v>141.87</v>
      </c>
      <c r="D38" s="45">
        <v>17177.28</v>
      </c>
      <c r="E38" s="45">
        <v>560.72</v>
      </c>
      <c r="F38" s="45">
        <v>1150.56</v>
      </c>
      <c r="G38" s="45">
        <v>8026.22</v>
      </c>
      <c r="H38" s="45">
        <v>1397.91</v>
      </c>
      <c r="I38" s="45">
        <v>3184.54</v>
      </c>
      <c r="J38" s="45">
        <v>4291.2700000000004</v>
      </c>
      <c r="K38" s="45">
        <v>5332.23</v>
      </c>
      <c r="L38" s="45">
        <v>58186.21</v>
      </c>
      <c r="M38" s="45">
        <v>30712.07</v>
      </c>
      <c r="N38" s="46">
        <v>88898.28</v>
      </c>
    </row>
    <row r="39" spans="1:14" x14ac:dyDescent="0.15">
      <c r="A39" s="47">
        <v>202109</v>
      </c>
      <c r="B39" s="45">
        <v>11024.67</v>
      </c>
      <c r="C39" s="45">
        <v>153.53</v>
      </c>
      <c r="D39" s="45">
        <v>17410.080000000002</v>
      </c>
      <c r="E39" s="45">
        <v>594.08000000000004</v>
      </c>
      <c r="F39" s="45">
        <v>1220.56</v>
      </c>
      <c r="G39" s="45">
        <v>8235.4699999999993</v>
      </c>
      <c r="H39" s="45">
        <v>1427.18</v>
      </c>
      <c r="I39" s="45">
        <v>3133.98</v>
      </c>
      <c r="J39" s="45">
        <v>4322.21</v>
      </c>
      <c r="K39" s="45">
        <v>5468.99</v>
      </c>
      <c r="L39" s="45">
        <v>59184.25</v>
      </c>
      <c r="M39" s="45">
        <v>30774.95</v>
      </c>
      <c r="N39" s="46">
        <v>89959.21</v>
      </c>
    </row>
    <row r="40" spans="1:14" x14ac:dyDescent="0.15">
      <c r="A40" s="47" t="s">
        <v>227</v>
      </c>
      <c r="B40" s="45">
        <v>11196.54</v>
      </c>
      <c r="C40" s="45">
        <v>154.91999999999999</v>
      </c>
      <c r="D40" s="45">
        <v>17700.580000000002</v>
      </c>
      <c r="E40" s="45">
        <v>586.91999999999996</v>
      </c>
      <c r="F40" s="45">
        <v>1128.22</v>
      </c>
      <c r="G40" s="45">
        <v>8191.15</v>
      </c>
      <c r="H40" s="45">
        <v>1560.65</v>
      </c>
      <c r="I40" s="45">
        <v>3125.48</v>
      </c>
      <c r="J40" s="45">
        <v>6330.76</v>
      </c>
      <c r="K40" s="45">
        <v>5521.45</v>
      </c>
      <c r="L40" s="45">
        <v>61681.26</v>
      </c>
      <c r="M40" s="45">
        <v>29892.05</v>
      </c>
      <c r="N40" s="46">
        <v>91573.31</v>
      </c>
    </row>
    <row r="41" spans="1:14" x14ac:dyDescent="0.15">
      <c r="A41" s="47" t="s">
        <v>231</v>
      </c>
      <c r="B41" s="45">
        <v>11356.93</v>
      </c>
      <c r="C41" s="45">
        <v>152.65</v>
      </c>
      <c r="D41" s="45">
        <v>18037.189999999999</v>
      </c>
      <c r="E41" s="45">
        <v>647.89</v>
      </c>
      <c r="F41" s="45">
        <v>1267.8399999999999</v>
      </c>
      <c r="G41" s="45">
        <v>8312.75</v>
      </c>
      <c r="H41" s="45">
        <v>1621.07</v>
      </c>
      <c r="I41" s="45">
        <v>3158.78</v>
      </c>
      <c r="J41" s="45">
        <v>5965.51</v>
      </c>
      <c r="K41" s="45">
        <v>5529.29</v>
      </c>
      <c r="L41" s="45">
        <v>62343.45</v>
      </c>
      <c r="M41" s="45">
        <v>28627.89</v>
      </c>
      <c r="N41" s="46">
        <v>90971.33</v>
      </c>
    </row>
    <row r="42" spans="1:14" x14ac:dyDescent="0.15">
      <c r="A42" s="47" t="s">
        <v>238</v>
      </c>
      <c r="B42" s="45">
        <v>11610.65</v>
      </c>
      <c r="C42" s="45">
        <v>146.6</v>
      </c>
      <c r="D42" s="45">
        <v>17969.240000000002</v>
      </c>
      <c r="E42" s="45">
        <v>674.65</v>
      </c>
      <c r="F42" s="45">
        <v>1296.5999999999999</v>
      </c>
      <c r="G42" s="45">
        <v>8406.33</v>
      </c>
      <c r="H42" s="45">
        <v>1599.68</v>
      </c>
      <c r="I42" s="45">
        <v>3125.37</v>
      </c>
      <c r="J42" s="45">
        <v>5074.82</v>
      </c>
      <c r="K42" s="45">
        <v>5470.11</v>
      </c>
      <c r="L42" s="45">
        <v>61674.559999999998</v>
      </c>
      <c r="M42" s="45">
        <v>28491.360000000001</v>
      </c>
      <c r="N42" s="46">
        <v>90165.91</v>
      </c>
    </row>
    <row r="43" spans="1:14" x14ac:dyDescent="0.15">
      <c r="A43" s="47" t="s">
        <v>244</v>
      </c>
      <c r="B43" s="45">
        <v>12309.02</v>
      </c>
      <c r="C43" s="45">
        <v>131.11000000000001</v>
      </c>
      <c r="D43" s="45">
        <v>17812.63</v>
      </c>
      <c r="E43" s="45">
        <v>686</v>
      </c>
      <c r="F43" s="45">
        <v>1334.51</v>
      </c>
      <c r="G43" s="45">
        <v>8586.2900000000009</v>
      </c>
      <c r="H43" s="45">
        <v>1604.9</v>
      </c>
      <c r="I43" s="45">
        <v>3197.92</v>
      </c>
      <c r="J43" s="45">
        <v>3842.21</v>
      </c>
      <c r="K43" s="45">
        <v>5283.04</v>
      </c>
      <c r="L43" s="45">
        <v>61089.29</v>
      </c>
      <c r="M43" s="45">
        <v>28430.57</v>
      </c>
      <c r="N43" s="46">
        <v>89519.87</v>
      </c>
    </row>
    <row r="44" spans="1:14" x14ac:dyDescent="0.15">
      <c r="A44" s="47" t="s">
        <v>247</v>
      </c>
      <c r="B44" s="45">
        <v>12616.47</v>
      </c>
      <c r="C44" s="45">
        <v>120.47</v>
      </c>
      <c r="D44" s="45">
        <v>18073.52</v>
      </c>
      <c r="E44" s="45">
        <v>681.51</v>
      </c>
      <c r="F44" s="45">
        <v>1346.73</v>
      </c>
      <c r="G44" s="45">
        <v>8467.6</v>
      </c>
      <c r="H44" s="45">
        <v>1590.32</v>
      </c>
      <c r="I44" s="45">
        <v>3164.18</v>
      </c>
      <c r="J44" s="45">
        <v>5878.05</v>
      </c>
      <c r="K44" s="45">
        <v>5166.97</v>
      </c>
      <c r="L44" s="45">
        <v>63365.55</v>
      </c>
      <c r="M44" s="45">
        <v>28736.87</v>
      </c>
      <c r="N44" s="46">
        <v>92102.49</v>
      </c>
    </row>
    <row r="45" spans="1:14" x14ac:dyDescent="0.15">
      <c r="A45" s="47" t="s">
        <v>254</v>
      </c>
      <c r="B45" s="45">
        <v>12799.36</v>
      </c>
      <c r="C45" s="45">
        <v>118.8</v>
      </c>
      <c r="D45" s="45">
        <v>17789.86</v>
      </c>
      <c r="E45" s="45">
        <v>713.62</v>
      </c>
      <c r="F45" s="45">
        <v>1336.38</v>
      </c>
      <c r="G45" s="45">
        <v>8421.1299999999992</v>
      </c>
      <c r="H45" s="45">
        <v>1588.69</v>
      </c>
      <c r="I45" s="45">
        <v>3148</v>
      </c>
      <c r="J45" s="45">
        <v>5234.1899999999996</v>
      </c>
      <c r="K45" s="45">
        <v>5013.71</v>
      </c>
      <c r="L45" s="45">
        <v>62584.93</v>
      </c>
      <c r="M45" s="45">
        <v>28502.33</v>
      </c>
      <c r="N45" s="46">
        <v>91087.24</v>
      </c>
    </row>
    <row r="46" spans="1:14" x14ac:dyDescent="0.15">
      <c r="A46" s="47" t="s">
        <v>260</v>
      </c>
      <c r="B46" s="45">
        <v>13376.62</v>
      </c>
      <c r="C46" s="45">
        <v>98.55</v>
      </c>
      <c r="D46" s="45">
        <v>17889.57</v>
      </c>
      <c r="E46" s="45">
        <v>709.08</v>
      </c>
      <c r="F46" s="45">
        <v>1340.46</v>
      </c>
      <c r="G46" s="45">
        <v>8474.36</v>
      </c>
      <c r="H46" s="45">
        <v>1656.03</v>
      </c>
      <c r="I46" s="45">
        <v>3191.66</v>
      </c>
      <c r="J46" s="45">
        <v>3448.07</v>
      </c>
      <c r="K46" s="45">
        <v>5181.22</v>
      </c>
      <c r="L46" s="45">
        <v>61804.18</v>
      </c>
      <c r="M46" s="45">
        <v>29032.81</v>
      </c>
      <c r="N46" s="46">
        <v>90836.98</v>
      </c>
    </row>
    <row r="47" spans="1:14" x14ac:dyDescent="0.15">
      <c r="A47" s="47" t="s">
        <v>267</v>
      </c>
      <c r="B47" s="45">
        <v>13727.67</v>
      </c>
      <c r="C47" s="45">
        <v>91.32</v>
      </c>
      <c r="D47" s="45">
        <v>18024.36</v>
      </c>
      <c r="E47" s="45">
        <v>700.83</v>
      </c>
      <c r="F47" s="45">
        <v>1410.81</v>
      </c>
      <c r="G47" s="45">
        <v>8560.67</v>
      </c>
      <c r="H47" s="45">
        <v>1667.99</v>
      </c>
      <c r="I47" s="45">
        <v>3362.13</v>
      </c>
      <c r="J47" s="45">
        <v>3413.32</v>
      </c>
      <c r="K47" s="45">
        <v>5200.67</v>
      </c>
      <c r="L47" s="45">
        <v>62565.77</v>
      </c>
      <c r="M47" s="45">
        <v>29386.94</v>
      </c>
      <c r="N47" s="46">
        <v>91952.67</v>
      </c>
    </row>
    <row r="48" spans="1:14" x14ac:dyDescent="0.15">
      <c r="A48" s="47" t="s">
        <v>273</v>
      </c>
      <c r="B48" s="45">
        <v>13737.99</v>
      </c>
      <c r="C48" s="45">
        <v>97.85</v>
      </c>
      <c r="D48" s="45">
        <v>18663.79</v>
      </c>
      <c r="E48" s="45">
        <v>703.34</v>
      </c>
      <c r="F48" s="45">
        <v>1381.32</v>
      </c>
      <c r="G48" s="45">
        <v>8410.9</v>
      </c>
      <c r="H48" s="45">
        <v>1710.97</v>
      </c>
      <c r="I48" s="45">
        <v>3311.87</v>
      </c>
      <c r="J48" s="45">
        <v>6301.17</v>
      </c>
      <c r="K48" s="45">
        <v>5227.3999999999996</v>
      </c>
      <c r="L48" s="45">
        <v>66019.77</v>
      </c>
      <c r="M48" s="45">
        <v>29430.36</v>
      </c>
      <c r="N48" s="46">
        <v>95450.11</v>
      </c>
    </row>
    <row r="49" spans="1:14" x14ac:dyDescent="0.15">
      <c r="A49" s="47" t="s">
        <v>278</v>
      </c>
      <c r="B49" s="45">
        <v>13753.17</v>
      </c>
      <c r="C49" s="45">
        <v>90.27</v>
      </c>
      <c r="D49" s="45">
        <v>18670.64</v>
      </c>
      <c r="E49" s="45">
        <v>776.22</v>
      </c>
      <c r="F49" s="45">
        <v>1426.31</v>
      </c>
      <c r="G49" s="45">
        <v>8433.14</v>
      </c>
      <c r="H49" s="45">
        <v>1675.54</v>
      </c>
      <c r="I49" s="45">
        <v>3248.51</v>
      </c>
      <c r="J49" s="45">
        <v>5801.7</v>
      </c>
      <c r="K49" s="45">
        <v>5146.9399999999996</v>
      </c>
      <c r="L49" s="45">
        <v>65574.63</v>
      </c>
      <c r="M49" s="45">
        <v>29263.06</v>
      </c>
      <c r="N49" s="46">
        <v>94837.69</v>
      </c>
    </row>
    <row r="50" spans="1:14" x14ac:dyDescent="0.15">
      <c r="A50" s="47" t="s">
        <v>282</v>
      </c>
      <c r="B50" s="45">
        <v>14335.28</v>
      </c>
      <c r="C50" s="45">
        <v>97.41</v>
      </c>
      <c r="D50" s="45">
        <v>18027.96</v>
      </c>
      <c r="E50" s="45">
        <v>832.51</v>
      </c>
      <c r="F50" s="45">
        <v>1515.99</v>
      </c>
      <c r="G50" s="45">
        <v>8572.84</v>
      </c>
      <c r="H50" s="45">
        <v>1621.43</v>
      </c>
      <c r="I50" s="45">
        <v>3397.98</v>
      </c>
      <c r="J50" s="45">
        <v>3928.33</v>
      </c>
      <c r="K50" s="45">
        <v>5426.46</v>
      </c>
      <c r="L50" s="45">
        <v>64450.55</v>
      </c>
      <c r="M50" s="45">
        <v>29929.74</v>
      </c>
      <c r="N50" s="46">
        <v>94380.25</v>
      </c>
    </row>
    <row r="51" spans="1:14" x14ac:dyDescent="0.15">
      <c r="A51" s="47" t="s">
        <v>285</v>
      </c>
      <c r="B51" s="45">
        <v>14382.83</v>
      </c>
      <c r="C51" s="45">
        <v>93.32</v>
      </c>
      <c r="D51" s="45">
        <v>17904.52</v>
      </c>
      <c r="E51" s="45">
        <v>916.29</v>
      </c>
      <c r="F51" s="45">
        <v>1538.07</v>
      </c>
      <c r="G51" s="45">
        <v>8500.27</v>
      </c>
      <c r="H51" s="45">
        <v>1605.89</v>
      </c>
      <c r="I51" s="45">
        <v>3225.1</v>
      </c>
      <c r="J51" s="45">
        <v>2981.83</v>
      </c>
      <c r="K51" s="45">
        <v>5600.45</v>
      </c>
      <c r="L51" s="45">
        <v>63350.36</v>
      </c>
      <c r="M51" s="45">
        <v>30981.52</v>
      </c>
      <c r="N51" s="46">
        <v>94331.9</v>
      </c>
    </row>
    <row r="52" spans="1:14" x14ac:dyDescent="0.15">
      <c r="A52" s="110" t="s">
        <v>291</v>
      </c>
      <c r="B52" s="45">
        <v>14195.45</v>
      </c>
      <c r="C52" s="45">
        <v>93.19</v>
      </c>
      <c r="D52" s="45">
        <v>18043.099999999999</v>
      </c>
      <c r="E52" s="45">
        <v>953.24</v>
      </c>
      <c r="F52" s="45">
        <v>1517.6</v>
      </c>
      <c r="G52" s="45">
        <v>8506.6</v>
      </c>
      <c r="H52" s="45">
        <v>1563.2</v>
      </c>
      <c r="I52" s="45">
        <v>3158.75</v>
      </c>
      <c r="J52" s="45">
        <v>5762.43</v>
      </c>
      <c r="K52" s="45">
        <v>5625.81</v>
      </c>
      <c r="L52" s="45">
        <v>65974.37</v>
      </c>
      <c r="M52" s="45">
        <v>30851.45</v>
      </c>
      <c r="N52" s="109">
        <v>96825.83</v>
      </c>
    </row>
    <row r="53" spans="1:14" x14ac:dyDescent="0.15">
      <c r="A53" s="110">
        <v>202503</v>
      </c>
      <c r="B53" s="45">
        <v>14321.73</v>
      </c>
      <c r="C53" s="45">
        <v>90.14</v>
      </c>
      <c r="D53" s="45">
        <v>17796.75</v>
      </c>
      <c r="E53" s="45">
        <v>1497.51</v>
      </c>
      <c r="F53" s="45">
        <v>1485.36</v>
      </c>
      <c r="G53" s="45">
        <v>8416.9</v>
      </c>
      <c r="H53" s="45">
        <v>1593.12</v>
      </c>
      <c r="I53" s="45">
        <v>3302.23</v>
      </c>
      <c r="J53" s="45">
        <v>6303.67</v>
      </c>
      <c r="K53" s="45">
        <v>5653.51</v>
      </c>
      <c r="L53" s="45">
        <v>66955.78</v>
      </c>
      <c r="M53" s="45">
        <v>31158.68</v>
      </c>
      <c r="N53" s="109">
        <v>98114.52</v>
      </c>
    </row>
    <row r="54" spans="1:14" x14ac:dyDescent="0.15">
      <c r="A54" s="110" t="s">
        <v>299</v>
      </c>
      <c r="B54" s="45">
        <v>14710.39</v>
      </c>
      <c r="C54" s="45">
        <v>91.99</v>
      </c>
      <c r="D54" s="45">
        <v>17336.05</v>
      </c>
      <c r="E54" s="45">
        <v>1284.51</v>
      </c>
      <c r="F54" s="45">
        <v>1474.96</v>
      </c>
      <c r="G54" s="45">
        <v>8641.83</v>
      </c>
      <c r="H54" s="45">
        <v>1604.88</v>
      </c>
      <c r="I54" s="45">
        <v>3369.95</v>
      </c>
      <c r="J54" s="45">
        <v>4437.8599999999997</v>
      </c>
      <c r="K54" s="45">
        <v>5717.94</v>
      </c>
      <c r="L54" s="45">
        <v>65664.55</v>
      </c>
      <c r="M54" s="45">
        <v>31713.53</v>
      </c>
      <c r="N54" s="109">
        <v>97378.11</v>
      </c>
    </row>
    <row r="55" spans="1:14" x14ac:dyDescent="0.15">
      <c r="A55" s="110" t="s">
        <v>302</v>
      </c>
      <c r="B55" s="45">
        <v>14814.28</v>
      </c>
      <c r="C55" s="45">
        <v>92.01</v>
      </c>
      <c r="D55" s="45">
        <v>17733.060000000001</v>
      </c>
      <c r="E55" s="45">
        <v>1250.9100000000001</v>
      </c>
      <c r="F55" s="45">
        <v>1458.54</v>
      </c>
      <c r="G55" s="45">
        <v>8535.36</v>
      </c>
      <c r="H55" s="45">
        <v>2009.18</v>
      </c>
      <c r="I55" s="45">
        <v>3530.17</v>
      </c>
      <c r="J55" s="45">
        <v>3912.26</v>
      </c>
      <c r="K55" s="45">
        <v>5819.87</v>
      </c>
      <c r="L55" s="45">
        <v>66465.41</v>
      </c>
      <c r="M55" s="45">
        <v>31660.12</v>
      </c>
      <c r="N55" s="109">
        <v>98125.54</v>
      </c>
    </row>
    <row r="56" spans="1:14" x14ac:dyDescent="0.15">
      <c r="A56" s="110">
        <v>202512</v>
      </c>
      <c r="B56" s="45">
        <v>14750.9</v>
      </c>
      <c r="C56" s="45">
        <v>90.82</v>
      </c>
      <c r="D56" s="45">
        <v>18574.22</v>
      </c>
      <c r="E56" s="45">
        <v>1353.12</v>
      </c>
      <c r="F56" s="45">
        <v>1325.66</v>
      </c>
      <c r="G56" s="45">
        <v>8434.9699999999993</v>
      </c>
      <c r="H56" s="45">
        <v>2001.79</v>
      </c>
      <c r="I56" s="45">
        <v>3532.96</v>
      </c>
      <c r="J56" s="45">
        <v>5953.54</v>
      </c>
      <c r="K56" s="45">
        <v>5696.68</v>
      </c>
      <c r="L56" s="45">
        <v>69392.17</v>
      </c>
      <c r="M56" s="45">
        <v>31489.47</v>
      </c>
      <c r="N56" s="109">
        <v>100881.61</v>
      </c>
    </row>
    <row r="57" spans="1:14" x14ac:dyDescent="0.15">
      <c r="A57" s="110" t="s">
        <v>308</v>
      </c>
      <c r="B57" s="45">
        <v>14607.58</v>
      </c>
      <c r="C57" s="45">
        <v>93.75</v>
      </c>
      <c r="D57" s="45">
        <v>18720</v>
      </c>
      <c r="E57" s="45">
        <v>1407.54</v>
      </c>
      <c r="F57" s="45">
        <v>1282.24</v>
      </c>
      <c r="G57" s="45">
        <v>8403.1</v>
      </c>
      <c r="H57" s="45">
        <v>2248.34</v>
      </c>
      <c r="I57" s="45">
        <v>3612.35</v>
      </c>
      <c r="J57" s="45">
        <v>5831.89</v>
      </c>
      <c r="K57" s="45">
        <v>5694.96</v>
      </c>
      <c r="L57" s="45">
        <v>69683.5</v>
      </c>
      <c r="M57" s="45">
        <v>31127.52</v>
      </c>
      <c r="N57" s="109">
        <v>100811.04</v>
      </c>
    </row>
    <row r="58" spans="1:14" x14ac:dyDescent="0.15">
      <c r="A58" s="117" t="s">
        <v>296</v>
      </c>
    </row>
    <row r="59" spans="1:14" x14ac:dyDescent="0.15">
      <c r="A59" s="13" t="s">
        <v>164</v>
      </c>
    </row>
    <row r="60" spans="1:14" x14ac:dyDescent="0.15">
      <c r="A60" s="13" t="s">
        <v>165</v>
      </c>
    </row>
    <row r="61" spans="1:14" x14ac:dyDescent="0.15">
      <c r="A61" s="117" t="s">
        <v>297</v>
      </c>
    </row>
  </sheetData>
  <mergeCells count="14">
    <mergeCell ref="M7:M8"/>
    <mergeCell ref="N7:N8"/>
    <mergeCell ref="G7:G8"/>
    <mergeCell ref="H7:H8"/>
    <mergeCell ref="I7:I8"/>
    <mergeCell ref="J7:J8"/>
    <mergeCell ref="K7:K8"/>
    <mergeCell ref="L7:L8"/>
    <mergeCell ref="F7:F8"/>
    <mergeCell ref="A7:A8"/>
    <mergeCell ref="B7:B8"/>
    <mergeCell ref="C7:C8"/>
    <mergeCell ref="D7:D8"/>
    <mergeCell ref="E7:E8"/>
  </mergeCells>
  <phoneticPr fontId="15" type="noConversion"/>
  <pageMargins left="0.25" right="0.25" top="0.75" bottom="0.75" header="0.3" footer="0.3"/>
  <pageSetup paperSize="9" scale="96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I72"/>
  <sheetViews>
    <sheetView zoomScale="85" zoomScaleNormal="85" workbookViewId="0">
      <pane ySplit="6" topLeftCell="A49" activePane="bottomLeft" state="frozen"/>
      <selection pane="bottomLeft" activeCell="S81" sqref="S81"/>
    </sheetView>
  </sheetViews>
  <sheetFormatPr defaultRowHeight="16.5" x14ac:dyDescent="0.15"/>
  <cols>
    <col min="1" max="1" width="8.88671875" style="13"/>
    <col min="2" max="2" width="9.21875" style="13" bestFit="1" customWidth="1"/>
    <col min="3" max="4" width="9.77734375" style="13" bestFit="1" customWidth="1"/>
    <col min="5" max="5" width="11.5546875" style="13" bestFit="1" customWidth="1"/>
    <col min="6" max="6" width="9.21875" style="13" bestFit="1" customWidth="1"/>
    <col min="7" max="7" width="11.5546875" style="20" bestFit="1" customWidth="1"/>
    <col min="8" max="16384" width="8.88671875" style="13"/>
  </cols>
  <sheetData>
    <row r="1" spans="1:8" ht="18" x14ac:dyDescent="0.15">
      <c r="A1" s="12" t="s">
        <v>286</v>
      </c>
      <c r="G1" s="13"/>
    </row>
    <row r="2" spans="1:8" x14ac:dyDescent="0.15">
      <c r="G2" s="13"/>
    </row>
    <row r="3" spans="1:8" x14ac:dyDescent="0.15">
      <c r="A3" s="13" t="s">
        <v>157</v>
      </c>
    </row>
    <row r="4" spans="1:8" s="17" customFormat="1" x14ac:dyDescent="0.15">
      <c r="B4" s="18"/>
      <c r="C4" s="18"/>
      <c r="D4" s="18"/>
      <c r="E4" s="18"/>
      <c r="F4" s="18"/>
      <c r="G4" s="14" t="s">
        <v>83</v>
      </c>
    </row>
    <row r="5" spans="1:8" x14ac:dyDescent="0.15">
      <c r="A5" s="125" t="s">
        <v>84</v>
      </c>
      <c r="B5" s="140" t="s">
        <v>135</v>
      </c>
      <c r="C5" s="140"/>
      <c r="D5" s="140"/>
      <c r="E5" s="140"/>
      <c r="F5" s="140"/>
      <c r="G5" s="140"/>
    </row>
    <row r="6" spans="1:8" x14ac:dyDescent="0.15">
      <c r="A6" s="125"/>
      <c r="B6" s="15" t="s">
        <v>136</v>
      </c>
      <c r="C6" s="90" t="s">
        <v>257</v>
      </c>
      <c r="D6" s="92" t="s">
        <v>287</v>
      </c>
      <c r="E6" s="15" t="s">
        <v>137</v>
      </c>
      <c r="F6" s="15" t="s">
        <v>138</v>
      </c>
      <c r="G6" s="16" t="s">
        <v>139</v>
      </c>
    </row>
    <row r="7" spans="1:8" x14ac:dyDescent="0.15">
      <c r="A7" s="56" t="s">
        <v>214</v>
      </c>
      <c r="B7" s="40">
        <f>SUM(C7:G7)</f>
        <v>134460.08220666999</v>
      </c>
      <c r="C7" s="40">
        <v>89860.782206670003</v>
      </c>
      <c r="D7" s="40">
        <v>10866.14</v>
      </c>
      <c r="E7" s="40">
        <v>16532.8</v>
      </c>
      <c r="F7" s="40">
        <v>15485.75</v>
      </c>
      <c r="G7" s="41">
        <v>1714.61</v>
      </c>
      <c r="H7" s="91"/>
    </row>
    <row r="8" spans="1:8" x14ac:dyDescent="0.15">
      <c r="A8" s="56" t="s">
        <v>215</v>
      </c>
      <c r="B8" s="40">
        <f t="shared" ref="B8:B13" si="0">SUM(C8:G8)</f>
        <v>134448.59385149</v>
      </c>
      <c r="C8" s="40">
        <v>89752.983851490004</v>
      </c>
      <c r="D8" s="40">
        <v>10812.78</v>
      </c>
      <c r="E8" s="40">
        <v>16624.8</v>
      </c>
      <c r="F8" s="40">
        <v>15524</v>
      </c>
      <c r="G8" s="41">
        <v>1734.03</v>
      </c>
      <c r="H8" s="91"/>
    </row>
    <row r="9" spans="1:8" x14ac:dyDescent="0.15">
      <c r="A9" s="56" t="s">
        <v>216</v>
      </c>
      <c r="B9" s="40">
        <f t="shared" si="0"/>
        <v>136918.64019275</v>
      </c>
      <c r="C9" s="40">
        <v>90744.900192750007</v>
      </c>
      <c r="D9" s="40">
        <v>12021.12</v>
      </c>
      <c r="E9" s="40">
        <v>16676.55</v>
      </c>
      <c r="F9" s="40">
        <v>15716.82</v>
      </c>
      <c r="G9" s="41">
        <v>1759.25</v>
      </c>
      <c r="H9" s="91"/>
    </row>
    <row r="10" spans="1:8" x14ac:dyDescent="0.15">
      <c r="A10" s="56" t="s">
        <v>217</v>
      </c>
      <c r="B10" s="40">
        <f t="shared" si="0"/>
        <v>136902.49746382999</v>
      </c>
      <c r="C10" s="40">
        <v>90968.607463830005</v>
      </c>
      <c r="D10" s="40">
        <v>11686.53</v>
      </c>
      <c r="E10" s="40">
        <v>16736.939999999999</v>
      </c>
      <c r="F10" s="40">
        <v>15754.09</v>
      </c>
      <c r="G10" s="41">
        <v>1756.33</v>
      </c>
      <c r="H10" s="91"/>
    </row>
    <row r="11" spans="1:8" x14ac:dyDescent="0.15">
      <c r="A11" s="56" t="s">
        <v>218</v>
      </c>
      <c r="B11" s="40">
        <f t="shared" si="0"/>
        <v>136477.59846882996</v>
      </c>
      <c r="C11" s="40">
        <v>90336.138468829988</v>
      </c>
      <c r="D11" s="40">
        <v>11745.48</v>
      </c>
      <c r="E11" s="40">
        <v>16779.64</v>
      </c>
      <c r="F11" s="40">
        <v>15878.63</v>
      </c>
      <c r="G11" s="41">
        <v>1737.71</v>
      </c>
      <c r="H11" s="91"/>
    </row>
    <row r="12" spans="1:8" x14ac:dyDescent="0.15">
      <c r="A12" s="56" t="s">
        <v>219</v>
      </c>
      <c r="B12" s="40">
        <f t="shared" si="0"/>
        <v>138686.26292497999</v>
      </c>
      <c r="C12" s="40">
        <v>91882.652924979993</v>
      </c>
      <c r="D12" s="40">
        <v>12135.35</v>
      </c>
      <c r="E12" s="40">
        <v>16921.599999999999</v>
      </c>
      <c r="F12" s="40">
        <v>16014.64</v>
      </c>
      <c r="G12" s="41">
        <v>1732.02</v>
      </c>
      <c r="H12" s="91"/>
    </row>
    <row r="13" spans="1:8" x14ac:dyDescent="0.15">
      <c r="A13" s="56" t="s">
        <v>220</v>
      </c>
      <c r="B13" s="40">
        <f t="shared" si="0"/>
        <v>139017.04833366998</v>
      </c>
      <c r="C13" s="40">
        <v>91606.268333669999</v>
      </c>
      <c r="D13" s="40">
        <v>12416</v>
      </c>
      <c r="E13" s="40">
        <v>17020.59</v>
      </c>
      <c r="F13" s="40">
        <v>16242.33</v>
      </c>
      <c r="G13" s="41">
        <v>1731.86</v>
      </c>
    </row>
    <row r="14" spans="1:8" x14ac:dyDescent="0.15">
      <c r="A14" s="89" t="s">
        <v>222</v>
      </c>
      <c r="B14" s="40">
        <v>139290.67031181999</v>
      </c>
      <c r="C14" s="40">
        <v>91578.870311820006</v>
      </c>
      <c r="D14" s="40">
        <v>12491.97</v>
      </c>
      <c r="E14" s="40">
        <v>17138.060000000001</v>
      </c>
      <c r="F14" s="40">
        <v>16347.66</v>
      </c>
      <c r="G14" s="41">
        <v>1734.11</v>
      </c>
    </row>
    <row r="15" spans="1:8" x14ac:dyDescent="0.15">
      <c r="A15" s="89" t="s">
        <v>223</v>
      </c>
      <c r="B15" s="40">
        <v>141305.54635752001</v>
      </c>
      <c r="C15" s="40">
        <v>92995.926357520002</v>
      </c>
      <c r="D15" s="40">
        <v>12588.16</v>
      </c>
      <c r="E15" s="40">
        <v>17358.27</v>
      </c>
      <c r="F15" s="40">
        <v>16615.93</v>
      </c>
      <c r="G15" s="41">
        <v>1747.26</v>
      </c>
    </row>
    <row r="16" spans="1:8" x14ac:dyDescent="0.15">
      <c r="A16" s="89" t="s">
        <v>224</v>
      </c>
      <c r="B16" s="40">
        <v>143117.00729068997</v>
      </c>
      <c r="C16" s="40">
        <v>94636.577290689995</v>
      </c>
      <c r="D16" s="40">
        <v>12560.77</v>
      </c>
      <c r="E16" s="40">
        <v>17549.509999999998</v>
      </c>
      <c r="F16" s="40">
        <v>16614.28</v>
      </c>
      <c r="G16" s="41">
        <v>1755.87</v>
      </c>
    </row>
    <row r="17" spans="1:7" x14ac:dyDescent="0.15">
      <c r="A17" s="89" t="s">
        <v>225</v>
      </c>
      <c r="B17" s="40">
        <v>145701.57282623998</v>
      </c>
      <c r="C17" s="40">
        <v>96836.882826239991</v>
      </c>
      <c r="D17" s="40">
        <v>12672.83</v>
      </c>
      <c r="E17" s="40">
        <v>17745.36</v>
      </c>
      <c r="F17" s="40">
        <v>16693.95</v>
      </c>
      <c r="G17" s="41">
        <v>1752.55</v>
      </c>
    </row>
    <row r="18" spans="1:7" x14ac:dyDescent="0.15">
      <c r="A18" s="89" t="s">
        <v>227</v>
      </c>
      <c r="B18" s="40">
        <v>147961.78766815999</v>
      </c>
      <c r="C18" s="40">
        <v>97965.387668159994</v>
      </c>
      <c r="D18" s="40">
        <v>12844.5</v>
      </c>
      <c r="E18" s="40">
        <v>18315.86</v>
      </c>
      <c r="F18" s="40">
        <v>17107.05</v>
      </c>
      <c r="G18" s="41">
        <v>1728.99</v>
      </c>
    </row>
    <row r="19" spans="1:7" x14ac:dyDescent="0.15">
      <c r="A19" s="89" t="s">
        <v>228</v>
      </c>
      <c r="B19" s="40">
        <v>147853.706786</v>
      </c>
      <c r="C19" s="40">
        <v>97437.196786</v>
      </c>
      <c r="D19" s="40">
        <v>13141.98</v>
      </c>
      <c r="E19" s="40">
        <v>18351.21</v>
      </c>
      <c r="F19" s="40">
        <v>17180.87</v>
      </c>
      <c r="G19" s="41">
        <v>1742.45</v>
      </c>
    </row>
    <row r="20" spans="1:7" x14ac:dyDescent="0.15">
      <c r="A20" s="89" t="s">
        <v>230</v>
      </c>
      <c r="B20" s="40">
        <v>148384.90370511002</v>
      </c>
      <c r="C20" s="40">
        <v>96705.663705110012</v>
      </c>
      <c r="D20" s="40">
        <v>14167.52</v>
      </c>
      <c r="E20" s="40">
        <v>18493.150000000001</v>
      </c>
      <c r="F20" s="40">
        <v>17272.7</v>
      </c>
      <c r="G20" s="41">
        <v>1745.87</v>
      </c>
    </row>
    <row r="21" spans="1:7" x14ac:dyDescent="0.15">
      <c r="A21" s="89" t="s">
        <v>231</v>
      </c>
      <c r="B21" s="40">
        <v>150219.37139090998</v>
      </c>
      <c r="C21" s="40">
        <v>98320.471390909996</v>
      </c>
      <c r="D21" s="40">
        <v>13758.81</v>
      </c>
      <c r="E21" s="40">
        <v>18980.12</v>
      </c>
      <c r="F21" s="40">
        <v>17433.82</v>
      </c>
      <c r="G21" s="41">
        <v>1726.15</v>
      </c>
    </row>
    <row r="22" spans="1:7" x14ac:dyDescent="0.15">
      <c r="A22" s="89" t="s">
        <v>234</v>
      </c>
      <c r="B22" s="40">
        <v>151216.59420621002</v>
      </c>
      <c r="C22" s="40">
        <v>98621.964206210003</v>
      </c>
      <c r="D22" s="40">
        <v>13791.14</v>
      </c>
      <c r="E22" s="40">
        <v>19383.599999999999</v>
      </c>
      <c r="F22" s="40">
        <v>17727.04</v>
      </c>
      <c r="G22" s="41">
        <v>1692.85</v>
      </c>
    </row>
    <row r="23" spans="1:7" x14ac:dyDescent="0.15">
      <c r="A23" s="89" t="s">
        <v>237</v>
      </c>
      <c r="B23" s="40">
        <v>152170.39190181001</v>
      </c>
      <c r="C23" s="40">
        <v>98855.981901809995</v>
      </c>
      <c r="D23" s="40">
        <v>14016.41</v>
      </c>
      <c r="E23" s="40">
        <v>19709.43</v>
      </c>
      <c r="F23" s="40">
        <v>17925.439999999999</v>
      </c>
      <c r="G23" s="41">
        <v>1663.13</v>
      </c>
    </row>
    <row r="24" spans="1:7" x14ac:dyDescent="0.15">
      <c r="A24" s="89" t="s">
        <v>238</v>
      </c>
      <c r="B24" s="40">
        <v>153087.27994911998</v>
      </c>
      <c r="C24" s="40">
        <v>99498.989949120005</v>
      </c>
      <c r="D24" s="40">
        <v>14092.75</v>
      </c>
      <c r="E24" s="40">
        <v>19795.55</v>
      </c>
      <c r="F24" s="40">
        <v>18069.240000000002</v>
      </c>
      <c r="G24" s="41">
        <v>1630.75</v>
      </c>
    </row>
    <row r="25" spans="1:7" x14ac:dyDescent="0.15">
      <c r="A25" s="89" t="s">
        <v>239</v>
      </c>
      <c r="B25" s="40">
        <v>151842.27759679002</v>
      </c>
      <c r="C25" s="40">
        <v>98099.027596790009</v>
      </c>
      <c r="D25" s="40">
        <v>14169.77</v>
      </c>
      <c r="E25" s="40">
        <v>20005.03</v>
      </c>
      <c r="F25" s="40">
        <v>18001.72</v>
      </c>
      <c r="G25" s="41">
        <v>1566.73</v>
      </c>
    </row>
    <row r="26" spans="1:7" x14ac:dyDescent="0.15">
      <c r="A26" s="89" t="s">
        <v>241</v>
      </c>
      <c r="B26" s="40">
        <v>145772.22948445001</v>
      </c>
      <c r="C26" s="40">
        <v>91566.08948445</v>
      </c>
      <c r="D26" s="40">
        <v>14321.32</v>
      </c>
      <c r="E26" s="40">
        <v>20201.349999999999</v>
      </c>
      <c r="F26" s="40">
        <v>18136.41</v>
      </c>
      <c r="G26" s="41">
        <v>1547.06</v>
      </c>
    </row>
    <row r="27" spans="1:7" x14ac:dyDescent="0.15">
      <c r="A27" s="89" t="s">
        <v>242</v>
      </c>
      <c r="B27" s="40">
        <v>151738.80345882001</v>
      </c>
      <c r="C27" s="40">
        <v>97820.393458820006</v>
      </c>
      <c r="D27" s="40">
        <v>13895.07</v>
      </c>
      <c r="E27" s="40">
        <v>20280.27</v>
      </c>
      <c r="F27" s="40">
        <v>18213.78</v>
      </c>
      <c r="G27" s="41">
        <v>1529.29</v>
      </c>
    </row>
    <row r="28" spans="1:7" x14ac:dyDescent="0.15">
      <c r="A28" s="89" t="s">
        <v>245</v>
      </c>
      <c r="B28" s="40">
        <v>151588.85296680001</v>
      </c>
      <c r="C28" s="40">
        <v>97830.842966800003</v>
      </c>
      <c r="D28" s="40">
        <v>13705.78</v>
      </c>
      <c r="E28" s="40">
        <v>20248.509999999998</v>
      </c>
      <c r="F28" s="40">
        <v>18282.88</v>
      </c>
      <c r="G28" s="41">
        <v>1520.84</v>
      </c>
    </row>
    <row r="29" spans="1:7" x14ac:dyDescent="0.15">
      <c r="A29" s="89" t="s">
        <v>246</v>
      </c>
      <c r="B29" s="40">
        <v>154408.97898391998</v>
      </c>
      <c r="C29" s="40">
        <v>100340.28898391999</v>
      </c>
      <c r="D29" s="40">
        <v>13482.87</v>
      </c>
      <c r="E29" s="40">
        <v>20500.099999999999</v>
      </c>
      <c r="F29" s="40">
        <v>18598.43</v>
      </c>
      <c r="G29" s="41">
        <v>1487.29</v>
      </c>
    </row>
    <row r="30" spans="1:7" x14ac:dyDescent="0.15">
      <c r="A30" s="89" t="s">
        <v>247</v>
      </c>
      <c r="B30" s="40">
        <v>158921.11903512003</v>
      </c>
      <c r="C30" s="40">
        <v>102778.79903512001</v>
      </c>
      <c r="D30" s="40">
        <v>14466.78</v>
      </c>
      <c r="E30" s="40">
        <v>21124.99</v>
      </c>
      <c r="F30" s="40">
        <v>19089.07</v>
      </c>
      <c r="G30" s="41">
        <v>1461.48</v>
      </c>
    </row>
    <row r="31" spans="1:7" x14ac:dyDescent="0.15">
      <c r="A31" s="89" t="s">
        <v>248</v>
      </c>
      <c r="B31" s="40">
        <v>159366.38003125996</v>
      </c>
      <c r="C31" s="40">
        <v>101898.07003125999</v>
      </c>
      <c r="D31" s="40">
        <v>14546.47</v>
      </c>
      <c r="E31" s="40">
        <v>21855.02</v>
      </c>
      <c r="F31" s="40">
        <v>19650.240000000002</v>
      </c>
      <c r="G31" s="41">
        <v>1416.58</v>
      </c>
    </row>
    <row r="32" spans="1:7" x14ac:dyDescent="0.15">
      <c r="A32" s="89" t="s">
        <v>250</v>
      </c>
      <c r="B32" s="40">
        <v>159775.24639589002</v>
      </c>
      <c r="C32" s="40">
        <v>102163.15639589001</v>
      </c>
      <c r="D32" s="40">
        <v>14190.72</v>
      </c>
      <c r="E32" s="40">
        <v>22094.61</v>
      </c>
      <c r="F32" s="40">
        <v>19981.03</v>
      </c>
      <c r="G32" s="41">
        <v>1345.73</v>
      </c>
    </row>
    <row r="33" spans="1:7" x14ac:dyDescent="0.15">
      <c r="A33" s="89" t="s">
        <v>253</v>
      </c>
      <c r="B33" s="40">
        <v>161809.76810642</v>
      </c>
      <c r="C33" s="40">
        <v>104096.22810642001</v>
      </c>
      <c r="D33" s="40">
        <v>14289.23</v>
      </c>
      <c r="E33" s="40">
        <v>22169.599999999999</v>
      </c>
      <c r="F33" s="40">
        <v>19954.400000000001</v>
      </c>
      <c r="G33" s="41">
        <v>1300.31</v>
      </c>
    </row>
    <row r="34" spans="1:7" x14ac:dyDescent="0.15">
      <c r="A34" s="89" t="s">
        <v>255</v>
      </c>
      <c r="B34" s="40">
        <v>162326.47397036999</v>
      </c>
      <c r="C34" s="40">
        <v>104850.83397036999</v>
      </c>
      <c r="D34" s="40">
        <v>14259.09</v>
      </c>
      <c r="E34" s="40">
        <v>22139.83</v>
      </c>
      <c r="F34" s="40">
        <v>19791.89</v>
      </c>
      <c r="G34" s="41">
        <v>1284.83</v>
      </c>
    </row>
    <row r="35" spans="1:7" x14ac:dyDescent="0.15">
      <c r="A35" s="89" t="s">
        <v>258</v>
      </c>
      <c r="B35" s="40">
        <v>162021.86471744999</v>
      </c>
      <c r="C35" s="40">
        <v>104511.73471744999</v>
      </c>
      <c r="D35" s="40">
        <v>14335.39</v>
      </c>
      <c r="E35" s="40">
        <v>22279.07</v>
      </c>
      <c r="F35" s="40">
        <v>19607.47</v>
      </c>
      <c r="G35" s="41">
        <v>1288.2</v>
      </c>
    </row>
    <row r="36" spans="1:7" x14ac:dyDescent="0.15">
      <c r="A36" s="89" t="s">
        <v>260</v>
      </c>
      <c r="B36" s="40">
        <v>163580.41236273001</v>
      </c>
      <c r="C36" s="40">
        <v>105726.39236273</v>
      </c>
      <c r="D36" s="40">
        <v>14468.3</v>
      </c>
      <c r="E36" s="40">
        <v>22408.36</v>
      </c>
      <c r="F36" s="40">
        <v>19683.86</v>
      </c>
      <c r="G36" s="41">
        <v>1293.5</v>
      </c>
    </row>
    <row r="37" spans="1:7" x14ac:dyDescent="0.15">
      <c r="A37" s="89" t="s">
        <v>264</v>
      </c>
      <c r="B37" s="40">
        <v>162365.61175564997</v>
      </c>
      <c r="C37" s="40">
        <v>105516.27175565</v>
      </c>
      <c r="D37" s="40">
        <v>14821.74</v>
      </c>
      <c r="E37" s="40">
        <v>22375.75</v>
      </c>
      <c r="F37" s="40">
        <v>18357.669999999998</v>
      </c>
      <c r="G37" s="41">
        <v>1294.18</v>
      </c>
    </row>
    <row r="38" spans="1:7" x14ac:dyDescent="0.15">
      <c r="A38" s="89" t="s">
        <v>266</v>
      </c>
      <c r="B38" s="40">
        <v>162638.25380922001</v>
      </c>
      <c r="C38" s="40">
        <v>105580.18380922001</v>
      </c>
      <c r="D38" s="40">
        <v>14827.33</v>
      </c>
      <c r="E38" s="40">
        <v>22375.34</v>
      </c>
      <c r="F38" s="40">
        <v>18579.91</v>
      </c>
      <c r="G38" s="41">
        <v>1275.49</v>
      </c>
    </row>
    <row r="39" spans="1:7" x14ac:dyDescent="0.15">
      <c r="A39" s="89" t="s">
        <v>268</v>
      </c>
      <c r="B39" s="40">
        <v>163581.86487544005</v>
      </c>
      <c r="C39" s="40">
        <v>106688.60487544003</v>
      </c>
      <c r="D39" s="40">
        <v>14567.78</v>
      </c>
      <c r="E39" s="40">
        <v>22321.4</v>
      </c>
      <c r="F39" s="40">
        <v>18740.98</v>
      </c>
      <c r="G39" s="41">
        <v>1263.0999999999999</v>
      </c>
    </row>
    <row r="40" spans="1:7" x14ac:dyDescent="0.15">
      <c r="A40" s="89" t="s">
        <v>270</v>
      </c>
      <c r="B40" s="40">
        <v>164910.79904133995</v>
      </c>
      <c r="C40" s="40">
        <v>107705.83090026998</v>
      </c>
      <c r="D40" s="40">
        <v>14619.02</v>
      </c>
      <c r="E40" s="40">
        <v>22410.740245790003</v>
      </c>
      <c r="F40" s="40">
        <v>19022.407895280001</v>
      </c>
      <c r="G40" s="41">
        <v>1152.8</v>
      </c>
    </row>
    <row r="41" spans="1:7" x14ac:dyDescent="0.15">
      <c r="A41" s="89" t="s">
        <v>272</v>
      </c>
      <c r="B41" s="40">
        <v>166074.61872813999</v>
      </c>
      <c r="C41" s="40">
        <v>108589.68902997999</v>
      </c>
      <c r="D41" s="40">
        <v>14734.29</v>
      </c>
      <c r="E41" s="40">
        <v>22409.359784920001</v>
      </c>
      <c r="F41" s="40">
        <v>19343.36991324</v>
      </c>
      <c r="G41" s="41">
        <v>997.91</v>
      </c>
    </row>
    <row r="42" spans="1:7" x14ac:dyDescent="0.15">
      <c r="A42" s="89" t="s">
        <v>273</v>
      </c>
      <c r="B42" s="40">
        <v>169128.25393671001</v>
      </c>
      <c r="C42" s="40">
        <v>111161.67870682999</v>
      </c>
      <c r="D42" s="40">
        <v>15094.84</v>
      </c>
      <c r="E42" s="40">
        <v>22328.515652029997</v>
      </c>
      <c r="F42" s="40">
        <v>19703.519577850002</v>
      </c>
      <c r="G42" s="41">
        <v>839.7</v>
      </c>
    </row>
    <row r="43" spans="1:7" x14ac:dyDescent="0.15">
      <c r="A43" s="89" t="s">
        <v>274</v>
      </c>
      <c r="B43" s="40">
        <v>168383.49059555001</v>
      </c>
      <c r="C43" s="40">
        <v>110533.38380519001</v>
      </c>
      <c r="D43" s="40">
        <v>15206.37</v>
      </c>
      <c r="E43" s="40">
        <v>22200.169007370001</v>
      </c>
      <c r="F43" s="40">
        <v>19739.89778299</v>
      </c>
      <c r="G43" s="41">
        <v>703.67</v>
      </c>
    </row>
    <row r="44" spans="1:7" x14ac:dyDescent="0.15">
      <c r="A44" s="89" t="s">
        <v>276</v>
      </c>
      <c r="B44" s="40">
        <v>168702.12941113999</v>
      </c>
      <c r="C44" s="40">
        <v>110773.89216741001</v>
      </c>
      <c r="D44" s="40">
        <v>15108.58</v>
      </c>
      <c r="E44" s="40">
        <v>22476.479346029999</v>
      </c>
      <c r="F44" s="40">
        <v>19690.367897699998</v>
      </c>
      <c r="G44" s="41">
        <v>652.80999999999995</v>
      </c>
    </row>
    <row r="45" spans="1:7" x14ac:dyDescent="0.15">
      <c r="A45" s="89" t="s">
        <v>278</v>
      </c>
      <c r="B45" s="40">
        <v>171892.37858995001</v>
      </c>
      <c r="C45" s="40">
        <v>113777.80692149999</v>
      </c>
      <c r="D45" s="40">
        <v>15010.68</v>
      </c>
      <c r="E45" s="40">
        <v>22655.682953719999</v>
      </c>
      <c r="F45" s="40">
        <v>19828.798714730001</v>
      </c>
      <c r="G45" s="41">
        <v>619.41</v>
      </c>
    </row>
    <row r="46" spans="1:7" x14ac:dyDescent="0.15">
      <c r="A46" s="89" t="s">
        <v>279</v>
      </c>
      <c r="B46" s="40">
        <v>171641.28241979002</v>
      </c>
      <c r="C46" s="40">
        <v>114232.40016005002</v>
      </c>
      <c r="D46" s="40">
        <v>14463.3</v>
      </c>
      <c r="E46" s="40">
        <v>22688.867062849997</v>
      </c>
      <c r="F46" s="40">
        <v>19676.565196889998</v>
      </c>
      <c r="G46" s="41">
        <v>580.15</v>
      </c>
    </row>
    <row r="47" spans="1:7" x14ac:dyDescent="0.15">
      <c r="A47" s="89" t="s">
        <v>281</v>
      </c>
      <c r="B47" s="40">
        <v>170823.85031677</v>
      </c>
      <c r="C47" s="40">
        <v>113906.30956148001</v>
      </c>
      <c r="D47" s="40">
        <v>14011.34</v>
      </c>
      <c r="E47" s="40">
        <v>22678.612235510001</v>
      </c>
      <c r="F47" s="40">
        <v>19664.338519780002</v>
      </c>
      <c r="G47" s="41">
        <v>563.25</v>
      </c>
    </row>
    <row r="48" spans="1:7" x14ac:dyDescent="0.15">
      <c r="A48" s="89" t="s">
        <v>282</v>
      </c>
      <c r="B48" s="40">
        <v>171643.18690972999</v>
      </c>
      <c r="C48" s="40">
        <v>115110.17226508999</v>
      </c>
      <c r="D48" s="40">
        <v>13636.95</v>
      </c>
      <c r="E48" s="40">
        <v>22707.253039089999</v>
      </c>
      <c r="F48" s="40">
        <v>19739.431605549998</v>
      </c>
      <c r="G48" s="41">
        <v>449.38</v>
      </c>
    </row>
    <row r="49" spans="1:9" x14ac:dyDescent="0.15">
      <c r="A49" s="89" t="s">
        <v>283</v>
      </c>
      <c r="B49" s="40">
        <v>170246.75127882999</v>
      </c>
      <c r="C49" s="40">
        <v>113321.64003887</v>
      </c>
      <c r="D49" s="40">
        <v>13596.39</v>
      </c>
      <c r="E49" s="40">
        <v>22814.340132459998</v>
      </c>
      <c r="F49" s="40">
        <v>20059.621107499999</v>
      </c>
      <c r="G49" s="41">
        <v>454.76</v>
      </c>
    </row>
    <row r="50" spans="1:9" x14ac:dyDescent="0.15">
      <c r="A50" s="89" t="s">
        <v>284</v>
      </c>
      <c r="B50" s="40">
        <v>170175.38438911995</v>
      </c>
      <c r="C50" s="40">
        <v>113220.75704978997</v>
      </c>
      <c r="D50" s="40">
        <v>13618.56</v>
      </c>
      <c r="E50" s="40">
        <v>22861.204248219998</v>
      </c>
      <c r="F50" s="40">
        <v>20019.013091109999</v>
      </c>
      <c r="G50" s="41">
        <v>455.85</v>
      </c>
    </row>
    <row r="51" spans="1:9" x14ac:dyDescent="0.15">
      <c r="A51" s="89" t="s">
        <v>285</v>
      </c>
      <c r="B51" s="40">
        <v>170894.20826004</v>
      </c>
      <c r="C51" s="40">
        <v>113723.11011391999</v>
      </c>
      <c r="D51" s="40">
        <v>13668.44</v>
      </c>
      <c r="E51" s="40">
        <v>23031.207292089999</v>
      </c>
      <c r="F51" s="40">
        <v>20009.30085403</v>
      </c>
      <c r="G51" s="41">
        <v>462.15</v>
      </c>
    </row>
    <row r="52" spans="1:9" x14ac:dyDescent="0.15">
      <c r="A52" s="89" t="s">
        <v>289</v>
      </c>
      <c r="B52" s="40">
        <v>172499.03892451001</v>
      </c>
      <c r="C52" s="40">
        <v>115068.68079905001</v>
      </c>
      <c r="D52" s="40">
        <v>13778.49</v>
      </c>
      <c r="E52" s="40">
        <v>23090.955523970002</v>
      </c>
      <c r="F52" s="40">
        <v>20097.892601489999</v>
      </c>
      <c r="G52" s="41">
        <v>463.02</v>
      </c>
    </row>
    <row r="53" spans="1:9" x14ac:dyDescent="0.15">
      <c r="A53" s="89" t="s">
        <v>290</v>
      </c>
      <c r="B53" s="40">
        <v>173502.83731537999</v>
      </c>
      <c r="C53" s="40">
        <v>116226.94007388997</v>
      </c>
      <c r="D53" s="40">
        <v>13702.27</v>
      </c>
      <c r="E53" s="40">
        <v>23103.765022560001</v>
      </c>
      <c r="F53" s="40">
        <v>20011.542218930001</v>
      </c>
      <c r="G53" s="104">
        <v>458.32</v>
      </c>
    </row>
    <row r="54" spans="1:9" x14ac:dyDescent="0.15">
      <c r="A54" s="99" t="s">
        <v>291</v>
      </c>
      <c r="B54" s="105">
        <v>178672.19693325</v>
      </c>
      <c r="C54" s="105">
        <v>120584.69931373</v>
      </c>
      <c r="D54" s="105">
        <v>14253.48</v>
      </c>
      <c r="E54" s="105">
        <v>23168.68868272</v>
      </c>
      <c r="F54" s="105">
        <v>20211.178936799999</v>
      </c>
      <c r="G54" s="106">
        <v>454.15</v>
      </c>
      <c r="H54" s="106"/>
      <c r="I54" s="20"/>
    </row>
    <row r="55" spans="1:9" x14ac:dyDescent="0.15">
      <c r="A55" s="103" t="s">
        <v>292</v>
      </c>
      <c r="B55" s="105">
        <v>178756.17572294001</v>
      </c>
      <c r="C55" s="105">
        <v>120124.53009267</v>
      </c>
      <c r="D55" s="105">
        <v>14710.58</v>
      </c>
      <c r="E55" s="105">
        <v>23079.216141590001</v>
      </c>
      <c r="F55" s="105">
        <v>20393.86948868</v>
      </c>
      <c r="G55" s="106">
        <v>447.98</v>
      </c>
      <c r="H55" s="106"/>
      <c r="I55" s="20"/>
    </row>
    <row r="56" spans="1:9" x14ac:dyDescent="0.15">
      <c r="A56" s="103" t="s">
        <v>293</v>
      </c>
      <c r="B56" s="113">
        <v>180103.45508745997</v>
      </c>
      <c r="C56" s="113">
        <v>120862.38066785998</v>
      </c>
      <c r="D56" s="113">
        <v>15061.55</v>
      </c>
      <c r="E56" s="113">
        <v>23278.635194769999</v>
      </c>
      <c r="F56" s="105">
        <v>20457.529224829999</v>
      </c>
      <c r="G56" s="106">
        <v>443.36</v>
      </c>
      <c r="H56" s="106"/>
      <c r="I56" s="20"/>
    </row>
    <row r="57" spans="1:9" x14ac:dyDescent="0.15">
      <c r="A57" s="103" t="s">
        <v>294</v>
      </c>
      <c r="B57" s="113">
        <v>182791.22393181996</v>
      </c>
      <c r="C57" s="113">
        <v>123074.76913619999</v>
      </c>
      <c r="D57" s="113">
        <v>15261.93</v>
      </c>
      <c r="E57" s="105">
        <v>23530.354912160001</v>
      </c>
      <c r="F57" s="105">
        <v>20484.559883459999</v>
      </c>
      <c r="G57" s="106">
        <v>439.61</v>
      </c>
      <c r="H57" s="106"/>
      <c r="I57" s="20"/>
    </row>
    <row r="58" spans="1:9" x14ac:dyDescent="0.15">
      <c r="A58" s="103" t="s">
        <v>295</v>
      </c>
      <c r="B58" s="105">
        <v>183710.06610178002</v>
      </c>
      <c r="C58" s="105">
        <v>123504.52141856001</v>
      </c>
      <c r="D58" s="113">
        <v>15346.16</v>
      </c>
      <c r="E58" s="105">
        <v>23745.421942929999</v>
      </c>
      <c r="F58" s="105">
        <v>20682.402740289999</v>
      </c>
      <c r="G58" s="106">
        <v>431.56</v>
      </c>
      <c r="H58" s="106"/>
      <c r="I58" s="20"/>
    </row>
    <row r="59" spans="1:9" x14ac:dyDescent="0.15">
      <c r="A59" s="103" t="s">
        <v>298</v>
      </c>
      <c r="B59" s="113">
        <v>183857.97482812</v>
      </c>
      <c r="C59" s="105">
        <v>123327.19410329999</v>
      </c>
      <c r="D59" s="105">
        <v>15359.56</v>
      </c>
      <c r="E59" s="105">
        <v>23996.471480550001</v>
      </c>
      <c r="F59" s="105">
        <v>20748.459244270001</v>
      </c>
      <c r="G59" s="106">
        <v>426.29</v>
      </c>
      <c r="H59" s="106"/>
    </row>
    <row r="60" spans="1:9" x14ac:dyDescent="0.15">
      <c r="A60" s="103" t="s">
        <v>299</v>
      </c>
      <c r="B60" s="105">
        <v>184603.29187881999</v>
      </c>
      <c r="C60" s="105">
        <v>123803.66353759999</v>
      </c>
      <c r="D60" s="105">
        <v>15401.77</v>
      </c>
      <c r="E60" s="105">
        <v>24122.952712460003</v>
      </c>
      <c r="F60" s="105">
        <v>20842.215628760001</v>
      </c>
      <c r="G60" s="106">
        <v>432.69</v>
      </c>
      <c r="H60" s="106"/>
    </row>
    <row r="61" spans="1:9" x14ac:dyDescent="0.15">
      <c r="A61" s="103" t="s">
        <v>300</v>
      </c>
      <c r="B61" s="105">
        <v>183486.51290405999</v>
      </c>
      <c r="C61" s="105">
        <v>122600.06201003998</v>
      </c>
      <c r="D61" s="105">
        <v>15425.19</v>
      </c>
      <c r="E61" s="105">
        <v>24285.196221779999</v>
      </c>
      <c r="F61" s="105">
        <v>20733.314672240002</v>
      </c>
      <c r="G61" s="106">
        <v>442.75</v>
      </c>
      <c r="H61" s="106"/>
    </row>
    <row r="62" spans="1:9" x14ac:dyDescent="0.15">
      <c r="A62" s="103" t="s">
        <v>301</v>
      </c>
      <c r="B62" s="105">
        <v>183372.42020830003</v>
      </c>
      <c r="C62" s="105">
        <v>122423.57414632</v>
      </c>
      <c r="D62" s="105">
        <v>15415.82</v>
      </c>
      <c r="E62" s="105">
        <v>24333.723333919999</v>
      </c>
      <c r="F62" s="105">
        <v>20741.632728059998</v>
      </c>
      <c r="G62" s="106">
        <v>457.67</v>
      </c>
      <c r="H62" s="106"/>
    </row>
    <row r="63" spans="1:9" x14ac:dyDescent="0.15">
      <c r="A63" s="103" t="s">
        <v>302</v>
      </c>
      <c r="B63" s="105">
        <v>184284.31893394003</v>
      </c>
      <c r="C63" s="105">
        <v>123138.15942147</v>
      </c>
      <c r="D63" s="105">
        <v>15616.53</v>
      </c>
      <c r="E63" s="105">
        <v>24347.870452479998</v>
      </c>
      <c r="F63" s="105">
        <v>20702.769059989998</v>
      </c>
      <c r="G63" s="106">
        <v>478.99</v>
      </c>
      <c r="H63" s="106"/>
    </row>
    <row r="64" spans="1:9" x14ac:dyDescent="0.15">
      <c r="A64" s="103" t="s">
        <v>303</v>
      </c>
      <c r="B64" s="105">
        <v>185302.61290436998</v>
      </c>
      <c r="C64" s="105">
        <v>124201.92241925</v>
      </c>
      <c r="D64" s="105">
        <v>15536.47</v>
      </c>
      <c r="E64" s="105">
        <v>24319.12336215</v>
      </c>
      <c r="F64" s="105">
        <v>20767.527122970001</v>
      </c>
      <c r="G64" s="106">
        <v>477.57</v>
      </c>
      <c r="H64" s="106"/>
    </row>
    <row r="65" spans="1:8" x14ac:dyDescent="0.15">
      <c r="A65" s="103" t="s">
        <v>304</v>
      </c>
      <c r="B65" s="105">
        <v>186749.00119747003</v>
      </c>
      <c r="C65" s="105">
        <v>125265.14652958002</v>
      </c>
      <c r="D65" s="105">
        <v>15959.95</v>
      </c>
      <c r="E65" s="105">
        <v>24418.40655562</v>
      </c>
      <c r="F65" s="105">
        <v>20636.858112270002</v>
      </c>
      <c r="G65" s="106">
        <v>468.64</v>
      </c>
      <c r="H65" s="106"/>
    </row>
    <row r="66" spans="1:8" x14ac:dyDescent="0.15">
      <c r="A66" s="103" t="s">
        <v>305</v>
      </c>
      <c r="B66" s="105">
        <v>191860.32888811998</v>
      </c>
      <c r="C66" s="105">
        <v>129383.47074463998</v>
      </c>
      <c r="D66" s="105">
        <v>16417.96</v>
      </c>
      <c r="E66" s="105">
        <v>24521.384157299999</v>
      </c>
      <c r="F66" s="105">
        <v>21058.423986180002</v>
      </c>
      <c r="G66" s="106">
        <v>479.09</v>
      </c>
    </row>
    <row r="67" spans="1:8" x14ac:dyDescent="0.15">
      <c r="A67" s="103" t="s">
        <v>306</v>
      </c>
      <c r="B67" s="105">
        <v>190437.29838382002</v>
      </c>
      <c r="C67" s="105">
        <v>127725.66610850002</v>
      </c>
      <c r="D67" s="105">
        <v>16946.95</v>
      </c>
      <c r="E67" s="105">
        <v>24293.526707230001</v>
      </c>
      <c r="F67" s="105">
        <v>20985.205568090001</v>
      </c>
      <c r="G67" s="106">
        <v>485.95</v>
      </c>
    </row>
    <row r="68" spans="1:8" x14ac:dyDescent="0.15">
      <c r="A68" s="103" t="s">
        <v>307</v>
      </c>
      <c r="B68" s="105">
        <v>189667.74678564002</v>
      </c>
      <c r="C68" s="105">
        <v>127168.75278827002</v>
      </c>
      <c r="D68" s="105">
        <v>17039.77</v>
      </c>
      <c r="E68" s="105">
        <v>24215.670511190001</v>
      </c>
      <c r="F68" s="105">
        <v>20760.21348618</v>
      </c>
      <c r="G68" s="106">
        <v>483.34</v>
      </c>
    </row>
    <row r="69" spans="1:8" x14ac:dyDescent="0.15">
      <c r="A69" s="103" t="s">
        <v>308</v>
      </c>
      <c r="B69" s="105">
        <v>189229.26685638999</v>
      </c>
      <c r="C69" s="105">
        <v>126643.29424761001</v>
      </c>
      <c r="D69" s="105">
        <v>17337.95</v>
      </c>
      <c r="E69" s="105">
        <v>24058.009525370002</v>
      </c>
      <c r="F69" s="105">
        <v>20703.453083410001</v>
      </c>
      <c r="G69" s="106">
        <v>486.56</v>
      </c>
    </row>
    <row r="70" spans="1:8" x14ac:dyDescent="0.15">
      <c r="A70" s="103" t="s">
        <v>309</v>
      </c>
      <c r="B70" s="105">
        <v>188626.57326508002</v>
      </c>
      <c r="C70" s="105">
        <v>126312.83219962001</v>
      </c>
      <c r="D70" s="105">
        <v>17204.150000000001</v>
      </c>
      <c r="E70" s="105">
        <v>24048.306588110001</v>
      </c>
      <c r="F70" s="105">
        <v>20567.904477349999</v>
      </c>
      <c r="G70" s="106">
        <v>493.38</v>
      </c>
    </row>
    <row r="71" spans="1:8" x14ac:dyDescent="0.15">
      <c r="A71" s="13" t="s">
        <v>162</v>
      </c>
    </row>
    <row r="72" spans="1:8" x14ac:dyDescent="0.15">
      <c r="A72" s="93" t="s">
        <v>288</v>
      </c>
    </row>
  </sheetData>
  <mergeCells count="2">
    <mergeCell ref="A5:A6"/>
    <mergeCell ref="B5:G5"/>
  </mergeCells>
  <phoneticPr fontId="15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H72"/>
  <sheetViews>
    <sheetView zoomScale="85" zoomScaleNormal="85" workbookViewId="0">
      <pane ySplit="6" topLeftCell="A55" activePane="bottomLeft" state="frozen"/>
      <selection pane="bottomLeft" activeCell="H63" sqref="H63"/>
    </sheetView>
  </sheetViews>
  <sheetFormatPr defaultRowHeight="16.5" x14ac:dyDescent="0.15"/>
  <cols>
    <col min="1" max="1" width="8.88671875" style="13"/>
    <col min="2" max="2" width="9.21875" style="13" bestFit="1" customWidth="1"/>
    <col min="3" max="4" width="9.77734375" style="13" bestFit="1" customWidth="1"/>
    <col min="5" max="5" width="11.5546875" style="13" bestFit="1" customWidth="1"/>
    <col min="6" max="6" width="9.21875" style="13" bestFit="1" customWidth="1"/>
    <col min="7" max="7" width="11.5546875" style="20" bestFit="1" customWidth="1"/>
    <col min="8" max="16384" width="8.88671875" style="13"/>
  </cols>
  <sheetData>
    <row r="1" spans="1:8" ht="18" x14ac:dyDescent="0.15">
      <c r="A1" s="12" t="s">
        <v>286</v>
      </c>
      <c r="G1" s="13"/>
    </row>
    <row r="2" spans="1:8" x14ac:dyDescent="0.15">
      <c r="G2" s="13"/>
    </row>
    <row r="3" spans="1:8" x14ac:dyDescent="0.15">
      <c r="A3" s="13" t="s">
        <v>158</v>
      </c>
    </row>
    <row r="4" spans="1:8" s="17" customFormat="1" x14ac:dyDescent="0.15">
      <c r="B4" s="18"/>
      <c r="C4" s="18"/>
      <c r="D4" s="18"/>
      <c r="E4" s="18"/>
      <c r="F4" s="18"/>
      <c r="G4" s="14" t="s">
        <v>140</v>
      </c>
    </row>
    <row r="5" spans="1:8" x14ac:dyDescent="0.15">
      <c r="A5" s="125" t="s">
        <v>141</v>
      </c>
      <c r="B5" s="140" t="s">
        <v>142</v>
      </c>
      <c r="C5" s="140"/>
      <c r="D5" s="140"/>
      <c r="E5" s="140"/>
      <c r="F5" s="140"/>
      <c r="G5" s="140"/>
    </row>
    <row r="6" spans="1:8" x14ac:dyDescent="0.15">
      <c r="A6" s="125"/>
      <c r="B6" s="15" t="s">
        <v>143</v>
      </c>
      <c r="C6" s="90" t="s">
        <v>257</v>
      </c>
      <c r="D6" s="92" t="s">
        <v>287</v>
      </c>
      <c r="E6" s="15" t="s">
        <v>144</v>
      </c>
      <c r="F6" s="15" t="s">
        <v>145</v>
      </c>
      <c r="G6" s="16" t="s">
        <v>146</v>
      </c>
    </row>
    <row r="7" spans="1:8" x14ac:dyDescent="0.15">
      <c r="A7" s="56" t="s">
        <v>214</v>
      </c>
      <c r="B7" s="40">
        <v>80186.717579589997</v>
      </c>
      <c r="C7" s="40">
        <v>54308.667579590001</v>
      </c>
      <c r="D7" s="40">
        <v>45.01</v>
      </c>
      <c r="E7" s="40">
        <v>13367.45</v>
      </c>
      <c r="F7" s="40">
        <v>12175.23</v>
      </c>
      <c r="G7" s="41">
        <v>290.36</v>
      </c>
      <c r="H7" s="91"/>
    </row>
    <row r="8" spans="1:8" x14ac:dyDescent="0.15">
      <c r="A8" s="56" t="s">
        <v>215</v>
      </c>
      <c r="B8" s="40">
        <v>80656.192253299974</v>
      </c>
      <c r="C8" s="40">
        <v>54649.262253299996</v>
      </c>
      <c r="D8" s="40">
        <v>44.09</v>
      </c>
      <c r="E8" s="40">
        <v>13488.71</v>
      </c>
      <c r="F8" s="40">
        <v>12190.4</v>
      </c>
      <c r="G8" s="41">
        <v>283.68</v>
      </c>
      <c r="H8" s="91"/>
    </row>
    <row r="9" spans="1:8" x14ac:dyDescent="0.15">
      <c r="A9" s="56" t="s">
        <v>216</v>
      </c>
      <c r="B9" s="40">
        <v>82197.228995260011</v>
      </c>
      <c r="C9" s="40">
        <v>55518.568995260001</v>
      </c>
      <c r="D9" s="40">
        <v>40.6</v>
      </c>
      <c r="E9" s="40">
        <v>13774.27</v>
      </c>
      <c r="F9" s="40">
        <v>12563.63</v>
      </c>
      <c r="G9" s="41">
        <v>300.06</v>
      </c>
      <c r="H9" s="91"/>
    </row>
    <row r="10" spans="1:8" x14ac:dyDescent="0.15">
      <c r="A10" s="56" t="s">
        <v>217</v>
      </c>
      <c r="B10" s="40">
        <v>83672.719745189999</v>
      </c>
      <c r="C10" s="40">
        <v>56655.159745189994</v>
      </c>
      <c r="D10" s="40">
        <v>42.84</v>
      </c>
      <c r="E10" s="40">
        <v>14012.93</v>
      </c>
      <c r="F10" s="40">
        <v>12585.8</v>
      </c>
      <c r="G10" s="41">
        <v>375.13</v>
      </c>
      <c r="H10" s="91"/>
    </row>
    <row r="11" spans="1:8" x14ac:dyDescent="0.15">
      <c r="A11" s="56" t="s">
        <v>218</v>
      </c>
      <c r="B11" s="40">
        <v>84450.43935103</v>
      </c>
      <c r="C11" s="40">
        <v>57307.209351030004</v>
      </c>
      <c r="D11" s="40">
        <v>42.11</v>
      </c>
      <c r="E11" s="40">
        <v>14171.86</v>
      </c>
      <c r="F11" s="40">
        <v>12528.25</v>
      </c>
      <c r="G11" s="41">
        <v>401.01</v>
      </c>
      <c r="H11" s="91"/>
    </row>
    <row r="12" spans="1:8" x14ac:dyDescent="0.15">
      <c r="A12" s="56" t="s">
        <v>219</v>
      </c>
      <c r="B12" s="40">
        <v>85756.895672159997</v>
      </c>
      <c r="C12" s="40">
        <v>58222.895672159997</v>
      </c>
      <c r="D12" s="40">
        <v>43.25</v>
      </c>
      <c r="E12" s="40">
        <v>14425.75</v>
      </c>
      <c r="F12" s="40">
        <v>12643.32</v>
      </c>
      <c r="G12" s="41">
        <v>421.65</v>
      </c>
      <c r="H12" s="91"/>
    </row>
    <row r="13" spans="1:8" x14ac:dyDescent="0.15">
      <c r="A13" s="56" t="s">
        <v>220</v>
      </c>
      <c r="B13" s="40">
        <v>86937.217316210008</v>
      </c>
      <c r="C13" s="40">
        <v>59085.53731621</v>
      </c>
      <c r="D13" s="40">
        <v>45.73</v>
      </c>
      <c r="E13" s="40">
        <v>14368.78</v>
      </c>
      <c r="F13" s="40">
        <v>12997.45</v>
      </c>
      <c r="G13" s="41">
        <v>439.72</v>
      </c>
      <c r="H13" s="91"/>
    </row>
    <row r="14" spans="1:8" x14ac:dyDescent="0.15">
      <c r="A14" s="89" t="s">
        <v>222</v>
      </c>
      <c r="B14" s="40">
        <v>87935.913338660001</v>
      </c>
      <c r="C14" s="40">
        <v>59688.563338660002</v>
      </c>
      <c r="D14" s="40">
        <v>46.01</v>
      </c>
      <c r="E14" s="40">
        <v>14515.48</v>
      </c>
      <c r="F14" s="40">
        <v>13214.89</v>
      </c>
      <c r="G14" s="41">
        <v>470.97</v>
      </c>
      <c r="H14" s="91"/>
    </row>
    <row r="15" spans="1:8" x14ac:dyDescent="0.15">
      <c r="A15" s="89" t="s">
        <v>223</v>
      </c>
      <c r="B15" s="40">
        <v>89016.401199219996</v>
      </c>
      <c r="C15" s="40">
        <v>60194.161199219998</v>
      </c>
      <c r="D15" s="40">
        <v>43.24</v>
      </c>
      <c r="E15" s="40">
        <v>14689.54</v>
      </c>
      <c r="F15" s="40">
        <v>13559.41</v>
      </c>
      <c r="G15" s="41">
        <v>530.04999999999995</v>
      </c>
      <c r="H15" s="91"/>
    </row>
    <row r="16" spans="1:8" x14ac:dyDescent="0.15">
      <c r="A16" s="89" t="s">
        <v>224</v>
      </c>
      <c r="B16" s="40">
        <v>89748.961883000025</v>
      </c>
      <c r="C16" s="40">
        <v>60453.051883000007</v>
      </c>
      <c r="D16" s="40">
        <v>42.6</v>
      </c>
      <c r="E16" s="40">
        <v>14970.5</v>
      </c>
      <c r="F16" s="40">
        <v>13739.49</v>
      </c>
      <c r="G16" s="41">
        <v>543.32000000000005</v>
      </c>
      <c r="H16" s="91"/>
    </row>
    <row r="17" spans="1:8" x14ac:dyDescent="0.15">
      <c r="A17" s="89" t="s">
        <v>225</v>
      </c>
      <c r="B17" s="40">
        <v>90697.74511008001</v>
      </c>
      <c r="C17" s="40">
        <v>60746.385110080002</v>
      </c>
      <c r="D17" s="40">
        <v>46.31</v>
      </c>
      <c r="E17" s="40">
        <v>15343.25</v>
      </c>
      <c r="F17" s="40">
        <v>14018.55</v>
      </c>
      <c r="G17" s="41">
        <v>543.25</v>
      </c>
      <c r="H17" s="91"/>
    </row>
    <row r="18" spans="1:8" x14ac:dyDescent="0.15">
      <c r="A18" s="89" t="s">
        <v>227</v>
      </c>
      <c r="B18" s="40">
        <v>91522.957456510005</v>
      </c>
      <c r="C18" s="40">
        <v>60977.697456510003</v>
      </c>
      <c r="D18" s="40">
        <v>50.16</v>
      </c>
      <c r="E18" s="40">
        <v>15565.64</v>
      </c>
      <c r="F18" s="40">
        <v>14319.36</v>
      </c>
      <c r="G18" s="41">
        <v>610.1</v>
      </c>
      <c r="H18" s="91"/>
    </row>
    <row r="19" spans="1:8" x14ac:dyDescent="0.15">
      <c r="A19" s="89" t="s">
        <v>228</v>
      </c>
      <c r="B19" s="40">
        <v>92234.908035059983</v>
      </c>
      <c r="C19" s="40">
        <v>61434.478035059998</v>
      </c>
      <c r="D19" s="40">
        <v>46.74</v>
      </c>
      <c r="E19" s="40">
        <v>15701.15</v>
      </c>
      <c r="F19" s="40">
        <v>14323.95</v>
      </c>
      <c r="G19" s="41">
        <v>728.59</v>
      </c>
      <c r="H19" s="91"/>
    </row>
    <row r="20" spans="1:8" x14ac:dyDescent="0.15">
      <c r="A20" s="89" t="s">
        <v>230</v>
      </c>
      <c r="B20" s="40">
        <v>92941.966246319993</v>
      </c>
      <c r="C20" s="40">
        <v>61954.416246319997</v>
      </c>
      <c r="D20" s="40">
        <v>44.75</v>
      </c>
      <c r="E20" s="40">
        <v>15759.46</v>
      </c>
      <c r="F20" s="40">
        <v>14385.97</v>
      </c>
      <c r="G20" s="41">
        <v>797.37</v>
      </c>
      <c r="H20" s="91"/>
    </row>
    <row r="21" spans="1:8" x14ac:dyDescent="0.15">
      <c r="A21" s="89" t="s">
        <v>231</v>
      </c>
      <c r="B21" s="40">
        <v>93718.477199159999</v>
      </c>
      <c r="C21" s="40">
        <v>62226.83719916</v>
      </c>
      <c r="D21" s="40">
        <v>44.79</v>
      </c>
      <c r="E21" s="40">
        <v>15863.31</v>
      </c>
      <c r="F21" s="40">
        <v>14711.36</v>
      </c>
      <c r="G21" s="41">
        <v>872.18</v>
      </c>
      <c r="H21" s="91"/>
    </row>
    <row r="22" spans="1:8" x14ac:dyDescent="0.15">
      <c r="A22" s="89" t="s">
        <v>234</v>
      </c>
      <c r="B22" s="40">
        <v>94983.339490630009</v>
      </c>
      <c r="C22" s="40">
        <v>63127.979490630001</v>
      </c>
      <c r="D22" s="40">
        <v>45.82</v>
      </c>
      <c r="E22" s="40">
        <v>15914.85</v>
      </c>
      <c r="F22" s="40">
        <v>15016.98</v>
      </c>
      <c r="G22" s="41">
        <v>877.71</v>
      </c>
      <c r="H22" s="91"/>
    </row>
    <row r="23" spans="1:8" x14ac:dyDescent="0.15">
      <c r="A23" s="89" t="s">
        <v>237</v>
      </c>
      <c r="B23" s="40">
        <v>96142.959741750004</v>
      </c>
      <c r="C23" s="40">
        <v>63825.939741750008</v>
      </c>
      <c r="D23" s="40">
        <v>46.51</v>
      </c>
      <c r="E23" s="40">
        <v>16255.12</v>
      </c>
      <c r="F23" s="40">
        <v>15141.5</v>
      </c>
      <c r="G23" s="41">
        <v>873.89</v>
      </c>
      <c r="H23" s="91"/>
    </row>
    <row r="24" spans="1:8" x14ac:dyDescent="0.15">
      <c r="A24" s="89" t="s">
        <v>238</v>
      </c>
      <c r="B24" s="40">
        <v>97247.388859249986</v>
      </c>
      <c r="C24" s="40">
        <v>64683.888859249993</v>
      </c>
      <c r="D24" s="40">
        <v>46.86</v>
      </c>
      <c r="E24" s="40">
        <v>16656.95</v>
      </c>
      <c r="F24" s="40">
        <v>15066.9</v>
      </c>
      <c r="G24" s="41">
        <v>792.79</v>
      </c>
      <c r="H24" s="91"/>
    </row>
    <row r="25" spans="1:8" x14ac:dyDescent="0.15">
      <c r="A25" s="89" t="s">
        <v>239</v>
      </c>
      <c r="B25" s="40">
        <v>98311.361736570005</v>
      </c>
      <c r="C25" s="40">
        <v>65536.161736570008</v>
      </c>
      <c r="D25" s="40">
        <v>46.36</v>
      </c>
      <c r="E25" s="40">
        <v>16880.16</v>
      </c>
      <c r="F25" s="40">
        <v>15087.87</v>
      </c>
      <c r="G25" s="41">
        <v>760.81</v>
      </c>
      <c r="H25" s="91"/>
    </row>
    <row r="26" spans="1:8" x14ac:dyDescent="0.15">
      <c r="A26" s="89" t="s">
        <v>241</v>
      </c>
      <c r="B26" s="40">
        <v>94195.501012399982</v>
      </c>
      <c r="C26" s="40">
        <v>60999.101012399995</v>
      </c>
      <c r="D26" s="40">
        <v>49.35</v>
      </c>
      <c r="E26" s="40">
        <v>17119.54</v>
      </c>
      <c r="F26" s="40">
        <v>15268.97</v>
      </c>
      <c r="G26" s="41">
        <v>758.54</v>
      </c>
      <c r="H26" s="91"/>
    </row>
    <row r="27" spans="1:8" x14ac:dyDescent="0.15">
      <c r="A27" s="89" t="s">
        <v>242</v>
      </c>
      <c r="B27" s="40">
        <v>100446.12456662</v>
      </c>
      <c r="C27" s="40">
        <v>67074.244566620007</v>
      </c>
      <c r="D27" s="40">
        <v>49.92</v>
      </c>
      <c r="E27" s="40">
        <v>17106.64</v>
      </c>
      <c r="F27" s="40">
        <v>15417.67</v>
      </c>
      <c r="G27" s="41">
        <v>797.65</v>
      </c>
      <c r="H27" s="91"/>
    </row>
    <row r="28" spans="1:8" x14ac:dyDescent="0.15">
      <c r="A28" s="89" t="s">
        <v>245</v>
      </c>
      <c r="B28" s="40">
        <v>101264.61943570001</v>
      </c>
      <c r="C28" s="40">
        <v>67608.759435700005</v>
      </c>
      <c r="D28" s="40">
        <v>48.61</v>
      </c>
      <c r="E28" s="40">
        <v>17199.18</v>
      </c>
      <c r="F28" s="40">
        <v>15551.6</v>
      </c>
      <c r="G28" s="41">
        <v>856.47</v>
      </c>
      <c r="H28" s="91"/>
    </row>
    <row r="29" spans="1:8" x14ac:dyDescent="0.15">
      <c r="A29" s="89" t="s">
        <v>246</v>
      </c>
      <c r="B29" s="40">
        <v>101685.06903906999</v>
      </c>
      <c r="C29" s="40">
        <v>67720.679039070004</v>
      </c>
      <c r="D29" s="40">
        <v>60.64</v>
      </c>
      <c r="E29" s="40">
        <v>17492.349999999999</v>
      </c>
      <c r="F29" s="40">
        <v>15580.45</v>
      </c>
      <c r="G29" s="41">
        <v>830.95</v>
      </c>
      <c r="H29" s="91"/>
    </row>
    <row r="30" spans="1:8" x14ac:dyDescent="0.15">
      <c r="A30" s="89" t="s">
        <v>247</v>
      </c>
      <c r="B30" s="40">
        <v>101592.54482177</v>
      </c>
      <c r="C30" s="40">
        <v>67565.934821770003</v>
      </c>
      <c r="D30" s="40">
        <v>59.39</v>
      </c>
      <c r="E30" s="40">
        <v>17660</v>
      </c>
      <c r="F30" s="40">
        <v>15638.37</v>
      </c>
      <c r="G30" s="41">
        <v>668.85</v>
      </c>
      <c r="H30" s="91"/>
    </row>
    <row r="31" spans="1:8" x14ac:dyDescent="0.15">
      <c r="A31" s="89" t="s">
        <v>248</v>
      </c>
      <c r="B31" s="40">
        <v>101449.60691565998</v>
      </c>
      <c r="C31" s="40">
        <v>67273.496915659998</v>
      </c>
      <c r="D31" s="40">
        <v>55.04</v>
      </c>
      <c r="E31" s="40">
        <v>17614.96</v>
      </c>
      <c r="F31" s="40">
        <v>15654.41</v>
      </c>
      <c r="G31" s="41">
        <v>851.7</v>
      </c>
      <c r="H31" s="91"/>
    </row>
    <row r="32" spans="1:8" x14ac:dyDescent="0.15">
      <c r="A32" s="89" t="s">
        <v>250</v>
      </c>
      <c r="B32" s="40">
        <v>101241.59952185</v>
      </c>
      <c r="C32" s="40">
        <v>67158.129521850002</v>
      </c>
      <c r="D32" s="40">
        <v>55.73</v>
      </c>
      <c r="E32" s="40">
        <v>17576.43</v>
      </c>
      <c r="F32" s="40">
        <v>15581.91</v>
      </c>
      <c r="G32" s="41">
        <v>869.4</v>
      </c>
      <c r="H32" s="91"/>
    </row>
    <row r="33" spans="1:8" x14ac:dyDescent="0.15">
      <c r="A33" s="89" t="s">
        <v>253</v>
      </c>
      <c r="B33" s="40">
        <v>101065.03805127001</v>
      </c>
      <c r="C33" s="40">
        <v>67001.018051270003</v>
      </c>
      <c r="D33" s="40">
        <v>55.25</v>
      </c>
      <c r="E33" s="40">
        <v>17770.18</v>
      </c>
      <c r="F33" s="40">
        <v>15401.11</v>
      </c>
      <c r="G33" s="41">
        <v>837.48</v>
      </c>
      <c r="H33" s="91"/>
    </row>
    <row r="34" spans="1:8" x14ac:dyDescent="0.15">
      <c r="A34" s="89" t="s">
        <v>255</v>
      </c>
      <c r="B34" s="40">
        <v>101100.56181779</v>
      </c>
      <c r="C34" s="40">
        <v>67108.991817789996</v>
      </c>
      <c r="D34" s="40">
        <v>49.92</v>
      </c>
      <c r="E34" s="40">
        <v>17864.64</v>
      </c>
      <c r="F34" s="40">
        <v>15272.99</v>
      </c>
      <c r="G34" s="41">
        <v>804.02</v>
      </c>
      <c r="H34" s="91"/>
    </row>
    <row r="35" spans="1:8" x14ac:dyDescent="0.15">
      <c r="A35" s="89" t="s">
        <v>258</v>
      </c>
      <c r="B35" s="40">
        <v>101647.5282058</v>
      </c>
      <c r="C35" s="40">
        <v>67821.548205800005</v>
      </c>
      <c r="D35" s="40">
        <v>50.56</v>
      </c>
      <c r="E35" s="40">
        <v>17821.97</v>
      </c>
      <c r="F35" s="40">
        <v>15155.45</v>
      </c>
      <c r="G35" s="41">
        <v>798</v>
      </c>
      <c r="H35" s="91"/>
    </row>
    <row r="36" spans="1:8" x14ac:dyDescent="0.15">
      <c r="A36" s="89" t="s">
        <v>260</v>
      </c>
      <c r="B36" s="40">
        <v>102348.67862338998</v>
      </c>
      <c r="C36" s="40">
        <v>68550.298623389986</v>
      </c>
      <c r="D36" s="40">
        <v>50.91</v>
      </c>
      <c r="E36" s="40">
        <v>17816.810000000001</v>
      </c>
      <c r="F36" s="40">
        <v>15099.4</v>
      </c>
      <c r="G36" s="41">
        <v>831.26</v>
      </c>
      <c r="H36" s="91"/>
    </row>
    <row r="37" spans="1:8" x14ac:dyDescent="0.15">
      <c r="A37" s="89" t="s">
        <v>264</v>
      </c>
      <c r="B37" s="40">
        <v>103001.57070498001</v>
      </c>
      <c r="C37" s="40">
        <v>69234.380704979994</v>
      </c>
      <c r="D37" s="40">
        <v>50.78</v>
      </c>
      <c r="E37" s="40">
        <v>17809.79</v>
      </c>
      <c r="F37" s="40">
        <v>15035.41</v>
      </c>
      <c r="G37" s="41">
        <v>871.21</v>
      </c>
      <c r="H37" s="91"/>
    </row>
    <row r="38" spans="1:8" x14ac:dyDescent="0.15">
      <c r="A38" s="89" t="s">
        <v>266</v>
      </c>
      <c r="B38" s="40">
        <v>103564.91889009</v>
      </c>
      <c r="C38" s="40">
        <v>69745.048890090009</v>
      </c>
      <c r="D38" s="40">
        <v>50.43</v>
      </c>
      <c r="E38" s="40">
        <v>17899.47</v>
      </c>
      <c r="F38" s="40">
        <v>14909.61</v>
      </c>
      <c r="G38" s="41">
        <v>960.36</v>
      </c>
      <c r="H38" s="91"/>
    </row>
    <row r="39" spans="1:8" x14ac:dyDescent="0.15">
      <c r="A39" s="89" t="s">
        <v>267</v>
      </c>
      <c r="B39" s="40">
        <v>103971.65916785001</v>
      </c>
      <c r="C39" s="40">
        <v>70073.369167850004</v>
      </c>
      <c r="D39" s="40">
        <v>48.94</v>
      </c>
      <c r="E39" s="40">
        <v>18038.150000000001</v>
      </c>
      <c r="F39" s="40">
        <v>14850.57</v>
      </c>
      <c r="G39" s="41">
        <v>960.63</v>
      </c>
      <c r="H39" s="91"/>
    </row>
    <row r="40" spans="1:8" x14ac:dyDescent="0.15">
      <c r="A40" s="89" t="s">
        <v>269</v>
      </c>
      <c r="B40" s="40">
        <v>104690.64310284999</v>
      </c>
      <c r="C40" s="40">
        <v>70658.240685659999</v>
      </c>
      <c r="D40" s="40">
        <v>51.31</v>
      </c>
      <c r="E40" s="40">
        <v>18087.90330107</v>
      </c>
      <c r="F40" s="40">
        <v>14874.229116120001</v>
      </c>
      <c r="G40" s="41">
        <v>1018.96</v>
      </c>
      <c r="H40" s="91"/>
    </row>
    <row r="41" spans="1:8" x14ac:dyDescent="0.15">
      <c r="A41" s="89" t="s">
        <v>271</v>
      </c>
      <c r="B41" s="40">
        <v>104691.19910491002</v>
      </c>
      <c r="C41" s="40">
        <v>70785.994362010009</v>
      </c>
      <c r="D41" s="40">
        <v>47.03</v>
      </c>
      <c r="E41" s="40">
        <v>18103.393556079998</v>
      </c>
      <c r="F41" s="40">
        <v>14737.321186820001</v>
      </c>
      <c r="G41" s="41">
        <v>1017.46</v>
      </c>
      <c r="H41" s="91"/>
    </row>
    <row r="42" spans="1:8" x14ac:dyDescent="0.15">
      <c r="A42" s="120" t="s">
        <v>273</v>
      </c>
      <c r="B42" s="121">
        <v>105249.31179342997</v>
      </c>
      <c r="C42" s="121">
        <v>71390.632951089981</v>
      </c>
      <c r="D42" s="121">
        <v>44.34</v>
      </c>
      <c r="E42" s="121">
        <v>18229.163380310001</v>
      </c>
      <c r="F42" s="121">
        <v>14568.99546203</v>
      </c>
      <c r="G42" s="122">
        <v>1016.18</v>
      </c>
      <c r="H42" s="119"/>
    </row>
    <row r="43" spans="1:8" x14ac:dyDescent="0.15">
      <c r="A43" s="89" t="s">
        <v>274</v>
      </c>
      <c r="B43" s="40">
        <v>105028.61105913001</v>
      </c>
      <c r="C43" s="40">
        <v>71479.650785300008</v>
      </c>
      <c r="D43" s="40">
        <v>42.78</v>
      </c>
      <c r="E43" s="40">
        <v>18247.095851800001</v>
      </c>
      <c r="F43" s="40">
        <v>14254.47442203</v>
      </c>
      <c r="G43" s="41">
        <v>1004.61</v>
      </c>
      <c r="H43" s="91"/>
    </row>
    <row r="44" spans="1:8" x14ac:dyDescent="0.15">
      <c r="A44" s="89" t="s">
        <v>276</v>
      </c>
      <c r="B44" s="40">
        <v>103271.13867064999</v>
      </c>
      <c r="C44" s="40">
        <v>71573.688471579997</v>
      </c>
      <c r="D44" s="40">
        <v>40.950000000000003</v>
      </c>
      <c r="E44" s="40">
        <v>18188.1102928</v>
      </c>
      <c r="F44" s="40">
        <v>13262.329906270001</v>
      </c>
      <c r="G44" s="41">
        <v>206.06</v>
      </c>
      <c r="H44" s="91"/>
    </row>
    <row r="45" spans="1:8" x14ac:dyDescent="0.15">
      <c r="A45" s="89" t="s">
        <v>278</v>
      </c>
      <c r="B45" s="40">
        <v>103036.17310887</v>
      </c>
      <c r="C45" s="40">
        <v>71635.841014699996</v>
      </c>
      <c r="D45" s="40">
        <v>41.61</v>
      </c>
      <c r="E45" s="40">
        <v>18187.087579319999</v>
      </c>
      <c r="F45" s="40">
        <v>12965.644514850001</v>
      </c>
      <c r="G45" s="41">
        <v>205.99</v>
      </c>
      <c r="H45" s="91"/>
    </row>
    <row r="46" spans="1:8" x14ac:dyDescent="0.15">
      <c r="A46" s="89" t="s">
        <v>279</v>
      </c>
      <c r="B46" s="40">
        <v>104296.33656678001</v>
      </c>
      <c r="C46" s="40">
        <v>72043.753676330016</v>
      </c>
      <c r="D46" s="40">
        <v>40.590000000000003</v>
      </c>
      <c r="E46" s="40">
        <v>18118.402208789998</v>
      </c>
      <c r="F46" s="40">
        <v>13886.09068166</v>
      </c>
      <c r="G46" s="41">
        <v>207.5</v>
      </c>
      <c r="H46" s="91"/>
    </row>
    <row r="47" spans="1:8" ht="18" customHeight="1" x14ac:dyDescent="0.15">
      <c r="A47" s="89" t="s">
        <v>280</v>
      </c>
      <c r="B47" s="40">
        <v>104664.37723201001</v>
      </c>
      <c r="C47" s="40">
        <v>72417.999562590005</v>
      </c>
      <c r="D47" s="40">
        <v>40.24</v>
      </c>
      <c r="E47" s="40">
        <v>18168.4141963</v>
      </c>
      <c r="F47" s="40">
        <v>13829.433473120002</v>
      </c>
      <c r="G47" s="41">
        <v>208.29</v>
      </c>
      <c r="H47" s="91"/>
    </row>
    <row r="48" spans="1:8" ht="18" customHeight="1" x14ac:dyDescent="0.15">
      <c r="A48" s="89" t="s">
        <v>282</v>
      </c>
      <c r="B48" s="40">
        <v>105219.71727591001</v>
      </c>
      <c r="C48" s="40">
        <v>73029.477841209999</v>
      </c>
      <c r="D48" s="40">
        <v>40.39</v>
      </c>
      <c r="E48" s="40">
        <v>18100.80019116</v>
      </c>
      <c r="F48" s="40">
        <v>13810.809243539999</v>
      </c>
      <c r="G48" s="41">
        <v>238.24</v>
      </c>
      <c r="H48" s="91"/>
    </row>
    <row r="49" spans="1:8" ht="18" customHeight="1" x14ac:dyDescent="0.15">
      <c r="A49" s="89" t="s">
        <v>283</v>
      </c>
      <c r="B49" s="40">
        <v>106318.43618181998</v>
      </c>
      <c r="C49" s="40">
        <v>74188.442517069983</v>
      </c>
      <c r="D49" s="40">
        <v>39.72</v>
      </c>
      <c r="E49" s="40">
        <v>18196.75998115</v>
      </c>
      <c r="F49" s="40">
        <v>13674.5936836</v>
      </c>
      <c r="G49" s="41">
        <v>218.92</v>
      </c>
      <c r="H49" s="91"/>
    </row>
    <row r="50" spans="1:8" ht="18" customHeight="1" x14ac:dyDescent="0.15">
      <c r="A50" s="89" t="s">
        <v>284</v>
      </c>
      <c r="B50" s="40">
        <v>106501.56940479</v>
      </c>
      <c r="C50" s="40">
        <v>74405.599983289998</v>
      </c>
      <c r="D50" s="40">
        <v>39.81</v>
      </c>
      <c r="E50" s="40">
        <v>18210.520818600002</v>
      </c>
      <c r="F50" s="40">
        <v>13626.5986029</v>
      </c>
      <c r="G50" s="41">
        <v>219.04</v>
      </c>
      <c r="H50" s="91"/>
    </row>
    <row r="51" spans="1:8" ht="18" customHeight="1" x14ac:dyDescent="0.15">
      <c r="A51" s="89" t="s">
        <v>285</v>
      </c>
      <c r="B51" s="40">
        <v>106696.22647831</v>
      </c>
      <c r="C51" s="40">
        <v>74703.756128270004</v>
      </c>
      <c r="D51" s="40">
        <v>40.869999999999997</v>
      </c>
      <c r="E51" s="40">
        <v>18119.108475329998</v>
      </c>
      <c r="F51" s="40">
        <v>13619.111874710001</v>
      </c>
      <c r="G51" s="41">
        <v>213.38</v>
      </c>
      <c r="H51" s="91"/>
    </row>
    <row r="52" spans="1:8" ht="18" customHeight="1" x14ac:dyDescent="0.15">
      <c r="A52" s="89" t="s">
        <v>289</v>
      </c>
      <c r="B52" s="40">
        <v>106819.90926065999</v>
      </c>
      <c r="C52" s="40">
        <v>74828.185265909997</v>
      </c>
      <c r="D52" s="40">
        <v>39.85</v>
      </c>
      <c r="E52" s="40">
        <v>18091.25504828</v>
      </c>
      <c r="F52" s="40">
        <v>13647.578946469999</v>
      </c>
      <c r="G52" s="41">
        <v>213.04</v>
      </c>
      <c r="H52" s="91"/>
    </row>
    <row r="53" spans="1:8" ht="18" customHeight="1" x14ac:dyDescent="0.15">
      <c r="A53" s="89" t="s">
        <v>290</v>
      </c>
      <c r="B53" s="40">
        <v>107481.28896395001</v>
      </c>
      <c r="C53" s="40">
        <v>75346.318851210002</v>
      </c>
      <c r="D53" s="40">
        <v>39.85</v>
      </c>
      <c r="E53" s="40">
        <v>18266.914568579999</v>
      </c>
      <c r="F53" s="40">
        <v>13614.975544159999</v>
      </c>
      <c r="G53" s="41">
        <v>213.23</v>
      </c>
      <c r="H53" s="91"/>
    </row>
    <row r="54" spans="1:8" ht="18" customHeight="1" x14ac:dyDescent="0.15">
      <c r="A54" s="89" t="s">
        <v>291</v>
      </c>
      <c r="B54" s="40">
        <v>107683.55903690001</v>
      </c>
      <c r="C54" s="40">
        <v>75180.01286983001</v>
      </c>
      <c r="D54" s="40">
        <v>40.19</v>
      </c>
      <c r="E54" s="40">
        <v>18374.771428640001</v>
      </c>
      <c r="F54" s="40">
        <v>13872.074738429999</v>
      </c>
      <c r="G54" s="104">
        <v>216.51</v>
      </c>
      <c r="H54" s="91"/>
    </row>
    <row r="55" spans="1:8" ht="18" customHeight="1" x14ac:dyDescent="0.15">
      <c r="A55" s="89" t="s">
        <v>292</v>
      </c>
      <c r="B55" s="40">
        <v>107268.53392587999</v>
      </c>
      <c r="C55" s="40">
        <v>74879.850313219998</v>
      </c>
      <c r="D55" s="40">
        <v>35.39</v>
      </c>
      <c r="E55" s="40">
        <v>18347.306741780001</v>
      </c>
      <c r="F55" s="40">
        <v>13789.346870879999</v>
      </c>
      <c r="G55" s="104">
        <v>216.64</v>
      </c>
      <c r="H55" s="91"/>
    </row>
    <row r="56" spans="1:8" ht="18" customHeight="1" x14ac:dyDescent="0.15">
      <c r="A56" s="89" t="s">
        <v>293</v>
      </c>
      <c r="B56" s="114">
        <v>107276.39880751002</v>
      </c>
      <c r="C56" s="114">
        <v>74908.890706440012</v>
      </c>
      <c r="D56" s="114">
        <v>34.020000000000003</v>
      </c>
      <c r="E56" s="114">
        <v>18406.270908869999</v>
      </c>
      <c r="F56" s="114">
        <v>13698.947192200001</v>
      </c>
      <c r="G56" s="104">
        <v>228.27</v>
      </c>
      <c r="H56" s="91"/>
    </row>
    <row r="57" spans="1:8" ht="18" customHeight="1" x14ac:dyDescent="0.15">
      <c r="A57" s="89" t="s">
        <v>294</v>
      </c>
      <c r="B57" s="114">
        <v>107516.48372155998</v>
      </c>
      <c r="C57" s="114">
        <v>75143.866089379997</v>
      </c>
      <c r="D57" s="114">
        <v>35.29</v>
      </c>
      <c r="E57" s="114">
        <v>18590.54772224</v>
      </c>
      <c r="F57" s="114">
        <v>13569.059909940001</v>
      </c>
      <c r="G57" s="104">
        <v>177.72</v>
      </c>
      <c r="H57" s="91"/>
    </row>
    <row r="58" spans="1:8" ht="18" customHeight="1" x14ac:dyDescent="0.15">
      <c r="A58" s="89" t="s">
        <v>295</v>
      </c>
      <c r="B58" s="114">
        <v>108720.60189681001</v>
      </c>
      <c r="C58" s="114">
        <v>76077.112529329999</v>
      </c>
      <c r="D58" s="114">
        <v>35.07</v>
      </c>
      <c r="E58" s="114">
        <v>18633.624387</v>
      </c>
      <c r="F58" s="114">
        <v>13810.50498048</v>
      </c>
      <c r="G58" s="104">
        <v>164.29</v>
      </c>
      <c r="H58" s="91"/>
    </row>
    <row r="59" spans="1:8" ht="18" customHeight="1" x14ac:dyDescent="0.15">
      <c r="A59" s="89" t="s">
        <v>298</v>
      </c>
      <c r="B59" s="114">
        <v>108986.74100961002</v>
      </c>
      <c r="C59" s="114">
        <v>76372.122335890017</v>
      </c>
      <c r="D59" s="114">
        <v>33.729999999999997</v>
      </c>
      <c r="E59" s="114">
        <v>18588.69512493</v>
      </c>
      <c r="F59" s="114">
        <v>13828.283548789999</v>
      </c>
      <c r="G59" s="104">
        <v>163.91</v>
      </c>
      <c r="H59" s="91"/>
    </row>
    <row r="60" spans="1:8" ht="18" customHeight="1" x14ac:dyDescent="0.15">
      <c r="A60" s="89" t="s">
        <v>299</v>
      </c>
      <c r="B60" s="40">
        <v>110454.01980484001</v>
      </c>
      <c r="C60" s="40">
        <v>77834.805779219998</v>
      </c>
      <c r="D60" s="40">
        <v>33.630000000000003</v>
      </c>
      <c r="E60" s="40">
        <v>18543.776235239999</v>
      </c>
      <c r="F60" s="40">
        <v>13894.44779038</v>
      </c>
      <c r="G60" s="104">
        <v>147.36000000000001</v>
      </c>
      <c r="H60" s="91"/>
    </row>
    <row r="61" spans="1:8" ht="18" customHeight="1" x14ac:dyDescent="0.15">
      <c r="A61" s="89" t="s">
        <v>300</v>
      </c>
      <c r="B61" s="114">
        <v>110655.21828608001</v>
      </c>
      <c r="C61" s="114">
        <v>78098.523002829999</v>
      </c>
      <c r="D61" s="114">
        <v>33.57</v>
      </c>
      <c r="E61" s="114">
        <v>18545.51222932</v>
      </c>
      <c r="F61" s="114">
        <v>13852.453053929999</v>
      </c>
      <c r="G61" s="104">
        <v>125.16</v>
      </c>
      <c r="H61" s="91"/>
    </row>
    <row r="62" spans="1:8" ht="18" customHeight="1" x14ac:dyDescent="0.15">
      <c r="A62" s="89" t="s">
        <v>301</v>
      </c>
      <c r="B62" s="114">
        <v>111350.57223121</v>
      </c>
      <c r="C62" s="114">
        <v>78625.766976939994</v>
      </c>
      <c r="D62" s="114">
        <v>33.229999999999997</v>
      </c>
      <c r="E62" s="114">
        <v>18696.27935845</v>
      </c>
      <c r="F62" s="114">
        <v>13873.695895819999</v>
      </c>
      <c r="G62" s="104">
        <v>121.6</v>
      </c>
      <c r="H62" s="91"/>
    </row>
    <row r="63" spans="1:8" ht="18" customHeight="1" x14ac:dyDescent="0.15">
      <c r="A63" s="89" t="s">
        <v>302</v>
      </c>
      <c r="B63" s="40">
        <v>112091.18201692001</v>
      </c>
      <c r="C63" s="114">
        <v>79395.554740710009</v>
      </c>
      <c r="D63" s="114">
        <v>32.31</v>
      </c>
      <c r="E63" s="114">
        <v>18743.384264509998</v>
      </c>
      <c r="F63" s="114">
        <v>13788.463011700002</v>
      </c>
      <c r="G63" s="104">
        <v>131.47</v>
      </c>
      <c r="H63" s="91"/>
    </row>
    <row r="64" spans="1:8" ht="18" customHeight="1" x14ac:dyDescent="0.15">
      <c r="A64" s="89" t="s">
        <v>303</v>
      </c>
      <c r="B64" s="40">
        <v>112634.46568238</v>
      </c>
      <c r="C64" s="114">
        <v>79700.702091899992</v>
      </c>
      <c r="D64" s="114">
        <v>32.74</v>
      </c>
      <c r="E64" s="114">
        <v>18772.471412309998</v>
      </c>
      <c r="F64" s="114">
        <v>14006.312178170001</v>
      </c>
      <c r="G64" s="104">
        <v>122.24</v>
      </c>
      <c r="H64" s="91"/>
    </row>
    <row r="65" spans="1:8" ht="18" customHeight="1" x14ac:dyDescent="0.15">
      <c r="A65" s="89" t="s">
        <v>304</v>
      </c>
      <c r="B65" s="40">
        <v>112782.49157607002</v>
      </c>
      <c r="C65" s="114">
        <v>79940.184778450013</v>
      </c>
      <c r="D65" s="114">
        <v>32.32</v>
      </c>
      <c r="E65" s="114">
        <v>18639.708764859999</v>
      </c>
      <c r="F65" s="114">
        <v>14057.64803276</v>
      </c>
      <c r="G65" s="104">
        <v>112.63</v>
      </c>
      <c r="H65" s="91"/>
    </row>
    <row r="66" spans="1:8" x14ac:dyDescent="0.15">
      <c r="A66" s="89" t="s">
        <v>305</v>
      </c>
      <c r="B66" s="40">
        <v>112756.28326572001</v>
      </c>
      <c r="C66" s="114">
        <v>79454.259177669999</v>
      </c>
      <c r="D66" s="114">
        <v>30.58</v>
      </c>
      <c r="E66" s="114">
        <v>18722.283736330002</v>
      </c>
      <c r="F66" s="114">
        <v>14437.26035172</v>
      </c>
      <c r="G66" s="104">
        <v>111.9</v>
      </c>
    </row>
    <row r="67" spans="1:8" x14ac:dyDescent="0.15">
      <c r="A67" s="89" t="s">
        <v>306</v>
      </c>
      <c r="B67" s="40">
        <v>112874.42591970004</v>
      </c>
      <c r="C67" s="114">
        <v>79448.63838044001</v>
      </c>
      <c r="D67" s="114">
        <v>29.86</v>
      </c>
      <c r="E67" s="114">
        <v>18795.487882280002</v>
      </c>
      <c r="F67" s="114">
        <v>14480.869656980001</v>
      </c>
      <c r="G67" s="104">
        <v>119.57</v>
      </c>
    </row>
    <row r="68" spans="1:8" x14ac:dyDescent="0.15">
      <c r="A68" s="89" t="s">
        <v>307</v>
      </c>
      <c r="B68" s="40">
        <v>113145.66414046999</v>
      </c>
      <c r="C68" s="114">
        <v>79592.304181589992</v>
      </c>
      <c r="D68" s="114">
        <v>28.71</v>
      </c>
      <c r="E68" s="114">
        <v>18924.08272799</v>
      </c>
      <c r="F68" s="114">
        <v>14487.36723089</v>
      </c>
      <c r="G68" s="104">
        <v>113.2</v>
      </c>
    </row>
    <row r="69" spans="1:8" x14ac:dyDescent="0.15">
      <c r="A69" s="89" t="s">
        <v>308</v>
      </c>
      <c r="B69" s="40">
        <v>114542.29905670002</v>
      </c>
      <c r="C69" s="114">
        <v>80896.309560600013</v>
      </c>
      <c r="D69" s="114">
        <v>29.32</v>
      </c>
      <c r="E69" s="114">
        <v>19045.779811559998</v>
      </c>
      <c r="F69" s="114">
        <v>14457.90968454</v>
      </c>
      <c r="G69" s="104">
        <v>112.98</v>
      </c>
    </row>
    <row r="70" spans="1:8" x14ac:dyDescent="0.15">
      <c r="A70" s="89" t="s">
        <v>309</v>
      </c>
      <c r="B70" s="40">
        <v>115488.52888702002</v>
      </c>
      <c r="C70" s="114">
        <v>82118.171932000012</v>
      </c>
      <c r="D70" s="114">
        <v>33.78</v>
      </c>
      <c r="E70" s="114">
        <v>19162.56727041</v>
      </c>
      <c r="F70" s="114">
        <v>14063.009684609999</v>
      </c>
      <c r="G70" s="104">
        <v>111</v>
      </c>
    </row>
    <row r="71" spans="1:8" x14ac:dyDescent="0.15">
      <c r="A71" s="13" t="s">
        <v>162</v>
      </c>
    </row>
    <row r="72" spans="1:8" x14ac:dyDescent="0.15">
      <c r="A72" s="118" t="s">
        <v>288</v>
      </c>
    </row>
  </sheetData>
  <mergeCells count="2">
    <mergeCell ref="A5:A6"/>
    <mergeCell ref="B5:G5"/>
  </mergeCells>
  <phoneticPr fontId="15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G151"/>
  <sheetViews>
    <sheetView zoomScale="85" zoomScaleNormal="85" workbookViewId="0">
      <pane xSplit="1" ySplit="3" topLeftCell="B139" activePane="bottomRight" state="frozen"/>
      <selection pane="topRight" activeCell="B1" sqref="B1"/>
      <selection pane="bottomLeft" activeCell="A4" sqref="A4"/>
      <selection pane="bottomRight" activeCell="H154" sqref="H154"/>
    </sheetView>
  </sheetViews>
  <sheetFormatPr defaultRowHeight="18" customHeight="1" x14ac:dyDescent="0.15"/>
  <cols>
    <col min="1" max="1" width="11.77734375" customWidth="1"/>
    <col min="7" max="7" width="8.88671875" customWidth="1"/>
  </cols>
  <sheetData>
    <row r="1" spans="1:7" ht="17.25" x14ac:dyDescent="0.15">
      <c r="A1" s="24" t="s">
        <v>159</v>
      </c>
      <c r="C1" s="22"/>
      <c r="D1" s="22"/>
      <c r="E1" s="22"/>
      <c r="F1" s="22"/>
      <c r="G1" s="22"/>
    </row>
    <row r="2" spans="1:7" ht="20.25" x14ac:dyDescent="0.15">
      <c r="A2" s="21"/>
      <c r="B2" s="22"/>
      <c r="C2" s="22"/>
      <c r="D2" s="22"/>
      <c r="E2" s="22"/>
      <c r="F2" s="22"/>
      <c r="G2" s="23" t="s">
        <v>147</v>
      </c>
    </row>
    <row r="3" spans="1:7" s="3" customFormat="1" ht="16.5" x14ac:dyDescent="0.15">
      <c r="A3" s="26"/>
      <c r="B3" s="25" t="s">
        <v>0</v>
      </c>
      <c r="C3" s="25" t="s">
        <v>1</v>
      </c>
      <c r="D3" s="25" t="s">
        <v>2</v>
      </c>
      <c r="E3" s="25" t="s">
        <v>3</v>
      </c>
      <c r="F3" s="25" t="s">
        <v>4</v>
      </c>
      <c r="G3" s="27" t="s">
        <v>5</v>
      </c>
    </row>
    <row r="4" spans="1:7" ht="18" customHeight="1" x14ac:dyDescent="0.15">
      <c r="A4" s="29">
        <v>201401</v>
      </c>
      <c r="B4" s="30">
        <v>2603.23</v>
      </c>
      <c r="C4" s="30">
        <v>2.5</v>
      </c>
      <c r="D4" s="31">
        <v>0.1</v>
      </c>
      <c r="E4" s="32">
        <v>0.17</v>
      </c>
      <c r="F4" s="32">
        <v>0.17</v>
      </c>
      <c r="G4" s="33">
        <v>0.08</v>
      </c>
    </row>
    <row r="5" spans="1:7" ht="18" customHeight="1" x14ac:dyDescent="0.15">
      <c r="A5" s="34">
        <v>201402</v>
      </c>
      <c r="B5" s="35">
        <v>2888.96</v>
      </c>
      <c r="C5" s="35">
        <v>4.6900000000000004</v>
      </c>
      <c r="D5" s="36">
        <v>0.16</v>
      </c>
      <c r="E5" s="37">
        <v>0.2</v>
      </c>
      <c r="F5" s="37">
        <v>0.35</v>
      </c>
      <c r="G5" s="38">
        <v>0.21</v>
      </c>
    </row>
    <row r="6" spans="1:7" ht="18" customHeight="1" x14ac:dyDescent="0.15">
      <c r="A6" s="34">
        <v>201403</v>
      </c>
      <c r="B6" s="35">
        <v>3187.61</v>
      </c>
      <c r="C6" s="35">
        <v>4.1900000000000004</v>
      </c>
      <c r="D6" s="36">
        <v>0.13</v>
      </c>
      <c r="E6" s="37">
        <v>0.13</v>
      </c>
      <c r="F6" s="37">
        <v>0.43</v>
      </c>
      <c r="G6" s="38">
        <v>0.28999999999999998</v>
      </c>
    </row>
    <row r="7" spans="1:7" ht="18" customHeight="1" x14ac:dyDescent="0.15">
      <c r="A7" s="34">
        <v>201404</v>
      </c>
      <c r="B7" s="35">
        <v>2844.73</v>
      </c>
      <c r="C7" s="35">
        <v>2.4500000000000002</v>
      </c>
      <c r="D7" s="36">
        <v>0.09</v>
      </c>
      <c r="E7" s="37">
        <v>0.22</v>
      </c>
      <c r="F7" s="37">
        <v>0.74</v>
      </c>
      <c r="G7" s="38">
        <v>0.22</v>
      </c>
    </row>
    <row r="8" spans="1:7" ht="18" customHeight="1" x14ac:dyDescent="0.15">
      <c r="A8" s="34">
        <v>201405</v>
      </c>
      <c r="B8" s="35">
        <v>2447.04</v>
      </c>
      <c r="C8" s="35">
        <v>1.98</v>
      </c>
      <c r="D8" s="36">
        <v>0.08</v>
      </c>
      <c r="E8" s="37">
        <v>0.16</v>
      </c>
      <c r="F8" s="37">
        <v>0.28999999999999998</v>
      </c>
      <c r="G8" s="38">
        <v>0.19</v>
      </c>
    </row>
    <row r="9" spans="1:7" s="4" customFormat="1" ht="18" customHeight="1" x14ac:dyDescent="0.15">
      <c r="A9" s="34">
        <v>201406</v>
      </c>
      <c r="B9" s="35">
        <v>2361.02</v>
      </c>
      <c r="C9" s="35">
        <v>3.36</v>
      </c>
      <c r="D9" s="36">
        <v>0.14000000000000001</v>
      </c>
      <c r="E9" s="37">
        <v>0.22</v>
      </c>
      <c r="F9" s="37">
        <v>0.65</v>
      </c>
      <c r="G9" s="38">
        <v>0.14000000000000001</v>
      </c>
    </row>
    <row r="10" spans="1:7" s="5" customFormat="1" ht="18" customHeight="1" x14ac:dyDescent="0.15">
      <c r="A10" s="34">
        <v>201407</v>
      </c>
      <c r="B10" s="35">
        <v>2893.76</v>
      </c>
      <c r="C10" s="35">
        <v>68.709999999999994</v>
      </c>
      <c r="D10" s="36">
        <v>2.37</v>
      </c>
      <c r="E10" s="37">
        <v>0.21</v>
      </c>
      <c r="F10" s="37">
        <v>0.64</v>
      </c>
      <c r="G10" s="38">
        <v>0.3</v>
      </c>
    </row>
    <row r="11" spans="1:7" ht="18" customHeight="1" x14ac:dyDescent="0.15">
      <c r="A11" s="34">
        <v>201408</v>
      </c>
      <c r="B11" s="35">
        <v>2210.3000000000002</v>
      </c>
      <c r="C11" s="35">
        <v>5.3</v>
      </c>
      <c r="D11" s="36">
        <v>0.24</v>
      </c>
      <c r="E11" s="37">
        <v>0.28000000000000003</v>
      </c>
      <c r="F11" s="37">
        <v>0.48</v>
      </c>
      <c r="G11" s="38">
        <v>7.0000000000000007E-2</v>
      </c>
    </row>
    <row r="12" spans="1:7" s="5" customFormat="1" ht="18" customHeight="1" x14ac:dyDescent="0.15">
      <c r="A12" s="34">
        <v>201409</v>
      </c>
      <c r="B12" s="35">
        <v>2389.6</v>
      </c>
      <c r="C12" s="35">
        <v>39.4</v>
      </c>
      <c r="D12" s="36">
        <v>1.65</v>
      </c>
      <c r="E12" s="37">
        <v>0.22</v>
      </c>
      <c r="F12" s="37">
        <v>0.44</v>
      </c>
      <c r="G12" s="38">
        <v>0.3</v>
      </c>
    </row>
    <row r="13" spans="1:7" s="5" customFormat="1" ht="18" customHeight="1" x14ac:dyDescent="0.15">
      <c r="A13" s="34">
        <v>201410</v>
      </c>
      <c r="B13" s="35">
        <v>2352.6</v>
      </c>
      <c r="C13" s="35">
        <v>3.9</v>
      </c>
      <c r="D13" s="36">
        <v>0.16</v>
      </c>
      <c r="E13" s="37">
        <v>0.19</v>
      </c>
      <c r="F13" s="37">
        <v>0.49</v>
      </c>
      <c r="G13" s="38">
        <v>0.12</v>
      </c>
    </row>
    <row r="14" spans="1:7" s="5" customFormat="1" ht="18" customHeight="1" x14ac:dyDescent="0.15">
      <c r="A14" s="34">
        <v>201411</v>
      </c>
      <c r="B14" s="35">
        <v>2128.6999999999998</v>
      </c>
      <c r="C14" s="35">
        <v>0.2</v>
      </c>
      <c r="D14" s="36">
        <v>0.01</v>
      </c>
      <c r="E14" s="37">
        <v>0.12</v>
      </c>
      <c r="F14" s="37">
        <v>0.22</v>
      </c>
      <c r="G14" s="38">
        <v>0.1</v>
      </c>
    </row>
    <row r="15" spans="1:7" ht="18" customHeight="1" x14ac:dyDescent="0.15">
      <c r="A15" s="34">
        <v>201412</v>
      </c>
      <c r="B15" s="35">
        <v>2755.3</v>
      </c>
      <c r="C15" s="35">
        <v>5.9</v>
      </c>
      <c r="D15" s="36">
        <v>0.21</v>
      </c>
      <c r="E15" s="37">
        <v>0.17</v>
      </c>
      <c r="F15" s="37">
        <v>0.5</v>
      </c>
      <c r="G15" s="38">
        <v>0.19</v>
      </c>
    </row>
    <row r="16" spans="1:7" ht="18" customHeight="1" x14ac:dyDescent="0.15">
      <c r="A16" s="34">
        <v>201501</v>
      </c>
      <c r="B16" s="35">
        <v>2388.3000000000002</v>
      </c>
      <c r="C16" s="35">
        <v>0.5</v>
      </c>
      <c r="D16" s="36">
        <v>0.02</v>
      </c>
      <c r="E16" s="37">
        <v>0.19</v>
      </c>
      <c r="F16" s="37">
        <v>0.46</v>
      </c>
      <c r="G16" s="38">
        <v>0.08</v>
      </c>
    </row>
    <row r="17" spans="1:7" ht="18" customHeight="1" x14ac:dyDescent="0.15">
      <c r="A17" s="34">
        <v>201502</v>
      </c>
      <c r="B17" s="35">
        <v>2213.9</v>
      </c>
      <c r="C17" s="35">
        <v>0</v>
      </c>
      <c r="D17" s="36">
        <v>0</v>
      </c>
      <c r="E17" s="37">
        <v>0.08</v>
      </c>
      <c r="F17" s="37">
        <v>0.28000000000000003</v>
      </c>
      <c r="G17" s="38">
        <v>0.09</v>
      </c>
    </row>
    <row r="18" spans="1:7" ht="18" customHeight="1" x14ac:dyDescent="0.15">
      <c r="A18" s="34">
        <v>201503</v>
      </c>
      <c r="B18" s="35">
        <v>2888</v>
      </c>
      <c r="C18" s="35">
        <v>13.94</v>
      </c>
      <c r="D18" s="36">
        <v>0.48</v>
      </c>
      <c r="E18" s="37">
        <v>0.41</v>
      </c>
      <c r="F18" s="37">
        <v>0.35</v>
      </c>
      <c r="G18" s="38">
        <v>0.15</v>
      </c>
    </row>
    <row r="19" spans="1:7" ht="18" customHeight="1" x14ac:dyDescent="0.15">
      <c r="A19" s="34">
        <v>201504</v>
      </c>
      <c r="B19" s="35">
        <v>2601</v>
      </c>
      <c r="C19" s="35">
        <v>17.61</v>
      </c>
      <c r="D19" s="36">
        <v>0.68</v>
      </c>
      <c r="E19" s="37">
        <v>0.34</v>
      </c>
      <c r="F19" s="37">
        <v>0.26</v>
      </c>
      <c r="G19" s="38">
        <v>0.18</v>
      </c>
    </row>
    <row r="20" spans="1:7" ht="18" customHeight="1" x14ac:dyDescent="0.15">
      <c r="A20" s="34">
        <v>201505</v>
      </c>
      <c r="B20" s="35">
        <v>2267</v>
      </c>
      <c r="C20" s="35">
        <v>41.81</v>
      </c>
      <c r="D20" s="36">
        <v>1.84</v>
      </c>
      <c r="E20" s="37">
        <v>0.08</v>
      </c>
      <c r="F20" s="37">
        <v>0.23</v>
      </c>
      <c r="G20" s="38">
        <v>0.17</v>
      </c>
    </row>
    <row r="21" spans="1:7" ht="18" customHeight="1" x14ac:dyDescent="0.15">
      <c r="A21" s="34">
        <v>201506</v>
      </c>
      <c r="B21" s="35">
        <v>2408</v>
      </c>
      <c r="C21" s="35">
        <v>34.06</v>
      </c>
      <c r="D21" s="36">
        <v>1.41</v>
      </c>
      <c r="E21" s="37">
        <v>0.19</v>
      </c>
      <c r="F21" s="37">
        <v>0.25</v>
      </c>
      <c r="G21" s="38">
        <v>0.15</v>
      </c>
    </row>
    <row r="22" spans="1:7" ht="18" customHeight="1" x14ac:dyDescent="0.15">
      <c r="A22" s="34">
        <v>201507</v>
      </c>
      <c r="B22" s="35">
        <v>2399</v>
      </c>
      <c r="C22" s="35">
        <v>22.52</v>
      </c>
      <c r="D22" s="36">
        <v>0.94</v>
      </c>
      <c r="E22" s="37">
        <v>0.09</v>
      </c>
      <c r="F22" s="37">
        <v>0.36</v>
      </c>
      <c r="G22" s="38">
        <v>0.08</v>
      </c>
    </row>
    <row r="23" spans="1:7" ht="18" customHeight="1" x14ac:dyDescent="0.15">
      <c r="A23" s="34">
        <v>201508</v>
      </c>
      <c r="B23" s="35">
        <v>2059</v>
      </c>
      <c r="C23" s="35">
        <v>17.36</v>
      </c>
      <c r="D23" s="36">
        <v>0.84</v>
      </c>
      <c r="E23" s="37">
        <v>0.14000000000000001</v>
      </c>
      <c r="F23" s="37">
        <v>0.22</v>
      </c>
      <c r="G23" s="38">
        <v>0.24</v>
      </c>
    </row>
    <row r="24" spans="1:7" ht="18" customHeight="1" x14ac:dyDescent="0.15">
      <c r="A24" s="34">
        <v>201509</v>
      </c>
      <c r="B24" s="35">
        <v>1861.95</v>
      </c>
      <c r="C24" s="35">
        <v>1.5</v>
      </c>
      <c r="D24" s="36">
        <v>8.1000000000000003E-2</v>
      </c>
      <c r="E24" s="37">
        <v>0.14000000000000001</v>
      </c>
      <c r="F24" s="37">
        <v>0.53</v>
      </c>
      <c r="G24" s="38">
        <v>0.2</v>
      </c>
    </row>
    <row r="25" spans="1:7" ht="18" customHeight="1" x14ac:dyDescent="0.15">
      <c r="A25" s="34">
        <v>201510</v>
      </c>
      <c r="B25" s="35">
        <v>2091.66</v>
      </c>
      <c r="C25" s="35">
        <v>0.47</v>
      </c>
      <c r="D25" s="36">
        <v>2.1999999999999999E-2</v>
      </c>
      <c r="E25" s="37">
        <v>0.05</v>
      </c>
      <c r="F25" s="37">
        <v>0.15</v>
      </c>
      <c r="G25" s="38">
        <v>0.1</v>
      </c>
    </row>
    <row r="26" spans="1:7" ht="18" customHeight="1" x14ac:dyDescent="0.15">
      <c r="A26" s="34">
        <v>201511</v>
      </c>
      <c r="B26" s="35">
        <v>2093.83</v>
      </c>
      <c r="C26" s="35">
        <v>0</v>
      </c>
      <c r="D26" s="36">
        <v>0</v>
      </c>
      <c r="E26" s="37">
        <v>0.11</v>
      </c>
      <c r="F26" s="37">
        <v>0.26</v>
      </c>
      <c r="G26" s="38">
        <v>0.27</v>
      </c>
    </row>
    <row r="27" spans="1:7" ht="18" customHeight="1" x14ac:dyDescent="0.15">
      <c r="A27" s="34">
        <v>201512</v>
      </c>
      <c r="B27" s="35">
        <v>2374.4899999999998</v>
      </c>
      <c r="C27" s="35">
        <v>0</v>
      </c>
      <c r="D27" s="36">
        <v>3.0000000000000001E-3</v>
      </c>
      <c r="E27" s="37">
        <v>0.15</v>
      </c>
      <c r="F27" s="37">
        <v>0.27</v>
      </c>
      <c r="G27" s="38">
        <v>0.08</v>
      </c>
    </row>
    <row r="28" spans="1:7" ht="18" customHeight="1" x14ac:dyDescent="0.15">
      <c r="A28" s="34">
        <v>201601</v>
      </c>
      <c r="B28" s="35">
        <v>2235.86</v>
      </c>
      <c r="C28" s="35">
        <v>0</v>
      </c>
      <c r="D28" s="36">
        <v>2.0000000000000001E-4</v>
      </c>
      <c r="E28" s="37">
        <v>0.09</v>
      </c>
      <c r="F28" s="37">
        <v>0.28999999999999998</v>
      </c>
      <c r="G28" s="38">
        <v>0.26</v>
      </c>
    </row>
    <row r="29" spans="1:7" ht="18" customHeight="1" x14ac:dyDescent="0.15">
      <c r="A29" s="34">
        <v>201602</v>
      </c>
      <c r="B29" s="35">
        <v>2141.4499999999998</v>
      </c>
      <c r="C29" s="35">
        <v>0</v>
      </c>
      <c r="D29" s="36">
        <v>0</v>
      </c>
      <c r="E29" s="37">
        <v>0.15</v>
      </c>
      <c r="F29" s="37">
        <v>0.39</v>
      </c>
      <c r="G29" s="38">
        <v>0.11</v>
      </c>
    </row>
    <row r="30" spans="1:7" ht="18" customHeight="1" x14ac:dyDescent="0.15">
      <c r="A30" s="34">
        <v>201603</v>
      </c>
      <c r="B30" s="35">
        <v>2465.44</v>
      </c>
      <c r="C30" s="35">
        <v>0.1</v>
      </c>
      <c r="D30" s="36">
        <v>0</v>
      </c>
      <c r="E30" s="37">
        <v>0.06</v>
      </c>
      <c r="F30" s="37">
        <v>0.18</v>
      </c>
      <c r="G30" s="38">
        <v>0.2</v>
      </c>
    </row>
    <row r="31" spans="1:7" ht="18" customHeight="1" x14ac:dyDescent="0.15">
      <c r="A31" s="34">
        <v>201604</v>
      </c>
      <c r="B31" s="35">
        <v>2046.71</v>
      </c>
      <c r="C31" s="35">
        <v>0</v>
      </c>
      <c r="D31" s="36">
        <v>0</v>
      </c>
      <c r="E31" s="37">
        <v>0.1</v>
      </c>
      <c r="F31" s="37">
        <v>0.18</v>
      </c>
      <c r="G31" s="38">
        <v>0.15</v>
      </c>
    </row>
    <row r="32" spans="1:7" ht="18" customHeight="1" x14ac:dyDescent="0.15">
      <c r="A32" s="34">
        <v>201605</v>
      </c>
      <c r="B32" s="35">
        <v>2057.14</v>
      </c>
      <c r="C32" s="35">
        <v>0</v>
      </c>
      <c r="D32" s="36">
        <v>0.01</v>
      </c>
      <c r="E32" s="37">
        <v>0.13</v>
      </c>
      <c r="F32" s="37">
        <v>0.46</v>
      </c>
      <c r="G32" s="38">
        <v>0.39</v>
      </c>
    </row>
    <row r="33" spans="1:7" ht="18" customHeight="1" x14ac:dyDescent="0.15">
      <c r="A33" s="34">
        <v>201606</v>
      </c>
      <c r="B33" s="35">
        <v>2003.77</v>
      </c>
      <c r="C33" s="35">
        <v>0.03</v>
      </c>
      <c r="D33" s="36">
        <v>0</v>
      </c>
      <c r="E33" s="37">
        <v>0.21</v>
      </c>
      <c r="F33" s="37">
        <v>0.31</v>
      </c>
      <c r="G33" s="38">
        <v>0.16</v>
      </c>
    </row>
    <row r="34" spans="1:7" ht="18" customHeight="1" x14ac:dyDescent="0.15">
      <c r="A34" s="34">
        <v>201607</v>
      </c>
      <c r="B34" s="35">
        <v>1852.02</v>
      </c>
      <c r="C34" s="35">
        <v>3.0000000000000001E-3</v>
      </c>
      <c r="D34" s="36">
        <v>0</v>
      </c>
      <c r="E34" s="37">
        <v>0.08</v>
      </c>
      <c r="F34" s="37">
        <v>0.28999999999999998</v>
      </c>
      <c r="G34" s="38">
        <v>0.15</v>
      </c>
    </row>
    <row r="35" spans="1:7" ht="18" customHeight="1" x14ac:dyDescent="0.15">
      <c r="A35" s="34">
        <v>201608</v>
      </c>
      <c r="B35" s="35">
        <v>1184.93</v>
      </c>
      <c r="C35" s="35">
        <v>0.34</v>
      </c>
      <c r="D35" s="36">
        <v>0.02</v>
      </c>
      <c r="E35" s="37">
        <v>0.09</v>
      </c>
      <c r="F35" s="37">
        <v>0.21</v>
      </c>
      <c r="G35" s="38">
        <v>0.49</v>
      </c>
    </row>
    <row r="36" spans="1:7" ht="18" customHeight="1" x14ac:dyDescent="0.15">
      <c r="A36" s="34">
        <v>201609</v>
      </c>
      <c r="B36" s="35">
        <v>1545.61</v>
      </c>
      <c r="C36" s="35">
        <v>1.25</v>
      </c>
      <c r="D36" s="36">
        <v>0.08</v>
      </c>
      <c r="E36" s="37">
        <v>0.19</v>
      </c>
      <c r="F36" s="37">
        <v>0.18</v>
      </c>
      <c r="G36" s="38">
        <v>0.38</v>
      </c>
    </row>
    <row r="37" spans="1:7" ht="18" customHeight="1" x14ac:dyDescent="0.15">
      <c r="A37" s="34">
        <v>201610</v>
      </c>
      <c r="B37" s="35">
        <v>1793.36</v>
      </c>
      <c r="C37" s="35">
        <v>0.53</v>
      </c>
      <c r="D37" s="36">
        <v>0.03</v>
      </c>
      <c r="E37" s="37">
        <v>0.1</v>
      </c>
      <c r="F37" s="37">
        <v>0.19</v>
      </c>
      <c r="G37" s="38">
        <v>0.35</v>
      </c>
    </row>
    <row r="38" spans="1:7" ht="18" customHeight="1" x14ac:dyDescent="0.15">
      <c r="A38" s="34">
        <v>201611</v>
      </c>
      <c r="B38" s="35">
        <v>1832.82</v>
      </c>
      <c r="C38" s="35">
        <v>0</v>
      </c>
      <c r="D38" s="36">
        <v>0</v>
      </c>
      <c r="E38" s="37">
        <v>0.06</v>
      </c>
      <c r="F38" s="37">
        <v>0.14000000000000001</v>
      </c>
      <c r="G38" s="38">
        <v>0.14000000000000001</v>
      </c>
    </row>
    <row r="39" spans="1:7" ht="18" customHeight="1" x14ac:dyDescent="0.15">
      <c r="A39" s="34">
        <v>201612</v>
      </c>
      <c r="B39" s="35">
        <v>1980.13</v>
      </c>
      <c r="C39" s="35">
        <v>0</v>
      </c>
      <c r="D39" s="36">
        <v>0</v>
      </c>
      <c r="E39" s="37">
        <v>0.11</v>
      </c>
      <c r="F39" s="37">
        <v>0.27</v>
      </c>
      <c r="G39" s="38">
        <v>0.04</v>
      </c>
    </row>
    <row r="40" spans="1:7" ht="18" customHeight="1" x14ac:dyDescent="0.15">
      <c r="A40" s="34">
        <v>201701</v>
      </c>
      <c r="B40" s="35">
        <v>2204.6999999999998</v>
      </c>
      <c r="C40" s="35">
        <v>0.89</v>
      </c>
      <c r="D40" s="36">
        <v>0.04</v>
      </c>
      <c r="E40" s="37">
        <v>0.09</v>
      </c>
      <c r="F40" s="37">
        <v>0.22</v>
      </c>
      <c r="G40" s="38">
        <v>0.35</v>
      </c>
    </row>
    <row r="41" spans="1:7" ht="18" customHeight="1" x14ac:dyDescent="0.15">
      <c r="A41" s="34">
        <v>201702</v>
      </c>
      <c r="B41" s="35">
        <v>2170.4933111199998</v>
      </c>
      <c r="C41" s="35">
        <v>0</v>
      </c>
      <c r="D41" s="36">
        <v>0</v>
      </c>
      <c r="E41" s="37">
        <v>0.18483174818738837</v>
      </c>
      <c r="F41" s="37">
        <v>0.20521892751060167</v>
      </c>
      <c r="G41" s="38">
        <v>0.24168335557887707</v>
      </c>
    </row>
    <row r="42" spans="1:7" s="5" customFormat="1" ht="18" customHeight="1" x14ac:dyDescent="0.15">
      <c r="A42" s="34">
        <v>201703</v>
      </c>
      <c r="B42" s="35">
        <v>2325.1930389200002</v>
      </c>
      <c r="C42" s="35">
        <v>0</v>
      </c>
      <c r="D42" s="36">
        <v>0</v>
      </c>
      <c r="E42" s="37">
        <v>8.0516673859190133E-2</v>
      </c>
      <c r="F42" s="37">
        <v>0.22975302945422776</v>
      </c>
      <c r="G42" s="38">
        <v>0.22380827283227464</v>
      </c>
    </row>
    <row r="43" spans="1:7" s="5" customFormat="1" ht="18" customHeight="1" x14ac:dyDescent="0.15">
      <c r="A43" s="34">
        <v>201704</v>
      </c>
      <c r="B43" s="35">
        <v>1800.0245289300001</v>
      </c>
      <c r="C43" s="35">
        <v>0.03</v>
      </c>
      <c r="D43" s="36">
        <v>1.6666439550039405E-3</v>
      </c>
      <c r="E43" s="37">
        <v>0.37475689675975665</v>
      </c>
      <c r="F43" s="37">
        <v>0.18522671233334354</v>
      </c>
      <c r="G43" s="38">
        <v>0.18791742571814887</v>
      </c>
    </row>
    <row r="44" spans="1:7" s="5" customFormat="1" ht="18" customHeight="1" x14ac:dyDescent="0.15">
      <c r="A44" s="34">
        <v>201705</v>
      </c>
      <c r="B44" s="35">
        <v>1898.59823895</v>
      </c>
      <c r="C44" s="35">
        <v>1.0999999999999999E-2</v>
      </c>
      <c r="D44" s="36">
        <v>5.7937481318235263E-4</v>
      </c>
      <c r="E44" s="37">
        <v>0.30673143085263527</v>
      </c>
      <c r="F44" s="37">
        <v>0.20033882184780899</v>
      </c>
      <c r="G44" s="38">
        <v>0.39637434067810062</v>
      </c>
    </row>
    <row r="45" spans="1:7" s="5" customFormat="1" ht="18" customHeight="1" x14ac:dyDescent="0.15">
      <c r="A45" s="34">
        <v>201706</v>
      </c>
      <c r="B45" s="35">
        <v>1787.1453142600001</v>
      </c>
      <c r="C45" s="35">
        <v>0</v>
      </c>
      <c r="D45" s="36">
        <v>0</v>
      </c>
      <c r="E45" s="37">
        <v>0.27629162526323769</v>
      </c>
      <c r="F45" s="37">
        <v>0.35152057001772885</v>
      </c>
      <c r="G45" s="38">
        <v>0.40736256474726573</v>
      </c>
    </row>
    <row r="46" spans="1:7" s="5" customFormat="1" ht="18" customHeight="1" x14ac:dyDescent="0.15">
      <c r="A46" s="34">
        <v>201707</v>
      </c>
      <c r="B46" s="35">
        <v>1688.9380002400001</v>
      </c>
      <c r="C46" s="35">
        <v>0</v>
      </c>
      <c r="D46" s="36">
        <v>0</v>
      </c>
      <c r="E46" s="37">
        <v>0.10392116636251972</v>
      </c>
      <c r="F46" s="37">
        <v>0.43151471429226562</v>
      </c>
      <c r="G46" s="38">
        <v>5.9668775290317846E-2</v>
      </c>
    </row>
    <row r="47" spans="1:7" s="5" customFormat="1" ht="18" customHeight="1" x14ac:dyDescent="0.15">
      <c r="A47" s="34">
        <v>201708</v>
      </c>
      <c r="B47" s="35">
        <v>1726.75890381</v>
      </c>
      <c r="C47" s="35">
        <v>1.4999999999999999E-4</v>
      </c>
      <c r="D47" s="36">
        <v>8.6867946456817518E-6</v>
      </c>
      <c r="E47" s="37">
        <v>9.902249374630373E-2</v>
      </c>
      <c r="F47" s="37">
        <v>0.15447518401976673</v>
      </c>
      <c r="G47" s="38">
        <v>6.5900811021900693E-2</v>
      </c>
    </row>
    <row r="48" spans="1:7" s="5" customFormat="1" ht="18" customHeight="1" x14ac:dyDescent="0.15">
      <c r="A48" s="34">
        <v>201709</v>
      </c>
      <c r="B48" s="35">
        <v>1504.7243459700001</v>
      </c>
      <c r="C48" s="35">
        <v>3.5499999999999997E-2</v>
      </c>
      <c r="D48" s="36">
        <v>2.3592361016206865E-3</v>
      </c>
      <c r="E48" s="37">
        <v>9.3798648347858046E-2</v>
      </c>
      <c r="F48" s="37">
        <v>0.1908855671125313</v>
      </c>
      <c r="G48" s="38">
        <v>0.24029636848241623</v>
      </c>
    </row>
    <row r="49" spans="1:7" s="5" customFormat="1" ht="18" customHeight="1" x14ac:dyDescent="0.15">
      <c r="A49" s="34">
        <v>201710</v>
      </c>
      <c r="B49" s="35">
        <v>1572.4991677999999</v>
      </c>
      <c r="C49" s="35">
        <v>0</v>
      </c>
      <c r="D49" s="36">
        <v>0</v>
      </c>
      <c r="E49" s="37">
        <v>0.12949582623437991</v>
      </c>
      <c r="F49" s="37">
        <v>0.39328839824868134</v>
      </c>
      <c r="G49" s="38">
        <v>0.1934681873870365</v>
      </c>
    </row>
    <row r="50" spans="1:7" s="5" customFormat="1" ht="18" customHeight="1" x14ac:dyDescent="0.15">
      <c r="A50" s="34">
        <v>201711</v>
      </c>
      <c r="B50" s="35">
        <v>1705.8324694999999</v>
      </c>
      <c r="C50" s="35">
        <v>0.24915999999999999</v>
      </c>
      <c r="D50" s="36">
        <v>1.4606358153859727E-2</v>
      </c>
      <c r="E50" s="37">
        <v>9.9200690482812742E-2</v>
      </c>
      <c r="F50" s="37">
        <v>0.30486241276025167</v>
      </c>
      <c r="G50" s="38">
        <v>0.10182394353467338</v>
      </c>
    </row>
    <row r="51" spans="1:7" s="5" customFormat="1" ht="18" customHeight="1" x14ac:dyDescent="0.15">
      <c r="A51" s="34">
        <v>201712</v>
      </c>
      <c r="B51" s="35">
        <v>1696.2674458700001</v>
      </c>
      <c r="C51" s="35">
        <v>1.0062899999999999</v>
      </c>
      <c r="D51" s="36">
        <v>5.9323781898312798E-2</v>
      </c>
      <c r="E51" s="37">
        <v>9.0118115345829322E-2</v>
      </c>
      <c r="F51" s="37">
        <v>0.19324517963524243</v>
      </c>
      <c r="G51" s="38">
        <v>3.0394029202565738E-2</v>
      </c>
    </row>
    <row r="52" spans="1:7" s="5" customFormat="1" ht="18" customHeight="1" x14ac:dyDescent="0.15">
      <c r="A52" s="34">
        <v>201801</v>
      </c>
      <c r="B52" s="35">
        <v>2227.1734139999999</v>
      </c>
      <c r="C52" s="35">
        <v>0.87060000000000004</v>
      </c>
      <c r="D52" s="36">
        <v>3.9089906269867136E-2</v>
      </c>
      <c r="E52" s="37">
        <v>0.15123535421686607</v>
      </c>
      <c r="F52" s="37">
        <v>0.32411432079930552</v>
      </c>
      <c r="G52" s="38">
        <v>5.6557646520093499E-2</v>
      </c>
    </row>
    <row r="53" spans="1:7" s="5" customFormat="1" ht="18" customHeight="1" x14ac:dyDescent="0.15">
      <c r="A53" s="34">
        <v>201802</v>
      </c>
      <c r="B53" s="35">
        <v>1759.1084447000001</v>
      </c>
      <c r="C53" s="35">
        <v>0.15</v>
      </c>
      <c r="D53" s="36">
        <v>8.5270467805400787E-3</v>
      </c>
      <c r="E53" s="37">
        <v>9.3882269645664498E-2</v>
      </c>
      <c r="F53" s="37">
        <v>0.27577786302579899</v>
      </c>
      <c r="G53" s="38">
        <v>0.53171290186361009</v>
      </c>
    </row>
    <row r="54" spans="1:7" s="5" customFormat="1" ht="18" customHeight="1" x14ac:dyDescent="0.15">
      <c r="A54" s="34">
        <v>201803</v>
      </c>
      <c r="B54" s="35">
        <v>2090.4742156500001</v>
      </c>
      <c r="C54" s="35">
        <v>0.05</v>
      </c>
      <c r="D54" s="36">
        <v>2.3918018039009053E-3</v>
      </c>
      <c r="E54" s="37">
        <v>0.12406998254392716</v>
      </c>
      <c r="F54" s="37">
        <v>0.29291209801217771</v>
      </c>
      <c r="G54" s="38">
        <v>1.5676041928917295</v>
      </c>
    </row>
    <row r="55" spans="1:7" s="5" customFormat="1" ht="18" customHeight="1" x14ac:dyDescent="0.15">
      <c r="A55" s="34">
        <v>201804</v>
      </c>
      <c r="B55" s="35">
        <v>1855.3212544600001</v>
      </c>
      <c r="C55" s="35">
        <v>0</v>
      </c>
      <c r="D55" s="36">
        <v>0</v>
      </c>
      <c r="E55" s="37">
        <v>0.19356077871253782</v>
      </c>
      <c r="F55" s="37">
        <v>0.28334774655896799</v>
      </c>
      <c r="G55" s="38">
        <v>0.21249495517431277</v>
      </c>
    </row>
    <row r="56" spans="1:7" s="5" customFormat="1" ht="18" customHeight="1" x14ac:dyDescent="0.15">
      <c r="A56" s="34">
        <v>201805</v>
      </c>
      <c r="B56" s="35">
        <v>1730.3867883</v>
      </c>
      <c r="C56" s="35">
        <v>0</v>
      </c>
      <c r="D56" s="36">
        <v>0</v>
      </c>
      <c r="E56" s="37">
        <v>0.21783523674057959</v>
      </c>
      <c r="F56" s="37">
        <v>0.54394709357023241</v>
      </c>
      <c r="G56" s="38">
        <v>0.93706252163579629</v>
      </c>
    </row>
    <row r="57" spans="1:7" s="5" customFormat="1" ht="18" customHeight="1" x14ac:dyDescent="0.15">
      <c r="A57" s="34">
        <v>201806</v>
      </c>
      <c r="B57" s="35">
        <v>1523.12301411</v>
      </c>
      <c r="C57" s="35">
        <v>0</v>
      </c>
      <c r="D57" s="36">
        <v>0</v>
      </c>
      <c r="E57" s="37">
        <v>0.14177101197901043</v>
      </c>
      <c r="F57" s="37">
        <v>0.38181290410676999</v>
      </c>
      <c r="G57" s="38">
        <v>0.52040907584314355</v>
      </c>
    </row>
    <row r="58" spans="1:7" s="5" customFormat="1" ht="18" customHeight="1" x14ac:dyDescent="0.15">
      <c r="A58" s="34">
        <v>201807</v>
      </c>
      <c r="B58" s="35">
        <v>1835.537055</v>
      </c>
      <c r="C58" s="35">
        <v>0</v>
      </c>
      <c r="D58" s="36">
        <v>0</v>
      </c>
      <c r="E58" s="37">
        <v>0.10416140260067382</v>
      </c>
      <c r="F58" s="37">
        <v>0.45167288745345163</v>
      </c>
      <c r="G58" s="38">
        <v>2.1064538988918189</v>
      </c>
    </row>
    <row r="59" spans="1:7" s="5" customFormat="1" ht="18" customHeight="1" x14ac:dyDescent="0.15">
      <c r="A59" s="34">
        <v>201808</v>
      </c>
      <c r="B59" s="35">
        <v>1621.7719199200001</v>
      </c>
      <c r="C59" s="35">
        <v>0</v>
      </c>
      <c r="D59" s="36">
        <v>0</v>
      </c>
      <c r="E59" s="37">
        <v>7.142886573038304E-2</v>
      </c>
      <c r="F59" s="37">
        <v>0.35977335665773241</v>
      </c>
      <c r="G59" s="38">
        <v>0.72034445828046667</v>
      </c>
    </row>
    <row r="60" spans="1:7" s="5" customFormat="1" ht="18" customHeight="1" x14ac:dyDescent="0.15">
      <c r="A60" s="34">
        <v>201809</v>
      </c>
      <c r="B60" s="35">
        <v>1010.99236974</v>
      </c>
      <c r="C60" s="35">
        <v>0.25</v>
      </c>
      <c r="D60" s="36">
        <v>2.4728178716550874E-2</v>
      </c>
      <c r="E60" s="37">
        <v>0.13517748258885409</v>
      </c>
      <c r="F60" s="37">
        <v>0.3476894465619999</v>
      </c>
      <c r="G60" s="38">
        <v>2.7771301825726336</v>
      </c>
    </row>
    <row r="61" spans="1:7" s="5" customFormat="1" ht="18" customHeight="1" x14ac:dyDescent="0.15">
      <c r="A61" s="34">
        <v>201810</v>
      </c>
      <c r="B61" s="35">
        <v>1712.52066068</v>
      </c>
      <c r="C61" s="35">
        <v>6</v>
      </c>
      <c r="D61" s="36">
        <v>0.35036073653076671</v>
      </c>
      <c r="E61" s="37">
        <v>9.0683040643792109E-2</v>
      </c>
      <c r="F61" s="37">
        <v>0.33129523746975731</v>
      </c>
      <c r="G61" s="38">
        <v>9.4834495869435639E-2</v>
      </c>
    </row>
    <row r="62" spans="1:7" ht="18" customHeight="1" x14ac:dyDescent="0.15">
      <c r="A62" s="34">
        <v>201811</v>
      </c>
      <c r="B62" s="35">
        <v>1643.296063</v>
      </c>
      <c r="C62" s="35">
        <v>0.40500000000000003</v>
      </c>
      <c r="D62" s="36">
        <v>2.46455893809319E-2</v>
      </c>
      <c r="E62" s="37">
        <v>0.1834723960369036</v>
      </c>
      <c r="F62" s="37">
        <v>0.24484107837556021</v>
      </c>
      <c r="G62" s="38">
        <v>8.9129006591669835E-2</v>
      </c>
    </row>
    <row r="63" spans="1:7" ht="18" customHeight="1" x14ac:dyDescent="0.15">
      <c r="A63" s="34">
        <v>201812</v>
      </c>
      <c r="B63" s="35">
        <v>1667.6527248299999</v>
      </c>
      <c r="C63" s="35">
        <v>0.28000000000000003</v>
      </c>
      <c r="D63" s="36">
        <v>1.6790066410771652E-2</v>
      </c>
      <c r="E63" s="37">
        <v>6.8686470184212797E-2</v>
      </c>
      <c r="F63" s="37">
        <v>0.26726495447183868</v>
      </c>
      <c r="G63" s="38">
        <v>6.8700816539194742E-2</v>
      </c>
    </row>
    <row r="64" spans="1:7" s="5" customFormat="1" ht="18" customHeight="1" x14ac:dyDescent="0.15">
      <c r="A64" s="34">
        <v>201901</v>
      </c>
      <c r="B64" s="35">
        <v>1896.4842113100001</v>
      </c>
      <c r="C64" s="35">
        <v>1.25528</v>
      </c>
      <c r="D64" s="36">
        <v>6.6189847113618361E-2</v>
      </c>
      <c r="E64" s="37">
        <v>7.291649355337898E-2</v>
      </c>
      <c r="F64" s="37">
        <v>0.22882246950489887</v>
      </c>
      <c r="G64" s="38">
        <v>0.15355962579453264</v>
      </c>
    </row>
    <row r="65" spans="1:7" ht="18" customHeight="1" x14ac:dyDescent="0.15">
      <c r="A65" s="34">
        <v>201902</v>
      </c>
      <c r="B65" s="35">
        <v>1619.3085433699998</v>
      </c>
      <c r="C65" s="35">
        <v>1.0264800000000001</v>
      </c>
      <c r="D65" s="36">
        <v>6.3390019413085821E-2</v>
      </c>
      <c r="E65" s="37">
        <v>7.6862469495678848E-2</v>
      </c>
      <c r="F65" s="37">
        <v>0.24231905784101071</v>
      </c>
      <c r="G65" s="38">
        <v>2.2856640709072451E-2</v>
      </c>
    </row>
    <row r="66" spans="1:7" ht="18" customHeight="1" x14ac:dyDescent="0.15">
      <c r="A66" s="34">
        <v>201903</v>
      </c>
      <c r="B66" s="35">
        <v>1793.65579486</v>
      </c>
      <c r="C66" s="35">
        <v>0.96294999999999997</v>
      </c>
      <c r="D66" s="36">
        <v>5.3686443227261502E-2</v>
      </c>
      <c r="E66" s="37">
        <v>0.1434197266670755</v>
      </c>
      <c r="F66" s="37">
        <v>0.32263606370832704</v>
      </c>
      <c r="G66" s="38">
        <v>1.3207769564791267</v>
      </c>
    </row>
    <row r="67" spans="1:7" ht="18" customHeight="1" x14ac:dyDescent="0.15">
      <c r="A67" s="34">
        <v>201904</v>
      </c>
      <c r="B67" s="35">
        <v>1769.9908945100001</v>
      </c>
      <c r="C67" s="35">
        <v>1.3855200000000001</v>
      </c>
      <c r="D67" s="36">
        <v>7.8278368792601277E-2</v>
      </c>
      <c r="E67" s="37">
        <v>0.1261444053718935</v>
      </c>
      <c r="F67" s="37">
        <v>0.51846966711423781</v>
      </c>
      <c r="G67" s="38">
        <v>0.2896858349464651</v>
      </c>
    </row>
    <row r="68" spans="1:7" ht="18" customHeight="1" x14ac:dyDescent="0.15">
      <c r="A68" s="34">
        <v>201905</v>
      </c>
      <c r="B68" s="35">
        <v>1517.2991050800001</v>
      </c>
      <c r="C68" s="35">
        <v>0</v>
      </c>
      <c r="D68" s="36">
        <v>0</v>
      </c>
      <c r="E68" s="37">
        <v>8.3831587298507634E-2</v>
      </c>
      <c r="F68" s="37">
        <v>0.14690446059384793</v>
      </c>
      <c r="G68" s="38">
        <v>5.1118406113468282E-2</v>
      </c>
    </row>
    <row r="69" spans="1:7" s="5" customFormat="1" ht="18" customHeight="1" x14ac:dyDescent="0.15">
      <c r="A69" s="34">
        <v>201906</v>
      </c>
      <c r="B69" s="35">
        <v>1238.9044095700001</v>
      </c>
      <c r="C69" s="35">
        <v>0</v>
      </c>
      <c r="D69" s="36">
        <v>0</v>
      </c>
      <c r="E69" s="37">
        <v>8.8394990863086845E-2</v>
      </c>
      <c r="F69" s="37">
        <v>0.37000189587158949</v>
      </c>
      <c r="G69" s="38">
        <v>1.6353585167220206</v>
      </c>
    </row>
    <row r="70" spans="1:7" s="5" customFormat="1" ht="18" customHeight="1" x14ac:dyDescent="0.15">
      <c r="A70" s="34">
        <v>201907</v>
      </c>
      <c r="B70" s="35">
        <v>1751.96576572</v>
      </c>
      <c r="C70" s="35">
        <v>0.42971999999999999</v>
      </c>
      <c r="D70" s="36">
        <v>2.4527876537781507E-2</v>
      </c>
      <c r="E70" s="37">
        <v>8.1306712124946709E-2</v>
      </c>
      <c r="F70" s="37">
        <v>0.38143173467673319</v>
      </c>
      <c r="G70" s="38">
        <v>1.1193316052028035</v>
      </c>
    </row>
    <row r="71" spans="1:7" s="5" customFormat="1" ht="18" customHeight="1" x14ac:dyDescent="0.15">
      <c r="A71" s="34">
        <v>201908</v>
      </c>
      <c r="B71" s="35">
        <v>1345.20013535</v>
      </c>
      <c r="C71" s="35">
        <v>4.3801600000000001</v>
      </c>
      <c r="D71" s="36">
        <v>0.32561400232541243</v>
      </c>
      <c r="E71" s="37">
        <v>4.9773961365609763E-2</v>
      </c>
      <c r="F71" s="37">
        <v>0.12692148682710286</v>
      </c>
      <c r="G71" s="38">
        <v>3.5979902600505799E-2</v>
      </c>
    </row>
    <row r="72" spans="1:7" s="5" customFormat="1" ht="18" customHeight="1" x14ac:dyDescent="0.15">
      <c r="A72" s="34">
        <v>201909</v>
      </c>
      <c r="B72" s="35">
        <v>1180.13434345</v>
      </c>
      <c r="C72" s="35">
        <v>1</v>
      </c>
      <c r="D72" s="36">
        <v>8.4736115472803214E-2</v>
      </c>
      <c r="E72" s="37">
        <v>6.9498003987637919E-2</v>
      </c>
      <c r="F72" s="37">
        <v>0.18432214391837309</v>
      </c>
      <c r="G72" s="38">
        <v>5.6952197702686634E-2</v>
      </c>
    </row>
    <row r="73" spans="1:7" s="5" customFormat="1" ht="18" customHeight="1" x14ac:dyDescent="0.15">
      <c r="A73" s="34">
        <v>201910</v>
      </c>
      <c r="B73" s="35">
        <v>1446.1476423899999</v>
      </c>
      <c r="C73" s="35">
        <v>2.9897200000000002</v>
      </c>
      <c r="D73" s="36">
        <v>0.20673684431411093</v>
      </c>
      <c r="E73" s="37">
        <v>7.5264124946157876E-2</v>
      </c>
      <c r="F73" s="37">
        <v>0.24761682657624989</v>
      </c>
      <c r="G73" s="38">
        <v>0.3428070340467681</v>
      </c>
    </row>
    <row r="74" spans="1:7" ht="18" customHeight="1" x14ac:dyDescent="0.15">
      <c r="A74" s="34">
        <v>201911</v>
      </c>
      <c r="B74" s="35">
        <v>1276.2399170399999</v>
      </c>
      <c r="C74" s="35">
        <v>2.1800000000000002</v>
      </c>
      <c r="D74" s="36">
        <v>0.1708142780125623</v>
      </c>
      <c r="E74" s="37">
        <v>4.2734955764694486E-2</v>
      </c>
      <c r="F74" s="37">
        <v>0.13846113793270781</v>
      </c>
      <c r="G74" s="38">
        <v>7.6570046921650994E-2</v>
      </c>
    </row>
    <row r="75" spans="1:7" s="5" customFormat="1" ht="18" customHeight="1" x14ac:dyDescent="0.15">
      <c r="A75" s="34">
        <v>201912</v>
      </c>
      <c r="B75" s="35">
        <v>1656.0566687</v>
      </c>
      <c r="C75" s="35">
        <v>6.7460000000000004</v>
      </c>
      <c r="D75" s="36">
        <v>0.4073532100381318</v>
      </c>
      <c r="E75" s="37">
        <v>6.6770205599333443E-2</v>
      </c>
      <c r="F75" s="37">
        <v>0.2705009721169423</v>
      </c>
      <c r="G75" s="38">
        <v>7.5981076517186635E-2</v>
      </c>
    </row>
    <row r="76" spans="1:7" s="5" customFormat="1" ht="18" customHeight="1" x14ac:dyDescent="0.15">
      <c r="A76" s="34">
        <v>202001</v>
      </c>
      <c r="B76" s="35">
        <v>1630.3573703</v>
      </c>
      <c r="C76" s="35">
        <v>1.1297200000000001</v>
      </c>
      <c r="D76" s="36">
        <v>6.9292783323457577E-2</v>
      </c>
      <c r="E76" s="37">
        <v>8.3141527872098095E-2</v>
      </c>
      <c r="F76" s="37">
        <v>0.22890577547964963</v>
      </c>
      <c r="G76" s="38">
        <v>0.79094861229716107</v>
      </c>
    </row>
    <row r="77" spans="1:7" ht="18" customHeight="1" x14ac:dyDescent="0.15">
      <c r="A77" s="34">
        <v>202002</v>
      </c>
      <c r="B77" s="35">
        <v>1489.1609581</v>
      </c>
      <c r="C77" s="35">
        <v>0.76163999999999998</v>
      </c>
      <c r="D77" s="36">
        <v>5.1145579385304729E-2</v>
      </c>
      <c r="E77" s="37">
        <v>2.4451180121496746E-2</v>
      </c>
      <c r="F77" s="37">
        <v>9.3708998319205775E-2</v>
      </c>
      <c r="G77" s="38">
        <v>5.8779075000123582E-2</v>
      </c>
    </row>
    <row r="78" spans="1:7" s="5" customFormat="1" ht="18" customHeight="1" x14ac:dyDescent="0.15">
      <c r="A78" s="34">
        <v>202003</v>
      </c>
      <c r="B78" s="35">
        <v>1776.5145052700002</v>
      </c>
      <c r="C78" s="35">
        <v>2.0330900000000001</v>
      </c>
      <c r="D78" s="36">
        <v>0.11444263438147413</v>
      </c>
      <c r="E78" s="37">
        <v>8.405371373076069E-2</v>
      </c>
      <c r="F78" s="37">
        <v>0.322541015861743</v>
      </c>
      <c r="G78" s="38">
        <v>6.0412330923161159E-2</v>
      </c>
    </row>
    <row r="79" spans="1:7" s="5" customFormat="1" ht="18" customHeight="1" x14ac:dyDescent="0.15">
      <c r="A79" s="34">
        <v>202004</v>
      </c>
      <c r="B79" s="35">
        <v>1642.50778741</v>
      </c>
      <c r="C79" s="35">
        <v>3.8075199999999998</v>
      </c>
      <c r="D79" s="36">
        <v>0.23181138191155337</v>
      </c>
      <c r="E79" s="37">
        <v>8.193122839684755E-2</v>
      </c>
      <c r="F79" s="37">
        <v>0.10729597699524253</v>
      </c>
      <c r="G79" s="38">
        <v>2.7290280848021247E-2</v>
      </c>
    </row>
    <row r="80" spans="1:7" s="5" customFormat="1" ht="18" customHeight="1" x14ac:dyDescent="0.15">
      <c r="A80" s="34">
        <v>202005</v>
      </c>
      <c r="B80" s="35">
        <v>1341.63605788</v>
      </c>
      <c r="C80" s="35">
        <v>6.3370300000000004</v>
      </c>
      <c r="D80" s="36">
        <v>0.4723359932658282</v>
      </c>
      <c r="E80" s="37">
        <v>7.0571441811385277E-2</v>
      </c>
      <c r="F80" s="37">
        <v>0.17096501803361414</v>
      </c>
      <c r="G80" s="38">
        <v>0.1097302889348182</v>
      </c>
    </row>
    <row r="81" spans="1:7" s="5" customFormat="1" ht="18" customHeight="1" x14ac:dyDescent="0.15">
      <c r="A81" s="34">
        <v>202006</v>
      </c>
      <c r="B81" s="35">
        <v>1428.2437602299999</v>
      </c>
      <c r="C81" s="35">
        <v>6.58535</v>
      </c>
      <c r="D81" s="36">
        <v>0.46108025698214955</v>
      </c>
      <c r="E81" s="37">
        <v>4.6786758811547445E-2</v>
      </c>
      <c r="F81" s="37">
        <v>0.16479369738796884</v>
      </c>
      <c r="G81" s="38">
        <v>0.10319483073954049</v>
      </c>
    </row>
    <row r="82" spans="1:7" s="5" customFormat="1" ht="18" customHeight="1" x14ac:dyDescent="0.15">
      <c r="A82" s="34">
        <v>202007</v>
      </c>
      <c r="B82" s="35">
        <v>1647.9956466100002</v>
      </c>
      <c r="C82" s="35">
        <v>2.4297200000000001</v>
      </c>
      <c r="D82" s="36">
        <v>0.14743485548630189</v>
      </c>
      <c r="E82" s="37">
        <v>4.8347076083731337E-2</v>
      </c>
      <c r="F82" s="37">
        <v>0.13272546048167852</v>
      </c>
      <c r="G82" s="38">
        <v>2.1310042390255798E-2</v>
      </c>
    </row>
    <row r="83" spans="1:7" s="5" customFormat="1" ht="18" customHeight="1" x14ac:dyDescent="0.15">
      <c r="A83" s="34">
        <v>202008</v>
      </c>
      <c r="B83" s="35">
        <v>1322.7466681399999</v>
      </c>
      <c r="C83" s="35">
        <v>1.4999999999999999E-2</v>
      </c>
      <c r="D83" s="36">
        <v>1.1340039904309475E-3</v>
      </c>
      <c r="E83" s="37">
        <v>2.5148399393606385E-2</v>
      </c>
      <c r="F83" s="37">
        <v>9.0379397896090272E-2</v>
      </c>
      <c r="G83" s="38">
        <v>9.7177700532448102E-3</v>
      </c>
    </row>
    <row r="84" spans="1:7" s="5" customFormat="1" ht="18" customHeight="1" x14ac:dyDescent="0.15">
      <c r="A84" s="34">
        <v>202009</v>
      </c>
      <c r="B84" s="35">
        <v>1201.27826099</v>
      </c>
      <c r="C84" s="35">
        <v>1.2130000000000001</v>
      </c>
      <c r="D84" s="36">
        <v>0.10097577217457843</v>
      </c>
      <c r="E84" s="37">
        <v>3.2437656446585486E-2</v>
      </c>
      <c r="F84" s="37">
        <v>0.13032927385799251</v>
      </c>
      <c r="G84" s="38">
        <v>0.45890627137918294</v>
      </c>
    </row>
    <row r="85" spans="1:7" s="5" customFormat="1" ht="18" customHeight="1" x14ac:dyDescent="0.15">
      <c r="A85" s="34">
        <v>202010</v>
      </c>
      <c r="B85" s="35">
        <v>1395.1505294400001</v>
      </c>
      <c r="C85" s="35">
        <v>9.9297199999999997</v>
      </c>
      <c r="D85" s="36">
        <v>0.71173108495939097</v>
      </c>
      <c r="E85" s="37">
        <v>5.1299236605189771E-2</v>
      </c>
      <c r="F85" s="37">
        <v>0.1894144328592719</v>
      </c>
      <c r="G85" s="38">
        <v>0.10714447917001561</v>
      </c>
    </row>
    <row r="86" spans="1:7" s="5" customFormat="1" ht="18" customHeight="1" x14ac:dyDescent="0.15">
      <c r="A86" s="34">
        <v>202011</v>
      </c>
      <c r="B86" s="35">
        <v>1340.95736588</v>
      </c>
      <c r="C86" s="35">
        <v>3.2572899999999998</v>
      </c>
      <c r="D86" s="36">
        <v>0.2429077972857408</v>
      </c>
      <c r="E86" s="37">
        <v>5.5058272269844735E-2</v>
      </c>
      <c r="F86" s="37">
        <v>0.24630076599140524</v>
      </c>
      <c r="G86" s="38">
        <v>8.7254213311632911E-2</v>
      </c>
    </row>
    <row r="87" spans="1:7" s="5" customFormat="1" ht="18" customHeight="1" x14ac:dyDescent="0.15">
      <c r="A87" s="34">
        <v>202012</v>
      </c>
      <c r="B87" s="35">
        <v>1736.9890455000002</v>
      </c>
      <c r="C87" s="35">
        <v>2.50088</v>
      </c>
      <c r="D87" s="36">
        <v>0.14397787979601853</v>
      </c>
      <c r="E87" s="37">
        <v>8.2061275814523341E-2</v>
      </c>
      <c r="F87" s="37">
        <v>0.14154372184192246</v>
      </c>
      <c r="G87" s="38">
        <v>0.1120658979180601</v>
      </c>
    </row>
    <row r="88" spans="1:7" s="5" customFormat="1" ht="18" customHeight="1" x14ac:dyDescent="0.15">
      <c r="A88" s="34">
        <v>202101</v>
      </c>
      <c r="B88" s="35">
        <v>1580.03389376</v>
      </c>
      <c r="C88" s="35">
        <v>1.736</v>
      </c>
      <c r="D88" s="36">
        <v>0.10987106079533826</v>
      </c>
      <c r="E88" s="37">
        <v>0.194212395992612</v>
      </c>
      <c r="F88" s="37">
        <v>0.44105433032824909</v>
      </c>
      <c r="G88" s="38">
        <v>0.2248228415128995</v>
      </c>
    </row>
    <row r="89" spans="1:7" s="5" customFormat="1" ht="18" customHeight="1" x14ac:dyDescent="0.15">
      <c r="A89" s="34">
        <v>202102</v>
      </c>
      <c r="B89" s="35">
        <v>1329.2434982299999</v>
      </c>
      <c r="C89" s="35">
        <v>1.25</v>
      </c>
      <c r="D89" s="36">
        <v>9.4038451319452043E-2</v>
      </c>
      <c r="E89" s="37">
        <v>3.9197052091084365E-2</v>
      </c>
      <c r="F89" s="37">
        <v>0.10307476113620415</v>
      </c>
      <c r="G89" s="38">
        <v>0.16417316119627443</v>
      </c>
    </row>
    <row r="90" spans="1:7" s="5" customFormat="1" ht="18" customHeight="1" x14ac:dyDescent="0.15">
      <c r="A90" s="34">
        <v>202103</v>
      </c>
      <c r="B90" s="35">
        <v>1809.3588872299999</v>
      </c>
      <c r="C90" s="35">
        <v>2.5150000000000001</v>
      </c>
      <c r="D90" s="36">
        <v>0.13899951069686825</v>
      </c>
      <c r="E90" s="37">
        <v>7.177190072087565E-2</v>
      </c>
      <c r="F90" s="37">
        <v>0.16562645540041132</v>
      </c>
      <c r="G90" s="38">
        <v>0.10126953994208157</v>
      </c>
    </row>
    <row r="91" spans="1:7" s="5" customFormat="1" ht="18" customHeight="1" x14ac:dyDescent="0.15">
      <c r="A91" s="34">
        <v>202104</v>
      </c>
      <c r="B91" s="35">
        <v>1743.4730730700001</v>
      </c>
      <c r="C91" s="35">
        <v>1.4</v>
      </c>
      <c r="D91" s="36">
        <v>8.0299490805143633E-2</v>
      </c>
      <c r="E91" s="37">
        <v>5.5287810375393924E-2</v>
      </c>
      <c r="F91" s="37">
        <v>0.13035511652580059</v>
      </c>
      <c r="G91" s="38">
        <v>0.36814366873484633</v>
      </c>
    </row>
    <row r="92" spans="1:7" ht="18" customHeight="1" x14ac:dyDescent="0.15">
      <c r="A92" s="34">
        <v>202105</v>
      </c>
      <c r="B92" s="35">
        <v>1462.8899462400002</v>
      </c>
      <c r="C92" s="35">
        <v>0</v>
      </c>
      <c r="D92" s="36">
        <v>0</v>
      </c>
      <c r="E92" s="37">
        <v>5.0744107750395777E-2</v>
      </c>
      <c r="F92" s="37">
        <v>7.0163708762787796E-2</v>
      </c>
      <c r="G92" s="38">
        <v>5.2156316820327016E-2</v>
      </c>
    </row>
    <row r="93" spans="1:7" ht="18" customHeight="1" x14ac:dyDescent="0.15">
      <c r="A93" s="34">
        <v>202106</v>
      </c>
      <c r="B93" s="35">
        <v>1372.3108957100001</v>
      </c>
      <c r="C93" s="35">
        <v>0.1</v>
      </c>
      <c r="D93" s="36">
        <v>7.2869785055712502E-3</v>
      </c>
      <c r="E93" s="37">
        <v>0.12639635265429805</v>
      </c>
      <c r="F93" s="37">
        <v>0.58372368605332614</v>
      </c>
      <c r="G93" s="38">
        <v>0.81010792478612248</v>
      </c>
    </row>
    <row r="94" spans="1:7" ht="18" customHeight="1" x14ac:dyDescent="0.15">
      <c r="A94" s="34">
        <v>202107</v>
      </c>
      <c r="B94" s="35">
        <v>1377.9643751499998</v>
      </c>
      <c r="C94" s="35">
        <v>4.8</v>
      </c>
      <c r="D94" s="36">
        <v>0.34833991985297086</v>
      </c>
      <c r="E94" s="37">
        <v>3.9500199058589376E-2</v>
      </c>
      <c r="F94" s="37">
        <v>0.16440886808770827</v>
      </c>
      <c r="G94" s="38">
        <v>1.7876050438246676E-2</v>
      </c>
    </row>
    <row r="95" spans="1:7" ht="18" customHeight="1" x14ac:dyDescent="0.15">
      <c r="A95" s="34">
        <v>202108</v>
      </c>
      <c r="B95" s="35">
        <v>1228.5913151</v>
      </c>
      <c r="C95" s="35">
        <v>0</v>
      </c>
      <c r="D95" s="36">
        <v>0</v>
      </c>
      <c r="E95" s="37">
        <v>2.7813943305815072E-2</v>
      </c>
      <c r="F95" s="37">
        <v>0.16444884980544633</v>
      </c>
      <c r="G95" s="38">
        <v>2.910147559225465E-2</v>
      </c>
    </row>
    <row r="96" spans="1:7" ht="18" customHeight="1" x14ac:dyDescent="0.15">
      <c r="A96" s="34">
        <v>202109</v>
      </c>
      <c r="B96" s="35">
        <v>1299.5325837400001</v>
      </c>
      <c r="C96" s="35">
        <v>0</v>
      </c>
      <c r="D96" s="36">
        <v>0</v>
      </c>
      <c r="E96" s="37">
        <v>7.3693467470951582E-2</v>
      </c>
      <c r="F96" s="37">
        <v>0.12173621299323174</v>
      </c>
      <c r="G96" s="38">
        <v>7.2801391789222333E-2</v>
      </c>
    </row>
    <row r="97" spans="1:7" ht="18" customHeight="1" x14ac:dyDescent="0.15">
      <c r="A97" s="34">
        <v>202110</v>
      </c>
      <c r="B97" s="35">
        <v>1196.13704517</v>
      </c>
      <c r="C97" s="35">
        <v>0</v>
      </c>
      <c r="D97" s="36">
        <v>0</v>
      </c>
      <c r="E97" s="37">
        <v>6.3970762446202645E-2</v>
      </c>
      <c r="F97" s="37">
        <v>0.10040138969961257</v>
      </c>
      <c r="G97" s="38">
        <v>2.0413096260569665E-2</v>
      </c>
    </row>
    <row r="98" spans="1:7" s="5" customFormat="1" ht="18" customHeight="1" x14ac:dyDescent="0.15">
      <c r="A98" s="34">
        <v>202111</v>
      </c>
      <c r="B98" s="35">
        <v>1591.6133112099999</v>
      </c>
      <c r="C98" s="35">
        <v>1.71279</v>
      </c>
      <c r="D98" s="36">
        <v>0.10761345032342545</v>
      </c>
      <c r="E98" s="37">
        <v>9.2723039969908605E-2</v>
      </c>
      <c r="F98" s="37">
        <v>0.20021516884915555</v>
      </c>
      <c r="G98" s="38">
        <v>2.4773166164027891E-2</v>
      </c>
    </row>
    <row r="99" spans="1:7" ht="18" customHeight="1" x14ac:dyDescent="0.15">
      <c r="A99" s="34">
        <v>202112</v>
      </c>
      <c r="B99" s="35">
        <v>1582.5182126499999</v>
      </c>
      <c r="C99" s="35">
        <v>0</v>
      </c>
      <c r="D99" s="36">
        <v>0</v>
      </c>
      <c r="E99" s="37">
        <v>3.3578582343235214E-2</v>
      </c>
      <c r="F99" s="37">
        <v>8.7734763693157192E-2</v>
      </c>
      <c r="G99" s="38">
        <v>6.3388877844089725E-2</v>
      </c>
    </row>
    <row r="100" spans="1:7" ht="18" customHeight="1" x14ac:dyDescent="0.15">
      <c r="A100" s="34">
        <v>202201</v>
      </c>
      <c r="B100" s="35">
        <v>1520.7588215000001</v>
      </c>
      <c r="C100" s="35">
        <v>0</v>
      </c>
      <c r="D100" s="36">
        <v>0</v>
      </c>
      <c r="E100" s="37">
        <v>2.4927252283790537E-2</v>
      </c>
      <c r="F100" s="37">
        <v>9.5059784081989895E-2</v>
      </c>
      <c r="G100" s="38">
        <v>0.12347663408268142</v>
      </c>
    </row>
    <row r="101" spans="1:7" ht="18" customHeight="1" x14ac:dyDescent="0.15">
      <c r="A101" s="34">
        <v>202202</v>
      </c>
      <c r="B101" s="35">
        <v>1440.4559340599999</v>
      </c>
      <c r="C101" s="35">
        <v>0.49</v>
      </c>
      <c r="D101" s="36">
        <v>3.4017007283166902E-2</v>
      </c>
      <c r="E101" s="37">
        <v>2.8315390028899979E-2</v>
      </c>
      <c r="F101" s="37">
        <v>0.11802801967831633</v>
      </c>
      <c r="G101" s="38">
        <v>0.12331271074407232</v>
      </c>
    </row>
    <row r="102" spans="1:7" ht="18" customHeight="1" x14ac:dyDescent="0.15">
      <c r="A102" s="34">
        <v>202203</v>
      </c>
      <c r="B102" s="35">
        <v>1819.92341642</v>
      </c>
      <c r="C102" s="35">
        <v>28.142060000000001</v>
      </c>
      <c r="D102" s="36">
        <v>1.5463321009055806</v>
      </c>
      <c r="E102" s="37">
        <v>5.0222963055725468E-2</v>
      </c>
      <c r="F102" s="37">
        <v>0.13836060478422219</v>
      </c>
      <c r="G102" s="38">
        <v>0.21445046745138097</v>
      </c>
    </row>
    <row r="103" spans="1:7" ht="18" customHeight="1" x14ac:dyDescent="0.15">
      <c r="A103" s="34">
        <v>202204</v>
      </c>
      <c r="B103" s="35">
        <v>1534.4354244600001</v>
      </c>
      <c r="C103" s="35">
        <v>2.6230899999999999</v>
      </c>
      <c r="D103" s="36">
        <v>0.17094821705664937</v>
      </c>
      <c r="E103" s="37">
        <v>9.5379850873572744E-2</v>
      </c>
      <c r="F103" s="37">
        <v>0.15176949573523996</v>
      </c>
      <c r="G103" s="38">
        <v>9.3607432844228178E-2</v>
      </c>
    </row>
    <row r="104" spans="1:7" ht="18" customHeight="1" x14ac:dyDescent="0.15">
      <c r="A104" s="34">
        <v>202205</v>
      </c>
      <c r="B104" s="35">
        <v>1605.5240144800002</v>
      </c>
      <c r="C104" s="35">
        <v>0</v>
      </c>
      <c r="D104" s="36">
        <v>0</v>
      </c>
      <c r="E104" s="37">
        <v>0.13636564351110264</v>
      </c>
      <c r="F104" s="37">
        <v>0.24968455132895606</v>
      </c>
      <c r="G104" s="38">
        <v>1.5713310165483156E-2</v>
      </c>
    </row>
    <row r="105" spans="1:7" s="5" customFormat="1" ht="18" customHeight="1" x14ac:dyDescent="0.15">
      <c r="A105" s="34">
        <v>202206</v>
      </c>
      <c r="B105" s="35">
        <v>1320.7871572499998</v>
      </c>
      <c r="C105" s="35">
        <v>3.5393400000000002</v>
      </c>
      <c r="D105" s="36">
        <v>0.26797201809330362</v>
      </c>
      <c r="E105" s="37">
        <v>7.59153425945919E-2</v>
      </c>
      <c r="F105" s="37">
        <v>0.16318954829821375</v>
      </c>
      <c r="G105" s="38">
        <v>0.11425836154456369</v>
      </c>
    </row>
    <row r="106" spans="1:7" s="5" customFormat="1" ht="18" customHeight="1" x14ac:dyDescent="0.15">
      <c r="A106" s="34">
        <v>202207</v>
      </c>
      <c r="B106" s="35">
        <v>1602.9021178799999</v>
      </c>
      <c r="C106" s="35">
        <v>0</v>
      </c>
      <c r="D106" s="36">
        <v>0</v>
      </c>
      <c r="E106" s="37">
        <v>1.3157710998347344E-2</v>
      </c>
      <c r="F106" s="37">
        <v>3.966175192136083E-2</v>
      </c>
      <c r="G106" s="38">
        <v>3.7929721716437601E-4</v>
      </c>
    </row>
    <row r="107" spans="1:7" s="5" customFormat="1" ht="18" customHeight="1" x14ac:dyDescent="0.15">
      <c r="A107" s="34">
        <v>202208</v>
      </c>
      <c r="B107" s="35">
        <v>1596.9567650299998</v>
      </c>
      <c r="C107" s="35">
        <v>0</v>
      </c>
      <c r="D107" s="36">
        <v>0</v>
      </c>
      <c r="E107" s="37">
        <v>2.0708199735068045E-2</v>
      </c>
      <c r="F107" s="37">
        <v>5.3171532160780126E-2</v>
      </c>
      <c r="G107" s="38">
        <v>9.1716560472086487E-3</v>
      </c>
    </row>
    <row r="108" spans="1:7" s="5" customFormat="1" ht="18" customHeight="1" x14ac:dyDescent="0.15">
      <c r="A108" s="34">
        <v>202209</v>
      </c>
      <c r="B108" s="35">
        <v>1148.5904731399999</v>
      </c>
      <c r="C108" s="35">
        <v>4.0054999999999996</v>
      </c>
      <c r="D108" s="36">
        <v>0.34873177983531606</v>
      </c>
      <c r="E108" s="37">
        <v>0.26020010517868303</v>
      </c>
      <c r="F108" s="37">
        <v>0.11505444580920897</v>
      </c>
      <c r="G108" s="38">
        <v>0.11772864579866807</v>
      </c>
    </row>
    <row r="109" spans="1:7" s="5" customFormat="1" ht="18" customHeight="1" x14ac:dyDescent="0.15">
      <c r="A109" s="34">
        <v>202210</v>
      </c>
      <c r="B109" s="35">
        <v>1847.8061502599999</v>
      </c>
      <c r="C109" s="35">
        <v>5.0500100000000003</v>
      </c>
      <c r="D109" s="36">
        <v>0.27329760750549653</v>
      </c>
      <c r="E109" s="37">
        <v>0.2000768442570908</v>
      </c>
      <c r="F109" s="37">
        <v>0.23244974350346997</v>
      </c>
      <c r="G109" s="38">
        <v>0.1786532384576234</v>
      </c>
    </row>
    <row r="110" spans="1:7" s="5" customFormat="1" ht="18" customHeight="1" x14ac:dyDescent="0.15">
      <c r="A110" s="34">
        <v>202211</v>
      </c>
      <c r="B110" s="35">
        <v>2602.8581170299999</v>
      </c>
      <c r="C110" s="35">
        <v>30.215399999999999</v>
      </c>
      <c r="D110" s="36">
        <v>1.1608546698072573</v>
      </c>
      <c r="E110" s="37">
        <v>0.16232147749693746</v>
      </c>
      <c r="F110" s="37">
        <v>0.21569827864903177</v>
      </c>
      <c r="G110" s="38">
        <v>7.1651696359401607E-2</v>
      </c>
    </row>
    <row r="111" spans="1:7" s="5" customFormat="1" ht="18" customHeight="1" x14ac:dyDescent="0.15">
      <c r="A111" s="34">
        <v>202212</v>
      </c>
      <c r="B111" s="35">
        <v>2110.8802650900002</v>
      </c>
      <c r="C111" s="35">
        <v>0</v>
      </c>
      <c r="D111" s="36">
        <v>0</v>
      </c>
      <c r="E111" s="37">
        <v>0.1099838012828783</v>
      </c>
      <c r="F111" s="37">
        <v>0.18008355603412063</v>
      </c>
      <c r="G111" s="38">
        <v>7.5064338904073213E-2</v>
      </c>
    </row>
    <row r="112" spans="1:7" ht="18" customHeight="1" x14ac:dyDescent="0.15">
      <c r="A112" s="34">
        <v>202301</v>
      </c>
      <c r="B112" s="35">
        <v>2121.8560682000002</v>
      </c>
      <c r="C112" s="35">
        <v>0.37339</v>
      </c>
      <c r="D112" s="36">
        <v>1.7597329319172527E-2</v>
      </c>
      <c r="E112" s="37">
        <v>6.0797511302687825E-2</v>
      </c>
      <c r="F112" s="37">
        <v>0.10061919010780707</v>
      </c>
      <c r="G112" s="38">
        <v>6.1312287885652954E-2</v>
      </c>
    </row>
    <row r="113" spans="1:7" s="5" customFormat="1" ht="18" customHeight="1" x14ac:dyDescent="0.15">
      <c r="A113" s="34">
        <v>202302</v>
      </c>
      <c r="B113" s="35">
        <v>1539.6192727099999</v>
      </c>
      <c r="C113" s="35">
        <v>0.13872000000000001</v>
      </c>
      <c r="D113" s="36">
        <v>9.0100197145381571E-3</v>
      </c>
      <c r="E113" s="37">
        <v>0.26700823349055652</v>
      </c>
      <c r="F113" s="37">
        <v>0.11159730355254885</v>
      </c>
      <c r="G113" s="38">
        <v>0.19097103636696222</v>
      </c>
    </row>
    <row r="114" spans="1:7" s="5" customFormat="1" ht="18" customHeight="1" x14ac:dyDescent="0.15">
      <c r="A114" s="34">
        <v>202303</v>
      </c>
      <c r="B114" s="35">
        <v>1690.9757933199999</v>
      </c>
      <c r="C114" s="35">
        <v>0.28143000000000001</v>
      </c>
      <c r="D114" s="36">
        <v>1.6643053147878048E-2</v>
      </c>
      <c r="E114" s="37">
        <v>0.1757363015387694</v>
      </c>
      <c r="F114" s="37">
        <v>9.6559787317803875E-2</v>
      </c>
      <c r="G114" s="38">
        <v>0.17599284268969848</v>
      </c>
    </row>
    <row r="115" spans="1:7" s="5" customFormat="1" ht="18" customHeight="1" x14ac:dyDescent="0.15">
      <c r="A115" s="34">
        <v>202304</v>
      </c>
      <c r="B115" s="35">
        <v>1300.1077111699999</v>
      </c>
      <c r="C115" s="35">
        <v>0</v>
      </c>
      <c r="D115" s="36">
        <v>0</v>
      </c>
      <c r="E115" s="37">
        <v>0.36271963691930559</v>
      </c>
      <c r="F115" s="37">
        <v>1.3035507296703557</v>
      </c>
      <c r="G115" s="38">
        <v>0.20823369646783615</v>
      </c>
    </row>
    <row r="116" spans="1:7" s="5" customFormat="1" ht="18" customHeight="1" x14ac:dyDescent="0.15">
      <c r="A116" s="34">
        <v>202305</v>
      </c>
      <c r="B116" s="35">
        <v>1323.9818999300001</v>
      </c>
      <c r="C116" s="35">
        <v>5.0417800000000002</v>
      </c>
      <c r="D116" s="36">
        <v>0.38080429953510414</v>
      </c>
      <c r="E116" s="37">
        <v>0.38764103281071755</v>
      </c>
      <c r="F116" s="37">
        <v>0.33888744033110424</v>
      </c>
      <c r="G116" s="38">
        <v>0.5337435917621719</v>
      </c>
    </row>
    <row r="117" spans="1:7" s="5" customFormat="1" ht="18" customHeight="1" x14ac:dyDescent="0.15">
      <c r="A117" s="34">
        <v>202306</v>
      </c>
      <c r="B117" s="35">
        <v>1138.9791365399999</v>
      </c>
      <c r="C117" s="35">
        <v>0</v>
      </c>
      <c r="D117" s="36">
        <v>0</v>
      </c>
      <c r="E117" s="37">
        <v>0.35197318005278477</v>
      </c>
      <c r="F117" s="37">
        <v>0.62216427772492555</v>
      </c>
      <c r="G117" s="38">
        <v>0.31694068488365523</v>
      </c>
    </row>
    <row r="118" spans="1:7" s="5" customFormat="1" ht="18" customHeight="1" x14ac:dyDescent="0.15">
      <c r="A118" s="34">
        <v>202307</v>
      </c>
      <c r="B118" s="35">
        <v>1662.6156791999999</v>
      </c>
      <c r="C118" s="35">
        <v>1.52214</v>
      </c>
      <c r="D118" s="36">
        <v>9.1550922984944272E-2</v>
      </c>
      <c r="E118" s="37">
        <v>0.17838617612222935</v>
      </c>
      <c r="F118" s="37">
        <v>0.31193570058885223</v>
      </c>
      <c r="G118" s="38">
        <v>2.8254474660247025E-2</v>
      </c>
    </row>
    <row r="119" spans="1:7" s="5" customFormat="1" ht="18" customHeight="1" x14ac:dyDescent="0.15">
      <c r="A119" s="34">
        <v>202308</v>
      </c>
      <c r="B119" s="35">
        <v>1201.47105747</v>
      </c>
      <c r="C119" s="35">
        <v>0</v>
      </c>
      <c r="D119" s="36">
        <v>0</v>
      </c>
      <c r="E119" s="37">
        <v>0.17772095313761874</v>
      </c>
      <c r="F119" s="37">
        <v>0.25792209965458818</v>
      </c>
      <c r="G119" s="38">
        <v>0.11811164365073913</v>
      </c>
    </row>
    <row r="120" spans="1:7" ht="18" customHeight="1" x14ac:dyDescent="0.15">
      <c r="A120" s="34">
        <v>202309</v>
      </c>
      <c r="B120" s="35">
        <v>846.68133108999996</v>
      </c>
      <c r="C120" s="35">
        <v>0</v>
      </c>
      <c r="D120" s="36">
        <v>0</v>
      </c>
      <c r="E120" s="37">
        <v>0.25459100294133236</v>
      </c>
      <c r="F120" s="37">
        <v>0.66670143847562735</v>
      </c>
      <c r="G120" s="38">
        <v>1.04700327282973</v>
      </c>
    </row>
    <row r="121" spans="1:7" s="5" customFormat="1" ht="18" customHeight="1" x14ac:dyDescent="0.15">
      <c r="A121" s="34">
        <v>202310</v>
      </c>
      <c r="B121" s="35">
        <v>1200.93962803</v>
      </c>
      <c r="C121" s="35">
        <v>0</v>
      </c>
      <c r="D121" s="36">
        <v>0</v>
      </c>
      <c r="E121" s="37">
        <v>0.22113171650843999</v>
      </c>
      <c r="F121" s="37">
        <v>0.46131780669908296</v>
      </c>
      <c r="G121" s="38">
        <v>1.2060279817106474</v>
      </c>
    </row>
    <row r="122" spans="1:7" s="5" customFormat="1" ht="18" customHeight="1" x14ac:dyDescent="0.15">
      <c r="A122" s="34">
        <v>202311</v>
      </c>
      <c r="B122" s="35">
        <v>1571.71669064</v>
      </c>
      <c r="C122" s="35">
        <v>0</v>
      </c>
      <c r="D122" s="36">
        <v>0</v>
      </c>
      <c r="E122" s="37">
        <v>0.29614167931784974</v>
      </c>
      <c r="F122" s="37">
        <v>0.4135571306221022</v>
      </c>
      <c r="G122" s="38">
        <v>0.17909649022875512</v>
      </c>
    </row>
    <row r="123" spans="1:7" s="5" customFormat="1" ht="18" customHeight="1" x14ac:dyDescent="0.15">
      <c r="A123" s="34" t="s">
        <v>273</v>
      </c>
      <c r="B123" s="35">
        <v>1522</v>
      </c>
      <c r="C123" s="35">
        <v>0</v>
      </c>
      <c r="D123" s="36">
        <v>0</v>
      </c>
      <c r="E123" s="37">
        <v>0.06</v>
      </c>
      <c r="F123" s="37">
        <v>0.11</v>
      </c>
      <c r="G123" s="38">
        <v>0.28999999999999998</v>
      </c>
    </row>
    <row r="124" spans="1:7" s="5" customFormat="1" ht="18" customHeight="1" x14ac:dyDescent="0.15">
      <c r="A124" s="34" t="s">
        <v>274</v>
      </c>
      <c r="B124" s="35">
        <v>1612</v>
      </c>
      <c r="C124" s="35">
        <v>1</v>
      </c>
      <c r="D124" s="36">
        <v>0.05</v>
      </c>
      <c r="E124" s="37">
        <v>7.0000000000000007E-2</v>
      </c>
      <c r="F124" s="37">
        <v>0.22</v>
      </c>
      <c r="G124" s="38">
        <v>0.2</v>
      </c>
    </row>
    <row r="125" spans="1:7" s="5" customFormat="1" ht="18" customHeight="1" x14ac:dyDescent="0.15">
      <c r="A125" s="34" t="s">
        <v>276</v>
      </c>
      <c r="B125" s="35">
        <v>1308</v>
      </c>
      <c r="C125" s="35">
        <v>0</v>
      </c>
      <c r="D125" s="36">
        <v>0</v>
      </c>
      <c r="E125" s="37">
        <v>0.06</v>
      </c>
      <c r="F125" s="37">
        <v>0.08</v>
      </c>
      <c r="G125" s="38">
        <v>0.13</v>
      </c>
    </row>
    <row r="126" spans="1:7" s="5" customFormat="1" ht="18" customHeight="1" x14ac:dyDescent="0.15">
      <c r="A126" s="34" t="s">
        <v>278</v>
      </c>
      <c r="B126" s="35">
        <v>1216</v>
      </c>
      <c r="C126" s="35">
        <v>22</v>
      </c>
      <c r="D126" s="36">
        <v>1.85</v>
      </c>
      <c r="E126" s="37">
        <v>0.27</v>
      </c>
      <c r="F126" s="37">
        <v>0.27</v>
      </c>
      <c r="G126" s="38">
        <v>0.17</v>
      </c>
    </row>
    <row r="127" spans="1:7" s="5" customFormat="1" ht="18" customHeight="1" x14ac:dyDescent="0.15">
      <c r="A127" s="34" t="s">
        <v>279</v>
      </c>
      <c r="B127" s="35">
        <v>1146</v>
      </c>
      <c r="C127" s="35">
        <v>2</v>
      </c>
      <c r="D127" s="36">
        <v>0.2</v>
      </c>
      <c r="E127" s="37">
        <v>0.25</v>
      </c>
      <c r="F127" s="37">
        <v>0.4</v>
      </c>
      <c r="G127" s="38">
        <v>0.04</v>
      </c>
    </row>
    <row r="128" spans="1:7" s="5" customFormat="1" ht="18" customHeight="1" x14ac:dyDescent="0.15">
      <c r="A128" s="34" t="s">
        <v>280</v>
      </c>
      <c r="B128" s="35">
        <v>1202</v>
      </c>
      <c r="C128" s="35">
        <v>1</v>
      </c>
      <c r="D128" s="36">
        <v>0.06</v>
      </c>
      <c r="E128" s="37">
        <v>0.24</v>
      </c>
      <c r="F128" s="37">
        <v>0.33</v>
      </c>
      <c r="G128" s="38">
        <v>0.03</v>
      </c>
    </row>
    <row r="129" spans="1:7" s="5" customFormat="1" ht="18" customHeight="1" x14ac:dyDescent="0.15">
      <c r="A129" s="34" t="s">
        <v>282</v>
      </c>
      <c r="B129" s="35">
        <v>924</v>
      </c>
      <c r="C129" s="35">
        <v>111</v>
      </c>
      <c r="D129" s="36">
        <v>12.06</v>
      </c>
      <c r="E129" s="37">
        <v>0.16</v>
      </c>
      <c r="F129" s="37">
        <v>0.35</v>
      </c>
      <c r="G129" s="38">
        <v>0.4</v>
      </c>
    </row>
    <row r="130" spans="1:7" s="5" customFormat="1" ht="18" customHeight="1" x14ac:dyDescent="0.15">
      <c r="A130" s="34" t="s">
        <v>283</v>
      </c>
      <c r="B130" s="35">
        <v>1152</v>
      </c>
      <c r="C130" s="35">
        <v>0</v>
      </c>
      <c r="D130" s="36">
        <v>0</v>
      </c>
      <c r="E130" s="37">
        <v>7.0000000000000007E-2</v>
      </c>
      <c r="F130" s="37">
        <v>0.11</v>
      </c>
      <c r="G130" s="38">
        <v>0.03</v>
      </c>
    </row>
    <row r="131" spans="1:7" s="5" customFormat="1" ht="18" customHeight="1" x14ac:dyDescent="0.15">
      <c r="A131" s="34" t="s">
        <v>284</v>
      </c>
      <c r="B131" s="35">
        <v>800</v>
      </c>
      <c r="C131" s="35">
        <v>0</v>
      </c>
      <c r="D131" s="36">
        <v>0.04</v>
      </c>
      <c r="E131" s="37">
        <v>0.16</v>
      </c>
      <c r="F131" s="37">
        <v>0.17</v>
      </c>
      <c r="G131" s="38">
        <v>0.01</v>
      </c>
    </row>
    <row r="132" spans="1:7" s="5" customFormat="1" ht="18" customHeight="1" x14ac:dyDescent="0.15">
      <c r="A132" s="34" t="s">
        <v>285</v>
      </c>
      <c r="B132" s="35">
        <v>744</v>
      </c>
      <c r="C132" s="35">
        <v>0</v>
      </c>
      <c r="D132" s="36">
        <v>0</v>
      </c>
      <c r="E132" s="37">
        <v>0.21</v>
      </c>
      <c r="F132" s="37">
        <v>0.23</v>
      </c>
      <c r="G132" s="38">
        <v>0.04</v>
      </c>
    </row>
    <row r="133" spans="1:7" ht="18" customHeight="1" x14ac:dyDescent="0.15">
      <c r="A133" s="34" t="s">
        <v>289</v>
      </c>
      <c r="B133" s="35">
        <v>1152</v>
      </c>
      <c r="C133" s="35">
        <v>6</v>
      </c>
      <c r="D133" s="36">
        <v>0.53</v>
      </c>
      <c r="E133" s="37">
        <v>0.22</v>
      </c>
      <c r="F133" s="37">
        <v>0.8</v>
      </c>
      <c r="G133" s="38">
        <v>0.37</v>
      </c>
    </row>
    <row r="134" spans="1:7" s="5" customFormat="1" ht="18" customHeight="1" x14ac:dyDescent="0.15">
      <c r="A134" s="34" t="s">
        <v>290</v>
      </c>
      <c r="B134" s="35">
        <v>997</v>
      </c>
      <c r="C134" s="35">
        <v>54</v>
      </c>
      <c r="D134" s="36">
        <v>5.42</v>
      </c>
      <c r="E134" s="37">
        <v>0.34</v>
      </c>
      <c r="F134" s="37">
        <v>0.99</v>
      </c>
      <c r="G134" s="38">
        <v>0.09</v>
      </c>
    </row>
    <row r="135" spans="1:7" ht="18" customHeight="1" x14ac:dyDescent="0.15">
      <c r="A135" s="34" t="s">
        <v>291</v>
      </c>
      <c r="B135" s="107">
        <v>1190</v>
      </c>
      <c r="C135" s="107">
        <v>0</v>
      </c>
      <c r="D135" s="37">
        <v>0</v>
      </c>
      <c r="E135" s="37">
        <v>0.19</v>
      </c>
      <c r="F135" s="37">
        <v>0.61</v>
      </c>
      <c r="G135" s="38">
        <v>0</v>
      </c>
    </row>
    <row r="136" spans="1:7" ht="18" customHeight="1" x14ac:dyDescent="0.15">
      <c r="A136" s="34">
        <v>202501</v>
      </c>
      <c r="B136" s="107">
        <v>981</v>
      </c>
      <c r="C136" s="107">
        <v>0</v>
      </c>
      <c r="D136" s="37">
        <v>0</v>
      </c>
      <c r="E136" s="37">
        <v>0.06</v>
      </c>
      <c r="F136" s="37">
        <v>0.19</v>
      </c>
      <c r="G136" s="38">
        <v>0</v>
      </c>
    </row>
    <row r="137" spans="1:7" ht="18" customHeight="1" x14ac:dyDescent="0.15">
      <c r="A137" s="34">
        <v>202502</v>
      </c>
      <c r="B137" s="115">
        <v>1070</v>
      </c>
      <c r="C137" s="107">
        <v>0</v>
      </c>
      <c r="D137" s="37">
        <v>0</v>
      </c>
      <c r="E137" s="37">
        <v>0.04</v>
      </c>
      <c r="F137" s="37">
        <v>0.13</v>
      </c>
      <c r="G137" s="38">
        <v>0.01</v>
      </c>
    </row>
    <row r="138" spans="1:7" ht="18" customHeight="1" x14ac:dyDescent="0.15">
      <c r="A138" s="34">
        <v>202503</v>
      </c>
      <c r="B138" s="115">
        <v>1708</v>
      </c>
      <c r="C138" s="107">
        <v>0</v>
      </c>
      <c r="D138" s="37">
        <v>0</v>
      </c>
      <c r="E138" s="37">
        <v>0.08</v>
      </c>
      <c r="F138" s="37">
        <v>0.06</v>
      </c>
      <c r="G138" s="38">
        <v>0.03</v>
      </c>
    </row>
    <row r="139" spans="1:7" ht="18" customHeight="1" x14ac:dyDescent="0.15">
      <c r="A139" s="34">
        <v>202504</v>
      </c>
      <c r="B139" s="115">
        <v>1044</v>
      </c>
      <c r="C139" s="107">
        <v>0</v>
      </c>
      <c r="D139" s="37">
        <v>0</v>
      </c>
      <c r="E139" s="37">
        <v>0.06</v>
      </c>
      <c r="F139" s="37">
        <v>0.04</v>
      </c>
      <c r="G139" s="38">
        <v>0.05</v>
      </c>
    </row>
    <row r="140" spans="1:7" ht="18" customHeight="1" x14ac:dyDescent="0.15">
      <c r="A140" s="34">
        <v>202505</v>
      </c>
      <c r="B140" s="115">
        <v>981</v>
      </c>
      <c r="C140" s="107">
        <v>3</v>
      </c>
      <c r="D140" s="37">
        <v>0.31</v>
      </c>
      <c r="E140" s="37">
        <v>0.4</v>
      </c>
      <c r="F140" s="37">
        <v>0.4</v>
      </c>
      <c r="G140" s="38">
        <v>0.34</v>
      </c>
    </row>
    <row r="141" spans="1:7" ht="18" customHeight="1" x14ac:dyDescent="0.15">
      <c r="A141" s="34">
        <v>202506</v>
      </c>
      <c r="B141" s="115">
        <v>817</v>
      </c>
      <c r="C141" s="107">
        <v>0</v>
      </c>
      <c r="D141" s="37">
        <v>0</v>
      </c>
      <c r="E141" s="37">
        <v>0.24</v>
      </c>
      <c r="F141" s="37">
        <v>0.26</v>
      </c>
      <c r="G141" s="38">
        <v>0.18</v>
      </c>
    </row>
    <row r="142" spans="1:7" ht="18" customHeight="1" x14ac:dyDescent="0.15">
      <c r="A142" s="34">
        <v>202507</v>
      </c>
      <c r="B142" s="115">
        <v>1634</v>
      </c>
      <c r="C142" s="107">
        <v>0</v>
      </c>
      <c r="D142" s="37">
        <v>0</v>
      </c>
      <c r="E142" s="37">
        <v>0.03</v>
      </c>
      <c r="F142" s="37">
        <v>7.0000000000000007E-2</v>
      </c>
      <c r="G142" s="38">
        <v>0.01</v>
      </c>
    </row>
    <row r="143" spans="1:7" ht="18" customHeight="1" x14ac:dyDescent="0.15">
      <c r="A143" s="34">
        <v>202508</v>
      </c>
      <c r="B143" s="115">
        <v>761</v>
      </c>
      <c r="C143" s="107">
        <v>1</v>
      </c>
      <c r="D143" s="37">
        <v>0</v>
      </c>
      <c r="E143" s="37">
        <v>0.2</v>
      </c>
      <c r="F143" s="37">
        <v>0.18</v>
      </c>
      <c r="G143" s="38">
        <v>0.2</v>
      </c>
    </row>
    <row r="144" spans="1:7" ht="18" customHeight="1" x14ac:dyDescent="0.15">
      <c r="A144" s="34">
        <v>202509</v>
      </c>
      <c r="B144" s="115">
        <v>910</v>
      </c>
      <c r="C144" s="107">
        <v>0</v>
      </c>
      <c r="D144" s="37">
        <v>0</v>
      </c>
      <c r="E144" s="37">
        <v>0.25</v>
      </c>
      <c r="F144" s="37">
        <v>0.05</v>
      </c>
      <c r="G144" s="38">
        <v>0.05</v>
      </c>
    </row>
    <row r="145" spans="1:7" ht="18" customHeight="1" x14ac:dyDescent="0.15">
      <c r="A145" s="34">
        <v>202510</v>
      </c>
      <c r="B145" s="115">
        <v>877</v>
      </c>
      <c r="C145" s="107">
        <v>0</v>
      </c>
      <c r="D145" s="37">
        <v>0</v>
      </c>
      <c r="E145" s="37">
        <v>0.19</v>
      </c>
      <c r="F145" s="37">
        <v>0.17</v>
      </c>
      <c r="G145" s="38">
        <v>1.05</v>
      </c>
    </row>
    <row r="146" spans="1:7" ht="18" customHeight="1" x14ac:dyDescent="0.15">
      <c r="A146" s="34">
        <v>202511</v>
      </c>
      <c r="B146" s="115">
        <v>910</v>
      </c>
      <c r="C146" s="107">
        <v>0</v>
      </c>
      <c r="D146" s="37">
        <v>0</v>
      </c>
      <c r="E146" s="37">
        <v>0.13</v>
      </c>
      <c r="F146" s="37">
        <v>0.16</v>
      </c>
      <c r="G146" s="38">
        <v>0</v>
      </c>
    </row>
    <row r="147" spans="1:7" ht="18" customHeight="1" x14ac:dyDescent="0.15">
      <c r="A147" s="34">
        <v>202512</v>
      </c>
      <c r="B147" s="115">
        <v>1238</v>
      </c>
      <c r="C147" s="107">
        <v>0</v>
      </c>
      <c r="D147" s="37">
        <v>0</v>
      </c>
      <c r="E147" s="37">
        <v>0.04</v>
      </c>
      <c r="F147" s="37">
        <v>0.15</v>
      </c>
      <c r="G147" s="38">
        <v>0.02</v>
      </c>
    </row>
    <row r="148" spans="1:7" ht="18" customHeight="1" x14ac:dyDescent="0.15">
      <c r="A148" s="34" t="s">
        <v>306</v>
      </c>
      <c r="B148" s="115">
        <v>1049</v>
      </c>
      <c r="C148" s="107">
        <v>0</v>
      </c>
      <c r="D148" s="37">
        <v>0</v>
      </c>
      <c r="E148" s="37">
        <v>0.05</v>
      </c>
      <c r="F148" s="37">
        <v>0.11</v>
      </c>
      <c r="G148" s="38">
        <v>0</v>
      </c>
    </row>
    <row r="149" spans="1:7" ht="18" customHeight="1" x14ac:dyDescent="0.15">
      <c r="A149" s="34" t="s">
        <v>307</v>
      </c>
      <c r="B149" s="115">
        <v>1061</v>
      </c>
      <c r="C149" s="107">
        <v>0</v>
      </c>
      <c r="D149" s="37">
        <v>0</v>
      </c>
      <c r="E149" s="37">
        <v>0.08</v>
      </c>
      <c r="F149" s="37">
        <v>0.09</v>
      </c>
      <c r="G149" s="38">
        <v>0.02</v>
      </c>
    </row>
    <row r="150" spans="1:7" ht="18" customHeight="1" x14ac:dyDescent="0.15">
      <c r="A150" s="34" t="s">
        <v>308</v>
      </c>
      <c r="B150" s="115">
        <v>1276</v>
      </c>
      <c r="C150" s="107">
        <v>26</v>
      </c>
      <c r="D150" s="37">
        <v>2.06</v>
      </c>
      <c r="E150" s="37">
        <v>0.12</v>
      </c>
      <c r="F150" s="37">
        <v>0.31</v>
      </c>
      <c r="G150" s="38">
        <v>0.17</v>
      </c>
    </row>
    <row r="151" spans="1:7" ht="18" customHeight="1" x14ac:dyDescent="0.15">
      <c r="A151" s="34" t="s">
        <v>309</v>
      </c>
      <c r="B151" s="115">
        <v>1076</v>
      </c>
      <c r="C151" s="107">
        <v>0</v>
      </c>
      <c r="D151" s="37">
        <v>0</v>
      </c>
      <c r="E151" s="37">
        <v>0.24</v>
      </c>
      <c r="F151" s="37">
        <v>0.63</v>
      </c>
      <c r="G151" s="38">
        <v>0.12</v>
      </c>
    </row>
  </sheetData>
  <phoneticPr fontId="15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2</vt:i4>
      </vt:variant>
    </vt:vector>
  </HeadingPairs>
  <TitlesOfParts>
    <vt:vector size="13" baseType="lpstr">
      <vt:lpstr>목차</vt:lpstr>
      <vt:lpstr>1.1. 예금은행 예금</vt:lpstr>
      <vt:lpstr>1.1.1. 요구불예금</vt:lpstr>
      <vt:lpstr>1.1.2. 저축성예금</vt:lpstr>
      <vt:lpstr>1.2.1. 자금별 대출금</vt:lpstr>
      <vt:lpstr>1.2.2. 주체별·용도별 대출금</vt:lpstr>
      <vt:lpstr>1.2.3. 기업자금 대출금</vt:lpstr>
      <vt:lpstr>1.2.4. 산업별 대출금</vt:lpstr>
      <vt:lpstr>2.1. 비은행 수신</vt:lpstr>
      <vt:lpstr>2.2. 비은행 여신</vt:lpstr>
      <vt:lpstr>3. 어음부도율</vt:lpstr>
      <vt:lpstr>'3. 어음부도율'!Print_Area</vt:lpstr>
      <vt:lpstr>'3. 어음부도율'!Print_Titles</vt:lpstr>
    </vt:vector>
  </TitlesOfParts>
  <Company>한국은행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0610135</dc:creator>
  <cp:lastModifiedBy>황호찬</cp:lastModifiedBy>
  <cp:lastPrinted>2017-05-25T04:08:12Z</cp:lastPrinted>
  <dcterms:created xsi:type="dcterms:W3CDTF">2006-06-09T00:56:20Z</dcterms:created>
  <dcterms:modified xsi:type="dcterms:W3CDTF">2026-06-26T01:34:19Z</dcterms:modified>
</cp:coreProperties>
</file>