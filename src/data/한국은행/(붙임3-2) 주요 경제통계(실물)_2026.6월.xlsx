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강원경제조사팀\11 경제동향\1.책자 발간\2026\202606_2026.6월\03. 결재문서\"/>
    </mc:Choice>
  </mc:AlternateContent>
  <xr:revisionPtr revIDLastSave="0" documentId="13_ncr:1_{C87BBF26-BD0D-4DA8-8A92-78D4E4C3197D}" xr6:coauthVersionLast="36" xr6:coauthVersionMax="36" xr10:uidLastSave="{00000000-0000-0000-0000-000000000000}"/>
  <bookViews>
    <workbookView xWindow="0" yWindow="0" windowWidth="28800" windowHeight="12180" tabRatio="949" xr2:uid="{00000000-000D-0000-FFFF-FFFF00000000}"/>
  </bookViews>
  <sheets>
    <sheet name="제조업 생산" sheetId="101" r:id="rId1"/>
    <sheet name="소매판매, 카드 및 서비스업" sheetId="103" r:id="rId2"/>
    <sheet name="건설" sheetId="102" r:id="rId3"/>
    <sheet name="수출입" sheetId="106" r:id="rId4"/>
    <sheet name="고용" sheetId="107" r:id="rId5"/>
    <sheet name="물가" sheetId="108" r:id="rId6"/>
    <sheet name="BSI(제조업)" sheetId="98" r:id="rId7"/>
    <sheet name="BSI(비제조업)" sheetId="99" r:id="rId8"/>
    <sheet name="CSI(1)" sheetId="100" r:id="rId9"/>
    <sheet name="CSI(2)" sheetId="109" r:id="rId10"/>
    <sheet name="자동차" sheetId="111" r:id="rId11"/>
    <sheet name="전력사용량" sheetId="112" r:id="rId12"/>
  </sheets>
  <externalReferences>
    <externalReference r:id="rId13"/>
  </externalReferences>
  <definedNames>
    <definedName name="_xlnm.Print_Area" localSheetId="7">'BSI(비제조업)'!$A$1:$M$136</definedName>
    <definedName name="_xlnm.Print_Area" localSheetId="6">'BSI(제조업)'!$A$1:$O$136</definedName>
    <definedName name="_xlnm.Print_Area" localSheetId="9">'CSI(2)'!$A$1:$K$134</definedName>
    <definedName name="_xlnm.Print_Area" localSheetId="2">건설!$A$1:$K$135</definedName>
    <definedName name="_xlnm.Print_Area" localSheetId="4">고용!$A$1:$H$138</definedName>
    <definedName name="_xlnm.Print_Area" localSheetId="5">물가!$A$1:$H$138</definedName>
    <definedName name="_xlnm.Print_Area" localSheetId="1">'소매판매, 카드 및 서비스업'!$A$1:$F$138</definedName>
    <definedName name="_xlnm.Print_Area" localSheetId="3">수출입!$A$1:$K$138</definedName>
    <definedName name="_xlnm.Print_Area" localSheetId="10">자동차!$A$1:$F$136</definedName>
    <definedName name="_xlnm.Print_Area" localSheetId="11">전력사용량!$A$1:$H$136</definedName>
    <definedName name="_xlnm.Print_Area" localSheetId="0">'제조업 생산'!$A$1:$L$140</definedName>
  </definedNames>
  <calcPr calcId="191029"/>
</workbook>
</file>

<file path=xl/calcChain.xml><?xml version="1.0" encoding="utf-8"?>
<calcChain xmlns="http://schemas.openxmlformats.org/spreadsheetml/2006/main">
  <c r="H19" i="112" l="1"/>
  <c r="G19" i="112"/>
  <c r="F19" i="112"/>
  <c r="E19" i="112"/>
  <c r="D19" i="112"/>
  <c r="C19" i="112"/>
  <c r="B19" i="112"/>
  <c r="E135" i="111"/>
  <c r="F135" i="111"/>
  <c r="D135" i="111"/>
  <c r="C135" i="111"/>
  <c r="B135" i="111"/>
  <c r="E134" i="109"/>
  <c r="G134" i="109"/>
  <c r="J134" i="109"/>
  <c r="F134" i="109"/>
  <c r="H134" i="109"/>
  <c r="B134" i="109"/>
  <c r="D134" i="109"/>
  <c r="K134" i="109"/>
  <c r="C134" i="109"/>
  <c r="I134" i="109"/>
  <c r="L133" i="100"/>
  <c r="G133" i="100"/>
  <c r="H133" i="100"/>
  <c r="D133" i="100"/>
  <c r="J133" i="100"/>
  <c r="F133" i="100"/>
  <c r="E133" i="100"/>
  <c r="I133" i="100"/>
  <c r="K133" i="100"/>
  <c r="C133" i="100"/>
  <c r="B133" i="100"/>
  <c r="G135" i="99"/>
  <c r="L135" i="99"/>
  <c r="K135" i="99"/>
  <c r="D135" i="99"/>
  <c r="M135" i="99"/>
  <c r="F135" i="99"/>
  <c r="J135" i="99"/>
  <c r="I135" i="99"/>
  <c r="B135" i="99"/>
  <c r="E135" i="99"/>
  <c r="C135" i="99"/>
  <c r="H135" i="99"/>
  <c r="I135" i="98"/>
  <c r="M135" i="98"/>
  <c r="D135" i="98"/>
  <c r="O135" i="98"/>
  <c r="N135" i="98"/>
  <c r="H135" i="98"/>
  <c r="G135" i="98"/>
  <c r="E135" i="98"/>
  <c r="J135" i="98"/>
  <c r="K135" i="98"/>
  <c r="B135" i="98"/>
  <c r="F135" i="98"/>
  <c r="C135" i="98"/>
  <c r="L135" i="98"/>
  <c r="H137" i="107"/>
  <c r="B137" i="107"/>
  <c r="E137" i="107"/>
  <c r="D137" i="107"/>
  <c r="F137" i="107"/>
  <c r="C137" i="107"/>
  <c r="G137" i="107"/>
  <c r="B136" i="106"/>
  <c r="J136" i="106"/>
  <c r="K136" i="106"/>
  <c r="I136" i="106"/>
  <c r="D136" i="106"/>
  <c r="F136" i="106"/>
  <c r="H136" i="106"/>
  <c r="E136" i="106"/>
  <c r="C136" i="106"/>
  <c r="G136" i="106"/>
  <c r="H134" i="102"/>
  <c r="K134" i="102"/>
  <c r="G134" i="102"/>
  <c r="I134" i="102"/>
  <c r="F134" i="102"/>
  <c r="J134" i="102"/>
  <c r="B134" i="102"/>
  <c r="D134" i="102"/>
  <c r="C134" i="102"/>
  <c r="E134" i="102"/>
  <c r="I138" i="101"/>
  <c r="E138" i="101"/>
  <c r="K138" i="101"/>
  <c r="D138" i="101"/>
  <c r="B138" i="101"/>
  <c r="H138" i="101"/>
  <c r="G138" i="101"/>
  <c r="F138" i="101"/>
  <c r="L138" i="101"/>
  <c r="C138" i="101"/>
  <c r="J138" i="101"/>
  <c r="F133" i="102"/>
  <c r="H133" i="102"/>
  <c r="B133" i="102"/>
  <c r="E133" i="102"/>
  <c r="J133" i="102"/>
  <c r="D133" i="102"/>
  <c r="K133" i="102"/>
  <c r="I133" i="102"/>
  <c r="C133" i="102"/>
  <c r="G133" i="102"/>
  <c r="I132" i="109"/>
  <c r="B132" i="109"/>
  <c r="J132" i="109"/>
  <c r="D132" i="109"/>
  <c r="F132" i="109"/>
  <c r="G132" i="109"/>
  <c r="E132" i="109"/>
  <c r="K132" i="109"/>
  <c r="C132" i="109"/>
  <c r="H132" i="109"/>
  <c r="D131" i="100"/>
  <c r="K131" i="100"/>
  <c r="E131" i="100"/>
  <c r="H131" i="100"/>
  <c r="B131" i="100"/>
  <c r="L131" i="100"/>
  <c r="F131" i="100"/>
  <c r="J131" i="100"/>
  <c r="G131" i="100"/>
  <c r="C131" i="100"/>
  <c r="I131" i="100"/>
  <c r="F130" i="100"/>
  <c r="E130" i="100"/>
  <c r="I130" i="100"/>
  <c r="K130" i="100"/>
  <c r="G130" i="100"/>
  <c r="H130" i="100"/>
  <c r="J130" i="100"/>
  <c r="L130" i="100"/>
  <c r="B130" i="100"/>
  <c r="C130" i="100"/>
  <c r="D130" i="100"/>
  <c r="M132" i="98"/>
  <c r="J132" i="98"/>
  <c r="K132" i="98"/>
  <c r="O132" i="98"/>
  <c r="G132" i="98"/>
  <c r="I132" i="98"/>
  <c r="H132" i="98"/>
  <c r="F132" i="98"/>
  <c r="N132" i="98"/>
  <c r="E132" i="98"/>
  <c r="L132" i="98"/>
  <c r="B132" i="98"/>
  <c r="C132" i="98"/>
  <c r="D132" i="98"/>
  <c r="H133" i="98"/>
  <c r="M133" i="98"/>
  <c r="L133" i="98"/>
  <c r="I133" i="98"/>
  <c r="J133" i="98"/>
  <c r="E133" i="98"/>
  <c r="F133" i="98"/>
  <c r="D133" i="98"/>
  <c r="N133" i="98"/>
  <c r="O133" i="98"/>
  <c r="K133" i="98"/>
  <c r="G133" i="98"/>
  <c r="C133" i="98"/>
  <c r="B133" i="98"/>
  <c r="D136" i="101"/>
  <c r="F136" i="101"/>
  <c r="E136" i="101"/>
  <c r="B136" i="101"/>
  <c r="G136" i="101"/>
  <c r="I136" i="101"/>
  <c r="H136" i="101"/>
  <c r="J136" i="101"/>
  <c r="L136" i="101"/>
  <c r="C136" i="101"/>
  <c r="K136" i="101"/>
  <c r="I135" i="101"/>
  <c r="D135" i="101"/>
  <c r="H135" i="101"/>
  <c r="L135" i="101"/>
  <c r="B135" i="101"/>
  <c r="J135" i="101"/>
  <c r="F135" i="101"/>
  <c r="K135" i="101"/>
  <c r="G135" i="101"/>
  <c r="C135" i="101"/>
  <c r="E135" i="101"/>
  <c r="F131" i="109"/>
  <c r="B131" i="109"/>
  <c r="K131" i="109"/>
  <c r="D131" i="109"/>
  <c r="G131" i="109"/>
  <c r="I131" i="109"/>
  <c r="E131" i="109"/>
  <c r="J131" i="109"/>
  <c r="C131" i="109"/>
  <c r="H131" i="109"/>
  <c r="J132" i="99"/>
  <c r="B132" i="99"/>
  <c r="K132" i="99"/>
  <c r="G132" i="99"/>
  <c r="H132" i="99"/>
  <c r="D132" i="99"/>
  <c r="I132" i="99"/>
  <c r="E132" i="99"/>
  <c r="F132" i="99"/>
  <c r="M132" i="99"/>
  <c r="C132" i="99"/>
  <c r="L132" i="99"/>
  <c r="H134" i="106"/>
  <c r="B134" i="106"/>
  <c r="D134" i="106"/>
  <c r="E134" i="106"/>
  <c r="I134" i="106"/>
  <c r="G134" i="106"/>
  <c r="J134" i="106"/>
  <c r="F134" i="106"/>
  <c r="C134" i="106"/>
  <c r="K134" i="106"/>
  <c r="H132" i="102"/>
  <c r="I132" i="102"/>
  <c r="K132" i="102"/>
  <c r="E132" i="102"/>
  <c r="D132" i="102"/>
  <c r="F132" i="102"/>
  <c r="J132" i="102"/>
  <c r="G132" i="102"/>
  <c r="C132" i="102"/>
  <c r="B132" i="102"/>
  <c r="G133" i="106"/>
  <c r="J133" i="106"/>
  <c r="E133" i="106"/>
  <c r="F133" i="106"/>
  <c r="H133" i="106"/>
  <c r="I133" i="106"/>
  <c r="B133" i="106"/>
  <c r="D133" i="106"/>
  <c r="C133" i="106"/>
  <c r="K133" i="106"/>
  <c r="B133" i="99"/>
  <c r="F133" i="99"/>
  <c r="K133" i="99"/>
  <c r="H133" i="99"/>
  <c r="J133" i="99"/>
  <c r="D133" i="99"/>
  <c r="G133" i="99"/>
  <c r="L133" i="99"/>
  <c r="I133" i="99"/>
  <c r="M133" i="99"/>
  <c r="E133" i="99"/>
  <c r="C133" i="99"/>
  <c r="H134" i="112"/>
  <c r="G134" i="112"/>
  <c r="B134" i="112"/>
  <c r="F134" i="112"/>
  <c r="F136" i="108"/>
  <c r="B136" i="108"/>
  <c r="H136" i="108"/>
  <c r="G136" i="108"/>
  <c r="E136" i="108"/>
  <c r="C136" i="108"/>
  <c r="D136" i="108"/>
  <c r="F134" i="108"/>
  <c r="G134" i="108"/>
  <c r="E134" i="108"/>
  <c r="D134" i="108"/>
  <c r="B134" i="108"/>
  <c r="C134" i="108"/>
  <c r="H134" i="108"/>
  <c r="D133" i="108"/>
  <c r="G133" i="108"/>
  <c r="F133" i="108"/>
  <c r="B133" i="108"/>
  <c r="E133" i="108"/>
  <c r="C133" i="108"/>
  <c r="H133" i="108"/>
  <c r="E133" i="111"/>
  <c r="B133" i="111"/>
  <c r="F133" i="111"/>
  <c r="C133" i="111"/>
  <c r="D133" i="111"/>
  <c r="D134" i="107"/>
  <c r="B134" i="107"/>
  <c r="H134" i="107"/>
  <c r="E134" i="107"/>
  <c r="F134" i="107"/>
  <c r="C134" i="107"/>
  <c r="G134" i="107"/>
  <c r="B136" i="103"/>
  <c r="C136" i="103"/>
  <c r="D136" i="103"/>
  <c r="B135" i="107"/>
  <c r="D135" i="107"/>
  <c r="G135" i="107"/>
  <c r="H135" i="107"/>
  <c r="E135" i="107"/>
  <c r="C135" i="107"/>
  <c r="F135" i="107"/>
  <c r="B133" i="112"/>
  <c r="F133" i="112"/>
  <c r="G133" i="112"/>
  <c r="H133" i="112"/>
  <c r="B134" i="103"/>
  <c r="F134" i="103"/>
  <c r="D134" i="103"/>
  <c r="C134" i="103"/>
  <c r="C134" i="112"/>
  <c r="E134" i="112"/>
  <c r="D134" i="112"/>
  <c r="B133" i="103"/>
  <c r="D133" i="103"/>
  <c r="C133" i="103"/>
  <c r="G135" i="112"/>
  <c r="B135" i="112"/>
  <c r="F135" i="112"/>
  <c r="H135" i="112"/>
  <c r="C133" i="112"/>
  <c r="E133" i="112"/>
  <c r="D133" i="112"/>
  <c r="E132" i="111"/>
  <c r="F132" i="111"/>
  <c r="B132" i="111"/>
  <c r="C132" i="111"/>
  <c r="D132" i="111"/>
  <c r="C135" i="112"/>
  <c r="E135" i="112"/>
  <c r="D135" i="112"/>
</calcChain>
</file>

<file path=xl/sharedStrings.xml><?xml version="1.0" encoding="utf-8"?>
<sst xmlns="http://schemas.openxmlformats.org/spreadsheetml/2006/main" count="3438" uniqueCount="330">
  <si>
    <t>제조업</t>
    <phoneticPr fontId="5" type="noConversion"/>
  </si>
  <si>
    <t>연월중</t>
    <phoneticPr fontId="5" type="noConversion"/>
  </si>
  <si>
    <t>업황</t>
    <phoneticPr fontId="5" type="noConversion"/>
  </si>
  <si>
    <t>매출</t>
    <phoneticPr fontId="5" type="noConversion"/>
  </si>
  <si>
    <t>설비투자</t>
    <phoneticPr fontId="5" type="noConversion"/>
  </si>
  <si>
    <t>채산성</t>
    <phoneticPr fontId="5" type="noConversion"/>
  </si>
  <si>
    <t>인력사정</t>
    <phoneticPr fontId="5" type="noConversion"/>
  </si>
  <si>
    <t>실적</t>
    <phoneticPr fontId="5" type="noConversion"/>
  </si>
  <si>
    <t>전망</t>
    <phoneticPr fontId="5" type="noConversion"/>
  </si>
  <si>
    <t>실적</t>
    <phoneticPr fontId="5" type="noConversion"/>
  </si>
  <si>
    <t>비제조업</t>
    <phoneticPr fontId="5" type="noConversion"/>
  </si>
  <si>
    <t>식료품</t>
    <phoneticPr fontId="5" type="noConversion"/>
  </si>
  <si>
    <t>음료</t>
    <phoneticPr fontId="5" type="noConversion"/>
  </si>
  <si>
    <t>자동차 및 
트레일러</t>
    <phoneticPr fontId="5" type="noConversion"/>
  </si>
  <si>
    <t>자료 : 통계청</t>
    <phoneticPr fontId="5" type="noConversion"/>
  </si>
  <si>
    <t>주거용</t>
    <phoneticPr fontId="5" type="noConversion"/>
  </si>
  <si>
    <t>수  출</t>
    <phoneticPr fontId="5" type="noConversion"/>
  </si>
  <si>
    <t>수  입</t>
    <phoneticPr fontId="5" type="noConversion"/>
  </si>
  <si>
    <t>실업률</t>
    <phoneticPr fontId="5" type="noConversion"/>
  </si>
  <si>
    <t>취업자</t>
    <phoneticPr fontId="5" type="noConversion"/>
  </si>
  <si>
    <t>실업자</t>
    <phoneticPr fontId="5" type="noConversion"/>
  </si>
  <si>
    <t xml:space="preserve">        2</t>
  </si>
  <si>
    <t>원지수</t>
    <phoneticPr fontId="5" type="noConversion"/>
  </si>
  <si>
    <t>계절변동
조정지수</t>
    <phoneticPr fontId="5" type="noConversion"/>
  </si>
  <si>
    <t>대형마트</t>
    <phoneticPr fontId="5" type="noConversion"/>
  </si>
  <si>
    <t xml:space="preserve">   주 : 1)  기말 기준</t>
    <phoneticPr fontId="5" type="noConversion"/>
  </si>
  <si>
    <t>공업용</t>
    <phoneticPr fontId="5" type="noConversion"/>
  </si>
  <si>
    <t>1차산품</t>
    <phoneticPr fontId="5" type="noConversion"/>
  </si>
  <si>
    <t>자본재</t>
    <phoneticPr fontId="5" type="noConversion"/>
  </si>
  <si>
    <t>(백만달러)</t>
    <phoneticPr fontId="5" type="noConversion"/>
  </si>
  <si>
    <t>(강원)</t>
    <phoneticPr fontId="5" type="noConversion"/>
  </si>
  <si>
    <t>경제활동인구</t>
    <phoneticPr fontId="5" type="noConversion"/>
  </si>
  <si>
    <t>5. 취업자수 및 실업률</t>
    <phoneticPr fontId="5" type="noConversion"/>
  </si>
  <si>
    <t>(천명, %)</t>
    <phoneticPr fontId="5" type="noConversion"/>
  </si>
  <si>
    <t>아파트</t>
    <phoneticPr fontId="5" type="noConversion"/>
  </si>
  <si>
    <t>7. 기업경기지수</t>
    <phoneticPr fontId="5" type="noConversion"/>
  </si>
  <si>
    <t>자금사정</t>
    <phoneticPr fontId="5" type="noConversion"/>
  </si>
  <si>
    <t>소비자
심리지수</t>
    <phoneticPr fontId="5" type="noConversion"/>
  </si>
  <si>
    <t>8. 소비자동향조사</t>
    <phoneticPr fontId="5" type="noConversion"/>
  </si>
  <si>
    <t>교통
통신비</t>
    <phoneticPr fontId="5" type="noConversion"/>
  </si>
  <si>
    <t>주거비</t>
    <phoneticPr fontId="5" type="noConversion"/>
  </si>
  <si>
    <t>의료
보건비</t>
    <phoneticPr fontId="5" type="noConversion"/>
  </si>
  <si>
    <t>미분양
주택</t>
    <phoneticPr fontId="5" type="noConversion"/>
  </si>
  <si>
    <t>건설
수주액</t>
    <phoneticPr fontId="5" type="noConversion"/>
  </si>
  <si>
    <t>건축
착공
면적</t>
    <phoneticPr fontId="5" type="noConversion"/>
  </si>
  <si>
    <t>건축
허가
면적</t>
    <phoneticPr fontId="5" type="noConversion"/>
  </si>
  <si>
    <t>4. 수출입</t>
    <phoneticPr fontId="5" type="noConversion"/>
  </si>
  <si>
    <t>3. 건축허가·착공면적, 건설 수주액 및 미분양주택</t>
    <phoneticPr fontId="5" type="noConversion"/>
  </si>
  <si>
    <t xml:space="preserve">  자료 : 국토교통부(건축허가·착공면적, 미분양주택), 통계청(건설 수주액)</t>
    <phoneticPr fontId="5" type="noConversion"/>
  </si>
  <si>
    <r>
      <t>(천m</t>
    </r>
    <r>
      <rPr>
        <vertAlign val="superscript"/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>, 억원</t>
    </r>
    <r>
      <rPr>
        <sz val="11"/>
        <rFont val="돋움"/>
        <family val="3"/>
        <charset val="129"/>
      </rPr>
      <t>, 호</t>
    </r>
    <r>
      <rPr>
        <sz val="11"/>
        <rFont val="돋움"/>
        <family val="3"/>
        <charset val="129"/>
      </rPr>
      <t>)</t>
    </r>
    <phoneticPr fontId="5" type="noConversion"/>
  </si>
  <si>
    <r>
      <t>서비스업
   생산지수</t>
    </r>
    <r>
      <rPr>
        <vertAlign val="superscript"/>
        <sz val="10"/>
        <rFont val="돋움"/>
        <family val="3"/>
        <charset val="129"/>
      </rPr>
      <t>1)2)</t>
    </r>
    <phoneticPr fontId="5" type="noConversion"/>
  </si>
  <si>
    <t>15세
이상 인구</t>
    <phoneticPr fontId="5" type="noConversion"/>
  </si>
  <si>
    <t>고용률</t>
    <phoneticPr fontId="5" type="noConversion"/>
  </si>
  <si>
    <t>경제활동
참가율</t>
    <phoneticPr fontId="5" type="noConversion"/>
  </si>
  <si>
    <t>현재
생활
형편</t>
    <phoneticPr fontId="5" type="noConversion"/>
  </si>
  <si>
    <t>연월중</t>
  </si>
  <si>
    <t>생활
형편
전망</t>
    <phoneticPr fontId="5" type="noConversion"/>
  </si>
  <si>
    <t>가계
수입
전망</t>
    <phoneticPr fontId="5" type="noConversion"/>
  </si>
  <si>
    <t>현재
경기
판단</t>
    <phoneticPr fontId="5" type="noConversion"/>
  </si>
  <si>
    <t>향후
경기
전망</t>
    <phoneticPr fontId="5" type="noConversion"/>
  </si>
  <si>
    <t>취업
기회
전망</t>
    <phoneticPr fontId="5" type="noConversion"/>
  </si>
  <si>
    <t>물가
수준
전망</t>
    <phoneticPr fontId="5" type="noConversion"/>
  </si>
  <si>
    <t>주택
가격
전망</t>
    <phoneticPr fontId="5" type="noConversion"/>
  </si>
  <si>
    <t>임금
수준
전망</t>
    <phoneticPr fontId="5" type="noConversion"/>
  </si>
  <si>
    <t>금리
수준
전망</t>
    <phoneticPr fontId="5" type="noConversion"/>
  </si>
  <si>
    <t>소비
지출
전망</t>
    <phoneticPr fontId="5" type="noConversion"/>
  </si>
  <si>
    <t>교양
오락
문화비</t>
    <phoneticPr fontId="5" type="noConversion"/>
  </si>
  <si>
    <t>내구재</t>
    <phoneticPr fontId="5" type="noConversion"/>
  </si>
  <si>
    <t>의류비</t>
    <phoneticPr fontId="5" type="noConversion"/>
  </si>
  <si>
    <t>외식비</t>
    <phoneticPr fontId="5" type="noConversion"/>
  </si>
  <si>
    <t>여행비</t>
    <phoneticPr fontId="5" type="noConversion"/>
  </si>
  <si>
    <t>교육비</t>
    <phoneticPr fontId="5" type="noConversion"/>
  </si>
  <si>
    <t>9. 자동차 신규등록대수</t>
    <phoneticPr fontId="5" type="noConversion"/>
  </si>
  <si>
    <t>합계</t>
    <phoneticPr fontId="5" type="noConversion"/>
  </si>
  <si>
    <t>승용차</t>
    <phoneticPr fontId="5" type="noConversion"/>
  </si>
  <si>
    <t>승합차</t>
    <phoneticPr fontId="5" type="noConversion"/>
  </si>
  <si>
    <t>화물차</t>
    <phoneticPr fontId="5" type="noConversion"/>
  </si>
  <si>
    <t>특수차</t>
    <phoneticPr fontId="5" type="noConversion"/>
  </si>
  <si>
    <t>10. 전력 사용량</t>
    <phoneticPr fontId="5" type="noConversion"/>
  </si>
  <si>
    <t>계</t>
    <phoneticPr fontId="5" type="noConversion"/>
  </si>
  <si>
    <t>가정용</t>
    <phoneticPr fontId="5" type="noConversion"/>
  </si>
  <si>
    <t>산업용</t>
    <phoneticPr fontId="5" type="noConversion"/>
  </si>
  <si>
    <t>공공서비스</t>
    <phoneticPr fontId="5" type="noConversion"/>
  </si>
  <si>
    <t>농림어업</t>
    <phoneticPr fontId="5" type="noConversion"/>
  </si>
  <si>
    <t>광업</t>
    <phoneticPr fontId="5" type="noConversion"/>
  </si>
  <si>
    <t xml:space="preserve">                     (대)</t>
    <phoneticPr fontId="5" type="noConversion"/>
  </si>
  <si>
    <t xml:space="preserve">           (MWh)</t>
    <phoneticPr fontId="5" type="noConversion"/>
  </si>
  <si>
    <t>자료 : 한국전력</t>
    <phoneticPr fontId="5" type="noConversion"/>
  </si>
  <si>
    <t>자료 : 국토교통부</t>
    <phoneticPr fontId="5" type="noConversion"/>
  </si>
  <si>
    <t xml:space="preserve">        3</t>
  </si>
  <si>
    <t xml:space="preserve">        4</t>
  </si>
  <si>
    <t xml:space="preserve">        5</t>
  </si>
  <si>
    <t xml:space="preserve">        6</t>
  </si>
  <si>
    <t xml:space="preserve">        7</t>
  </si>
  <si>
    <t xml:space="preserve">        8</t>
  </si>
  <si>
    <t xml:space="preserve">        9</t>
  </si>
  <si>
    <t xml:space="preserve">        10</t>
  </si>
  <si>
    <t xml:space="preserve">        11</t>
  </si>
  <si>
    <t xml:space="preserve">        12</t>
  </si>
  <si>
    <t>비금속
광물
제품</t>
    <phoneticPr fontId="5" type="noConversion"/>
  </si>
  <si>
    <t>의료·
정밀·
광학기기</t>
    <phoneticPr fontId="5" type="noConversion"/>
  </si>
  <si>
    <t>Ⅱ. 실물통계</t>
    <phoneticPr fontId="5" type="noConversion"/>
  </si>
  <si>
    <t>-</t>
  </si>
  <si>
    <t>공업용</t>
  </si>
  <si>
    <t>상업용</t>
  </si>
  <si>
    <r>
      <t>소비자
 물가지수</t>
    </r>
    <r>
      <rPr>
        <vertAlign val="superscript"/>
        <sz val="10"/>
        <color theme="1"/>
        <rFont val="돋움"/>
        <family val="3"/>
        <charset val="129"/>
      </rPr>
      <t>1)</t>
    </r>
    <phoneticPr fontId="5" type="noConversion"/>
  </si>
  <si>
    <t>중간재</t>
    <phoneticPr fontId="5" type="noConversion"/>
  </si>
  <si>
    <r>
      <t>소비재 등</t>
    </r>
    <r>
      <rPr>
        <vertAlign val="superscript"/>
        <sz val="10"/>
        <rFont val="돋움"/>
        <family val="3"/>
        <charset val="129"/>
      </rPr>
      <t>1)</t>
    </r>
    <phoneticPr fontId="5" type="noConversion"/>
  </si>
  <si>
    <t xml:space="preserve">   주 : 1) 기타(군경용 제품 등) 포함</t>
    <phoneticPr fontId="5" type="noConversion"/>
  </si>
  <si>
    <t>1차산품</t>
    <phoneticPr fontId="5" type="noConversion"/>
  </si>
  <si>
    <t>용도별</t>
    <phoneticPr fontId="5" type="noConversion"/>
  </si>
  <si>
    <t>2009.12</t>
  </si>
  <si>
    <t>2009.12</t>
    <phoneticPr fontId="5" type="noConversion"/>
  </si>
  <si>
    <t>2010.12</t>
  </si>
  <si>
    <t>2010.12</t>
    <phoneticPr fontId="5" type="noConversion"/>
  </si>
  <si>
    <t>2011.12</t>
  </si>
  <si>
    <t>2011.12</t>
    <phoneticPr fontId="5" type="noConversion"/>
  </si>
  <si>
    <t>2012.12</t>
  </si>
  <si>
    <t>2012.12</t>
    <phoneticPr fontId="5" type="noConversion"/>
  </si>
  <si>
    <t>2013.12</t>
  </si>
  <si>
    <t>2013.12</t>
    <phoneticPr fontId="5" type="noConversion"/>
  </si>
  <si>
    <t>2014.12</t>
  </si>
  <si>
    <t>2014.12</t>
    <phoneticPr fontId="5" type="noConversion"/>
  </si>
  <si>
    <t xml:space="preserve">        4</t>
    <phoneticPr fontId="5" type="noConversion"/>
  </si>
  <si>
    <r>
      <t>소매판매액
   지수</t>
    </r>
    <r>
      <rPr>
        <vertAlign val="superscript"/>
        <sz val="10"/>
        <color theme="1"/>
        <rFont val="돋움"/>
        <family val="3"/>
        <charset val="129"/>
      </rPr>
      <t>1)2)</t>
    </r>
    <phoneticPr fontId="5" type="noConversion"/>
  </si>
  <si>
    <t>1. 제조업 생산·출하·재고지수</t>
    <phoneticPr fontId="5" type="noConversion"/>
  </si>
  <si>
    <t>산업별 생산지수(원지수)</t>
    <phoneticPr fontId="5" type="noConversion"/>
  </si>
  <si>
    <t>생산지수</t>
    <phoneticPr fontId="5" type="noConversion"/>
  </si>
  <si>
    <r>
      <t>재고지수</t>
    </r>
    <r>
      <rPr>
        <vertAlign val="superscript"/>
        <sz val="10"/>
        <rFont val="돋움"/>
        <family val="3"/>
        <charset val="129"/>
      </rPr>
      <t>1)</t>
    </r>
    <phoneticPr fontId="5" type="noConversion"/>
  </si>
  <si>
    <t>출하지수</t>
    <phoneticPr fontId="5" type="noConversion"/>
  </si>
  <si>
    <t xml:space="preserve">        6</t>
    <phoneticPr fontId="5" type="noConversion"/>
  </si>
  <si>
    <t>2015.12</t>
    <phoneticPr fontId="5" type="noConversion"/>
  </si>
  <si>
    <t>2015.12</t>
    <phoneticPr fontId="5" type="noConversion"/>
  </si>
  <si>
    <t xml:space="preserve">         4</t>
    <phoneticPr fontId="5" type="noConversion"/>
  </si>
  <si>
    <t xml:space="preserve">        5</t>
    <phoneticPr fontId="5" type="noConversion"/>
  </si>
  <si>
    <t xml:space="preserve">         5</t>
    <phoneticPr fontId="5" type="noConversion"/>
  </si>
  <si>
    <t xml:space="preserve">         6</t>
    <phoneticPr fontId="5" type="noConversion"/>
  </si>
  <si>
    <t xml:space="preserve">        9</t>
    <phoneticPr fontId="5" type="noConversion"/>
  </si>
  <si>
    <t xml:space="preserve">         7</t>
    <phoneticPr fontId="5" type="noConversion"/>
  </si>
  <si>
    <t xml:space="preserve">        8</t>
    <phoneticPr fontId="5" type="noConversion"/>
  </si>
  <si>
    <t xml:space="preserve">        10</t>
    <phoneticPr fontId="5" type="noConversion"/>
  </si>
  <si>
    <t xml:space="preserve">      10</t>
  </si>
  <si>
    <t xml:space="preserve">         8</t>
    <phoneticPr fontId="5" type="noConversion"/>
  </si>
  <si>
    <t xml:space="preserve">         9</t>
  </si>
  <si>
    <t xml:space="preserve">         9</t>
    <phoneticPr fontId="5" type="noConversion"/>
  </si>
  <si>
    <t xml:space="preserve">        11</t>
    <phoneticPr fontId="5" type="noConversion"/>
  </si>
  <si>
    <t xml:space="preserve">         11</t>
    <phoneticPr fontId="5" type="noConversion"/>
  </si>
  <si>
    <t xml:space="preserve">         11</t>
  </si>
  <si>
    <t>2019. 1</t>
  </si>
  <si>
    <t>2019. 1</t>
    <phoneticPr fontId="5" type="noConversion"/>
  </si>
  <si>
    <t xml:space="preserve">         12</t>
    <phoneticPr fontId="5" type="noConversion"/>
  </si>
  <si>
    <t xml:space="preserve">        12</t>
    <phoneticPr fontId="5" type="noConversion"/>
  </si>
  <si>
    <t xml:space="preserve"> 2019. 1</t>
    <phoneticPr fontId="5" type="noConversion"/>
  </si>
  <si>
    <t xml:space="preserve">        2</t>
    <phoneticPr fontId="5" type="noConversion"/>
  </si>
  <si>
    <t xml:space="preserve">         2</t>
    <phoneticPr fontId="5" type="noConversion"/>
  </si>
  <si>
    <t xml:space="preserve">        3</t>
    <phoneticPr fontId="5" type="noConversion"/>
  </si>
  <si>
    <t xml:space="preserve">        4</t>
    <phoneticPr fontId="5" type="noConversion"/>
  </si>
  <si>
    <t xml:space="preserve">        5</t>
    <phoneticPr fontId="5" type="noConversion"/>
  </si>
  <si>
    <t xml:space="preserve">        6</t>
    <phoneticPr fontId="5" type="noConversion"/>
  </si>
  <si>
    <t xml:space="preserve">        7</t>
    <phoneticPr fontId="5" type="noConversion"/>
  </si>
  <si>
    <t xml:space="preserve">        8</t>
    <phoneticPr fontId="5" type="noConversion"/>
  </si>
  <si>
    <t xml:space="preserve">        9</t>
    <phoneticPr fontId="5" type="noConversion"/>
  </si>
  <si>
    <t xml:space="preserve">        10</t>
    <phoneticPr fontId="5" type="noConversion"/>
  </si>
  <si>
    <t xml:space="preserve">         11</t>
    <phoneticPr fontId="5" type="noConversion"/>
  </si>
  <si>
    <t>2020. 1</t>
  </si>
  <si>
    <t xml:space="preserve">         12</t>
    <phoneticPr fontId="5" type="noConversion"/>
  </si>
  <si>
    <t xml:space="preserve"> 2020. 1</t>
    <phoneticPr fontId="5" type="noConversion"/>
  </si>
  <si>
    <t xml:space="preserve">         2</t>
    <phoneticPr fontId="5" type="noConversion"/>
  </si>
  <si>
    <t xml:space="preserve">         3</t>
    <phoneticPr fontId="5" type="noConversion"/>
  </si>
  <si>
    <t xml:space="preserve">         4</t>
    <phoneticPr fontId="5" type="noConversion"/>
  </si>
  <si>
    <t xml:space="preserve">         5</t>
    <phoneticPr fontId="5" type="noConversion"/>
  </si>
  <si>
    <t xml:space="preserve">        5</t>
    <phoneticPr fontId="5" type="noConversion"/>
  </si>
  <si>
    <t xml:space="preserve">         6</t>
    <phoneticPr fontId="5" type="noConversion"/>
  </si>
  <si>
    <t xml:space="preserve">         7</t>
    <phoneticPr fontId="5" type="noConversion"/>
  </si>
  <si>
    <t xml:space="preserve">         8</t>
    <phoneticPr fontId="5" type="noConversion"/>
  </si>
  <si>
    <t xml:space="preserve">         9</t>
    <phoneticPr fontId="5" type="noConversion"/>
  </si>
  <si>
    <t xml:space="preserve">         10</t>
    <phoneticPr fontId="5" type="noConversion"/>
  </si>
  <si>
    <t xml:space="preserve">      11</t>
    <phoneticPr fontId="5" type="noConversion"/>
  </si>
  <si>
    <t xml:space="preserve">      12</t>
    <phoneticPr fontId="5" type="noConversion"/>
  </si>
  <si>
    <t>자료 : 한국무역통계진흥원</t>
    <phoneticPr fontId="5" type="noConversion"/>
  </si>
  <si>
    <t xml:space="preserve">        11</t>
    <phoneticPr fontId="5" type="noConversion"/>
  </si>
  <si>
    <t>2021. 1</t>
    <phoneticPr fontId="5" type="noConversion"/>
  </si>
  <si>
    <t>2021. 1</t>
    <phoneticPr fontId="5" type="noConversion"/>
  </si>
  <si>
    <t>2016.12</t>
  </si>
  <si>
    <t>2016.12</t>
    <phoneticPr fontId="5" type="noConversion"/>
  </si>
  <si>
    <t>2021. 1</t>
  </si>
  <si>
    <t>2021. 1</t>
    <phoneticPr fontId="5" type="noConversion"/>
  </si>
  <si>
    <t xml:space="preserve"> 2021. 1</t>
    <phoneticPr fontId="5" type="noConversion"/>
  </si>
  <si>
    <r>
      <t>생활
  물가지수</t>
    </r>
    <r>
      <rPr>
        <vertAlign val="superscript"/>
        <sz val="10"/>
        <color theme="1"/>
        <rFont val="돋움"/>
        <family val="3"/>
        <charset val="129"/>
      </rPr>
      <t>1)</t>
    </r>
    <phoneticPr fontId="5" type="noConversion"/>
  </si>
  <si>
    <r>
      <t>주택매매
  가격지수</t>
    </r>
    <r>
      <rPr>
        <vertAlign val="superscript"/>
        <sz val="10"/>
        <color theme="1"/>
        <rFont val="돋움"/>
        <family val="3"/>
        <charset val="129"/>
      </rPr>
      <t>2)</t>
    </r>
    <phoneticPr fontId="5" type="noConversion"/>
  </si>
  <si>
    <r>
      <t>주택전세 
  가격지수</t>
    </r>
    <r>
      <rPr>
        <vertAlign val="superscript"/>
        <sz val="10"/>
        <color theme="1"/>
        <rFont val="돋움"/>
        <family val="3"/>
        <charset val="129"/>
      </rPr>
      <t>2)</t>
    </r>
    <phoneticPr fontId="5" type="noConversion"/>
  </si>
  <si>
    <t xml:space="preserve">         10</t>
  </si>
  <si>
    <t xml:space="preserve">         12</t>
    <phoneticPr fontId="5" type="noConversion"/>
  </si>
  <si>
    <t xml:space="preserve">        11</t>
    <phoneticPr fontId="5" type="noConversion"/>
  </si>
  <si>
    <t xml:space="preserve">      11</t>
    <phoneticPr fontId="5" type="noConversion"/>
  </si>
  <si>
    <t xml:space="preserve">      12</t>
    <phoneticPr fontId="5" type="noConversion"/>
  </si>
  <si>
    <t xml:space="preserve">        12</t>
    <phoneticPr fontId="5" type="noConversion"/>
  </si>
  <si>
    <t xml:space="preserve">        10</t>
    <phoneticPr fontId="5" type="noConversion"/>
  </si>
  <si>
    <t xml:space="preserve">        12</t>
    <phoneticPr fontId="5" type="noConversion"/>
  </si>
  <si>
    <t>2022. 1</t>
    <phoneticPr fontId="5" type="noConversion"/>
  </si>
  <si>
    <t>2017.12</t>
    <phoneticPr fontId="5" type="noConversion"/>
  </si>
  <si>
    <t>2017.12</t>
    <phoneticPr fontId="5" type="noConversion"/>
  </si>
  <si>
    <t xml:space="preserve">         7</t>
  </si>
  <si>
    <t xml:space="preserve">         8</t>
  </si>
  <si>
    <t>2018.12</t>
    <phoneticPr fontId="5" type="noConversion"/>
  </si>
  <si>
    <t>2018. 12</t>
    <phoneticPr fontId="5" type="noConversion"/>
  </si>
  <si>
    <t xml:space="preserve">         12</t>
  </si>
  <si>
    <t/>
  </si>
  <si>
    <t>(2020년 = 100)</t>
    <phoneticPr fontId="5" type="noConversion"/>
  </si>
  <si>
    <t>2023. 1</t>
  </si>
  <si>
    <t xml:space="preserve">         2</t>
  </si>
  <si>
    <t xml:space="preserve">         3</t>
  </si>
  <si>
    <r>
      <t>대형소매점 판매액 지수</t>
    </r>
    <r>
      <rPr>
        <vertAlign val="superscript"/>
        <sz val="10"/>
        <rFont val="돋움"/>
        <family val="3"/>
        <charset val="129"/>
      </rPr>
      <t>1)</t>
    </r>
    <phoneticPr fontId="5" type="noConversion"/>
  </si>
  <si>
    <t xml:space="preserve">         4</t>
  </si>
  <si>
    <t xml:space="preserve">         5</t>
  </si>
  <si>
    <t>2022. 1</t>
  </si>
  <si>
    <t>(2020년 = 100, 억원)</t>
    <phoneticPr fontId="5" type="noConversion"/>
  </si>
  <si>
    <r>
      <t>신용카드
   결제액</t>
    </r>
    <r>
      <rPr>
        <vertAlign val="superscript"/>
        <sz val="10"/>
        <rFont val="돋움"/>
        <family val="3"/>
        <charset val="129"/>
      </rPr>
      <t>3)</t>
    </r>
    <phoneticPr fontId="5" type="noConversion"/>
  </si>
  <si>
    <t>자료 : 통계청, 신한·하나·농협카드</t>
    <phoneticPr fontId="5" type="noConversion"/>
  </si>
  <si>
    <t xml:space="preserve">   주 : 1) 불변지수 기준,   2) 분기중 지수,   3) 강원지역 가맹점 신용카드 결제액</t>
    <phoneticPr fontId="5" type="noConversion"/>
  </si>
  <si>
    <t>2. 소매판매액 지수, 대형소매점 판매액 지수, 신용카드 결제액 및 서비스업 생산지수</t>
    <phoneticPr fontId="5" type="noConversion"/>
  </si>
  <si>
    <t>6. 소비자물가, 주택가격 및 지가지수</t>
    <phoneticPr fontId="5" type="noConversion"/>
  </si>
  <si>
    <r>
      <t>지가지수</t>
    </r>
    <r>
      <rPr>
        <vertAlign val="superscript"/>
        <sz val="10"/>
        <color theme="1"/>
        <rFont val="돋움"/>
        <family val="3"/>
        <charset val="129"/>
      </rPr>
      <t>3)</t>
    </r>
    <phoneticPr fontId="5" type="noConversion"/>
  </si>
  <si>
    <t xml:space="preserve">       10</t>
  </si>
  <si>
    <t>자료 : 통계청(소비자물가지수, 생활물가지수), 한국부동산원(주택매매가격지수, 주택전세가격지수, 지가지수)</t>
    <phoneticPr fontId="5" type="noConversion"/>
  </si>
  <si>
    <t xml:space="preserve">       11</t>
  </si>
  <si>
    <t xml:space="preserve">       12</t>
  </si>
  <si>
    <t xml:space="preserve">   주 : 1) 2019년 1월 및 2021년 5월부터 표본개편후 신표본에 의해 조사된 결과치로 변경됨에 따라 실적BSI의 경우 2018년 12월과 2019년 
           1월 사이 및 2021년 4월과 2021년 5월 사이, 전망 BSI의 경우 2019년 1월과 2월 사이 및 2021년 5월과 2021년 6월 사이에 
           표본변경에 따른 시계열단절이 발생하므로 통계이용에 주의를 요함</t>
    <phoneticPr fontId="5" type="noConversion"/>
  </si>
  <si>
    <t xml:space="preserve">   주 : 1) 2019년 1월 및 2021년 5월부터 표본개편후 신표본에 의해 조사된 결과치로 변경됨에 따라 실적BSI의 경우 2018년 
           12월과 2019년 1월 사이 및 2021년 4월과 2021년 5월 사이, 전망 BSI의 경우 2019년 1월과 2월 사이 및 2021년 5월과 
           2021년 6월 사이에 표본변경에 따른 시계열단절이 발생하므로 통계이용에 주의를 요함</t>
    <phoneticPr fontId="5" type="noConversion"/>
  </si>
  <si>
    <t xml:space="preserve">   주 : 1)  표본개편으로 인한 표본내 계층별 구성비중 및 응답성향 변화로 신ㆍ구 표본의 지수 수준에 다소 차이가 있으므로 2018.9월 
              이후와 2018.8월 이전, 2022.7월 이후와 2022.6월 이전 지수의 수준을 비교시 각별히 유의</t>
    <phoneticPr fontId="5" type="noConversion"/>
  </si>
  <si>
    <t xml:space="preserve">      2023.1</t>
  </si>
  <si>
    <t xml:space="preserve">           2</t>
  </si>
  <si>
    <t xml:space="preserve">           3</t>
  </si>
  <si>
    <t xml:space="preserve">           4</t>
  </si>
  <si>
    <t xml:space="preserve">           5</t>
  </si>
  <si>
    <t xml:space="preserve">           6</t>
  </si>
  <si>
    <t xml:space="preserve">           7</t>
  </si>
  <si>
    <t xml:space="preserve">           8</t>
  </si>
  <si>
    <t xml:space="preserve">           9</t>
  </si>
  <si>
    <t xml:space="preserve">           10</t>
  </si>
  <si>
    <t xml:space="preserve">           11</t>
  </si>
  <si>
    <t xml:space="preserve"> 2024. 1</t>
  </si>
  <si>
    <t>2024. 1</t>
  </si>
  <si>
    <t xml:space="preserve">           12</t>
  </si>
  <si>
    <t xml:space="preserve"> 2022. 1</t>
  </si>
  <si>
    <t xml:space="preserve">         6</t>
  </si>
  <si>
    <t xml:space="preserve"> 2023. 1</t>
  </si>
  <si>
    <t xml:space="preserve">  2023. 1</t>
  </si>
  <si>
    <t xml:space="preserve">  2024. 1</t>
  </si>
  <si>
    <t xml:space="preserve">  2021. 1</t>
  </si>
  <si>
    <t xml:space="preserve">  2022. 1</t>
  </si>
  <si>
    <t xml:space="preserve">    2019.1</t>
  </si>
  <si>
    <t xml:space="preserve">          2</t>
  </si>
  <si>
    <t xml:space="preserve">          3</t>
  </si>
  <si>
    <t xml:space="preserve">          4</t>
  </si>
  <si>
    <t xml:space="preserve">          5</t>
  </si>
  <si>
    <t xml:space="preserve">          6</t>
  </si>
  <si>
    <t xml:space="preserve">          7</t>
  </si>
  <si>
    <t xml:space="preserve">          8</t>
  </si>
  <si>
    <t xml:space="preserve">          9</t>
  </si>
  <si>
    <t xml:space="preserve">          10</t>
  </si>
  <si>
    <t xml:space="preserve">          11</t>
  </si>
  <si>
    <t xml:space="preserve">          12</t>
  </si>
  <si>
    <t xml:space="preserve">    2020.1</t>
  </si>
  <si>
    <t xml:space="preserve">      2021.1</t>
  </si>
  <si>
    <t xml:space="preserve">      2022.1</t>
  </si>
  <si>
    <t xml:space="preserve">        2024.1</t>
  </si>
  <si>
    <t>2024. 1</t>
    <phoneticPr fontId="5" type="noConversion"/>
  </si>
  <si>
    <t>기업심리지수(CBSI)</t>
    <phoneticPr fontId="5" type="noConversion"/>
  </si>
  <si>
    <t xml:space="preserve">           6</t>
    <phoneticPr fontId="5" type="noConversion"/>
  </si>
  <si>
    <t xml:space="preserve">   주 : 1) 2020년 = 100, 2) 2021.6월 = 100, 3) 2022.10월 = 100</t>
    <phoneticPr fontId="5" type="noConversion"/>
  </si>
  <si>
    <t xml:space="preserve">             10</t>
    <phoneticPr fontId="5" type="noConversion"/>
  </si>
  <si>
    <t xml:space="preserve">        9</t>
    <phoneticPr fontId="5" type="noConversion"/>
  </si>
  <si>
    <t xml:space="preserve">             11</t>
    <phoneticPr fontId="5" type="noConversion"/>
  </si>
  <si>
    <t xml:space="preserve"> 2025. 1</t>
  </si>
  <si>
    <t>2025. 1</t>
  </si>
  <si>
    <t xml:space="preserve">        10</t>
    <phoneticPr fontId="5" type="noConversion"/>
  </si>
  <si>
    <t xml:space="preserve">        11</t>
    <phoneticPr fontId="5" type="noConversion"/>
  </si>
  <si>
    <t>12</t>
    <phoneticPr fontId="5" type="noConversion"/>
  </si>
  <si>
    <t xml:space="preserve">             12</t>
    <phoneticPr fontId="5" type="noConversion"/>
  </si>
  <si>
    <t>2025.1</t>
    <phoneticPr fontId="5" type="noConversion"/>
  </si>
  <si>
    <t xml:space="preserve">        12</t>
    <phoneticPr fontId="5" type="noConversion"/>
  </si>
  <si>
    <t xml:space="preserve">         3</t>
    <phoneticPr fontId="5" type="noConversion"/>
  </si>
  <si>
    <t xml:space="preserve">        3</t>
    <phoneticPr fontId="5" type="noConversion"/>
  </si>
  <si>
    <t xml:space="preserve">        2025.1</t>
    <phoneticPr fontId="5" type="noConversion"/>
  </si>
  <si>
    <t xml:space="preserve">        3</t>
    <phoneticPr fontId="5" type="noConversion"/>
  </si>
  <si>
    <t>2</t>
    <phoneticPr fontId="5" type="noConversion"/>
  </si>
  <si>
    <t xml:space="preserve">           2</t>
    <phoneticPr fontId="5" type="noConversion"/>
  </si>
  <si>
    <t>2025. 1</t>
    <phoneticPr fontId="5" type="noConversion"/>
  </si>
  <si>
    <t xml:space="preserve">        4</t>
    <phoneticPr fontId="5" type="noConversion"/>
  </si>
  <si>
    <t xml:space="preserve">        3</t>
    <phoneticPr fontId="5" type="noConversion"/>
  </si>
  <si>
    <t>3</t>
    <phoneticPr fontId="5" type="noConversion"/>
  </si>
  <si>
    <t xml:space="preserve">           3</t>
    <phoneticPr fontId="5" type="noConversion"/>
  </si>
  <si>
    <t xml:space="preserve">           4</t>
    <phoneticPr fontId="5" type="noConversion"/>
  </si>
  <si>
    <t>4</t>
    <phoneticPr fontId="5" type="noConversion"/>
  </si>
  <si>
    <t>5</t>
    <phoneticPr fontId="5" type="noConversion"/>
  </si>
  <si>
    <t xml:space="preserve">           5</t>
    <phoneticPr fontId="5" type="noConversion"/>
  </si>
  <si>
    <t xml:space="preserve">         7</t>
    <phoneticPr fontId="5" type="noConversion"/>
  </si>
  <si>
    <t xml:space="preserve">        7</t>
    <phoneticPr fontId="5" type="noConversion"/>
  </si>
  <si>
    <t>6</t>
    <phoneticPr fontId="5" type="noConversion"/>
  </si>
  <si>
    <t xml:space="preserve">        8</t>
    <phoneticPr fontId="5" type="noConversion"/>
  </si>
  <si>
    <t xml:space="preserve">           7</t>
    <phoneticPr fontId="5" type="noConversion"/>
  </si>
  <si>
    <t>7</t>
  </si>
  <si>
    <t>8</t>
    <phoneticPr fontId="5" type="noConversion"/>
  </si>
  <si>
    <t xml:space="preserve">           8</t>
    <phoneticPr fontId="5" type="noConversion"/>
  </si>
  <si>
    <t xml:space="preserve">        7</t>
    <phoneticPr fontId="5" type="noConversion"/>
  </si>
  <si>
    <t xml:space="preserve">         10</t>
    <phoneticPr fontId="5" type="noConversion"/>
  </si>
  <si>
    <t xml:space="preserve">        10</t>
    <phoneticPr fontId="5" type="noConversion"/>
  </si>
  <si>
    <t xml:space="preserve">        9</t>
    <phoneticPr fontId="5" type="noConversion"/>
  </si>
  <si>
    <t xml:space="preserve">        8</t>
    <phoneticPr fontId="5" type="noConversion"/>
  </si>
  <si>
    <t>9</t>
    <phoneticPr fontId="5" type="noConversion"/>
  </si>
  <si>
    <t xml:space="preserve">           9</t>
    <phoneticPr fontId="5" type="noConversion"/>
  </si>
  <si>
    <t>10</t>
    <phoneticPr fontId="5" type="noConversion"/>
  </si>
  <si>
    <t xml:space="preserve">           10</t>
    <phoneticPr fontId="5" type="noConversion"/>
  </si>
  <si>
    <t xml:space="preserve">        12</t>
    <phoneticPr fontId="5" type="noConversion"/>
  </si>
  <si>
    <t xml:space="preserve">           11</t>
    <phoneticPr fontId="5" type="noConversion"/>
  </si>
  <si>
    <t xml:space="preserve">        12p</t>
    <phoneticPr fontId="5" type="noConversion"/>
  </si>
  <si>
    <t xml:space="preserve"> 2026. 1</t>
    <phoneticPr fontId="5" type="noConversion"/>
  </si>
  <si>
    <t>2026. 1</t>
  </si>
  <si>
    <t>2026. 1</t>
    <phoneticPr fontId="5" type="noConversion"/>
  </si>
  <si>
    <t xml:space="preserve">           12</t>
    <phoneticPr fontId="5" type="noConversion"/>
  </si>
  <si>
    <t xml:space="preserve">           3p</t>
    <phoneticPr fontId="5" type="noConversion"/>
  </si>
  <si>
    <t xml:space="preserve">        2026.1</t>
    <phoneticPr fontId="5" type="noConversion"/>
  </si>
  <si>
    <t>3p</t>
    <phoneticPr fontId="5" type="noConversion"/>
  </si>
  <si>
    <t>2026.1</t>
    <phoneticPr fontId="5" type="noConversion"/>
  </si>
  <si>
    <t xml:space="preserve">        2p</t>
    <phoneticPr fontId="5" type="noConversion"/>
  </si>
  <si>
    <t>4p</t>
    <phoneticPr fontId="5" type="noConversion"/>
  </si>
  <si>
    <t xml:space="preserve">           4p</t>
    <phoneticPr fontId="5" type="noConversion"/>
  </si>
  <si>
    <t xml:space="preserve">        3p</t>
    <phoneticPr fontId="5" type="noConversion"/>
  </si>
  <si>
    <t xml:space="preserve">        3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</si>
</sst>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#,##0_ "/>
    <numFmt numFmtId="177" formatCode="0.0_ "/>
    <numFmt numFmtId="178" formatCode="0_ "/>
    <numFmt numFmtId="179" formatCode="_-* #,##0.00_-;&quot;₩&quot;\!\-* #,##0.00_-;_-* &quot;-&quot;??_-;_-@_-"/>
    <numFmt numFmtId="180" formatCode="_-* #,##0_-;&quot;₩&quot;\!\-* #,##0_-;_-* &quot;-&quot;_-;_-@_-"/>
    <numFmt numFmtId="181" formatCode="#,##0.0_);[Red]\(#,##0.0\)"/>
    <numFmt numFmtId="182" formatCode="#,##0.0_ "/>
    <numFmt numFmtId="183" formatCode="#,##0_);[Red]\(#,##0\)"/>
    <numFmt numFmtId="184" formatCode="0.0"/>
    <numFmt numFmtId="185" formatCode="#,##0.0"/>
  </numFmts>
  <fonts count="4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vertAlign val="superscript"/>
      <sz val="10"/>
      <name val="돋움"/>
      <family val="3"/>
      <charset val="129"/>
    </font>
    <font>
      <b/>
      <sz val="14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체"/>
      <family val="3"/>
      <charset val="129"/>
    </font>
    <font>
      <sz val="14"/>
      <name val="돋움"/>
      <family val="3"/>
      <charset val="129"/>
    </font>
    <font>
      <sz val="12"/>
      <name val="돋움"/>
      <family val="3"/>
      <charset val="129"/>
    </font>
    <font>
      <sz val="10"/>
      <color indexed="8"/>
      <name val="굴림"/>
      <family val="3"/>
      <charset val="129"/>
    </font>
    <font>
      <b/>
      <sz val="15"/>
      <name val="돋움"/>
      <family val="3"/>
      <charset val="129"/>
    </font>
    <font>
      <vertAlign val="superscript"/>
      <sz val="11"/>
      <name val="돋움"/>
      <family val="3"/>
      <charset val="129"/>
    </font>
    <font>
      <b/>
      <sz val="16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10"/>
      <color rgb="FFFF0000"/>
      <name val="돋움"/>
      <family val="3"/>
      <charset val="129"/>
    </font>
    <font>
      <sz val="10"/>
      <color theme="1"/>
      <name val="돋움"/>
      <family val="3"/>
      <charset val="129"/>
    </font>
    <font>
      <vertAlign val="superscript"/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u/>
      <sz val="10"/>
      <color theme="1"/>
      <name val="돋움"/>
      <family val="3"/>
      <charset val="129"/>
    </font>
    <font>
      <u/>
      <sz val="12"/>
      <name val="돋움"/>
      <family val="3"/>
      <charset val="129"/>
    </font>
    <font>
      <u/>
      <sz val="11"/>
      <name val="돋움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3">
    <xf numFmtId="0" fontId="0" fillId="0" borderId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5" borderId="1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7" borderId="3" applyNumberFormat="0" applyAlignment="0" applyProtection="0">
      <alignment vertical="center"/>
    </xf>
    <xf numFmtId="41" fontId="4" fillId="0" borderId="0" applyFont="0" applyFill="0" applyBorder="0" applyAlignment="0" applyProtection="0"/>
    <xf numFmtId="0" fontId="11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7" borderId="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15" borderId="9" applyNumberFormat="0" applyAlignment="0" applyProtection="0">
      <alignment vertical="center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" fillId="0" borderId="0">
      <alignment vertical="center"/>
    </xf>
    <xf numFmtId="0" fontId="3" fillId="4" borderId="2" applyNumberFormat="0" applyFont="0" applyAlignment="0" applyProtection="0">
      <alignment vertical="center"/>
    </xf>
    <xf numFmtId="41" fontId="3" fillId="0" borderId="0" applyFont="0" applyFill="0" applyBorder="0" applyAlignment="0" applyProtection="0"/>
    <xf numFmtId="0" fontId="1" fillId="0" borderId="0">
      <alignment vertical="center"/>
    </xf>
  </cellStyleXfs>
  <cellXfs count="325">
    <xf numFmtId="0" fontId="0" fillId="0" borderId="0" xfId="0"/>
    <xf numFmtId="0" fontId="6" fillId="0" borderId="0" xfId="0" applyFont="1"/>
    <xf numFmtId="0" fontId="6" fillId="0" borderId="0" xfId="0" applyFont="1" applyBorder="1"/>
    <xf numFmtId="0" fontId="6" fillId="0" borderId="0" xfId="0" applyFont="1" applyAlignment="1">
      <alignment horizontal="right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Border="1"/>
    <xf numFmtId="41" fontId="4" fillId="0" borderId="0" xfId="0" applyNumberFormat="1" applyFont="1"/>
    <xf numFmtId="0" fontId="6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1" fontId="4" fillId="0" borderId="0" xfId="0" applyNumberFormat="1" applyFont="1" applyBorder="1"/>
    <xf numFmtId="0" fontId="8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41" fontId="6" fillId="0" borderId="13" xfId="32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41" fontId="6" fillId="0" borderId="10" xfId="32" applyFont="1" applyBorder="1" applyAlignment="1">
      <alignment horizontal="center" vertical="center" wrapText="1"/>
    </xf>
    <xf numFmtId="0" fontId="6" fillId="0" borderId="14" xfId="32" applyNumberFormat="1" applyFont="1" applyBorder="1" applyAlignment="1">
      <alignment horizontal="right" indent="1"/>
    </xf>
    <xf numFmtId="41" fontId="6" fillId="0" borderId="0" xfId="32" applyFont="1" applyBorder="1" applyAlignment="1"/>
    <xf numFmtId="0" fontId="6" fillId="0" borderId="14" xfId="0" applyNumberFormat="1" applyFont="1" applyBorder="1" applyAlignment="1">
      <alignment horizontal="right" indent="1"/>
    </xf>
    <xf numFmtId="178" fontId="6" fillId="0" borderId="14" xfId="32" applyNumberFormat="1" applyFont="1" applyBorder="1" applyAlignment="1">
      <alignment horizontal="right" indent="1"/>
    </xf>
    <xf numFmtId="0" fontId="26" fillId="0" borderId="0" xfId="0" applyFont="1"/>
    <xf numFmtId="0" fontId="6" fillId="0" borderId="0" xfId="0" applyFont="1" applyBorder="1" applyAlignment="1">
      <alignment wrapText="1"/>
    </xf>
    <xf numFmtId="0" fontId="6" fillId="0" borderId="16" xfId="0" applyFont="1" applyBorder="1" applyAlignment="1">
      <alignment horizontal="center" vertical="center" wrapText="1"/>
    </xf>
    <xf numFmtId="177" fontId="6" fillId="0" borderId="14" xfId="0" applyNumberFormat="1" applyFont="1" applyBorder="1" applyAlignment="1">
      <alignment horizontal="right" indent="1"/>
    </xf>
    <xf numFmtId="177" fontId="6" fillId="0" borderId="14" xfId="0" applyNumberFormat="1" applyFont="1" applyFill="1" applyBorder="1" applyAlignment="1">
      <alignment horizontal="right" indent="1"/>
    </xf>
    <xf numFmtId="181" fontId="6" fillId="0" borderId="14" xfId="0" applyNumberFormat="1" applyFont="1" applyBorder="1" applyAlignment="1">
      <alignment horizontal="right" indent="1"/>
    </xf>
    <xf numFmtId="182" fontId="27" fillId="0" borderId="0" xfId="32" applyNumberFormat="1" applyFont="1" applyBorder="1"/>
    <xf numFmtId="0" fontId="0" fillId="0" borderId="0" xfId="0" applyBorder="1"/>
    <xf numFmtId="0" fontId="28" fillId="18" borderId="0" xfId="0" applyFont="1" applyFill="1" applyAlignment="1">
      <alignment horizontal="right" wrapText="1"/>
    </xf>
    <xf numFmtId="176" fontId="6" fillId="0" borderId="14" xfId="0" applyNumberFormat="1" applyFont="1" applyBorder="1" applyAlignment="1">
      <alignment horizontal="right"/>
    </xf>
    <xf numFmtId="0" fontId="0" fillId="0" borderId="0" xfId="0" applyAlignment="1">
      <alignment horizontal="right" indent="1"/>
    </xf>
    <xf numFmtId="176" fontId="0" fillId="0" borderId="0" xfId="0" applyNumberFormat="1" applyAlignment="1">
      <alignment horizontal="right" indent="1"/>
    </xf>
    <xf numFmtId="176" fontId="6" fillId="0" borderId="14" xfId="0" applyNumberFormat="1" applyFont="1" applyFill="1" applyBorder="1" applyAlignment="1">
      <alignment horizontal="right"/>
    </xf>
    <xf numFmtId="176" fontId="0" fillId="0" borderId="0" xfId="0" applyNumberFormat="1" applyFill="1" applyAlignment="1">
      <alignment horizontal="right" indent="1"/>
    </xf>
    <xf numFmtId="0" fontId="0" fillId="0" borderId="0" xfId="0" applyFill="1" applyAlignment="1">
      <alignment horizontal="right" indent="1"/>
    </xf>
    <xf numFmtId="0" fontId="0" fillId="0" borderId="0" xfId="0" applyBorder="1" applyAlignment="1">
      <alignment horizontal="right" indent="1"/>
    </xf>
    <xf numFmtId="182" fontId="0" fillId="0" borderId="0" xfId="0" applyNumberFormat="1" applyBorder="1" applyAlignment="1">
      <alignment horizontal="right" indent="1"/>
    </xf>
    <xf numFmtId="182" fontId="0" fillId="0" borderId="0" xfId="0" applyNumberFormat="1"/>
    <xf numFmtId="182" fontId="6" fillId="0" borderId="10" xfId="0" applyNumberFormat="1" applyFont="1" applyBorder="1" applyAlignment="1">
      <alignment horizontal="center" vertical="center" wrapText="1"/>
    </xf>
    <xf numFmtId="182" fontId="6" fillId="0" borderId="11" xfId="0" applyNumberFormat="1" applyFont="1" applyBorder="1" applyAlignment="1">
      <alignment horizontal="center" vertical="center"/>
    </xf>
    <xf numFmtId="182" fontId="6" fillId="0" borderId="14" xfId="0" applyNumberFormat="1" applyFont="1" applyBorder="1" applyAlignment="1">
      <alignment horizontal="right" indent="1"/>
    </xf>
    <xf numFmtId="176" fontId="6" fillId="0" borderId="14" xfId="0" applyNumberFormat="1" applyFont="1" applyBorder="1" applyAlignment="1">
      <alignment horizontal="right" indent="1"/>
    </xf>
    <xf numFmtId="176" fontId="6" fillId="0" borderId="18" xfId="0" applyNumberFormat="1" applyFont="1" applyBorder="1" applyAlignment="1">
      <alignment horizontal="right" indent="1"/>
    </xf>
    <xf numFmtId="182" fontId="6" fillId="0" borderId="18" xfId="0" applyNumberFormat="1" applyFont="1" applyBorder="1" applyAlignment="1">
      <alignment horizontal="right" indent="1"/>
    </xf>
    <xf numFmtId="178" fontId="6" fillId="0" borderId="14" xfId="0" applyNumberFormat="1" applyFont="1" applyBorder="1" applyAlignment="1">
      <alignment horizontal="right" indent="1"/>
    </xf>
    <xf numFmtId="0" fontId="0" fillId="0" borderId="0" xfId="0" applyAlignment="1"/>
    <xf numFmtId="0" fontId="6" fillId="0" borderId="1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8" fillId="0" borderId="0" xfId="0" applyFont="1" applyAlignment="1"/>
    <xf numFmtId="0" fontId="6" fillId="0" borderId="16" xfId="0" applyFont="1" applyBorder="1" applyAlignment="1">
      <alignment vertical="center" wrapText="1"/>
    </xf>
    <xf numFmtId="0" fontId="29" fillId="0" borderId="0" xfId="0" applyFont="1" applyAlignment="1"/>
    <xf numFmtId="0" fontId="6" fillId="0" borderId="0" xfId="0" applyFont="1" applyAlignment="1">
      <alignment horizontal="right" wrapText="1"/>
    </xf>
    <xf numFmtId="0" fontId="8" fillId="0" borderId="0" xfId="0" applyFont="1" applyBorder="1" applyAlignment="1"/>
    <xf numFmtId="0" fontId="6" fillId="0" borderId="0" xfId="0" applyFont="1" applyFill="1" applyAlignment="1">
      <alignment horizontal="left" vertical="center"/>
    </xf>
    <xf numFmtId="181" fontId="6" fillId="0" borderId="0" xfId="0" applyNumberFormat="1" applyFont="1" applyBorder="1" applyAlignment="1">
      <alignment horizontal="left" vertical="center"/>
    </xf>
    <xf numFmtId="182" fontId="27" fillId="0" borderId="0" xfId="32" applyNumberFormat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1" fillId="0" borderId="0" xfId="0" applyFont="1"/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Fill="1" applyBorder="1" applyAlignment="1">
      <alignment vertical="center"/>
    </xf>
    <xf numFmtId="182" fontId="28" fillId="18" borderId="0" xfId="0" applyNumberFormat="1" applyFont="1" applyFill="1" applyBorder="1" applyAlignment="1">
      <alignment horizontal="right" vertical="center" wrapText="1"/>
    </xf>
    <xf numFmtId="18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6" fillId="0" borderId="22" xfId="32" applyNumberFormat="1" applyFont="1" applyBorder="1" applyAlignment="1">
      <alignment horizontal="right" indent="1"/>
    </xf>
    <xf numFmtId="177" fontId="6" fillId="0" borderId="18" xfId="0" applyNumberFormat="1" applyFont="1" applyBorder="1" applyAlignment="1">
      <alignment horizontal="right" indent="1"/>
    </xf>
    <xf numFmtId="178" fontId="25" fillId="0" borderId="22" xfId="0" applyNumberFormat="1" applyFont="1" applyFill="1" applyBorder="1" applyAlignment="1">
      <alignment horizontal="center" vertical="center"/>
    </xf>
    <xf numFmtId="178" fontId="25" fillId="0" borderId="22" xfId="0" quotePrefix="1" applyNumberFormat="1" applyFont="1" applyFill="1" applyBorder="1" applyAlignment="1">
      <alignment horizontal="center" vertical="center"/>
    </xf>
    <xf numFmtId="177" fontId="6" fillId="0" borderId="18" xfId="0" applyNumberFormat="1" applyFont="1" applyFill="1" applyBorder="1" applyAlignment="1">
      <alignment horizontal="right" indent="1"/>
    </xf>
    <xf numFmtId="0" fontId="6" fillId="0" borderId="22" xfId="0" quotePrefix="1" applyFont="1" applyFill="1" applyBorder="1" applyAlignment="1">
      <alignment horizontal="center" vertical="center"/>
    </xf>
    <xf numFmtId="176" fontId="6" fillId="0" borderId="18" xfId="0" applyNumberFormat="1" applyFont="1" applyBorder="1" applyAlignment="1">
      <alignment horizontal="right"/>
    </xf>
    <xf numFmtId="176" fontId="6" fillId="0" borderId="18" xfId="0" applyNumberFormat="1" applyFont="1" applyFill="1" applyBorder="1" applyAlignment="1">
      <alignment horizontal="right"/>
    </xf>
    <xf numFmtId="0" fontId="6" fillId="0" borderId="21" xfId="0" applyFont="1" applyBorder="1" applyAlignment="1">
      <alignment horizontal="center" vertical="center"/>
    </xf>
    <xf numFmtId="0" fontId="6" fillId="0" borderId="18" xfId="32" applyNumberFormat="1" applyFont="1" applyBorder="1" applyAlignment="1">
      <alignment horizontal="right" indent="1"/>
    </xf>
    <xf numFmtId="0" fontId="6" fillId="0" borderId="18" xfId="0" applyNumberFormat="1" applyFont="1" applyBorder="1" applyAlignment="1">
      <alignment horizontal="right" indent="1"/>
    </xf>
    <xf numFmtId="178" fontId="6" fillId="0" borderId="18" xfId="32" applyNumberFormat="1" applyFont="1" applyBorder="1" applyAlignment="1">
      <alignment horizontal="right" indent="1"/>
    </xf>
    <xf numFmtId="0" fontId="6" fillId="19" borderId="16" xfId="0" applyFont="1" applyFill="1" applyBorder="1" applyAlignment="1">
      <alignment horizontal="center" vertical="center" wrapText="1"/>
    </xf>
    <xf numFmtId="41" fontId="6" fillId="19" borderId="16" xfId="32" applyFont="1" applyFill="1" applyBorder="1" applyAlignment="1">
      <alignment horizontal="center" vertical="center" wrapText="1"/>
    </xf>
    <xf numFmtId="0" fontId="6" fillId="19" borderId="11" xfId="0" applyFont="1" applyFill="1" applyBorder="1" applyAlignment="1">
      <alignment horizontal="center" vertical="center" wrapText="1"/>
    </xf>
    <xf numFmtId="0" fontId="6" fillId="19" borderId="19" xfId="0" applyFont="1" applyFill="1" applyBorder="1" applyAlignment="1">
      <alignment horizontal="center" vertical="center" wrapText="1"/>
    </xf>
    <xf numFmtId="0" fontId="35" fillId="0" borderId="0" xfId="0" applyFont="1" applyAlignment="1"/>
    <xf numFmtId="0" fontId="32" fillId="0" borderId="0" xfId="0" applyFont="1" applyAlignment="1"/>
    <xf numFmtId="0" fontId="32" fillId="0" borderId="0" xfId="0" applyFont="1" applyBorder="1" applyAlignment="1"/>
    <xf numFmtId="0" fontId="4" fillId="0" borderId="0" xfId="0" applyFont="1" applyBorder="1" applyAlignment="1">
      <alignment vertical="center"/>
    </xf>
    <xf numFmtId="182" fontId="6" fillId="0" borderId="0" xfId="0" applyNumberFormat="1" applyFont="1" applyAlignment="1">
      <alignment vertical="center"/>
    </xf>
    <xf numFmtId="0" fontId="0" fillId="0" borderId="0" xfId="0" applyFont="1" applyAlignment="1">
      <alignment horizontal="right" vertical="center"/>
    </xf>
    <xf numFmtId="3" fontId="6" fillId="0" borderId="14" xfId="0" applyNumberFormat="1" applyFont="1" applyBorder="1" applyAlignment="1">
      <alignment horizontal="center"/>
    </xf>
    <xf numFmtId="3" fontId="6" fillId="0" borderId="18" xfId="0" applyNumberFormat="1" applyFont="1" applyBorder="1" applyAlignment="1">
      <alignment horizontal="right" indent="1"/>
    </xf>
    <xf numFmtId="3" fontId="6" fillId="0" borderId="14" xfId="32" applyNumberFormat="1" applyFont="1" applyBorder="1" applyAlignment="1">
      <alignment horizontal="right" indent="1"/>
    </xf>
    <xf numFmtId="0" fontId="6" fillId="0" borderId="0" xfId="0" applyFont="1" applyAlignment="1"/>
    <xf numFmtId="0" fontId="4" fillId="0" borderId="0" xfId="0" applyFont="1" applyBorder="1" applyAlignment="1"/>
    <xf numFmtId="0" fontId="0" fillId="0" borderId="0" xfId="0" applyFont="1" applyBorder="1" applyAlignment="1"/>
    <xf numFmtId="0" fontId="4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wrapText="1"/>
    </xf>
    <xf numFmtId="182" fontId="6" fillId="0" borderId="14" xfId="0" applyNumberFormat="1" applyFont="1" applyBorder="1" applyAlignment="1">
      <alignment horizontal="right" indent="3"/>
    </xf>
    <xf numFmtId="182" fontId="6" fillId="0" borderId="14" xfId="0" applyNumberFormat="1" applyFont="1" applyFill="1" applyBorder="1" applyAlignment="1">
      <alignment horizontal="right" indent="3"/>
    </xf>
    <xf numFmtId="177" fontId="6" fillId="0" borderId="14" xfId="0" applyNumberFormat="1" applyFont="1" applyBorder="1" applyAlignment="1">
      <alignment horizontal="right" indent="3"/>
    </xf>
    <xf numFmtId="3" fontId="6" fillId="0" borderId="22" xfId="32" applyNumberFormat="1" applyFont="1" applyBorder="1" applyAlignment="1">
      <alignment horizontal="right" indent="1"/>
    </xf>
    <xf numFmtId="3" fontId="6" fillId="0" borderId="21" xfId="0" applyNumberFormat="1" applyFont="1" applyBorder="1" applyAlignment="1">
      <alignment horizontal="center" vertical="center"/>
    </xf>
    <xf numFmtId="3" fontId="6" fillId="0" borderId="18" xfId="32" applyNumberFormat="1" applyFont="1" applyBorder="1" applyAlignment="1">
      <alignment horizontal="right" indent="1"/>
    </xf>
    <xf numFmtId="3" fontId="6" fillId="0" borderId="14" xfId="0" applyNumberFormat="1" applyFont="1" applyBorder="1" applyAlignment="1">
      <alignment horizontal="right" indent="1"/>
    </xf>
    <xf numFmtId="0" fontId="6" fillId="0" borderId="14" xfId="0" applyNumberFormat="1" applyFont="1" applyBorder="1" applyAlignment="1">
      <alignment horizontal="center"/>
    </xf>
    <xf numFmtId="178" fontId="6" fillId="0" borderId="18" xfId="32" applyNumberFormat="1" applyFont="1" applyBorder="1" applyAlignment="1">
      <alignment horizontal="center"/>
    </xf>
    <xf numFmtId="3" fontId="25" fillId="0" borderId="14" xfId="0" applyNumberFormat="1" applyFont="1" applyFill="1" applyBorder="1" applyAlignment="1">
      <alignment horizontal="right" vertical="center" indent="1"/>
    </xf>
    <xf numFmtId="0" fontId="36" fillId="20" borderId="0" xfId="0" applyFont="1" applyFill="1"/>
    <xf numFmtId="0" fontId="37" fillId="0" borderId="0" xfId="0" applyFont="1" applyFill="1" applyBorder="1" applyAlignment="1">
      <alignment vertical="center"/>
    </xf>
    <xf numFmtId="0" fontId="39" fillId="0" borderId="0" xfId="0" applyFont="1" applyFill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20" borderId="0" xfId="0" applyFill="1"/>
    <xf numFmtId="0" fontId="6" fillId="0" borderId="16" xfId="0" applyFont="1" applyBorder="1" applyAlignment="1">
      <alignment vertical="center"/>
    </xf>
    <xf numFmtId="183" fontId="6" fillId="0" borderId="14" xfId="0" applyNumberFormat="1" applyFont="1" applyBorder="1" applyAlignment="1">
      <alignment horizontal="right" indent="1"/>
    </xf>
    <xf numFmtId="183" fontId="6" fillId="0" borderId="14" xfId="0" applyNumberFormat="1" applyFont="1" applyFill="1" applyBorder="1" applyAlignment="1">
      <alignment horizontal="right" indent="1"/>
    </xf>
    <xf numFmtId="177" fontId="37" fillId="0" borderId="0" xfId="0" applyNumberFormat="1" applyFont="1" applyFill="1" applyBorder="1" applyAlignment="1">
      <alignment horizontal="right" indent="1"/>
    </xf>
    <xf numFmtId="177" fontId="37" fillId="0" borderId="0" xfId="0" quotePrefix="1" applyNumberFormat="1" applyFont="1" applyFill="1" applyBorder="1" applyAlignment="1">
      <alignment horizontal="center" vertical="center"/>
    </xf>
    <xf numFmtId="182" fontId="37" fillId="0" borderId="14" xfId="0" applyNumberFormat="1" applyFont="1" applyBorder="1" applyAlignment="1">
      <alignment horizontal="right" indent="1"/>
    </xf>
    <xf numFmtId="177" fontId="37" fillId="0" borderId="14" xfId="0" applyNumberFormat="1" applyFont="1" applyFill="1" applyBorder="1" applyAlignment="1">
      <alignment horizontal="right" indent="1"/>
    </xf>
    <xf numFmtId="182" fontId="37" fillId="0" borderId="14" xfId="0" applyNumberFormat="1" applyFont="1" applyBorder="1" applyAlignment="1">
      <alignment horizontal="right" indent="3"/>
    </xf>
    <xf numFmtId="182" fontId="37" fillId="0" borderId="14" xfId="0" applyNumberFormat="1" applyFont="1" applyFill="1" applyBorder="1" applyAlignment="1">
      <alignment horizontal="right" indent="3"/>
    </xf>
    <xf numFmtId="182" fontId="36" fillId="0" borderId="14" xfId="0" applyNumberFormat="1" applyFont="1" applyBorder="1" applyAlignment="1">
      <alignment horizontal="right" indent="3"/>
    </xf>
    <xf numFmtId="0" fontId="37" fillId="0" borderId="22" xfId="0" quotePrefix="1" applyFont="1" applyFill="1" applyBorder="1" applyAlignment="1">
      <alignment horizontal="center" vertical="center"/>
    </xf>
    <xf numFmtId="181" fontId="37" fillId="0" borderId="14" xfId="0" applyNumberFormat="1" applyFont="1" applyBorder="1" applyAlignment="1">
      <alignment horizontal="right" indent="1"/>
    </xf>
    <xf numFmtId="177" fontId="37" fillId="0" borderId="14" xfId="0" applyNumberFormat="1" applyFont="1" applyBorder="1" applyAlignment="1">
      <alignment horizontal="right" indent="3"/>
    </xf>
    <xf numFmtId="182" fontId="37" fillId="0" borderId="0" xfId="0" applyNumberFormat="1" applyFont="1" applyBorder="1" applyAlignment="1">
      <alignment horizontal="right" indent="3"/>
    </xf>
    <xf numFmtId="0" fontId="6" fillId="0" borderId="0" xfId="0" quotePrefix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181" fontId="0" fillId="0" borderId="0" xfId="0" applyNumberFormat="1"/>
    <xf numFmtId="0" fontId="6" fillId="0" borderId="14" xfId="0" applyFont="1" applyBorder="1" applyAlignment="1">
      <alignment horizontal="right" indent="1"/>
    </xf>
    <xf numFmtId="0" fontId="6" fillId="0" borderId="18" xfId="0" applyFont="1" applyBorder="1" applyAlignment="1">
      <alignment horizontal="right" indent="1"/>
    </xf>
    <xf numFmtId="177" fontId="0" fillId="0" borderId="0" xfId="0" applyNumberFormat="1"/>
    <xf numFmtId="176" fontId="0" fillId="0" borderId="0" xfId="0" applyNumberFormat="1" applyBorder="1" applyAlignment="1">
      <alignment horizontal="right" indent="1"/>
    </xf>
    <xf numFmtId="177" fontId="39" fillId="0" borderId="0" xfId="0" applyNumberFormat="1" applyFont="1" applyFill="1" applyAlignment="1">
      <alignment vertical="center"/>
    </xf>
    <xf numFmtId="3" fontId="6" fillId="0" borderId="0" xfId="32" applyNumberFormat="1" applyFont="1" applyBorder="1" applyAlignment="1">
      <alignment horizontal="right" indent="1"/>
    </xf>
    <xf numFmtId="3" fontId="6" fillId="0" borderId="0" xfId="0" applyNumberFormat="1" applyFont="1" applyBorder="1" applyAlignment="1">
      <alignment horizontal="right" indent="1"/>
    </xf>
    <xf numFmtId="41" fontId="6" fillId="0" borderId="0" xfId="0" applyNumberFormat="1" applyFont="1" applyBorder="1"/>
    <xf numFmtId="183" fontId="6" fillId="0" borderId="18" xfId="0" applyNumberFormat="1" applyFont="1" applyFill="1" applyBorder="1" applyAlignment="1">
      <alignment horizontal="right" indent="1"/>
    </xf>
    <xf numFmtId="182" fontId="37" fillId="0" borderId="22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7" fillId="0" borderId="17" xfId="0" applyFont="1" applyFill="1" applyBorder="1" applyAlignment="1">
      <alignment horizontal="center" vertical="center"/>
    </xf>
    <xf numFmtId="181" fontId="40" fillId="0" borderId="14" xfId="0" applyNumberFormat="1" applyFont="1" applyBorder="1" applyAlignment="1">
      <alignment horizontal="right" indent="1"/>
    </xf>
    <xf numFmtId="182" fontId="41" fillId="0" borderId="0" xfId="32" applyNumberFormat="1" applyFont="1" applyBorder="1"/>
    <xf numFmtId="0" fontId="42" fillId="0" borderId="0" xfId="0" applyFont="1" applyBorder="1"/>
    <xf numFmtId="0" fontId="37" fillId="0" borderId="12" xfId="0" applyFont="1" applyFill="1" applyBorder="1" applyAlignment="1">
      <alignment horizontal="center" vertical="center"/>
    </xf>
    <xf numFmtId="177" fontId="6" fillId="0" borderId="14" xfId="0" quotePrefix="1" applyNumberFormat="1" applyFont="1" applyBorder="1" applyAlignment="1">
      <alignment horizontal="right" indent="1"/>
    </xf>
    <xf numFmtId="177" fontId="6" fillId="0" borderId="18" xfId="0" quotePrefix="1" applyNumberFormat="1" applyFont="1" applyBorder="1" applyAlignment="1">
      <alignment horizontal="right" indent="1"/>
    </xf>
    <xf numFmtId="177" fontId="0" fillId="0" borderId="0" xfId="0" applyNumberFormat="1" applyBorder="1"/>
    <xf numFmtId="0" fontId="0" fillId="0" borderId="24" xfId="0" applyBorder="1"/>
    <xf numFmtId="0" fontId="6" fillId="0" borderId="0" xfId="0" applyFont="1" applyBorder="1" applyAlignment="1">
      <alignment vertical="center"/>
    </xf>
    <xf numFmtId="0" fontId="28" fillId="18" borderId="0" xfId="0" applyFont="1" applyFill="1" applyBorder="1" applyAlignment="1">
      <alignment horizontal="right" vertical="center" wrapText="1"/>
    </xf>
    <xf numFmtId="0" fontId="0" fillId="0" borderId="0" xfId="0" applyBorder="1" applyAlignment="1">
      <alignment vertical="center"/>
    </xf>
    <xf numFmtId="3" fontId="6" fillId="0" borderId="14" xfId="0" applyNumberFormat="1" applyFont="1" applyFill="1" applyBorder="1" applyAlignment="1">
      <alignment horizontal="right" vertical="center" indent="1"/>
    </xf>
    <xf numFmtId="3" fontId="6" fillId="0" borderId="14" xfId="32" applyNumberFormat="1" applyFont="1" applyFill="1" applyBorder="1" applyAlignment="1">
      <alignment horizontal="right" indent="1"/>
    </xf>
    <xf numFmtId="3" fontId="6" fillId="0" borderId="18" xfId="0" applyNumberFormat="1" applyFont="1" applyFill="1" applyBorder="1" applyAlignment="1">
      <alignment horizontal="right" indent="1"/>
    </xf>
    <xf numFmtId="181" fontId="6" fillId="0" borderId="18" xfId="0" applyNumberFormat="1" applyFont="1" applyFill="1" applyBorder="1" applyAlignment="1">
      <alignment horizontal="right" indent="1"/>
    </xf>
    <xf numFmtId="0" fontId="6" fillId="0" borderId="2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77" fontId="37" fillId="0" borderId="18" xfId="0" applyNumberFormat="1" applyFont="1" applyFill="1" applyBorder="1" applyAlignment="1">
      <alignment horizontal="right" indent="1"/>
    </xf>
    <xf numFmtId="181" fontId="6" fillId="0" borderId="18" xfId="0" applyNumberFormat="1" applyFont="1" applyBorder="1" applyAlignment="1">
      <alignment horizontal="right" indent="1"/>
    </xf>
    <xf numFmtId="181" fontId="37" fillId="0" borderId="18" xfId="0" applyNumberFormat="1" applyFont="1" applyBorder="1" applyAlignment="1">
      <alignment horizontal="right" indent="1"/>
    </xf>
    <xf numFmtId="181" fontId="40" fillId="0" borderId="18" xfId="0" applyNumberFormat="1" applyFont="1" applyBorder="1" applyAlignment="1">
      <alignment horizontal="right" indent="1"/>
    </xf>
    <xf numFmtId="0" fontId="0" fillId="0" borderId="0" xfId="0" applyBorder="1" applyAlignment="1">
      <alignment horizontal="right" vertical="center"/>
    </xf>
    <xf numFmtId="0" fontId="0" fillId="0" borderId="0" xfId="0" applyFill="1"/>
    <xf numFmtId="0" fontId="0" fillId="0" borderId="0" xfId="0" applyFill="1" applyBorder="1"/>
    <xf numFmtId="0" fontId="0" fillId="0" borderId="0" xfId="0" applyFill="1" applyBorder="1" applyAlignment="1"/>
    <xf numFmtId="0" fontId="36" fillId="0" borderId="0" xfId="0" applyFont="1" applyFill="1" applyBorder="1"/>
    <xf numFmtId="0" fontId="39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182" fontId="37" fillId="0" borderId="0" xfId="0" applyNumberFormat="1" applyFont="1" applyFill="1" applyBorder="1" applyAlignment="1">
      <alignment horizontal="right" indent="3"/>
    </xf>
    <xf numFmtId="0" fontId="6" fillId="0" borderId="11" xfId="0" applyFont="1" applyBorder="1" applyAlignment="1">
      <alignment horizontal="center" vertical="center" wrapText="1"/>
    </xf>
    <xf numFmtId="184" fontId="6" fillId="0" borderId="18" xfId="32" applyNumberFormat="1" applyFont="1" applyBorder="1" applyAlignment="1">
      <alignment horizontal="right" indent="1"/>
    </xf>
    <xf numFmtId="181" fontId="37" fillId="0" borderId="0" xfId="0" applyNumberFormat="1" applyFont="1" applyBorder="1" applyAlignment="1">
      <alignment horizontal="right" indent="1"/>
    </xf>
    <xf numFmtId="181" fontId="6" fillId="0" borderId="0" xfId="0" applyNumberFormat="1" applyFont="1" applyFill="1" applyBorder="1" applyAlignment="1">
      <alignment horizontal="right" indent="1"/>
    </xf>
    <xf numFmtId="181" fontId="6" fillId="0" borderId="14" xfId="0" applyNumberFormat="1" applyFont="1" applyFill="1" applyBorder="1" applyAlignment="1">
      <alignment horizontal="right" indent="1"/>
    </xf>
    <xf numFmtId="177" fontId="37" fillId="0" borderId="0" xfId="0" applyNumberFormat="1" applyFont="1" applyBorder="1" applyAlignment="1">
      <alignment horizontal="right" indent="3"/>
    </xf>
    <xf numFmtId="177" fontId="37" fillId="0" borderId="22" xfId="0" applyNumberFormat="1" applyFont="1" applyBorder="1" applyAlignment="1">
      <alignment horizontal="right" indent="3"/>
    </xf>
    <xf numFmtId="182" fontId="37" fillId="0" borderId="22" xfId="0" applyNumberFormat="1" applyFont="1" applyBorder="1" applyAlignment="1">
      <alignment horizontal="right" indent="3"/>
    </xf>
    <xf numFmtId="176" fontId="6" fillId="0" borderId="0" xfId="0" applyNumberFormat="1" applyFont="1" applyFill="1" applyBorder="1" applyAlignment="1">
      <alignment horizontal="right"/>
    </xf>
    <xf numFmtId="176" fontId="6" fillId="0" borderId="22" xfId="0" applyNumberFormat="1" applyFont="1" applyBorder="1" applyAlignment="1">
      <alignment horizontal="right"/>
    </xf>
    <xf numFmtId="177" fontId="6" fillId="0" borderId="22" xfId="0" applyNumberFormat="1" applyFont="1" applyBorder="1" applyAlignment="1">
      <alignment horizontal="right" indent="1"/>
    </xf>
    <xf numFmtId="3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82" fontId="6" fillId="0" borderId="0" xfId="0" applyNumberFormat="1" applyFont="1" applyBorder="1" applyAlignment="1">
      <alignment horizontal="center" vertical="center"/>
    </xf>
    <xf numFmtId="182" fontId="6" fillId="0" borderId="18" xfId="0" applyNumberFormat="1" applyFont="1" applyBorder="1" applyAlignment="1">
      <alignment horizontal="center" vertical="center"/>
    </xf>
    <xf numFmtId="182" fontId="37" fillId="0" borderId="0" xfId="0" applyNumberFormat="1" applyFont="1" applyBorder="1" applyAlignment="1">
      <alignment horizontal="center" vertical="center"/>
    </xf>
    <xf numFmtId="182" fontId="37" fillId="0" borderId="18" xfId="0" applyNumberFormat="1" applyFont="1" applyBorder="1" applyAlignment="1">
      <alignment horizontal="center" vertical="center"/>
    </xf>
    <xf numFmtId="177" fontId="6" fillId="0" borderId="18" xfId="32" applyNumberFormat="1" applyFont="1" applyBorder="1" applyAlignment="1">
      <alignment horizontal="center"/>
    </xf>
    <xf numFmtId="177" fontId="6" fillId="0" borderId="0" xfId="32" applyNumberFormat="1" applyFont="1" applyBorder="1" applyAlignment="1">
      <alignment horizontal="center"/>
    </xf>
    <xf numFmtId="183" fontId="6" fillId="0" borderId="18" xfId="0" applyNumberFormat="1" applyFont="1" applyBorder="1" applyAlignment="1">
      <alignment horizontal="right" indent="1"/>
    </xf>
    <xf numFmtId="3" fontId="6" fillId="0" borderId="22" xfId="0" applyNumberFormat="1" applyFont="1" applyBorder="1" applyAlignment="1">
      <alignment horizontal="right" indent="1"/>
    </xf>
    <xf numFmtId="3" fontId="25" fillId="0" borderId="22" xfId="0" applyNumberFormat="1" applyFont="1" applyFill="1" applyBorder="1" applyAlignment="1">
      <alignment horizontal="right" vertical="center" indent="1"/>
    </xf>
    <xf numFmtId="0" fontId="6" fillId="0" borderId="10" xfId="0" applyFont="1" applyBorder="1" applyAlignment="1">
      <alignment horizontal="center" vertical="center" wrapText="1"/>
    </xf>
    <xf numFmtId="41" fontId="6" fillId="0" borderId="13" xfId="32" applyFont="1" applyBorder="1" applyAlignment="1">
      <alignment horizontal="center" vertical="center" wrapText="1"/>
    </xf>
    <xf numFmtId="185" fontId="6" fillId="0" borderId="22" xfId="32" applyNumberFormat="1" applyFont="1" applyBorder="1" applyAlignment="1">
      <alignment horizontal="right" indent="1"/>
    </xf>
    <xf numFmtId="2" fontId="6" fillId="0" borderId="22" xfId="32" applyNumberFormat="1" applyFont="1" applyBorder="1" applyAlignment="1">
      <alignment horizontal="right" indent="1"/>
    </xf>
    <xf numFmtId="184" fontId="6" fillId="0" borderId="22" xfId="32" applyNumberFormat="1" applyFont="1" applyBorder="1" applyAlignment="1">
      <alignment horizontal="right" indent="1"/>
    </xf>
    <xf numFmtId="185" fontId="6" fillId="0" borderId="14" xfId="32" applyNumberFormat="1" applyFont="1" applyBorder="1" applyAlignment="1">
      <alignment horizontal="right" indent="1"/>
    </xf>
    <xf numFmtId="184" fontId="6" fillId="0" borderId="14" xfId="32" applyNumberFormat="1" applyFont="1" applyBorder="1" applyAlignment="1">
      <alignment horizontal="right" indent="1"/>
    </xf>
    <xf numFmtId="183" fontId="6" fillId="0" borderId="22" xfId="0" applyNumberFormat="1" applyFont="1" applyBorder="1" applyAlignment="1">
      <alignment horizontal="right" indent="1"/>
    </xf>
    <xf numFmtId="183" fontId="6" fillId="0" borderId="22" xfId="0" applyNumberFormat="1" applyFont="1" applyFill="1" applyBorder="1" applyAlignment="1">
      <alignment horizontal="right" indent="1"/>
    </xf>
    <xf numFmtId="0" fontId="6" fillId="0" borderId="22" xfId="0" quotePrefix="1" applyFont="1" applyFill="1" applyBorder="1" applyAlignment="1">
      <alignment horizontal="right" vertical="center"/>
    </xf>
    <xf numFmtId="182" fontId="37" fillId="0" borderId="22" xfId="0" applyNumberFormat="1" applyFont="1" applyFill="1" applyBorder="1" applyAlignment="1">
      <alignment horizontal="right"/>
    </xf>
    <xf numFmtId="177" fontId="37" fillId="0" borderId="22" xfId="0" applyNumberFormat="1" applyFont="1" applyFill="1" applyBorder="1" applyAlignment="1">
      <alignment horizontal="right" indent="3"/>
    </xf>
    <xf numFmtId="181" fontId="37" fillId="0" borderId="22" xfId="0" applyNumberFormat="1" applyFont="1" applyBorder="1" applyAlignment="1">
      <alignment horizontal="right" indent="1"/>
    </xf>
    <xf numFmtId="181" fontId="6" fillId="0" borderId="22" xfId="0" applyNumberFormat="1" applyFont="1" applyFill="1" applyBorder="1" applyAlignment="1">
      <alignment horizontal="right" indent="1"/>
    </xf>
    <xf numFmtId="177" fontId="37" fillId="0" borderId="14" xfId="0" applyNumberFormat="1" applyFont="1" applyFill="1" applyBorder="1" applyAlignment="1">
      <alignment horizontal="right" indent="3"/>
    </xf>
    <xf numFmtId="176" fontId="6" fillId="0" borderId="22" xfId="0" applyNumberFormat="1" applyFont="1" applyFill="1" applyBorder="1" applyAlignment="1">
      <alignment horizontal="right"/>
    </xf>
    <xf numFmtId="183" fontId="6" fillId="0" borderId="0" xfId="0" applyNumberFormat="1" applyFont="1" applyFill="1" applyBorder="1" applyAlignment="1">
      <alignment horizontal="right" indent="1"/>
    </xf>
    <xf numFmtId="177" fontId="6" fillId="0" borderId="0" xfId="0" applyNumberFormat="1" applyFont="1" applyBorder="1" applyAlignment="1">
      <alignment horizontal="right" indent="1"/>
    </xf>
    <xf numFmtId="176" fontId="6" fillId="0" borderId="22" xfId="0" applyNumberFormat="1" applyFont="1" applyBorder="1" applyAlignment="1">
      <alignment horizontal="right" indent="1"/>
    </xf>
    <xf numFmtId="178" fontId="6" fillId="0" borderId="22" xfId="0" applyNumberFormat="1" applyFont="1" applyBorder="1" applyAlignment="1">
      <alignment horizontal="right" indent="1"/>
    </xf>
    <xf numFmtId="0" fontId="6" fillId="0" borderId="22" xfId="0" applyNumberFormat="1" applyFont="1" applyBorder="1" applyAlignment="1">
      <alignment horizontal="right" indent="1"/>
    </xf>
    <xf numFmtId="178" fontId="6" fillId="0" borderId="0" xfId="32" applyNumberFormat="1" applyFont="1" applyBorder="1" applyAlignment="1">
      <alignment horizontal="right" indent="1"/>
    </xf>
    <xf numFmtId="177" fontId="6" fillId="0" borderId="22" xfId="32" applyNumberFormat="1" applyFont="1" applyBorder="1" applyAlignment="1">
      <alignment horizontal="center"/>
    </xf>
    <xf numFmtId="178" fontId="6" fillId="0" borderId="22" xfId="32" applyNumberFormat="1" applyFont="1" applyBorder="1" applyAlignment="1">
      <alignment horizontal="right" indent="1"/>
    </xf>
    <xf numFmtId="0" fontId="6" fillId="0" borderId="22" xfId="0" applyFont="1" applyFill="1" applyBorder="1" applyAlignment="1">
      <alignment vertical="center"/>
    </xf>
    <xf numFmtId="0" fontId="6" fillId="0" borderId="22" xfId="0" applyFont="1" applyFill="1" applyBorder="1" applyAlignment="1">
      <alignment horizontal="center" vertical="center"/>
    </xf>
    <xf numFmtId="3" fontId="6" fillId="0" borderId="22" xfId="32" applyNumberFormat="1" applyFont="1" applyFill="1" applyBorder="1" applyAlignment="1">
      <alignment horizontal="right" indent="1"/>
    </xf>
    <xf numFmtId="0" fontId="6" fillId="0" borderId="0" xfId="32" applyNumberFormat="1" applyFont="1" applyBorder="1" applyAlignment="1">
      <alignment horizontal="right" indent="1"/>
    </xf>
    <xf numFmtId="177" fontId="6" fillId="0" borderId="0" xfId="0" applyNumberFormat="1" applyFont="1" applyFill="1" applyBorder="1" applyAlignment="1">
      <alignment horizontal="right" indent="1"/>
    </xf>
    <xf numFmtId="41" fontId="6" fillId="0" borderId="0" xfId="32" applyNumberFormat="1" applyFont="1" applyBorder="1" applyAlignment="1">
      <alignment horizontal="right"/>
    </xf>
    <xf numFmtId="41" fontId="6" fillId="0" borderId="0" xfId="0" applyNumberFormat="1" applyFont="1" applyBorder="1" applyAlignment="1">
      <alignment horizontal="right"/>
    </xf>
    <xf numFmtId="184" fontId="6" fillId="0" borderId="22" xfId="61" applyNumberFormat="1" applyFont="1" applyBorder="1" applyAlignment="1">
      <alignment horizontal="right" indent="1"/>
    </xf>
    <xf numFmtId="41" fontId="6" fillId="0" borderId="0" xfId="32" applyNumberFormat="1" applyFont="1" applyBorder="1" applyAlignment="1"/>
    <xf numFmtId="41" fontId="6" fillId="0" borderId="22" xfId="32" applyNumberFormat="1" applyFont="1" applyBorder="1" applyAlignment="1">
      <alignment horizontal="right"/>
    </xf>
    <xf numFmtId="49" fontId="6" fillId="0" borderId="0" xfId="0" applyNumberFormat="1" applyFont="1" applyBorder="1" applyAlignment="1">
      <alignment horizontal="left" vertical="center" indent="1"/>
    </xf>
    <xf numFmtId="0" fontId="0" fillId="0" borderId="0" xfId="0"/>
    <xf numFmtId="176" fontId="6" fillId="0" borderId="0" xfId="0" applyNumberFormat="1" applyFont="1" applyFill="1" applyBorder="1" applyAlignment="1">
      <alignment horizontal="right"/>
    </xf>
    <xf numFmtId="0" fontId="0" fillId="0" borderId="0" xfId="0"/>
    <xf numFmtId="0" fontId="0" fillId="0" borderId="0" xfId="0" applyBorder="1"/>
    <xf numFmtId="182" fontId="6" fillId="0" borderId="22" xfId="0" applyNumberFormat="1" applyFont="1" applyBorder="1" applyAlignment="1">
      <alignment horizontal="right" indent="1"/>
    </xf>
    <xf numFmtId="0" fontId="0" fillId="0" borderId="0" xfId="0"/>
    <xf numFmtId="0" fontId="0" fillId="0" borderId="0" xfId="0" applyFill="1" applyBorder="1"/>
    <xf numFmtId="177" fontId="6" fillId="0" borderId="22" xfId="0" applyNumberFormat="1" applyFont="1" applyBorder="1" applyAlignment="1">
      <alignment horizontal="right" indent="1"/>
    </xf>
    <xf numFmtId="0" fontId="6" fillId="0" borderId="22" xfId="0" quotePrefix="1" applyFont="1" applyFill="1" applyBorder="1" applyAlignment="1">
      <alignment horizontal="center" vertical="center"/>
    </xf>
    <xf numFmtId="178" fontId="6" fillId="0" borderId="22" xfId="61" applyNumberFormat="1" applyFont="1" applyBorder="1" applyAlignment="1">
      <alignment horizontal="right" indent="1"/>
    </xf>
    <xf numFmtId="177" fontId="6" fillId="0" borderId="22" xfId="61" applyNumberFormat="1" applyFont="1" applyBorder="1" applyAlignment="1">
      <alignment horizontal="center"/>
    </xf>
    <xf numFmtId="0" fontId="6" fillId="0" borderId="22" xfId="61" applyNumberFormat="1" applyFont="1" applyBorder="1" applyAlignment="1">
      <alignment horizontal="right" indent="1"/>
    </xf>
    <xf numFmtId="0" fontId="6" fillId="0" borderId="22" xfId="0" quotePrefix="1" applyFont="1" applyFill="1" applyBorder="1" applyAlignment="1">
      <alignment horizontal="center" vertical="center"/>
    </xf>
    <xf numFmtId="178" fontId="6" fillId="0" borderId="14" xfId="61" applyNumberFormat="1" applyFont="1" applyBorder="1" applyAlignment="1">
      <alignment horizontal="right" indent="1"/>
    </xf>
    <xf numFmtId="178" fontId="6" fillId="0" borderId="18" xfId="61" applyNumberFormat="1" applyFont="1" applyBorder="1" applyAlignment="1">
      <alignment horizontal="right" indent="1"/>
    </xf>
    <xf numFmtId="0" fontId="6" fillId="0" borderId="0" xfId="0" quotePrefix="1" applyFont="1" applyFill="1" applyBorder="1" applyAlignment="1">
      <alignment horizontal="center" vertical="center"/>
    </xf>
    <xf numFmtId="3" fontId="6" fillId="0" borderId="22" xfId="0" applyNumberFormat="1" applyFont="1" applyFill="1" applyBorder="1" applyAlignment="1">
      <alignment horizontal="right" indent="1"/>
    </xf>
    <xf numFmtId="3" fontId="6" fillId="0" borderId="22" xfId="61" applyNumberFormat="1" applyFont="1" applyFill="1" applyBorder="1" applyAlignment="1">
      <alignment horizontal="right" indent="1"/>
    </xf>
    <xf numFmtId="0" fontId="0" fillId="0" borderId="0" xfId="0"/>
    <xf numFmtId="0" fontId="6" fillId="0" borderId="0" xfId="0" quotePrefix="1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 indent="1"/>
    </xf>
    <xf numFmtId="3" fontId="6" fillId="0" borderId="14" xfId="61" applyNumberFormat="1" applyFont="1" applyFill="1" applyBorder="1" applyAlignment="1">
      <alignment horizontal="right" indent="1"/>
    </xf>
    <xf numFmtId="0" fontId="0" fillId="0" borderId="0" xfId="0" applyBorder="1"/>
    <xf numFmtId="0" fontId="6" fillId="0" borderId="22" xfId="0" quotePrefix="1" applyFont="1" applyFill="1" applyBorder="1" applyAlignment="1">
      <alignment horizontal="center" vertical="center"/>
    </xf>
    <xf numFmtId="3" fontId="6" fillId="0" borderId="14" xfId="0" applyNumberFormat="1" applyFont="1" applyBorder="1" applyAlignment="1">
      <alignment horizontal="right" indent="1"/>
    </xf>
    <xf numFmtId="0" fontId="6" fillId="0" borderId="22" xfId="0" quotePrefix="1" applyFont="1" applyFill="1" applyBorder="1" applyAlignment="1">
      <alignment horizontal="right" vertical="center"/>
    </xf>
    <xf numFmtId="182" fontId="6" fillId="0" borderId="0" xfId="0" applyNumberFormat="1" applyFont="1" applyBorder="1" applyAlignment="1">
      <alignment horizontal="right" indent="1"/>
    </xf>
    <xf numFmtId="0" fontId="6" fillId="0" borderId="0" xfId="0" applyNumberFormat="1" applyFont="1" applyBorder="1" applyAlignment="1">
      <alignment horizontal="right" indent="1"/>
    </xf>
    <xf numFmtId="182" fontId="37" fillId="0" borderId="22" xfId="0" applyNumberFormat="1" applyFont="1" applyFill="1" applyBorder="1" applyAlignment="1">
      <alignment horizontal="right" indent="3"/>
    </xf>
    <xf numFmtId="0" fontId="6" fillId="0" borderId="0" xfId="0" quotePrefix="1" applyFont="1" applyFill="1" applyBorder="1" applyAlignment="1">
      <alignment horizontal="right" vertical="center"/>
    </xf>
    <xf numFmtId="181" fontId="37" fillId="0" borderId="14" xfId="0" applyNumberFormat="1" applyFont="1" applyFill="1" applyBorder="1" applyAlignment="1">
      <alignment horizontal="right" indent="1"/>
    </xf>
    <xf numFmtId="176" fontId="6" fillId="0" borderId="0" xfId="0" applyNumberFormat="1" applyFont="1" applyBorder="1" applyAlignment="1">
      <alignment horizontal="right" indent="1"/>
    </xf>
    <xf numFmtId="178" fontId="6" fillId="0" borderId="0" xfId="0" applyNumberFormat="1" applyFont="1" applyBorder="1" applyAlignment="1">
      <alignment horizontal="right" indent="1"/>
    </xf>
    <xf numFmtId="0" fontId="6" fillId="0" borderId="14" xfId="61" applyNumberFormat="1" applyFont="1" applyBorder="1" applyAlignment="1">
      <alignment horizontal="right" indent="1"/>
    </xf>
    <xf numFmtId="177" fontId="6" fillId="0" borderId="18" xfId="61" applyNumberFormat="1" applyFont="1" applyBorder="1" applyAlignment="1">
      <alignment horizontal="center"/>
    </xf>
    <xf numFmtId="0" fontId="6" fillId="0" borderId="18" xfId="61" applyNumberFormat="1" applyFont="1" applyBorder="1" applyAlignment="1">
      <alignment horizontal="right" indent="1"/>
    </xf>
    <xf numFmtId="0" fontId="6" fillId="0" borderId="14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37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37" fillId="0" borderId="20" xfId="0" applyFont="1" applyFill="1" applyBorder="1" applyAlignment="1">
      <alignment horizontal="center" vertical="center" wrapText="1"/>
    </xf>
    <xf numFmtId="0" fontId="37" fillId="0" borderId="14" xfId="0" applyFont="1" applyFill="1" applyBorder="1" applyAlignment="1">
      <alignment horizontal="center" vertical="center"/>
    </xf>
    <xf numFmtId="0" fontId="37" fillId="0" borderId="17" xfId="0" applyFont="1" applyFill="1" applyBorder="1" applyAlignment="1">
      <alignment horizontal="center" vertical="center"/>
    </xf>
    <xf numFmtId="0" fontId="37" fillId="0" borderId="23" xfId="0" applyFont="1" applyFill="1" applyBorder="1" applyAlignment="1">
      <alignment horizontal="center" vertical="center"/>
    </xf>
    <xf numFmtId="0" fontId="37" fillId="0" borderId="21" xfId="0" applyFont="1" applyFill="1" applyBorder="1" applyAlignment="1">
      <alignment horizontal="center" vertical="center" wrapText="1"/>
    </xf>
    <xf numFmtId="0" fontId="37" fillId="0" borderId="12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/>
    </xf>
    <xf numFmtId="0" fontId="37" fillId="0" borderId="14" xfId="0" applyFont="1" applyFill="1" applyBorder="1" applyAlignment="1">
      <alignment horizontal="center" vertical="center" wrapText="1"/>
    </xf>
    <xf numFmtId="178" fontId="25" fillId="0" borderId="0" xfId="0" quotePrefix="1" applyNumberFormat="1" applyFont="1" applyFill="1" applyBorder="1" applyAlignment="1">
      <alignment horizontal="left" vertical="center" wrapText="1"/>
    </xf>
    <xf numFmtId="178" fontId="25" fillId="0" borderId="0" xfId="0" quotePrefix="1" applyNumberFormat="1" applyFont="1" applyFill="1" applyBorder="1" applyAlignment="1">
      <alignment horizontal="left" vertical="center"/>
    </xf>
    <xf numFmtId="41" fontId="6" fillId="0" borderId="16" xfId="32" applyFont="1" applyBorder="1" applyAlignment="1">
      <alignment horizontal="center" vertical="center" wrapText="1"/>
    </xf>
    <xf numFmtId="41" fontId="6" fillId="0" borderId="13" xfId="32" applyFont="1" applyBorder="1" applyAlignment="1">
      <alignment horizontal="center" vertical="center" wrapText="1"/>
    </xf>
    <xf numFmtId="41" fontId="6" fillId="0" borderId="19" xfId="32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6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/>
    </xf>
    <xf numFmtId="0" fontId="6" fillId="0" borderId="22" xfId="0" applyFont="1" applyFill="1" applyBorder="1" applyAlignment="1">
      <alignment vertical="top"/>
    </xf>
    <xf numFmtId="0" fontId="6" fillId="19" borderId="15" xfId="0" applyFont="1" applyFill="1" applyBorder="1" applyAlignment="1">
      <alignment horizontal="center" vertical="center" wrapText="1"/>
    </xf>
    <xf numFmtId="0" fontId="6" fillId="19" borderId="24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</cellXfs>
  <cellStyles count="6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메모 2" xfId="60" xr:uid="{00000000-0005-0000-0000-000040000000}"/>
    <cellStyle name="보통" xfId="29" builtinId="28" customBuiltin="1"/>
    <cellStyle name="설명 텍스트" xfId="30" builtinId="53" customBuiltin="1"/>
    <cellStyle name="셀 확인" xfId="31" builtinId="23" customBuiltin="1"/>
    <cellStyle name="쉼표 [0]" xfId="32" builtinId="6"/>
    <cellStyle name="쉼표 [0] 2" xfId="61" xr:uid="{00000000-0005-0000-0000-000041000000}"/>
    <cellStyle name="연결된 셀" xfId="33" builtinId="24" customBuiltin="1"/>
    <cellStyle name="요약" xfId="34" builtinId="25" customBuiltin="1"/>
    <cellStyle name="입력" xfId="35" builtinId="20" customBuiltin="1"/>
    <cellStyle name="제목" xfId="36" builtinId="15" customBuiltin="1"/>
    <cellStyle name="제목 1" xfId="37" builtinId="16" customBuiltin="1"/>
    <cellStyle name="제목 2" xfId="38" builtinId="17" customBuiltin="1"/>
    <cellStyle name="제목 3" xfId="39" builtinId="18" customBuiltin="1"/>
    <cellStyle name="제목 4" xfId="40" builtinId="19" customBuiltin="1"/>
    <cellStyle name="좋음" xfId="41" builtinId="26" customBuiltin="1"/>
    <cellStyle name="출력" xfId="42" builtinId="21" customBuiltin="1"/>
    <cellStyle name="콤마 [0]_1.상호금융" xfId="43" xr:uid="{00000000-0005-0000-0000-00002A000000}"/>
    <cellStyle name="콤마_1.상호금융" xfId="44" xr:uid="{00000000-0005-0000-0000-00002B000000}"/>
    <cellStyle name="표준" xfId="0" builtinId="0"/>
    <cellStyle name="표준 10" xfId="45" xr:uid="{00000000-0005-0000-0000-00002D000000}"/>
    <cellStyle name="표준 11" xfId="46" xr:uid="{00000000-0005-0000-0000-00002E000000}"/>
    <cellStyle name="표준 12" xfId="47" xr:uid="{00000000-0005-0000-0000-00002F000000}"/>
    <cellStyle name="표준 13" xfId="48" xr:uid="{00000000-0005-0000-0000-000030000000}"/>
    <cellStyle name="표준 14" xfId="49" xr:uid="{00000000-0005-0000-0000-000031000000}"/>
    <cellStyle name="표준 15" xfId="50" xr:uid="{00000000-0005-0000-0000-000032000000}"/>
    <cellStyle name="표준 2" xfId="59" xr:uid="{00000000-0005-0000-0000-000033000000}"/>
    <cellStyle name="표준 2 2" xfId="51" xr:uid="{00000000-0005-0000-0000-000034000000}"/>
    <cellStyle name="표준 2 3" xfId="62" xr:uid="{00000000-0005-0000-0000-000033000000}"/>
    <cellStyle name="표준 3" xfId="52" xr:uid="{00000000-0005-0000-0000-000035000000}"/>
    <cellStyle name="표준 4" xfId="53" xr:uid="{00000000-0005-0000-0000-000036000000}"/>
    <cellStyle name="표준 5" xfId="54" xr:uid="{00000000-0005-0000-0000-000037000000}"/>
    <cellStyle name="표준 6" xfId="55" xr:uid="{00000000-0005-0000-0000-000038000000}"/>
    <cellStyle name="표준 7" xfId="56" xr:uid="{00000000-0005-0000-0000-000039000000}"/>
    <cellStyle name="표준 8" xfId="57" xr:uid="{00000000-0005-0000-0000-00003A000000}"/>
    <cellStyle name="표준 9" xfId="58" xr:uid="{00000000-0005-0000-0000-00003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xloil.3ad14488.6207.4321.8d94.3e49ef95165c">
      <tp t="e">
        <v>#N/A</v>
        <stp/>
        <stp>2026-06-03T12:59:58.697273 / 2026-04-01 00:00:00 / 0 / KOSIS-101_DT_1F02001-M-T11-32-0-14101_ausgabe0x204fde0fc9e39b82</stp>
        <tr r="I138" s="101"/>
      </tp>
      <tp t="e">
        <v>#N/A</v>
        <stp/>
        <stp>2026-06-03T12:59:58.697273 / 2026-03-01 00:00:00 / 0 / MOLIT-BUILDING_CONST-KR_32-PER-TOT-TOT-AREA-TOT-TOT-MQ-M0x7666c2a5dafd2967</stp>
        <tr r="B134" s="102"/>
      </tp>
      <tp t="e">
        <v>#N/A</v>
        <stp/>
        <stp>2026-06-03T12:59:58.697273 / 2026-03-01 00:00:00 / 0 / MOLIT-BUILDING_CONST-KR_32-PER-A02-A0202-AREA-TOT-TOT-MQ-M0x3d57c12f5929943d</stp>
        <tr r="C134" s="102"/>
      </tp>
      <tp t="e">
        <v>#N/A</v>
        <stp/>
        <stp>2026-06-03T12:59:58.697273 / 2026-03-01 00:00:00 / 0 / MOLIT-BUILDING_CONST-KR_32-PER-A16-A1601-AREA-TOT-TOT-MQ-M-0xaa64dfa8d5cf85d</stp>
        <tr r="D134" s="102"/>
      </tp>
      <tp t="e">
        <v>#N/A</v>
        <stp/>
        <stp>2026-06-03T12:59:58.697273 / 2026-03-01 00:00:00 / 0 / MOLIT-BUILDING_CONST-KR_32-PER-A01-A0101-AREA-TOT-TOT-MQ-M0x38ad3299d647bf0c</stp>
        <tr r="C134" s="102"/>
      </tp>
      <tp t="e">
        <v>#N/A</v>
        <stp/>
        <stp>2026-06-03T12:59:58.697273 / 2026-03-01 00:00:00 / 0 / MOLIT-BUILDING_CONST-KR_32-PER-A02-A0204-AREA-TOT-TOT-MQ-M0x5c568e61e4e0efae</stp>
        <tr r="D134" s="102"/>
      </tp>
      <tp t="e">
        <v>#N/A</v>
        <stp/>
        <stp>2026-06-03T12:59:58.697273 / 2026-04-01 00:00:00 / 0 / MOLIT-MOTOR_REG-KR_32-T3-M4-UT-M-0x31c5dea2958a47eb</stp>
        <tr r="E135" s="111"/>
      </tp>
      <tp t="e">
        <v>#N/A</v>
        <stp/>
        <stp>2026-06-03T12:59:58.697273 / 2026-03-01 00:00:00 / 0 / MOLIT-BUILDING_CONST-KR_32-PER-A19-A1901-AREA-TOT-TOT-MQ-M0x6ef86805f9db658b</stp>
        <tr r="D134" s="102"/>
      </tp>
      <tp t="e">
        <v>#N/A</v>
        <stp/>
        <stp>2026-06-03T12:59:58.697273 / 2026-04-01 00:00:00 / 0 / MOLIT-MOTOR_REG-KR_32-T1-M4-UT-M-0x6722f7f6be66e72a</stp>
        <tr r="C135" s="111"/>
      </tp>
      <tp t="e">
        <v>#N/A</v>
        <stp/>
        <stp>2026-06-03T12:59:58.697273 / 2026-04-01 00:00:00 / 0 / KOSIS-101_DT_1F02001-M-T20-32-0-14101_ausgabe0x7750575cd08f22cd</stp>
        <tr r="C138" s="101"/>
      </tp>
      <tp t="e">
        <v>#N/A</v>
        <stp/>
        <stp>2026-06-03T12:59:58.697273 / 2026-04-01 00:00:00 / 0 / KOSIS-101_DT_1F02001-M-T12-32-0-14101_ausgabe0x3b9cf75b2d73b1a7</stp>
        <tr r="K138" s="101"/>
      </tp>
      <tp t="e">
        <v>#N/A</v>
        <stp/>
        <stp>2026-06-03T12:59:58.697273 / 2026-04-01 00:00:00 / 0 / NECOS-511U004-M-FME-Z180x17968c5e7f0e31a</stp>
        <tr r="B133" s="100"/>
      </tp>
      <tp t="e">
        <v>#N/A</v>
        <stp/>
        <stp>2026-06-03T12:59:58.697273 / 2026-04-01 00:00:00 / 0 / NECOS-512U020-M-BB-Z180x2ce1e9049fb9f7f1</stp>
        <tr r="G135" s="99"/>
      </tp>
      <tp t="e">
        <v>#N/A</v>
        <stp/>
        <stp>2026-06-03T12:59:58.697273 / 2026-03-01 00:00:00 / 0 / MOLIT-BUILDING_CONST-KR_32-COM-A30-A3001-AREA-TOT-TOT-MQ-M0x17359e4139306929</stp>
        <tr r="H134" s="102"/>
      </tp>
      <tp t="e">
        <v>#N/A</v>
        <stp/>
        <stp>2026-06-03T12:59:58.697273 / 2026-03-01 00:00:00 / 0 / MOLIT-BUILDING_CONST-KR_32-COM-A01-A0103-AREA-TOT-TOT-MQ-M-0x49f931822dfa2de9</stp>
        <tr r="G134" s="102"/>
      </tp>
      <tp t="e">
        <v>#N/A</v>
        <stp/>
        <stp>2026-06-03T12:59:58.697273 / 2026-04-01 00:00:00 / 0 / TRASS-EXPSEONGJIL-KR_32-C_TOT-USD-M0x1970e650c881b99e</stp>
        <tr r="B136" s="106"/>
      </tp>
      <tp t="e">
        <v>#N/A</v>
        <stp/>
        <stp>2026-06-03T12:59:58.697273 / 2026-03-01 00:00:00 / 0 / MOLIT-BUILDING_CONST-KR_32-PER-A20-A2001-AREA-TOT-TOT-MQ-M-0x635ab769181b61bb</stp>
        <tr r="D134" s="102"/>
      </tp>
      <tp t="e">
        <v>#N/A</v>
        <stp/>
        <stp>2026-06-03T12:59:58.697273 / 2026-04-01 00:00:00 / 0 / NECOS-511U004-M-FMCCA-Z180x1531d8682adca9f1</stp>
        <tr r="C134" s="109"/>
      </tp>
      <tp t="e">
        <v>#N/A</v>
        <stp/>
        <stp>2026-06-03T12:59:58.697273 / 2026-04-01 00:00:00 / 0 / TRASS-EXPPROC-KR_32-Z-USD-M0x6b7544a24e73331e</stp>
        <tr r="F136" s="106"/>
      </tp>
      <tp t="e">
        <v>#N/A</v>
        <stp/>
        <stp>2026-06-03T12:59:58.697273 / 2026-03-01 00:00:00 / 0 / MOLIT-BUILDING_CONST-KR_32-PER-A01-A0104-AREA-TOT-TOT-MQ-M-0x54d2c8372a0b8a6a</stp>
        <tr r="C134" s="102"/>
      </tp>
      <tp t="e">
        <v>#N/A</v>
        <stp/>
        <stp>2026-06-03T12:59:58.697273 / 2026-03-01 00:00:00 / 0 / MOLIT-BUILDING_CONST-KR_32-COM-A02-A0207-AREA-TOT-TOT-MQ-M-0x618e2890b0de0626</stp>
        <tr r="G134" s="102"/>
      </tp>
      <tp t="e">
        <v>#N/A</v>
        <stp/>
        <stp>2026-06-03T12:59:58.697273 / 2026-04-01 00:00:00 / 0 / NECOS-512U019-M-BA-Z180x48d5c77b525c43a8</stp>
        <tr r="D135" s="99"/>
      </tp>
      <tp t="e">
        <v>#N/A</v>
        <stp/>
        <stp>2026-06-03T12:59:58.697273 / 2026-04-01 00:00:00 / 0 / NECOS-512U019-M-AJ-Z180x6ae0f3fb7af1777c</stp>
        <tr r="L135" s="98"/>
      </tp>
      <tp t="e">
        <v>#N/A</v>
        <stp/>
        <stp>2026-06-03T12:59:58.697273 / 2026-04-01 00:00:00 / 0 / TRASS-IMPPROC-KR_32-C-USD-M-0xd68b99deb192117</stp>
        <tr r="J136" s="106"/>
      </tp>
      <tp t="e">
        <v>#N/A</v>
        <stp/>
        <stp>2026-06-03T12:59:58.697273 / 2026-03-01 00:00:00 / 0 / MOLIT-BUILDING_CONST-KR_32-COM-A14-A1401-AREA-TOT-TOT-MQ-M0x27ec07523c0438d4</stp>
        <tr r="H134" s="102"/>
      </tp>
      <tp t="e">
        <v>#N/A</v>
        <stp/>
        <stp>2026-06-03T12:59:58.697273 / 2026-04-01 00:00:00 / 0 / NECOS-512U020-M-AE-Z18-0xf978b21cf67cf24</stp>
        <tr r="I135" s="98"/>
      </tp>
      <tp t="e">
        <v>#N/A</v>
        <stp/>
        <stp>2026-06-03T12:59:58.697273 / 2026-04-01 00:00:00 / 0 / NECOS-511U004-M-FMCCF-Z180x71314b43770ea833</stp>
        <tr r="H134" s="109"/>
      </tp>
      <tp t="e">
        <v>#N/A</v>
        <stp/>
        <stp>2026-06-03T12:59:58.697273 / 2026-03-01 00:00:00 / 0 / MOLIT-BUILDING_CONST-KR_32-COM-A07-A0701-AREA-TOT-TOT-MQ-M-0x2a9dbf14946c1c9</stp>
        <tr r="H134" s="102"/>
      </tp>
      <tp t="e">
        <v>#N/A</v>
        <stp/>
        <stp>2026-06-03T12:59:58.697273 / 2026-04-01 00:00:00 / 0 / NECOS-511U004-M-FMCCD-Z180x210352e3ed674966</stp>
        <tr r="F134" s="109"/>
      </tp>
      <tp t="e">
        <v>#N/A</v>
        <stp/>
        <stp>2026-06-03T12:59:58.697273 / 2026-03-01 00:00:00 / 0 / MOLIT-BUILDING_CONST-KR_32-COM-A04-A0401-AREA-TOT-TOT-MQ-M-0x2bd67e0f502695ef</stp>
        <tr r="H134" s="102"/>
      </tp>
      <tp t="e">
        <v>#N/A</v>
        <stp/>
        <stp>2026-06-03T12:59:58.697273 / 2026-04-01 00:00:00 / 0 / TRASS-IMPPROC-KR_32-A-USD-M0x26b52440d105a60f</stp>
        <tr r="H136" s="106"/>
      </tp>
      <tp t="e">
        <v>#N/A</v>
        <stp/>
        <stp>2026-06-03T12:59:58.697273 / 2026-04-01 00:00:00 / 0 / NECOS-511U004-M-FMCCI-Z180x52a30230bd08005b</stp>
        <tr r="K134" s="109"/>
      </tp>
      <tp t="e">
        <v>#N/A</v>
        <stp/>
        <stp>2026-06-03T12:59:58.697273 / 2026-04-01 00:00:00 / 0 / NECOS-512U020-M-AA-Z18-0x9e0b28658cd87f9</stp>
        <tr r="E135" s="98"/>
      </tp>
      <tp t="e">
        <v>#N/A</v>
        <stp/>
        <stp>2026-06-03T12:59:58.697273 / 2026-03-01 00:00:00 / 0 / MOLIT-BUILDING_CONST-KR_32-COM-A15-A1501-AREA-TOT-TOT-MQ-M-0x16aa0d8e7fa2916e</stp>
        <tr r="H134" s="102"/>
      </tp>
      <tp t="e">
        <v>#N/A</v>
        <stp/>
        <stp>2026-06-03T12:59:58.697273 / 2026-03-01 00:00:00 / 0 / MOLIT-BUILDING_CONST-KR_32-PER-A17-A1701-AREA-TOT-TOT-MQ-M-0x24bc94acf34bb7e0</stp>
        <tr r="E134" s="102"/>
      </tp>
      <tp t="e">
        <v>#N/A</v>
        <stp/>
        <stp>2026-06-03T12:59:58.697273 / 2026-04-01 00:00:00 / 0 / NECOS-511U004-M-FMCCH-Z180x17619ac8148a065f</stp>
        <tr r="J134" s="109"/>
      </tp>
      <tp t="e">
        <v>#N/A</v>
        <stp/>
        <stp>2026-06-03T12:59:58.697273 / 2026-03-01 00:00:00 / 0 / MOLIT-BUILDING_CONST-KR_32-PER-A07-A0701-AREA-TOT-TOT-MQ-M-0x1c682a04de02cc26</stp>
        <tr r="D134" s="102"/>
      </tp>
      <tp t="e">
        <v>#N/A</v>
        <stp/>
        <stp>2026-06-03T12:59:58.697273 / 2026-03-01 00:00:00 / 0 / MOLIT-BUILDING_CONST-KR_32-COM-A02-A0204-AREA-TOT-TOT-MQ-M-0x31db7f3d8dfe975a</stp>
        <tr r="H134" s="102"/>
      </tp>
      <tp t="e">
        <v>#N/A</v>
        <stp/>
        <stp>2026-06-03T12:59:58.697273 / 2026-03-01 00:00:00 / 0 / MOLIT-BUILDING_CONST-KR_32-COM-A03-A0301-AREA-TOT-TOT-MQ-M-0x12a36f9b64011f26</stp>
        <tr r="H134" s="102"/>
      </tp>
      <tp t="e">
        <v>#N/A</v>
        <stp/>
        <stp>2026-06-03T12:59:58.697273 / 2026-04-01 00:00:00 / 0 / MOLIT-MOTOR_REG-KR_32-T2-M4-UT-M0x1140e57588eeb98e</stp>
        <tr r="D135" s="111"/>
      </tp>
      <tp t="e">
        <v>#N/A</v>
        <stp/>
        <stp>2026-06-03T12:59:58.697273 / 2026-04-01 00:00:00 / 0 / MOLIT-MOTOR_REG-KR_32-T5-M4-UT-M0x7a3fc011a5663f1c</stp>
        <tr r="B135" s="111"/>
      </tp>
      <tp t="e">
        <v>#N/A</v>
        <stp/>
        <stp>2026-06-03T12:59:58.697273 / 2026-04-01 00:00:00 / 0 / TRASS-EXPPROC-KR_32-C-USD-M-0x1e817a9f5e0ee4ae</stp>
        <tr r="E136" s="106"/>
      </tp>
      <tp t="e">
        <v>#N/A</v>
        <stp/>
        <stp>2026-06-03T12:59:58.697273 / 2026-04-01 00:00:00 / 0 / KOSIS-101_DT_1K41015-M-T2-32-14101_ausgabe0x506d2e1ced64fc7</stp>
        <tr r="C136" s="103"/>
      </tp>
      <tp t="e">
        <v>#N/A</v>
        <stp/>
        <stp>2026-06-03T12:59:58.697273 / 2026-04-01 00:00:00 / 0 / NECOS-512U020-M-AJ-Z18-0x34967df67946dba8</stp>
        <tr r="M135" s="98"/>
      </tp>
      <tp t="e">
        <v>#N/A</v>
        <stp/>
        <stp>2026-06-03T12:59:58.697273 / 2026-04-01 00:00:00 / 0 / NECOS-512U019-M-AP-Z18-0x555a583ae1fb2759</stp>
        <tr r="B135" s="98"/>
      </tp>
      <tp t="e">
        <v>#N/A</v>
        <stp/>
        <stp>2026-06-03T12:59:58.697273 / 2026-04-01 00:00:00 / 0 / NECOS-512U020-M-AO-Z18-0x22cf9b5f4ba368b5</stp>
        <tr r="O135" s="98"/>
      </tp>
      <tp t="e">
        <v>#N/A</v>
        <stp/>
        <stp>2026-06-03T12:59:58.697273 / 2026-04-01 00:00:00 / 0 / KOSIS-101_DT_1F02001-M-T10-32-C27-14101_ausgabe0x6a4ba673cba7f568</stp>
        <tr r="G138" s="101"/>
      </tp>
      <tp t="e">
        <v>#N/A</v>
        <stp/>
        <stp>2026-06-03T12:59:58.697273 / 2026-04-01 00:00:00 / 0 / REB-A_2024_00019-500017-IX-M0x4e49473e0cf94c6d</stp>
        <tr r="F136" s="108"/>
      </tp>
      <tp t="e">
        <v>#N/A</v>
        <stp/>
        <stp>2026-06-03T12:59:58.697273 / 2026-04-01 00:00:00 / 0 / REB-A_2024_00045-500017-IX-M0x3724e34adcf7c99b</stp>
        <tr r="E136" s="108"/>
      </tp>
      <tp t="e">
        <v>#N/A</v>
        <stp/>
        <stp>2026-06-03T12:59:58.697273 / 2026-04-01 00:00:00 / 0 / REB-A_2024_00050-500017-IX-M0x4c0eb93c28358668</stp>
        <tr r="G136" s="108"/>
      </tp>
      <tp t="e">
        <v>#N/A</v>
        <stp/>
        <stp>2026-06-03T12:59:58.697273 / 2026-03-01 00:00:00 / 0 / MOLIT-UNSOLD-KR_32-KR_3200-UT-M-0x7bec53835ace244f</stp>
        <tr r="K134" s="102"/>
      </tp>
      <tp t="e">
        <v>#N/A</v>
        <stp/>
        <stp>2026-06-03T12:59:58.697273 / 2026-04-01 00:00:00 / 0 / NECOS-512U019-M-AB-Z18-0x1a0cbf7a561b602f</stp>
        <tr r="F135" s="98"/>
      </tp>
      <tp t="e">
        <v>#N/A</v>
        <stp/>
        <stp>2026-06-03T12:59:58.697273 / 2026-04-01 00:00:00 / 0 / TRASS-EXPPROC-KR_32-D-USD-M-0x12b38b2ee986e579</stp>
        <tr r="D136" s="106"/>
      </tp>
      <tp t="e">
        <v>#N/A</v>
        <stp/>
        <stp>2026-06-03T12:59:58.697273 / 2026-04-01 00:00:00 / 0 / NECOS-512U020-M-BE-Z18-0x6d91229e6bf1d4f7</stp>
        <tr r="I135" s="99"/>
      </tp>
      <tp t="e">
        <v>#N/A</v>
        <stp/>
        <stp>2026-06-03T12:59:58.697273 / 2026-04-01 00:00:00 / 0 / KOSIS-101_DT_1F02001-M-T10-32-C11-14101_ausgabe0x570af8112d7c2e7e</stp>
        <tr r="E138" s="101"/>
      </tp>
      <tp t="e">
        <v>#N/A</v>
        <stp/>
        <stp>2026-06-03T12:59:58.697273 / 2026-04-01 00:00:00 / 0 / KOSIS-101_DT_1F02001-M-T10-32-0-14101_ausgabe0x2bae339a9c29bda</stp>
        <tr r="B138" s="101"/>
      </tp>
      <tp t="e">
        <v>#N/A</v>
        <stp/>
        <stp>2026-06-03T12:59:58.697273 / 2026-04-01 00:00:00 / 0 / NECOS-512U019-M-AA-Z18-0x55ede1089dfacb29</stp>
        <tr r="D135" s="98"/>
      </tp>
      <tp t="e">
        <v>#N/A</v>
        <stp/>
        <stp>2026-06-03T12:59:58.697273 / 2026-04-01 00:00:00 / 0 / REB-A_2024_00016-500017-IX-M0x1a79b48c1188c5ce</stp>
        <tr r="D136" s="108"/>
      </tp>
      <tp t="e">
        <v>#N/A</v>
        <stp/>
        <stp>2026-06-03T12:59:58.697273 / 2026-04-01 00:00:00 / 0 / NECOS-511U004-M-FMBE-Z18-0xaf000ca2d3fa1f6</stp>
        <tr r="H133" s="100"/>
      </tp>
      <tp t="e">
        <v>#N/A</v>
        <stp/>
        <stp>2026-06-03T12:59:58.697273 / 2026-04-01 00:00:00 / 0 / NECOS-511U004-M-FMCCG-Z18-0x156b7267d0672704</stp>
        <tr r="I134" s="109"/>
      </tp>
      <tp t="e">
        <v>#N/A</v>
        <stp/>
        <stp>2026-06-03T12:59:58.697273 / 2026-04-01 00:00:00 / 0 / NECOS-512U019-M-AI-Z18-0x29ef583d946cd091</stp>
        <tr r="J135" s="98"/>
      </tp>
      <tp t="e">
        <v>#N/A</v>
        <stp/>
        <stp>2026-06-03T12:59:58.697273 / 2026-04-01 00:00:00 / 0 / NECOS-511U004-M-FMCB-Z180x6d805a9d1f7b9f14</stp>
        <tr r="B134" s="109"/>
      </tp>
      <tp t="e">
        <v>#N/A</v>
        <stp/>
        <stp>2026-06-03T12:59:58.697273 / 2026-04-01 00:00:00 / 0 / NECOS-512U020-M-BJ-Z18-0x62091eea4f9655c8</stp>
        <tr r="K135" s="99"/>
      </tp>
      <tp t="e">
        <v>#N/A</v>
        <stp/>
        <stp>2026-06-03T12:59:58.697273 / 2026-04-01 00:00:00 / 0 / KOSIS-101_DT_1DA7004S-M-T80-32-14STD00018-0x452a78eeb7e5602a</stp>
        <tr r="H137" s="107"/>
      </tp>
      <tp t="e">
        <v>#N/A</v>
        <stp/>
        <stp>2026-06-03T12:59:58.697273 / 2026-04-01 00:00:00 / 0 / TRASS-EXPPROC-KR_32-A-USD-M-0x322fccb1b201a81d</stp>
        <tr r="C136" s="106"/>
      </tp>
      <tp t="e">
        <v>#N/A</v>
        <stp/>
        <stp>2026-06-03T12:59:58.697273 / 2026-04-01 00:00:00 / 0 / NECOS-512U020-M-AQ-Z18-0x68df5e27ac637830</stp>
        <tr r="C135" s="98"/>
      </tp>
      <tp t="e">
        <v>#N/A</v>
        <stp/>
        <stp>2026-06-03T12:59:58.697273 / 2026-04-01 00:00:00 / 0 / KOSIS-101_DT_1DA7004S-M-T20-32-14STD061560x1c727f1a17bfe1b1</stp>
        <tr r="C137" s="107"/>
      </tp>
      <tp t="e">
        <v>#N/A</v>
        <stp/>
        <stp>2026-06-03T12:59:58.697273 / 2026-04-01 00:00:00 / 0 / KOSIS-101_DT_1DA7004S-M-T10-32-14STD061560x6f981268e630eed7</stp>
        <tr r="B137" s="107"/>
      </tp>
      <tp t="e">
        <v>#N/A</v>
        <stp/>
        <stp>2026-06-03T12:59:58.697273 / 2026-04-01 00:00:00 / 0 / NECOS-511U004-M-FMFC-Z18-0x6dcc2a6766ae826e</stp>
        <tr r="K133" s="100"/>
      </tp>
      <tp t="e">
        <v>#N/A</v>
        <stp/>
        <stp>2026-06-03T12:59:58.697273 / 2026-04-01 00:00:00 / 0 / KOSIS-101_DT_1F02001-M-T10-32-C30-14101_ausgabe-0x16f6581389323c71</stp>
        <tr r="H138" s="101"/>
      </tp>
      <tp t="e">
        <v>#N/A</v>
        <stp/>
        <stp>2026-06-03T12:59:58.697273 / 2026-04-01 00:00:00 / 0 / KOSIS-101_DT_1K41015-M-T6-32-14101_ausgabe0x307c21b7c6a88185</stp>
        <tr r="D136" s="103"/>
      </tp>
      <tp t="e">
        <v>#N/A</v>
        <stp/>
        <stp>2026-06-03T12:59:58.697273 / 2026-04-01 00:00:00 / 0 / NECOS-511U004-M-FMCA-Z18-0x6e3f2809dcafb8d2</stp>
        <tr r="E133" s="100"/>
      </tp>
      <tp t="e">
        <v>#N/A</v>
        <stp/>
        <stp>2026-06-03T12:59:58.697273 / 2026-04-01 00:00:00 / 0 / NECOS-511U004-M-FMCCE-Z180x5f74e1e5eccec0e6</stp>
        <tr r="G134" s="109"/>
      </tp>
      <tp t="e">
        <v>#N/A</v>
        <stp/>
        <stp>2026-06-03T12:59:58.697273 / 2026-04-01 00:00:00 / 0 / NECOS-512U020-M-AB-Z180x79cb8a1bff2e9d9f</stp>
        <tr r="G135" s="98"/>
      </tp>
      <tp t="e">
        <v>#N/A</v>
        <stp/>
        <stp>2026-06-03T12:59:58.697273 / 2026-03-01 00:00:00 / 0 / KOSIS-101_DT_1G1B034-M-T1-32-0-14STD050570x20389eb1afa717c9</stp>
        <tr r="J134" s="102"/>
      </tp>
      <tp t="e">
        <v>#N/A</v>
        <stp/>
        <stp>2026-06-03T12:59:58.697273 / 2026-03-01 00:00:00 / 0 / MOLIT-BUILDING_CONST-KR_32-COM-A02-A0202-AREA-TOT-TOT-MQ-M0x17324c17a013cefc</stp>
        <tr r="G134" s="102"/>
      </tp>
      <tp t="e">
        <v>#N/A</v>
        <stp/>
        <stp>2026-06-03T12:59:58.697273 / 2026-04-01 00:00:00 / 0 / NECOS-511U004-M-FMCCC-Z180x3ac7c44e8cc3a732</stp>
        <tr r="E134" s="109"/>
      </tp>
      <tp t="e">
        <v>#N/A</v>
        <stp/>
        <stp>2026-06-03T12:59:58.697273 / 2026-03-01 00:00:00 / 0 / MOLIT-BUILDING_CONST-KR_32-PER-A02-A0207-AREA-TOT-TOT-MQ-M-0x15c1e8b8bbf3f507</stp>
        <tr r="C134" s="102"/>
      </tp>
      <tp t="e">
        <v>#N/A</v>
        <stp/>
        <stp>2026-06-03T12:59:58.697273 / 2026-03-01 00:00:00 / 0 / MOLIT-BUILDING_CONST-KR_32-COM-A02-A0201-AREA-TOT-TOT-MQ-M-0x57c5bc9da4ec60d</stp>
        <tr r="G134" s="102"/>
      </tp>
      <tp t="e">
        <v>#N/A</v>
        <stp/>
        <stp>2026-06-03T12:59:58.697273 / 2026-03-01 00:00:00 / 0 / MOLIT-BUILDING_CONST-KR_32-COM-A20-A2001-AREA-TOT-TOT-MQ-M0x26728be85bbbd0f5</stp>
        <tr r="H134" s="102"/>
      </tp>
      <tp t="e">
        <v>#N/A</v>
        <stp/>
        <stp>2026-06-03T12:59:58.697273 / 2026-04-01 00:00:00 / 0 / NECOS-512U020-M-BO-Z180x21405201f50dcf70</stp>
        <tr r="M135" s="99"/>
      </tp>
      <tp t="e">
        <v>#N/A</v>
        <stp/>
        <stp>2026-06-03T12:59:58.697273 / 2026-03-01 00:00:00 / 0 / MOLIT-BUILDING_CONST-KR_32-PER-A03-A0301-AREA-TOT-TOT-MQ-M-0x386cd213cd496163</stp>
        <tr r="D134" s="102"/>
      </tp>
      <tp t="e">
        <v>#N/A</v>
        <stp/>
        <stp>2026-06-03T12:59:58.697273 / 2026-03-01 00:00:00 / 0 / MOLIT-BUILDING_CONST-KR_32-COM-A17-A1701-AREA-TOT-TOT-MQ-M0x132a7a87d08e4f3a</stp>
        <tr r="I134" s="102"/>
      </tp>
      <tp t="e">
        <v>#N/A</v>
        <stp/>
        <stp>2026-06-03T12:59:58.697273 / 2026-03-01 00:00:00 / 0 / MOLIT-BUILDING_CONST-KR_32-COM-A16-A1601-AREA-TOT-TOT-MQ-M0x340f519efd512ea9</stp>
        <tr r="H134" s="102"/>
      </tp>
      <tp t="e">
        <v>#N/A</v>
        <stp/>
        <stp>2026-06-03T12:59:58.697273 / 2026-03-01 00:00:00 / 0 / MOLIT-BUILDING_CONST-KR_32-COM-A02-A0203-AREA-TOT-TOT-MQ-M-0x261e21db94582b1a</stp>
        <tr r="G134" s="102"/>
      </tp>
      <tp t="e">
        <v>#N/A</v>
        <stp/>
        <stp>2026-06-03T12:59:58.697273 / 2026-04-01 00:00:00 / 0 / NECOS-512U019-M-AO-Z180x3fae69cceb760adc</stp>
        <tr r="N135" s="98"/>
      </tp>
      <tp t="e">
        <v>#N/A</v>
        <stp/>
        <stp>2026-06-03T12:59:58.697273 / 2026-03-01 00:00:00 / 0 / MOLIT-BUILDING_CONST-KR_32-PER-A02-A0203-AREA-TOT-TOT-MQ-M-0x7506cfd56e1d0d46</stp>
        <tr r="C134" s="102"/>
      </tp>
      <tp t="e">
        <v>#N/A</v>
        <stp/>
        <stp>2026-06-03T12:59:58.697273 / 2026-03-01 00:00:00 / 0 / MOLIT-BUILDING_CONST-KR_32-PER-A14-A1401-AREA-TOT-TOT-MQ-M-0x2ae184ce54dae3b2</stp>
        <tr r="D134" s="102"/>
      </tp>
      <tp t="e">
        <v>#N/A</v>
        <stp/>
        <stp>2026-06-03T12:59:58.697273 / 2026-04-01 00:00:00 / 0 / NECOS-512U019-M-BB-Z180x5186ac65133296ba</stp>
        <tr r="F135" s="99"/>
      </tp>
      <tp t="e">
        <v>#N/A</v>
        <stp/>
        <stp>2026-06-03T12:59:58.697273 / 2026-03-01 00:00:00 / 0 / MOLIT-BUILDING_CONST-KR_32-PER-A30-A3001-AREA-TOT-TOT-MQ-M-0x7ad5b2c46b4d7e11</stp>
        <tr r="D134" s="102"/>
      </tp>
      <tp t="e">
        <v>#N/A</v>
        <stp/>
        <stp>2026-06-03T12:59:58.697273 / 2026-03-01 00:00:00 / 0 / MOLIT-BUILDING_CONST-KR_32-COM-A01-A0102-AREA-TOT-TOT-MQ-M-0x3dce1eab1bb187af</stp>
        <tr r="G134" s="102"/>
      </tp>
      <tp t="e">
        <v>#N/A</v>
        <stp/>
        <stp>2026-06-03T12:59:58.697273 / 2026-03-01 00:00:00 / 0 / MOLIT-BUILDING_CONST-KR_32-COM-TOT-TOT-AREA-TOT-TOT-MQ-M0x2d8815be0e7b8494</stp>
        <tr r="F134" s="102"/>
      </tp>
      <tp t="e">
        <v>#N/A</v>
        <stp/>
        <stp>2026-06-03T12:59:58.697273 / 2026-03-01 00:00:00 / 0 / MOLIT-BUILDING_CONST-KR_32-PER-A04-A0401-AREA-TOT-TOT-MQ-M0x144a48fb53b652a5</stp>
        <tr r="D134" s="102"/>
      </tp>
      <tp t="e">
        <v>#N/A</v>
        <stp/>
        <stp>2026-06-03T12:59:58.697273 / 2026-03-01 00:00:00 / 0 / MOLIT-BUILDING_CONST-KR_32-PER-A01-A0102-AREA-TOT-TOT-MQ-M0x4cbcde083169c960</stp>
        <tr r="C134" s="102"/>
      </tp>
      <tp t="e">
        <v>#N/A</v>
        <stp/>
        <stp>2026-06-03T12:59:58.697273 / 2026-03-01 00:00:00 / 0 / MOLIT-BUILDING_CONST-KR_32-PER-A02-A0201-AREA-TOT-TOT-MQ-M0x21283bc02ed7c96c</stp>
        <tr r="C134" s="102"/>
      </tp>
      <tp t="e">
        <v>#N/A</v>
        <stp/>
        <stp>2026-06-03T12:59:58.697273 / 2026-03-01 00:00:00 / 0 / MOLIT-BUILDING_CONST-KR_32-PER-A08-A0801-AREA-TOT-TOT-MQ-M0x242ae72ec3758808</stp>
        <tr r="D134" s="102"/>
      </tp>
      <tp t="e">
        <v>#N/A</v>
        <stp/>
        <stp>2026-06-03T12:59:58.697273 / 2026-04-01 00:00:00 / 0 / MOLIT-MOTOR_REG-KR_32-T4-M4-UT-M-0x412983e9d8f0e067</stp>
        <tr r="F135" s="111"/>
      </tp>
      <tp t="e">
        <v>#N/A</v>
        <stp/>
        <stp>2026-06-03T12:59:58.697273 / 2026-03-01 00:00:00 / 0 / MOLIT-BUILDING_CONST-KR_32-PER-A01-A0103-AREA-TOT-TOT-MQ-M0x6c67658a2f455493</stp>
        <tr r="C134" s="102"/>
      </tp>
      <tp t="e">
        <v>#N/A</v>
        <stp/>
        <stp>2026-06-03T12:59:58.697273 / 2026-04-01 00:00:00 / 0 / TRASS-IMPSEONGJIL-KR_32-C_TOT-USD-M0xcd22139da00e2bc</stp>
        <tr r="G136" s="106"/>
      </tp>
      <tp t="e">
        <v>#N/A</v>
        <stp/>
        <stp>2026-06-03T12:59:58.697273 / 2026-04-01 00:00:00 / 0 / REB-A_2024_00901-500016-IX-M-0x526577b68e59462d</stp>
        <tr r="H136" s="108"/>
      </tp>
      <tp t="e">
        <v>#N/A</v>
        <stp/>
        <stp>2026-06-03T12:59:58.697273 / 2026-04-01 00:00:00 / 0 / NECOS-512U019-M-BP-Z18-0xe5b2ee733db3d05</stp>
        <tr r="B135" s="99"/>
      </tp>
      <tp t="e">
        <v>#N/A</v>
        <stp/>
        <stp>2026-06-03T12:59:58.697273 / 2026-04-01 00:00:00 / 0 / KOSIS-101_DT_1F02001-M-T21-32-0-14101_ausgabe0x66971a2fff33db22</stp>
        <tr r="J138" s="101"/>
      </tp>
      <tp t="e">
        <v>#N/A</v>
        <stp/>
        <stp>2026-06-03T12:59:58.697273 / 2026-04-01 00:00:00 / 0 / TRASS-IMPPROC-KR_32-D-USD-M-0x70137c4a9b622245</stp>
        <tr r="I136" s="106"/>
      </tp>
      <tp t="e">
        <v>#N/A</v>
        <stp/>
        <stp>2026-06-03T12:59:58.697273 / 2026-04-01 00:00:00 / 0 / NECOS-511U004-M-FMFB-Z18-0x4d4f2ceae9f46cf8</stp>
        <tr r="J133" s="100"/>
      </tp>
      <tp t="e">
        <v>#N/A</v>
        <stp/>
        <stp>2026-06-03T12:59:58.697273 / 2026-04-01 00:00:00 / 0 / TRASS-IMPPROC-KR_32-B-USD-M-0x2a0036e77a30121b</stp>
        <tr r="K136" s="106"/>
      </tp>
      <tp t="e">
        <v>#N/A</v>
        <stp/>
        <stp>2026-06-03T12:59:58.697273 / 2026-04-01 00:00:00 / 0 / NECOS-511U004-M-FMAA-Z18-0x407473c07ff5741a</stp>
        <tr r="C133" s="100"/>
      </tp>
      <tp t="e">
        <v>#N/A</v>
        <stp/>
        <stp>2026-06-03T12:59:58.697273 / 2026-04-01 00:00:00 / 0 / NECOS-512U019-M-BJ-Z180x12f11e7ce44a202</stp>
        <tr r="J135" s="99"/>
      </tp>
      <tp t="e">
        <v>#N/A</v>
        <stp/>
        <stp>2026-06-03T12:59:58.697273 / 2026-04-01 00:00:00 / 0 / KOSIS-101_DT_1F02001-M-T22-32-0-14101_ausgabe-0x43164dc28a77fdaf</stp>
        <tr r="L138" s="101"/>
      </tp>
      <tp t="e">
        <v>#N/A</v>
        <stp/>
        <stp>2026-06-03T12:59:58.697273 / 2026-04-01 00:00:00 / 0 / KOSIS-101_DT_1DA7004S-M-T60-32-14STD000180x14d8c4fa7a35426b</stp>
        <tr r="F137" s="107"/>
      </tp>
      <tp t="e">
        <v>#N/A</v>
        <stp/>
        <stp>2026-06-03T12:59:58.697273 / 2026-04-01 00:00:00 / 0 / KOSIS-101_DT_1F02001-M-T10-32-C23-14101_ausgabe-0x490b837f48e1f66e</stp>
        <tr r="F138" s="101"/>
      </tp>
      <tp t="e">
        <v>#N/A</v>
        <stp/>
        <stp>2026-06-03T12:59:58.697273 / 2026-04-01 00:00:00 / 0 / KOSIS-101_DT_1J22001-M-T-T31-0-14101_ausgabe-0x7115acb6e4bd17e</stp>
        <tr r="B136" s="108"/>
      </tp>
      <tp t="e">
        <v>#N/A</v>
        <stp/>
        <stp>2026-06-03T12:59:58.697273 / 2026-04-01 00:00:00 / 0 / NECOS-511U004-M-FMBA-Z180x48f0b6978101dd52</stp>
        <tr r="D133" s="100"/>
      </tp>
      <tp t="e">
        <v>#N/A</v>
        <stp/>
        <stp>2026-06-03T12:59:58.697273 / 2026-04-01 00:00:00 / 0 / KOSIS-101_DT_1DA7004S-M-T40-32-14STD06156-0x70771b05b56f785a</stp>
        <tr r="E137" s="107"/>
      </tp>
      <tp t="e">
        <v>#N/A</v>
        <stp/>
        <stp>2026-06-03T12:59:58.697273 / 2026-04-01 00:00:00 / 0 / KOSIS-101_DT_1DA7004S-M-T30-32-14STD06156-0x56d5cdc8e967c0e8</stp>
        <tr r="D137" s="107"/>
      </tp>
      <tp t="e">
        <v>#N/A</v>
        <stp/>
        <stp>2026-06-03T12:59:58.697273 / 2026-04-01 00:00:00 / 0 / NECOS-511U004-M-FMBB-Z180x62379a6011848881</stp>
        <tr r="G133" s="100"/>
      </tp>
      <tp t="e">
        <v>#N/A</v>
        <stp/>
        <stp>2026-06-03T12:59:58.697273 / 2026-04-01 00:00:00 / 0 / KOSIS-101_DT_1F02001-M-T10-32-C10-14101_ausgabe-0x296a5f594b0bfe4</stp>
        <tr r="D138" s="101"/>
      </tp>
      <tp t="e">
        <v>#N/A</v>
        <stp/>
        <stp>2026-06-03T12:59:58.697273 / 2026-04-01 00:00:00 / 0 / NECOS-512U019-M-BE-Z18-0x2a8fd51ab82e87b6</stp>
        <tr r="H135" s="99"/>
      </tp>
      <tp t="e">
        <v>#N/A</v>
        <stp/>
        <stp>2026-06-03T12:59:58.697273 / 2026-04-01 00:00:00 / 0 / NECOS-511U004-M-FMFA-Z180x154bc8dd80406b2a</stp>
        <tr r="I133" s="100"/>
      </tp>
      <tp t="e">
        <v>#N/A</v>
        <stp/>
        <stp>2026-06-03T12:59:58.697273 / 2026-04-01 00:00:00 / 0 / NECOS-512U019-M-AE-Z18-0x12e2789deccf96c2</stp>
        <tr r="H135" s="98"/>
      </tp>
      <tp t="e">
        <v>#N/A</v>
        <stp/>
        <stp>2026-06-03T12:59:58.697273 / 2026-04-01 00:00:00 / 0 / KOSIS-101_DT_1J22005-M-T-T31-110-14101_ausgabe0x6a56a7f5a3d18a76</stp>
        <tr r="C136" s="108"/>
      </tp>
      <tp t="e">
        <v>#N/A</v>
        <stp/>
        <stp>2026-06-03T12:59:58.697273 / 2026-04-01 00:00:00 / 0 / NECOS-512U020-M-AI-Z18-0x45a6c096b2d68f18</stp>
        <tr r="K135" s="98"/>
      </tp>
      <tp t="e">
        <v>#N/A</v>
        <stp/>
        <stp>2026-06-03T12:59:58.697273 / 2026-04-01 00:00:00 / 0 / NECOS-512U020-M-BA-Z18-0x140a626e3c10f4f8</stp>
        <tr r="E135" s="99"/>
      </tp>
      <tp t="e">
        <v>#N/A</v>
        <stp/>
        <stp>2026-06-03T12:59:58.697273 / 2026-04-01 00:00:00 / 0 / NECOS-511U004-M-FMAB-Z180x4d3c24eb7d57ad05</stp>
        <tr r="F133" s="100"/>
      </tp>
      <tp t="e">
        <v>#N/A</v>
        <stp/>
        <stp>2026-06-03T12:59:58.697273 / 2026-04-01 00:00:00 / 0 / NECOS-511U004-M-FMCCB-Z18-0x3cdd0c5400fe6eef</stp>
        <tr r="D134" s="109"/>
      </tp>
      <tp t="e">
        <v>#N/A</v>
        <stp/>
        <stp>2026-06-03T12:59:58.697273 / 2026-04-01 00:00:00 / 0 / KOSIS-101_DT_1DA7004S-M-T90-32-14STD000180xb601068153a83a8</stp>
        <tr r="G137" s="107"/>
      </tp>
      <tp t="e">
        <v>#N/A</v>
        <stp/>
        <stp>2026-06-03T12:59:58.697273 / 2026-04-01 00:00:00 / 0 / NECOS-511U004-M-FMBG-Z180x4c186e1a850b2d7f</stp>
        <tr r="L133" s="100"/>
      </tp>
      <tp t="e">
        <v>#N/A</v>
        <stp/>
        <stp>2026-06-03T12:59:58.697273 / 2026-04-01 00:00:00 / 0 / NECOS-512U019-M-BO-Z18-0x5f39b1e5d608f523</stp>
        <tr r="L135" s="99"/>
      </tp>
      <tp t="e">
        <v>#N/A</v>
        <stp/>
        <stp>2026-06-03T12:59:58.697273 / 2026-04-01 00:00:00 / 0 / NECOS-512U020-M-BQ-Z18-0x49422df8c9d133e4</stp>
        <tr r="C135" s="99"/>
      </tp>
      <tp t="e">
        <v>#N/A</v>
        <stp/>
        <stp>2026-06-03T12:59:58.697273 / 2026-03-01 00:00:00 / 0 / MOLIT-BUILDING_CONST-KR_32-PER-A15-A1501-AREA-TOT-TOT-MQ-M0x3d9a25decaf4277</stp>
        <tr r="D134" s="102"/>
      </tp>
      <tp t="e">
        <v>#N/A</v>
        <stp/>
        <stp>2026-06-03T12:59:58.697273 / 2026-03-01 00:00:00 / 0 / MOLIT-BUILDING_CONST-KR_32-COM-A01-A0104-AREA-TOT-TOT-MQ-M0xde1ba1d7712e390</stp>
        <tr r="G134" s="102"/>
      </tp>
      <tp t="e">
        <v>#N/A</v>
        <stp/>
        <stp>2026-06-03T12:59:58.697273 / 2026-03-01 00:00:00 / 0 / MOLIT-BUILDING_CONST-KR_32-COM-A08-A0801-AREA-TOT-TOT-MQ-M0xe8d2ac23c2f5c36</stp>
        <tr r="H134" s="102"/>
      </tp>
      <tp t="e">
        <v>#N/A</v>
        <stp/>
        <stp>2026-06-03T12:59:58.697273 / 2026-03-01 00:00:00 / 0 / MOLIT-BUILDING_CONST-KR_32-COM-A01-A0101-AREA-TOT-TOT-MQ-M0x5bad55747eef1eb</stp>
        <tr r="G134" s="102"/>
      </tp>
      <tp t="e">
        <v>#N/A</v>
        <stp/>
        <stp>2026-06-03T12:59:58.697273 / 2026-03-01 00:00:00 / 0 / MOLIT-BUILDING_CONST-KR_32-COM-A19-A1901-AREA-TOT-TOT-MQ-M0x89a0d8e1b50887c</stp>
        <tr r="H134" s="10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IT\breit_func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BTSP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XFD141"/>
  <sheetViews>
    <sheetView tabSelected="1" view="pageBreakPreview" zoomScale="85" zoomScaleNormal="100" zoomScaleSheetLayoutView="85" workbookViewId="0">
      <pane ySplit="6" topLeftCell="A109" activePane="bottomLeft" state="frozen"/>
      <selection activeCell="M68" sqref="M68"/>
      <selection pane="bottomLeft" activeCell="H136" sqref="H136"/>
    </sheetView>
  </sheetViews>
  <sheetFormatPr defaultRowHeight="13.5" x14ac:dyDescent="0.15"/>
  <cols>
    <col min="1" max="1" width="7.77734375" customWidth="1"/>
    <col min="2" max="12" width="9.44140625" customWidth="1"/>
    <col min="13" max="14" width="14" customWidth="1"/>
  </cols>
  <sheetData>
    <row r="1" spans="1:37" ht="24" x14ac:dyDescent="0.45">
      <c r="A1" s="88" t="s">
        <v>101</v>
      </c>
    </row>
    <row r="2" spans="1:37" ht="20.25" x14ac:dyDescent="0.25">
      <c r="A2" s="63"/>
    </row>
    <row r="3" spans="1:37" s="22" customFormat="1" ht="18.75" x14ac:dyDescent="0.25">
      <c r="A3" s="89" t="s">
        <v>125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12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</row>
    <row r="4" spans="1:37" s="47" customFormat="1" x14ac:dyDescent="0.15">
      <c r="A4" s="97" t="s">
        <v>30</v>
      </c>
      <c r="B4" s="23"/>
      <c r="C4" s="23"/>
      <c r="D4" s="23"/>
      <c r="E4" s="23"/>
      <c r="F4" s="23"/>
      <c r="G4" s="23"/>
      <c r="H4" s="102"/>
      <c r="I4" s="97"/>
      <c r="J4" s="97"/>
      <c r="K4" s="97"/>
      <c r="L4" s="3" t="s">
        <v>208</v>
      </c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</row>
    <row r="5" spans="1:37" ht="13.5" customHeight="1" x14ac:dyDescent="0.15">
      <c r="A5" s="276" t="s">
        <v>1</v>
      </c>
      <c r="B5" s="278" t="s">
        <v>127</v>
      </c>
      <c r="C5" s="278"/>
      <c r="D5" s="279" t="s">
        <v>126</v>
      </c>
      <c r="E5" s="280"/>
      <c r="F5" s="280"/>
      <c r="G5" s="280"/>
      <c r="H5" s="281"/>
      <c r="I5" s="278" t="s">
        <v>129</v>
      </c>
      <c r="J5" s="278"/>
      <c r="K5" s="278" t="s">
        <v>128</v>
      </c>
      <c r="L5" s="279"/>
    </row>
    <row r="6" spans="1:37" ht="39.950000000000003" customHeight="1" x14ac:dyDescent="0.15">
      <c r="A6" s="277"/>
      <c r="B6" s="5" t="s">
        <v>22</v>
      </c>
      <c r="C6" s="5" t="s">
        <v>23</v>
      </c>
      <c r="D6" s="5" t="s">
        <v>11</v>
      </c>
      <c r="E6" s="5" t="s">
        <v>12</v>
      </c>
      <c r="F6" s="5" t="s">
        <v>99</v>
      </c>
      <c r="G6" s="5" t="s">
        <v>100</v>
      </c>
      <c r="H6" s="5" t="s">
        <v>13</v>
      </c>
      <c r="I6" s="5" t="s">
        <v>22</v>
      </c>
      <c r="J6" s="5" t="s">
        <v>23</v>
      </c>
      <c r="K6" s="5" t="s">
        <v>22</v>
      </c>
      <c r="L6" s="167" t="s">
        <v>23</v>
      </c>
    </row>
    <row r="7" spans="1:37" ht="13.5" customHeight="1" x14ac:dyDescent="0.15">
      <c r="A7" s="75">
        <v>2012</v>
      </c>
      <c r="B7" s="26">
        <v>102.57991666666665</v>
      </c>
      <c r="C7" s="26" t="s">
        <v>102</v>
      </c>
      <c r="D7" s="26">
        <v>73.968416666666656</v>
      </c>
      <c r="E7" s="26">
        <v>101.37950000000001</v>
      </c>
      <c r="F7" s="26">
        <v>101.33425000000001</v>
      </c>
      <c r="G7" s="26">
        <v>116.90491666666664</v>
      </c>
      <c r="H7" s="26">
        <v>145.12658333333331</v>
      </c>
      <c r="I7" s="26">
        <v>108.12633333333333</v>
      </c>
      <c r="J7" s="26" t="s">
        <v>102</v>
      </c>
      <c r="K7" s="76">
        <v>90.629000000000005</v>
      </c>
      <c r="L7" s="76" t="s">
        <v>102</v>
      </c>
      <c r="N7" s="138"/>
      <c r="O7" s="138"/>
      <c r="P7" s="138"/>
      <c r="Q7" s="138"/>
      <c r="R7" s="138"/>
      <c r="S7" s="138"/>
      <c r="T7" s="138"/>
      <c r="U7" s="138"/>
      <c r="V7" s="138"/>
      <c r="W7" s="138"/>
    </row>
    <row r="8" spans="1:37" ht="13.5" customHeight="1" x14ac:dyDescent="0.15">
      <c r="A8" s="75">
        <v>2013</v>
      </c>
      <c r="B8" s="26">
        <v>103.15133333333334</v>
      </c>
      <c r="C8" s="26" t="s">
        <v>102</v>
      </c>
      <c r="D8" s="26">
        <v>82.252916666666678</v>
      </c>
      <c r="E8" s="26">
        <v>96.183083333333329</v>
      </c>
      <c r="F8" s="26">
        <v>103.98308333333334</v>
      </c>
      <c r="G8" s="26">
        <v>135.83583333333334</v>
      </c>
      <c r="H8" s="26">
        <v>152.20541666666665</v>
      </c>
      <c r="I8" s="26">
        <v>108.95566666666667</v>
      </c>
      <c r="J8" s="26" t="s">
        <v>102</v>
      </c>
      <c r="K8" s="76">
        <v>87.936999999999998</v>
      </c>
      <c r="L8" s="76" t="s">
        <v>102</v>
      </c>
      <c r="N8" s="138"/>
      <c r="O8" s="138"/>
      <c r="P8" s="138"/>
      <c r="Q8" s="138"/>
      <c r="R8" s="138"/>
      <c r="S8" s="138"/>
      <c r="T8" s="138"/>
      <c r="U8" s="138"/>
      <c r="V8" s="138"/>
      <c r="W8" s="138"/>
    </row>
    <row r="9" spans="1:37" ht="13.5" customHeight="1" x14ac:dyDescent="0.15">
      <c r="A9" s="75">
        <v>2014</v>
      </c>
      <c r="B9" s="26">
        <v>101.07400000000001</v>
      </c>
      <c r="C9" s="26" t="s">
        <v>102</v>
      </c>
      <c r="D9" s="26">
        <v>84.036666666666676</v>
      </c>
      <c r="E9" s="26">
        <v>103.17791666666666</v>
      </c>
      <c r="F9" s="26">
        <v>106.32916666666667</v>
      </c>
      <c r="G9" s="26">
        <v>121.83183333333334</v>
      </c>
      <c r="H9" s="26">
        <v>147.41316666666665</v>
      </c>
      <c r="I9" s="26">
        <v>105.71708333333333</v>
      </c>
      <c r="J9" s="26" t="s">
        <v>102</v>
      </c>
      <c r="K9" s="76">
        <v>75.453000000000003</v>
      </c>
      <c r="L9" s="76" t="s">
        <v>102</v>
      </c>
      <c r="N9" s="138"/>
      <c r="O9" s="138"/>
      <c r="P9" s="138"/>
      <c r="Q9" s="138"/>
      <c r="R9" s="138"/>
      <c r="S9" s="138"/>
      <c r="T9" s="138"/>
      <c r="U9" s="138"/>
      <c r="V9" s="138"/>
      <c r="W9" s="138"/>
    </row>
    <row r="10" spans="1:37" ht="13.5" customHeight="1" x14ac:dyDescent="0.15">
      <c r="A10" s="75">
        <v>2015</v>
      </c>
      <c r="B10" s="26">
        <v>99.88333333333334</v>
      </c>
      <c r="C10" s="26" t="s">
        <v>102</v>
      </c>
      <c r="D10" s="26">
        <v>81.960583333333332</v>
      </c>
      <c r="E10" s="26">
        <v>105.69958333333331</v>
      </c>
      <c r="F10" s="26">
        <v>111.34941666666667</v>
      </c>
      <c r="G10" s="26">
        <v>105.47633333333334</v>
      </c>
      <c r="H10" s="26">
        <v>142.85716666666667</v>
      </c>
      <c r="I10" s="26">
        <v>103.08424999999998</v>
      </c>
      <c r="J10" s="26" t="s">
        <v>102</v>
      </c>
      <c r="K10" s="76">
        <v>81.509</v>
      </c>
      <c r="L10" s="76" t="s">
        <v>102</v>
      </c>
      <c r="N10" s="138"/>
      <c r="O10" s="138"/>
      <c r="P10" s="138"/>
      <c r="Q10" s="138"/>
      <c r="R10" s="138"/>
      <c r="S10" s="138"/>
      <c r="T10" s="138"/>
      <c r="U10" s="138"/>
      <c r="V10" s="138"/>
      <c r="W10" s="138"/>
    </row>
    <row r="11" spans="1:37" ht="13.5" customHeight="1" x14ac:dyDescent="0.15">
      <c r="A11" s="75"/>
      <c r="B11" s="26" t="s">
        <v>207</v>
      </c>
      <c r="C11" s="26"/>
      <c r="D11" s="26" t="s">
        <v>207</v>
      </c>
      <c r="E11" s="26" t="s">
        <v>207</v>
      </c>
      <c r="F11" s="26" t="s">
        <v>207</v>
      </c>
      <c r="G11" s="26" t="s">
        <v>207</v>
      </c>
      <c r="H11" s="26" t="s">
        <v>207</v>
      </c>
      <c r="I11" s="26" t="s">
        <v>207</v>
      </c>
      <c r="J11" s="26"/>
      <c r="K11" s="76" t="s">
        <v>207</v>
      </c>
      <c r="L11" s="76"/>
      <c r="N11" s="138"/>
      <c r="O11" s="138"/>
      <c r="P11" s="138"/>
      <c r="Q11" s="138"/>
      <c r="R11" s="138"/>
      <c r="S11" s="138"/>
      <c r="T11" s="138"/>
      <c r="U11" s="138"/>
      <c r="V11" s="138"/>
      <c r="W11" s="138"/>
    </row>
    <row r="12" spans="1:37" ht="13.5" customHeight="1" x14ac:dyDescent="0.15">
      <c r="A12" s="75">
        <v>2016</v>
      </c>
      <c r="B12" s="125">
        <v>102.39766666666667</v>
      </c>
      <c r="C12" s="125" t="s">
        <v>102</v>
      </c>
      <c r="D12" s="125">
        <v>89.774500000000003</v>
      </c>
      <c r="E12" s="125">
        <v>92.917500000000004</v>
      </c>
      <c r="F12" s="125">
        <v>125.63100000000003</v>
      </c>
      <c r="G12" s="125">
        <v>97.143166666666659</v>
      </c>
      <c r="H12" s="125">
        <v>124.08325000000001</v>
      </c>
      <c r="I12" s="125">
        <v>104.81958333333334</v>
      </c>
      <c r="J12" s="125" t="s">
        <v>102</v>
      </c>
      <c r="K12" s="169">
        <v>75.953999999999994</v>
      </c>
      <c r="L12" s="169" t="s">
        <v>102</v>
      </c>
      <c r="N12" s="138"/>
      <c r="O12" s="138"/>
      <c r="P12" s="138"/>
      <c r="Q12" s="138"/>
      <c r="R12" s="138"/>
      <c r="S12" s="138"/>
      <c r="T12" s="138"/>
      <c r="U12" s="138"/>
      <c r="V12" s="138"/>
      <c r="W12" s="138"/>
    </row>
    <row r="13" spans="1:37" ht="13.5" customHeight="1" x14ac:dyDescent="0.15">
      <c r="A13" s="75">
        <v>2017</v>
      </c>
      <c r="B13" s="125">
        <v>108.25024999999999</v>
      </c>
      <c r="C13" s="125" t="s">
        <v>102</v>
      </c>
      <c r="D13" s="125">
        <v>99.207583333333332</v>
      </c>
      <c r="E13" s="125">
        <v>92.979166666666671</v>
      </c>
      <c r="F13" s="125">
        <v>133.33341666666666</v>
      </c>
      <c r="G13" s="125">
        <v>108.07841666666666</v>
      </c>
      <c r="H13" s="125">
        <v>119.88099999999999</v>
      </c>
      <c r="I13" s="125">
        <v>107.74916666666667</v>
      </c>
      <c r="J13" s="125" t="s">
        <v>102</v>
      </c>
      <c r="K13" s="169">
        <v>85.158000000000001</v>
      </c>
      <c r="L13" s="169" t="s">
        <v>102</v>
      </c>
      <c r="N13" s="138"/>
      <c r="O13" s="138"/>
      <c r="P13" s="138"/>
      <c r="Q13" s="138"/>
      <c r="R13" s="138"/>
      <c r="S13" s="138"/>
      <c r="T13" s="138"/>
      <c r="U13" s="138"/>
      <c r="V13" s="138"/>
      <c r="W13" s="138"/>
    </row>
    <row r="14" spans="1:37" ht="13.5" customHeight="1" x14ac:dyDescent="0.15">
      <c r="A14" s="75">
        <v>2018</v>
      </c>
      <c r="B14" s="125">
        <v>105.06158333333333</v>
      </c>
      <c r="C14" s="125" t="s">
        <v>102</v>
      </c>
      <c r="D14" s="125">
        <v>97.274583333333339</v>
      </c>
      <c r="E14" s="125">
        <v>96.696750000000009</v>
      </c>
      <c r="F14" s="125">
        <v>109.93874999999998</v>
      </c>
      <c r="G14" s="125">
        <v>114.07341666666667</v>
      </c>
      <c r="H14" s="125">
        <v>119.84525000000001</v>
      </c>
      <c r="I14" s="125">
        <v>107.46566666666666</v>
      </c>
      <c r="J14" s="125" t="s">
        <v>102</v>
      </c>
      <c r="K14" s="169">
        <v>81.012</v>
      </c>
      <c r="L14" s="169" t="s">
        <v>102</v>
      </c>
      <c r="N14" s="138"/>
      <c r="O14" s="138"/>
      <c r="P14" s="138"/>
      <c r="Q14" s="138"/>
      <c r="R14" s="138"/>
      <c r="S14" s="138"/>
      <c r="T14" s="138"/>
      <c r="U14" s="138"/>
      <c r="V14" s="138"/>
      <c r="W14" s="138"/>
    </row>
    <row r="15" spans="1:37" ht="13.5" customHeight="1" x14ac:dyDescent="0.15">
      <c r="A15" s="75">
        <v>2019</v>
      </c>
      <c r="B15" s="125">
        <v>105.62766666666666</v>
      </c>
      <c r="C15" s="125" t="s">
        <v>102</v>
      </c>
      <c r="D15" s="125">
        <v>102.10391666666665</v>
      </c>
      <c r="E15" s="125">
        <v>104.334</v>
      </c>
      <c r="F15" s="125">
        <v>104.79783333333334</v>
      </c>
      <c r="G15" s="125">
        <v>113.00099999999998</v>
      </c>
      <c r="H15" s="125">
        <v>120.67858333333335</v>
      </c>
      <c r="I15" s="125">
        <v>106.03958333333334</v>
      </c>
      <c r="J15" s="125" t="s">
        <v>102</v>
      </c>
      <c r="K15" s="169">
        <v>90.63</v>
      </c>
      <c r="L15" s="169" t="s">
        <v>102</v>
      </c>
      <c r="N15" s="138"/>
      <c r="O15" s="138"/>
      <c r="P15" s="138"/>
      <c r="Q15" s="138"/>
      <c r="R15" s="138"/>
      <c r="S15" s="138"/>
      <c r="T15" s="138"/>
      <c r="U15" s="138"/>
      <c r="V15" s="138"/>
      <c r="W15" s="138"/>
    </row>
    <row r="16" spans="1:37" ht="13.5" customHeight="1" x14ac:dyDescent="0.15">
      <c r="A16" s="75">
        <v>2020</v>
      </c>
      <c r="B16" s="125">
        <v>100</v>
      </c>
      <c r="C16" s="125" t="s">
        <v>102</v>
      </c>
      <c r="D16" s="125">
        <v>100</v>
      </c>
      <c r="E16" s="125">
        <v>100.00833333333334</v>
      </c>
      <c r="F16" s="125">
        <v>100</v>
      </c>
      <c r="G16" s="125">
        <v>99.991666666666674</v>
      </c>
      <c r="H16" s="125">
        <v>100</v>
      </c>
      <c r="I16" s="125">
        <v>99.99166666666666</v>
      </c>
      <c r="J16" s="125" t="s">
        <v>102</v>
      </c>
      <c r="K16" s="169">
        <v>92.8</v>
      </c>
      <c r="L16" s="169" t="s">
        <v>102</v>
      </c>
      <c r="N16" s="138"/>
      <c r="O16" s="138"/>
      <c r="P16" s="138"/>
      <c r="Q16" s="138"/>
      <c r="R16" s="138"/>
      <c r="S16" s="138"/>
      <c r="T16" s="138"/>
      <c r="U16" s="138"/>
      <c r="V16" s="138"/>
      <c r="W16" s="138"/>
    </row>
    <row r="17" spans="1:37" ht="13.5" customHeight="1" x14ac:dyDescent="0.15">
      <c r="A17" s="75"/>
      <c r="B17" s="125" t="s">
        <v>207</v>
      </c>
      <c r="C17" s="125"/>
      <c r="D17" s="125" t="s">
        <v>207</v>
      </c>
      <c r="E17" s="125" t="s">
        <v>207</v>
      </c>
      <c r="F17" s="125" t="s">
        <v>207</v>
      </c>
      <c r="G17" s="125" t="s">
        <v>207</v>
      </c>
      <c r="H17" s="125" t="s">
        <v>207</v>
      </c>
      <c r="I17" s="125" t="s">
        <v>207</v>
      </c>
      <c r="J17" s="125"/>
      <c r="K17" s="169" t="s">
        <v>207</v>
      </c>
      <c r="L17" s="169"/>
      <c r="N17" s="138"/>
      <c r="O17" s="138"/>
      <c r="P17" s="138"/>
      <c r="Q17" s="138"/>
      <c r="R17" s="138"/>
      <c r="S17" s="138"/>
      <c r="T17" s="138"/>
      <c r="U17" s="138"/>
      <c r="V17" s="138"/>
      <c r="W17" s="138"/>
    </row>
    <row r="18" spans="1:37" ht="13.5" customHeight="1" x14ac:dyDescent="0.15">
      <c r="A18" s="75">
        <v>2021</v>
      </c>
      <c r="B18" s="125">
        <v>102.05</v>
      </c>
      <c r="C18" s="125" t="s">
        <v>102</v>
      </c>
      <c r="D18" s="125">
        <v>101.30000000000001</v>
      </c>
      <c r="E18" s="125">
        <v>105.04166666666664</v>
      </c>
      <c r="F18" s="125">
        <v>101.84166666666665</v>
      </c>
      <c r="G18" s="125">
        <v>86.774999999999991</v>
      </c>
      <c r="H18" s="125">
        <v>109.26666666666665</v>
      </c>
      <c r="I18" s="125">
        <v>105.16666666666667</v>
      </c>
      <c r="J18" s="125" t="s">
        <v>102</v>
      </c>
      <c r="K18" s="169">
        <v>112.2</v>
      </c>
      <c r="L18" s="169" t="s">
        <v>102</v>
      </c>
      <c r="N18" s="138"/>
      <c r="O18" s="138"/>
      <c r="P18" s="138"/>
      <c r="Q18" s="138"/>
      <c r="R18" s="138"/>
      <c r="S18" s="138"/>
      <c r="T18" s="138"/>
      <c r="U18" s="138"/>
      <c r="V18" s="138"/>
      <c r="W18" s="138"/>
    </row>
    <row r="19" spans="1:37" ht="13.5" customHeight="1" x14ac:dyDescent="0.15">
      <c r="A19" s="75">
        <v>2022</v>
      </c>
      <c r="B19" s="125">
        <v>109.325</v>
      </c>
      <c r="C19" s="125" t="s">
        <v>102</v>
      </c>
      <c r="D19" s="125">
        <v>101.98333333333333</v>
      </c>
      <c r="E19" s="125">
        <v>139.48333333333332</v>
      </c>
      <c r="F19" s="125">
        <v>103.10000000000001</v>
      </c>
      <c r="G19" s="125">
        <v>81.025000000000006</v>
      </c>
      <c r="H19" s="125">
        <v>113.52499999999999</v>
      </c>
      <c r="I19" s="125">
        <v>112.31666666666666</v>
      </c>
      <c r="J19" s="125" t="s">
        <v>102</v>
      </c>
      <c r="K19" s="169">
        <v>115</v>
      </c>
      <c r="L19" s="169" t="s">
        <v>102</v>
      </c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 spans="1:37" ht="13.5" customHeight="1" x14ac:dyDescent="0.15">
      <c r="A20" s="75">
        <v>2023</v>
      </c>
      <c r="B20" s="125">
        <v>112.32499999999999</v>
      </c>
      <c r="C20" s="125" t="s">
        <v>102</v>
      </c>
      <c r="D20" s="125">
        <v>95.3</v>
      </c>
      <c r="E20" s="125">
        <v>146.11666666666667</v>
      </c>
      <c r="F20" s="125">
        <v>103.40000000000002</v>
      </c>
      <c r="G20" s="125">
        <v>116.10833333333335</v>
      </c>
      <c r="H20" s="125">
        <v>112.31666666666666</v>
      </c>
      <c r="I20" s="125">
        <v>114.31666666666665</v>
      </c>
      <c r="J20" s="125" t="s">
        <v>102</v>
      </c>
      <c r="K20" s="169">
        <v>116.3</v>
      </c>
      <c r="L20" s="169" t="s">
        <v>102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 spans="1:37" s="29" customFormat="1" ht="14.25" x14ac:dyDescent="0.15">
      <c r="A21" s="77"/>
      <c r="B21" s="27"/>
      <c r="C21" s="27"/>
      <c r="D21" s="27"/>
      <c r="E21" s="27"/>
      <c r="F21" s="27"/>
      <c r="G21" s="27"/>
      <c r="H21" s="27"/>
      <c r="I21" s="27"/>
      <c r="J21" s="27"/>
      <c r="K21" s="170"/>
      <c r="L21" s="170"/>
      <c r="M21" s="2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</row>
    <row r="22" spans="1:37" s="29" customFormat="1" ht="14.25" x14ac:dyDescent="0.15">
      <c r="A22" s="129" t="s">
        <v>148</v>
      </c>
      <c r="B22" s="130">
        <v>108.292</v>
      </c>
      <c r="C22" s="130">
        <v>109.682</v>
      </c>
      <c r="D22" s="130">
        <v>112.95099999999999</v>
      </c>
      <c r="E22" s="130">
        <v>91.225999999999999</v>
      </c>
      <c r="F22" s="130">
        <v>85.078000000000003</v>
      </c>
      <c r="G22" s="130">
        <v>128.90299999999999</v>
      </c>
      <c r="H22" s="130">
        <v>128.286</v>
      </c>
      <c r="I22" s="130">
        <v>108.866</v>
      </c>
      <c r="J22" s="130">
        <v>110.10299999999999</v>
      </c>
      <c r="K22" s="171">
        <v>82.753</v>
      </c>
      <c r="L22" s="171">
        <v>83.040999999999997</v>
      </c>
      <c r="M22" s="2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37" s="29" customFormat="1" ht="14.25" x14ac:dyDescent="0.15">
      <c r="A23" s="77" t="s">
        <v>21</v>
      </c>
      <c r="B23" s="130">
        <v>94.105999999999995</v>
      </c>
      <c r="C23" s="130">
        <v>108.43899999999999</v>
      </c>
      <c r="D23" s="130">
        <v>110.164</v>
      </c>
      <c r="E23" s="130">
        <v>75.263999999999996</v>
      </c>
      <c r="F23" s="130">
        <v>74.165000000000006</v>
      </c>
      <c r="G23" s="130">
        <v>101.58199999999999</v>
      </c>
      <c r="H23" s="130">
        <v>101.714</v>
      </c>
      <c r="I23" s="130">
        <v>91.031000000000006</v>
      </c>
      <c r="J23" s="130">
        <v>105.752</v>
      </c>
      <c r="K23" s="171">
        <v>89.552000000000007</v>
      </c>
      <c r="L23" s="171">
        <v>88.150999999999996</v>
      </c>
      <c r="M23" s="2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</row>
    <row r="24" spans="1:37" s="29" customFormat="1" ht="14.25" x14ac:dyDescent="0.15">
      <c r="A24" s="77" t="s">
        <v>89</v>
      </c>
      <c r="B24" s="130">
        <v>101.499</v>
      </c>
      <c r="C24" s="130">
        <v>99.242000000000004</v>
      </c>
      <c r="D24" s="130">
        <v>94.18</v>
      </c>
      <c r="E24" s="130">
        <v>92.495000000000005</v>
      </c>
      <c r="F24" s="130">
        <v>99.442999999999998</v>
      </c>
      <c r="G24" s="130">
        <v>125.105</v>
      </c>
      <c r="H24" s="130">
        <v>124.571</v>
      </c>
      <c r="I24" s="130">
        <v>105.464</v>
      </c>
      <c r="J24" s="130">
        <v>104.07599999999999</v>
      </c>
      <c r="K24" s="171">
        <v>84.245000000000005</v>
      </c>
      <c r="L24" s="171">
        <v>83.688999999999993</v>
      </c>
      <c r="M24" s="2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</row>
    <row r="25" spans="1:37" s="29" customFormat="1" ht="14.25" x14ac:dyDescent="0.15">
      <c r="A25" s="77"/>
      <c r="B25" s="130" t="s">
        <v>207</v>
      </c>
      <c r="C25" s="130" t="s">
        <v>207</v>
      </c>
      <c r="D25" s="130" t="s">
        <v>207</v>
      </c>
      <c r="E25" s="130" t="s">
        <v>207</v>
      </c>
      <c r="F25" s="130" t="s">
        <v>207</v>
      </c>
      <c r="G25" s="130" t="s">
        <v>207</v>
      </c>
      <c r="H25" s="130" t="s">
        <v>207</v>
      </c>
      <c r="I25" s="130" t="s">
        <v>207</v>
      </c>
      <c r="J25" s="130" t="s">
        <v>207</v>
      </c>
      <c r="K25" s="171" t="s">
        <v>207</v>
      </c>
      <c r="L25" s="171" t="s">
        <v>207</v>
      </c>
      <c r="M25" s="2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</row>
    <row r="26" spans="1:37" s="29" customFormat="1" ht="14.25" x14ac:dyDescent="0.15">
      <c r="A26" s="77" t="s">
        <v>90</v>
      </c>
      <c r="B26" s="130">
        <v>107.792</v>
      </c>
      <c r="C26" s="130">
        <v>105.444</v>
      </c>
      <c r="D26" s="130">
        <v>96.23</v>
      </c>
      <c r="E26" s="130">
        <v>117.125</v>
      </c>
      <c r="F26" s="130">
        <v>112.584</v>
      </c>
      <c r="G26" s="130">
        <v>121.941</v>
      </c>
      <c r="H26" s="130">
        <v>134.143</v>
      </c>
      <c r="I26" s="130">
        <v>108.351</v>
      </c>
      <c r="J26" s="130">
        <v>105.441</v>
      </c>
      <c r="K26" s="171">
        <v>89.468999999999994</v>
      </c>
      <c r="L26" s="171">
        <v>88.265000000000001</v>
      </c>
      <c r="M26" s="2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</row>
    <row r="27" spans="1:37" s="29" customFormat="1" ht="14.25" x14ac:dyDescent="0.15">
      <c r="A27" s="77" t="s">
        <v>91</v>
      </c>
      <c r="B27" s="130">
        <v>107.992</v>
      </c>
      <c r="C27" s="130">
        <v>104.262</v>
      </c>
      <c r="D27" s="130">
        <v>97.540999999999997</v>
      </c>
      <c r="E27" s="130">
        <v>117.336</v>
      </c>
      <c r="F27" s="130">
        <v>119.488</v>
      </c>
      <c r="G27" s="130">
        <v>114.557</v>
      </c>
      <c r="H27" s="130">
        <v>128.143</v>
      </c>
      <c r="I27" s="130">
        <v>111.134</v>
      </c>
      <c r="J27" s="130">
        <v>106.593</v>
      </c>
      <c r="K27" s="171">
        <v>90.796000000000006</v>
      </c>
      <c r="L27" s="171">
        <v>90.161000000000001</v>
      </c>
      <c r="M27" s="2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</row>
    <row r="28" spans="1:37" s="29" customFormat="1" ht="14.25" x14ac:dyDescent="0.15">
      <c r="A28" s="77" t="s">
        <v>92</v>
      </c>
      <c r="B28" s="130">
        <v>102.997</v>
      </c>
      <c r="C28" s="130">
        <v>102.16</v>
      </c>
      <c r="D28" s="130">
        <v>90.573999999999998</v>
      </c>
      <c r="E28" s="130">
        <v>104.651</v>
      </c>
      <c r="F28" s="130">
        <v>121.938</v>
      </c>
      <c r="G28" s="130">
        <v>109.072</v>
      </c>
      <c r="H28" s="130">
        <v>124.714</v>
      </c>
      <c r="I28" s="130">
        <v>108.66</v>
      </c>
      <c r="J28" s="130">
        <v>107.66200000000001</v>
      </c>
      <c r="K28" s="171">
        <v>85.24</v>
      </c>
      <c r="L28" s="171">
        <v>88.274000000000001</v>
      </c>
      <c r="M28" s="2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</row>
    <row r="29" spans="1:37" s="29" customFormat="1" ht="14.25" x14ac:dyDescent="0.15">
      <c r="A29" s="77"/>
      <c r="B29" s="130" t="s">
        <v>207</v>
      </c>
      <c r="C29" s="130" t="s">
        <v>207</v>
      </c>
      <c r="D29" s="130" t="s">
        <v>207</v>
      </c>
      <c r="E29" s="130" t="s">
        <v>207</v>
      </c>
      <c r="F29" s="130" t="s">
        <v>207</v>
      </c>
      <c r="G29" s="130" t="s">
        <v>207</v>
      </c>
      <c r="H29" s="130" t="s">
        <v>207</v>
      </c>
      <c r="I29" s="130" t="s">
        <v>207</v>
      </c>
      <c r="J29" s="130" t="s">
        <v>207</v>
      </c>
      <c r="K29" s="171" t="s">
        <v>207</v>
      </c>
      <c r="L29" s="171" t="s">
        <v>207</v>
      </c>
      <c r="M29" s="2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</row>
    <row r="30" spans="1:37" s="29" customFormat="1" ht="14.25" x14ac:dyDescent="0.15">
      <c r="A30" s="77" t="s">
        <v>93</v>
      </c>
      <c r="B30" s="130">
        <v>107.892</v>
      </c>
      <c r="C30" s="130">
        <v>105.682</v>
      </c>
      <c r="D30" s="130">
        <v>94.754000000000005</v>
      </c>
      <c r="E30" s="130">
        <v>123.467</v>
      </c>
      <c r="F30" s="130">
        <v>105.45699999999999</v>
      </c>
      <c r="G30" s="130">
        <v>108.96599999999999</v>
      </c>
      <c r="H30" s="130">
        <v>136</v>
      </c>
      <c r="I30" s="130">
        <v>107.21599999999999</v>
      </c>
      <c r="J30" s="130">
        <v>106.408</v>
      </c>
      <c r="K30" s="171">
        <v>91.128</v>
      </c>
      <c r="L30" s="171">
        <v>89.994</v>
      </c>
      <c r="M30" s="2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</row>
    <row r="31" spans="1:37" s="29" customFormat="1" ht="14.25" x14ac:dyDescent="0.15">
      <c r="A31" s="77" t="s">
        <v>94</v>
      </c>
      <c r="B31" s="130">
        <v>102.59699999999999</v>
      </c>
      <c r="C31" s="130">
        <v>103.658</v>
      </c>
      <c r="D31" s="130">
        <v>100.902</v>
      </c>
      <c r="E31" s="130">
        <v>111.31100000000001</v>
      </c>
      <c r="F31" s="130">
        <v>101.002</v>
      </c>
      <c r="G31" s="130">
        <v>96.519000000000005</v>
      </c>
      <c r="H31" s="130">
        <v>99.143000000000001</v>
      </c>
      <c r="I31" s="130">
        <v>101.959</v>
      </c>
      <c r="J31" s="130">
        <v>104.321</v>
      </c>
      <c r="K31" s="171">
        <v>90.299000000000007</v>
      </c>
      <c r="L31" s="171">
        <v>86.521000000000001</v>
      </c>
      <c r="M31" s="2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37" s="29" customFormat="1" ht="14.25" x14ac:dyDescent="0.15">
      <c r="A32" s="77" t="s">
        <v>95</v>
      </c>
      <c r="B32" s="130">
        <v>106.593</v>
      </c>
      <c r="C32" s="130">
        <v>113.4</v>
      </c>
      <c r="D32" s="130">
        <v>137.78700000000001</v>
      </c>
      <c r="E32" s="130">
        <v>105.074</v>
      </c>
      <c r="F32" s="130">
        <v>92.093999999999994</v>
      </c>
      <c r="G32" s="130">
        <v>108.96599999999999</v>
      </c>
      <c r="H32" s="130">
        <v>111.429</v>
      </c>
      <c r="I32" s="130">
        <v>98.968999999999994</v>
      </c>
      <c r="J32" s="130">
        <v>105.08799999999999</v>
      </c>
      <c r="K32" s="171">
        <v>93.864000000000004</v>
      </c>
      <c r="L32" s="171">
        <v>92.671999999999997</v>
      </c>
      <c r="M32" s="2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</row>
    <row r="33" spans="1:37" s="29" customFormat="1" ht="14.25" x14ac:dyDescent="0.15">
      <c r="A33" s="77"/>
      <c r="B33" s="130" t="s">
        <v>207</v>
      </c>
      <c r="C33" s="130" t="s">
        <v>207</v>
      </c>
      <c r="D33" s="130" t="s">
        <v>207</v>
      </c>
      <c r="E33" s="130" t="s">
        <v>207</v>
      </c>
      <c r="F33" s="130" t="s">
        <v>207</v>
      </c>
      <c r="G33" s="130" t="s">
        <v>207</v>
      </c>
      <c r="H33" s="130" t="s">
        <v>207</v>
      </c>
      <c r="I33" s="130" t="s">
        <v>207</v>
      </c>
      <c r="J33" s="130" t="s">
        <v>207</v>
      </c>
      <c r="K33" s="171" t="s">
        <v>207</v>
      </c>
      <c r="L33" s="171" t="s">
        <v>207</v>
      </c>
      <c r="M33" s="2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</row>
    <row r="34" spans="1:37" s="29" customFormat="1" ht="14.25" x14ac:dyDescent="0.15">
      <c r="A34" s="77" t="s">
        <v>96</v>
      </c>
      <c r="B34" s="130">
        <v>108.092</v>
      </c>
      <c r="C34" s="130">
        <v>103.877</v>
      </c>
      <c r="D34" s="130">
        <v>103.443</v>
      </c>
      <c r="E34" s="130">
        <v>116.38500000000001</v>
      </c>
      <c r="F34" s="130">
        <v>108.46299999999999</v>
      </c>
      <c r="G34" s="130">
        <v>111.07599999999999</v>
      </c>
      <c r="H34" s="130">
        <v>131.857</v>
      </c>
      <c r="I34" s="130">
        <v>109.89700000000001</v>
      </c>
      <c r="J34" s="130">
        <v>104.711</v>
      </c>
      <c r="K34" s="171">
        <v>93.947000000000003</v>
      </c>
      <c r="L34" s="171">
        <v>96.293000000000006</v>
      </c>
      <c r="M34" s="2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</row>
    <row r="35" spans="1:37" s="29" customFormat="1" ht="14.25" x14ac:dyDescent="0.15">
      <c r="A35" s="77" t="s">
        <v>97</v>
      </c>
      <c r="B35" s="130">
        <v>107.992</v>
      </c>
      <c r="C35" s="130">
        <v>103.098</v>
      </c>
      <c r="D35" s="130">
        <v>99.918000000000006</v>
      </c>
      <c r="E35" s="130">
        <v>96.406000000000006</v>
      </c>
      <c r="F35" s="130">
        <v>117.261</v>
      </c>
      <c r="G35" s="130">
        <v>123.312</v>
      </c>
      <c r="H35" s="130">
        <v>118.143</v>
      </c>
      <c r="I35" s="130">
        <v>107.526</v>
      </c>
      <c r="J35" s="130">
        <v>103.27</v>
      </c>
      <c r="K35" s="171">
        <v>95.936999999999998</v>
      </c>
      <c r="L35" s="171">
        <v>96.965999999999994</v>
      </c>
      <c r="M35" s="2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</row>
    <row r="36" spans="1:37" s="29" customFormat="1" ht="14.25" x14ac:dyDescent="0.15">
      <c r="A36" s="77" t="s">
        <v>98</v>
      </c>
      <c r="B36" s="130">
        <v>111.688</v>
      </c>
      <c r="C36" s="130">
        <v>108.14</v>
      </c>
      <c r="D36" s="130">
        <v>86.802999999999997</v>
      </c>
      <c r="E36" s="130">
        <v>101.268</v>
      </c>
      <c r="F36" s="130">
        <v>120.601</v>
      </c>
      <c r="G36" s="130">
        <v>106.01300000000001</v>
      </c>
      <c r="H36" s="130">
        <v>110</v>
      </c>
      <c r="I36" s="130">
        <v>113.402</v>
      </c>
      <c r="J36" s="130">
        <v>107.624</v>
      </c>
      <c r="K36" s="171">
        <v>90.63</v>
      </c>
      <c r="L36" s="171">
        <v>94.415999999999997</v>
      </c>
      <c r="M36" s="2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</row>
    <row r="37" spans="1:37" s="29" customFormat="1" ht="14.25" x14ac:dyDescent="0.15">
      <c r="A37" s="77"/>
      <c r="B37" s="130" t="s">
        <v>207</v>
      </c>
      <c r="C37" s="130" t="s">
        <v>207</v>
      </c>
      <c r="D37" s="130" t="s">
        <v>207</v>
      </c>
      <c r="E37" s="130" t="s">
        <v>207</v>
      </c>
      <c r="F37" s="130" t="s">
        <v>207</v>
      </c>
      <c r="G37" s="130" t="s">
        <v>207</v>
      </c>
      <c r="H37" s="130" t="s">
        <v>207</v>
      </c>
      <c r="I37" s="130" t="s">
        <v>207</v>
      </c>
      <c r="J37" s="130" t="s">
        <v>207</v>
      </c>
      <c r="K37" s="171" t="s">
        <v>207</v>
      </c>
      <c r="L37" s="171" t="s">
        <v>207</v>
      </c>
      <c r="M37" s="2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</row>
    <row r="38" spans="1:37" s="29" customFormat="1" ht="14.25" x14ac:dyDescent="0.15">
      <c r="A38" s="129" t="s">
        <v>164</v>
      </c>
      <c r="B38" s="130">
        <v>101.7</v>
      </c>
      <c r="C38" s="130">
        <v>107.8</v>
      </c>
      <c r="D38" s="130">
        <v>95.2</v>
      </c>
      <c r="E38" s="130">
        <v>115.3</v>
      </c>
      <c r="F38" s="130">
        <v>78.400000000000006</v>
      </c>
      <c r="G38" s="130">
        <v>104.1</v>
      </c>
      <c r="H38" s="130">
        <v>105.6</v>
      </c>
      <c r="I38" s="130">
        <v>97.4</v>
      </c>
      <c r="J38" s="130">
        <v>102</v>
      </c>
      <c r="K38" s="171">
        <v>97.9</v>
      </c>
      <c r="L38" s="171">
        <v>96.7</v>
      </c>
      <c r="M38" s="2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</row>
    <row r="39" spans="1:37" s="29" customFormat="1" ht="14.25" x14ac:dyDescent="0.15">
      <c r="A39" s="77" t="s">
        <v>21</v>
      </c>
      <c r="B39" s="130">
        <v>93.2</v>
      </c>
      <c r="C39" s="130">
        <v>99.9</v>
      </c>
      <c r="D39" s="130">
        <v>90</v>
      </c>
      <c r="E39" s="130">
        <v>81.5</v>
      </c>
      <c r="F39" s="130">
        <v>77.900000000000006</v>
      </c>
      <c r="G39" s="130">
        <v>119.7</v>
      </c>
      <c r="H39" s="130">
        <v>98</v>
      </c>
      <c r="I39" s="130">
        <v>92.6</v>
      </c>
      <c r="J39" s="130">
        <v>101.5</v>
      </c>
      <c r="K39" s="171">
        <v>103.1</v>
      </c>
      <c r="L39" s="171">
        <v>103.4</v>
      </c>
      <c r="M39" s="2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</row>
    <row r="40" spans="1:37" s="29" customFormat="1" ht="14.25" x14ac:dyDescent="0.15">
      <c r="A40" s="77" t="s">
        <v>89</v>
      </c>
      <c r="B40" s="130">
        <v>108.4</v>
      </c>
      <c r="C40" s="130">
        <v>103.9</v>
      </c>
      <c r="D40" s="130">
        <v>97.1</v>
      </c>
      <c r="E40" s="130">
        <v>98.9</v>
      </c>
      <c r="F40" s="130">
        <v>96.3</v>
      </c>
      <c r="G40" s="130">
        <v>139.4</v>
      </c>
      <c r="H40" s="130">
        <v>124.6</v>
      </c>
      <c r="I40" s="130">
        <v>103</v>
      </c>
      <c r="J40" s="130">
        <v>99.9</v>
      </c>
      <c r="K40" s="171">
        <v>103.4</v>
      </c>
      <c r="L40" s="171">
        <v>102.9</v>
      </c>
      <c r="M40" s="2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</row>
    <row r="41" spans="1:37" s="29" customFormat="1" ht="14.25" x14ac:dyDescent="0.15">
      <c r="A41" s="77"/>
      <c r="B41" s="130" t="s">
        <v>207</v>
      </c>
      <c r="C41" s="130" t="s">
        <v>207</v>
      </c>
      <c r="D41" s="130" t="s">
        <v>207</v>
      </c>
      <c r="E41" s="130" t="s">
        <v>207</v>
      </c>
      <c r="F41" s="130" t="s">
        <v>207</v>
      </c>
      <c r="G41" s="130" t="s">
        <v>207</v>
      </c>
      <c r="H41" s="130" t="s">
        <v>207</v>
      </c>
      <c r="I41" s="130" t="s">
        <v>207</v>
      </c>
      <c r="J41" s="130" t="s">
        <v>207</v>
      </c>
      <c r="K41" s="171" t="s">
        <v>207</v>
      </c>
      <c r="L41" s="171" t="s">
        <v>207</v>
      </c>
      <c r="M41" s="2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</row>
    <row r="42" spans="1:37" s="29" customFormat="1" ht="14.25" x14ac:dyDescent="0.15">
      <c r="A42" s="77" t="s">
        <v>90</v>
      </c>
      <c r="B42" s="130">
        <v>98.5</v>
      </c>
      <c r="C42" s="130">
        <v>99.7</v>
      </c>
      <c r="D42" s="130">
        <v>101.6</v>
      </c>
      <c r="E42" s="130">
        <v>109.1</v>
      </c>
      <c r="F42" s="130">
        <v>113.4</v>
      </c>
      <c r="G42" s="130">
        <v>76.2</v>
      </c>
      <c r="H42" s="130">
        <v>71.400000000000006</v>
      </c>
      <c r="I42" s="130">
        <v>97.7</v>
      </c>
      <c r="J42" s="130">
        <v>98.2</v>
      </c>
      <c r="K42" s="171">
        <v>104.2</v>
      </c>
      <c r="L42" s="171">
        <v>102.5</v>
      </c>
      <c r="M42" s="2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</row>
    <row r="43" spans="1:37" s="29" customFormat="1" ht="14.25" x14ac:dyDescent="0.15">
      <c r="A43" s="77" t="s">
        <v>91</v>
      </c>
      <c r="B43" s="130">
        <v>92.7</v>
      </c>
      <c r="C43" s="130">
        <v>91.9</v>
      </c>
      <c r="D43" s="130">
        <v>98.9</v>
      </c>
      <c r="E43" s="130">
        <v>104.3</v>
      </c>
      <c r="F43" s="130">
        <v>106.5</v>
      </c>
      <c r="G43" s="130">
        <v>76</v>
      </c>
      <c r="H43" s="130">
        <v>54.2</v>
      </c>
      <c r="I43" s="130">
        <v>94</v>
      </c>
      <c r="J43" s="130">
        <v>92.2</v>
      </c>
      <c r="K43" s="171">
        <v>96.9</v>
      </c>
      <c r="L43" s="171">
        <v>96</v>
      </c>
      <c r="M43" s="2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</row>
    <row r="44" spans="1:37" s="29" customFormat="1" ht="14.25" x14ac:dyDescent="0.15">
      <c r="A44" s="77" t="s">
        <v>92</v>
      </c>
      <c r="B44" s="130">
        <v>98.6</v>
      </c>
      <c r="C44" s="130">
        <v>97.2</v>
      </c>
      <c r="D44" s="130">
        <v>97.7</v>
      </c>
      <c r="E44" s="130">
        <v>107.1</v>
      </c>
      <c r="F44" s="130">
        <v>114.4</v>
      </c>
      <c r="G44" s="130">
        <v>42.5</v>
      </c>
      <c r="H44" s="130">
        <v>73.900000000000006</v>
      </c>
      <c r="I44" s="130">
        <v>101.7</v>
      </c>
      <c r="J44" s="130">
        <v>100</v>
      </c>
      <c r="K44" s="171">
        <v>89.1</v>
      </c>
      <c r="L44" s="171">
        <v>92.2</v>
      </c>
      <c r="M44" s="2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</row>
    <row r="45" spans="1:37" s="29" customFormat="1" ht="14.25" x14ac:dyDescent="0.15">
      <c r="A45" s="77"/>
      <c r="B45" s="130" t="s">
        <v>207</v>
      </c>
      <c r="C45" s="130" t="s">
        <v>207</v>
      </c>
      <c r="D45" s="130" t="s">
        <v>207</v>
      </c>
      <c r="E45" s="130" t="s">
        <v>207</v>
      </c>
      <c r="F45" s="130" t="s">
        <v>207</v>
      </c>
      <c r="G45" s="130" t="s">
        <v>207</v>
      </c>
      <c r="H45" s="130" t="s">
        <v>207</v>
      </c>
      <c r="I45" s="130" t="s">
        <v>207</v>
      </c>
      <c r="J45" s="130" t="s">
        <v>207</v>
      </c>
      <c r="K45" s="171" t="s">
        <v>207</v>
      </c>
      <c r="L45" s="171" t="s">
        <v>207</v>
      </c>
      <c r="M45" s="2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</row>
    <row r="46" spans="1:37" s="29" customFormat="1" ht="14.25" x14ac:dyDescent="0.15">
      <c r="A46" s="77" t="s">
        <v>93</v>
      </c>
      <c r="B46" s="130">
        <v>101</v>
      </c>
      <c r="C46" s="130">
        <v>99.2</v>
      </c>
      <c r="D46" s="130">
        <v>102.6</v>
      </c>
      <c r="E46" s="130">
        <v>111.3</v>
      </c>
      <c r="F46" s="130">
        <v>99.5</v>
      </c>
      <c r="G46" s="130">
        <v>84.4</v>
      </c>
      <c r="H46" s="130">
        <v>111</v>
      </c>
      <c r="I46" s="130">
        <v>100.4</v>
      </c>
      <c r="J46" s="130">
        <v>99.9</v>
      </c>
      <c r="K46" s="171">
        <v>99.1</v>
      </c>
      <c r="L46" s="171">
        <v>97.5</v>
      </c>
      <c r="M46" s="2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</row>
    <row r="47" spans="1:37" s="29" customFormat="1" ht="14.25" x14ac:dyDescent="0.15">
      <c r="A47" s="77" t="s">
        <v>94</v>
      </c>
      <c r="B47" s="130">
        <v>94.3</v>
      </c>
      <c r="C47" s="130">
        <v>98.1</v>
      </c>
      <c r="D47" s="130">
        <v>102.5</v>
      </c>
      <c r="E47" s="130">
        <v>100.5</v>
      </c>
      <c r="F47" s="130">
        <v>81</v>
      </c>
      <c r="G47" s="130">
        <v>100.1</v>
      </c>
      <c r="H47" s="130">
        <v>84.7</v>
      </c>
      <c r="I47" s="130">
        <v>93.4</v>
      </c>
      <c r="J47" s="130">
        <v>98.2</v>
      </c>
      <c r="K47" s="171">
        <v>119</v>
      </c>
      <c r="L47" s="171">
        <v>113.5</v>
      </c>
      <c r="M47" s="2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</row>
    <row r="48" spans="1:37" s="29" customFormat="1" ht="14.25" x14ac:dyDescent="0.15">
      <c r="A48" s="77" t="s">
        <v>95</v>
      </c>
      <c r="B48" s="130">
        <v>101.3</v>
      </c>
      <c r="C48" s="130">
        <v>99.6</v>
      </c>
      <c r="D48" s="130">
        <v>110.8</v>
      </c>
      <c r="E48" s="130">
        <v>95.5</v>
      </c>
      <c r="F48" s="130">
        <v>96.1</v>
      </c>
      <c r="G48" s="130">
        <v>119.5</v>
      </c>
      <c r="H48" s="130">
        <v>123.7</v>
      </c>
      <c r="I48" s="130">
        <v>103.3</v>
      </c>
      <c r="J48" s="130">
        <v>101.8</v>
      </c>
      <c r="K48" s="171">
        <v>98.8</v>
      </c>
      <c r="L48" s="171">
        <v>99.6</v>
      </c>
      <c r="M48" s="2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</row>
    <row r="49" spans="1:37" s="29" customFormat="1" ht="14.25" x14ac:dyDescent="0.15">
      <c r="A49" s="77"/>
      <c r="B49" s="130" t="s">
        <v>207</v>
      </c>
      <c r="C49" s="130" t="s">
        <v>207</v>
      </c>
      <c r="D49" s="130" t="s">
        <v>207</v>
      </c>
      <c r="E49" s="130" t="s">
        <v>207</v>
      </c>
      <c r="F49" s="130" t="s">
        <v>207</v>
      </c>
      <c r="G49" s="130" t="s">
        <v>207</v>
      </c>
      <c r="H49" s="130" t="s">
        <v>207</v>
      </c>
      <c r="I49" s="130" t="s">
        <v>207</v>
      </c>
      <c r="J49" s="130" t="s">
        <v>207</v>
      </c>
      <c r="K49" s="171" t="s">
        <v>207</v>
      </c>
      <c r="L49" s="171" t="s">
        <v>207</v>
      </c>
      <c r="M49" s="2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</row>
    <row r="50" spans="1:37" s="29" customFormat="1" ht="14.25" x14ac:dyDescent="0.15">
      <c r="A50" s="77" t="s">
        <v>96</v>
      </c>
      <c r="B50" s="130">
        <v>98.3</v>
      </c>
      <c r="C50" s="130">
        <v>99.8</v>
      </c>
      <c r="D50" s="130">
        <v>99.8</v>
      </c>
      <c r="E50" s="130">
        <v>101.9</v>
      </c>
      <c r="F50" s="130">
        <v>108.3</v>
      </c>
      <c r="G50" s="130">
        <v>102.3</v>
      </c>
      <c r="H50" s="130">
        <v>114.3</v>
      </c>
      <c r="I50" s="130">
        <v>98.5</v>
      </c>
      <c r="J50" s="130">
        <v>99.1</v>
      </c>
      <c r="K50" s="171">
        <v>97</v>
      </c>
      <c r="L50" s="171">
        <v>97.9</v>
      </c>
      <c r="M50" s="2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</row>
    <row r="51" spans="1:37" s="29" customFormat="1" ht="14.25" x14ac:dyDescent="0.15">
      <c r="A51" s="77" t="s">
        <v>97</v>
      </c>
      <c r="B51" s="130">
        <v>104.5</v>
      </c>
      <c r="C51" s="130">
        <v>101.5</v>
      </c>
      <c r="D51" s="130">
        <v>97.8</v>
      </c>
      <c r="E51" s="130">
        <v>98.9</v>
      </c>
      <c r="F51" s="130">
        <v>117.3</v>
      </c>
      <c r="G51" s="130">
        <v>117.2</v>
      </c>
      <c r="H51" s="130">
        <v>123.8</v>
      </c>
      <c r="I51" s="130">
        <v>106.3</v>
      </c>
      <c r="J51" s="130">
        <v>103.7</v>
      </c>
      <c r="K51" s="171">
        <v>98.7</v>
      </c>
      <c r="L51" s="171">
        <v>99.8</v>
      </c>
      <c r="M51" s="2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</row>
    <row r="52" spans="1:37" s="29" customFormat="1" ht="14.25" x14ac:dyDescent="0.15">
      <c r="A52" s="77" t="s">
        <v>98</v>
      </c>
      <c r="B52" s="130">
        <v>107.5</v>
      </c>
      <c r="C52" s="130">
        <v>102</v>
      </c>
      <c r="D52" s="130">
        <v>106</v>
      </c>
      <c r="E52" s="130">
        <v>75.8</v>
      </c>
      <c r="F52" s="130">
        <v>110.9</v>
      </c>
      <c r="G52" s="130">
        <v>118.5</v>
      </c>
      <c r="H52" s="130">
        <v>114.8</v>
      </c>
      <c r="I52" s="130">
        <v>111.6</v>
      </c>
      <c r="J52" s="130">
        <v>104</v>
      </c>
      <c r="K52" s="171">
        <v>92.8</v>
      </c>
      <c r="L52" s="171">
        <v>96.8</v>
      </c>
      <c r="M52" s="2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</row>
    <row r="53" spans="1:37" s="29" customFormat="1" ht="14.25" x14ac:dyDescent="0.15">
      <c r="A53" s="129"/>
      <c r="B53" s="130" t="s">
        <v>207</v>
      </c>
      <c r="C53" s="130" t="s">
        <v>207</v>
      </c>
      <c r="D53" s="130" t="s">
        <v>207</v>
      </c>
      <c r="E53" s="130" t="s">
        <v>207</v>
      </c>
      <c r="F53" s="130" t="s">
        <v>207</v>
      </c>
      <c r="G53" s="130" t="s">
        <v>207</v>
      </c>
      <c r="H53" s="130" t="s">
        <v>207</v>
      </c>
      <c r="I53" s="130" t="s">
        <v>207</v>
      </c>
      <c r="J53" s="130" t="s">
        <v>207</v>
      </c>
      <c r="K53" s="171" t="s">
        <v>207</v>
      </c>
      <c r="L53" s="171" t="s">
        <v>207</v>
      </c>
      <c r="M53" s="28"/>
      <c r="N53" s="28"/>
      <c r="O53" s="28"/>
      <c r="P53" s="28"/>
      <c r="Q53" s="28"/>
      <c r="R53" s="28"/>
      <c r="S53" s="28"/>
      <c r="T53" s="28"/>
    </row>
    <row r="54" spans="1:37" s="29" customFormat="1" ht="14.25" x14ac:dyDescent="0.15">
      <c r="A54" s="129" t="s">
        <v>249</v>
      </c>
      <c r="B54" s="130">
        <v>96.7</v>
      </c>
      <c r="C54" s="130">
        <v>98.7</v>
      </c>
      <c r="D54" s="130">
        <v>104.1</v>
      </c>
      <c r="E54" s="130">
        <v>68.7</v>
      </c>
      <c r="F54" s="130">
        <v>79.099999999999994</v>
      </c>
      <c r="G54" s="130">
        <v>127.6</v>
      </c>
      <c r="H54" s="130">
        <v>114.3</v>
      </c>
      <c r="I54" s="130">
        <v>98.1</v>
      </c>
      <c r="J54" s="130">
        <v>100.3</v>
      </c>
      <c r="K54" s="171">
        <v>97.5</v>
      </c>
      <c r="L54" s="171">
        <v>98.6</v>
      </c>
      <c r="M54" s="28"/>
      <c r="N54" s="28"/>
      <c r="O54" s="28"/>
      <c r="P54" s="28"/>
      <c r="Q54" s="28"/>
      <c r="R54" s="28"/>
      <c r="S54" s="28"/>
      <c r="T54" s="28"/>
    </row>
    <row r="55" spans="1:37" s="29" customFormat="1" ht="14.25" x14ac:dyDescent="0.15">
      <c r="A55" s="77" t="s">
        <v>21</v>
      </c>
      <c r="B55" s="130">
        <v>89.7</v>
      </c>
      <c r="C55" s="130">
        <v>102.1</v>
      </c>
      <c r="D55" s="130">
        <v>81.3</v>
      </c>
      <c r="E55" s="130">
        <v>99</v>
      </c>
      <c r="F55" s="130">
        <v>76.599999999999994</v>
      </c>
      <c r="G55" s="130">
        <v>119.8</v>
      </c>
      <c r="H55" s="130">
        <v>95.6</v>
      </c>
      <c r="I55" s="130">
        <v>90.3</v>
      </c>
      <c r="J55" s="130">
        <v>104.1</v>
      </c>
      <c r="K55" s="171">
        <v>103</v>
      </c>
      <c r="L55" s="171">
        <v>101.4</v>
      </c>
      <c r="M55" s="28"/>
      <c r="N55" s="28"/>
      <c r="O55" s="28"/>
      <c r="P55" s="28"/>
      <c r="Q55" s="28"/>
      <c r="R55" s="28"/>
      <c r="S55" s="28"/>
      <c r="T55" s="28"/>
    </row>
    <row r="56" spans="1:37" s="29" customFormat="1" ht="14.25" x14ac:dyDescent="0.15">
      <c r="A56" s="77" t="s">
        <v>89</v>
      </c>
      <c r="B56" s="130">
        <v>113</v>
      </c>
      <c r="C56" s="130">
        <v>108.3</v>
      </c>
      <c r="D56" s="130">
        <v>101.2</v>
      </c>
      <c r="E56" s="130">
        <v>127.2</v>
      </c>
      <c r="F56" s="130">
        <v>98.3</v>
      </c>
      <c r="G56" s="130">
        <v>144.4</v>
      </c>
      <c r="H56" s="130">
        <v>119.7</v>
      </c>
      <c r="I56" s="130">
        <v>107.6</v>
      </c>
      <c r="J56" s="130">
        <v>104.4</v>
      </c>
      <c r="K56" s="171">
        <v>114.1</v>
      </c>
      <c r="L56" s="171">
        <v>113.7</v>
      </c>
      <c r="M56" s="28"/>
      <c r="N56" s="28"/>
      <c r="O56" s="28"/>
      <c r="P56" s="28"/>
      <c r="Q56" s="28"/>
      <c r="R56" s="28"/>
      <c r="S56" s="28"/>
      <c r="T56" s="28"/>
    </row>
    <row r="57" spans="1:37" s="29" customFormat="1" ht="14.25" x14ac:dyDescent="0.15">
      <c r="A57" s="77"/>
      <c r="B57" s="130" t="s">
        <v>207</v>
      </c>
      <c r="C57" s="130" t="s">
        <v>207</v>
      </c>
      <c r="D57" s="130" t="s">
        <v>207</v>
      </c>
      <c r="E57" s="130" t="s">
        <v>207</v>
      </c>
      <c r="F57" s="130" t="s">
        <v>207</v>
      </c>
      <c r="G57" s="130" t="s">
        <v>207</v>
      </c>
      <c r="H57" s="130" t="s">
        <v>207</v>
      </c>
      <c r="I57" s="130" t="s">
        <v>207</v>
      </c>
      <c r="J57" s="130" t="s">
        <v>207</v>
      </c>
      <c r="K57" s="171" t="s">
        <v>207</v>
      </c>
      <c r="L57" s="171" t="s">
        <v>207</v>
      </c>
      <c r="M57" s="28"/>
      <c r="N57" s="28"/>
      <c r="O57" s="28"/>
      <c r="P57" s="28"/>
      <c r="Q57" s="28"/>
      <c r="R57" s="28"/>
      <c r="S57" s="28"/>
      <c r="T57" s="28"/>
    </row>
    <row r="58" spans="1:37" s="29" customFormat="1" ht="14.25" x14ac:dyDescent="0.15">
      <c r="A58" s="77" t="s">
        <v>90</v>
      </c>
      <c r="B58" s="130">
        <v>102</v>
      </c>
      <c r="C58" s="130">
        <v>99.9</v>
      </c>
      <c r="D58" s="130">
        <v>100.1</v>
      </c>
      <c r="E58" s="130">
        <v>92.2</v>
      </c>
      <c r="F58" s="130">
        <v>107</v>
      </c>
      <c r="G58" s="130">
        <v>74.2</v>
      </c>
      <c r="H58" s="130">
        <v>112</v>
      </c>
      <c r="I58" s="130">
        <v>104.8</v>
      </c>
      <c r="J58" s="130">
        <v>102.4</v>
      </c>
      <c r="K58" s="171">
        <v>110.6</v>
      </c>
      <c r="L58" s="171">
        <v>108.8</v>
      </c>
      <c r="M58" s="28"/>
      <c r="N58" s="28"/>
      <c r="O58" s="28"/>
      <c r="P58" s="28"/>
      <c r="Q58" s="28"/>
      <c r="R58" s="28"/>
      <c r="S58" s="28"/>
      <c r="T58" s="28"/>
    </row>
    <row r="59" spans="1:37" s="29" customFormat="1" ht="14.25" x14ac:dyDescent="0.15">
      <c r="A59" s="77" t="s">
        <v>91</v>
      </c>
      <c r="B59" s="130">
        <v>97.1</v>
      </c>
      <c r="C59" s="130">
        <v>98.5</v>
      </c>
      <c r="D59" s="130">
        <v>92.1</v>
      </c>
      <c r="E59" s="130">
        <v>97.1</v>
      </c>
      <c r="F59" s="130">
        <v>111</v>
      </c>
      <c r="G59" s="130">
        <v>72</v>
      </c>
      <c r="H59" s="130">
        <v>99</v>
      </c>
      <c r="I59" s="130">
        <v>104</v>
      </c>
      <c r="J59" s="130">
        <v>103.8</v>
      </c>
      <c r="K59" s="171">
        <v>109.2</v>
      </c>
      <c r="L59" s="171">
        <v>107.8</v>
      </c>
      <c r="M59" s="28"/>
      <c r="N59" s="28"/>
      <c r="O59" s="28"/>
      <c r="P59" s="28"/>
      <c r="Q59" s="28"/>
      <c r="R59" s="28"/>
      <c r="S59" s="28"/>
      <c r="T59" s="28"/>
    </row>
    <row r="60" spans="1:37" s="29" customFormat="1" ht="14.25" x14ac:dyDescent="0.15">
      <c r="A60" s="77" t="s">
        <v>92</v>
      </c>
      <c r="B60" s="130">
        <v>101</v>
      </c>
      <c r="C60" s="130">
        <v>98</v>
      </c>
      <c r="D60" s="130">
        <v>97.2</v>
      </c>
      <c r="E60" s="130">
        <v>114.6</v>
      </c>
      <c r="F60" s="130">
        <v>110.9</v>
      </c>
      <c r="G60" s="130">
        <v>68.8</v>
      </c>
      <c r="H60" s="130">
        <v>108.6</v>
      </c>
      <c r="I60" s="130">
        <v>106.6</v>
      </c>
      <c r="J60" s="130">
        <v>102.9</v>
      </c>
      <c r="K60" s="171">
        <v>103.7</v>
      </c>
      <c r="L60" s="171">
        <v>107.1</v>
      </c>
      <c r="M60" s="28"/>
      <c r="N60" s="28"/>
      <c r="O60" s="28"/>
      <c r="P60" s="28"/>
      <c r="Q60" s="28"/>
      <c r="R60" s="28"/>
      <c r="S60" s="28"/>
      <c r="T60" s="28"/>
    </row>
    <row r="61" spans="1:37" s="154" customFormat="1" ht="14.25" x14ac:dyDescent="0.15">
      <c r="A61" s="77"/>
      <c r="B61" s="152" t="s">
        <v>207</v>
      </c>
      <c r="C61" s="152" t="s">
        <v>207</v>
      </c>
      <c r="D61" s="152" t="s">
        <v>207</v>
      </c>
      <c r="E61" s="152" t="s">
        <v>207</v>
      </c>
      <c r="F61" s="152" t="s">
        <v>207</v>
      </c>
      <c r="G61" s="152" t="s">
        <v>207</v>
      </c>
      <c r="H61" s="152" t="s">
        <v>207</v>
      </c>
      <c r="I61" s="152" t="s">
        <v>207</v>
      </c>
      <c r="J61" s="152" t="s">
        <v>207</v>
      </c>
      <c r="K61" s="172" t="s">
        <v>207</v>
      </c>
      <c r="L61" s="172" t="s">
        <v>207</v>
      </c>
      <c r="M61" s="153"/>
      <c r="N61" s="153"/>
      <c r="O61" s="153"/>
      <c r="P61" s="153"/>
      <c r="Q61" s="153"/>
      <c r="R61" s="153"/>
      <c r="S61" s="153"/>
      <c r="T61" s="153"/>
    </row>
    <row r="62" spans="1:37" s="29" customFormat="1" ht="14.25" x14ac:dyDescent="0.15">
      <c r="A62" s="77" t="s">
        <v>93</v>
      </c>
      <c r="B62" s="130">
        <v>103.4</v>
      </c>
      <c r="C62" s="130">
        <v>101.7</v>
      </c>
      <c r="D62" s="130">
        <v>94.6</v>
      </c>
      <c r="E62" s="130">
        <v>117.9</v>
      </c>
      <c r="F62" s="130">
        <v>107.6</v>
      </c>
      <c r="G62" s="130">
        <v>68.7</v>
      </c>
      <c r="H62" s="130">
        <v>119.5</v>
      </c>
      <c r="I62" s="130">
        <v>106.3</v>
      </c>
      <c r="J62" s="130">
        <v>105.8</v>
      </c>
      <c r="K62" s="171">
        <v>114.8</v>
      </c>
      <c r="L62" s="171">
        <v>112.6</v>
      </c>
      <c r="M62" s="28"/>
      <c r="N62" s="28"/>
      <c r="O62" s="28"/>
      <c r="P62" s="28"/>
      <c r="Q62" s="28"/>
      <c r="R62" s="28"/>
      <c r="S62" s="28"/>
      <c r="T62" s="28"/>
    </row>
    <row r="63" spans="1:37" s="29" customFormat="1" ht="14.25" x14ac:dyDescent="0.15">
      <c r="A63" s="77" t="s">
        <v>94</v>
      </c>
      <c r="B63" s="130">
        <v>98.8</v>
      </c>
      <c r="C63" s="130">
        <v>101.5</v>
      </c>
      <c r="D63" s="130">
        <v>105.6</v>
      </c>
      <c r="E63" s="130">
        <v>100.7</v>
      </c>
      <c r="F63" s="130">
        <v>102</v>
      </c>
      <c r="G63" s="130">
        <v>58.5</v>
      </c>
      <c r="H63" s="130">
        <v>96.9</v>
      </c>
      <c r="I63" s="130">
        <v>102.7</v>
      </c>
      <c r="J63" s="130">
        <v>106.7</v>
      </c>
      <c r="K63" s="171">
        <v>121.9</v>
      </c>
      <c r="L63" s="171">
        <v>116.1</v>
      </c>
      <c r="M63" s="28"/>
      <c r="N63" s="28"/>
      <c r="O63" s="28"/>
      <c r="P63" s="28"/>
      <c r="Q63" s="28"/>
      <c r="R63" s="28"/>
      <c r="S63" s="28"/>
      <c r="T63" s="28"/>
    </row>
    <row r="64" spans="1:37" s="29" customFormat="1" ht="14.25" x14ac:dyDescent="0.15">
      <c r="A64" s="77" t="s">
        <v>95</v>
      </c>
      <c r="B64" s="130">
        <v>96.1</v>
      </c>
      <c r="C64" s="130">
        <v>100.5</v>
      </c>
      <c r="D64" s="130">
        <v>105.5</v>
      </c>
      <c r="E64" s="130">
        <v>95</v>
      </c>
      <c r="F64" s="130">
        <v>92.8</v>
      </c>
      <c r="G64" s="130">
        <v>61.9</v>
      </c>
      <c r="H64" s="130">
        <v>101.8</v>
      </c>
      <c r="I64" s="130">
        <v>101.6</v>
      </c>
      <c r="J64" s="130">
        <v>106.2</v>
      </c>
      <c r="K64" s="171">
        <v>108.4</v>
      </c>
      <c r="L64" s="171">
        <v>107.4</v>
      </c>
      <c r="M64" s="28"/>
      <c r="N64" s="28"/>
      <c r="O64" s="28"/>
      <c r="P64" s="28"/>
      <c r="Q64" s="28"/>
      <c r="R64" s="28"/>
      <c r="S64" s="28"/>
      <c r="T64" s="28"/>
    </row>
    <row r="65" spans="1:16384" s="29" customFormat="1" ht="14.25" x14ac:dyDescent="0.15">
      <c r="A65" s="77"/>
      <c r="B65" s="130" t="s">
        <v>207</v>
      </c>
      <c r="C65" s="130" t="s">
        <v>207</v>
      </c>
      <c r="D65" s="130" t="s">
        <v>207</v>
      </c>
      <c r="E65" s="130" t="s">
        <v>207</v>
      </c>
      <c r="F65" s="130" t="s">
        <v>207</v>
      </c>
      <c r="G65" s="130" t="s">
        <v>207</v>
      </c>
      <c r="H65" s="130" t="s">
        <v>207</v>
      </c>
      <c r="I65" s="130" t="s">
        <v>207</v>
      </c>
      <c r="J65" s="130" t="s">
        <v>207</v>
      </c>
      <c r="K65" s="171" t="s">
        <v>207</v>
      </c>
      <c r="L65" s="171" t="s">
        <v>207</v>
      </c>
      <c r="M65" s="28"/>
      <c r="N65" s="28"/>
      <c r="O65" s="28"/>
      <c r="P65" s="28"/>
      <c r="Q65" s="28"/>
      <c r="R65" s="28"/>
      <c r="S65" s="28"/>
      <c r="T65" s="28"/>
    </row>
    <row r="66" spans="1:16384" s="29" customFormat="1" ht="14.25" x14ac:dyDescent="0.15">
      <c r="A66" s="77" t="s">
        <v>96</v>
      </c>
      <c r="B66" s="130">
        <v>103.6</v>
      </c>
      <c r="C66" s="130">
        <v>103.4</v>
      </c>
      <c r="D66" s="130">
        <v>104</v>
      </c>
      <c r="E66" s="130">
        <v>103.3</v>
      </c>
      <c r="F66" s="130">
        <v>105.4</v>
      </c>
      <c r="G66" s="130">
        <v>95.3</v>
      </c>
      <c r="H66" s="130">
        <v>109.9</v>
      </c>
      <c r="I66" s="130">
        <v>109.5</v>
      </c>
      <c r="J66" s="130">
        <v>108.6</v>
      </c>
      <c r="K66" s="171">
        <v>103.7</v>
      </c>
      <c r="L66" s="171">
        <v>106.8</v>
      </c>
      <c r="M66" s="28"/>
      <c r="N66" s="28"/>
      <c r="O66" s="28"/>
      <c r="P66" s="28"/>
      <c r="Q66" s="28"/>
      <c r="R66" s="28"/>
      <c r="S66" s="28"/>
      <c r="T66" s="28"/>
    </row>
    <row r="67" spans="1:16384" s="29" customFormat="1" ht="14.25" x14ac:dyDescent="0.15">
      <c r="A67" s="77" t="s">
        <v>97</v>
      </c>
      <c r="B67" s="130">
        <v>109.6</v>
      </c>
      <c r="C67" s="130">
        <v>104.7</v>
      </c>
      <c r="D67" s="130">
        <v>109.5</v>
      </c>
      <c r="E67" s="130">
        <v>125</v>
      </c>
      <c r="F67" s="130">
        <v>113.8</v>
      </c>
      <c r="G67" s="130">
        <v>79.3</v>
      </c>
      <c r="H67" s="130">
        <v>119.8</v>
      </c>
      <c r="I67" s="130">
        <v>113.1</v>
      </c>
      <c r="J67" s="130">
        <v>108.9</v>
      </c>
      <c r="K67" s="171">
        <v>108</v>
      </c>
      <c r="L67" s="171">
        <v>109.5</v>
      </c>
      <c r="M67" s="28"/>
      <c r="N67" s="28"/>
      <c r="O67" s="28"/>
      <c r="P67" s="28"/>
      <c r="Q67" s="28"/>
      <c r="R67" s="28"/>
      <c r="S67" s="28"/>
      <c r="T67" s="28"/>
    </row>
    <row r="68" spans="1:16384" s="29" customFormat="1" ht="14.25" x14ac:dyDescent="0.15">
      <c r="A68" s="77" t="s">
        <v>98</v>
      </c>
      <c r="B68" s="130">
        <v>113.6</v>
      </c>
      <c r="C68" s="130">
        <v>107.7</v>
      </c>
      <c r="D68" s="130">
        <v>120.4</v>
      </c>
      <c r="E68" s="130">
        <v>119.8</v>
      </c>
      <c r="F68" s="130">
        <v>117.6</v>
      </c>
      <c r="G68" s="130">
        <v>70.8</v>
      </c>
      <c r="H68" s="130">
        <v>114.1</v>
      </c>
      <c r="I68" s="130">
        <v>117.4</v>
      </c>
      <c r="J68" s="130">
        <v>109.5</v>
      </c>
      <c r="K68" s="171">
        <v>112.2</v>
      </c>
      <c r="L68" s="171">
        <v>117.1</v>
      </c>
      <c r="M68" s="28"/>
      <c r="N68" s="28"/>
      <c r="O68" s="28"/>
      <c r="P68" s="28"/>
      <c r="Q68" s="28"/>
      <c r="R68" s="28"/>
      <c r="S68" s="28"/>
      <c r="T68" s="28"/>
    </row>
    <row r="69" spans="1:16384" s="29" customFormat="1" ht="14.25" x14ac:dyDescent="0.15">
      <c r="A69" s="129"/>
      <c r="B69" s="130" t="s">
        <v>207</v>
      </c>
      <c r="C69" s="130" t="s">
        <v>207</v>
      </c>
      <c r="D69" s="130" t="s">
        <v>207</v>
      </c>
      <c r="E69" s="130" t="s">
        <v>207</v>
      </c>
      <c r="F69" s="130" t="s">
        <v>207</v>
      </c>
      <c r="G69" s="130" t="s">
        <v>207</v>
      </c>
      <c r="H69" s="130" t="s">
        <v>207</v>
      </c>
      <c r="I69" s="130" t="s">
        <v>207</v>
      </c>
      <c r="J69" s="130" t="s">
        <v>207</v>
      </c>
      <c r="K69" s="171" t="s">
        <v>207</v>
      </c>
      <c r="L69" s="171" t="s">
        <v>207</v>
      </c>
      <c r="M69" s="28"/>
      <c r="N69" s="28"/>
      <c r="O69" s="28"/>
      <c r="P69" s="28"/>
      <c r="Q69" s="28"/>
      <c r="R69" s="28"/>
      <c r="S69" s="28"/>
      <c r="T69" s="28"/>
    </row>
    <row r="70" spans="1:16384" s="159" customFormat="1" ht="14.25" x14ac:dyDescent="0.15">
      <c r="A70" s="129" t="s">
        <v>250</v>
      </c>
      <c r="B70" s="130">
        <v>108.1</v>
      </c>
      <c r="C70" s="130">
        <v>111.8</v>
      </c>
      <c r="D70" s="130">
        <v>107.3</v>
      </c>
      <c r="E70" s="130">
        <v>136.19999999999999</v>
      </c>
      <c r="F70" s="130">
        <v>91.3</v>
      </c>
      <c r="G70" s="130">
        <v>74.3</v>
      </c>
      <c r="H70" s="130">
        <v>110</v>
      </c>
      <c r="I70" s="130">
        <v>109.4</v>
      </c>
      <c r="J70" s="130">
        <v>113.2</v>
      </c>
      <c r="K70" s="171">
        <v>119.5</v>
      </c>
      <c r="L70" s="166">
        <v>119.5</v>
      </c>
      <c r="M70" s="28"/>
      <c r="N70" s="28"/>
      <c r="O70" s="28"/>
      <c r="P70" s="28"/>
      <c r="Q70" s="28"/>
      <c r="R70" s="28"/>
      <c r="S70" s="28"/>
      <c r="T70" s="28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  <c r="IS70" s="29"/>
      <c r="IT70" s="29"/>
      <c r="IU70" s="29"/>
      <c r="IV70" s="29"/>
      <c r="IW70" s="29"/>
      <c r="IX70" s="29"/>
      <c r="IY70" s="29"/>
      <c r="IZ70" s="29"/>
      <c r="JA70" s="29"/>
      <c r="JB70" s="29"/>
      <c r="JC70" s="29"/>
      <c r="JD70" s="29"/>
      <c r="JE70" s="29"/>
      <c r="JF70" s="29"/>
      <c r="JG70" s="29"/>
      <c r="JH70" s="29"/>
      <c r="JI70" s="29"/>
      <c r="JJ70" s="29"/>
      <c r="JK70" s="29"/>
      <c r="JL70" s="29"/>
      <c r="JM70" s="29"/>
      <c r="JN70" s="29"/>
      <c r="JO70" s="29"/>
      <c r="JP70" s="29"/>
      <c r="JQ70" s="29"/>
      <c r="JR70" s="29"/>
      <c r="JS70" s="29"/>
      <c r="JT70" s="29"/>
      <c r="JU70" s="29"/>
      <c r="JV70" s="29"/>
      <c r="JW70" s="29"/>
      <c r="JX70" s="29"/>
      <c r="JY70" s="29"/>
      <c r="JZ70" s="29"/>
      <c r="KA70" s="29"/>
      <c r="KB70" s="29"/>
      <c r="KC70" s="29"/>
      <c r="KD70" s="29"/>
      <c r="KE70" s="29"/>
      <c r="KF70" s="29"/>
      <c r="KG70" s="29"/>
      <c r="KH70" s="29"/>
      <c r="KI70" s="29"/>
      <c r="KJ70" s="29"/>
      <c r="KK70" s="29"/>
      <c r="KL70" s="29"/>
      <c r="KM70" s="29"/>
      <c r="KN70" s="29"/>
      <c r="KO70" s="29"/>
      <c r="KP70" s="29"/>
      <c r="KQ70" s="29"/>
      <c r="KR70" s="29"/>
      <c r="KS70" s="29"/>
      <c r="KT70" s="29"/>
      <c r="KU70" s="29"/>
      <c r="KV70" s="29"/>
      <c r="KW70" s="29"/>
      <c r="KX70" s="29"/>
      <c r="KY70" s="29"/>
      <c r="KZ70" s="29"/>
      <c r="LA70" s="29"/>
      <c r="LB70" s="29"/>
      <c r="LC70" s="29"/>
      <c r="LD70" s="29"/>
      <c r="LE70" s="29"/>
      <c r="LF70" s="29"/>
      <c r="LG70" s="29"/>
      <c r="LH70" s="29"/>
      <c r="LI70" s="29"/>
      <c r="LJ70" s="29"/>
      <c r="LK70" s="29"/>
      <c r="LL70" s="29"/>
      <c r="LM70" s="29"/>
      <c r="LN70" s="29"/>
      <c r="LO70" s="29"/>
      <c r="LP70" s="29"/>
      <c r="LQ70" s="29"/>
      <c r="LR70" s="29"/>
      <c r="LS70" s="29"/>
      <c r="LT70" s="29"/>
      <c r="LU70" s="29"/>
      <c r="LV70" s="29"/>
      <c r="LW70" s="29"/>
      <c r="LX70" s="29"/>
      <c r="LY70" s="29"/>
      <c r="LZ70" s="29"/>
      <c r="MA70" s="29"/>
      <c r="MB70" s="29"/>
      <c r="MC70" s="29"/>
      <c r="MD70" s="29"/>
      <c r="ME70" s="29"/>
      <c r="MF70" s="29"/>
      <c r="MG70" s="29"/>
      <c r="MH70" s="29"/>
      <c r="MI70" s="29"/>
      <c r="MJ70" s="29"/>
      <c r="MK70" s="29"/>
      <c r="ML70" s="29"/>
      <c r="MM70" s="29"/>
      <c r="MN70" s="29"/>
      <c r="MO70" s="29"/>
      <c r="MP70" s="29"/>
      <c r="MQ70" s="29"/>
      <c r="MR70" s="29"/>
      <c r="MS70" s="29"/>
      <c r="MT70" s="29"/>
      <c r="MU70" s="29"/>
      <c r="MV70" s="29"/>
      <c r="MW70" s="29"/>
      <c r="MX70" s="29"/>
      <c r="MY70" s="29"/>
      <c r="MZ70" s="29"/>
      <c r="NA70" s="29"/>
      <c r="NB70" s="29"/>
      <c r="NC70" s="29"/>
      <c r="ND70" s="29"/>
      <c r="NE70" s="29"/>
      <c r="NF70" s="29"/>
      <c r="NG70" s="29"/>
      <c r="NH70" s="29"/>
      <c r="NI70" s="29"/>
      <c r="NJ70" s="29"/>
      <c r="NK70" s="29"/>
      <c r="NL70" s="29"/>
      <c r="NM70" s="29"/>
      <c r="NN70" s="29"/>
      <c r="NO70" s="29"/>
      <c r="NP70" s="29"/>
      <c r="NQ70" s="29"/>
      <c r="NR70" s="29"/>
      <c r="NS70" s="29"/>
      <c r="NT70" s="29"/>
      <c r="NU70" s="29"/>
      <c r="NV70" s="29"/>
      <c r="NW70" s="29"/>
      <c r="NX70" s="29"/>
      <c r="NY70" s="29"/>
      <c r="NZ70" s="29"/>
      <c r="OA70" s="29"/>
      <c r="OB70" s="29"/>
      <c r="OC70" s="29"/>
      <c r="OD70" s="29"/>
      <c r="OE70" s="29"/>
      <c r="OF70" s="29"/>
      <c r="OG70" s="29"/>
      <c r="OH70" s="29"/>
      <c r="OI70" s="29"/>
      <c r="OJ70" s="29"/>
      <c r="OK70" s="29"/>
      <c r="OL70" s="29"/>
      <c r="OM70" s="29"/>
      <c r="ON70" s="29"/>
      <c r="OO70" s="29"/>
      <c r="OP70" s="29"/>
      <c r="OQ70" s="29"/>
      <c r="OR70" s="29"/>
      <c r="OS70" s="29"/>
      <c r="OT70" s="29"/>
      <c r="OU70" s="29"/>
      <c r="OV70" s="29"/>
      <c r="OW70" s="29"/>
      <c r="OX70" s="29"/>
      <c r="OY70" s="29"/>
      <c r="OZ70" s="29"/>
      <c r="PA70" s="29"/>
      <c r="PB70" s="29"/>
      <c r="PC70" s="29"/>
      <c r="PD70" s="29"/>
      <c r="PE70" s="29"/>
      <c r="PF70" s="29"/>
      <c r="PG70" s="29"/>
      <c r="PH70" s="29"/>
      <c r="PI70" s="29"/>
      <c r="PJ70" s="29"/>
      <c r="PK70" s="29"/>
      <c r="PL70" s="29"/>
      <c r="PM70" s="29"/>
      <c r="PN70" s="29"/>
      <c r="PO70" s="29"/>
      <c r="PP70" s="29"/>
      <c r="PQ70" s="29"/>
      <c r="PR70" s="29"/>
      <c r="PS70" s="29"/>
      <c r="PT70" s="29"/>
      <c r="PU70" s="29"/>
      <c r="PV70" s="29"/>
      <c r="PW70" s="29"/>
      <c r="PX70" s="29"/>
      <c r="PY70" s="29"/>
      <c r="PZ70" s="29"/>
      <c r="QA70" s="29"/>
      <c r="QB70" s="29"/>
      <c r="QC70" s="29"/>
      <c r="QD70" s="29"/>
      <c r="QE70" s="29"/>
      <c r="QF70" s="29"/>
      <c r="QG70" s="29"/>
      <c r="QH70" s="29"/>
      <c r="QI70" s="29"/>
      <c r="QJ70" s="29"/>
      <c r="QK70" s="29"/>
      <c r="QL70" s="29"/>
      <c r="QM70" s="29"/>
      <c r="QN70" s="29"/>
      <c r="QO70" s="29"/>
      <c r="QP70" s="29"/>
      <c r="QQ70" s="29"/>
      <c r="QR70" s="29"/>
      <c r="QS70" s="29"/>
      <c r="QT70" s="29"/>
      <c r="QU70" s="29"/>
      <c r="QV70" s="29"/>
      <c r="QW70" s="29"/>
      <c r="QX70" s="29"/>
      <c r="QY70" s="29"/>
      <c r="QZ70" s="29"/>
      <c r="RA70" s="29"/>
      <c r="RB70" s="29"/>
      <c r="RC70" s="29"/>
      <c r="RD70" s="29"/>
      <c r="RE70" s="29"/>
      <c r="RF70" s="29"/>
      <c r="RG70" s="29"/>
      <c r="RH70" s="29"/>
      <c r="RI70" s="29"/>
      <c r="RJ70" s="29"/>
      <c r="RK70" s="29"/>
      <c r="RL70" s="29"/>
      <c r="RM70" s="29"/>
      <c r="RN70" s="29"/>
      <c r="RO70" s="29"/>
      <c r="RP70" s="29"/>
      <c r="RQ70" s="29"/>
      <c r="RR70" s="29"/>
      <c r="RS70" s="29"/>
      <c r="RT70" s="29"/>
      <c r="RU70" s="29"/>
      <c r="RV70" s="29"/>
      <c r="RW70" s="29"/>
      <c r="RX70" s="29"/>
      <c r="RY70" s="29"/>
      <c r="RZ70" s="29"/>
      <c r="SA70" s="29"/>
      <c r="SB70" s="29"/>
      <c r="SC70" s="29"/>
      <c r="SD70" s="29"/>
      <c r="SE70" s="29"/>
      <c r="SF70" s="29"/>
      <c r="SG70" s="29"/>
      <c r="SH70" s="29"/>
      <c r="SI70" s="29"/>
      <c r="SJ70" s="29"/>
      <c r="SK70" s="29"/>
      <c r="SL70" s="29"/>
      <c r="SM70" s="29"/>
      <c r="SN70" s="29"/>
      <c r="SO70" s="29"/>
      <c r="SP70" s="29"/>
      <c r="SQ70" s="29"/>
      <c r="SR70" s="29"/>
      <c r="SS70" s="29"/>
      <c r="ST70" s="29"/>
      <c r="SU70" s="29"/>
      <c r="SV70" s="29"/>
      <c r="SW70" s="29"/>
      <c r="SX70" s="29"/>
      <c r="SY70" s="29"/>
      <c r="SZ70" s="29"/>
      <c r="TA70" s="29"/>
      <c r="TB70" s="29"/>
      <c r="TC70" s="29"/>
      <c r="TD70" s="29"/>
      <c r="TE70" s="29"/>
      <c r="TF70" s="29"/>
      <c r="TG70" s="29"/>
      <c r="TH70" s="29"/>
      <c r="TI70" s="29"/>
      <c r="TJ70" s="29"/>
      <c r="TK70" s="29"/>
      <c r="TL70" s="29"/>
      <c r="TM70" s="29"/>
      <c r="TN70" s="29"/>
      <c r="TO70" s="29"/>
      <c r="TP70" s="29"/>
      <c r="TQ70" s="29"/>
      <c r="TR70" s="29"/>
      <c r="TS70" s="29"/>
      <c r="TT70" s="29"/>
      <c r="TU70" s="29"/>
      <c r="TV70" s="29"/>
      <c r="TW70" s="29"/>
      <c r="TX70" s="29"/>
      <c r="TY70" s="29"/>
      <c r="TZ70" s="29"/>
      <c r="UA70" s="29"/>
      <c r="UB70" s="29"/>
      <c r="UC70" s="29"/>
      <c r="UD70" s="29"/>
      <c r="UE70" s="29"/>
      <c r="UF70" s="29"/>
      <c r="UG70" s="29"/>
      <c r="UH70" s="29"/>
      <c r="UI70" s="29"/>
      <c r="UJ70" s="29"/>
      <c r="UK70" s="29"/>
      <c r="UL70" s="29"/>
      <c r="UM70" s="29"/>
      <c r="UN70" s="29"/>
      <c r="UO70" s="29"/>
      <c r="UP70" s="29"/>
      <c r="UQ70" s="29"/>
      <c r="UR70" s="29"/>
      <c r="US70" s="29"/>
      <c r="UT70" s="29"/>
      <c r="UU70" s="29"/>
      <c r="UV70" s="29"/>
      <c r="UW70" s="29"/>
      <c r="UX70" s="29"/>
      <c r="UY70" s="29"/>
      <c r="UZ70" s="29"/>
      <c r="VA70" s="29"/>
      <c r="VB70" s="29"/>
      <c r="VC70" s="29"/>
      <c r="VD70" s="29"/>
      <c r="VE70" s="29"/>
      <c r="VF70" s="29"/>
      <c r="VG70" s="29"/>
      <c r="VH70" s="29"/>
      <c r="VI70" s="29"/>
      <c r="VJ70" s="29"/>
      <c r="VK70" s="29"/>
      <c r="VL70" s="29"/>
      <c r="VM70" s="29"/>
      <c r="VN70" s="29"/>
      <c r="VO70" s="29"/>
      <c r="VP70" s="29"/>
      <c r="VQ70" s="29"/>
      <c r="VR70" s="29"/>
      <c r="VS70" s="29"/>
      <c r="VT70" s="29"/>
      <c r="VU70" s="29"/>
      <c r="VV70" s="29"/>
      <c r="VW70" s="29"/>
      <c r="VX70" s="29"/>
      <c r="VY70" s="29"/>
      <c r="VZ70" s="29"/>
      <c r="WA70" s="29"/>
      <c r="WB70" s="29"/>
      <c r="WC70" s="29"/>
      <c r="WD70" s="29"/>
      <c r="WE70" s="29"/>
      <c r="WF70" s="29"/>
      <c r="WG70" s="29"/>
      <c r="WH70" s="29"/>
      <c r="WI70" s="29"/>
      <c r="WJ70" s="29"/>
      <c r="WK70" s="29"/>
      <c r="WL70" s="29"/>
      <c r="WM70" s="29"/>
      <c r="WN70" s="29"/>
      <c r="WO70" s="29"/>
      <c r="WP70" s="29"/>
      <c r="WQ70" s="29"/>
      <c r="WR70" s="29"/>
      <c r="WS70" s="29"/>
      <c r="WT70" s="29"/>
      <c r="WU70" s="29"/>
      <c r="WV70" s="29"/>
      <c r="WW70" s="29"/>
      <c r="WX70" s="29"/>
      <c r="WY70" s="29"/>
      <c r="WZ70" s="29"/>
      <c r="XA70" s="29"/>
      <c r="XB70" s="29"/>
      <c r="XC70" s="29"/>
      <c r="XD70" s="29"/>
      <c r="XE70" s="29"/>
      <c r="XF70" s="29"/>
      <c r="XG70" s="29"/>
      <c r="XH70" s="29"/>
      <c r="XI70" s="29"/>
      <c r="XJ70" s="29"/>
      <c r="XK70" s="29"/>
      <c r="XL70" s="29"/>
      <c r="XM70" s="29"/>
      <c r="XN70" s="29"/>
      <c r="XO70" s="29"/>
      <c r="XP70" s="29"/>
      <c r="XQ70" s="29"/>
      <c r="XR70" s="29"/>
      <c r="XS70" s="29"/>
      <c r="XT70" s="29"/>
      <c r="XU70" s="29"/>
      <c r="XV70" s="29"/>
      <c r="XW70" s="29"/>
      <c r="XX70" s="29"/>
      <c r="XY70" s="29"/>
      <c r="XZ70" s="29"/>
      <c r="YA70" s="29"/>
      <c r="YB70" s="29"/>
      <c r="YC70" s="29"/>
      <c r="YD70" s="29"/>
      <c r="YE70" s="29"/>
      <c r="YF70" s="29"/>
      <c r="YG70" s="29"/>
      <c r="YH70" s="29"/>
      <c r="YI70" s="29"/>
      <c r="YJ70" s="29"/>
      <c r="YK70" s="29"/>
      <c r="YL70" s="29"/>
      <c r="YM70" s="29"/>
      <c r="YN70" s="29"/>
      <c r="YO70" s="29"/>
      <c r="YP70" s="29"/>
      <c r="YQ70" s="29"/>
      <c r="YR70" s="29"/>
      <c r="YS70" s="29"/>
      <c r="YT70" s="29"/>
      <c r="YU70" s="29"/>
      <c r="YV70" s="29"/>
      <c r="YW70" s="29"/>
      <c r="YX70" s="29"/>
      <c r="YY70" s="29"/>
      <c r="YZ70" s="29"/>
      <c r="ZA70" s="29"/>
      <c r="ZB70" s="29"/>
      <c r="ZC70" s="29"/>
      <c r="ZD70" s="29"/>
      <c r="ZE70" s="29"/>
      <c r="ZF70" s="29"/>
      <c r="ZG70" s="29"/>
      <c r="ZH70" s="29"/>
      <c r="ZI70" s="29"/>
      <c r="ZJ70" s="29"/>
      <c r="ZK70" s="29"/>
      <c r="ZL70" s="29"/>
      <c r="ZM70" s="29"/>
      <c r="ZN70" s="29"/>
      <c r="ZO70" s="29"/>
      <c r="ZP70" s="29"/>
      <c r="ZQ70" s="29"/>
      <c r="ZR70" s="29"/>
      <c r="ZS70" s="29"/>
      <c r="ZT70" s="29"/>
      <c r="ZU70" s="29"/>
      <c r="ZV70" s="29"/>
      <c r="ZW70" s="29"/>
      <c r="ZX70" s="29"/>
      <c r="ZY70" s="29"/>
      <c r="ZZ70" s="29"/>
      <c r="AAA70" s="29"/>
      <c r="AAB70" s="29"/>
      <c r="AAC70" s="29"/>
      <c r="AAD70" s="29"/>
      <c r="AAE70" s="29"/>
      <c r="AAF70" s="29"/>
      <c r="AAG70" s="29"/>
      <c r="AAH70" s="29"/>
      <c r="AAI70" s="29"/>
      <c r="AAJ70" s="29"/>
      <c r="AAK70" s="29"/>
      <c r="AAL70" s="29"/>
      <c r="AAM70" s="29"/>
      <c r="AAN70" s="29"/>
      <c r="AAO70" s="29"/>
      <c r="AAP70" s="29"/>
      <c r="AAQ70" s="29"/>
      <c r="AAR70" s="29"/>
      <c r="AAS70" s="29"/>
      <c r="AAT70" s="29"/>
      <c r="AAU70" s="29"/>
      <c r="AAV70" s="29"/>
      <c r="AAW70" s="29"/>
      <c r="AAX70" s="29"/>
      <c r="AAY70" s="29"/>
      <c r="AAZ70" s="29"/>
      <c r="ABA70" s="29"/>
      <c r="ABB70" s="29"/>
      <c r="ABC70" s="29"/>
      <c r="ABD70" s="29"/>
      <c r="ABE70" s="29"/>
      <c r="ABF70" s="29"/>
      <c r="ABG70" s="29"/>
      <c r="ABH70" s="29"/>
      <c r="ABI70" s="29"/>
      <c r="ABJ70" s="29"/>
      <c r="ABK70" s="29"/>
      <c r="ABL70" s="29"/>
      <c r="ABM70" s="29"/>
      <c r="ABN70" s="29"/>
      <c r="ABO70" s="29"/>
      <c r="ABP70" s="29"/>
      <c r="ABQ70" s="29"/>
      <c r="ABR70" s="29"/>
      <c r="ABS70" s="29"/>
      <c r="ABT70" s="29"/>
      <c r="ABU70" s="29"/>
      <c r="ABV70" s="29"/>
      <c r="ABW70" s="29"/>
      <c r="ABX70" s="29"/>
      <c r="ABY70" s="29"/>
      <c r="ABZ70" s="29"/>
      <c r="ACA70" s="29"/>
      <c r="ACB70" s="29"/>
      <c r="ACC70" s="29"/>
      <c r="ACD70" s="29"/>
      <c r="ACE70" s="29"/>
      <c r="ACF70" s="29"/>
      <c r="ACG70" s="29"/>
      <c r="ACH70" s="29"/>
      <c r="ACI70" s="29"/>
      <c r="ACJ70" s="29"/>
      <c r="ACK70" s="29"/>
      <c r="ACL70" s="29"/>
      <c r="ACM70" s="29"/>
      <c r="ACN70" s="29"/>
      <c r="ACO70" s="29"/>
      <c r="ACP70" s="29"/>
      <c r="ACQ70" s="29"/>
      <c r="ACR70" s="29"/>
      <c r="ACS70" s="29"/>
      <c r="ACT70" s="29"/>
      <c r="ACU70" s="29"/>
      <c r="ACV70" s="29"/>
      <c r="ACW70" s="29"/>
      <c r="ACX70" s="29"/>
      <c r="ACY70" s="29"/>
      <c r="ACZ70" s="29"/>
      <c r="ADA70" s="29"/>
      <c r="ADB70" s="29"/>
      <c r="ADC70" s="29"/>
      <c r="ADD70" s="29"/>
      <c r="ADE70" s="29"/>
      <c r="ADF70" s="29"/>
      <c r="ADG70" s="29"/>
      <c r="ADH70" s="29"/>
      <c r="ADI70" s="29"/>
      <c r="ADJ70" s="29"/>
      <c r="ADK70" s="29"/>
      <c r="ADL70" s="29"/>
      <c r="ADM70" s="29"/>
      <c r="ADN70" s="29"/>
      <c r="ADO70" s="29"/>
      <c r="ADP70" s="29"/>
      <c r="ADQ70" s="29"/>
      <c r="ADR70" s="29"/>
      <c r="ADS70" s="29"/>
      <c r="ADT70" s="29"/>
      <c r="ADU70" s="29"/>
      <c r="ADV70" s="29"/>
      <c r="ADW70" s="29"/>
      <c r="ADX70" s="29"/>
      <c r="ADY70" s="29"/>
      <c r="ADZ70" s="29"/>
      <c r="AEA70" s="29"/>
      <c r="AEB70" s="29"/>
      <c r="AEC70" s="29"/>
      <c r="AED70" s="29"/>
      <c r="AEE70" s="29"/>
      <c r="AEF70" s="29"/>
      <c r="AEG70" s="29"/>
      <c r="AEH70" s="29"/>
      <c r="AEI70" s="29"/>
      <c r="AEJ70" s="29"/>
      <c r="AEK70" s="29"/>
      <c r="AEL70" s="29"/>
      <c r="AEM70" s="29"/>
      <c r="AEN70" s="29"/>
      <c r="AEO70" s="29"/>
      <c r="AEP70" s="29"/>
      <c r="AEQ70" s="29"/>
      <c r="AER70" s="29"/>
      <c r="AES70" s="29"/>
      <c r="AET70" s="29"/>
      <c r="AEU70" s="29"/>
      <c r="AEV70" s="29"/>
      <c r="AEW70" s="29"/>
      <c r="AEX70" s="29"/>
      <c r="AEY70" s="29"/>
      <c r="AEZ70" s="29"/>
      <c r="AFA70" s="29"/>
      <c r="AFB70" s="29"/>
      <c r="AFC70" s="29"/>
      <c r="AFD70" s="29"/>
      <c r="AFE70" s="29"/>
      <c r="AFF70" s="29"/>
      <c r="AFG70" s="29"/>
      <c r="AFH70" s="29"/>
      <c r="AFI70" s="29"/>
      <c r="AFJ70" s="29"/>
      <c r="AFK70" s="29"/>
      <c r="AFL70" s="29"/>
      <c r="AFM70" s="29"/>
      <c r="AFN70" s="29"/>
      <c r="AFO70" s="29"/>
      <c r="AFP70" s="29"/>
      <c r="AFQ70" s="29"/>
      <c r="AFR70" s="29"/>
      <c r="AFS70" s="29"/>
      <c r="AFT70" s="29"/>
      <c r="AFU70" s="29"/>
      <c r="AFV70" s="29"/>
      <c r="AFW70" s="29"/>
      <c r="AFX70" s="29"/>
      <c r="AFY70" s="29"/>
      <c r="AFZ70" s="29"/>
      <c r="AGA70" s="29"/>
      <c r="AGB70" s="29"/>
      <c r="AGC70" s="29"/>
      <c r="AGD70" s="29"/>
      <c r="AGE70" s="29"/>
      <c r="AGF70" s="29"/>
      <c r="AGG70" s="29"/>
      <c r="AGH70" s="29"/>
      <c r="AGI70" s="29"/>
      <c r="AGJ70" s="29"/>
      <c r="AGK70" s="29"/>
      <c r="AGL70" s="29"/>
      <c r="AGM70" s="29"/>
      <c r="AGN70" s="29"/>
      <c r="AGO70" s="29"/>
      <c r="AGP70" s="29"/>
      <c r="AGQ70" s="29"/>
      <c r="AGR70" s="29"/>
      <c r="AGS70" s="29"/>
      <c r="AGT70" s="29"/>
      <c r="AGU70" s="29"/>
      <c r="AGV70" s="29"/>
      <c r="AGW70" s="29"/>
      <c r="AGX70" s="29"/>
      <c r="AGY70" s="29"/>
      <c r="AGZ70" s="29"/>
      <c r="AHA70" s="29"/>
      <c r="AHB70" s="29"/>
      <c r="AHC70" s="29"/>
      <c r="AHD70" s="29"/>
      <c r="AHE70" s="29"/>
      <c r="AHF70" s="29"/>
      <c r="AHG70" s="29"/>
      <c r="AHH70" s="29"/>
      <c r="AHI70" s="29"/>
      <c r="AHJ70" s="29"/>
      <c r="AHK70" s="29"/>
      <c r="AHL70" s="29"/>
      <c r="AHM70" s="29"/>
      <c r="AHN70" s="29"/>
      <c r="AHO70" s="29"/>
      <c r="AHP70" s="29"/>
      <c r="AHQ70" s="29"/>
      <c r="AHR70" s="29"/>
      <c r="AHS70" s="29"/>
      <c r="AHT70" s="29"/>
      <c r="AHU70" s="29"/>
      <c r="AHV70" s="29"/>
      <c r="AHW70" s="29"/>
      <c r="AHX70" s="29"/>
      <c r="AHY70" s="29"/>
      <c r="AHZ70" s="29"/>
      <c r="AIA70" s="29"/>
      <c r="AIB70" s="29"/>
      <c r="AIC70" s="29"/>
      <c r="AID70" s="29"/>
      <c r="AIE70" s="29"/>
      <c r="AIF70" s="29"/>
      <c r="AIG70" s="29"/>
      <c r="AIH70" s="29"/>
      <c r="AII70" s="29"/>
      <c r="AIJ70" s="29"/>
      <c r="AIK70" s="29"/>
      <c r="AIL70" s="29"/>
      <c r="AIM70" s="29"/>
      <c r="AIN70" s="29"/>
      <c r="AIO70" s="29"/>
      <c r="AIP70" s="29"/>
      <c r="AIQ70" s="29"/>
      <c r="AIR70" s="29"/>
      <c r="AIS70" s="29"/>
      <c r="AIT70" s="29"/>
      <c r="AIU70" s="29"/>
      <c r="AIV70" s="29"/>
      <c r="AIW70" s="29"/>
      <c r="AIX70" s="29"/>
      <c r="AIY70" s="29"/>
      <c r="AIZ70" s="29"/>
      <c r="AJA70" s="29"/>
      <c r="AJB70" s="29"/>
      <c r="AJC70" s="29"/>
      <c r="AJD70" s="29"/>
      <c r="AJE70" s="29"/>
      <c r="AJF70" s="29"/>
      <c r="AJG70" s="29"/>
      <c r="AJH70" s="29"/>
      <c r="AJI70" s="29"/>
      <c r="AJJ70" s="29"/>
      <c r="AJK70" s="29"/>
      <c r="AJL70" s="29"/>
      <c r="AJM70" s="29"/>
      <c r="AJN70" s="29"/>
      <c r="AJO70" s="29"/>
      <c r="AJP70" s="29"/>
      <c r="AJQ70" s="29"/>
      <c r="AJR70" s="29"/>
      <c r="AJS70" s="29"/>
      <c r="AJT70" s="29"/>
      <c r="AJU70" s="29"/>
      <c r="AJV70" s="29"/>
      <c r="AJW70" s="29"/>
      <c r="AJX70" s="29"/>
      <c r="AJY70" s="29"/>
      <c r="AJZ70" s="29"/>
      <c r="AKA70" s="29"/>
      <c r="AKB70" s="29"/>
      <c r="AKC70" s="29"/>
      <c r="AKD70" s="29"/>
      <c r="AKE70" s="29"/>
      <c r="AKF70" s="29"/>
      <c r="AKG70" s="29"/>
      <c r="AKH70" s="29"/>
      <c r="AKI70" s="29"/>
      <c r="AKJ70" s="29"/>
      <c r="AKK70" s="29"/>
      <c r="AKL70" s="29"/>
      <c r="AKM70" s="29"/>
      <c r="AKN70" s="29"/>
      <c r="AKO70" s="29"/>
      <c r="AKP70" s="29"/>
      <c r="AKQ70" s="29"/>
      <c r="AKR70" s="29"/>
      <c r="AKS70" s="29"/>
      <c r="AKT70" s="29"/>
      <c r="AKU70" s="29"/>
      <c r="AKV70" s="29"/>
      <c r="AKW70" s="29"/>
      <c r="AKX70" s="29"/>
      <c r="AKY70" s="29"/>
      <c r="AKZ70" s="29"/>
      <c r="ALA70" s="29"/>
      <c r="ALB70" s="29"/>
      <c r="ALC70" s="29"/>
      <c r="ALD70" s="29"/>
      <c r="ALE70" s="29"/>
      <c r="ALF70" s="29"/>
      <c r="ALG70" s="29"/>
      <c r="ALH70" s="29"/>
      <c r="ALI70" s="29"/>
      <c r="ALJ70" s="29"/>
      <c r="ALK70" s="29"/>
      <c r="ALL70" s="29"/>
      <c r="ALM70" s="29"/>
      <c r="ALN70" s="29"/>
      <c r="ALO70" s="29"/>
      <c r="ALP70" s="29"/>
      <c r="ALQ70" s="29"/>
      <c r="ALR70" s="29"/>
      <c r="ALS70" s="29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  <c r="AMK70" s="29"/>
      <c r="AML70" s="29"/>
      <c r="AMM70" s="29"/>
      <c r="AMN70" s="29"/>
      <c r="AMO70" s="29"/>
      <c r="AMP70" s="29"/>
      <c r="AMQ70" s="29"/>
      <c r="AMR70" s="29"/>
      <c r="AMS70" s="29"/>
      <c r="AMT70" s="29"/>
      <c r="AMU70" s="29"/>
      <c r="AMV70" s="29"/>
      <c r="AMW70" s="29"/>
      <c r="AMX70" s="29"/>
      <c r="AMY70" s="29"/>
      <c r="AMZ70" s="29"/>
      <c r="ANA70" s="29"/>
      <c r="ANB70" s="29"/>
      <c r="ANC70" s="29"/>
      <c r="AND70" s="29"/>
      <c r="ANE70" s="29"/>
      <c r="ANF70" s="29"/>
      <c r="ANG70" s="29"/>
      <c r="ANH70" s="29"/>
      <c r="ANI70" s="29"/>
      <c r="ANJ70" s="29"/>
      <c r="ANK70" s="29"/>
      <c r="ANL70" s="29"/>
      <c r="ANM70" s="29"/>
      <c r="ANN70" s="29"/>
      <c r="ANO70" s="29"/>
      <c r="ANP70" s="29"/>
      <c r="ANQ70" s="29"/>
      <c r="ANR70" s="29"/>
      <c r="ANS70" s="29"/>
      <c r="ANT70" s="29"/>
      <c r="ANU70" s="29"/>
      <c r="ANV70" s="29"/>
      <c r="ANW70" s="29"/>
      <c r="ANX70" s="29"/>
      <c r="ANY70" s="29"/>
      <c r="ANZ70" s="29"/>
      <c r="AOA70" s="29"/>
      <c r="AOB70" s="29"/>
      <c r="AOC70" s="29"/>
      <c r="AOD70" s="29"/>
      <c r="AOE70" s="29"/>
      <c r="AOF70" s="29"/>
      <c r="AOG70" s="29"/>
      <c r="AOH70" s="29"/>
      <c r="AOI70" s="29"/>
      <c r="AOJ70" s="29"/>
      <c r="AOK70" s="29"/>
      <c r="AOL70" s="29"/>
      <c r="AOM70" s="29"/>
      <c r="AON70" s="29"/>
      <c r="AOO70" s="29"/>
      <c r="AOP70" s="29"/>
      <c r="AOQ70" s="29"/>
      <c r="AOR70" s="29"/>
      <c r="AOS70" s="29"/>
      <c r="AOT70" s="29"/>
      <c r="AOU70" s="29"/>
      <c r="AOV70" s="29"/>
      <c r="AOW70" s="29"/>
      <c r="AOX70" s="29"/>
      <c r="AOY70" s="29"/>
      <c r="AOZ70" s="29"/>
      <c r="APA70" s="29"/>
      <c r="APB70" s="29"/>
      <c r="APC70" s="29"/>
      <c r="APD70" s="29"/>
      <c r="APE70" s="29"/>
      <c r="APF70" s="29"/>
      <c r="APG70" s="29"/>
      <c r="APH70" s="29"/>
      <c r="API70" s="29"/>
      <c r="APJ70" s="29"/>
      <c r="APK70" s="29"/>
      <c r="APL70" s="29"/>
      <c r="APM70" s="29"/>
      <c r="APN70" s="29"/>
      <c r="APO70" s="29"/>
      <c r="APP70" s="29"/>
      <c r="APQ70" s="29"/>
      <c r="APR70" s="29"/>
      <c r="APS70" s="29"/>
      <c r="APT70" s="29"/>
      <c r="APU70" s="29"/>
      <c r="APV70" s="29"/>
      <c r="APW70" s="29"/>
      <c r="APX70" s="29"/>
      <c r="APY70" s="29"/>
      <c r="APZ70" s="29"/>
      <c r="AQA70" s="29"/>
      <c r="AQB70" s="29"/>
      <c r="AQC70" s="29"/>
      <c r="AQD70" s="29"/>
      <c r="AQE70" s="29"/>
      <c r="AQF70" s="29"/>
      <c r="AQG70" s="29"/>
      <c r="AQH70" s="29"/>
      <c r="AQI70" s="29"/>
      <c r="AQJ70" s="29"/>
      <c r="AQK70" s="29"/>
      <c r="AQL70" s="29"/>
      <c r="AQM70" s="29"/>
      <c r="AQN70" s="29"/>
      <c r="AQO70" s="29"/>
      <c r="AQP70" s="29"/>
      <c r="AQQ70" s="29"/>
      <c r="AQR70" s="29"/>
      <c r="AQS70" s="29"/>
      <c r="AQT70" s="29"/>
      <c r="AQU70" s="29"/>
      <c r="AQV70" s="29"/>
      <c r="AQW70" s="29"/>
      <c r="AQX70" s="29"/>
      <c r="AQY70" s="29"/>
      <c r="AQZ70" s="29"/>
      <c r="ARA70" s="29"/>
      <c r="ARB70" s="29"/>
      <c r="ARC70" s="29"/>
      <c r="ARD70" s="29"/>
      <c r="ARE70" s="29"/>
      <c r="ARF70" s="29"/>
      <c r="ARG70" s="29"/>
      <c r="ARH70" s="29"/>
      <c r="ARI70" s="29"/>
      <c r="ARJ70" s="29"/>
      <c r="ARK70" s="29"/>
      <c r="ARL70" s="29"/>
      <c r="ARM70" s="29"/>
      <c r="ARN70" s="29"/>
      <c r="ARO70" s="29"/>
      <c r="ARP70" s="29"/>
      <c r="ARQ70" s="29"/>
      <c r="ARR70" s="29"/>
      <c r="ARS70" s="29"/>
      <c r="ART70" s="29"/>
      <c r="ARU70" s="29"/>
      <c r="ARV70" s="29"/>
      <c r="ARW70" s="29"/>
      <c r="ARX70" s="29"/>
      <c r="ARY70" s="29"/>
      <c r="ARZ70" s="29"/>
      <c r="ASA70" s="29"/>
      <c r="ASB70" s="29"/>
      <c r="ASC70" s="29"/>
      <c r="ASD70" s="29"/>
      <c r="ASE70" s="29"/>
      <c r="ASF70" s="29"/>
      <c r="ASG70" s="29"/>
      <c r="ASH70" s="29"/>
      <c r="ASI70" s="29"/>
      <c r="ASJ70" s="29"/>
      <c r="ASK70" s="29"/>
      <c r="ASL70" s="29"/>
      <c r="ASM70" s="29"/>
      <c r="ASN70" s="29"/>
      <c r="ASO70" s="29"/>
      <c r="ASP70" s="29"/>
      <c r="ASQ70" s="29"/>
      <c r="ASR70" s="29"/>
      <c r="ASS70" s="29"/>
      <c r="AST70" s="29"/>
      <c r="ASU70" s="29"/>
      <c r="ASV70" s="29"/>
      <c r="ASW70" s="29"/>
      <c r="ASX70" s="29"/>
      <c r="ASY70" s="29"/>
      <c r="ASZ70" s="29"/>
      <c r="ATA70" s="29"/>
      <c r="ATB70" s="29"/>
      <c r="ATC70" s="29"/>
      <c r="ATD70" s="29"/>
      <c r="ATE70" s="29"/>
      <c r="ATF70" s="29"/>
      <c r="ATG70" s="29"/>
      <c r="ATH70" s="29"/>
      <c r="ATI70" s="29"/>
      <c r="ATJ70" s="29"/>
      <c r="ATK70" s="29"/>
      <c r="ATL70" s="29"/>
      <c r="ATM70" s="29"/>
      <c r="ATN70" s="29"/>
      <c r="ATO70" s="29"/>
      <c r="ATP70" s="29"/>
      <c r="ATQ70" s="29"/>
      <c r="ATR70" s="29"/>
      <c r="ATS70" s="29"/>
      <c r="ATT70" s="29"/>
      <c r="ATU70" s="29"/>
      <c r="ATV70" s="29"/>
      <c r="ATW70" s="29"/>
      <c r="ATX70" s="29"/>
      <c r="ATY70" s="29"/>
      <c r="ATZ70" s="29"/>
      <c r="AUA70" s="29"/>
      <c r="AUB70" s="29"/>
      <c r="AUC70" s="29"/>
      <c r="AUD70" s="29"/>
      <c r="AUE70" s="29"/>
      <c r="AUF70" s="29"/>
      <c r="AUG70" s="29"/>
      <c r="AUH70" s="29"/>
      <c r="AUI70" s="29"/>
      <c r="AUJ70" s="29"/>
      <c r="AUK70" s="29"/>
      <c r="AUL70" s="29"/>
      <c r="AUM70" s="29"/>
      <c r="AUN70" s="29"/>
      <c r="AUO70" s="29"/>
      <c r="AUP70" s="29"/>
      <c r="AUQ70" s="29"/>
      <c r="AUR70" s="29"/>
      <c r="AUS70" s="29"/>
      <c r="AUT70" s="29"/>
      <c r="AUU70" s="29"/>
      <c r="AUV70" s="29"/>
      <c r="AUW70" s="29"/>
      <c r="AUX70" s="29"/>
      <c r="AUY70" s="29"/>
      <c r="AUZ70" s="29"/>
      <c r="AVA70" s="29"/>
      <c r="AVB70" s="29"/>
      <c r="AVC70" s="29"/>
      <c r="AVD70" s="29"/>
      <c r="AVE70" s="29"/>
      <c r="AVF70" s="29"/>
      <c r="AVG70" s="29"/>
      <c r="AVH70" s="29"/>
      <c r="AVI70" s="29"/>
      <c r="AVJ70" s="29"/>
      <c r="AVK70" s="29"/>
      <c r="AVL70" s="29"/>
      <c r="AVM70" s="29"/>
      <c r="AVN70" s="29"/>
      <c r="AVO70" s="29"/>
      <c r="AVP70" s="29"/>
      <c r="AVQ70" s="29"/>
      <c r="AVR70" s="29"/>
      <c r="AVS70" s="29"/>
      <c r="AVT70" s="29"/>
      <c r="AVU70" s="29"/>
      <c r="AVV70" s="29"/>
      <c r="AVW70" s="29"/>
      <c r="AVX70" s="29"/>
      <c r="AVY70" s="29"/>
      <c r="AVZ70" s="29"/>
      <c r="AWA70" s="29"/>
      <c r="AWB70" s="29"/>
      <c r="AWC70" s="29"/>
      <c r="AWD70" s="29"/>
      <c r="AWE70" s="29"/>
      <c r="AWF70" s="29"/>
      <c r="AWG70" s="29"/>
      <c r="AWH70" s="29"/>
      <c r="AWI70" s="29"/>
      <c r="AWJ70" s="29"/>
      <c r="AWK70" s="29"/>
      <c r="AWL70" s="29"/>
      <c r="AWM70" s="29"/>
      <c r="AWN70" s="29"/>
      <c r="AWO70" s="29"/>
      <c r="AWP70" s="29"/>
      <c r="AWQ70" s="29"/>
      <c r="AWR70" s="29"/>
      <c r="AWS70" s="29"/>
      <c r="AWT70" s="29"/>
      <c r="AWU70" s="29"/>
      <c r="AWV70" s="29"/>
      <c r="AWW70" s="29"/>
      <c r="AWX70" s="29"/>
      <c r="AWY70" s="29"/>
      <c r="AWZ70" s="29"/>
      <c r="AXA70" s="29"/>
      <c r="AXB70" s="29"/>
      <c r="AXC70" s="29"/>
      <c r="AXD70" s="29"/>
      <c r="AXE70" s="29"/>
      <c r="AXF70" s="29"/>
      <c r="AXG70" s="29"/>
      <c r="AXH70" s="29"/>
      <c r="AXI70" s="29"/>
      <c r="AXJ70" s="29"/>
      <c r="AXK70" s="29"/>
      <c r="AXL70" s="29"/>
      <c r="AXM70" s="29"/>
      <c r="AXN70" s="29"/>
      <c r="AXO70" s="29"/>
      <c r="AXP70" s="29"/>
      <c r="AXQ70" s="29"/>
      <c r="AXR70" s="29"/>
      <c r="AXS70" s="29"/>
      <c r="AXT70" s="29"/>
      <c r="AXU70" s="29"/>
      <c r="AXV70" s="29"/>
      <c r="AXW70" s="29"/>
      <c r="AXX70" s="29"/>
      <c r="AXY70" s="29"/>
      <c r="AXZ70" s="29"/>
      <c r="AYA70" s="29"/>
      <c r="AYB70" s="29"/>
      <c r="AYC70" s="29"/>
      <c r="AYD70" s="29"/>
      <c r="AYE70" s="29"/>
      <c r="AYF70" s="29"/>
      <c r="AYG70" s="29"/>
      <c r="AYH70" s="29"/>
      <c r="AYI70" s="29"/>
      <c r="AYJ70" s="29"/>
      <c r="AYK70" s="29"/>
      <c r="AYL70" s="29"/>
      <c r="AYM70" s="29"/>
      <c r="AYN70" s="29"/>
      <c r="AYO70" s="29"/>
      <c r="AYP70" s="29"/>
      <c r="AYQ70" s="29"/>
      <c r="AYR70" s="29"/>
      <c r="AYS70" s="29"/>
      <c r="AYT70" s="29"/>
      <c r="AYU70" s="29"/>
      <c r="AYV70" s="29"/>
      <c r="AYW70" s="29"/>
      <c r="AYX70" s="29"/>
      <c r="AYY70" s="29"/>
      <c r="AYZ70" s="29"/>
      <c r="AZA70" s="29"/>
      <c r="AZB70" s="29"/>
      <c r="AZC70" s="29"/>
      <c r="AZD70" s="29"/>
      <c r="AZE70" s="29"/>
      <c r="AZF70" s="29"/>
      <c r="AZG70" s="29"/>
      <c r="AZH70" s="29"/>
      <c r="AZI70" s="29"/>
      <c r="AZJ70" s="29"/>
      <c r="AZK70" s="29"/>
      <c r="AZL70" s="29"/>
      <c r="AZM70" s="29"/>
      <c r="AZN70" s="29"/>
      <c r="AZO70" s="29"/>
      <c r="AZP70" s="29"/>
      <c r="AZQ70" s="29"/>
      <c r="AZR70" s="29"/>
      <c r="AZS70" s="29"/>
      <c r="AZT70" s="29"/>
      <c r="AZU70" s="29"/>
      <c r="AZV70" s="29"/>
      <c r="AZW70" s="29"/>
      <c r="AZX70" s="29"/>
      <c r="AZY70" s="29"/>
      <c r="AZZ70" s="29"/>
      <c r="BAA70" s="29"/>
      <c r="BAB70" s="29"/>
      <c r="BAC70" s="29"/>
      <c r="BAD70" s="29"/>
      <c r="BAE70" s="29"/>
      <c r="BAF70" s="29"/>
      <c r="BAG70" s="29"/>
      <c r="BAH70" s="29"/>
      <c r="BAI70" s="29"/>
      <c r="BAJ70" s="29"/>
      <c r="BAK70" s="29"/>
      <c r="BAL70" s="29"/>
      <c r="BAM70" s="29"/>
      <c r="BAN70" s="29"/>
      <c r="BAO70" s="29"/>
      <c r="BAP70" s="29"/>
      <c r="BAQ70" s="29"/>
      <c r="BAR70" s="29"/>
      <c r="BAS70" s="29"/>
      <c r="BAT70" s="29"/>
      <c r="BAU70" s="29"/>
      <c r="BAV70" s="29"/>
      <c r="BAW70" s="29"/>
      <c r="BAX70" s="29"/>
      <c r="BAY70" s="29"/>
      <c r="BAZ70" s="29"/>
      <c r="BBA70" s="29"/>
      <c r="BBB70" s="29"/>
      <c r="BBC70" s="29"/>
      <c r="BBD70" s="29"/>
      <c r="BBE70" s="29"/>
      <c r="BBF70" s="29"/>
      <c r="BBG70" s="29"/>
      <c r="BBH70" s="29"/>
      <c r="BBI70" s="29"/>
      <c r="BBJ70" s="29"/>
      <c r="BBK70" s="29"/>
      <c r="BBL70" s="29"/>
      <c r="BBM70" s="29"/>
      <c r="BBN70" s="29"/>
      <c r="BBO70" s="29"/>
      <c r="BBP70" s="29"/>
      <c r="BBQ70" s="29"/>
      <c r="BBR70" s="29"/>
      <c r="BBS70" s="29"/>
      <c r="BBT70" s="29"/>
      <c r="BBU70" s="29"/>
      <c r="BBV70" s="29"/>
      <c r="BBW70" s="29"/>
      <c r="BBX70" s="29"/>
      <c r="BBY70" s="29"/>
      <c r="BBZ70" s="29"/>
      <c r="BCA70" s="29"/>
      <c r="BCB70" s="29"/>
      <c r="BCC70" s="29"/>
      <c r="BCD70" s="29"/>
      <c r="BCE70" s="29"/>
      <c r="BCF70" s="29"/>
      <c r="BCG70" s="29"/>
      <c r="BCH70" s="29"/>
      <c r="BCI70" s="29"/>
      <c r="BCJ70" s="29"/>
      <c r="BCK70" s="29"/>
      <c r="BCL70" s="29"/>
      <c r="BCM70" s="29"/>
      <c r="BCN70" s="29"/>
      <c r="BCO70" s="29"/>
      <c r="BCP70" s="29"/>
      <c r="BCQ70" s="29"/>
      <c r="BCR70" s="29"/>
      <c r="BCS70" s="29"/>
      <c r="BCT70" s="29"/>
      <c r="BCU70" s="29"/>
      <c r="BCV70" s="29"/>
      <c r="BCW70" s="29"/>
      <c r="BCX70" s="29"/>
      <c r="BCY70" s="29"/>
      <c r="BCZ70" s="29"/>
      <c r="BDA70" s="29"/>
      <c r="BDB70" s="29"/>
      <c r="BDC70" s="29"/>
      <c r="BDD70" s="29"/>
      <c r="BDE70" s="29"/>
      <c r="BDF70" s="29"/>
      <c r="BDG70" s="29"/>
      <c r="BDH70" s="29"/>
      <c r="BDI70" s="29"/>
      <c r="BDJ70" s="29"/>
      <c r="BDK70" s="29"/>
      <c r="BDL70" s="29"/>
      <c r="BDM70" s="29"/>
      <c r="BDN70" s="29"/>
      <c r="BDO70" s="29"/>
      <c r="BDP70" s="29"/>
      <c r="BDQ70" s="29"/>
      <c r="BDR70" s="29"/>
      <c r="BDS70" s="29"/>
      <c r="BDT70" s="29"/>
      <c r="BDU70" s="29"/>
      <c r="BDV70" s="29"/>
      <c r="BDW70" s="29"/>
      <c r="BDX70" s="29"/>
      <c r="BDY70" s="29"/>
      <c r="BDZ70" s="29"/>
      <c r="BEA70" s="29"/>
      <c r="BEB70" s="29"/>
      <c r="BEC70" s="29"/>
      <c r="BED70" s="29"/>
      <c r="BEE70" s="29"/>
      <c r="BEF70" s="29"/>
      <c r="BEG70" s="29"/>
      <c r="BEH70" s="29"/>
      <c r="BEI70" s="29"/>
      <c r="BEJ70" s="29"/>
      <c r="BEK70" s="29"/>
      <c r="BEL70" s="29"/>
      <c r="BEM70" s="29"/>
      <c r="BEN70" s="29"/>
      <c r="BEO70" s="29"/>
      <c r="BEP70" s="29"/>
      <c r="BEQ70" s="29"/>
      <c r="BER70" s="29"/>
      <c r="BES70" s="29"/>
      <c r="BET70" s="29"/>
      <c r="BEU70" s="29"/>
      <c r="BEV70" s="29"/>
      <c r="BEW70" s="29"/>
      <c r="BEX70" s="29"/>
      <c r="BEY70" s="29"/>
      <c r="BEZ70" s="29"/>
      <c r="BFA70" s="29"/>
      <c r="BFB70" s="29"/>
      <c r="BFC70" s="29"/>
      <c r="BFD70" s="29"/>
      <c r="BFE70" s="29"/>
      <c r="BFF70" s="29"/>
      <c r="BFG70" s="29"/>
      <c r="BFH70" s="29"/>
      <c r="BFI70" s="29"/>
      <c r="BFJ70" s="29"/>
      <c r="BFK70" s="29"/>
      <c r="BFL70" s="29"/>
      <c r="BFM70" s="29"/>
      <c r="BFN70" s="29"/>
      <c r="BFO70" s="29"/>
      <c r="BFP70" s="29"/>
      <c r="BFQ70" s="29"/>
      <c r="BFR70" s="29"/>
      <c r="BFS70" s="29"/>
      <c r="BFT70" s="29"/>
      <c r="BFU70" s="29"/>
      <c r="BFV70" s="29"/>
      <c r="BFW70" s="29"/>
      <c r="BFX70" s="29"/>
      <c r="BFY70" s="29"/>
      <c r="BFZ70" s="29"/>
      <c r="BGA70" s="29"/>
      <c r="BGB70" s="29"/>
      <c r="BGC70" s="29"/>
      <c r="BGD70" s="29"/>
      <c r="BGE70" s="29"/>
      <c r="BGF70" s="29"/>
      <c r="BGG70" s="29"/>
      <c r="BGH70" s="29"/>
      <c r="BGI70" s="29"/>
      <c r="BGJ70" s="29"/>
      <c r="BGK70" s="29"/>
      <c r="BGL70" s="29"/>
      <c r="BGM70" s="29"/>
      <c r="BGN70" s="29"/>
      <c r="BGO70" s="29"/>
      <c r="BGP70" s="29"/>
      <c r="BGQ70" s="29"/>
      <c r="BGR70" s="29"/>
      <c r="BGS70" s="29"/>
      <c r="BGT70" s="29"/>
      <c r="BGU70" s="29"/>
      <c r="BGV70" s="29"/>
      <c r="BGW70" s="29"/>
      <c r="BGX70" s="29"/>
      <c r="BGY70" s="29"/>
      <c r="BGZ70" s="29"/>
      <c r="BHA70" s="29"/>
      <c r="BHB70" s="29"/>
      <c r="BHC70" s="29"/>
      <c r="BHD70" s="29"/>
      <c r="BHE70" s="29"/>
      <c r="BHF70" s="29"/>
      <c r="BHG70" s="29"/>
      <c r="BHH70" s="29"/>
      <c r="BHI70" s="29"/>
      <c r="BHJ70" s="29"/>
      <c r="BHK70" s="29"/>
      <c r="BHL70" s="29"/>
      <c r="BHM70" s="29"/>
      <c r="BHN70" s="29"/>
      <c r="BHO70" s="29"/>
      <c r="BHP70" s="29"/>
      <c r="BHQ70" s="29"/>
      <c r="BHR70" s="29"/>
      <c r="BHS70" s="29"/>
      <c r="BHT70" s="29"/>
      <c r="BHU70" s="29"/>
      <c r="BHV70" s="29"/>
      <c r="BHW70" s="29"/>
      <c r="BHX70" s="29"/>
      <c r="BHY70" s="29"/>
      <c r="BHZ70" s="29"/>
      <c r="BIA70" s="29"/>
      <c r="BIB70" s="29"/>
      <c r="BIC70" s="29"/>
      <c r="BID70" s="29"/>
      <c r="BIE70" s="29"/>
      <c r="BIF70" s="29"/>
      <c r="BIG70" s="29"/>
      <c r="BIH70" s="29"/>
      <c r="BII70" s="29"/>
      <c r="BIJ70" s="29"/>
      <c r="BIK70" s="29"/>
      <c r="BIL70" s="29"/>
      <c r="BIM70" s="29"/>
      <c r="BIN70" s="29"/>
      <c r="BIO70" s="29"/>
      <c r="BIP70" s="29"/>
      <c r="BIQ70" s="29"/>
      <c r="BIR70" s="29"/>
      <c r="BIS70" s="29"/>
      <c r="BIT70" s="29"/>
      <c r="BIU70" s="29"/>
      <c r="BIV70" s="29"/>
      <c r="BIW70" s="29"/>
      <c r="BIX70" s="29"/>
      <c r="BIY70" s="29"/>
      <c r="BIZ70" s="29"/>
      <c r="BJA70" s="29"/>
      <c r="BJB70" s="29"/>
      <c r="BJC70" s="29"/>
      <c r="BJD70" s="29"/>
      <c r="BJE70" s="29"/>
      <c r="BJF70" s="29"/>
      <c r="BJG70" s="29"/>
      <c r="BJH70" s="29"/>
      <c r="BJI70" s="29"/>
      <c r="BJJ70" s="29"/>
      <c r="BJK70" s="29"/>
      <c r="BJL70" s="29"/>
      <c r="BJM70" s="29"/>
      <c r="BJN70" s="29"/>
      <c r="BJO70" s="29"/>
      <c r="BJP70" s="29"/>
      <c r="BJQ70" s="29"/>
      <c r="BJR70" s="29"/>
      <c r="BJS70" s="29"/>
      <c r="BJT70" s="29"/>
      <c r="BJU70" s="29"/>
      <c r="BJV70" s="29"/>
      <c r="BJW70" s="29"/>
      <c r="BJX70" s="29"/>
      <c r="BJY70" s="29"/>
      <c r="BJZ70" s="29"/>
      <c r="BKA70" s="29"/>
      <c r="BKB70" s="29"/>
      <c r="BKC70" s="29"/>
      <c r="BKD70" s="29"/>
      <c r="BKE70" s="29"/>
      <c r="BKF70" s="29"/>
      <c r="BKG70" s="29"/>
      <c r="BKH70" s="29"/>
      <c r="BKI70" s="29"/>
      <c r="BKJ70" s="29"/>
      <c r="BKK70" s="29"/>
      <c r="BKL70" s="29"/>
      <c r="BKM70" s="29"/>
      <c r="BKN70" s="29"/>
      <c r="BKO70" s="29"/>
      <c r="BKP70" s="29"/>
      <c r="BKQ70" s="29"/>
      <c r="BKR70" s="29"/>
      <c r="BKS70" s="29"/>
      <c r="BKT70" s="29"/>
      <c r="BKU70" s="29"/>
      <c r="BKV70" s="29"/>
      <c r="BKW70" s="29"/>
      <c r="BKX70" s="29"/>
      <c r="BKY70" s="29"/>
      <c r="BKZ70" s="29"/>
      <c r="BLA70" s="29"/>
      <c r="BLB70" s="29"/>
      <c r="BLC70" s="29"/>
      <c r="BLD70" s="29"/>
      <c r="BLE70" s="29"/>
      <c r="BLF70" s="29"/>
      <c r="BLG70" s="29"/>
      <c r="BLH70" s="29"/>
      <c r="BLI70" s="29"/>
      <c r="BLJ70" s="29"/>
      <c r="BLK70" s="29"/>
      <c r="BLL70" s="29"/>
      <c r="BLM70" s="29"/>
      <c r="BLN70" s="29"/>
      <c r="BLO70" s="29"/>
      <c r="BLP70" s="29"/>
      <c r="BLQ70" s="29"/>
      <c r="BLR70" s="29"/>
      <c r="BLS70" s="29"/>
      <c r="BLT70" s="29"/>
      <c r="BLU70" s="29"/>
      <c r="BLV70" s="29"/>
      <c r="BLW70" s="29"/>
      <c r="BLX70" s="29"/>
      <c r="BLY70" s="29"/>
      <c r="BLZ70" s="29"/>
      <c r="BMA70" s="29"/>
      <c r="BMB70" s="29"/>
      <c r="BMC70" s="29"/>
      <c r="BMD70" s="29"/>
      <c r="BME70" s="29"/>
      <c r="BMF70" s="29"/>
      <c r="BMG70" s="29"/>
      <c r="BMH70" s="29"/>
      <c r="BMI70" s="29"/>
      <c r="BMJ70" s="29"/>
      <c r="BMK70" s="29"/>
      <c r="BML70" s="29"/>
      <c r="BMM70" s="29"/>
      <c r="BMN70" s="29"/>
      <c r="BMO70" s="29"/>
      <c r="BMP70" s="29"/>
      <c r="BMQ70" s="29"/>
      <c r="BMR70" s="29"/>
      <c r="BMS70" s="29"/>
      <c r="BMT70" s="29"/>
      <c r="BMU70" s="29"/>
      <c r="BMV70" s="29"/>
      <c r="BMW70" s="29"/>
      <c r="BMX70" s="29"/>
      <c r="BMY70" s="29"/>
      <c r="BMZ70" s="29"/>
      <c r="BNA70" s="29"/>
      <c r="BNB70" s="29"/>
      <c r="BNC70" s="29"/>
      <c r="BND70" s="29"/>
      <c r="BNE70" s="29"/>
      <c r="BNF70" s="29"/>
      <c r="BNG70" s="29"/>
      <c r="BNH70" s="29"/>
      <c r="BNI70" s="29"/>
      <c r="BNJ70" s="29"/>
      <c r="BNK70" s="29"/>
      <c r="BNL70" s="29"/>
      <c r="BNM70" s="29"/>
      <c r="BNN70" s="29"/>
      <c r="BNO70" s="29"/>
      <c r="BNP70" s="29"/>
      <c r="BNQ70" s="29"/>
      <c r="BNR70" s="29"/>
      <c r="BNS70" s="29"/>
      <c r="BNT70" s="29"/>
      <c r="BNU70" s="29"/>
      <c r="BNV70" s="29"/>
      <c r="BNW70" s="29"/>
      <c r="BNX70" s="29"/>
      <c r="BNY70" s="29"/>
      <c r="BNZ70" s="29"/>
      <c r="BOA70" s="29"/>
      <c r="BOB70" s="29"/>
      <c r="BOC70" s="29"/>
      <c r="BOD70" s="29"/>
      <c r="BOE70" s="29"/>
      <c r="BOF70" s="29"/>
      <c r="BOG70" s="29"/>
      <c r="BOH70" s="29"/>
      <c r="BOI70" s="29"/>
      <c r="BOJ70" s="29"/>
      <c r="BOK70" s="29"/>
      <c r="BOL70" s="29"/>
      <c r="BOM70" s="29"/>
      <c r="BON70" s="29"/>
      <c r="BOO70" s="29"/>
      <c r="BOP70" s="29"/>
      <c r="BOQ70" s="29"/>
      <c r="BOR70" s="29"/>
      <c r="BOS70" s="29"/>
      <c r="BOT70" s="29"/>
      <c r="BOU70" s="29"/>
      <c r="BOV70" s="29"/>
      <c r="BOW70" s="29"/>
      <c r="BOX70" s="29"/>
      <c r="BOY70" s="29"/>
      <c r="BOZ70" s="29"/>
      <c r="BPA70" s="29"/>
      <c r="BPB70" s="29"/>
      <c r="BPC70" s="29"/>
      <c r="BPD70" s="29"/>
      <c r="BPE70" s="29"/>
      <c r="BPF70" s="29"/>
      <c r="BPG70" s="29"/>
      <c r="BPH70" s="29"/>
      <c r="BPI70" s="29"/>
      <c r="BPJ70" s="29"/>
      <c r="BPK70" s="29"/>
      <c r="BPL70" s="29"/>
      <c r="BPM70" s="29"/>
      <c r="BPN70" s="29"/>
      <c r="BPO70" s="29"/>
      <c r="BPP70" s="29"/>
      <c r="BPQ70" s="29"/>
      <c r="BPR70" s="29"/>
      <c r="BPS70" s="29"/>
      <c r="BPT70" s="29"/>
      <c r="BPU70" s="29"/>
      <c r="BPV70" s="29"/>
      <c r="BPW70" s="29"/>
      <c r="BPX70" s="29"/>
      <c r="BPY70" s="29"/>
      <c r="BPZ70" s="29"/>
      <c r="BQA70" s="29"/>
      <c r="BQB70" s="29"/>
      <c r="BQC70" s="29"/>
      <c r="BQD70" s="29"/>
      <c r="BQE70" s="29"/>
      <c r="BQF70" s="29"/>
      <c r="BQG70" s="29"/>
      <c r="BQH70" s="29"/>
      <c r="BQI70" s="29"/>
      <c r="BQJ70" s="29"/>
      <c r="BQK70" s="29"/>
      <c r="BQL70" s="29"/>
      <c r="BQM70" s="29"/>
      <c r="BQN70" s="29"/>
      <c r="BQO70" s="29"/>
      <c r="BQP70" s="29"/>
      <c r="BQQ70" s="29"/>
      <c r="BQR70" s="29"/>
      <c r="BQS70" s="29"/>
      <c r="BQT70" s="29"/>
      <c r="BQU70" s="29"/>
      <c r="BQV70" s="29"/>
      <c r="BQW70" s="29"/>
      <c r="BQX70" s="29"/>
      <c r="BQY70" s="29"/>
      <c r="BQZ70" s="29"/>
      <c r="BRA70" s="29"/>
      <c r="BRB70" s="29"/>
      <c r="BRC70" s="29"/>
      <c r="BRD70" s="29"/>
      <c r="BRE70" s="29"/>
      <c r="BRF70" s="29"/>
      <c r="BRG70" s="29"/>
      <c r="BRH70" s="29"/>
      <c r="BRI70" s="29"/>
      <c r="BRJ70" s="29"/>
      <c r="BRK70" s="29"/>
      <c r="BRL70" s="29"/>
      <c r="BRM70" s="29"/>
      <c r="BRN70" s="29"/>
      <c r="BRO70" s="29"/>
      <c r="BRP70" s="29"/>
      <c r="BRQ70" s="29"/>
      <c r="BRR70" s="29"/>
      <c r="BRS70" s="29"/>
      <c r="BRT70" s="29"/>
      <c r="BRU70" s="29"/>
      <c r="BRV70" s="29"/>
      <c r="BRW70" s="29"/>
      <c r="BRX70" s="29"/>
      <c r="BRY70" s="29"/>
      <c r="BRZ70" s="29"/>
      <c r="BSA70" s="29"/>
      <c r="BSB70" s="29"/>
      <c r="BSC70" s="29"/>
      <c r="BSD70" s="29"/>
      <c r="BSE70" s="29"/>
      <c r="BSF70" s="29"/>
      <c r="BSG70" s="29"/>
      <c r="BSH70" s="29"/>
      <c r="BSI70" s="29"/>
      <c r="BSJ70" s="29"/>
      <c r="BSK70" s="29"/>
      <c r="BSL70" s="29"/>
      <c r="BSM70" s="29"/>
      <c r="BSN70" s="29"/>
      <c r="BSO70" s="29"/>
      <c r="BSP70" s="29"/>
      <c r="BSQ70" s="29"/>
      <c r="BSR70" s="29"/>
      <c r="BSS70" s="29"/>
      <c r="BST70" s="29"/>
      <c r="BSU70" s="29"/>
      <c r="BSV70" s="29"/>
      <c r="BSW70" s="29"/>
      <c r="BSX70" s="29"/>
      <c r="BSY70" s="29"/>
      <c r="BSZ70" s="29"/>
      <c r="BTA70" s="29"/>
      <c r="BTB70" s="29"/>
      <c r="BTC70" s="29"/>
      <c r="BTD70" s="29"/>
      <c r="BTE70" s="29"/>
      <c r="BTF70" s="29"/>
      <c r="BTG70" s="29"/>
      <c r="BTH70" s="29"/>
      <c r="BTI70" s="29"/>
      <c r="BTJ70" s="29"/>
      <c r="BTK70" s="29"/>
      <c r="BTL70" s="29"/>
      <c r="BTM70" s="29"/>
      <c r="BTN70" s="29"/>
      <c r="BTO70" s="29"/>
      <c r="BTP70" s="29"/>
      <c r="BTQ70" s="29"/>
      <c r="BTR70" s="29"/>
      <c r="BTS70" s="29"/>
      <c r="BTT70" s="29"/>
      <c r="BTU70" s="29"/>
      <c r="BTV70" s="29"/>
      <c r="BTW70" s="29"/>
      <c r="BTX70" s="29"/>
      <c r="BTY70" s="29"/>
      <c r="BTZ70" s="29"/>
      <c r="BUA70" s="29"/>
      <c r="BUB70" s="29"/>
      <c r="BUC70" s="29"/>
      <c r="BUD70" s="29"/>
      <c r="BUE70" s="29"/>
      <c r="BUF70" s="29"/>
      <c r="BUG70" s="29"/>
      <c r="BUH70" s="29"/>
      <c r="BUI70" s="29"/>
      <c r="BUJ70" s="29"/>
      <c r="BUK70" s="29"/>
      <c r="BUL70" s="29"/>
      <c r="BUM70" s="29"/>
      <c r="BUN70" s="29"/>
      <c r="BUO70" s="29"/>
      <c r="BUP70" s="29"/>
      <c r="BUQ70" s="29"/>
      <c r="BUR70" s="29"/>
      <c r="BUS70" s="29"/>
      <c r="BUT70" s="29"/>
      <c r="BUU70" s="29"/>
      <c r="BUV70" s="29"/>
      <c r="BUW70" s="29"/>
      <c r="BUX70" s="29"/>
      <c r="BUY70" s="29"/>
      <c r="BUZ70" s="29"/>
      <c r="BVA70" s="29"/>
      <c r="BVB70" s="29"/>
      <c r="BVC70" s="29"/>
      <c r="BVD70" s="29"/>
      <c r="BVE70" s="29"/>
      <c r="BVF70" s="29"/>
      <c r="BVG70" s="29"/>
      <c r="BVH70" s="29"/>
      <c r="BVI70" s="29"/>
      <c r="BVJ70" s="29"/>
      <c r="BVK70" s="29"/>
      <c r="BVL70" s="29"/>
      <c r="BVM70" s="29"/>
      <c r="BVN70" s="29"/>
      <c r="BVO70" s="29"/>
      <c r="BVP70" s="29"/>
      <c r="BVQ70" s="29"/>
      <c r="BVR70" s="29"/>
      <c r="BVS70" s="29"/>
      <c r="BVT70" s="29"/>
      <c r="BVU70" s="29"/>
      <c r="BVV70" s="29"/>
      <c r="BVW70" s="29"/>
      <c r="BVX70" s="29"/>
      <c r="BVY70" s="29"/>
      <c r="BVZ70" s="29"/>
      <c r="BWA70" s="29"/>
      <c r="BWB70" s="29"/>
      <c r="BWC70" s="29"/>
      <c r="BWD70" s="29"/>
      <c r="BWE70" s="29"/>
      <c r="BWF70" s="29"/>
      <c r="BWG70" s="29"/>
      <c r="BWH70" s="29"/>
      <c r="BWI70" s="29"/>
      <c r="BWJ70" s="29"/>
      <c r="BWK70" s="29"/>
      <c r="BWL70" s="29"/>
      <c r="BWM70" s="29"/>
      <c r="BWN70" s="29"/>
      <c r="BWO70" s="29"/>
      <c r="BWP70" s="29"/>
      <c r="BWQ70" s="29"/>
      <c r="BWR70" s="29"/>
      <c r="BWS70" s="29"/>
      <c r="BWT70" s="29"/>
      <c r="BWU70" s="29"/>
      <c r="BWV70" s="29"/>
      <c r="BWW70" s="29"/>
      <c r="BWX70" s="29"/>
      <c r="BWY70" s="29"/>
      <c r="BWZ70" s="29"/>
      <c r="BXA70" s="29"/>
      <c r="BXB70" s="29"/>
      <c r="BXC70" s="29"/>
      <c r="BXD70" s="29"/>
      <c r="BXE70" s="29"/>
      <c r="BXF70" s="29"/>
      <c r="BXG70" s="29"/>
      <c r="BXH70" s="29"/>
      <c r="BXI70" s="29"/>
      <c r="BXJ70" s="29"/>
      <c r="BXK70" s="29"/>
      <c r="BXL70" s="29"/>
      <c r="BXM70" s="29"/>
      <c r="BXN70" s="29"/>
      <c r="BXO70" s="29"/>
      <c r="BXP70" s="29"/>
      <c r="BXQ70" s="29"/>
      <c r="BXR70" s="29"/>
      <c r="BXS70" s="29"/>
      <c r="BXT70" s="29"/>
      <c r="BXU70" s="29"/>
      <c r="BXV70" s="29"/>
      <c r="BXW70" s="29"/>
      <c r="BXX70" s="29"/>
      <c r="BXY70" s="29"/>
      <c r="BXZ70" s="29"/>
      <c r="BYA70" s="29"/>
      <c r="BYB70" s="29"/>
      <c r="BYC70" s="29"/>
      <c r="BYD70" s="29"/>
      <c r="BYE70" s="29"/>
      <c r="BYF70" s="29"/>
      <c r="BYG70" s="29"/>
      <c r="BYH70" s="29"/>
      <c r="BYI70" s="29"/>
      <c r="BYJ70" s="29"/>
      <c r="BYK70" s="29"/>
      <c r="BYL70" s="29"/>
      <c r="BYM70" s="29"/>
      <c r="BYN70" s="29"/>
      <c r="BYO70" s="29"/>
      <c r="BYP70" s="29"/>
      <c r="BYQ70" s="29"/>
      <c r="BYR70" s="29"/>
      <c r="BYS70" s="29"/>
      <c r="BYT70" s="29"/>
      <c r="BYU70" s="29"/>
      <c r="BYV70" s="29"/>
      <c r="BYW70" s="29"/>
      <c r="BYX70" s="29"/>
      <c r="BYY70" s="29"/>
      <c r="BYZ70" s="29"/>
      <c r="BZA70" s="29"/>
      <c r="BZB70" s="29"/>
      <c r="BZC70" s="29"/>
      <c r="BZD70" s="29"/>
      <c r="BZE70" s="29"/>
      <c r="BZF70" s="29"/>
      <c r="BZG70" s="29"/>
      <c r="BZH70" s="29"/>
      <c r="BZI70" s="29"/>
      <c r="BZJ70" s="29"/>
      <c r="BZK70" s="29"/>
      <c r="BZL70" s="29"/>
      <c r="BZM70" s="29"/>
      <c r="BZN70" s="29"/>
      <c r="BZO70" s="29"/>
      <c r="BZP70" s="29"/>
      <c r="BZQ70" s="29"/>
      <c r="BZR70" s="29"/>
      <c r="BZS70" s="29"/>
      <c r="BZT70" s="29"/>
      <c r="BZU70" s="29"/>
      <c r="BZV70" s="29"/>
      <c r="BZW70" s="29"/>
      <c r="BZX70" s="29"/>
      <c r="BZY70" s="29"/>
      <c r="BZZ70" s="29"/>
      <c r="CAA70" s="29"/>
      <c r="CAB70" s="29"/>
      <c r="CAC70" s="29"/>
      <c r="CAD70" s="29"/>
      <c r="CAE70" s="29"/>
      <c r="CAF70" s="29"/>
      <c r="CAG70" s="29"/>
      <c r="CAH70" s="29"/>
      <c r="CAI70" s="29"/>
      <c r="CAJ70" s="29"/>
      <c r="CAK70" s="29"/>
      <c r="CAL70" s="29"/>
      <c r="CAM70" s="29"/>
      <c r="CAN70" s="29"/>
      <c r="CAO70" s="29"/>
      <c r="CAP70" s="29"/>
      <c r="CAQ70" s="29"/>
      <c r="CAR70" s="29"/>
      <c r="CAS70" s="29"/>
      <c r="CAT70" s="29"/>
      <c r="CAU70" s="29"/>
      <c r="CAV70" s="29"/>
      <c r="CAW70" s="29"/>
      <c r="CAX70" s="29"/>
      <c r="CAY70" s="29"/>
      <c r="CAZ70" s="29"/>
      <c r="CBA70" s="29"/>
      <c r="CBB70" s="29"/>
      <c r="CBC70" s="29"/>
      <c r="CBD70" s="29"/>
      <c r="CBE70" s="29"/>
      <c r="CBF70" s="29"/>
      <c r="CBG70" s="29"/>
      <c r="CBH70" s="29"/>
      <c r="CBI70" s="29"/>
      <c r="CBJ70" s="29"/>
      <c r="CBK70" s="29"/>
      <c r="CBL70" s="29"/>
      <c r="CBM70" s="29"/>
      <c r="CBN70" s="29"/>
      <c r="CBO70" s="29"/>
      <c r="CBP70" s="29"/>
      <c r="CBQ70" s="29"/>
      <c r="CBR70" s="29"/>
      <c r="CBS70" s="29"/>
      <c r="CBT70" s="29"/>
      <c r="CBU70" s="29"/>
      <c r="CBV70" s="29"/>
      <c r="CBW70" s="29"/>
      <c r="CBX70" s="29"/>
      <c r="CBY70" s="29"/>
      <c r="CBZ70" s="29"/>
      <c r="CCA70" s="29"/>
      <c r="CCB70" s="29"/>
      <c r="CCC70" s="29"/>
      <c r="CCD70" s="29"/>
      <c r="CCE70" s="29"/>
      <c r="CCF70" s="29"/>
      <c r="CCG70" s="29"/>
      <c r="CCH70" s="29"/>
      <c r="CCI70" s="29"/>
      <c r="CCJ70" s="29"/>
      <c r="CCK70" s="29"/>
      <c r="CCL70" s="29"/>
      <c r="CCM70" s="29"/>
      <c r="CCN70" s="29"/>
      <c r="CCO70" s="29"/>
      <c r="CCP70" s="29"/>
      <c r="CCQ70" s="29"/>
      <c r="CCR70" s="29"/>
      <c r="CCS70" s="29"/>
      <c r="CCT70" s="29"/>
      <c r="CCU70" s="29"/>
      <c r="CCV70" s="29"/>
      <c r="CCW70" s="29"/>
      <c r="CCX70" s="29"/>
      <c r="CCY70" s="29"/>
      <c r="CCZ70" s="29"/>
      <c r="CDA70" s="29"/>
      <c r="CDB70" s="29"/>
      <c r="CDC70" s="29"/>
      <c r="CDD70" s="29"/>
      <c r="CDE70" s="29"/>
      <c r="CDF70" s="29"/>
      <c r="CDG70" s="29"/>
      <c r="CDH70" s="29"/>
      <c r="CDI70" s="29"/>
      <c r="CDJ70" s="29"/>
      <c r="CDK70" s="29"/>
      <c r="CDL70" s="29"/>
      <c r="CDM70" s="29"/>
      <c r="CDN70" s="29"/>
      <c r="CDO70" s="29"/>
      <c r="CDP70" s="29"/>
      <c r="CDQ70" s="29"/>
      <c r="CDR70" s="29"/>
      <c r="CDS70" s="29"/>
      <c r="CDT70" s="29"/>
      <c r="CDU70" s="29"/>
      <c r="CDV70" s="29"/>
      <c r="CDW70" s="29"/>
      <c r="CDX70" s="29"/>
      <c r="CDY70" s="29"/>
      <c r="CDZ70" s="29"/>
      <c r="CEA70" s="29"/>
      <c r="CEB70" s="29"/>
      <c r="CEC70" s="29"/>
      <c r="CED70" s="29"/>
      <c r="CEE70" s="29"/>
      <c r="CEF70" s="29"/>
      <c r="CEG70" s="29"/>
      <c r="CEH70" s="29"/>
      <c r="CEI70" s="29"/>
      <c r="CEJ70" s="29"/>
      <c r="CEK70" s="29"/>
      <c r="CEL70" s="29"/>
      <c r="CEM70" s="29"/>
      <c r="CEN70" s="29"/>
      <c r="CEO70" s="29"/>
      <c r="CEP70" s="29"/>
      <c r="CEQ70" s="29"/>
      <c r="CER70" s="29"/>
      <c r="CES70" s="29"/>
      <c r="CET70" s="29"/>
      <c r="CEU70" s="29"/>
      <c r="CEV70" s="29"/>
      <c r="CEW70" s="29"/>
      <c r="CEX70" s="29"/>
      <c r="CEY70" s="29"/>
      <c r="CEZ70" s="29"/>
      <c r="CFA70" s="29"/>
      <c r="CFB70" s="29"/>
      <c r="CFC70" s="29"/>
      <c r="CFD70" s="29"/>
      <c r="CFE70" s="29"/>
      <c r="CFF70" s="29"/>
      <c r="CFG70" s="29"/>
      <c r="CFH70" s="29"/>
      <c r="CFI70" s="29"/>
      <c r="CFJ70" s="29"/>
      <c r="CFK70" s="29"/>
      <c r="CFL70" s="29"/>
      <c r="CFM70" s="29"/>
      <c r="CFN70" s="29"/>
      <c r="CFO70" s="29"/>
      <c r="CFP70" s="29"/>
      <c r="CFQ70" s="29"/>
      <c r="CFR70" s="29"/>
      <c r="CFS70" s="29"/>
      <c r="CFT70" s="29"/>
      <c r="CFU70" s="29"/>
      <c r="CFV70" s="29"/>
      <c r="CFW70" s="29"/>
      <c r="CFX70" s="29"/>
      <c r="CFY70" s="29"/>
      <c r="CFZ70" s="29"/>
      <c r="CGA70" s="29"/>
      <c r="CGB70" s="29"/>
      <c r="CGC70" s="29"/>
      <c r="CGD70" s="29"/>
      <c r="CGE70" s="29"/>
      <c r="CGF70" s="29"/>
      <c r="CGG70" s="29"/>
      <c r="CGH70" s="29"/>
      <c r="CGI70" s="29"/>
      <c r="CGJ70" s="29"/>
      <c r="CGK70" s="29"/>
      <c r="CGL70" s="29"/>
      <c r="CGM70" s="29"/>
      <c r="CGN70" s="29"/>
      <c r="CGO70" s="29"/>
      <c r="CGP70" s="29"/>
      <c r="CGQ70" s="29"/>
      <c r="CGR70" s="29"/>
      <c r="CGS70" s="29"/>
      <c r="CGT70" s="29"/>
      <c r="CGU70" s="29"/>
      <c r="CGV70" s="29"/>
      <c r="CGW70" s="29"/>
      <c r="CGX70" s="29"/>
      <c r="CGY70" s="29"/>
      <c r="CGZ70" s="29"/>
      <c r="CHA70" s="29"/>
      <c r="CHB70" s="29"/>
      <c r="CHC70" s="29"/>
      <c r="CHD70" s="29"/>
      <c r="CHE70" s="29"/>
      <c r="CHF70" s="29"/>
      <c r="CHG70" s="29"/>
      <c r="CHH70" s="29"/>
      <c r="CHI70" s="29"/>
      <c r="CHJ70" s="29"/>
      <c r="CHK70" s="29"/>
      <c r="CHL70" s="29"/>
      <c r="CHM70" s="29"/>
      <c r="CHN70" s="29"/>
      <c r="CHO70" s="29"/>
      <c r="CHP70" s="29"/>
      <c r="CHQ70" s="29"/>
      <c r="CHR70" s="29"/>
      <c r="CHS70" s="29"/>
      <c r="CHT70" s="29"/>
      <c r="CHU70" s="29"/>
      <c r="CHV70" s="29"/>
      <c r="CHW70" s="29"/>
      <c r="CHX70" s="29"/>
      <c r="CHY70" s="29"/>
      <c r="CHZ70" s="29"/>
      <c r="CIA70" s="29"/>
      <c r="CIB70" s="29"/>
      <c r="CIC70" s="29"/>
      <c r="CID70" s="29"/>
      <c r="CIE70" s="29"/>
      <c r="CIF70" s="29"/>
      <c r="CIG70" s="29"/>
      <c r="CIH70" s="29"/>
      <c r="CII70" s="29"/>
      <c r="CIJ70" s="29"/>
      <c r="CIK70" s="29"/>
      <c r="CIL70" s="29"/>
      <c r="CIM70" s="29"/>
      <c r="CIN70" s="29"/>
      <c r="CIO70" s="29"/>
      <c r="CIP70" s="29"/>
      <c r="CIQ70" s="29"/>
      <c r="CIR70" s="29"/>
      <c r="CIS70" s="29"/>
      <c r="CIT70" s="29"/>
      <c r="CIU70" s="29"/>
      <c r="CIV70" s="29"/>
      <c r="CIW70" s="29"/>
      <c r="CIX70" s="29"/>
      <c r="CIY70" s="29"/>
      <c r="CIZ70" s="29"/>
      <c r="CJA70" s="29"/>
      <c r="CJB70" s="29"/>
      <c r="CJC70" s="29"/>
      <c r="CJD70" s="29"/>
      <c r="CJE70" s="29"/>
      <c r="CJF70" s="29"/>
      <c r="CJG70" s="29"/>
      <c r="CJH70" s="29"/>
      <c r="CJI70" s="29"/>
      <c r="CJJ70" s="29"/>
      <c r="CJK70" s="29"/>
      <c r="CJL70" s="29"/>
      <c r="CJM70" s="29"/>
      <c r="CJN70" s="29"/>
      <c r="CJO70" s="29"/>
      <c r="CJP70" s="29"/>
      <c r="CJQ70" s="29"/>
      <c r="CJR70" s="29"/>
      <c r="CJS70" s="29"/>
      <c r="CJT70" s="29"/>
      <c r="CJU70" s="29"/>
      <c r="CJV70" s="29"/>
      <c r="CJW70" s="29"/>
      <c r="CJX70" s="29"/>
      <c r="CJY70" s="29"/>
      <c r="CJZ70" s="29"/>
      <c r="CKA70" s="29"/>
      <c r="CKB70" s="29"/>
      <c r="CKC70" s="29"/>
      <c r="CKD70" s="29"/>
      <c r="CKE70" s="29"/>
      <c r="CKF70" s="29"/>
      <c r="CKG70" s="29"/>
      <c r="CKH70" s="29"/>
      <c r="CKI70" s="29"/>
      <c r="CKJ70" s="29"/>
      <c r="CKK70" s="29"/>
      <c r="CKL70" s="29"/>
      <c r="CKM70" s="29"/>
      <c r="CKN70" s="29"/>
      <c r="CKO70" s="29"/>
      <c r="CKP70" s="29"/>
      <c r="CKQ70" s="29"/>
      <c r="CKR70" s="29"/>
      <c r="CKS70" s="29"/>
      <c r="CKT70" s="29"/>
      <c r="CKU70" s="29"/>
      <c r="CKV70" s="29"/>
      <c r="CKW70" s="29"/>
      <c r="CKX70" s="29"/>
      <c r="CKY70" s="29"/>
      <c r="CKZ70" s="29"/>
      <c r="CLA70" s="29"/>
      <c r="CLB70" s="29"/>
      <c r="CLC70" s="29"/>
      <c r="CLD70" s="29"/>
      <c r="CLE70" s="29"/>
      <c r="CLF70" s="29"/>
      <c r="CLG70" s="29"/>
      <c r="CLH70" s="29"/>
      <c r="CLI70" s="29"/>
      <c r="CLJ70" s="29"/>
      <c r="CLK70" s="29"/>
      <c r="CLL70" s="29"/>
      <c r="CLM70" s="29"/>
      <c r="CLN70" s="29"/>
      <c r="CLO70" s="29"/>
      <c r="CLP70" s="29"/>
      <c r="CLQ70" s="29"/>
      <c r="CLR70" s="29"/>
      <c r="CLS70" s="29"/>
      <c r="CLT70" s="29"/>
      <c r="CLU70" s="29"/>
      <c r="CLV70" s="29"/>
      <c r="CLW70" s="29"/>
      <c r="CLX70" s="29"/>
      <c r="CLY70" s="29"/>
      <c r="CLZ70" s="29"/>
      <c r="CMA70" s="29"/>
      <c r="CMB70" s="29"/>
      <c r="CMC70" s="29"/>
      <c r="CMD70" s="29"/>
      <c r="CME70" s="29"/>
      <c r="CMF70" s="29"/>
      <c r="CMG70" s="29"/>
      <c r="CMH70" s="29"/>
      <c r="CMI70" s="29"/>
      <c r="CMJ70" s="29"/>
      <c r="CMK70" s="29"/>
      <c r="CML70" s="29"/>
      <c r="CMM70" s="29"/>
      <c r="CMN70" s="29"/>
      <c r="CMO70" s="29"/>
      <c r="CMP70" s="29"/>
      <c r="CMQ70" s="29"/>
      <c r="CMR70" s="29"/>
      <c r="CMS70" s="29"/>
      <c r="CMT70" s="29"/>
      <c r="CMU70" s="29"/>
      <c r="CMV70" s="29"/>
      <c r="CMW70" s="29"/>
      <c r="CMX70" s="29"/>
      <c r="CMY70" s="29"/>
      <c r="CMZ70" s="29"/>
      <c r="CNA70" s="29"/>
      <c r="CNB70" s="29"/>
      <c r="CNC70" s="29"/>
      <c r="CND70" s="29"/>
      <c r="CNE70" s="29"/>
      <c r="CNF70" s="29"/>
      <c r="CNG70" s="29"/>
      <c r="CNH70" s="29"/>
      <c r="CNI70" s="29"/>
      <c r="CNJ70" s="29"/>
      <c r="CNK70" s="29"/>
      <c r="CNL70" s="29"/>
      <c r="CNM70" s="29"/>
      <c r="CNN70" s="29"/>
      <c r="CNO70" s="29"/>
      <c r="CNP70" s="29"/>
      <c r="CNQ70" s="29"/>
      <c r="CNR70" s="29"/>
      <c r="CNS70" s="29"/>
      <c r="CNT70" s="29"/>
      <c r="CNU70" s="29"/>
      <c r="CNV70" s="29"/>
      <c r="CNW70" s="29"/>
      <c r="CNX70" s="29"/>
      <c r="CNY70" s="29"/>
      <c r="CNZ70" s="29"/>
      <c r="COA70" s="29"/>
      <c r="COB70" s="29"/>
      <c r="COC70" s="29"/>
      <c r="COD70" s="29"/>
      <c r="COE70" s="29"/>
      <c r="COF70" s="29"/>
      <c r="COG70" s="29"/>
      <c r="COH70" s="29"/>
      <c r="COI70" s="29"/>
      <c r="COJ70" s="29"/>
      <c r="COK70" s="29"/>
      <c r="COL70" s="29"/>
      <c r="COM70" s="29"/>
      <c r="CON70" s="29"/>
      <c r="COO70" s="29"/>
      <c r="COP70" s="29"/>
      <c r="COQ70" s="29"/>
      <c r="COR70" s="29"/>
      <c r="COS70" s="29"/>
      <c r="COT70" s="29"/>
      <c r="COU70" s="29"/>
      <c r="COV70" s="29"/>
      <c r="COW70" s="29"/>
      <c r="COX70" s="29"/>
      <c r="COY70" s="29"/>
      <c r="COZ70" s="29"/>
      <c r="CPA70" s="29"/>
      <c r="CPB70" s="29"/>
      <c r="CPC70" s="29"/>
      <c r="CPD70" s="29"/>
      <c r="CPE70" s="29"/>
      <c r="CPF70" s="29"/>
      <c r="CPG70" s="29"/>
      <c r="CPH70" s="29"/>
      <c r="CPI70" s="29"/>
      <c r="CPJ70" s="29"/>
      <c r="CPK70" s="29"/>
      <c r="CPL70" s="29"/>
      <c r="CPM70" s="29"/>
      <c r="CPN70" s="29"/>
      <c r="CPO70" s="29"/>
      <c r="CPP70" s="29"/>
      <c r="CPQ70" s="29"/>
      <c r="CPR70" s="29"/>
      <c r="CPS70" s="29"/>
      <c r="CPT70" s="29"/>
      <c r="CPU70" s="29"/>
      <c r="CPV70" s="29"/>
      <c r="CPW70" s="29"/>
      <c r="CPX70" s="29"/>
      <c r="CPY70" s="29"/>
      <c r="CPZ70" s="29"/>
      <c r="CQA70" s="29"/>
      <c r="CQB70" s="29"/>
      <c r="CQC70" s="29"/>
      <c r="CQD70" s="29"/>
      <c r="CQE70" s="29"/>
      <c r="CQF70" s="29"/>
      <c r="CQG70" s="29"/>
      <c r="CQH70" s="29"/>
      <c r="CQI70" s="29"/>
      <c r="CQJ70" s="29"/>
      <c r="CQK70" s="29"/>
      <c r="CQL70" s="29"/>
      <c r="CQM70" s="29"/>
      <c r="CQN70" s="29"/>
      <c r="CQO70" s="29"/>
      <c r="CQP70" s="29"/>
      <c r="CQQ70" s="29"/>
      <c r="CQR70" s="29"/>
      <c r="CQS70" s="29"/>
      <c r="CQT70" s="29"/>
      <c r="CQU70" s="29"/>
      <c r="CQV70" s="29"/>
      <c r="CQW70" s="29"/>
      <c r="CQX70" s="29"/>
      <c r="CQY70" s="29"/>
      <c r="CQZ70" s="29"/>
      <c r="CRA70" s="29"/>
      <c r="CRB70" s="29"/>
      <c r="CRC70" s="29"/>
      <c r="CRD70" s="29"/>
      <c r="CRE70" s="29"/>
      <c r="CRF70" s="29"/>
      <c r="CRG70" s="29"/>
      <c r="CRH70" s="29"/>
      <c r="CRI70" s="29"/>
      <c r="CRJ70" s="29"/>
      <c r="CRK70" s="29"/>
      <c r="CRL70" s="29"/>
      <c r="CRM70" s="29"/>
      <c r="CRN70" s="29"/>
      <c r="CRO70" s="29"/>
      <c r="CRP70" s="29"/>
      <c r="CRQ70" s="29"/>
      <c r="CRR70" s="29"/>
      <c r="CRS70" s="29"/>
      <c r="CRT70" s="29"/>
      <c r="CRU70" s="29"/>
      <c r="CRV70" s="29"/>
      <c r="CRW70" s="29"/>
      <c r="CRX70" s="29"/>
      <c r="CRY70" s="29"/>
      <c r="CRZ70" s="29"/>
      <c r="CSA70" s="29"/>
      <c r="CSB70" s="29"/>
      <c r="CSC70" s="29"/>
      <c r="CSD70" s="29"/>
      <c r="CSE70" s="29"/>
      <c r="CSF70" s="29"/>
      <c r="CSG70" s="29"/>
      <c r="CSH70" s="29"/>
      <c r="CSI70" s="29"/>
      <c r="CSJ70" s="29"/>
      <c r="CSK70" s="29"/>
      <c r="CSL70" s="29"/>
      <c r="CSM70" s="29"/>
      <c r="CSN70" s="29"/>
      <c r="CSO70" s="29"/>
      <c r="CSP70" s="29"/>
      <c r="CSQ70" s="29"/>
      <c r="CSR70" s="29"/>
      <c r="CSS70" s="29"/>
      <c r="CST70" s="29"/>
      <c r="CSU70" s="29"/>
      <c r="CSV70" s="29"/>
      <c r="CSW70" s="29"/>
      <c r="CSX70" s="29"/>
      <c r="CSY70" s="29"/>
      <c r="CSZ70" s="29"/>
      <c r="CTA70" s="29"/>
      <c r="CTB70" s="29"/>
      <c r="CTC70" s="29"/>
      <c r="CTD70" s="29"/>
      <c r="CTE70" s="29"/>
      <c r="CTF70" s="29"/>
      <c r="CTG70" s="29"/>
      <c r="CTH70" s="29"/>
      <c r="CTI70" s="29"/>
      <c r="CTJ70" s="29"/>
      <c r="CTK70" s="29"/>
      <c r="CTL70" s="29"/>
      <c r="CTM70" s="29"/>
      <c r="CTN70" s="29"/>
      <c r="CTO70" s="29"/>
      <c r="CTP70" s="29"/>
      <c r="CTQ70" s="29"/>
      <c r="CTR70" s="29"/>
      <c r="CTS70" s="29"/>
      <c r="CTT70" s="29"/>
      <c r="CTU70" s="29"/>
      <c r="CTV70" s="29"/>
      <c r="CTW70" s="29"/>
      <c r="CTX70" s="29"/>
      <c r="CTY70" s="29"/>
      <c r="CTZ70" s="29"/>
      <c r="CUA70" s="29"/>
      <c r="CUB70" s="29"/>
      <c r="CUC70" s="29"/>
      <c r="CUD70" s="29"/>
      <c r="CUE70" s="29"/>
      <c r="CUF70" s="29"/>
      <c r="CUG70" s="29"/>
      <c r="CUH70" s="29"/>
      <c r="CUI70" s="29"/>
      <c r="CUJ70" s="29"/>
      <c r="CUK70" s="29"/>
      <c r="CUL70" s="29"/>
      <c r="CUM70" s="29"/>
      <c r="CUN70" s="29"/>
      <c r="CUO70" s="29"/>
      <c r="CUP70" s="29"/>
      <c r="CUQ70" s="29"/>
      <c r="CUR70" s="29"/>
      <c r="CUS70" s="29"/>
      <c r="CUT70" s="29"/>
      <c r="CUU70" s="29"/>
      <c r="CUV70" s="29"/>
      <c r="CUW70" s="29"/>
      <c r="CUX70" s="29"/>
      <c r="CUY70" s="29"/>
      <c r="CUZ70" s="29"/>
      <c r="CVA70" s="29"/>
      <c r="CVB70" s="29"/>
      <c r="CVC70" s="29"/>
      <c r="CVD70" s="29"/>
      <c r="CVE70" s="29"/>
      <c r="CVF70" s="29"/>
      <c r="CVG70" s="29"/>
      <c r="CVH70" s="29"/>
      <c r="CVI70" s="29"/>
      <c r="CVJ70" s="29"/>
      <c r="CVK70" s="29"/>
      <c r="CVL70" s="29"/>
      <c r="CVM70" s="29"/>
      <c r="CVN70" s="29"/>
      <c r="CVO70" s="29"/>
      <c r="CVP70" s="29"/>
      <c r="CVQ70" s="29"/>
      <c r="CVR70" s="29"/>
      <c r="CVS70" s="29"/>
      <c r="CVT70" s="29"/>
      <c r="CVU70" s="29"/>
      <c r="CVV70" s="29"/>
      <c r="CVW70" s="29"/>
      <c r="CVX70" s="29"/>
      <c r="CVY70" s="29"/>
      <c r="CVZ70" s="29"/>
      <c r="CWA70" s="29"/>
      <c r="CWB70" s="29"/>
      <c r="CWC70" s="29"/>
      <c r="CWD70" s="29"/>
      <c r="CWE70" s="29"/>
      <c r="CWF70" s="29"/>
      <c r="CWG70" s="29"/>
      <c r="CWH70" s="29"/>
      <c r="CWI70" s="29"/>
      <c r="CWJ70" s="29"/>
      <c r="CWK70" s="29"/>
      <c r="CWL70" s="29"/>
      <c r="CWM70" s="29"/>
      <c r="CWN70" s="29"/>
      <c r="CWO70" s="29"/>
      <c r="CWP70" s="29"/>
      <c r="CWQ70" s="29"/>
      <c r="CWR70" s="29"/>
      <c r="CWS70" s="29"/>
      <c r="CWT70" s="29"/>
      <c r="CWU70" s="29"/>
      <c r="CWV70" s="29"/>
      <c r="CWW70" s="29"/>
      <c r="CWX70" s="29"/>
      <c r="CWY70" s="29"/>
      <c r="CWZ70" s="29"/>
      <c r="CXA70" s="29"/>
      <c r="CXB70" s="29"/>
      <c r="CXC70" s="29"/>
      <c r="CXD70" s="29"/>
      <c r="CXE70" s="29"/>
      <c r="CXF70" s="29"/>
      <c r="CXG70" s="29"/>
      <c r="CXH70" s="29"/>
      <c r="CXI70" s="29"/>
      <c r="CXJ70" s="29"/>
      <c r="CXK70" s="29"/>
      <c r="CXL70" s="29"/>
      <c r="CXM70" s="29"/>
      <c r="CXN70" s="29"/>
      <c r="CXO70" s="29"/>
      <c r="CXP70" s="29"/>
      <c r="CXQ70" s="29"/>
      <c r="CXR70" s="29"/>
      <c r="CXS70" s="29"/>
      <c r="CXT70" s="29"/>
      <c r="CXU70" s="29"/>
      <c r="CXV70" s="29"/>
      <c r="CXW70" s="29"/>
      <c r="CXX70" s="29"/>
      <c r="CXY70" s="29"/>
      <c r="CXZ70" s="29"/>
      <c r="CYA70" s="29"/>
      <c r="CYB70" s="29"/>
      <c r="CYC70" s="29"/>
      <c r="CYD70" s="29"/>
      <c r="CYE70" s="29"/>
      <c r="CYF70" s="29"/>
      <c r="CYG70" s="29"/>
      <c r="CYH70" s="29"/>
      <c r="CYI70" s="29"/>
      <c r="CYJ70" s="29"/>
      <c r="CYK70" s="29"/>
      <c r="CYL70" s="29"/>
      <c r="CYM70" s="29"/>
      <c r="CYN70" s="29"/>
      <c r="CYO70" s="29"/>
      <c r="CYP70" s="29"/>
      <c r="CYQ70" s="29"/>
      <c r="CYR70" s="29"/>
      <c r="CYS70" s="29"/>
      <c r="CYT70" s="29"/>
      <c r="CYU70" s="29"/>
      <c r="CYV70" s="29"/>
      <c r="CYW70" s="29"/>
      <c r="CYX70" s="29"/>
      <c r="CYY70" s="29"/>
      <c r="CYZ70" s="29"/>
      <c r="CZA70" s="29"/>
      <c r="CZB70" s="29"/>
      <c r="CZC70" s="29"/>
      <c r="CZD70" s="29"/>
      <c r="CZE70" s="29"/>
      <c r="CZF70" s="29"/>
      <c r="CZG70" s="29"/>
      <c r="CZH70" s="29"/>
      <c r="CZI70" s="29"/>
      <c r="CZJ70" s="29"/>
      <c r="CZK70" s="29"/>
      <c r="CZL70" s="29"/>
      <c r="CZM70" s="29"/>
      <c r="CZN70" s="29"/>
      <c r="CZO70" s="29"/>
      <c r="CZP70" s="29"/>
      <c r="CZQ70" s="29"/>
      <c r="CZR70" s="29"/>
      <c r="CZS70" s="29"/>
      <c r="CZT70" s="29"/>
      <c r="CZU70" s="29"/>
      <c r="CZV70" s="29"/>
      <c r="CZW70" s="29"/>
      <c r="CZX70" s="29"/>
      <c r="CZY70" s="29"/>
      <c r="CZZ70" s="29"/>
      <c r="DAA70" s="29"/>
      <c r="DAB70" s="29"/>
      <c r="DAC70" s="29"/>
      <c r="DAD70" s="29"/>
      <c r="DAE70" s="29"/>
      <c r="DAF70" s="29"/>
      <c r="DAG70" s="29"/>
      <c r="DAH70" s="29"/>
      <c r="DAI70" s="29"/>
      <c r="DAJ70" s="29"/>
      <c r="DAK70" s="29"/>
      <c r="DAL70" s="29"/>
      <c r="DAM70" s="29"/>
      <c r="DAN70" s="29"/>
      <c r="DAO70" s="29"/>
      <c r="DAP70" s="29"/>
      <c r="DAQ70" s="29"/>
      <c r="DAR70" s="29"/>
      <c r="DAS70" s="29"/>
      <c r="DAT70" s="29"/>
      <c r="DAU70" s="29"/>
      <c r="DAV70" s="29"/>
      <c r="DAW70" s="29"/>
      <c r="DAX70" s="29"/>
      <c r="DAY70" s="29"/>
      <c r="DAZ70" s="29"/>
      <c r="DBA70" s="29"/>
      <c r="DBB70" s="29"/>
      <c r="DBC70" s="29"/>
      <c r="DBD70" s="29"/>
      <c r="DBE70" s="29"/>
      <c r="DBF70" s="29"/>
      <c r="DBG70" s="29"/>
      <c r="DBH70" s="29"/>
      <c r="DBI70" s="29"/>
      <c r="DBJ70" s="29"/>
      <c r="DBK70" s="29"/>
      <c r="DBL70" s="29"/>
      <c r="DBM70" s="29"/>
      <c r="DBN70" s="29"/>
      <c r="DBO70" s="29"/>
      <c r="DBP70" s="29"/>
      <c r="DBQ70" s="29"/>
      <c r="DBR70" s="29"/>
      <c r="DBS70" s="29"/>
      <c r="DBT70" s="29"/>
      <c r="DBU70" s="29"/>
      <c r="DBV70" s="29"/>
      <c r="DBW70" s="29"/>
      <c r="DBX70" s="29"/>
      <c r="DBY70" s="29"/>
      <c r="DBZ70" s="29"/>
      <c r="DCA70" s="29"/>
      <c r="DCB70" s="29"/>
      <c r="DCC70" s="29"/>
      <c r="DCD70" s="29"/>
      <c r="DCE70" s="29"/>
      <c r="DCF70" s="29"/>
      <c r="DCG70" s="29"/>
      <c r="DCH70" s="29"/>
      <c r="DCI70" s="29"/>
      <c r="DCJ70" s="29"/>
      <c r="DCK70" s="29"/>
      <c r="DCL70" s="29"/>
      <c r="DCM70" s="29"/>
      <c r="DCN70" s="29"/>
      <c r="DCO70" s="29"/>
      <c r="DCP70" s="29"/>
      <c r="DCQ70" s="29"/>
      <c r="DCR70" s="29"/>
      <c r="DCS70" s="29"/>
      <c r="DCT70" s="29"/>
      <c r="DCU70" s="29"/>
      <c r="DCV70" s="29"/>
      <c r="DCW70" s="29"/>
      <c r="DCX70" s="29"/>
      <c r="DCY70" s="29"/>
      <c r="DCZ70" s="29"/>
      <c r="DDA70" s="29"/>
      <c r="DDB70" s="29"/>
      <c r="DDC70" s="29"/>
      <c r="DDD70" s="29"/>
      <c r="DDE70" s="29"/>
      <c r="DDF70" s="29"/>
      <c r="DDG70" s="29"/>
      <c r="DDH70" s="29"/>
      <c r="DDI70" s="29"/>
      <c r="DDJ70" s="29"/>
      <c r="DDK70" s="29"/>
      <c r="DDL70" s="29"/>
      <c r="DDM70" s="29"/>
      <c r="DDN70" s="29"/>
      <c r="DDO70" s="29"/>
      <c r="DDP70" s="29"/>
      <c r="DDQ70" s="29"/>
      <c r="DDR70" s="29"/>
      <c r="DDS70" s="29"/>
      <c r="DDT70" s="29"/>
      <c r="DDU70" s="29"/>
      <c r="DDV70" s="29"/>
      <c r="DDW70" s="29"/>
      <c r="DDX70" s="29"/>
      <c r="DDY70" s="29"/>
      <c r="DDZ70" s="29"/>
      <c r="DEA70" s="29"/>
      <c r="DEB70" s="29"/>
      <c r="DEC70" s="29"/>
      <c r="DED70" s="29"/>
      <c r="DEE70" s="29"/>
      <c r="DEF70" s="29"/>
      <c r="DEG70" s="29"/>
      <c r="DEH70" s="29"/>
      <c r="DEI70" s="29"/>
      <c r="DEJ70" s="29"/>
      <c r="DEK70" s="29"/>
      <c r="DEL70" s="29"/>
      <c r="DEM70" s="29"/>
      <c r="DEN70" s="29"/>
      <c r="DEO70" s="29"/>
      <c r="DEP70" s="29"/>
      <c r="DEQ70" s="29"/>
      <c r="DER70" s="29"/>
      <c r="DES70" s="29"/>
      <c r="DET70" s="29"/>
      <c r="DEU70" s="29"/>
      <c r="DEV70" s="29"/>
      <c r="DEW70" s="29"/>
      <c r="DEX70" s="29"/>
      <c r="DEY70" s="29"/>
      <c r="DEZ70" s="29"/>
      <c r="DFA70" s="29"/>
      <c r="DFB70" s="29"/>
      <c r="DFC70" s="29"/>
      <c r="DFD70" s="29"/>
      <c r="DFE70" s="29"/>
      <c r="DFF70" s="29"/>
      <c r="DFG70" s="29"/>
      <c r="DFH70" s="29"/>
      <c r="DFI70" s="29"/>
      <c r="DFJ70" s="29"/>
      <c r="DFK70" s="29"/>
      <c r="DFL70" s="29"/>
      <c r="DFM70" s="29"/>
      <c r="DFN70" s="29"/>
      <c r="DFO70" s="29"/>
      <c r="DFP70" s="29"/>
      <c r="DFQ70" s="29"/>
      <c r="DFR70" s="29"/>
      <c r="DFS70" s="29"/>
      <c r="DFT70" s="29"/>
      <c r="DFU70" s="29"/>
      <c r="DFV70" s="29"/>
      <c r="DFW70" s="29"/>
      <c r="DFX70" s="29"/>
      <c r="DFY70" s="29"/>
      <c r="DFZ70" s="29"/>
      <c r="DGA70" s="29"/>
      <c r="DGB70" s="29"/>
      <c r="DGC70" s="29"/>
      <c r="DGD70" s="29"/>
      <c r="DGE70" s="29"/>
      <c r="DGF70" s="29"/>
      <c r="DGG70" s="29"/>
      <c r="DGH70" s="29"/>
      <c r="DGI70" s="29"/>
      <c r="DGJ70" s="29"/>
      <c r="DGK70" s="29"/>
      <c r="DGL70" s="29"/>
      <c r="DGM70" s="29"/>
      <c r="DGN70" s="29"/>
      <c r="DGO70" s="29"/>
      <c r="DGP70" s="29"/>
      <c r="DGQ70" s="29"/>
      <c r="DGR70" s="29"/>
      <c r="DGS70" s="29"/>
      <c r="DGT70" s="29"/>
      <c r="DGU70" s="29"/>
      <c r="DGV70" s="29"/>
      <c r="DGW70" s="29"/>
      <c r="DGX70" s="29"/>
      <c r="DGY70" s="29"/>
      <c r="DGZ70" s="29"/>
      <c r="DHA70" s="29"/>
      <c r="DHB70" s="29"/>
      <c r="DHC70" s="29"/>
      <c r="DHD70" s="29"/>
      <c r="DHE70" s="29"/>
      <c r="DHF70" s="29"/>
      <c r="DHG70" s="29"/>
      <c r="DHH70" s="29"/>
      <c r="DHI70" s="29"/>
      <c r="DHJ70" s="29"/>
      <c r="DHK70" s="29"/>
      <c r="DHL70" s="29"/>
      <c r="DHM70" s="29"/>
      <c r="DHN70" s="29"/>
      <c r="DHO70" s="29"/>
      <c r="DHP70" s="29"/>
      <c r="DHQ70" s="29"/>
      <c r="DHR70" s="29"/>
      <c r="DHS70" s="29"/>
      <c r="DHT70" s="29"/>
      <c r="DHU70" s="29"/>
      <c r="DHV70" s="29"/>
      <c r="DHW70" s="29"/>
      <c r="DHX70" s="29"/>
      <c r="DHY70" s="29"/>
      <c r="DHZ70" s="29"/>
      <c r="DIA70" s="29"/>
      <c r="DIB70" s="29"/>
      <c r="DIC70" s="29"/>
      <c r="DID70" s="29"/>
      <c r="DIE70" s="29"/>
      <c r="DIF70" s="29"/>
      <c r="DIG70" s="29"/>
      <c r="DIH70" s="29"/>
      <c r="DII70" s="29"/>
      <c r="DIJ70" s="29"/>
      <c r="DIK70" s="29"/>
      <c r="DIL70" s="29"/>
      <c r="DIM70" s="29"/>
      <c r="DIN70" s="29"/>
      <c r="DIO70" s="29"/>
      <c r="DIP70" s="29"/>
      <c r="DIQ70" s="29"/>
      <c r="DIR70" s="29"/>
      <c r="DIS70" s="29"/>
      <c r="DIT70" s="29"/>
      <c r="DIU70" s="29"/>
      <c r="DIV70" s="29"/>
      <c r="DIW70" s="29"/>
      <c r="DIX70" s="29"/>
      <c r="DIY70" s="29"/>
      <c r="DIZ70" s="29"/>
      <c r="DJA70" s="29"/>
      <c r="DJB70" s="29"/>
      <c r="DJC70" s="29"/>
      <c r="DJD70" s="29"/>
      <c r="DJE70" s="29"/>
      <c r="DJF70" s="29"/>
      <c r="DJG70" s="29"/>
      <c r="DJH70" s="29"/>
      <c r="DJI70" s="29"/>
      <c r="DJJ70" s="29"/>
      <c r="DJK70" s="29"/>
      <c r="DJL70" s="29"/>
      <c r="DJM70" s="29"/>
      <c r="DJN70" s="29"/>
      <c r="DJO70" s="29"/>
      <c r="DJP70" s="29"/>
      <c r="DJQ70" s="29"/>
      <c r="DJR70" s="29"/>
      <c r="DJS70" s="29"/>
      <c r="DJT70" s="29"/>
      <c r="DJU70" s="29"/>
      <c r="DJV70" s="29"/>
      <c r="DJW70" s="29"/>
      <c r="DJX70" s="29"/>
      <c r="DJY70" s="29"/>
      <c r="DJZ70" s="29"/>
      <c r="DKA70" s="29"/>
      <c r="DKB70" s="29"/>
      <c r="DKC70" s="29"/>
      <c r="DKD70" s="29"/>
      <c r="DKE70" s="29"/>
      <c r="DKF70" s="29"/>
      <c r="DKG70" s="29"/>
      <c r="DKH70" s="29"/>
      <c r="DKI70" s="29"/>
      <c r="DKJ70" s="29"/>
      <c r="DKK70" s="29"/>
      <c r="DKL70" s="29"/>
      <c r="DKM70" s="29"/>
      <c r="DKN70" s="29"/>
      <c r="DKO70" s="29"/>
      <c r="DKP70" s="29"/>
      <c r="DKQ70" s="29"/>
      <c r="DKR70" s="29"/>
      <c r="DKS70" s="29"/>
      <c r="DKT70" s="29"/>
      <c r="DKU70" s="29"/>
      <c r="DKV70" s="29"/>
      <c r="DKW70" s="29"/>
      <c r="DKX70" s="29"/>
      <c r="DKY70" s="29"/>
      <c r="DKZ70" s="29"/>
      <c r="DLA70" s="29"/>
      <c r="DLB70" s="29"/>
      <c r="DLC70" s="29"/>
      <c r="DLD70" s="29"/>
      <c r="DLE70" s="29"/>
      <c r="DLF70" s="29"/>
      <c r="DLG70" s="29"/>
      <c r="DLH70" s="29"/>
      <c r="DLI70" s="29"/>
      <c r="DLJ70" s="29"/>
      <c r="DLK70" s="29"/>
      <c r="DLL70" s="29"/>
      <c r="DLM70" s="29"/>
      <c r="DLN70" s="29"/>
      <c r="DLO70" s="29"/>
      <c r="DLP70" s="29"/>
      <c r="DLQ70" s="29"/>
      <c r="DLR70" s="29"/>
      <c r="DLS70" s="29"/>
      <c r="DLT70" s="29"/>
      <c r="DLU70" s="29"/>
      <c r="DLV70" s="29"/>
      <c r="DLW70" s="29"/>
      <c r="DLX70" s="29"/>
      <c r="DLY70" s="29"/>
      <c r="DLZ70" s="29"/>
      <c r="DMA70" s="29"/>
      <c r="DMB70" s="29"/>
      <c r="DMC70" s="29"/>
      <c r="DMD70" s="29"/>
      <c r="DME70" s="29"/>
      <c r="DMF70" s="29"/>
      <c r="DMG70" s="29"/>
      <c r="DMH70" s="29"/>
      <c r="DMI70" s="29"/>
      <c r="DMJ70" s="29"/>
      <c r="DMK70" s="29"/>
      <c r="DML70" s="29"/>
      <c r="DMM70" s="29"/>
      <c r="DMN70" s="29"/>
      <c r="DMO70" s="29"/>
      <c r="DMP70" s="29"/>
      <c r="DMQ70" s="29"/>
      <c r="DMR70" s="29"/>
      <c r="DMS70" s="29"/>
      <c r="DMT70" s="29"/>
      <c r="DMU70" s="29"/>
      <c r="DMV70" s="29"/>
      <c r="DMW70" s="29"/>
      <c r="DMX70" s="29"/>
      <c r="DMY70" s="29"/>
      <c r="DMZ70" s="29"/>
      <c r="DNA70" s="29"/>
      <c r="DNB70" s="29"/>
      <c r="DNC70" s="29"/>
      <c r="DND70" s="29"/>
      <c r="DNE70" s="29"/>
      <c r="DNF70" s="29"/>
      <c r="DNG70" s="29"/>
      <c r="DNH70" s="29"/>
      <c r="DNI70" s="29"/>
      <c r="DNJ70" s="29"/>
      <c r="DNK70" s="29"/>
      <c r="DNL70" s="29"/>
      <c r="DNM70" s="29"/>
      <c r="DNN70" s="29"/>
      <c r="DNO70" s="29"/>
      <c r="DNP70" s="29"/>
      <c r="DNQ70" s="29"/>
      <c r="DNR70" s="29"/>
      <c r="DNS70" s="29"/>
      <c r="DNT70" s="29"/>
      <c r="DNU70" s="29"/>
      <c r="DNV70" s="29"/>
      <c r="DNW70" s="29"/>
      <c r="DNX70" s="29"/>
      <c r="DNY70" s="29"/>
      <c r="DNZ70" s="29"/>
      <c r="DOA70" s="29"/>
      <c r="DOB70" s="29"/>
      <c r="DOC70" s="29"/>
      <c r="DOD70" s="29"/>
      <c r="DOE70" s="29"/>
      <c r="DOF70" s="29"/>
      <c r="DOG70" s="29"/>
      <c r="DOH70" s="29"/>
      <c r="DOI70" s="29"/>
      <c r="DOJ70" s="29"/>
      <c r="DOK70" s="29"/>
      <c r="DOL70" s="29"/>
      <c r="DOM70" s="29"/>
      <c r="DON70" s="29"/>
      <c r="DOO70" s="29"/>
      <c r="DOP70" s="29"/>
      <c r="DOQ70" s="29"/>
      <c r="DOR70" s="29"/>
      <c r="DOS70" s="29"/>
      <c r="DOT70" s="29"/>
      <c r="DOU70" s="29"/>
      <c r="DOV70" s="29"/>
      <c r="DOW70" s="29"/>
      <c r="DOX70" s="29"/>
      <c r="DOY70" s="29"/>
      <c r="DOZ70" s="29"/>
      <c r="DPA70" s="29"/>
      <c r="DPB70" s="29"/>
      <c r="DPC70" s="29"/>
      <c r="DPD70" s="29"/>
      <c r="DPE70" s="29"/>
      <c r="DPF70" s="29"/>
      <c r="DPG70" s="29"/>
      <c r="DPH70" s="29"/>
      <c r="DPI70" s="29"/>
      <c r="DPJ70" s="29"/>
      <c r="DPK70" s="29"/>
      <c r="DPL70" s="29"/>
      <c r="DPM70" s="29"/>
      <c r="DPN70" s="29"/>
      <c r="DPO70" s="29"/>
      <c r="DPP70" s="29"/>
      <c r="DPQ70" s="29"/>
      <c r="DPR70" s="29"/>
      <c r="DPS70" s="29"/>
      <c r="DPT70" s="29"/>
      <c r="DPU70" s="29"/>
      <c r="DPV70" s="29"/>
      <c r="DPW70" s="29"/>
      <c r="DPX70" s="29"/>
      <c r="DPY70" s="29"/>
      <c r="DPZ70" s="29"/>
      <c r="DQA70" s="29"/>
      <c r="DQB70" s="29"/>
      <c r="DQC70" s="29"/>
      <c r="DQD70" s="29"/>
      <c r="DQE70" s="29"/>
      <c r="DQF70" s="29"/>
      <c r="DQG70" s="29"/>
      <c r="DQH70" s="29"/>
      <c r="DQI70" s="29"/>
      <c r="DQJ70" s="29"/>
      <c r="DQK70" s="29"/>
      <c r="DQL70" s="29"/>
      <c r="DQM70" s="29"/>
      <c r="DQN70" s="29"/>
      <c r="DQO70" s="29"/>
      <c r="DQP70" s="29"/>
      <c r="DQQ70" s="29"/>
      <c r="DQR70" s="29"/>
      <c r="DQS70" s="29"/>
      <c r="DQT70" s="29"/>
      <c r="DQU70" s="29"/>
      <c r="DQV70" s="29"/>
      <c r="DQW70" s="29"/>
      <c r="DQX70" s="29"/>
      <c r="DQY70" s="29"/>
      <c r="DQZ70" s="29"/>
      <c r="DRA70" s="29"/>
      <c r="DRB70" s="29"/>
      <c r="DRC70" s="29"/>
      <c r="DRD70" s="29"/>
      <c r="DRE70" s="29"/>
      <c r="DRF70" s="29"/>
      <c r="DRG70" s="29"/>
      <c r="DRH70" s="29"/>
      <c r="DRI70" s="29"/>
      <c r="DRJ70" s="29"/>
      <c r="DRK70" s="29"/>
      <c r="DRL70" s="29"/>
      <c r="DRM70" s="29"/>
      <c r="DRN70" s="29"/>
      <c r="DRO70" s="29"/>
      <c r="DRP70" s="29"/>
      <c r="DRQ70" s="29"/>
      <c r="DRR70" s="29"/>
      <c r="DRS70" s="29"/>
      <c r="DRT70" s="29"/>
      <c r="DRU70" s="29"/>
      <c r="DRV70" s="29"/>
      <c r="DRW70" s="29"/>
      <c r="DRX70" s="29"/>
      <c r="DRY70" s="29"/>
      <c r="DRZ70" s="29"/>
      <c r="DSA70" s="29"/>
      <c r="DSB70" s="29"/>
      <c r="DSC70" s="29"/>
      <c r="DSD70" s="29"/>
      <c r="DSE70" s="29"/>
      <c r="DSF70" s="29"/>
      <c r="DSG70" s="29"/>
      <c r="DSH70" s="29"/>
      <c r="DSI70" s="29"/>
      <c r="DSJ70" s="29"/>
      <c r="DSK70" s="29"/>
      <c r="DSL70" s="29"/>
      <c r="DSM70" s="29"/>
      <c r="DSN70" s="29"/>
      <c r="DSO70" s="29"/>
      <c r="DSP70" s="29"/>
      <c r="DSQ70" s="29"/>
      <c r="DSR70" s="29"/>
      <c r="DSS70" s="29"/>
      <c r="DST70" s="29"/>
      <c r="DSU70" s="29"/>
      <c r="DSV70" s="29"/>
      <c r="DSW70" s="29"/>
      <c r="DSX70" s="29"/>
      <c r="DSY70" s="29"/>
      <c r="DSZ70" s="29"/>
      <c r="DTA70" s="29"/>
      <c r="DTB70" s="29"/>
      <c r="DTC70" s="29"/>
      <c r="DTD70" s="29"/>
      <c r="DTE70" s="29"/>
      <c r="DTF70" s="29"/>
      <c r="DTG70" s="29"/>
      <c r="DTH70" s="29"/>
      <c r="DTI70" s="29"/>
      <c r="DTJ70" s="29"/>
      <c r="DTK70" s="29"/>
      <c r="DTL70" s="29"/>
      <c r="DTM70" s="29"/>
      <c r="DTN70" s="29"/>
      <c r="DTO70" s="29"/>
      <c r="DTP70" s="29"/>
      <c r="DTQ70" s="29"/>
      <c r="DTR70" s="29"/>
      <c r="DTS70" s="29"/>
      <c r="DTT70" s="29"/>
      <c r="DTU70" s="29"/>
      <c r="DTV70" s="29"/>
      <c r="DTW70" s="29"/>
      <c r="DTX70" s="29"/>
      <c r="DTY70" s="29"/>
      <c r="DTZ70" s="29"/>
      <c r="DUA70" s="29"/>
      <c r="DUB70" s="29"/>
      <c r="DUC70" s="29"/>
      <c r="DUD70" s="29"/>
      <c r="DUE70" s="29"/>
      <c r="DUF70" s="29"/>
      <c r="DUG70" s="29"/>
      <c r="DUH70" s="29"/>
      <c r="DUI70" s="29"/>
      <c r="DUJ70" s="29"/>
      <c r="DUK70" s="29"/>
      <c r="DUL70" s="29"/>
      <c r="DUM70" s="29"/>
      <c r="DUN70" s="29"/>
      <c r="DUO70" s="29"/>
      <c r="DUP70" s="29"/>
      <c r="DUQ70" s="29"/>
      <c r="DUR70" s="29"/>
      <c r="DUS70" s="29"/>
      <c r="DUT70" s="29"/>
      <c r="DUU70" s="29"/>
      <c r="DUV70" s="29"/>
      <c r="DUW70" s="29"/>
      <c r="DUX70" s="29"/>
      <c r="DUY70" s="29"/>
      <c r="DUZ70" s="29"/>
      <c r="DVA70" s="29"/>
      <c r="DVB70" s="29"/>
      <c r="DVC70" s="29"/>
      <c r="DVD70" s="29"/>
      <c r="DVE70" s="29"/>
      <c r="DVF70" s="29"/>
      <c r="DVG70" s="29"/>
      <c r="DVH70" s="29"/>
      <c r="DVI70" s="29"/>
      <c r="DVJ70" s="29"/>
      <c r="DVK70" s="29"/>
      <c r="DVL70" s="29"/>
      <c r="DVM70" s="29"/>
      <c r="DVN70" s="29"/>
      <c r="DVO70" s="29"/>
      <c r="DVP70" s="29"/>
      <c r="DVQ70" s="29"/>
      <c r="DVR70" s="29"/>
      <c r="DVS70" s="29"/>
      <c r="DVT70" s="29"/>
      <c r="DVU70" s="29"/>
      <c r="DVV70" s="29"/>
      <c r="DVW70" s="29"/>
      <c r="DVX70" s="29"/>
      <c r="DVY70" s="29"/>
      <c r="DVZ70" s="29"/>
      <c r="DWA70" s="29"/>
      <c r="DWB70" s="29"/>
      <c r="DWC70" s="29"/>
      <c r="DWD70" s="29"/>
      <c r="DWE70" s="29"/>
      <c r="DWF70" s="29"/>
      <c r="DWG70" s="29"/>
      <c r="DWH70" s="29"/>
      <c r="DWI70" s="29"/>
      <c r="DWJ70" s="29"/>
      <c r="DWK70" s="29"/>
      <c r="DWL70" s="29"/>
      <c r="DWM70" s="29"/>
      <c r="DWN70" s="29"/>
      <c r="DWO70" s="29"/>
      <c r="DWP70" s="29"/>
      <c r="DWQ70" s="29"/>
      <c r="DWR70" s="29"/>
      <c r="DWS70" s="29"/>
      <c r="DWT70" s="29"/>
      <c r="DWU70" s="29"/>
      <c r="DWV70" s="29"/>
      <c r="DWW70" s="29"/>
      <c r="DWX70" s="29"/>
      <c r="DWY70" s="29"/>
      <c r="DWZ70" s="29"/>
      <c r="DXA70" s="29"/>
      <c r="DXB70" s="29"/>
      <c r="DXC70" s="29"/>
      <c r="DXD70" s="29"/>
      <c r="DXE70" s="29"/>
      <c r="DXF70" s="29"/>
      <c r="DXG70" s="29"/>
      <c r="DXH70" s="29"/>
      <c r="DXI70" s="29"/>
      <c r="DXJ70" s="29"/>
      <c r="DXK70" s="29"/>
      <c r="DXL70" s="29"/>
      <c r="DXM70" s="29"/>
      <c r="DXN70" s="29"/>
      <c r="DXO70" s="29"/>
      <c r="DXP70" s="29"/>
      <c r="DXQ70" s="29"/>
      <c r="DXR70" s="29"/>
      <c r="DXS70" s="29"/>
      <c r="DXT70" s="29"/>
      <c r="DXU70" s="29"/>
      <c r="DXV70" s="29"/>
      <c r="DXW70" s="29"/>
      <c r="DXX70" s="29"/>
      <c r="DXY70" s="29"/>
      <c r="DXZ70" s="29"/>
      <c r="DYA70" s="29"/>
      <c r="DYB70" s="29"/>
      <c r="DYC70" s="29"/>
      <c r="DYD70" s="29"/>
      <c r="DYE70" s="29"/>
      <c r="DYF70" s="29"/>
      <c r="DYG70" s="29"/>
      <c r="DYH70" s="29"/>
      <c r="DYI70" s="29"/>
      <c r="DYJ70" s="29"/>
      <c r="DYK70" s="29"/>
      <c r="DYL70" s="29"/>
      <c r="DYM70" s="29"/>
      <c r="DYN70" s="29"/>
      <c r="DYO70" s="29"/>
      <c r="DYP70" s="29"/>
      <c r="DYQ70" s="29"/>
      <c r="DYR70" s="29"/>
      <c r="DYS70" s="29"/>
      <c r="DYT70" s="29"/>
      <c r="DYU70" s="29"/>
      <c r="DYV70" s="29"/>
      <c r="DYW70" s="29"/>
      <c r="DYX70" s="29"/>
      <c r="DYY70" s="29"/>
      <c r="DYZ70" s="29"/>
      <c r="DZA70" s="29"/>
      <c r="DZB70" s="29"/>
      <c r="DZC70" s="29"/>
      <c r="DZD70" s="29"/>
      <c r="DZE70" s="29"/>
      <c r="DZF70" s="29"/>
      <c r="DZG70" s="29"/>
      <c r="DZH70" s="29"/>
      <c r="DZI70" s="29"/>
      <c r="DZJ70" s="29"/>
      <c r="DZK70" s="29"/>
      <c r="DZL70" s="29"/>
      <c r="DZM70" s="29"/>
      <c r="DZN70" s="29"/>
      <c r="DZO70" s="29"/>
      <c r="DZP70" s="29"/>
      <c r="DZQ70" s="29"/>
      <c r="DZR70" s="29"/>
      <c r="DZS70" s="29"/>
      <c r="DZT70" s="29"/>
      <c r="DZU70" s="29"/>
      <c r="DZV70" s="29"/>
      <c r="DZW70" s="29"/>
      <c r="DZX70" s="29"/>
      <c r="DZY70" s="29"/>
      <c r="DZZ70" s="29"/>
      <c r="EAA70" s="29"/>
      <c r="EAB70" s="29"/>
      <c r="EAC70" s="29"/>
      <c r="EAD70" s="29"/>
      <c r="EAE70" s="29"/>
      <c r="EAF70" s="29"/>
      <c r="EAG70" s="29"/>
      <c r="EAH70" s="29"/>
      <c r="EAI70" s="29"/>
      <c r="EAJ70" s="29"/>
      <c r="EAK70" s="29"/>
      <c r="EAL70" s="29"/>
      <c r="EAM70" s="29"/>
      <c r="EAN70" s="29"/>
      <c r="EAO70" s="29"/>
      <c r="EAP70" s="29"/>
      <c r="EAQ70" s="29"/>
      <c r="EAR70" s="29"/>
      <c r="EAS70" s="29"/>
      <c r="EAT70" s="29"/>
      <c r="EAU70" s="29"/>
      <c r="EAV70" s="29"/>
      <c r="EAW70" s="29"/>
      <c r="EAX70" s="29"/>
      <c r="EAY70" s="29"/>
      <c r="EAZ70" s="29"/>
      <c r="EBA70" s="29"/>
      <c r="EBB70" s="29"/>
      <c r="EBC70" s="29"/>
      <c r="EBD70" s="29"/>
      <c r="EBE70" s="29"/>
      <c r="EBF70" s="29"/>
      <c r="EBG70" s="29"/>
      <c r="EBH70" s="29"/>
      <c r="EBI70" s="29"/>
      <c r="EBJ70" s="29"/>
      <c r="EBK70" s="29"/>
      <c r="EBL70" s="29"/>
      <c r="EBM70" s="29"/>
      <c r="EBN70" s="29"/>
      <c r="EBO70" s="29"/>
      <c r="EBP70" s="29"/>
      <c r="EBQ70" s="29"/>
      <c r="EBR70" s="29"/>
      <c r="EBS70" s="29"/>
      <c r="EBT70" s="29"/>
      <c r="EBU70" s="29"/>
      <c r="EBV70" s="29"/>
      <c r="EBW70" s="29"/>
      <c r="EBX70" s="29"/>
      <c r="EBY70" s="29"/>
      <c r="EBZ70" s="29"/>
      <c r="ECA70" s="29"/>
      <c r="ECB70" s="29"/>
      <c r="ECC70" s="29"/>
      <c r="ECD70" s="29"/>
      <c r="ECE70" s="29"/>
      <c r="ECF70" s="29"/>
      <c r="ECG70" s="29"/>
      <c r="ECH70" s="29"/>
      <c r="ECI70" s="29"/>
      <c r="ECJ70" s="29"/>
      <c r="ECK70" s="29"/>
      <c r="ECL70" s="29"/>
      <c r="ECM70" s="29"/>
      <c r="ECN70" s="29"/>
      <c r="ECO70" s="29"/>
      <c r="ECP70" s="29"/>
      <c r="ECQ70" s="29"/>
      <c r="ECR70" s="29"/>
      <c r="ECS70" s="29"/>
      <c r="ECT70" s="29"/>
      <c r="ECU70" s="29"/>
      <c r="ECV70" s="29"/>
      <c r="ECW70" s="29"/>
      <c r="ECX70" s="29"/>
      <c r="ECY70" s="29"/>
      <c r="ECZ70" s="29"/>
      <c r="EDA70" s="29"/>
      <c r="EDB70" s="29"/>
      <c r="EDC70" s="29"/>
      <c r="EDD70" s="29"/>
      <c r="EDE70" s="29"/>
      <c r="EDF70" s="29"/>
      <c r="EDG70" s="29"/>
      <c r="EDH70" s="29"/>
      <c r="EDI70" s="29"/>
      <c r="EDJ70" s="29"/>
      <c r="EDK70" s="29"/>
      <c r="EDL70" s="29"/>
      <c r="EDM70" s="29"/>
      <c r="EDN70" s="29"/>
      <c r="EDO70" s="29"/>
      <c r="EDP70" s="29"/>
      <c r="EDQ70" s="29"/>
      <c r="EDR70" s="29"/>
      <c r="EDS70" s="29"/>
      <c r="EDT70" s="29"/>
      <c r="EDU70" s="29"/>
      <c r="EDV70" s="29"/>
      <c r="EDW70" s="29"/>
      <c r="EDX70" s="29"/>
      <c r="EDY70" s="29"/>
      <c r="EDZ70" s="29"/>
      <c r="EEA70" s="29"/>
      <c r="EEB70" s="29"/>
      <c r="EEC70" s="29"/>
      <c r="EED70" s="29"/>
      <c r="EEE70" s="29"/>
      <c r="EEF70" s="29"/>
      <c r="EEG70" s="29"/>
      <c r="EEH70" s="29"/>
      <c r="EEI70" s="29"/>
      <c r="EEJ70" s="29"/>
      <c r="EEK70" s="29"/>
      <c r="EEL70" s="29"/>
      <c r="EEM70" s="29"/>
      <c r="EEN70" s="29"/>
      <c r="EEO70" s="29"/>
      <c r="EEP70" s="29"/>
      <c r="EEQ70" s="29"/>
      <c r="EER70" s="29"/>
      <c r="EES70" s="29"/>
      <c r="EET70" s="29"/>
      <c r="EEU70" s="29"/>
      <c r="EEV70" s="29"/>
      <c r="EEW70" s="29"/>
      <c r="EEX70" s="29"/>
      <c r="EEY70" s="29"/>
      <c r="EEZ70" s="29"/>
      <c r="EFA70" s="29"/>
      <c r="EFB70" s="29"/>
      <c r="EFC70" s="29"/>
      <c r="EFD70" s="29"/>
      <c r="EFE70" s="29"/>
      <c r="EFF70" s="29"/>
      <c r="EFG70" s="29"/>
      <c r="EFH70" s="29"/>
      <c r="EFI70" s="29"/>
      <c r="EFJ70" s="29"/>
      <c r="EFK70" s="29"/>
      <c r="EFL70" s="29"/>
      <c r="EFM70" s="29"/>
      <c r="EFN70" s="29"/>
      <c r="EFO70" s="29"/>
      <c r="EFP70" s="29"/>
      <c r="EFQ70" s="29"/>
      <c r="EFR70" s="29"/>
      <c r="EFS70" s="29"/>
      <c r="EFT70" s="29"/>
      <c r="EFU70" s="29"/>
      <c r="EFV70" s="29"/>
      <c r="EFW70" s="29"/>
      <c r="EFX70" s="29"/>
      <c r="EFY70" s="29"/>
      <c r="EFZ70" s="29"/>
      <c r="EGA70" s="29"/>
      <c r="EGB70" s="29"/>
      <c r="EGC70" s="29"/>
      <c r="EGD70" s="29"/>
      <c r="EGE70" s="29"/>
      <c r="EGF70" s="29"/>
      <c r="EGG70" s="29"/>
      <c r="EGH70" s="29"/>
      <c r="EGI70" s="29"/>
      <c r="EGJ70" s="29"/>
      <c r="EGK70" s="29"/>
      <c r="EGL70" s="29"/>
      <c r="EGM70" s="29"/>
      <c r="EGN70" s="29"/>
      <c r="EGO70" s="29"/>
      <c r="EGP70" s="29"/>
      <c r="EGQ70" s="29"/>
      <c r="EGR70" s="29"/>
      <c r="EGS70" s="29"/>
      <c r="EGT70" s="29"/>
      <c r="EGU70" s="29"/>
      <c r="EGV70" s="29"/>
      <c r="EGW70" s="29"/>
      <c r="EGX70" s="29"/>
      <c r="EGY70" s="29"/>
      <c r="EGZ70" s="29"/>
      <c r="EHA70" s="29"/>
      <c r="EHB70" s="29"/>
      <c r="EHC70" s="29"/>
      <c r="EHD70" s="29"/>
      <c r="EHE70" s="29"/>
      <c r="EHF70" s="29"/>
      <c r="EHG70" s="29"/>
      <c r="EHH70" s="29"/>
      <c r="EHI70" s="29"/>
      <c r="EHJ70" s="29"/>
      <c r="EHK70" s="29"/>
      <c r="EHL70" s="29"/>
      <c r="EHM70" s="29"/>
      <c r="EHN70" s="29"/>
      <c r="EHO70" s="29"/>
      <c r="EHP70" s="29"/>
      <c r="EHQ70" s="29"/>
      <c r="EHR70" s="29"/>
      <c r="EHS70" s="29"/>
      <c r="EHT70" s="29"/>
      <c r="EHU70" s="29"/>
      <c r="EHV70" s="29"/>
      <c r="EHW70" s="29"/>
      <c r="EHX70" s="29"/>
      <c r="EHY70" s="29"/>
      <c r="EHZ70" s="29"/>
      <c r="EIA70" s="29"/>
      <c r="EIB70" s="29"/>
      <c r="EIC70" s="29"/>
      <c r="EID70" s="29"/>
      <c r="EIE70" s="29"/>
      <c r="EIF70" s="29"/>
      <c r="EIG70" s="29"/>
      <c r="EIH70" s="29"/>
      <c r="EII70" s="29"/>
      <c r="EIJ70" s="29"/>
      <c r="EIK70" s="29"/>
      <c r="EIL70" s="29"/>
      <c r="EIM70" s="29"/>
      <c r="EIN70" s="29"/>
      <c r="EIO70" s="29"/>
      <c r="EIP70" s="29"/>
      <c r="EIQ70" s="29"/>
      <c r="EIR70" s="29"/>
      <c r="EIS70" s="29"/>
      <c r="EIT70" s="29"/>
      <c r="EIU70" s="29"/>
      <c r="EIV70" s="29"/>
      <c r="EIW70" s="29"/>
      <c r="EIX70" s="29"/>
      <c r="EIY70" s="29"/>
      <c r="EIZ70" s="29"/>
      <c r="EJA70" s="29"/>
      <c r="EJB70" s="29"/>
      <c r="EJC70" s="29"/>
      <c r="EJD70" s="29"/>
      <c r="EJE70" s="29"/>
      <c r="EJF70" s="29"/>
      <c r="EJG70" s="29"/>
      <c r="EJH70" s="29"/>
      <c r="EJI70" s="29"/>
      <c r="EJJ70" s="29"/>
      <c r="EJK70" s="29"/>
      <c r="EJL70" s="29"/>
      <c r="EJM70" s="29"/>
      <c r="EJN70" s="29"/>
      <c r="EJO70" s="29"/>
      <c r="EJP70" s="29"/>
      <c r="EJQ70" s="29"/>
      <c r="EJR70" s="29"/>
      <c r="EJS70" s="29"/>
      <c r="EJT70" s="29"/>
      <c r="EJU70" s="29"/>
      <c r="EJV70" s="29"/>
      <c r="EJW70" s="29"/>
      <c r="EJX70" s="29"/>
      <c r="EJY70" s="29"/>
      <c r="EJZ70" s="29"/>
      <c r="EKA70" s="29"/>
      <c r="EKB70" s="29"/>
      <c r="EKC70" s="29"/>
      <c r="EKD70" s="29"/>
      <c r="EKE70" s="29"/>
      <c r="EKF70" s="29"/>
      <c r="EKG70" s="29"/>
      <c r="EKH70" s="29"/>
      <c r="EKI70" s="29"/>
      <c r="EKJ70" s="29"/>
      <c r="EKK70" s="29"/>
      <c r="EKL70" s="29"/>
      <c r="EKM70" s="29"/>
      <c r="EKN70" s="29"/>
      <c r="EKO70" s="29"/>
      <c r="EKP70" s="29"/>
      <c r="EKQ70" s="29"/>
      <c r="EKR70" s="29"/>
      <c r="EKS70" s="29"/>
      <c r="EKT70" s="29"/>
      <c r="EKU70" s="29"/>
      <c r="EKV70" s="29"/>
      <c r="EKW70" s="29"/>
      <c r="EKX70" s="29"/>
      <c r="EKY70" s="29"/>
      <c r="EKZ70" s="29"/>
      <c r="ELA70" s="29"/>
      <c r="ELB70" s="29"/>
      <c r="ELC70" s="29"/>
      <c r="ELD70" s="29"/>
      <c r="ELE70" s="29"/>
      <c r="ELF70" s="29"/>
      <c r="ELG70" s="29"/>
      <c r="ELH70" s="29"/>
      <c r="ELI70" s="29"/>
      <c r="ELJ70" s="29"/>
      <c r="ELK70" s="29"/>
      <c r="ELL70" s="29"/>
      <c r="ELM70" s="29"/>
      <c r="ELN70" s="29"/>
      <c r="ELO70" s="29"/>
      <c r="ELP70" s="29"/>
      <c r="ELQ70" s="29"/>
      <c r="ELR70" s="29"/>
      <c r="ELS70" s="29"/>
      <c r="ELT70" s="29"/>
      <c r="ELU70" s="29"/>
      <c r="ELV70" s="29"/>
      <c r="ELW70" s="29"/>
      <c r="ELX70" s="29"/>
      <c r="ELY70" s="29"/>
      <c r="ELZ70" s="29"/>
      <c r="EMA70" s="29"/>
      <c r="EMB70" s="29"/>
      <c r="EMC70" s="29"/>
      <c r="EMD70" s="29"/>
      <c r="EME70" s="29"/>
      <c r="EMF70" s="29"/>
      <c r="EMG70" s="29"/>
      <c r="EMH70" s="29"/>
      <c r="EMI70" s="29"/>
      <c r="EMJ70" s="29"/>
      <c r="EMK70" s="29"/>
      <c r="EML70" s="29"/>
      <c r="EMM70" s="29"/>
      <c r="EMN70" s="29"/>
      <c r="EMO70" s="29"/>
      <c r="EMP70" s="29"/>
      <c r="EMQ70" s="29"/>
      <c r="EMR70" s="29"/>
      <c r="EMS70" s="29"/>
      <c r="EMT70" s="29"/>
      <c r="EMU70" s="29"/>
      <c r="EMV70" s="29"/>
      <c r="EMW70" s="29"/>
      <c r="EMX70" s="29"/>
      <c r="EMY70" s="29"/>
      <c r="EMZ70" s="29"/>
      <c r="ENA70" s="29"/>
      <c r="ENB70" s="29"/>
      <c r="ENC70" s="29"/>
      <c r="END70" s="29"/>
      <c r="ENE70" s="29"/>
      <c r="ENF70" s="29"/>
      <c r="ENG70" s="29"/>
      <c r="ENH70" s="29"/>
      <c r="ENI70" s="29"/>
      <c r="ENJ70" s="29"/>
      <c r="ENK70" s="29"/>
      <c r="ENL70" s="29"/>
      <c r="ENM70" s="29"/>
      <c r="ENN70" s="29"/>
      <c r="ENO70" s="29"/>
      <c r="ENP70" s="29"/>
      <c r="ENQ70" s="29"/>
      <c r="ENR70" s="29"/>
      <c r="ENS70" s="29"/>
      <c r="ENT70" s="29"/>
      <c r="ENU70" s="29"/>
      <c r="ENV70" s="29"/>
      <c r="ENW70" s="29"/>
      <c r="ENX70" s="29"/>
      <c r="ENY70" s="29"/>
      <c r="ENZ70" s="29"/>
      <c r="EOA70" s="29"/>
      <c r="EOB70" s="29"/>
      <c r="EOC70" s="29"/>
      <c r="EOD70" s="29"/>
      <c r="EOE70" s="29"/>
      <c r="EOF70" s="29"/>
      <c r="EOG70" s="29"/>
      <c r="EOH70" s="29"/>
      <c r="EOI70" s="29"/>
      <c r="EOJ70" s="29"/>
      <c r="EOK70" s="29"/>
      <c r="EOL70" s="29"/>
      <c r="EOM70" s="29"/>
      <c r="EON70" s="29"/>
      <c r="EOO70" s="29"/>
      <c r="EOP70" s="29"/>
      <c r="EOQ70" s="29"/>
      <c r="EOR70" s="29"/>
      <c r="EOS70" s="29"/>
      <c r="EOT70" s="29"/>
      <c r="EOU70" s="29"/>
      <c r="EOV70" s="29"/>
      <c r="EOW70" s="29"/>
      <c r="EOX70" s="29"/>
      <c r="EOY70" s="29"/>
      <c r="EOZ70" s="29"/>
      <c r="EPA70" s="29"/>
      <c r="EPB70" s="29"/>
      <c r="EPC70" s="29"/>
      <c r="EPD70" s="29"/>
      <c r="EPE70" s="29"/>
      <c r="EPF70" s="29"/>
      <c r="EPG70" s="29"/>
      <c r="EPH70" s="29"/>
      <c r="EPI70" s="29"/>
      <c r="EPJ70" s="29"/>
      <c r="EPK70" s="29"/>
      <c r="EPL70" s="29"/>
      <c r="EPM70" s="29"/>
      <c r="EPN70" s="29"/>
      <c r="EPO70" s="29"/>
      <c r="EPP70" s="29"/>
      <c r="EPQ70" s="29"/>
      <c r="EPR70" s="29"/>
      <c r="EPS70" s="29"/>
      <c r="EPT70" s="29"/>
      <c r="EPU70" s="29"/>
      <c r="EPV70" s="29"/>
      <c r="EPW70" s="29"/>
      <c r="EPX70" s="29"/>
      <c r="EPY70" s="29"/>
      <c r="EPZ70" s="29"/>
      <c r="EQA70" s="29"/>
      <c r="EQB70" s="29"/>
      <c r="EQC70" s="29"/>
      <c r="EQD70" s="29"/>
      <c r="EQE70" s="29"/>
      <c r="EQF70" s="29"/>
      <c r="EQG70" s="29"/>
      <c r="EQH70" s="29"/>
      <c r="EQI70" s="29"/>
      <c r="EQJ70" s="29"/>
      <c r="EQK70" s="29"/>
      <c r="EQL70" s="29"/>
      <c r="EQM70" s="29"/>
      <c r="EQN70" s="29"/>
      <c r="EQO70" s="29"/>
      <c r="EQP70" s="29"/>
      <c r="EQQ70" s="29"/>
      <c r="EQR70" s="29"/>
      <c r="EQS70" s="29"/>
      <c r="EQT70" s="29"/>
      <c r="EQU70" s="29"/>
      <c r="EQV70" s="29"/>
      <c r="EQW70" s="29"/>
      <c r="EQX70" s="29"/>
      <c r="EQY70" s="29"/>
      <c r="EQZ70" s="29"/>
      <c r="ERA70" s="29"/>
      <c r="ERB70" s="29"/>
      <c r="ERC70" s="29"/>
      <c r="ERD70" s="29"/>
      <c r="ERE70" s="29"/>
      <c r="ERF70" s="29"/>
      <c r="ERG70" s="29"/>
      <c r="ERH70" s="29"/>
      <c r="ERI70" s="29"/>
      <c r="ERJ70" s="29"/>
      <c r="ERK70" s="29"/>
      <c r="ERL70" s="29"/>
      <c r="ERM70" s="29"/>
      <c r="ERN70" s="29"/>
      <c r="ERO70" s="29"/>
      <c r="ERP70" s="29"/>
      <c r="ERQ70" s="29"/>
      <c r="ERR70" s="29"/>
      <c r="ERS70" s="29"/>
      <c r="ERT70" s="29"/>
      <c r="ERU70" s="29"/>
      <c r="ERV70" s="29"/>
      <c r="ERW70" s="29"/>
      <c r="ERX70" s="29"/>
      <c r="ERY70" s="29"/>
      <c r="ERZ70" s="29"/>
      <c r="ESA70" s="29"/>
      <c r="ESB70" s="29"/>
      <c r="ESC70" s="29"/>
      <c r="ESD70" s="29"/>
      <c r="ESE70" s="29"/>
      <c r="ESF70" s="29"/>
      <c r="ESG70" s="29"/>
      <c r="ESH70" s="29"/>
      <c r="ESI70" s="29"/>
      <c r="ESJ70" s="29"/>
      <c r="ESK70" s="29"/>
      <c r="ESL70" s="29"/>
      <c r="ESM70" s="29"/>
      <c r="ESN70" s="29"/>
      <c r="ESO70" s="29"/>
      <c r="ESP70" s="29"/>
      <c r="ESQ70" s="29"/>
      <c r="ESR70" s="29"/>
      <c r="ESS70" s="29"/>
      <c r="EST70" s="29"/>
      <c r="ESU70" s="29"/>
      <c r="ESV70" s="29"/>
      <c r="ESW70" s="29"/>
      <c r="ESX70" s="29"/>
      <c r="ESY70" s="29"/>
      <c r="ESZ70" s="29"/>
      <c r="ETA70" s="29"/>
      <c r="ETB70" s="29"/>
      <c r="ETC70" s="29"/>
      <c r="ETD70" s="29"/>
      <c r="ETE70" s="29"/>
      <c r="ETF70" s="29"/>
      <c r="ETG70" s="29"/>
      <c r="ETH70" s="29"/>
      <c r="ETI70" s="29"/>
      <c r="ETJ70" s="29"/>
      <c r="ETK70" s="29"/>
      <c r="ETL70" s="29"/>
      <c r="ETM70" s="29"/>
      <c r="ETN70" s="29"/>
      <c r="ETO70" s="29"/>
      <c r="ETP70" s="29"/>
      <c r="ETQ70" s="29"/>
      <c r="ETR70" s="29"/>
      <c r="ETS70" s="29"/>
      <c r="ETT70" s="29"/>
      <c r="ETU70" s="29"/>
      <c r="ETV70" s="29"/>
      <c r="ETW70" s="29"/>
      <c r="ETX70" s="29"/>
      <c r="ETY70" s="29"/>
      <c r="ETZ70" s="29"/>
      <c r="EUA70" s="29"/>
      <c r="EUB70" s="29"/>
      <c r="EUC70" s="29"/>
      <c r="EUD70" s="29"/>
      <c r="EUE70" s="29"/>
      <c r="EUF70" s="29"/>
      <c r="EUG70" s="29"/>
      <c r="EUH70" s="29"/>
      <c r="EUI70" s="29"/>
      <c r="EUJ70" s="29"/>
      <c r="EUK70" s="29"/>
      <c r="EUL70" s="29"/>
      <c r="EUM70" s="29"/>
      <c r="EUN70" s="29"/>
      <c r="EUO70" s="29"/>
      <c r="EUP70" s="29"/>
      <c r="EUQ70" s="29"/>
      <c r="EUR70" s="29"/>
      <c r="EUS70" s="29"/>
      <c r="EUT70" s="29"/>
      <c r="EUU70" s="29"/>
      <c r="EUV70" s="29"/>
      <c r="EUW70" s="29"/>
      <c r="EUX70" s="29"/>
      <c r="EUY70" s="29"/>
      <c r="EUZ70" s="29"/>
      <c r="EVA70" s="29"/>
      <c r="EVB70" s="29"/>
      <c r="EVC70" s="29"/>
      <c r="EVD70" s="29"/>
      <c r="EVE70" s="29"/>
      <c r="EVF70" s="29"/>
      <c r="EVG70" s="29"/>
      <c r="EVH70" s="29"/>
      <c r="EVI70" s="29"/>
      <c r="EVJ70" s="29"/>
      <c r="EVK70" s="29"/>
      <c r="EVL70" s="29"/>
      <c r="EVM70" s="29"/>
      <c r="EVN70" s="29"/>
      <c r="EVO70" s="29"/>
      <c r="EVP70" s="29"/>
      <c r="EVQ70" s="29"/>
      <c r="EVR70" s="29"/>
      <c r="EVS70" s="29"/>
      <c r="EVT70" s="29"/>
      <c r="EVU70" s="29"/>
      <c r="EVV70" s="29"/>
      <c r="EVW70" s="29"/>
      <c r="EVX70" s="29"/>
      <c r="EVY70" s="29"/>
      <c r="EVZ70" s="29"/>
      <c r="EWA70" s="29"/>
      <c r="EWB70" s="29"/>
      <c r="EWC70" s="29"/>
      <c r="EWD70" s="29"/>
      <c r="EWE70" s="29"/>
      <c r="EWF70" s="29"/>
      <c r="EWG70" s="29"/>
      <c r="EWH70" s="29"/>
      <c r="EWI70" s="29"/>
      <c r="EWJ70" s="29"/>
      <c r="EWK70" s="29"/>
      <c r="EWL70" s="29"/>
      <c r="EWM70" s="29"/>
      <c r="EWN70" s="29"/>
      <c r="EWO70" s="29"/>
      <c r="EWP70" s="29"/>
      <c r="EWQ70" s="29"/>
      <c r="EWR70" s="29"/>
      <c r="EWS70" s="29"/>
      <c r="EWT70" s="29"/>
      <c r="EWU70" s="29"/>
      <c r="EWV70" s="29"/>
      <c r="EWW70" s="29"/>
      <c r="EWX70" s="29"/>
      <c r="EWY70" s="29"/>
      <c r="EWZ70" s="29"/>
      <c r="EXA70" s="29"/>
      <c r="EXB70" s="29"/>
      <c r="EXC70" s="29"/>
      <c r="EXD70" s="29"/>
      <c r="EXE70" s="29"/>
      <c r="EXF70" s="29"/>
      <c r="EXG70" s="29"/>
      <c r="EXH70" s="29"/>
      <c r="EXI70" s="29"/>
      <c r="EXJ70" s="29"/>
      <c r="EXK70" s="29"/>
      <c r="EXL70" s="29"/>
      <c r="EXM70" s="29"/>
      <c r="EXN70" s="29"/>
      <c r="EXO70" s="29"/>
      <c r="EXP70" s="29"/>
      <c r="EXQ70" s="29"/>
      <c r="EXR70" s="29"/>
      <c r="EXS70" s="29"/>
      <c r="EXT70" s="29"/>
      <c r="EXU70" s="29"/>
      <c r="EXV70" s="29"/>
      <c r="EXW70" s="29"/>
      <c r="EXX70" s="29"/>
      <c r="EXY70" s="29"/>
      <c r="EXZ70" s="29"/>
      <c r="EYA70" s="29"/>
      <c r="EYB70" s="29"/>
      <c r="EYC70" s="29"/>
      <c r="EYD70" s="29"/>
      <c r="EYE70" s="29"/>
      <c r="EYF70" s="29"/>
      <c r="EYG70" s="29"/>
      <c r="EYH70" s="29"/>
      <c r="EYI70" s="29"/>
      <c r="EYJ70" s="29"/>
      <c r="EYK70" s="29"/>
      <c r="EYL70" s="29"/>
      <c r="EYM70" s="29"/>
      <c r="EYN70" s="29"/>
      <c r="EYO70" s="29"/>
      <c r="EYP70" s="29"/>
      <c r="EYQ70" s="29"/>
      <c r="EYR70" s="29"/>
      <c r="EYS70" s="29"/>
      <c r="EYT70" s="29"/>
      <c r="EYU70" s="29"/>
      <c r="EYV70" s="29"/>
      <c r="EYW70" s="29"/>
      <c r="EYX70" s="29"/>
      <c r="EYY70" s="29"/>
      <c r="EYZ70" s="29"/>
      <c r="EZA70" s="29"/>
      <c r="EZB70" s="29"/>
      <c r="EZC70" s="29"/>
      <c r="EZD70" s="29"/>
      <c r="EZE70" s="29"/>
      <c r="EZF70" s="29"/>
      <c r="EZG70" s="29"/>
      <c r="EZH70" s="29"/>
      <c r="EZI70" s="29"/>
      <c r="EZJ70" s="29"/>
      <c r="EZK70" s="29"/>
      <c r="EZL70" s="29"/>
      <c r="EZM70" s="29"/>
      <c r="EZN70" s="29"/>
      <c r="EZO70" s="29"/>
      <c r="EZP70" s="29"/>
      <c r="EZQ70" s="29"/>
      <c r="EZR70" s="29"/>
      <c r="EZS70" s="29"/>
      <c r="EZT70" s="29"/>
      <c r="EZU70" s="29"/>
      <c r="EZV70" s="29"/>
      <c r="EZW70" s="29"/>
      <c r="EZX70" s="29"/>
      <c r="EZY70" s="29"/>
      <c r="EZZ70" s="29"/>
      <c r="FAA70" s="29"/>
      <c r="FAB70" s="29"/>
      <c r="FAC70" s="29"/>
      <c r="FAD70" s="29"/>
      <c r="FAE70" s="29"/>
      <c r="FAF70" s="29"/>
      <c r="FAG70" s="29"/>
      <c r="FAH70" s="29"/>
      <c r="FAI70" s="29"/>
      <c r="FAJ70" s="29"/>
      <c r="FAK70" s="29"/>
      <c r="FAL70" s="29"/>
      <c r="FAM70" s="29"/>
      <c r="FAN70" s="29"/>
      <c r="FAO70" s="29"/>
      <c r="FAP70" s="29"/>
      <c r="FAQ70" s="29"/>
      <c r="FAR70" s="29"/>
      <c r="FAS70" s="29"/>
      <c r="FAT70" s="29"/>
      <c r="FAU70" s="29"/>
      <c r="FAV70" s="29"/>
      <c r="FAW70" s="29"/>
      <c r="FAX70" s="29"/>
      <c r="FAY70" s="29"/>
      <c r="FAZ70" s="29"/>
      <c r="FBA70" s="29"/>
      <c r="FBB70" s="29"/>
      <c r="FBC70" s="29"/>
      <c r="FBD70" s="29"/>
      <c r="FBE70" s="29"/>
      <c r="FBF70" s="29"/>
      <c r="FBG70" s="29"/>
      <c r="FBH70" s="29"/>
      <c r="FBI70" s="29"/>
      <c r="FBJ70" s="29"/>
      <c r="FBK70" s="29"/>
      <c r="FBL70" s="29"/>
      <c r="FBM70" s="29"/>
      <c r="FBN70" s="29"/>
      <c r="FBO70" s="29"/>
      <c r="FBP70" s="29"/>
      <c r="FBQ70" s="29"/>
      <c r="FBR70" s="29"/>
      <c r="FBS70" s="29"/>
      <c r="FBT70" s="29"/>
      <c r="FBU70" s="29"/>
      <c r="FBV70" s="29"/>
      <c r="FBW70" s="29"/>
      <c r="FBX70" s="29"/>
      <c r="FBY70" s="29"/>
      <c r="FBZ70" s="29"/>
      <c r="FCA70" s="29"/>
      <c r="FCB70" s="29"/>
      <c r="FCC70" s="29"/>
      <c r="FCD70" s="29"/>
      <c r="FCE70" s="29"/>
      <c r="FCF70" s="29"/>
      <c r="FCG70" s="29"/>
      <c r="FCH70" s="29"/>
      <c r="FCI70" s="29"/>
      <c r="FCJ70" s="29"/>
      <c r="FCK70" s="29"/>
      <c r="FCL70" s="29"/>
      <c r="FCM70" s="29"/>
      <c r="FCN70" s="29"/>
      <c r="FCO70" s="29"/>
      <c r="FCP70" s="29"/>
      <c r="FCQ70" s="29"/>
      <c r="FCR70" s="29"/>
      <c r="FCS70" s="29"/>
      <c r="FCT70" s="29"/>
      <c r="FCU70" s="29"/>
      <c r="FCV70" s="29"/>
      <c r="FCW70" s="29"/>
      <c r="FCX70" s="29"/>
      <c r="FCY70" s="29"/>
      <c r="FCZ70" s="29"/>
      <c r="FDA70" s="29"/>
      <c r="FDB70" s="29"/>
      <c r="FDC70" s="29"/>
      <c r="FDD70" s="29"/>
      <c r="FDE70" s="29"/>
      <c r="FDF70" s="29"/>
      <c r="FDG70" s="29"/>
      <c r="FDH70" s="29"/>
      <c r="FDI70" s="29"/>
      <c r="FDJ70" s="29"/>
      <c r="FDK70" s="29"/>
      <c r="FDL70" s="29"/>
      <c r="FDM70" s="29"/>
      <c r="FDN70" s="29"/>
      <c r="FDO70" s="29"/>
      <c r="FDP70" s="29"/>
      <c r="FDQ70" s="29"/>
      <c r="FDR70" s="29"/>
      <c r="FDS70" s="29"/>
      <c r="FDT70" s="29"/>
      <c r="FDU70" s="29"/>
      <c r="FDV70" s="29"/>
      <c r="FDW70" s="29"/>
      <c r="FDX70" s="29"/>
      <c r="FDY70" s="29"/>
      <c r="FDZ70" s="29"/>
      <c r="FEA70" s="29"/>
      <c r="FEB70" s="29"/>
      <c r="FEC70" s="29"/>
      <c r="FED70" s="29"/>
      <c r="FEE70" s="29"/>
      <c r="FEF70" s="29"/>
      <c r="FEG70" s="29"/>
      <c r="FEH70" s="29"/>
      <c r="FEI70" s="29"/>
      <c r="FEJ70" s="29"/>
      <c r="FEK70" s="29"/>
      <c r="FEL70" s="29"/>
      <c r="FEM70" s="29"/>
      <c r="FEN70" s="29"/>
      <c r="FEO70" s="29"/>
      <c r="FEP70" s="29"/>
      <c r="FEQ70" s="29"/>
      <c r="FER70" s="29"/>
      <c r="FES70" s="29"/>
      <c r="FET70" s="29"/>
      <c r="FEU70" s="29"/>
      <c r="FEV70" s="29"/>
      <c r="FEW70" s="29"/>
      <c r="FEX70" s="29"/>
      <c r="FEY70" s="29"/>
      <c r="FEZ70" s="29"/>
      <c r="FFA70" s="29"/>
      <c r="FFB70" s="29"/>
      <c r="FFC70" s="29"/>
      <c r="FFD70" s="29"/>
      <c r="FFE70" s="29"/>
      <c r="FFF70" s="29"/>
      <c r="FFG70" s="29"/>
      <c r="FFH70" s="29"/>
      <c r="FFI70" s="29"/>
      <c r="FFJ70" s="29"/>
      <c r="FFK70" s="29"/>
      <c r="FFL70" s="29"/>
      <c r="FFM70" s="29"/>
      <c r="FFN70" s="29"/>
      <c r="FFO70" s="29"/>
      <c r="FFP70" s="29"/>
      <c r="FFQ70" s="29"/>
      <c r="FFR70" s="29"/>
      <c r="FFS70" s="29"/>
      <c r="FFT70" s="29"/>
      <c r="FFU70" s="29"/>
      <c r="FFV70" s="29"/>
      <c r="FFW70" s="29"/>
      <c r="FFX70" s="29"/>
      <c r="FFY70" s="29"/>
      <c r="FFZ70" s="29"/>
      <c r="FGA70" s="29"/>
      <c r="FGB70" s="29"/>
      <c r="FGC70" s="29"/>
      <c r="FGD70" s="29"/>
      <c r="FGE70" s="29"/>
      <c r="FGF70" s="29"/>
      <c r="FGG70" s="29"/>
      <c r="FGH70" s="29"/>
      <c r="FGI70" s="29"/>
      <c r="FGJ70" s="29"/>
      <c r="FGK70" s="29"/>
      <c r="FGL70" s="29"/>
      <c r="FGM70" s="29"/>
      <c r="FGN70" s="29"/>
      <c r="FGO70" s="29"/>
      <c r="FGP70" s="29"/>
      <c r="FGQ70" s="29"/>
      <c r="FGR70" s="29"/>
      <c r="FGS70" s="29"/>
      <c r="FGT70" s="29"/>
      <c r="FGU70" s="29"/>
      <c r="FGV70" s="29"/>
      <c r="FGW70" s="29"/>
      <c r="FGX70" s="29"/>
      <c r="FGY70" s="29"/>
      <c r="FGZ70" s="29"/>
      <c r="FHA70" s="29"/>
      <c r="FHB70" s="29"/>
      <c r="FHC70" s="29"/>
      <c r="FHD70" s="29"/>
      <c r="FHE70" s="29"/>
      <c r="FHF70" s="29"/>
      <c r="FHG70" s="29"/>
      <c r="FHH70" s="29"/>
      <c r="FHI70" s="29"/>
      <c r="FHJ70" s="29"/>
      <c r="FHK70" s="29"/>
      <c r="FHL70" s="29"/>
      <c r="FHM70" s="29"/>
      <c r="FHN70" s="29"/>
      <c r="FHO70" s="29"/>
      <c r="FHP70" s="29"/>
      <c r="FHQ70" s="29"/>
      <c r="FHR70" s="29"/>
      <c r="FHS70" s="29"/>
      <c r="FHT70" s="29"/>
      <c r="FHU70" s="29"/>
      <c r="FHV70" s="29"/>
      <c r="FHW70" s="29"/>
      <c r="FHX70" s="29"/>
      <c r="FHY70" s="29"/>
      <c r="FHZ70" s="29"/>
      <c r="FIA70" s="29"/>
      <c r="FIB70" s="29"/>
      <c r="FIC70" s="29"/>
      <c r="FID70" s="29"/>
      <c r="FIE70" s="29"/>
      <c r="FIF70" s="29"/>
      <c r="FIG70" s="29"/>
      <c r="FIH70" s="29"/>
      <c r="FII70" s="29"/>
      <c r="FIJ70" s="29"/>
      <c r="FIK70" s="29"/>
      <c r="FIL70" s="29"/>
      <c r="FIM70" s="29"/>
      <c r="FIN70" s="29"/>
      <c r="FIO70" s="29"/>
      <c r="FIP70" s="29"/>
      <c r="FIQ70" s="29"/>
      <c r="FIR70" s="29"/>
      <c r="FIS70" s="29"/>
      <c r="FIT70" s="29"/>
      <c r="FIU70" s="29"/>
      <c r="FIV70" s="29"/>
      <c r="FIW70" s="29"/>
      <c r="FIX70" s="29"/>
      <c r="FIY70" s="29"/>
      <c r="FIZ70" s="29"/>
      <c r="FJA70" s="29"/>
      <c r="FJB70" s="29"/>
      <c r="FJC70" s="29"/>
      <c r="FJD70" s="29"/>
      <c r="FJE70" s="29"/>
      <c r="FJF70" s="29"/>
      <c r="FJG70" s="29"/>
      <c r="FJH70" s="29"/>
      <c r="FJI70" s="29"/>
      <c r="FJJ70" s="29"/>
      <c r="FJK70" s="29"/>
      <c r="FJL70" s="29"/>
      <c r="FJM70" s="29"/>
      <c r="FJN70" s="29"/>
      <c r="FJO70" s="29"/>
      <c r="FJP70" s="29"/>
      <c r="FJQ70" s="29"/>
      <c r="FJR70" s="29"/>
      <c r="FJS70" s="29"/>
      <c r="FJT70" s="29"/>
      <c r="FJU70" s="29"/>
      <c r="FJV70" s="29"/>
      <c r="FJW70" s="29"/>
      <c r="FJX70" s="29"/>
      <c r="FJY70" s="29"/>
      <c r="FJZ70" s="29"/>
      <c r="FKA70" s="29"/>
      <c r="FKB70" s="29"/>
      <c r="FKC70" s="29"/>
      <c r="FKD70" s="29"/>
      <c r="FKE70" s="29"/>
      <c r="FKF70" s="29"/>
      <c r="FKG70" s="29"/>
      <c r="FKH70" s="29"/>
      <c r="FKI70" s="29"/>
      <c r="FKJ70" s="29"/>
      <c r="FKK70" s="29"/>
      <c r="FKL70" s="29"/>
      <c r="FKM70" s="29"/>
      <c r="FKN70" s="29"/>
      <c r="FKO70" s="29"/>
      <c r="FKP70" s="29"/>
      <c r="FKQ70" s="29"/>
      <c r="FKR70" s="29"/>
      <c r="FKS70" s="29"/>
      <c r="FKT70" s="29"/>
      <c r="FKU70" s="29"/>
      <c r="FKV70" s="29"/>
      <c r="FKW70" s="29"/>
      <c r="FKX70" s="29"/>
      <c r="FKY70" s="29"/>
      <c r="FKZ70" s="29"/>
      <c r="FLA70" s="29"/>
      <c r="FLB70" s="29"/>
      <c r="FLC70" s="29"/>
      <c r="FLD70" s="29"/>
      <c r="FLE70" s="29"/>
      <c r="FLF70" s="29"/>
      <c r="FLG70" s="29"/>
      <c r="FLH70" s="29"/>
      <c r="FLI70" s="29"/>
      <c r="FLJ70" s="29"/>
      <c r="FLK70" s="29"/>
      <c r="FLL70" s="29"/>
      <c r="FLM70" s="29"/>
      <c r="FLN70" s="29"/>
      <c r="FLO70" s="29"/>
      <c r="FLP70" s="29"/>
      <c r="FLQ70" s="29"/>
      <c r="FLR70" s="29"/>
      <c r="FLS70" s="29"/>
      <c r="FLT70" s="29"/>
      <c r="FLU70" s="29"/>
      <c r="FLV70" s="29"/>
      <c r="FLW70" s="29"/>
      <c r="FLX70" s="29"/>
      <c r="FLY70" s="29"/>
      <c r="FLZ70" s="29"/>
      <c r="FMA70" s="29"/>
      <c r="FMB70" s="29"/>
      <c r="FMC70" s="29"/>
      <c r="FMD70" s="29"/>
      <c r="FME70" s="29"/>
      <c r="FMF70" s="29"/>
      <c r="FMG70" s="29"/>
      <c r="FMH70" s="29"/>
      <c r="FMI70" s="29"/>
      <c r="FMJ70" s="29"/>
      <c r="FMK70" s="29"/>
      <c r="FML70" s="29"/>
      <c r="FMM70" s="29"/>
      <c r="FMN70" s="29"/>
      <c r="FMO70" s="29"/>
      <c r="FMP70" s="29"/>
      <c r="FMQ70" s="29"/>
      <c r="FMR70" s="29"/>
      <c r="FMS70" s="29"/>
      <c r="FMT70" s="29"/>
      <c r="FMU70" s="29"/>
      <c r="FMV70" s="29"/>
      <c r="FMW70" s="29"/>
      <c r="FMX70" s="29"/>
      <c r="FMY70" s="29"/>
      <c r="FMZ70" s="29"/>
      <c r="FNA70" s="29"/>
      <c r="FNB70" s="29"/>
      <c r="FNC70" s="29"/>
      <c r="FND70" s="29"/>
      <c r="FNE70" s="29"/>
      <c r="FNF70" s="29"/>
      <c r="FNG70" s="29"/>
      <c r="FNH70" s="29"/>
      <c r="FNI70" s="29"/>
      <c r="FNJ70" s="29"/>
      <c r="FNK70" s="29"/>
      <c r="FNL70" s="29"/>
      <c r="FNM70" s="29"/>
      <c r="FNN70" s="29"/>
      <c r="FNO70" s="29"/>
      <c r="FNP70" s="29"/>
      <c r="FNQ70" s="29"/>
      <c r="FNR70" s="29"/>
      <c r="FNS70" s="29"/>
      <c r="FNT70" s="29"/>
      <c r="FNU70" s="29"/>
      <c r="FNV70" s="29"/>
      <c r="FNW70" s="29"/>
      <c r="FNX70" s="29"/>
      <c r="FNY70" s="29"/>
      <c r="FNZ70" s="29"/>
      <c r="FOA70" s="29"/>
      <c r="FOB70" s="29"/>
      <c r="FOC70" s="29"/>
      <c r="FOD70" s="29"/>
      <c r="FOE70" s="29"/>
      <c r="FOF70" s="29"/>
      <c r="FOG70" s="29"/>
      <c r="FOH70" s="29"/>
      <c r="FOI70" s="29"/>
      <c r="FOJ70" s="29"/>
      <c r="FOK70" s="29"/>
      <c r="FOL70" s="29"/>
      <c r="FOM70" s="29"/>
      <c r="FON70" s="29"/>
      <c r="FOO70" s="29"/>
      <c r="FOP70" s="29"/>
      <c r="FOQ70" s="29"/>
      <c r="FOR70" s="29"/>
      <c r="FOS70" s="29"/>
      <c r="FOT70" s="29"/>
      <c r="FOU70" s="29"/>
      <c r="FOV70" s="29"/>
      <c r="FOW70" s="29"/>
      <c r="FOX70" s="29"/>
      <c r="FOY70" s="29"/>
      <c r="FOZ70" s="29"/>
      <c r="FPA70" s="29"/>
      <c r="FPB70" s="29"/>
      <c r="FPC70" s="29"/>
      <c r="FPD70" s="29"/>
      <c r="FPE70" s="29"/>
      <c r="FPF70" s="29"/>
      <c r="FPG70" s="29"/>
      <c r="FPH70" s="29"/>
      <c r="FPI70" s="29"/>
      <c r="FPJ70" s="29"/>
      <c r="FPK70" s="29"/>
      <c r="FPL70" s="29"/>
      <c r="FPM70" s="29"/>
      <c r="FPN70" s="29"/>
      <c r="FPO70" s="29"/>
      <c r="FPP70" s="29"/>
      <c r="FPQ70" s="29"/>
      <c r="FPR70" s="29"/>
      <c r="FPS70" s="29"/>
      <c r="FPT70" s="29"/>
      <c r="FPU70" s="29"/>
      <c r="FPV70" s="29"/>
      <c r="FPW70" s="29"/>
      <c r="FPX70" s="29"/>
      <c r="FPY70" s="29"/>
      <c r="FPZ70" s="29"/>
      <c r="FQA70" s="29"/>
      <c r="FQB70" s="29"/>
      <c r="FQC70" s="29"/>
      <c r="FQD70" s="29"/>
      <c r="FQE70" s="29"/>
      <c r="FQF70" s="29"/>
      <c r="FQG70" s="29"/>
      <c r="FQH70" s="29"/>
      <c r="FQI70" s="29"/>
      <c r="FQJ70" s="29"/>
      <c r="FQK70" s="29"/>
      <c r="FQL70" s="29"/>
      <c r="FQM70" s="29"/>
      <c r="FQN70" s="29"/>
      <c r="FQO70" s="29"/>
      <c r="FQP70" s="29"/>
      <c r="FQQ70" s="29"/>
      <c r="FQR70" s="29"/>
      <c r="FQS70" s="29"/>
      <c r="FQT70" s="29"/>
      <c r="FQU70" s="29"/>
      <c r="FQV70" s="29"/>
      <c r="FQW70" s="29"/>
      <c r="FQX70" s="29"/>
      <c r="FQY70" s="29"/>
      <c r="FQZ70" s="29"/>
      <c r="FRA70" s="29"/>
      <c r="FRB70" s="29"/>
      <c r="FRC70" s="29"/>
      <c r="FRD70" s="29"/>
      <c r="FRE70" s="29"/>
      <c r="FRF70" s="29"/>
      <c r="FRG70" s="29"/>
      <c r="FRH70" s="29"/>
      <c r="FRI70" s="29"/>
      <c r="FRJ70" s="29"/>
      <c r="FRK70" s="29"/>
      <c r="FRL70" s="29"/>
      <c r="FRM70" s="29"/>
      <c r="FRN70" s="29"/>
      <c r="FRO70" s="29"/>
      <c r="FRP70" s="29"/>
      <c r="FRQ70" s="29"/>
      <c r="FRR70" s="29"/>
      <c r="FRS70" s="29"/>
      <c r="FRT70" s="29"/>
      <c r="FRU70" s="29"/>
      <c r="FRV70" s="29"/>
      <c r="FRW70" s="29"/>
      <c r="FRX70" s="29"/>
      <c r="FRY70" s="29"/>
      <c r="FRZ70" s="29"/>
      <c r="FSA70" s="29"/>
      <c r="FSB70" s="29"/>
      <c r="FSC70" s="29"/>
      <c r="FSD70" s="29"/>
      <c r="FSE70" s="29"/>
      <c r="FSF70" s="29"/>
      <c r="FSG70" s="29"/>
      <c r="FSH70" s="29"/>
      <c r="FSI70" s="29"/>
      <c r="FSJ70" s="29"/>
      <c r="FSK70" s="29"/>
      <c r="FSL70" s="29"/>
      <c r="FSM70" s="29"/>
      <c r="FSN70" s="29"/>
      <c r="FSO70" s="29"/>
      <c r="FSP70" s="29"/>
      <c r="FSQ70" s="29"/>
      <c r="FSR70" s="29"/>
      <c r="FSS70" s="29"/>
      <c r="FST70" s="29"/>
      <c r="FSU70" s="29"/>
      <c r="FSV70" s="29"/>
      <c r="FSW70" s="29"/>
      <c r="FSX70" s="29"/>
      <c r="FSY70" s="29"/>
      <c r="FSZ70" s="29"/>
      <c r="FTA70" s="29"/>
      <c r="FTB70" s="29"/>
      <c r="FTC70" s="29"/>
      <c r="FTD70" s="29"/>
      <c r="FTE70" s="29"/>
      <c r="FTF70" s="29"/>
      <c r="FTG70" s="29"/>
      <c r="FTH70" s="29"/>
      <c r="FTI70" s="29"/>
      <c r="FTJ70" s="29"/>
      <c r="FTK70" s="29"/>
      <c r="FTL70" s="29"/>
      <c r="FTM70" s="29"/>
      <c r="FTN70" s="29"/>
      <c r="FTO70" s="29"/>
      <c r="FTP70" s="29"/>
      <c r="FTQ70" s="29"/>
      <c r="FTR70" s="29"/>
      <c r="FTS70" s="29"/>
      <c r="FTT70" s="29"/>
      <c r="FTU70" s="29"/>
      <c r="FTV70" s="29"/>
      <c r="FTW70" s="29"/>
      <c r="FTX70" s="29"/>
      <c r="FTY70" s="29"/>
      <c r="FTZ70" s="29"/>
      <c r="FUA70" s="29"/>
      <c r="FUB70" s="29"/>
      <c r="FUC70" s="29"/>
      <c r="FUD70" s="29"/>
      <c r="FUE70" s="29"/>
      <c r="FUF70" s="29"/>
      <c r="FUG70" s="29"/>
      <c r="FUH70" s="29"/>
      <c r="FUI70" s="29"/>
      <c r="FUJ70" s="29"/>
      <c r="FUK70" s="29"/>
      <c r="FUL70" s="29"/>
      <c r="FUM70" s="29"/>
      <c r="FUN70" s="29"/>
      <c r="FUO70" s="29"/>
      <c r="FUP70" s="29"/>
      <c r="FUQ70" s="29"/>
      <c r="FUR70" s="29"/>
      <c r="FUS70" s="29"/>
      <c r="FUT70" s="29"/>
      <c r="FUU70" s="29"/>
      <c r="FUV70" s="29"/>
      <c r="FUW70" s="29"/>
      <c r="FUX70" s="29"/>
      <c r="FUY70" s="29"/>
      <c r="FUZ70" s="29"/>
      <c r="FVA70" s="29"/>
      <c r="FVB70" s="29"/>
      <c r="FVC70" s="29"/>
      <c r="FVD70" s="29"/>
      <c r="FVE70" s="29"/>
      <c r="FVF70" s="29"/>
      <c r="FVG70" s="29"/>
      <c r="FVH70" s="29"/>
      <c r="FVI70" s="29"/>
      <c r="FVJ70" s="29"/>
      <c r="FVK70" s="29"/>
      <c r="FVL70" s="29"/>
      <c r="FVM70" s="29"/>
      <c r="FVN70" s="29"/>
      <c r="FVO70" s="29"/>
      <c r="FVP70" s="29"/>
      <c r="FVQ70" s="29"/>
      <c r="FVR70" s="29"/>
      <c r="FVS70" s="29"/>
      <c r="FVT70" s="29"/>
      <c r="FVU70" s="29"/>
      <c r="FVV70" s="29"/>
      <c r="FVW70" s="29"/>
      <c r="FVX70" s="29"/>
      <c r="FVY70" s="29"/>
      <c r="FVZ70" s="29"/>
      <c r="FWA70" s="29"/>
      <c r="FWB70" s="29"/>
      <c r="FWC70" s="29"/>
      <c r="FWD70" s="29"/>
      <c r="FWE70" s="29"/>
      <c r="FWF70" s="29"/>
      <c r="FWG70" s="29"/>
      <c r="FWH70" s="29"/>
      <c r="FWI70" s="29"/>
      <c r="FWJ70" s="29"/>
      <c r="FWK70" s="29"/>
      <c r="FWL70" s="29"/>
      <c r="FWM70" s="29"/>
      <c r="FWN70" s="29"/>
      <c r="FWO70" s="29"/>
      <c r="FWP70" s="29"/>
      <c r="FWQ70" s="29"/>
      <c r="FWR70" s="29"/>
      <c r="FWS70" s="29"/>
      <c r="FWT70" s="29"/>
      <c r="FWU70" s="29"/>
      <c r="FWV70" s="29"/>
      <c r="FWW70" s="29"/>
      <c r="FWX70" s="29"/>
      <c r="FWY70" s="29"/>
      <c r="FWZ70" s="29"/>
      <c r="FXA70" s="29"/>
      <c r="FXB70" s="29"/>
      <c r="FXC70" s="29"/>
      <c r="FXD70" s="29"/>
      <c r="FXE70" s="29"/>
      <c r="FXF70" s="29"/>
      <c r="FXG70" s="29"/>
      <c r="FXH70" s="29"/>
      <c r="FXI70" s="29"/>
      <c r="FXJ70" s="29"/>
      <c r="FXK70" s="29"/>
      <c r="FXL70" s="29"/>
      <c r="FXM70" s="29"/>
      <c r="FXN70" s="29"/>
      <c r="FXO70" s="29"/>
      <c r="FXP70" s="29"/>
      <c r="FXQ70" s="29"/>
      <c r="FXR70" s="29"/>
      <c r="FXS70" s="29"/>
      <c r="FXT70" s="29"/>
      <c r="FXU70" s="29"/>
      <c r="FXV70" s="29"/>
      <c r="FXW70" s="29"/>
      <c r="FXX70" s="29"/>
      <c r="FXY70" s="29"/>
      <c r="FXZ70" s="29"/>
      <c r="FYA70" s="29"/>
      <c r="FYB70" s="29"/>
      <c r="FYC70" s="29"/>
      <c r="FYD70" s="29"/>
      <c r="FYE70" s="29"/>
      <c r="FYF70" s="29"/>
      <c r="FYG70" s="29"/>
      <c r="FYH70" s="29"/>
      <c r="FYI70" s="29"/>
      <c r="FYJ70" s="29"/>
      <c r="FYK70" s="29"/>
      <c r="FYL70" s="29"/>
      <c r="FYM70" s="29"/>
      <c r="FYN70" s="29"/>
      <c r="FYO70" s="29"/>
      <c r="FYP70" s="29"/>
      <c r="FYQ70" s="29"/>
      <c r="FYR70" s="29"/>
      <c r="FYS70" s="29"/>
      <c r="FYT70" s="29"/>
      <c r="FYU70" s="29"/>
      <c r="FYV70" s="29"/>
      <c r="FYW70" s="29"/>
      <c r="FYX70" s="29"/>
      <c r="FYY70" s="29"/>
      <c r="FYZ70" s="29"/>
      <c r="FZA70" s="29"/>
      <c r="FZB70" s="29"/>
      <c r="FZC70" s="29"/>
      <c r="FZD70" s="29"/>
      <c r="FZE70" s="29"/>
      <c r="FZF70" s="29"/>
      <c r="FZG70" s="29"/>
      <c r="FZH70" s="29"/>
      <c r="FZI70" s="29"/>
      <c r="FZJ70" s="29"/>
      <c r="FZK70" s="29"/>
      <c r="FZL70" s="29"/>
      <c r="FZM70" s="29"/>
      <c r="FZN70" s="29"/>
      <c r="FZO70" s="29"/>
      <c r="FZP70" s="29"/>
      <c r="FZQ70" s="29"/>
      <c r="FZR70" s="29"/>
      <c r="FZS70" s="29"/>
      <c r="FZT70" s="29"/>
      <c r="FZU70" s="29"/>
      <c r="FZV70" s="29"/>
      <c r="FZW70" s="29"/>
      <c r="FZX70" s="29"/>
      <c r="FZY70" s="29"/>
      <c r="FZZ70" s="29"/>
      <c r="GAA70" s="29"/>
      <c r="GAB70" s="29"/>
      <c r="GAC70" s="29"/>
      <c r="GAD70" s="29"/>
      <c r="GAE70" s="29"/>
      <c r="GAF70" s="29"/>
      <c r="GAG70" s="29"/>
      <c r="GAH70" s="29"/>
      <c r="GAI70" s="29"/>
      <c r="GAJ70" s="29"/>
      <c r="GAK70" s="29"/>
      <c r="GAL70" s="29"/>
      <c r="GAM70" s="29"/>
      <c r="GAN70" s="29"/>
      <c r="GAO70" s="29"/>
      <c r="GAP70" s="29"/>
      <c r="GAQ70" s="29"/>
      <c r="GAR70" s="29"/>
      <c r="GAS70" s="29"/>
      <c r="GAT70" s="29"/>
      <c r="GAU70" s="29"/>
      <c r="GAV70" s="29"/>
      <c r="GAW70" s="29"/>
      <c r="GAX70" s="29"/>
      <c r="GAY70" s="29"/>
      <c r="GAZ70" s="29"/>
      <c r="GBA70" s="29"/>
      <c r="GBB70" s="29"/>
      <c r="GBC70" s="29"/>
      <c r="GBD70" s="29"/>
      <c r="GBE70" s="29"/>
      <c r="GBF70" s="29"/>
      <c r="GBG70" s="29"/>
      <c r="GBH70" s="29"/>
      <c r="GBI70" s="29"/>
      <c r="GBJ70" s="29"/>
      <c r="GBK70" s="29"/>
      <c r="GBL70" s="29"/>
      <c r="GBM70" s="29"/>
      <c r="GBN70" s="29"/>
      <c r="GBO70" s="29"/>
      <c r="GBP70" s="29"/>
      <c r="GBQ70" s="29"/>
      <c r="GBR70" s="29"/>
      <c r="GBS70" s="29"/>
      <c r="GBT70" s="29"/>
      <c r="GBU70" s="29"/>
      <c r="GBV70" s="29"/>
      <c r="GBW70" s="29"/>
      <c r="GBX70" s="29"/>
      <c r="GBY70" s="29"/>
      <c r="GBZ70" s="29"/>
      <c r="GCA70" s="29"/>
      <c r="GCB70" s="29"/>
      <c r="GCC70" s="29"/>
      <c r="GCD70" s="29"/>
      <c r="GCE70" s="29"/>
      <c r="GCF70" s="29"/>
      <c r="GCG70" s="29"/>
      <c r="GCH70" s="29"/>
      <c r="GCI70" s="29"/>
      <c r="GCJ70" s="29"/>
      <c r="GCK70" s="29"/>
      <c r="GCL70" s="29"/>
      <c r="GCM70" s="29"/>
      <c r="GCN70" s="29"/>
      <c r="GCO70" s="29"/>
      <c r="GCP70" s="29"/>
      <c r="GCQ70" s="29"/>
      <c r="GCR70" s="29"/>
      <c r="GCS70" s="29"/>
      <c r="GCT70" s="29"/>
      <c r="GCU70" s="29"/>
      <c r="GCV70" s="29"/>
      <c r="GCW70" s="29"/>
      <c r="GCX70" s="29"/>
      <c r="GCY70" s="29"/>
      <c r="GCZ70" s="29"/>
      <c r="GDA70" s="29"/>
      <c r="GDB70" s="29"/>
      <c r="GDC70" s="29"/>
      <c r="GDD70" s="29"/>
      <c r="GDE70" s="29"/>
      <c r="GDF70" s="29"/>
      <c r="GDG70" s="29"/>
      <c r="GDH70" s="29"/>
      <c r="GDI70" s="29"/>
      <c r="GDJ70" s="29"/>
      <c r="GDK70" s="29"/>
      <c r="GDL70" s="29"/>
      <c r="GDM70" s="29"/>
      <c r="GDN70" s="29"/>
      <c r="GDO70" s="29"/>
      <c r="GDP70" s="29"/>
      <c r="GDQ70" s="29"/>
      <c r="GDR70" s="29"/>
      <c r="GDS70" s="29"/>
      <c r="GDT70" s="29"/>
      <c r="GDU70" s="29"/>
      <c r="GDV70" s="29"/>
      <c r="GDW70" s="29"/>
      <c r="GDX70" s="29"/>
      <c r="GDY70" s="29"/>
      <c r="GDZ70" s="29"/>
      <c r="GEA70" s="29"/>
      <c r="GEB70" s="29"/>
      <c r="GEC70" s="29"/>
      <c r="GED70" s="29"/>
      <c r="GEE70" s="29"/>
      <c r="GEF70" s="29"/>
      <c r="GEG70" s="29"/>
      <c r="GEH70" s="29"/>
      <c r="GEI70" s="29"/>
      <c r="GEJ70" s="29"/>
      <c r="GEK70" s="29"/>
      <c r="GEL70" s="29"/>
      <c r="GEM70" s="29"/>
      <c r="GEN70" s="29"/>
      <c r="GEO70" s="29"/>
      <c r="GEP70" s="29"/>
      <c r="GEQ70" s="29"/>
      <c r="GER70" s="29"/>
      <c r="GES70" s="29"/>
      <c r="GET70" s="29"/>
      <c r="GEU70" s="29"/>
      <c r="GEV70" s="29"/>
      <c r="GEW70" s="29"/>
      <c r="GEX70" s="29"/>
      <c r="GEY70" s="29"/>
      <c r="GEZ70" s="29"/>
      <c r="GFA70" s="29"/>
      <c r="GFB70" s="29"/>
      <c r="GFC70" s="29"/>
      <c r="GFD70" s="29"/>
      <c r="GFE70" s="29"/>
      <c r="GFF70" s="29"/>
      <c r="GFG70" s="29"/>
      <c r="GFH70" s="29"/>
      <c r="GFI70" s="29"/>
      <c r="GFJ70" s="29"/>
      <c r="GFK70" s="29"/>
      <c r="GFL70" s="29"/>
      <c r="GFM70" s="29"/>
      <c r="GFN70" s="29"/>
      <c r="GFO70" s="29"/>
      <c r="GFP70" s="29"/>
      <c r="GFQ70" s="29"/>
      <c r="GFR70" s="29"/>
      <c r="GFS70" s="29"/>
      <c r="GFT70" s="29"/>
      <c r="GFU70" s="29"/>
      <c r="GFV70" s="29"/>
      <c r="GFW70" s="29"/>
      <c r="GFX70" s="29"/>
      <c r="GFY70" s="29"/>
      <c r="GFZ70" s="29"/>
      <c r="GGA70" s="29"/>
      <c r="GGB70" s="29"/>
      <c r="GGC70" s="29"/>
      <c r="GGD70" s="29"/>
      <c r="GGE70" s="29"/>
      <c r="GGF70" s="29"/>
      <c r="GGG70" s="29"/>
      <c r="GGH70" s="29"/>
      <c r="GGI70" s="29"/>
      <c r="GGJ70" s="29"/>
      <c r="GGK70" s="29"/>
      <c r="GGL70" s="29"/>
      <c r="GGM70" s="29"/>
      <c r="GGN70" s="29"/>
      <c r="GGO70" s="29"/>
      <c r="GGP70" s="29"/>
      <c r="GGQ70" s="29"/>
      <c r="GGR70" s="29"/>
      <c r="GGS70" s="29"/>
      <c r="GGT70" s="29"/>
      <c r="GGU70" s="29"/>
      <c r="GGV70" s="29"/>
      <c r="GGW70" s="29"/>
      <c r="GGX70" s="29"/>
      <c r="GGY70" s="29"/>
      <c r="GGZ70" s="29"/>
      <c r="GHA70" s="29"/>
      <c r="GHB70" s="29"/>
      <c r="GHC70" s="29"/>
      <c r="GHD70" s="29"/>
      <c r="GHE70" s="29"/>
      <c r="GHF70" s="29"/>
      <c r="GHG70" s="29"/>
      <c r="GHH70" s="29"/>
      <c r="GHI70" s="29"/>
      <c r="GHJ70" s="29"/>
      <c r="GHK70" s="29"/>
      <c r="GHL70" s="29"/>
      <c r="GHM70" s="29"/>
      <c r="GHN70" s="29"/>
      <c r="GHO70" s="29"/>
      <c r="GHP70" s="29"/>
      <c r="GHQ70" s="29"/>
      <c r="GHR70" s="29"/>
      <c r="GHS70" s="29"/>
      <c r="GHT70" s="29"/>
      <c r="GHU70" s="29"/>
      <c r="GHV70" s="29"/>
      <c r="GHW70" s="29"/>
      <c r="GHX70" s="29"/>
      <c r="GHY70" s="29"/>
      <c r="GHZ70" s="29"/>
      <c r="GIA70" s="29"/>
      <c r="GIB70" s="29"/>
      <c r="GIC70" s="29"/>
      <c r="GID70" s="29"/>
      <c r="GIE70" s="29"/>
      <c r="GIF70" s="29"/>
      <c r="GIG70" s="29"/>
      <c r="GIH70" s="29"/>
      <c r="GII70" s="29"/>
      <c r="GIJ70" s="29"/>
      <c r="GIK70" s="29"/>
      <c r="GIL70" s="29"/>
      <c r="GIM70" s="29"/>
      <c r="GIN70" s="29"/>
      <c r="GIO70" s="29"/>
      <c r="GIP70" s="29"/>
      <c r="GIQ70" s="29"/>
      <c r="GIR70" s="29"/>
      <c r="GIS70" s="29"/>
      <c r="GIT70" s="29"/>
      <c r="GIU70" s="29"/>
      <c r="GIV70" s="29"/>
      <c r="GIW70" s="29"/>
      <c r="GIX70" s="29"/>
      <c r="GIY70" s="29"/>
      <c r="GIZ70" s="29"/>
      <c r="GJA70" s="29"/>
      <c r="GJB70" s="29"/>
      <c r="GJC70" s="29"/>
      <c r="GJD70" s="29"/>
      <c r="GJE70" s="29"/>
      <c r="GJF70" s="29"/>
      <c r="GJG70" s="29"/>
      <c r="GJH70" s="29"/>
      <c r="GJI70" s="29"/>
      <c r="GJJ70" s="29"/>
      <c r="GJK70" s="29"/>
      <c r="GJL70" s="29"/>
      <c r="GJM70" s="29"/>
      <c r="GJN70" s="29"/>
      <c r="GJO70" s="29"/>
      <c r="GJP70" s="29"/>
      <c r="GJQ70" s="29"/>
      <c r="GJR70" s="29"/>
      <c r="GJS70" s="29"/>
      <c r="GJT70" s="29"/>
      <c r="GJU70" s="29"/>
      <c r="GJV70" s="29"/>
      <c r="GJW70" s="29"/>
      <c r="GJX70" s="29"/>
      <c r="GJY70" s="29"/>
      <c r="GJZ70" s="29"/>
      <c r="GKA70" s="29"/>
      <c r="GKB70" s="29"/>
      <c r="GKC70" s="29"/>
      <c r="GKD70" s="29"/>
      <c r="GKE70" s="29"/>
      <c r="GKF70" s="29"/>
      <c r="GKG70" s="29"/>
      <c r="GKH70" s="29"/>
      <c r="GKI70" s="29"/>
      <c r="GKJ70" s="29"/>
      <c r="GKK70" s="29"/>
      <c r="GKL70" s="29"/>
      <c r="GKM70" s="29"/>
      <c r="GKN70" s="29"/>
      <c r="GKO70" s="29"/>
      <c r="GKP70" s="29"/>
      <c r="GKQ70" s="29"/>
      <c r="GKR70" s="29"/>
      <c r="GKS70" s="29"/>
      <c r="GKT70" s="29"/>
      <c r="GKU70" s="29"/>
      <c r="GKV70" s="29"/>
      <c r="GKW70" s="29"/>
      <c r="GKX70" s="29"/>
      <c r="GKY70" s="29"/>
      <c r="GKZ70" s="29"/>
      <c r="GLA70" s="29"/>
      <c r="GLB70" s="29"/>
      <c r="GLC70" s="29"/>
      <c r="GLD70" s="29"/>
      <c r="GLE70" s="29"/>
      <c r="GLF70" s="29"/>
      <c r="GLG70" s="29"/>
      <c r="GLH70" s="29"/>
      <c r="GLI70" s="29"/>
      <c r="GLJ70" s="29"/>
      <c r="GLK70" s="29"/>
      <c r="GLL70" s="29"/>
      <c r="GLM70" s="29"/>
      <c r="GLN70" s="29"/>
      <c r="GLO70" s="29"/>
      <c r="GLP70" s="29"/>
      <c r="GLQ70" s="29"/>
      <c r="GLR70" s="29"/>
      <c r="GLS70" s="29"/>
      <c r="GLT70" s="29"/>
      <c r="GLU70" s="29"/>
      <c r="GLV70" s="29"/>
      <c r="GLW70" s="29"/>
      <c r="GLX70" s="29"/>
      <c r="GLY70" s="29"/>
      <c r="GLZ70" s="29"/>
      <c r="GMA70" s="29"/>
      <c r="GMB70" s="29"/>
      <c r="GMC70" s="29"/>
      <c r="GMD70" s="29"/>
      <c r="GME70" s="29"/>
      <c r="GMF70" s="29"/>
      <c r="GMG70" s="29"/>
      <c r="GMH70" s="29"/>
      <c r="GMI70" s="29"/>
      <c r="GMJ70" s="29"/>
      <c r="GMK70" s="29"/>
      <c r="GML70" s="29"/>
      <c r="GMM70" s="29"/>
      <c r="GMN70" s="29"/>
      <c r="GMO70" s="29"/>
      <c r="GMP70" s="29"/>
      <c r="GMQ70" s="29"/>
      <c r="GMR70" s="29"/>
      <c r="GMS70" s="29"/>
      <c r="GMT70" s="29"/>
      <c r="GMU70" s="29"/>
      <c r="GMV70" s="29"/>
      <c r="GMW70" s="29"/>
      <c r="GMX70" s="29"/>
      <c r="GMY70" s="29"/>
      <c r="GMZ70" s="29"/>
      <c r="GNA70" s="29"/>
      <c r="GNB70" s="29"/>
      <c r="GNC70" s="29"/>
      <c r="GND70" s="29"/>
      <c r="GNE70" s="29"/>
      <c r="GNF70" s="29"/>
      <c r="GNG70" s="29"/>
      <c r="GNH70" s="29"/>
      <c r="GNI70" s="29"/>
      <c r="GNJ70" s="29"/>
      <c r="GNK70" s="29"/>
      <c r="GNL70" s="29"/>
      <c r="GNM70" s="29"/>
      <c r="GNN70" s="29"/>
      <c r="GNO70" s="29"/>
      <c r="GNP70" s="29"/>
      <c r="GNQ70" s="29"/>
      <c r="GNR70" s="29"/>
      <c r="GNS70" s="29"/>
      <c r="GNT70" s="29"/>
      <c r="GNU70" s="29"/>
      <c r="GNV70" s="29"/>
      <c r="GNW70" s="29"/>
      <c r="GNX70" s="29"/>
      <c r="GNY70" s="29"/>
      <c r="GNZ70" s="29"/>
      <c r="GOA70" s="29"/>
      <c r="GOB70" s="29"/>
      <c r="GOC70" s="29"/>
      <c r="GOD70" s="29"/>
      <c r="GOE70" s="29"/>
      <c r="GOF70" s="29"/>
      <c r="GOG70" s="29"/>
      <c r="GOH70" s="29"/>
      <c r="GOI70" s="29"/>
      <c r="GOJ70" s="29"/>
      <c r="GOK70" s="29"/>
      <c r="GOL70" s="29"/>
      <c r="GOM70" s="29"/>
      <c r="GON70" s="29"/>
      <c r="GOO70" s="29"/>
      <c r="GOP70" s="29"/>
      <c r="GOQ70" s="29"/>
      <c r="GOR70" s="29"/>
      <c r="GOS70" s="29"/>
      <c r="GOT70" s="29"/>
      <c r="GOU70" s="29"/>
      <c r="GOV70" s="29"/>
      <c r="GOW70" s="29"/>
      <c r="GOX70" s="29"/>
      <c r="GOY70" s="29"/>
      <c r="GOZ70" s="29"/>
      <c r="GPA70" s="29"/>
      <c r="GPB70" s="29"/>
      <c r="GPC70" s="29"/>
      <c r="GPD70" s="29"/>
      <c r="GPE70" s="29"/>
      <c r="GPF70" s="29"/>
      <c r="GPG70" s="29"/>
      <c r="GPH70" s="29"/>
      <c r="GPI70" s="29"/>
      <c r="GPJ70" s="29"/>
      <c r="GPK70" s="29"/>
      <c r="GPL70" s="29"/>
      <c r="GPM70" s="29"/>
      <c r="GPN70" s="29"/>
      <c r="GPO70" s="29"/>
      <c r="GPP70" s="29"/>
      <c r="GPQ70" s="29"/>
      <c r="GPR70" s="29"/>
      <c r="GPS70" s="29"/>
      <c r="GPT70" s="29"/>
      <c r="GPU70" s="29"/>
      <c r="GPV70" s="29"/>
      <c r="GPW70" s="29"/>
      <c r="GPX70" s="29"/>
      <c r="GPY70" s="29"/>
      <c r="GPZ70" s="29"/>
      <c r="GQA70" s="29"/>
      <c r="GQB70" s="29"/>
      <c r="GQC70" s="29"/>
      <c r="GQD70" s="29"/>
      <c r="GQE70" s="29"/>
      <c r="GQF70" s="29"/>
      <c r="GQG70" s="29"/>
      <c r="GQH70" s="29"/>
      <c r="GQI70" s="29"/>
      <c r="GQJ70" s="29"/>
      <c r="GQK70" s="29"/>
      <c r="GQL70" s="29"/>
      <c r="GQM70" s="29"/>
      <c r="GQN70" s="29"/>
      <c r="GQO70" s="29"/>
      <c r="GQP70" s="29"/>
      <c r="GQQ70" s="29"/>
      <c r="GQR70" s="29"/>
      <c r="GQS70" s="29"/>
      <c r="GQT70" s="29"/>
      <c r="GQU70" s="29"/>
      <c r="GQV70" s="29"/>
      <c r="GQW70" s="29"/>
      <c r="GQX70" s="29"/>
      <c r="GQY70" s="29"/>
      <c r="GQZ70" s="29"/>
      <c r="GRA70" s="29"/>
      <c r="GRB70" s="29"/>
      <c r="GRC70" s="29"/>
      <c r="GRD70" s="29"/>
      <c r="GRE70" s="29"/>
      <c r="GRF70" s="29"/>
      <c r="GRG70" s="29"/>
      <c r="GRH70" s="29"/>
      <c r="GRI70" s="29"/>
      <c r="GRJ70" s="29"/>
      <c r="GRK70" s="29"/>
      <c r="GRL70" s="29"/>
      <c r="GRM70" s="29"/>
      <c r="GRN70" s="29"/>
      <c r="GRO70" s="29"/>
      <c r="GRP70" s="29"/>
      <c r="GRQ70" s="29"/>
      <c r="GRR70" s="29"/>
      <c r="GRS70" s="29"/>
      <c r="GRT70" s="29"/>
      <c r="GRU70" s="29"/>
      <c r="GRV70" s="29"/>
      <c r="GRW70" s="29"/>
      <c r="GRX70" s="29"/>
      <c r="GRY70" s="29"/>
      <c r="GRZ70" s="29"/>
      <c r="GSA70" s="29"/>
      <c r="GSB70" s="29"/>
      <c r="GSC70" s="29"/>
      <c r="GSD70" s="29"/>
      <c r="GSE70" s="29"/>
      <c r="GSF70" s="29"/>
      <c r="GSG70" s="29"/>
      <c r="GSH70" s="29"/>
      <c r="GSI70" s="29"/>
      <c r="GSJ70" s="29"/>
      <c r="GSK70" s="29"/>
      <c r="GSL70" s="29"/>
      <c r="GSM70" s="29"/>
      <c r="GSN70" s="29"/>
      <c r="GSO70" s="29"/>
      <c r="GSP70" s="29"/>
      <c r="GSQ70" s="29"/>
      <c r="GSR70" s="29"/>
      <c r="GSS70" s="29"/>
      <c r="GST70" s="29"/>
      <c r="GSU70" s="29"/>
      <c r="GSV70" s="29"/>
      <c r="GSW70" s="29"/>
      <c r="GSX70" s="29"/>
      <c r="GSY70" s="29"/>
      <c r="GSZ70" s="29"/>
      <c r="GTA70" s="29"/>
      <c r="GTB70" s="29"/>
      <c r="GTC70" s="29"/>
      <c r="GTD70" s="29"/>
      <c r="GTE70" s="29"/>
      <c r="GTF70" s="29"/>
      <c r="GTG70" s="29"/>
      <c r="GTH70" s="29"/>
      <c r="GTI70" s="29"/>
      <c r="GTJ70" s="29"/>
      <c r="GTK70" s="29"/>
      <c r="GTL70" s="29"/>
      <c r="GTM70" s="29"/>
      <c r="GTN70" s="29"/>
      <c r="GTO70" s="29"/>
      <c r="GTP70" s="29"/>
      <c r="GTQ70" s="29"/>
      <c r="GTR70" s="29"/>
      <c r="GTS70" s="29"/>
      <c r="GTT70" s="29"/>
      <c r="GTU70" s="29"/>
      <c r="GTV70" s="29"/>
      <c r="GTW70" s="29"/>
      <c r="GTX70" s="29"/>
      <c r="GTY70" s="29"/>
      <c r="GTZ70" s="29"/>
      <c r="GUA70" s="29"/>
      <c r="GUB70" s="29"/>
      <c r="GUC70" s="29"/>
      <c r="GUD70" s="29"/>
      <c r="GUE70" s="29"/>
      <c r="GUF70" s="29"/>
      <c r="GUG70" s="29"/>
      <c r="GUH70" s="29"/>
      <c r="GUI70" s="29"/>
      <c r="GUJ70" s="29"/>
      <c r="GUK70" s="29"/>
      <c r="GUL70" s="29"/>
      <c r="GUM70" s="29"/>
      <c r="GUN70" s="29"/>
      <c r="GUO70" s="29"/>
      <c r="GUP70" s="29"/>
      <c r="GUQ70" s="29"/>
      <c r="GUR70" s="29"/>
      <c r="GUS70" s="29"/>
      <c r="GUT70" s="29"/>
      <c r="GUU70" s="29"/>
      <c r="GUV70" s="29"/>
      <c r="GUW70" s="29"/>
      <c r="GUX70" s="29"/>
      <c r="GUY70" s="29"/>
      <c r="GUZ70" s="29"/>
      <c r="GVA70" s="29"/>
      <c r="GVB70" s="29"/>
      <c r="GVC70" s="29"/>
      <c r="GVD70" s="29"/>
      <c r="GVE70" s="29"/>
      <c r="GVF70" s="29"/>
      <c r="GVG70" s="29"/>
      <c r="GVH70" s="29"/>
      <c r="GVI70" s="29"/>
      <c r="GVJ70" s="29"/>
      <c r="GVK70" s="29"/>
      <c r="GVL70" s="29"/>
      <c r="GVM70" s="29"/>
      <c r="GVN70" s="29"/>
      <c r="GVO70" s="29"/>
      <c r="GVP70" s="29"/>
      <c r="GVQ70" s="29"/>
      <c r="GVR70" s="29"/>
      <c r="GVS70" s="29"/>
      <c r="GVT70" s="29"/>
      <c r="GVU70" s="29"/>
      <c r="GVV70" s="29"/>
      <c r="GVW70" s="29"/>
      <c r="GVX70" s="29"/>
      <c r="GVY70" s="29"/>
      <c r="GVZ70" s="29"/>
      <c r="GWA70" s="29"/>
      <c r="GWB70" s="29"/>
      <c r="GWC70" s="29"/>
      <c r="GWD70" s="29"/>
      <c r="GWE70" s="29"/>
      <c r="GWF70" s="29"/>
      <c r="GWG70" s="29"/>
      <c r="GWH70" s="29"/>
      <c r="GWI70" s="29"/>
      <c r="GWJ70" s="29"/>
      <c r="GWK70" s="29"/>
      <c r="GWL70" s="29"/>
      <c r="GWM70" s="29"/>
      <c r="GWN70" s="29"/>
      <c r="GWO70" s="29"/>
      <c r="GWP70" s="29"/>
      <c r="GWQ70" s="29"/>
      <c r="GWR70" s="29"/>
      <c r="GWS70" s="29"/>
      <c r="GWT70" s="29"/>
      <c r="GWU70" s="29"/>
      <c r="GWV70" s="29"/>
      <c r="GWW70" s="29"/>
      <c r="GWX70" s="29"/>
      <c r="GWY70" s="29"/>
      <c r="GWZ70" s="29"/>
      <c r="GXA70" s="29"/>
      <c r="GXB70" s="29"/>
      <c r="GXC70" s="29"/>
      <c r="GXD70" s="29"/>
      <c r="GXE70" s="29"/>
      <c r="GXF70" s="29"/>
      <c r="GXG70" s="29"/>
      <c r="GXH70" s="29"/>
      <c r="GXI70" s="29"/>
      <c r="GXJ70" s="29"/>
      <c r="GXK70" s="29"/>
      <c r="GXL70" s="29"/>
      <c r="GXM70" s="29"/>
      <c r="GXN70" s="29"/>
      <c r="GXO70" s="29"/>
      <c r="GXP70" s="29"/>
      <c r="GXQ70" s="29"/>
      <c r="GXR70" s="29"/>
      <c r="GXS70" s="29"/>
      <c r="GXT70" s="29"/>
      <c r="GXU70" s="29"/>
      <c r="GXV70" s="29"/>
      <c r="GXW70" s="29"/>
      <c r="GXX70" s="29"/>
      <c r="GXY70" s="29"/>
      <c r="GXZ70" s="29"/>
      <c r="GYA70" s="29"/>
      <c r="GYB70" s="29"/>
      <c r="GYC70" s="29"/>
      <c r="GYD70" s="29"/>
      <c r="GYE70" s="29"/>
      <c r="GYF70" s="29"/>
      <c r="GYG70" s="29"/>
      <c r="GYH70" s="29"/>
      <c r="GYI70" s="29"/>
      <c r="GYJ70" s="29"/>
      <c r="GYK70" s="29"/>
      <c r="GYL70" s="29"/>
      <c r="GYM70" s="29"/>
      <c r="GYN70" s="29"/>
      <c r="GYO70" s="29"/>
      <c r="GYP70" s="29"/>
      <c r="GYQ70" s="29"/>
      <c r="GYR70" s="29"/>
      <c r="GYS70" s="29"/>
      <c r="GYT70" s="29"/>
      <c r="GYU70" s="29"/>
      <c r="GYV70" s="29"/>
      <c r="GYW70" s="29"/>
      <c r="GYX70" s="29"/>
      <c r="GYY70" s="29"/>
      <c r="GYZ70" s="29"/>
      <c r="GZA70" s="29"/>
      <c r="GZB70" s="29"/>
      <c r="GZC70" s="29"/>
      <c r="GZD70" s="29"/>
      <c r="GZE70" s="29"/>
      <c r="GZF70" s="29"/>
      <c r="GZG70" s="29"/>
      <c r="GZH70" s="29"/>
      <c r="GZI70" s="29"/>
      <c r="GZJ70" s="29"/>
      <c r="GZK70" s="29"/>
      <c r="GZL70" s="29"/>
      <c r="GZM70" s="29"/>
      <c r="GZN70" s="29"/>
      <c r="GZO70" s="29"/>
      <c r="GZP70" s="29"/>
      <c r="GZQ70" s="29"/>
      <c r="GZR70" s="29"/>
      <c r="GZS70" s="29"/>
      <c r="GZT70" s="29"/>
      <c r="GZU70" s="29"/>
      <c r="GZV70" s="29"/>
      <c r="GZW70" s="29"/>
      <c r="GZX70" s="29"/>
      <c r="GZY70" s="29"/>
      <c r="GZZ70" s="29"/>
      <c r="HAA70" s="29"/>
      <c r="HAB70" s="29"/>
      <c r="HAC70" s="29"/>
      <c r="HAD70" s="29"/>
      <c r="HAE70" s="29"/>
      <c r="HAF70" s="29"/>
      <c r="HAG70" s="29"/>
      <c r="HAH70" s="29"/>
      <c r="HAI70" s="29"/>
      <c r="HAJ70" s="29"/>
      <c r="HAK70" s="29"/>
      <c r="HAL70" s="29"/>
      <c r="HAM70" s="29"/>
      <c r="HAN70" s="29"/>
      <c r="HAO70" s="29"/>
      <c r="HAP70" s="29"/>
      <c r="HAQ70" s="29"/>
      <c r="HAR70" s="29"/>
      <c r="HAS70" s="29"/>
      <c r="HAT70" s="29"/>
      <c r="HAU70" s="29"/>
      <c r="HAV70" s="29"/>
      <c r="HAW70" s="29"/>
      <c r="HAX70" s="29"/>
      <c r="HAY70" s="29"/>
      <c r="HAZ70" s="29"/>
      <c r="HBA70" s="29"/>
      <c r="HBB70" s="29"/>
      <c r="HBC70" s="29"/>
      <c r="HBD70" s="29"/>
      <c r="HBE70" s="29"/>
      <c r="HBF70" s="29"/>
      <c r="HBG70" s="29"/>
      <c r="HBH70" s="29"/>
      <c r="HBI70" s="29"/>
      <c r="HBJ70" s="29"/>
      <c r="HBK70" s="29"/>
      <c r="HBL70" s="29"/>
      <c r="HBM70" s="29"/>
      <c r="HBN70" s="29"/>
      <c r="HBO70" s="29"/>
      <c r="HBP70" s="29"/>
      <c r="HBQ70" s="29"/>
      <c r="HBR70" s="29"/>
      <c r="HBS70" s="29"/>
      <c r="HBT70" s="29"/>
      <c r="HBU70" s="29"/>
      <c r="HBV70" s="29"/>
      <c r="HBW70" s="29"/>
      <c r="HBX70" s="29"/>
      <c r="HBY70" s="29"/>
      <c r="HBZ70" s="29"/>
      <c r="HCA70" s="29"/>
      <c r="HCB70" s="29"/>
      <c r="HCC70" s="29"/>
      <c r="HCD70" s="29"/>
      <c r="HCE70" s="29"/>
      <c r="HCF70" s="29"/>
      <c r="HCG70" s="29"/>
      <c r="HCH70" s="29"/>
      <c r="HCI70" s="29"/>
      <c r="HCJ70" s="29"/>
      <c r="HCK70" s="29"/>
      <c r="HCL70" s="29"/>
      <c r="HCM70" s="29"/>
      <c r="HCN70" s="29"/>
      <c r="HCO70" s="29"/>
      <c r="HCP70" s="29"/>
      <c r="HCQ70" s="29"/>
      <c r="HCR70" s="29"/>
      <c r="HCS70" s="29"/>
      <c r="HCT70" s="29"/>
      <c r="HCU70" s="29"/>
      <c r="HCV70" s="29"/>
      <c r="HCW70" s="29"/>
      <c r="HCX70" s="29"/>
      <c r="HCY70" s="29"/>
      <c r="HCZ70" s="29"/>
      <c r="HDA70" s="29"/>
      <c r="HDB70" s="29"/>
      <c r="HDC70" s="29"/>
      <c r="HDD70" s="29"/>
      <c r="HDE70" s="29"/>
      <c r="HDF70" s="29"/>
      <c r="HDG70" s="29"/>
      <c r="HDH70" s="29"/>
      <c r="HDI70" s="29"/>
      <c r="HDJ70" s="29"/>
      <c r="HDK70" s="29"/>
      <c r="HDL70" s="29"/>
      <c r="HDM70" s="29"/>
      <c r="HDN70" s="29"/>
      <c r="HDO70" s="29"/>
      <c r="HDP70" s="29"/>
      <c r="HDQ70" s="29"/>
      <c r="HDR70" s="29"/>
      <c r="HDS70" s="29"/>
      <c r="HDT70" s="29"/>
      <c r="HDU70" s="29"/>
      <c r="HDV70" s="29"/>
      <c r="HDW70" s="29"/>
      <c r="HDX70" s="29"/>
      <c r="HDY70" s="29"/>
      <c r="HDZ70" s="29"/>
      <c r="HEA70" s="29"/>
      <c r="HEB70" s="29"/>
      <c r="HEC70" s="29"/>
      <c r="HED70" s="29"/>
      <c r="HEE70" s="29"/>
      <c r="HEF70" s="29"/>
      <c r="HEG70" s="29"/>
      <c r="HEH70" s="29"/>
      <c r="HEI70" s="29"/>
      <c r="HEJ70" s="29"/>
      <c r="HEK70" s="29"/>
      <c r="HEL70" s="29"/>
      <c r="HEM70" s="29"/>
      <c r="HEN70" s="29"/>
      <c r="HEO70" s="29"/>
      <c r="HEP70" s="29"/>
      <c r="HEQ70" s="29"/>
      <c r="HER70" s="29"/>
      <c r="HES70" s="29"/>
      <c r="HET70" s="29"/>
      <c r="HEU70" s="29"/>
      <c r="HEV70" s="29"/>
      <c r="HEW70" s="29"/>
      <c r="HEX70" s="29"/>
      <c r="HEY70" s="29"/>
      <c r="HEZ70" s="29"/>
      <c r="HFA70" s="29"/>
      <c r="HFB70" s="29"/>
      <c r="HFC70" s="29"/>
      <c r="HFD70" s="29"/>
      <c r="HFE70" s="29"/>
      <c r="HFF70" s="29"/>
      <c r="HFG70" s="29"/>
      <c r="HFH70" s="29"/>
      <c r="HFI70" s="29"/>
      <c r="HFJ70" s="29"/>
      <c r="HFK70" s="29"/>
      <c r="HFL70" s="29"/>
      <c r="HFM70" s="29"/>
      <c r="HFN70" s="29"/>
      <c r="HFO70" s="29"/>
      <c r="HFP70" s="29"/>
      <c r="HFQ70" s="29"/>
      <c r="HFR70" s="29"/>
      <c r="HFS70" s="29"/>
      <c r="HFT70" s="29"/>
      <c r="HFU70" s="29"/>
      <c r="HFV70" s="29"/>
      <c r="HFW70" s="29"/>
      <c r="HFX70" s="29"/>
      <c r="HFY70" s="29"/>
      <c r="HFZ70" s="29"/>
      <c r="HGA70" s="29"/>
      <c r="HGB70" s="29"/>
      <c r="HGC70" s="29"/>
      <c r="HGD70" s="29"/>
      <c r="HGE70" s="29"/>
      <c r="HGF70" s="29"/>
      <c r="HGG70" s="29"/>
      <c r="HGH70" s="29"/>
      <c r="HGI70" s="29"/>
      <c r="HGJ70" s="29"/>
      <c r="HGK70" s="29"/>
      <c r="HGL70" s="29"/>
      <c r="HGM70" s="29"/>
      <c r="HGN70" s="29"/>
      <c r="HGO70" s="29"/>
      <c r="HGP70" s="29"/>
      <c r="HGQ70" s="29"/>
      <c r="HGR70" s="29"/>
      <c r="HGS70" s="29"/>
      <c r="HGT70" s="29"/>
      <c r="HGU70" s="29"/>
      <c r="HGV70" s="29"/>
      <c r="HGW70" s="29"/>
      <c r="HGX70" s="29"/>
      <c r="HGY70" s="29"/>
      <c r="HGZ70" s="29"/>
      <c r="HHA70" s="29"/>
      <c r="HHB70" s="29"/>
      <c r="HHC70" s="29"/>
      <c r="HHD70" s="29"/>
      <c r="HHE70" s="29"/>
      <c r="HHF70" s="29"/>
      <c r="HHG70" s="29"/>
      <c r="HHH70" s="29"/>
      <c r="HHI70" s="29"/>
      <c r="HHJ70" s="29"/>
      <c r="HHK70" s="29"/>
      <c r="HHL70" s="29"/>
      <c r="HHM70" s="29"/>
      <c r="HHN70" s="29"/>
      <c r="HHO70" s="29"/>
      <c r="HHP70" s="29"/>
      <c r="HHQ70" s="29"/>
      <c r="HHR70" s="29"/>
      <c r="HHS70" s="29"/>
      <c r="HHT70" s="29"/>
      <c r="HHU70" s="29"/>
      <c r="HHV70" s="29"/>
      <c r="HHW70" s="29"/>
      <c r="HHX70" s="29"/>
      <c r="HHY70" s="29"/>
      <c r="HHZ70" s="29"/>
      <c r="HIA70" s="29"/>
      <c r="HIB70" s="29"/>
      <c r="HIC70" s="29"/>
      <c r="HID70" s="29"/>
      <c r="HIE70" s="29"/>
      <c r="HIF70" s="29"/>
      <c r="HIG70" s="29"/>
      <c r="HIH70" s="29"/>
      <c r="HII70" s="29"/>
      <c r="HIJ70" s="29"/>
      <c r="HIK70" s="29"/>
      <c r="HIL70" s="29"/>
      <c r="HIM70" s="29"/>
      <c r="HIN70" s="29"/>
      <c r="HIO70" s="29"/>
      <c r="HIP70" s="29"/>
      <c r="HIQ70" s="29"/>
      <c r="HIR70" s="29"/>
      <c r="HIS70" s="29"/>
      <c r="HIT70" s="29"/>
      <c r="HIU70" s="29"/>
      <c r="HIV70" s="29"/>
      <c r="HIW70" s="29"/>
      <c r="HIX70" s="29"/>
      <c r="HIY70" s="29"/>
      <c r="HIZ70" s="29"/>
      <c r="HJA70" s="29"/>
      <c r="HJB70" s="29"/>
      <c r="HJC70" s="29"/>
      <c r="HJD70" s="29"/>
      <c r="HJE70" s="29"/>
      <c r="HJF70" s="29"/>
      <c r="HJG70" s="29"/>
      <c r="HJH70" s="29"/>
      <c r="HJI70" s="29"/>
      <c r="HJJ70" s="29"/>
      <c r="HJK70" s="29"/>
      <c r="HJL70" s="29"/>
      <c r="HJM70" s="29"/>
      <c r="HJN70" s="29"/>
      <c r="HJO70" s="29"/>
      <c r="HJP70" s="29"/>
      <c r="HJQ70" s="29"/>
      <c r="HJR70" s="29"/>
      <c r="HJS70" s="29"/>
      <c r="HJT70" s="29"/>
      <c r="HJU70" s="29"/>
      <c r="HJV70" s="29"/>
      <c r="HJW70" s="29"/>
      <c r="HJX70" s="29"/>
      <c r="HJY70" s="29"/>
      <c r="HJZ70" s="29"/>
      <c r="HKA70" s="29"/>
      <c r="HKB70" s="29"/>
      <c r="HKC70" s="29"/>
      <c r="HKD70" s="29"/>
      <c r="HKE70" s="29"/>
      <c r="HKF70" s="29"/>
      <c r="HKG70" s="29"/>
      <c r="HKH70" s="29"/>
      <c r="HKI70" s="29"/>
      <c r="HKJ70" s="29"/>
      <c r="HKK70" s="29"/>
      <c r="HKL70" s="29"/>
      <c r="HKM70" s="29"/>
      <c r="HKN70" s="29"/>
      <c r="HKO70" s="29"/>
      <c r="HKP70" s="29"/>
      <c r="HKQ70" s="29"/>
      <c r="HKR70" s="29"/>
      <c r="HKS70" s="29"/>
      <c r="HKT70" s="29"/>
      <c r="HKU70" s="29"/>
      <c r="HKV70" s="29"/>
      <c r="HKW70" s="29"/>
      <c r="HKX70" s="29"/>
      <c r="HKY70" s="29"/>
      <c r="HKZ70" s="29"/>
      <c r="HLA70" s="29"/>
      <c r="HLB70" s="29"/>
      <c r="HLC70" s="29"/>
      <c r="HLD70" s="29"/>
      <c r="HLE70" s="29"/>
      <c r="HLF70" s="29"/>
      <c r="HLG70" s="29"/>
      <c r="HLH70" s="29"/>
      <c r="HLI70" s="29"/>
      <c r="HLJ70" s="29"/>
      <c r="HLK70" s="29"/>
      <c r="HLL70" s="29"/>
      <c r="HLM70" s="29"/>
      <c r="HLN70" s="29"/>
      <c r="HLO70" s="29"/>
      <c r="HLP70" s="29"/>
      <c r="HLQ70" s="29"/>
      <c r="HLR70" s="29"/>
      <c r="HLS70" s="29"/>
      <c r="HLT70" s="29"/>
      <c r="HLU70" s="29"/>
      <c r="HLV70" s="29"/>
      <c r="HLW70" s="29"/>
      <c r="HLX70" s="29"/>
      <c r="HLY70" s="29"/>
      <c r="HLZ70" s="29"/>
      <c r="HMA70" s="29"/>
      <c r="HMB70" s="29"/>
      <c r="HMC70" s="29"/>
      <c r="HMD70" s="29"/>
      <c r="HME70" s="29"/>
      <c r="HMF70" s="29"/>
      <c r="HMG70" s="29"/>
      <c r="HMH70" s="29"/>
      <c r="HMI70" s="29"/>
      <c r="HMJ70" s="29"/>
      <c r="HMK70" s="29"/>
      <c r="HML70" s="29"/>
      <c r="HMM70" s="29"/>
      <c r="HMN70" s="29"/>
      <c r="HMO70" s="29"/>
      <c r="HMP70" s="29"/>
      <c r="HMQ70" s="29"/>
      <c r="HMR70" s="29"/>
      <c r="HMS70" s="29"/>
      <c r="HMT70" s="29"/>
      <c r="HMU70" s="29"/>
      <c r="HMV70" s="29"/>
      <c r="HMW70" s="29"/>
      <c r="HMX70" s="29"/>
      <c r="HMY70" s="29"/>
      <c r="HMZ70" s="29"/>
      <c r="HNA70" s="29"/>
      <c r="HNB70" s="29"/>
      <c r="HNC70" s="29"/>
      <c r="HND70" s="29"/>
      <c r="HNE70" s="29"/>
      <c r="HNF70" s="29"/>
      <c r="HNG70" s="29"/>
      <c r="HNH70" s="29"/>
      <c r="HNI70" s="29"/>
      <c r="HNJ70" s="29"/>
      <c r="HNK70" s="29"/>
      <c r="HNL70" s="29"/>
      <c r="HNM70" s="29"/>
      <c r="HNN70" s="29"/>
      <c r="HNO70" s="29"/>
      <c r="HNP70" s="29"/>
      <c r="HNQ70" s="29"/>
      <c r="HNR70" s="29"/>
      <c r="HNS70" s="29"/>
      <c r="HNT70" s="29"/>
      <c r="HNU70" s="29"/>
      <c r="HNV70" s="29"/>
      <c r="HNW70" s="29"/>
      <c r="HNX70" s="29"/>
      <c r="HNY70" s="29"/>
      <c r="HNZ70" s="29"/>
      <c r="HOA70" s="29"/>
      <c r="HOB70" s="29"/>
      <c r="HOC70" s="29"/>
      <c r="HOD70" s="29"/>
      <c r="HOE70" s="29"/>
      <c r="HOF70" s="29"/>
      <c r="HOG70" s="29"/>
      <c r="HOH70" s="29"/>
      <c r="HOI70" s="29"/>
      <c r="HOJ70" s="29"/>
      <c r="HOK70" s="29"/>
      <c r="HOL70" s="29"/>
      <c r="HOM70" s="29"/>
      <c r="HON70" s="29"/>
      <c r="HOO70" s="29"/>
      <c r="HOP70" s="29"/>
      <c r="HOQ70" s="29"/>
      <c r="HOR70" s="29"/>
      <c r="HOS70" s="29"/>
      <c r="HOT70" s="29"/>
      <c r="HOU70" s="29"/>
      <c r="HOV70" s="29"/>
      <c r="HOW70" s="29"/>
      <c r="HOX70" s="29"/>
      <c r="HOY70" s="29"/>
      <c r="HOZ70" s="29"/>
      <c r="HPA70" s="29"/>
      <c r="HPB70" s="29"/>
      <c r="HPC70" s="29"/>
      <c r="HPD70" s="29"/>
      <c r="HPE70" s="29"/>
      <c r="HPF70" s="29"/>
      <c r="HPG70" s="29"/>
      <c r="HPH70" s="29"/>
      <c r="HPI70" s="29"/>
      <c r="HPJ70" s="29"/>
      <c r="HPK70" s="29"/>
      <c r="HPL70" s="29"/>
      <c r="HPM70" s="29"/>
      <c r="HPN70" s="29"/>
      <c r="HPO70" s="29"/>
      <c r="HPP70" s="29"/>
      <c r="HPQ70" s="29"/>
      <c r="HPR70" s="29"/>
      <c r="HPS70" s="29"/>
      <c r="HPT70" s="29"/>
      <c r="HPU70" s="29"/>
      <c r="HPV70" s="29"/>
      <c r="HPW70" s="29"/>
      <c r="HPX70" s="29"/>
      <c r="HPY70" s="29"/>
      <c r="HPZ70" s="29"/>
      <c r="HQA70" s="29"/>
      <c r="HQB70" s="29"/>
      <c r="HQC70" s="29"/>
      <c r="HQD70" s="29"/>
      <c r="HQE70" s="29"/>
      <c r="HQF70" s="29"/>
      <c r="HQG70" s="29"/>
      <c r="HQH70" s="29"/>
      <c r="HQI70" s="29"/>
      <c r="HQJ70" s="29"/>
      <c r="HQK70" s="29"/>
      <c r="HQL70" s="29"/>
      <c r="HQM70" s="29"/>
      <c r="HQN70" s="29"/>
      <c r="HQO70" s="29"/>
      <c r="HQP70" s="29"/>
      <c r="HQQ70" s="29"/>
      <c r="HQR70" s="29"/>
      <c r="HQS70" s="29"/>
      <c r="HQT70" s="29"/>
      <c r="HQU70" s="29"/>
      <c r="HQV70" s="29"/>
      <c r="HQW70" s="29"/>
      <c r="HQX70" s="29"/>
      <c r="HQY70" s="29"/>
      <c r="HQZ70" s="29"/>
      <c r="HRA70" s="29"/>
      <c r="HRB70" s="29"/>
      <c r="HRC70" s="29"/>
      <c r="HRD70" s="29"/>
      <c r="HRE70" s="29"/>
      <c r="HRF70" s="29"/>
      <c r="HRG70" s="29"/>
      <c r="HRH70" s="29"/>
      <c r="HRI70" s="29"/>
      <c r="HRJ70" s="29"/>
      <c r="HRK70" s="29"/>
      <c r="HRL70" s="29"/>
      <c r="HRM70" s="29"/>
      <c r="HRN70" s="29"/>
      <c r="HRO70" s="29"/>
      <c r="HRP70" s="29"/>
      <c r="HRQ70" s="29"/>
      <c r="HRR70" s="29"/>
      <c r="HRS70" s="29"/>
      <c r="HRT70" s="29"/>
      <c r="HRU70" s="29"/>
      <c r="HRV70" s="29"/>
      <c r="HRW70" s="29"/>
      <c r="HRX70" s="29"/>
      <c r="HRY70" s="29"/>
      <c r="HRZ70" s="29"/>
      <c r="HSA70" s="29"/>
      <c r="HSB70" s="29"/>
      <c r="HSC70" s="29"/>
      <c r="HSD70" s="29"/>
      <c r="HSE70" s="29"/>
      <c r="HSF70" s="29"/>
      <c r="HSG70" s="29"/>
      <c r="HSH70" s="29"/>
      <c r="HSI70" s="29"/>
      <c r="HSJ70" s="29"/>
      <c r="HSK70" s="29"/>
      <c r="HSL70" s="29"/>
      <c r="HSM70" s="29"/>
      <c r="HSN70" s="29"/>
      <c r="HSO70" s="29"/>
      <c r="HSP70" s="29"/>
      <c r="HSQ70" s="29"/>
      <c r="HSR70" s="29"/>
      <c r="HSS70" s="29"/>
      <c r="HST70" s="29"/>
      <c r="HSU70" s="29"/>
      <c r="HSV70" s="29"/>
      <c r="HSW70" s="29"/>
      <c r="HSX70" s="29"/>
      <c r="HSY70" s="29"/>
      <c r="HSZ70" s="29"/>
      <c r="HTA70" s="29"/>
      <c r="HTB70" s="29"/>
      <c r="HTC70" s="29"/>
      <c r="HTD70" s="29"/>
      <c r="HTE70" s="29"/>
      <c r="HTF70" s="29"/>
      <c r="HTG70" s="29"/>
      <c r="HTH70" s="29"/>
      <c r="HTI70" s="29"/>
      <c r="HTJ70" s="29"/>
      <c r="HTK70" s="29"/>
      <c r="HTL70" s="29"/>
      <c r="HTM70" s="29"/>
      <c r="HTN70" s="29"/>
      <c r="HTO70" s="29"/>
      <c r="HTP70" s="29"/>
      <c r="HTQ70" s="29"/>
      <c r="HTR70" s="29"/>
      <c r="HTS70" s="29"/>
      <c r="HTT70" s="29"/>
      <c r="HTU70" s="29"/>
      <c r="HTV70" s="29"/>
      <c r="HTW70" s="29"/>
      <c r="HTX70" s="29"/>
      <c r="HTY70" s="29"/>
      <c r="HTZ70" s="29"/>
      <c r="HUA70" s="29"/>
      <c r="HUB70" s="29"/>
      <c r="HUC70" s="29"/>
      <c r="HUD70" s="29"/>
      <c r="HUE70" s="29"/>
      <c r="HUF70" s="29"/>
      <c r="HUG70" s="29"/>
      <c r="HUH70" s="29"/>
      <c r="HUI70" s="29"/>
      <c r="HUJ70" s="29"/>
      <c r="HUK70" s="29"/>
      <c r="HUL70" s="29"/>
      <c r="HUM70" s="29"/>
      <c r="HUN70" s="29"/>
      <c r="HUO70" s="29"/>
      <c r="HUP70" s="29"/>
      <c r="HUQ70" s="29"/>
      <c r="HUR70" s="29"/>
      <c r="HUS70" s="29"/>
      <c r="HUT70" s="29"/>
      <c r="HUU70" s="29"/>
      <c r="HUV70" s="29"/>
      <c r="HUW70" s="29"/>
      <c r="HUX70" s="29"/>
      <c r="HUY70" s="29"/>
      <c r="HUZ70" s="29"/>
      <c r="HVA70" s="29"/>
      <c r="HVB70" s="29"/>
      <c r="HVC70" s="29"/>
      <c r="HVD70" s="29"/>
      <c r="HVE70" s="29"/>
      <c r="HVF70" s="29"/>
      <c r="HVG70" s="29"/>
      <c r="HVH70" s="29"/>
      <c r="HVI70" s="29"/>
      <c r="HVJ70" s="29"/>
      <c r="HVK70" s="29"/>
      <c r="HVL70" s="29"/>
      <c r="HVM70" s="29"/>
      <c r="HVN70" s="29"/>
      <c r="HVO70" s="29"/>
      <c r="HVP70" s="29"/>
      <c r="HVQ70" s="29"/>
      <c r="HVR70" s="29"/>
      <c r="HVS70" s="29"/>
      <c r="HVT70" s="29"/>
      <c r="HVU70" s="29"/>
      <c r="HVV70" s="29"/>
      <c r="HVW70" s="29"/>
      <c r="HVX70" s="29"/>
      <c r="HVY70" s="29"/>
      <c r="HVZ70" s="29"/>
      <c r="HWA70" s="29"/>
      <c r="HWB70" s="29"/>
      <c r="HWC70" s="29"/>
      <c r="HWD70" s="29"/>
      <c r="HWE70" s="29"/>
      <c r="HWF70" s="29"/>
      <c r="HWG70" s="29"/>
      <c r="HWH70" s="29"/>
      <c r="HWI70" s="29"/>
      <c r="HWJ70" s="29"/>
      <c r="HWK70" s="29"/>
      <c r="HWL70" s="29"/>
      <c r="HWM70" s="29"/>
      <c r="HWN70" s="29"/>
      <c r="HWO70" s="29"/>
      <c r="HWP70" s="29"/>
      <c r="HWQ70" s="29"/>
      <c r="HWR70" s="29"/>
      <c r="HWS70" s="29"/>
      <c r="HWT70" s="29"/>
      <c r="HWU70" s="29"/>
      <c r="HWV70" s="29"/>
      <c r="HWW70" s="29"/>
      <c r="HWX70" s="29"/>
      <c r="HWY70" s="29"/>
      <c r="HWZ70" s="29"/>
      <c r="HXA70" s="29"/>
      <c r="HXB70" s="29"/>
      <c r="HXC70" s="29"/>
      <c r="HXD70" s="29"/>
      <c r="HXE70" s="29"/>
      <c r="HXF70" s="29"/>
      <c r="HXG70" s="29"/>
      <c r="HXH70" s="29"/>
      <c r="HXI70" s="29"/>
      <c r="HXJ70" s="29"/>
      <c r="HXK70" s="29"/>
      <c r="HXL70" s="29"/>
      <c r="HXM70" s="29"/>
      <c r="HXN70" s="29"/>
      <c r="HXO70" s="29"/>
      <c r="HXP70" s="29"/>
      <c r="HXQ70" s="29"/>
      <c r="HXR70" s="29"/>
      <c r="HXS70" s="29"/>
      <c r="HXT70" s="29"/>
      <c r="HXU70" s="29"/>
      <c r="HXV70" s="29"/>
      <c r="HXW70" s="29"/>
      <c r="HXX70" s="29"/>
      <c r="HXY70" s="29"/>
      <c r="HXZ70" s="29"/>
      <c r="HYA70" s="29"/>
      <c r="HYB70" s="29"/>
      <c r="HYC70" s="29"/>
      <c r="HYD70" s="29"/>
      <c r="HYE70" s="29"/>
      <c r="HYF70" s="29"/>
      <c r="HYG70" s="29"/>
      <c r="HYH70" s="29"/>
      <c r="HYI70" s="29"/>
      <c r="HYJ70" s="29"/>
      <c r="HYK70" s="29"/>
      <c r="HYL70" s="29"/>
      <c r="HYM70" s="29"/>
      <c r="HYN70" s="29"/>
      <c r="HYO70" s="29"/>
      <c r="HYP70" s="29"/>
      <c r="HYQ70" s="29"/>
      <c r="HYR70" s="29"/>
      <c r="HYS70" s="29"/>
      <c r="HYT70" s="29"/>
      <c r="HYU70" s="29"/>
      <c r="HYV70" s="29"/>
      <c r="HYW70" s="29"/>
      <c r="HYX70" s="29"/>
      <c r="HYY70" s="29"/>
      <c r="HYZ70" s="29"/>
      <c r="HZA70" s="29"/>
      <c r="HZB70" s="29"/>
      <c r="HZC70" s="29"/>
      <c r="HZD70" s="29"/>
      <c r="HZE70" s="29"/>
      <c r="HZF70" s="29"/>
      <c r="HZG70" s="29"/>
      <c r="HZH70" s="29"/>
      <c r="HZI70" s="29"/>
      <c r="HZJ70" s="29"/>
      <c r="HZK70" s="29"/>
      <c r="HZL70" s="29"/>
      <c r="HZM70" s="29"/>
      <c r="HZN70" s="29"/>
      <c r="HZO70" s="29"/>
      <c r="HZP70" s="29"/>
      <c r="HZQ70" s="29"/>
      <c r="HZR70" s="29"/>
      <c r="HZS70" s="29"/>
      <c r="HZT70" s="29"/>
      <c r="HZU70" s="29"/>
      <c r="HZV70" s="29"/>
      <c r="HZW70" s="29"/>
      <c r="HZX70" s="29"/>
      <c r="HZY70" s="29"/>
      <c r="HZZ70" s="29"/>
      <c r="IAA70" s="29"/>
      <c r="IAB70" s="29"/>
      <c r="IAC70" s="29"/>
      <c r="IAD70" s="29"/>
      <c r="IAE70" s="29"/>
      <c r="IAF70" s="29"/>
      <c r="IAG70" s="29"/>
      <c r="IAH70" s="29"/>
      <c r="IAI70" s="29"/>
      <c r="IAJ70" s="29"/>
      <c r="IAK70" s="29"/>
      <c r="IAL70" s="29"/>
      <c r="IAM70" s="29"/>
      <c r="IAN70" s="29"/>
      <c r="IAO70" s="29"/>
      <c r="IAP70" s="29"/>
      <c r="IAQ70" s="29"/>
      <c r="IAR70" s="29"/>
      <c r="IAS70" s="29"/>
      <c r="IAT70" s="29"/>
      <c r="IAU70" s="29"/>
      <c r="IAV70" s="29"/>
      <c r="IAW70" s="29"/>
      <c r="IAX70" s="29"/>
      <c r="IAY70" s="29"/>
      <c r="IAZ70" s="29"/>
      <c r="IBA70" s="29"/>
      <c r="IBB70" s="29"/>
      <c r="IBC70" s="29"/>
      <c r="IBD70" s="29"/>
      <c r="IBE70" s="29"/>
      <c r="IBF70" s="29"/>
      <c r="IBG70" s="29"/>
      <c r="IBH70" s="29"/>
      <c r="IBI70" s="29"/>
      <c r="IBJ70" s="29"/>
      <c r="IBK70" s="29"/>
      <c r="IBL70" s="29"/>
      <c r="IBM70" s="29"/>
      <c r="IBN70" s="29"/>
      <c r="IBO70" s="29"/>
      <c r="IBP70" s="29"/>
      <c r="IBQ70" s="29"/>
      <c r="IBR70" s="29"/>
      <c r="IBS70" s="29"/>
      <c r="IBT70" s="29"/>
      <c r="IBU70" s="29"/>
      <c r="IBV70" s="29"/>
      <c r="IBW70" s="29"/>
      <c r="IBX70" s="29"/>
      <c r="IBY70" s="29"/>
      <c r="IBZ70" s="29"/>
      <c r="ICA70" s="29"/>
      <c r="ICB70" s="29"/>
      <c r="ICC70" s="29"/>
      <c r="ICD70" s="29"/>
      <c r="ICE70" s="29"/>
      <c r="ICF70" s="29"/>
      <c r="ICG70" s="29"/>
      <c r="ICH70" s="29"/>
      <c r="ICI70" s="29"/>
      <c r="ICJ70" s="29"/>
      <c r="ICK70" s="29"/>
      <c r="ICL70" s="29"/>
      <c r="ICM70" s="29"/>
      <c r="ICN70" s="29"/>
      <c r="ICO70" s="29"/>
      <c r="ICP70" s="29"/>
      <c r="ICQ70" s="29"/>
      <c r="ICR70" s="29"/>
      <c r="ICS70" s="29"/>
      <c r="ICT70" s="29"/>
      <c r="ICU70" s="29"/>
      <c r="ICV70" s="29"/>
      <c r="ICW70" s="29"/>
      <c r="ICX70" s="29"/>
      <c r="ICY70" s="29"/>
      <c r="ICZ70" s="29"/>
      <c r="IDA70" s="29"/>
      <c r="IDB70" s="29"/>
      <c r="IDC70" s="29"/>
      <c r="IDD70" s="29"/>
      <c r="IDE70" s="29"/>
      <c r="IDF70" s="29"/>
      <c r="IDG70" s="29"/>
      <c r="IDH70" s="29"/>
      <c r="IDI70" s="29"/>
      <c r="IDJ70" s="29"/>
      <c r="IDK70" s="29"/>
      <c r="IDL70" s="29"/>
      <c r="IDM70" s="29"/>
      <c r="IDN70" s="29"/>
      <c r="IDO70" s="29"/>
      <c r="IDP70" s="29"/>
      <c r="IDQ70" s="29"/>
      <c r="IDR70" s="29"/>
      <c r="IDS70" s="29"/>
      <c r="IDT70" s="29"/>
      <c r="IDU70" s="29"/>
      <c r="IDV70" s="29"/>
      <c r="IDW70" s="29"/>
      <c r="IDX70" s="29"/>
      <c r="IDY70" s="29"/>
      <c r="IDZ70" s="29"/>
      <c r="IEA70" s="29"/>
      <c r="IEB70" s="29"/>
      <c r="IEC70" s="29"/>
      <c r="IED70" s="29"/>
      <c r="IEE70" s="29"/>
      <c r="IEF70" s="29"/>
      <c r="IEG70" s="29"/>
      <c r="IEH70" s="29"/>
      <c r="IEI70" s="29"/>
      <c r="IEJ70" s="29"/>
      <c r="IEK70" s="29"/>
      <c r="IEL70" s="29"/>
      <c r="IEM70" s="29"/>
      <c r="IEN70" s="29"/>
      <c r="IEO70" s="29"/>
      <c r="IEP70" s="29"/>
      <c r="IEQ70" s="29"/>
      <c r="IER70" s="29"/>
      <c r="IES70" s="29"/>
      <c r="IET70" s="29"/>
      <c r="IEU70" s="29"/>
      <c r="IEV70" s="29"/>
      <c r="IEW70" s="29"/>
      <c r="IEX70" s="29"/>
      <c r="IEY70" s="29"/>
      <c r="IEZ70" s="29"/>
      <c r="IFA70" s="29"/>
      <c r="IFB70" s="29"/>
      <c r="IFC70" s="29"/>
      <c r="IFD70" s="29"/>
      <c r="IFE70" s="29"/>
      <c r="IFF70" s="29"/>
      <c r="IFG70" s="29"/>
      <c r="IFH70" s="29"/>
      <c r="IFI70" s="29"/>
      <c r="IFJ70" s="29"/>
      <c r="IFK70" s="29"/>
      <c r="IFL70" s="29"/>
      <c r="IFM70" s="29"/>
      <c r="IFN70" s="29"/>
      <c r="IFO70" s="29"/>
      <c r="IFP70" s="29"/>
      <c r="IFQ70" s="29"/>
      <c r="IFR70" s="29"/>
      <c r="IFS70" s="29"/>
      <c r="IFT70" s="29"/>
      <c r="IFU70" s="29"/>
      <c r="IFV70" s="29"/>
      <c r="IFW70" s="29"/>
      <c r="IFX70" s="29"/>
      <c r="IFY70" s="29"/>
      <c r="IFZ70" s="29"/>
      <c r="IGA70" s="29"/>
      <c r="IGB70" s="29"/>
      <c r="IGC70" s="29"/>
      <c r="IGD70" s="29"/>
      <c r="IGE70" s="29"/>
      <c r="IGF70" s="29"/>
      <c r="IGG70" s="29"/>
      <c r="IGH70" s="29"/>
      <c r="IGI70" s="29"/>
      <c r="IGJ70" s="29"/>
      <c r="IGK70" s="29"/>
      <c r="IGL70" s="29"/>
      <c r="IGM70" s="29"/>
      <c r="IGN70" s="29"/>
      <c r="IGO70" s="29"/>
      <c r="IGP70" s="29"/>
      <c r="IGQ70" s="29"/>
      <c r="IGR70" s="29"/>
      <c r="IGS70" s="29"/>
      <c r="IGT70" s="29"/>
      <c r="IGU70" s="29"/>
      <c r="IGV70" s="29"/>
      <c r="IGW70" s="29"/>
      <c r="IGX70" s="29"/>
      <c r="IGY70" s="29"/>
      <c r="IGZ70" s="29"/>
      <c r="IHA70" s="29"/>
      <c r="IHB70" s="29"/>
      <c r="IHC70" s="29"/>
      <c r="IHD70" s="29"/>
      <c r="IHE70" s="29"/>
      <c r="IHF70" s="29"/>
      <c r="IHG70" s="29"/>
      <c r="IHH70" s="29"/>
      <c r="IHI70" s="29"/>
      <c r="IHJ70" s="29"/>
      <c r="IHK70" s="29"/>
      <c r="IHL70" s="29"/>
      <c r="IHM70" s="29"/>
      <c r="IHN70" s="29"/>
      <c r="IHO70" s="29"/>
      <c r="IHP70" s="29"/>
      <c r="IHQ70" s="29"/>
      <c r="IHR70" s="29"/>
      <c r="IHS70" s="29"/>
      <c r="IHT70" s="29"/>
      <c r="IHU70" s="29"/>
      <c r="IHV70" s="29"/>
      <c r="IHW70" s="29"/>
      <c r="IHX70" s="29"/>
      <c r="IHY70" s="29"/>
      <c r="IHZ70" s="29"/>
      <c r="IIA70" s="29"/>
      <c r="IIB70" s="29"/>
      <c r="IIC70" s="29"/>
      <c r="IID70" s="29"/>
      <c r="IIE70" s="29"/>
      <c r="IIF70" s="29"/>
      <c r="IIG70" s="29"/>
      <c r="IIH70" s="29"/>
      <c r="III70" s="29"/>
      <c r="IIJ70" s="29"/>
      <c r="IIK70" s="29"/>
      <c r="IIL70" s="29"/>
      <c r="IIM70" s="29"/>
      <c r="IIN70" s="29"/>
      <c r="IIO70" s="29"/>
      <c r="IIP70" s="29"/>
      <c r="IIQ70" s="29"/>
      <c r="IIR70" s="29"/>
      <c r="IIS70" s="29"/>
      <c r="IIT70" s="29"/>
      <c r="IIU70" s="29"/>
      <c r="IIV70" s="29"/>
      <c r="IIW70" s="29"/>
      <c r="IIX70" s="29"/>
      <c r="IIY70" s="29"/>
      <c r="IIZ70" s="29"/>
      <c r="IJA70" s="29"/>
      <c r="IJB70" s="29"/>
      <c r="IJC70" s="29"/>
      <c r="IJD70" s="29"/>
      <c r="IJE70" s="29"/>
      <c r="IJF70" s="29"/>
      <c r="IJG70" s="29"/>
      <c r="IJH70" s="29"/>
      <c r="IJI70" s="29"/>
      <c r="IJJ70" s="29"/>
      <c r="IJK70" s="29"/>
      <c r="IJL70" s="29"/>
      <c r="IJM70" s="29"/>
      <c r="IJN70" s="29"/>
      <c r="IJO70" s="29"/>
      <c r="IJP70" s="29"/>
      <c r="IJQ70" s="29"/>
      <c r="IJR70" s="29"/>
      <c r="IJS70" s="29"/>
      <c r="IJT70" s="29"/>
      <c r="IJU70" s="29"/>
      <c r="IJV70" s="29"/>
      <c r="IJW70" s="29"/>
      <c r="IJX70" s="29"/>
      <c r="IJY70" s="29"/>
      <c r="IJZ70" s="29"/>
      <c r="IKA70" s="29"/>
      <c r="IKB70" s="29"/>
      <c r="IKC70" s="29"/>
      <c r="IKD70" s="29"/>
      <c r="IKE70" s="29"/>
      <c r="IKF70" s="29"/>
      <c r="IKG70" s="29"/>
      <c r="IKH70" s="29"/>
      <c r="IKI70" s="29"/>
      <c r="IKJ70" s="29"/>
      <c r="IKK70" s="29"/>
      <c r="IKL70" s="29"/>
      <c r="IKM70" s="29"/>
      <c r="IKN70" s="29"/>
      <c r="IKO70" s="29"/>
      <c r="IKP70" s="29"/>
      <c r="IKQ70" s="29"/>
      <c r="IKR70" s="29"/>
      <c r="IKS70" s="29"/>
      <c r="IKT70" s="29"/>
      <c r="IKU70" s="29"/>
      <c r="IKV70" s="29"/>
      <c r="IKW70" s="29"/>
      <c r="IKX70" s="29"/>
      <c r="IKY70" s="29"/>
      <c r="IKZ70" s="29"/>
      <c r="ILA70" s="29"/>
      <c r="ILB70" s="29"/>
      <c r="ILC70" s="29"/>
      <c r="ILD70" s="29"/>
      <c r="ILE70" s="29"/>
      <c r="ILF70" s="29"/>
      <c r="ILG70" s="29"/>
      <c r="ILH70" s="29"/>
      <c r="ILI70" s="29"/>
      <c r="ILJ70" s="29"/>
      <c r="ILK70" s="29"/>
      <c r="ILL70" s="29"/>
      <c r="ILM70" s="29"/>
      <c r="ILN70" s="29"/>
      <c r="ILO70" s="29"/>
      <c r="ILP70" s="29"/>
      <c r="ILQ70" s="29"/>
      <c r="ILR70" s="29"/>
      <c r="ILS70" s="29"/>
      <c r="ILT70" s="29"/>
      <c r="ILU70" s="29"/>
      <c r="ILV70" s="29"/>
      <c r="ILW70" s="29"/>
      <c r="ILX70" s="29"/>
      <c r="ILY70" s="29"/>
      <c r="ILZ70" s="29"/>
      <c r="IMA70" s="29"/>
      <c r="IMB70" s="29"/>
      <c r="IMC70" s="29"/>
      <c r="IMD70" s="29"/>
      <c r="IME70" s="29"/>
      <c r="IMF70" s="29"/>
      <c r="IMG70" s="29"/>
      <c r="IMH70" s="29"/>
      <c r="IMI70" s="29"/>
      <c r="IMJ70" s="29"/>
      <c r="IMK70" s="29"/>
      <c r="IML70" s="29"/>
      <c r="IMM70" s="29"/>
      <c r="IMN70" s="29"/>
      <c r="IMO70" s="29"/>
      <c r="IMP70" s="29"/>
      <c r="IMQ70" s="29"/>
      <c r="IMR70" s="29"/>
      <c r="IMS70" s="29"/>
      <c r="IMT70" s="29"/>
      <c r="IMU70" s="29"/>
      <c r="IMV70" s="29"/>
      <c r="IMW70" s="29"/>
      <c r="IMX70" s="29"/>
      <c r="IMY70" s="29"/>
      <c r="IMZ70" s="29"/>
      <c r="INA70" s="29"/>
      <c r="INB70" s="29"/>
      <c r="INC70" s="29"/>
      <c r="IND70" s="29"/>
      <c r="INE70" s="29"/>
      <c r="INF70" s="29"/>
      <c r="ING70" s="29"/>
      <c r="INH70" s="29"/>
      <c r="INI70" s="29"/>
      <c r="INJ70" s="29"/>
      <c r="INK70" s="29"/>
      <c r="INL70" s="29"/>
      <c r="INM70" s="29"/>
      <c r="INN70" s="29"/>
      <c r="INO70" s="29"/>
      <c r="INP70" s="29"/>
      <c r="INQ70" s="29"/>
      <c r="INR70" s="29"/>
      <c r="INS70" s="29"/>
      <c r="INT70" s="29"/>
      <c r="INU70" s="29"/>
      <c r="INV70" s="29"/>
      <c r="INW70" s="29"/>
      <c r="INX70" s="29"/>
      <c r="INY70" s="29"/>
      <c r="INZ70" s="29"/>
      <c r="IOA70" s="29"/>
      <c r="IOB70" s="29"/>
      <c r="IOC70" s="29"/>
      <c r="IOD70" s="29"/>
      <c r="IOE70" s="29"/>
      <c r="IOF70" s="29"/>
      <c r="IOG70" s="29"/>
      <c r="IOH70" s="29"/>
      <c r="IOI70" s="29"/>
      <c r="IOJ70" s="29"/>
      <c r="IOK70" s="29"/>
      <c r="IOL70" s="29"/>
      <c r="IOM70" s="29"/>
      <c r="ION70" s="29"/>
      <c r="IOO70" s="29"/>
      <c r="IOP70" s="29"/>
      <c r="IOQ70" s="29"/>
      <c r="IOR70" s="29"/>
      <c r="IOS70" s="29"/>
      <c r="IOT70" s="29"/>
      <c r="IOU70" s="29"/>
      <c r="IOV70" s="29"/>
      <c r="IOW70" s="29"/>
      <c r="IOX70" s="29"/>
      <c r="IOY70" s="29"/>
      <c r="IOZ70" s="29"/>
      <c r="IPA70" s="29"/>
      <c r="IPB70" s="29"/>
      <c r="IPC70" s="29"/>
      <c r="IPD70" s="29"/>
      <c r="IPE70" s="29"/>
      <c r="IPF70" s="29"/>
      <c r="IPG70" s="29"/>
      <c r="IPH70" s="29"/>
      <c r="IPI70" s="29"/>
      <c r="IPJ70" s="29"/>
      <c r="IPK70" s="29"/>
      <c r="IPL70" s="29"/>
      <c r="IPM70" s="29"/>
      <c r="IPN70" s="29"/>
      <c r="IPO70" s="29"/>
      <c r="IPP70" s="29"/>
      <c r="IPQ70" s="29"/>
      <c r="IPR70" s="29"/>
      <c r="IPS70" s="29"/>
      <c r="IPT70" s="29"/>
      <c r="IPU70" s="29"/>
      <c r="IPV70" s="29"/>
      <c r="IPW70" s="29"/>
      <c r="IPX70" s="29"/>
      <c r="IPY70" s="29"/>
      <c r="IPZ70" s="29"/>
      <c r="IQA70" s="29"/>
      <c r="IQB70" s="29"/>
      <c r="IQC70" s="29"/>
      <c r="IQD70" s="29"/>
      <c r="IQE70" s="29"/>
      <c r="IQF70" s="29"/>
      <c r="IQG70" s="29"/>
      <c r="IQH70" s="29"/>
      <c r="IQI70" s="29"/>
      <c r="IQJ70" s="29"/>
      <c r="IQK70" s="29"/>
      <c r="IQL70" s="29"/>
      <c r="IQM70" s="29"/>
      <c r="IQN70" s="29"/>
      <c r="IQO70" s="29"/>
      <c r="IQP70" s="29"/>
      <c r="IQQ70" s="29"/>
      <c r="IQR70" s="29"/>
      <c r="IQS70" s="29"/>
      <c r="IQT70" s="29"/>
      <c r="IQU70" s="29"/>
      <c r="IQV70" s="29"/>
      <c r="IQW70" s="29"/>
      <c r="IQX70" s="29"/>
      <c r="IQY70" s="29"/>
      <c r="IQZ70" s="29"/>
      <c r="IRA70" s="29"/>
      <c r="IRB70" s="29"/>
      <c r="IRC70" s="29"/>
      <c r="IRD70" s="29"/>
      <c r="IRE70" s="29"/>
      <c r="IRF70" s="29"/>
      <c r="IRG70" s="29"/>
      <c r="IRH70" s="29"/>
      <c r="IRI70" s="29"/>
      <c r="IRJ70" s="29"/>
      <c r="IRK70" s="29"/>
      <c r="IRL70" s="29"/>
      <c r="IRM70" s="29"/>
      <c r="IRN70" s="29"/>
      <c r="IRO70" s="29"/>
      <c r="IRP70" s="29"/>
      <c r="IRQ70" s="29"/>
      <c r="IRR70" s="29"/>
      <c r="IRS70" s="29"/>
      <c r="IRT70" s="29"/>
      <c r="IRU70" s="29"/>
      <c r="IRV70" s="29"/>
      <c r="IRW70" s="29"/>
      <c r="IRX70" s="29"/>
      <c r="IRY70" s="29"/>
      <c r="IRZ70" s="29"/>
      <c r="ISA70" s="29"/>
      <c r="ISB70" s="29"/>
      <c r="ISC70" s="29"/>
      <c r="ISD70" s="29"/>
      <c r="ISE70" s="29"/>
      <c r="ISF70" s="29"/>
      <c r="ISG70" s="29"/>
      <c r="ISH70" s="29"/>
      <c r="ISI70" s="29"/>
      <c r="ISJ70" s="29"/>
      <c r="ISK70" s="29"/>
      <c r="ISL70" s="29"/>
      <c r="ISM70" s="29"/>
      <c r="ISN70" s="29"/>
      <c r="ISO70" s="29"/>
      <c r="ISP70" s="29"/>
      <c r="ISQ70" s="29"/>
      <c r="ISR70" s="29"/>
      <c r="ISS70" s="29"/>
      <c r="IST70" s="29"/>
      <c r="ISU70" s="29"/>
      <c r="ISV70" s="29"/>
      <c r="ISW70" s="29"/>
      <c r="ISX70" s="29"/>
      <c r="ISY70" s="29"/>
      <c r="ISZ70" s="29"/>
      <c r="ITA70" s="29"/>
      <c r="ITB70" s="29"/>
      <c r="ITC70" s="29"/>
      <c r="ITD70" s="29"/>
      <c r="ITE70" s="29"/>
      <c r="ITF70" s="29"/>
      <c r="ITG70" s="29"/>
      <c r="ITH70" s="29"/>
      <c r="ITI70" s="29"/>
      <c r="ITJ70" s="29"/>
      <c r="ITK70" s="29"/>
      <c r="ITL70" s="29"/>
      <c r="ITM70" s="29"/>
      <c r="ITN70" s="29"/>
      <c r="ITO70" s="29"/>
      <c r="ITP70" s="29"/>
      <c r="ITQ70" s="29"/>
      <c r="ITR70" s="29"/>
      <c r="ITS70" s="29"/>
      <c r="ITT70" s="29"/>
      <c r="ITU70" s="29"/>
      <c r="ITV70" s="29"/>
      <c r="ITW70" s="29"/>
      <c r="ITX70" s="29"/>
      <c r="ITY70" s="29"/>
      <c r="ITZ70" s="29"/>
      <c r="IUA70" s="29"/>
      <c r="IUB70" s="29"/>
      <c r="IUC70" s="29"/>
      <c r="IUD70" s="29"/>
      <c r="IUE70" s="29"/>
      <c r="IUF70" s="29"/>
      <c r="IUG70" s="29"/>
      <c r="IUH70" s="29"/>
      <c r="IUI70" s="29"/>
      <c r="IUJ70" s="29"/>
      <c r="IUK70" s="29"/>
      <c r="IUL70" s="29"/>
      <c r="IUM70" s="29"/>
      <c r="IUN70" s="29"/>
      <c r="IUO70" s="29"/>
      <c r="IUP70" s="29"/>
      <c r="IUQ70" s="29"/>
      <c r="IUR70" s="29"/>
      <c r="IUS70" s="29"/>
      <c r="IUT70" s="29"/>
      <c r="IUU70" s="29"/>
      <c r="IUV70" s="29"/>
      <c r="IUW70" s="29"/>
      <c r="IUX70" s="29"/>
      <c r="IUY70" s="29"/>
      <c r="IUZ70" s="29"/>
      <c r="IVA70" s="29"/>
      <c r="IVB70" s="29"/>
      <c r="IVC70" s="29"/>
      <c r="IVD70" s="29"/>
      <c r="IVE70" s="29"/>
      <c r="IVF70" s="29"/>
      <c r="IVG70" s="29"/>
      <c r="IVH70" s="29"/>
      <c r="IVI70" s="29"/>
      <c r="IVJ70" s="29"/>
      <c r="IVK70" s="29"/>
      <c r="IVL70" s="29"/>
      <c r="IVM70" s="29"/>
      <c r="IVN70" s="29"/>
      <c r="IVO70" s="29"/>
      <c r="IVP70" s="29"/>
      <c r="IVQ70" s="29"/>
      <c r="IVR70" s="29"/>
      <c r="IVS70" s="29"/>
      <c r="IVT70" s="29"/>
      <c r="IVU70" s="29"/>
      <c r="IVV70" s="29"/>
      <c r="IVW70" s="29"/>
      <c r="IVX70" s="29"/>
      <c r="IVY70" s="29"/>
      <c r="IVZ70" s="29"/>
      <c r="IWA70" s="29"/>
      <c r="IWB70" s="29"/>
      <c r="IWC70" s="29"/>
      <c r="IWD70" s="29"/>
      <c r="IWE70" s="29"/>
      <c r="IWF70" s="29"/>
      <c r="IWG70" s="29"/>
      <c r="IWH70" s="29"/>
      <c r="IWI70" s="29"/>
      <c r="IWJ70" s="29"/>
      <c r="IWK70" s="29"/>
      <c r="IWL70" s="29"/>
      <c r="IWM70" s="29"/>
      <c r="IWN70" s="29"/>
      <c r="IWO70" s="29"/>
      <c r="IWP70" s="29"/>
      <c r="IWQ70" s="29"/>
      <c r="IWR70" s="29"/>
      <c r="IWS70" s="29"/>
      <c r="IWT70" s="29"/>
      <c r="IWU70" s="29"/>
      <c r="IWV70" s="29"/>
      <c r="IWW70" s="29"/>
      <c r="IWX70" s="29"/>
      <c r="IWY70" s="29"/>
      <c r="IWZ70" s="29"/>
      <c r="IXA70" s="29"/>
      <c r="IXB70" s="29"/>
      <c r="IXC70" s="29"/>
      <c r="IXD70" s="29"/>
      <c r="IXE70" s="29"/>
      <c r="IXF70" s="29"/>
      <c r="IXG70" s="29"/>
      <c r="IXH70" s="29"/>
      <c r="IXI70" s="29"/>
      <c r="IXJ70" s="29"/>
      <c r="IXK70" s="29"/>
      <c r="IXL70" s="29"/>
      <c r="IXM70" s="29"/>
      <c r="IXN70" s="29"/>
      <c r="IXO70" s="29"/>
      <c r="IXP70" s="29"/>
      <c r="IXQ70" s="29"/>
      <c r="IXR70" s="29"/>
      <c r="IXS70" s="29"/>
      <c r="IXT70" s="29"/>
      <c r="IXU70" s="29"/>
      <c r="IXV70" s="29"/>
      <c r="IXW70" s="29"/>
      <c r="IXX70" s="29"/>
      <c r="IXY70" s="29"/>
      <c r="IXZ70" s="29"/>
      <c r="IYA70" s="29"/>
      <c r="IYB70" s="29"/>
      <c r="IYC70" s="29"/>
      <c r="IYD70" s="29"/>
      <c r="IYE70" s="29"/>
      <c r="IYF70" s="29"/>
      <c r="IYG70" s="29"/>
      <c r="IYH70" s="29"/>
      <c r="IYI70" s="29"/>
      <c r="IYJ70" s="29"/>
      <c r="IYK70" s="29"/>
      <c r="IYL70" s="29"/>
      <c r="IYM70" s="29"/>
      <c r="IYN70" s="29"/>
      <c r="IYO70" s="29"/>
      <c r="IYP70" s="29"/>
      <c r="IYQ70" s="29"/>
      <c r="IYR70" s="29"/>
      <c r="IYS70" s="29"/>
      <c r="IYT70" s="29"/>
      <c r="IYU70" s="29"/>
      <c r="IYV70" s="29"/>
      <c r="IYW70" s="29"/>
      <c r="IYX70" s="29"/>
      <c r="IYY70" s="29"/>
      <c r="IYZ70" s="29"/>
      <c r="IZA70" s="29"/>
      <c r="IZB70" s="29"/>
      <c r="IZC70" s="29"/>
      <c r="IZD70" s="29"/>
      <c r="IZE70" s="29"/>
      <c r="IZF70" s="29"/>
      <c r="IZG70" s="29"/>
      <c r="IZH70" s="29"/>
      <c r="IZI70" s="29"/>
      <c r="IZJ70" s="29"/>
      <c r="IZK70" s="29"/>
      <c r="IZL70" s="29"/>
      <c r="IZM70" s="29"/>
      <c r="IZN70" s="29"/>
      <c r="IZO70" s="29"/>
      <c r="IZP70" s="29"/>
      <c r="IZQ70" s="29"/>
      <c r="IZR70" s="29"/>
      <c r="IZS70" s="29"/>
      <c r="IZT70" s="29"/>
      <c r="IZU70" s="29"/>
      <c r="IZV70" s="29"/>
      <c r="IZW70" s="29"/>
      <c r="IZX70" s="29"/>
      <c r="IZY70" s="29"/>
      <c r="IZZ70" s="29"/>
      <c r="JAA70" s="29"/>
      <c r="JAB70" s="29"/>
      <c r="JAC70" s="29"/>
      <c r="JAD70" s="29"/>
      <c r="JAE70" s="29"/>
      <c r="JAF70" s="29"/>
      <c r="JAG70" s="29"/>
      <c r="JAH70" s="29"/>
      <c r="JAI70" s="29"/>
      <c r="JAJ70" s="29"/>
      <c r="JAK70" s="29"/>
      <c r="JAL70" s="29"/>
      <c r="JAM70" s="29"/>
      <c r="JAN70" s="29"/>
      <c r="JAO70" s="29"/>
      <c r="JAP70" s="29"/>
      <c r="JAQ70" s="29"/>
      <c r="JAR70" s="29"/>
      <c r="JAS70" s="29"/>
      <c r="JAT70" s="29"/>
      <c r="JAU70" s="29"/>
      <c r="JAV70" s="29"/>
      <c r="JAW70" s="29"/>
      <c r="JAX70" s="29"/>
      <c r="JAY70" s="29"/>
      <c r="JAZ70" s="29"/>
      <c r="JBA70" s="29"/>
      <c r="JBB70" s="29"/>
      <c r="JBC70" s="29"/>
      <c r="JBD70" s="29"/>
      <c r="JBE70" s="29"/>
      <c r="JBF70" s="29"/>
      <c r="JBG70" s="29"/>
      <c r="JBH70" s="29"/>
      <c r="JBI70" s="29"/>
      <c r="JBJ70" s="29"/>
      <c r="JBK70" s="29"/>
      <c r="JBL70" s="29"/>
      <c r="JBM70" s="29"/>
      <c r="JBN70" s="29"/>
      <c r="JBO70" s="29"/>
      <c r="JBP70" s="29"/>
      <c r="JBQ70" s="29"/>
      <c r="JBR70" s="29"/>
      <c r="JBS70" s="29"/>
      <c r="JBT70" s="29"/>
      <c r="JBU70" s="29"/>
      <c r="JBV70" s="29"/>
      <c r="JBW70" s="29"/>
      <c r="JBX70" s="29"/>
      <c r="JBY70" s="29"/>
      <c r="JBZ70" s="29"/>
      <c r="JCA70" s="29"/>
      <c r="JCB70" s="29"/>
      <c r="JCC70" s="29"/>
      <c r="JCD70" s="29"/>
      <c r="JCE70" s="29"/>
      <c r="JCF70" s="29"/>
      <c r="JCG70" s="29"/>
      <c r="JCH70" s="29"/>
      <c r="JCI70" s="29"/>
      <c r="JCJ70" s="29"/>
      <c r="JCK70" s="29"/>
      <c r="JCL70" s="29"/>
      <c r="JCM70" s="29"/>
      <c r="JCN70" s="29"/>
      <c r="JCO70" s="29"/>
      <c r="JCP70" s="29"/>
      <c r="JCQ70" s="29"/>
      <c r="JCR70" s="29"/>
      <c r="JCS70" s="29"/>
      <c r="JCT70" s="29"/>
      <c r="JCU70" s="29"/>
      <c r="JCV70" s="29"/>
      <c r="JCW70" s="29"/>
      <c r="JCX70" s="29"/>
      <c r="JCY70" s="29"/>
      <c r="JCZ70" s="29"/>
      <c r="JDA70" s="29"/>
      <c r="JDB70" s="29"/>
      <c r="JDC70" s="29"/>
      <c r="JDD70" s="29"/>
      <c r="JDE70" s="29"/>
      <c r="JDF70" s="29"/>
      <c r="JDG70" s="29"/>
      <c r="JDH70" s="29"/>
      <c r="JDI70" s="29"/>
      <c r="JDJ70" s="29"/>
      <c r="JDK70" s="29"/>
      <c r="JDL70" s="29"/>
      <c r="JDM70" s="29"/>
      <c r="JDN70" s="29"/>
      <c r="JDO70" s="29"/>
      <c r="JDP70" s="29"/>
      <c r="JDQ70" s="29"/>
      <c r="JDR70" s="29"/>
      <c r="JDS70" s="29"/>
      <c r="JDT70" s="29"/>
      <c r="JDU70" s="29"/>
      <c r="JDV70" s="29"/>
      <c r="JDW70" s="29"/>
      <c r="JDX70" s="29"/>
      <c r="JDY70" s="29"/>
      <c r="JDZ70" s="29"/>
      <c r="JEA70" s="29"/>
      <c r="JEB70" s="29"/>
      <c r="JEC70" s="29"/>
      <c r="JED70" s="29"/>
      <c r="JEE70" s="29"/>
      <c r="JEF70" s="29"/>
      <c r="JEG70" s="29"/>
      <c r="JEH70" s="29"/>
      <c r="JEI70" s="29"/>
      <c r="JEJ70" s="29"/>
      <c r="JEK70" s="29"/>
      <c r="JEL70" s="29"/>
      <c r="JEM70" s="29"/>
      <c r="JEN70" s="29"/>
      <c r="JEO70" s="29"/>
      <c r="JEP70" s="29"/>
      <c r="JEQ70" s="29"/>
      <c r="JER70" s="29"/>
      <c r="JES70" s="29"/>
      <c r="JET70" s="29"/>
      <c r="JEU70" s="29"/>
      <c r="JEV70" s="29"/>
      <c r="JEW70" s="29"/>
      <c r="JEX70" s="29"/>
      <c r="JEY70" s="29"/>
      <c r="JEZ70" s="29"/>
      <c r="JFA70" s="29"/>
      <c r="JFB70" s="29"/>
      <c r="JFC70" s="29"/>
      <c r="JFD70" s="29"/>
      <c r="JFE70" s="29"/>
      <c r="JFF70" s="29"/>
      <c r="JFG70" s="29"/>
      <c r="JFH70" s="29"/>
      <c r="JFI70" s="29"/>
      <c r="JFJ70" s="29"/>
      <c r="JFK70" s="29"/>
      <c r="JFL70" s="29"/>
      <c r="JFM70" s="29"/>
      <c r="JFN70" s="29"/>
      <c r="JFO70" s="29"/>
      <c r="JFP70" s="29"/>
      <c r="JFQ70" s="29"/>
      <c r="JFR70" s="29"/>
      <c r="JFS70" s="29"/>
      <c r="JFT70" s="29"/>
      <c r="JFU70" s="29"/>
      <c r="JFV70" s="29"/>
      <c r="JFW70" s="29"/>
      <c r="JFX70" s="29"/>
      <c r="JFY70" s="29"/>
      <c r="JFZ70" s="29"/>
      <c r="JGA70" s="29"/>
      <c r="JGB70" s="29"/>
      <c r="JGC70" s="29"/>
      <c r="JGD70" s="29"/>
      <c r="JGE70" s="29"/>
      <c r="JGF70" s="29"/>
      <c r="JGG70" s="29"/>
      <c r="JGH70" s="29"/>
      <c r="JGI70" s="29"/>
      <c r="JGJ70" s="29"/>
      <c r="JGK70" s="29"/>
      <c r="JGL70" s="29"/>
      <c r="JGM70" s="29"/>
      <c r="JGN70" s="29"/>
      <c r="JGO70" s="29"/>
      <c r="JGP70" s="29"/>
      <c r="JGQ70" s="29"/>
      <c r="JGR70" s="29"/>
      <c r="JGS70" s="29"/>
      <c r="JGT70" s="29"/>
      <c r="JGU70" s="29"/>
      <c r="JGV70" s="29"/>
      <c r="JGW70" s="29"/>
      <c r="JGX70" s="29"/>
      <c r="JGY70" s="29"/>
      <c r="JGZ70" s="29"/>
      <c r="JHA70" s="29"/>
      <c r="JHB70" s="29"/>
      <c r="JHC70" s="29"/>
      <c r="JHD70" s="29"/>
      <c r="JHE70" s="29"/>
      <c r="JHF70" s="29"/>
      <c r="JHG70" s="29"/>
      <c r="JHH70" s="29"/>
      <c r="JHI70" s="29"/>
      <c r="JHJ70" s="29"/>
      <c r="JHK70" s="29"/>
      <c r="JHL70" s="29"/>
      <c r="JHM70" s="29"/>
      <c r="JHN70" s="29"/>
      <c r="JHO70" s="29"/>
      <c r="JHP70" s="29"/>
      <c r="JHQ70" s="29"/>
      <c r="JHR70" s="29"/>
      <c r="JHS70" s="29"/>
      <c r="JHT70" s="29"/>
      <c r="JHU70" s="29"/>
      <c r="JHV70" s="29"/>
      <c r="JHW70" s="29"/>
      <c r="JHX70" s="29"/>
      <c r="JHY70" s="29"/>
      <c r="JHZ70" s="29"/>
      <c r="JIA70" s="29"/>
      <c r="JIB70" s="29"/>
      <c r="JIC70" s="29"/>
      <c r="JID70" s="29"/>
      <c r="JIE70" s="29"/>
      <c r="JIF70" s="29"/>
      <c r="JIG70" s="29"/>
      <c r="JIH70" s="29"/>
      <c r="JII70" s="29"/>
      <c r="JIJ70" s="29"/>
      <c r="JIK70" s="29"/>
      <c r="JIL70" s="29"/>
      <c r="JIM70" s="29"/>
      <c r="JIN70" s="29"/>
      <c r="JIO70" s="29"/>
      <c r="JIP70" s="29"/>
      <c r="JIQ70" s="29"/>
      <c r="JIR70" s="29"/>
      <c r="JIS70" s="29"/>
      <c r="JIT70" s="29"/>
      <c r="JIU70" s="29"/>
      <c r="JIV70" s="29"/>
      <c r="JIW70" s="29"/>
      <c r="JIX70" s="29"/>
      <c r="JIY70" s="29"/>
      <c r="JIZ70" s="29"/>
      <c r="JJA70" s="29"/>
      <c r="JJB70" s="29"/>
      <c r="JJC70" s="29"/>
      <c r="JJD70" s="29"/>
      <c r="JJE70" s="29"/>
      <c r="JJF70" s="29"/>
      <c r="JJG70" s="29"/>
      <c r="JJH70" s="29"/>
      <c r="JJI70" s="29"/>
      <c r="JJJ70" s="29"/>
      <c r="JJK70" s="29"/>
      <c r="JJL70" s="29"/>
      <c r="JJM70" s="29"/>
      <c r="JJN70" s="29"/>
      <c r="JJO70" s="29"/>
      <c r="JJP70" s="29"/>
      <c r="JJQ70" s="29"/>
      <c r="JJR70" s="29"/>
      <c r="JJS70" s="29"/>
      <c r="JJT70" s="29"/>
      <c r="JJU70" s="29"/>
      <c r="JJV70" s="29"/>
      <c r="JJW70" s="29"/>
      <c r="JJX70" s="29"/>
      <c r="JJY70" s="29"/>
      <c r="JJZ70" s="29"/>
      <c r="JKA70" s="29"/>
      <c r="JKB70" s="29"/>
      <c r="JKC70" s="29"/>
      <c r="JKD70" s="29"/>
      <c r="JKE70" s="29"/>
      <c r="JKF70" s="29"/>
      <c r="JKG70" s="29"/>
      <c r="JKH70" s="29"/>
      <c r="JKI70" s="29"/>
      <c r="JKJ70" s="29"/>
      <c r="JKK70" s="29"/>
      <c r="JKL70" s="29"/>
      <c r="JKM70" s="29"/>
      <c r="JKN70" s="29"/>
      <c r="JKO70" s="29"/>
      <c r="JKP70" s="29"/>
      <c r="JKQ70" s="29"/>
      <c r="JKR70" s="29"/>
      <c r="JKS70" s="29"/>
      <c r="JKT70" s="29"/>
      <c r="JKU70" s="29"/>
      <c r="JKV70" s="29"/>
      <c r="JKW70" s="29"/>
      <c r="JKX70" s="29"/>
      <c r="JKY70" s="29"/>
      <c r="JKZ70" s="29"/>
      <c r="JLA70" s="29"/>
      <c r="JLB70" s="29"/>
      <c r="JLC70" s="29"/>
      <c r="JLD70" s="29"/>
      <c r="JLE70" s="29"/>
      <c r="JLF70" s="29"/>
      <c r="JLG70" s="29"/>
      <c r="JLH70" s="29"/>
      <c r="JLI70" s="29"/>
      <c r="JLJ70" s="29"/>
      <c r="JLK70" s="29"/>
      <c r="JLL70" s="29"/>
      <c r="JLM70" s="29"/>
      <c r="JLN70" s="29"/>
      <c r="JLO70" s="29"/>
      <c r="JLP70" s="29"/>
      <c r="JLQ70" s="29"/>
      <c r="JLR70" s="29"/>
      <c r="JLS70" s="29"/>
      <c r="JLT70" s="29"/>
      <c r="JLU70" s="29"/>
      <c r="JLV70" s="29"/>
      <c r="JLW70" s="29"/>
      <c r="JLX70" s="29"/>
      <c r="JLY70" s="29"/>
      <c r="JLZ70" s="29"/>
      <c r="JMA70" s="29"/>
      <c r="JMB70" s="29"/>
      <c r="JMC70" s="29"/>
      <c r="JMD70" s="29"/>
      <c r="JME70" s="29"/>
      <c r="JMF70" s="29"/>
      <c r="JMG70" s="29"/>
      <c r="JMH70" s="29"/>
      <c r="JMI70" s="29"/>
      <c r="JMJ70" s="29"/>
      <c r="JMK70" s="29"/>
      <c r="JML70" s="29"/>
      <c r="JMM70" s="29"/>
      <c r="JMN70" s="29"/>
      <c r="JMO70" s="29"/>
      <c r="JMP70" s="29"/>
      <c r="JMQ70" s="29"/>
      <c r="JMR70" s="29"/>
      <c r="JMS70" s="29"/>
      <c r="JMT70" s="29"/>
      <c r="JMU70" s="29"/>
      <c r="JMV70" s="29"/>
      <c r="JMW70" s="29"/>
      <c r="JMX70" s="29"/>
      <c r="JMY70" s="29"/>
      <c r="JMZ70" s="29"/>
      <c r="JNA70" s="29"/>
      <c r="JNB70" s="29"/>
      <c r="JNC70" s="29"/>
      <c r="JND70" s="29"/>
      <c r="JNE70" s="29"/>
      <c r="JNF70" s="29"/>
      <c r="JNG70" s="29"/>
      <c r="JNH70" s="29"/>
      <c r="JNI70" s="29"/>
      <c r="JNJ70" s="29"/>
      <c r="JNK70" s="29"/>
      <c r="JNL70" s="29"/>
      <c r="JNM70" s="29"/>
      <c r="JNN70" s="29"/>
      <c r="JNO70" s="29"/>
      <c r="JNP70" s="29"/>
      <c r="JNQ70" s="29"/>
      <c r="JNR70" s="29"/>
      <c r="JNS70" s="29"/>
      <c r="JNT70" s="29"/>
      <c r="JNU70" s="29"/>
      <c r="JNV70" s="29"/>
      <c r="JNW70" s="29"/>
      <c r="JNX70" s="29"/>
      <c r="JNY70" s="29"/>
      <c r="JNZ70" s="29"/>
      <c r="JOA70" s="29"/>
      <c r="JOB70" s="29"/>
      <c r="JOC70" s="29"/>
      <c r="JOD70" s="29"/>
      <c r="JOE70" s="29"/>
      <c r="JOF70" s="29"/>
      <c r="JOG70" s="29"/>
      <c r="JOH70" s="29"/>
      <c r="JOI70" s="29"/>
      <c r="JOJ70" s="29"/>
      <c r="JOK70" s="29"/>
      <c r="JOL70" s="29"/>
      <c r="JOM70" s="29"/>
      <c r="JON70" s="29"/>
      <c r="JOO70" s="29"/>
      <c r="JOP70" s="29"/>
      <c r="JOQ70" s="29"/>
      <c r="JOR70" s="29"/>
      <c r="JOS70" s="29"/>
      <c r="JOT70" s="29"/>
      <c r="JOU70" s="29"/>
      <c r="JOV70" s="29"/>
      <c r="JOW70" s="29"/>
      <c r="JOX70" s="29"/>
      <c r="JOY70" s="29"/>
      <c r="JOZ70" s="29"/>
      <c r="JPA70" s="29"/>
      <c r="JPB70" s="29"/>
      <c r="JPC70" s="29"/>
      <c r="JPD70" s="29"/>
      <c r="JPE70" s="29"/>
      <c r="JPF70" s="29"/>
      <c r="JPG70" s="29"/>
      <c r="JPH70" s="29"/>
      <c r="JPI70" s="29"/>
      <c r="JPJ70" s="29"/>
      <c r="JPK70" s="29"/>
      <c r="JPL70" s="29"/>
      <c r="JPM70" s="29"/>
      <c r="JPN70" s="29"/>
      <c r="JPO70" s="29"/>
      <c r="JPP70" s="29"/>
      <c r="JPQ70" s="29"/>
      <c r="JPR70" s="29"/>
      <c r="JPS70" s="29"/>
      <c r="JPT70" s="29"/>
      <c r="JPU70" s="29"/>
      <c r="JPV70" s="29"/>
      <c r="JPW70" s="29"/>
      <c r="JPX70" s="29"/>
      <c r="JPY70" s="29"/>
      <c r="JPZ70" s="29"/>
      <c r="JQA70" s="29"/>
      <c r="JQB70" s="29"/>
      <c r="JQC70" s="29"/>
      <c r="JQD70" s="29"/>
      <c r="JQE70" s="29"/>
      <c r="JQF70" s="29"/>
      <c r="JQG70" s="29"/>
      <c r="JQH70" s="29"/>
      <c r="JQI70" s="29"/>
      <c r="JQJ70" s="29"/>
      <c r="JQK70" s="29"/>
      <c r="JQL70" s="29"/>
      <c r="JQM70" s="29"/>
      <c r="JQN70" s="29"/>
      <c r="JQO70" s="29"/>
      <c r="JQP70" s="29"/>
      <c r="JQQ70" s="29"/>
      <c r="JQR70" s="29"/>
      <c r="JQS70" s="29"/>
      <c r="JQT70" s="29"/>
      <c r="JQU70" s="29"/>
      <c r="JQV70" s="29"/>
      <c r="JQW70" s="29"/>
      <c r="JQX70" s="29"/>
      <c r="JQY70" s="29"/>
      <c r="JQZ70" s="29"/>
      <c r="JRA70" s="29"/>
      <c r="JRB70" s="29"/>
      <c r="JRC70" s="29"/>
      <c r="JRD70" s="29"/>
      <c r="JRE70" s="29"/>
      <c r="JRF70" s="29"/>
      <c r="JRG70" s="29"/>
      <c r="JRH70" s="29"/>
      <c r="JRI70" s="29"/>
      <c r="JRJ70" s="29"/>
      <c r="JRK70" s="29"/>
      <c r="JRL70" s="29"/>
      <c r="JRM70" s="29"/>
      <c r="JRN70" s="29"/>
      <c r="JRO70" s="29"/>
      <c r="JRP70" s="29"/>
      <c r="JRQ70" s="29"/>
      <c r="JRR70" s="29"/>
      <c r="JRS70" s="29"/>
      <c r="JRT70" s="29"/>
      <c r="JRU70" s="29"/>
      <c r="JRV70" s="29"/>
      <c r="JRW70" s="29"/>
      <c r="JRX70" s="29"/>
      <c r="JRY70" s="29"/>
      <c r="JRZ70" s="29"/>
      <c r="JSA70" s="29"/>
      <c r="JSB70" s="29"/>
      <c r="JSC70" s="29"/>
      <c r="JSD70" s="29"/>
      <c r="JSE70" s="29"/>
      <c r="JSF70" s="29"/>
      <c r="JSG70" s="29"/>
      <c r="JSH70" s="29"/>
      <c r="JSI70" s="29"/>
      <c r="JSJ70" s="29"/>
      <c r="JSK70" s="29"/>
      <c r="JSL70" s="29"/>
      <c r="JSM70" s="29"/>
      <c r="JSN70" s="29"/>
      <c r="JSO70" s="29"/>
      <c r="JSP70" s="29"/>
      <c r="JSQ70" s="29"/>
      <c r="JSR70" s="29"/>
      <c r="JSS70" s="29"/>
      <c r="JST70" s="29"/>
      <c r="JSU70" s="29"/>
      <c r="JSV70" s="29"/>
      <c r="JSW70" s="29"/>
      <c r="JSX70" s="29"/>
      <c r="JSY70" s="29"/>
      <c r="JSZ70" s="29"/>
      <c r="JTA70" s="29"/>
      <c r="JTB70" s="29"/>
      <c r="JTC70" s="29"/>
      <c r="JTD70" s="29"/>
      <c r="JTE70" s="29"/>
      <c r="JTF70" s="29"/>
      <c r="JTG70" s="29"/>
      <c r="JTH70" s="29"/>
      <c r="JTI70" s="29"/>
      <c r="JTJ70" s="29"/>
      <c r="JTK70" s="29"/>
      <c r="JTL70" s="29"/>
      <c r="JTM70" s="29"/>
      <c r="JTN70" s="29"/>
      <c r="JTO70" s="29"/>
      <c r="JTP70" s="29"/>
      <c r="JTQ70" s="29"/>
      <c r="JTR70" s="29"/>
      <c r="JTS70" s="29"/>
      <c r="JTT70" s="29"/>
      <c r="JTU70" s="29"/>
      <c r="JTV70" s="29"/>
      <c r="JTW70" s="29"/>
      <c r="JTX70" s="29"/>
      <c r="JTY70" s="29"/>
      <c r="JTZ70" s="29"/>
      <c r="JUA70" s="29"/>
      <c r="JUB70" s="29"/>
      <c r="JUC70" s="29"/>
      <c r="JUD70" s="29"/>
      <c r="JUE70" s="29"/>
      <c r="JUF70" s="29"/>
      <c r="JUG70" s="29"/>
      <c r="JUH70" s="29"/>
      <c r="JUI70" s="29"/>
      <c r="JUJ70" s="29"/>
      <c r="JUK70" s="29"/>
      <c r="JUL70" s="29"/>
      <c r="JUM70" s="29"/>
      <c r="JUN70" s="29"/>
      <c r="JUO70" s="29"/>
      <c r="JUP70" s="29"/>
      <c r="JUQ70" s="29"/>
      <c r="JUR70" s="29"/>
      <c r="JUS70" s="29"/>
      <c r="JUT70" s="29"/>
      <c r="JUU70" s="29"/>
      <c r="JUV70" s="29"/>
      <c r="JUW70" s="29"/>
      <c r="JUX70" s="29"/>
      <c r="JUY70" s="29"/>
      <c r="JUZ70" s="29"/>
      <c r="JVA70" s="29"/>
      <c r="JVB70" s="29"/>
      <c r="JVC70" s="29"/>
      <c r="JVD70" s="29"/>
      <c r="JVE70" s="29"/>
      <c r="JVF70" s="29"/>
      <c r="JVG70" s="29"/>
      <c r="JVH70" s="29"/>
      <c r="JVI70" s="29"/>
      <c r="JVJ70" s="29"/>
      <c r="JVK70" s="29"/>
      <c r="JVL70" s="29"/>
      <c r="JVM70" s="29"/>
      <c r="JVN70" s="29"/>
      <c r="JVO70" s="29"/>
      <c r="JVP70" s="29"/>
      <c r="JVQ70" s="29"/>
      <c r="JVR70" s="29"/>
      <c r="JVS70" s="29"/>
      <c r="JVT70" s="29"/>
      <c r="JVU70" s="29"/>
      <c r="JVV70" s="29"/>
      <c r="JVW70" s="29"/>
      <c r="JVX70" s="29"/>
      <c r="JVY70" s="29"/>
      <c r="JVZ70" s="29"/>
      <c r="JWA70" s="29"/>
      <c r="JWB70" s="29"/>
      <c r="JWC70" s="29"/>
      <c r="JWD70" s="29"/>
      <c r="JWE70" s="29"/>
      <c r="JWF70" s="29"/>
      <c r="JWG70" s="29"/>
      <c r="JWH70" s="29"/>
      <c r="JWI70" s="29"/>
      <c r="JWJ70" s="29"/>
      <c r="JWK70" s="29"/>
      <c r="JWL70" s="29"/>
      <c r="JWM70" s="29"/>
      <c r="JWN70" s="29"/>
      <c r="JWO70" s="29"/>
      <c r="JWP70" s="29"/>
      <c r="JWQ70" s="29"/>
      <c r="JWR70" s="29"/>
      <c r="JWS70" s="29"/>
      <c r="JWT70" s="29"/>
      <c r="JWU70" s="29"/>
      <c r="JWV70" s="29"/>
      <c r="JWW70" s="29"/>
      <c r="JWX70" s="29"/>
      <c r="JWY70" s="29"/>
      <c r="JWZ70" s="29"/>
      <c r="JXA70" s="29"/>
      <c r="JXB70" s="29"/>
      <c r="JXC70" s="29"/>
      <c r="JXD70" s="29"/>
      <c r="JXE70" s="29"/>
      <c r="JXF70" s="29"/>
      <c r="JXG70" s="29"/>
      <c r="JXH70" s="29"/>
      <c r="JXI70" s="29"/>
      <c r="JXJ70" s="29"/>
      <c r="JXK70" s="29"/>
      <c r="JXL70" s="29"/>
      <c r="JXM70" s="29"/>
      <c r="JXN70" s="29"/>
      <c r="JXO70" s="29"/>
      <c r="JXP70" s="29"/>
      <c r="JXQ70" s="29"/>
      <c r="JXR70" s="29"/>
      <c r="JXS70" s="29"/>
      <c r="JXT70" s="29"/>
      <c r="JXU70" s="29"/>
      <c r="JXV70" s="29"/>
      <c r="JXW70" s="29"/>
      <c r="JXX70" s="29"/>
      <c r="JXY70" s="29"/>
      <c r="JXZ70" s="29"/>
      <c r="JYA70" s="29"/>
      <c r="JYB70" s="29"/>
      <c r="JYC70" s="29"/>
      <c r="JYD70" s="29"/>
      <c r="JYE70" s="29"/>
      <c r="JYF70" s="29"/>
      <c r="JYG70" s="29"/>
      <c r="JYH70" s="29"/>
      <c r="JYI70" s="29"/>
      <c r="JYJ70" s="29"/>
      <c r="JYK70" s="29"/>
      <c r="JYL70" s="29"/>
      <c r="JYM70" s="29"/>
      <c r="JYN70" s="29"/>
      <c r="JYO70" s="29"/>
      <c r="JYP70" s="29"/>
      <c r="JYQ70" s="29"/>
      <c r="JYR70" s="29"/>
      <c r="JYS70" s="29"/>
      <c r="JYT70" s="29"/>
      <c r="JYU70" s="29"/>
      <c r="JYV70" s="29"/>
      <c r="JYW70" s="29"/>
      <c r="JYX70" s="29"/>
      <c r="JYY70" s="29"/>
      <c r="JYZ70" s="29"/>
      <c r="JZA70" s="29"/>
      <c r="JZB70" s="29"/>
      <c r="JZC70" s="29"/>
      <c r="JZD70" s="29"/>
      <c r="JZE70" s="29"/>
      <c r="JZF70" s="29"/>
      <c r="JZG70" s="29"/>
      <c r="JZH70" s="29"/>
      <c r="JZI70" s="29"/>
      <c r="JZJ70" s="29"/>
      <c r="JZK70" s="29"/>
      <c r="JZL70" s="29"/>
      <c r="JZM70" s="29"/>
      <c r="JZN70" s="29"/>
      <c r="JZO70" s="29"/>
      <c r="JZP70" s="29"/>
      <c r="JZQ70" s="29"/>
      <c r="JZR70" s="29"/>
      <c r="JZS70" s="29"/>
      <c r="JZT70" s="29"/>
      <c r="JZU70" s="29"/>
      <c r="JZV70" s="29"/>
      <c r="JZW70" s="29"/>
      <c r="JZX70" s="29"/>
      <c r="JZY70" s="29"/>
      <c r="JZZ70" s="29"/>
      <c r="KAA70" s="29"/>
      <c r="KAB70" s="29"/>
      <c r="KAC70" s="29"/>
      <c r="KAD70" s="29"/>
      <c r="KAE70" s="29"/>
      <c r="KAF70" s="29"/>
      <c r="KAG70" s="29"/>
      <c r="KAH70" s="29"/>
      <c r="KAI70" s="29"/>
      <c r="KAJ70" s="29"/>
      <c r="KAK70" s="29"/>
      <c r="KAL70" s="29"/>
      <c r="KAM70" s="29"/>
      <c r="KAN70" s="29"/>
      <c r="KAO70" s="29"/>
      <c r="KAP70" s="29"/>
      <c r="KAQ70" s="29"/>
      <c r="KAR70" s="29"/>
      <c r="KAS70" s="29"/>
      <c r="KAT70" s="29"/>
      <c r="KAU70" s="29"/>
      <c r="KAV70" s="29"/>
      <c r="KAW70" s="29"/>
      <c r="KAX70" s="29"/>
      <c r="KAY70" s="29"/>
      <c r="KAZ70" s="29"/>
      <c r="KBA70" s="29"/>
      <c r="KBB70" s="29"/>
      <c r="KBC70" s="29"/>
      <c r="KBD70" s="29"/>
      <c r="KBE70" s="29"/>
      <c r="KBF70" s="29"/>
      <c r="KBG70" s="29"/>
      <c r="KBH70" s="29"/>
      <c r="KBI70" s="29"/>
      <c r="KBJ70" s="29"/>
      <c r="KBK70" s="29"/>
      <c r="KBL70" s="29"/>
      <c r="KBM70" s="29"/>
      <c r="KBN70" s="29"/>
      <c r="KBO70" s="29"/>
      <c r="KBP70" s="29"/>
      <c r="KBQ70" s="29"/>
      <c r="KBR70" s="29"/>
      <c r="KBS70" s="29"/>
      <c r="KBT70" s="29"/>
      <c r="KBU70" s="29"/>
      <c r="KBV70" s="29"/>
      <c r="KBW70" s="29"/>
      <c r="KBX70" s="29"/>
      <c r="KBY70" s="29"/>
      <c r="KBZ70" s="29"/>
      <c r="KCA70" s="29"/>
      <c r="KCB70" s="29"/>
      <c r="KCC70" s="29"/>
      <c r="KCD70" s="29"/>
      <c r="KCE70" s="29"/>
      <c r="KCF70" s="29"/>
      <c r="KCG70" s="29"/>
      <c r="KCH70" s="29"/>
      <c r="KCI70" s="29"/>
      <c r="KCJ70" s="29"/>
      <c r="KCK70" s="29"/>
      <c r="KCL70" s="29"/>
      <c r="KCM70" s="29"/>
      <c r="KCN70" s="29"/>
      <c r="KCO70" s="29"/>
      <c r="KCP70" s="29"/>
      <c r="KCQ70" s="29"/>
      <c r="KCR70" s="29"/>
      <c r="KCS70" s="29"/>
      <c r="KCT70" s="29"/>
      <c r="KCU70" s="29"/>
      <c r="KCV70" s="29"/>
      <c r="KCW70" s="29"/>
      <c r="KCX70" s="29"/>
      <c r="KCY70" s="29"/>
      <c r="KCZ70" s="29"/>
      <c r="KDA70" s="29"/>
      <c r="KDB70" s="29"/>
      <c r="KDC70" s="29"/>
      <c r="KDD70" s="29"/>
      <c r="KDE70" s="29"/>
      <c r="KDF70" s="29"/>
      <c r="KDG70" s="29"/>
      <c r="KDH70" s="29"/>
      <c r="KDI70" s="29"/>
      <c r="KDJ70" s="29"/>
      <c r="KDK70" s="29"/>
      <c r="KDL70" s="29"/>
      <c r="KDM70" s="29"/>
      <c r="KDN70" s="29"/>
      <c r="KDO70" s="29"/>
      <c r="KDP70" s="29"/>
      <c r="KDQ70" s="29"/>
      <c r="KDR70" s="29"/>
      <c r="KDS70" s="29"/>
      <c r="KDT70" s="29"/>
      <c r="KDU70" s="29"/>
      <c r="KDV70" s="29"/>
      <c r="KDW70" s="29"/>
      <c r="KDX70" s="29"/>
      <c r="KDY70" s="29"/>
      <c r="KDZ70" s="29"/>
      <c r="KEA70" s="29"/>
      <c r="KEB70" s="29"/>
      <c r="KEC70" s="29"/>
      <c r="KED70" s="29"/>
      <c r="KEE70" s="29"/>
      <c r="KEF70" s="29"/>
      <c r="KEG70" s="29"/>
      <c r="KEH70" s="29"/>
      <c r="KEI70" s="29"/>
      <c r="KEJ70" s="29"/>
      <c r="KEK70" s="29"/>
      <c r="KEL70" s="29"/>
      <c r="KEM70" s="29"/>
      <c r="KEN70" s="29"/>
      <c r="KEO70" s="29"/>
      <c r="KEP70" s="29"/>
      <c r="KEQ70" s="29"/>
      <c r="KER70" s="29"/>
      <c r="KES70" s="29"/>
      <c r="KET70" s="29"/>
      <c r="KEU70" s="29"/>
      <c r="KEV70" s="29"/>
      <c r="KEW70" s="29"/>
      <c r="KEX70" s="29"/>
      <c r="KEY70" s="29"/>
      <c r="KEZ70" s="29"/>
      <c r="KFA70" s="29"/>
      <c r="KFB70" s="29"/>
      <c r="KFC70" s="29"/>
      <c r="KFD70" s="29"/>
      <c r="KFE70" s="29"/>
      <c r="KFF70" s="29"/>
      <c r="KFG70" s="29"/>
      <c r="KFH70" s="29"/>
      <c r="KFI70" s="29"/>
      <c r="KFJ70" s="29"/>
      <c r="KFK70" s="29"/>
      <c r="KFL70" s="29"/>
      <c r="KFM70" s="29"/>
      <c r="KFN70" s="29"/>
      <c r="KFO70" s="29"/>
      <c r="KFP70" s="29"/>
      <c r="KFQ70" s="29"/>
      <c r="KFR70" s="29"/>
      <c r="KFS70" s="29"/>
      <c r="KFT70" s="29"/>
      <c r="KFU70" s="29"/>
      <c r="KFV70" s="29"/>
      <c r="KFW70" s="29"/>
      <c r="KFX70" s="29"/>
      <c r="KFY70" s="29"/>
      <c r="KFZ70" s="29"/>
      <c r="KGA70" s="29"/>
      <c r="KGB70" s="29"/>
      <c r="KGC70" s="29"/>
      <c r="KGD70" s="29"/>
      <c r="KGE70" s="29"/>
      <c r="KGF70" s="29"/>
      <c r="KGG70" s="29"/>
      <c r="KGH70" s="29"/>
      <c r="KGI70" s="29"/>
      <c r="KGJ70" s="29"/>
      <c r="KGK70" s="29"/>
      <c r="KGL70" s="29"/>
      <c r="KGM70" s="29"/>
      <c r="KGN70" s="29"/>
      <c r="KGO70" s="29"/>
      <c r="KGP70" s="29"/>
      <c r="KGQ70" s="29"/>
      <c r="KGR70" s="29"/>
      <c r="KGS70" s="29"/>
      <c r="KGT70" s="29"/>
      <c r="KGU70" s="29"/>
      <c r="KGV70" s="29"/>
      <c r="KGW70" s="29"/>
      <c r="KGX70" s="29"/>
      <c r="KGY70" s="29"/>
      <c r="KGZ70" s="29"/>
      <c r="KHA70" s="29"/>
      <c r="KHB70" s="29"/>
      <c r="KHC70" s="29"/>
      <c r="KHD70" s="29"/>
      <c r="KHE70" s="29"/>
      <c r="KHF70" s="29"/>
      <c r="KHG70" s="29"/>
      <c r="KHH70" s="29"/>
      <c r="KHI70" s="29"/>
      <c r="KHJ70" s="29"/>
      <c r="KHK70" s="29"/>
      <c r="KHL70" s="29"/>
      <c r="KHM70" s="29"/>
      <c r="KHN70" s="29"/>
      <c r="KHO70" s="29"/>
      <c r="KHP70" s="29"/>
      <c r="KHQ70" s="29"/>
      <c r="KHR70" s="29"/>
      <c r="KHS70" s="29"/>
      <c r="KHT70" s="29"/>
      <c r="KHU70" s="29"/>
      <c r="KHV70" s="29"/>
      <c r="KHW70" s="29"/>
      <c r="KHX70" s="29"/>
      <c r="KHY70" s="29"/>
      <c r="KHZ70" s="29"/>
      <c r="KIA70" s="29"/>
      <c r="KIB70" s="29"/>
      <c r="KIC70" s="29"/>
      <c r="KID70" s="29"/>
      <c r="KIE70" s="29"/>
      <c r="KIF70" s="29"/>
      <c r="KIG70" s="29"/>
      <c r="KIH70" s="29"/>
      <c r="KII70" s="29"/>
      <c r="KIJ70" s="29"/>
      <c r="KIK70" s="29"/>
      <c r="KIL70" s="29"/>
      <c r="KIM70" s="29"/>
      <c r="KIN70" s="29"/>
      <c r="KIO70" s="29"/>
      <c r="KIP70" s="29"/>
      <c r="KIQ70" s="29"/>
      <c r="KIR70" s="29"/>
      <c r="KIS70" s="29"/>
      <c r="KIT70" s="29"/>
      <c r="KIU70" s="29"/>
      <c r="KIV70" s="29"/>
      <c r="KIW70" s="29"/>
      <c r="KIX70" s="29"/>
      <c r="KIY70" s="29"/>
      <c r="KIZ70" s="29"/>
      <c r="KJA70" s="29"/>
      <c r="KJB70" s="29"/>
      <c r="KJC70" s="29"/>
      <c r="KJD70" s="29"/>
      <c r="KJE70" s="29"/>
      <c r="KJF70" s="29"/>
      <c r="KJG70" s="29"/>
      <c r="KJH70" s="29"/>
      <c r="KJI70" s="29"/>
      <c r="KJJ70" s="29"/>
      <c r="KJK70" s="29"/>
      <c r="KJL70" s="29"/>
      <c r="KJM70" s="29"/>
      <c r="KJN70" s="29"/>
      <c r="KJO70" s="29"/>
      <c r="KJP70" s="29"/>
      <c r="KJQ70" s="29"/>
      <c r="KJR70" s="29"/>
      <c r="KJS70" s="29"/>
      <c r="KJT70" s="29"/>
      <c r="KJU70" s="29"/>
      <c r="KJV70" s="29"/>
      <c r="KJW70" s="29"/>
      <c r="KJX70" s="29"/>
      <c r="KJY70" s="29"/>
      <c r="KJZ70" s="29"/>
      <c r="KKA70" s="29"/>
      <c r="KKB70" s="29"/>
      <c r="KKC70" s="29"/>
      <c r="KKD70" s="29"/>
      <c r="KKE70" s="29"/>
      <c r="KKF70" s="29"/>
      <c r="KKG70" s="29"/>
      <c r="KKH70" s="29"/>
      <c r="KKI70" s="29"/>
      <c r="KKJ70" s="29"/>
      <c r="KKK70" s="29"/>
      <c r="KKL70" s="29"/>
      <c r="KKM70" s="29"/>
      <c r="KKN70" s="29"/>
      <c r="KKO70" s="29"/>
      <c r="KKP70" s="29"/>
      <c r="KKQ70" s="29"/>
      <c r="KKR70" s="29"/>
      <c r="KKS70" s="29"/>
      <c r="KKT70" s="29"/>
      <c r="KKU70" s="29"/>
      <c r="KKV70" s="29"/>
      <c r="KKW70" s="29"/>
      <c r="KKX70" s="29"/>
      <c r="KKY70" s="29"/>
      <c r="KKZ70" s="29"/>
      <c r="KLA70" s="29"/>
      <c r="KLB70" s="29"/>
      <c r="KLC70" s="29"/>
      <c r="KLD70" s="29"/>
      <c r="KLE70" s="29"/>
      <c r="KLF70" s="29"/>
      <c r="KLG70" s="29"/>
      <c r="KLH70" s="29"/>
      <c r="KLI70" s="29"/>
      <c r="KLJ70" s="29"/>
      <c r="KLK70" s="29"/>
      <c r="KLL70" s="29"/>
      <c r="KLM70" s="29"/>
      <c r="KLN70" s="29"/>
      <c r="KLO70" s="29"/>
      <c r="KLP70" s="29"/>
      <c r="KLQ70" s="29"/>
      <c r="KLR70" s="29"/>
      <c r="KLS70" s="29"/>
      <c r="KLT70" s="29"/>
      <c r="KLU70" s="29"/>
      <c r="KLV70" s="29"/>
      <c r="KLW70" s="29"/>
      <c r="KLX70" s="29"/>
      <c r="KLY70" s="29"/>
      <c r="KLZ70" s="29"/>
      <c r="KMA70" s="29"/>
      <c r="KMB70" s="29"/>
      <c r="KMC70" s="29"/>
      <c r="KMD70" s="29"/>
      <c r="KME70" s="29"/>
      <c r="KMF70" s="29"/>
      <c r="KMG70" s="29"/>
      <c r="KMH70" s="29"/>
      <c r="KMI70" s="29"/>
      <c r="KMJ70" s="29"/>
      <c r="KMK70" s="29"/>
      <c r="KML70" s="29"/>
      <c r="KMM70" s="29"/>
      <c r="KMN70" s="29"/>
      <c r="KMO70" s="29"/>
      <c r="KMP70" s="29"/>
      <c r="KMQ70" s="29"/>
      <c r="KMR70" s="29"/>
      <c r="KMS70" s="29"/>
      <c r="KMT70" s="29"/>
      <c r="KMU70" s="29"/>
      <c r="KMV70" s="29"/>
      <c r="KMW70" s="29"/>
      <c r="KMX70" s="29"/>
      <c r="KMY70" s="29"/>
      <c r="KMZ70" s="29"/>
      <c r="KNA70" s="29"/>
      <c r="KNB70" s="29"/>
      <c r="KNC70" s="29"/>
      <c r="KND70" s="29"/>
      <c r="KNE70" s="29"/>
      <c r="KNF70" s="29"/>
      <c r="KNG70" s="29"/>
      <c r="KNH70" s="29"/>
      <c r="KNI70" s="29"/>
      <c r="KNJ70" s="29"/>
      <c r="KNK70" s="29"/>
      <c r="KNL70" s="29"/>
      <c r="KNM70" s="29"/>
      <c r="KNN70" s="29"/>
      <c r="KNO70" s="29"/>
      <c r="KNP70" s="29"/>
      <c r="KNQ70" s="29"/>
      <c r="KNR70" s="29"/>
      <c r="KNS70" s="29"/>
      <c r="KNT70" s="29"/>
      <c r="KNU70" s="29"/>
      <c r="KNV70" s="29"/>
      <c r="KNW70" s="29"/>
      <c r="KNX70" s="29"/>
      <c r="KNY70" s="29"/>
      <c r="KNZ70" s="29"/>
      <c r="KOA70" s="29"/>
      <c r="KOB70" s="29"/>
      <c r="KOC70" s="29"/>
      <c r="KOD70" s="29"/>
      <c r="KOE70" s="29"/>
      <c r="KOF70" s="29"/>
      <c r="KOG70" s="29"/>
      <c r="KOH70" s="29"/>
      <c r="KOI70" s="29"/>
      <c r="KOJ70" s="29"/>
      <c r="KOK70" s="29"/>
      <c r="KOL70" s="29"/>
      <c r="KOM70" s="29"/>
      <c r="KON70" s="29"/>
      <c r="KOO70" s="29"/>
      <c r="KOP70" s="29"/>
      <c r="KOQ70" s="29"/>
      <c r="KOR70" s="29"/>
      <c r="KOS70" s="29"/>
      <c r="KOT70" s="29"/>
      <c r="KOU70" s="29"/>
      <c r="KOV70" s="29"/>
      <c r="KOW70" s="29"/>
      <c r="KOX70" s="29"/>
      <c r="KOY70" s="29"/>
      <c r="KOZ70" s="29"/>
      <c r="KPA70" s="29"/>
      <c r="KPB70" s="29"/>
      <c r="KPC70" s="29"/>
      <c r="KPD70" s="29"/>
      <c r="KPE70" s="29"/>
      <c r="KPF70" s="29"/>
      <c r="KPG70" s="29"/>
      <c r="KPH70" s="29"/>
      <c r="KPI70" s="29"/>
      <c r="KPJ70" s="29"/>
      <c r="KPK70" s="29"/>
      <c r="KPL70" s="29"/>
      <c r="KPM70" s="29"/>
      <c r="KPN70" s="29"/>
      <c r="KPO70" s="29"/>
      <c r="KPP70" s="29"/>
      <c r="KPQ70" s="29"/>
      <c r="KPR70" s="29"/>
      <c r="KPS70" s="29"/>
      <c r="KPT70" s="29"/>
      <c r="KPU70" s="29"/>
      <c r="KPV70" s="29"/>
      <c r="KPW70" s="29"/>
      <c r="KPX70" s="29"/>
      <c r="KPY70" s="29"/>
      <c r="KPZ70" s="29"/>
      <c r="KQA70" s="29"/>
      <c r="KQB70" s="29"/>
      <c r="KQC70" s="29"/>
      <c r="KQD70" s="29"/>
      <c r="KQE70" s="29"/>
      <c r="KQF70" s="29"/>
      <c r="KQG70" s="29"/>
      <c r="KQH70" s="29"/>
      <c r="KQI70" s="29"/>
      <c r="KQJ70" s="29"/>
      <c r="KQK70" s="29"/>
      <c r="KQL70" s="29"/>
      <c r="KQM70" s="29"/>
      <c r="KQN70" s="29"/>
      <c r="KQO70" s="29"/>
      <c r="KQP70" s="29"/>
      <c r="KQQ70" s="29"/>
      <c r="KQR70" s="29"/>
      <c r="KQS70" s="29"/>
      <c r="KQT70" s="29"/>
      <c r="KQU70" s="29"/>
      <c r="KQV70" s="29"/>
      <c r="KQW70" s="29"/>
      <c r="KQX70" s="29"/>
      <c r="KQY70" s="29"/>
      <c r="KQZ70" s="29"/>
      <c r="KRA70" s="29"/>
      <c r="KRB70" s="29"/>
      <c r="KRC70" s="29"/>
      <c r="KRD70" s="29"/>
      <c r="KRE70" s="29"/>
      <c r="KRF70" s="29"/>
      <c r="KRG70" s="29"/>
      <c r="KRH70" s="29"/>
      <c r="KRI70" s="29"/>
      <c r="KRJ70" s="29"/>
      <c r="KRK70" s="29"/>
      <c r="KRL70" s="29"/>
      <c r="KRM70" s="29"/>
      <c r="KRN70" s="29"/>
      <c r="KRO70" s="29"/>
      <c r="KRP70" s="29"/>
      <c r="KRQ70" s="29"/>
      <c r="KRR70" s="29"/>
      <c r="KRS70" s="29"/>
      <c r="KRT70" s="29"/>
      <c r="KRU70" s="29"/>
      <c r="KRV70" s="29"/>
      <c r="KRW70" s="29"/>
      <c r="KRX70" s="29"/>
      <c r="KRY70" s="29"/>
      <c r="KRZ70" s="29"/>
      <c r="KSA70" s="29"/>
      <c r="KSB70" s="29"/>
      <c r="KSC70" s="29"/>
      <c r="KSD70" s="29"/>
      <c r="KSE70" s="29"/>
      <c r="KSF70" s="29"/>
      <c r="KSG70" s="29"/>
      <c r="KSH70" s="29"/>
      <c r="KSI70" s="29"/>
      <c r="KSJ70" s="29"/>
      <c r="KSK70" s="29"/>
      <c r="KSL70" s="29"/>
      <c r="KSM70" s="29"/>
      <c r="KSN70" s="29"/>
      <c r="KSO70" s="29"/>
      <c r="KSP70" s="29"/>
      <c r="KSQ70" s="29"/>
      <c r="KSR70" s="29"/>
      <c r="KSS70" s="29"/>
      <c r="KST70" s="29"/>
      <c r="KSU70" s="29"/>
      <c r="KSV70" s="29"/>
      <c r="KSW70" s="29"/>
      <c r="KSX70" s="29"/>
      <c r="KSY70" s="29"/>
      <c r="KSZ70" s="29"/>
      <c r="KTA70" s="29"/>
      <c r="KTB70" s="29"/>
      <c r="KTC70" s="29"/>
      <c r="KTD70" s="29"/>
      <c r="KTE70" s="29"/>
      <c r="KTF70" s="29"/>
      <c r="KTG70" s="29"/>
      <c r="KTH70" s="29"/>
      <c r="KTI70" s="29"/>
      <c r="KTJ70" s="29"/>
      <c r="KTK70" s="29"/>
      <c r="KTL70" s="29"/>
      <c r="KTM70" s="29"/>
      <c r="KTN70" s="29"/>
      <c r="KTO70" s="29"/>
      <c r="KTP70" s="29"/>
      <c r="KTQ70" s="29"/>
      <c r="KTR70" s="29"/>
      <c r="KTS70" s="29"/>
      <c r="KTT70" s="29"/>
      <c r="KTU70" s="29"/>
      <c r="KTV70" s="29"/>
      <c r="KTW70" s="29"/>
      <c r="KTX70" s="29"/>
      <c r="KTY70" s="29"/>
      <c r="KTZ70" s="29"/>
      <c r="KUA70" s="29"/>
      <c r="KUB70" s="29"/>
      <c r="KUC70" s="29"/>
      <c r="KUD70" s="29"/>
      <c r="KUE70" s="29"/>
      <c r="KUF70" s="29"/>
      <c r="KUG70" s="29"/>
      <c r="KUH70" s="29"/>
      <c r="KUI70" s="29"/>
      <c r="KUJ70" s="29"/>
      <c r="KUK70" s="29"/>
      <c r="KUL70" s="29"/>
      <c r="KUM70" s="29"/>
      <c r="KUN70" s="29"/>
      <c r="KUO70" s="29"/>
      <c r="KUP70" s="29"/>
      <c r="KUQ70" s="29"/>
      <c r="KUR70" s="29"/>
      <c r="KUS70" s="29"/>
      <c r="KUT70" s="29"/>
      <c r="KUU70" s="29"/>
      <c r="KUV70" s="29"/>
      <c r="KUW70" s="29"/>
      <c r="KUX70" s="29"/>
      <c r="KUY70" s="29"/>
      <c r="KUZ70" s="29"/>
      <c r="KVA70" s="29"/>
      <c r="KVB70" s="29"/>
      <c r="KVC70" s="29"/>
      <c r="KVD70" s="29"/>
      <c r="KVE70" s="29"/>
      <c r="KVF70" s="29"/>
      <c r="KVG70" s="29"/>
      <c r="KVH70" s="29"/>
      <c r="KVI70" s="29"/>
      <c r="KVJ70" s="29"/>
      <c r="KVK70" s="29"/>
      <c r="KVL70" s="29"/>
      <c r="KVM70" s="29"/>
      <c r="KVN70" s="29"/>
      <c r="KVO70" s="29"/>
      <c r="KVP70" s="29"/>
      <c r="KVQ70" s="29"/>
      <c r="KVR70" s="29"/>
      <c r="KVS70" s="29"/>
      <c r="KVT70" s="29"/>
      <c r="KVU70" s="29"/>
      <c r="KVV70" s="29"/>
      <c r="KVW70" s="29"/>
      <c r="KVX70" s="29"/>
      <c r="KVY70" s="29"/>
      <c r="KVZ70" s="29"/>
      <c r="KWA70" s="29"/>
      <c r="KWB70" s="29"/>
      <c r="KWC70" s="29"/>
      <c r="KWD70" s="29"/>
      <c r="KWE70" s="29"/>
      <c r="KWF70" s="29"/>
      <c r="KWG70" s="29"/>
      <c r="KWH70" s="29"/>
      <c r="KWI70" s="29"/>
      <c r="KWJ70" s="29"/>
      <c r="KWK70" s="29"/>
      <c r="KWL70" s="29"/>
      <c r="KWM70" s="29"/>
      <c r="KWN70" s="29"/>
      <c r="KWO70" s="29"/>
      <c r="KWP70" s="29"/>
      <c r="KWQ70" s="29"/>
      <c r="KWR70" s="29"/>
      <c r="KWS70" s="29"/>
      <c r="KWT70" s="29"/>
      <c r="KWU70" s="29"/>
      <c r="KWV70" s="29"/>
      <c r="KWW70" s="29"/>
      <c r="KWX70" s="29"/>
      <c r="KWY70" s="29"/>
      <c r="KWZ70" s="29"/>
      <c r="KXA70" s="29"/>
      <c r="KXB70" s="29"/>
      <c r="KXC70" s="29"/>
      <c r="KXD70" s="29"/>
      <c r="KXE70" s="29"/>
      <c r="KXF70" s="29"/>
      <c r="KXG70" s="29"/>
      <c r="KXH70" s="29"/>
      <c r="KXI70" s="29"/>
      <c r="KXJ70" s="29"/>
      <c r="KXK70" s="29"/>
      <c r="KXL70" s="29"/>
      <c r="KXM70" s="29"/>
      <c r="KXN70" s="29"/>
      <c r="KXO70" s="29"/>
      <c r="KXP70" s="29"/>
      <c r="KXQ70" s="29"/>
      <c r="KXR70" s="29"/>
      <c r="KXS70" s="29"/>
      <c r="KXT70" s="29"/>
      <c r="KXU70" s="29"/>
      <c r="KXV70" s="29"/>
      <c r="KXW70" s="29"/>
      <c r="KXX70" s="29"/>
      <c r="KXY70" s="29"/>
      <c r="KXZ70" s="29"/>
      <c r="KYA70" s="29"/>
      <c r="KYB70" s="29"/>
      <c r="KYC70" s="29"/>
      <c r="KYD70" s="29"/>
      <c r="KYE70" s="29"/>
      <c r="KYF70" s="29"/>
      <c r="KYG70" s="29"/>
      <c r="KYH70" s="29"/>
      <c r="KYI70" s="29"/>
      <c r="KYJ70" s="29"/>
      <c r="KYK70" s="29"/>
      <c r="KYL70" s="29"/>
      <c r="KYM70" s="29"/>
      <c r="KYN70" s="29"/>
      <c r="KYO70" s="29"/>
      <c r="KYP70" s="29"/>
      <c r="KYQ70" s="29"/>
      <c r="KYR70" s="29"/>
      <c r="KYS70" s="29"/>
      <c r="KYT70" s="29"/>
      <c r="KYU70" s="29"/>
      <c r="KYV70" s="29"/>
      <c r="KYW70" s="29"/>
      <c r="KYX70" s="29"/>
      <c r="KYY70" s="29"/>
      <c r="KYZ70" s="29"/>
      <c r="KZA70" s="29"/>
      <c r="KZB70" s="29"/>
      <c r="KZC70" s="29"/>
      <c r="KZD70" s="29"/>
      <c r="KZE70" s="29"/>
      <c r="KZF70" s="29"/>
      <c r="KZG70" s="29"/>
      <c r="KZH70" s="29"/>
      <c r="KZI70" s="29"/>
      <c r="KZJ70" s="29"/>
      <c r="KZK70" s="29"/>
      <c r="KZL70" s="29"/>
      <c r="KZM70" s="29"/>
      <c r="KZN70" s="29"/>
      <c r="KZO70" s="29"/>
      <c r="KZP70" s="29"/>
      <c r="KZQ70" s="29"/>
      <c r="KZR70" s="29"/>
      <c r="KZS70" s="29"/>
      <c r="KZT70" s="29"/>
      <c r="KZU70" s="29"/>
      <c r="KZV70" s="29"/>
      <c r="KZW70" s="29"/>
      <c r="KZX70" s="29"/>
      <c r="KZY70" s="29"/>
      <c r="KZZ70" s="29"/>
      <c r="LAA70" s="29"/>
      <c r="LAB70" s="29"/>
      <c r="LAC70" s="29"/>
      <c r="LAD70" s="29"/>
      <c r="LAE70" s="29"/>
      <c r="LAF70" s="29"/>
      <c r="LAG70" s="29"/>
      <c r="LAH70" s="29"/>
      <c r="LAI70" s="29"/>
      <c r="LAJ70" s="29"/>
      <c r="LAK70" s="29"/>
      <c r="LAL70" s="29"/>
      <c r="LAM70" s="29"/>
      <c r="LAN70" s="29"/>
      <c r="LAO70" s="29"/>
      <c r="LAP70" s="29"/>
      <c r="LAQ70" s="29"/>
      <c r="LAR70" s="29"/>
      <c r="LAS70" s="29"/>
      <c r="LAT70" s="29"/>
      <c r="LAU70" s="29"/>
      <c r="LAV70" s="29"/>
      <c r="LAW70" s="29"/>
      <c r="LAX70" s="29"/>
      <c r="LAY70" s="29"/>
      <c r="LAZ70" s="29"/>
      <c r="LBA70" s="29"/>
      <c r="LBB70" s="29"/>
      <c r="LBC70" s="29"/>
      <c r="LBD70" s="29"/>
      <c r="LBE70" s="29"/>
      <c r="LBF70" s="29"/>
      <c r="LBG70" s="29"/>
      <c r="LBH70" s="29"/>
      <c r="LBI70" s="29"/>
      <c r="LBJ70" s="29"/>
      <c r="LBK70" s="29"/>
      <c r="LBL70" s="29"/>
      <c r="LBM70" s="29"/>
      <c r="LBN70" s="29"/>
      <c r="LBO70" s="29"/>
      <c r="LBP70" s="29"/>
      <c r="LBQ70" s="29"/>
      <c r="LBR70" s="29"/>
      <c r="LBS70" s="29"/>
      <c r="LBT70" s="29"/>
      <c r="LBU70" s="29"/>
      <c r="LBV70" s="29"/>
      <c r="LBW70" s="29"/>
      <c r="LBX70" s="29"/>
      <c r="LBY70" s="29"/>
      <c r="LBZ70" s="29"/>
      <c r="LCA70" s="29"/>
      <c r="LCB70" s="29"/>
      <c r="LCC70" s="29"/>
      <c r="LCD70" s="29"/>
      <c r="LCE70" s="29"/>
      <c r="LCF70" s="29"/>
      <c r="LCG70" s="29"/>
      <c r="LCH70" s="29"/>
      <c r="LCI70" s="29"/>
      <c r="LCJ70" s="29"/>
      <c r="LCK70" s="29"/>
      <c r="LCL70" s="29"/>
      <c r="LCM70" s="29"/>
      <c r="LCN70" s="29"/>
      <c r="LCO70" s="29"/>
      <c r="LCP70" s="29"/>
      <c r="LCQ70" s="29"/>
      <c r="LCR70" s="29"/>
      <c r="LCS70" s="29"/>
      <c r="LCT70" s="29"/>
      <c r="LCU70" s="29"/>
      <c r="LCV70" s="29"/>
      <c r="LCW70" s="29"/>
      <c r="LCX70" s="29"/>
      <c r="LCY70" s="29"/>
      <c r="LCZ70" s="29"/>
      <c r="LDA70" s="29"/>
      <c r="LDB70" s="29"/>
      <c r="LDC70" s="29"/>
      <c r="LDD70" s="29"/>
      <c r="LDE70" s="29"/>
      <c r="LDF70" s="29"/>
      <c r="LDG70" s="29"/>
      <c r="LDH70" s="29"/>
      <c r="LDI70" s="29"/>
      <c r="LDJ70" s="29"/>
      <c r="LDK70" s="29"/>
      <c r="LDL70" s="29"/>
      <c r="LDM70" s="29"/>
      <c r="LDN70" s="29"/>
      <c r="LDO70" s="29"/>
      <c r="LDP70" s="29"/>
      <c r="LDQ70" s="29"/>
      <c r="LDR70" s="29"/>
      <c r="LDS70" s="29"/>
      <c r="LDT70" s="29"/>
      <c r="LDU70" s="29"/>
      <c r="LDV70" s="29"/>
      <c r="LDW70" s="29"/>
      <c r="LDX70" s="29"/>
      <c r="LDY70" s="29"/>
      <c r="LDZ70" s="29"/>
      <c r="LEA70" s="29"/>
      <c r="LEB70" s="29"/>
      <c r="LEC70" s="29"/>
      <c r="LED70" s="29"/>
      <c r="LEE70" s="29"/>
      <c r="LEF70" s="29"/>
      <c r="LEG70" s="29"/>
      <c r="LEH70" s="29"/>
      <c r="LEI70" s="29"/>
      <c r="LEJ70" s="29"/>
      <c r="LEK70" s="29"/>
      <c r="LEL70" s="29"/>
      <c r="LEM70" s="29"/>
      <c r="LEN70" s="29"/>
      <c r="LEO70" s="29"/>
      <c r="LEP70" s="29"/>
      <c r="LEQ70" s="29"/>
      <c r="LER70" s="29"/>
      <c r="LES70" s="29"/>
      <c r="LET70" s="29"/>
      <c r="LEU70" s="29"/>
      <c r="LEV70" s="29"/>
      <c r="LEW70" s="29"/>
      <c r="LEX70" s="29"/>
      <c r="LEY70" s="29"/>
      <c r="LEZ70" s="29"/>
      <c r="LFA70" s="29"/>
      <c r="LFB70" s="29"/>
      <c r="LFC70" s="29"/>
      <c r="LFD70" s="29"/>
      <c r="LFE70" s="29"/>
      <c r="LFF70" s="29"/>
      <c r="LFG70" s="29"/>
      <c r="LFH70" s="29"/>
      <c r="LFI70" s="29"/>
      <c r="LFJ70" s="29"/>
      <c r="LFK70" s="29"/>
      <c r="LFL70" s="29"/>
      <c r="LFM70" s="29"/>
      <c r="LFN70" s="29"/>
      <c r="LFO70" s="29"/>
      <c r="LFP70" s="29"/>
      <c r="LFQ70" s="29"/>
      <c r="LFR70" s="29"/>
      <c r="LFS70" s="29"/>
      <c r="LFT70" s="29"/>
      <c r="LFU70" s="29"/>
      <c r="LFV70" s="29"/>
      <c r="LFW70" s="29"/>
      <c r="LFX70" s="29"/>
      <c r="LFY70" s="29"/>
      <c r="LFZ70" s="29"/>
      <c r="LGA70" s="29"/>
      <c r="LGB70" s="29"/>
      <c r="LGC70" s="29"/>
      <c r="LGD70" s="29"/>
      <c r="LGE70" s="29"/>
      <c r="LGF70" s="29"/>
      <c r="LGG70" s="29"/>
      <c r="LGH70" s="29"/>
      <c r="LGI70" s="29"/>
      <c r="LGJ70" s="29"/>
      <c r="LGK70" s="29"/>
      <c r="LGL70" s="29"/>
      <c r="LGM70" s="29"/>
      <c r="LGN70" s="29"/>
      <c r="LGO70" s="29"/>
      <c r="LGP70" s="29"/>
      <c r="LGQ70" s="29"/>
      <c r="LGR70" s="29"/>
      <c r="LGS70" s="29"/>
      <c r="LGT70" s="29"/>
      <c r="LGU70" s="29"/>
      <c r="LGV70" s="29"/>
      <c r="LGW70" s="29"/>
      <c r="LGX70" s="29"/>
      <c r="LGY70" s="29"/>
      <c r="LGZ70" s="29"/>
      <c r="LHA70" s="29"/>
      <c r="LHB70" s="29"/>
      <c r="LHC70" s="29"/>
      <c r="LHD70" s="29"/>
      <c r="LHE70" s="29"/>
      <c r="LHF70" s="29"/>
      <c r="LHG70" s="29"/>
      <c r="LHH70" s="29"/>
      <c r="LHI70" s="29"/>
      <c r="LHJ70" s="29"/>
      <c r="LHK70" s="29"/>
      <c r="LHL70" s="29"/>
      <c r="LHM70" s="29"/>
      <c r="LHN70" s="29"/>
      <c r="LHO70" s="29"/>
      <c r="LHP70" s="29"/>
      <c r="LHQ70" s="29"/>
      <c r="LHR70" s="29"/>
      <c r="LHS70" s="29"/>
      <c r="LHT70" s="29"/>
      <c r="LHU70" s="29"/>
      <c r="LHV70" s="29"/>
      <c r="LHW70" s="29"/>
      <c r="LHX70" s="29"/>
      <c r="LHY70" s="29"/>
      <c r="LHZ70" s="29"/>
      <c r="LIA70" s="29"/>
      <c r="LIB70" s="29"/>
      <c r="LIC70" s="29"/>
      <c r="LID70" s="29"/>
      <c r="LIE70" s="29"/>
      <c r="LIF70" s="29"/>
      <c r="LIG70" s="29"/>
      <c r="LIH70" s="29"/>
      <c r="LII70" s="29"/>
      <c r="LIJ70" s="29"/>
      <c r="LIK70" s="29"/>
      <c r="LIL70" s="29"/>
      <c r="LIM70" s="29"/>
      <c r="LIN70" s="29"/>
      <c r="LIO70" s="29"/>
      <c r="LIP70" s="29"/>
      <c r="LIQ70" s="29"/>
      <c r="LIR70" s="29"/>
      <c r="LIS70" s="29"/>
      <c r="LIT70" s="29"/>
      <c r="LIU70" s="29"/>
      <c r="LIV70" s="29"/>
      <c r="LIW70" s="29"/>
      <c r="LIX70" s="29"/>
      <c r="LIY70" s="29"/>
      <c r="LIZ70" s="29"/>
      <c r="LJA70" s="29"/>
      <c r="LJB70" s="29"/>
      <c r="LJC70" s="29"/>
      <c r="LJD70" s="29"/>
      <c r="LJE70" s="29"/>
      <c r="LJF70" s="29"/>
      <c r="LJG70" s="29"/>
      <c r="LJH70" s="29"/>
      <c r="LJI70" s="29"/>
      <c r="LJJ70" s="29"/>
      <c r="LJK70" s="29"/>
      <c r="LJL70" s="29"/>
      <c r="LJM70" s="29"/>
      <c r="LJN70" s="29"/>
      <c r="LJO70" s="29"/>
      <c r="LJP70" s="29"/>
      <c r="LJQ70" s="29"/>
      <c r="LJR70" s="29"/>
      <c r="LJS70" s="29"/>
      <c r="LJT70" s="29"/>
      <c r="LJU70" s="29"/>
      <c r="LJV70" s="29"/>
      <c r="LJW70" s="29"/>
      <c r="LJX70" s="29"/>
      <c r="LJY70" s="29"/>
      <c r="LJZ70" s="29"/>
      <c r="LKA70" s="29"/>
      <c r="LKB70" s="29"/>
      <c r="LKC70" s="29"/>
      <c r="LKD70" s="29"/>
      <c r="LKE70" s="29"/>
      <c r="LKF70" s="29"/>
      <c r="LKG70" s="29"/>
      <c r="LKH70" s="29"/>
      <c r="LKI70" s="29"/>
      <c r="LKJ70" s="29"/>
      <c r="LKK70" s="29"/>
      <c r="LKL70" s="29"/>
      <c r="LKM70" s="29"/>
      <c r="LKN70" s="29"/>
      <c r="LKO70" s="29"/>
      <c r="LKP70" s="29"/>
      <c r="LKQ70" s="29"/>
      <c r="LKR70" s="29"/>
      <c r="LKS70" s="29"/>
      <c r="LKT70" s="29"/>
      <c r="LKU70" s="29"/>
      <c r="LKV70" s="29"/>
      <c r="LKW70" s="29"/>
      <c r="LKX70" s="29"/>
      <c r="LKY70" s="29"/>
      <c r="LKZ70" s="29"/>
      <c r="LLA70" s="29"/>
      <c r="LLB70" s="29"/>
      <c r="LLC70" s="29"/>
      <c r="LLD70" s="29"/>
      <c r="LLE70" s="29"/>
      <c r="LLF70" s="29"/>
      <c r="LLG70" s="29"/>
      <c r="LLH70" s="29"/>
      <c r="LLI70" s="29"/>
      <c r="LLJ70" s="29"/>
      <c r="LLK70" s="29"/>
      <c r="LLL70" s="29"/>
      <c r="LLM70" s="29"/>
      <c r="LLN70" s="29"/>
      <c r="LLO70" s="29"/>
      <c r="LLP70" s="29"/>
      <c r="LLQ70" s="29"/>
      <c r="LLR70" s="29"/>
      <c r="LLS70" s="29"/>
      <c r="LLT70" s="29"/>
      <c r="LLU70" s="29"/>
      <c r="LLV70" s="29"/>
      <c r="LLW70" s="29"/>
      <c r="LLX70" s="29"/>
      <c r="LLY70" s="29"/>
      <c r="LLZ70" s="29"/>
      <c r="LMA70" s="29"/>
      <c r="LMB70" s="29"/>
      <c r="LMC70" s="29"/>
      <c r="LMD70" s="29"/>
      <c r="LME70" s="29"/>
      <c r="LMF70" s="29"/>
      <c r="LMG70" s="29"/>
      <c r="LMH70" s="29"/>
      <c r="LMI70" s="29"/>
      <c r="LMJ70" s="29"/>
      <c r="LMK70" s="29"/>
      <c r="LML70" s="29"/>
      <c r="LMM70" s="29"/>
      <c r="LMN70" s="29"/>
      <c r="LMO70" s="29"/>
      <c r="LMP70" s="29"/>
      <c r="LMQ70" s="29"/>
      <c r="LMR70" s="29"/>
      <c r="LMS70" s="29"/>
      <c r="LMT70" s="29"/>
      <c r="LMU70" s="29"/>
      <c r="LMV70" s="29"/>
      <c r="LMW70" s="29"/>
      <c r="LMX70" s="29"/>
      <c r="LMY70" s="29"/>
      <c r="LMZ70" s="29"/>
      <c r="LNA70" s="29"/>
      <c r="LNB70" s="29"/>
      <c r="LNC70" s="29"/>
      <c r="LND70" s="29"/>
      <c r="LNE70" s="29"/>
      <c r="LNF70" s="29"/>
      <c r="LNG70" s="29"/>
      <c r="LNH70" s="29"/>
      <c r="LNI70" s="29"/>
      <c r="LNJ70" s="29"/>
      <c r="LNK70" s="29"/>
      <c r="LNL70" s="29"/>
      <c r="LNM70" s="29"/>
      <c r="LNN70" s="29"/>
      <c r="LNO70" s="29"/>
      <c r="LNP70" s="29"/>
      <c r="LNQ70" s="29"/>
      <c r="LNR70" s="29"/>
      <c r="LNS70" s="29"/>
      <c r="LNT70" s="29"/>
      <c r="LNU70" s="29"/>
      <c r="LNV70" s="29"/>
      <c r="LNW70" s="29"/>
      <c r="LNX70" s="29"/>
      <c r="LNY70" s="29"/>
      <c r="LNZ70" s="29"/>
      <c r="LOA70" s="29"/>
      <c r="LOB70" s="29"/>
      <c r="LOC70" s="29"/>
      <c r="LOD70" s="29"/>
      <c r="LOE70" s="29"/>
      <c r="LOF70" s="29"/>
      <c r="LOG70" s="29"/>
      <c r="LOH70" s="29"/>
      <c r="LOI70" s="29"/>
      <c r="LOJ70" s="29"/>
      <c r="LOK70" s="29"/>
      <c r="LOL70" s="29"/>
      <c r="LOM70" s="29"/>
      <c r="LON70" s="29"/>
      <c r="LOO70" s="29"/>
      <c r="LOP70" s="29"/>
      <c r="LOQ70" s="29"/>
      <c r="LOR70" s="29"/>
      <c r="LOS70" s="29"/>
      <c r="LOT70" s="29"/>
      <c r="LOU70" s="29"/>
      <c r="LOV70" s="29"/>
      <c r="LOW70" s="29"/>
      <c r="LOX70" s="29"/>
      <c r="LOY70" s="29"/>
      <c r="LOZ70" s="29"/>
      <c r="LPA70" s="29"/>
      <c r="LPB70" s="29"/>
      <c r="LPC70" s="29"/>
      <c r="LPD70" s="29"/>
      <c r="LPE70" s="29"/>
      <c r="LPF70" s="29"/>
      <c r="LPG70" s="29"/>
      <c r="LPH70" s="29"/>
      <c r="LPI70" s="29"/>
      <c r="LPJ70" s="29"/>
      <c r="LPK70" s="29"/>
      <c r="LPL70" s="29"/>
      <c r="LPM70" s="29"/>
      <c r="LPN70" s="29"/>
      <c r="LPO70" s="29"/>
      <c r="LPP70" s="29"/>
      <c r="LPQ70" s="29"/>
      <c r="LPR70" s="29"/>
      <c r="LPS70" s="29"/>
      <c r="LPT70" s="29"/>
      <c r="LPU70" s="29"/>
      <c r="LPV70" s="29"/>
      <c r="LPW70" s="29"/>
      <c r="LPX70" s="29"/>
      <c r="LPY70" s="29"/>
      <c r="LPZ70" s="29"/>
      <c r="LQA70" s="29"/>
      <c r="LQB70" s="29"/>
      <c r="LQC70" s="29"/>
      <c r="LQD70" s="29"/>
      <c r="LQE70" s="29"/>
      <c r="LQF70" s="29"/>
      <c r="LQG70" s="29"/>
      <c r="LQH70" s="29"/>
      <c r="LQI70" s="29"/>
      <c r="LQJ70" s="29"/>
      <c r="LQK70" s="29"/>
      <c r="LQL70" s="29"/>
      <c r="LQM70" s="29"/>
      <c r="LQN70" s="29"/>
      <c r="LQO70" s="29"/>
      <c r="LQP70" s="29"/>
      <c r="LQQ70" s="29"/>
      <c r="LQR70" s="29"/>
      <c r="LQS70" s="29"/>
      <c r="LQT70" s="29"/>
      <c r="LQU70" s="29"/>
      <c r="LQV70" s="29"/>
      <c r="LQW70" s="29"/>
      <c r="LQX70" s="29"/>
      <c r="LQY70" s="29"/>
      <c r="LQZ70" s="29"/>
      <c r="LRA70" s="29"/>
      <c r="LRB70" s="29"/>
      <c r="LRC70" s="29"/>
      <c r="LRD70" s="29"/>
      <c r="LRE70" s="29"/>
      <c r="LRF70" s="29"/>
      <c r="LRG70" s="29"/>
      <c r="LRH70" s="29"/>
      <c r="LRI70" s="29"/>
      <c r="LRJ70" s="29"/>
      <c r="LRK70" s="29"/>
      <c r="LRL70" s="29"/>
      <c r="LRM70" s="29"/>
      <c r="LRN70" s="29"/>
      <c r="LRO70" s="29"/>
      <c r="LRP70" s="29"/>
      <c r="LRQ70" s="29"/>
      <c r="LRR70" s="29"/>
      <c r="LRS70" s="29"/>
      <c r="LRT70" s="29"/>
      <c r="LRU70" s="29"/>
      <c r="LRV70" s="29"/>
      <c r="LRW70" s="29"/>
      <c r="LRX70" s="29"/>
      <c r="LRY70" s="29"/>
      <c r="LRZ70" s="29"/>
      <c r="LSA70" s="29"/>
      <c r="LSB70" s="29"/>
      <c r="LSC70" s="29"/>
      <c r="LSD70" s="29"/>
      <c r="LSE70" s="29"/>
      <c r="LSF70" s="29"/>
      <c r="LSG70" s="29"/>
      <c r="LSH70" s="29"/>
      <c r="LSI70" s="29"/>
      <c r="LSJ70" s="29"/>
      <c r="LSK70" s="29"/>
      <c r="LSL70" s="29"/>
      <c r="LSM70" s="29"/>
      <c r="LSN70" s="29"/>
      <c r="LSO70" s="29"/>
      <c r="LSP70" s="29"/>
      <c r="LSQ70" s="29"/>
      <c r="LSR70" s="29"/>
      <c r="LSS70" s="29"/>
      <c r="LST70" s="29"/>
      <c r="LSU70" s="29"/>
      <c r="LSV70" s="29"/>
      <c r="LSW70" s="29"/>
      <c r="LSX70" s="29"/>
      <c r="LSY70" s="29"/>
      <c r="LSZ70" s="29"/>
      <c r="LTA70" s="29"/>
      <c r="LTB70" s="29"/>
      <c r="LTC70" s="29"/>
      <c r="LTD70" s="29"/>
      <c r="LTE70" s="29"/>
      <c r="LTF70" s="29"/>
      <c r="LTG70" s="29"/>
      <c r="LTH70" s="29"/>
      <c r="LTI70" s="29"/>
      <c r="LTJ70" s="29"/>
      <c r="LTK70" s="29"/>
      <c r="LTL70" s="29"/>
      <c r="LTM70" s="29"/>
      <c r="LTN70" s="29"/>
      <c r="LTO70" s="29"/>
      <c r="LTP70" s="29"/>
      <c r="LTQ70" s="29"/>
      <c r="LTR70" s="29"/>
      <c r="LTS70" s="29"/>
      <c r="LTT70" s="29"/>
      <c r="LTU70" s="29"/>
      <c r="LTV70" s="29"/>
      <c r="LTW70" s="29"/>
      <c r="LTX70" s="29"/>
      <c r="LTY70" s="29"/>
      <c r="LTZ70" s="29"/>
      <c r="LUA70" s="29"/>
      <c r="LUB70" s="29"/>
      <c r="LUC70" s="29"/>
      <c r="LUD70" s="29"/>
      <c r="LUE70" s="29"/>
      <c r="LUF70" s="29"/>
      <c r="LUG70" s="29"/>
      <c r="LUH70" s="29"/>
      <c r="LUI70" s="29"/>
      <c r="LUJ70" s="29"/>
      <c r="LUK70" s="29"/>
      <c r="LUL70" s="29"/>
      <c r="LUM70" s="29"/>
      <c r="LUN70" s="29"/>
      <c r="LUO70" s="29"/>
      <c r="LUP70" s="29"/>
      <c r="LUQ70" s="29"/>
      <c r="LUR70" s="29"/>
      <c r="LUS70" s="29"/>
      <c r="LUT70" s="29"/>
      <c r="LUU70" s="29"/>
      <c r="LUV70" s="29"/>
      <c r="LUW70" s="29"/>
      <c r="LUX70" s="29"/>
      <c r="LUY70" s="29"/>
      <c r="LUZ70" s="29"/>
      <c r="LVA70" s="29"/>
      <c r="LVB70" s="29"/>
      <c r="LVC70" s="29"/>
      <c r="LVD70" s="29"/>
      <c r="LVE70" s="29"/>
      <c r="LVF70" s="29"/>
      <c r="LVG70" s="29"/>
      <c r="LVH70" s="29"/>
      <c r="LVI70" s="29"/>
      <c r="LVJ70" s="29"/>
      <c r="LVK70" s="29"/>
      <c r="LVL70" s="29"/>
      <c r="LVM70" s="29"/>
      <c r="LVN70" s="29"/>
      <c r="LVO70" s="29"/>
      <c r="LVP70" s="29"/>
      <c r="LVQ70" s="29"/>
      <c r="LVR70" s="29"/>
      <c r="LVS70" s="29"/>
      <c r="LVT70" s="29"/>
      <c r="LVU70" s="29"/>
      <c r="LVV70" s="29"/>
      <c r="LVW70" s="29"/>
      <c r="LVX70" s="29"/>
      <c r="LVY70" s="29"/>
      <c r="LVZ70" s="29"/>
      <c r="LWA70" s="29"/>
      <c r="LWB70" s="29"/>
      <c r="LWC70" s="29"/>
      <c r="LWD70" s="29"/>
      <c r="LWE70" s="29"/>
      <c r="LWF70" s="29"/>
      <c r="LWG70" s="29"/>
      <c r="LWH70" s="29"/>
      <c r="LWI70" s="29"/>
      <c r="LWJ70" s="29"/>
      <c r="LWK70" s="29"/>
      <c r="LWL70" s="29"/>
      <c r="LWM70" s="29"/>
      <c r="LWN70" s="29"/>
      <c r="LWO70" s="29"/>
      <c r="LWP70" s="29"/>
      <c r="LWQ70" s="29"/>
      <c r="LWR70" s="29"/>
      <c r="LWS70" s="29"/>
      <c r="LWT70" s="29"/>
      <c r="LWU70" s="29"/>
      <c r="LWV70" s="29"/>
      <c r="LWW70" s="29"/>
      <c r="LWX70" s="29"/>
      <c r="LWY70" s="29"/>
      <c r="LWZ70" s="29"/>
      <c r="LXA70" s="29"/>
      <c r="LXB70" s="29"/>
      <c r="LXC70" s="29"/>
      <c r="LXD70" s="29"/>
      <c r="LXE70" s="29"/>
      <c r="LXF70" s="29"/>
      <c r="LXG70" s="29"/>
      <c r="LXH70" s="29"/>
      <c r="LXI70" s="29"/>
      <c r="LXJ70" s="29"/>
      <c r="LXK70" s="29"/>
      <c r="LXL70" s="29"/>
      <c r="LXM70" s="29"/>
      <c r="LXN70" s="29"/>
      <c r="LXO70" s="29"/>
      <c r="LXP70" s="29"/>
      <c r="LXQ70" s="29"/>
      <c r="LXR70" s="29"/>
      <c r="LXS70" s="29"/>
      <c r="LXT70" s="29"/>
      <c r="LXU70" s="29"/>
      <c r="LXV70" s="29"/>
      <c r="LXW70" s="29"/>
      <c r="LXX70" s="29"/>
      <c r="LXY70" s="29"/>
      <c r="LXZ70" s="29"/>
      <c r="LYA70" s="29"/>
      <c r="LYB70" s="29"/>
      <c r="LYC70" s="29"/>
      <c r="LYD70" s="29"/>
      <c r="LYE70" s="29"/>
      <c r="LYF70" s="29"/>
      <c r="LYG70" s="29"/>
      <c r="LYH70" s="29"/>
      <c r="LYI70" s="29"/>
      <c r="LYJ70" s="29"/>
      <c r="LYK70" s="29"/>
      <c r="LYL70" s="29"/>
      <c r="LYM70" s="29"/>
      <c r="LYN70" s="29"/>
      <c r="LYO70" s="29"/>
      <c r="LYP70" s="29"/>
      <c r="LYQ70" s="29"/>
      <c r="LYR70" s="29"/>
      <c r="LYS70" s="29"/>
      <c r="LYT70" s="29"/>
      <c r="LYU70" s="29"/>
      <c r="LYV70" s="29"/>
      <c r="LYW70" s="29"/>
      <c r="LYX70" s="29"/>
      <c r="LYY70" s="29"/>
      <c r="LYZ70" s="29"/>
      <c r="LZA70" s="29"/>
      <c r="LZB70" s="29"/>
      <c r="LZC70" s="29"/>
      <c r="LZD70" s="29"/>
      <c r="LZE70" s="29"/>
      <c r="LZF70" s="29"/>
      <c r="LZG70" s="29"/>
      <c r="LZH70" s="29"/>
      <c r="LZI70" s="29"/>
      <c r="LZJ70" s="29"/>
      <c r="LZK70" s="29"/>
      <c r="LZL70" s="29"/>
      <c r="LZM70" s="29"/>
      <c r="LZN70" s="29"/>
      <c r="LZO70" s="29"/>
      <c r="LZP70" s="29"/>
      <c r="LZQ70" s="29"/>
      <c r="LZR70" s="29"/>
      <c r="LZS70" s="29"/>
      <c r="LZT70" s="29"/>
      <c r="LZU70" s="29"/>
      <c r="LZV70" s="29"/>
      <c r="LZW70" s="29"/>
      <c r="LZX70" s="29"/>
      <c r="LZY70" s="29"/>
      <c r="LZZ70" s="29"/>
      <c r="MAA70" s="29"/>
      <c r="MAB70" s="29"/>
      <c r="MAC70" s="29"/>
      <c r="MAD70" s="29"/>
      <c r="MAE70" s="29"/>
      <c r="MAF70" s="29"/>
      <c r="MAG70" s="29"/>
      <c r="MAH70" s="29"/>
      <c r="MAI70" s="29"/>
      <c r="MAJ70" s="29"/>
      <c r="MAK70" s="29"/>
      <c r="MAL70" s="29"/>
      <c r="MAM70" s="29"/>
      <c r="MAN70" s="29"/>
      <c r="MAO70" s="29"/>
      <c r="MAP70" s="29"/>
      <c r="MAQ70" s="29"/>
      <c r="MAR70" s="29"/>
      <c r="MAS70" s="29"/>
      <c r="MAT70" s="29"/>
      <c r="MAU70" s="29"/>
      <c r="MAV70" s="29"/>
      <c r="MAW70" s="29"/>
      <c r="MAX70" s="29"/>
      <c r="MAY70" s="29"/>
      <c r="MAZ70" s="29"/>
      <c r="MBA70" s="29"/>
      <c r="MBB70" s="29"/>
      <c r="MBC70" s="29"/>
      <c r="MBD70" s="29"/>
      <c r="MBE70" s="29"/>
      <c r="MBF70" s="29"/>
      <c r="MBG70" s="29"/>
      <c r="MBH70" s="29"/>
      <c r="MBI70" s="29"/>
      <c r="MBJ70" s="29"/>
      <c r="MBK70" s="29"/>
      <c r="MBL70" s="29"/>
      <c r="MBM70" s="29"/>
      <c r="MBN70" s="29"/>
      <c r="MBO70" s="29"/>
      <c r="MBP70" s="29"/>
      <c r="MBQ70" s="29"/>
      <c r="MBR70" s="29"/>
      <c r="MBS70" s="29"/>
      <c r="MBT70" s="29"/>
      <c r="MBU70" s="29"/>
      <c r="MBV70" s="29"/>
      <c r="MBW70" s="29"/>
      <c r="MBX70" s="29"/>
      <c r="MBY70" s="29"/>
      <c r="MBZ70" s="29"/>
      <c r="MCA70" s="29"/>
      <c r="MCB70" s="29"/>
      <c r="MCC70" s="29"/>
      <c r="MCD70" s="29"/>
      <c r="MCE70" s="29"/>
      <c r="MCF70" s="29"/>
      <c r="MCG70" s="29"/>
      <c r="MCH70" s="29"/>
      <c r="MCI70" s="29"/>
      <c r="MCJ70" s="29"/>
      <c r="MCK70" s="29"/>
      <c r="MCL70" s="29"/>
      <c r="MCM70" s="29"/>
      <c r="MCN70" s="29"/>
      <c r="MCO70" s="29"/>
      <c r="MCP70" s="29"/>
      <c r="MCQ70" s="29"/>
      <c r="MCR70" s="29"/>
      <c r="MCS70" s="29"/>
      <c r="MCT70" s="29"/>
      <c r="MCU70" s="29"/>
      <c r="MCV70" s="29"/>
      <c r="MCW70" s="29"/>
      <c r="MCX70" s="29"/>
      <c r="MCY70" s="29"/>
      <c r="MCZ70" s="29"/>
      <c r="MDA70" s="29"/>
      <c r="MDB70" s="29"/>
      <c r="MDC70" s="29"/>
      <c r="MDD70" s="29"/>
      <c r="MDE70" s="29"/>
      <c r="MDF70" s="29"/>
      <c r="MDG70" s="29"/>
      <c r="MDH70" s="29"/>
      <c r="MDI70" s="29"/>
      <c r="MDJ70" s="29"/>
      <c r="MDK70" s="29"/>
      <c r="MDL70" s="29"/>
      <c r="MDM70" s="29"/>
      <c r="MDN70" s="29"/>
      <c r="MDO70" s="29"/>
      <c r="MDP70" s="29"/>
      <c r="MDQ70" s="29"/>
      <c r="MDR70" s="29"/>
      <c r="MDS70" s="29"/>
      <c r="MDT70" s="29"/>
      <c r="MDU70" s="29"/>
      <c r="MDV70" s="29"/>
      <c r="MDW70" s="29"/>
      <c r="MDX70" s="29"/>
      <c r="MDY70" s="29"/>
      <c r="MDZ70" s="29"/>
      <c r="MEA70" s="29"/>
      <c r="MEB70" s="29"/>
      <c r="MEC70" s="29"/>
      <c r="MED70" s="29"/>
      <c r="MEE70" s="29"/>
      <c r="MEF70" s="29"/>
      <c r="MEG70" s="29"/>
      <c r="MEH70" s="29"/>
      <c r="MEI70" s="29"/>
      <c r="MEJ70" s="29"/>
      <c r="MEK70" s="29"/>
      <c r="MEL70" s="29"/>
      <c r="MEM70" s="29"/>
      <c r="MEN70" s="29"/>
      <c r="MEO70" s="29"/>
      <c r="MEP70" s="29"/>
      <c r="MEQ70" s="29"/>
      <c r="MER70" s="29"/>
      <c r="MES70" s="29"/>
      <c r="MET70" s="29"/>
      <c r="MEU70" s="29"/>
      <c r="MEV70" s="29"/>
      <c r="MEW70" s="29"/>
      <c r="MEX70" s="29"/>
      <c r="MEY70" s="29"/>
      <c r="MEZ70" s="29"/>
      <c r="MFA70" s="29"/>
      <c r="MFB70" s="29"/>
      <c r="MFC70" s="29"/>
      <c r="MFD70" s="29"/>
      <c r="MFE70" s="29"/>
      <c r="MFF70" s="29"/>
      <c r="MFG70" s="29"/>
      <c r="MFH70" s="29"/>
      <c r="MFI70" s="29"/>
      <c r="MFJ70" s="29"/>
      <c r="MFK70" s="29"/>
      <c r="MFL70" s="29"/>
      <c r="MFM70" s="29"/>
      <c r="MFN70" s="29"/>
      <c r="MFO70" s="29"/>
      <c r="MFP70" s="29"/>
      <c r="MFQ70" s="29"/>
      <c r="MFR70" s="29"/>
      <c r="MFS70" s="29"/>
      <c r="MFT70" s="29"/>
      <c r="MFU70" s="29"/>
      <c r="MFV70" s="29"/>
      <c r="MFW70" s="29"/>
      <c r="MFX70" s="29"/>
      <c r="MFY70" s="29"/>
      <c r="MFZ70" s="29"/>
      <c r="MGA70" s="29"/>
      <c r="MGB70" s="29"/>
      <c r="MGC70" s="29"/>
      <c r="MGD70" s="29"/>
      <c r="MGE70" s="29"/>
      <c r="MGF70" s="29"/>
      <c r="MGG70" s="29"/>
      <c r="MGH70" s="29"/>
      <c r="MGI70" s="29"/>
      <c r="MGJ70" s="29"/>
      <c r="MGK70" s="29"/>
      <c r="MGL70" s="29"/>
      <c r="MGM70" s="29"/>
      <c r="MGN70" s="29"/>
      <c r="MGO70" s="29"/>
      <c r="MGP70" s="29"/>
      <c r="MGQ70" s="29"/>
      <c r="MGR70" s="29"/>
      <c r="MGS70" s="29"/>
      <c r="MGT70" s="29"/>
      <c r="MGU70" s="29"/>
      <c r="MGV70" s="29"/>
      <c r="MGW70" s="29"/>
      <c r="MGX70" s="29"/>
      <c r="MGY70" s="29"/>
      <c r="MGZ70" s="29"/>
      <c r="MHA70" s="29"/>
      <c r="MHB70" s="29"/>
      <c r="MHC70" s="29"/>
      <c r="MHD70" s="29"/>
      <c r="MHE70" s="29"/>
      <c r="MHF70" s="29"/>
      <c r="MHG70" s="29"/>
      <c r="MHH70" s="29"/>
      <c r="MHI70" s="29"/>
      <c r="MHJ70" s="29"/>
      <c r="MHK70" s="29"/>
      <c r="MHL70" s="29"/>
      <c r="MHM70" s="29"/>
      <c r="MHN70" s="29"/>
      <c r="MHO70" s="29"/>
      <c r="MHP70" s="29"/>
      <c r="MHQ70" s="29"/>
      <c r="MHR70" s="29"/>
      <c r="MHS70" s="29"/>
      <c r="MHT70" s="29"/>
      <c r="MHU70" s="29"/>
      <c r="MHV70" s="29"/>
      <c r="MHW70" s="29"/>
      <c r="MHX70" s="29"/>
      <c r="MHY70" s="29"/>
      <c r="MHZ70" s="29"/>
      <c r="MIA70" s="29"/>
      <c r="MIB70" s="29"/>
      <c r="MIC70" s="29"/>
      <c r="MID70" s="29"/>
      <c r="MIE70" s="29"/>
      <c r="MIF70" s="29"/>
      <c r="MIG70" s="29"/>
      <c r="MIH70" s="29"/>
      <c r="MII70" s="29"/>
      <c r="MIJ70" s="29"/>
      <c r="MIK70" s="29"/>
      <c r="MIL70" s="29"/>
      <c r="MIM70" s="29"/>
      <c r="MIN70" s="29"/>
      <c r="MIO70" s="29"/>
      <c r="MIP70" s="29"/>
      <c r="MIQ70" s="29"/>
      <c r="MIR70" s="29"/>
      <c r="MIS70" s="29"/>
      <c r="MIT70" s="29"/>
      <c r="MIU70" s="29"/>
      <c r="MIV70" s="29"/>
      <c r="MIW70" s="29"/>
      <c r="MIX70" s="29"/>
      <c r="MIY70" s="29"/>
      <c r="MIZ70" s="29"/>
      <c r="MJA70" s="29"/>
      <c r="MJB70" s="29"/>
      <c r="MJC70" s="29"/>
      <c r="MJD70" s="29"/>
      <c r="MJE70" s="29"/>
      <c r="MJF70" s="29"/>
      <c r="MJG70" s="29"/>
      <c r="MJH70" s="29"/>
      <c r="MJI70" s="29"/>
      <c r="MJJ70" s="29"/>
      <c r="MJK70" s="29"/>
      <c r="MJL70" s="29"/>
      <c r="MJM70" s="29"/>
      <c r="MJN70" s="29"/>
      <c r="MJO70" s="29"/>
      <c r="MJP70" s="29"/>
      <c r="MJQ70" s="29"/>
      <c r="MJR70" s="29"/>
      <c r="MJS70" s="29"/>
      <c r="MJT70" s="29"/>
      <c r="MJU70" s="29"/>
      <c r="MJV70" s="29"/>
      <c r="MJW70" s="29"/>
      <c r="MJX70" s="29"/>
      <c r="MJY70" s="29"/>
      <c r="MJZ70" s="29"/>
      <c r="MKA70" s="29"/>
      <c r="MKB70" s="29"/>
      <c r="MKC70" s="29"/>
      <c r="MKD70" s="29"/>
      <c r="MKE70" s="29"/>
      <c r="MKF70" s="29"/>
      <c r="MKG70" s="29"/>
      <c r="MKH70" s="29"/>
      <c r="MKI70" s="29"/>
      <c r="MKJ70" s="29"/>
      <c r="MKK70" s="29"/>
      <c r="MKL70" s="29"/>
      <c r="MKM70" s="29"/>
      <c r="MKN70" s="29"/>
      <c r="MKO70" s="29"/>
      <c r="MKP70" s="29"/>
      <c r="MKQ70" s="29"/>
      <c r="MKR70" s="29"/>
      <c r="MKS70" s="29"/>
      <c r="MKT70" s="29"/>
      <c r="MKU70" s="29"/>
      <c r="MKV70" s="29"/>
      <c r="MKW70" s="29"/>
      <c r="MKX70" s="29"/>
      <c r="MKY70" s="29"/>
      <c r="MKZ70" s="29"/>
      <c r="MLA70" s="29"/>
      <c r="MLB70" s="29"/>
      <c r="MLC70" s="29"/>
      <c r="MLD70" s="29"/>
      <c r="MLE70" s="29"/>
      <c r="MLF70" s="29"/>
      <c r="MLG70" s="29"/>
      <c r="MLH70" s="29"/>
      <c r="MLI70" s="29"/>
      <c r="MLJ70" s="29"/>
      <c r="MLK70" s="29"/>
      <c r="MLL70" s="29"/>
      <c r="MLM70" s="29"/>
      <c r="MLN70" s="29"/>
      <c r="MLO70" s="29"/>
      <c r="MLP70" s="29"/>
      <c r="MLQ70" s="29"/>
      <c r="MLR70" s="29"/>
      <c r="MLS70" s="29"/>
      <c r="MLT70" s="29"/>
      <c r="MLU70" s="29"/>
      <c r="MLV70" s="29"/>
      <c r="MLW70" s="29"/>
      <c r="MLX70" s="29"/>
      <c r="MLY70" s="29"/>
      <c r="MLZ70" s="29"/>
      <c r="MMA70" s="29"/>
      <c r="MMB70" s="29"/>
      <c r="MMC70" s="29"/>
      <c r="MMD70" s="29"/>
      <c r="MME70" s="29"/>
      <c r="MMF70" s="29"/>
      <c r="MMG70" s="29"/>
      <c r="MMH70" s="29"/>
      <c r="MMI70" s="29"/>
      <c r="MMJ70" s="29"/>
      <c r="MMK70" s="29"/>
      <c r="MML70" s="29"/>
      <c r="MMM70" s="29"/>
      <c r="MMN70" s="29"/>
      <c r="MMO70" s="29"/>
      <c r="MMP70" s="29"/>
      <c r="MMQ70" s="29"/>
      <c r="MMR70" s="29"/>
      <c r="MMS70" s="29"/>
      <c r="MMT70" s="29"/>
      <c r="MMU70" s="29"/>
      <c r="MMV70" s="29"/>
      <c r="MMW70" s="29"/>
      <c r="MMX70" s="29"/>
      <c r="MMY70" s="29"/>
      <c r="MMZ70" s="29"/>
      <c r="MNA70" s="29"/>
      <c r="MNB70" s="29"/>
      <c r="MNC70" s="29"/>
      <c r="MND70" s="29"/>
      <c r="MNE70" s="29"/>
      <c r="MNF70" s="29"/>
      <c r="MNG70" s="29"/>
      <c r="MNH70" s="29"/>
      <c r="MNI70" s="29"/>
      <c r="MNJ70" s="29"/>
      <c r="MNK70" s="29"/>
      <c r="MNL70" s="29"/>
      <c r="MNM70" s="29"/>
      <c r="MNN70" s="29"/>
      <c r="MNO70" s="29"/>
      <c r="MNP70" s="29"/>
      <c r="MNQ70" s="29"/>
      <c r="MNR70" s="29"/>
      <c r="MNS70" s="29"/>
      <c r="MNT70" s="29"/>
      <c r="MNU70" s="29"/>
      <c r="MNV70" s="29"/>
      <c r="MNW70" s="29"/>
      <c r="MNX70" s="29"/>
      <c r="MNY70" s="29"/>
      <c r="MNZ70" s="29"/>
      <c r="MOA70" s="29"/>
      <c r="MOB70" s="29"/>
      <c r="MOC70" s="29"/>
      <c r="MOD70" s="29"/>
      <c r="MOE70" s="29"/>
      <c r="MOF70" s="29"/>
      <c r="MOG70" s="29"/>
      <c r="MOH70" s="29"/>
      <c r="MOI70" s="29"/>
      <c r="MOJ70" s="29"/>
      <c r="MOK70" s="29"/>
      <c r="MOL70" s="29"/>
      <c r="MOM70" s="29"/>
      <c r="MON70" s="29"/>
      <c r="MOO70" s="29"/>
      <c r="MOP70" s="29"/>
      <c r="MOQ70" s="29"/>
      <c r="MOR70" s="29"/>
      <c r="MOS70" s="29"/>
      <c r="MOT70" s="29"/>
      <c r="MOU70" s="29"/>
      <c r="MOV70" s="29"/>
      <c r="MOW70" s="29"/>
      <c r="MOX70" s="29"/>
      <c r="MOY70" s="29"/>
      <c r="MOZ70" s="29"/>
      <c r="MPA70" s="29"/>
      <c r="MPB70" s="29"/>
      <c r="MPC70" s="29"/>
      <c r="MPD70" s="29"/>
      <c r="MPE70" s="29"/>
      <c r="MPF70" s="29"/>
      <c r="MPG70" s="29"/>
      <c r="MPH70" s="29"/>
      <c r="MPI70" s="29"/>
      <c r="MPJ70" s="29"/>
      <c r="MPK70" s="29"/>
      <c r="MPL70" s="29"/>
      <c r="MPM70" s="29"/>
      <c r="MPN70" s="29"/>
      <c r="MPO70" s="29"/>
      <c r="MPP70" s="29"/>
      <c r="MPQ70" s="29"/>
      <c r="MPR70" s="29"/>
      <c r="MPS70" s="29"/>
      <c r="MPT70" s="29"/>
      <c r="MPU70" s="29"/>
      <c r="MPV70" s="29"/>
      <c r="MPW70" s="29"/>
      <c r="MPX70" s="29"/>
      <c r="MPY70" s="29"/>
      <c r="MPZ70" s="29"/>
      <c r="MQA70" s="29"/>
      <c r="MQB70" s="29"/>
      <c r="MQC70" s="29"/>
      <c r="MQD70" s="29"/>
      <c r="MQE70" s="29"/>
      <c r="MQF70" s="29"/>
      <c r="MQG70" s="29"/>
      <c r="MQH70" s="29"/>
      <c r="MQI70" s="29"/>
      <c r="MQJ70" s="29"/>
      <c r="MQK70" s="29"/>
      <c r="MQL70" s="29"/>
      <c r="MQM70" s="29"/>
      <c r="MQN70" s="29"/>
      <c r="MQO70" s="29"/>
      <c r="MQP70" s="29"/>
      <c r="MQQ70" s="29"/>
      <c r="MQR70" s="29"/>
      <c r="MQS70" s="29"/>
      <c r="MQT70" s="29"/>
      <c r="MQU70" s="29"/>
      <c r="MQV70" s="29"/>
      <c r="MQW70" s="29"/>
      <c r="MQX70" s="29"/>
      <c r="MQY70" s="29"/>
      <c r="MQZ70" s="29"/>
      <c r="MRA70" s="29"/>
      <c r="MRB70" s="29"/>
      <c r="MRC70" s="29"/>
      <c r="MRD70" s="29"/>
      <c r="MRE70" s="29"/>
      <c r="MRF70" s="29"/>
      <c r="MRG70" s="29"/>
      <c r="MRH70" s="29"/>
      <c r="MRI70" s="29"/>
      <c r="MRJ70" s="29"/>
      <c r="MRK70" s="29"/>
      <c r="MRL70" s="29"/>
      <c r="MRM70" s="29"/>
      <c r="MRN70" s="29"/>
      <c r="MRO70" s="29"/>
      <c r="MRP70" s="29"/>
      <c r="MRQ70" s="29"/>
      <c r="MRR70" s="29"/>
      <c r="MRS70" s="29"/>
      <c r="MRT70" s="29"/>
      <c r="MRU70" s="29"/>
      <c r="MRV70" s="29"/>
      <c r="MRW70" s="29"/>
      <c r="MRX70" s="29"/>
      <c r="MRY70" s="29"/>
      <c r="MRZ70" s="29"/>
      <c r="MSA70" s="29"/>
      <c r="MSB70" s="29"/>
      <c r="MSC70" s="29"/>
      <c r="MSD70" s="29"/>
      <c r="MSE70" s="29"/>
      <c r="MSF70" s="29"/>
      <c r="MSG70" s="29"/>
      <c r="MSH70" s="29"/>
      <c r="MSI70" s="29"/>
      <c r="MSJ70" s="29"/>
      <c r="MSK70" s="29"/>
      <c r="MSL70" s="29"/>
      <c r="MSM70" s="29"/>
      <c r="MSN70" s="29"/>
      <c r="MSO70" s="29"/>
      <c r="MSP70" s="29"/>
      <c r="MSQ70" s="29"/>
      <c r="MSR70" s="29"/>
      <c r="MSS70" s="29"/>
      <c r="MST70" s="29"/>
      <c r="MSU70" s="29"/>
      <c r="MSV70" s="29"/>
      <c r="MSW70" s="29"/>
      <c r="MSX70" s="29"/>
      <c r="MSY70" s="29"/>
      <c r="MSZ70" s="29"/>
      <c r="MTA70" s="29"/>
      <c r="MTB70" s="29"/>
      <c r="MTC70" s="29"/>
      <c r="MTD70" s="29"/>
      <c r="MTE70" s="29"/>
      <c r="MTF70" s="29"/>
      <c r="MTG70" s="29"/>
      <c r="MTH70" s="29"/>
      <c r="MTI70" s="29"/>
      <c r="MTJ70" s="29"/>
      <c r="MTK70" s="29"/>
      <c r="MTL70" s="29"/>
      <c r="MTM70" s="29"/>
      <c r="MTN70" s="29"/>
      <c r="MTO70" s="29"/>
      <c r="MTP70" s="29"/>
      <c r="MTQ70" s="29"/>
      <c r="MTR70" s="29"/>
      <c r="MTS70" s="29"/>
      <c r="MTT70" s="29"/>
      <c r="MTU70" s="29"/>
      <c r="MTV70" s="29"/>
      <c r="MTW70" s="29"/>
      <c r="MTX70" s="29"/>
      <c r="MTY70" s="29"/>
      <c r="MTZ70" s="29"/>
      <c r="MUA70" s="29"/>
      <c r="MUB70" s="29"/>
      <c r="MUC70" s="29"/>
      <c r="MUD70" s="29"/>
      <c r="MUE70" s="29"/>
      <c r="MUF70" s="29"/>
      <c r="MUG70" s="29"/>
      <c r="MUH70" s="29"/>
      <c r="MUI70" s="29"/>
      <c r="MUJ70" s="29"/>
      <c r="MUK70" s="29"/>
      <c r="MUL70" s="29"/>
      <c r="MUM70" s="29"/>
      <c r="MUN70" s="29"/>
      <c r="MUO70" s="29"/>
      <c r="MUP70" s="29"/>
      <c r="MUQ70" s="29"/>
      <c r="MUR70" s="29"/>
      <c r="MUS70" s="29"/>
      <c r="MUT70" s="29"/>
      <c r="MUU70" s="29"/>
      <c r="MUV70" s="29"/>
      <c r="MUW70" s="29"/>
      <c r="MUX70" s="29"/>
      <c r="MUY70" s="29"/>
      <c r="MUZ70" s="29"/>
      <c r="MVA70" s="29"/>
      <c r="MVB70" s="29"/>
      <c r="MVC70" s="29"/>
      <c r="MVD70" s="29"/>
      <c r="MVE70" s="29"/>
      <c r="MVF70" s="29"/>
      <c r="MVG70" s="29"/>
      <c r="MVH70" s="29"/>
      <c r="MVI70" s="29"/>
      <c r="MVJ70" s="29"/>
      <c r="MVK70" s="29"/>
      <c r="MVL70" s="29"/>
      <c r="MVM70" s="29"/>
      <c r="MVN70" s="29"/>
      <c r="MVO70" s="29"/>
      <c r="MVP70" s="29"/>
      <c r="MVQ70" s="29"/>
      <c r="MVR70" s="29"/>
      <c r="MVS70" s="29"/>
      <c r="MVT70" s="29"/>
      <c r="MVU70" s="29"/>
      <c r="MVV70" s="29"/>
      <c r="MVW70" s="29"/>
      <c r="MVX70" s="29"/>
      <c r="MVY70" s="29"/>
      <c r="MVZ70" s="29"/>
      <c r="MWA70" s="29"/>
      <c r="MWB70" s="29"/>
      <c r="MWC70" s="29"/>
      <c r="MWD70" s="29"/>
      <c r="MWE70" s="29"/>
      <c r="MWF70" s="29"/>
      <c r="MWG70" s="29"/>
      <c r="MWH70" s="29"/>
      <c r="MWI70" s="29"/>
      <c r="MWJ70" s="29"/>
      <c r="MWK70" s="29"/>
      <c r="MWL70" s="29"/>
      <c r="MWM70" s="29"/>
      <c r="MWN70" s="29"/>
      <c r="MWO70" s="29"/>
      <c r="MWP70" s="29"/>
      <c r="MWQ70" s="29"/>
      <c r="MWR70" s="29"/>
      <c r="MWS70" s="29"/>
      <c r="MWT70" s="29"/>
      <c r="MWU70" s="29"/>
      <c r="MWV70" s="29"/>
      <c r="MWW70" s="29"/>
      <c r="MWX70" s="29"/>
      <c r="MWY70" s="29"/>
      <c r="MWZ70" s="29"/>
      <c r="MXA70" s="29"/>
      <c r="MXB70" s="29"/>
      <c r="MXC70" s="29"/>
      <c r="MXD70" s="29"/>
      <c r="MXE70" s="29"/>
      <c r="MXF70" s="29"/>
      <c r="MXG70" s="29"/>
      <c r="MXH70" s="29"/>
      <c r="MXI70" s="29"/>
      <c r="MXJ70" s="29"/>
      <c r="MXK70" s="29"/>
      <c r="MXL70" s="29"/>
      <c r="MXM70" s="29"/>
      <c r="MXN70" s="29"/>
      <c r="MXO70" s="29"/>
      <c r="MXP70" s="29"/>
      <c r="MXQ70" s="29"/>
      <c r="MXR70" s="29"/>
      <c r="MXS70" s="29"/>
      <c r="MXT70" s="29"/>
      <c r="MXU70" s="29"/>
      <c r="MXV70" s="29"/>
      <c r="MXW70" s="29"/>
      <c r="MXX70" s="29"/>
      <c r="MXY70" s="29"/>
      <c r="MXZ70" s="29"/>
      <c r="MYA70" s="29"/>
      <c r="MYB70" s="29"/>
      <c r="MYC70" s="29"/>
      <c r="MYD70" s="29"/>
      <c r="MYE70" s="29"/>
      <c r="MYF70" s="29"/>
      <c r="MYG70" s="29"/>
      <c r="MYH70" s="29"/>
      <c r="MYI70" s="29"/>
      <c r="MYJ70" s="29"/>
      <c r="MYK70" s="29"/>
      <c r="MYL70" s="29"/>
      <c r="MYM70" s="29"/>
      <c r="MYN70" s="29"/>
      <c r="MYO70" s="29"/>
      <c r="MYP70" s="29"/>
      <c r="MYQ70" s="29"/>
      <c r="MYR70" s="29"/>
      <c r="MYS70" s="29"/>
      <c r="MYT70" s="29"/>
      <c r="MYU70" s="29"/>
      <c r="MYV70" s="29"/>
      <c r="MYW70" s="29"/>
      <c r="MYX70" s="29"/>
      <c r="MYY70" s="29"/>
      <c r="MYZ70" s="29"/>
      <c r="MZA70" s="29"/>
      <c r="MZB70" s="29"/>
      <c r="MZC70" s="29"/>
      <c r="MZD70" s="29"/>
      <c r="MZE70" s="29"/>
      <c r="MZF70" s="29"/>
      <c r="MZG70" s="29"/>
      <c r="MZH70" s="29"/>
      <c r="MZI70" s="29"/>
      <c r="MZJ70" s="29"/>
      <c r="MZK70" s="29"/>
      <c r="MZL70" s="29"/>
      <c r="MZM70" s="29"/>
      <c r="MZN70" s="29"/>
      <c r="MZO70" s="29"/>
      <c r="MZP70" s="29"/>
      <c r="MZQ70" s="29"/>
      <c r="MZR70" s="29"/>
      <c r="MZS70" s="29"/>
      <c r="MZT70" s="29"/>
      <c r="MZU70" s="29"/>
      <c r="MZV70" s="29"/>
      <c r="MZW70" s="29"/>
      <c r="MZX70" s="29"/>
      <c r="MZY70" s="29"/>
      <c r="MZZ70" s="29"/>
      <c r="NAA70" s="29"/>
      <c r="NAB70" s="29"/>
      <c r="NAC70" s="29"/>
      <c r="NAD70" s="29"/>
      <c r="NAE70" s="29"/>
      <c r="NAF70" s="29"/>
      <c r="NAG70" s="29"/>
      <c r="NAH70" s="29"/>
      <c r="NAI70" s="29"/>
      <c r="NAJ70" s="29"/>
      <c r="NAK70" s="29"/>
      <c r="NAL70" s="29"/>
      <c r="NAM70" s="29"/>
      <c r="NAN70" s="29"/>
      <c r="NAO70" s="29"/>
      <c r="NAP70" s="29"/>
      <c r="NAQ70" s="29"/>
      <c r="NAR70" s="29"/>
      <c r="NAS70" s="29"/>
      <c r="NAT70" s="29"/>
      <c r="NAU70" s="29"/>
      <c r="NAV70" s="29"/>
      <c r="NAW70" s="29"/>
      <c r="NAX70" s="29"/>
      <c r="NAY70" s="29"/>
      <c r="NAZ70" s="29"/>
      <c r="NBA70" s="29"/>
      <c r="NBB70" s="29"/>
      <c r="NBC70" s="29"/>
      <c r="NBD70" s="29"/>
      <c r="NBE70" s="29"/>
      <c r="NBF70" s="29"/>
      <c r="NBG70" s="29"/>
      <c r="NBH70" s="29"/>
      <c r="NBI70" s="29"/>
      <c r="NBJ70" s="29"/>
      <c r="NBK70" s="29"/>
      <c r="NBL70" s="29"/>
      <c r="NBM70" s="29"/>
      <c r="NBN70" s="29"/>
      <c r="NBO70" s="29"/>
      <c r="NBP70" s="29"/>
      <c r="NBQ70" s="29"/>
      <c r="NBR70" s="29"/>
      <c r="NBS70" s="29"/>
      <c r="NBT70" s="29"/>
      <c r="NBU70" s="29"/>
      <c r="NBV70" s="29"/>
      <c r="NBW70" s="29"/>
      <c r="NBX70" s="29"/>
      <c r="NBY70" s="29"/>
      <c r="NBZ70" s="29"/>
      <c r="NCA70" s="29"/>
      <c r="NCB70" s="29"/>
      <c r="NCC70" s="29"/>
      <c r="NCD70" s="29"/>
      <c r="NCE70" s="29"/>
      <c r="NCF70" s="29"/>
      <c r="NCG70" s="29"/>
      <c r="NCH70" s="29"/>
      <c r="NCI70" s="29"/>
      <c r="NCJ70" s="29"/>
      <c r="NCK70" s="29"/>
      <c r="NCL70" s="29"/>
      <c r="NCM70" s="29"/>
      <c r="NCN70" s="29"/>
      <c r="NCO70" s="29"/>
      <c r="NCP70" s="29"/>
      <c r="NCQ70" s="29"/>
      <c r="NCR70" s="29"/>
      <c r="NCS70" s="29"/>
      <c r="NCT70" s="29"/>
      <c r="NCU70" s="29"/>
      <c r="NCV70" s="29"/>
      <c r="NCW70" s="29"/>
      <c r="NCX70" s="29"/>
      <c r="NCY70" s="29"/>
      <c r="NCZ70" s="29"/>
      <c r="NDA70" s="29"/>
      <c r="NDB70" s="29"/>
      <c r="NDC70" s="29"/>
      <c r="NDD70" s="29"/>
      <c r="NDE70" s="29"/>
      <c r="NDF70" s="29"/>
      <c r="NDG70" s="29"/>
      <c r="NDH70" s="29"/>
      <c r="NDI70" s="29"/>
      <c r="NDJ70" s="29"/>
      <c r="NDK70" s="29"/>
      <c r="NDL70" s="29"/>
      <c r="NDM70" s="29"/>
      <c r="NDN70" s="29"/>
      <c r="NDO70" s="29"/>
      <c r="NDP70" s="29"/>
      <c r="NDQ70" s="29"/>
      <c r="NDR70" s="29"/>
      <c r="NDS70" s="29"/>
      <c r="NDT70" s="29"/>
      <c r="NDU70" s="29"/>
      <c r="NDV70" s="29"/>
      <c r="NDW70" s="29"/>
      <c r="NDX70" s="29"/>
      <c r="NDY70" s="29"/>
      <c r="NDZ70" s="29"/>
      <c r="NEA70" s="29"/>
      <c r="NEB70" s="29"/>
      <c r="NEC70" s="29"/>
      <c r="NED70" s="29"/>
      <c r="NEE70" s="29"/>
      <c r="NEF70" s="29"/>
      <c r="NEG70" s="29"/>
      <c r="NEH70" s="29"/>
      <c r="NEI70" s="29"/>
      <c r="NEJ70" s="29"/>
      <c r="NEK70" s="29"/>
      <c r="NEL70" s="29"/>
      <c r="NEM70" s="29"/>
      <c r="NEN70" s="29"/>
      <c r="NEO70" s="29"/>
      <c r="NEP70" s="29"/>
      <c r="NEQ70" s="29"/>
      <c r="NER70" s="29"/>
      <c r="NES70" s="29"/>
      <c r="NET70" s="29"/>
      <c r="NEU70" s="29"/>
      <c r="NEV70" s="29"/>
      <c r="NEW70" s="29"/>
      <c r="NEX70" s="29"/>
      <c r="NEY70" s="29"/>
      <c r="NEZ70" s="29"/>
      <c r="NFA70" s="29"/>
      <c r="NFB70" s="29"/>
      <c r="NFC70" s="29"/>
      <c r="NFD70" s="29"/>
      <c r="NFE70" s="29"/>
      <c r="NFF70" s="29"/>
      <c r="NFG70" s="29"/>
      <c r="NFH70" s="29"/>
      <c r="NFI70" s="29"/>
      <c r="NFJ70" s="29"/>
      <c r="NFK70" s="29"/>
      <c r="NFL70" s="29"/>
      <c r="NFM70" s="29"/>
      <c r="NFN70" s="29"/>
      <c r="NFO70" s="29"/>
      <c r="NFP70" s="29"/>
      <c r="NFQ70" s="29"/>
      <c r="NFR70" s="29"/>
      <c r="NFS70" s="29"/>
      <c r="NFT70" s="29"/>
      <c r="NFU70" s="29"/>
      <c r="NFV70" s="29"/>
      <c r="NFW70" s="29"/>
      <c r="NFX70" s="29"/>
      <c r="NFY70" s="29"/>
      <c r="NFZ70" s="29"/>
      <c r="NGA70" s="29"/>
      <c r="NGB70" s="29"/>
      <c r="NGC70" s="29"/>
      <c r="NGD70" s="29"/>
      <c r="NGE70" s="29"/>
      <c r="NGF70" s="29"/>
      <c r="NGG70" s="29"/>
      <c r="NGH70" s="29"/>
      <c r="NGI70" s="29"/>
      <c r="NGJ70" s="29"/>
      <c r="NGK70" s="29"/>
      <c r="NGL70" s="29"/>
      <c r="NGM70" s="29"/>
      <c r="NGN70" s="29"/>
      <c r="NGO70" s="29"/>
      <c r="NGP70" s="29"/>
      <c r="NGQ70" s="29"/>
      <c r="NGR70" s="29"/>
      <c r="NGS70" s="29"/>
      <c r="NGT70" s="29"/>
      <c r="NGU70" s="29"/>
      <c r="NGV70" s="29"/>
      <c r="NGW70" s="29"/>
      <c r="NGX70" s="29"/>
      <c r="NGY70" s="29"/>
      <c r="NGZ70" s="29"/>
      <c r="NHA70" s="29"/>
      <c r="NHB70" s="29"/>
      <c r="NHC70" s="29"/>
      <c r="NHD70" s="29"/>
      <c r="NHE70" s="29"/>
      <c r="NHF70" s="29"/>
      <c r="NHG70" s="29"/>
      <c r="NHH70" s="29"/>
      <c r="NHI70" s="29"/>
      <c r="NHJ70" s="29"/>
      <c r="NHK70" s="29"/>
      <c r="NHL70" s="29"/>
      <c r="NHM70" s="29"/>
      <c r="NHN70" s="29"/>
      <c r="NHO70" s="29"/>
      <c r="NHP70" s="29"/>
      <c r="NHQ70" s="29"/>
      <c r="NHR70" s="29"/>
      <c r="NHS70" s="29"/>
      <c r="NHT70" s="29"/>
      <c r="NHU70" s="29"/>
      <c r="NHV70" s="29"/>
      <c r="NHW70" s="29"/>
      <c r="NHX70" s="29"/>
      <c r="NHY70" s="29"/>
      <c r="NHZ70" s="29"/>
      <c r="NIA70" s="29"/>
      <c r="NIB70" s="29"/>
      <c r="NIC70" s="29"/>
      <c r="NID70" s="29"/>
      <c r="NIE70" s="29"/>
      <c r="NIF70" s="29"/>
      <c r="NIG70" s="29"/>
      <c r="NIH70" s="29"/>
      <c r="NII70" s="29"/>
      <c r="NIJ70" s="29"/>
      <c r="NIK70" s="29"/>
      <c r="NIL70" s="29"/>
      <c r="NIM70" s="29"/>
      <c r="NIN70" s="29"/>
      <c r="NIO70" s="29"/>
      <c r="NIP70" s="29"/>
      <c r="NIQ70" s="29"/>
      <c r="NIR70" s="29"/>
      <c r="NIS70" s="29"/>
      <c r="NIT70" s="29"/>
      <c r="NIU70" s="29"/>
      <c r="NIV70" s="29"/>
      <c r="NIW70" s="29"/>
      <c r="NIX70" s="29"/>
      <c r="NIY70" s="29"/>
      <c r="NIZ70" s="29"/>
      <c r="NJA70" s="29"/>
      <c r="NJB70" s="29"/>
      <c r="NJC70" s="29"/>
      <c r="NJD70" s="29"/>
      <c r="NJE70" s="29"/>
      <c r="NJF70" s="29"/>
      <c r="NJG70" s="29"/>
      <c r="NJH70" s="29"/>
      <c r="NJI70" s="29"/>
      <c r="NJJ70" s="29"/>
      <c r="NJK70" s="29"/>
      <c r="NJL70" s="29"/>
      <c r="NJM70" s="29"/>
      <c r="NJN70" s="29"/>
      <c r="NJO70" s="29"/>
      <c r="NJP70" s="29"/>
      <c r="NJQ70" s="29"/>
      <c r="NJR70" s="29"/>
      <c r="NJS70" s="29"/>
      <c r="NJT70" s="29"/>
      <c r="NJU70" s="29"/>
      <c r="NJV70" s="29"/>
      <c r="NJW70" s="29"/>
      <c r="NJX70" s="29"/>
      <c r="NJY70" s="29"/>
      <c r="NJZ70" s="29"/>
      <c r="NKA70" s="29"/>
      <c r="NKB70" s="29"/>
      <c r="NKC70" s="29"/>
      <c r="NKD70" s="29"/>
      <c r="NKE70" s="29"/>
      <c r="NKF70" s="29"/>
      <c r="NKG70" s="29"/>
      <c r="NKH70" s="29"/>
      <c r="NKI70" s="29"/>
      <c r="NKJ70" s="29"/>
      <c r="NKK70" s="29"/>
      <c r="NKL70" s="29"/>
      <c r="NKM70" s="29"/>
      <c r="NKN70" s="29"/>
      <c r="NKO70" s="29"/>
      <c r="NKP70" s="29"/>
      <c r="NKQ70" s="29"/>
      <c r="NKR70" s="29"/>
      <c r="NKS70" s="29"/>
      <c r="NKT70" s="29"/>
      <c r="NKU70" s="29"/>
      <c r="NKV70" s="29"/>
      <c r="NKW70" s="29"/>
      <c r="NKX70" s="29"/>
      <c r="NKY70" s="29"/>
      <c r="NKZ70" s="29"/>
      <c r="NLA70" s="29"/>
      <c r="NLB70" s="29"/>
      <c r="NLC70" s="29"/>
      <c r="NLD70" s="29"/>
      <c r="NLE70" s="29"/>
      <c r="NLF70" s="29"/>
      <c r="NLG70" s="29"/>
      <c r="NLH70" s="29"/>
      <c r="NLI70" s="29"/>
      <c r="NLJ70" s="29"/>
      <c r="NLK70" s="29"/>
      <c r="NLL70" s="29"/>
      <c r="NLM70" s="29"/>
      <c r="NLN70" s="29"/>
      <c r="NLO70" s="29"/>
      <c r="NLP70" s="29"/>
      <c r="NLQ70" s="29"/>
      <c r="NLR70" s="29"/>
      <c r="NLS70" s="29"/>
      <c r="NLT70" s="29"/>
      <c r="NLU70" s="29"/>
      <c r="NLV70" s="29"/>
      <c r="NLW70" s="29"/>
      <c r="NLX70" s="29"/>
      <c r="NLY70" s="29"/>
      <c r="NLZ70" s="29"/>
      <c r="NMA70" s="29"/>
      <c r="NMB70" s="29"/>
      <c r="NMC70" s="29"/>
      <c r="NMD70" s="29"/>
      <c r="NME70" s="29"/>
      <c r="NMF70" s="29"/>
      <c r="NMG70" s="29"/>
      <c r="NMH70" s="29"/>
      <c r="NMI70" s="29"/>
      <c r="NMJ70" s="29"/>
      <c r="NMK70" s="29"/>
      <c r="NML70" s="29"/>
      <c r="NMM70" s="29"/>
      <c r="NMN70" s="29"/>
      <c r="NMO70" s="29"/>
      <c r="NMP70" s="29"/>
      <c r="NMQ70" s="29"/>
      <c r="NMR70" s="29"/>
      <c r="NMS70" s="29"/>
      <c r="NMT70" s="29"/>
      <c r="NMU70" s="29"/>
      <c r="NMV70" s="29"/>
      <c r="NMW70" s="29"/>
      <c r="NMX70" s="29"/>
      <c r="NMY70" s="29"/>
      <c r="NMZ70" s="29"/>
      <c r="NNA70" s="29"/>
      <c r="NNB70" s="29"/>
      <c r="NNC70" s="29"/>
      <c r="NND70" s="29"/>
      <c r="NNE70" s="29"/>
      <c r="NNF70" s="29"/>
      <c r="NNG70" s="29"/>
      <c r="NNH70" s="29"/>
      <c r="NNI70" s="29"/>
      <c r="NNJ70" s="29"/>
      <c r="NNK70" s="29"/>
      <c r="NNL70" s="29"/>
      <c r="NNM70" s="29"/>
      <c r="NNN70" s="29"/>
      <c r="NNO70" s="29"/>
      <c r="NNP70" s="29"/>
      <c r="NNQ70" s="29"/>
      <c r="NNR70" s="29"/>
      <c r="NNS70" s="29"/>
      <c r="NNT70" s="29"/>
      <c r="NNU70" s="29"/>
      <c r="NNV70" s="29"/>
      <c r="NNW70" s="29"/>
      <c r="NNX70" s="29"/>
      <c r="NNY70" s="29"/>
      <c r="NNZ70" s="29"/>
      <c r="NOA70" s="29"/>
      <c r="NOB70" s="29"/>
      <c r="NOC70" s="29"/>
      <c r="NOD70" s="29"/>
      <c r="NOE70" s="29"/>
      <c r="NOF70" s="29"/>
      <c r="NOG70" s="29"/>
      <c r="NOH70" s="29"/>
      <c r="NOI70" s="29"/>
      <c r="NOJ70" s="29"/>
      <c r="NOK70" s="29"/>
      <c r="NOL70" s="29"/>
      <c r="NOM70" s="29"/>
      <c r="NON70" s="29"/>
      <c r="NOO70" s="29"/>
      <c r="NOP70" s="29"/>
      <c r="NOQ70" s="29"/>
      <c r="NOR70" s="29"/>
      <c r="NOS70" s="29"/>
      <c r="NOT70" s="29"/>
      <c r="NOU70" s="29"/>
      <c r="NOV70" s="29"/>
      <c r="NOW70" s="29"/>
      <c r="NOX70" s="29"/>
      <c r="NOY70" s="29"/>
      <c r="NOZ70" s="29"/>
      <c r="NPA70" s="29"/>
      <c r="NPB70" s="29"/>
      <c r="NPC70" s="29"/>
      <c r="NPD70" s="29"/>
      <c r="NPE70" s="29"/>
      <c r="NPF70" s="29"/>
      <c r="NPG70" s="29"/>
      <c r="NPH70" s="29"/>
      <c r="NPI70" s="29"/>
      <c r="NPJ70" s="29"/>
      <c r="NPK70" s="29"/>
      <c r="NPL70" s="29"/>
      <c r="NPM70" s="29"/>
      <c r="NPN70" s="29"/>
      <c r="NPO70" s="29"/>
      <c r="NPP70" s="29"/>
      <c r="NPQ70" s="29"/>
      <c r="NPR70" s="29"/>
      <c r="NPS70" s="29"/>
      <c r="NPT70" s="29"/>
      <c r="NPU70" s="29"/>
      <c r="NPV70" s="29"/>
      <c r="NPW70" s="29"/>
      <c r="NPX70" s="29"/>
      <c r="NPY70" s="29"/>
      <c r="NPZ70" s="29"/>
      <c r="NQA70" s="29"/>
      <c r="NQB70" s="29"/>
      <c r="NQC70" s="29"/>
      <c r="NQD70" s="29"/>
      <c r="NQE70" s="29"/>
      <c r="NQF70" s="29"/>
      <c r="NQG70" s="29"/>
      <c r="NQH70" s="29"/>
      <c r="NQI70" s="29"/>
      <c r="NQJ70" s="29"/>
      <c r="NQK70" s="29"/>
      <c r="NQL70" s="29"/>
      <c r="NQM70" s="29"/>
      <c r="NQN70" s="29"/>
      <c r="NQO70" s="29"/>
      <c r="NQP70" s="29"/>
      <c r="NQQ70" s="29"/>
      <c r="NQR70" s="29"/>
      <c r="NQS70" s="29"/>
      <c r="NQT70" s="29"/>
      <c r="NQU70" s="29"/>
      <c r="NQV70" s="29"/>
      <c r="NQW70" s="29"/>
      <c r="NQX70" s="29"/>
      <c r="NQY70" s="29"/>
      <c r="NQZ70" s="29"/>
      <c r="NRA70" s="29"/>
      <c r="NRB70" s="29"/>
      <c r="NRC70" s="29"/>
      <c r="NRD70" s="29"/>
      <c r="NRE70" s="29"/>
      <c r="NRF70" s="29"/>
      <c r="NRG70" s="29"/>
      <c r="NRH70" s="29"/>
      <c r="NRI70" s="29"/>
      <c r="NRJ70" s="29"/>
      <c r="NRK70" s="29"/>
      <c r="NRL70" s="29"/>
      <c r="NRM70" s="29"/>
      <c r="NRN70" s="29"/>
      <c r="NRO70" s="29"/>
      <c r="NRP70" s="29"/>
      <c r="NRQ70" s="29"/>
      <c r="NRR70" s="29"/>
      <c r="NRS70" s="29"/>
      <c r="NRT70" s="29"/>
      <c r="NRU70" s="29"/>
      <c r="NRV70" s="29"/>
      <c r="NRW70" s="29"/>
      <c r="NRX70" s="29"/>
      <c r="NRY70" s="29"/>
      <c r="NRZ70" s="29"/>
      <c r="NSA70" s="29"/>
      <c r="NSB70" s="29"/>
      <c r="NSC70" s="29"/>
      <c r="NSD70" s="29"/>
      <c r="NSE70" s="29"/>
      <c r="NSF70" s="29"/>
      <c r="NSG70" s="29"/>
      <c r="NSH70" s="29"/>
      <c r="NSI70" s="29"/>
      <c r="NSJ70" s="29"/>
      <c r="NSK70" s="29"/>
      <c r="NSL70" s="29"/>
      <c r="NSM70" s="29"/>
      <c r="NSN70" s="29"/>
      <c r="NSO70" s="29"/>
      <c r="NSP70" s="29"/>
      <c r="NSQ70" s="29"/>
      <c r="NSR70" s="29"/>
      <c r="NSS70" s="29"/>
      <c r="NST70" s="29"/>
      <c r="NSU70" s="29"/>
      <c r="NSV70" s="29"/>
      <c r="NSW70" s="29"/>
      <c r="NSX70" s="29"/>
      <c r="NSY70" s="29"/>
      <c r="NSZ70" s="29"/>
      <c r="NTA70" s="29"/>
      <c r="NTB70" s="29"/>
      <c r="NTC70" s="29"/>
      <c r="NTD70" s="29"/>
      <c r="NTE70" s="29"/>
      <c r="NTF70" s="29"/>
      <c r="NTG70" s="29"/>
      <c r="NTH70" s="29"/>
      <c r="NTI70" s="29"/>
      <c r="NTJ70" s="29"/>
      <c r="NTK70" s="29"/>
      <c r="NTL70" s="29"/>
      <c r="NTM70" s="29"/>
      <c r="NTN70" s="29"/>
      <c r="NTO70" s="29"/>
      <c r="NTP70" s="29"/>
      <c r="NTQ70" s="29"/>
      <c r="NTR70" s="29"/>
      <c r="NTS70" s="29"/>
      <c r="NTT70" s="29"/>
      <c r="NTU70" s="29"/>
      <c r="NTV70" s="29"/>
      <c r="NTW70" s="29"/>
      <c r="NTX70" s="29"/>
      <c r="NTY70" s="29"/>
      <c r="NTZ70" s="29"/>
      <c r="NUA70" s="29"/>
      <c r="NUB70" s="29"/>
      <c r="NUC70" s="29"/>
      <c r="NUD70" s="29"/>
      <c r="NUE70" s="29"/>
      <c r="NUF70" s="29"/>
      <c r="NUG70" s="29"/>
      <c r="NUH70" s="29"/>
      <c r="NUI70" s="29"/>
      <c r="NUJ70" s="29"/>
      <c r="NUK70" s="29"/>
      <c r="NUL70" s="29"/>
      <c r="NUM70" s="29"/>
      <c r="NUN70" s="29"/>
      <c r="NUO70" s="29"/>
      <c r="NUP70" s="29"/>
      <c r="NUQ70" s="29"/>
      <c r="NUR70" s="29"/>
      <c r="NUS70" s="29"/>
      <c r="NUT70" s="29"/>
      <c r="NUU70" s="29"/>
      <c r="NUV70" s="29"/>
      <c r="NUW70" s="29"/>
      <c r="NUX70" s="29"/>
      <c r="NUY70" s="29"/>
      <c r="NUZ70" s="29"/>
      <c r="NVA70" s="29"/>
      <c r="NVB70" s="29"/>
      <c r="NVC70" s="29"/>
      <c r="NVD70" s="29"/>
      <c r="NVE70" s="29"/>
      <c r="NVF70" s="29"/>
      <c r="NVG70" s="29"/>
      <c r="NVH70" s="29"/>
      <c r="NVI70" s="29"/>
      <c r="NVJ70" s="29"/>
      <c r="NVK70" s="29"/>
      <c r="NVL70" s="29"/>
      <c r="NVM70" s="29"/>
      <c r="NVN70" s="29"/>
      <c r="NVO70" s="29"/>
      <c r="NVP70" s="29"/>
      <c r="NVQ70" s="29"/>
      <c r="NVR70" s="29"/>
      <c r="NVS70" s="29"/>
      <c r="NVT70" s="29"/>
      <c r="NVU70" s="29"/>
      <c r="NVV70" s="29"/>
      <c r="NVW70" s="29"/>
      <c r="NVX70" s="29"/>
      <c r="NVY70" s="29"/>
      <c r="NVZ70" s="29"/>
      <c r="NWA70" s="29"/>
      <c r="NWB70" s="29"/>
      <c r="NWC70" s="29"/>
      <c r="NWD70" s="29"/>
      <c r="NWE70" s="29"/>
      <c r="NWF70" s="29"/>
      <c r="NWG70" s="29"/>
      <c r="NWH70" s="29"/>
      <c r="NWI70" s="29"/>
      <c r="NWJ70" s="29"/>
      <c r="NWK70" s="29"/>
      <c r="NWL70" s="29"/>
      <c r="NWM70" s="29"/>
      <c r="NWN70" s="29"/>
      <c r="NWO70" s="29"/>
      <c r="NWP70" s="29"/>
      <c r="NWQ70" s="29"/>
      <c r="NWR70" s="29"/>
      <c r="NWS70" s="29"/>
      <c r="NWT70" s="29"/>
      <c r="NWU70" s="29"/>
      <c r="NWV70" s="29"/>
      <c r="NWW70" s="29"/>
      <c r="NWX70" s="29"/>
      <c r="NWY70" s="29"/>
      <c r="NWZ70" s="29"/>
      <c r="NXA70" s="29"/>
      <c r="NXB70" s="29"/>
      <c r="NXC70" s="29"/>
      <c r="NXD70" s="29"/>
      <c r="NXE70" s="29"/>
      <c r="NXF70" s="29"/>
      <c r="NXG70" s="29"/>
      <c r="NXH70" s="29"/>
      <c r="NXI70" s="29"/>
      <c r="NXJ70" s="29"/>
      <c r="NXK70" s="29"/>
      <c r="NXL70" s="29"/>
      <c r="NXM70" s="29"/>
      <c r="NXN70" s="29"/>
      <c r="NXO70" s="29"/>
      <c r="NXP70" s="29"/>
      <c r="NXQ70" s="29"/>
      <c r="NXR70" s="29"/>
      <c r="NXS70" s="29"/>
      <c r="NXT70" s="29"/>
      <c r="NXU70" s="29"/>
      <c r="NXV70" s="29"/>
      <c r="NXW70" s="29"/>
      <c r="NXX70" s="29"/>
      <c r="NXY70" s="29"/>
      <c r="NXZ70" s="29"/>
      <c r="NYA70" s="29"/>
      <c r="NYB70" s="29"/>
      <c r="NYC70" s="29"/>
      <c r="NYD70" s="29"/>
      <c r="NYE70" s="29"/>
      <c r="NYF70" s="29"/>
      <c r="NYG70" s="29"/>
      <c r="NYH70" s="29"/>
      <c r="NYI70" s="29"/>
      <c r="NYJ70" s="29"/>
      <c r="NYK70" s="29"/>
      <c r="NYL70" s="29"/>
      <c r="NYM70" s="29"/>
      <c r="NYN70" s="29"/>
      <c r="NYO70" s="29"/>
      <c r="NYP70" s="29"/>
      <c r="NYQ70" s="29"/>
      <c r="NYR70" s="29"/>
      <c r="NYS70" s="29"/>
      <c r="NYT70" s="29"/>
      <c r="NYU70" s="29"/>
      <c r="NYV70" s="29"/>
      <c r="NYW70" s="29"/>
      <c r="NYX70" s="29"/>
      <c r="NYY70" s="29"/>
      <c r="NYZ70" s="29"/>
      <c r="NZA70" s="29"/>
      <c r="NZB70" s="29"/>
      <c r="NZC70" s="29"/>
      <c r="NZD70" s="29"/>
      <c r="NZE70" s="29"/>
      <c r="NZF70" s="29"/>
      <c r="NZG70" s="29"/>
      <c r="NZH70" s="29"/>
      <c r="NZI70" s="29"/>
      <c r="NZJ70" s="29"/>
      <c r="NZK70" s="29"/>
      <c r="NZL70" s="29"/>
      <c r="NZM70" s="29"/>
      <c r="NZN70" s="29"/>
      <c r="NZO70" s="29"/>
      <c r="NZP70" s="29"/>
      <c r="NZQ70" s="29"/>
      <c r="NZR70" s="29"/>
      <c r="NZS70" s="29"/>
      <c r="NZT70" s="29"/>
      <c r="NZU70" s="29"/>
      <c r="NZV70" s="29"/>
      <c r="NZW70" s="29"/>
      <c r="NZX70" s="29"/>
      <c r="NZY70" s="29"/>
      <c r="NZZ70" s="29"/>
      <c r="OAA70" s="29"/>
      <c r="OAB70" s="29"/>
      <c r="OAC70" s="29"/>
      <c r="OAD70" s="29"/>
      <c r="OAE70" s="29"/>
      <c r="OAF70" s="29"/>
      <c r="OAG70" s="29"/>
      <c r="OAH70" s="29"/>
      <c r="OAI70" s="29"/>
      <c r="OAJ70" s="29"/>
      <c r="OAK70" s="29"/>
      <c r="OAL70" s="29"/>
      <c r="OAM70" s="29"/>
      <c r="OAN70" s="29"/>
      <c r="OAO70" s="29"/>
      <c r="OAP70" s="29"/>
      <c r="OAQ70" s="29"/>
      <c r="OAR70" s="29"/>
      <c r="OAS70" s="29"/>
      <c r="OAT70" s="29"/>
      <c r="OAU70" s="29"/>
      <c r="OAV70" s="29"/>
      <c r="OAW70" s="29"/>
      <c r="OAX70" s="29"/>
      <c r="OAY70" s="29"/>
      <c r="OAZ70" s="29"/>
      <c r="OBA70" s="29"/>
      <c r="OBB70" s="29"/>
      <c r="OBC70" s="29"/>
      <c r="OBD70" s="29"/>
      <c r="OBE70" s="29"/>
      <c r="OBF70" s="29"/>
      <c r="OBG70" s="29"/>
      <c r="OBH70" s="29"/>
      <c r="OBI70" s="29"/>
      <c r="OBJ70" s="29"/>
      <c r="OBK70" s="29"/>
      <c r="OBL70" s="29"/>
      <c r="OBM70" s="29"/>
      <c r="OBN70" s="29"/>
      <c r="OBO70" s="29"/>
      <c r="OBP70" s="29"/>
      <c r="OBQ70" s="29"/>
      <c r="OBR70" s="29"/>
      <c r="OBS70" s="29"/>
      <c r="OBT70" s="29"/>
      <c r="OBU70" s="29"/>
      <c r="OBV70" s="29"/>
      <c r="OBW70" s="29"/>
      <c r="OBX70" s="29"/>
      <c r="OBY70" s="29"/>
      <c r="OBZ70" s="29"/>
      <c r="OCA70" s="29"/>
      <c r="OCB70" s="29"/>
      <c r="OCC70" s="29"/>
      <c r="OCD70" s="29"/>
      <c r="OCE70" s="29"/>
      <c r="OCF70" s="29"/>
      <c r="OCG70" s="29"/>
      <c r="OCH70" s="29"/>
      <c r="OCI70" s="29"/>
      <c r="OCJ70" s="29"/>
      <c r="OCK70" s="29"/>
      <c r="OCL70" s="29"/>
      <c r="OCM70" s="29"/>
      <c r="OCN70" s="29"/>
      <c r="OCO70" s="29"/>
      <c r="OCP70" s="29"/>
      <c r="OCQ70" s="29"/>
      <c r="OCR70" s="29"/>
      <c r="OCS70" s="29"/>
      <c r="OCT70" s="29"/>
      <c r="OCU70" s="29"/>
      <c r="OCV70" s="29"/>
      <c r="OCW70" s="29"/>
      <c r="OCX70" s="29"/>
      <c r="OCY70" s="29"/>
      <c r="OCZ70" s="29"/>
      <c r="ODA70" s="29"/>
      <c r="ODB70" s="29"/>
      <c r="ODC70" s="29"/>
      <c r="ODD70" s="29"/>
      <c r="ODE70" s="29"/>
      <c r="ODF70" s="29"/>
      <c r="ODG70" s="29"/>
      <c r="ODH70" s="29"/>
      <c r="ODI70" s="29"/>
      <c r="ODJ70" s="29"/>
      <c r="ODK70" s="29"/>
      <c r="ODL70" s="29"/>
      <c r="ODM70" s="29"/>
      <c r="ODN70" s="29"/>
      <c r="ODO70" s="29"/>
      <c r="ODP70" s="29"/>
      <c r="ODQ70" s="29"/>
      <c r="ODR70" s="29"/>
      <c r="ODS70" s="29"/>
      <c r="ODT70" s="29"/>
      <c r="ODU70" s="29"/>
      <c r="ODV70" s="29"/>
      <c r="ODW70" s="29"/>
      <c r="ODX70" s="29"/>
      <c r="ODY70" s="29"/>
      <c r="ODZ70" s="29"/>
      <c r="OEA70" s="29"/>
      <c r="OEB70" s="29"/>
      <c r="OEC70" s="29"/>
      <c r="OED70" s="29"/>
      <c r="OEE70" s="29"/>
      <c r="OEF70" s="29"/>
      <c r="OEG70" s="29"/>
      <c r="OEH70" s="29"/>
      <c r="OEI70" s="29"/>
      <c r="OEJ70" s="29"/>
      <c r="OEK70" s="29"/>
      <c r="OEL70" s="29"/>
      <c r="OEM70" s="29"/>
      <c r="OEN70" s="29"/>
      <c r="OEO70" s="29"/>
      <c r="OEP70" s="29"/>
      <c r="OEQ70" s="29"/>
      <c r="OER70" s="29"/>
      <c r="OES70" s="29"/>
      <c r="OET70" s="29"/>
      <c r="OEU70" s="29"/>
      <c r="OEV70" s="29"/>
      <c r="OEW70" s="29"/>
      <c r="OEX70" s="29"/>
      <c r="OEY70" s="29"/>
      <c r="OEZ70" s="29"/>
      <c r="OFA70" s="29"/>
      <c r="OFB70" s="29"/>
      <c r="OFC70" s="29"/>
      <c r="OFD70" s="29"/>
      <c r="OFE70" s="29"/>
      <c r="OFF70" s="29"/>
      <c r="OFG70" s="29"/>
      <c r="OFH70" s="29"/>
      <c r="OFI70" s="29"/>
      <c r="OFJ70" s="29"/>
      <c r="OFK70" s="29"/>
      <c r="OFL70" s="29"/>
      <c r="OFM70" s="29"/>
      <c r="OFN70" s="29"/>
      <c r="OFO70" s="29"/>
      <c r="OFP70" s="29"/>
      <c r="OFQ70" s="29"/>
      <c r="OFR70" s="29"/>
      <c r="OFS70" s="29"/>
      <c r="OFT70" s="29"/>
      <c r="OFU70" s="29"/>
      <c r="OFV70" s="29"/>
      <c r="OFW70" s="29"/>
      <c r="OFX70" s="29"/>
      <c r="OFY70" s="29"/>
      <c r="OFZ70" s="29"/>
      <c r="OGA70" s="29"/>
      <c r="OGB70" s="29"/>
      <c r="OGC70" s="29"/>
      <c r="OGD70" s="29"/>
      <c r="OGE70" s="29"/>
      <c r="OGF70" s="29"/>
      <c r="OGG70" s="29"/>
      <c r="OGH70" s="29"/>
      <c r="OGI70" s="29"/>
      <c r="OGJ70" s="29"/>
      <c r="OGK70" s="29"/>
      <c r="OGL70" s="29"/>
      <c r="OGM70" s="29"/>
      <c r="OGN70" s="29"/>
      <c r="OGO70" s="29"/>
      <c r="OGP70" s="29"/>
      <c r="OGQ70" s="29"/>
      <c r="OGR70" s="29"/>
      <c r="OGS70" s="29"/>
      <c r="OGT70" s="29"/>
      <c r="OGU70" s="29"/>
      <c r="OGV70" s="29"/>
      <c r="OGW70" s="29"/>
      <c r="OGX70" s="29"/>
      <c r="OGY70" s="29"/>
      <c r="OGZ70" s="29"/>
      <c r="OHA70" s="29"/>
      <c r="OHB70" s="29"/>
      <c r="OHC70" s="29"/>
      <c r="OHD70" s="29"/>
      <c r="OHE70" s="29"/>
      <c r="OHF70" s="29"/>
      <c r="OHG70" s="29"/>
      <c r="OHH70" s="29"/>
      <c r="OHI70" s="29"/>
      <c r="OHJ70" s="29"/>
      <c r="OHK70" s="29"/>
      <c r="OHL70" s="29"/>
      <c r="OHM70" s="29"/>
      <c r="OHN70" s="29"/>
      <c r="OHO70" s="29"/>
      <c r="OHP70" s="29"/>
      <c r="OHQ70" s="29"/>
      <c r="OHR70" s="29"/>
      <c r="OHS70" s="29"/>
      <c r="OHT70" s="29"/>
      <c r="OHU70" s="29"/>
      <c r="OHV70" s="29"/>
      <c r="OHW70" s="29"/>
      <c r="OHX70" s="29"/>
      <c r="OHY70" s="29"/>
      <c r="OHZ70" s="29"/>
      <c r="OIA70" s="29"/>
      <c r="OIB70" s="29"/>
      <c r="OIC70" s="29"/>
      <c r="OID70" s="29"/>
      <c r="OIE70" s="29"/>
      <c r="OIF70" s="29"/>
      <c r="OIG70" s="29"/>
      <c r="OIH70" s="29"/>
      <c r="OII70" s="29"/>
      <c r="OIJ70" s="29"/>
      <c r="OIK70" s="29"/>
      <c r="OIL70" s="29"/>
      <c r="OIM70" s="29"/>
      <c r="OIN70" s="29"/>
      <c r="OIO70" s="29"/>
      <c r="OIP70" s="29"/>
      <c r="OIQ70" s="29"/>
      <c r="OIR70" s="29"/>
      <c r="OIS70" s="29"/>
      <c r="OIT70" s="29"/>
      <c r="OIU70" s="29"/>
      <c r="OIV70" s="29"/>
      <c r="OIW70" s="29"/>
      <c r="OIX70" s="29"/>
      <c r="OIY70" s="29"/>
      <c r="OIZ70" s="29"/>
      <c r="OJA70" s="29"/>
      <c r="OJB70" s="29"/>
      <c r="OJC70" s="29"/>
      <c r="OJD70" s="29"/>
      <c r="OJE70" s="29"/>
      <c r="OJF70" s="29"/>
      <c r="OJG70" s="29"/>
      <c r="OJH70" s="29"/>
      <c r="OJI70" s="29"/>
      <c r="OJJ70" s="29"/>
      <c r="OJK70" s="29"/>
      <c r="OJL70" s="29"/>
      <c r="OJM70" s="29"/>
      <c r="OJN70" s="29"/>
      <c r="OJO70" s="29"/>
      <c r="OJP70" s="29"/>
      <c r="OJQ70" s="29"/>
      <c r="OJR70" s="29"/>
      <c r="OJS70" s="29"/>
      <c r="OJT70" s="29"/>
      <c r="OJU70" s="29"/>
      <c r="OJV70" s="29"/>
      <c r="OJW70" s="29"/>
      <c r="OJX70" s="29"/>
      <c r="OJY70" s="29"/>
      <c r="OJZ70" s="29"/>
      <c r="OKA70" s="29"/>
      <c r="OKB70" s="29"/>
      <c r="OKC70" s="29"/>
      <c r="OKD70" s="29"/>
      <c r="OKE70" s="29"/>
      <c r="OKF70" s="29"/>
      <c r="OKG70" s="29"/>
      <c r="OKH70" s="29"/>
      <c r="OKI70" s="29"/>
      <c r="OKJ70" s="29"/>
      <c r="OKK70" s="29"/>
      <c r="OKL70" s="29"/>
      <c r="OKM70" s="29"/>
      <c r="OKN70" s="29"/>
      <c r="OKO70" s="29"/>
      <c r="OKP70" s="29"/>
      <c r="OKQ70" s="29"/>
      <c r="OKR70" s="29"/>
      <c r="OKS70" s="29"/>
      <c r="OKT70" s="29"/>
      <c r="OKU70" s="29"/>
      <c r="OKV70" s="29"/>
      <c r="OKW70" s="29"/>
      <c r="OKX70" s="29"/>
      <c r="OKY70" s="29"/>
      <c r="OKZ70" s="29"/>
      <c r="OLA70" s="29"/>
      <c r="OLB70" s="29"/>
      <c r="OLC70" s="29"/>
      <c r="OLD70" s="29"/>
      <c r="OLE70" s="29"/>
      <c r="OLF70" s="29"/>
      <c r="OLG70" s="29"/>
      <c r="OLH70" s="29"/>
      <c r="OLI70" s="29"/>
      <c r="OLJ70" s="29"/>
      <c r="OLK70" s="29"/>
      <c r="OLL70" s="29"/>
      <c r="OLM70" s="29"/>
      <c r="OLN70" s="29"/>
      <c r="OLO70" s="29"/>
      <c r="OLP70" s="29"/>
      <c r="OLQ70" s="29"/>
      <c r="OLR70" s="29"/>
      <c r="OLS70" s="29"/>
      <c r="OLT70" s="29"/>
      <c r="OLU70" s="29"/>
      <c r="OLV70" s="29"/>
      <c r="OLW70" s="29"/>
      <c r="OLX70" s="29"/>
      <c r="OLY70" s="29"/>
      <c r="OLZ70" s="29"/>
      <c r="OMA70" s="29"/>
      <c r="OMB70" s="29"/>
      <c r="OMC70" s="29"/>
      <c r="OMD70" s="29"/>
      <c r="OME70" s="29"/>
      <c r="OMF70" s="29"/>
      <c r="OMG70" s="29"/>
      <c r="OMH70" s="29"/>
      <c r="OMI70" s="29"/>
      <c r="OMJ70" s="29"/>
      <c r="OMK70" s="29"/>
      <c r="OML70" s="29"/>
      <c r="OMM70" s="29"/>
      <c r="OMN70" s="29"/>
      <c r="OMO70" s="29"/>
      <c r="OMP70" s="29"/>
      <c r="OMQ70" s="29"/>
      <c r="OMR70" s="29"/>
      <c r="OMS70" s="29"/>
      <c r="OMT70" s="29"/>
      <c r="OMU70" s="29"/>
      <c r="OMV70" s="29"/>
      <c r="OMW70" s="29"/>
      <c r="OMX70" s="29"/>
      <c r="OMY70" s="29"/>
      <c r="OMZ70" s="29"/>
      <c r="ONA70" s="29"/>
      <c r="ONB70" s="29"/>
      <c r="ONC70" s="29"/>
      <c r="OND70" s="29"/>
      <c r="ONE70" s="29"/>
      <c r="ONF70" s="29"/>
      <c r="ONG70" s="29"/>
      <c r="ONH70" s="29"/>
      <c r="ONI70" s="29"/>
      <c r="ONJ70" s="29"/>
      <c r="ONK70" s="29"/>
      <c r="ONL70" s="29"/>
      <c r="ONM70" s="29"/>
      <c r="ONN70" s="29"/>
      <c r="ONO70" s="29"/>
      <c r="ONP70" s="29"/>
      <c r="ONQ70" s="29"/>
      <c r="ONR70" s="29"/>
      <c r="ONS70" s="29"/>
      <c r="ONT70" s="29"/>
      <c r="ONU70" s="29"/>
      <c r="ONV70" s="29"/>
      <c r="ONW70" s="29"/>
      <c r="ONX70" s="29"/>
      <c r="ONY70" s="29"/>
      <c r="ONZ70" s="29"/>
      <c r="OOA70" s="29"/>
      <c r="OOB70" s="29"/>
      <c r="OOC70" s="29"/>
      <c r="OOD70" s="29"/>
      <c r="OOE70" s="29"/>
      <c r="OOF70" s="29"/>
      <c r="OOG70" s="29"/>
      <c r="OOH70" s="29"/>
      <c r="OOI70" s="29"/>
      <c r="OOJ70" s="29"/>
      <c r="OOK70" s="29"/>
      <c r="OOL70" s="29"/>
      <c r="OOM70" s="29"/>
      <c r="OON70" s="29"/>
      <c r="OOO70" s="29"/>
      <c r="OOP70" s="29"/>
      <c r="OOQ70" s="29"/>
      <c r="OOR70" s="29"/>
      <c r="OOS70" s="29"/>
      <c r="OOT70" s="29"/>
      <c r="OOU70" s="29"/>
      <c r="OOV70" s="29"/>
      <c r="OOW70" s="29"/>
      <c r="OOX70" s="29"/>
      <c r="OOY70" s="29"/>
      <c r="OOZ70" s="29"/>
      <c r="OPA70" s="29"/>
      <c r="OPB70" s="29"/>
      <c r="OPC70" s="29"/>
      <c r="OPD70" s="29"/>
      <c r="OPE70" s="29"/>
      <c r="OPF70" s="29"/>
      <c r="OPG70" s="29"/>
      <c r="OPH70" s="29"/>
      <c r="OPI70" s="29"/>
      <c r="OPJ70" s="29"/>
      <c r="OPK70" s="29"/>
      <c r="OPL70" s="29"/>
      <c r="OPM70" s="29"/>
      <c r="OPN70" s="29"/>
      <c r="OPO70" s="29"/>
      <c r="OPP70" s="29"/>
      <c r="OPQ70" s="29"/>
      <c r="OPR70" s="29"/>
      <c r="OPS70" s="29"/>
      <c r="OPT70" s="29"/>
      <c r="OPU70" s="29"/>
      <c r="OPV70" s="29"/>
      <c r="OPW70" s="29"/>
      <c r="OPX70" s="29"/>
      <c r="OPY70" s="29"/>
      <c r="OPZ70" s="29"/>
      <c r="OQA70" s="29"/>
      <c r="OQB70" s="29"/>
      <c r="OQC70" s="29"/>
      <c r="OQD70" s="29"/>
      <c r="OQE70" s="29"/>
      <c r="OQF70" s="29"/>
      <c r="OQG70" s="29"/>
      <c r="OQH70" s="29"/>
      <c r="OQI70" s="29"/>
      <c r="OQJ70" s="29"/>
      <c r="OQK70" s="29"/>
      <c r="OQL70" s="29"/>
      <c r="OQM70" s="29"/>
      <c r="OQN70" s="29"/>
      <c r="OQO70" s="29"/>
      <c r="OQP70" s="29"/>
      <c r="OQQ70" s="29"/>
      <c r="OQR70" s="29"/>
      <c r="OQS70" s="29"/>
      <c r="OQT70" s="29"/>
      <c r="OQU70" s="29"/>
      <c r="OQV70" s="29"/>
      <c r="OQW70" s="29"/>
      <c r="OQX70" s="29"/>
      <c r="OQY70" s="29"/>
      <c r="OQZ70" s="29"/>
      <c r="ORA70" s="29"/>
      <c r="ORB70" s="29"/>
      <c r="ORC70" s="29"/>
      <c r="ORD70" s="29"/>
      <c r="ORE70" s="29"/>
      <c r="ORF70" s="29"/>
      <c r="ORG70" s="29"/>
      <c r="ORH70" s="29"/>
      <c r="ORI70" s="29"/>
      <c r="ORJ70" s="29"/>
      <c r="ORK70" s="29"/>
      <c r="ORL70" s="29"/>
      <c r="ORM70" s="29"/>
      <c r="ORN70" s="29"/>
      <c r="ORO70" s="29"/>
      <c r="ORP70" s="29"/>
      <c r="ORQ70" s="29"/>
      <c r="ORR70" s="29"/>
      <c r="ORS70" s="29"/>
      <c r="ORT70" s="29"/>
      <c r="ORU70" s="29"/>
      <c r="ORV70" s="29"/>
      <c r="ORW70" s="29"/>
      <c r="ORX70" s="29"/>
      <c r="ORY70" s="29"/>
      <c r="ORZ70" s="29"/>
      <c r="OSA70" s="29"/>
      <c r="OSB70" s="29"/>
      <c r="OSC70" s="29"/>
      <c r="OSD70" s="29"/>
      <c r="OSE70" s="29"/>
      <c r="OSF70" s="29"/>
      <c r="OSG70" s="29"/>
      <c r="OSH70" s="29"/>
      <c r="OSI70" s="29"/>
      <c r="OSJ70" s="29"/>
      <c r="OSK70" s="29"/>
      <c r="OSL70" s="29"/>
      <c r="OSM70" s="29"/>
      <c r="OSN70" s="29"/>
      <c r="OSO70" s="29"/>
      <c r="OSP70" s="29"/>
      <c r="OSQ70" s="29"/>
      <c r="OSR70" s="29"/>
      <c r="OSS70" s="29"/>
      <c r="OST70" s="29"/>
      <c r="OSU70" s="29"/>
      <c r="OSV70" s="29"/>
      <c r="OSW70" s="29"/>
      <c r="OSX70" s="29"/>
      <c r="OSY70" s="29"/>
      <c r="OSZ70" s="29"/>
      <c r="OTA70" s="29"/>
      <c r="OTB70" s="29"/>
      <c r="OTC70" s="29"/>
      <c r="OTD70" s="29"/>
      <c r="OTE70" s="29"/>
      <c r="OTF70" s="29"/>
      <c r="OTG70" s="29"/>
      <c r="OTH70" s="29"/>
      <c r="OTI70" s="29"/>
      <c r="OTJ70" s="29"/>
      <c r="OTK70" s="29"/>
      <c r="OTL70" s="29"/>
      <c r="OTM70" s="29"/>
      <c r="OTN70" s="29"/>
      <c r="OTO70" s="29"/>
      <c r="OTP70" s="29"/>
      <c r="OTQ70" s="29"/>
      <c r="OTR70" s="29"/>
      <c r="OTS70" s="29"/>
      <c r="OTT70" s="29"/>
      <c r="OTU70" s="29"/>
      <c r="OTV70" s="29"/>
      <c r="OTW70" s="29"/>
      <c r="OTX70" s="29"/>
      <c r="OTY70" s="29"/>
      <c r="OTZ70" s="29"/>
      <c r="OUA70" s="29"/>
      <c r="OUB70" s="29"/>
      <c r="OUC70" s="29"/>
      <c r="OUD70" s="29"/>
      <c r="OUE70" s="29"/>
      <c r="OUF70" s="29"/>
      <c r="OUG70" s="29"/>
      <c r="OUH70" s="29"/>
      <c r="OUI70" s="29"/>
      <c r="OUJ70" s="29"/>
      <c r="OUK70" s="29"/>
      <c r="OUL70" s="29"/>
      <c r="OUM70" s="29"/>
      <c r="OUN70" s="29"/>
      <c r="OUO70" s="29"/>
      <c r="OUP70" s="29"/>
      <c r="OUQ70" s="29"/>
      <c r="OUR70" s="29"/>
      <c r="OUS70" s="29"/>
      <c r="OUT70" s="29"/>
      <c r="OUU70" s="29"/>
      <c r="OUV70" s="29"/>
      <c r="OUW70" s="29"/>
      <c r="OUX70" s="29"/>
      <c r="OUY70" s="29"/>
      <c r="OUZ70" s="29"/>
      <c r="OVA70" s="29"/>
      <c r="OVB70" s="29"/>
      <c r="OVC70" s="29"/>
      <c r="OVD70" s="29"/>
      <c r="OVE70" s="29"/>
      <c r="OVF70" s="29"/>
      <c r="OVG70" s="29"/>
      <c r="OVH70" s="29"/>
      <c r="OVI70" s="29"/>
      <c r="OVJ70" s="29"/>
      <c r="OVK70" s="29"/>
      <c r="OVL70" s="29"/>
      <c r="OVM70" s="29"/>
      <c r="OVN70" s="29"/>
      <c r="OVO70" s="29"/>
      <c r="OVP70" s="29"/>
      <c r="OVQ70" s="29"/>
      <c r="OVR70" s="29"/>
      <c r="OVS70" s="29"/>
      <c r="OVT70" s="29"/>
      <c r="OVU70" s="29"/>
      <c r="OVV70" s="29"/>
      <c r="OVW70" s="29"/>
      <c r="OVX70" s="29"/>
      <c r="OVY70" s="29"/>
      <c r="OVZ70" s="29"/>
      <c r="OWA70" s="29"/>
      <c r="OWB70" s="29"/>
      <c r="OWC70" s="29"/>
      <c r="OWD70" s="29"/>
      <c r="OWE70" s="29"/>
      <c r="OWF70" s="29"/>
      <c r="OWG70" s="29"/>
      <c r="OWH70" s="29"/>
      <c r="OWI70" s="29"/>
      <c r="OWJ70" s="29"/>
      <c r="OWK70" s="29"/>
      <c r="OWL70" s="29"/>
      <c r="OWM70" s="29"/>
      <c r="OWN70" s="29"/>
      <c r="OWO70" s="29"/>
      <c r="OWP70" s="29"/>
      <c r="OWQ70" s="29"/>
      <c r="OWR70" s="29"/>
      <c r="OWS70" s="29"/>
      <c r="OWT70" s="29"/>
      <c r="OWU70" s="29"/>
      <c r="OWV70" s="29"/>
      <c r="OWW70" s="29"/>
      <c r="OWX70" s="29"/>
      <c r="OWY70" s="29"/>
      <c r="OWZ70" s="29"/>
      <c r="OXA70" s="29"/>
      <c r="OXB70" s="29"/>
      <c r="OXC70" s="29"/>
      <c r="OXD70" s="29"/>
      <c r="OXE70" s="29"/>
      <c r="OXF70" s="29"/>
      <c r="OXG70" s="29"/>
      <c r="OXH70" s="29"/>
      <c r="OXI70" s="29"/>
      <c r="OXJ70" s="29"/>
      <c r="OXK70" s="29"/>
      <c r="OXL70" s="29"/>
      <c r="OXM70" s="29"/>
      <c r="OXN70" s="29"/>
      <c r="OXO70" s="29"/>
      <c r="OXP70" s="29"/>
      <c r="OXQ70" s="29"/>
      <c r="OXR70" s="29"/>
      <c r="OXS70" s="29"/>
      <c r="OXT70" s="29"/>
      <c r="OXU70" s="29"/>
      <c r="OXV70" s="29"/>
      <c r="OXW70" s="29"/>
      <c r="OXX70" s="29"/>
      <c r="OXY70" s="29"/>
      <c r="OXZ70" s="29"/>
      <c r="OYA70" s="29"/>
      <c r="OYB70" s="29"/>
      <c r="OYC70" s="29"/>
      <c r="OYD70" s="29"/>
      <c r="OYE70" s="29"/>
      <c r="OYF70" s="29"/>
      <c r="OYG70" s="29"/>
      <c r="OYH70" s="29"/>
      <c r="OYI70" s="29"/>
      <c r="OYJ70" s="29"/>
      <c r="OYK70" s="29"/>
      <c r="OYL70" s="29"/>
      <c r="OYM70" s="29"/>
      <c r="OYN70" s="29"/>
      <c r="OYO70" s="29"/>
      <c r="OYP70" s="29"/>
      <c r="OYQ70" s="29"/>
      <c r="OYR70" s="29"/>
      <c r="OYS70" s="29"/>
      <c r="OYT70" s="29"/>
      <c r="OYU70" s="29"/>
      <c r="OYV70" s="29"/>
      <c r="OYW70" s="29"/>
      <c r="OYX70" s="29"/>
      <c r="OYY70" s="29"/>
      <c r="OYZ70" s="29"/>
      <c r="OZA70" s="29"/>
      <c r="OZB70" s="29"/>
      <c r="OZC70" s="29"/>
      <c r="OZD70" s="29"/>
      <c r="OZE70" s="29"/>
      <c r="OZF70" s="29"/>
      <c r="OZG70" s="29"/>
      <c r="OZH70" s="29"/>
      <c r="OZI70" s="29"/>
      <c r="OZJ70" s="29"/>
      <c r="OZK70" s="29"/>
      <c r="OZL70" s="29"/>
      <c r="OZM70" s="29"/>
      <c r="OZN70" s="29"/>
      <c r="OZO70" s="29"/>
      <c r="OZP70" s="29"/>
      <c r="OZQ70" s="29"/>
      <c r="OZR70" s="29"/>
      <c r="OZS70" s="29"/>
      <c r="OZT70" s="29"/>
      <c r="OZU70" s="29"/>
      <c r="OZV70" s="29"/>
      <c r="OZW70" s="29"/>
      <c r="OZX70" s="29"/>
      <c r="OZY70" s="29"/>
      <c r="OZZ70" s="29"/>
      <c r="PAA70" s="29"/>
      <c r="PAB70" s="29"/>
      <c r="PAC70" s="29"/>
      <c r="PAD70" s="29"/>
      <c r="PAE70" s="29"/>
      <c r="PAF70" s="29"/>
      <c r="PAG70" s="29"/>
      <c r="PAH70" s="29"/>
      <c r="PAI70" s="29"/>
      <c r="PAJ70" s="29"/>
      <c r="PAK70" s="29"/>
      <c r="PAL70" s="29"/>
      <c r="PAM70" s="29"/>
      <c r="PAN70" s="29"/>
      <c r="PAO70" s="29"/>
      <c r="PAP70" s="29"/>
      <c r="PAQ70" s="29"/>
      <c r="PAR70" s="29"/>
      <c r="PAS70" s="29"/>
      <c r="PAT70" s="29"/>
      <c r="PAU70" s="29"/>
      <c r="PAV70" s="29"/>
      <c r="PAW70" s="29"/>
      <c r="PAX70" s="29"/>
      <c r="PAY70" s="29"/>
      <c r="PAZ70" s="29"/>
      <c r="PBA70" s="29"/>
      <c r="PBB70" s="29"/>
      <c r="PBC70" s="29"/>
      <c r="PBD70" s="29"/>
      <c r="PBE70" s="29"/>
      <c r="PBF70" s="29"/>
      <c r="PBG70" s="29"/>
      <c r="PBH70" s="29"/>
      <c r="PBI70" s="29"/>
      <c r="PBJ70" s="29"/>
      <c r="PBK70" s="29"/>
      <c r="PBL70" s="29"/>
      <c r="PBM70" s="29"/>
      <c r="PBN70" s="29"/>
      <c r="PBO70" s="29"/>
      <c r="PBP70" s="29"/>
      <c r="PBQ70" s="29"/>
      <c r="PBR70" s="29"/>
      <c r="PBS70" s="29"/>
      <c r="PBT70" s="29"/>
      <c r="PBU70" s="29"/>
      <c r="PBV70" s="29"/>
      <c r="PBW70" s="29"/>
      <c r="PBX70" s="29"/>
      <c r="PBY70" s="29"/>
      <c r="PBZ70" s="29"/>
      <c r="PCA70" s="29"/>
      <c r="PCB70" s="29"/>
      <c r="PCC70" s="29"/>
      <c r="PCD70" s="29"/>
      <c r="PCE70" s="29"/>
      <c r="PCF70" s="29"/>
      <c r="PCG70" s="29"/>
      <c r="PCH70" s="29"/>
      <c r="PCI70" s="29"/>
      <c r="PCJ70" s="29"/>
      <c r="PCK70" s="29"/>
      <c r="PCL70" s="29"/>
      <c r="PCM70" s="29"/>
      <c r="PCN70" s="29"/>
      <c r="PCO70" s="29"/>
      <c r="PCP70" s="29"/>
      <c r="PCQ70" s="29"/>
      <c r="PCR70" s="29"/>
      <c r="PCS70" s="29"/>
      <c r="PCT70" s="29"/>
      <c r="PCU70" s="29"/>
      <c r="PCV70" s="29"/>
      <c r="PCW70" s="29"/>
      <c r="PCX70" s="29"/>
      <c r="PCY70" s="29"/>
      <c r="PCZ70" s="29"/>
      <c r="PDA70" s="29"/>
      <c r="PDB70" s="29"/>
      <c r="PDC70" s="29"/>
      <c r="PDD70" s="29"/>
      <c r="PDE70" s="29"/>
      <c r="PDF70" s="29"/>
      <c r="PDG70" s="29"/>
      <c r="PDH70" s="29"/>
      <c r="PDI70" s="29"/>
      <c r="PDJ70" s="29"/>
      <c r="PDK70" s="29"/>
      <c r="PDL70" s="29"/>
      <c r="PDM70" s="29"/>
      <c r="PDN70" s="29"/>
      <c r="PDO70" s="29"/>
      <c r="PDP70" s="29"/>
      <c r="PDQ70" s="29"/>
      <c r="PDR70" s="29"/>
      <c r="PDS70" s="29"/>
      <c r="PDT70" s="29"/>
      <c r="PDU70" s="29"/>
      <c r="PDV70" s="29"/>
      <c r="PDW70" s="29"/>
      <c r="PDX70" s="29"/>
      <c r="PDY70" s="29"/>
      <c r="PDZ70" s="29"/>
      <c r="PEA70" s="29"/>
      <c r="PEB70" s="29"/>
      <c r="PEC70" s="29"/>
      <c r="PED70" s="29"/>
      <c r="PEE70" s="29"/>
      <c r="PEF70" s="29"/>
      <c r="PEG70" s="29"/>
      <c r="PEH70" s="29"/>
      <c r="PEI70" s="29"/>
      <c r="PEJ70" s="29"/>
      <c r="PEK70" s="29"/>
      <c r="PEL70" s="29"/>
      <c r="PEM70" s="29"/>
      <c r="PEN70" s="29"/>
      <c r="PEO70" s="29"/>
      <c r="PEP70" s="29"/>
      <c r="PEQ70" s="29"/>
      <c r="PER70" s="29"/>
      <c r="PES70" s="29"/>
      <c r="PET70" s="29"/>
      <c r="PEU70" s="29"/>
      <c r="PEV70" s="29"/>
      <c r="PEW70" s="29"/>
      <c r="PEX70" s="29"/>
      <c r="PEY70" s="29"/>
      <c r="PEZ70" s="29"/>
      <c r="PFA70" s="29"/>
      <c r="PFB70" s="29"/>
      <c r="PFC70" s="29"/>
      <c r="PFD70" s="29"/>
      <c r="PFE70" s="29"/>
      <c r="PFF70" s="29"/>
      <c r="PFG70" s="29"/>
      <c r="PFH70" s="29"/>
      <c r="PFI70" s="29"/>
      <c r="PFJ70" s="29"/>
      <c r="PFK70" s="29"/>
      <c r="PFL70" s="29"/>
      <c r="PFM70" s="29"/>
      <c r="PFN70" s="29"/>
      <c r="PFO70" s="29"/>
      <c r="PFP70" s="29"/>
      <c r="PFQ70" s="29"/>
      <c r="PFR70" s="29"/>
      <c r="PFS70" s="29"/>
      <c r="PFT70" s="29"/>
      <c r="PFU70" s="29"/>
      <c r="PFV70" s="29"/>
      <c r="PFW70" s="29"/>
      <c r="PFX70" s="29"/>
      <c r="PFY70" s="29"/>
      <c r="PFZ70" s="29"/>
      <c r="PGA70" s="29"/>
      <c r="PGB70" s="29"/>
      <c r="PGC70" s="29"/>
      <c r="PGD70" s="29"/>
      <c r="PGE70" s="29"/>
      <c r="PGF70" s="29"/>
      <c r="PGG70" s="29"/>
      <c r="PGH70" s="29"/>
      <c r="PGI70" s="29"/>
      <c r="PGJ70" s="29"/>
      <c r="PGK70" s="29"/>
      <c r="PGL70" s="29"/>
      <c r="PGM70" s="29"/>
      <c r="PGN70" s="29"/>
      <c r="PGO70" s="29"/>
      <c r="PGP70" s="29"/>
      <c r="PGQ70" s="29"/>
      <c r="PGR70" s="29"/>
      <c r="PGS70" s="29"/>
      <c r="PGT70" s="29"/>
      <c r="PGU70" s="29"/>
      <c r="PGV70" s="29"/>
      <c r="PGW70" s="29"/>
      <c r="PGX70" s="29"/>
      <c r="PGY70" s="29"/>
      <c r="PGZ70" s="29"/>
      <c r="PHA70" s="29"/>
      <c r="PHB70" s="29"/>
      <c r="PHC70" s="29"/>
      <c r="PHD70" s="29"/>
      <c r="PHE70" s="29"/>
      <c r="PHF70" s="29"/>
      <c r="PHG70" s="29"/>
      <c r="PHH70" s="29"/>
      <c r="PHI70" s="29"/>
      <c r="PHJ70" s="29"/>
      <c r="PHK70" s="29"/>
      <c r="PHL70" s="29"/>
      <c r="PHM70" s="29"/>
      <c r="PHN70" s="29"/>
      <c r="PHO70" s="29"/>
      <c r="PHP70" s="29"/>
      <c r="PHQ70" s="29"/>
      <c r="PHR70" s="29"/>
      <c r="PHS70" s="29"/>
      <c r="PHT70" s="29"/>
      <c r="PHU70" s="29"/>
      <c r="PHV70" s="29"/>
      <c r="PHW70" s="29"/>
      <c r="PHX70" s="29"/>
      <c r="PHY70" s="29"/>
      <c r="PHZ70" s="29"/>
      <c r="PIA70" s="29"/>
      <c r="PIB70" s="29"/>
      <c r="PIC70" s="29"/>
      <c r="PID70" s="29"/>
      <c r="PIE70" s="29"/>
      <c r="PIF70" s="29"/>
      <c r="PIG70" s="29"/>
      <c r="PIH70" s="29"/>
      <c r="PII70" s="29"/>
      <c r="PIJ70" s="29"/>
      <c r="PIK70" s="29"/>
      <c r="PIL70" s="29"/>
      <c r="PIM70" s="29"/>
      <c r="PIN70" s="29"/>
      <c r="PIO70" s="29"/>
      <c r="PIP70" s="29"/>
      <c r="PIQ70" s="29"/>
      <c r="PIR70" s="29"/>
      <c r="PIS70" s="29"/>
      <c r="PIT70" s="29"/>
      <c r="PIU70" s="29"/>
      <c r="PIV70" s="29"/>
      <c r="PIW70" s="29"/>
      <c r="PIX70" s="29"/>
      <c r="PIY70" s="29"/>
      <c r="PIZ70" s="29"/>
      <c r="PJA70" s="29"/>
      <c r="PJB70" s="29"/>
      <c r="PJC70" s="29"/>
      <c r="PJD70" s="29"/>
      <c r="PJE70" s="29"/>
      <c r="PJF70" s="29"/>
      <c r="PJG70" s="29"/>
      <c r="PJH70" s="29"/>
      <c r="PJI70" s="29"/>
      <c r="PJJ70" s="29"/>
      <c r="PJK70" s="29"/>
      <c r="PJL70" s="29"/>
      <c r="PJM70" s="29"/>
      <c r="PJN70" s="29"/>
      <c r="PJO70" s="29"/>
      <c r="PJP70" s="29"/>
      <c r="PJQ70" s="29"/>
      <c r="PJR70" s="29"/>
      <c r="PJS70" s="29"/>
      <c r="PJT70" s="29"/>
      <c r="PJU70" s="29"/>
      <c r="PJV70" s="29"/>
      <c r="PJW70" s="29"/>
      <c r="PJX70" s="29"/>
      <c r="PJY70" s="29"/>
      <c r="PJZ70" s="29"/>
      <c r="PKA70" s="29"/>
      <c r="PKB70" s="29"/>
      <c r="PKC70" s="29"/>
      <c r="PKD70" s="29"/>
      <c r="PKE70" s="29"/>
      <c r="PKF70" s="29"/>
      <c r="PKG70" s="29"/>
      <c r="PKH70" s="29"/>
      <c r="PKI70" s="29"/>
      <c r="PKJ70" s="29"/>
      <c r="PKK70" s="29"/>
      <c r="PKL70" s="29"/>
      <c r="PKM70" s="29"/>
      <c r="PKN70" s="29"/>
      <c r="PKO70" s="29"/>
      <c r="PKP70" s="29"/>
      <c r="PKQ70" s="29"/>
      <c r="PKR70" s="29"/>
      <c r="PKS70" s="29"/>
      <c r="PKT70" s="29"/>
      <c r="PKU70" s="29"/>
      <c r="PKV70" s="29"/>
      <c r="PKW70" s="29"/>
      <c r="PKX70" s="29"/>
      <c r="PKY70" s="29"/>
      <c r="PKZ70" s="29"/>
      <c r="PLA70" s="29"/>
      <c r="PLB70" s="29"/>
      <c r="PLC70" s="29"/>
      <c r="PLD70" s="29"/>
      <c r="PLE70" s="29"/>
      <c r="PLF70" s="29"/>
      <c r="PLG70" s="29"/>
      <c r="PLH70" s="29"/>
      <c r="PLI70" s="29"/>
      <c r="PLJ70" s="29"/>
      <c r="PLK70" s="29"/>
      <c r="PLL70" s="29"/>
      <c r="PLM70" s="29"/>
      <c r="PLN70" s="29"/>
      <c r="PLO70" s="29"/>
      <c r="PLP70" s="29"/>
      <c r="PLQ70" s="29"/>
      <c r="PLR70" s="29"/>
      <c r="PLS70" s="29"/>
      <c r="PLT70" s="29"/>
      <c r="PLU70" s="29"/>
      <c r="PLV70" s="29"/>
      <c r="PLW70" s="29"/>
      <c r="PLX70" s="29"/>
      <c r="PLY70" s="29"/>
      <c r="PLZ70" s="29"/>
      <c r="PMA70" s="29"/>
      <c r="PMB70" s="29"/>
      <c r="PMC70" s="29"/>
      <c r="PMD70" s="29"/>
      <c r="PME70" s="29"/>
      <c r="PMF70" s="29"/>
      <c r="PMG70" s="29"/>
      <c r="PMH70" s="29"/>
      <c r="PMI70" s="29"/>
      <c r="PMJ70" s="29"/>
      <c r="PMK70" s="29"/>
      <c r="PML70" s="29"/>
      <c r="PMM70" s="29"/>
      <c r="PMN70" s="29"/>
      <c r="PMO70" s="29"/>
      <c r="PMP70" s="29"/>
      <c r="PMQ70" s="29"/>
      <c r="PMR70" s="29"/>
      <c r="PMS70" s="29"/>
      <c r="PMT70" s="29"/>
      <c r="PMU70" s="29"/>
      <c r="PMV70" s="29"/>
      <c r="PMW70" s="29"/>
      <c r="PMX70" s="29"/>
      <c r="PMY70" s="29"/>
      <c r="PMZ70" s="29"/>
      <c r="PNA70" s="29"/>
      <c r="PNB70" s="29"/>
      <c r="PNC70" s="29"/>
      <c r="PND70" s="29"/>
      <c r="PNE70" s="29"/>
      <c r="PNF70" s="29"/>
      <c r="PNG70" s="29"/>
      <c r="PNH70" s="29"/>
      <c r="PNI70" s="29"/>
      <c r="PNJ70" s="29"/>
      <c r="PNK70" s="29"/>
      <c r="PNL70" s="29"/>
      <c r="PNM70" s="29"/>
      <c r="PNN70" s="29"/>
      <c r="PNO70" s="29"/>
      <c r="PNP70" s="29"/>
      <c r="PNQ70" s="29"/>
      <c r="PNR70" s="29"/>
      <c r="PNS70" s="29"/>
      <c r="PNT70" s="29"/>
      <c r="PNU70" s="29"/>
      <c r="PNV70" s="29"/>
      <c r="PNW70" s="29"/>
      <c r="PNX70" s="29"/>
      <c r="PNY70" s="29"/>
      <c r="PNZ70" s="29"/>
      <c r="POA70" s="29"/>
      <c r="POB70" s="29"/>
      <c r="POC70" s="29"/>
      <c r="POD70" s="29"/>
      <c r="POE70" s="29"/>
      <c r="POF70" s="29"/>
      <c r="POG70" s="29"/>
      <c r="POH70" s="29"/>
      <c r="POI70" s="29"/>
      <c r="POJ70" s="29"/>
      <c r="POK70" s="29"/>
      <c r="POL70" s="29"/>
      <c r="POM70" s="29"/>
      <c r="PON70" s="29"/>
      <c r="POO70" s="29"/>
      <c r="POP70" s="29"/>
      <c r="POQ70" s="29"/>
      <c r="POR70" s="29"/>
      <c r="POS70" s="29"/>
      <c r="POT70" s="29"/>
      <c r="POU70" s="29"/>
      <c r="POV70" s="29"/>
      <c r="POW70" s="29"/>
      <c r="POX70" s="29"/>
      <c r="POY70" s="29"/>
      <c r="POZ70" s="29"/>
      <c r="PPA70" s="29"/>
      <c r="PPB70" s="29"/>
      <c r="PPC70" s="29"/>
      <c r="PPD70" s="29"/>
      <c r="PPE70" s="29"/>
      <c r="PPF70" s="29"/>
      <c r="PPG70" s="29"/>
      <c r="PPH70" s="29"/>
      <c r="PPI70" s="29"/>
      <c r="PPJ70" s="29"/>
      <c r="PPK70" s="29"/>
      <c r="PPL70" s="29"/>
      <c r="PPM70" s="29"/>
      <c r="PPN70" s="29"/>
      <c r="PPO70" s="29"/>
      <c r="PPP70" s="29"/>
      <c r="PPQ70" s="29"/>
      <c r="PPR70" s="29"/>
      <c r="PPS70" s="29"/>
      <c r="PPT70" s="29"/>
      <c r="PPU70" s="29"/>
      <c r="PPV70" s="29"/>
      <c r="PPW70" s="29"/>
      <c r="PPX70" s="29"/>
      <c r="PPY70" s="29"/>
      <c r="PPZ70" s="29"/>
      <c r="PQA70" s="29"/>
      <c r="PQB70" s="29"/>
      <c r="PQC70" s="29"/>
      <c r="PQD70" s="29"/>
      <c r="PQE70" s="29"/>
      <c r="PQF70" s="29"/>
      <c r="PQG70" s="29"/>
      <c r="PQH70" s="29"/>
      <c r="PQI70" s="29"/>
      <c r="PQJ70" s="29"/>
      <c r="PQK70" s="29"/>
      <c r="PQL70" s="29"/>
      <c r="PQM70" s="29"/>
      <c r="PQN70" s="29"/>
      <c r="PQO70" s="29"/>
      <c r="PQP70" s="29"/>
      <c r="PQQ70" s="29"/>
      <c r="PQR70" s="29"/>
      <c r="PQS70" s="29"/>
      <c r="PQT70" s="29"/>
      <c r="PQU70" s="29"/>
      <c r="PQV70" s="29"/>
      <c r="PQW70" s="29"/>
      <c r="PQX70" s="29"/>
      <c r="PQY70" s="29"/>
      <c r="PQZ70" s="29"/>
      <c r="PRA70" s="29"/>
      <c r="PRB70" s="29"/>
      <c r="PRC70" s="29"/>
      <c r="PRD70" s="29"/>
      <c r="PRE70" s="29"/>
      <c r="PRF70" s="29"/>
      <c r="PRG70" s="29"/>
      <c r="PRH70" s="29"/>
      <c r="PRI70" s="29"/>
      <c r="PRJ70" s="29"/>
      <c r="PRK70" s="29"/>
      <c r="PRL70" s="29"/>
      <c r="PRM70" s="29"/>
      <c r="PRN70" s="29"/>
      <c r="PRO70" s="29"/>
      <c r="PRP70" s="29"/>
      <c r="PRQ70" s="29"/>
      <c r="PRR70" s="29"/>
      <c r="PRS70" s="29"/>
      <c r="PRT70" s="29"/>
      <c r="PRU70" s="29"/>
      <c r="PRV70" s="29"/>
      <c r="PRW70" s="29"/>
      <c r="PRX70" s="29"/>
      <c r="PRY70" s="29"/>
      <c r="PRZ70" s="29"/>
      <c r="PSA70" s="29"/>
      <c r="PSB70" s="29"/>
      <c r="PSC70" s="29"/>
      <c r="PSD70" s="29"/>
      <c r="PSE70" s="29"/>
      <c r="PSF70" s="29"/>
      <c r="PSG70" s="29"/>
      <c r="PSH70" s="29"/>
      <c r="PSI70" s="29"/>
      <c r="PSJ70" s="29"/>
      <c r="PSK70" s="29"/>
      <c r="PSL70" s="29"/>
      <c r="PSM70" s="29"/>
      <c r="PSN70" s="29"/>
      <c r="PSO70" s="29"/>
      <c r="PSP70" s="29"/>
      <c r="PSQ70" s="29"/>
      <c r="PSR70" s="29"/>
      <c r="PSS70" s="29"/>
      <c r="PST70" s="29"/>
      <c r="PSU70" s="29"/>
      <c r="PSV70" s="29"/>
      <c r="PSW70" s="29"/>
      <c r="PSX70" s="29"/>
      <c r="PSY70" s="29"/>
      <c r="PSZ70" s="29"/>
      <c r="PTA70" s="29"/>
      <c r="PTB70" s="29"/>
      <c r="PTC70" s="29"/>
      <c r="PTD70" s="29"/>
      <c r="PTE70" s="29"/>
      <c r="PTF70" s="29"/>
      <c r="PTG70" s="29"/>
      <c r="PTH70" s="29"/>
      <c r="PTI70" s="29"/>
      <c r="PTJ70" s="29"/>
      <c r="PTK70" s="29"/>
      <c r="PTL70" s="29"/>
      <c r="PTM70" s="29"/>
      <c r="PTN70" s="29"/>
      <c r="PTO70" s="29"/>
      <c r="PTP70" s="29"/>
      <c r="PTQ70" s="29"/>
      <c r="PTR70" s="29"/>
      <c r="PTS70" s="29"/>
      <c r="PTT70" s="29"/>
      <c r="PTU70" s="29"/>
      <c r="PTV70" s="29"/>
      <c r="PTW70" s="29"/>
      <c r="PTX70" s="29"/>
      <c r="PTY70" s="29"/>
      <c r="PTZ70" s="29"/>
      <c r="PUA70" s="29"/>
      <c r="PUB70" s="29"/>
      <c r="PUC70" s="29"/>
      <c r="PUD70" s="29"/>
      <c r="PUE70" s="29"/>
      <c r="PUF70" s="29"/>
      <c r="PUG70" s="29"/>
      <c r="PUH70" s="29"/>
      <c r="PUI70" s="29"/>
      <c r="PUJ70" s="29"/>
      <c r="PUK70" s="29"/>
      <c r="PUL70" s="29"/>
      <c r="PUM70" s="29"/>
      <c r="PUN70" s="29"/>
      <c r="PUO70" s="29"/>
      <c r="PUP70" s="29"/>
      <c r="PUQ70" s="29"/>
      <c r="PUR70" s="29"/>
      <c r="PUS70" s="29"/>
      <c r="PUT70" s="29"/>
      <c r="PUU70" s="29"/>
      <c r="PUV70" s="29"/>
      <c r="PUW70" s="29"/>
      <c r="PUX70" s="29"/>
      <c r="PUY70" s="29"/>
      <c r="PUZ70" s="29"/>
      <c r="PVA70" s="29"/>
      <c r="PVB70" s="29"/>
      <c r="PVC70" s="29"/>
      <c r="PVD70" s="29"/>
      <c r="PVE70" s="29"/>
      <c r="PVF70" s="29"/>
      <c r="PVG70" s="29"/>
      <c r="PVH70" s="29"/>
      <c r="PVI70" s="29"/>
      <c r="PVJ70" s="29"/>
      <c r="PVK70" s="29"/>
      <c r="PVL70" s="29"/>
      <c r="PVM70" s="29"/>
      <c r="PVN70" s="29"/>
      <c r="PVO70" s="29"/>
      <c r="PVP70" s="29"/>
      <c r="PVQ70" s="29"/>
      <c r="PVR70" s="29"/>
      <c r="PVS70" s="29"/>
      <c r="PVT70" s="29"/>
      <c r="PVU70" s="29"/>
      <c r="PVV70" s="29"/>
      <c r="PVW70" s="29"/>
      <c r="PVX70" s="29"/>
      <c r="PVY70" s="29"/>
      <c r="PVZ70" s="29"/>
      <c r="PWA70" s="29"/>
      <c r="PWB70" s="29"/>
      <c r="PWC70" s="29"/>
      <c r="PWD70" s="29"/>
      <c r="PWE70" s="29"/>
      <c r="PWF70" s="29"/>
      <c r="PWG70" s="29"/>
      <c r="PWH70" s="29"/>
      <c r="PWI70" s="29"/>
      <c r="PWJ70" s="29"/>
      <c r="PWK70" s="29"/>
      <c r="PWL70" s="29"/>
      <c r="PWM70" s="29"/>
      <c r="PWN70" s="29"/>
      <c r="PWO70" s="29"/>
      <c r="PWP70" s="29"/>
      <c r="PWQ70" s="29"/>
      <c r="PWR70" s="29"/>
      <c r="PWS70" s="29"/>
      <c r="PWT70" s="29"/>
      <c r="PWU70" s="29"/>
      <c r="PWV70" s="29"/>
      <c r="PWW70" s="29"/>
      <c r="PWX70" s="29"/>
      <c r="PWY70" s="29"/>
      <c r="PWZ70" s="29"/>
      <c r="PXA70" s="29"/>
      <c r="PXB70" s="29"/>
      <c r="PXC70" s="29"/>
      <c r="PXD70" s="29"/>
      <c r="PXE70" s="29"/>
      <c r="PXF70" s="29"/>
      <c r="PXG70" s="29"/>
      <c r="PXH70" s="29"/>
      <c r="PXI70" s="29"/>
      <c r="PXJ70" s="29"/>
      <c r="PXK70" s="29"/>
      <c r="PXL70" s="29"/>
      <c r="PXM70" s="29"/>
      <c r="PXN70" s="29"/>
      <c r="PXO70" s="29"/>
      <c r="PXP70" s="29"/>
      <c r="PXQ70" s="29"/>
      <c r="PXR70" s="29"/>
      <c r="PXS70" s="29"/>
      <c r="PXT70" s="29"/>
      <c r="PXU70" s="29"/>
      <c r="PXV70" s="29"/>
      <c r="PXW70" s="29"/>
      <c r="PXX70" s="29"/>
      <c r="PXY70" s="29"/>
      <c r="PXZ70" s="29"/>
      <c r="PYA70" s="29"/>
      <c r="PYB70" s="29"/>
      <c r="PYC70" s="29"/>
      <c r="PYD70" s="29"/>
      <c r="PYE70" s="29"/>
      <c r="PYF70" s="29"/>
      <c r="PYG70" s="29"/>
      <c r="PYH70" s="29"/>
      <c r="PYI70" s="29"/>
      <c r="PYJ70" s="29"/>
      <c r="PYK70" s="29"/>
      <c r="PYL70" s="29"/>
      <c r="PYM70" s="29"/>
      <c r="PYN70" s="29"/>
      <c r="PYO70" s="29"/>
      <c r="PYP70" s="29"/>
      <c r="PYQ70" s="29"/>
      <c r="PYR70" s="29"/>
      <c r="PYS70" s="29"/>
      <c r="PYT70" s="29"/>
      <c r="PYU70" s="29"/>
      <c r="PYV70" s="29"/>
      <c r="PYW70" s="29"/>
      <c r="PYX70" s="29"/>
      <c r="PYY70" s="29"/>
      <c r="PYZ70" s="29"/>
      <c r="PZA70" s="29"/>
      <c r="PZB70" s="29"/>
      <c r="PZC70" s="29"/>
      <c r="PZD70" s="29"/>
      <c r="PZE70" s="29"/>
      <c r="PZF70" s="29"/>
      <c r="PZG70" s="29"/>
      <c r="PZH70" s="29"/>
      <c r="PZI70" s="29"/>
      <c r="PZJ70" s="29"/>
      <c r="PZK70" s="29"/>
      <c r="PZL70" s="29"/>
      <c r="PZM70" s="29"/>
      <c r="PZN70" s="29"/>
      <c r="PZO70" s="29"/>
      <c r="PZP70" s="29"/>
      <c r="PZQ70" s="29"/>
      <c r="PZR70" s="29"/>
      <c r="PZS70" s="29"/>
      <c r="PZT70" s="29"/>
      <c r="PZU70" s="29"/>
      <c r="PZV70" s="29"/>
      <c r="PZW70" s="29"/>
      <c r="PZX70" s="29"/>
      <c r="PZY70" s="29"/>
      <c r="PZZ70" s="29"/>
      <c r="QAA70" s="29"/>
      <c r="QAB70" s="29"/>
      <c r="QAC70" s="29"/>
      <c r="QAD70" s="29"/>
      <c r="QAE70" s="29"/>
      <c r="QAF70" s="29"/>
      <c r="QAG70" s="29"/>
      <c r="QAH70" s="29"/>
      <c r="QAI70" s="29"/>
      <c r="QAJ70" s="29"/>
      <c r="QAK70" s="29"/>
      <c r="QAL70" s="29"/>
      <c r="QAM70" s="29"/>
      <c r="QAN70" s="29"/>
      <c r="QAO70" s="29"/>
      <c r="QAP70" s="29"/>
      <c r="QAQ70" s="29"/>
      <c r="QAR70" s="29"/>
      <c r="QAS70" s="29"/>
      <c r="QAT70" s="29"/>
      <c r="QAU70" s="29"/>
      <c r="QAV70" s="29"/>
      <c r="QAW70" s="29"/>
      <c r="QAX70" s="29"/>
      <c r="QAY70" s="29"/>
      <c r="QAZ70" s="29"/>
      <c r="QBA70" s="29"/>
      <c r="QBB70" s="29"/>
      <c r="QBC70" s="29"/>
      <c r="QBD70" s="29"/>
      <c r="QBE70" s="29"/>
      <c r="QBF70" s="29"/>
      <c r="QBG70" s="29"/>
      <c r="QBH70" s="29"/>
      <c r="QBI70" s="29"/>
      <c r="QBJ70" s="29"/>
      <c r="QBK70" s="29"/>
      <c r="QBL70" s="29"/>
      <c r="QBM70" s="29"/>
      <c r="QBN70" s="29"/>
      <c r="QBO70" s="29"/>
      <c r="QBP70" s="29"/>
      <c r="QBQ70" s="29"/>
      <c r="QBR70" s="29"/>
      <c r="QBS70" s="29"/>
      <c r="QBT70" s="29"/>
      <c r="QBU70" s="29"/>
      <c r="QBV70" s="29"/>
      <c r="QBW70" s="29"/>
      <c r="QBX70" s="29"/>
      <c r="QBY70" s="29"/>
      <c r="QBZ70" s="29"/>
      <c r="QCA70" s="29"/>
      <c r="QCB70" s="29"/>
      <c r="QCC70" s="29"/>
      <c r="QCD70" s="29"/>
      <c r="QCE70" s="29"/>
      <c r="QCF70" s="29"/>
      <c r="QCG70" s="29"/>
      <c r="QCH70" s="29"/>
      <c r="QCI70" s="29"/>
      <c r="QCJ70" s="29"/>
      <c r="QCK70" s="29"/>
      <c r="QCL70" s="29"/>
      <c r="QCM70" s="29"/>
      <c r="QCN70" s="29"/>
      <c r="QCO70" s="29"/>
      <c r="QCP70" s="29"/>
      <c r="QCQ70" s="29"/>
      <c r="QCR70" s="29"/>
      <c r="QCS70" s="29"/>
      <c r="QCT70" s="29"/>
      <c r="QCU70" s="29"/>
      <c r="QCV70" s="29"/>
      <c r="QCW70" s="29"/>
      <c r="QCX70" s="29"/>
      <c r="QCY70" s="29"/>
      <c r="QCZ70" s="29"/>
      <c r="QDA70" s="29"/>
      <c r="QDB70" s="29"/>
      <c r="QDC70" s="29"/>
      <c r="QDD70" s="29"/>
      <c r="QDE70" s="29"/>
      <c r="QDF70" s="29"/>
      <c r="QDG70" s="29"/>
      <c r="QDH70" s="29"/>
      <c r="QDI70" s="29"/>
      <c r="QDJ70" s="29"/>
      <c r="QDK70" s="29"/>
      <c r="QDL70" s="29"/>
      <c r="QDM70" s="29"/>
      <c r="QDN70" s="29"/>
      <c r="QDO70" s="29"/>
      <c r="QDP70" s="29"/>
      <c r="QDQ70" s="29"/>
      <c r="QDR70" s="29"/>
      <c r="QDS70" s="29"/>
      <c r="QDT70" s="29"/>
      <c r="QDU70" s="29"/>
      <c r="QDV70" s="29"/>
      <c r="QDW70" s="29"/>
      <c r="QDX70" s="29"/>
      <c r="QDY70" s="29"/>
      <c r="QDZ70" s="29"/>
      <c r="QEA70" s="29"/>
      <c r="QEB70" s="29"/>
      <c r="QEC70" s="29"/>
      <c r="QED70" s="29"/>
      <c r="QEE70" s="29"/>
      <c r="QEF70" s="29"/>
      <c r="QEG70" s="29"/>
      <c r="QEH70" s="29"/>
      <c r="QEI70" s="29"/>
      <c r="QEJ70" s="29"/>
      <c r="QEK70" s="29"/>
      <c r="QEL70" s="29"/>
      <c r="QEM70" s="29"/>
      <c r="QEN70" s="29"/>
      <c r="QEO70" s="29"/>
      <c r="QEP70" s="29"/>
      <c r="QEQ70" s="29"/>
      <c r="QER70" s="29"/>
      <c r="QES70" s="29"/>
      <c r="QET70" s="29"/>
      <c r="QEU70" s="29"/>
      <c r="QEV70" s="29"/>
      <c r="QEW70" s="29"/>
      <c r="QEX70" s="29"/>
      <c r="QEY70" s="29"/>
      <c r="QEZ70" s="29"/>
      <c r="QFA70" s="29"/>
      <c r="QFB70" s="29"/>
      <c r="QFC70" s="29"/>
      <c r="QFD70" s="29"/>
      <c r="QFE70" s="29"/>
      <c r="QFF70" s="29"/>
      <c r="QFG70" s="29"/>
      <c r="QFH70" s="29"/>
      <c r="QFI70" s="29"/>
      <c r="QFJ70" s="29"/>
      <c r="QFK70" s="29"/>
      <c r="QFL70" s="29"/>
      <c r="QFM70" s="29"/>
      <c r="QFN70" s="29"/>
      <c r="QFO70" s="29"/>
      <c r="QFP70" s="29"/>
      <c r="QFQ70" s="29"/>
      <c r="QFR70" s="29"/>
      <c r="QFS70" s="29"/>
      <c r="QFT70" s="29"/>
      <c r="QFU70" s="29"/>
      <c r="QFV70" s="29"/>
      <c r="QFW70" s="29"/>
      <c r="QFX70" s="29"/>
      <c r="QFY70" s="29"/>
      <c r="QFZ70" s="29"/>
      <c r="QGA70" s="29"/>
      <c r="QGB70" s="29"/>
      <c r="QGC70" s="29"/>
      <c r="QGD70" s="29"/>
      <c r="QGE70" s="29"/>
      <c r="QGF70" s="29"/>
      <c r="QGG70" s="29"/>
      <c r="QGH70" s="29"/>
      <c r="QGI70" s="29"/>
      <c r="QGJ70" s="29"/>
      <c r="QGK70" s="29"/>
      <c r="QGL70" s="29"/>
      <c r="QGM70" s="29"/>
      <c r="QGN70" s="29"/>
      <c r="QGO70" s="29"/>
      <c r="QGP70" s="29"/>
      <c r="QGQ70" s="29"/>
      <c r="QGR70" s="29"/>
      <c r="QGS70" s="29"/>
      <c r="QGT70" s="29"/>
      <c r="QGU70" s="29"/>
      <c r="QGV70" s="29"/>
      <c r="QGW70" s="29"/>
      <c r="QGX70" s="29"/>
      <c r="QGY70" s="29"/>
      <c r="QGZ70" s="29"/>
      <c r="QHA70" s="29"/>
      <c r="QHB70" s="29"/>
      <c r="QHC70" s="29"/>
      <c r="QHD70" s="29"/>
      <c r="QHE70" s="29"/>
      <c r="QHF70" s="29"/>
      <c r="QHG70" s="29"/>
      <c r="QHH70" s="29"/>
      <c r="QHI70" s="29"/>
      <c r="QHJ70" s="29"/>
      <c r="QHK70" s="29"/>
      <c r="QHL70" s="29"/>
      <c r="QHM70" s="29"/>
      <c r="QHN70" s="29"/>
      <c r="QHO70" s="29"/>
      <c r="QHP70" s="29"/>
      <c r="QHQ70" s="29"/>
      <c r="QHR70" s="29"/>
      <c r="QHS70" s="29"/>
      <c r="QHT70" s="29"/>
      <c r="QHU70" s="29"/>
      <c r="QHV70" s="29"/>
      <c r="QHW70" s="29"/>
      <c r="QHX70" s="29"/>
      <c r="QHY70" s="29"/>
      <c r="QHZ70" s="29"/>
      <c r="QIA70" s="29"/>
      <c r="QIB70" s="29"/>
      <c r="QIC70" s="29"/>
      <c r="QID70" s="29"/>
      <c r="QIE70" s="29"/>
      <c r="QIF70" s="29"/>
      <c r="QIG70" s="29"/>
      <c r="QIH70" s="29"/>
      <c r="QII70" s="29"/>
      <c r="QIJ70" s="29"/>
      <c r="QIK70" s="29"/>
      <c r="QIL70" s="29"/>
      <c r="QIM70" s="29"/>
      <c r="QIN70" s="29"/>
      <c r="QIO70" s="29"/>
      <c r="QIP70" s="29"/>
      <c r="QIQ70" s="29"/>
      <c r="QIR70" s="29"/>
      <c r="QIS70" s="29"/>
      <c r="QIT70" s="29"/>
      <c r="QIU70" s="29"/>
      <c r="QIV70" s="29"/>
      <c r="QIW70" s="29"/>
      <c r="QIX70" s="29"/>
      <c r="QIY70" s="29"/>
      <c r="QIZ70" s="29"/>
      <c r="QJA70" s="29"/>
      <c r="QJB70" s="29"/>
      <c r="QJC70" s="29"/>
      <c r="QJD70" s="29"/>
      <c r="QJE70" s="29"/>
      <c r="QJF70" s="29"/>
      <c r="QJG70" s="29"/>
      <c r="QJH70" s="29"/>
      <c r="QJI70" s="29"/>
      <c r="QJJ70" s="29"/>
      <c r="QJK70" s="29"/>
      <c r="QJL70" s="29"/>
      <c r="QJM70" s="29"/>
      <c r="QJN70" s="29"/>
      <c r="QJO70" s="29"/>
      <c r="QJP70" s="29"/>
      <c r="QJQ70" s="29"/>
      <c r="QJR70" s="29"/>
      <c r="QJS70" s="29"/>
      <c r="QJT70" s="29"/>
      <c r="QJU70" s="29"/>
      <c r="QJV70" s="29"/>
      <c r="QJW70" s="29"/>
      <c r="QJX70" s="29"/>
      <c r="QJY70" s="29"/>
      <c r="QJZ70" s="29"/>
      <c r="QKA70" s="29"/>
      <c r="QKB70" s="29"/>
      <c r="QKC70" s="29"/>
      <c r="QKD70" s="29"/>
      <c r="QKE70" s="29"/>
      <c r="QKF70" s="29"/>
      <c r="QKG70" s="29"/>
      <c r="QKH70" s="29"/>
      <c r="QKI70" s="29"/>
      <c r="QKJ70" s="29"/>
      <c r="QKK70" s="29"/>
      <c r="QKL70" s="29"/>
      <c r="QKM70" s="29"/>
      <c r="QKN70" s="29"/>
      <c r="QKO70" s="29"/>
      <c r="QKP70" s="29"/>
      <c r="QKQ70" s="29"/>
      <c r="QKR70" s="29"/>
      <c r="QKS70" s="29"/>
      <c r="QKT70" s="29"/>
      <c r="QKU70" s="29"/>
      <c r="QKV70" s="29"/>
      <c r="QKW70" s="29"/>
      <c r="QKX70" s="29"/>
      <c r="QKY70" s="29"/>
      <c r="QKZ70" s="29"/>
      <c r="QLA70" s="29"/>
      <c r="QLB70" s="29"/>
      <c r="QLC70" s="29"/>
      <c r="QLD70" s="29"/>
      <c r="QLE70" s="29"/>
      <c r="QLF70" s="29"/>
      <c r="QLG70" s="29"/>
      <c r="QLH70" s="29"/>
      <c r="QLI70" s="29"/>
      <c r="QLJ70" s="29"/>
      <c r="QLK70" s="29"/>
      <c r="QLL70" s="29"/>
      <c r="QLM70" s="29"/>
      <c r="QLN70" s="29"/>
      <c r="QLO70" s="29"/>
      <c r="QLP70" s="29"/>
      <c r="QLQ70" s="29"/>
      <c r="QLR70" s="29"/>
      <c r="QLS70" s="29"/>
      <c r="QLT70" s="29"/>
      <c r="QLU70" s="29"/>
      <c r="QLV70" s="29"/>
      <c r="QLW70" s="29"/>
      <c r="QLX70" s="29"/>
      <c r="QLY70" s="29"/>
      <c r="QLZ70" s="29"/>
      <c r="QMA70" s="29"/>
      <c r="QMB70" s="29"/>
      <c r="QMC70" s="29"/>
      <c r="QMD70" s="29"/>
      <c r="QME70" s="29"/>
      <c r="QMF70" s="29"/>
      <c r="QMG70" s="29"/>
      <c r="QMH70" s="29"/>
      <c r="QMI70" s="29"/>
      <c r="QMJ70" s="29"/>
      <c r="QMK70" s="29"/>
      <c r="QML70" s="29"/>
      <c r="QMM70" s="29"/>
      <c r="QMN70" s="29"/>
      <c r="QMO70" s="29"/>
      <c r="QMP70" s="29"/>
      <c r="QMQ70" s="29"/>
      <c r="QMR70" s="29"/>
      <c r="QMS70" s="29"/>
      <c r="QMT70" s="29"/>
      <c r="QMU70" s="29"/>
      <c r="QMV70" s="29"/>
      <c r="QMW70" s="29"/>
      <c r="QMX70" s="29"/>
      <c r="QMY70" s="29"/>
      <c r="QMZ70" s="29"/>
      <c r="QNA70" s="29"/>
      <c r="QNB70" s="29"/>
      <c r="QNC70" s="29"/>
      <c r="QND70" s="29"/>
      <c r="QNE70" s="29"/>
      <c r="QNF70" s="29"/>
      <c r="QNG70" s="29"/>
      <c r="QNH70" s="29"/>
      <c r="QNI70" s="29"/>
      <c r="QNJ70" s="29"/>
      <c r="QNK70" s="29"/>
      <c r="QNL70" s="29"/>
      <c r="QNM70" s="29"/>
      <c r="QNN70" s="29"/>
      <c r="QNO70" s="29"/>
      <c r="QNP70" s="29"/>
      <c r="QNQ70" s="29"/>
      <c r="QNR70" s="29"/>
      <c r="QNS70" s="29"/>
      <c r="QNT70" s="29"/>
      <c r="QNU70" s="29"/>
      <c r="QNV70" s="29"/>
      <c r="QNW70" s="29"/>
      <c r="QNX70" s="29"/>
      <c r="QNY70" s="29"/>
      <c r="QNZ70" s="29"/>
      <c r="QOA70" s="29"/>
      <c r="QOB70" s="29"/>
      <c r="QOC70" s="29"/>
      <c r="QOD70" s="29"/>
      <c r="QOE70" s="29"/>
      <c r="QOF70" s="29"/>
      <c r="QOG70" s="29"/>
      <c r="QOH70" s="29"/>
      <c r="QOI70" s="29"/>
      <c r="QOJ70" s="29"/>
      <c r="QOK70" s="29"/>
      <c r="QOL70" s="29"/>
      <c r="QOM70" s="29"/>
      <c r="QON70" s="29"/>
      <c r="QOO70" s="29"/>
      <c r="QOP70" s="29"/>
      <c r="QOQ70" s="29"/>
      <c r="QOR70" s="29"/>
      <c r="QOS70" s="29"/>
      <c r="QOT70" s="29"/>
      <c r="QOU70" s="29"/>
      <c r="QOV70" s="29"/>
      <c r="QOW70" s="29"/>
      <c r="QOX70" s="29"/>
      <c r="QOY70" s="29"/>
      <c r="QOZ70" s="29"/>
      <c r="QPA70" s="29"/>
      <c r="QPB70" s="29"/>
      <c r="QPC70" s="29"/>
      <c r="QPD70" s="29"/>
      <c r="QPE70" s="29"/>
      <c r="QPF70" s="29"/>
      <c r="QPG70" s="29"/>
      <c r="QPH70" s="29"/>
      <c r="QPI70" s="29"/>
      <c r="QPJ70" s="29"/>
      <c r="QPK70" s="29"/>
      <c r="QPL70" s="29"/>
      <c r="QPM70" s="29"/>
      <c r="QPN70" s="29"/>
      <c r="QPO70" s="29"/>
      <c r="QPP70" s="29"/>
      <c r="QPQ70" s="29"/>
      <c r="QPR70" s="29"/>
      <c r="QPS70" s="29"/>
      <c r="QPT70" s="29"/>
      <c r="QPU70" s="29"/>
      <c r="QPV70" s="29"/>
      <c r="QPW70" s="29"/>
      <c r="QPX70" s="29"/>
      <c r="QPY70" s="29"/>
      <c r="QPZ70" s="29"/>
      <c r="QQA70" s="29"/>
      <c r="QQB70" s="29"/>
      <c r="QQC70" s="29"/>
      <c r="QQD70" s="29"/>
      <c r="QQE70" s="29"/>
      <c r="QQF70" s="29"/>
      <c r="QQG70" s="29"/>
      <c r="QQH70" s="29"/>
      <c r="QQI70" s="29"/>
      <c r="QQJ70" s="29"/>
      <c r="QQK70" s="29"/>
      <c r="QQL70" s="29"/>
      <c r="QQM70" s="29"/>
      <c r="QQN70" s="29"/>
      <c r="QQO70" s="29"/>
      <c r="QQP70" s="29"/>
      <c r="QQQ70" s="29"/>
      <c r="QQR70" s="29"/>
      <c r="QQS70" s="29"/>
      <c r="QQT70" s="29"/>
      <c r="QQU70" s="29"/>
      <c r="QQV70" s="29"/>
      <c r="QQW70" s="29"/>
      <c r="QQX70" s="29"/>
      <c r="QQY70" s="29"/>
      <c r="QQZ70" s="29"/>
      <c r="QRA70" s="29"/>
      <c r="QRB70" s="29"/>
      <c r="QRC70" s="29"/>
      <c r="QRD70" s="29"/>
      <c r="QRE70" s="29"/>
      <c r="QRF70" s="29"/>
      <c r="QRG70" s="29"/>
      <c r="QRH70" s="29"/>
      <c r="QRI70" s="29"/>
      <c r="QRJ70" s="29"/>
      <c r="QRK70" s="29"/>
      <c r="QRL70" s="29"/>
      <c r="QRM70" s="29"/>
      <c r="QRN70" s="29"/>
      <c r="QRO70" s="29"/>
      <c r="QRP70" s="29"/>
      <c r="QRQ70" s="29"/>
      <c r="QRR70" s="29"/>
      <c r="QRS70" s="29"/>
      <c r="QRT70" s="29"/>
      <c r="QRU70" s="29"/>
      <c r="QRV70" s="29"/>
      <c r="QRW70" s="29"/>
      <c r="QRX70" s="29"/>
      <c r="QRY70" s="29"/>
      <c r="QRZ70" s="29"/>
      <c r="QSA70" s="29"/>
      <c r="QSB70" s="29"/>
      <c r="QSC70" s="29"/>
      <c r="QSD70" s="29"/>
      <c r="QSE70" s="29"/>
      <c r="QSF70" s="29"/>
      <c r="QSG70" s="29"/>
      <c r="QSH70" s="29"/>
      <c r="QSI70" s="29"/>
      <c r="QSJ70" s="29"/>
      <c r="QSK70" s="29"/>
      <c r="QSL70" s="29"/>
      <c r="QSM70" s="29"/>
      <c r="QSN70" s="29"/>
      <c r="QSO70" s="29"/>
      <c r="QSP70" s="29"/>
      <c r="QSQ70" s="29"/>
      <c r="QSR70" s="29"/>
      <c r="QSS70" s="29"/>
      <c r="QST70" s="29"/>
      <c r="QSU70" s="29"/>
      <c r="QSV70" s="29"/>
      <c r="QSW70" s="29"/>
      <c r="QSX70" s="29"/>
      <c r="QSY70" s="29"/>
      <c r="QSZ70" s="29"/>
      <c r="QTA70" s="29"/>
      <c r="QTB70" s="29"/>
      <c r="QTC70" s="29"/>
      <c r="QTD70" s="29"/>
      <c r="QTE70" s="29"/>
      <c r="QTF70" s="29"/>
      <c r="QTG70" s="29"/>
      <c r="QTH70" s="29"/>
      <c r="QTI70" s="29"/>
      <c r="QTJ70" s="29"/>
      <c r="QTK70" s="29"/>
      <c r="QTL70" s="29"/>
      <c r="QTM70" s="29"/>
      <c r="QTN70" s="29"/>
      <c r="QTO70" s="29"/>
      <c r="QTP70" s="29"/>
      <c r="QTQ70" s="29"/>
      <c r="QTR70" s="29"/>
      <c r="QTS70" s="29"/>
      <c r="QTT70" s="29"/>
      <c r="QTU70" s="29"/>
      <c r="QTV70" s="29"/>
      <c r="QTW70" s="29"/>
      <c r="QTX70" s="29"/>
      <c r="QTY70" s="29"/>
      <c r="QTZ70" s="29"/>
      <c r="QUA70" s="29"/>
      <c r="QUB70" s="29"/>
      <c r="QUC70" s="29"/>
      <c r="QUD70" s="29"/>
      <c r="QUE70" s="29"/>
      <c r="QUF70" s="29"/>
      <c r="QUG70" s="29"/>
      <c r="QUH70" s="29"/>
      <c r="QUI70" s="29"/>
      <c r="QUJ70" s="29"/>
      <c r="QUK70" s="29"/>
      <c r="QUL70" s="29"/>
      <c r="QUM70" s="29"/>
      <c r="QUN70" s="29"/>
      <c r="QUO70" s="29"/>
      <c r="QUP70" s="29"/>
      <c r="QUQ70" s="29"/>
      <c r="QUR70" s="29"/>
      <c r="QUS70" s="29"/>
      <c r="QUT70" s="29"/>
      <c r="QUU70" s="29"/>
      <c r="QUV70" s="29"/>
      <c r="QUW70" s="29"/>
      <c r="QUX70" s="29"/>
      <c r="QUY70" s="29"/>
      <c r="QUZ70" s="29"/>
      <c r="QVA70" s="29"/>
      <c r="QVB70" s="29"/>
      <c r="QVC70" s="29"/>
      <c r="QVD70" s="29"/>
      <c r="QVE70" s="29"/>
      <c r="QVF70" s="29"/>
      <c r="QVG70" s="29"/>
      <c r="QVH70" s="29"/>
      <c r="QVI70" s="29"/>
      <c r="QVJ70" s="29"/>
      <c r="QVK70" s="29"/>
      <c r="QVL70" s="29"/>
      <c r="QVM70" s="29"/>
      <c r="QVN70" s="29"/>
      <c r="QVO70" s="29"/>
      <c r="QVP70" s="29"/>
      <c r="QVQ70" s="29"/>
      <c r="QVR70" s="29"/>
      <c r="QVS70" s="29"/>
      <c r="QVT70" s="29"/>
      <c r="QVU70" s="29"/>
      <c r="QVV70" s="29"/>
      <c r="QVW70" s="29"/>
      <c r="QVX70" s="29"/>
      <c r="QVY70" s="29"/>
      <c r="QVZ70" s="29"/>
      <c r="QWA70" s="29"/>
      <c r="QWB70" s="29"/>
      <c r="QWC70" s="29"/>
      <c r="QWD70" s="29"/>
      <c r="QWE70" s="29"/>
      <c r="QWF70" s="29"/>
      <c r="QWG70" s="29"/>
      <c r="QWH70" s="29"/>
      <c r="QWI70" s="29"/>
      <c r="QWJ70" s="29"/>
      <c r="QWK70" s="29"/>
      <c r="QWL70" s="29"/>
      <c r="QWM70" s="29"/>
      <c r="QWN70" s="29"/>
      <c r="QWO70" s="29"/>
      <c r="QWP70" s="29"/>
      <c r="QWQ70" s="29"/>
      <c r="QWR70" s="29"/>
      <c r="QWS70" s="29"/>
      <c r="QWT70" s="29"/>
      <c r="QWU70" s="29"/>
      <c r="QWV70" s="29"/>
      <c r="QWW70" s="29"/>
      <c r="QWX70" s="29"/>
      <c r="QWY70" s="29"/>
      <c r="QWZ70" s="29"/>
      <c r="QXA70" s="29"/>
      <c r="QXB70" s="29"/>
      <c r="QXC70" s="29"/>
      <c r="QXD70" s="29"/>
      <c r="QXE70" s="29"/>
      <c r="QXF70" s="29"/>
      <c r="QXG70" s="29"/>
      <c r="QXH70" s="29"/>
      <c r="QXI70" s="29"/>
      <c r="QXJ70" s="29"/>
      <c r="QXK70" s="29"/>
      <c r="QXL70" s="29"/>
      <c r="QXM70" s="29"/>
      <c r="QXN70" s="29"/>
      <c r="QXO70" s="29"/>
      <c r="QXP70" s="29"/>
      <c r="QXQ70" s="29"/>
      <c r="QXR70" s="29"/>
      <c r="QXS70" s="29"/>
      <c r="QXT70" s="29"/>
      <c r="QXU70" s="29"/>
      <c r="QXV70" s="29"/>
      <c r="QXW70" s="29"/>
      <c r="QXX70" s="29"/>
      <c r="QXY70" s="29"/>
      <c r="QXZ70" s="29"/>
      <c r="QYA70" s="29"/>
      <c r="QYB70" s="29"/>
      <c r="QYC70" s="29"/>
      <c r="QYD70" s="29"/>
      <c r="QYE70" s="29"/>
      <c r="QYF70" s="29"/>
      <c r="QYG70" s="29"/>
      <c r="QYH70" s="29"/>
      <c r="QYI70" s="29"/>
      <c r="QYJ70" s="29"/>
      <c r="QYK70" s="29"/>
      <c r="QYL70" s="29"/>
      <c r="QYM70" s="29"/>
      <c r="QYN70" s="29"/>
      <c r="QYO70" s="29"/>
      <c r="QYP70" s="29"/>
      <c r="QYQ70" s="29"/>
      <c r="QYR70" s="29"/>
      <c r="QYS70" s="29"/>
      <c r="QYT70" s="29"/>
      <c r="QYU70" s="29"/>
      <c r="QYV70" s="29"/>
      <c r="QYW70" s="29"/>
      <c r="QYX70" s="29"/>
      <c r="QYY70" s="29"/>
      <c r="QYZ70" s="29"/>
      <c r="QZA70" s="29"/>
      <c r="QZB70" s="29"/>
      <c r="QZC70" s="29"/>
      <c r="QZD70" s="29"/>
      <c r="QZE70" s="29"/>
      <c r="QZF70" s="29"/>
      <c r="QZG70" s="29"/>
      <c r="QZH70" s="29"/>
      <c r="QZI70" s="29"/>
      <c r="QZJ70" s="29"/>
      <c r="QZK70" s="29"/>
      <c r="QZL70" s="29"/>
      <c r="QZM70" s="29"/>
      <c r="QZN70" s="29"/>
      <c r="QZO70" s="29"/>
      <c r="QZP70" s="29"/>
      <c r="QZQ70" s="29"/>
      <c r="QZR70" s="29"/>
      <c r="QZS70" s="29"/>
      <c r="QZT70" s="29"/>
      <c r="QZU70" s="29"/>
      <c r="QZV70" s="29"/>
      <c r="QZW70" s="29"/>
      <c r="QZX70" s="29"/>
      <c r="QZY70" s="29"/>
      <c r="QZZ70" s="29"/>
      <c r="RAA70" s="29"/>
      <c r="RAB70" s="29"/>
      <c r="RAC70" s="29"/>
      <c r="RAD70" s="29"/>
      <c r="RAE70" s="29"/>
      <c r="RAF70" s="29"/>
      <c r="RAG70" s="29"/>
      <c r="RAH70" s="29"/>
      <c r="RAI70" s="29"/>
      <c r="RAJ70" s="29"/>
      <c r="RAK70" s="29"/>
      <c r="RAL70" s="29"/>
      <c r="RAM70" s="29"/>
      <c r="RAN70" s="29"/>
      <c r="RAO70" s="29"/>
      <c r="RAP70" s="29"/>
      <c r="RAQ70" s="29"/>
      <c r="RAR70" s="29"/>
      <c r="RAS70" s="29"/>
      <c r="RAT70" s="29"/>
      <c r="RAU70" s="29"/>
      <c r="RAV70" s="29"/>
      <c r="RAW70" s="29"/>
      <c r="RAX70" s="29"/>
      <c r="RAY70" s="29"/>
      <c r="RAZ70" s="29"/>
      <c r="RBA70" s="29"/>
      <c r="RBB70" s="29"/>
      <c r="RBC70" s="29"/>
      <c r="RBD70" s="29"/>
      <c r="RBE70" s="29"/>
      <c r="RBF70" s="29"/>
      <c r="RBG70" s="29"/>
      <c r="RBH70" s="29"/>
      <c r="RBI70" s="29"/>
      <c r="RBJ70" s="29"/>
      <c r="RBK70" s="29"/>
      <c r="RBL70" s="29"/>
      <c r="RBM70" s="29"/>
      <c r="RBN70" s="29"/>
      <c r="RBO70" s="29"/>
      <c r="RBP70" s="29"/>
      <c r="RBQ70" s="29"/>
      <c r="RBR70" s="29"/>
      <c r="RBS70" s="29"/>
      <c r="RBT70" s="29"/>
      <c r="RBU70" s="29"/>
      <c r="RBV70" s="29"/>
      <c r="RBW70" s="29"/>
      <c r="RBX70" s="29"/>
      <c r="RBY70" s="29"/>
      <c r="RBZ70" s="29"/>
      <c r="RCA70" s="29"/>
      <c r="RCB70" s="29"/>
      <c r="RCC70" s="29"/>
      <c r="RCD70" s="29"/>
      <c r="RCE70" s="29"/>
      <c r="RCF70" s="29"/>
      <c r="RCG70" s="29"/>
      <c r="RCH70" s="29"/>
      <c r="RCI70" s="29"/>
      <c r="RCJ70" s="29"/>
      <c r="RCK70" s="29"/>
      <c r="RCL70" s="29"/>
      <c r="RCM70" s="29"/>
      <c r="RCN70" s="29"/>
      <c r="RCO70" s="29"/>
      <c r="RCP70" s="29"/>
      <c r="RCQ70" s="29"/>
      <c r="RCR70" s="29"/>
      <c r="RCS70" s="29"/>
      <c r="RCT70" s="29"/>
      <c r="RCU70" s="29"/>
      <c r="RCV70" s="29"/>
      <c r="RCW70" s="29"/>
      <c r="RCX70" s="29"/>
      <c r="RCY70" s="29"/>
      <c r="RCZ70" s="29"/>
      <c r="RDA70" s="29"/>
      <c r="RDB70" s="29"/>
      <c r="RDC70" s="29"/>
      <c r="RDD70" s="29"/>
      <c r="RDE70" s="29"/>
      <c r="RDF70" s="29"/>
      <c r="RDG70" s="29"/>
      <c r="RDH70" s="29"/>
      <c r="RDI70" s="29"/>
      <c r="RDJ70" s="29"/>
      <c r="RDK70" s="29"/>
      <c r="RDL70" s="29"/>
      <c r="RDM70" s="29"/>
      <c r="RDN70" s="29"/>
      <c r="RDO70" s="29"/>
      <c r="RDP70" s="29"/>
      <c r="RDQ70" s="29"/>
      <c r="RDR70" s="29"/>
      <c r="RDS70" s="29"/>
      <c r="RDT70" s="29"/>
      <c r="RDU70" s="29"/>
      <c r="RDV70" s="29"/>
      <c r="RDW70" s="29"/>
      <c r="RDX70" s="29"/>
      <c r="RDY70" s="29"/>
      <c r="RDZ70" s="29"/>
      <c r="REA70" s="29"/>
      <c r="REB70" s="29"/>
      <c r="REC70" s="29"/>
      <c r="RED70" s="29"/>
      <c r="REE70" s="29"/>
      <c r="REF70" s="29"/>
      <c r="REG70" s="29"/>
      <c r="REH70" s="29"/>
      <c r="REI70" s="29"/>
      <c r="REJ70" s="29"/>
      <c r="REK70" s="29"/>
      <c r="REL70" s="29"/>
      <c r="REM70" s="29"/>
      <c r="REN70" s="29"/>
      <c r="REO70" s="29"/>
      <c r="REP70" s="29"/>
      <c r="REQ70" s="29"/>
      <c r="RER70" s="29"/>
      <c r="RES70" s="29"/>
      <c r="RET70" s="29"/>
      <c r="REU70" s="29"/>
      <c r="REV70" s="29"/>
      <c r="REW70" s="29"/>
      <c r="REX70" s="29"/>
      <c r="REY70" s="29"/>
      <c r="REZ70" s="29"/>
      <c r="RFA70" s="29"/>
      <c r="RFB70" s="29"/>
      <c r="RFC70" s="29"/>
      <c r="RFD70" s="29"/>
      <c r="RFE70" s="29"/>
      <c r="RFF70" s="29"/>
      <c r="RFG70" s="29"/>
      <c r="RFH70" s="29"/>
      <c r="RFI70" s="29"/>
      <c r="RFJ70" s="29"/>
      <c r="RFK70" s="29"/>
      <c r="RFL70" s="29"/>
      <c r="RFM70" s="29"/>
      <c r="RFN70" s="29"/>
      <c r="RFO70" s="29"/>
      <c r="RFP70" s="29"/>
      <c r="RFQ70" s="29"/>
      <c r="RFR70" s="29"/>
      <c r="RFS70" s="29"/>
      <c r="RFT70" s="29"/>
      <c r="RFU70" s="29"/>
      <c r="RFV70" s="29"/>
      <c r="RFW70" s="29"/>
      <c r="RFX70" s="29"/>
      <c r="RFY70" s="29"/>
      <c r="RFZ70" s="29"/>
      <c r="RGA70" s="29"/>
      <c r="RGB70" s="29"/>
      <c r="RGC70" s="29"/>
      <c r="RGD70" s="29"/>
      <c r="RGE70" s="29"/>
      <c r="RGF70" s="29"/>
      <c r="RGG70" s="29"/>
      <c r="RGH70" s="29"/>
      <c r="RGI70" s="29"/>
      <c r="RGJ70" s="29"/>
      <c r="RGK70" s="29"/>
      <c r="RGL70" s="29"/>
      <c r="RGM70" s="29"/>
      <c r="RGN70" s="29"/>
      <c r="RGO70" s="29"/>
      <c r="RGP70" s="29"/>
      <c r="RGQ70" s="29"/>
      <c r="RGR70" s="29"/>
      <c r="RGS70" s="29"/>
      <c r="RGT70" s="29"/>
      <c r="RGU70" s="29"/>
      <c r="RGV70" s="29"/>
      <c r="RGW70" s="29"/>
      <c r="RGX70" s="29"/>
      <c r="RGY70" s="29"/>
      <c r="RGZ70" s="29"/>
      <c r="RHA70" s="29"/>
      <c r="RHB70" s="29"/>
      <c r="RHC70" s="29"/>
      <c r="RHD70" s="29"/>
      <c r="RHE70" s="29"/>
      <c r="RHF70" s="29"/>
      <c r="RHG70" s="29"/>
      <c r="RHH70" s="29"/>
      <c r="RHI70" s="29"/>
      <c r="RHJ70" s="29"/>
      <c r="RHK70" s="29"/>
      <c r="RHL70" s="29"/>
      <c r="RHM70" s="29"/>
      <c r="RHN70" s="29"/>
      <c r="RHO70" s="29"/>
      <c r="RHP70" s="29"/>
      <c r="RHQ70" s="29"/>
      <c r="RHR70" s="29"/>
      <c r="RHS70" s="29"/>
      <c r="RHT70" s="29"/>
      <c r="RHU70" s="29"/>
      <c r="RHV70" s="29"/>
      <c r="RHW70" s="29"/>
      <c r="RHX70" s="29"/>
      <c r="RHY70" s="29"/>
      <c r="RHZ70" s="29"/>
      <c r="RIA70" s="29"/>
      <c r="RIB70" s="29"/>
      <c r="RIC70" s="29"/>
      <c r="RID70" s="29"/>
      <c r="RIE70" s="29"/>
      <c r="RIF70" s="29"/>
      <c r="RIG70" s="29"/>
      <c r="RIH70" s="29"/>
      <c r="RII70" s="29"/>
      <c r="RIJ70" s="29"/>
      <c r="RIK70" s="29"/>
      <c r="RIL70" s="29"/>
      <c r="RIM70" s="29"/>
      <c r="RIN70" s="29"/>
      <c r="RIO70" s="29"/>
      <c r="RIP70" s="29"/>
      <c r="RIQ70" s="29"/>
      <c r="RIR70" s="29"/>
      <c r="RIS70" s="29"/>
      <c r="RIT70" s="29"/>
      <c r="RIU70" s="29"/>
      <c r="RIV70" s="29"/>
      <c r="RIW70" s="29"/>
      <c r="RIX70" s="29"/>
      <c r="RIY70" s="29"/>
      <c r="RIZ70" s="29"/>
      <c r="RJA70" s="29"/>
      <c r="RJB70" s="29"/>
      <c r="RJC70" s="29"/>
      <c r="RJD70" s="29"/>
      <c r="RJE70" s="29"/>
      <c r="RJF70" s="29"/>
      <c r="RJG70" s="29"/>
      <c r="RJH70" s="29"/>
      <c r="RJI70" s="29"/>
      <c r="RJJ70" s="29"/>
      <c r="RJK70" s="29"/>
      <c r="RJL70" s="29"/>
      <c r="RJM70" s="29"/>
      <c r="RJN70" s="29"/>
      <c r="RJO70" s="29"/>
      <c r="RJP70" s="29"/>
      <c r="RJQ70" s="29"/>
      <c r="RJR70" s="29"/>
      <c r="RJS70" s="29"/>
      <c r="RJT70" s="29"/>
      <c r="RJU70" s="29"/>
      <c r="RJV70" s="29"/>
      <c r="RJW70" s="29"/>
      <c r="RJX70" s="29"/>
      <c r="RJY70" s="29"/>
      <c r="RJZ70" s="29"/>
      <c r="RKA70" s="29"/>
      <c r="RKB70" s="29"/>
      <c r="RKC70" s="29"/>
      <c r="RKD70" s="29"/>
      <c r="RKE70" s="29"/>
      <c r="RKF70" s="29"/>
      <c r="RKG70" s="29"/>
      <c r="RKH70" s="29"/>
      <c r="RKI70" s="29"/>
      <c r="RKJ70" s="29"/>
      <c r="RKK70" s="29"/>
      <c r="RKL70" s="29"/>
      <c r="RKM70" s="29"/>
      <c r="RKN70" s="29"/>
      <c r="RKO70" s="29"/>
      <c r="RKP70" s="29"/>
      <c r="RKQ70" s="29"/>
      <c r="RKR70" s="29"/>
      <c r="RKS70" s="29"/>
      <c r="RKT70" s="29"/>
      <c r="RKU70" s="29"/>
      <c r="RKV70" s="29"/>
      <c r="RKW70" s="29"/>
      <c r="RKX70" s="29"/>
      <c r="RKY70" s="29"/>
      <c r="RKZ70" s="29"/>
      <c r="RLA70" s="29"/>
      <c r="RLB70" s="29"/>
      <c r="RLC70" s="29"/>
      <c r="RLD70" s="29"/>
      <c r="RLE70" s="29"/>
      <c r="RLF70" s="29"/>
      <c r="RLG70" s="29"/>
      <c r="RLH70" s="29"/>
      <c r="RLI70" s="29"/>
      <c r="RLJ70" s="29"/>
      <c r="RLK70" s="29"/>
      <c r="RLL70" s="29"/>
      <c r="RLM70" s="29"/>
      <c r="RLN70" s="29"/>
      <c r="RLO70" s="29"/>
      <c r="RLP70" s="29"/>
      <c r="RLQ70" s="29"/>
      <c r="RLR70" s="29"/>
      <c r="RLS70" s="29"/>
      <c r="RLT70" s="29"/>
      <c r="RLU70" s="29"/>
      <c r="RLV70" s="29"/>
      <c r="RLW70" s="29"/>
      <c r="RLX70" s="29"/>
      <c r="RLY70" s="29"/>
      <c r="RLZ70" s="29"/>
      <c r="RMA70" s="29"/>
      <c r="RMB70" s="29"/>
      <c r="RMC70" s="29"/>
      <c r="RMD70" s="29"/>
      <c r="RME70" s="29"/>
      <c r="RMF70" s="29"/>
      <c r="RMG70" s="29"/>
      <c r="RMH70" s="29"/>
      <c r="RMI70" s="29"/>
      <c r="RMJ70" s="29"/>
      <c r="RMK70" s="29"/>
      <c r="RML70" s="29"/>
      <c r="RMM70" s="29"/>
      <c r="RMN70" s="29"/>
      <c r="RMO70" s="29"/>
      <c r="RMP70" s="29"/>
      <c r="RMQ70" s="29"/>
      <c r="RMR70" s="29"/>
      <c r="RMS70" s="29"/>
      <c r="RMT70" s="29"/>
      <c r="RMU70" s="29"/>
      <c r="RMV70" s="29"/>
      <c r="RMW70" s="29"/>
      <c r="RMX70" s="29"/>
      <c r="RMY70" s="29"/>
      <c r="RMZ70" s="29"/>
      <c r="RNA70" s="29"/>
      <c r="RNB70" s="29"/>
      <c r="RNC70" s="29"/>
      <c r="RND70" s="29"/>
      <c r="RNE70" s="29"/>
      <c r="RNF70" s="29"/>
      <c r="RNG70" s="29"/>
      <c r="RNH70" s="29"/>
      <c r="RNI70" s="29"/>
      <c r="RNJ70" s="29"/>
      <c r="RNK70" s="29"/>
      <c r="RNL70" s="29"/>
      <c r="RNM70" s="29"/>
      <c r="RNN70" s="29"/>
      <c r="RNO70" s="29"/>
      <c r="RNP70" s="29"/>
      <c r="RNQ70" s="29"/>
      <c r="RNR70" s="29"/>
      <c r="RNS70" s="29"/>
      <c r="RNT70" s="29"/>
      <c r="RNU70" s="29"/>
      <c r="RNV70" s="29"/>
      <c r="RNW70" s="29"/>
      <c r="RNX70" s="29"/>
      <c r="RNY70" s="29"/>
      <c r="RNZ70" s="29"/>
      <c r="ROA70" s="29"/>
      <c r="ROB70" s="29"/>
      <c r="ROC70" s="29"/>
      <c r="ROD70" s="29"/>
      <c r="ROE70" s="29"/>
      <c r="ROF70" s="29"/>
      <c r="ROG70" s="29"/>
      <c r="ROH70" s="29"/>
      <c r="ROI70" s="29"/>
      <c r="ROJ70" s="29"/>
      <c r="ROK70" s="29"/>
      <c r="ROL70" s="29"/>
      <c r="ROM70" s="29"/>
      <c r="RON70" s="29"/>
      <c r="ROO70" s="29"/>
      <c r="ROP70" s="29"/>
      <c r="ROQ70" s="29"/>
      <c r="ROR70" s="29"/>
      <c r="ROS70" s="29"/>
      <c r="ROT70" s="29"/>
      <c r="ROU70" s="29"/>
      <c r="ROV70" s="29"/>
      <c r="ROW70" s="29"/>
      <c r="ROX70" s="29"/>
      <c r="ROY70" s="29"/>
      <c r="ROZ70" s="29"/>
      <c r="RPA70" s="29"/>
      <c r="RPB70" s="29"/>
      <c r="RPC70" s="29"/>
      <c r="RPD70" s="29"/>
      <c r="RPE70" s="29"/>
      <c r="RPF70" s="29"/>
      <c r="RPG70" s="29"/>
      <c r="RPH70" s="29"/>
      <c r="RPI70" s="29"/>
      <c r="RPJ70" s="29"/>
      <c r="RPK70" s="29"/>
      <c r="RPL70" s="29"/>
      <c r="RPM70" s="29"/>
      <c r="RPN70" s="29"/>
      <c r="RPO70" s="29"/>
      <c r="RPP70" s="29"/>
      <c r="RPQ70" s="29"/>
      <c r="RPR70" s="29"/>
      <c r="RPS70" s="29"/>
      <c r="RPT70" s="29"/>
      <c r="RPU70" s="29"/>
      <c r="RPV70" s="29"/>
      <c r="RPW70" s="29"/>
      <c r="RPX70" s="29"/>
      <c r="RPY70" s="29"/>
      <c r="RPZ70" s="29"/>
      <c r="RQA70" s="29"/>
      <c r="RQB70" s="29"/>
      <c r="RQC70" s="29"/>
      <c r="RQD70" s="29"/>
      <c r="RQE70" s="29"/>
      <c r="RQF70" s="29"/>
      <c r="RQG70" s="29"/>
      <c r="RQH70" s="29"/>
      <c r="RQI70" s="29"/>
      <c r="RQJ70" s="29"/>
      <c r="RQK70" s="29"/>
      <c r="RQL70" s="29"/>
      <c r="RQM70" s="29"/>
      <c r="RQN70" s="29"/>
      <c r="RQO70" s="29"/>
      <c r="RQP70" s="29"/>
      <c r="RQQ70" s="29"/>
      <c r="RQR70" s="29"/>
      <c r="RQS70" s="29"/>
      <c r="RQT70" s="29"/>
      <c r="RQU70" s="29"/>
      <c r="RQV70" s="29"/>
      <c r="RQW70" s="29"/>
      <c r="RQX70" s="29"/>
      <c r="RQY70" s="29"/>
      <c r="RQZ70" s="29"/>
      <c r="RRA70" s="29"/>
      <c r="RRB70" s="29"/>
      <c r="RRC70" s="29"/>
      <c r="RRD70" s="29"/>
      <c r="RRE70" s="29"/>
      <c r="RRF70" s="29"/>
      <c r="RRG70" s="29"/>
      <c r="RRH70" s="29"/>
      <c r="RRI70" s="29"/>
      <c r="RRJ70" s="29"/>
      <c r="RRK70" s="29"/>
      <c r="RRL70" s="29"/>
      <c r="RRM70" s="29"/>
      <c r="RRN70" s="29"/>
      <c r="RRO70" s="29"/>
      <c r="RRP70" s="29"/>
      <c r="RRQ70" s="29"/>
      <c r="RRR70" s="29"/>
      <c r="RRS70" s="29"/>
      <c r="RRT70" s="29"/>
      <c r="RRU70" s="29"/>
      <c r="RRV70" s="29"/>
      <c r="RRW70" s="29"/>
      <c r="RRX70" s="29"/>
      <c r="RRY70" s="29"/>
      <c r="RRZ70" s="29"/>
      <c r="RSA70" s="29"/>
      <c r="RSB70" s="29"/>
      <c r="RSC70" s="29"/>
      <c r="RSD70" s="29"/>
      <c r="RSE70" s="29"/>
      <c r="RSF70" s="29"/>
      <c r="RSG70" s="29"/>
      <c r="RSH70" s="29"/>
      <c r="RSI70" s="29"/>
      <c r="RSJ70" s="29"/>
      <c r="RSK70" s="29"/>
      <c r="RSL70" s="29"/>
      <c r="RSM70" s="29"/>
      <c r="RSN70" s="29"/>
      <c r="RSO70" s="29"/>
      <c r="RSP70" s="29"/>
      <c r="RSQ70" s="29"/>
      <c r="RSR70" s="29"/>
      <c r="RSS70" s="29"/>
      <c r="RST70" s="29"/>
      <c r="RSU70" s="29"/>
      <c r="RSV70" s="29"/>
      <c r="RSW70" s="29"/>
      <c r="RSX70" s="29"/>
      <c r="RSY70" s="29"/>
      <c r="RSZ70" s="29"/>
      <c r="RTA70" s="29"/>
      <c r="RTB70" s="29"/>
      <c r="RTC70" s="29"/>
      <c r="RTD70" s="29"/>
      <c r="RTE70" s="29"/>
      <c r="RTF70" s="29"/>
      <c r="RTG70" s="29"/>
      <c r="RTH70" s="29"/>
      <c r="RTI70" s="29"/>
      <c r="RTJ70" s="29"/>
      <c r="RTK70" s="29"/>
      <c r="RTL70" s="29"/>
      <c r="RTM70" s="29"/>
      <c r="RTN70" s="29"/>
      <c r="RTO70" s="29"/>
      <c r="RTP70" s="29"/>
      <c r="RTQ70" s="29"/>
      <c r="RTR70" s="29"/>
      <c r="RTS70" s="29"/>
      <c r="RTT70" s="29"/>
      <c r="RTU70" s="29"/>
      <c r="RTV70" s="29"/>
      <c r="RTW70" s="29"/>
      <c r="RTX70" s="29"/>
      <c r="RTY70" s="29"/>
      <c r="RTZ70" s="29"/>
      <c r="RUA70" s="29"/>
      <c r="RUB70" s="29"/>
      <c r="RUC70" s="29"/>
      <c r="RUD70" s="29"/>
      <c r="RUE70" s="29"/>
      <c r="RUF70" s="29"/>
      <c r="RUG70" s="29"/>
      <c r="RUH70" s="29"/>
      <c r="RUI70" s="29"/>
      <c r="RUJ70" s="29"/>
      <c r="RUK70" s="29"/>
      <c r="RUL70" s="29"/>
      <c r="RUM70" s="29"/>
      <c r="RUN70" s="29"/>
      <c r="RUO70" s="29"/>
      <c r="RUP70" s="29"/>
      <c r="RUQ70" s="29"/>
      <c r="RUR70" s="29"/>
      <c r="RUS70" s="29"/>
      <c r="RUT70" s="29"/>
      <c r="RUU70" s="29"/>
      <c r="RUV70" s="29"/>
      <c r="RUW70" s="29"/>
      <c r="RUX70" s="29"/>
      <c r="RUY70" s="29"/>
      <c r="RUZ70" s="29"/>
      <c r="RVA70" s="29"/>
      <c r="RVB70" s="29"/>
      <c r="RVC70" s="29"/>
      <c r="RVD70" s="29"/>
      <c r="RVE70" s="29"/>
      <c r="RVF70" s="29"/>
      <c r="RVG70" s="29"/>
      <c r="RVH70" s="29"/>
      <c r="RVI70" s="29"/>
      <c r="RVJ70" s="29"/>
      <c r="RVK70" s="29"/>
      <c r="RVL70" s="29"/>
      <c r="RVM70" s="29"/>
      <c r="RVN70" s="29"/>
      <c r="RVO70" s="29"/>
      <c r="RVP70" s="29"/>
      <c r="RVQ70" s="29"/>
      <c r="RVR70" s="29"/>
      <c r="RVS70" s="29"/>
      <c r="RVT70" s="29"/>
      <c r="RVU70" s="29"/>
      <c r="RVV70" s="29"/>
      <c r="RVW70" s="29"/>
      <c r="RVX70" s="29"/>
      <c r="RVY70" s="29"/>
      <c r="RVZ70" s="29"/>
      <c r="RWA70" s="29"/>
      <c r="RWB70" s="29"/>
      <c r="RWC70" s="29"/>
      <c r="RWD70" s="29"/>
      <c r="RWE70" s="29"/>
      <c r="RWF70" s="29"/>
      <c r="RWG70" s="29"/>
      <c r="RWH70" s="29"/>
      <c r="RWI70" s="29"/>
      <c r="RWJ70" s="29"/>
      <c r="RWK70" s="29"/>
      <c r="RWL70" s="29"/>
      <c r="RWM70" s="29"/>
      <c r="RWN70" s="29"/>
      <c r="RWO70" s="29"/>
      <c r="RWP70" s="29"/>
      <c r="RWQ70" s="29"/>
      <c r="RWR70" s="29"/>
      <c r="RWS70" s="29"/>
      <c r="RWT70" s="29"/>
      <c r="RWU70" s="29"/>
      <c r="RWV70" s="29"/>
      <c r="RWW70" s="29"/>
      <c r="RWX70" s="29"/>
      <c r="RWY70" s="29"/>
      <c r="RWZ70" s="29"/>
      <c r="RXA70" s="29"/>
      <c r="RXB70" s="29"/>
      <c r="RXC70" s="29"/>
      <c r="RXD70" s="29"/>
      <c r="RXE70" s="29"/>
      <c r="RXF70" s="29"/>
      <c r="RXG70" s="29"/>
      <c r="RXH70" s="29"/>
      <c r="RXI70" s="29"/>
      <c r="RXJ70" s="29"/>
      <c r="RXK70" s="29"/>
      <c r="RXL70" s="29"/>
      <c r="RXM70" s="29"/>
      <c r="RXN70" s="29"/>
      <c r="RXO70" s="29"/>
      <c r="RXP70" s="29"/>
      <c r="RXQ70" s="29"/>
      <c r="RXR70" s="29"/>
      <c r="RXS70" s="29"/>
      <c r="RXT70" s="29"/>
      <c r="RXU70" s="29"/>
      <c r="RXV70" s="29"/>
      <c r="RXW70" s="29"/>
      <c r="RXX70" s="29"/>
      <c r="RXY70" s="29"/>
      <c r="RXZ70" s="29"/>
      <c r="RYA70" s="29"/>
      <c r="RYB70" s="29"/>
      <c r="RYC70" s="29"/>
      <c r="RYD70" s="29"/>
      <c r="RYE70" s="29"/>
      <c r="RYF70" s="29"/>
      <c r="RYG70" s="29"/>
      <c r="RYH70" s="29"/>
      <c r="RYI70" s="29"/>
      <c r="RYJ70" s="29"/>
      <c r="RYK70" s="29"/>
      <c r="RYL70" s="29"/>
      <c r="RYM70" s="29"/>
      <c r="RYN70" s="29"/>
      <c r="RYO70" s="29"/>
      <c r="RYP70" s="29"/>
      <c r="RYQ70" s="29"/>
      <c r="RYR70" s="29"/>
      <c r="RYS70" s="29"/>
      <c r="RYT70" s="29"/>
      <c r="RYU70" s="29"/>
      <c r="RYV70" s="29"/>
      <c r="RYW70" s="29"/>
      <c r="RYX70" s="29"/>
      <c r="RYY70" s="29"/>
      <c r="RYZ70" s="29"/>
      <c r="RZA70" s="29"/>
      <c r="RZB70" s="29"/>
      <c r="RZC70" s="29"/>
      <c r="RZD70" s="29"/>
      <c r="RZE70" s="29"/>
      <c r="RZF70" s="29"/>
      <c r="RZG70" s="29"/>
      <c r="RZH70" s="29"/>
      <c r="RZI70" s="29"/>
      <c r="RZJ70" s="29"/>
      <c r="RZK70" s="29"/>
      <c r="RZL70" s="29"/>
      <c r="RZM70" s="29"/>
      <c r="RZN70" s="29"/>
      <c r="RZO70" s="29"/>
      <c r="RZP70" s="29"/>
      <c r="RZQ70" s="29"/>
      <c r="RZR70" s="29"/>
      <c r="RZS70" s="29"/>
      <c r="RZT70" s="29"/>
      <c r="RZU70" s="29"/>
      <c r="RZV70" s="29"/>
      <c r="RZW70" s="29"/>
      <c r="RZX70" s="29"/>
      <c r="RZY70" s="29"/>
      <c r="RZZ70" s="29"/>
      <c r="SAA70" s="29"/>
      <c r="SAB70" s="29"/>
      <c r="SAC70" s="29"/>
      <c r="SAD70" s="29"/>
      <c r="SAE70" s="29"/>
      <c r="SAF70" s="29"/>
      <c r="SAG70" s="29"/>
      <c r="SAH70" s="29"/>
      <c r="SAI70" s="29"/>
      <c r="SAJ70" s="29"/>
      <c r="SAK70" s="29"/>
      <c r="SAL70" s="29"/>
      <c r="SAM70" s="29"/>
      <c r="SAN70" s="29"/>
      <c r="SAO70" s="29"/>
      <c r="SAP70" s="29"/>
      <c r="SAQ70" s="29"/>
      <c r="SAR70" s="29"/>
      <c r="SAS70" s="29"/>
      <c r="SAT70" s="29"/>
      <c r="SAU70" s="29"/>
      <c r="SAV70" s="29"/>
      <c r="SAW70" s="29"/>
      <c r="SAX70" s="29"/>
      <c r="SAY70" s="29"/>
      <c r="SAZ70" s="29"/>
      <c r="SBA70" s="29"/>
      <c r="SBB70" s="29"/>
      <c r="SBC70" s="29"/>
      <c r="SBD70" s="29"/>
      <c r="SBE70" s="29"/>
      <c r="SBF70" s="29"/>
      <c r="SBG70" s="29"/>
      <c r="SBH70" s="29"/>
      <c r="SBI70" s="29"/>
      <c r="SBJ70" s="29"/>
      <c r="SBK70" s="29"/>
      <c r="SBL70" s="29"/>
      <c r="SBM70" s="29"/>
      <c r="SBN70" s="29"/>
      <c r="SBO70" s="29"/>
      <c r="SBP70" s="29"/>
      <c r="SBQ70" s="29"/>
      <c r="SBR70" s="29"/>
      <c r="SBS70" s="29"/>
      <c r="SBT70" s="29"/>
      <c r="SBU70" s="29"/>
      <c r="SBV70" s="29"/>
      <c r="SBW70" s="29"/>
      <c r="SBX70" s="29"/>
      <c r="SBY70" s="29"/>
      <c r="SBZ70" s="29"/>
      <c r="SCA70" s="29"/>
      <c r="SCB70" s="29"/>
      <c r="SCC70" s="29"/>
      <c r="SCD70" s="29"/>
      <c r="SCE70" s="29"/>
      <c r="SCF70" s="29"/>
      <c r="SCG70" s="29"/>
      <c r="SCH70" s="29"/>
      <c r="SCI70" s="29"/>
      <c r="SCJ70" s="29"/>
      <c r="SCK70" s="29"/>
      <c r="SCL70" s="29"/>
      <c r="SCM70" s="29"/>
      <c r="SCN70" s="29"/>
      <c r="SCO70" s="29"/>
      <c r="SCP70" s="29"/>
      <c r="SCQ70" s="29"/>
      <c r="SCR70" s="29"/>
      <c r="SCS70" s="29"/>
      <c r="SCT70" s="29"/>
      <c r="SCU70" s="29"/>
      <c r="SCV70" s="29"/>
      <c r="SCW70" s="29"/>
      <c r="SCX70" s="29"/>
      <c r="SCY70" s="29"/>
      <c r="SCZ70" s="29"/>
      <c r="SDA70" s="29"/>
      <c r="SDB70" s="29"/>
      <c r="SDC70" s="29"/>
      <c r="SDD70" s="29"/>
      <c r="SDE70" s="29"/>
      <c r="SDF70" s="29"/>
      <c r="SDG70" s="29"/>
      <c r="SDH70" s="29"/>
      <c r="SDI70" s="29"/>
      <c r="SDJ70" s="29"/>
      <c r="SDK70" s="29"/>
      <c r="SDL70" s="29"/>
      <c r="SDM70" s="29"/>
      <c r="SDN70" s="29"/>
      <c r="SDO70" s="29"/>
      <c r="SDP70" s="29"/>
      <c r="SDQ70" s="29"/>
      <c r="SDR70" s="29"/>
      <c r="SDS70" s="29"/>
      <c r="SDT70" s="29"/>
      <c r="SDU70" s="29"/>
      <c r="SDV70" s="29"/>
      <c r="SDW70" s="29"/>
      <c r="SDX70" s="29"/>
      <c r="SDY70" s="29"/>
      <c r="SDZ70" s="29"/>
      <c r="SEA70" s="29"/>
      <c r="SEB70" s="29"/>
      <c r="SEC70" s="29"/>
      <c r="SED70" s="29"/>
      <c r="SEE70" s="29"/>
      <c r="SEF70" s="29"/>
      <c r="SEG70" s="29"/>
      <c r="SEH70" s="29"/>
      <c r="SEI70" s="29"/>
      <c r="SEJ70" s="29"/>
      <c r="SEK70" s="29"/>
      <c r="SEL70" s="29"/>
      <c r="SEM70" s="29"/>
      <c r="SEN70" s="29"/>
      <c r="SEO70" s="29"/>
      <c r="SEP70" s="29"/>
      <c r="SEQ70" s="29"/>
      <c r="SER70" s="29"/>
      <c r="SES70" s="29"/>
      <c r="SET70" s="29"/>
      <c r="SEU70" s="29"/>
      <c r="SEV70" s="29"/>
      <c r="SEW70" s="29"/>
      <c r="SEX70" s="29"/>
      <c r="SEY70" s="29"/>
      <c r="SEZ70" s="29"/>
      <c r="SFA70" s="29"/>
      <c r="SFB70" s="29"/>
      <c r="SFC70" s="29"/>
      <c r="SFD70" s="29"/>
      <c r="SFE70" s="29"/>
      <c r="SFF70" s="29"/>
      <c r="SFG70" s="29"/>
      <c r="SFH70" s="29"/>
      <c r="SFI70" s="29"/>
      <c r="SFJ70" s="29"/>
      <c r="SFK70" s="29"/>
      <c r="SFL70" s="29"/>
      <c r="SFM70" s="29"/>
      <c r="SFN70" s="29"/>
      <c r="SFO70" s="29"/>
      <c r="SFP70" s="29"/>
      <c r="SFQ70" s="29"/>
      <c r="SFR70" s="29"/>
      <c r="SFS70" s="29"/>
      <c r="SFT70" s="29"/>
      <c r="SFU70" s="29"/>
      <c r="SFV70" s="29"/>
      <c r="SFW70" s="29"/>
      <c r="SFX70" s="29"/>
      <c r="SFY70" s="29"/>
      <c r="SFZ70" s="29"/>
      <c r="SGA70" s="29"/>
      <c r="SGB70" s="29"/>
      <c r="SGC70" s="29"/>
      <c r="SGD70" s="29"/>
      <c r="SGE70" s="29"/>
      <c r="SGF70" s="29"/>
      <c r="SGG70" s="29"/>
      <c r="SGH70" s="29"/>
      <c r="SGI70" s="29"/>
      <c r="SGJ70" s="29"/>
      <c r="SGK70" s="29"/>
      <c r="SGL70" s="29"/>
      <c r="SGM70" s="29"/>
      <c r="SGN70" s="29"/>
      <c r="SGO70" s="29"/>
      <c r="SGP70" s="29"/>
      <c r="SGQ70" s="29"/>
      <c r="SGR70" s="29"/>
      <c r="SGS70" s="29"/>
      <c r="SGT70" s="29"/>
      <c r="SGU70" s="29"/>
      <c r="SGV70" s="29"/>
      <c r="SGW70" s="29"/>
      <c r="SGX70" s="29"/>
      <c r="SGY70" s="29"/>
      <c r="SGZ70" s="29"/>
      <c r="SHA70" s="29"/>
      <c r="SHB70" s="29"/>
      <c r="SHC70" s="29"/>
      <c r="SHD70" s="29"/>
      <c r="SHE70" s="29"/>
      <c r="SHF70" s="29"/>
      <c r="SHG70" s="29"/>
      <c r="SHH70" s="29"/>
      <c r="SHI70" s="29"/>
      <c r="SHJ70" s="29"/>
      <c r="SHK70" s="29"/>
      <c r="SHL70" s="29"/>
      <c r="SHM70" s="29"/>
      <c r="SHN70" s="29"/>
      <c r="SHO70" s="29"/>
      <c r="SHP70" s="29"/>
      <c r="SHQ70" s="29"/>
      <c r="SHR70" s="29"/>
      <c r="SHS70" s="29"/>
      <c r="SHT70" s="29"/>
      <c r="SHU70" s="29"/>
      <c r="SHV70" s="29"/>
      <c r="SHW70" s="29"/>
      <c r="SHX70" s="29"/>
      <c r="SHY70" s="29"/>
      <c r="SHZ70" s="29"/>
      <c r="SIA70" s="29"/>
      <c r="SIB70" s="29"/>
      <c r="SIC70" s="29"/>
      <c r="SID70" s="29"/>
      <c r="SIE70" s="29"/>
      <c r="SIF70" s="29"/>
      <c r="SIG70" s="29"/>
      <c r="SIH70" s="29"/>
      <c r="SII70" s="29"/>
      <c r="SIJ70" s="29"/>
      <c r="SIK70" s="29"/>
      <c r="SIL70" s="29"/>
      <c r="SIM70" s="29"/>
      <c r="SIN70" s="29"/>
      <c r="SIO70" s="29"/>
      <c r="SIP70" s="29"/>
      <c r="SIQ70" s="29"/>
      <c r="SIR70" s="29"/>
      <c r="SIS70" s="29"/>
      <c r="SIT70" s="29"/>
      <c r="SIU70" s="29"/>
      <c r="SIV70" s="29"/>
      <c r="SIW70" s="29"/>
      <c r="SIX70" s="29"/>
      <c r="SIY70" s="29"/>
      <c r="SIZ70" s="29"/>
      <c r="SJA70" s="29"/>
      <c r="SJB70" s="29"/>
      <c r="SJC70" s="29"/>
      <c r="SJD70" s="29"/>
      <c r="SJE70" s="29"/>
      <c r="SJF70" s="29"/>
      <c r="SJG70" s="29"/>
      <c r="SJH70" s="29"/>
      <c r="SJI70" s="29"/>
      <c r="SJJ70" s="29"/>
      <c r="SJK70" s="29"/>
      <c r="SJL70" s="29"/>
      <c r="SJM70" s="29"/>
      <c r="SJN70" s="29"/>
      <c r="SJO70" s="29"/>
      <c r="SJP70" s="29"/>
      <c r="SJQ70" s="29"/>
      <c r="SJR70" s="29"/>
      <c r="SJS70" s="29"/>
      <c r="SJT70" s="29"/>
      <c r="SJU70" s="29"/>
      <c r="SJV70" s="29"/>
      <c r="SJW70" s="29"/>
      <c r="SJX70" s="29"/>
      <c r="SJY70" s="29"/>
      <c r="SJZ70" s="29"/>
      <c r="SKA70" s="29"/>
      <c r="SKB70" s="29"/>
      <c r="SKC70" s="29"/>
      <c r="SKD70" s="29"/>
      <c r="SKE70" s="29"/>
      <c r="SKF70" s="29"/>
      <c r="SKG70" s="29"/>
      <c r="SKH70" s="29"/>
      <c r="SKI70" s="29"/>
      <c r="SKJ70" s="29"/>
      <c r="SKK70" s="29"/>
      <c r="SKL70" s="29"/>
      <c r="SKM70" s="29"/>
      <c r="SKN70" s="29"/>
      <c r="SKO70" s="29"/>
      <c r="SKP70" s="29"/>
      <c r="SKQ70" s="29"/>
      <c r="SKR70" s="29"/>
      <c r="SKS70" s="29"/>
      <c r="SKT70" s="29"/>
      <c r="SKU70" s="29"/>
      <c r="SKV70" s="29"/>
      <c r="SKW70" s="29"/>
      <c r="SKX70" s="29"/>
      <c r="SKY70" s="29"/>
      <c r="SKZ70" s="29"/>
      <c r="SLA70" s="29"/>
      <c r="SLB70" s="29"/>
      <c r="SLC70" s="29"/>
      <c r="SLD70" s="29"/>
      <c r="SLE70" s="29"/>
      <c r="SLF70" s="29"/>
      <c r="SLG70" s="29"/>
      <c r="SLH70" s="29"/>
      <c r="SLI70" s="29"/>
      <c r="SLJ70" s="29"/>
      <c r="SLK70" s="29"/>
      <c r="SLL70" s="29"/>
      <c r="SLM70" s="29"/>
      <c r="SLN70" s="29"/>
      <c r="SLO70" s="29"/>
      <c r="SLP70" s="29"/>
      <c r="SLQ70" s="29"/>
      <c r="SLR70" s="29"/>
      <c r="SLS70" s="29"/>
      <c r="SLT70" s="29"/>
      <c r="SLU70" s="29"/>
      <c r="SLV70" s="29"/>
      <c r="SLW70" s="29"/>
      <c r="SLX70" s="29"/>
      <c r="SLY70" s="29"/>
      <c r="SLZ70" s="29"/>
      <c r="SMA70" s="29"/>
      <c r="SMB70" s="29"/>
      <c r="SMC70" s="29"/>
      <c r="SMD70" s="29"/>
      <c r="SME70" s="29"/>
      <c r="SMF70" s="29"/>
      <c r="SMG70" s="29"/>
      <c r="SMH70" s="29"/>
      <c r="SMI70" s="29"/>
      <c r="SMJ70" s="29"/>
      <c r="SMK70" s="29"/>
      <c r="SML70" s="29"/>
      <c r="SMM70" s="29"/>
      <c r="SMN70" s="29"/>
      <c r="SMO70" s="29"/>
      <c r="SMP70" s="29"/>
      <c r="SMQ70" s="29"/>
      <c r="SMR70" s="29"/>
      <c r="SMS70" s="29"/>
      <c r="SMT70" s="29"/>
      <c r="SMU70" s="29"/>
      <c r="SMV70" s="29"/>
      <c r="SMW70" s="29"/>
      <c r="SMX70" s="29"/>
      <c r="SMY70" s="29"/>
      <c r="SMZ70" s="29"/>
      <c r="SNA70" s="29"/>
      <c r="SNB70" s="29"/>
      <c r="SNC70" s="29"/>
      <c r="SND70" s="29"/>
      <c r="SNE70" s="29"/>
      <c r="SNF70" s="29"/>
      <c r="SNG70" s="29"/>
      <c r="SNH70" s="29"/>
      <c r="SNI70" s="29"/>
      <c r="SNJ70" s="29"/>
      <c r="SNK70" s="29"/>
      <c r="SNL70" s="29"/>
      <c r="SNM70" s="29"/>
      <c r="SNN70" s="29"/>
      <c r="SNO70" s="29"/>
      <c r="SNP70" s="29"/>
      <c r="SNQ70" s="29"/>
      <c r="SNR70" s="29"/>
      <c r="SNS70" s="29"/>
      <c r="SNT70" s="29"/>
      <c r="SNU70" s="29"/>
      <c r="SNV70" s="29"/>
      <c r="SNW70" s="29"/>
      <c r="SNX70" s="29"/>
      <c r="SNY70" s="29"/>
      <c r="SNZ70" s="29"/>
      <c r="SOA70" s="29"/>
      <c r="SOB70" s="29"/>
      <c r="SOC70" s="29"/>
      <c r="SOD70" s="29"/>
      <c r="SOE70" s="29"/>
      <c r="SOF70" s="29"/>
      <c r="SOG70" s="29"/>
      <c r="SOH70" s="29"/>
      <c r="SOI70" s="29"/>
      <c r="SOJ70" s="29"/>
      <c r="SOK70" s="29"/>
      <c r="SOL70" s="29"/>
      <c r="SOM70" s="29"/>
      <c r="SON70" s="29"/>
      <c r="SOO70" s="29"/>
      <c r="SOP70" s="29"/>
      <c r="SOQ70" s="29"/>
      <c r="SOR70" s="29"/>
      <c r="SOS70" s="29"/>
      <c r="SOT70" s="29"/>
      <c r="SOU70" s="29"/>
      <c r="SOV70" s="29"/>
      <c r="SOW70" s="29"/>
      <c r="SOX70" s="29"/>
      <c r="SOY70" s="29"/>
      <c r="SOZ70" s="29"/>
      <c r="SPA70" s="29"/>
      <c r="SPB70" s="29"/>
      <c r="SPC70" s="29"/>
      <c r="SPD70" s="29"/>
      <c r="SPE70" s="29"/>
      <c r="SPF70" s="29"/>
      <c r="SPG70" s="29"/>
      <c r="SPH70" s="29"/>
      <c r="SPI70" s="29"/>
      <c r="SPJ70" s="29"/>
      <c r="SPK70" s="29"/>
      <c r="SPL70" s="29"/>
      <c r="SPM70" s="29"/>
      <c r="SPN70" s="29"/>
      <c r="SPO70" s="29"/>
      <c r="SPP70" s="29"/>
      <c r="SPQ70" s="29"/>
      <c r="SPR70" s="29"/>
      <c r="SPS70" s="29"/>
      <c r="SPT70" s="29"/>
      <c r="SPU70" s="29"/>
      <c r="SPV70" s="29"/>
      <c r="SPW70" s="29"/>
      <c r="SPX70" s="29"/>
      <c r="SPY70" s="29"/>
      <c r="SPZ70" s="29"/>
      <c r="SQA70" s="29"/>
      <c r="SQB70" s="29"/>
      <c r="SQC70" s="29"/>
      <c r="SQD70" s="29"/>
      <c r="SQE70" s="29"/>
      <c r="SQF70" s="29"/>
      <c r="SQG70" s="29"/>
      <c r="SQH70" s="29"/>
      <c r="SQI70" s="29"/>
      <c r="SQJ70" s="29"/>
      <c r="SQK70" s="29"/>
      <c r="SQL70" s="29"/>
      <c r="SQM70" s="29"/>
      <c r="SQN70" s="29"/>
      <c r="SQO70" s="29"/>
      <c r="SQP70" s="29"/>
      <c r="SQQ70" s="29"/>
      <c r="SQR70" s="29"/>
      <c r="SQS70" s="29"/>
      <c r="SQT70" s="29"/>
      <c r="SQU70" s="29"/>
      <c r="SQV70" s="29"/>
      <c r="SQW70" s="29"/>
      <c r="SQX70" s="29"/>
      <c r="SQY70" s="29"/>
      <c r="SQZ70" s="29"/>
      <c r="SRA70" s="29"/>
      <c r="SRB70" s="29"/>
      <c r="SRC70" s="29"/>
      <c r="SRD70" s="29"/>
      <c r="SRE70" s="29"/>
      <c r="SRF70" s="29"/>
      <c r="SRG70" s="29"/>
      <c r="SRH70" s="29"/>
      <c r="SRI70" s="29"/>
      <c r="SRJ70" s="29"/>
      <c r="SRK70" s="29"/>
      <c r="SRL70" s="29"/>
      <c r="SRM70" s="29"/>
      <c r="SRN70" s="29"/>
      <c r="SRO70" s="29"/>
      <c r="SRP70" s="29"/>
      <c r="SRQ70" s="29"/>
      <c r="SRR70" s="29"/>
      <c r="SRS70" s="29"/>
      <c r="SRT70" s="29"/>
      <c r="SRU70" s="29"/>
      <c r="SRV70" s="29"/>
      <c r="SRW70" s="29"/>
      <c r="SRX70" s="29"/>
      <c r="SRY70" s="29"/>
      <c r="SRZ70" s="29"/>
      <c r="SSA70" s="29"/>
      <c r="SSB70" s="29"/>
      <c r="SSC70" s="29"/>
      <c r="SSD70" s="29"/>
      <c r="SSE70" s="29"/>
      <c r="SSF70" s="29"/>
      <c r="SSG70" s="29"/>
      <c r="SSH70" s="29"/>
      <c r="SSI70" s="29"/>
      <c r="SSJ70" s="29"/>
      <c r="SSK70" s="29"/>
      <c r="SSL70" s="29"/>
      <c r="SSM70" s="29"/>
      <c r="SSN70" s="29"/>
      <c r="SSO70" s="29"/>
      <c r="SSP70" s="29"/>
      <c r="SSQ70" s="29"/>
      <c r="SSR70" s="29"/>
      <c r="SSS70" s="29"/>
      <c r="SST70" s="29"/>
      <c r="SSU70" s="29"/>
      <c r="SSV70" s="29"/>
      <c r="SSW70" s="29"/>
      <c r="SSX70" s="29"/>
      <c r="SSY70" s="29"/>
      <c r="SSZ70" s="29"/>
      <c r="STA70" s="29"/>
      <c r="STB70" s="29"/>
      <c r="STC70" s="29"/>
      <c r="STD70" s="29"/>
      <c r="STE70" s="29"/>
      <c r="STF70" s="29"/>
      <c r="STG70" s="29"/>
      <c r="STH70" s="29"/>
      <c r="STI70" s="29"/>
      <c r="STJ70" s="29"/>
      <c r="STK70" s="29"/>
      <c r="STL70" s="29"/>
      <c r="STM70" s="29"/>
      <c r="STN70" s="29"/>
      <c r="STO70" s="29"/>
      <c r="STP70" s="29"/>
      <c r="STQ70" s="29"/>
      <c r="STR70" s="29"/>
      <c r="STS70" s="29"/>
      <c r="STT70" s="29"/>
      <c r="STU70" s="29"/>
      <c r="STV70" s="29"/>
      <c r="STW70" s="29"/>
      <c r="STX70" s="29"/>
      <c r="STY70" s="29"/>
      <c r="STZ70" s="29"/>
      <c r="SUA70" s="29"/>
      <c r="SUB70" s="29"/>
      <c r="SUC70" s="29"/>
      <c r="SUD70" s="29"/>
      <c r="SUE70" s="29"/>
      <c r="SUF70" s="29"/>
      <c r="SUG70" s="29"/>
      <c r="SUH70" s="29"/>
      <c r="SUI70" s="29"/>
      <c r="SUJ70" s="29"/>
      <c r="SUK70" s="29"/>
      <c r="SUL70" s="29"/>
      <c r="SUM70" s="29"/>
      <c r="SUN70" s="29"/>
      <c r="SUO70" s="29"/>
      <c r="SUP70" s="29"/>
      <c r="SUQ70" s="29"/>
      <c r="SUR70" s="29"/>
      <c r="SUS70" s="29"/>
      <c r="SUT70" s="29"/>
      <c r="SUU70" s="29"/>
      <c r="SUV70" s="29"/>
      <c r="SUW70" s="29"/>
      <c r="SUX70" s="29"/>
      <c r="SUY70" s="29"/>
      <c r="SUZ70" s="29"/>
      <c r="SVA70" s="29"/>
      <c r="SVB70" s="29"/>
      <c r="SVC70" s="29"/>
      <c r="SVD70" s="29"/>
      <c r="SVE70" s="29"/>
      <c r="SVF70" s="29"/>
      <c r="SVG70" s="29"/>
      <c r="SVH70" s="29"/>
      <c r="SVI70" s="29"/>
      <c r="SVJ70" s="29"/>
      <c r="SVK70" s="29"/>
      <c r="SVL70" s="29"/>
      <c r="SVM70" s="29"/>
      <c r="SVN70" s="29"/>
      <c r="SVO70" s="29"/>
      <c r="SVP70" s="29"/>
      <c r="SVQ70" s="29"/>
      <c r="SVR70" s="29"/>
      <c r="SVS70" s="29"/>
      <c r="SVT70" s="29"/>
      <c r="SVU70" s="29"/>
      <c r="SVV70" s="29"/>
      <c r="SVW70" s="29"/>
      <c r="SVX70" s="29"/>
      <c r="SVY70" s="29"/>
      <c r="SVZ70" s="29"/>
      <c r="SWA70" s="29"/>
      <c r="SWB70" s="29"/>
      <c r="SWC70" s="29"/>
      <c r="SWD70" s="29"/>
      <c r="SWE70" s="29"/>
      <c r="SWF70" s="29"/>
      <c r="SWG70" s="29"/>
      <c r="SWH70" s="29"/>
      <c r="SWI70" s="29"/>
      <c r="SWJ70" s="29"/>
      <c r="SWK70" s="29"/>
      <c r="SWL70" s="29"/>
      <c r="SWM70" s="29"/>
      <c r="SWN70" s="29"/>
      <c r="SWO70" s="29"/>
      <c r="SWP70" s="29"/>
      <c r="SWQ70" s="29"/>
      <c r="SWR70" s="29"/>
      <c r="SWS70" s="29"/>
      <c r="SWT70" s="29"/>
      <c r="SWU70" s="29"/>
      <c r="SWV70" s="29"/>
      <c r="SWW70" s="29"/>
      <c r="SWX70" s="29"/>
      <c r="SWY70" s="29"/>
      <c r="SWZ70" s="29"/>
      <c r="SXA70" s="29"/>
      <c r="SXB70" s="29"/>
      <c r="SXC70" s="29"/>
      <c r="SXD70" s="29"/>
      <c r="SXE70" s="29"/>
      <c r="SXF70" s="29"/>
      <c r="SXG70" s="29"/>
      <c r="SXH70" s="29"/>
      <c r="SXI70" s="29"/>
      <c r="SXJ70" s="29"/>
      <c r="SXK70" s="29"/>
      <c r="SXL70" s="29"/>
      <c r="SXM70" s="29"/>
      <c r="SXN70" s="29"/>
      <c r="SXO70" s="29"/>
      <c r="SXP70" s="29"/>
      <c r="SXQ70" s="29"/>
      <c r="SXR70" s="29"/>
      <c r="SXS70" s="29"/>
      <c r="SXT70" s="29"/>
      <c r="SXU70" s="29"/>
      <c r="SXV70" s="29"/>
      <c r="SXW70" s="29"/>
      <c r="SXX70" s="29"/>
      <c r="SXY70" s="29"/>
      <c r="SXZ70" s="29"/>
      <c r="SYA70" s="29"/>
      <c r="SYB70" s="29"/>
      <c r="SYC70" s="29"/>
      <c r="SYD70" s="29"/>
      <c r="SYE70" s="29"/>
      <c r="SYF70" s="29"/>
      <c r="SYG70" s="29"/>
      <c r="SYH70" s="29"/>
      <c r="SYI70" s="29"/>
      <c r="SYJ70" s="29"/>
      <c r="SYK70" s="29"/>
      <c r="SYL70" s="29"/>
      <c r="SYM70" s="29"/>
      <c r="SYN70" s="29"/>
      <c r="SYO70" s="29"/>
      <c r="SYP70" s="29"/>
      <c r="SYQ70" s="29"/>
      <c r="SYR70" s="29"/>
      <c r="SYS70" s="29"/>
      <c r="SYT70" s="29"/>
      <c r="SYU70" s="29"/>
      <c r="SYV70" s="29"/>
      <c r="SYW70" s="29"/>
      <c r="SYX70" s="29"/>
      <c r="SYY70" s="29"/>
      <c r="SYZ70" s="29"/>
      <c r="SZA70" s="29"/>
      <c r="SZB70" s="29"/>
      <c r="SZC70" s="29"/>
      <c r="SZD70" s="29"/>
      <c r="SZE70" s="29"/>
      <c r="SZF70" s="29"/>
      <c r="SZG70" s="29"/>
      <c r="SZH70" s="29"/>
      <c r="SZI70" s="29"/>
      <c r="SZJ70" s="29"/>
      <c r="SZK70" s="29"/>
      <c r="SZL70" s="29"/>
      <c r="SZM70" s="29"/>
      <c r="SZN70" s="29"/>
      <c r="SZO70" s="29"/>
      <c r="SZP70" s="29"/>
      <c r="SZQ70" s="29"/>
      <c r="SZR70" s="29"/>
      <c r="SZS70" s="29"/>
      <c r="SZT70" s="29"/>
      <c r="SZU70" s="29"/>
      <c r="SZV70" s="29"/>
      <c r="SZW70" s="29"/>
      <c r="SZX70" s="29"/>
      <c r="SZY70" s="29"/>
      <c r="SZZ70" s="29"/>
      <c r="TAA70" s="29"/>
      <c r="TAB70" s="29"/>
      <c r="TAC70" s="29"/>
      <c r="TAD70" s="29"/>
      <c r="TAE70" s="29"/>
      <c r="TAF70" s="29"/>
      <c r="TAG70" s="29"/>
      <c r="TAH70" s="29"/>
      <c r="TAI70" s="29"/>
      <c r="TAJ70" s="29"/>
      <c r="TAK70" s="29"/>
      <c r="TAL70" s="29"/>
      <c r="TAM70" s="29"/>
      <c r="TAN70" s="29"/>
      <c r="TAO70" s="29"/>
      <c r="TAP70" s="29"/>
      <c r="TAQ70" s="29"/>
      <c r="TAR70" s="29"/>
      <c r="TAS70" s="29"/>
      <c r="TAT70" s="29"/>
      <c r="TAU70" s="29"/>
      <c r="TAV70" s="29"/>
      <c r="TAW70" s="29"/>
      <c r="TAX70" s="29"/>
      <c r="TAY70" s="29"/>
      <c r="TAZ70" s="29"/>
      <c r="TBA70" s="29"/>
      <c r="TBB70" s="29"/>
      <c r="TBC70" s="29"/>
      <c r="TBD70" s="29"/>
      <c r="TBE70" s="29"/>
      <c r="TBF70" s="29"/>
      <c r="TBG70" s="29"/>
      <c r="TBH70" s="29"/>
      <c r="TBI70" s="29"/>
      <c r="TBJ70" s="29"/>
      <c r="TBK70" s="29"/>
      <c r="TBL70" s="29"/>
      <c r="TBM70" s="29"/>
      <c r="TBN70" s="29"/>
      <c r="TBO70" s="29"/>
      <c r="TBP70" s="29"/>
      <c r="TBQ70" s="29"/>
      <c r="TBR70" s="29"/>
      <c r="TBS70" s="29"/>
      <c r="TBT70" s="29"/>
      <c r="TBU70" s="29"/>
      <c r="TBV70" s="29"/>
      <c r="TBW70" s="29"/>
      <c r="TBX70" s="29"/>
      <c r="TBY70" s="29"/>
      <c r="TBZ70" s="29"/>
      <c r="TCA70" s="29"/>
      <c r="TCB70" s="29"/>
      <c r="TCC70" s="29"/>
      <c r="TCD70" s="29"/>
      <c r="TCE70" s="29"/>
      <c r="TCF70" s="29"/>
      <c r="TCG70" s="29"/>
      <c r="TCH70" s="29"/>
      <c r="TCI70" s="29"/>
      <c r="TCJ70" s="29"/>
      <c r="TCK70" s="29"/>
      <c r="TCL70" s="29"/>
      <c r="TCM70" s="29"/>
      <c r="TCN70" s="29"/>
      <c r="TCO70" s="29"/>
      <c r="TCP70" s="29"/>
      <c r="TCQ70" s="29"/>
      <c r="TCR70" s="29"/>
      <c r="TCS70" s="29"/>
      <c r="TCT70" s="29"/>
      <c r="TCU70" s="29"/>
      <c r="TCV70" s="29"/>
      <c r="TCW70" s="29"/>
      <c r="TCX70" s="29"/>
      <c r="TCY70" s="29"/>
      <c r="TCZ70" s="29"/>
      <c r="TDA70" s="29"/>
      <c r="TDB70" s="29"/>
      <c r="TDC70" s="29"/>
      <c r="TDD70" s="29"/>
      <c r="TDE70" s="29"/>
      <c r="TDF70" s="29"/>
      <c r="TDG70" s="29"/>
      <c r="TDH70" s="29"/>
      <c r="TDI70" s="29"/>
      <c r="TDJ70" s="29"/>
      <c r="TDK70" s="29"/>
      <c r="TDL70" s="29"/>
      <c r="TDM70" s="29"/>
      <c r="TDN70" s="29"/>
      <c r="TDO70" s="29"/>
      <c r="TDP70" s="29"/>
      <c r="TDQ70" s="29"/>
      <c r="TDR70" s="29"/>
      <c r="TDS70" s="29"/>
      <c r="TDT70" s="29"/>
      <c r="TDU70" s="29"/>
      <c r="TDV70" s="29"/>
      <c r="TDW70" s="29"/>
      <c r="TDX70" s="29"/>
      <c r="TDY70" s="29"/>
      <c r="TDZ70" s="29"/>
      <c r="TEA70" s="29"/>
      <c r="TEB70" s="29"/>
      <c r="TEC70" s="29"/>
      <c r="TED70" s="29"/>
      <c r="TEE70" s="29"/>
      <c r="TEF70" s="29"/>
      <c r="TEG70" s="29"/>
      <c r="TEH70" s="29"/>
      <c r="TEI70" s="29"/>
      <c r="TEJ70" s="29"/>
      <c r="TEK70" s="29"/>
      <c r="TEL70" s="29"/>
      <c r="TEM70" s="29"/>
      <c r="TEN70" s="29"/>
      <c r="TEO70" s="29"/>
      <c r="TEP70" s="29"/>
      <c r="TEQ70" s="29"/>
      <c r="TER70" s="29"/>
      <c r="TES70" s="29"/>
      <c r="TET70" s="29"/>
      <c r="TEU70" s="29"/>
      <c r="TEV70" s="29"/>
      <c r="TEW70" s="29"/>
      <c r="TEX70" s="29"/>
      <c r="TEY70" s="29"/>
      <c r="TEZ70" s="29"/>
      <c r="TFA70" s="29"/>
      <c r="TFB70" s="29"/>
      <c r="TFC70" s="29"/>
      <c r="TFD70" s="29"/>
      <c r="TFE70" s="29"/>
      <c r="TFF70" s="29"/>
      <c r="TFG70" s="29"/>
      <c r="TFH70" s="29"/>
      <c r="TFI70" s="29"/>
      <c r="TFJ70" s="29"/>
      <c r="TFK70" s="29"/>
      <c r="TFL70" s="29"/>
      <c r="TFM70" s="29"/>
      <c r="TFN70" s="29"/>
      <c r="TFO70" s="29"/>
      <c r="TFP70" s="29"/>
      <c r="TFQ70" s="29"/>
      <c r="TFR70" s="29"/>
      <c r="TFS70" s="29"/>
      <c r="TFT70" s="29"/>
      <c r="TFU70" s="29"/>
      <c r="TFV70" s="29"/>
      <c r="TFW70" s="29"/>
      <c r="TFX70" s="29"/>
      <c r="TFY70" s="29"/>
      <c r="TFZ70" s="29"/>
      <c r="TGA70" s="29"/>
      <c r="TGB70" s="29"/>
      <c r="TGC70" s="29"/>
      <c r="TGD70" s="29"/>
      <c r="TGE70" s="29"/>
      <c r="TGF70" s="29"/>
      <c r="TGG70" s="29"/>
      <c r="TGH70" s="29"/>
      <c r="TGI70" s="29"/>
      <c r="TGJ70" s="29"/>
      <c r="TGK70" s="29"/>
      <c r="TGL70" s="29"/>
      <c r="TGM70" s="29"/>
      <c r="TGN70" s="29"/>
      <c r="TGO70" s="29"/>
      <c r="TGP70" s="29"/>
      <c r="TGQ70" s="29"/>
      <c r="TGR70" s="29"/>
      <c r="TGS70" s="29"/>
      <c r="TGT70" s="29"/>
      <c r="TGU70" s="29"/>
      <c r="TGV70" s="29"/>
      <c r="TGW70" s="29"/>
      <c r="TGX70" s="29"/>
      <c r="TGY70" s="29"/>
      <c r="TGZ70" s="29"/>
      <c r="THA70" s="29"/>
      <c r="THB70" s="29"/>
      <c r="THC70" s="29"/>
      <c r="THD70" s="29"/>
      <c r="THE70" s="29"/>
      <c r="THF70" s="29"/>
      <c r="THG70" s="29"/>
      <c r="THH70" s="29"/>
      <c r="THI70" s="29"/>
      <c r="THJ70" s="29"/>
      <c r="THK70" s="29"/>
      <c r="THL70" s="29"/>
      <c r="THM70" s="29"/>
      <c r="THN70" s="29"/>
      <c r="THO70" s="29"/>
      <c r="THP70" s="29"/>
      <c r="THQ70" s="29"/>
      <c r="THR70" s="29"/>
      <c r="THS70" s="29"/>
      <c r="THT70" s="29"/>
      <c r="THU70" s="29"/>
      <c r="THV70" s="29"/>
      <c r="THW70" s="29"/>
      <c r="THX70" s="29"/>
      <c r="THY70" s="29"/>
      <c r="THZ70" s="29"/>
      <c r="TIA70" s="29"/>
      <c r="TIB70" s="29"/>
      <c r="TIC70" s="29"/>
      <c r="TID70" s="29"/>
      <c r="TIE70" s="29"/>
      <c r="TIF70" s="29"/>
      <c r="TIG70" s="29"/>
      <c r="TIH70" s="29"/>
      <c r="TII70" s="29"/>
      <c r="TIJ70" s="29"/>
      <c r="TIK70" s="29"/>
      <c r="TIL70" s="29"/>
      <c r="TIM70" s="29"/>
      <c r="TIN70" s="29"/>
      <c r="TIO70" s="29"/>
      <c r="TIP70" s="29"/>
      <c r="TIQ70" s="29"/>
      <c r="TIR70" s="29"/>
      <c r="TIS70" s="29"/>
      <c r="TIT70" s="29"/>
      <c r="TIU70" s="29"/>
      <c r="TIV70" s="29"/>
      <c r="TIW70" s="29"/>
      <c r="TIX70" s="29"/>
      <c r="TIY70" s="29"/>
      <c r="TIZ70" s="29"/>
      <c r="TJA70" s="29"/>
      <c r="TJB70" s="29"/>
      <c r="TJC70" s="29"/>
      <c r="TJD70" s="29"/>
      <c r="TJE70" s="29"/>
      <c r="TJF70" s="29"/>
      <c r="TJG70" s="29"/>
      <c r="TJH70" s="29"/>
      <c r="TJI70" s="29"/>
      <c r="TJJ70" s="29"/>
      <c r="TJK70" s="29"/>
      <c r="TJL70" s="29"/>
      <c r="TJM70" s="29"/>
      <c r="TJN70" s="29"/>
      <c r="TJO70" s="29"/>
      <c r="TJP70" s="29"/>
      <c r="TJQ70" s="29"/>
      <c r="TJR70" s="29"/>
      <c r="TJS70" s="29"/>
      <c r="TJT70" s="29"/>
      <c r="TJU70" s="29"/>
      <c r="TJV70" s="29"/>
      <c r="TJW70" s="29"/>
      <c r="TJX70" s="29"/>
      <c r="TJY70" s="29"/>
      <c r="TJZ70" s="29"/>
      <c r="TKA70" s="29"/>
      <c r="TKB70" s="29"/>
      <c r="TKC70" s="29"/>
      <c r="TKD70" s="29"/>
      <c r="TKE70" s="29"/>
      <c r="TKF70" s="29"/>
      <c r="TKG70" s="29"/>
      <c r="TKH70" s="29"/>
      <c r="TKI70" s="29"/>
      <c r="TKJ70" s="29"/>
      <c r="TKK70" s="29"/>
      <c r="TKL70" s="29"/>
      <c r="TKM70" s="29"/>
      <c r="TKN70" s="29"/>
      <c r="TKO70" s="29"/>
      <c r="TKP70" s="29"/>
      <c r="TKQ70" s="29"/>
      <c r="TKR70" s="29"/>
      <c r="TKS70" s="29"/>
      <c r="TKT70" s="29"/>
      <c r="TKU70" s="29"/>
      <c r="TKV70" s="29"/>
      <c r="TKW70" s="29"/>
      <c r="TKX70" s="29"/>
      <c r="TKY70" s="29"/>
      <c r="TKZ70" s="29"/>
      <c r="TLA70" s="29"/>
      <c r="TLB70" s="29"/>
      <c r="TLC70" s="29"/>
      <c r="TLD70" s="29"/>
      <c r="TLE70" s="29"/>
      <c r="TLF70" s="29"/>
      <c r="TLG70" s="29"/>
      <c r="TLH70" s="29"/>
      <c r="TLI70" s="29"/>
      <c r="TLJ70" s="29"/>
      <c r="TLK70" s="29"/>
      <c r="TLL70" s="29"/>
      <c r="TLM70" s="29"/>
      <c r="TLN70" s="29"/>
      <c r="TLO70" s="29"/>
      <c r="TLP70" s="29"/>
      <c r="TLQ70" s="29"/>
      <c r="TLR70" s="29"/>
      <c r="TLS70" s="29"/>
      <c r="TLT70" s="29"/>
      <c r="TLU70" s="29"/>
      <c r="TLV70" s="29"/>
      <c r="TLW70" s="29"/>
      <c r="TLX70" s="29"/>
      <c r="TLY70" s="29"/>
      <c r="TLZ70" s="29"/>
      <c r="TMA70" s="29"/>
      <c r="TMB70" s="29"/>
      <c r="TMC70" s="29"/>
      <c r="TMD70" s="29"/>
      <c r="TME70" s="29"/>
      <c r="TMF70" s="29"/>
      <c r="TMG70" s="29"/>
      <c r="TMH70" s="29"/>
      <c r="TMI70" s="29"/>
      <c r="TMJ70" s="29"/>
      <c r="TMK70" s="29"/>
      <c r="TML70" s="29"/>
      <c r="TMM70" s="29"/>
      <c r="TMN70" s="29"/>
      <c r="TMO70" s="29"/>
      <c r="TMP70" s="29"/>
      <c r="TMQ70" s="29"/>
      <c r="TMR70" s="29"/>
      <c r="TMS70" s="29"/>
      <c r="TMT70" s="29"/>
      <c r="TMU70" s="29"/>
      <c r="TMV70" s="29"/>
      <c r="TMW70" s="29"/>
      <c r="TMX70" s="29"/>
      <c r="TMY70" s="29"/>
      <c r="TMZ70" s="29"/>
      <c r="TNA70" s="29"/>
      <c r="TNB70" s="29"/>
      <c r="TNC70" s="29"/>
      <c r="TND70" s="29"/>
      <c r="TNE70" s="29"/>
      <c r="TNF70" s="29"/>
      <c r="TNG70" s="29"/>
      <c r="TNH70" s="29"/>
      <c r="TNI70" s="29"/>
      <c r="TNJ70" s="29"/>
      <c r="TNK70" s="29"/>
      <c r="TNL70" s="29"/>
      <c r="TNM70" s="29"/>
      <c r="TNN70" s="29"/>
      <c r="TNO70" s="29"/>
      <c r="TNP70" s="29"/>
      <c r="TNQ70" s="29"/>
      <c r="TNR70" s="29"/>
      <c r="TNS70" s="29"/>
      <c r="TNT70" s="29"/>
      <c r="TNU70" s="29"/>
      <c r="TNV70" s="29"/>
      <c r="TNW70" s="29"/>
      <c r="TNX70" s="29"/>
      <c r="TNY70" s="29"/>
      <c r="TNZ70" s="29"/>
      <c r="TOA70" s="29"/>
      <c r="TOB70" s="29"/>
      <c r="TOC70" s="29"/>
      <c r="TOD70" s="29"/>
      <c r="TOE70" s="29"/>
      <c r="TOF70" s="29"/>
      <c r="TOG70" s="29"/>
      <c r="TOH70" s="29"/>
      <c r="TOI70" s="29"/>
      <c r="TOJ70" s="29"/>
      <c r="TOK70" s="29"/>
      <c r="TOL70" s="29"/>
      <c r="TOM70" s="29"/>
      <c r="TON70" s="29"/>
      <c r="TOO70" s="29"/>
      <c r="TOP70" s="29"/>
      <c r="TOQ70" s="29"/>
      <c r="TOR70" s="29"/>
      <c r="TOS70" s="29"/>
      <c r="TOT70" s="29"/>
      <c r="TOU70" s="29"/>
      <c r="TOV70" s="29"/>
      <c r="TOW70" s="29"/>
      <c r="TOX70" s="29"/>
      <c r="TOY70" s="29"/>
      <c r="TOZ70" s="29"/>
      <c r="TPA70" s="29"/>
      <c r="TPB70" s="29"/>
      <c r="TPC70" s="29"/>
      <c r="TPD70" s="29"/>
      <c r="TPE70" s="29"/>
      <c r="TPF70" s="29"/>
      <c r="TPG70" s="29"/>
      <c r="TPH70" s="29"/>
      <c r="TPI70" s="29"/>
      <c r="TPJ70" s="29"/>
      <c r="TPK70" s="29"/>
      <c r="TPL70" s="29"/>
      <c r="TPM70" s="29"/>
      <c r="TPN70" s="29"/>
      <c r="TPO70" s="29"/>
      <c r="TPP70" s="29"/>
      <c r="TPQ70" s="29"/>
      <c r="TPR70" s="29"/>
      <c r="TPS70" s="29"/>
      <c r="TPT70" s="29"/>
      <c r="TPU70" s="29"/>
      <c r="TPV70" s="29"/>
      <c r="TPW70" s="29"/>
      <c r="TPX70" s="29"/>
      <c r="TPY70" s="29"/>
      <c r="TPZ70" s="29"/>
      <c r="TQA70" s="29"/>
      <c r="TQB70" s="29"/>
      <c r="TQC70" s="29"/>
      <c r="TQD70" s="29"/>
      <c r="TQE70" s="29"/>
      <c r="TQF70" s="29"/>
      <c r="TQG70" s="29"/>
      <c r="TQH70" s="29"/>
      <c r="TQI70" s="29"/>
      <c r="TQJ70" s="29"/>
      <c r="TQK70" s="29"/>
      <c r="TQL70" s="29"/>
      <c r="TQM70" s="29"/>
      <c r="TQN70" s="29"/>
      <c r="TQO70" s="29"/>
      <c r="TQP70" s="29"/>
      <c r="TQQ70" s="29"/>
      <c r="TQR70" s="29"/>
      <c r="TQS70" s="29"/>
      <c r="TQT70" s="29"/>
      <c r="TQU70" s="29"/>
      <c r="TQV70" s="29"/>
      <c r="TQW70" s="29"/>
      <c r="TQX70" s="29"/>
      <c r="TQY70" s="29"/>
      <c r="TQZ70" s="29"/>
      <c r="TRA70" s="29"/>
      <c r="TRB70" s="29"/>
      <c r="TRC70" s="29"/>
      <c r="TRD70" s="29"/>
      <c r="TRE70" s="29"/>
      <c r="TRF70" s="29"/>
      <c r="TRG70" s="29"/>
      <c r="TRH70" s="29"/>
      <c r="TRI70" s="29"/>
      <c r="TRJ70" s="29"/>
      <c r="TRK70" s="29"/>
      <c r="TRL70" s="29"/>
      <c r="TRM70" s="29"/>
      <c r="TRN70" s="29"/>
      <c r="TRO70" s="29"/>
      <c r="TRP70" s="29"/>
      <c r="TRQ70" s="29"/>
      <c r="TRR70" s="29"/>
      <c r="TRS70" s="29"/>
      <c r="TRT70" s="29"/>
      <c r="TRU70" s="29"/>
      <c r="TRV70" s="29"/>
      <c r="TRW70" s="29"/>
      <c r="TRX70" s="29"/>
      <c r="TRY70" s="29"/>
      <c r="TRZ70" s="29"/>
      <c r="TSA70" s="29"/>
      <c r="TSB70" s="29"/>
      <c r="TSC70" s="29"/>
      <c r="TSD70" s="29"/>
      <c r="TSE70" s="29"/>
      <c r="TSF70" s="29"/>
      <c r="TSG70" s="29"/>
      <c r="TSH70" s="29"/>
      <c r="TSI70" s="29"/>
      <c r="TSJ70" s="29"/>
      <c r="TSK70" s="29"/>
      <c r="TSL70" s="29"/>
      <c r="TSM70" s="29"/>
      <c r="TSN70" s="29"/>
      <c r="TSO70" s="29"/>
      <c r="TSP70" s="29"/>
      <c r="TSQ70" s="29"/>
      <c r="TSR70" s="29"/>
      <c r="TSS70" s="29"/>
      <c r="TST70" s="29"/>
      <c r="TSU70" s="29"/>
      <c r="TSV70" s="29"/>
      <c r="TSW70" s="29"/>
      <c r="TSX70" s="29"/>
      <c r="TSY70" s="29"/>
      <c r="TSZ70" s="29"/>
      <c r="TTA70" s="29"/>
      <c r="TTB70" s="29"/>
      <c r="TTC70" s="29"/>
      <c r="TTD70" s="29"/>
      <c r="TTE70" s="29"/>
      <c r="TTF70" s="29"/>
      <c r="TTG70" s="29"/>
      <c r="TTH70" s="29"/>
      <c r="TTI70" s="29"/>
      <c r="TTJ70" s="29"/>
      <c r="TTK70" s="29"/>
      <c r="TTL70" s="29"/>
      <c r="TTM70" s="29"/>
      <c r="TTN70" s="29"/>
      <c r="TTO70" s="29"/>
      <c r="TTP70" s="29"/>
      <c r="TTQ70" s="29"/>
      <c r="TTR70" s="29"/>
      <c r="TTS70" s="29"/>
      <c r="TTT70" s="29"/>
      <c r="TTU70" s="29"/>
      <c r="TTV70" s="29"/>
      <c r="TTW70" s="29"/>
      <c r="TTX70" s="29"/>
      <c r="TTY70" s="29"/>
      <c r="TTZ70" s="29"/>
      <c r="TUA70" s="29"/>
      <c r="TUB70" s="29"/>
      <c r="TUC70" s="29"/>
      <c r="TUD70" s="29"/>
      <c r="TUE70" s="29"/>
      <c r="TUF70" s="29"/>
      <c r="TUG70" s="29"/>
      <c r="TUH70" s="29"/>
      <c r="TUI70" s="29"/>
      <c r="TUJ70" s="29"/>
      <c r="TUK70" s="29"/>
      <c r="TUL70" s="29"/>
      <c r="TUM70" s="29"/>
      <c r="TUN70" s="29"/>
      <c r="TUO70" s="29"/>
      <c r="TUP70" s="29"/>
      <c r="TUQ70" s="29"/>
      <c r="TUR70" s="29"/>
      <c r="TUS70" s="29"/>
      <c r="TUT70" s="29"/>
      <c r="TUU70" s="29"/>
      <c r="TUV70" s="29"/>
      <c r="TUW70" s="29"/>
      <c r="TUX70" s="29"/>
      <c r="TUY70" s="29"/>
      <c r="TUZ70" s="29"/>
      <c r="TVA70" s="29"/>
      <c r="TVB70" s="29"/>
      <c r="TVC70" s="29"/>
      <c r="TVD70" s="29"/>
      <c r="TVE70" s="29"/>
      <c r="TVF70" s="29"/>
      <c r="TVG70" s="29"/>
      <c r="TVH70" s="29"/>
      <c r="TVI70" s="29"/>
      <c r="TVJ70" s="29"/>
      <c r="TVK70" s="29"/>
      <c r="TVL70" s="29"/>
      <c r="TVM70" s="29"/>
      <c r="TVN70" s="29"/>
      <c r="TVO70" s="29"/>
      <c r="TVP70" s="29"/>
      <c r="TVQ70" s="29"/>
      <c r="TVR70" s="29"/>
      <c r="TVS70" s="29"/>
      <c r="TVT70" s="29"/>
      <c r="TVU70" s="29"/>
      <c r="TVV70" s="29"/>
      <c r="TVW70" s="29"/>
      <c r="TVX70" s="29"/>
      <c r="TVY70" s="29"/>
      <c r="TVZ70" s="29"/>
      <c r="TWA70" s="29"/>
      <c r="TWB70" s="29"/>
      <c r="TWC70" s="29"/>
      <c r="TWD70" s="29"/>
      <c r="TWE70" s="29"/>
      <c r="TWF70" s="29"/>
      <c r="TWG70" s="29"/>
      <c r="TWH70" s="29"/>
      <c r="TWI70" s="29"/>
      <c r="TWJ70" s="29"/>
      <c r="TWK70" s="29"/>
      <c r="TWL70" s="29"/>
      <c r="TWM70" s="29"/>
      <c r="TWN70" s="29"/>
      <c r="TWO70" s="29"/>
      <c r="TWP70" s="29"/>
      <c r="TWQ70" s="29"/>
      <c r="TWR70" s="29"/>
      <c r="TWS70" s="29"/>
      <c r="TWT70" s="29"/>
      <c r="TWU70" s="29"/>
      <c r="TWV70" s="29"/>
      <c r="TWW70" s="29"/>
      <c r="TWX70" s="29"/>
      <c r="TWY70" s="29"/>
      <c r="TWZ70" s="29"/>
      <c r="TXA70" s="29"/>
      <c r="TXB70" s="29"/>
      <c r="TXC70" s="29"/>
      <c r="TXD70" s="29"/>
      <c r="TXE70" s="29"/>
      <c r="TXF70" s="29"/>
      <c r="TXG70" s="29"/>
      <c r="TXH70" s="29"/>
      <c r="TXI70" s="29"/>
      <c r="TXJ70" s="29"/>
      <c r="TXK70" s="29"/>
      <c r="TXL70" s="29"/>
      <c r="TXM70" s="29"/>
      <c r="TXN70" s="29"/>
      <c r="TXO70" s="29"/>
      <c r="TXP70" s="29"/>
      <c r="TXQ70" s="29"/>
      <c r="TXR70" s="29"/>
      <c r="TXS70" s="29"/>
      <c r="TXT70" s="29"/>
      <c r="TXU70" s="29"/>
      <c r="TXV70" s="29"/>
      <c r="TXW70" s="29"/>
      <c r="TXX70" s="29"/>
      <c r="TXY70" s="29"/>
      <c r="TXZ70" s="29"/>
      <c r="TYA70" s="29"/>
      <c r="TYB70" s="29"/>
      <c r="TYC70" s="29"/>
      <c r="TYD70" s="29"/>
      <c r="TYE70" s="29"/>
      <c r="TYF70" s="29"/>
      <c r="TYG70" s="29"/>
      <c r="TYH70" s="29"/>
      <c r="TYI70" s="29"/>
      <c r="TYJ70" s="29"/>
      <c r="TYK70" s="29"/>
      <c r="TYL70" s="29"/>
      <c r="TYM70" s="29"/>
      <c r="TYN70" s="29"/>
      <c r="TYO70" s="29"/>
      <c r="TYP70" s="29"/>
      <c r="TYQ70" s="29"/>
      <c r="TYR70" s="29"/>
      <c r="TYS70" s="29"/>
      <c r="TYT70" s="29"/>
      <c r="TYU70" s="29"/>
      <c r="TYV70" s="29"/>
      <c r="TYW70" s="29"/>
      <c r="TYX70" s="29"/>
      <c r="TYY70" s="29"/>
      <c r="TYZ70" s="29"/>
      <c r="TZA70" s="29"/>
      <c r="TZB70" s="29"/>
      <c r="TZC70" s="29"/>
      <c r="TZD70" s="29"/>
      <c r="TZE70" s="29"/>
      <c r="TZF70" s="29"/>
      <c r="TZG70" s="29"/>
      <c r="TZH70" s="29"/>
      <c r="TZI70" s="29"/>
      <c r="TZJ70" s="29"/>
      <c r="TZK70" s="29"/>
      <c r="TZL70" s="29"/>
      <c r="TZM70" s="29"/>
      <c r="TZN70" s="29"/>
      <c r="TZO70" s="29"/>
      <c r="TZP70" s="29"/>
      <c r="TZQ70" s="29"/>
      <c r="TZR70" s="29"/>
      <c r="TZS70" s="29"/>
      <c r="TZT70" s="29"/>
      <c r="TZU70" s="29"/>
      <c r="TZV70" s="29"/>
      <c r="TZW70" s="29"/>
      <c r="TZX70" s="29"/>
      <c r="TZY70" s="29"/>
      <c r="TZZ70" s="29"/>
      <c r="UAA70" s="29"/>
      <c r="UAB70" s="29"/>
      <c r="UAC70" s="29"/>
      <c r="UAD70" s="29"/>
      <c r="UAE70" s="29"/>
      <c r="UAF70" s="29"/>
      <c r="UAG70" s="29"/>
      <c r="UAH70" s="29"/>
      <c r="UAI70" s="29"/>
      <c r="UAJ70" s="29"/>
      <c r="UAK70" s="29"/>
      <c r="UAL70" s="29"/>
      <c r="UAM70" s="29"/>
      <c r="UAN70" s="29"/>
      <c r="UAO70" s="29"/>
      <c r="UAP70" s="29"/>
      <c r="UAQ70" s="29"/>
      <c r="UAR70" s="29"/>
      <c r="UAS70" s="29"/>
      <c r="UAT70" s="29"/>
      <c r="UAU70" s="29"/>
      <c r="UAV70" s="29"/>
      <c r="UAW70" s="29"/>
      <c r="UAX70" s="29"/>
      <c r="UAY70" s="29"/>
      <c r="UAZ70" s="29"/>
      <c r="UBA70" s="29"/>
      <c r="UBB70" s="29"/>
      <c r="UBC70" s="29"/>
      <c r="UBD70" s="29"/>
      <c r="UBE70" s="29"/>
      <c r="UBF70" s="29"/>
      <c r="UBG70" s="29"/>
      <c r="UBH70" s="29"/>
      <c r="UBI70" s="29"/>
      <c r="UBJ70" s="29"/>
      <c r="UBK70" s="29"/>
      <c r="UBL70" s="29"/>
      <c r="UBM70" s="29"/>
      <c r="UBN70" s="29"/>
      <c r="UBO70" s="29"/>
      <c r="UBP70" s="29"/>
      <c r="UBQ70" s="29"/>
      <c r="UBR70" s="29"/>
      <c r="UBS70" s="29"/>
      <c r="UBT70" s="29"/>
      <c r="UBU70" s="29"/>
      <c r="UBV70" s="29"/>
      <c r="UBW70" s="29"/>
      <c r="UBX70" s="29"/>
      <c r="UBY70" s="29"/>
      <c r="UBZ70" s="29"/>
      <c r="UCA70" s="29"/>
      <c r="UCB70" s="29"/>
      <c r="UCC70" s="29"/>
      <c r="UCD70" s="29"/>
      <c r="UCE70" s="29"/>
      <c r="UCF70" s="29"/>
      <c r="UCG70" s="29"/>
      <c r="UCH70" s="29"/>
      <c r="UCI70" s="29"/>
      <c r="UCJ70" s="29"/>
      <c r="UCK70" s="29"/>
      <c r="UCL70" s="29"/>
      <c r="UCM70" s="29"/>
      <c r="UCN70" s="29"/>
      <c r="UCO70" s="29"/>
      <c r="UCP70" s="29"/>
      <c r="UCQ70" s="29"/>
      <c r="UCR70" s="29"/>
      <c r="UCS70" s="29"/>
      <c r="UCT70" s="29"/>
      <c r="UCU70" s="29"/>
      <c r="UCV70" s="29"/>
      <c r="UCW70" s="29"/>
      <c r="UCX70" s="29"/>
      <c r="UCY70" s="29"/>
      <c r="UCZ70" s="29"/>
      <c r="UDA70" s="29"/>
      <c r="UDB70" s="29"/>
      <c r="UDC70" s="29"/>
      <c r="UDD70" s="29"/>
      <c r="UDE70" s="29"/>
      <c r="UDF70" s="29"/>
      <c r="UDG70" s="29"/>
      <c r="UDH70" s="29"/>
      <c r="UDI70" s="29"/>
      <c r="UDJ70" s="29"/>
      <c r="UDK70" s="29"/>
      <c r="UDL70" s="29"/>
      <c r="UDM70" s="29"/>
      <c r="UDN70" s="29"/>
      <c r="UDO70" s="29"/>
      <c r="UDP70" s="29"/>
      <c r="UDQ70" s="29"/>
      <c r="UDR70" s="29"/>
      <c r="UDS70" s="29"/>
      <c r="UDT70" s="29"/>
      <c r="UDU70" s="29"/>
      <c r="UDV70" s="29"/>
      <c r="UDW70" s="29"/>
      <c r="UDX70" s="29"/>
      <c r="UDY70" s="29"/>
      <c r="UDZ70" s="29"/>
      <c r="UEA70" s="29"/>
      <c r="UEB70" s="29"/>
      <c r="UEC70" s="29"/>
      <c r="UED70" s="29"/>
      <c r="UEE70" s="29"/>
      <c r="UEF70" s="29"/>
      <c r="UEG70" s="29"/>
      <c r="UEH70" s="29"/>
      <c r="UEI70" s="29"/>
      <c r="UEJ70" s="29"/>
      <c r="UEK70" s="29"/>
      <c r="UEL70" s="29"/>
      <c r="UEM70" s="29"/>
      <c r="UEN70" s="29"/>
      <c r="UEO70" s="29"/>
      <c r="UEP70" s="29"/>
      <c r="UEQ70" s="29"/>
      <c r="UER70" s="29"/>
      <c r="UES70" s="29"/>
      <c r="UET70" s="29"/>
      <c r="UEU70" s="29"/>
      <c r="UEV70" s="29"/>
      <c r="UEW70" s="29"/>
      <c r="UEX70" s="29"/>
      <c r="UEY70" s="29"/>
      <c r="UEZ70" s="29"/>
      <c r="UFA70" s="29"/>
      <c r="UFB70" s="29"/>
      <c r="UFC70" s="29"/>
      <c r="UFD70" s="29"/>
      <c r="UFE70" s="29"/>
      <c r="UFF70" s="29"/>
      <c r="UFG70" s="29"/>
      <c r="UFH70" s="29"/>
      <c r="UFI70" s="29"/>
      <c r="UFJ70" s="29"/>
      <c r="UFK70" s="29"/>
      <c r="UFL70" s="29"/>
      <c r="UFM70" s="29"/>
      <c r="UFN70" s="29"/>
      <c r="UFO70" s="29"/>
      <c r="UFP70" s="29"/>
      <c r="UFQ70" s="29"/>
      <c r="UFR70" s="29"/>
      <c r="UFS70" s="29"/>
      <c r="UFT70" s="29"/>
      <c r="UFU70" s="29"/>
      <c r="UFV70" s="29"/>
      <c r="UFW70" s="29"/>
      <c r="UFX70" s="29"/>
      <c r="UFY70" s="29"/>
      <c r="UFZ70" s="29"/>
      <c r="UGA70" s="29"/>
      <c r="UGB70" s="29"/>
      <c r="UGC70" s="29"/>
      <c r="UGD70" s="29"/>
      <c r="UGE70" s="29"/>
      <c r="UGF70" s="29"/>
      <c r="UGG70" s="29"/>
      <c r="UGH70" s="29"/>
      <c r="UGI70" s="29"/>
      <c r="UGJ70" s="29"/>
      <c r="UGK70" s="29"/>
      <c r="UGL70" s="29"/>
      <c r="UGM70" s="29"/>
      <c r="UGN70" s="29"/>
      <c r="UGO70" s="29"/>
      <c r="UGP70" s="29"/>
      <c r="UGQ70" s="29"/>
      <c r="UGR70" s="29"/>
      <c r="UGS70" s="29"/>
      <c r="UGT70" s="29"/>
      <c r="UGU70" s="29"/>
      <c r="UGV70" s="29"/>
      <c r="UGW70" s="29"/>
      <c r="UGX70" s="29"/>
      <c r="UGY70" s="29"/>
      <c r="UGZ70" s="29"/>
      <c r="UHA70" s="29"/>
      <c r="UHB70" s="29"/>
      <c r="UHC70" s="29"/>
      <c r="UHD70" s="29"/>
      <c r="UHE70" s="29"/>
      <c r="UHF70" s="29"/>
      <c r="UHG70" s="29"/>
      <c r="UHH70" s="29"/>
      <c r="UHI70" s="29"/>
      <c r="UHJ70" s="29"/>
      <c r="UHK70" s="29"/>
      <c r="UHL70" s="29"/>
      <c r="UHM70" s="29"/>
      <c r="UHN70" s="29"/>
      <c r="UHO70" s="29"/>
      <c r="UHP70" s="29"/>
      <c r="UHQ70" s="29"/>
      <c r="UHR70" s="29"/>
      <c r="UHS70" s="29"/>
      <c r="UHT70" s="29"/>
      <c r="UHU70" s="29"/>
      <c r="UHV70" s="29"/>
      <c r="UHW70" s="29"/>
      <c r="UHX70" s="29"/>
      <c r="UHY70" s="29"/>
      <c r="UHZ70" s="29"/>
      <c r="UIA70" s="29"/>
      <c r="UIB70" s="29"/>
      <c r="UIC70" s="29"/>
      <c r="UID70" s="29"/>
      <c r="UIE70" s="29"/>
      <c r="UIF70" s="29"/>
      <c r="UIG70" s="29"/>
      <c r="UIH70" s="29"/>
      <c r="UII70" s="29"/>
      <c r="UIJ70" s="29"/>
      <c r="UIK70" s="29"/>
      <c r="UIL70" s="29"/>
      <c r="UIM70" s="29"/>
      <c r="UIN70" s="29"/>
      <c r="UIO70" s="29"/>
      <c r="UIP70" s="29"/>
      <c r="UIQ70" s="29"/>
      <c r="UIR70" s="29"/>
      <c r="UIS70" s="29"/>
      <c r="UIT70" s="29"/>
      <c r="UIU70" s="29"/>
      <c r="UIV70" s="29"/>
      <c r="UIW70" s="29"/>
      <c r="UIX70" s="29"/>
      <c r="UIY70" s="29"/>
      <c r="UIZ70" s="29"/>
      <c r="UJA70" s="29"/>
      <c r="UJB70" s="29"/>
      <c r="UJC70" s="29"/>
      <c r="UJD70" s="29"/>
      <c r="UJE70" s="29"/>
      <c r="UJF70" s="29"/>
      <c r="UJG70" s="29"/>
      <c r="UJH70" s="29"/>
      <c r="UJI70" s="29"/>
      <c r="UJJ70" s="29"/>
      <c r="UJK70" s="29"/>
      <c r="UJL70" s="29"/>
      <c r="UJM70" s="29"/>
      <c r="UJN70" s="29"/>
      <c r="UJO70" s="29"/>
      <c r="UJP70" s="29"/>
      <c r="UJQ70" s="29"/>
      <c r="UJR70" s="29"/>
      <c r="UJS70" s="29"/>
      <c r="UJT70" s="29"/>
      <c r="UJU70" s="29"/>
      <c r="UJV70" s="29"/>
      <c r="UJW70" s="29"/>
      <c r="UJX70" s="29"/>
      <c r="UJY70" s="29"/>
      <c r="UJZ70" s="29"/>
      <c r="UKA70" s="29"/>
      <c r="UKB70" s="29"/>
      <c r="UKC70" s="29"/>
      <c r="UKD70" s="29"/>
      <c r="UKE70" s="29"/>
      <c r="UKF70" s="29"/>
      <c r="UKG70" s="29"/>
      <c r="UKH70" s="29"/>
      <c r="UKI70" s="29"/>
      <c r="UKJ70" s="29"/>
      <c r="UKK70" s="29"/>
      <c r="UKL70" s="29"/>
      <c r="UKM70" s="29"/>
      <c r="UKN70" s="29"/>
      <c r="UKO70" s="29"/>
      <c r="UKP70" s="29"/>
      <c r="UKQ70" s="29"/>
      <c r="UKR70" s="29"/>
      <c r="UKS70" s="29"/>
      <c r="UKT70" s="29"/>
      <c r="UKU70" s="29"/>
      <c r="UKV70" s="29"/>
      <c r="UKW70" s="29"/>
      <c r="UKX70" s="29"/>
      <c r="UKY70" s="29"/>
      <c r="UKZ70" s="29"/>
      <c r="ULA70" s="29"/>
      <c r="ULB70" s="29"/>
      <c r="ULC70" s="29"/>
      <c r="ULD70" s="29"/>
      <c r="ULE70" s="29"/>
      <c r="ULF70" s="29"/>
      <c r="ULG70" s="29"/>
      <c r="ULH70" s="29"/>
      <c r="ULI70" s="29"/>
      <c r="ULJ70" s="29"/>
      <c r="ULK70" s="29"/>
      <c r="ULL70" s="29"/>
      <c r="ULM70" s="29"/>
      <c r="ULN70" s="29"/>
      <c r="ULO70" s="29"/>
      <c r="ULP70" s="29"/>
      <c r="ULQ70" s="29"/>
      <c r="ULR70" s="29"/>
      <c r="ULS70" s="29"/>
      <c r="ULT70" s="29"/>
      <c r="ULU70" s="29"/>
      <c r="ULV70" s="29"/>
      <c r="ULW70" s="29"/>
      <c r="ULX70" s="29"/>
      <c r="ULY70" s="29"/>
      <c r="ULZ70" s="29"/>
      <c r="UMA70" s="29"/>
      <c r="UMB70" s="29"/>
      <c r="UMC70" s="29"/>
      <c r="UMD70" s="29"/>
      <c r="UME70" s="29"/>
      <c r="UMF70" s="29"/>
      <c r="UMG70" s="29"/>
      <c r="UMH70" s="29"/>
      <c r="UMI70" s="29"/>
      <c r="UMJ70" s="29"/>
      <c r="UMK70" s="29"/>
      <c r="UML70" s="29"/>
      <c r="UMM70" s="29"/>
      <c r="UMN70" s="29"/>
      <c r="UMO70" s="29"/>
      <c r="UMP70" s="29"/>
      <c r="UMQ70" s="29"/>
      <c r="UMR70" s="29"/>
      <c r="UMS70" s="29"/>
      <c r="UMT70" s="29"/>
      <c r="UMU70" s="29"/>
      <c r="UMV70" s="29"/>
      <c r="UMW70" s="29"/>
      <c r="UMX70" s="29"/>
      <c r="UMY70" s="29"/>
      <c r="UMZ70" s="29"/>
      <c r="UNA70" s="29"/>
      <c r="UNB70" s="29"/>
      <c r="UNC70" s="29"/>
      <c r="UND70" s="29"/>
      <c r="UNE70" s="29"/>
      <c r="UNF70" s="29"/>
      <c r="UNG70" s="29"/>
      <c r="UNH70" s="29"/>
      <c r="UNI70" s="29"/>
      <c r="UNJ70" s="29"/>
      <c r="UNK70" s="29"/>
      <c r="UNL70" s="29"/>
      <c r="UNM70" s="29"/>
      <c r="UNN70" s="29"/>
      <c r="UNO70" s="29"/>
      <c r="UNP70" s="29"/>
      <c r="UNQ70" s="29"/>
      <c r="UNR70" s="29"/>
      <c r="UNS70" s="29"/>
      <c r="UNT70" s="29"/>
      <c r="UNU70" s="29"/>
      <c r="UNV70" s="29"/>
      <c r="UNW70" s="29"/>
      <c r="UNX70" s="29"/>
      <c r="UNY70" s="29"/>
      <c r="UNZ70" s="29"/>
      <c r="UOA70" s="29"/>
      <c r="UOB70" s="29"/>
      <c r="UOC70" s="29"/>
      <c r="UOD70" s="29"/>
      <c r="UOE70" s="29"/>
      <c r="UOF70" s="29"/>
      <c r="UOG70" s="29"/>
      <c r="UOH70" s="29"/>
      <c r="UOI70" s="29"/>
      <c r="UOJ70" s="29"/>
      <c r="UOK70" s="29"/>
      <c r="UOL70" s="29"/>
      <c r="UOM70" s="29"/>
      <c r="UON70" s="29"/>
      <c r="UOO70" s="29"/>
      <c r="UOP70" s="29"/>
      <c r="UOQ70" s="29"/>
      <c r="UOR70" s="29"/>
      <c r="UOS70" s="29"/>
      <c r="UOT70" s="29"/>
      <c r="UOU70" s="29"/>
      <c r="UOV70" s="29"/>
      <c r="UOW70" s="29"/>
      <c r="UOX70" s="29"/>
      <c r="UOY70" s="29"/>
      <c r="UOZ70" s="29"/>
      <c r="UPA70" s="29"/>
      <c r="UPB70" s="29"/>
      <c r="UPC70" s="29"/>
      <c r="UPD70" s="29"/>
      <c r="UPE70" s="29"/>
      <c r="UPF70" s="29"/>
      <c r="UPG70" s="29"/>
      <c r="UPH70" s="29"/>
      <c r="UPI70" s="29"/>
      <c r="UPJ70" s="29"/>
      <c r="UPK70" s="29"/>
      <c r="UPL70" s="29"/>
      <c r="UPM70" s="29"/>
      <c r="UPN70" s="29"/>
      <c r="UPO70" s="29"/>
      <c r="UPP70" s="29"/>
      <c r="UPQ70" s="29"/>
      <c r="UPR70" s="29"/>
      <c r="UPS70" s="29"/>
      <c r="UPT70" s="29"/>
      <c r="UPU70" s="29"/>
      <c r="UPV70" s="29"/>
      <c r="UPW70" s="29"/>
      <c r="UPX70" s="29"/>
      <c r="UPY70" s="29"/>
      <c r="UPZ70" s="29"/>
      <c r="UQA70" s="29"/>
      <c r="UQB70" s="29"/>
      <c r="UQC70" s="29"/>
      <c r="UQD70" s="29"/>
      <c r="UQE70" s="29"/>
      <c r="UQF70" s="29"/>
      <c r="UQG70" s="29"/>
      <c r="UQH70" s="29"/>
      <c r="UQI70" s="29"/>
      <c r="UQJ70" s="29"/>
      <c r="UQK70" s="29"/>
      <c r="UQL70" s="29"/>
      <c r="UQM70" s="29"/>
      <c r="UQN70" s="29"/>
      <c r="UQO70" s="29"/>
      <c r="UQP70" s="29"/>
      <c r="UQQ70" s="29"/>
      <c r="UQR70" s="29"/>
      <c r="UQS70" s="29"/>
      <c r="UQT70" s="29"/>
      <c r="UQU70" s="29"/>
      <c r="UQV70" s="29"/>
      <c r="UQW70" s="29"/>
      <c r="UQX70" s="29"/>
      <c r="UQY70" s="29"/>
      <c r="UQZ70" s="29"/>
      <c r="URA70" s="29"/>
      <c r="URB70" s="29"/>
      <c r="URC70" s="29"/>
      <c r="URD70" s="29"/>
      <c r="URE70" s="29"/>
      <c r="URF70" s="29"/>
      <c r="URG70" s="29"/>
      <c r="URH70" s="29"/>
      <c r="URI70" s="29"/>
      <c r="URJ70" s="29"/>
      <c r="URK70" s="29"/>
      <c r="URL70" s="29"/>
      <c r="URM70" s="29"/>
      <c r="URN70" s="29"/>
      <c r="URO70" s="29"/>
      <c r="URP70" s="29"/>
      <c r="URQ70" s="29"/>
      <c r="URR70" s="29"/>
      <c r="URS70" s="29"/>
      <c r="URT70" s="29"/>
      <c r="URU70" s="29"/>
      <c r="URV70" s="29"/>
      <c r="URW70" s="29"/>
      <c r="URX70" s="29"/>
      <c r="URY70" s="29"/>
      <c r="URZ70" s="29"/>
      <c r="USA70" s="29"/>
      <c r="USB70" s="29"/>
      <c r="USC70" s="29"/>
      <c r="USD70" s="29"/>
      <c r="USE70" s="29"/>
      <c r="USF70" s="29"/>
      <c r="USG70" s="29"/>
      <c r="USH70" s="29"/>
      <c r="USI70" s="29"/>
      <c r="USJ70" s="29"/>
      <c r="USK70" s="29"/>
      <c r="USL70" s="29"/>
      <c r="USM70" s="29"/>
      <c r="USN70" s="29"/>
      <c r="USO70" s="29"/>
      <c r="USP70" s="29"/>
      <c r="USQ70" s="29"/>
      <c r="USR70" s="29"/>
      <c r="USS70" s="29"/>
      <c r="UST70" s="29"/>
      <c r="USU70" s="29"/>
      <c r="USV70" s="29"/>
      <c r="USW70" s="29"/>
      <c r="USX70" s="29"/>
      <c r="USY70" s="29"/>
      <c r="USZ70" s="29"/>
      <c r="UTA70" s="29"/>
      <c r="UTB70" s="29"/>
      <c r="UTC70" s="29"/>
      <c r="UTD70" s="29"/>
      <c r="UTE70" s="29"/>
      <c r="UTF70" s="29"/>
      <c r="UTG70" s="29"/>
      <c r="UTH70" s="29"/>
      <c r="UTI70" s="29"/>
      <c r="UTJ70" s="29"/>
      <c r="UTK70" s="29"/>
      <c r="UTL70" s="29"/>
      <c r="UTM70" s="29"/>
      <c r="UTN70" s="29"/>
      <c r="UTO70" s="29"/>
      <c r="UTP70" s="29"/>
      <c r="UTQ70" s="29"/>
      <c r="UTR70" s="29"/>
      <c r="UTS70" s="29"/>
      <c r="UTT70" s="29"/>
      <c r="UTU70" s="29"/>
      <c r="UTV70" s="29"/>
      <c r="UTW70" s="29"/>
      <c r="UTX70" s="29"/>
      <c r="UTY70" s="29"/>
      <c r="UTZ70" s="29"/>
      <c r="UUA70" s="29"/>
      <c r="UUB70" s="29"/>
      <c r="UUC70" s="29"/>
      <c r="UUD70" s="29"/>
      <c r="UUE70" s="29"/>
      <c r="UUF70" s="29"/>
      <c r="UUG70" s="29"/>
      <c r="UUH70" s="29"/>
      <c r="UUI70" s="29"/>
      <c r="UUJ70" s="29"/>
      <c r="UUK70" s="29"/>
      <c r="UUL70" s="29"/>
      <c r="UUM70" s="29"/>
      <c r="UUN70" s="29"/>
      <c r="UUO70" s="29"/>
      <c r="UUP70" s="29"/>
      <c r="UUQ70" s="29"/>
      <c r="UUR70" s="29"/>
      <c r="UUS70" s="29"/>
      <c r="UUT70" s="29"/>
      <c r="UUU70" s="29"/>
      <c r="UUV70" s="29"/>
      <c r="UUW70" s="29"/>
      <c r="UUX70" s="29"/>
      <c r="UUY70" s="29"/>
      <c r="UUZ70" s="29"/>
      <c r="UVA70" s="29"/>
      <c r="UVB70" s="29"/>
      <c r="UVC70" s="29"/>
      <c r="UVD70" s="29"/>
      <c r="UVE70" s="29"/>
      <c r="UVF70" s="29"/>
      <c r="UVG70" s="29"/>
      <c r="UVH70" s="29"/>
      <c r="UVI70" s="29"/>
      <c r="UVJ70" s="29"/>
      <c r="UVK70" s="29"/>
      <c r="UVL70" s="29"/>
      <c r="UVM70" s="29"/>
      <c r="UVN70" s="29"/>
      <c r="UVO70" s="29"/>
      <c r="UVP70" s="29"/>
      <c r="UVQ70" s="29"/>
      <c r="UVR70" s="29"/>
      <c r="UVS70" s="29"/>
      <c r="UVT70" s="29"/>
      <c r="UVU70" s="29"/>
      <c r="UVV70" s="29"/>
      <c r="UVW70" s="29"/>
      <c r="UVX70" s="29"/>
      <c r="UVY70" s="29"/>
      <c r="UVZ70" s="29"/>
      <c r="UWA70" s="29"/>
      <c r="UWB70" s="29"/>
      <c r="UWC70" s="29"/>
      <c r="UWD70" s="29"/>
      <c r="UWE70" s="29"/>
      <c r="UWF70" s="29"/>
      <c r="UWG70" s="29"/>
      <c r="UWH70" s="29"/>
      <c r="UWI70" s="29"/>
      <c r="UWJ70" s="29"/>
      <c r="UWK70" s="29"/>
      <c r="UWL70" s="29"/>
      <c r="UWM70" s="29"/>
      <c r="UWN70" s="29"/>
      <c r="UWO70" s="29"/>
      <c r="UWP70" s="29"/>
      <c r="UWQ70" s="29"/>
      <c r="UWR70" s="29"/>
      <c r="UWS70" s="29"/>
      <c r="UWT70" s="29"/>
      <c r="UWU70" s="29"/>
      <c r="UWV70" s="29"/>
      <c r="UWW70" s="29"/>
      <c r="UWX70" s="29"/>
      <c r="UWY70" s="29"/>
      <c r="UWZ70" s="29"/>
      <c r="UXA70" s="29"/>
      <c r="UXB70" s="29"/>
      <c r="UXC70" s="29"/>
      <c r="UXD70" s="29"/>
      <c r="UXE70" s="29"/>
      <c r="UXF70" s="29"/>
      <c r="UXG70" s="29"/>
      <c r="UXH70" s="29"/>
      <c r="UXI70" s="29"/>
      <c r="UXJ70" s="29"/>
      <c r="UXK70" s="29"/>
      <c r="UXL70" s="29"/>
      <c r="UXM70" s="29"/>
      <c r="UXN70" s="29"/>
      <c r="UXO70" s="29"/>
      <c r="UXP70" s="29"/>
      <c r="UXQ70" s="29"/>
      <c r="UXR70" s="29"/>
      <c r="UXS70" s="29"/>
      <c r="UXT70" s="29"/>
      <c r="UXU70" s="29"/>
      <c r="UXV70" s="29"/>
      <c r="UXW70" s="29"/>
      <c r="UXX70" s="29"/>
      <c r="UXY70" s="29"/>
      <c r="UXZ70" s="29"/>
      <c r="UYA70" s="29"/>
      <c r="UYB70" s="29"/>
      <c r="UYC70" s="29"/>
      <c r="UYD70" s="29"/>
      <c r="UYE70" s="29"/>
      <c r="UYF70" s="29"/>
      <c r="UYG70" s="29"/>
      <c r="UYH70" s="29"/>
      <c r="UYI70" s="29"/>
      <c r="UYJ70" s="29"/>
      <c r="UYK70" s="29"/>
      <c r="UYL70" s="29"/>
      <c r="UYM70" s="29"/>
      <c r="UYN70" s="29"/>
      <c r="UYO70" s="29"/>
      <c r="UYP70" s="29"/>
      <c r="UYQ70" s="29"/>
      <c r="UYR70" s="29"/>
      <c r="UYS70" s="29"/>
      <c r="UYT70" s="29"/>
      <c r="UYU70" s="29"/>
      <c r="UYV70" s="29"/>
      <c r="UYW70" s="29"/>
      <c r="UYX70" s="29"/>
      <c r="UYY70" s="29"/>
      <c r="UYZ70" s="29"/>
      <c r="UZA70" s="29"/>
      <c r="UZB70" s="29"/>
      <c r="UZC70" s="29"/>
      <c r="UZD70" s="29"/>
      <c r="UZE70" s="29"/>
      <c r="UZF70" s="29"/>
      <c r="UZG70" s="29"/>
      <c r="UZH70" s="29"/>
      <c r="UZI70" s="29"/>
      <c r="UZJ70" s="29"/>
      <c r="UZK70" s="29"/>
      <c r="UZL70" s="29"/>
      <c r="UZM70" s="29"/>
      <c r="UZN70" s="29"/>
      <c r="UZO70" s="29"/>
      <c r="UZP70" s="29"/>
      <c r="UZQ70" s="29"/>
      <c r="UZR70" s="29"/>
      <c r="UZS70" s="29"/>
      <c r="UZT70" s="29"/>
      <c r="UZU70" s="29"/>
      <c r="UZV70" s="29"/>
      <c r="UZW70" s="29"/>
      <c r="UZX70" s="29"/>
      <c r="UZY70" s="29"/>
      <c r="UZZ70" s="29"/>
      <c r="VAA70" s="29"/>
      <c r="VAB70" s="29"/>
      <c r="VAC70" s="29"/>
      <c r="VAD70" s="29"/>
      <c r="VAE70" s="29"/>
      <c r="VAF70" s="29"/>
      <c r="VAG70" s="29"/>
      <c r="VAH70" s="29"/>
      <c r="VAI70" s="29"/>
      <c r="VAJ70" s="29"/>
      <c r="VAK70" s="29"/>
      <c r="VAL70" s="29"/>
      <c r="VAM70" s="29"/>
      <c r="VAN70" s="29"/>
      <c r="VAO70" s="29"/>
      <c r="VAP70" s="29"/>
      <c r="VAQ70" s="29"/>
      <c r="VAR70" s="29"/>
      <c r="VAS70" s="29"/>
      <c r="VAT70" s="29"/>
      <c r="VAU70" s="29"/>
      <c r="VAV70" s="29"/>
      <c r="VAW70" s="29"/>
      <c r="VAX70" s="29"/>
      <c r="VAY70" s="29"/>
      <c r="VAZ70" s="29"/>
      <c r="VBA70" s="29"/>
      <c r="VBB70" s="29"/>
      <c r="VBC70" s="29"/>
      <c r="VBD70" s="29"/>
      <c r="VBE70" s="29"/>
      <c r="VBF70" s="29"/>
      <c r="VBG70" s="29"/>
      <c r="VBH70" s="29"/>
      <c r="VBI70" s="29"/>
      <c r="VBJ70" s="29"/>
      <c r="VBK70" s="29"/>
      <c r="VBL70" s="29"/>
      <c r="VBM70" s="29"/>
      <c r="VBN70" s="29"/>
      <c r="VBO70" s="29"/>
      <c r="VBP70" s="29"/>
      <c r="VBQ70" s="29"/>
      <c r="VBR70" s="29"/>
      <c r="VBS70" s="29"/>
      <c r="VBT70" s="29"/>
      <c r="VBU70" s="29"/>
      <c r="VBV70" s="29"/>
      <c r="VBW70" s="29"/>
      <c r="VBX70" s="29"/>
      <c r="VBY70" s="29"/>
      <c r="VBZ70" s="29"/>
      <c r="VCA70" s="29"/>
      <c r="VCB70" s="29"/>
      <c r="VCC70" s="29"/>
      <c r="VCD70" s="29"/>
      <c r="VCE70" s="29"/>
      <c r="VCF70" s="29"/>
      <c r="VCG70" s="29"/>
      <c r="VCH70" s="29"/>
      <c r="VCI70" s="29"/>
      <c r="VCJ70" s="29"/>
      <c r="VCK70" s="29"/>
      <c r="VCL70" s="29"/>
      <c r="VCM70" s="29"/>
      <c r="VCN70" s="29"/>
      <c r="VCO70" s="29"/>
      <c r="VCP70" s="29"/>
      <c r="VCQ70" s="29"/>
      <c r="VCR70" s="29"/>
      <c r="VCS70" s="29"/>
      <c r="VCT70" s="29"/>
      <c r="VCU70" s="29"/>
      <c r="VCV70" s="29"/>
      <c r="VCW70" s="29"/>
      <c r="VCX70" s="29"/>
      <c r="VCY70" s="29"/>
      <c r="VCZ70" s="29"/>
      <c r="VDA70" s="29"/>
      <c r="VDB70" s="29"/>
      <c r="VDC70" s="29"/>
      <c r="VDD70" s="29"/>
      <c r="VDE70" s="29"/>
      <c r="VDF70" s="29"/>
      <c r="VDG70" s="29"/>
      <c r="VDH70" s="29"/>
      <c r="VDI70" s="29"/>
      <c r="VDJ70" s="29"/>
      <c r="VDK70" s="29"/>
      <c r="VDL70" s="29"/>
      <c r="VDM70" s="29"/>
      <c r="VDN70" s="29"/>
      <c r="VDO70" s="29"/>
      <c r="VDP70" s="29"/>
      <c r="VDQ70" s="29"/>
      <c r="VDR70" s="29"/>
      <c r="VDS70" s="29"/>
      <c r="VDT70" s="29"/>
      <c r="VDU70" s="29"/>
      <c r="VDV70" s="29"/>
      <c r="VDW70" s="29"/>
      <c r="VDX70" s="29"/>
      <c r="VDY70" s="29"/>
      <c r="VDZ70" s="29"/>
      <c r="VEA70" s="29"/>
      <c r="VEB70" s="29"/>
      <c r="VEC70" s="29"/>
      <c r="VED70" s="29"/>
      <c r="VEE70" s="29"/>
      <c r="VEF70" s="29"/>
      <c r="VEG70" s="29"/>
      <c r="VEH70" s="29"/>
      <c r="VEI70" s="29"/>
      <c r="VEJ70" s="29"/>
      <c r="VEK70" s="29"/>
      <c r="VEL70" s="29"/>
      <c r="VEM70" s="29"/>
      <c r="VEN70" s="29"/>
      <c r="VEO70" s="29"/>
      <c r="VEP70" s="29"/>
      <c r="VEQ70" s="29"/>
      <c r="VER70" s="29"/>
      <c r="VES70" s="29"/>
      <c r="VET70" s="29"/>
      <c r="VEU70" s="29"/>
      <c r="VEV70" s="29"/>
      <c r="VEW70" s="29"/>
      <c r="VEX70" s="29"/>
      <c r="VEY70" s="29"/>
      <c r="VEZ70" s="29"/>
      <c r="VFA70" s="29"/>
      <c r="VFB70" s="29"/>
      <c r="VFC70" s="29"/>
      <c r="VFD70" s="29"/>
      <c r="VFE70" s="29"/>
      <c r="VFF70" s="29"/>
      <c r="VFG70" s="29"/>
      <c r="VFH70" s="29"/>
      <c r="VFI70" s="29"/>
      <c r="VFJ70" s="29"/>
      <c r="VFK70" s="29"/>
      <c r="VFL70" s="29"/>
      <c r="VFM70" s="29"/>
      <c r="VFN70" s="29"/>
      <c r="VFO70" s="29"/>
      <c r="VFP70" s="29"/>
      <c r="VFQ70" s="29"/>
      <c r="VFR70" s="29"/>
      <c r="VFS70" s="29"/>
      <c r="VFT70" s="29"/>
      <c r="VFU70" s="29"/>
      <c r="VFV70" s="29"/>
      <c r="VFW70" s="29"/>
      <c r="VFX70" s="29"/>
      <c r="VFY70" s="29"/>
      <c r="VFZ70" s="29"/>
      <c r="VGA70" s="29"/>
      <c r="VGB70" s="29"/>
      <c r="VGC70" s="29"/>
      <c r="VGD70" s="29"/>
      <c r="VGE70" s="29"/>
      <c r="VGF70" s="29"/>
      <c r="VGG70" s="29"/>
      <c r="VGH70" s="29"/>
      <c r="VGI70" s="29"/>
      <c r="VGJ70" s="29"/>
      <c r="VGK70" s="29"/>
      <c r="VGL70" s="29"/>
      <c r="VGM70" s="29"/>
      <c r="VGN70" s="29"/>
      <c r="VGO70" s="29"/>
      <c r="VGP70" s="29"/>
      <c r="VGQ70" s="29"/>
      <c r="VGR70" s="29"/>
      <c r="VGS70" s="29"/>
      <c r="VGT70" s="29"/>
      <c r="VGU70" s="29"/>
      <c r="VGV70" s="29"/>
      <c r="VGW70" s="29"/>
      <c r="VGX70" s="29"/>
      <c r="VGY70" s="29"/>
      <c r="VGZ70" s="29"/>
      <c r="VHA70" s="29"/>
      <c r="VHB70" s="29"/>
      <c r="VHC70" s="29"/>
      <c r="VHD70" s="29"/>
      <c r="VHE70" s="29"/>
      <c r="VHF70" s="29"/>
      <c r="VHG70" s="29"/>
      <c r="VHH70" s="29"/>
      <c r="VHI70" s="29"/>
      <c r="VHJ70" s="29"/>
      <c r="VHK70" s="29"/>
      <c r="VHL70" s="29"/>
      <c r="VHM70" s="29"/>
      <c r="VHN70" s="29"/>
      <c r="VHO70" s="29"/>
      <c r="VHP70" s="29"/>
      <c r="VHQ70" s="29"/>
      <c r="VHR70" s="29"/>
      <c r="VHS70" s="29"/>
      <c r="VHT70" s="29"/>
      <c r="VHU70" s="29"/>
      <c r="VHV70" s="29"/>
      <c r="VHW70" s="29"/>
      <c r="VHX70" s="29"/>
      <c r="VHY70" s="29"/>
      <c r="VHZ70" s="29"/>
      <c r="VIA70" s="29"/>
      <c r="VIB70" s="29"/>
      <c r="VIC70" s="29"/>
      <c r="VID70" s="29"/>
      <c r="VIE70" s="29"/>
      <c r="VIF70" s="29"/>
      <c r="VIG70" s="29"/>
      <c r="VIH70" s="29"/>
      <c r="VII70" s="29"/>
      <c r="VIJ70" s="29"/>
      <c r="VIK70" s="29"/>
      <c r="VIL70" s="29"/>
      <c r="VIM70" s="29"/>
      <c r="VIN70" s="29"/>
      <c r="VIO70" s="29"/>
      <c r="VIP70" s="29"/>
      <c r="VIQ70" s="29"/>
      <c r="VIR70" s="29"/>
      <c r="VIS70" s="29"/>
      <c r="VIT70" s="29"/>
      <c r="VIU70" s="29"/>
      <c r="VIV70" s="29"/>
      <c r="VIW70" s="29"/>
      <c r="VIX70" s="29"/>
      <c r="VIY70" s="29"/>
      <c r="VIZ70" s="29"/>
      <c r="VJA70" s="29"/>
      <c r="VJB70" s="29"/>
      <c r="VJC70" s="29"/>
      <c r="VJD70" s="29"/>
      <c r="VJE70" s="29"/>
      <c r="VJF70" s="29"/>
      <c r="VJG70" s="29"/>
      <c r="VJH70" s="29"/>
      <c r="VJI70" s="29"/>
      <c r="VJJ70" s="29"/>
      <c r="VJK70" s="29"/>
      <c r="VJL70" s="29"/>
      <c r="VJM70" s="29"/>
      <c r="VJN70" s="29"/>
      <c r="VJO70" s="29"/>
      <c r="VJP70" s="29"/>
      <c r="VJQ70" s="29"/>
      <c r="VJR70" s="29"/>
      <c r="VJS70" s="29"/>
      <c r="VJT70" s="29"/>
      <c r="VJU70" s="29"/>
      <c r="VJV70" s="29"/>
      <c r="VJW70" s="29"/>
      <c r="VJX70" s="29"/>
      <c r="VJY70" s="29"/>
      <c r="VJZ70" s="29"/>
      <c r="VKA70" s="29"/>
      <c r="VKB70" s="29"/>
      <c r="VKC70" s="29"/>
      <c r="VKD70" s="29"/>
      <c r="VKE70" s="29"/>
      <c r="VKF70" s="29"/>
      <c r="VKG70" s="29"/>
      <c r="VKH70" s="29"/>
      <c r="VKI70" s="29"/>
      <c r="VKJ70" s="29"/>
      <c r="VKK70" s="29"/>
      <c r="VKL70" s="29"/>
      <c r="VKM70" s="29"/>
      <c r="VKN70" s="29"/>
      <c r="VKO70" s="29"/>
      <c r="VKP70" s="29"/>
      <c r="VKQ70" s="29"/>
      <c r="VKR70" s="29"/>
      <c r="VKS70" s="29"/>
      <c r="VKT70" s="29"/>
      <c r="VKU70" s="29"/>
      <c r="VKV70" s="29"/>
      <c r="VKW70" s="29"/>
      <c r="VKX70" s="29"/>
      <c r="VKY70" s="29"/>
      <c r="VKZ70" s="29"/>
      <c r="VLA70" s="29"/>
      <c r="VLB70" s="29"/>
      <c r="VLC70" s="29"/>
      <c r="VLD70" s="29"/>
      <c r="VLE70" s="29"/>
      <c r="VLF70" s="29"/>
      <c r="VLG70" s="29"/>
      <c r="VLH70" s="29"/>
      <c r="VLI70" s="29"/>
      <c r="VLJ70" s="29"/>
      <c r="VLK70" s="29"/>
      <c r="VLL70" s="29"/>
      <c r="VLM70" s="29"/>
      <c r="VLN70" s="29"/>
      <c r="VLO70" s="29"/>
      <c r="VLP70" s="29"/>
      <c r="VLQ70" s="29"/>
      <c r="VLR70" s="29"/>
      <c r="VLS70" s="29"/>
      <c r="VLT70" s="29"/>
      <c r="VLU70" s="29"/>
      <c r="VLV70" s="29"/>
      <c r="VLW70" s="29"/>
      <c r="VLX70" s="29"/>
      <c r="VLY70" s="29"/>
      <c r="VLZ70" s="29"/>
      <c r="VMA70" s="29"/>
      <c r="VMB70" s="29"/>
      <c r="VMC70" s="29"/>
      <c r="VMD70" s="29"/>
      <c r="VME70" s="29"/>
      <c r="VMF70" s="29"/>
      <c r="VMG70" s="29"/>
      <c r="VMH70" s="29"/>
      <c r="VMI70" s="29"/>
      <c r="VMJ70" s="29"/>
      <c r="VMK70" s="29"/>
      <c r="VML70" s="29"/>
      <c r="VMM70" s="29"/>
      <c r="VMN70" s="29"/>
      <c r="VMO70" s="29"/>
      <c r="VMP70" s="29"/>
      <c r="VMQ70" s="29"/>
      <c r="VMR70" s="29"/>
      <c r="VMS70" s="29"/>
      <c r="VMT70" s="29"/>
      <c r="VMU70" s="29"/>
      <c r="VMV70" s="29"/>
      <c r="VMW70" s="29"/>
      <c r="VMX70" s="29"/>
      <c r="VMY70" s="29"/>
      <c r="VMZ70" s="29"/>
      <c r="VNA70" s="29"/>
      <c r="VNB70" s="29"/>
      <c r="VNC70" s="29"/>
      <c r="VND70" s="29"/>
      <c r="VNE70" s="29"/>
      <c r="VNF70" s="29"/>
      <c r="VNG70" s="29"/>
      <c r="VNH70" s="29"/>
      <c r="VNI70" s="29"/>
      <c r="VNJ70" s="29"/>
      <c r="VNK70" s="29"/>
      <c r="VNL70" s="29"/>
      <c r="VNM70" s="29"/>
      <c r="VNN70" s="29"/>
      <c r="VNO70" s="29"/>
      <c r="VNP70" s="29"/>
      <c r="VNQ70" s="29"/>
      <c r="VNR70" s="29"/>
      <c r="VNS70" s="29"/>
      <c r="VNT70" s="29"/>
      <c r="VNU70" s="29"/>
      <c r="VNV70" s="29"/>
      <c r="VNW70" s="29"/>
      <c r="VNX70" s="29"/>
      <c r="VNY70" s="29"/>
      <c r="VNZ70" s="29"/>
      <c r="VOA70" s="29"/>
      <c r="VOB70" s="29"/>
      <c r="VOC70" s="29"/>
      <c r="VOD70" s="29"/>
      <c r="VOE70" s="29"/>
      <c r="VOF70" s="29"/>
      <c r="VOG70" s="29"/>
      <c r="VOH70" s="29"/>
      <c r="VOI70" s="29"/>
      <c r="VOJ70" s="29"/>
      <c r="VOK70" s="29"/>
      <c r="VOL70" s="29"/>
      <c r="VOM70" s="29"/>
      <c r="VON70" s="29"/>
      <c r="VOO70" s="29"/>
      <c r="VOP70" s="29"/>
      <c r="VOQ70" s="29"/>
      <c r="VOR70" s="29"/>
      <c r="VOS70" s="29"/>
      <c r="VOT70" s="29"/>
      <c r="VOU70" s="29"/>
      <c r="VOV70" s="29"/>
      <c r="VOW70" s="29"/>
      <c r="VOX70" s="29"/>
      <c r="VOY70" s="29"/>
      <c r="VOZ70" s="29"/>
      <c r="VPA70" s="29"/>
      <c r="VPB70" s="29"/>
      <c r="VPC70" s="29"/>
      <c r="VPD70" s="29"/>
      <c r="VPE70" s="29"/>
      <c r="VPF70" s="29"/>
      <c r="VPG70" s="29"/>
      <c r="VPH70" s="29"/>
      <c r="VPI70" s="29"/>
      <c r="VPJ70" s="29"/>
      <c r="VPK70" s="29"/>
      <c r="VPL70" s="29"/>
      <c r="VPM70" s="29"/>
      <c r="VPN70" s="29"/>
      <c r="VPO70" s="29"/>
      <c r="VPP70" s="29"/>
      <c r="VPQ70" s="29"/>
      <c r="VPR70" s="29"/>
      <c r="VPS70" s="29"/>
      <c r="VPT70" s="29"/>
      <c r="VPU70" s="29"/>
      <c r="VPV70" s="29"/>
      <c r="VPW70" s="29"/>
      <c r="VPX70" s="29"/>
      <c r="VPY70" s="29"/>
      <c r="VPZ70" s="29"/>
      <c r="VQA70" s="29"/>
      <c r="VQB70" s="29"/>
      <c r="VQC70" s="29"/>
      <c r="VQD70" s="29"/>
      <c r="VQE70" s="29"/>
      <c r="VQF70" s="29"/>
      <c r="VQG70" s="29"/>
      <c r="VQH70" s="29"/>
      <c r="VQI70" s="29"/>
      <c r="VQJ70" s="29"/>
      <c r="VQK70" s="29"/>
      <c r="VQL70" s="29"/>
      <c r="VQM70" s="29"/>
      <c r="VQN70" s="29"/>
      <c r="VQO70" s="29"/>
      <c r="VQP70" s="29"/>
      <c r="VQQ70" s="29"/>
      <c r="VQR70" s="29"/>
      <c r="VQS70" s="29"/>
      <c r="VQT70" s="29"/>
      <c r="VQU70" s="29"/>
      <c r="VQV70" s="29"/>
      <c r="VQW70" s="29"/>
      <c r="VQX70" s="29"/>
      <c r="VQY70" s="29"/>
      <c r="VQZ70" s="29"/>
      <c r="VRA70" s="29"/>
      <c r="VRB70" s="29"/>
      <c r="VRC70" s="29"/>
      <c r="VRD70" s="29"/>
      <c r="VRE70" s="29"/>
      <c r="VRF70" s="29"/>
      <c r="VRG70" s="29"/>
      <c r="VRH70" s="29"/>
      <c r="VRI70" s="29"/>
      <c r="VRJ70" s="29"/>
      <c r="VRK70" s="29"/>
      <c r="VRL70" s="29"/>
      <c r="VRM70" s="29"/>
      <c r="VRN70" s="29"/>
      <c r="VRO70" s="29"/>
      <c r="VRP70" s="29"/>
      <c r="VRQ70" s="29"/>
      <c r="VRR70" s="29"/>
      <c r="VRS70" s="29"/>
      <c r="VRT70" s="29"/>
      <c r="VRU70" s="29"/>
      <c r="VRV70" s="29"/>
      <c r="VRW70" s="29"/>
      <c r="VRX70" s="29"/>
      <c r="VRY70" s="29"/>
      <c r="VRZ70" s="29"/>
      <c r="VSA70" s="29"/>
      <c r="VSB70" s="29"/>
      <c r="VSC70" s="29"/>
      <c r="VSD70" s="29"/>
      <c r="VSE70" s="29"/>
      <c r="VSF70" s="29"/>
      <c r="VSG70" s="29"/>
      <c r="VSH70" s="29"/>
      <c r="VSI70" s="29"/>
      <c r="VSJ70" s="29"/>
      <c r="VSK70" s="29"/>
      <c r="VSL70" s="29"/>
      <c r="VSM70" s="29"/>
      <c r="VSN70" s="29"/>
      <c r="VSO70" s="29"/>
      <c r="VSP70" s="29"/>
      <c r="VSQ70" s="29"/>
      <c r="VSR70" s="29"/>
      <c r="VSS70" s="29"/>
      <c r="VST70" s="29"/>
      <c r="VSU70" s="29"/>
      <c r="VSV70" s="29"/>
      <c r="VSW70" s="29"/>
      <c r="VSX70" s="29"/>
      <c r="VSY70" s="29"/>
      <c r="VSZ70" s="29"/>
      <c r="VTA70" s="29"/>
      <c r="VTB70" s="29"/>
      <c r="VTC70" s="29"/>
      <c r="VTD70" s="29"/>
      <c r="VTE70" s="29"/>
      <c r="VTF70" s="29"/>
      <c r="VTG70" s="29"/>
      <c r="VTH70" s="29"/>
      <c r="VTI70" s="29"/>
      <c r="VTJ70" s="29"/>
      <c r="VTK70" s="29"/>
      <c r="VTL70" s="29"/>
      <c r="VTM70" s="29"/>
      <c r="VTN70" s="29"/>
      <c r="VTO70" s="29"/>
      <c r="VTP70" s="29"/>
      <c r="VTQ70" s="29"/>
      <c r="VTR70" s="29"/>
      <c r="VTS70" s="29"/>
      <c r="VTT70" s="29"/>
      <c r="VTU70" s="29"/>
      <c r="VTV70" s="29"/>
      <c r="VTW70" s="29"/>
      <c r="VTX70" s="29"/>
      <c r="VTY70" s="29"/>
      <c r="VTZ70" s="29"/>
      <c r="VUA70" s="29"/>
      <c r="VUB70" s="29"/>
      <c r="VUC70" s="29"/>
      <c r="VUD70" s="29"/>
      <c r="VUE70" s="29"/>
      <c r="VUF70" s="29"/>
      <c r="VUG70" s="29"/>
      <c r="VUH70" s="29"/>
      <c r="VUI70" s="29"/>
      <c r="VUJ70" s="29"/>
      <c r="VUK70" s="29"/>
      <c r="VUL70" s="29"/>
      <c r="VUM70" s="29"/>
      <c r="VUN70" s="29"/>
      <c r="VUO70" s="29"/>
      <c r="VUP70" s="29"/>
      <c r="VUQ70" s="29"/>
      <c r="VUR70" s="29"/>
      <c r="VUS70" s="29"/>
      <c r="VUT70" s="29"/>
      <c r="VUU70" s="29"/>
      <c r="VUV70" s="29"/>
      <c r="VUW70" s="29"/>
      <c r="VUX70" s="29"/>
      <c r="VUY70" s="29"/>
      <c r="VUZ70" s="29"/>
      <c r="VVA70" s="29"/>
      <c r="VVB70" s="29"/>
      <c r="VVC70" s="29"/>
      <c r="VVD70" s="29"/>
      <c r="VVE70" s="29"/>
      <c r="VVF70" s="29"/>
      <c r="VVG70" s="29"/>
      <c r="VVH70" s="29"/>
      <c r="VVI70" s="29"/>
      <c r="VVJ70" s="29"/>
      <c r="VVK70" s="29"/>
      <c r="VVL70" s="29"/>
      <c r="VVM70" s="29"/>
      <c r="VVN70" s="29"/>
      <c r="VVO70" s="29"/>
      <c r="VVP70" s="29"/>
      <c r="VVQ70" s="29"/>
      <c r="VVR70" s="29"/>
      <c r="VVS70" s="29"/>
      <c r="VVT70" s="29"/>
      <c r="VVU70" s="29"/>
      <c r="VVV70" s="29"/>
      <c r="VVW70" s="29"/>
      <c r="VVX70" s="29"/>
      <c r="VVY70" s="29"/>
      <c r="VVZ70" s="29"/>
      <c r="VWA70" s="29"/>
      <c r="VWB70" s="29"/>
      <c r="VWC70" s="29"/>
      <c r="VWD70" s="29"/>
      <c r="VWE70" s="29"/>
      <c r="VWF70" s="29"/>
      <c r="VWG70" s="29"/>
      <c r="VWH70" s="29"/>
      <c r="VWI70" s="29"/>
      <c r="VWJ70" s="29"/>
      <c r="VWK70" s="29"/>
      <c r="VWL70" s="29"/>
      <c r="VWM70" s="29"/>
      <c r="VWN70" s="29"/>
      <c r="VWO70" s="29"/>
      <c r="VWP70" s="29"/>
      <c r="VWQ70" s="29"/>
      <c r="VWR70" s="29"/>
      <c r="VWS70" s="29"/>
      <c r="VWT70" s="29"/>
      <c r="VWU70" s="29"/>
      <c r="VWV70" s="29"/>
      <c r="VWW70" s="29"/>
      <c r="VWX70" s="29"/>
      <c r="VWY70" s="29"/>
      <c r="VWZ70" s="29"/>
      <c r="VXA70" s="29"/>
      <c r="VXB70" s="29"/>
      <c r="VXC70" s="29"/>
      <c r="VXD70" s="29"/>
      <c r="VXE70" s="29"/>
      <c r="VXF70" s="29"/>
      <c r="VXG70" s="29"/>
      <c r="VXH70" s="29"/>
      <c r="VXI70" s="29"/>
      <c r="VXJ70" s="29"/>
      <c r="VXK70" s="29"/>
      <c r="VXL70" s="29"/>
      <c r="VXM70" s="29"/>
      <c r="VXN70" s="29"/>
      <c r="VXO70" s="29"/>
      <c r="VXP70" s="29"/>
      <c r="VXQ70" s="29"/>
      <c r="VXR70" s="29"/>
      <c r="VXS70" s="29"/>
      <c r="VXT70" s="29"/>
      <c r="VXU70" s="29"/>
      <c r="VXV70" s="29"/>
      <c r="VXW70" s="29"/>
      <c r="VXX70" s="29"/>
      <c r="VXY70" s="29"/>
      <c r="VXZ70" s="29"/>
      <c r="VYA70" s="29"/>
      <c r="VYB70" s="29"/>
      <c r="VYC70" s="29"/>
      <c r="VYD70" s="29"/>
      <c r="VYE70" s="29"/>
      <c r="VYF70" s="29"/>
      <c r="VYG70" s="29"/>
      <c r="VYH70" s="29"/>
      <c r="VYI70" s="29"/>
      <c r="VYJ70" s="29"/>
      <c r="VYK70" s="29"/>
      <c r="VYL70" s="29"/>
      <c r="VYM70" s="29"/>
      <c r="VYN70" s="29"/>
      <c r="VYO70" s="29"/>
      <c r="VYP70" s="29"/>
      <c r="VYQ70" s="29"/>
      <c r="VYR70" s="29"/>
      <c r="VYS70" s="29"/>
      <c r="VYT70" s="29"/>
      <c r="VYU70" s="29"/>
      <c r="VYV70" s="29"/>
      <c r="VYW70" s="29"/>
      <c r="VYX70" s="29"/>
      <c r="VYY70" s="29"/>
      <c r="VYZ70" s="29"/>
      <c r="VZA70" s="29"/>
      <c r="VZB70" s="29"/>
      <c r="VZC70" s="29"/>
      <c r="VZD70" s="29"/>
      <c r="VZE70" s="29"/>
      <c r="VZF70" s="29"/>
      <c r="VZG70" s="29"/>
      <c r="VZH70" s="29"/>
      <c r="VZI70" s="29"/>
      <c r="VZJ70" s="29"/>
      <c r="VZK70" s="29"/>
      <c r="VZL70" s="29"/>
      <c r="VZM70" s="29"/>
      <c r="VZN70" s="29"/>
      <c r="VZO70" s="29"/>
      <c r="VZP70" s="29"/>
      <c r="VZQ70" s="29"/>
      <c r="VZR70" s="29"/>
      <c r="VZS70" s="29"/>
      <c r="VZT70" s="29"/>
      <c r="VZU70" s="29"/>
      <c r="VZV70" s="29"/>
      <c r="VZW70" s="29"/>
      <c r="VZX70" s="29"/>
      <c r="VZY70" s="29"/>
      <c r="VZZ70" s="29"/>
      <c r="WAA70" s="29"/>
      <c r="WAB70" s="29"/>
      <c r="WAC70" s="29"/>
      <c r="WAD70" s="29"/>
      <c r="WAE70" s="29"/>
      <c r="WAF70" s="29"/>
      <c r="WAG70" s="29"/>
      <c r="WAH70" s="29"/>
      <c r="WAI70" s="29"/>
      <c r="WAJ70" s="29"/>
      <c r="WAK70" s="29"/>
      <c r="WAL70" s="29"/>
      <c r="WAM70" s="29"/>
      <c r="WAN70" s="29"/>
      <c r="WAO70" s="29"/>
      <c r="WAP70" s="29"/>
      <c r="WAQ70" s="29"/>
      <c r="WAR70" s="29"/>
      <c r="WAS70" s="29"/>
      <c r="WAT70" s="29"/>
      <c r="WAU70" s="29"/>
      <c r="WAV70" s="29"/>
      <c r="WAW70" s="29"/>
      <c r="WAX70" s="29"/>
      <c r="WAY70" s="29"/>
      <c r="WAZ70" s="29"/>
      <c r="WBA70" s="29"/>
      <c r="WBB70" s="29"/>
      <c r="WBC70" s="29"/>
      <c r="WBD70" s="29"/>
      <c r="WBE70" s="29"/>
      <c r="WBF70" s="29"/>
      <c r="WBG70" s="29"/>
      <c r="WBH70" s="29"/>
      <c r="WBI70" s="29"/>
      <c r="WBJ70" s="29"/>
      <c r="WBK70" s="29"/>
      <c r="WBL70" s="29"/>
      <c r="WBM70" s="29"/>
      <c r="WBN70" s="29"/>
      <c r="WBO70" s="29"/>
      <c r="WBP70" s="29"/>
      <c r="WBQ70" s="29"/>
      <c r="WBR70" s="29"/>
      <c r="WBS70" s="29"/>
      <c r="WBT70" s="29"/>
      <c r="WBU70" s="29"/>
      <c r="WBV70" s="29"/>
      <c r="WBW70" s="29"/>
      <c r="WBX70" s="29"/>
      <c r="WBY70" s="29"/>
      <c r="WBZ70" s="29"/>
      <c r="WCA70" s="29"/>
      <c r="WCB70" s="29"/>
      <c r="WCC70" s="29"/>
      <c r="WCD70" s="29"/>
      <c r="WCE70" s="29"/>
      <c r="WCF70" s="29"/>
      <c r="WCG70" s="29"/>
      <c r="WCH70" s="29"/>
      <c r="WCI70" s="29"/>
      <c r="WCJ70" s="29"/>
      <c r="WCK70" s="29"/>
      <c r="WCL70" s="29"/>
      <c r="WCM70" s="29"/>
      <c r="WCN70" s="29"/>
      <c r="WCO70" s="29"/>
      <c r="WCP70" s="29"/>
      <c r="WCQ70" s="29"/>
      <c r="WCR70" s="29"/>
      <c r="WCS70" s="29"/>
      <c r="WCT70" s="29"/>
      <c r="WCU70" s="29"/>
      <c r="WCV70" s="29"/>
      <c r="WCW70" s="29"/>
      <c r="WCX70" s="29"/>
      <c r="WCY70" s="29"/>
      <c r="WCZ70" s="29"/>
      <c r="WDA70" s="29"/>
      <c r="WDB70" s="29"/>
      <c r="WDC70" s="29"/>
      <c r="WDD70" s="29"/>
      <c r="WDE70" s="29"/>
      <c r="WDF70" s="29"/>
      <c r="WDG70" s="29"/>
      <c r="WDH70" s="29"/>
      <c r="WDI70" s="29"/>
      <c r="WDJ70" s="29"/>
      <c r="WDK70" s="29"/>
      <c r="WDL70" s="29"/>
      <c r="WDM70" s="29"/>
      <c r="WDN70" s="29"/>
      <c r="WDO70" s="29"/>
      <c r="WDP70" s="29"/>
      <c r="WDQ70" s="29"/>
      <c r="WDR70" s="29"/>
      <c r="WDS70" s="29"/>
      <c r="WDT70" s="29"/>
      <c r="WDU70" s="29"/>
      <c r="WDV70" s="29"/>
      <c r="WDW70" s="29"/>
      <c r="WDX70" s="29"/>
      <c r="WDY70" s="29"/>
      <c r="WDZ70" s="29"/>
      <c r="WEA70" s="29"/>
      <c r="WEB70" s="29"/>
      <c r="WEC70" s="29"/>
      <c r="WED70" s="29"/>
      <c r="WEE70" s="29"/>
      <c r="WEF70" s="29"/>
      <c r="WEG70" s="29"/>
      <c r="WEH70" s="29"/>
      <c r="WEI70" s="29"/>
      <c r="WEJ70" s="29"/>
      <c r="WEK70" s="29"/>
      <c r="WEL70" s="29"/>
      <c r="WEM70" s="29"/>
      <c r="WEN70" s="29"/>
      <c r="WEO70" s="29"/>
      <c r="WEP70" s="29"/>
      <c r="WEQ70" s="29"/>
      <c r="WER70" s="29"/>
      <c r="WES70" s="29"/>
      <c r="WET70" s="29"/>
      <c r="WEU70" s="29"/>
      <c r="WEV70" s="29"/>
      <c r="WEW70" s="29"/>
      <c r="WEX70" s="29"/>
      <c r="WEY70" s="29"/>
      <c r="WEZ70" s="29"/>
      <c r="WFA70" s="29"/>
      <c r="WFB70" s="29"/>
      <c r="WFC70" s="29"/>
      <c r="WFD70" s="29"/>
      <c r="WFE70" s="29"/>
      <c r="WFF70" s="29"/>
      <c r="WFG70" s="29"/>
      <c r="WFH70" s="29"/>
      <c r="WFI70" s="29"/>
      <c r="WFJ70" s="29"/>
      <c r="WFK70" s="29"/>
      <c r="WFL70" s="29"/>
      <c r="WFM70" s="29"/>
      <c r="WFN70" s="29"/>
      <c r="WFO70" s="29"/>
      <c r="WFP70" s="29"/>
      <c r="WFQ70" s="29"/>
      <c r="WFR70" s="29"/>
      <c r="WFS70" s="29"/>
      <c r="WFT70" s="29"/>
      <c r="WFU70" s="29"/>
      <c r="WFV70" s="29"/>
      <c r="WFW70" s="29"/>
      <c r="WFX70" s="29"/>
      <c r="WFY70" s="29"/>
      <c r="WFZ70" s="29"/>
      <c r="WGA70" s="29"/>
      <c r="WGB70" s="29"/>
      <c r="WGC70" s="29"/>
      <c r="WGD70" s="29"/>
      <c r="WGE70" s="29"/>
      <c r="WGF70" s="29"/>
      <c r="WGG70" s="29"/>
      <c r="WGH70" s="29"/>
      <c r="WGI70" s="29"/>
      <c r="WGJ70" s="29"/>
      <c r="WGK70" s="29"/>
      <c r="WGL70" s="29"/>
      <c r="WGM70" s="29"/>
      <c r="WGN70" s="29"/>
      <c r="WGO70" s="29"/>
      <c r="WGP70" s="29"/>
      <c r="WGQ70" s="29"/>
      <c r="WGR70" s="29"/>
      <c r="WGS70" s="29"/>
      <c r="WGT70" s="29"/>
      <c r="WGU70" s="29"/>
      <c r="WGV70" s="29"/>
      <c r="WGW70" s="29"/>
      <c r="WGX70" s="29"/>
      <c r="WGY70" s="29"/>
      <c r="WGZ70" s="29"/>
      <c r="WHA70" s="29"/>
      <c r="WHB70" s="29"/>
      <c r="WHC70" s="29"/>
      <c r="WHD70" s="29"/>
      <c r="WHE70" s="29"/>
      <c r="WHF70" s="29"/>
      <c r="WHG70" s="29"/>
      <c r="WHH70" s="29"/>
      <c r="WHI70" s="29"/>
      <c r="WHJ70" s="29"/>
      <c r="WHK70" s="29"/>
      <c r="WHL70" s="29"/>
      <c r="WHM70" s="29"/>
      <c r="WHN70" s="29"/>
      <c r="WHO70" s="29"/>
      <c r="WHP70" s="29"/>
      <c r="WHQ70" s="29"/>
      <c r="WHR70" s="29"/>
      <c r="WHS70" s="29"/>
      <c r="WHT70" s="29"/>
      <c r="WHU70" s="29"/>
      <c r="WHV70" s="29"/>
      <c r="WHW70" s="29"/>
      <c r="WHX70" s="29"/>
      <c r="WHY70" s="29"/>
      <c r="WHZ70" s="29"/>
      <c r="WIA70" s="29"/>
      <c r="WIB70" s="29"/>
      <c r="WIC70" s="29"/>
      <c r="WID70" s="29"/>
      <c r="WIE70" s="29"/>
      <c r="WIF70" s="29"/>
      <c r="WIG70" s="29"/>
      <c r="WIH70" s="29"/>
      <c r="WII70" s="29"/>
      <c r="WIJ70" s="29"/>
      <c r="WIK70" s="29"/>
      <c r="WIL70" s="29"/>
      <c r="WIM70" s="29"/>
      <c r="WIN70" s="29"/>
      <c r="WIO70" s="29"/>
      <c r="WIP70" s="29"/>
      <c r="WIQ70" s="29"/>
      <c r="WIR70" s="29"/>
      <c r="WIS70" s="29"/>
      <c r="WIT70" s="29"/>
      <c r="WIU70" s="29"/>
      <c r="WIV70" s="29"/>
      <c r="WIW70" s="29"/>
      <c r="WIX70" s="29"/>
      <c r="WIY70" s="29"/>
      <c r="WIZ70" s="29"/>
      <c r="WJA70" s="29"/>
      <c r="WJB70" s="29"/>
      <c r="WJC70" s="29"/>
      <c r="WJD70" s="29"/>
      <c r="WJE70" s="29"/>
      <c r="WJF70" s="29"/>
      <c r="WJG70" s="29"/>
      <c r="WJH70" s="29"/>
      <c r="WJI70" s="29"/>
      <c r="WJJ70" s="29"/>
      <c r="WJK70" s="29"/>
      <c r="WJL70" s="29"/>
      <c r="WJM70" s="29"/>
      <c r="WJN70" s="29"/>
      <c r="WJO70" s="29"/>
      <c r="WJP70" s="29"/>
      <c r="WJQ70" s="29"/>
      <c r="WJR70" s="29"/>
      <c r="WJS70" s="29"/>
      <c r="WJT70" s="29"/>
      <c r="WJU70" s="29"/>
      <c r="WJV70" s="29"/>
      <c r="WJW70" s="29"/>
      <c r="WJX70" s="29"/>
      <c r="WJY70" s="29"/>
      <c r="WJZ70" s="29"/>
      <c r="WKA70" s="29"/>
      <c r="WKB70" s="29"/>
      <c r="WKC70" s="29"/>
      <c r="WKD70" s="29"/>
      <c r="WKE70" s="29"/>
      <c r="WKF70" s="29"/>
      <c r="WKG70" s="29"/>
      <c r="WKH70" s="29"/>
      <c r="WKI70" s="29"/>
      <c r="WKJ70" s="29"/>
      <c r="WKK70" s="29"/>
      <c r="WKL70" s="29"/>
      <c r="WKM70" s="29"/>
      <c r="WKN70" s="29"/>
      <c r="WKO70" s="29"/>
      <c r="WKP70" s="29"/>
      <c r="WKQ70" s="29"/>
      <c r="WKR70" s="29"/>
      <c r="WKS70" s="29"/>
      <c r="WKT70" s="29"/>
      <c r="WKU70" s="29"/>
      <c r="WKV70" s="29"/>
      <c r="WKW70" s="29"/>
      <c r="WKX70" s="29"/>
      <c r="WKY70" s="29"/>
      <c r="WKZ70" s="29"/>
      <c r="WLA70" s="29"/>
      <c r="WLB70" s="29"/>
      <c r="WLC70" s="29"/>
      <c r="WLD70" s="29"/>
      <c r="WLE70" s="29"/>
      <c r="WLF70" s="29"/>
      <c r="WLG70" s="29"/>
      <c r="WLH70" s="29"/>
      <c r="WLI70" s="29"/>
      <c r="WLJ70" s="29"/>
      <c r="WLK70" s="29"/>
      <c r="WLL70" s="29"/>
      <c r="WLM70" s="29"/>
      <c r="WLN70" s="29"/>
      <c r="WLO70" s="29"/>
      <c r="WLP70" s="29"/>
      <c r="WLQ70" s="29"/>
      <c r="WLR70" s="29"/>
      <c r="WLS70" s="29"/>
      <c r="WLT70" s="29"/>
      <c r="WLU70" s="29"/>
      <c r="WLV70" s="29"/>
      <c r="WLW70" s="29"/>
      <c r="WLX70" s="29"/>
      <c r="WLY70" s="29"/>
      <c r="WLZ70" s="29"/>
      <c r="WMA70" s="29"/>
      <c r="WMB70" s="29"/>
      <c r="WMC70" s="29"/>
      <c r="WMD70" s="29"/>
      <c r="WME70" s="29"/>
      <c r="WMF70" s="29"/>
      <c r="WMG70" s="29"/>
      <c r="WMH70" s="29"/>
      <c r="WMI70" s="29"/>
      <c r="WMJ70" s="29"/>
      <c r="WMK70" s="29"/>
      <c r="WML70" s="29"/>
      <c r="WMM70" s="29"/>
      <c r="WMN70" s="29"/>
      <c r="WMO70" s="29"/>
      <c r="WMP70" s="29"/>
      <c r="WMQ70" s="29"/>
      <c r="WMR70" s="29"/>
      <c r="WMS70" s="29"/>
      <c r="WMT70" s="29"/>
      <c r="WMU70" s="29"/>
      <c r="WMV70" s="29"/>
      <c r="WMW70" s="29"/>
      <c r="WMX70" s="29"/>
      <c r="WMY70" s="29"/>
      <c r="WMZ70" s="29"/>
      <c r="WNA70" s="29"/>
      <c r="WNB70" s="29"/>
      <c r="WNC70" s="29"/>
      <c r="WND70" s="29"/>
      <c r="WNE70" s="29"/>
      <c r="WNF70" s="29"/>
      <c r="WNG70" s="29"/>
      <c r="WNH70" s="29"/>
      <c r="WNI70" s="29"/>
      <c r="WNJ70" s="29"/>
      <c r="WNK70" s="29"/>
      <c r="WNL70" s="29"/>
      <c r="WNM70" s="29"/>
      <c r="WNN70" s="29"/>
      <c r="WNO70" s="29"/>
      <c r="WNP70" s="29"/>
      <c r="WNQ70" s="29"/>
      <c r="WNR70" s="29"/>
      <c r="WNS70" s="29"/>
      <c r="WNT70" s="29"/>
      <c r="WNU70" s="29"/>
      <c r="WNV70" s="29"/>
      <c r="WNW70" s="29"/>
      <c r="WNX70" s="29"/>
      <c r="WNY70" s="29"/>
      <c r="WNZ70" s="29"/>
      <c r="WOA70" s="29"/>
      <c r="WOB70" s="29"/>
      <c r="WOC70" s="29"/>
      <c r="WOD70" s="29"/>
      <c r="WOE70" s="29"/>
      <c r="WOF70" s="29"/>
      <c r="WOG70" s="29"/>
      <c r="WOH70" s="29"/>
      <c r="WOI70" s="29"/>
      <c r="WOJ70" s="29"/>
      <c r="WOK70" s="29"/>
      <c r="WOL70" s="29"/>
      <c r="WOM70" s="29"/>
      <c r="WON70" s="29"/>
      <c r="WOO70" s="29"/>
      <c r="WOP70" s="29"/>
      <c r="WOQ70" s="29"/>
      <c r="WOR70" s="29"/>
      <c r="WOS70" s="29"/>
      <c r="WOT70" s="29"/>
      <c r="WOU70" s="29"/>
      <c r="WOV70" s="29"/>
      <c r="WOW70" s="29"/>
      <c r="WOX70" s="29"/>
      <c r="WOY70" s="29"/>
      <c r="WOZ70" s="29"/>
      <c r="WPA70" s="29"/>
      <c r="WPB70" s="29"/>
      <c r="WPC70" s="29"/>
      <c r="WPD70" s="29"/>
      <c r="WPE70" s="29"/>
      <c r="WPF70" s="29"/>
      <c r="WPG70" s="29"/>
      <c r="WPH70" s="29"/>
      <c r="WPI70" s="29"/>
      <c r="WPJ70" s="29"/>
      <c r="WPK70" s="29"/>
      <c r="WPL70" s="29"/>
      <c r="WPM70" s="29"/>
      <c r="WPN70" s="29"/>
      <c r="WPO70" s="29"/>
      <c r="WPP70" s="29"/>
      <c r="WPQ70" s="29"/>
      <c r="WPR70" s="29"/>
      <c r="WPS70" s="29"/>
      <c r="WPT70" s="29"/>
      <c r="WPU70" s="29"/>
      <c r="WPV70" s="29"/>
      <c r="WPW70" s="29"/>
      <c r="WPX70" s="29"/>
      <c r="WPY70" s="29"/>
      <c r="WPZ70" s="29"/>
      <c r="WQA70" s="29"/>
      <c r="WQB70" s="29"/>
      <c r="WQC70" s="29"/>
      <c r="WQD70" s="29"/>
      <c r="WQE70" s="29"/>
      <c r="WQF70" s="29"/>
      <c r="WQG70" s="29"/>
      <c r="WQH70" s="29"/>
      <c r="WQI70" s="29"/>
      <c r="WQJ70" s="29"/>
      <c r="WQK70" s="29"/>
      <c r="WQL70" s="29"/>
      <c r="WQM70" s="29"/>
      <c r="WQN70" s="29"/>
      <c r="WQO70" s="29"/>
      <c r="WQP70" s="29"/>
      <c r="WQQ70" s="29"/>
      <c r="WQR70" s="29"/>
      <c r="WQS70" s="29"/>
      <c r="WQT70" s="29"/>
      <c r="WQU70" s="29"/>
      <c r="WQV70" s="29"/>
      <c r="WQW70" s="29"/>
      <c r="WQX70" s="29"/>
      <c r="WQY70" s="29"/>
      <c r="WQZ70" s="29"/>
      <c r="WRA70" s="29"/>
      <c r="WRB70" s="29"/>
      <c r="WRC70" s="29"/>
      <c r="WRD70" s="29"/>
      <c r="WRE70" s="29"/>
      <c r="WRF70" s="29"/>
      <c r="WRG70" s="29"/>
      <c r="WRH70" s="29"/>
      <c r="WRI70" s="29"/>
      <c r="WRJ70" s="29"/>
      <c r="WRK70" s="29"/>
      <c r="WRL70" s="29"/>
      <c r="WRM70" s="29"/>
      <c r="WRN70" s="29"/>
      <c r="WRO70" s="29"/>
      <c r="WRP70" s="29"/>
      <c r="WRQ70" s="29"/>
      <c r="WRR70" s="29"/>
      <c r="WRS70" s="29"/>
      <c r="WRT70" s="29"/>
      <c r="WRU70" s="29"/>
      <c r="WRV70" s="29"/>
      <c r="WRW70" s="29"/>
      <c r="WRX70" s="29"/>
      <c r="WRY70" s="29"/>
      <c r="WRZ70" s="29"/>
      <c r="WSA70" s="29"/>
      <c r="WSB70" s="29"/>
      <c r="WSC70" s="29"/>
      <c r="WSD70" s="29"/>
      <c r="WSE70" s="29"/>
      <c r="WSF70" s="29"/>
      <c r="WSG70" s="29"/>
      <c r="WSH70" s="29"/>
      <c r="WSI70" s="29"/>
      <c r="WSJ70" s="29"/>
      <c r="WSK70" s="29"/>
      <c r="WSL70" s="29"/>
      <c r="WSM70" s="29"/>
      <c r="WSN70" s="29"/>
      <c r="WSO70" s="29"/>
      <c r="WSP70" s="29"/>
      <c r="WSQ70" s="29"/>
      <c r="WSR70" s="29"/>
      <c r="WSS70" s="29"/>
      <c r="WST70" s="29"/>
      <c r="WSU70" s="29"/>
      <c r="WSV70" s="29"/>
      <c r="WSW70" s="29"/>
      <c r="WSX70" s="29"/>
      <c r="WSY70" s="29"/>
      <c r="WSZ70" s="29"/>
      <c r="WTA70" s="29"/>
      <c r="WTB70" s="29"/>
      <c r="WTC70" s="29"/>
      <c r="WTD70" s="29"/>
      <c r="WTE70" s="29"/>
      <c r="WTF70" s="29"/>
      <c r="WTG70" s="29"/>
      <c r="WTH70" s="29"/>
      <c r="WTI70" s="29"/>
      <c r="WTJ70" s="29"/>
      <c r="WTK70" s="29"/>
      <c r="WTL70" s="29"/>
      <c r="WTM70" s="29"/>
      <c r="WTN70" s="29"/>
      <c r="WTO70" s="29"/>
      <c r="WTP70" s="29"/>
      <c r="WTQ70" s="29"/>
      <c r="WTR70" s="29"/>
      <c r="WTS70" s="29"/>
      <c r="WTT70" s="29"/>
      <c r="WTU70" s="29"/>
      <c r="WTV70" s="29"/>
      <c r="WTW70" s="29"/>
      <c r="WTX70" s="29"/>
      <c r="WTY70" s="29"/>
      <c r="WTZ70" s="29"/>
      <c r="WUA70" s="29"/>
      <c r="WUB70" s="29"/>
      <c r="WUC70" s="29"/>
      <c r="WUD70" s="29"/>
      <c r="WUE70" s="29"/>
      <c r="WUF70" s="29"/>
      <c r="WUG70" s="29"/>
      <c r="WUH70" s="29"/>
      <c r="WUI70" s="29"/>
      <c r="WUJ70" s="29"/>
      <c r="WUK70" s="29"/>
      <c r="WUL70" s="29"/>
      <c r="WUM70" s="29"/>
      <c r="WUN70" s="29"/>
      <c r="WUO70" s="29"/>
      <c r="WUP70" s="29"/>
      <c r="WUQ70" s="29"/>
      <c r="WUR70" s="29"/>
      <c r="WUS70" s="29"/>
      <c r="WUT70" s="29"/>
      <c r="WUU70" s="29"/>
      <c r="WUV70" s="29"/>
      <c r="WUW70" s="29"/>
      <c r="WUX70" s="29"/>
      <c r="WUY70" s="29"/>
      <c r="WUZ70" s="29"/>
      <c r="WVA70" s="29"/>
      <c r="WVB70" s="29"/>
      <c r="WVC70" s="29"/>
      <c r="WVD70" s="29"/>
      <c r="WVE70" s="29"/>
      <c r="WVF70" s="29"/>
      <c r="WVG70" s="29"/>
      <c r="WVH70" s="29"/>
      <c r="WVI70" s="29"/>
      <c r="WVJ70" s="29"/>
      <c r="WVK70" s="29"/>
      <c r="WVL70" s="29"/>
      <c r="WVM70" s="29"/>
      <c r="WVN70" s="29"/>
      <c r="WVO70" s="29"/>
      <c r="WVP70" s="29"/>
      <c r="WVQ70" s="29"/>
      <c r="WVR70" s="29"/>
      <c r="WVS70" s="29"/>
      <c r="WVT70" s="29"/>
      <c r="WVU70" s="29"/>
      <c r="WVV70" s="29"/>
      <c r="WVW70" s="29"/>
      <c r="WVX70" s="29"/>
      <c r="WVY70" s="29"/>
      <c r="WVZ70" s="29"/>
      <c r="WWA70" s="29"/>
      <c r="WWB70" s="29"/>
      <c r="WWC70" s="29"/>
      <c r="WWD70" s="29"/>
      <c r="WWE70" s="29"/>
      <c r="WWF70" s="29"/>
      <c r="WWG70" s="29"/>
      <c r="WWH70" s="29"/>
      <c r="WWI70" s="29"/>
      <c r="WWJ70" s="29"/>
      <c r="WWK70" s="29"/>
      <c r="WWL70" s="29"/>
      <c r="WWM70" s="29"/>
      <c r="WWN70" s="29"/>
      <c r="WWO70" s="29"/>
      <c r="WWP70" s="29"/>
      <c r="WWQ70" s="29"/>
      <c r="WWR70" s="29"/>
      <c r="WWS70" s="29"/>
      <c r="WWT70" s="29"/>
      <c r="WWU70" s="29"/>
      <c r="WWV70" s="29"/>
      <c r="WWW70" s="29"/>
      <c r="WWX70" s="29"/>
      <c r="WWY70" s="29"/>
      <c r="WWZ70" s="29"/>
      <c r="WXA70" s="29"/>
      <c r="WXB70" s="29"/>
      <c r="WXC70" s="29"/>
      <c r="WXD70" s="29"/>
      <c r="WXE70" s="29"/>
      <c r="WXF70" s="29"/>
      <c r="WXG70" s="29"/>
      <c r="WXH70" s="29"/>
      <c r="WXI70" s="29"/>
      <c r="WXJ70" s="29"/>
      <c r="WXK70" s="29"/>
      <c r="WXL70" s="29"/>
      <c r="WXM70" s="29"/>
      <c r="WXN70" s="29"/>
      <c r="WXO70" s="29"/>
      <c r="WXP70" s="29"/>
      <c r="WXQ70" s="29"/>
      <c r="WXR70" s="29"/>
      <c r="WXS70" s="29"/>
      <c r="WXT70" s="29"/>
      <c r="WXU70" s="29"/>
      <c r="WXV70" s="29"/>
      <c r="WXW70" s="29"/>
      <c r="WXX70" s="29"/>
      <c r="WXY70" s="29"/>
      <c r="WXZ70" s="29"/>
      <c r="WYA70" s="29"/>
      <c r="WYB70" s="29"/>
      <c r="WYC70" s="29"/>
      <c r="WYD70" s="29"/>
      <c r="WYE70" s="29"/>
      <c r="WYF70" s="29"/>
      <c r="WYG70" s="29"/>
      <c r="WYH70" s="29"/>
      <c r="WYI70" s="29"/>
      <c r="WYJ70" s="29"/>
      <c r="WYK70" s="29"/>
      <c r="WYL70" s="29"/>
      <c r="WYM70" s="29"/>
      <c r="WYN70" s="29"/>
      <c r="WYO70" s="29"/>
      <c r="WYP70" s="29"/>
      <c r="WYQ70" s="29"/>
      <c r="WYR70" s="29"/>
      <c r="WYS70" s="29"/>
      <c r="WYT70" s="29"/>
      <c r="WYU70" s="29"/>
      <c r="WYV70" s="29"/>
      <c r="WYW70" s="29"/>
      <c r="WYX70" s="29"/>
      <c r="WYY70" s="29"/>
      <c r="WYZ70" s="29"/>
      <c r="WZA70" s="29"/>
      <c r="WZB70" s="29"/>
      <c r="WZC70" s="29"/>
      <c r="WZD70" s="29"/>
      <c r="WZE70" s="29"/>
      <c r="WZF70" s="29"/>
      <c r="WZG70" s="29"/>
      <c r="WZH70" s="29"/>
      <c r="WZI70" s="29"/>
      <c r="WZJ70" s="29"/>
      <c r="WZK70" s="29"/>
      <c r="WZL70" s="29"/>
      <c r="WZM70" s="29"/>
      <c r="WZN70" s="29"/>
      <c r="WZO70" s="29"/>
      <c r="WZP70" s="29"/>
      <c r="WZQ70" s="29"/>
      <c r="WZR70" s="29"/>
      <c r="WZS70" s="29"/>
      <c r="WZT70" s="29"/>
      <c r="WZU70" s="29"/>
      <c r="WZV70" s="29"/>
      <c r="WZW70" s="29"/>
      <c r="WZX70" s="29"/>
      <c r="WZY70" s="29"/>
      <c r="WZZ70" s="29"/>
      <c r="XAA70" s="29"/>
      <c r="XAB70" s="29"/>
      <c r="XAC70" s="29"/>
      <c r="XAD70" s="29"/>
      <c r="XAE70" s="29"/>
      <c r="XAF70" s="29"/>
      <c r="XAG70" s="29"/>
      <c r="XAH70" s="29"/>
      <c r="XAI70" s="29"/>
      <c r="XAJ70" s="29"/>
      <c r="XAK70" s="29"/>
      <c r="XAL70" s="29"/>
      <c r="XAM70" s="29"/>
      <c r="XAN70" s="29"/>
      <c r="XAO70" s="29"/>
      <c r="XAP70" s="29"/>
      <c r="XAQ70" s="29"/>
      <c r="XAR70" s="29"/>
      <c r="XAS70" s="29"/>
      <c r="XAT70" s="29"/>
      <c r="XAU70" s="29"/>
      <c r="XAV70" s="29"/>
      <c r="XAW70" s="29"/>
      <c r="XAX70" s="29"/>
      <c r="XAY70" s="29"/>
      <c r="XAZ70" s="29"/>
      <c r="XBA70" s="29"/>
      <c r="XBB70" s="29"/>
      <c r="XBC70" s="29"/>
      <c r="XBD70" s="29"/>
      <c r="XBE70" s="29"/>
      <c r="XBF70" s="29"/>
      <c r="XBG70" s="29"/>
      <c r="XBH70" s="29"/>
      <c r="XBI70" s="29"/>
      <c r="XBJ70" s="29"/>
      <c r="XBK70" s="29"/>
      <c r="XBL70" s="29"/>
      <c r="XBM70" s="29"/>
      <c r="XBN70" s="29"/>
      <c r="XBO70" s="29"/>
      <c r="XBP70" s="29"/>
      <c r="XBQ70" s="29"/>
      <c r="XBR70" s="29"/>
      <c r="XBS70" s="29"/>
      <c r="XBT70" s="29"/>
      <c r="XBU70" s="29"/>
      <c r="XBV70" s="29"/>
      <c r="XBW70" s="29"/>
      <c r="XBX70" s="29"/>
      <c r="XBY70" s="29"/>
      <c r="XBZ70" s="29"/>
      <c r="XCA70" s="29"/>
      <c r="XCB70" s="29"/>
      <c r="XCC70" s="29"/>
      <c r="XCD70" s="29"/>
      <c r="XCE70" s="29"/>
      <c r="XCF70" s="29"/>
      <c r="XCG70" s="29"/>
      <c r="XCH70" s="29"/>
      <c r="XCI70" s="29"/>
      <c r="XCJ70" s="29"/>
      <c r="XCK70" s="29"/>
      <c r="XCL70" s="29"/>
      <c r="XCM70" s="29"/>
      <c r="XCN70" s="29"/>
      <c r="XCO70" s="29"/>
      <c r="XCP70" s="29"/>
      <c r="XCQ70" s="29"/>
      <c r="XCR70" s="29"/>
      <c r="XCS70" s="29"/>
      <c r="XCT70" s="29"/>
      <c r="XCU70" s="29"/>
      <c r="XCV70" s="29"/>
      <c r="XCW70" s="29"/>
      <c r="XCX70" s="29"/>
      <c r="XCY70" s="29"/>
      <c r="XCZ70" s="29"/>
      <c r="XDA70" s="29"/>
      <c r="XDB70" s="29"/>
      <c r="XDC70" s="29"/>
      <c r="XDD70" s="29"/>
      <c r="XDE70" s="29"/>
      <c r="XDF70" s="29"/>
      <c r="XDG70" s="29"/>
      <c r="XDH70" s="29"/>
      <c r="XDI70" s="29"/>
      <c r="XDJ70" s="29"/>
      <c r="XDK70" s="29"/>
      <c r="XDL70" s="29"/>
      <c r="XDM70" s="29"/>
      <c r="XDN70" s="29"/>
      <c r="XDO70" s="29"/>
      <c r="XDP70" s="29"/>
      <c r="XDQ70" s="29"/>
      <c r="XDR70" s="29"/>
      <c r="XDS70" s="29"/>
      <c r="XDT70" s="29"/>
      <c r="XDU70" s="29"/>
      <c r="XDV70" s="29"/>
      <c r="XDW70" s="29"/>
      <c r="XDX70" s="29"/>
      <c r="XDY70" s="29"/>
      <c r="XDZ70" s="29"/>
      <c r="XEA70" s="29"/>
      <c r="XEB70" s="29"/>
      <c r="XEC70" s="29"/>
      <c r="XED70" s="29"/>
      <c r="XEE70" s="29"/>
      <c r="XEF70" s="29"/>
      <c r="XEG70" s="29"/>
      <c r="XEH70" s="29"/>
      <c r="XEI70" s="29"/>
      <c r="XEJ70" s="29"/>
      <c r="XEK70" s="29"/>
      <c r="XEL70" s="29"/>
      <c r="XEM70" s="29"/>
      <c r="XEN70" s="29"/>
      <c r="XEO70" s="29"/>
      <c r="XEP70" s="29"/>
      <c r="XEQ70" s="29"/>
      <c r="XER70" s="29"/>
      <c r="XES70" s="29"/>
      <c r="XET70" s="29"/>
      <c r="XEU70" s="29"/>
      <c r="XEV70" s="29"/>
      <c r="XEW70" s="29"/>
      <c r="XEX70" s="29"/>
      <c r="XEY70" s="29"/>
      <c r="XEZ70" s="29"/>
      <c r="XFA70" s="29"/>
      <c r="XFB70" s="29"/>
      <c r="XFC70" s="29"/>
      <c r="XFD70" s="29"/>
    </row>
    <row r="71" spans="1:16384" s="29" customFormat="1" ht="14.25" x14ac:dyDescent="0.15">
      <c r="A71" s="77" t="s">
        <v>21</v>
      </c>
      <c r="B71" s="130">
        <v>94.2</v>
      </c>
      <c r="C71" s="130">
        <v>104.6</v>
      </c>
      <c r="D71" s="130">
        <v>88.9</v>
      </c>
      <c r="E71" s="130">
        <v>119.5</v>
      </c>
      <c r="F71" s="130">
        <v>75.900000000000006</v>
      </c>
      <c r="G71" s="130">
        <v>67.599999999999994</v>
      </c>
      <c r="H71" s="130">
        <v>100.1</v>
      </c>
      <c r="I71" s="130">
        <v>96</v>
      </c>
      <c r="J71" s="130">
        <v>108.5</v>
      </c>
      <c r="K71" s="171">
        <v>112</v>
      </c>
      <c r="L71" s="166">
        <v>112.1</v>
      </c>
      <c r="M71" s="28"/>
      <c r="N71" s="28"/>
      <c r="O71" s="28"/>
      <c r="P71" s="28"/>
      <c r="Q71" s="28"/>
      <c r="R71" s="28"/>
      <c r="S71" s="28"/>
      <c r="T71" s="28"/>
    </row>
    <row r="72" spans="1:16384" s="29" customFormat="1" ht="14.25" x14ac:dyDescent="0.15">
      <c r="A72" s="77" t="s">
        <v>89</v>
      </c>
      <c r="B72" s="130">
        <v>110.7</v>
      </c>
      <c r="C72" s="130">
        <v>107.6</v>
      </c>
      <c r="D72" s="130">
        <v>105.2</v>
      </c>
      <c r="E72" s="130">
        <v>153.1</v>
      </c>
      <c r="F72" s="130">
        <v>94.9</v>
      </c>
      <c r="G72" s="130">
        <v>75.5</v>
      </c>
      <c r="H72" s="130">
        <v>115.4</v>
      </c>
      <c r="I72" s="130">
        <v>111.7</v>
      </c>
      <c r="J72" s="130">
        <v>109.9</v>
      </c>
      <c r="K72" s="171">
        <v>119.9</v>
      </c>
      <c r="L72" s="166">
        <v>119.5</v>
      </c>
      <c r="M72" s="28"/>
      <c r="N72" s="28"/>
      <c r="O72" s="28"/>
      <c r="P72" s="28"/>
      <c r="Q72" s="28"/>
      <c r="R72" s="28"/>
      <c r="S72" s="28"/>
      <c r="T72" s="28"/>
    </row>
    <row r="73" spans="1:16384" s="29" customFormat="1" ht="14.25" x14ac:dyDescent="0.15">
      <c r="A73" s="77"/>
      <c r="B73" s="130" t="s">
        <v>207</v>
      </c>
      <c r="C73" s="130" t="s">
        <v>207</v>
      </c>
      <c r="D73" s="130" t="s">
        <v>207</v>
      </c>
      <c r="E73" s="130" t="s">
        <v>207</v>
      </c>
      <c r="F73" s="130" t="s">
        <v>207</v>
      </c>
      <c r="G73" s="130" t="s">
        <v>207</v>
      </c>
      <c r="H73" s="130" t="s">
        <v>207</v>
      </c>
      <c r="I73" s="130" t="s">
        <v>207</v>
      </c>
      <c r="J73" s="130" t="s">
        <v>207</v>
      </c>
      <c r="K73" s="171" t="s">
        <v>207</v>
      </c>
      <c r="L73" s="166" t="s">
        <v>207</v>
      </c>
      <c r="M73" s="28"/>
      <c r="N73" s="28"/>
      <c r="O73" s="28"/>
      <c r="P73" s="28"/>
      <c r="Q73" s="28"/>
      <c r="R73" s="28"/>
      <c r="S73" s="28"/>
      <c r="T73" s="28"/>
    </row>
    <row r="74" spans="1:16384" s="29" customFormat="1" ht="14.25" x14ac:dyDescent="0.15">
      <c r="A74" s="77" t="s">
        <v>90</v>
      </c>
      <c r="B74" s="130">
        <v>108.4</v>
      </c>
      <c r="C74" s="130">
        <v>105.9</v>
      </c>
      <c r="D74" s="130">
        <v>104.2</v>
      </c>
      <c r="E74" s="130">
        <v>133.30000000000001</v>
      </c>
      <c r="F74" s="130">
        <v>107.9</v>
      </c>
      <c r="G74" s="130">
        <v>77.900000000000006</v>
      </c>
      <c r="H74" s="130">
        <v>108.1</v>
      </c>
      <c r="I74" s="130">
        <v>111.7</v>
      </c>
      <c r="J74" s="130">
        <v>109.2</v>
      </c>
      <c r="K74" s="171">
        <v>126.2</v>
      </c>
      <c r="L74" s="166">
        <v>124</v>
      </c>
      <c r="M74" s="28"/>
      <c r="N74" s="28"/>
      <c r="O74" s="28"/>
      <c r="P74" s="28"/>
      <c r="Q74" s="28"/>
      <c r="R74" s="28"/>
      <c r="S74" s="28"/>
      <c r="T74" s="28"/>
    </row>
    <row r="75" spans="1:16384" s="29" customFormat="1" ht="14.25" x14ac:dyDescent="0.15">
      <c r="A75" s="77" t="s">
        <v>91</v>
      </c>
      <c r="B75" s="130">
        <v>109.7</v>
      </c>
      <c r="C75" s="130">
        <v>108.1</v>
      </c>
      <c r="D75" s="130">
        <v>107.6</v>
      </c>
      <c r="E75" s="130">
        <v>143.80000000000001</v>
      </c>
      <c r="F75" s="130">
        <v>117.3</v>
      </c>
      <c r="G75" s="130">
        <v>78.599999999999994</v>
      </c>
      <c r="H75" s="130">
        <v>107.9</v>
      </c>
      <c r="I75" s="130">
        <v>115.8</v>
      </c>
      <c r="J75" s="130">
        <v>112.1</v>
      </c>
      <c r="K75" s="171">
        <v>120.8</v>
      </c>
      <c r="L75" s="166">
        <v>119.2</v>
      </c>
      <c r="M75" s="28"/>
      <c r="N75" s="28"/>
      <c r="O75" s="28"/>
      <c r="P75" s="28"/>
      <c r="Q75" s="28"/>
      <c r="R75" s="28"/>
      <c r="S75" s="28"/>
      <c r="T75" s="28"/>
    </row>
    <row r="76" spans="1:16384" s="29" customFormat="1" ht="14.25" x14ac:dyDescent="0.15">
      <c r="A76" s="77" t="s">
        <v>92</v>
      </c>
      <c r="B76" s="130">
        <v>108.3</v>
      </c>
      <c r="C76" s="130">
        <v>109.3</v>
      </c>
      <c r="D76" s="130">
        <v>103.6</v>
      </c>
      <c r="E76" s="130">
        <v>140.1</v>
      </c>
      <c r="F76" s="130">
        <v>103.6</v>
      </c>
      <c r="G76" s="130">
        <v>75.8</v>
      </c>
      <c r="H76" s="130">
        <v>118.5</v>
      </c>
      <c r="I76" s="130">
        <v>111.5</v>
      </c>
      <c r="J76" s="130">
        <v>111.6</v>
      </c>
      <c r="K76" s="171">
        <v>123.2</v>
      </c>
      <c r="L76" s="166">
        <v>126.6</v>
      </c>
      <c r="M76" s="28"/>
      <c r="N76" s="28"/>
      <c r="O76" s="28"/>
      <c r="P76" s="28"/>
      <c r="Q76" s="28"/>
      <c r="R76" s="28"/>
      <c r="S76" s="28"/>
      <c r="T76" s="28"/>
    </row>
    <row r="77" spans="1:16384" s="29" customFormat="1" ht="14.25" x14ac:dyDescent="0.15">
      <c r="A77" s="77"/>
      <c r="B77" s="130" t="s">
        <v>207</v>
      </c>
      <c r="C77" s="130" t="s">
        <v>207</v>
      </c>
      <c r="D77" s="130" t="s">
        <v>207</v>
      </c>
      <c r="E77" s="130" t="s">
        <v>207</v>
      </c>
      <c r="F77" s="130" t="s">
        <v>207</v>
      </c>
      <c r="G77" s="130" t="s">
        <v>207</v>
      </c>
      <c r="H77" s="130" t="s">
        <v>207</v>
      </c>
      <c r="I77" s="130" t="s">
        <v>207</v>
      </c>
      <c r="J77" s="130" t="s">
        <v>207</v>
      </c>
      <c r="K77" s="171" t="s">
        <v>207</v>
      </c>
      <c r="L77" s="166" t="s">
        <v>207</v>
      </c>
      <c r="M77" s="28"/>
      <c r="N77" s="28"/>
      <c r="O77" s="28"/>
      <c r="P77" s="28"/>
      <c r="Q77" s="28"/>
      <c r="R77" s="28"/>
      <c r="S77" s="28"/>
      <c r="T77" s="28"/>
    </row>
    <row r="78" spans="1:16384" s="29" customFormat="1" ht="14.25" x14ac:dyDescent="0.15">
      <c r="A78" s="77" t="s">
        <v>93</v>
      </c>
      <c r="B78" s="130">
        <v>108.5</v>
      </c>
      <c r="C78" s="130">
        <v>109</v>
      </c>
      <c r="D78" s="130">
        <v>94.5</v>
      </c>
      <c r="E78" s="130">
        <v>144.4</v>
      </c>
      <c r="F78" s="130">
        <v>101.5</v>
      </c>
      <c r="G78" s="130">
        <v>77.3</v>
      </c>
      <c r="H78" s="130">
        <v>114.2</v>
      </c>
      <c r="I78" s="130">
        <v>116.9</v>
      </c>
      <c r="J78" s="130">
        <v>118.2</v>
      </c>
      <c r="K78" s="171">
        <v>113.5</v>
      </c>
      <c r="L78" s="166">
        <v>110.8</v>
      </c>
      <c r="M78" s="28"/>
      <c r="N78" s="28"/>
      <c r="O78" s="28"/>
      <c r="P78" s="28"/>
      <c r="Q78" s="28"/>
      <c r="R78" s="28"/>
      <c r="S78" s="28"/>
      <c r="T78" s="28"/>
    </row>
    <row r="79" spans="1:16384" s="29" customFormat="1" ht="14.25" x14ac:dyDescent="0.15">
      <c r="A79" s="77" t="s">
        <v>94</v>
      </c>
      <c r="B79" s="130">
        <v>110.8</v>
      </c>
      <c r="C79" s="130">
        <v>111.9</v>
      </c>
      <c r="D79" s="130">
        <v>111.1</v>
      </c>
      <c r="E79" s="130">
        <v>140.30000000000001</v>
      </c>
      <c r="F79" s="130">
        <v>104.3</v>
      </c>
      <c r="G79" s="130">
        <v>73.2</v>
      </c>
      <c r="H79" s="130">
        <v>106.8</v>
      </c>
      <c r="I79" s="130">
        <v>111.8</v>
      </c>
      <c r="J79" s="130">
        <v>114.2</v>
      </c>
      <c r="K79" s="171">
        <v>119.1</v>
      </c>
      <c r="L79" s="166">
        <v>113.2</v>
      </c>
      <c r="M79" s="28"/>
      <c r="N79" s="28"/>
      <c r="O79" s="28"/>
      <c r="P79" s="28"/>
      <c r="Q79" s="28"/>
      <c r="R79" s="28"/>
      <c r="S79" s="28"/>
      <c r="T79" s="28"/>
    </row>
    <row r="80" spans="1:16384" s="29" customFormat="1" ht="14.25" x14ac:dyDescent="0.15">
      <c r="A80" s="77" t="s">
        <v>95</v>
      </c>
      <c r="B80" s="130">
        <v>103.7</v>
      </c>
      <c r="C80" s="130">
        <v>108.4</v>
      </c>
      <c r="D80" s="130">
        <v>93.9</v>
      </c>
      <c r="E80" s="130">
        <v>147.19999999999999</v>
      </c>
      <c r="F80" s="130">
        <v>97.5</v>
      </c>
      <c r="G80" s="130">
        <v>75.099999999999994</v>
      </c>
      <c r="H80" s="130">
        <v>116.8</v>
      </c>
      <c r="I80" s="130">
        <v>104.5</v>
      </c>
      <c r="J80" s="130">
        <v>109.1</v>
      </c>
      <c r="K80" s="171">
        <v>115.7</v>
      </c>
      <c r="L80" s="166">
        <v>114.8</v>
      </c>
      <c r="M80" s="28"/>
      <c r="N80" s="28"/>
      <c r="O80" s="28"/>
      <c r="P80" s="28"/>
      <c r="Q80" s="28"/>
      <c r="R80" s="28"/>
      <c r="S80" s="28"/>
      <c r="T80" s="28"/>
    </row>
    <row r="81" spans="1:32" s="29" customFormat="1" ht="14.25" x14ac:dyDescent="0.15">
      <c r="A81" s="77"/>
      <c r="B81" s="130" t="s">
        <v>207</v>
      </c>
      <c r="C81" s="130" t="s">
        <v>207</v>
      </c>
      <c r="D81" s="130" t="s">
        <v>207</v>
      </c>
      <c r="E81" s="130" t="s">
        <v>207</v>
      </c>
      <c r="F81" s="130" t="s">
        <v>207</v>
      </c>
      <c r="G81" s="130" t="s">
        <v>207</v>
      </c>
      <c r="H81" s="130" t="s">
        <v>207</v>
      </c>
      <c r="I81" s="130" t="s">
        <v>207</v>
      </c>
      <c r="J81" s="130" t="s">
        <v>207</v>
      </c>
      <c r="K81" s="171" t="s">
        <v>207</v>
      </c>
      <c r="L81" s="166" t="s">
        <v>207</v>
      </c>
      <c r="M81" s="28"/>
      <c r="N81" s="28"/>
      <c r="O81" s="28"/>
      <c r="P81" s="28"/>
      <c r="Q81" s="28"/>
      <c r="R81" s="28"/>
      <c r="S81" s="28"/>
      <c r="T81" s="28"/>
    </row>
    <row r="82" spans="1:32" s="29" customFormat="1" ht="14.25" x14ac:dyDescent="0.15">
      <c r="A82" s="77" t="s">
        <v>96</v>
      </c>
      <c r="B82" s="130">
        <v>112.5</v>
      </c>
      <c r="C82" s="130">
        <v>110.6</v>
      </c>
      <c r="D82" s="130">
        <v>100</v>
      </c>
      <c r="E82" s="130">
        <v>139.6</v>
      </c>
      <c r="F82" s="130">
        <v>117</v>
      </c>
      <c r="G82" s="130">
        <v>99.9</v>
      </c>
      <c r="H82" s="130">
        <v>119.4</v>
      </c>
      <c r="I82" s="130">
        <v>114.9</v>
      </c>
      <c r="J82" s="130">
        <v>112.3</v>
      </c>
      <c r="K82" s="171">
        <v>108.8</v>
      </c>
      <c r="L82" s="166">
        <v>112.4</v>
      </c>
      <c r="M82" s="28"/>
      <c r="N82" s="28"/>
      <c r="O82" s="28"/>
      <c r="P82" s="28"/>
      <c r="Q82" s="28"/>
      <c r="R82" s="28"/>
      <c r="S82" s="28"/>
      <c r="T82" s="28"/>
    </row>
    <row r="83" spans="1:32" s="29" customFormat="1" ht="14.25" x14ac:dyDescent="0.15">
      <c r="A83" s="77" t="s">
        <v>97</v>
      </c>
      <c r="B83" s="130">
        <v>113.7</v>
      </c>
      <c r="C83" s="130">
        <v>109.1</v>
      </c>
      <c r="D83" s="130">
        <v>99.8</v>
      </c>
      <c r="E83" s="130">
        <v>135.5</v>
      </c>
      <c r="F83" s="130">
        <v>115.6</v>
      </c>
      <c r="G83" s="130">
        <v>99</v>
      </c>
      <c r="H83" s="130">
        <v>127.5</v>
      </c>
      <c r="I83" s="130">
        <v>116.1</v>
      </c>
      <c r="J83" s="130">
        <v>112.3</v>
      </c>
      <c r="K83" s="171">
        <v>109.2</v>
      </c>
      <c r="L83" s="166">
        <v>110.8</v>
      </c>
      <c r="M83" s="28"/>
      <c r="N83" s="28"/>
      <c r="O83" s="28"/>
      <c r="P83" s="28"/>
      <c r="Q83" s="28"/>
      <c r="R83" s="28"/>
      <c r="S83" s="28"/>
      <c r="T83" s="28"/>
    </row>
    <row r="84" spans="1:32" s="29" customFormat="1" ht="14.25" x14ac:dyDescent="0.15">
      <c r="A84" s="77" t="s">
        <v>98</v>
      </c>
      <c r="B84" s="130">
        <v>123.3</v>
      </c>
      <c r="C84" s="130">
        <v>114.4</v>
      </c>
      <c r="D84" s="130">
        <v>107.7</v>
      </c>
      <c r="E84" s="130">
        <v>140.80000000000001</v>
      </c>
      <c r="F84" s="130">
        <v>110.4</v>
      </c>
      <c r="G84" s="130">
        <v>98.1</v>
      </c>
      <c r="H84" s="130">
        <v>117.6</v>
      </c>
      <c r="I84" s="130">
        <v>127.5</v>
      </c>
      <c r="J84" s="130">
        <v>116</v>
      </c>
      <c r="K84" s="171">
        <v>115</v>
      </c>
      <c r="L84" s="166">
        <v>120.1</v>
      </c>
      <c r="M84" s="28"/>
      <c r="N84" s="28"/>
      <c r="O84" s="28"/>
      <c r="P84" s="28"/>
      <c r="Q84" s="28"/>
      <c r="R84" s="28"/>
      <c r="S84" s="28"/>
      <c r="T84" s="28"/>
    </row>
    <row r="85" spans="1:32" s="60" customFormat="1" ht="13.5" customHeight="1" x14ac:dyDescent="0.15">
      <c r="A85" s="77"/>
      <c r="B85" s="130" t="s">
        <v>207</v>
      </c>
      <c r="C85" s="130" t="s">
        <v>207</v>
      </c>
      <c r="D85" s="130" t="s">
        <v>207</v>
      </c>
      <c r="E85" s="130" t="s">
        <v>207</v>
      </c>
      <c r="F85" s="130" t="s">
        <v>207</v>
      </c>
      <c r="G85" s="130" t="s">
        <v>207</v>
      </c>
      <c r="H85" s="130" t="s">
        <v>207</v>
      </c>
      <c r="I85" s="130" t="s">
        <v>207</v>
      </c>
      <c r="J85" s="130" t="s">
        <v>207</v>
      </c>
      <c r="K85" s="171" t="s">
        <v>207</v>
      </c>
      <c r="L85" s="166" t="s">
        <v>207</v>
      </c>
      <c r="M85" s="59"/>
      <c r="N85" s="59"/>
      <c r="O85" s="59"/>
      <c r="P85" s="59"/>
      <c r="Q85" s="59"/>
      <c r="R85" s="59"/>
      <c r="S85" s="59"/>
      <c r="T85" s="59"/>
    </row>
    <row r="86" spans="1:32" s="62" customFormat="1" ht="13.5" customHeight="1" x14ac:dyDescent="0.15">
      <c r="A86" s="145" t="s">
        <v>247</v>
      </c>
      <c r="B86" s="130">
        <v>111.8</v>
      </c>
      <c r="C86" s="130">
        <v>115.4</v>
      </c>
      <c r="D86" s="130">
        <v>89.4</v>
      </c>
      <c r="E86" s="130">
        <v>157.9</v>
      </c>
      <c r="F86" s="130">
        <v>86.6</v>
      </c>
      <c r="G86" s="130">
        <v>99.4</v>
      </c>
      <c r="H86" s="130">
        <v>111.3</v>
      </c>
      <c r="I86" s="130">
        <v>117.5</v>
      </c>
      <c r="J86" s="130">
        <v>120.7</v>
      </c>
      <c r="K86" s="130">
        <v>113.6</v>
      </c>
      <c r="L86" s="186">
        <v>112.4</v>
      </c>
    </row>
    <row r="87" spans="1:32" x14ac:dyDescent="0.15">
      <c r="A87" s="77" t="s">
        <v>21</v>
      </c>
      <c r="B87" s="130">
        <v>114.5</v>
      </c>
      <c r="C87" s="130">
        <v>122.6</v>
      </c>
      <c r="D87" s="130">
        <v>85.9</v>
      </c>
      <c r="E87" s="130">
        <v>140.80000000000001</v>
      </c>
      <c r="F87" s="130">
        <v>81.8</v>
      </c>
      <c r="G87" s="130">
        <v>236.5</v>
      </c>
      <c r="H87" s="130">
        <v>112.6</v>
      </c>
      <c r="I87" s="130">
        <v>108.9</v>
      </c>
      <c r="J87" s="130">
        <v>119.6</v>
      </c>
      <c r="K87" s="130">
        <v>125.5</v>
      </c>
      <c r="L87" s="186">
        <v>127.7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x14ac:dyDescent="0.15">
      <c r="A88" s="77" t="s">
        <v>89</v>
      </c>
      <c r="B88" s="130">
        <v>120.3</v>
      </c>
      <c r="C88" s="130">
        <v>114.6</v>
      </c>
      <c r="D88" s="130">
        <v>100.5</v>
      </c>
      <c r="E88" s="130">
        <v>156.69999999999999</v>
      </c>
      <c r="F88" s="130">
        <v>104.5</v>
      </c>
      <c r="G88" s="130">
        <v>120.2</v>
      </c>
      <c r="H88" s="130">
        <v>131.5</v>
      </c>
      <c r="I88" s="130">
        <v>121.6</v>
      </c>
      <c r="J88" s="130">
        <v>117.8</v>
      </c>
      <c r="K88" s="130">
        <v>128.30000000000001</v>
      </c>
      <c r="L88" s="186">
        <v>128.1</v>
      </c>
      <c r="M88" s="135"/>
    </row>
    <row r="89" spans="1:32" x14ac:dyDescent="0.15">
      <c r="A89" s="145"/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86"/>
    </row>
    <row r="90" spans="1:32" x14ac:dyDescent="0.15">
      <c r="A90" s="77" t="s">
        <v>90</v>
      </c>
      <c r="B90" s="130">
        <v>111.4</v>
      </c>
      <c r="C90" s="130">
        <v>110.8</v>
      </c>
      <c r="D90" s="130">
        <v>94.8</v>
      </c>
      <c r="E90" s="130">
        <v>130.30000000000001</v>
      </c>
      <c r="F90" s="130">
        <v>108.8</v>
      </c>
      <c r="G90" s="130">
        <v>103.8</v>
      </c>
      <c r="H90" s="130">
        <v>124</v>
      </c>
      <c r="I90" s="130">
        <v>113.9</v>
      </c>
      <c r="J90" s="130">
        <v>113.3</v>
      </c>
      <c r="K90" s="130">
        <v>129.69999999999999</v>
      </c>
      <c r="L90" s="186">
        <v>127.2</v>
      </c>
    </row>
    <row r="91" spans="1:32" x14ac:dyDescent="0.15">
      <c r="A91" s="77" t="s">
        <v>91</v>
      </c>
      <c r="B91" s="130">
        <v>114.8</v>
      </c>
      <c r="C91" s="130">
        <v>118.7</v>
      </c>
      <c r="D91" s="130">
        <v>98.7</v>
      </c>
      <c r="E91" s="130">
        <v>138.4</v>
      </c>
      <c r="F91" s="130">
        <v>114.6</v>
      </c>
      <c r="G91" s="130">
        <v>106.4</v>
      </c>
      <c r="H91" s="130">
        <v>133.30000000000001</v>
      </c>
      <c r="I91" s="130">
        <v>117.8</v>
      </c>
      <c r="J91" s="130">
        <v>118.9</v>
      </c>
      <c r="K91" s="130">
        <v>127.8</v>
      </c>
      <c r="L91" s="186">
        <v>125.7</v>
      </c>
    </row>
    <row r="92" spans="1:32" x14ac:dyDescent="0.15">
      <c r="A92" s="77" t="s">
        <v>92</v>
      </c>
      <c r="B92" s="130">
        <v>111</v>
      </c>
      <c r="C92" s="130">
        <v>110.3</v>
      </c>
      <c r="D92" s="130">
        <v>101.7</v>
      </c>
      <c r="E92" s="130">
        <v>161.9</v>
      </c>
      <c r="F92" s="130">
        <v>114.6</v>
      </c>
      <c r="G92" s="130">
        <v>82.1</v>
      </c>
      <c r="H92" s="130">
        <v>112.1</v>
      </c>
      <c r="I92" s="130">
        <v>113.8</v>
      </c>
      <c r="J92" s="130">
        <v>112.1</v>
      </c>
      <c r="K92" s="130">
        <v>126</v>
      </c>
      <c r="L92" s="186">
        <v>129.19999999999999</v>
      </c>
    </row>
    <row r="93" spans="1:32" s="60" customFormat="1" ht="13.5" customHeight="1" x14ac:dyDescent="0.15">
      <c r="A93" s="77"/>
      <c r="B93" s="130"/>
      <c r="C93" s="130"/>
      <c r="D93" s="130"/>
      <c r="E93" s="130"/>
      <c r="F93" s="130"/>
      <c r="G93" s="130"/>
      <c r="H93" s="130"/>
      <c r="I93" s="130"/>
      <c r="J93" s="130"/>
      <c r="K93" s="171"/>
      <c r="L93" s="166"/>
      <c r="M93" s="59"/>
      <c r="N93" s="59"/>
      <c r="O93" s="59"/>
      <c r="P93" s="59"/>
      <c r="Q93" s="59"/>
      <c r="R93" s="59"/>
      <c r="S93" s="59"/>
      <c r="T93" s="59"/>
    </row>
    <row r="94" spans="1:32" x14ac:dyDescent="0.15">
      <c r="A94" s="77" t="s">
        <v>93</v>
      </c>
      <c r="B94" s="130">
        <v>109.1</v>
      </c>
      <c r="C94" s="130">
        <v>110.2</v>
      </c>
      <c r="D94" s="130">
        <v>96.3</v>
      </c>
      <c r="E94" s="130">
        <v>153.4</v>
      </c>
      <c r="F94" s="130">
        <v>98.9</v>
      </c>
      <c r="G94" s="130">
        <v>101.2</v>
      </c>
      <c r="H94" s="130">
        <v>102.4</v>
      </c>
      <c r="I94" s="130">
        <v>114</v>
      </c>
      <c r="J94" s="130">
        <v>115.4</v>
      </c>
      <c r="K94" s="130">
        <v>127.7</v>
      </c>
      <c r="L94" s="186">
        <v>124.3</v>
      </c>
    </row>
    <row r="95" spans="1:32" x14ac:dyDescent="0.15">
      <c r="A95" s="77" t="s">
        <v>94</v>
      </c>
      <c r="B95" s="130">
        <v>109.8</v>
      </c>
      <c r="C95" s="130">
        <v>111.2</v>
      </c>
      <c r="D95" s="130">
        <v>104.7</v>
      </c>
      <c r="E95" s="130">
        <v>154.30000000000001</v>
      </c>
      <c r="F95" s="130">
        <v>92.4</v>
      </c>
      <c r="G95" s="130">
        <v>98.5</v>
      </c>
      <c r="H95" s="130">
        <v>98.6</v>
      </c>
      <c r="I95" s="130">
        <v>111.1</v>
      </c>
      <c r="J95" s="130">
        <v>113.6</v>
      </c>
      <c r="K95" s="130">
        <v>151.6</v>
      </c>
      <c r="L95" s="186">
        <v>143.9</v>
      </c>
    </row>
    <row r="96" spans="1:32" x14ac:dyDescent="0.15">
      <c r="A96" s="77" t="s">
        <v>95</v>
      </c>
      <c r="B96" s="130">
        <v>110</v>
      </c>
      <c r="C96" s="130">
        <v>113.3</v>
      </c>
      <c r="D96" s="130">
        <v>106.1</v>
      </c>
      <c r="E96" s="130">
        <v>146</v>
      </c>
      <c r="F96" s="130">
        <v>99</v>
      </c>
      <c r="G96" s="130">
        <v>126.4</v>
      </c>
      <c r="H96" s="130">
        <v>111.7</v>
      </c>
      <c r="I96" s="130">
        <v>115.3</v>
      </c>
      <c r="J96" s="130">
        <v>118</v>
      </c>
      <c r="K96" s="130">
        <v>125.9</v>
      </c>
      <c r="L96" s="186">
        <v>126.8</v>
      </c>
    </row>
    <row r="97" spans="1:20" s="60" customFormat="1" ht="13.5" customHeight="1" x14ac:dyDescent="0.15">
      <c r="A97" s="77"/>
      <c r="B97" s="130"/>
      <c r="C97" s="130"/>
      <c r="D97" s="130"/>
      <c r="E97" s="130"/>
      <c r="F97" s="130"/>
      <c r="G97" s="130"/>
      <c r="H97" s="130"/>
      <c r="I97" s="130"/>
      <c r="J97" s="130"/>
      <c r="K97" s="171"/>
      <c r="L97" s="166"/>
      <c r="M97" s="59"/>
      <c r="N97" s="59"/>
      <c r="O97" s="59"/>
      <c r="P97" s="59"/>
      <c r="Q97" s="59"/>
      <c r="R97" s="59"/>
      <c r="S97" s="59"/>
      <c r="T97" s="59"/>
    </row>
    <row r="98" spans="1:20" x14ac:dyDescent="0.15">
      <c r="A98" s="213" t="s">
        <v>96</v>
      </c>
      <c r="B98" s="130">
        <v>108.7</v>
      </c>
      <c r="C98" s="130">
        <v>110.4</v>
      </c>
      <c r="D98" s="130">
        <v>93.4</v>
      </c>
      <c r="E98" s="130">
        <v>160.5</v>
      </c>
      <c r="F98" s="130">
        <v>105.7</v>
      </c>
      <c r="G98" s="130">
        <v>114.5</v>
      </c>
      <c r="H98" s="130">
        <v>99.8</v>
      </c>
      <c r="I98" s="130">
        <v>109.6</v>
      </c>
      <c r="J98" s="130">
        <v>111</v>
      </c>
      <c r="K98" s="130">
        <v>124.3</v>
      </c>
      <c r="L98" s="186">
        <v>126.8</v>
      </c>
    </row>
    <row r="99" spans="1:20" x14ac:dyDescent="0.15">
      <c r="A99" s="213" t="s">
        <v>97</v>
      </c>
      <c r="B99" s="130">
        <v>116.3</v>
      </c>
      <c r="C99" s="130">
        <v>111.6</v>
      </c>
      <c r="D99" s="130">
        <v>90.5</v>
      </c>
      <c r="E99" s="130">
        <v>146.69999999999999</v>
      </c>
      <c r="F99" s="130">
        <v>115.5</v>
      </c>
      <c r="G99" s="130">
        <v>108.4</v>
      </c>
      <c r="H99" s="130">
        <v>108</v>
      </c>
      <c r="I99" s="130">
        <v>113</v>
      </c>
      <c r="J99" s="130">
        <v>109.6</v>
      </c>
      <c r="K99" s="130">
        <v>123.2</v>
      </c>
      <c r="L99" s="186">
        <v>125.1</v>
      </c>
    </row>
    <row r="100" spans="1:20" x14ac:dyDescent="0.15">
      <c r="A100" s="213" t="s">
        <v>98</v>
      </c>
      <c r="B100" s="130">
        <v>110.2</v>
      </c>
      <c r="C100" s="130">
        <v>105.5</v>
      </c>
      <c r="D100" s="130">
        <v>81.599999999999994</v>
      </c>
      <c r="E100" s="130">
        <v>106.5</v>
      </c>
      <c r="F100" s="130">
        <v>118.4</v>
      </c>
      <c r="G100" s="130">
        <v>95.9</v>
      </c>
      <c r="H100" s="130">
        <v>102.5</v>
      </c>
      <c r="I100" s="130">
        <v>115.3</v>
      </c>
      <c r="J100" s="130">
        <v>108.3</v>
      </c>
      <c r="K100" s="130">
        <v>116.3</v>
      </c>
      <c r="L100" s="186">
        <v>121.3</v>
      </c>
    </row>
    <row r="101" spans="1:20" s="60" customFormat="1" ht="13.5" customHeight="1" x14ac:dyDescent="0.15">
      <c r="A101" s="213"/>
      <c r="B101" s="130"/>
      <c r="C101" s="130"/>
      <c r="D101" s="130"/>
      <c r="E101" s="130"/>
      <c r="F101" s="130"/>
      <c r="G101" s="130"/>
      <c r="H101" s="130"/>
      <c r="I101" s="130"/>
      <c r="J101" s="130"/>
      <c r="K101" s="171"/>
      <c r="L101" s="166"/>
      <c r="M101" s="59"/>
      <c r="N101" s="59"/>
      <c r="O101" s="59"/>
      <c r="P101" s="59"/>
      <c r="Q101" s="59"/>
      <c r="R101" s="59"/>
      <c r="S101" s="59"/>
      <c r="T101" s="59"/>
    </row>
    <row r="102" spans="1:20" x14ac:dyDescent="0.15">
      <c r="A102" s="214" t="s">
        <v>248</v>
      </c>
      <c r="B102" s="130">
        <v>109.1</v>
      </c>
      <c r="C102" s="130">
        <v>107.8</v>
      </c>
      <c r="D102" s="130">
        <v>103.3</v>
      </c>
      <c r="E102" s="130">
        <v>151.19999999999999</v>
      </c>
      <c r="F102" s="130">
        <v>80.5</v>
      </c>
      <c r="G102" s="130">
        <v>111.8</v>
      </c>
      <c r="H102" s="130">
        <v>106.3</v>
      </c>
      <c r="I102" s="130">
        <v>111.2</v>
      </c>
      <c r="J102" s="130">
        <v>110.8</v>
      </c>
      <c r="K102" s="130">
        <v>119.7</v>
      </c>
      <c r="L102" s="186">
        <v>121.5</v>
      </c>
    </row>
    <row r="103" spans="1:20" x14ac:dyDescent="0.15">
      <c r="A103" s="213" t="s">
        <v>21</v>
      </c>
      <c r="B103" s="130">
        <v>96</v>
      </c>
      <c r="C103" s="130">
        <v>105.9</v>
      </c>
      <c r="D103" s="130">
        <v>82.5</v>
      </c>
      <c r="E103" s="130">
        <v>130.9</v>
      </c>
      <c r="F103" s="130">
        <v>74.400000000000006</v>
      </c>
      <c r="G103" s="130">
        <v>112.7</v>
      </c>
      <c r="H103" s="130">
        <v>97.3</v>
      </c>
      <c r="I103" s="130">
        <v>97.9</v>
      </c>
      <c r="J103" s="130">
        <v>109.9</v>
      </c>
      <c r="K103" s="130">
        <v>118</v>
      </c>
      <c r="L103" s="186">
        <v>117.7</v>
      </c>
    </row>
    <row r="104" spans="1:20" x14ac:dyDescent="0.15">
      <c r="A104" s="214" t="s">
        <v>89</v>
      </c>
      <c r="B104" s="130">
        <v>109.6</v>
      </c>
      <c r="C104" s="130">
        <v>105.9</v>
      </c>
      <c r="D104" s="130">
        <v>88.5</v>
      </c>
      <c r="E104" s="130">
        <v>142</v>
      </c>
      <c r="F104" s="130">
        <v>98</v>
      </c>
      <c r="G104" s="130">
        <v>117.9</v>
      </c>
      <c r="H104" s="130">
        <v>110.2</v>
      </c>
      <c r="I104" s="130">
        <v>120.3</v>
      </c>
      <c r="J104" s="130">
        <v>118.2</v>
      </c>
      <c r="K104" s="130">
        <v>115.9</v>
      </c>
      <c r="L104" s="186">
        <v>115.8</v>
      </c>
    </row>
    <row r="105" spans="1:20" s="60" customFormat="1" ht="13.5" customHeight="1" x14ac:dyDescent="0.15">
      <c r="A105" s="213"/>
      <c r="B105" s="130"/>
      <c r="C105" s="130"/>
      <c r="D105" s="130"/>
      <c r="E105" s="130"/>
      <c r="F105" s="130"/>
      <c r="G105" s="130"/>
      <c r="H105" s="130"/>
      <c r="I105" s="130"/>
      <c r="J105" s="130"/>
      <c r="K105" s="171"/>
      <c r="L105" s="166"/>
      <c r="M105" s="59"/>
      <c r="N105" s="59"/>
      <c r="O105" s="59"/>
      <c r="P105" s="59"/>
      <c r="Q105" s="59"/>
      <c r="R105" s="59"/>
      <c r="S105" s="59"/>
      <c r="T105" s="59"/>
    </row>
    <row r="106" spans="1:20" x14ac:dyDescent="0.15">
      <c r="A106" s="213" t="s">
        <v>90</v>
      </c>
      <c r="B106" s="130">
        <v>102.7</v>
      </c>
      <c r="C106" s="130">
        <v>102</v>
      </c>
      <c r="D106" s="130">
        <v>90.5</v>
      </c>
      <c r="E106" s="130">
        <v>129.5</v>
      </c>
      <c r="F106" s="130">
        <v>107.1</v>
      </c>
      <c r="G106" s="130">
        <v>97.8</v>
      </c>
      <c r="H106" s="130">
        <v>115.4</v>
      </c>
      <c r="I106" s="130">
        <v>103.3</v>
      </c>
      <c r="J106" s="130">
        <v>102.7</v>
      </c>
      <c r="K106" s="130">
        <v>125.6</v>
      </c>
      <c r="L106" s="186">
        <v>123.1</v>
      </c>
    </row>
    <row r="107" spans="1:20" x14ac:dyDescent="0.15">
      <c r="A107" s="213" t="s">
        <v>91</v>
      </c>
      <c r="B107" s="130">
        <v>101.6</v>
      </c>
      <c r="C107" s="130">
        <v>101</v>
      </c>
      <c r="D107" s="130">
        <v>91.7</v>
      </c>
      <c r="E107" s="130">
        <v>146.69999999999999</v>
      </c>
      <c r="F107" s="130">
        <v>108.9</v>
      </c>
      <c r="G107" s="130">
        <v>137.5</v>
      </c>
      <c r="H107" s="130">
        <v>99.3</v>
      </c>
      <c r="I107" s="130">
        <v>101.2</v>
      </c>
      <c r="J107" s="130">
        <v>98.9</v>
      </c>
      <c r="K107" s="130">
        <v>131.30000000000001</v>
      </c>
      <c r="L107" s="186">
        <v>129</v>
      </c>
    </row>
    <row r="108" spans="1:20" x14ac:dyDescent="0.15">
      <c r="A108" s="213" t="s">
        <v>92</v>
      </c>
      <c r="B108" s="130">
        <v>97.9</v>
      </c>
      <c r="C108" s="130">
        <v>98.7</v>
      </c>
      <c r="D108" s="130">
        <v>85.7</v>
      </c>
      <c r="E108" s="130">
        <v>145.4</v>
      </c>
      <c r="F108" s="130">
        <v>104.1</v>
      </c>
      <c r="G108" s="130">
        <v>120.4</v>
      </c>
      <c r="H108" s="130">
        <v>96.3</v>
      </c>
      <c r="I108" s="130">
        <v>99.9</v>
      </c>
      <c r="J108" s="130">
        <v>99.5</v>
      </c>
      <c r="K108" s="130">
        <v>133.6</v>
      </c>
      <c r="L108" s="186">
        <v>136.6</v>
      </c>
    </row>
    <row r="109" spans="1:20" x14ac:dyDescent="0.15">
      <c r="A109" s="214"/>
      <c r="B109" s="130" t="s">
        <v>207</v>
      </c>
      <c r="C109" s="130" t="s">
        <v>207</v>
      </c>
      <c r="D109" s="130" t="s">
        <v>207</v>
      </c>
      <c r="E109" s="130" t="s">
        <v>207</v>
      </c>
      <c r="F109" s="130" t="s">
        <v>207</v>
      </c>
      <c r="G109" s="130" t="s">
        <v>207</v>
      </c>
      <c r="H109" s="130" t="s">
        <v>207</v>
      </c>
      <c r="I109" s="130" t="s">
        <v>207</v>
      </c>
      <c r="J109" s="130" t="s">
        <v>207</v>
      </c>
      <c r="K109" s="130" t="s">
        <v>207</v>
      </c>
      <c r="L109" s="186" t="s">
        <v>207</v>
      </c>
    </row>
    <row r="110" spans="1:20" x14ac:dyDescent="0.15">
      <c r="A110" s="214" t="s">
        <v>93</v>
      </c>
      <c r="B110" s="130">
        <v>95.3</v>
      </c>
      <c r="C110" s="130">
        <v>95.2</v>
      </c>
      <c r="D110" s="130">
        <v>89.2</v>
      </c>
      <c r="E110" s="130">
        <v>144.80000000000001</v>
      </c>
      <c r="F110" s="216">
        <v>82.6</v>
      </c>
      <c r="G110" s="130">
        <v>108.9</v>
      </c>
      <c r="H110" s="130">
        <v>93.9</v>
      </c>
      <c r="I110" s="130">
        <v>97.9</v>
      </c>
      <c r="J110" s="130">
        <v>97.5</v>
      </c>
      <c r="K110" s="130">
        <v>132</v>
      </c>
      <c r="L110" s="186">
        <v>128.30000000000001</v>
      </c>
    </row>
    <row r="111" spans="1:20" x14ac:dyDescent="0.15">
      <c r="A111" s="213" t="s">
        <v>94</v>
      </c>
      <c r="B111" s="130">
        <v>104.8</v>
      </c>
      <c r="C111" s="130">
        <v>105.8</v>
      </c>
      <c r="D111" s="130">
        <v>98.1</v>
      </c>
      <c r="E111" s="130">
        <v>132.5</v>
      </c>
      <c r="F111" s="216">
        <v>90.4</v>
      </c>
      <c r="G111" s="130">
        <v>88.6</v>
      </c>
      <c r="H111" s="130">
        <v>93.9</v>
      </c>
      <c r="I111" s="130">
        <v>104.9</v>
      </c>
      <c r="J111" s="130">
        <v>107</v>
      </c>
      <c r="K111" s="130">
        <v>131.4</v>
      </c>
      <c r="L111" s="186">
        <v>124.5</v>
      </c>
    </row>
    <row r="112" spans="1:20" x14ac:dyDescent="0.15">
      <c r="A112" s="213" t="s">
        <v>95</v>
      </c>
      <c r="B112" s="130">
        <v>97</v>
      </c>
      <c r="C112" s="130">
        <v>103.3</v>
      </c>
      <c r="D112" s="130">
        <v>87.9</v>
      </c>
      <c r="E112" s="216">
        <v>135.80000000000001</v>
      </c>
      <c r="F112" s="216">
        <v>85.7</v>
      </c>
      <c r="G112" s="216">
        <v>98.9</v>
      </c>
      <c r="H112" s="130">
        <v>94.2</v>
      </c>
      <c r="I112" s="130">
        <v>101.1</v>
      </c>
      <c r="J112" s="130">
        <v>107.1</v>
      </c>
      <c r="K112" s="130">
        <v>123.6</v>
      </c>
      <c r="L112" s="186">
        <v>122.8</v>
      </c>
    </row>
    <row r="113" spans="1:12" x14ac:dyDescent="0.15">
      <c r="A113" s="213"/>
      <c r="B113" s="130" t="s">
        <v>207</v>
      </c>
      <c r="C113" s="130" t="s">
        <v>207</v>
      </c>
      <c r="D113" s="216" t="s">
        <v>207</v>
      </c>
      <c r="E113" s="216" t="s">
        <v>207</v>
      </c>
      <c r="F113" s="216" t="s">
        <v>207</v>
      </c>
      <c r="G113" s="216" t="s">
        <v>207</v>
      </c>
      <c r="H113" s="130" t="s">
        <v>207</v>
      </c>
      <c r="I113" s="130" t="s">
        <v>207</v>
      </c>
      <c r="J113" s="130" t="s">
        <v>207</v>
      </c>
      <c r="K113" s="130" t="s">
        <v>207</v>
      </c>
      <c r="L113" s="186" t="s">
        <v>207</v>
      </c>
    </row>
    <row r="114" spans="1:12" x14ac:dyDescent="0.15">
      <c r="A114" s="213">
        <v>10</v>
      </c>
      <c r="B114" s="130">
        <v>98</v>
      </c>
      <c r="C114" s="130">
        <v>95.4</v>
      </c>
      <c r="D114" s="216">
        <v>92.2</v>
      </c>
      <c r="E114" s="216">
        <v>166.7</v>
      </c>
      <c r="F114" s="216">
        <v>99.4</v>
      </c>
      <c r="G114" s="216">
        <v>100.9</v>
      </c>
      <c r="H114" s="216">
        <v>112.9</v>
      </c>
      <c r="I114" s="216">
        <v>99.9</v>
      </c>
      <c r="J114" s="216">
        <v>96.8</v>
      </c>
      <c r="K114" s="130">
        <v>123.8</v>
      </c>
      <c r="L114" s="186">
        <v>128.5</v>
      </c>
    </row>
    <row r="115" spans="1:12" x14ac:dyDescent="0.15">
      <c r="A115" s="213" t="s">
        <v>277</v>
      </c>
      <c r="B115" s="130">
        <v>101.8</v>
      </c>
      <c r="C115" s="130">
        <v>97</v>
      </c>
      <c r="D115" s="216">
        <v>92.1</v>
      </c>
      <c r="E115" s="216">
        <v>135.69999999999999</v>
      </c>
      <c r="F115" s="216">
        <v>106</v>
      </c>
      <c r="G115" s="216">
        <v>95.6</v>
      </c>
      <c r="H115" s="216">
        <v>105.1</v>
      </c>
      <c r="I115" s="216">
        <v>102.6</v>
      </c>
      <c r="J115" s="216">
        <v>99.1</v>
      </c>
      <c r="K115" s="216">
        <v>127.6</v>
      </c>
      <c r="L115" s="217">
        <v>129.69999999999999</v>
      </c>
    </row>
    <row r="116" spans="1:12" x14ac:dyDescent="0.15">
      <c r="A116" s="213" t="s">
        <v>278</v>
      </c>
      <c r="B116" s="130">
        <v>110.6</v>
      </c>
      <c r="C116" s="130">
        <v>106.1</v>
      </c>
      <c r="D116" s="216">
        <v>92.9</v>
      </c>
      <c r="E116" s="216">
        <v>134.6</v>
      </c>
      <c r="F116" s="216">
        <v>98.5</v>
      </c>
      <c r="G116" s="216">
        <v>112.7</v>
      </c>
      <c r="H116" s="216">
        <v>113.7</v>
      </c>
      <c r="I116" s="216">
        <v>114</v>
      </c>
      <c r="J116" s="216">
        <v>107.4</v>
      </c>
      <c r="K116" s="216">
        <v>125.7</v>
      </c>
      <c r="L116" s="185">
        <v>131</v>
      </c>
    </row>
    <row r="117" spans="1:12" x14ac:dyDescent="0.15">
      <c r="A117" s="213"/>
      <c r="B117" s="130" t="s">
        <v>207</v>
      </c>
      <c r="C117" s="130" t="s">
        <v>207</v>
      </c>
      <c r="D117" s="216" t="s">
        <v>207</v>
      </c>
      <c r="E117" s="216" t="s">
        <v>207</v>
      </c>
      <c r="F117" s="216" t="s">
        <v>207</v>
      </c>
      <c r="G117" s="216" t="s">
        <v>207</v>
      </c>
      <c r="H117" s="216" t="s">
        <v>207</v>
      </c>
      <c r="I117" s="216" t="s">
        <v>207</v>
      </c>
      <c r="J117" s="216" t="s">
        <v>207</v>
      </c>
      <c r="K117" s="216" t="s">
        <v>207</v>
      </c>
      <c r="L117" s="185" t="s">
        <v>207</v>
      </c>
    </row>
    <row r="118" spans="1:12" x14ac:dyDescent="0.15">
      <c r="A118" s="213" t="s">
        <v>280</v>
      </c>
      <c r="B118" s="130">
        <v>91</v>
      </c>
      <c r="C118" s="130">
        <v>96.7</v>
      </c>
      <c r="D118" s="216">
        <v>89.7</v>
      </c>
      <c r="E118" s="216">
        <v>116.1</v>
      </c>
      <c r="F118" s="216">
        <v>64.8</v>
      </c>
      <c r="G118" s="216">
        <v>114.1</v>
      </c>
      <c r="H118" s="216">
        <v>91.2</v>
      </c>
      <c r="I118" s="216">
        <v>97.6</v>
      </c>
      <c r="J118" s="216">
        <v>103.8</v>
      </c>
      <c r="K118" s="216">
        <v>118</v>
      </c>
      <c r="L118" s="185">
        <v>117.8</v>
      </c>
    </row>
    <row r="119" spans="1:12" x14ac:dyDescent="0.15">
      <c r="A119" s="213" t="s">
        <v>286</v>
      </c>
      <c r="B119" s="130">
        <v>90.4</v>
      </c>
      <c r="C119" s="216">
        <v>96.6</v>
      </c>
      <c r="D119" s="216">
        <v>86.5</v>
      </c>
      <c r="E119" s="216">
        <v>138</v>
      </c>
      <c r="F119" s="216">
        <v>56.9</v>
      </c>
      <c r="G119" s="216">
        <v>92.9</v>
      </c>
      <c r="H119" s="216">
        <v>91.1</v>
      </c>
      <c r="I119" s="216">
        <v>94.1</v>
      </c>
      <c r="J119" s="216">
        <v>103.5</v>
      </c>
      <c r="K119" s="216">
        <v>120.6</v>
      </c>
      <c r="L119" s="217">
        <v>122.5</v>
      </c>
    </row>
    <row r="120" spans="1:12" x14ac:dyDescent="0.15">
      <c r="A120" s="213" t="s">
        <v>291</v>
      </c>
      <c r="B120" s="216">
        <v>99.2</v>
      </c>
      <c r="C120" s="216">
        <v>97.3</v>
      </c>
      <c r="D120" s="216">
        <v>88</v>
      </c>
      <c r="E120" s="216">
        <v>134.80000000000001</v>
      </c>
      <c r="F120" s="216">
        <v>85.4</v>
      </c>
      <c r="G120" s="216">
        <v>115.8</v>
      </c>
      <c r="H120" s="216">
        <v>110.1</v>
      </c>
      <c r="I120" s="216">
        <v>101.7</v>
      </c>
      <c r="J120" s="216">
        <v>101.4</v>
      </c>
      <c r="K120" s="216">
        <v>126.5</v>
      </c>
      <c r="L120" s="217">
        <v>126.3</v>
      </c>
    </row>
    <row r="121" spans="1:12" x14ac:dyDescent="0.15">
      <c r="A121" s="213"/>
      <c r="B121" s="216" t="s">
        <v>207</v>
      </c>
      <c r="C121" s="216" t="s">
        <v>207</v>
      </c>
      <c r="D121" s="216" t="s">
        <v>207</v>
      </c>
      <c r="E121" s="216" t="s">
        <v>207</v>
      </c>
      <c r="F121" s="216" t="s">
        <v>207</v>
      </c>
      <c r="G121" s="216" t="s">
        <v>207</v>
      </c>
      <c r="H121" s="216" t="s">
        <v>207</v>
      </c>
      <c r="I121" s="216" t="s">
        <v>207</v>
      </c>
      <c r="J121" s="216" t="s">
        <v>207</v>
      </c>
      <c r="K121" s="216" t="s">
        <v>207</v>
      </c>
      <c r="L121" s="217" t="s">
        <v>207</v>
      </c>
    </row>
    <row r="122" spans="1:12" x14ac:dyDescent="0.15">
      <c r="A122" s="213" t="s">
        <v>294</v>
      </c>
      <c r="B122" s="216">
        <v>108.4</v>
      </c>
      <c r="C122" s="216">
        <v>105.7</v>
      </c>
      <c r="D122" s="216">
        <v>93.9</v>
      </c>
      <c r="E122" s="216">
        <v>143.69999999999999</v>
      </c>
      <c r="F122" s="216">
        <v>92.6</v>
      </c>
      <c r="G122" s="216">
        <v>130.1</v>
      </c>
      <c r="H122" s="216">
        <v>117.1</v>
      </c>
      <c r="I122" s="216">
        <v>109.6</v>
      </c>
      <c r="J122" s="216">
        <v>107.1</v>
      </c>
      <c r="K122" s="216">
        <v>130.4</v>
      </c>
      <c r="L122" s="217">
        <v>127.9</v>
      </c>
    </row>
    <row r="123" spans="1:12" x14ac:dyDescent="0.15">
      <c r="A123" s="213" t="s">
        <v>295</v>
      </c>
      <c r="B123" s="216">
        <v>96.7</v>
      </c>
      <c r="C123" s="216">
        <v>97.6</v>
      </c>
      <c r="D123" s="216">
        <v>94.3</v>
      </c>
      <c r="E123" s="216">
        <v>133.6</v>
      </c>
      <c r="F123" s="216">
        <v>89.2</v>
      </c>
      <c r="G123" s="216">
        <v>115.9</v>
      </c>
      <c r="H123" s="216">
        <v>101.5</v>
      </c>
      <c r="I123" s="216">
        <v>102.8</v>
      </c>
      <c r="J123" s="216">
        <v>101.6</v>
      </c>
      <c r="K123" s="216">
        <v>126.4</v>
      </c>
      <c r="L123" s="217">
        <v>124</v>
      </c>
    </row>
    <row r="124" spans="1:12" x14ac:dyDescent="0.15">
      <c r="A124" s="213" t="s">
        <v>299</v>
      </c>
      <c r="B124" s="216">
        <v>105.3</v>
      </c>
      <c r="C124" s="216">
        <v>106.8</v>
      </c>
      <c r="D124" s="216">
        <v>89.5</v>
      </c>
      <c r="E124" s="216">
        <v>141.5</v>
      </c>
      <c r="F124" s="216">
        <v>84.7</v>
      </c>
      <c r="G124" s="216">
        <v>119.5</v>
      </c>
      <c r="H124" s="216">
        <v>111.4</v>
      </c>
      <c r="I124" s="216">
        <v>106.1</v>
      </c>
      <c r="J124" s="216">
        <v>106.6</v>
      </c>
      <c r="K124" s="216">
        <v>129</v>
      </c>
      <c r="L124" s="217">
        <v>131.6</v>
      </c>
    </row>
    <row r="125" spans="1:12" x14ac:dyDescent="0.15">
      <c r="A125" s="264"/>
      <c r="B125" s="216" t="s">
        <v>207</v>
      </c>
      <c r="C125" s="216" t="s">
        <v>207</v>
      </c>
      <c r="D125" s="216" t="s">
        <v>207</v>
      </c>
      <c r="E125" s="216" t="s">
        <v>207</v>
      </c>
      <c r="F125" s="216" t="s">
        <v>207</v>
      </c>
      <c r="G125" s="216" t="s">
        <v>207</v>
      </c>
      <c r="H125" s="216" t="s">
        <v>207</v>
      </c>
      <c r="I125" s="216" t="s">
        <v>207</v>
      </c>
      <c r="J125" s="216" t="s">
        <v>207</v>
      </c>
      <c r="K125" s="216" t="s">
        <v>207</v>
      </c>
      <c r="L125" s="185" t="s">
        <v>207</v>
      </c>
    </row>
    <row r="126" spans="1:12" x14ac:dyDescent="0.15">
      <c r="A126" s="264" t="s">
        <v>302</v>
      </c>
      <c r="B126" s="216">
        <v>108.4</v>
      </c>
      <c r="C126" s="216">
        <v>108.4</v>
      </c>
      <c r="D126" s="216">
        <v>93.2</v>
      </c>
      <c r="E126" s="216">
        <v>136.80000000000001</v>
      </c>
      <c r="F126" s="216">
        <v>80.8</v>
      </c>
      <c r="G126" s="216">
        <v>121.3</v>
      </c>
      <c r="H126" s="216">
        <v>103.5</v>
      </c>
      <c r="I126" s="216">
        <v>112.7</v>
      </c>
      <c r="J126" s="216">
        <v>112.6</v>
      </c>
      <c r="K126" s="216">
        <v>127.5</v>
      </c>
      <c r="L126" s="185">
        <v>123.7</v>
      </c>
    </row>
    <row r="127" spans="1:12" s="257" customFormat="1" x14ac:dyDescent="0.15">
      <c r="A127" s="264" t="s">
        <v>303</v>
      </c>
      <c r="B127" s="216">
        <v>103.5</v>
      </c>
      <c r="C127" s="216">
        <v>106.2</v>
      </c>
      <c r="D127" s="216">
        <v>92.2</v>
      </c>
      <c r="E127" s="216">
        <v>116.6</v>
      </c>
      <c r="F127" s="216">
        <v>73.900000000000006</v>
      </c>
      <c r="G127" s="216">
        <v>109.2</v>
      </c>
      <c r="H127" s="216">
        <v>103.3</v>
      </c>
      <c r="I127" s="216">
        <v>105</v>
      </c>
      <c r="J127" s="216">
        <v>108.8</v>
      </c>
      <c r="K127" s="216">
        <v>133</v>
      </c>
      <c r="L127" s="217">
        <v>125.8</v>
      </c>
    </row>
    <row r="128" spans="1:12" s="257" customFormat="1" x14ac:dyDescent="0.15">
      <c r="A128" s="264" t="s">
        <v>310</v>
      </c>
      <c r="B128" s="216">
        <v>111.5</v>
      </c>
      <c r="C128" s="216">
        <v>106.2</v>
      </c>
      <c r="D128" s="216">
        <v>106.1</v>
      </c>
      <c r="E128" s="216">
        <v>162.69999999999999</v>
      </c>
      <c r="F128" s="216">
        <v>81</v>
      </c>
      <c r="G128" s="216">
        <v>120.8</v>
      </c>
      <c r="H128" s="216">
        <v>115</v>
      </c>
      <c r="I128" s="216">
        <v>111.6</v>
      </c>
      <c r="J128" s="216">
        <v>107.4</v>
      </c>
      <c r="K128" s="216">
        <v>128.4</v>
      </c>
      <c r="L128" s="217">
        <v>131.5</v>
      </c>
    </row>
    <row r="129" spans="1:12" s="257" customFormat="1" x14ac:dyDescent="0.15">
      <c r="A129" s="264"/>
      <c r="B129" s="216" t="s">
        <v>207</v>
      </c>
      <c r="C129" s="216" t="s">
        <v>207</v>
      </c>
      <c r="D129" s="216" t="s">
        <v>207</v>
      </c>
      <c r="E129" s="216" t="s">
        <v>207</v>
      </c>
      <c r="F129" s="216" t="s">
        <v>207</v>
      </c>
      <c r="G129" s="216" t="s">
        <v>207</v>
      </c>
      <c r="H129" s="216" t="s">
        <v>207</v>
      </c>
      <c r="I129" s="216" t="s">
        <v>207</v>
      </c>
      <c r="J129" s="216" t="s">
        <v>207</v>
      </c>
      <c r="K129" s="216" t="s">
        <v>207</v>
      </c>
      <c r="L129" s="217" t="s">
        <v>207</v>
      </c>
    </row>
    <row r="130" spans="1:12" s="257" customFormat="1" x14ac:dyDescent="0.15">
      <c r="A130" s="264" t="s">
        <v>312</v>
      </c>
      <c r="B130" s="216">
        <v>89.1</v>
      </c>
      <c r="C130" s="216">
        <v>95.2</v>
      </c>
      <c r="D130" s="216">
        <v>91.6</v>
      </c>
      <c r="E130" s="216">
        <v>127.2</v>
      </c>
      <c r="F130" s="216">
        <v>74.3</v>
      </c>
      <c r="G130" s="216">
        <v>73.099999999999994</v>
      </c>
      <c r="H130" s="216">
        <v>90.3</v>
      </c>
      <c r="I130" s="216">
        <v>92.7</v>
      </c>
      <c r="J130" s="216">
        <v>97.5</v>
      </c>
      <c r="K130" s="216">
        <v>134.1</v>
      </c>
      <c r="L130" s="217">
        <v>135.5</v>
      </c>
    </row>
    <row r="131" spans="1:12" s="257" customFormat="1" x14ac:dyDescent="0.15">
      <c r="A131" s="268">
        <v>11</v>
      </c>
      <c r="B131" s="130">
        <v>100</v>
      </c>
      <c r="C131" s="216">
        <v>97.6</v>
      </c>
      <c r="D131" s="216">
        <v>89.3</v>
      </c>
      <c r="E131" s="216">
        <v>123.7</v>
      </c>
      <c r="F131" s="216">
        <v>96.4</v>
      </c>
      <c r="G131" s="216">
        <v>84.1</v>
      </c>
      <c r="H131" s="216">
        <v>98.6</v>
      </c>
      <c r="I131" s="216">
        <v>104.9</v>
      </c>
      <c r="J131" s="216">
        <v>103.7</v>
      </c>
      <c r="K131" s="216">
        <v>133.19999999999999</v>
      </c>
      <c r="L131" s="217">
        <v>135.4</v>
      </c>
    </row>
    <row r="132" spans="1:12" s="174" customFormat="1" x14ac:dyDescent="0.15">
      <c r="A132" s="264" t="s">
        <v>278</v>
      </c>
      <c r="B132" s="216">
        <v>106.7</v>
      </c>
      <c r="C132" s="216">
        <v>100.5</v>
      </c>
      <c r="D132" s="216">
        <v>93.4</v>
      </c>
      <c r="E132" s="216">
        <v>118.8</v>
      </c>
      <c r="F132" s="216">
        <v>94.6</v>
      </c>
      <c r="G132" s="216">
        <v>102.3</v>
      </c>
      <c r="H132" s="216">
        <v>99.8</v>
      </c>
      <c r="I132" s="216">
        <v>112.6</v>
      </c>
      <c r="J132" s="216">
        <v>104.3</v>
      </c>
      <c r="K132" s="216">
        <v>127.8</v>
      </c>
      <c r="L132" s="217">
        <v>133.30000000000001</v>
      </c>
    </row>
    <row r="133" spans="1:12" s="174" customFormat="1" x14ac:dyDescent="0.15">
      <c r="A133" s="264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7"/>
    </row>
    <row r="134" spans="1:12" s="174" customFormat="1" x14ac:dyDescent="0.15">
      <c r="A134" s="264" t="s">
        <v>324</v>
      </c>
      <c r="B134" s="216">
        <v>96.4</v>
      </c>
      <c r="C134" s="216">
        <v>97.3</v>
      </c>
      <c r="D134" s="216">
        <v>99.5</v>
      </c>
      <c r="E134" s="216">
        <v>136.30000000000001</v>
      </c>
      <c r="F134" s="216">
        <v>66.400000000000006</v>
      </c>
      <c r="G134" s="216">
        <v>122.8</v>
      </c>
      <c r="H134" s="216">
        <v>93.8</v>
      </c>
      <c r="I134" s="216">
        <v>100.4</v>
      </c>
      <c r="J134" s="216">
        <v>101</v>
      </c>
      <c r="K134" s="216">
        <v>124.2</v>
      </c>
      <c r="L134" s="217">
        <v>126.9</v>
      </c>
    </row>
    <row r="135" spans="1:12" s="174" customFormat="1" x14ac:dyDescent="0.15">
      <c r="A135" s="268" t="s">
        <v>286</v>
      </c>
      <c r="B135" s="269">
        <f ca="1">IF($C135="","",[1]!BTSP(B$4,$C135))</f>
        <v>85.6</v>
      </c>
      <c r="C135" s="269">
        <f ca="1">IF($C135="","",[1]!BTSP(C$4,$C135))</f>
        <v>97.8</v>
      </c>
      <c r="D135" s="269">
        <f ca="1">IF($C135="","",[1]!BTSP(D$4,$C135))</f>
        <v>82.1</v>
      </c>
      <c r="E135" s="269">
        <f ca="1">IF($C135="","",[1]!BTSP(E$4,$C135))</f>
        <v>130.19999999999999</v>
      </c>
      <c r="F135" s="269">
        <f ca="1">IF($C135="","",[1]!BTSP(F$4,$C135))</f>
        <v>66.900000000000006</v>
      </c>
      <c r="G135" s="269">
        <f ca="1">IF($C135="","",[1]!BTSP(G$4,$C135))</f>
        <v>129.69999999999999</v>
      </c>
      <c r="H135" s="269">
        <f ca="1">IF($C135="","",[1]!BTSP(H$4,$C135))</f>
        <v>89.6</v>
      </c>
      <c r="I135" s="269">
        <f ca="1">IF($C135="","",[1]!BTSP(I$4,$C135))</f>
        <v>92.3</v>
      </c>
      <c r="J135" s="269">
        <f ca="1">IF($C135="","",[1]!BTSP(J$4,$C135))</f>
        <v>106.9</v>
      </c>
      <c r="K135" s="269">
        <f ca="1">IF($C135="","",[1]!BTSP(K$4,$C135))</f>
        <v>116.5</v>
      </c>
      <c r="L135" s="186">
        <f ca="1">IF($C135="","",[1]!BTSP(L$4,$C135))</f>
        <v>115.4</v>
      </c>
    </row>
    <row r="136" spans="1:12" s="174" customFormat="1" x14ac:dyDescent="0.15">
      <c r="A136" s="268" t="s">
        <v>323</v>
      </c>
      <c r="B136" s="269">
        <f ca="1">IF($C136="","",[1]!BTSP(B$4,$C136))</f>
        <v>100.4</v>
      </c>
      <c r="C136" s="269">
        <f ca="1">IF($C136="","",[1]!BTSP(C$4,$C136))</f>
        <v>98.1</v>
      </c>
      <c r="D136" s="269">
        <f ca="1">IF($C136="","",[1]!BTSP(D$4,$C136))</f>
        <v>92.1</v>
      </c>
      <c r="E136" s="269">
        <f ca="1">IF($C136="","",[1]!BTSP(E$4,$C136))</f>
        <v>132.4</v>
      </c>
      <c r="F136" s="269">
        <f ca="1">IF($C136="","",[1]!BTSP(F$4,$C136))</f>
        <v>83.4</v>
      </c>
      <c r="G136" s="269">
        <f ca="1">IF($C136="","",[1]!BTSP(G$4,$C136))</f>
        <v>142</v>
      </c>
      <c r="H136" s="269">
        <f ca="1">IF($C136="","",[1]!BTSP(H$4,$C136))</f>
        <v>106.9</v>
      </c>
      <c r="I136" s="269">
        <f ca="1">IF($C136="","",[1]!BTSP(I$4,$C136))</f>
        <v>104.9</v>
      </c>
      <c r="J136" s="269">
        <f ca="1">IF($C136="","",[1]!BTSP(J$4,$C136))</f>
        <v>101.9</v>
      </c>
      <c r="K136" s="269">
        <f ca="1">IF($C136="","",[1]!BTSP(K$4,$C136))</f>
        <v>119.7</v>
      </c>
      <c r="L136" s="186">
        <f ca="1">IF($C136="","",[1]!BTSP(L$4,$C136))</f>
        <v>119.7</v>
      </c>
    </row>
    <row r="137" spans="1:12" s="174" customFormat="1" x14ac:dyDescent="0.15">
      <c r="A137" s="268"/>
      <c r="B137" s="269"/>
      <c r="C137" s="269"/>
      <c r="D137" s="269"/>
      <c r="E137" s="269"/>
      <c r="F137" s="269"/>
      <c r="G137" s="269"/>
      <c r="H137" s="269"/>
      <c r="I137" s="269"/>
      <c r="J137" s="269"/>
      <c r="K137" s="269"/>
      <c r="L137" s="186"/>
    </row>
    <row r="138" spans="1:12" s="174" customFormat="1" x14ac:dyDescent="0.15">
      <c r="A138" s="268" t="s">
        <v>326</v>
      </c>
      <c r="B138" s="269">
        <f ca="1">IF($C138="","",[1]!BTSP(B$4,$C138))</f>
        <v>101.7</v>
      </c>
      <c r="C138" s="269">
        <f ca="1">IF($C138="","",[1]!BTSP(C$4,$C138))</f>
        <v>97.7</v>
      </c>
      <c r="D138" s="269">
        <f ca="1">IF($C138="","",[1]!BTSP(D$4,$C138))</f>
        <v>94.7</v>
      </c>
      <c r="E138" s="269">
        <f ca="1">IF($C138="","",[1]!BTSP(E$4,$C138))</f>
        <v>123.8</v>
      </c>
      <c r="F138" s="269">
        <f ca="1">IF($C138="","",[1]!BTSP(F$4,$C138))</f>
        <v>96.4</v>
      </c>
      <c r="G138" s="269">
        <f ca="1">IF($C138="","",[1]!BTSP(G$4,$C138))</f>
        <v>141.5</v>
      </c>
      <c r="H138" s="269">
        <f ca="1">IF($C138="","",[1]!BTSP(H$4,$C138))</f>
        <v>110.6</v>
      </c>
      <c r="I138" s="269">
        <f ca="1">IF($C138="","",[1]!BTSP(I$4,$C138))</f>
        <v>104.8</v>
      </c>
      <c r="J138" s="269">
        <f ca="1">IF($C138="","",[1]!BTSP(J$4,$C138))</f>
        <v>101.6</v>
      </c>
      <c r="K138" s="269">
        <f ca="1">IF($C138="","",[1]!BTSP(K$4,$C138))</f>
        <v>120</v>
      </c>
      <c r="L138" s="186">
        <f ca="1">IF($C138="","",[1]!BTSP(L$4,$C138))</f>
        <v>115.5</v>
      </c>
    </row>
    <row r="139" spans="1:12" x14ac:dyDescent="0.15">
      <c r="A139" s="57" t="s">
        <v>25</v>
      </c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5"/>
    </row>
    <row r="140" spans="1:12" x14ac:dyDescent="0.15">
      <c r="A140" s="57" t="s">
        <v>14</v>
      </c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</row>
    <row r="141" spans="1:12" x14ac:dyDescent="0.15">
      <c r="A141" s="57"/>
      <c r="B141" s="61"/>
      <c r="C141" s="61"/>
      <c r="D141" s="57"/>
      <c r="E141" s="61"/>
      <c r="F141" s="61"/>
      <c r="G141" s="61"/>
      <c r="H141" s="61"/>
      <c r="I141" s="61"/>
      <c r="J141" s="61"/>
      <c r="K141" s="61"/>
      <c r="L141" s="61"/>
    </row>
  </sheetData>
  <mergeCells count="5">
    <mergeCell ref="A5:A6"/>
    <mergeCell ref="B5:C5"/>
    <mergeCell ref="I5:J5"/>
    <mergeCell ref="K5:L5"/>
    <mergeCell ref="D5:H5"/>
  </mergeCells>
  <phoneticPr fontId="5" type="noConversion"/>
  <printOptions horizontalCentered="1"/>
  <pageMargins left="0.25" right="0.25" top="0.75" bottom="0.75" header="0.3" footer="0.3"/>
  <pageSetup paperSize="9" scale="36" orientation="portrait" horizontalDpi="4294967294" verticalDpi="4294967294" r:id="rId1"/>
  <headerFooter alignWithMargins="0"/>
  <ignoredErrors>
    <ignoredError sqref="A23:A24 A26:A28 A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I139"/>
  <sheetViews>
    <sheetView view="pageBreakPreview" zoomScale="85" zoomScaleNormal="100" zoomScaleSheetLayoutView="85" workbookViewId="0">
      <pane ySplit="4" topLeftCell="A116" activePane="bottomLeft" state="frozen"/>
      <selection activeCell="M68" sqref="M68"/>
      <selection pane="bottomLeft" activeCell="D142" sqref="D142"/>
    </sheetView>
  </sheetViews>
  <sheetFormatPr defaultRowHeight="13.5" x14ac:dyDescent="0.15"/>
  <cols>
    <col min="1" max="1" width="10.77734375" customWidth="1"/>
    <col min="2" max="4" width="16.33203125" style="39" customWidth="1"/>
    <col min="5" max="6" width="16.33203125" customWidth="1"/>
    <col min="7" max="7" width="8.88671875" style="29"/>
    <col min="8" max="9" width="11.109375" style="29" bestFit="1" customWidth="1"/>
    <col min="10" max="16384" width="8.88671875" style="29"/>
  </cols>
  <sheetData>
    <row r="1" spans="1:6" ht="18.75" x14ac:dyDescent="0.25">
      <c r="A1" s="89" t="s">
        <v>220</v>
      </c>
      <c r="B1" s="52"/>
      <c r="C1" s="52"/>
      <c r="D1" s="52"/>
    </row>
    <row r="2" spans="1:6" x14ac:dyDescent="0.15">
      <c r="A2" s="66" t="s">
        <v>30</v>
      </c>
      <c r="B2" s="70"/>
      <c r="C2" s="92"/>
      <c r="D2" s="70"/>
      <c r="E2" s="93"/>
      <c r="F2" s="93" t="s">
        <v>216</v>
      </c>
    </row>
    <row r="3" spans="1:6" ht="15" customHeight="1" x14ac:dyDescent="0.15">
      <c r="A3" s="276" t="s">
        <v>1</v>
      </c>
      <c r="B3" s="285" t="s">
        <v>124</v>
      </c>
      <c r="C3" s="283" t="s">
        <v>212</v>
      </c>
      <c r="D3" s="284"/>
      <c r="E3" s="278" t="s">
        <v>217</v>
      </c>
      <c r="F3" s="280" t="s">
        <v>50</v>
      </c>
    </row>
    <row r="4" spans="1:6" ht="15" customHeight="1" x14ac:dyDescent="0.15">
      <c r="A4" s="282"/>
      <c r="B4" s="286"/>
      <c r="C4" s="40"/>
      <c r="D4" s="41" t="s">
        <v>24</v>
      </c>
      <c r="E4" s="278"/>
      <c r="F4" s="280"/>
    </row>
    <row r="5" spans="1:6" ht="13.5" customHeight="1" x14ac:dyDescent="0.15">
      <c r="A5" s="75">
        <v>2012</v>
      </c>
      <c r="B5" s="126">
        <v>85.424999999999997</v>
      </c>
      <c r="C5" s="104">
        <v>104.60833333333331</v>
      </c>
      <c r="D5" s="103">
        <v>106.72499999999998</v>
      </c>
      <c r="E5" s="103"/>
      <c r="F5" s="195">
        <v>92.699999999999989</v>
      </c>
    </row>
    <row r="6" spans="1:6" ht="13.5" customHeight="1" x14ac:dyDescent="0.15">
      <c r="A6" s="75">
        <v>2013</v>
      </c>
      <c r="B6" s="126">
        <v>88.2</v>
      </c>
      <c r="C6" s="104">
        <v>111.81666666666666</v>
      </c>
      <c r="D6" s="103">
        <v>110.22500000000001</v>
      </c>
      <c r="E6" s="103"/>
      <c r="F6" s="195">
        <v>93.7</v>
      </c>
    </row>
    <row r="7" spans="1:6" ht="13.5" customHeight="1" x14ac:dyDescent="0.15">
      <c r="A7" s="75">
        <v>2014</v>
      </c>
      <c r="B7" s="126">
        <v>90.4</v>
      </c>
      <c r="C7" s="104">
        <v>109.625</v>
      </c>
      <c r="D7" s="103">
        <v>106.97500000000001</v>
      </c>
      <c r="E7" s="103"/>
      <c r="F7" s="195">
        <v>94.95</v>
      </c>
    </row>
    <row r="8" spans="1:6" ht="13.5" customHeight="1" x14ac:dyDescent="0.15">
      <c r="A8" s="75">
        <v>2015</v>
      </c>
      <c r="B8" s="126">
        <v>94.575000000000003</v>
      </c>
      <c r="C8" s="104">
        <v>106.54166666666667</v>
      </c>
      <c r="D8" s="103">
        <v>102.80000000000001</v>
      </c>
      <c r="E8" s="103"/>
      <c r="F8" s="195">
        <v>98.275000000000006</v>
      </c>
    </row>
    <row r="9" spans="1:6" ht="13.5" customHeight="1" x14ac:dyDescent="0.15">
      <c r="A9" s="75"/>
      <c r="B9" s="126" t="s">
        <v>207</v>
      </c>
      <c r="C9" s="104" t="s">
        <v>207</v>
      </c>
      <c r="D9" s="103" t="s">
        <v>207</v>
      </c>
      <c r="E9" s="103"/>
      <c r="F9" s="195" t="s">
        <v>207</v>
      </c>
    </row>
    <row r="10" spans="1:6" ht="13.5" customHeight="1" x14ac:dyDescent="0.15">
      <c r="A10" s="75">
        <v>2016</v>
      </c>
      <c r="B10" s="126">
        <v>96.85</v>
      </c>
      <c r="C10" s="127">
        <v>106.30833333333335</v>
      </c>
      <c r="D10" s="126">
        <v>103.33333333333333</v>
      </c>
      <c r="E10" s="103"/>
      <c r="F10" s="195">
        <v>101.27500000000001</v>
      </c>
    </row>
    <row r="11" spans="1:6" ht="13.5" customHeight="1" x14ac:dyDescent="0.15">
      <c r="A11" s="75">
        <v>2017</v>
      </c>
      <c r="B11" s="126">
        <v>98.25</v>
      </c>
      <c r="C11" s="127">
        <v>106.70833333333336</v>
      </c>
      <c r="D11" s="126">
        <v>103.07499999999999</v>
      </c>
      <c r="E11" s="103">
        <v>2804.63</v>
      </c>
      <c r="F11" s="195">
        <v>102.82499999999999</v>
      </c>
    </row>
    <row r="12" spans="1:6" ht="13.5" customHeight="1" x14ac:dyDescent="0.15">
      <c r="A12" s="75">
        <v>2018</v>
      </c>
      <c r="B12" s="126">
        <v>100.875</v>
      </c>
      <c r="C12" s="127">
        <v>104.35000000000001</v>
      </c>
      <c r="D12" s="126">
        <v>100.15000000000002</v>
      </c>
      <c r="E12" s="103">
        <v>6519.94</v>
      </c>
      <c r="F12" s="195">
        <v>104.925</v>
      </c>
    </row>
    <row r="13" spans="1:6" ht="13.5" customHeight="1" x14ac:dyDescent="0.15">
      <c r="A13" s="75">
        <v>2019</v>
      </c>
      <c r="B13" s="126">
        <v>100.32500000000002</v>
      </c>
      <c r="C13" s="127">
        <v>101.125</v>
      </c>
      <c r="D13" s="126">
        <v>96.391666666666666</v>
      </c>
      <c r="E13" s="103">
        <v>6742.71</v>
      </c>
      <c r="F13" s="195">
        <v>105.07499999999999</v>
      </c>
    </row>
    <row r="14" spans="1:6" ht="13.5" customHeight="1" x14ac:dyDescent="0.15">
      <c r="A14" s="75">
        <v>2020</v>
      </c>
      <c r="B14" s="126">
        <v>100</v>
      </c>
      <c r="C14" s="127">
        <v>99.991666666666674</v>
      </c>
      <c r="D14" s="126">
        <v>100</v>
      </c>
      <c r="E14" s="103">
        <v>6507.03</v>
      </c>
      <c r="F14" s="195">
        <v>100.02500000000001</v>
      </c>
    </row>
    <row r="15" spans="1:6" ht="13.5" customHeight="1" x14ac:dyDescent="0.15">
      <c r="A15" s="75"/>
      <c r="B15" s="126" t="s">
        <v>207</v>
      </c>
      <c r="C15" s="127" t="s">
        <v>207</v>
      </c>
      <c r="D15" s="126" t="s">
        <v>207</v>
      </c>
      <c r="E15" s="103"/>
      <c r="F15" s="195" t="s">
        <v>207</v>
      </c>
    </row>
    <row r="16" spans="1:6" ht="13.5" customHeight="1" x14ac:dyDescent="0.15">
      <c r="A16" s="75">
        <v>2021</v>
      </c>
      <c r="B16" s="126">
        <v>103.35000000000001</v>
      </c>
      <c r="C16" s="127">
        <v>104.08333333333333</v>
      </c>
      <c r="D16" s="126">
        <v>103.23333333333333</v>
      </c>
      <c r="E16" s="103">
        <v>6911.6</v>
      </c>
      <c r="F16" s="195">
        <v>104.04999999999998</v>
      </c>
    </row>
    <row r="17" spans="1:6" ht="13.5" customHeight="1" x14ac:dyDescent="0.15">
      <c r="A17" s="75">
        <v>2022</v>
      </c>
      <c r="B17" s="126">
        <v>102.675</v>
      </c>
      <c r="C17" s="127">
        <v>102.075</v>
      </c>
      <c r="D17" s="126">
        <v>99.75</v>
      </c>
      <c r="E17" s="103">
        <v>7833.99</v>
      </c>
      <c r="F17" s="195">
        <v>111.20000000000002</v>
      </c>
    </row>
    <row r="18" spans="1:6" ht="13.5" customHeight="1" x14ac:dyDescent="0.15">
      <c r="A18" s="75">
        <v>2023</v>
      </c>
      <c r="B18" s="126">
        <v>107.42499999999998</v>
      </c>
      <c r="C18" s="127">
        <v>93.078175896233333</v>
      </c>
      <c r="D18" s="126">
        <v>91.590003207200013</v>
      </c>
      <c r="E18" s="103">
        <v>7990.9</v>
      </c>
      <c r="F18" s="196">
        <v>112.17500000000001</v>
      </c>
    </row>
    <row r="19" spans="1:6" ht="13.5" customHeight="1" x14ac:dyDescent="0.15">
      <c r="A19" s="77"/>
      <c r="B19" s="128"/>
      <c r="C19" s="105"/>
      <c r="D19" s="103"/>
      <c r="E19" s="103"/>
      <c r="F19" s="197"/>
    </row>
    <row r="20" spans="1:6" ht="13.5" customHeight="1" x14ac:dyDescent="0.15">
      <c r="A20" s="129" t="s">
        <v>251</v>
      </c>
      <c r="B20" s="126" t="s">
        <v>207</v>
      </c>
      <c r="C20" s="131">
        <v>101.8</v>
      </c>
      <c r="D20" s="126">
        <v>99.1</v>
      </c>
      <c r="E20" s="126">
        <v>6333.5</v>
      </c>
      <c r="F20" s="197" t="s">
        <v>207</v>
      </c>
    </row>
    <row r="21" spans="1:6" ht="13.5" customHeight="1" x14ac:dyDescent="0.15">
      <c r="A21" s="129" t="s">
        <v>252</v>
      </c>
      <c r="B21" s="126" t="s">
        <v>207</v>
      </c>
      <c r="C21" s="131">
        <v>97.2</v>
      </c>
      <c r="D21" s="126">
        <v>93.7</v>
      </c>
      <c r="E21" s="126">
        <v>5713</v>
      </c>
      <c r="F21" s="197" t="s">
        <v>207</v>
      </c>
    </row>
    <row r="22" spans="1:6" ht="13.5" customHeight="1" x14ac:dyDescent="0.15">
      <c r="A22" s="129" t="s">
        <v>253</v>
      </c>
      <c r="B22" s="126">
        <v>95.3</v>
      </c>
      <c r="C22" s="131">
        <v>103.5</v>
      </c>
      <c r="D22" s="126">
        <v>97.1</v>
      </c>
      <c r="E22" s="126">
        <v>6287.9</v>
      </c>
      <c r="F22" s="197">
        <v>100.8</v>
      </c>
    </row>
    <row r="23" spans="1:6" ht="13.5" customHeight="1" x14ac:dyDescent="0.15">
      <c r="A23" s="129"/>
      <c r="B23" s="126" t="s">
        <v>207</v>
      </c>
      <c r="C23" s="131" t="s">
        <v>207</v>
      </c>
      <c r="D23" s="126" t="s">
        <v>207</v>
      </c>
      <c r="E23" s="126"/>
      <c r="F23" s="197" t="s">
        <v>207</v>
      </c>
    </row>
    <row r="24" spans="1:6" ht="13.5" customHeight="1" x14ac:dyDescent="0.15">
      <c r="A24" s="129" t="s">
        <v>254</v>
      </c>
      <c r="B24" s="126" t="s">
        <v>207</v>
      </c>
      <c r="C24" s="131">
        <v>87.9</v>
      </c>
      <c r="D24" s="126">
        <v>83.3</v>
      </c>
      <c r="E24" s="126">
        <v>6310.4</v>
      </c>
      <c r="F24" s="197" t="s">
        <v>207</v>
      </c>
    </row>
    <row r="25" spans="1:6" ht="13.5" customHeight="1" x14ac:dyDescent="0.15">
      <c r="A25" s="129" t="s">
        <v>255</v>
      </c>
      <c r="B25" s="126" t="s">
        <v>207</v>
      </c>
      <c r="C25" s="131">
        <v>102.6</v>
      </c>
      <c r="D25" s="126">
        <v>95.8</v>
      </c>
      <c r="E25" s="126">
        <v>7050.6</v>
      </c>
      <c r="F25" s="197" t="s">
        <v>207</v>
      </c>
    </row>
    <row r="26" spans="1:6" ht="13.5" customHeight="1" x14ac:dyDescent="0.15">
      <c r="A26" s="129" t="s">
        <v>256</v>
      </c>
      <c r="B26" s="126">
        <v>99</v>
      </c>
      <c r="C26" s="131">
        <v>96</v>
      </c>
      <c r="D26" s="126">
        <v>93.3</v>
      </c>
      <c r="E26" s="126">
        <v>6711.8</v>
      </c>
      <c r="F26" s="197">
        <v>104.6</v>
      </c>
    </row>
    <row r="27" spans="1:6" ht="13.5" customHeight="1" x14ac:dyDescent="0.15">
      <c r="A27" s="129"/>
      <c r="B27" s="126" t="s">
        <v>207</v>
      </c>
      <c r="C27" s="131" t="s">
        <v>207</v>
      </c>
      <c r="D27" s="126" t="s">
        <v>207</v>
      </c>
      <c r="E27" s="126"/>
      <c r="F27" s="197" t="s">
        <v>207</v>
      </c>
    </row>
    <row r="28" spans="1:6" ht="13.5" customHeight="1" x14ac:dyDescent="0.15">
      <c r="A28" s="129" t="s">
        <v>257</v>
      </c>
      <c r="B28" s="126" t="s">
        <v>207</v>
      </c>
      <c r="C28" s="131">
        <v>100.2</v>
      </c>
      <c r="D28" s="126">
        <v>99.7</v>
      </c>
      <c r="E28" s="126">
        <v>7030.5</v>
      </c>
      <c r="F28" s="197" t="s">
        <v>207</v>
      </c>
    </row>
    <row r="29" spans="1:6" ht="13.5" customHeight="1" x14ac:dyDescent="0.15">
      <c r="A29" s="129" t="s">
        <v>258</v>
      </c>
      <c r="B29" s="126" t="s">
        <v>207</v>
      </c>
      <c r="C29" s="131">
        <v>107.3</v>
      </c>
      <c r="D29" s="126">
        <v>108.7</v>
      </c>
      <c r="E29" s="126">
        <v>7763.9</v>
      </c>
      <c r="F29" s="197" t="s">
        <v>207</v>
      </c>
    </row>
    <row r="30" spans="1:6" ht="13.5" customHeight="1" x14ac:dyDescent="0.15">
      <c r="A30" s="129" t="s">
        <v>259</v>
      </c>
      <c r="B30" s="126">
        <v>103.4</v>
      </c>
      <c r="C30" s="131">
        <v>110.1</v>
      </c>
      <c r="D30" s="126">
        <v>106.3</v>
      </c>
      <c r="E30" s="126">
        <v>6639.1</v>
      </c>
      <c r="F30" s="197">
        <v>108</v>
      </c>
    </row>
    <row r="31" spans="1:6" ht="13.5" customHeight="1" x14ac:dyDescent="0.15">
      <c r="A31" s="129"/>
      <c r="B31" s="126" t="s">
        <v>207</v>
      </c>
      <c r="C31" s="131" t="s">
        <v>207</v>
      </c>
      <c r="D31" s="126" t="s">
        <v>207</v>
      </c>
      <c r="E31" s="126"/>
      <c r="F31" s="197" t="s">
        <v>207</v>
      </c>
    </row>
    <row r="32" spans="1:6" ht="13.5" customHeight="1" x14ac:dyDescent="0.15">
      <c r="A32" s="129" t="s">
        <v>260</v>
      </c>
      <c r="B32" s="126" t="s">
        <v>207</v>
      </c>
      <c r="C32" s="131">
        <v>95.9</v>
      </c>
      <c r="D32" s="126">
        <v>88</v>
      </c>
      <c r="E32" s="126">
        <v>7056.9</v>
      </c>
      <c r="F32" s="197" t="s">
        <v>207</v>
      </c>
    </row>
    <row r="33" spans="1:6" ht="13.5" customHeight="1" x14ac:dyDescent="0.15">
      <c r="A33" s="129" t="s">
        <v>261</v>
      </c>
      <c r="B33" s="126" t="s">
        <v>207</v>
      </c>
      <c r="C33" s="131">
        <v>104.7</v>
      </c>
      <c r="D33" s="126">
        <v>93.5</v>
      </c>
      <c r="E33" s="126">
        <v>6836.5</v>
      </c>
      <c r="F33" s="197" t="s">
        <v>207</v>
      </c>
    </row>
    <row r="34" spans="1:6" ht="13.5" customHeight="1" x14ac:dyDescent="0.15">
      <c r="A34" s="129" t="s">
        <v>262</v>
      </c>
      <c r="B34" s="126">
        <v>103.6</v>
      </c>
      <c r="C34" s="131">
        <v>106.3</v>
      </c>
      <c r="D34" s="126">
        <v>98.2</v>
      </c>
      <c r="E34" s="126">
        <v>7178.4</v>
      </c>
      <c r="F34" s="197">
        <v>106.9</v>
      </c>
    </row>
    <row r="35" spans="1:6" ht="13.5" customHeight="1" x14ac:dyDescent="0.15">
      <c r="A35" s="129"/>
      <c r="B35" s="126" t="s">
        <v>207</v>
      </c>
      <c r="C35" s="131" t="s">
        <v>207</v>
      </c>
      <c r="D35" s="126" t="s">
        <v>207</v>
      </c>
      <c r="E35" s="126"/>
      <c r="F35" s="197" t="s">
        <v>207</v>
      </c>
    </row>
    <row r="36" spans="1:6" ht="13.5" customHeight="1" x14ac:dyDescent="0.15">
      <c r="A36" s="129" t="s">
        <v>263</v>
      </c>
      <c r="B36" s="126" t="s">
        <v>207</v>
      </c>
      <c r="C36" s="131">
        <v>113.2</v>
      </c>
      <c r="D36" s="126">
        <v>113.4</v>
      </c>
      <c r="E36" s="126">
        <v>6645.8</v>
      </c>
      <c r="F36" s="197" t="s">
        <v>207</v>
      </c>
    </row>
    <row r="37" spans="1:6" ht="13.5" customHeight="1" x14ac:dyDescent="0.15">
      <c r="A37" s="129" t="s">
        <v>231</v>
      </c>
      <c r="B37" s="126" t="s">
        <v>207</v>
      </c>
      <c r="C37" s="131">
        <v>88.3</v>
      </c>
      <c r="D37" s="126">
        <v>88.3</v>
      </c>
      <c r="E37" s="126">
        <v>5636.1</v>
      </c>
      <c r="F37" s="197" t="s">
        <v>207</v>
      </c>
    </row>
    <row r="38" spans="1:6" ht="13.5" customHeight="1" x14ac:dyDescent="0.15">
      <c r="A38" s="129" t="s">
        <v>232</v>
      </c>
      <c r="B38" s="126">
        <v>92.7</v>
      </c>
      <c r="C38" s="131">
        <v>85.7</v>
      </c>
      <c r="D38" s="126">
        <v>88</v>
      </c>
      <c r="E38" s="126">
        <v>5722</v>
      </c>
      <c r="F38" s="197">
        <v>96.6</v>
      </c>
    </row>
    <row r="39" spans="1:6" ht="13.5" customHeight="1" x14ac:dyDescent="0.15">
      <c r="A39" s="129"/>
      <c r="B39" s="126" t="s">
        <v>207</v>
      </c>
      <c r="C39" s="131" t="s">
        <v>207</v>
      </c>
      <c r="D39" s="126" t="s">
        <v>207</v>
      </c>
      <c r="E39" s="126"/>
      <c r="F39" s="197" t="s">
        <v>207</v>
      </c>
    </row>
    <row r="40" spans="1:6" ht="13.5" customHeight="1" x14ac:dyDescent="0.15">
      <c r="A40" s="129" t="s">
        <v>233</v>
      </c>
      <c r="B40" s="126" t="s">
        <v>207</v>
      </c>
      <c r="C40" s="131">
        <v>89.7</v>
      </c>
      <c r="D40" s="126">
        <v>88.5</v>
      </c>
      <c r="E40" s="126">
        <v>6014.8</v>
      </c>
      <c r="F40" s="197" t="s">
        <v>207</v>
      </c>
    </row>
    <row r="41" spans="1:6" ht="13.5" customHeight="1" x14ac:dyDescent="0.15">
      <c r="A41" s="129" t="s">
        <v>234</v>
      </c>
      <c r="B41" s="126" t="s">
        <v>207</v>
      </c>
      <c r="C41" s="131">
        <v>103.9</v>
      </c>
      <c r="D41" s="126">
        <v>100.6</v>
      </c>
      <c r="E41" s="126">
        <v>6958.7</v>
      </c>
      <c r="F41" s="197" t="s">
        <v>207</v>
      </c>
    </row>
    <row r="42" spans="1:6" ht="13.5" customHeight="1" x14ac:dyDescent="0.15">
      <c r="A42" s="129" t="s">
        <v>235</v>
      </c>
      <c r="B42" s="126">
        <v>106.4</v>
      </c>
      <c r="C42" s="131">
        <v>97.8</v>
      </c>
      <c r="D42" s="126">
        <v>96.7</v>
      </c>
      <c r="E42" s="126">
        <v>6690.6</v>
      </c>
      <c r="F42" s="197">
        <v>100.5</v>
      </c>
    </row>
    <row r="43" spans="1:6" ht="13.5" customHeight="1" x14ac:dyDescent="0.15">
      <c r="A43" s="129"/>
      <c r="B43" s="126" t="s">
        <v>207</v>
      </c>
      <c r="C43" s="131" t="s">
        <v>207</v>
      </c>
      <c r="D43" s="126" t="s">
        <v>207</v>
      </c>
      <c r="E43" s="126"/>
      <c r="F43" s="197" t="s">
        <v>207</v>
      </c>
    </row>
    <row r="44" spans="1:6" ht="13.5" customHeight="1" x14ac:dyDescent="0.15">
      <c r="A44" s="129" t="s">
        <v>236</v>
      </c>
      <c r="B44" s="126" t="s">
        <v>207</v>
      </c>
      <c r="C44" s="131">
        <v>98.9</v>
      </c>
      <c r="D44" s="126">
        <v>100.4</v>
      </c>
      <c r="E44" s="126">
        <v>7038.7</v>
      </c>
      <c r="F44" s="197" t="s">
        <v>207</v>
      </c>
    </row>
    <row r="45" spans="1:6" ht="13.5" customHeight="1" x14ac:dyDescent="0.15">
      <c r="A45" s="129" t="s">
        <v>237</v>
      </c>
      <c r="B45" s="126" t="s">
        <v>207</v>
      </c>
      <c r="C45" s="131">
        <v>104.5</v>
      </c>
      <c r="D45" s="126">
        <v>110</v>
      </c>
      <c r="E45" s="126">
        <v>7231.3</v>
      </c>
      <c r="F45" s="197" t="s">
        <v>207</v>
      </c>
    </row>
    <row r="46" spans="1:6" ht="13.5" customHeight="1" x14ac:dyDescent="0.15">
      <c r="A46" s="129" t="s">
        <v>238</v>
      </c>
      <c r="B46" s="126">
        <v>102.7</v>
      </c>
      <c r="C46" s="131">
        <v>110.7</v>
      </c>
      <c r="D46" s="126">
        <v>114</v>
      </c>
      <c r="E46" s="126">
        <v>6709.2</v>
      </c>
      <c r="F46" s="197">
        <v>101.6</v>
      </c>
    </row>
    <row r="47" spans="1:6" ht="13.5" customHeight="1" x14ac:dyDescent="0.15">
      <c r="A47" s="129"/>
      <c r="B47" s="126" t="s">
        <v>207</v>
      </c>
      <c r="C47" s="131" t="s">
        <v>207</v>
      </c>
      <c r="D47" s="126" t="s">
        <v>207</v>
      </c>
      <c r="E47" s="126"/>
      <c r="F47" s="197" t="s">
        <v>207</v>
      </c>
    </row>
    <row r="48" spans="1:6" ht="13.5" customHeight="1" x14ac:dyDescent="0.15">
      <c r="A48" s="129" t="s">
        <v>239</v>
      </c>
      <c r="B48" s="126" t="s">
        <v>207</v>
      </c>
      <c r="C48" s="131">
        <v>103.2</v>
      </c>
      <c r="D48" s="126">
        <v>97.1</v>
      </c>
      <c r="E48" s="126">
        <v>6881.9</v>
      </c>
      <c r="F48" s="197" t="s">
        <v>207</v>
      </c>
    </row>
    <row r="49" spans="1:6" ht="13.5" customHeight="1" x14ac:dyDescent="0.15">
      <c r="A49" s="129" t="s">
        <v>240</v>
      </c>
      <c r="B49" s="126" t="s">
        <v>207</v>
      </c>
      <c r="C49" s="131">
        <v>98.1</v>
      </c>
      <c r="D49" s="126">
        <v>94.9</v>
      </c>
      <c r="E49" s="126">
        <v>6422</v>
      </c>
      <c r="F49" s="197" t="s">
        <v>207</v>
      </c>
    </row>
    <row r="50" spans="1:6" ht="13.5" customHeight="1" x14ac:dyDescent="0.15">
      <c r="A50" s="129" t="s">
        <v>243</v>
      </c>
      <c r="B50" s="126">
        <v>98.2</v>
      </c>
      <c r="C50" s="131">
        <v>105.9</v>
      </c>
      <c r="D50" s="126">
        <v>108.1</v>
      </c>
      <c r="E50" s="126">
        <v>6133</v>
      </c>
      <c r="F50" s="197">
        <v>101.4</v>
      </c>
    </row>
    <row r="51" spans="1:6" ht="13.5" customHeight="1" x14ac:dyDescent="0.15">
      <c r="A51" s="129"/>
      <c r="B51" s="126" t="s">
        <v>207</v>
      </c>
      <c r="C51" s="131" t="s">
        <v>207</v>
      </c>
      <c r="D51" s="126" t="s">
        <v>207</v>
      </c>
      <c r="E51" s="126"/>
      <c r="F51" s="197" t="s">
        <v>207</v>
      </c>
    </row>
    <row r="52" spans="1:6" ht="13.5" customHeight="1" x14ac:dyDescent="0.15">
      <c r="A52" s="129" t="s">
        <v>264</v>
      </c>
      <c r="B52" s="126" t="s">
        <v>207</v>
      </c>
      <c r="C52" s="131">
        <v>101.4</v>
      </c>
      <c r="D52" s="126">
        <v>103.9</v>
      </c>
      <c r="E52" s="126">
        <v>5233.6000000000004</v>
      </c>
      <c r="F52" s="197" t="s">
        <v>207</v>
      </c>
    </row>
    <row r="53" spans="1:6" ht="13.5" customHeight="1" x14ac:dyDescent="0.15">
      <c r="A53" s="129" t="s">
        <v>231</v>
      </c>
      <c r="B53" s="126" t="s">
        <v>207</v>
      </c>
      <c r="C53" s="131">
        <v>104.2</v>
      </c>
      <c r="D53" s="126">
        <v>105.4</v>
      </c>
      <c r="E53" s="126">
        <v>5731.5</v>
      </c>
      <c r="F53" s="197" t="s">
        <v>207</v>
      </c>
    </row>
    <row r="54" spans="1:6" ht="13.5" customHeight="1" x14ac:dyDescent="0.15">
      <c r="A54" s="129" t="s">
        <v>232</v>
      </c>
      <c r="B54" s="126">
        <v>94.1</v>
      </c>
      <c r="C54" s="131">
        <v>97.6</v>
      </c>
      <c r="D54" s="126">
        <v>95.2</v>
      </c>
      <c r="E54" s="126">
        <v>6277</v>
      </c>
      <c r="F54" s="197">
        <v>96.3</v>
      </c>
    </row>
    <row r="55" spans="1:6" ht="13.5" customHeight="1" x14ac:dyDescent="0.15">
      <c r="A55" s="129"/>
      <c r="B55" s="126" t="s">
        <v>207</v>
      </c>
      <c r="C55" s="131" t="s">
        <v>207</v>
      </c>
      <c r="D55" s="126" t="s">
        <v>207</v>
      </c>
      <c r="E55" s="126"/>
      <c r="F55" s="197" t="s">
        <v>207</v>
      </c>
    </row>
    <row r="56" spans="1:6" ht="13.5" customHeight="1" x14ac:dyDescent="0.15">
      <c r="A56" s="129" t="s">
        <v>233</v>
      </c>
      <c r="B56" s="126" t="s">
        <v>207</v>
      </c>
      <c r="C56" s="131">
        <v>97.6</v>
      </c>
      <c r="D56" s="126">
        <v>96.1</v>
      </c>
      <c r="E56" s="126">
        <v>6655.6</v>
      </c>
      <c r="F56" s="197" t="s">
        <v>207</v>
      </c>
    </row>
    <row r="57" spans="1:6" ht="13.5" customHeight="1" x14ac:dyDescent="0.15">
      <c r="A57" s="129" t="s">
        <v>234</v>
      </c>
      <c r="B57" s="126" t="s">
        <v>207</v>
      </c>
      <c r="C57" s="131">
        <v>109.9</v>
      </c>
      <c r="D57" s="126">
        <v>107.9</v>
      </c>
      <c r="E57" s="126">
        <v>7058.2</v>
      </c>
      <c r="F57" s="197" t="s">
        <v>207</v>
      </c>
    </row>
    <row r="58" spans="1:6" ht="13.5" customHeight="1" x14ac:dyDescent="0.15">
      <c r="A58" s="129" t="s">
        <v>235</v>
      </c>
      <c r="B58" s="126">
        <v>104.1</v>
      </c>
      <c r="C58" s="131">
        <v>96.3</v>
      </c>
      <c r="D58" s="126">
        <v>96.3</v>
      </c>
      <c r="E58" s="126">
        <v>7054.1</v>
      </c>
      <c r="F58" s="197">
        <v>105.6</v>
      </c>
    </row>
    <row r="59" spans="1:6" ht="13.5" customHeight="1" x14ac:dyDescent="0.15">
      <c r="A59" s="129"/>
      <c r="B59" s="126" t="s">
        <v>207</v>
      </c>
      <c r="C59" s="131" t="s">
        <v>207</v>
      </c>
      <c r="D59" s="126" t="s">
        <v>207</v>
      </c>
      <c r="E59" s="126"/>
      <c r="F59" s="197" t="s">
        <v>207</v>
      </c>
    </row>
    <row r="60" spans="1:6" ht="13.5" customHeight="1" x14ac:dyDescent="0.15">
      <c r="A60" s="129" t="s">
        <v>236</v>
      </c>
      <c r="B60" s="126" t="s">
        <v>207</v>
      </c>
      <c r="C60" s="131">
        <v>106.3</v>
      </c>
      <c r="D60" s="126">
        <v>109.6</v>
      </c>
      <c r="E60" s="126">
        <v>7527.1</v>
      </c>
      <c r="F60" s="197" t="s">
        <v>207</v>
      </c>
    </row>
    <row r="61" spans="1:6" ht="13.5" customHeight="1" x14ac:dyDescent="0.15">
      <c r="A61" s="129" t="s">
        <v>237</v>
      </c>
      <c r="B61" s="126" t="s">
        <v>207</v>
      </c>
      <c r="C61" s="131">
        <v>104.6</v>
      </c>
      <c r="D61" s="126">
        <v>109</v>
      </c>
      <c r="E61" s="126">
        <v>7474</v>
      </c>
      <c r="F61" s="197" t="s">
        <v>207</v>
      </c>
    </row>
    <row r="62" spans="1:6" ht="13.5" customHeight="1" x14ac:dyDescent="0.15">
      <c r="A62" s="129" t="s">
        <v>238</v>
      </c>
      <c r="B62" s="126">
        <v>107.9</v>
      </c>
      <c r="C62" s="131">
        <v>110.6</v>
      </c>
      <c r="D62" s="126">
        <v>110.4</v>
      </c>
      <c r="E62" s="126">
        <v>7409.5</v>
      </c>
      <c r="F62" s="197">
        <v>105.7</v>
      </c>
    </row>
    <row r="63" spans="1:6" ht="13.5" customHeight="1" x14ac:dyDescent="0.15">
      <c r="A63" s="129"/>
      <c r="B63" s="126" t="s">
        <v>207</v>
      </c>
      <c r="C63" s="131" t="s">
        <v>207</v>
      </c>
      <c r="D63" s="126" t="s">
        <v>207</v>
      </c>
      <c r="E63" s="126"/>
      <c r="F63" s="197" t="s">
        <v>207</v>
      </c>
    </row>
    <row r="64" spans="1:6" ht="13.5" customHeight="1" x14ac:dyDescent="0.15">
      <c r="A64" s="129" t="s">
        <v>239</v>
      </c>
      <c r="B64" s="126" t="s">
        <v>207</v>
      </c>
      <c r="C64" s="131">
        <v>111.4</v>
      </c>
      <c r="D64" s="126">
        <v>106.4</v>
      </c>
      <c r="E64" s="126">
        <v>7634.5</v>
      </c>
      <c r="F64" s="197" t="s">
        <v>207</v>
      </c>
    </row>
    <row r="65" spans="1:9" ht="13.5" customHeight="1" x14ac:dyDescent="0.15">
      <c r="A65" s="129" t="s">
        <v>240</v>
      </c>
      <c r="B65" s="126" t="s">
        <v>207</v>
      </c>
      <c r="C65" s="131">
        <v>100.5</v>
      </c>
      <c r="D65" s="126">
        <v>93.3</v>
      </c>
      <c r="E65" s="126">
        <v>7484.9</v>
      </c>
      <c r="F65" s="197" t="s">
        <v>207</v>
      </c>
    </row>
    <row r="66" spans="1:9" ht="13.5" customHeight="1" x14ac:dyDescent="0.15">
      <c r="A66" s="129" t="s">
        <v>243</v>
      </c>
      <c r="B66" s="126">
        <v>107.3</v>
      </c>
      <c r="C66" s="131">
        <v>108.6</v>
      </c>
      <c r="D66" s="126">
        <v>105.3</v>
      </c>
      <c r="E66" s="126">
        <v>7309.2</v>
      </c>
      <c r="F66" s="197">
        <v>108.6</v>
      </c>
    </row>
    <row r="67" spans="1:9" ht="13.5" customHeight="1" x14ac:dyDescent="0.15">
      <c r="A67" s="129"/>
      <c r="B67" s="126" t="s">
        <v>207</v>
      </c>
      <c r="C67" s="131" t="s">
        <v>207</v>
      </c>
      <c r="D67" s="126" t="s">
        <v>207</v>
      </c>
      <c r="E67" s="126"/>
      <c r="F67" s="197" t="s">
        <v>207</v>
      </c>
    </row>
    <row r="68" spans="1:9" ht="13.5" customHeight="1" x14ac:dyDescent="0.15">
      <c r="A68" s="129" t="s">
        <v>265</v>
      </c>
      <c r="B68" s="126" t="s">
        <v>207</v>
      </c>
      <c r="C68" s="131">
        <v>118</v>
      </c>
      <c r="D68" s="126">
        <v>118.8</v>
      </c>
      <c r="E68" s="126">
        <v>7039</v>
      </c>
      <c r="F68" s="197" t="s">
        <v>207</v>
      </c>
    </row>
    <row r="69" spans="1:9" ht="13.5" customHeight="1" x14ac:dyDescent="0.15">
      <c r="A69" s="129" t="s">
        <v>231</v>
      </c>
      <c r="B69" s="126" t="s">
        <v>207</v>
      </c>
      <c r="C69" s="131">
        <v>91.2</v>
      </c>
      <c r="D69" s="126">
        <v>91.1</v>
      </c>
      <c r="E69" s="126">
        <v>5923</v>
      </c>
      <c r="F69" s="197" t="s">
        <v>207</v>
      </c>
      <c r="I69" s="181"/>
    </row>
    <row r="70" spans="1:9" ht="13.5" customHeight="1" x14ac:dyDescent="0.15">
      <c r="A70" s="129" t="s">
        <v>232</v>
      </c>
      <c r="B70" s="126">
        <v>94.2</v>
      </c>
      <c r="C70" s="131">
        <v>97.7</v>
      </c>
      <c r="D70" s="126">
        <v>96</v>
      </c>
      <c r="E70" s="126">
        <v>6547.3</v>
      </c>
      <c r="F70" s="197">
        <v>102.8</v>
      </c>
    </row>
    <row r="71" spans="1:9" ht="13.5" customHeight="1" x14ac:dyDescent="0.15">
      <c r="A71" s="129"/>
      <c r="B71" s="126" t="s">
        <v>207</v>
      </c>
      <c r="C71" s="131" t="s">
        <v>207</v>
      </c>
      <c r="D71" s="126" t="s">
        <v>207</v>
      </c>
      <c r="E71" s="126"/>
      <c r="F71" s="197" t="s">
        <v>207</v>
      </c>
    </row>
    <row r="72" spans="1:9" ht="13.5" customHeight="1" x14ac:dyDescent="0.15">
      <c r="A72" s="129" t="s">
        <v>233</v>
      </c>
      <c r="B72" s="126" t="s">
        <v>207</v>
      </c>
      <c r="C72" s="131">
        <v>98.7</v>
      </c>
      <c r="D72" s="126">
        <v>94.4</v>
      </c>
      <c r="E72" s="126">
        <v>7567.4</v>
      </c>
      <c r="F72" s="197" t="s">
        <v>207</v>
      </c>
    </row>
    <row r="73" spans="1:9" ht="13.5" customHeight="1" x14ac:dyDescent="0.15">
      <c r="A73" s="129" t="s">
        <v>234</v>
      </c>
      <c r="B73" s="126" t="s">
        <v>207</v>
      </c>
      <c r="C73" s="131">
        <v>108.8</v>
      </c>
      <c r="D73" s="126">
        <v>102.5</v>
      </c>
      <c r="E73" s="126">
        <v>8501.9</v>
      </c>
      <c r="F73" s="197" t="s">
        <v>207</v>
      </c>
    </row>
    <row r="74" spans="1:9" ht="13.5" customHeight="1" x14ac:dyDescent="0.15">
      <c r="A74" s="129" t="s">
        <v>235</v>
      </c>
      <c r="B74" s="126">
        <v>102.2</v>
      </c>
      <c r="C74" s="131">
        <v>100.1</v>
      </c>
      <c r="D74" s="126">
        <v>98.4</v>
      </c>
      <c r="E74" s="126">
        <v>8208.4</v>
      </c>
      <c r="F74" s="197">
        <v>113</v>
      </c>
    </row>
    <row r="75" spans="1:9" ht="13.5" customHeight="1" x14ac:dyDescent="0.15">
      <c r="A75" s="129"/>
      <c r="B75" s="126" t="s">
        <v>207</v>
      </c>
      <c r="C75" s="131" t="s">
        <v>207</v>
      </c>
      <c r="D75" s="126" t="s">
        <v>207</v>
      </c>
      <c r="E75" s="126"/>
      <c r="F75" s="197" t="s">
        <v>207</v>
      </c>
    </row>
    <row r="76" spans="1:9" ht="13.5" customHeight="1" x14ac:dyDescent="0.15">
      <c r="A76" s="129" t="s">
        <v>236</v>
      </c>
      <c r="B76" s="126" t="s">
        <v>207</v>
      </c>
      <c r="C76" s="131">
        <v>106.6</v>
      </c>
      <c r="D76" s="126">
        <v>107</v>
      </c>
      <c r="E76" s="126">
        <v>8718.2999999999993</v>
      </c>
      <c r="F76" s="197" t="s">
        <v>207</v>
      </c>
    </row>
    <row r="77" spans="1:9" ht="13.5" customHeight="1" x14ac:dyDescent="0.15">
      <c r="A77" s="129" t="s">
        <v>237</v>
      </c>
      <c r="B77" s="126" t="s">
        <v>207</v>
      </c>
      <c r="C77" s="131">
        <v>101.1</v>
      </c>
      <c r="D77" s="126">
        <v>103.9</v>
      </c>
      <c r="E77" s="126">
        <v>8907.2999999999993</v>
      </c>
      <c r="F77" s="197" t="s">
        <v>207</v>
      </c>
    </row>
    <row r="78" spans="1:9" ht="13.5" customHeight="1" x14ac:dyDescent="0.15">
      <c r="A78" s="129" t="s">
        <v>238</v>
      </c>
      <c r="B78" s="131">
        <v>108.3</v>
      </c>
      <c r="C78" s="131">
        <v>101.9</v>
      </c>
      <c r="D78" s="126">
        <v>99.2</v>
      </c>
      <c r="E78" s="126">
        <v>8075.2</v>
      </c>
      <c r="F78" s="197">
        <v>114.9</v>
      </c>
    </row>
    <row r="79" spans="1:9" ht="13.5" customHeight="1" x14ac:dyDescent="0.15">
      <c r="A79" s="129"/>
      <c r="B79" s="163" t="s">
        <v>207</v>
      </c>
      <c r="C79" s="131" t="s">
        <v>207</v>
      </c>
      <c r="D79" s="126" t="s">
        <v>207</v>
      </c>
      <c r="E79" s="126"/>
      <c r="F79" s="193" t="s">
        <v>207</v>
      </c>
    </row>
    <row r="80" spans="1:9" ht="13.5" customHeight="1" x14ac:dyDescent="0.15">
      <c r="A80" s="129" t="s">
        <v>239</v>
      </c>
      <c r="B80" s="163" t="s">
        <v>207</v>
      </c>
      <c r="C80" s="131">
        <v>97.9</v>
      </c>
      <c r="D80" s="126">
        <v>91.2</v>
      </c>
      <c r="E80" s="126">
        <v>8480.2000000000007</v>
      </c>
      <c r="F80" s="193" t="s">
        <v>207</v>
      </c>
    </row>
    <row r="81" spans="1:8" ht="13.5" customHeight="1" x14ac:dyDescent="0.15">
      <c r="A81" s="129" t="s">
        <v>240</v>
      </c>
      <c r="B81" s="163" t="s">
        <v>207</v>
      </c>
      <c r="C81" s="131">
        <v>96.9</v>
      </c>
      <c r="D81" s="126">
        <v>92.7</v>
      </c>
      <c r="E81" s="126">
        <v>7815.2</v>
      </c>
      <c r="F81" s="197" t="s">
        <v>207</v>
      </c>
    </row>
    <row r="82" spans="1:8" s="162" customFormat="1" ht="13.5" customHeight="1" x14ac:dyDescent="0.15">
      <c r="A82" s="129" t="s">
        <v>243</v>
      </c>
      <c r="B82" s="131">
        <v>106</v>
      </c>
      <c r="C82" s="131">
        <v>106</v>
      </c>
      <c r="D82" s="126">
        <v>101.8</v>
      </c>
      <c r="E82" s="126">
        <v>8224.7000000000007</v>
      </c>
      <c r="F82" s="197">
        <v>114.1</v>
      </c>
    </row>
    <row r="83" spans="1:8" s="162" customFormat="1" ht="13.5" customHeight="1" x14ac:dyDescent="0.15">
      <c r="A83" s="129"/>
      <c r="B83" s="131"/>
      <c r="C83" s="131"/>
      <c r="D83" s="126"/>
      <c r="E83" s="126"/>
      <c r="F83" s="197"/>
    </row>
    <row r="84" spans="1:8" x14ac:dyDescent="0.15">
      <c r="A84" s="129" t="s">
        <v>230</v>
      </c>
      <c r="B84" s="131" t="s">
        <v>207</v>
      </c>
      <c r="C84" s="131">
        <v>106.67204356960001</v>
      </c>
      <c r="D84" s="131">
        <v>107.44822021500001</v>
      </c>
      <c r="E84" s="131">
        <v>7344.8</v>
      </c>
      <c r="F84" s="197" t="s">
        <v>207</v>
      </c>
    </row>
    <row r="85" spans="1:8" x14ac:dyDescent="0.15">
      <c r="A85" s="129" t="s">
        <v>231</v>
      </c>
      <c r="B85" s="131" t="s">
        <v>207</v>
      </c>
      <c r="C85" s="131">
        <v>80.866135585500004</v>
      </c>
      <c r="D85" s="131">
        <v>77.880508253100004</v>
      </c>
      <c r="E85" s="131">
        <v>6872.9</v>
      </c>
      <c r="F85" s="197" t="s">
        <v>207</v>
      </c>
    </row>
    <row r="86" spans="1:8" x14ac:dyDescent="0.15">
      <c r="A86" s="129" t="s">
        <v>232</v>
      </c>
      <c r="B86" s="131">
        <v>103.1</v>
      </c>
      <c r="C86" s="131">
        <v>91.335400895299998</v>
      </c>
      <c r="D86" s="131">
        <v>88.199410919499996</v>
      </c>
      <c r="E86" s="131">
        <v>7556.8</v>
      </c>
      <c r="F86" s="197">
        <v>108.7</v>
      </c>
    </row>
    <row r="87" spans="1:8" x14ac:dyDescent="0.15">
      <c r="A87" s="129"/>
      <c r="B87" s="131"/>
      <c r="C87" s="131"/>
      <c r="D87" s="188"/>
      <c r="E87" s="131"/>
      <c r="F87" s="197"/>
    </row>
    <row r="88" spans="1:8" x14ac:dyDescent="0.15">
      <c r="A88" s="129" t="s">
        <v>233</v>
      </c>
      <c r="B88" s="131"/>
      <c r="C88" s="131">
        <v>89.143388544199993</v>
      </c>
      <c r="D88" s="188">
        <v>86.459846144599993</v>
      </c>
      <c r="E88" s="131">
        <v>7703.1</v>
      </c>
      <c r="F88" s="197"/>
    </row>
    <row r="89" spans="1:8" x14ac:dyDescent="0.15">
      <c r="A89" s="129" t="s">
        <v>234</v>
      </c>
      <c r="B89" s="131"/>
      <c r="C89" s="131">
        <v>89.617912081900002</v>
      </c>
      <c r="D89" s="188">
        <v>85.554304118600001</v>
      </c>
      <c r="E89" s="131">
        <v>8288.1</v>
      </c>
      <c r="F89" s="197"/>
    </row>
    <row r="90" spans="1:8" x14ac:dyDescent="0.15">
      <c r="A90" s="129" t="s">
        <v>235</v>
      </c>
      <c r="B90" s="131">
        <v>109.3</v>
      </c>
      <c r="C90" s="131">
        <v>83.547626237000003</v>
      </c>
      <c r="D90" s="188">
        <v>82.284555668400003</v>
      </c>
      <c r="E90" s="131">
        <v>8080.7</v>
      </c>
      <c r="F90" s="197">
        <v>113.4</v>
      </c>
    </row>
    <row r="91" spans="1:8" x14ac:dyDescent="0.15">
      <c r="A91" s="129"/>
      <c r="B91" s="131"/>
      <c r="C91" s="131"/>
      <c r="D91" s="188"/>
      <c r="E91" s="131"/>
      <c r="F91" s="197"/>
    </row>
    <row r="92" spans="1:8" x14ac:dyDescent="0.15">
      <c r="A92" s="129" t="s">
        <v>236</v>
      </c>
      <c r="B92" s="131" t="s">
        <v>207</v>
      </c>
      <c r="C92" s="131">
        <v>98.592435591799997</v>
      </c>
      <c r="D92" s="188">
        <v>100.0831477041</v>
      </c>
      <c r="E92" s="131">
        <v>8294.5</v>
      </c>
      <c r="F92" s="197" t="s">
        <v>207</v>
      </c>
      <c r="H92" s="181"/>
    </row>
    <row r="93" spans="1:8" x14ac:dyDescent="0.15">
      <c r="A93" s="129" t="s">
        <v>237</v>
      </c>
      <c r="B93" s="131" t="s">
        <v>207</v>
      </c>
      <c r="C93" s="131">
        <v>93.868150801799999</v>
      </c>
      <c r="D93" s="188">
        <v>97.006231863799997</v>
      </c>
      <c r="E93" s="131">
        <v>8776.4</v>
      </c>
      <c r="F93" s="197" t="s">
        <v>207</v>
      </c>
      <c r="H93" s="181"/>
    </row>
    <row r="94" spans="1:8" x14ac:dyDescent="0.15">
      <c r="A94" s="129" t="s">
        <v>238</v>
      </c>
      <c r="B94" s="131">
        <v>110.7</v>
      </c>
      <c r="C94" s="131">
        <v>99.1</v>
      </c>
      <c r="D94" s="189">
        <v>99.6</v>
      </c>
      <c r="E94" s="131">
        <v>8368.7000000000007</v>
      </c>
      <c r="F94" s="197">
        <v>114.9</v>
      </c>
      <c r="H94" s="181"/>
    </row>
    <row r="95" spans="1:8" x14ac:dyDescent="0.15">
      <c r="A95" s="129"/>
      <c r="B95" s="131" t="s">
        <v>207</v>
      </c>
      <c r="C95" s="131" t="s">
        <v>207</v>
      </c>
      <c r="D95" s="132" t="s">
        <v>207</v>
      </c>
      <c r="E95" s="131"/>
      <c r="F95" s="197" t="s">
        <v>207</v>
      </c>
      <c r="H95" s="181"/>
    </row>
    <row r="96" spans="1:8" x14ac:dyDescent="0.15">
      <c r="A96" s="129" t="s">
        <v>239</v>
      </c>
      <c r="B96" s="131" t="s">
        <v>207</v>
      </c>
      <c r="C96" s="131">
        <v>91.8</v>
      </c>
      <c r="D96" s="189">
        <v>87.5</v>
      </c>
      <c r="E96" s="131">
        <v>8499.5</v>
      </c>
      <c r="F96" s="197" t="s">
        <v>207</v>
      </c>
      <c r="H96" s="181"/>
    </row>
    <row r="97" spans="1:8" x14ac:dyDescent="0.15">
      <c r="A97" s="129" t="s">
        <v>240</v>
      </c>
      <c r="B97" s="131" t="s">
        <v>207</v>
      </c>
      <c r="C97" s="131">
        <v>94</v>
      </c>
      <c r="D97" s="189">
        <v>90.4</v>
      </c>
      <c r="E97" s="131">
        <v>7908.7</v>
      </c>
      <c r="F97" s="197" t="s">
        <v>207</v>
      </c>
      <c r="H97" s="181"/>
    </row>
    <row r="98" spans="1:8" x14ac:dyDescent="0.15">
      <c r="A98" s="129" t="s">
        <v>243</v>
      </c>
      <c r="B98" s="131">
        <v>106.7</v>
      </c>
      <c r="C98" s="131">
        <v>98.4</v>
      </c>
      <c r="D98" s="189">
        <v>96.6</v>
      </c>
      <c r="E98" s="131">
        <v>8196.4</v>
      </c>
      <c r="F98" s="197">
        <v>112.7</v>
      </c>
      <c r="H98" s="181"/>
    </row>
    <row r="99" spans="1:8" x14ac:dyDescent="0.15">
      <c r="A99" s="129"/>
      <c r="B99" s="131" t="s">
        <v>207</v>
      </c>
      <c r="C99" s="131" t="s">
        <v>207</v>
      </c>
      <c r="D99" s="132" t="s">
        <v>207</v>
      </c>
      <c r="E99" s="131"/>
      <c r="F99" s="197" t="s">
        <v>207</v>
      </c>
      <c r="H99" s="181"/>
    </row>
    <row r="100" spans="1:8" x14ac:dyDescent="0.15">
      <c r="A100" s="129" t="s">
        <v>266</v>
      </c>
      <c r="B100" s="131" t="s">
        <v>207</v>
      </c>
      <c r="C100" s="131">
        <v>90.4</v>
      </c>
      <c r="D100" s="189">
        <v>91</v>
      </c>
      <c r="E100" s="131">
        <v>7364.2</v>
      </c>
      <c r="F100" s="198" t="s">
        <v>207</v>
      </c>
      <c r="H100" s="181"/>
    </row>
    <row r="101" spans="1:8" x14ac:dyDescent="0.15">
      <c r="A101" s="129" t="s">
        <v>231</v>
      </c>
      <c r="B101" s="131" t="s">
        <v>207</v>
      </c>
      <c r="C101" s="131">
        <v>94</v>
      </c>
      <c r="D101" s="189">
        <v>95.2</v>
      </c>
      <c r="E101" s="131">
        <v>7162.6</v>
      </c>
      <c r="F101" s="194" t="s">
        <v>207</v>
      </c>
    </row>
    <row r="102" spans="1:8" x14ac:dyDescent="0.15">
      <c r="A102" s="129" t="s">
        <v>232</v>
      </c>
      <c r="B102" s="131">
        <v>98</v>
      </c>
      <c r="C102" s="131">
        <v>96.1</v>
      </c>
      <c r="D102" s="189">
        <v>94.6</v>
      </c>
      <c r="E102" s="131">
        <v>7519.7</v>
      </c>
      <c r="F102" s="194">
        <v>107.1</v>
      </c>
    </row>
    <row r="103" spans="1:8" x14ac:dyDescent="0.15">
      <c r="A103" s="129"/>
      <c r="B103" s="131" t="s">
        <v>207</v>
      </c>
      <c r="C103" s="131" t="s">
        <v>207</v>
      </c>
      <c r="D103" s="189" t="s">
        <v>207</v>
      </c>
      <c r="E103" s="131"/>
      <c r="F103" s="194" t="s">
        <v>207</v>
      </c>
    </row>
    <row r="104" spans="1:8" x14ac:dyDescent="0.15">
      <c r="A104" s="129" t="s">
        <v>233</v>
      </c>
      <c r="B104" s="131" t="s">
        <v>207</v>
      </c>
      <c r="C104" s="131">
        <v>85.9</v>
      </c>
      <c r="D104" s="189">
        <v>84.4</v>
      </c>
      <c r="E104" s="131">
        <v>7904.9</v>
      </c>
      <c r="F104" s="194" t="s">
        <v>207</v>
      </c>
    </row>
    <row r="105" spans="1:8" x14ac:dyDescent="0.15">
      <c r="A105" s="129" t="s">
        <v>234</v>
      </c>
      <c r="B105" s="131" t="s">
        <v>207</v>
      </c>
      <c r="C105" s="131">
        <v>91.6</v>
      </c>
      <c r="D105" s="189">
        <v>90.1</v>
      </c>
      <c r="E105" s="131">
        <v>8409.2000000000007</v>
      </c>
      <c r="F105" s="194" t="s">
        <v>207</v>
      </c>
    </row>
    <row r="106" spans="1:8" x14ac:dyDescent="0.15">
      <c r="A106" s="129" t="s">
        <v>269</v>
      </c>
      <c r="B106" s="131">
        <v>103.4</v>
      </c>
      <c r="C106" s="131">
        <v>86</v>
      </c>
      <c r="D106" s="131">
        <v>85.7</v>
      </c>
      <c r="E106" s="131">
        <v>8165.2</v>
      </c>
      <c r="F106" s="194">
        <v>113.8</v>
      </c>
    </row>
    <row r="107" spans="1:8" x14ac:dyDescent="0.15">
      <c r="A107" s="129"/>
      <c r="B107" s="131" t="s">
        <v>207</v>
      </c>
      <c r="C107" s="131" t="s">
        <v>207</v>
      </c>
      <c r="D107" s="189" t="s">
        <v>207</v>
      </c>
      <c r="E107" s="131"/>
      <c r="F107" s="194" t="s">
        <v>207</v>
      </c>
    </row>
    <row r="108" spans="1:8" x14ac:dyDescent="0.15">
      <c r="A108" s="129" t="s">
        <v>236</v>
      </c>
      <c r="B108" s="131" t="s">
        <v>207</v>
      </c>
      <c r="C108" s="131">
        <v>88</v>
      </c>
      <c r="D108" s="189">
        <v>89.4</v>
      </c>
      <c r="E108" s="131">
        <v>8240.7999999999993</v>
      </c>
      <c r="F108" s="194" t="s">
        <v>207</v>
      </c>
    </row>
    <row r="109" spans="1:8" x14ac:dyDescent="0.15">
      <c r="A109" s="129" t="s">
        <v>237</v>
      </c>
      <c r="B109" s="131" t="s">
        <v>207</v>
      </c>
      <c r="C109" s="131">
        <v>93.8</v>
      </c>
      <c r="D109" s="189">
        <v>97.8</v>
      </c>
      <c r="E109" s="131">
        <v>9069.7999999999993</v>
      </c>
      <c r="F109" s="194" t="s">
        <v>207</v>
      </c>
    </row>
    <row r="110" spans="1:8" x14ac:dyDescent="0.15">
      <c r="A110" s="129" t="s">
        <v>238</v>
      </c>
      <c r="B110" s="131">
        <v>107.8</v>
      </c>
      <c r="C110" s="131">
        <v>93.5</v>
      </c>
      <c r="D110" s="189">
        <v>94.8</v>
      </c>
      <c r="E110" s="131">
        <v>8089.6</v>
      </c>
      <c r="F110" s="194">
        <v>112.2</v>
      </c>
    </row>
    <row r="111" spans="1:8" x14ac:dyDescent="0.15">
      <c r="A111" s="129"/>
      <c r="B111" s="131" t="s">
        <v>207</v>
      </c>
      <c r="C111" s="131" t="s">
        <v>207</v>
      </c>
      <c r="D111" s="189" t="s">
        <v>207</v>
      </c>
      <c r="E111" s="131"/>
      <c r="F111" s="194" t="s">
        <v>207</v>
      </c>
    </row>
    <row r="112" spans="1:8" x14ac:dyDescent="0.15">
      <c r="A112" s="129" t="s">
        <v>271</v>
      </c>
      <c r="B112" s="131" t="s">
        <v>207</v>
      </c>
      <c r="C112" s="131">
        <v>83.6</v>
      </c>
      <c r="D112" s="189">
        <v>81</v>
      </c>
      <c r="E112" s="131">
        <v>8418.7000000000007</v>
      </c>
      <c r="F112" s="194" t="s">
        <v>207</v>
      </c>
    </row>
    <row r="113" spans="1:6" x14ac:dyDescent="0.15">
      <c r="A113" s="129" t="s">
        <v>273</v>
      </c>
      <c r="B113" s="131" t="s">
        <v>207</v>
      </c>
      <c r="C113" s="131">
        <v>91</v>
      </c>
      <c r="D113" s="189">
        <v>89.3</v>
      </c>
      <c r="E113" s="131">
        <v>8002.6</v>
      </c>
      <c r="F113" s="194" t="s">
        <v>207</v>
      </c>
    </row>
    <row r="114" spans="1:6" x14ac:dyDescent="0.15">
      <c r="A114" s="129" t="s">
        <v>279</v>
      </c>
      <c r="B114" s="188">
        <v>104.6</v>
      </c>
      <c r="C114" s="188">
        <v>90.1</v>
      </c>
      <c r="D114" s="188">
        <v>88.6</v>
      </c>
      <c r="E114" s="188">
        <v>8186.2</v>
      </c>
      <c r="F114" s="194">
        <v>113.6</v>
      </c>
    </row>
    <row r="115" spans="1:6" x14ac:dyDescent="0.15">
      <c r="A115" s="129"/>
      <c r="B115" s="188" t="s">
        <v>207</v>
      </c>
      <c r="C115" s="188" t="s">
        <v>207</v>
      </c>
      <c r="D115" s="131" t="s">
        <v>207</v>
      </c>
      <c r="E115" s="131"/>
      <c r="F115" s="68" t="s">
        <v>207</v>
      </c>
    </row>
    <row r="116" spans="1:6" x14ac:dyDescent="0.15">
      <c r="A116" s="129" t="s">
        <v>284</v>
      </c>
      <c r="B116" s="218" t="s">
        <v>207</v>
      </c>
      <c r="C116" s="215">
        <v>101.2</v>
      </c>
      <c r="D116" s="218">
        <v>104.5</v>
      </c>
      <c r="E116" s="218">
        <v>7692.4</v>
      </c>
      <c r="F116" s="68" t="s">
        <v>207</v>
      </c>
    </row>
    <row r="117" spans="1:6" x14ac:dyDescent="0.15">
      <c r="A117" s="129" t="s">
        <v>287</v>
      </c>
      <c r="B117" s="215" t="s">
        <v>207</v>
      </c>
      <c r="C117" s="215">
        <v>74.3</v>
      </c>
      <c r="D117" s="215">
        <v>74.099999999999994</v>
      </c>
      <c r="E117" s="215">
        <v>6831.3</v>
      </c>
      <c r="F117" s="228" t="s">
        <v>207</v>
      </c>
    </row>
    <row r="118" spans="1:6" x14ac:dyDescent="0.15">
      <c r="A118" s="129" t="s">
        <v>292</v>
      </c>
      <c r="B118" s="215">
        <v>98.2</v>
      </c>
      <c r="C118" s="215">
        <v>85.9</v>
      </c>
      <c r="D118" s="215">
        <v>85.2</v>
      </c>
      <c r="E118" s="215">
        <v>7473</v>
      </c>
      <c r="F118" s="229">
        <v>106.6</v>
      </c>
    </row>
    <row r="119" spans="1:6" x14ac:dyDescent="0.15">
      <c r="A119" s="129"/>
      <c r="B119" s="215" t="s">
        <v>207</v>
      </c>
      <c r="C119" s="215" t="s">
        <v>207</v>
      </c>
      <c r="D119" s="215" t="s">
        <v>207</v>
      </c>
      <c r="E119" s="215"/>
      <c r="F119" s="228" t="s">
        <v>207</v>
      </c>
    </row>
    <row r="120" spans="1:6" x14ac:dyDescent="0.15">
      <c r="A120" s="129" t="s">
        <v>293</v>
      </c>
      <c r="B120" s="215" t="s">
        <v>207</v>
      </c>
      <c r="C120" s="215">
        <v>76</v>
      </c>
      <c r="D120" s="215">
        <v>75.400000000000006</v>
      </c>
      <c r="E120" s="215">
        <v>7833.9</v>
      </c>
      <c r="F120" s="228" t="s">
        <v>207</v>
      </c>
    </row>
    <row r="121" spans="1:6" x14ac:dyDescent="0.15">
      <c r="A121" s="129" t="s">
        <v>296</v>
      </c>
      <c r="B121" s="215" t="s">
        <v>207</v>
      </c>
      <c r="C121" s="215">
        <v>85.8</v>
      </c>
      <c r="D121" s="215">
        <v>84.4</v>
      </c>
      <c r="E121" s="215">
        <v>8491.9</v>
      </c>
      <c r="F121" s="228" t="s">
        <v>207</v>
      </c>
    </row>
    <row r="122" spans="1:6" x14ac:dyDescent="0.15">
      <c r="A122" s="129" t="s">
        <v>269</v>
      </c>
      <c r="B122" s="215">
        <v>102.4</v>
      </c>
      <c r="C122" s="215">
        <v>80.099999999999994</v>
      </c>
      <c r="D122" s="215">
        <v>80.2</v>
      </c>
      <c r="E122" s="215">
        <v>8147.7</v>
      </c>
      <c r="F122" s="215">
        <v>112.1</v>
      </c>
    </row>
    <row r="123" spans="1:6" x14ac:dyDescent="0.15">
      <c r="A123" s="129"/>
      <c r="B123" s="215" t="s">
        <v>207</v>
      </c>
      <c r="C123" s="215" t="s">
        <v>207</v>
      </c>
      <c r="D123" s="215" t="s">
        <v>207</v>
      </c>
      <c r="E123" s="215"/>
      <c r="F123" s="68" t="s">
        <v>207</v>
      </c>
    </row>
    <row r="124" spans="1:6" x14ac:dyDescent="0.15">
      <c r="A124" s="129" t="s">
        <v>301</v>
      </c>
      <c r="B124" s="215" t="s">
        <v>207</v>
      </c>
      <c r="C124" s="188">
        <v>84.3</v>
      </c>
      <c r="D124" s="189">
        <v>85.8</v>
      </c>
      <c r="E124" s="215">
        <v>8733.5</v>
      </c>
      <c r="F124" s="68" t="s">
        <v>207</v>
      </c>
    </row>
    <row r="125" spans="1:6" x14ac:dyDescent="0.15">
      <c r="A125" s="129" t="s">
        <v>304</v>
      </c>
      <c r="B125" s="215" t="s">
        <v>207</v>
      </c>
      <c r="C125" s="188">
        <v>81.900000000000006</v>
      </c>
      <c r="D125" s="189">
        <v>84.5</v>
      </c>
      <c r="E125" s="215">
        <v>9039.1</v>
      </c>
      <c r="F125" s="68" t="s">
        <v>207</v>
      </c>
    </row>
    <row r="126" spans="1:6" s="261" customFormat="1" x14ac:dyDescent="0.15">
      <c r="A126" s="129" t="s">
        <v>311</v>
      </c>
      <c r="B126" s="215">
        <v>107.2</v>
      </c>
      <c r="C126" s="188">
        <v>79.900000000000006</v>
      </c>
      <c r="D126" s="189">
        <v>79.5</v>
      </c>
      <c r="E126" s="215">
        <v>8150.1</v>
      </c>
      <c r="F126" s="229">
        <v>113.4</v>
      </c>
    </row>
    <row r="127" spans="1:6" s="261" customFormat="1" x14ac:dyDescent="0.15">
      <c r="A127" s="129"/>
      <c r="B127" s="215" t="s">
        <v>207</v>
      </c>
      <c r="C127" s="188" t="s">
        <v>207</v>
      </c>
      <c r="D127" s="189" t="s">
        <v>207</v>
      </c>
      <c r="E127" s="215"/>
      <c r="F127" s="229" t="s">
        <v>207</v>
      </c>
    </row>
    <row r="128" spans="1:6" s="261" customFormat="1" x14ac:dyDescent="0.15">
      <c r="A128" s="129" t="s">
        <v>313</v>
      </c>
      <c r="B128" s="215" t="s">
        <v>207</v>
      </c>
      <c r="C128" s="215">
        <v>89.9</v>
      </c>
      <c r="D128" s="267">
        <v>87.3</v>
      </c>
      <c r="E128" s="215">
        <v>8621.5</v>
      </c>
      <c r="F128" s="229" t="s">
        <v>207</v>
      </c>
    </row>
    <row r="129" spans="1:6" s="261" customFormat="1" x14ac:dyDescent="0.15">
      <c r="A129" s="129" t="s">
        <v>315</v>
      </c>
      <c r="B129" s="215" t="s">
        <v>207</v>
      </c>
      <c r="C129" s="215">
        <v>83.6</v>
      </c>
      <c r="D129" s="267">
        <v>80</v>
      </c>
      <c r="E129" s="215">
        <v>8287.7999999999993</v>
      </c>
      <c r="F129" s="229"/>
    </row>
    <row r="130" spans="1:6" s="261" customFormat="1" x14ac:dyDescent="0.15">
      <c r="A130" s="129" t="s">
        <v>320</v>
      </c>
      <c r="B130" s="215">
        <v>106.6</v>
      </c>
      <c r="C130" s="215">
        <v>83.4</v>
      </c>
      <c r="D130" s="267">
        <v>80.400000000000006</v>
      </c>
      <c r="E130" s="215">
        <v>8485.1</v>
      </c>
      <c r="F130" s="229">
        <v>112.9</v>
      </c>
    </row>
    <row r="131" spans="1:6" s="261" customFormat="1" x14ac:dyDescent="0.15">
      <c r="A131" s="129"/>
      <c r="B131" s="215"/>
      <c r="C131" s="215"/>
      <c r="D131" s="267"/>
      <c r="E131" s="215"/>
      <c r="F131" s="229"/>
    </row>
    <row r="132" spans="1:6" s="261" customFormat="1" x14ac:dyDescent="0.15">
      <c r="A132" s="129" t="s">
        <v>322</v>
      </c>
      <c r="B132" s="215" t="s">
        <v>207</v>
      </c>
      <c r="C132" s="215">
        <v>84.5</v>
      </c>
      <c r="D132" s="267">
        <v>84.3</v>
      </c>
      <c r="E132" s="215">
        <v>7674.9</v>
      </c>
      <c r="F132" s="229"/>
    </row>
    <row r="133" spans="1:6" s="261" customFormat="1" x14ac:dyDescent="0.15">
      <c r="A133" s="129" t="s">
        <v>287</v>
      </c>
      <c r="B133" s="215" t="str">
        <f ca="1">IF($C133="","",IF(MOD(MONTH($C133),3)=0, [1]!BTSP(B$2,$C133,,"date_lookup=freq"),""))</f>
        <v/>
      </c>
      <c r="C133" s="215">
        <f ca="1">IF($C133="","",[1]!BTSP(C$2,$C133))</f>
        <v>81.599999999999994</v>
      </c>
      <c r="D133" s="267">
        <f ca="1">IF($C133="","",[1]!BTSP(D$2,$C133))</f>
        <v>82.1</v>
      </c>
      <c r="E133" s="215">
        <v>7423.07</v>
      </c>
      <c r="F133" s="229"/>
    </row>
    <row r="134" spans="1:6" s="261" customFormat="1" x14ac:dyDescent="0.15">
      <c r="A134" s="129" t="s">
        <v>321</v>
      </c>
      <c r="B134" s="131">
        <f ca="1">IF($C134="","",IF(MOD(MONTH($C134),3)=0, [1]!BTSP(B$2,$C134,,"date_lookup=freq"),""))</f>
        <v>97.5</v>
      </c>
      <c r="C134" s="131">
        <f ca="1">IF($C134="","",[1]!BTSP(C$2,$C134))</f>
        <v>74.7</v>
      </c>
      <c r="D134" s="126">
        <f ca="1">IF($C134="","",[1]!BTSP(D$2,$C134))</f>
        <v>71.8</v>
      </c>
      <c r="E134" s="215">
        <v>7871.3</v>
      </c>
      <c r="F134" s="132">
        <f ca="1">IF($C134="","",IF(MOD(MONTH($C134),3)=0, [1]!BTSP(F$2,$C134,,"date_lookup=freq"),""))</f>
        <v>108.9</v>
      </c>
    </row>
    <row r="135" spans="1:6" s="261" customFormat="1" x14ac:dyDescent="0.15">
      <c r="A135" s="129"/>
      <c r="B135" s="131"/>
      <c r="C135" s="131"/>
      <c r="D135" s="126"/>
      <c r="E135" s="132"/>
      <c r="F135" s="275"/>
    </row>
    <row r="136" spans="1:6" s="261" customFormat="1" x14ac:dyDescent="0.15">
      <c r="A136" s="129" t="s">
        <v>327</v>
      </c>
      <c r="B136" s="131" t="str">
        <f ca="1">IF($C136="","",IF(MOD(MONTH($C136),3)=0, [1]!BTSP(B$2,$C136,,"date_lookup=freq"),""))</f>
        <v/>
      </c>
      <c r="C136" s="131">
        <f ca="1">IF($C136="","",[1]!BTSP(C$2,$C136))</f>
        <v>70.099999999999994</v>
      </c>
      <c r="D136" s="126">
        <f ca="1">IF($C136="","",[1]!BTSP(D$2,$C136))</f>
        <v>68.2</v>
      </c>
      <c r="E136" s="215">
        <v>8180.5</v>
      </c>
      <c r="F136" s="275"/>
    </row>
    <row r="137" spans="1:6" x14ac:dyDescent="0.15">
      <c r="A137" s="68" t="s">
        <v>219</v>
      </c>
      <c r="B137" s="187"/>
      <c r="C137" s="187"/>
      <c r="D137" s="187"/>
      <c r="E137" s="187"/>
      <c r="F137" s="68"/>
    </row>
    <row r="138" spans="1:6" x14ac:dyDescent="0.15">
      <c r="A138" s="66" t="s">
        <v>218</v>
      </c>
      <c r="B138" s="69"/>
      <c r="C138" s="69"/>
      <c r="D138" s="69"/>
      <c r="E138" s="68"/>
      <c r="F138" s="66"/>
    </row>
    <row r="139" spans="1:6" x14ac:dyDescent="0.15">
      <c r="B139" s="70"/>
      <c r="C139" s="70"/>
      <c r="D139" s="70"/>
      <c r="E139" s="66"/>
    </row>
  </sheetData>
  <mergeCells count="5">
    <mergeCell ref="A3:A4"/>
    <mergeCell ref="C3:D3"/>
    <mergeCell ref="E3:E4"/>
    <mergeCell ref="B3:B4"/>
    <mergeCell ref="F3:F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O135"/>
  <sheetViews>
    <sheetView view="pageBreakPreview" zoomScale="85" zoomScaleNormal="100" zoomScaleSheetLayoutView="85" workbookViewId="0">
      <pane ySplit="4" topLeftCell="A95" activePane="bottomLeft" state="frozen"/>
      <selection activeCell="M68" sqref="M68"/>
      <selection pane="bottomLeft" activeCell="A133" sqref="A133"/>
    </sheetView>
  </sheetViews>
  <sheetFormatPr defaultRowHeight="13.5" x14ac:dyDescent="0.15"/>
  <cols>
    <col min="1" max="1" width="10.77734375" customWidth="1"/>
    <col min="2" max="10" width="7.77734375" style="32" customWidth="1"/>
    <col min="11" max="11" width="7.77734375" style="33" customWidth="1"/>
    <col min="12" max="13" width="10.6640625" style="32" bestFit="1" customWidth="1"/>
    <col min="14" max="14" width="9.44140625" style="32" bestFit="1" customWidth="1"/>
    <col min="15" max="16384" width="8.88671875" style="32"/>
  </cols>
  <sheetData>
    <row r="1" spans="1:15" s="22" customFormat="1" ht="18.75" x14ac:dyDescent="0.25">
      <c r="A1" s="89" t="s">
        <v>47</v>
      </c>
      <c r="B1" s="52"/>
      <c r="C1" s="52"/>
      <c r="D1" s="52"/>
      <c r="E1" s="52"/>
      <c r="F1" s="52"/>
      <c r="G1" s="52"/>
      <c r="H1" s="52"/>
      <c r="I1" s="52"/>
      <c r="J1" s="52"/>
      <c r="K1" s="47"/>
    </row>
    <row r="2" spans="1:15" customFormat="1" ht="13.5" customHeight="1" x14ac:dyDescent="0.15">
      <c r="A2" s="1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51" t="s">
        <v>49</v>
      </c>
    </row>
    <row r="3" spans="1:15" customFormat="1" ht="20.100000000000001" customHeight="1" x14ac:dyDescent="0.15">
      <c r="A3" s="276" t="s">
        <v>1</v>
      </c>
      <c r="B3" s="287" t="s">
        <v>45</v>
      </c>
      <c r="C3" s="148"/>
      <c r="D3" s="148"/>
      <c r="E3" s="148"/>
      <c r="F3" s="287" t="s">
        <v>44</v>
      </c>
      <c r="G3" s="148"/>
      <c r="H3" s="149"/>
      <c r="I3" s="150"/>
      <c r="J3" s="287" t="s">
        <v>43</v>
      </c>
      <c r="K3" s="287" t="s">
        <v>42</v>
      </c>
    </row>
    <row r="4" spans="1:15" customFormat="1" ht="27.75" customHeight="1" x14ac:dyDescent="0.15">
      <c r="A4" s="277"/>
      <c r="B4" s="288"/>
      <c r="C4" s="146" t="s">
        <v>15</v>
      </c>
      <c r="D4" s="146" t="s">
        <v>104</v>
      </c>
      <c r="E4" s="146" t="s">
        <v>103</v>
      </c>
      <c r="F4" s="288"/>
      <c r="G4" s="146" t="s">
        <v>15</v>
      </c>
      <c r="H4" s="146" t="s">
        <v>104</v>
      </c>
      <c r="I4" s="146" t="s">
        <v>26</v>
      </c>
      <c r="J4" s="288"/>
      <c r="K4" s="289"/>
    </row>
    <row r="5" spans="1:15" s="36" customFormat="1" ht="13.5" customHeight="1" x14ac:dyDescent="0.15">
      <c r="A5" s="75">
        <v>2012</v>
      </c>
      <c r="B5" s="34">
        <v>3811.8789999999999</v>
      </c>
      <c r="C5" s="34">
        <v>1469.58</v>
      </c>
      <c r="D5" s="34">
        <v>1136.7730000000001</v>
      </c>
      <c r="E5" s="34">
        <v>270.71899999999999</v>
      </c>
      <c r="F5" s="34">
        <v>3266.4589999999998</v>
      </c>
      <c r="G5" s="34">
        <v>1134.327</v>
      </c>
      <c r="H5" s="34">
        <v>728.93600000000004</v>
      </c>
      <c r="I5" s="34">
        <v>236.55799999999999</v>
      </c>
      <c r="J5" s="34">
        <v>41617.300000000003</v>
      </c>
      <c r="K5" s="79">
        <v>3254.75</v>
      </c>
      <c r="L5" s="35"/>
      <c r="M5" s="35"/>
      <c r="O5" s="33"/>
    </row>
    <row r="6" spans="1:15" s="36" customFormat="1" ht="13.5" customHeight="1" x14ac:dyDescent="0.15">
      <c r="A6" s="75">
        <v>2013</v>
      </c>
      <c r="B6" s="34">
        <v>3727.7820000000002</v>
      </c>
      <c r="C6" s="34">
        <v>1317.2650000000001</v>
      </c>
      <c r="D6" s="34">
        <v>817.23800000000006</v>
      </c>
      <c r="E6" s="34">
        <v>227.36799999999999</v>
      </c>
      <c r="F6" s="34">
        <v>3422.9319999999998</v>
      </c>
      <c r="G6" s="34">
        <v>1226.2080000000001</v>
      </c>
      <c r="H6" s="34">
        <v>809.5859999999999</v>
      </c>
      <c r="I6" s="34">
        <v>236.46899999999999</v>
      </c>
      <c r="J6" s="34">
        <v>29113.040000000001</v>
      </c>
      <c r="K6" s="79">
        <v>3640</v>
      </c>
      <c r="L6" s="35"/>
      <c r="M6" s="35"/>
      <c r="O6" s="33"/>
    </row>
    <row r="7" spans="1:15" s="37" customFormat="1" ht="13.5" customHeight="1" x14ac:dyDescent="0.15">
      <c r="A7" s="75">
        <v>2014</v>
      </c>
      <c r="B7" s="31">
        <v>4327.2669999999998</v>
      </c>
      <c r="C7" s="31">
        <v>1926.816</v>
      </c>
      <c r="D7" s="31">
        <v>1274.2800000000002</v>
      </c>
      <c r="E7" s="31">
        <v>211.94499999999999</v>
      </c>
      <c r="F7" s="31">
        <v>3542.0079999999998</v>
      </c>
      <c r="G7" s="31">
        <v>1586.74</v>
      </c>
      <c r="H7" s="31">
        <v>885.20799999999997</v>
      </c>
      <c r="I7" s="31">
        <v>190.863</v>
      </c>
      <c r="J7" s="34">
        <v>37130.06</v>
      </c>
      <c r="K7" s="79">
        <v>2620.5833333333335</v>
      </c>
      <c r="L7" s="38"/>
      <c r="M7" s="38"/>
      <c r="N7" s="38"/>
      <c r="O7" s="33"/>
    </row>
    <row r="8" spans="1:15" s="37" customFormat="1" ht="13.5" customHeight="1" x14ac:dyDescent="0.15">
      <c r="A8" s="74">
        <v>2015</v>
      </c>
      <c r="B8" s="31">
        <v>5611.2209999999995</v>
      </c>
      <c r="C8" s="31">
        <v>2311.049</v>
      </c>
      <c r="D8" s="31">
        <v>2022.1930000000002</v>
      </c>
      <c r="E8" s="31">
        <v>238.69</v>
      </c>
      <c r="F8" s="31">
        <v>4478.4949999999999</v>
      </c>
      <c r="G8" s="31">
        <v>1960.02</v>
      </c>
      <c r="H8" s="31">
        <v>1408.5960000000002</v>
      </c>
      <c r="I8" s="31">
        <v>212.89699999999999</v>
      </c>
      <c r="J8" s="34">
        <v>39980.129999999997</v>
      </c>
      <c r="K8" s="79">
        <v>2370.75</v>
      </c>
      <c r="L8" s="38"/>
      <c r="M8" s="38"/>
      <c r="N8" s="38"/>
      <c r="O8" s="33"/>
    </row>
    <row r="9" spans="1:15" s="37" customFormat="1" ht="13.5" customHeight="1" x14ac:dyDescent="0.15">
      <c r="A9" s="74"/>
      <c r="B9" s="31" t="s">
        <v>207</v>
      </c>
      <c r="C9" s="31" t="s">
        <v>207</v>
      </c>
      <c r="D9" s="31" t="s">
        <v>207</v>
      </c>
      <c r="E9" s="31" t="s">
        <v>207</v>
      </c>
      <c r="F9" s="31" t="s">
        <v>207</v>
      </c>
      <c r="G9" s="31" t="s">
        <v>207</v>
      </c>
      <c r="H9" s="31" t="s">
        <v>207</v>
      </c>
      <c r="I9" s="31" t="s">
        <v>207</v>
      </c>
      <c r="J9" s="34" t="s">
        <v>207</v>
      </c>
      <c r="K9" s="79" t="s">
        <v>207</v>
      </c>
      <c r="L9" s="38"/>
      <c r="M9" s="38"/>
      <c r="N9" s="38"/>
      <c r="O9" s="33"/>
    </row>
    <row r="10" spans="1:15" s="37" customFormat="1" ht="13.5" customHeight="1" x14ac:dyDescent="0.15">
      <c r="A10" s="74">
        <v>2016</v>
      </c>
      <c r="B10" s="31">
        <v>7412.424</v>
      </c>
      <c r="C10" s="31">
        <v>3643.9459999999999</v>
      </c>
      <c r="D10" s="31">
        <v>1995.788</v>
      </c>
      <c r="E10" s="31">
        <v>257.73099999999999</v>
      </c>
      <c r="F10" s="31">
        <v>6286.5020000000004</v>
      </c>
      <c r="G10" s="31">
        <v>3323.4740000000002</v>
      </c>
      <c r="H10" s="31">
        <v>1464.8689999999999</v>
      </c>
      <c r="I10" s="31">
        <v>189.95699999999999</v>
      </c>
      <c r="J10" s="34">
        <v>51753.02</v>
      </c>
      <c r="K10" s="79">
        <v>2548</v>
      </c>
      <c r="L10" s="38"/>
      <c r="M10" s="38"/>
      <c r="N10" s="38"/>
      <c r="O10" s="33"/>
    </row>
    <row r="11" spans="1:15" s="37" customFormat="1" ht="13.5" customHeight="1" x14ac:dyDescent="0.15">
      <c r="A11" s="74">
        <v>2017</v>
      </c>
      <c r="B11" s="31">
        <v>7115.4409999999998</v>
      </c>
      <c r="C11" s="31">
        <v>3482.84</v>
      </c>
      <c r="D11" s="31">
        <v>1628.097</v>
      </c>
      <c r="E11" s="31">
        <v>348.55700000000002</v>
      </c>
      <c r="F11" s="31">
        <v>5230.8590000000004</v>
      </c>
      <c r="G11" s="31">
        <v>2562.7910000000002</v>
      </c>
      <c r="H11" s="31">
        <v>1144.4490000000001</v>
      </c>
      <c r="I11" s="31">
        <v>274.71699999999998</v>
      </c>
      <c r="J11" s="34">
        <v>44946.32</v>
      </c>
      <c r="K11" s="79">
        <v>2933</v>
      </c>
      <c r="L11" s="38"/>
      <c r="M11" s="38"/>
      <c r="N11" s="38"/>
      <c r="O11" s="33"/>
    </row>
    <row r="12" spans="1:15" s="37" customFormat="1" ht="13.5" customHeight="1" x14ac:dyDescent="0.15">
      <c r="A12" s="74">
        <v>2018</v>
      </c>
      <c r="B12" s="31">
        <v>7453.9679999999998</v>
      </c>
      <c r="C12" s="31">
        <v>3257.2269999999999</v>
      </c>
      <c r="D12" s="31">
        <v>1847.57</v>
      </c>
      <c r="E12" s="31">
        <v>299.90600000000001</v>
      </c>
      <c r="F12" s="31">
        <v>5126.8680000000004</v>
      </c>
      <c r="G12" s="31">
        <v>2032.904</v>
      </c>
      <c r="H12" s="31">
        <v>1215.79</v>
      </c>
      <c r="I12" s="31">
        <v>255.33699999999999</v>
      </c>
      <c r="J12" s="34">
        <v>116567.34</v>
      </c>
      <c r="K12" s="79">
        <v>4903.166666666667</v>
      </c>
      <c r="L12" s="38"/>
      <c r="M12" s="38"/>
      <c r="N12" s="38"/>
      <c r="O12" s="33"/>
    </row>
    <row r="13" spans="1:15" s="37" customFormat="1" ht="13.5" customHeight="1" x14ac:dyDescent="0.15">
      <c r="A13" s="74">
        <v>2019</v>
      </c>
      <c r="B13" s="31">
        <v>5319.5240000000003</v>
      </c>
      <c r="C13" s="31">
        <v>2087.7849999999999</v>
      </c>
      <c r="D13" s="31">
        <v>1283.902</v>
      </c>
      <c r="E13" s="31">
        <v>252.078</v>
      </c>
      <c r="F13" s="31">
        <v>4033.942</v>
      </c>
      <c r="G13" s="31">
        <v>1191.819</v>
      </c>
      <c r="H13" s="31">
        <v>1015.374</v>
      </c>
      <c r="I13" s="31">
        <v>333.67200000000003</v>
      </c>
      <c r="J13" s="34">
        <v>33165.29</v>
      </c>
      <c r="K13" s="79">
        <v>7027</v>
      </c>
      <c r="L13" s="38"/>
      <c r="M13" s="38"/>
      <c r="N13" s="38"/>
      <c r="O13" s="33"/>
    </row>
    <row r="14" spans="1:15" s="37" customFormat="1" ht="13.5" customHeight="1" x14ac:dyDescent="0.15">
      <c r="A14" s="74">
        <v>2020</v>
      </c>
      <c r="B14" s="31">
        <v>4650.8100000000004</v>
      </c>
      <c r="C14" s="31">
        <v>1450.3219999999999</v>
      </c>
      <c r="D14" s="31">
        <v>1326.3530000000001</v>
      </c>
      <c r="E14" s="31">
        <v>306.17700000000002</v>
      </c>
      <c r="F14" s="31">
        <v>4035.7310000000002</v>
      </c>
      <c r="G14" s="31">
        <v>1348.904</v>
      </c>
      <c r="H14" s="31">
        <v>991.78800000000001</v>
      </c>
      <c r="I14" s="31">
        <v>227.66800000000001</v>
      </c>
      <c r="J14" s="34">
        <v>42004.7</v>
      </c>
      <c r="K14" s="79">
        <v>3415.5</v>
      </c>
      <c r="L14" s="38"/>
      <c r="M14" s="38"/>
      <c r="N14" s="38"/>
      <c r="O14" s="33"/>
    </row>
    <row r="15" spans="1:15" s="37" customFormat="1" ht="13.5" customHeight="1" x14ac:dyDescent="0.15">
      <c r="A15" s="74"/>
      <c r="B15" s="31" t="s">
        <v>207</v>
      </c>
      <c r="C15" s="31" t="s">
        <v>207</v>
      </c>
      <c r="D15" s="31" t="s">
        <v>207</v>
      </c>
      <c r="E15" s="31" t="s">
        <v>207</v>
      </c>
      <c r="F15" s="31" t="s">
        <v>207</v>
      </c>
      <c r="G15" s="31" t="s">
        <v>207</v>
      </c>
      <c r="H15" s="31" t="s">
        <v>207</v>
      </c>
      <c r="I15" s="31" t="s">
        <v>207</v>
      </c>
      <c r="J15" s="34" t="s">
        <v>207</v>
      </c>
      <c r="K15" s="79" t="s">
        <v>207</v>
      </c>
      <c r="L15" s="38"/>
      <c r="M15" s="38"/>
      <c r="N15" s="38"/>
      <c r="O15" s="33"/>
    </row>
    <row r="16" spans="1:15" s="37" customFormat="1" ht="13.5" customHeight="1" x14ac:dyDescent="0.15">
      <c r="A16" s="74">
        <v>2021</v>
      </c>
      <c r="B16" s="31">
        <v>4974.1940000000004</v>
      </c>
      <c r="C16" s="31">
        <v>1985.4079999999999</v>
      </c>
      <c r="D16" s="31">
        <v>1482.954</v>
      </c>
      <c r="E16" s="31">
        <v>264.60700000000003</v>
      </c>
      <c r="F16" s="31">
        <v>4946.7929999999997</v>
      </c>
      <c r="G16" s="31">
        <v>2256.2570000000001</v>
      </c>
      <c r="H16" s="31">
        <v>1181.155</v>
      </c>
      <c r="I16" s="31">
        <v>236.69800000000001</v>
      </c>
      <c r="J16" s="34">
        <v>58231.99</v>
      </c>
      <c r="K16" s="79">
        <v>1666.8333333333333</v>
      </c>
      <c r="L16" s="38"/>
      <c r="M16" s="38"/>
      <c r="N16" s="38"/>
      <c r="O16" s="33"/>
    </row>
    <row r="17" spans="1:15" s="37" customFormat="1" ht="13.5" customHeight="1" x14ac:dyDescent="0.15">
      <c r="A17" s="74">
        <v>2022</v>
      </c>
      <c r="B17" s="31">
        <v>6450.28</v>
      </c>
      <c r="C17" s="31">
        <v>2422.15</v>
      </c>
      <c r="D17" s="31">
        <v>2033.011</v>
      </c>
      <c r="E17" s="31">
        <v>586.82500000000005</v>
      </c>
      <c r="F17" s="31">
        <v>4151.8230000000003</v>
      </c>
      <c r="G17" s="31">
        <v>1719.654</v>
      </c>
      <c r="H17" s="31">
        <v>1268.636</v>
      </c>
      <c r="I17" s="31">
        <v>238.43799999999999</v>
      </c>
      <c r="J17" s="34">
        <v>68714.45</v>
      </c>
      <c r="K17" s="79">
        <v>1619.0833333333333</v>
      </c>
      <c r="L17" s="38"/>
      <c r="M17" s="38"/>
      <c r="N17" s="38"/>
      <c r="O17" s="33"/>
    </row>
    <row r="18" spans="1:15" s="37" customFormat="1" ht="15" customHeight="1" x14ac:dyDescent="0.15">
      <c r="A18" s="74">
        <v>2023</v>
      </c>
      <c r="B18" s="31">
        <v>5362.4902200000006</v>
      </c>
      <c r="C18" s="31">
        <v>2149.7164400000001</v>
      </c>
      <c r="D18" s="31">
        <v>1678.8604700000003</v>
      </c>
      <c r="E18" s="31">
        <v>298.19996999999995</v>
      </c>
      <c r="F18" s="31">
        <v>3432.2445300000004</v>
      </c>
      <c r="G18" s="31">
        <v>1268.4453800000001</v>
      </c>
      <c r="H18" s="31">
        <v>921.35793000000001</v>
      </c>
      <c r="I18" s="31">
        <v>197.93724</v>
      </c>
      <c r="J18" s="34">
        <v>49651.41</v>
      </c>
      <c r="K18" s="79">
        <v>3384.25</v>
      </c>
      <c r="L18" s="38"/>
      <c r="N18" s="139"/>
    </row>
    <row r="19" spans="1:15" s="37" customFormat="1" ht="15" customHeight="1" x14ac:dyDescent="0.15">
      <c r="A19" s="77"/>
      <c r="B19" s="31"/>
      <c r="C19" s="31"/>
      <c r="D19" s="31"/>
      <c r="E19" s="31"/>
      <c r="F19" s="31"/>
      <c r="G19" s="31"/>
      <c r="H19" s="31"/>
      <c r="I19" s="31"/>
      <c r="J19" s="34"/>
      <c r="K19" s="79"/>
      <c r="L19" s="38"/>
      <c r="N19" s="139"/>
      <c r="O19" s="38"/>
    </row>
    <row r="20" spans="1:15" s="37" customFormat="1" ht="15" customHeight="1" x14ac:dyDescent="0.15">
      <c r="A20" s="77" t="s">
        <v>148</v>
      </c>
      <c r="B20" s="78">
        <v>453.23099999999999</v>
      </c>
      <c r="C20" s="78">
        <v>217.19200000000001</v>
      </c>
      <c r="D20" s="78">
        <v>85.923000000000002</v>
      </c>
      <c r="E20" s="78">
        <v>1.1419999999999999</v>
      </c>
      <c r="F20" s="78">
        <v>445.39</v>
      </c>
      <c r="G20" s="78">
        <v>212.41800000000001</v>
      </c>
      <c r="H20" s="78">
        <v>56.232999999999997</v>
      </c>
      <c r="I20" s="78">
        <v>8.1679999999999993</v>
      </c>
      <c r="J20" s="79">
        <v>2891.97</v>
      </c>
      <c r="K20" s="79">
        <v>5589</v>
      </c>
      <c r="L20" s="38"/>
      <c r="N20" s="139"/>
      <c r="O20" s="38"/>
    </row>
    <row r="21" spans="1:15" s="37" customFormat="1" ht="15" customHeight="1" x14ac:dyDescent="0.15">
      <c r="A21" s="77" t="s">
        <v>21</v>
      </c>
      <c r="B21" s="78">
        <v>284.57799999999997</v>
      </c>
      <c r="C21" s="78">
        <v>77.403000000000006</v>
      </c>
      <c r="D21" s="78">
        <v>50.787999999999997</v>
      </c>
      <c r="E21" s="78">
        <v>57.44</v>
      </c>
      <c r="F21" s="78">
        <v>431.00799999999998</v>
      </c>
      <c r="G21" s="78">
        <v>155.065</v>
      </c>
      <c r="H21" s="78">
        <v>98.042000000000002</v>
      </c>
      <c r="I21" s="78">
        <v>51.82</v>
      </c>
      <c r="J21" s="79">
        <v>1291.06</v>
      </c>
      <c r="K21" s="79">
        <v>5802</v>
      </c>
      <c r="L21" s="38"/>
      <c r="N21" s="139"/>
      <c r="O21" s="38"/>
    </row>
    <row r="22" spans="1:15" s="37" customFormat="1" ht="15" customHeight="1" x14ac:dyDescent="0.15">
      <c r="A22" s="77" t="s">
        <v>89</v>
      </c>
      <c r="B22" s="78">
        <v>271.83999999999997</v>
      </c>
      <c r="C22" s="78">
        <v>92.927999999999997</v>
      </c>
      <c r="D22" s="78">
        <v>61.692999999999998</v>
      </c>
      <c r="E22" s="78">
        <v>7.7270000000000003</v>
      </c>
      <c r="F22" s="78">
        <v>327.19499999999999</v>
      </c>
      <c r="G22" s="78">
        <v>63.966999999999999</v>
      </c>
      <c r="H22" s="78">
        <v>84.73</v>
      </c>
      <c r="I22" s="78">
        <v>76.759</v>
      </c>
      <c r="J22" s="79">
        <v>1792.32</v>
      </c>
      <c r="K22" s="79">
        <v>5748</v>
      </c>
      <c r="L22" s="38"/>
      <c r="N22" s="139"/>
      <c r="O22" s="38"/>
    </row>
    <row r="23" spans="1:15" s="37" customFormat="1" ht="15" customHeight="1" x14ac:dyDescent="0.15">
      <c r="A23" s="77"/>
      <c r="B23" s="78" t="s">
        <v>207</v>
      </c>
      <c r="C23" s="78" t="s">
        <v>207</v>
      </c>
      <c r="D23" s="78" t="s">
        <v>207</v>
      </c>
      <c r="E23" s="78" t="s">
        <v>207</v>
      </c>
      <c r="F23" s="78" t="s">
        <v>207</v>
      </c>
      <c r="G23" s="78" t="s">
        <v>207</v>
      </c>
      <c r="H23" s="78" t="s">
        <v>207</v>
      </c>
      <c r="I23" s="78" t="s">
        <v>207</v>
      </c>
      <c r="J23" s="79" t="s">
        <v>207</v>
      </c>
      <c r="K23" s="79" t="s">
        <v>207</v>
      </c>
      <c r="L23" s="38"/>
      <c r="N23" s="139"/>
      <c r="O23" s="38"/>
    </row>
    <row r="24" spans="1:15" s="37" customFormat="1" ht="15" customHeight="1" x14ac:dyDescent="0.15">
      <c r="A24" s="77" t="s">
        <v>90</v>
      </c>
      <c r="B24" s="78">
        <v>375.43400000000003</v>
      </c>
      <c r="C24" s="78">
        <v>82.730999999999995</v>
      </c>
      <c r="D24" s="78">
        <v>139.21</v>
      </c>
      <c r="E24" s="78">
        <v>26.581</v>
      </c>
      <c r="F24" s="78">
        <v>335.69299999999998</v>
      </c>
      <c r="G24" s="78">
        <v>99.447000000000003</v>
      </c>
      <c r="H24" s="78">
        <v>102.883</v>
      </c>
      <c r="I24" s="78">
        <v>21.452999999999999</v>
      </c>
      <c r="J24" s="79">
        <v>6416.99</v>
      </c>
      <c r="K24" s="79">
        <v>7882</v>
      </c>
      <c r="L24" s="38"/>
      <c r="N24" s="139"/>
      <c r="O24" s="38"/>
    </row>
    <row r="25" spans="1:15" s="37" customFormat="1" ht="15" customHeight="1" x14ac:dyDescent="0.15">
      <c r="A25" s="77" t="s">
        <v>91</v>
      </c>
      <c r="B25" s="78">
        <v>539.48400000000004</v>
      </c>
      <c r="C25" s="78">
        <v>180.5</v>
      </c>
      <c r="D25" s="78">
        <v>112.67400000000001</v>
      </c>
      <c r="E25" s="78">
        <v>51.338999999999999</v>
      </c>
      <c r="F25" s="78">
        <v>360.803</v>
      </c>
      <c r="G25" s="78">
        <v>95.399000000000001</v>
      </c>
      <c r="H25" s="78">
        <v>138.27000000000001</v>
      </c>
      <c r="I25" s="78">
        <v>8.4819999999999993</v>
      </c>
      <c r="J25" s="79">
        <v>4072.37</v>
      </c>
      <c r="K25" s="79">
        <v>7776</v>
      </c>
      <c r="L25" s="38"/>
      <c r="N25" s="139"/>
      <c r="O25" s="38"/>
    </row>
    <row r="26" spans="1:15" s="37" customFormat="1" ht="15" customHeight="1" x14ac:dyDescent="0.15">
      <c r="A26" s="77" t="s">
        <v>92</v>
      </c>
      <c r="B26" s="78">
        <v>418.83100000000002</v>
      </c>
      <c r="C26" s="78">
        <v>152.77699999999999</v>
      </c>
      <c r="D26" s="78">
        <v>69.524000000000001</v>
      </c>
      <c r="E26" s="78">
        <v>11.476000000000001</v>
      </c>
      <c r="F26" s="78">
        <v>367.12400000000002</v>
      </c>
      <c r="G26" s="78">
        <v>158.28700000000001</v>
      </c>
      <c r="H26" s="78">
        <v>51.832999999999998</v>
      </c>
      <c r="I26" s="78">
        <v>35.734000000000002</v>
      </c>
      <c r="J26" s="79">
        <v>3743.19</v>
      </c>
      <c r="K26" s="79">
        <v>7712</v>
      </c>
      <c r="L26" s="38"/>
      <c r="N26" s="139"/>
      <c r="O26" s="38"/>
    </row>
    <row r="27" spans="1:15" s="37" customFormat="1" ht="15" customHeight="1" x14ac:dyDescent="0.15">
      <c r="A27" s="77"/>
      <c r="B27" s="78" t="s">
        <v>207</v>
      </c>
      <c r="C27" s="78" t="s">
        <v>207</v>
      </c>
      <c r="D27" s="78" t="s">
        <v>207</v>
      </c>
      <c r="E27" s="78" t="s">
        <v>207</v>
      </c>
      <c r="F27" s="78" t="s">
        <v>207</v>
      </c>
      <c r="G27" s="78" t="s">
        <v>207</v>
      </c>
      <c r="H27" s="78" t="s">
        <v>207</v>
      </c>
      <c r="I27" s="78" t="s">
        <v>207</v>
      </c>
      <c r="J27" s="79" t="s">
        <v>207</v>
      </c>
      <c r="K27" s="79" t="s">
        <v>207</v>
      </c>
      <c r="L27" s="38"/>
      <c r="N27" s="139"/>
      <c r="O27" s="38"/>
    </row>
    <row r="28" spans="1:15" s="37" customFormat="1" ht="15" customHeight="1" x14ac:dyDescent="0.15">
      <c r="A28" s="77" t="s">
        <v>93</v>
      </c>
      <c r="B28" s="78">
        <v>455.74900000000002</v>
      </c>
      <c r="C28" s="78">
        <v>270.04199999999997</v>
      </c>
      <c r="D28" s="78">
        <v>82.367000000000004</v>
      </c>
      <c r="E28" s="78">
        <v>13.368</v>
      </c>
      <c r="F28" s="78">
        <v>364.43299999999999</v>
      </c>
      <c r="G28" s="78">
        <v>74.593000000000004</v>
      </c>
      <c r="H28" s="78">
        <v>161.53700000000001</v>
      </c>
      <c r="I28" s="78">
        <v>18.634</v>
      </c>
      <c r="J28" s="79">
        <v>2003.17</v>
      </c>
      <c r="K28" s="79">
        <v>7474</v>
      </c>
      <c r="L28" s="38"/>
      <c r="N28" s="139"/>
      <c r="O28" s="38"/>
    </row>
    <row r="29" spans="1:15" s="37" customFormat="1" ht="15" customHeight="1" x14ac:dyDescent="0.15">
      <c r="A29" s="77" t="s">
        <v>94</v>
      </c>
      <c r="B29" s="78">
        <v>280.90800000000002</v>
      </c>
      <c r="C29" s="78">
        <v>74.516999999999996</v>
      </c>
      <c r="D29" s="78">
        <v>71.566999999999993</v>
      </c>
      <c r="E29" s="78">
        <v>21.962</v>
      </c>
      <c r="F29" s="78">
        <v>193.25700000000001</v>
      </c>
      <c r="G29" s="78">
        <v>48.322000000000003</v>
      </c>
      <c r="H29" s="78">
        <v>37.088000000000001</v>
      </c>
      <c r="I29" s="78">
        <v>19.074000000000002</v>
      </c>
      <c r="J29" s="79">
        <v>2150.34</v>
      </c>
      <c r="K29" s="79">
        <v>8097</v>
      </c>
      <c r="L29" s="38"/>
      <c r="N29" s="139"/>
      <c r="O29" s="38"/>
    </row>
    <row r="30" spans="1:15" s="37" customFormat="1" ht="15" customHeight="1" x14ac:dyDescent="0.15">
      <c r="A30" s="77" t="s">
        <v>95</v>
      </c>
      <c r="B30" s="78">
        <v>301.79399999999998</v>
      </c>
      <c r="C30" s="78">
        <v>67.236999999999995</v>
      </c>
      <c r="D30" s="78">
        <v>81.638000000000005</v>
      </c>
      <c r="E30" s="78">
        <v>23.785</v>
      </c>
      <c r="F30" s="78">
        <v>340.642</v>
      </c>
      <c r="G30" s="78">
        <v>87.338999999999999</v>
      </c>
      <c r="H30" s="78">
        <v>88.064999999999998</v>
      </c>
      <c r="I30" s="78">
        <v>29.887</v>
      </c>
      <c r="J30" s="79">
        <v>2149.84</v>
      </c>
      <c r="K30" s="79">
        <v>7797</v>
      </c>
      <c r="L30" s="38"/>
      <c r="N30" s="139"/>
      <c r="O30" s="38"/>
    </row>
    <row r="31" spans="1:15" s="37" customFormat="1" ht="15" customHeight="1" x14ac:dyDescent="0.15">
      <c r="A31" s="77"/>
      <c r="B31" s="78" t="s">
        <v>207</v>
      </c>
      <c r="C31" s="78" t="s">
        <v>207</v>
      </c>
      <c r="D31" s="78" t="s">
        <v>207</v>
      </c>
      <c r="E31" s="78" t="s">
        <v>207</v>
      </c>
      <c r="F31" s="78" t="s">
        <v>207</v>
      </c>
      <c r="G31" s="78" t="s">
        <v>207</v>
      </c>
      <c r="H31" s="78" t="s">
        <v>207</v>
      </c>
      <c r="I31" s="78" t="s">
        <v>207</v>
      </c>
      <c r="J31" s="79" t="s">
        <v>207</v>
      </c>
      <c r="K31" s="79" t="s">
        <v>207</v>
      </c>
      <c r="L31" s="38"/>
      <c r="N31" s="139"/>
      <c r="O31" s="38"/>
    </row>
    <row r="32" spans="1:15" s="37" customFormat="1" ht="15" customHeight="1" x14ac:dyDescent="0.15">
      <c r="A32" s="77" t="s">
        <v>96</v>
      </c>
      <c r="B32" s="78">
        <v>432.976</v>
      </c>
      <c r="C32" s="78">
        <v>133.58699999999999</v>
      </c>
      <c r="D32" s="78">
        <v>151.54599999999999</v>
      </c>
      <c r="E32" s="78">
        <v>19.611000000000001</v>
      </c>
      <c r="F32" s="78">
        <v>415.09</v>
      </c>
      <c r="G32" s="78">
        <v>114.96</v>
      </c>
      <c r="H32" s="78">
        <v>102.511</v>
      </c>
      <c r="I32" s="78">
        <v>25.614000000000001</v>
      </c>
      <c r="J32" s="79">
        <v>1320.55</v>
      </c>
      <c r="K32" s="79">
        <v>7382</v>
      </c>
      <c r="L32" s="38"/>
      <c r="N32" s="139"/>
      <c r="O32" s="38"/>
    </row>
    <row r="33" spans="1:15" s="37" customFormat="1" ht="15" customHeight="1" x14ac:dyDescent="0.15">
      <c r="A33" s="77" t="s">
        <v>97</v>
      </c>
      <c r="B33" s="78">
        <v>582.553</v>
      </c>
      <c r="C33" s="78">
        <v>209.96</v>
      </c>
      <c r="D33" s="78">
        <v>204.22300000000001</v>
      </c>
      <c r="E33" s="78">
        <v>7.8659999999999997</v>
      </c>
      <c r="F33" s="78">
        <v>205.96600000000001</v>
      </c>
      <c r="G33" s="78">
        <v>45.268000000000001</v>
      </c>
      <c r="H33" s="78">
        <v>43.905999999999999</v>
      </c>
      <c r="I33" s="78">
        <v>11.971</v>
      </c>
      <c r="J33" s="79">
        <v>1757.73</v>
      </c>
      <c r="K33" s="79">
        <v>7120</v>
      </c>
      <c r="L33" s="38"/>
      <c r="N33" s="139"/>
      <c r="O33" s="38"/>
    </row>
    <row r="34" spans="1:15" s="37" customFormat="1" ht="15" customHeight="1" x14ac:dyDescent="0.15">
      <c r="A34" s="77" t="s">
        <v>98</v>
      </c>
      <c r="B34" s="78">
        <v>922.14599999999996</v>
      </c>
      <c r="C34" s="78">
        <v>528.91099999999994</v>
      </c>
      <c r="D34" s="78">
        <v>172.749</v>
      </c>
      <c r="E34" s="78">
        <v>9.7810000000000006</v>
      </c>
      <c r="F34" s="78">
        <v>247.34100000000001</v>
      </c>
      <c r="G34" s="78">
        <v>36.753999999999998</v>
      </c>
      <c r="H34" s="78">
        <v>50.276000000000003</v>
      </c>
      <c r="I34" s="78">
        <v>26.076000000000001</v>
      </c>
      <c r="J34" s="79">
        <v>3575.76</v>
      </c>
      <c r="K34" s="79">
        <v>5945</v>
      </c>
      <c r="L34" s="38"/>
      <c r="N34" s="139"/>
      <c r="O34" s="38"/>
    </row>
    <row r="35" spans="1:15" s="37" customFormat="1" ht="15" customHeight="1" x14ac:dyDescent="0.15">
      <c r="A35" s="77"/>
      <c r="B35" s="78" t="s">
        <v>207</v>
      </c>
      <c r="C35" s="78" t="s">
        <v>207</v>
      </c>
      <c r="D35" s="78" t="s">
        <v>207</v>
      </c>
      <c r="E35" s="78" t="s">
        <v>207</v>
      </c>
      <c r="F35" s="78" t="s">
        <v>207</v>
      </c>
      <c r="G35" s="78" t="s">
        <v>207</v>
      </c>
      <c r="H35" s="78" t="s">
        <v>207</v>
      </c>
      <c r="I35" s="78" t="s">
        <v>207</v>
      </c>
      <c r="J35" s="79" t="s">
        <v>207</v>
      </c>
      <c r="K35" s="79" t="s">
        <v>207</v>
      </c>
      <c r="L35" s="38"/>
      <c r="N35" s="139"/>
      <c r="O35" s="38"/>
    </row>
    <row r="36" spans="1:15" s="37" customFormat="1" ht="15" customHeight="1" x14ac:dyDescent="0.15">
      <c r="A36" s="77" t="s">
        <v>164</v>
      </c>
      <c r="B36" s="78">
        <v>286.399</v>
      </c>
      <c r="C36" s="78">
        <v>87.578000000000003</v>
      </c>
      <c r="D36" s="78">
        <v>74.254000000000005</v>
      </c>
      <c r="E36" s="78">
        <v>7.2919999999999998</v>
      </c>
      <c r="F36" s="78">
        <v>125.09099999999999</v>
      </c>
      <c r="G36" s="78">
        <v>23.571000000000002</v>
      </c>
      <c r="H36" s="78">
        <v>39.286999999999999</v>
      </c>
      <c r="I36" s="78">
        <v>3.5419999999999998</v>
      </c>
      <c r="J36" s="79">
        <v>3590.77</v>
      </c>
      <c r="K36" s="79">
        <v>4964</v>
      </c>
      <c r="L36" s="38"/>
      <c r="M36" s="38"/>
      <c r="N36" s="38"/>
      <c r="O36" s="38"/>
    </row>
    <row r="37" spans="1:15" s="37" customFormat="1" ht="15" customHeight="1" x14ac:dyDescent="0.15">
      <c r="A37" s="77" t="s">
        <v>21</v>
      </c>
      <c r="B37" s="78">
        <v>280.73899999999998</v>
      </c>
      <c r="C37" s="78">
        <v>58.002000000000002</v>
      </c>
      <c r="D37" s="78">
        <v>80.364999999999995</v>
      </c>
      <c r="E37" s="78">
        <v>41.77</v>
      </c>
      <c r="F37" s="78">
        <v>245.83500000000001</v>
      </c>
      <c r="G37" s="78">
        <v>86.8</v>
      </c>
      <c r="H37" s="78">
        <v>31.032</v>
      </c>
      <c r="I37" s="78">
        <v>5.5209999999999999</v>
      </c>
      <c r="J37" s="79">
        <v>3303.33</v>
      </c>
      <c r="K37" s="79">
        <v>4168</v>
      </c>
      <c r="L37" s="38"/>
      <c r="M37" s="38"/>
      <c r="N37" s="38"/>
      <c r="O37" s="38"/>
    </row>
    <row r="38" spans="1:15" s="37" customFormat="1" ht="15" customHeight="1" x14ac:dyDescent="0.15">
      <c r="A38" s="77" t="s">
        <v>89</v>
      </c>
      <c r="B38" s="78">
        <v>450.59500000000003</v>
      </c>
      <c r="C38" s="78">
        <v>153.273</v>
      </c>
      <c r="D38" s="78">
        <v>107.849</v>
      </c>
      <c r="E38" s="78">
        <v>8.5419999999999998</v>
      </c>
      <c r="F38" s="78">
        <v>373.05799999999999</v>
      </c>
      <c r="G38" s="78">
        <v>112.583</v>
      </c>
      <c r="H38" s="78">
        <v>119.691</v>
      </c>
      <c r="I38" s="78">
        <v>12.103</v>
      </c>
      <c r="J38" s="79">
        <v>1382.24</v>
      </c>
      <c r="K38" s="79">
        <v>3902</v>
      </c>
      <c r="L38" s="38"/>
      <c r="M38" s="38"/>
      <c r="O38" s="38"/>
    </row>
    <row r="39" spans="1:15" s="37" customFormat="1" ht="15" customHeight="1" x14ac:dyDescent="0.15">
      <c r="A39" s="77"/>
      <c r="B39" s="78" t="s">
        <v>207</v>
      </c>
      <c r="C39" s="78" t="s">
        <v>207</v>
      </c>
      <c r="D39" s="78" t="s">
        <v>207</v>
      </c>
      <c r="E39" s="78" t="s">
        <v>207</v>
      </c>
      <c r="F39" s="78" t="s">
        <v>207</v>
      </c>
      <c r="G39" s="78" t="s">
        <v>207</v>
      </c>
      <c r="H39" s="78" t="s">
        <v>207</v>
      </c>
      <c r="I39" s="78" t="s">
        <v>207</v>
      </c>
      <c r="J39" s="79" t="s">
        <v>207</v>
      </c>
      <c r="K39" s="79" t="s">
        <v>207</v>
      </c>
      <c r="L39" s="38"/>
      <c r="M39" s="38"/>
      <c r="N39" s="38"/>
      <c r="O39" s="38"/>
    </row>
    <row r="40" spans="1:15" s="37" customFormat="1" ht="15" customHeight="1" x14ac:dyDescent="0.15">
      <c r="A40" s="77" t="s">
        <v>90</v>
      </c>
      <c r="B40" s="78">
        <v>542.55600000000004</v>
      </c>
      <c r="C40" s="78">
        <v>177.63800000000001</v>
      </c>
      <c r="D40" s="78">
        <v>114.029</v>
      </c>
      <c r="E40" s="78">
        <v>64.022999999999996</v>
      </c>
      <c r="F40" s="78">
        <v>380.59100000000001</v>
      </c>
      <c r="G40" s="78">
        <v>166.08600000000001</v>
      </c>
      <c r="H40" s="78">
        <v>64.795000000000002</v>
      </c>
      <c r="I40" s="78">
        <v>9.64</v>
      </c>
      <c r="J40" s="79">
        <v>4465.41</v>
      </c>
      <c r="K40" s="79">
        <v>3742</v>
      </c>
      <c r="L40" s="38"/>
      <c r="M40" s="38"/>
      <c r="N40" s="38"/>
      <c r="O40" s="38"/>
    </row>
    <row r="41" spans="1:15" s="37" customFormat="1" ht="15" customHeight="1" x14ac:dyDescent="0.15">
      <c r="A41" s="77" t="s">
        <v>91</v>
      </c>
      <c r="B41" s="78">
        <v>509.71300000000002</v>
      </c>
      <c r="C41" s="78">
        <v>287.11700000000002</v>
      </c>
      <c r="D41" s="78">
        <v>90.116</v>
      </c>
      <c r="E41" s="78">
        <v>3.891</v>
      </c>
      <c r="F41" s="78">
        <v>194.828</v>
      </c>
      <c r="G41" s="78">
        <v>47.613</v>
      </c>
      <c r="H41" s="78">
        <v>44.713999999999999</v>
      </c>
      <c r="I41" s="78">
        <v>8.2710000000000008</v>
      </c>
      <c r="J41" s="79">
        <v>3629.84</v>
      </c>
      <c r="K41" s="79">
        <v>3470</v>
      </c>
      <c r="L41" s="38"/>
      <c r="M41" s="38"/>
      <c r="N41" s="38"/>
      <c r="O41" s="38"/>
    </row>
    <row r="42" spans="1:15" s="37" customFormat="1" ht="15" customHeight="1" x14ac:dyDescent="0.15">
      <c r="A42" s="77" t="s">
        <v>92</v>
      </c>
      <c r="B42" s="78">
        <v>485.40899999999999</v>
      </c>
      <c r="C42" s="78">
        <v>166.56200000000001</v>
      </c>
      <c r="D42" s="78">
        <v>91.951999999999998</v>
      </c>
      <c r="E42" s="78">
        <v>33.636000000000003</v>
      </c>
      <c r="F42" s="78">
        <v>272.79700000000003</v>
      </c>
      <c r="G42" s="78">
        <v>59.261000000000003</v>
      </c>
      <c r="H42" s="78">
        <v>73.161000000000001</v>
      </c>
      <c r="I42" s="78">
        <v>22.015999999999998</v>
      </c>
      <c r="J42" s="79">
        <v>1539.44</v>
      </c>
      <c r="K42" s="79">
        <v>3202</v>
      </c>
      <c r="L42" s="38"/>
      <c r="M42" s="38"/>
      <c r="O42" s="38"/>
    </row>
    <row r="43" spans="1:15" s="37" customFormat="1" ht="15" customHeight="1" x14ac:dyDescent="0.15">
      <c r="A43" s="77"/>
      <c r="B43" s="78" t="s">
        <v>207</v>
      </c>
      <c r="C43" s="78" t="s">
        <v>207</v>
      </c>
      <c r="D43" s="78" t="s">
        <v>207</v>
      </c>
      <c r="E43" s="78" t="s">
        <v>207</v>
      </c>
      <c r="F43" s="78" t="s">
        <v>207</v>
      </c>
      <c r="G43" s="78" t="s">
        <v>207</v>
      </c>
      <c r="H43" s="78" t="s">
        <v>207</v>
      </c>
      <c r="I43" s="78" t="s">
        <v>207</v>
      </c>
      <c r="J43" s="79" t="s">
        <v>207</v>
      </c>
      <c r="K43" s="79" t="s">
        <v>207</v>
      </c>
      <c r="L43" s="38"/>
      <c r="M43" s="38"/>
      <c r="N43" s="38"/>
      <c r="O43" s="38"/>
    </row>
    <row r="44" spans="1:15" s="37" customFormat="1" ht="15" customHeight="1" x14ac:dyDescent="0.15">
      <c r="A44" s="77" t="s">
        <v>93</v>
      </c>
      <c r="B44" s="78">
        <v>426.68299999999999</v>
      </c>
      <c r="C44" s="78">
        <v>67.387</v>
      </c>
      <c r="D44" s="78">
        <v>204.25200000000001</v>
      </c>
      <c r="E44" s="78">
        <v>8.9019999999999992</v>
      </c>
      <c r="F44" s="78">
        <v>624.66999999999996</v>
      </c>
      <c r="G44" s="78">
        <v>295.61700000000002</v>
      </c>
      <c r="H44" s="78">
        <v>92.826999999999998</v>
      </c>
      <c r="I44" s="78">
        <v>22.221</v>
      </c>
      <c r="J44" s="79">
        <v>5553.62</v>
      </c>
      <c r="K44" s="79">
        <v>3015</v>
      </c>
      <c r="L44" s="38"/>
      <c r="M44" s="38"/>
      <c r="N44" s="38"/>
      <c r="O44" s="38"/>
    </row>
    <row r="45" spans="1:15" s="37" customFormat="1" ht="15" customHeight="1" x14ac:dyDescent="0.15">
      <c r="A45" s="77" t="s">
        <v>94</v>
      </c>
      <c r="B45" s="78">
        <v>329.66500000000002</v>
      </c>
      <c r="C45" s="78">
        <v>79.948999999999998</v>
      </c>
      <c r="D45" s="78">
        <v>102.595</v>
      </c>
      <c r="E45" s="78">
        <v>45.5</v>
      </c>
      <c r="F45" s="78">
        <v>185.16200000000001</v>
      </c>
      <c r="G45" s="78">
        <v>58.481999999999999</v>
      </c>
      <c r="H45" s="78">
        <v>47.287999999999997</v>
      </c>
      <c r="I45" s="78">
        <v>10.718999999999999</v>
      </c>
      <c r="J45" s="79">
        <v>3615.73</v>
      </c>
      <c r="K45" s="79">
        <v>2816</v>
      </c>
      <c r="L45" s="38"/>
      <c r="M45" s="38"/>
      <c r="N45" s="38"/>
      <c r="O45" s="38"/>
    </row>
    <row r="46" spans="1:15" s="37" customFormat="1" ht="15" customHeight="1" x14ac:dyDescent="0.15">
      <c r="A46" s="77" t="s">
        <v>95</v>
      </c>
      <c r="B46" s="78">
        <v>361.89299999999997</v>
      </c>
      <c r="C46" s="78">
        <v>83.186999999999998</v>
      </c>
      <c r="D46" s="78">
        <v>131.02500000000001</v>
      </c>
      <c r="E46" s="78">
        <v>27.044</v>
      </c>
      <c r="F46" s="78">
        <v>311.12900000000002</v>
      </c>
      <c r="G46" s="78">
        <v>87.861999999999995</v>
      </c>
      <c r="H46" s="78">
        <v>60.436</v>
      </c>
      <c r="I46" s="78">
        <v>66.887</v>
      </c>
      <c r="J46" s="79">
        <v>3967.84</v>
      </c>
      <c r="K46" s="79">
        <v>3060</v>
      </c>
      <c r="L46" s="38"/>
      <c r="M46" s="38"/>
      <c r="O46" s="38"/>
    </row>
    <row r="47" spans="1:15" s="37" customFormat="1" ht="15" customHeight="1" x14ac:dyDescent="0.15">
      <c r="A47" s="77"/>
      <c r="B47" s="78" t="s">
        <v>207</v>
      </c>
      <c r="C47" s="78" t="s">
        <v>207</v>
      </c>
      <c r="D47" s="78" t="s">
        <v>207</v>
      </c>
      <c r="E47" s="78" t="s">
        <v>207</v>
      </c>
      <c r="F47" s="78" t="s">
        <v>207</v>
      </c>
      <c r="G47" s="78" t="s">
        <v>207</v>
      </c>
      <c r="H47" s="78" t="s">
        <v>207</v>
      </c>
      <c r="I47" s="78" t="s">
        <v>207</v>
      </c>
      <c r="J47" s="79" t="s">
        <v>207</v>
      </c>
      <c r="K47" s="79" t="s">
        <v>207</v>
      </c>
      <c r="L47" s="38"/>
      <c r="M47" s="38"/>
      <c r="N47" s="38"/>
      <c r="O47" s="38"/>
    </row>
    <row r="48" spans="1:15" s="37" customFormat="1" ht="15" customHeight="1" x14ac:dyDescent="0.15">
      <c r="A48" s="77" t="s">
        <v>96</v>
      </c>
      <c r="B48" s="78">
        <v>292.62299999999999</v>
      </c>
      <c r="C48" s="78">
        <v>66.900000000000006</v>
      </c>
      <c r="D48" s="78">
        <v>117.31399999999999</v>
      </c>
      <c r="E48" s="78">
        <v>25.059000000000001</v>
      </c>
      <c r="F48" s="78">
        <v>411.80700000000002</v>
      </c>
      <c r="G48" s="78">
        <v>102.53</v>
      </c>
      <c r="H48" s="78">
        <v>183.00399999999999</v>
      </c>
      <c r="I48" s="78">
        <v>21.747</v>
      </c>
      <c r="J48" s="79">
        <v>2824.22</v>
      </c>
      <c r="K48" s="79">
        <v>2884</v>
      </c>
      <c r="L48" s="38"/>
      <c r="M48" s="38"/>
      <c r="N48" s="38"/>
      <c r="O48" s="38"/>
    </row>
    <row r="49" spans="1:15" s="37" customFormat="1" ht="15" customHeight="1" x14ac:dyDescent="0.15">
      <c r="A49" s="77" t="s">
        <v>97</v>
      </c>
      <c r="B49" s="78">
        <v>245.42400000000001</v>
      </c>
      <c r="C49" s="78">
        <v>57.441000000000003</v>
      </c>
      <c r="D49" s="78">
        <v>64.138999999999996</v>
      </c>
      <c r="E49" s="78">
        <v>26.617999999999999</v>
      </c>
      <c r="F49" s="78">
        <v>400.15800000000002</v>
      </c>
      <c r="G49" s="78">
        <v>146.23400000000001</v>
      </c>
      <c r="H49" s="78">
        <v>69.305000000000007</v>
      </c>
      <c r="I49" s="78">
        <v>28.036999999999999</v>
      </c>
      <c r="J49" s="79">
        <v>4128.38</v>
      </c>
      <c r="K49" s="79">
        <v>2648</v>
      </c>
      <c r="L49" s="38"/>
      <c r="M49" s="38"/>
      <c r="N49" s="38"/>
      <c r="O49" s="38"/>
    </row>
    <row r="50" spans="1:15" s="37" customFormat="1" ht="15" customHeight="1" x14ac:dyDescent="0.15">
      <c r="A50" s="77" t="s">
        <v>98</v>
      </c>
      <c r="B50" s="78">
        <v>439.11099999999999</v>
      </c>
      <c r="C50" s="78">
        <v>165.28800000000001</v>
      </c>
      <c r="D50" s="78">
        <v>148.46299999999999</v>
      </c>
      <c r="E50" s="78">
        <v>13.9</v>
      </c>
      <c r="F50" s="78">
        <v>510.60500000000002</v>
      </c>
      <c r="G50" s="78">
        <v>162.26499999999999</v>
      </c>
      <c r="H50" s="78">
        <v>166.24799999999999</v>
      </c>
      <c r="I50" s="78">
        <v>16.963999999999999</v>
      </c>
      <c r="J50" s="79">
        <v>4003.88</v>
      </c>
      <c r="K50" s="79">
        <v>3115</v>
      </c>
      <c r="L50" s="38"/>
      <c r="M50" s="38"/>
      <c r="O50" s="38"/>
    </row>
    <row r="51" spans="1:15" s="37" customFormat="1" ht="13.5" customHeight="1" x14ac:dyDescent="0.15">
      <c r="A51" s="77"/>
      <c r="B51" s="78" t="s">
        <v>207</v>
      </c>
      <c r="C51" s="78" t="s">
        <v>207</v>
      </c>
      <c r="D51" s="78" t="s">
        <v>207</v>
      </c>
      <c r="E51" s="78" t="s">
        <v>207</v>
      </c>
      <c r="F51" s="78" t="s">
        <v>207</v>
      </c>
      <c r="G51" s="78" t="s">
        <v>207</v>
      </c>
      <c r="H51" s="78" t="s">
        <v>207</v>
      </c>
      <c r="I51" s="78" t="s">
        <v>207</v>
      </c>
      <c r="J51" s="79" t="s">
        <v>207</v>
      </c>
      <c r="K51" s="79" t="s">
        <v>207</v>
      </c>
      <c r="L51" s="38"/>
      <c r="M51" s="38"/>
      <c r="N51" s="38"/>
      <c r="O51" s="38"/>
    </row>
    <row r="52" spans="1:15" s="37" customFormat="1" ht="13.5" customHeight="1" x14ac:dyDescent="0.15">
      <c r="A52" s="77" t="s">
        <v>185</v>
      </c>
      <c r="B52" s="78">
        <v>226.881</v>
      </c>
      <c r="C52" s="78">
        <v>46.570999999999998</v>
      </c>
      <c r="D52" s="78">
        <v>100.27800000000001</v>
      </c>
      <c r="E52" s="78">
        <v>17.029</v>
      </c>
      <c r="F52" s="78">
        <v>113.98099999999999</v>
      </c>
      <c r="G52" s="78">
        <v>22.035</v>
      </c>
      <c r="H52" s="78">
        <v>30.312999999999999</v>
      </c>
      <c r="I52" s="78">
        <v>6.3280000000000003</v>
      </c>
      <c r="J52" s="79">
        <v>2316.54</v>
      </c>
      <c r="K52" s="79">
        <v>2671</v>
      </c>
      <c r="L52" s="38"/>
      <c r="M52" s="38"/>
      <c r="N52" s="38"/>
      <c r="O52" s="38"/>
    </row>
    <row r="53" spans="1:15" s="37" customFormat="1" ht="13.5" customHeight="1" x14ac:dyDescent="0.15">
      <c r="A53" s="77" t="s">
        <v>21</v>
      </c>
      <c r="B53" s="78">
        <v>215.11099999999999</v>
      </c>
      <c r="C53" s="78">
        <v>43.396000000000001</v>
      </c>
      <c r="D53" s="78">
        <v>61.481000000000002</v>
      </c>
      <c r="E53" s="78">
        <v>12.67</v>
      </c>
      <c r="F53" s="78">
        <v>264.86700000000002</v>
      </c>
      <c r="G53" s="78">
        <v>130.82300000000001</v>
      </c>
      <c r="H53" s="78">
        <v>41.143000000000001</v>
      </c>
      <c r="I53" s="78">
        <v>17.172999999999998</v>
      </c>
      <c r="J53" s="79">
        <v>3457.71</v>
      </c>
      <c r="K53" s="79">
        <v>2340</v>
      </c>
      <c r="L53" s="38"/>
      <c r="M53" s="38"/>
      <c r="N53" s="38"/>
      <c r="O53" s="38"/>
    </row>
    <row r="54" spans="1:15" s="37" customFormat="1" ht="13.5" customHeight="1" x14ac:dyDescent="0.15">
      <c r="A54" s="77" t="s">
        <v>89</v>
      </c>
      <c r="B54" s="78">
        <v>309.89499999999998</v>
      </c>
      <c r="C54" s="78">
        <v>62.235999999999997</v>
      </c>
      <c r="D54" s="78">
        <v>89.103999999999999</v>
      </c>
      <c r="E54" s="78">
        <v>34.83</v>
      </c>
      <c r="F54" s="78">
        <v>511.57100000000003</v>
      </c>
      <c r="G54" s="78">
        <v>272.52499999999998</v>
      </c>
      <c r="H54" s="78">
        <v>88.453000000000003</v>
      </c>
      <c r="I54" s="78">
        <v>25.594000000000001</v>
      </c>
      <c r="J54" s="79">
        <v>6580.57</v>
      </c>
      <c r="K54" s="79">
        <v>2063</v>
      </c>
      <c r="L54" s="38"/>
      <c r="M54" s="38"/>
      <c r="N54" s="38"/>
      <c r="O54" s="38"/>
    </row>
    <row r="55" spans="1:15" s="37" customFormat="1" ht="13.5" customHeight="1" x14ac:dyDescent="0.15">
      <c r="A55" s="77"/>
      <c r="B55" s="78" t="s">
        <v>207</v>
      </c>
      <c r="C55" s="78" t="s">
        <v>207</v>
      </c>
      <c r="D55" s="78" t="s">
        <v>207</v>
      </c>
      <c r="E55" s="78" t="s">
        <v>207</v>
      </c>
      <c r="F55" s="78" t="s">
        <v>207</v>
      </c>
      <c r="G55" s="78" t="s">
        <v>207</v>
      </c>
      <c r="H55" s="78" t="s">
        <v>207</v>
      </c>
      <c r="I55" s="78" t="s">
        <v>207</v>
      </c>
      <c r="J55" s="79" t="s">
        <v>207</v>
      </c>
      <c r="K55" s="79" t="s">
        <v>207</v>
      </c>
      <c r="L55" s="38"/>
      <c r="M55" s="38"/>
      <c r="N55" s="38"/>
      <c r="O55" s="38"/>
    </row>
    <row r="56" spans="1:15" s="37" customFormat="1" ht="13.5" customHeight="1" x14ac:dyDescent="0.15">
      <c r="A56" s="77" t="s">
        <v>90</v>
      </c>
      <c r="B56" s="78">
        <v>428.84399999999999</v>
      </c>
      <c r="C56" s="78">
        <v>175.80699999999999</v>
      </c>
      <c r="D56" s="78">
        <v>162.12700000000001</v>
      </c>
      <c r="E56" s="78">
        <v>12.459</v>
      </c>
      <c r="F56" s="78">
        <v>528.61599999999999</v>
      </c>
      <c r="G56" s="78">
        <v>274.10300000000001</v>
      </c>
      <c r="H56" s="78">
        <v>83.71</v>
      </c>
      <c r="I56" s="78">
        <v>24.111000000000001</v>
      </c>
      <c r="J56" s="79">
        <v>5278.18</v>
      </c>
      <c r="K56" s="79">
        <v>1817</v>
      </c>
      <c r="L56" s="38"/>
      <c r="M56" s="38"/>
      <c r="N56" s="38"/>
      <c r="O56" s="38"/>
    </row>
    <row r="57" spans="1:15" s="37" customFormat="1" ht="13.5" customHeight="1" x14ac:dyDescent="0.15">
      <c r="A57" s="77" t="s">
        <v>91</v>
      </c>
      <c r="B57" s="78">
        <v>589.30799999999999</v>
      </c>
      <c r="C57" s="78">
        <v>364.19099999999997</v>
      </c>
      <c r="D57" s="78">
        <v>129.99700000000001</v>
      </c>
      <c r="E57" s="78">
        <v>11.332000000000001</v>
      </c>
      <c r="F57" s="78">
        <v>422.58100000000002</v>
      </c>
      <c r="G57" s="78">
        <v>95.122</v>
      </c>
      <c r="H57" s="78">
        <v>212.9</v>
      </c>
      <c r="I57" s="78">
        <v>17.324999999999999</v>
      </c>
      <c r="J57" s="79">
        <v>4603.6899999999996</v>
      </c>
      <c r="K57" s="79">
        <v>1605</v>
      </c>
      <c r="L57" s="38"/>
      <c r="M57" s="38"/>
      <c r="N57" s="38"/>
      <c r="O57" s="38"/>
    </row>
    <row r="58" spans="1:15" s="37" customFormat="1" ht="13.5" customHeight="1" x14ac:dyDescent="0.15">
      <c r="A58" s="77" t="s">
        <v>92</v>
      </c>
      <c r="B58" s="78">
        <v>565.17899999999997</v>
      </c>
      <c r="C58" s="78">
        <v>223.84399999999999</v>
      </c>
      <c r="D58" s="78">
        <v>149.66</v>
      </c>
      <c r="E58" s="78">
        <v>17.079999999999998</v>
      </c>
      <c r="F58" s="78">
        <v>448.96199999999999</v>
      </c>
      <c r="G58" s="78">
        <v>143.12200000000001</v>
      </c>
      <c r="H58" s="78">
        <v>170.27699999999999</v>
      </c>
      <c r="I58" s="78">
        <v>14.355</v>
      </c>
      <c r="J58" s="79">
        <v>3934.49</v>
      </c>
      <c r="K58" s="79">
        <v>1517</v>
      </c>
      <c r="L58" s="38"/>
      <c r="M58" s="38"/>
      <c r="N58" s="38"/>
      <c r="O58" s="38"/>
    </row>
    <row r="59" spans="1:15" s="37" customFormat="1" ht="13.5" customHeight="1" x14ac:dyDescent="0.15">
      <c r="A59" s="77"/>
      <c r="B59" s="78" t="s">
        <v>207</v>
      </c>
      <c r="C59" s="78" t="s">
        <v>207</v>
      </c>
      <c r="D59" s="78" t="s">
        <v>207</v>
      </c>
      <c r="E59" s="78" t="s">
        <v>207</v>
      </c>
      <c r="F59" s="78" t="s">
        <v>207</v>
      </c>
      <c r="G59" s="78" t="s">
        <v>207</v>
      </c>
      <c r="H59" s="78" t="s">
        <v>207</v>
      </c>
      <c r="I59" s="78" t="s">
        <v>207</v>
      </c>
      <c r="J59" s="79" t="s">
        <v>207</v>
      </c>
      <c r="K59" s="79" t="s">
        <v>207</v>
      </c>
      <c r="L59" s="38"/>
      <c r="M59" s="38"/>
      <c r="N59" s="38"/>
      <c r="O59" s="38"/>
    </row>
    <row r="60" spans="1:15" s="37" customFormat="1" ht="13.5" customHeight="1" x14ac:dyDescent="0.15">
      <c r="A60" s="77" t="s">
        <v>93</v>
      </c>
      <c r="B60" s="78">
        <v>570.52700000000004</v>
      </c>
      <c r="C60" s="78">
        <v>261.86700000000002</v>
      </c>
      <c r="D60" s="78">
        <v>91.31</v>
      </c>
      <c r="E60" s="78">
        <v>56.127000000000002</v>
      </c>
      <c r="F60" s="78">
        <v>499.262</v>
      </c>
      <c r="G60" s="78">
        <v>306.67</v>
      </c>
      <c r="H60" s="78">
        <v>79.462999999999994</v>
      </c>
      <c r="I60" s="78">
        <v>56.088999999999999</v>
      </c>
      <c r="J60" s="79">
        <v>2591.13</v>
      </c>
      <c r="K60" s="79">
        <v>1496</v>
      </c>
      <c r="L60" s="38"/>
      <c r="M60" s="38"/>
      <c r="N60" s="38"/>
      <c r="O60" s="38"/>
    </row>
    <row r="61" spans="1:15" s="37" customFormat="1" ht="13.5" customHeight="1" x14ac:dyDescent="0.15">
      <c r="A61" s="77" t="s">
        <v>94</v>
      </c>
      <c r="B61" s="78">
        <v>519.15499999999997</v>
      </c>
      <c r="C61" s="78">
        <v>292.02499999999998</v>
      </c>
      <c r="D61" s="78">
        <v>102.494</v>
      </c>
      <c r="E61" s="78">
        <v>33.914999999999999</v>
      </c>
      <c r="F61" s="78">
        <v>238.87200000000001</v>
      </c>
      <c r="G61" s="78">
        <v>64.228999999999999</v>
      </c>
      <c r="H61" s="78">
        <v>99.65</v>
      </c>
      <c r="I61" s="78">
        <v>2.0990000000000002</v>
      </c>
      <c r="J61" s="79">
        <v>2616.0500000000002</v>
      </c>
      <c r="K61" s="79">
        <v>1296</v>
      </c>
      <c r="L61" s="38"/>
      <c r="M61" s="38"/>
      <c r="N61" s="38"/>
      <c r="O61" s="38"/>
    </row>
    <row r="62" spans="1:15" s="37" customFormat="1" ht="13.5" customHeight="1" x14ac:dyDescent="0.15">
      <c r="A62" s="77" t="s">
        <v>95</v>
      </c>
      <c r="B62" s="78">
        <v>307.37099999999998</v>
      </c>
      <c r="C62" s="78">
        <v>58.853999999999999</v>
      </c>
      <c r="D62" s="78">
        <v>144.874</v>
      </c>
      <c r="E62" s="78">
        <v>33.402000000000001</v>
      </c>
      <c r="F62" s="78">
        <v>669.98900000000003</v>
      </c>
      <c r="G62" s="78">
        <v>376.09699999999998</v>
      </c>
      <c r="H62" s="78">
        <v>55.018999999999998</v>
      </c>
      <c r="I62" s="78">
        <v>12.481999999999999</v>
      </c>
      <c r="J62" s="79">
        <v>1003.51</v>
      </c>
      <c r="K62" s="79">
        <v>1301</v>
      </c>
      <c r="L62" s="38"/>
      <c r="M62" s="38"/>
      <c r="N62" s="38"/>
      <c r="O62" s="38"/>
    </row>
    <row r="63" spans="1:15" s="37" customFormat="1" ht="13.5" customHeight="1" x14ac:dyDescent="0.15">
      <c r="A63" s="77"/>
      <c r="B63" s="78" t="s">
        <v>207</v>
      </c>
      <c r="C63" s="78" t="s">
        <v>207</v>
      </c>
      <c r="D63" s="78" t="s">
        <v>207</v>
      </c>
      <c r="E63" s="78" t="s">
        <v>207</v>
      </c>
      <c r="F63" s="78" t="s">
        <v>207</v>
      </c>
      <c r="G63" s="78" t="s">
        <v>207</v>
      </c>
      <c r="H63" s="78" t="s">
        <v>207</v>
      </c>
      <c r="I63" s="78" t="s">
        <v>207</v>
      </c>
      <c r="J63" s="79" t="s">
        <v>207</v>
      </c>
      <c r="K63" s="79" t="s">
        <v>207</v>
      </c>
      <c r="L63" s="38"/>
      <c r="M63" s="38"/>
      <c r="N63" s="38"/>
      <c r="O63" s="38"/>
    </row>
    <row r="64" spans="1:15" s="37" customFormat="1" ht="13.5" customHeight="1" x14ac:dyDescent="0.15">
      <c r="A64" s="77" t="s">
        <v>96</v>
      </c>
      <c r="B64" s="78">
        <v>248.46899999999999</v>
      </c>
      <c r="C64" s="78">
        <v>48.319000000000003</v>
      </c>
      <c r="D64" s="78">
        <v>83.152000000000001</v>
      </c>
      <c r="E64" s="78">
        <v>8.6790000000000003</v>
      </c>
      <c r="F64" s="78">
        <v>491.78800000000001</v>
      </c>
      <c r="G64" s="78">
        <v>238.60599999999999</v>
      </c>
      <c r="H64" s="78">
        <v>90.019000000000005</v>
      </c>
      <c r="I64" s="78">
        <v>36.633000000000003</v>
      </c>
      <c r="J64" s="79">
        <v>3405.96</v>
      </c>
      <c r="K64" s="79">
        <v>1172</v>
      </c>
      <c r="L64" s="38"/>
      <c r="M64" s="38"/>
      <c r="N64" s="38"/>
      <c r="O64" s="38"/>
    </row>
    <row r="65" spans="1:15" s="37" customFormat="1" ht="13.5" customHeight="1" x14ac:dyDescent="0.15">
      <c r="A65" s="77" t="s">
        <v>97</v>
      </c>
      <c r="B65" s="78">
        <v>482.721</v>
      </c>
      <c r="C65" s="78">
        <v>240.68199999999999</v>
      </c>
      <c r="D65" s="78">
        <v>155.08799999999999</v>
      </c>
      <c r="E65" s="78">
        <v>15.605</v>
      </c>
      <c r="F65" s="78">
        <v>429.90899999999999</v>
      </c>
      <c r="G65" s="78">
        <v>201.93600000000001</v>
      </c>
      <c r="H65" s="78">
        <v>82.52</v>
      </c>
      <c r="I65" s="78">
        <v>20.192</v>
      </c>
      <c r="J65" s="79">
        <v>7449.95</v>
      </c>
      <c r="K65" s="79">
        <v>1076</v>
      </c>
      <c r="L65" s="38"/>
      <c r="M65" s="38"/>
      <c r="N65" s="38"/>
      <c r="O65" s="38"/>
    </row>
    <row r="66" spans="1:15" s="37" customFormat="1" ht="15" customHeight="1" x14ac:dyDescent="0.15">
      <c r="A66" s="77" t="s">
        <v>98</v>
      </c>
      <c r="B66" s="78">
        <v>510.733</v>
      </c>
      <c r="C66" s="78">
        <v>167.61600000000001</v>
      </c>
      <c r="D66" s="78">
        <v>213.38900000000001</v>
      </c>
      <c r="E66" s="78">
        <v>11.478999999999999</v>
      </c>
      <c r="F66" s="78">
        <v>326.39499999999998</v>
      </c>
      <c r="G66" s="78">
        <v>130.989</v>
      </c>
      <c r="H66" s="78">
        <v>147.68799999999999</v>
      </c>
      <c r="I66" s="78">
        <v>4.3170000000000002</v>
      </c>
      <c r="J66" s="79">
        <v>14994.21</v>
      </c>
      <c r="K66" s="79">
        <v>1648</v>
      </c>
      <c r="L66" s="38"/>
      <c r="M66" s="38"/>
      <c r="O66" s="38"/>
    </row>
    <row r="67" spans="1:15" s="37" customFormat="1" ht="13.5" customHeight="1" x14ac:dyDescent="0.15">
      <c r="A67" s="77"/>
      <c r="B67" s="78" t="s">
        <v>207</v>
      </c>
      <c r="C67" s="78" t="s">
        <v>207</v>
      </c>
      <c r="D67" s="78" t="s">
        <v>207</v>
      </c>
      <c r="E67" s="78" t="s">
        <v>207</v>
      </c>
      <c r="F67" s="78" t="s">
        <v>207</v>
      </c>
      <c r="G67" s="78" t="s">
        <v>207</v>
      </c>
      <c r="H67" s="78" t="s">
        <v>207</v>
      </c>
      <c r="I67" s="78" t="s">
        <v>207</v>
      </c>
      <c r="J67" s="79" t="s">
        <v>207</v>
      </c>
      <c r="K67" s="79" t="s">
        <v>207</v>
      </c>
      <c r="L67" s="38"/>
      <c r="M67" s="38"/>
      <c r="N67" s="38"/>
      <c r="O67" s="38"/>
    </row>
    <row r="68" spans="1:15" s="37" customFormat="1" ht="13.5" customHeight="1" x14ac:dyDescent="0.15">
      <c r="A68" s="77" t="s">
        <v>215</v>
      </c>
      <c r="B68" s="78">
        <v>332.98899999999998</v>
      </c>
      <c r="C68" s="78">
        <v>116.045</v>
      </c>
      <c r="D68" s="78">
        <v>101.919</v>
      </c>
      <c r="E68" s="78">
        <v>15.576000000000001</v>
      </c>
      <c r="F68" s="78">
        <v>96.042000000000002</v>
      </c>
      <c r="G68" s="78">
        <v>19.808</v>
      </c>
      <c r="H68" s="78">
        <v>34.162999999999997</v>
      </c>
      <c r="I68" s="78">
        <v>7.1639999999999997</v>
      </c>
      <c r="J68" s="79">
        <v>5332.07</v>
      </c>
      <c r="K68" s="79">
        <v>1566</v>
      </c>
      <c r="L68" s="38"/>
      <c r="M68" s="38"/>
      <c r="N68" s="38"/>
      <c r="O68" s="38"/>
    </row>
    <row r="69" spans="1:15" s="37" customFormat="1" ht="13.5" customHeight="1" x14ac:dyDescent="0.15">
      <c r="A69" s="77" t="s">
        <v>21</v>
      </c>
      <c r="B69" s="78">
        <v>258.00099999999998</v>
      </c>
      <c r="C69" s="78">
        <v>95.501999999999995</v>
      </c>
      <c r="D69" s="78">
        <v>93.995999999999995</v>
      </c>
      <c r="E69" s="78">
        <v>18.378</v>
      </c>
      <c r="F69" s="78">
        <v>150.18799999999999</v>
      </c>
      <c r="G69" s="78">
        <v>30.997</v>
      </c>
      <c r="H69" s="78">
        <v>60.396999999999998</v>
      </c>
      <c r="I69" s="78">
        <v>10.907999999999999</v>
      </c>
      <c r="J69" s="79">
        <v>2119.14</v>
      </c>
      <c r="K69" s="79">
        <v>1498</v>
      </c>
      <c r="L69" s="38"/>
      <c r="M69" s="38"/>
      <c r="N69" s="38"/>
      <c r="O69" s="38"/>
    </row>
    <row r="70" spans="1:15" s="37" customFormat="1" ht="13.5" customHeight="1" x14ac:dyDescent="0.15">
      <c r="A70" s="77" t="s">
        <v>89</v>
      </c>
      <c r="B70" s="78">
        <v>595.98599999999999</v>
      </c>
      <c r="C70" s="78">
        <v>263.22500000000002</v>
      </c>
      <c r="D70" s="78">
        <v>204.08500000000001</v>
      </c>
      <c r="E70" s="78">
        <v>29.978999999999999</v>
      </c>
      <c r="F70" s="78">
        <v>328.91800000000001</v>
      </c>
      <c r="G70" s="78">
        <v>171.50200000000001</v>
      </c>
      <c r="H70" s="78">
        <v>84.212999999999994</v>
      </c>
      <c r="I70" s="78">
        <v>8.8209999999999997</v>
      </c>
      <c r="J70" s="79">
        <v>5754.88</v>
      </c>
      <c r="K70" s="79">
        <v>1363</v>
      </c>
      <c r="L70" s="38"/>
      <c r="M70" s="38"/>
      <c r="N70" s="38"/>
      <c r="O70" s="38"/>
    </row>
    <row r="71" spans="1:15" s="37" customFormat="1" ht="13.5" customHeight="1" x14ac:dyDescent="0.15">
      <c r="A71" s="77"/>
      <c r="B71" s="78" t="s">
        <v>207</v>
      </c>
      <c r="C71" s="78" t="s">
        <v>207</v>
      </c>
      <c r="D71" s="78" t="s">
        <v>207</v>
      </c>
      <c r="E71" s="78" t="s">
        <v>207</v>
      </c>
      <c r="F71" s="78" t="s">
        <v>207</v>
      </c>
      <c r="G71" s="78" t="s">
        <v>207</v>
      </c>
      <c r="H71" s="78" t="s">
        <v>207</v>
      </c>
      <c r="I71" s="78" t="s">
        <v>207</v>
      </c>
      <c r="J71" s="79" t="s">
        <v>207</v>
      </c>
      <c r="K71" s="79" t="s">
        <v>207</v>
      </c>
      <c r="L71" s="38"/>
      <c r="M71" s="38"/>
      <c r="N71" s="38"/>
      <c r="O71" s="38"/>
    </row>
    <row r="72" spans="1:15" s="37" customFormat="1" ht="13.5" customHeight="1" x14ac:dyDescent="0.15">
      <c r="A72" s="77" t="s">
        <v>90</v>
      </c>
      <c r="B72" s="78">
        <v>440.767</v>
      </c>
      <c r="C72" s="78">
        <v>66.484999999999999</v>
      </c>
      <c r="D72" s="78">
        <v>265.01799999999997</v>
      </c>
      <c r="E72" s="78">
        <v>35.08</v>
      </c>
      <c r="F72" s="78">
        <v>499.154</v>
      </c>
      <c r="G72" s="78">
        <v>277.10199999999998</v>
      </c>
      <c r="H72" s="78">
        <v>121.12</v>
      </c>
      <c r="I72" s="78">
        <v>12.916</v>
      </c>
      <c r="J72" s="79">
        <v>1438.06</v>
      </c>
      <c r="K72" s="79">
        <v>1308</v>
      </c>
      <c r="L72" s="38"/>
      <c r="M72" s="38"/>
      <c r="N72" s="38"/>
      <c r="O72" s="38"/>
    </row>
    <row r="73" spans="1:15" s="37" customFormat="1" ht="13.5" customHeight="1" x14ac:dyDescent="0.15">
      <c r="A73" s="77" t="s">
        <v>91</v>
      </c>
      <c r="B73" s="78">
        <v>884.97299999999996</v>
      </c>
      <c r="C73" s="78">
        <v>406.01600000000002</v>
      </c>
      <c r="D73" s="78">
        <v>240.816</v>
      </c>
      <c r="E73" s="78">
        <v>114.554</v>
      </c>
      <c r="F73" s="78">
        <v>344.34500000000003</v>
      </c>
      <c r="G73" s="78">
        <v>149.78700000000001</v>
      </c>
      <c r="H73" s="78">
        <v>112.20099999999999</v>
      </c>
      <c r="I73" s="78">
        <v>30.635000000000002</v>
      </c>
      <c r="J73" s="79">
        <v>9376.48</v>
      </c>
      <c r="K73" s="79">
        <v>1242</v>
      </c>
      <c r="L73" s="38"/>
      <c r="M73" s="38"/>
      <c r="N73" s="38"/>
      <c r="O73" s="38"/>
    </row>
    <row r="74" spans="1:15" s="37" customFormat="1" ht="13.5" customHeight="1" x14ac:dyDescent="0.15">
      <c r="A74" s="77" t="s">
        <v>92</v>
      </c>
      <c r="B74" s="78">
        <v>244.18799999999999</v>
      </c>
      <c r="C74" s="78">
        <v>54.491</v>
      </c>
      <c r="D74" s="78">
        <v>118.36799999999999</v>
      </c>
      <c r="E74" s="78">
        <v>14.452</v>
      </c>
      <c r="F74" s="78">
        <v>536.17700000000002</v>
      </c>
      <c r="G74" s="78">
        <v>315.04399999999998</v>
      </c>
      <c r="H74" s="78">
        <v>151.27799999999999</v>
      </c>
      <c r="I74" s="78">
        <v>8.7029999999999994</v>
      </c>
      <c r="J74" s="79">
        <v>5703.56</v>
      </c>
      <c r="K74" s="79">
        <v>1303</v>
      </c>
      <c r="L74" s="38"/>
      <c r="M74" s="38"/>
      <c r="N74" s="38"/>
      <c r="O74" s="38"/>
    </row>
    <row r="75" spans="1:15" s="37" customFormat="1" ht="13.5" customHeight="1" x14ac:dyDescent="0.15">
      <c r="A75" s="77"/>
      <c r="B75" s="78" t="s">
        <v>207</v>
      </c>
      <c r="C75" s="78" t="s">
        <v>207</v>
      </c>
      <c r="D75" s="78" t="s">
        <v>207</v>
      </c>
      <c r="E75" s="78" t="s">
        <v>207</v>
      </c>
      <c r="F75" s="78" t="s">
        <v>207</v>
      </c>
      <c r="G75" s="78" t="s">
        <v>207</v>
      </c>
      <c r="H75" s="78" t="s">
        <v>207</v>
      </c>
      <c r="I75" s="78" t="s">
        <v>207</v>
      </c>
      <c r="J75" s="79" t="s">
        <v>207</v>
      </c>
      <c r="K75" s="79" t="s">
        <v>207</v>
      </c>
      <c r="L75" s="38"/>
      <c r="M75" s="38"/>
      <c r="N75" s="38"/>
      <c r="O75" s="38"/>
    </row>
    <row r="76" spans="1:15" s="37" customFormat="1" ht="13.5" customHeight="1" x14ac:dyDescent="0.15">
      <c r="A76" s="77" t="s">
        <v>93</v>
      </c>
      <c r="B76" s="78">
        <v>658.85199999999998</v>
      </c>
      <c r="C76" s="78">
        <v>250.18799999999999</v>
      </c>
      <c r="D76" s="78">
        <v>112.149</v>
      </c>
      <c r="E76" s="78">
        <v>62.698</v>
      </c>
      <c r="F76" s="78">
        <v>247.946</v>
      </c>
      <c r="G76" s="78">
        <v>43.530999999999999</v>
      </c>
      <c r="H76" s="78">
        <v>108.947</v>
      </c>
      <c r="I76" s="78">
        <v>15.65</v>
      </c>
      <c r="J76" s="79">
        <v>8174.05</v>
      </c>
      <c r="K76" s="79">
        <v>1239</v>
      </c>
      <c r="L76" s="38"/>
      <c r="M76" s="38"/>
      <c r="N76" s="38"/>
      <c r="O76" s="38"/>
    </row>
    <row r="77" spans="1:15" s="37" customFormat="1" ht="13.5" customHeight="1" x14ac:dyDescent="0.15">
      <c r="A77" s="77" t="s">
        <v>94</v>
      </c>
      <c r="B77" s="78">
        <v>876.34199999999998</v>
      </c>
      <c r="C77" s="78">
        <v>362.65699999999998</v>
      </c>
      <c r="D77" s="78">
        <v>184.08099999999999</v>
      </c>
      <c r="E77" s="78">
        <v>151.45099999999999</v>
      </c>
      <c r="F77" s="78">
        <v>531.15899999999999</v>
      </c>
      <c r="G77" s="78">
        <v>275.08499999999998</v>
      </c>
      <c r="H77" s="78">
        <v>188.15</v>
      </c>
      <c r="I77" s="78">
        <v>6.8570000000000002</v>
      </c>
      <c r="J77" s="79">
        <v>4537.9799999999996</v>
      </c>
      <c r="K77" s="79">
        <v>1348</v>
      </c>
      <c r="L77" s="38"/>
      <c r="M77" s="38"/>
      <c r="N77" s="38"/>
      <c r="O77" s="38"/>
    </row>
    <row r="78" spans="1:15" s="37" customFormat="1" ht="13.5" customHeight="1" x14ac:dyDescent="0.15">
      <c r="A78" s="77" t="s">
        <v>95</v>
      </c>
      <c r="B78" s="78">
        <v>757.82500000000005</v>
      </c>
      <c r="C78" s="78">
        <v>298.26100000000002</v>
      </c>
      <c r="D78" s="78">
        <v>236.786</v>
      </c>
      <c r="E78" s="78">
        <v>80.466999999999999</v>
      </c>
      <c r="F78" s="78">
        <v>344.75200000000001</v>
      </c>
      <c r="G78" s="78">
        <v>62.94</v>
      </c>
      <c r="H78" s="78">
        <v>161.732</v>
      </c>
      <c r="I78" s="78">
        <v>43.023000000000003</v>
      </c>
      <c r="J78" s="79">
        <v>11027.58</v>
      </c>
      <c r="K78" s="79">
        <v>1262</v>
      </c>
      <c r="L78" s="38"/>
      <c r="M78" s="38"/>
      <c r="N78" s="38"/>
      <c r="O78" s="38"/>
    </row>
    <row r="79" spans="1:15" s="37" customFormat="1" ht="13.5" customHeight="1" x14ac:dyDescent="0.15">
      <c r="A79" s="77"/>
      <c r="B79" s="78" t="s">
        <v>207</v>
      </c>
      <c r="C79" s="78" t="s">
        <v>207</v>
      </c>
      <c r="D79" s="78" t="s">
        <v>207</v>
      </c>
      <c r="E79" s="78" t="s">
        <v>207</v>
      </c>
      <c r="F79" s="78" t="s">
        <v>207</v>
      </c>
      <c r="G79" s="78" t="s">
        <v>207</v>
      </c>
      <c r="H79" s="78" t="s">
        <v>207</v>
      </c>
      <c r="I79" s="78" t="s">
        <v>207</v>
      </c>
      <c r="J79" s="79" t="s">
        <v>207</v>
      </c>
      <c r="K79" s="79" t="s">
        <v>207</v>
      </c>
      <c r="L79" s="38"/>
      <c r="M79" s="38"/>
      <c r="N79" s="38"/>
      <c r="O79" s="38"/>
    </row>
    <row r="80" spans="1:15" s="37" customFormat="1" ht="13.5" customHeight="1" x14ac:dyDescent="0.15">
      <c r="A80" s="77" t="s">
        <v>96</v>
      </c>
      <c r="B80" s="31">
        <v>333.24599999999998</v>
      </c>
      <c r="C80" s="31">
        <v>62.607999999999997</v>
      </c>
      <c r="D80" s="31">
        <v>157.11799999999999</v>
      </c>
      <c r="E80" s="31">
        <v>38.165999999999997</v>
      </c>
      <c r="F80" s="31">
        <v>358.83600000000001</v>
      </c>
      <c r="G80" s="31">
        <v>126.098</v>
      </c>
      <c r="H80" s="31">
        <v>125.89</v>
      </c>
      <c r="I80" s="31">
        <v>23.608000000000001</v>
      </c>
      <c r="J80" s="34">
        <v>3587.73</v>
      </c>
      <c r="K80" s="79">
        <v>2287</v>
      </c>
      <c r="L80" s="38"/>
      <c r="M80" s="38"/>
      <c r="N80" s="38"/>
      <c r="O80" s="38"/>
    </row>
    <row r="81" spans="1:12" s="71" customFormat="1" ht="13.5" customHeight="1" x14ac:dyDescent="0.15">
      <c r="A81" s="77" t="s">
        <v>97</v>
      </c>
      <c r="B81" s="31">
        <v>473.73599999999999</v>
      </c>
      <c r="C81" s="31">
        <v>169.59800000000001</v>
      </c>
      <c r="D81" s="31">
        <v>147.79</v>
      </c>
      <c r="E81" s="31">
        <v>15.957000000000001</v>
      </c>
      <c r="F81" s="31">
        <v>456.5</v>
      </c>
      <c r="G81" s="31">
        <v>171.44499999999999</v>
      </c>
      <c r="H81" s="31">
        <v>55.192</v>
      </c>
      <c r="I81" s="31">
        <v>21.692</v>
      </c>
      <c r="J81" s="34">
        <v>2246.81</v>
      </c>
      <c r="K81" s="79">
        <v>2365</v>
      </c>
      <c r="L81" s="173"/>
    </row>
    <row r="82" spans="1:12" x14ac:dyDescent="0.15">
      <c r="A82" s="77" t="s">
        <v>98</v>
      </c>
      <c r="B82" s="31">
        <v>593.375</v>
      </c>
      <c r="C82" s="31">
        <v>277.07400000000001</v>
      </c>
      <c r="D82" s="31">
        <v>170.88499999999999</v>
      </c>
      <c r="E82" s="31">
        <v>10.067</v>
      </c>
      <c r="F82" s="31">
        <v>257.80599999999998</v>
      </c>
      <c r="G82" s="31">
        <v>76.314999999999998</v>
      </c>
      <c r="H82" s="31">
        <v>65.352999999999994</v>
      </c>
      <c r="I82" s="31">
        <v>48.460999999999999</v>
      </c>
      <c r="J82" s="34">
        <v>9416.11</v>
      </c>
      <c r="K82" s="79">
        <v>2648</v>
      </c>
      <c r="L82" s="37"/>
    </row>
    <row r="83" spans="1:12" x14ac:dyDescent="0.15">
      <c r="A83" s="77"/>
      <c r="B83" s="31"/>
      <c r="C83" s="31"/>
      <c r="D83" s="31"/>
      <c r="E83" s="31"/>
      <c r="F83" s="31"/>
      <c r="G83" s="31"/>
      <c r="H83" s="31"/>
      <c r="I83" s="31"/>
      <c r="J83" s="34"/>
      <c r="K83" s="79"/>
      <c r="L83" s="37"/>
    </row>
    <row r="84" spans="1:12" x14ac:dyDescent="0.15">
      <c r="A84" s="77" t="s">
        <v>209</v>
      </c>
      <c r="B84" s="31">
        <v>385.27401000000003</v>
      </c>
      <c r="C84" s="31">
        <v>263.15262000000001</v>
      </c>
      <c r="D84" s="31">
        <v>82.065280000000001</v>
      </c>
      <c r="E84" s="31">
        <v>5.0490000000000004</v>
      </c>
      <c r="F84" s="31">
        <v>185.88773999999998</v>
      </c>
      <c r="G84" s="31">
        <v>104.28675</v>
      </c>
      <c r="H84" s="31">
        <v>27.962430000000001</v>
      </c>
      <c r="I84" s="31">
        <v>28.93543</v>
      </c>
      <c r="J84" s="34">
        <v>2736.12</v>
      </c>
      <c r="K84" s="79">
        <v>3556</v>
      </c>
      <c r="L84" s="37"/>
    </row>
    <row r="85" spans="1:12" x14ac:dyDescent="0.15">
      <c r="A85" s="77" t="s">
        <v>21</v>
      </c>
      <c r="B85" s="31">
        <v>166.01048</v>
      </c>
      <c r="C85" s="31">
        <v>28.199120000000001</v>
      </c>
      <c r="D85" s="31">
        <v>94.894480000000016</v>
      </c>
      <c r="E85" s="31">
        <v>9.3344199999999997</v>
      </c>
      <c r="F85" s="31">
        <v>215.95565999999999</v>
      </c>
      <c r="G85" s="31">
        <v>20.610370000000003</v>
      </c>
      <c r="H85" s="31">
        <v>28.16028</v>
      </c>
      <c r="I85" s="31">
        <v>64.722250000000003</v>
      </c>
      <c r="J85" s="34">
        <v>956.32</v>
      </c>
      <c r="K85" s="79">
        <v>3340</v>
      </c>
      <c r="L85" s="37"/>
    </row>
    <row r="86" spans="1:12" x14ac:dyDescent="0.15">
      <c r="A86" s="77" t="s">
        <v>89</v>
      </c>
      <c r="B86" s="31">
        <v>728.83808999999997</v>
      </c>
      <c r="C86" s="31">
        <v>290.51535999999999</v>
      </c>
      <c r="D86" s="31">
        <v>246.47654999999997</v>
      </c>
      <c r="E86" s="31">
        <v>7.8933</v>
      </c>
      <c r="F86" s="31">
        <v>242.04410000000001</v>
      </c>
      <c r="G86" s="31">
        <v>53.939600000000006</v>
      </c>
      <c r="H86" s="31">
        <v>109.33575</v>
      </c>
      <c r="I86" s="31">
        <v>8.0160999999999998</v>
      </c>
      <c r="J86" s="34">
        <v>3951.75</v>
      </c>
      <c r="K86" s="79">
        <v>3048</v>
      </c>
      <c r="L86" s="37"/>
    </row>
    <row r="87" spans="1:12" x14ac:dyDescent="0.15">
      <c r="A87" s="77"/>
      <c r="B87" s="31"/>
      <c r="C87" s="31"/>
      <c r="D87" s="31"/>
      <c r="E87" s="31"/>
      <c r="F87" s="31"/>
      <c r="G87" s="31"/>
      <c r="H87" s="31"/>
      <c r="I87" s="31"/>
      <c r="J87" s="34"/>
      <c r="K87" s="79"/>
      <c r="L87" s="37"/>
    </row>
    <row r="88" spans="1:12" x14ac:dyDescent="0.15">
      <c r="A88" s="77" t="s">
        <v>90</v>
      </c>
      <c r="B88" s="31">
        <v>226.17103</v>
      </c>
      <c r="C88" s="31">
        <v>84.241450000000015</v>
      </c>
      <c r="D88" s="31">
        <v>70.932539999999989</v>
      </c>
      <c r="E88" s="31">
        <v>13.894959999999999</v>
      </c>
      <c r="F88" s="31">
        <v>179.03860999999998</v>
      </c>
      <c r="G88" s="31">
        <v>34.376300000000001</v>
      </c>
      <c r="H88" s="31">
        <v>78.026929999999993</v>
      </c>
      <c r="I88" s="31">
        <v>12.39048</v>
      </c>
      <c r="J88" s="34">
        <v>1227.5</v>
      </c>
      <c r="K88" s="79">
        <v>2887</v>
      </c>
      <c r="L88" s="37"/>
    </row>
    <row r="89" spans="1:12" x14ac:dyDescent="0.15">
      <c r="A89" s="77" t="s">
        <v>91</v>
      </c>
      <c r="B89" s="31">
        <v>758.56871999999998</v>
      </c>
      <c r="C89" s="31">
        <v>138.06764999999999</v>
      </c>
      <c r="D89" s="31">
        <v>500.75072999999998</v>
      </c>
      <c r="E89" s="31">
        <v>12.764569999999999</v>
      </c>
      <c r="F89" s="31">
        <v>436.05296000000004</v>
      </c>
      <c r="G89" s="31">
        <v>135.50706999999997</v>
      </c>
      <c r="H89" s="31">
        <v>178.62613000000002</v>
      </c>
      <c r="I89" s="31">
        <v>9.0092999999999996</v>
      </c>
      <c r="J89" s="34">
        <v>9010.33</v>
      </c>
      <c r="K89" s="79">
        <v>2586</v>
      </c>
      <c r="L89" s="37"/>
    </row>
    <row r="90" spans="1:12" x14ac:dyDescent="0.15">
      <c r="A90" s="77" t="s">
        <v>92</v>
      </c>
      <c r="B90" s="31">
        <v>421.97101000000004</v>
      </c>
      <c r="C90" s="31">
        <v>191.69887</v>
      </c>
      <c r="D90" s="31">
        <v>64.730509999999995</v>
      </c>
      <c r="E90" s="31">
        <v>51.715150000000001</v>
      </c>
      <c r="F90" s="31">
        <v>530.27076</v>
      </c>
      <c r="G90" s="31">
        <v>261.69398999999999</v>
      </c>
      <c r="H90" s="31">
        <v>87.459360000000004</v>
      </c>
      <c r="I90" s="31">
        <v>18.694310000000002</v>
      </c>
      <c r="J90" s="34">
        <v>9658.41</v>
      </c>
      <c r="K90" s="79">
        <v>2461</v>
      </c>
      <c r="L90" s="37"/>
    </row>
    <row r="91" spans="1:12" x14ac:dyDescent="0.15">
      <c r="A91" s="77"/>
      <c r="B91" s="31"/>
      <c r="C91" s="31"/>
      <c r="D91" s="31"/>
      <c r="E91" s="31"/>
      <c r="F91" s="31"/>
      <c r="G91" s="31"/>
      <c r="H91" s="31"/>
      <c r="I91" s="31"/>
      <c r="J91" s="34"/>
      <c r="K91" s="79"/>
      <c r="L91" s="37"/>
    </row>
    <row r="92" spans="1:12" x14ac:dyDescent="0.15">
      <c r="A92" s="77" t="s">
        <v>93</v>
      </c>
      <c r="B92" s="31">
        <v>191.88542999999999</v>
      </c>
      <c r="C92" s="31">
        <v>51.025040000000004</v>
      </c>
      <c r="D92" s="31">
        <v>65.534030000000001</v>
      </c>
      <c r="E92" s="31">
        <v>4.0535100000000002</v>
      </c>
      <c r="F92" s="31">
        <v>347.32247999999998</v>
      </c>
      <c r="G92" s="31">
        <v>158.32849999999999</v>
      </c>
      <c r="H92" s="31">
        <v>95.993920000000003</v>
      </c>
      <c r="I92" s="31">
        <v>6.9326699999999999</v>
      </c>
      <c r="J92" s="34">
        <v>3736.87</v>
      </c>
      <c r="K92" s="79">
        <v>3324</v>
      </c>
      <c r="L92" s="37"/>
    </row>
    <row r="93" spans="1:12" x14ac:dyDescent="0.15">
      <c r="A93" s="77" t="s">
        <v>94</v>
      </c>
      <c r="B93" s="31">
        <v>384.59174999999999</v>
      </c>
      <c r="C93" s="31">
        <v>57.163820000000008</v>
      </c>
      <c r="D93" s="31">
        <v>222.20354</v>
      </c>
      <c r="E93" s="31">
        <v>9.4727499999999996</v>
      </c>
      <c r="F93" s="31">
        <v>159.48439000000002</v>
      </c>
      <c r="G93" s="31">
        <v>33.99127</v>
      </c>
      <c r="H93" s="31">
        <v>47.583880000000001</v>
      </c>
      <c r="I93" s="31">
        <v>2.0364900000000001</v>
      </c>
      <c r="J93" s="34">
        <v>2417.0500000000002</v>
      </c>
      <c r="K93" s="79">
        <v>3728</v>
      </c>
      <c r="L93" s="37"/>
    </row>
    <row r="94" spans="1:12" x14ac:dyDescent="0.15">
      <c r="A94" s="77" t="s">
        <v>95</v>
      </c>
      <c r="B94" s="31">
        <v>496.97442999999998</v>
      </c>
      <c r="C94" s="31">
        <v>272.78379000000001</v>
      </c>
      <c r="D94" s="31">
        <v>79.04607</v>
      </c>
      <c r="E94" s="31">
        <v>9.1029699999999991</v>
      </c>
      <c r="F94" s="31">
        <v>387.62569999999999</v>
      </c>
      <c r="G94" s="31">
        <v>184.03758000000002</v>
      </c>
      <c r="H94" s="31">
        <v>61.720340000000007</v>
      </c>
      <c r="I94" s="31">
        <v>7.6568100000000001</v>
      </c>
      <c r="J94" s="34">
        <v>2923.47</v>
      </c>
      <c r="K94" s="79">
        <v>3958</v>
      </c>
      <c r="L94" s="37"/>
    </row>
    <row r="95" spans="1:12" x14ac:dyDescent="0.15">
      <c r="A95" s="77"/>
      <c r="B95" s="31"/>
      <c r="C95" s="31"/>
      <c r="D95" s="31"/>
      <c r="E95" s="31"/>
      <c r="F95" s="31"/>
      <c r="G95" s="31"/>
      <c r="H95" s="31"/>
      <c r="I95" s="31"/>
      <c r="J95" s="34"/>
      <c r="K95" s="79"/>
      <c r="L95" s="37"/>
    </row>
    <row r="96" spans="1:12" x14ac:dyDescent="0.15">
      <c r="A96" s="77" t="s">
        <v>223</v>
      </c>
      <c r="B96" s="191">
        <v>500.60046</v>
      </c>
      <c r="C96" s="31">
        <v>313.01289000000003</v>
      </c>
      <c r="D96" s="31">
        <v>59.474220000000003</v>
      </c>
      <c r="E96" s="31">
        <v>27.585330000000003</v>
      </c>
      <c r="F96" s="31">
        <v>214.28519</v>
      </c>
      <c r="G96" s="31">
        <v>97.717789999999994</v>
      </c>
      <c r="H96" s="31">
        <v>45.654269999999997</v>
      </c>
      <c r="I96" s="31">
        <v>7.1407100000000003</v>
      </c>
      <c r="J96" s="34">
        <v>3608.97</v>
      </c>
      <c r="K96" s="34">
        <v>3861</v>
      </c>
      <c r="L96" s="37"/>
    </row>
    <row r="97" spans="1:12" x14ac:dyDescent="0.15">
      <c r="A97" s="77" t="s">
        <v>225</v>
      </c>
      <c r="B97" s="191">
        <v>318.34740999999997</v>
      </c>
      <c r="C97" s="31">
        <v>82.129800000000003</v>
      </c>
      <c r="D97" s="31">
        <v>88.403670000000005</v>
      </c>
      <c r="E97" s="31">
        <v>43.768839999999997</v>
      </c>
      <c r="F97" s="31">
        <v>308.45271000000002</v>
      </c>
      <c r="G97" s="31">
        <v>93.915679999999995</v>
      </c>
      <c r="H97" s="31">
        <v>99.240369999999984</v>
      </c>
      <c r="I97" s="31">
        <v>22.430009999999999</v>
      </c>
      <c r="J97" s="34">
        <v>4332.16</v>
      </c>
      <c r="K97" s="34">
        <v>3861</v>
      </c>
      <c r="L97" s="37"/>
    </row>
    <row r="98" spans="1:12" x14ac:dyDescent="0.15">
      <c r="A98" s="77" t="s">
        <v>226</v>
      </c>
      <c r="B98" s="191">
        <v>783.25740000000008</v>
      </c>
      <c r="C98" s="31">
        <v>377.72602999999998</v>
      </c>
      <c r="D98" s="31">
        <v>104.34885000000003</v>
      </c>
      <c r="E98" s="31">
        <v>103.56516999999999</v>
      </c>
      <c r="F98" s="31">
        <v>225.82423</v>
      </c>
      <c r="G98" s="31">
        <v>90.040480000000017</v>
      </c>
      <c r="H98" s="31">
        <v>61.594269999999995</v>
      </c>
      <c r="I98" s="31">
        <v>9.9726800000000004</v>
      </c>
      <c r="J98" s="34">
        <v>5092.46</v>
      </c>
      <c r="K98" s="34">
        <v>4001</v>
      </c>
      <c r="L98" s="37"/>
    </row>
    <row r="99" spans="1:12" x14ac:dyDescent="0.15">
      <c r="A99" s="77"/>
      <c r="B99" s="31"/>
      <c r="C99" s="31"/>
      <c r="D99" s="31"/>
      <c r="E99" s="31"/>
      <c r="F99" s="31"/>
      <c r="G99" s="31"/>
      <c r="H99" s="31"/>
      <c r="I99" s="31"/>
      <c r="J99" s="34"/>
      <c r="K99" s="190"/>
      <c r="L99" s="37"/>
    </row>
    <row r="100" spans="1:12" x14ac:dyDescent="0.15">
      <c r="A100" s="77" t="s">
        <v>267</v>
      </c>
      <c r="B100" s="191">
        <v>225.92186999999998</v>
      </c>
      <c r="C100" s="31">
        <v>97.926860000000005</v>
      </c>
      <c r="D100" s="31">
        <v>49.800799999999995</v>
      </c>
      <c r="E100" s="31">
        <v>12.20504</v>
      </c>
      <c r="F100" s="31">
        <v>96.786940000000001</v>
      </c>
      <c r="G100" s="31">
        <v>43.751270000000005</v>
      </c>
      <c r="H100" s="31">
        <v>28.552350000000001</v>
      </c>
      <c r="I100" s="31">
        <v>5.1488199999999997</v>
      </c>
      <c r="J100" s="34">
        <v>952.89</v>
      </c>
      <c r="K100" s="34">
        <v>3996</v>
      </c>
    </row>
    <row r="101" spans="1:12" x14ac:dyDescent="0.15">
      <c r="A101" s="77" t="s">
        <v>21</v>
      </c>
      <c r="B101" s="191">
        <v>206.40025</v>
      </c>
      <c r="C101" s="31">
        <v>88.52919</v>
      </c>
      <c r="D101" s="31">
        <v>68.398309999999981</v>
      </c>
      <c r="E101" s="31">
        <v>4.7308599999999998</v>
      </c>
      <c r="F101" s="31">
        <v>514.11846000000003</v>
      </c>
      <c r="G101" s="31">
        <v>218.72708000000003</v>
      </c>
      <c r="H101" s="31">
        <v>27.587979999999998</v>
      </c>
      <c r="I101" s="31">
        <v>13.24484</v>
      </c>
      <c r="J101" s="34">
        <v>2554.19</v>
      </c>
      <c r="K101" s="34">
        <v>3814</v>
      </c>
    </row>
    <row r="102" spans="1:12" x14ac:dyDescent="0.15">
      <c r="A102" s="77" t="s">
        <v>89</v>
      </c>
      <c r="B102" s="191">
        <v>301.98298999999997</v>
      </c>
      <c r="C102" s="31">
        <v>136.90321000000003</v>
      </c>
      <c r="D102" s="31">
        <v>43.965170000000001</v>
      </c>
      <c r="E102" s="31">
        <v>13.49696</v>
      </c>
      <c r="F102" s="31">
        <v>160.83149</v>
      </c>
      <c r="G102" s="31">
        <v>33.692300000000003</v>
      </c>
      <c r="H102" s="31">
        <v>66.282109999999989</v>
      </c>
      <c r="I102" s="31">
        <v>7.9213000000000005</v>
      </c>
      <c r="J102" s="34">
        <v>3514.29</v>
      </c>
      <c r="K102" s="34">
        <v>3748</v>
      </c>
    </row>
    <row r="103" spans="1:12" x14ac:dyDescent="0.15">
      <c r="A103" s="77"/>
      <c r="B103" s="191"/>
      <c r="C103" s="31"/>
      <c r="D103" s="31"/>
      <c r="E103" s="31"/>
      <c r="F103" s="31"/>
      <c r="G103" s="31"/>
      <c r="H103" s="31"/>
      <c r="I103" s="31"/>
      <c r="J103" s="34"/>
      <c r="K103" s="34"/>
    </row>
    <row r="104" spans="1:12" x14ac:dyDescent="0.15">
      <c r="A104" s="77" t="s">
        <v>90</v>
      </c>
      <c r="B104" s="191">
        <v>233.91535999999999</v>
      </c>
      <c r="C104" s="31">
        <v>71.783439999999999</v>
      </c>
      <c r="D104" s="31">
        <v>67.897369999999995</v>
      </c>
      <c r="E104" s="31">
        <v>34.279240000000001</v>
      </c>
      <c r="F104" s="31">
        <v>388.84785999999997</v>
      </c>
      <c r="G104" s="31">
        <v>161.96213999999998</v>
      </c>
      <c r="H104" s="31">
        <v>39.125390000000017</v>
      </c>
      <c r="I104" s="31">
        <v>9.8601200000000002</v>
      </c>
      <c r="J104" s="34">
        <v>4827.7</v>
      </c>
      <c r="K104" s="34">
        <v>3747</v>
      </c>
    </row>
    <row r="105" spans="1:12" x14ac:dyDescent="0.15">
      <c r="A105" s="77" t="s">
        <v>91</v>
      </c>
      <c r="B105" s="31">
        <v>282.27833000000004</v>
      </c>
      <c r="C105" s="31">
        <v>54.574349999999995</v>
      </c>
      <c r="D105" s="31">
        <v>66.836420000000004</v>
      </c>
      <c r="E105" s="31">
        <v>91.792090000000002</v>
      </c>
      <c r="F105" s="31">
        <v>191.41716</v>
      </c>
      <c r="G105" s="31">
        <v>63.003449999999994</v>
      </c>
      <c r="H105" s="31">
        <v>45.521040000000006</v>
      </c>
      <c r="I105" s="31">
        <v>28.333729999999999</v>
      </c>
      <c r="J105" s="34">
        <v>5662.92</v>
      </c>
      <c r="K105" s="34">
        <v>3639</v>
      </c>
    </row>
    <row r="106" spans="1:12" x14ac:dyDescent="0.15">
      <c r="A106" s="77" t="s">
        <v>92</v>
      </c>
      <c r="B106" s="31">
        <v>567.85533999999996</v>
      </c>
      <c r="C106" s="31">
        <v>321.11373000000003</v>
      </c>
      <c r="D106" s="31">
        <v>63.943719999999992</v>
      </c>
      <c r="E106" s="31">
        <v>19.923830000000002</v>
      </c>
      <c r="F106" s="31">
        <v>322.33173999999997</v>
      </c>
      <c r="G106" s="31">
        <v>130.65312</v>
      </c>
      <c r="H106" s="31">
        <v>64.009029999999996</v>
      </c>
      <c r="I106" s="31">
        <v>52.80986</v>
      </c>
      <c r="J106" s="34">
        <v>17047.36</v>
      </c>
      <c r="K106" s="34">
        <v>4740</v>
      </c>
    </row>
    <row r="107" spans="1:12" x14ac:dyDescent="0.15">
      <c r="A107" s="77"/>
      <c r="B107" s="31"/>
      <c r="C107" s="31"/>
      <c r="D107" s="31"/>
      <c r="E107" s="31"/>
      <c r="F107" s="31"/>
      <c r="G107" s="31"/>
      <c r="H107" s="31"/>
      <c r="I107" s="31"/>
      <c r="J107" s="34"/>
      <c r="K107" s="34"/>
    </row>
    <row r="108" spans="1:12" x14ac:dyDescent="0.15">
      <c r="A108" s="77" t="s">
        <v>93</v>
      </c>
      <c r="B108" s="31">
        <v>200.62393</v>
      </c>
      <c r="C108" s="31">
        <v>33.051099999999998</v>
      </c>
      <c r="D108" s="31">
        <v>82.223180000000013</v>
      </c>
      <c r="E108" s="31">
        <v>22.44969</v>
      </c>
      <c r="F108" s="31">
        <v>456.30907000000002</v>
      </c>
      <c r="G108" s="31">
        <v>136.25994999999998</v>
      </c>
      <c r="H108" s="31">
        <v>209.39077999999998</v>
      </c>
      <c r="I108" s="31">
        <v>16.498450000000002</v>
      </c>
      <c r="J108" s="34">
        <v>7165.09</v>
      </c>
      <c r="K108" s="34">
        <v>5172</v>
      </c>
    </row>
    <row r="109" spans="1:12" x14ac:dyDescent="0.15">
      <c r="A109" s="77" t="s">
        <v>139</v>
      </c>
      <c r="B109" s="31">
        <v>449.87148999999999</v>
      </c>
      <c r="C109" s="31">
        <v>258.57932</v>
      </c>
      <c r="D109" s="31">
        <v>76.948669999999993</v>
      </c>
      <c r="E109" s="31">
        <v>6.7483900000000006</v>
      </c>
      <c r="F109" s="31">
        <v>114.09155</v>
      </c>
      <c r="G109" s="31">
        <v>26.867750000000001</v>
      </c>
      <c r="H109" s="31">
        <v>37.472000000000008</v>
      </c>
      <c r="I109" s="31">
        <v>14.78966</v>
      </c>
      <c r="J109" s="34">
        <v>945.49</v>
      </c>
      <c r="K109" s="34">
        <v>4712</v>
      </c>
    </row>
    <row r="110" spans="1:12" x14ac:dyDescent="0.15">
      <c r="A110" s="77" t="s">
        <v>272</v>
      </c>
      <c r="B110" s="31">
        <v>239.31654999999998</v>
      </c>
      <c r="C110" s="31">
        <v>78.752139999999997</v>
      </c>
      <c r="D110" s="31">
        <v>57.956549999999986</v>
      </c>
      <c r="E110" s="31">
        <v>24.52731</v>
      </c>
      <c r="F110" s="31">
        <v>275.90767</v>
      </c>
      <c r="G110" s="31">
        <v>147.80934999999999</v>
      </c>
      <c r="H110" s="31">
        <v>29.338019999999997</v>
      </c>
      <c r="I110" s="31">
        <v>3.2482800000000003</v>
      </c>
      <c r="J110" s="34">
        <v>12471.73</v>
      </c>
      <c r="K110" s="34">
        <v>4557</v>
      </c>
    </row>
    <row r="111" spans="1:12" x14ac:dyDescent="0.15">
      <c r="A111" s="77"/>
      <c r="B111" s="31"/>
      <c r="C111" s="31"/>
      <c r="D111" s="31"/>
      <c r="E111" s="31"/>
      <c r="F111" s="31"/>
      <c r="G111" s="31"/>
      <c r="H111" s="31"/>
      <c r="I111" s="31"/>
      <c r="J111" s="34"/>
      <c r="K111" s="34"/>
    </row>
    <row r="112" spans="1:12" x14ac:dyDescent="0.15">
      <c r="A112" s="77" t="s">
        <v>276</v>
      </c>
      <c r="B112" s="31">
        <v>546.82500000000005</v>
      </c>
      <c r="C112" s="191">
        <v>213.46377999999996</v>
      </c>
      <c r="D112" s="191">
        <v>192.54595</v>
      </c>
      <c r="E112" s="191">
        <v>10.51666</v>
      </c>
      <c r="F112" s="191">
        <v>194.88907</v>
      </c>
      <c r="G112" s="191">
        <v>30.0379</v>
      </c>
      <c r="H112" s="191">
        <v>59.573699999999988</v>
      </c>
      <c r="I112" s="191">
        <v>7.4165400000000004</v>
      </c>
      <c r="J112" s="219">
        <v>2724.46</v>
      </c>
      <c r="K112" s="219">
        <v>4347</v>
      </c>
    </row>
    <row r="113" spans="1:11" x14ac:dyDescent="0.15">
      <c r="A113" s="77" t="s">
        <v>145</v>
      </c>
      <c r="B113" s="191">
        <v>419.37427000000002</v>
      </c>
      <c r="C113" s="191">
        <v>166.95666999999997</v>
      </c>
      <c r="D113" s="191">
        <v>68.135609999999986</v>
      </c>
      <c r="E113" s="191">
        <v>34.459009999999999</v>
      </c>
      <c r="F113" s="191">
        <v>204.93384</v>
      </c>
      <c r="G113" s="191">
        <v>88.894999999999996</v>
      </c>
      <c r="H113" s="191">
        <v>41.793309999999998</v>
      </c>
      <c r="I113" s="191">
        <v>15.441000000000001</v>
      </c>
      <c r="J113" s="219">
        <v>7408.17</v>
      </c>
      <c r="K113" s="219">
        <v>4342</v>
      </c>
    </row>
    <row r="114" spans="1:11" x14ac:dyDescent="0.15">
      <c r="A114" s="77" t="s">
        <v>281</v>
      </c>
      <c r="B114" s="191">
        <v>353.74427000000003</v>
      </c>
      <c r="C114" s="191">
        <v>161.64318</v>
      </c>
      <c r="D114" s="191">
        <v>93.361190000000008</v>
      </c>
      <c r="E114" s="191">
        <v>18.130470000000003</v>
      </c>
      <c r="F114" s="191">
        <v>104.39165</v>
      </c>
      <c r="G114" s="191">
        <v>22.061029999999999</v>
      </c>
      <c r="H114" s="191">
        <v>32.204879999999996</v>
      </c>
      <c r="I114" s="191">
        <v>13.79322</v>
      </c>
      <c r="J114" s="219">
        <v>4609.8900000000003</v>
      </c>
      <c r="K114" s="219">
        <v>4408</v>
      </c>
    </row>
    <row r="115" spans="1:11" x14ac:dyDescent="0.15">
      <c r="A115" s="77"/>
      <c r="B115" s="191"/>
      <c r="C115" s="191"/>
      <c r="D115" s="191"/>
      <c r="E115" s="191"/>
      <c r="F115" s="191"/>
      <c r="G115" s="191"/>
      <c r="H115" s="191"/>
      <c r="I115" s="191"/>
      <c r="J115" s="219"/>
      <c r="K115" s="219"/>
    </row>
    <row r="116" spans="1:11" x14ac:dyDescent="0.15">
      <c r="A116" s="77" t="s">
        <v>288</v>
      </c>
      <c r="B116" s="191">
        <v>149.11526000000001</v>
      </c>
      <c r="C116" s="191">
        <v>79.840339999999983</v>
      </c>
      <c r="D116" s="191">
        <v>33.969779999999993</v>
      </c>
      <c r="E116" s="191">
        <v>1.32369</v>
      </c>
      <c r="F116" s="191">
        <v>82.167400000000001</v>
      </c>
      <c r="G116" s="191">
        <v>7.7988299999999997</v>
      </c>
      <c r="H116" s="191">
        <v>29.869070000000001</v>
      </c>
      <c r="I116" s="191">
        <v>33.623080000000002</v>
      </c>
      <c r="J116" s="219">
        <v>2521.21</v>
      </c>
      <c r="K116" s="219">
        <v>4197</v>
      </c>
    </row>
    <row r="117" spans="1:11" x14ac:dyDescent="0.15">
      <c r="A117" s="77" t="s">
        <v>153</v>
      </c>
      <c r="B117" s="191">
        <v>105.51951</v>
      </c>
      <c r="C117" s="191">
        <v>18.96659</v>
      </c>
      <c r="D117" s="191">
        <v>56.859379999999994</v>
      </c>
      <c r="E117" s="191">
        <v>2.7566899999999999</v>
      </c>
      <c r="F117" s="191">
        <v>169.02698000000001</v>
      </c>
      <c r="G117" s="191">
        <v>70.846969999999999</v>
      </c>
      <c r="H117" s="191">
        <v>18.774849999999997</v>
      </c>
      <c r="I117" s="191">
        <v>29.44736</v>
      </c>
      <c r="J117" s="219">
        <v>336.42</v>
      </c>
      <c r="K117" s="219">
        <v>4045</v>
      </c>
    </row>
    <row r="118" spans="1:11" x14ac:dyDescent="0.15">
      <c r="A118" s="77" t="s">
        <v>155</v>
      </c>
      <c r="B118" s="191">
        <v>164.10695999999999</v>
      </c>
      <c r="C118" s="191">
        <v>27.433629999999997</v>
      </c>
      <c r="D118" s="191">
        <v>97.616219999999998</v>
      </c>
      <c r="E118" s="191">
        <v>3.7650199999999998</v>
      </c>
      <c r="F118" s="191">
        <v>134.62709000000001</v>
      </c>
      <c r="G118" s="191">
        <v>23.624280000000002</v>
      </c>
      <c r="H118" s="191">
        <v>69.338030000000018</v>
      </c>
      <c r="I118" s="191">
        <v>4.8779500000000002</v>
      </c>
      <c r="J118" s="219">
        <v>2798.42</v>
      </c>
      <c r="K118" s="219">
        <v>3953</v>
      </c>
    </row>
    <row r="119" spans="1:11" x14ac:dyDescent="0.15">
      <c r="A119" s="77"/>
      <c r="B119" s="191"/>
      <c r="C119" s="191"/>
      <c r="D119" s="191"/>
      <c r="E119" s="191"/>
      <c r="F119" s="191"/>
      <c r="G119" s="191"/>
      <c r="H119" s="191"/>
      <c r="I119" s="191"/>
      <c r="J119" s="219"/>
      <c r="K119" s="219"/>
    </row>
    <row r="120" spans="1:11" x14ac:dyDescent="0.15">
      <c r="A120" s="77" t="s">
        <v>123</v>
      </c>
      <c r="B120" s="191">
        <v>190.23337000000001</v>
      </c>
      <c r="C120" s="191">
        <v>31.435629999999996</v>
      </c>
      <c r="D120" s="191">
        <v>56.350490000000001</v>
      </c>
      <c r="E120" s="191">
        <v>56.68486</v>
      </c>
      <c r="F120" s="191">
        <v>157.30070000000001</v>
      </c>
      <c r="G120" s="191">
        <v>33.127949999999998</v>
      </c>
      <c r="H120" s="191">
        <v>59.539440000000006</v>
      </c>
      <c r="I120" s="191">
        <v>10.685049999999999</v>
      </c>
      <c r="J120" s="219">
        <v>2738.8</v>
      </c>
      <c r="K120" s="219">
        <v>3855</v>
      </c>
    </row>
    <row r="121" spans="1:11" x14ac:dyDescent="0.15">
      <c r="A121" s="262" t="s">
        <v>134</v>
      </c>
      <c r="B121" s="191">
        <v>275.22980000000001</v>
      </c>
      <c r="C121" s="191">
        <v>29.703749999999999</v>
      </c>
      <c r="D121" s="191">
        <v>209.03342000000004</v>
      </c>
      <c r="E121" s="191">
        <v>4.3864300000000007</v>
      </c>
      <c r="F121" s="191">
        <v>224.92231000000001</v>
      </c>
      <c r="G121" s="191">
        <v>28.922230000000003</v>
      </c>
      <c r="H121" s="191">
        <v>98.647189999999995</v>
      </c>
      <c r="I121" s="191">
        <v>43.460500000000003</v>
      </c>
      <c r="J121" s="219">
        <v>6806.19</v>
      </c>
      <c r="K121" s="219">
        <v>3783</v>
      </c>
    </row>
    <row r="122" spans="1:11" x14ac:dyDescent="0.15">
      <c r="A122" s="262" t="s">
        <v>130</v>
      </c>
      <c r="B122" s="191">
        <v>130.53286</v>
      </c>
      <c r="C122" s="191">
        <v>26.110869999999998</v>
      </c>
      <c r="D122" s="191">
        <v>55.438550000000006</v>
      </c>
      <c r="E122" s="191">
        <v>12.21331</v>
      </c>
      <c r="F122" s="191">
        <v>131.60641000000001</v>
      </c>
      <c r="G122" s="191">
        <v>23.443339999999999</v>
      </c>
      <c r="H122" s="191">
        <v>36.277160000000002</v>
      </c>
      <c r="I122" s="191">
        <v>18.13363</v>
      </c>
      <c r="J122" s="219">
        <v>1471.5</v>
      </c>
      <c r="K122" s="240">
        <v>3526</v>
      </c>
    </row>
    <row r="123" spans="1:11" x14ac:dyDescent="0.15">
      <c r="A123" s="262"/>
      <c r="B123" s="191"/>
      <c r="C123" s="191"/>
      <c r="D123" s="191"/>
      <c r="E123" s="191"/>
      <c r="F123" s="191"/>
      <c r="G123" s="191"/>
      <c r="H123" s="191"/>
      <c r="I123" s="191"/>
      <c r="J123" s="219"/>
      <c r="K123" s="190"/>
    </row>
    <row r="124" spans="1:11" x14ac:dyDescent="0.15">
      <c r="A124" s="262" t="s">
        <v>305</v>
      </c>
      <c r="B124" s="191">
        <v>185.69932</v>
      </c>
      <c r="C124" s="191">
        <v>36.418150000000004</v>
      </c>
      <c r="D124" s="191">
        <v>59.751539999999999</v>
      </c>
      <c r="E124" s="191">
        <v>39.746000000000002</v>
      </c>
      <c r="F124" s="191">
        <v>253.97892999999999</v>
      </c>
      <c r="G124" s="191">
        <v>91.468890000000002</v>
      </c>
      <c r="H124" s="191">
        <v>44.744459999999989</v>
      </c>
      <c r="I124" s="191">
        <v>41.454219999999999</v>
      </c>
      <c r="J124" s="219">
        <v>649.02</v>
      </c>
      <c r="K124" s="219">
        <v>3348</v>
      </c>
    </row>
    <row r="125" spans="1:11" x14ac:dyDescent="0.15">
      <c r="A125" s="262" t="s">
        <v>309</v>
      </c>
      <c r="B125" s="191">
        <v>247.47315</v>
      </c>
      <c r="C125" s="191">
        <v>76.87285</v>
      </c>
      <c r="D125" s="191">
        <v>42.577359999999999</v>
      </c>
      <c r="E125" s="191">
        <v>60.877569999999999</v>
      </c>
      <c r="F125" s="191">
        <v>346.33031</v>
      </c>
      <c r="G125" s="191">
        <v>191.52657999999997</v>
      </c>
      <c r="H125" s="191">
        <v>38.155949999999997</v>
      </c>
      <c r="I125" s="191">
        <v>15.81589</v>
      </c>
      <c r="J125" s="219">
        <v>6527.86</v>
      </c>
      <c r="K125" s="219">
        <v>3190</v>
      </c>
    </row>
    <row r="126" spans="1:11" x14ac:dyDescent="0.15">
      <c r="A126" s="262" t="s">
        <v>137</v>
      </c>
      <c r="B126" s="191">
        <v>347.65472</v>
      </c>
      <c r="C126" s="191">
        <v>130.38642000000002</v>
      </c>
      <c r="D126" s="191">
        <v>127.57612</v>
      </c>
      <c r="E126" s="191">
        <v>2.9206999999999996</v>
      </c>
      <c r="F126" s="191">
        <v>191.54844</v>
      </c>
      <c r="G126" s="191">
        <v>26.316350000000003</v>
      </c>
      <c r="H126" s="191">
        <v>61.680880000000009</v>
      </c>
      <c r="I126" s="191">
        <v>61.62433</v>
      </c>
      <c r="J126" s="219">
        <v>1209.81</v>
      </c>
      <c r="K126" s="219">
        <v>3284</v>
      </c>
    </row>
    <row r="127" spans="1:11" x14ac:dyDescent="0.15">
      <c r="A127" s="262"/>
      <c r="B127" s="191"/>
      <c r="C127" s="191"/>
      <c r="D127" s="191"/>
      <c r="E127" s="191"/>
      <c r="F127" s="191"/>
      <c r="G127" s="191"/>
      <c r="H127" s="191"/>
      <c r="I127" s="191"/>
      <c r="J127" s="219"/>
      <c r="K127" s="219"/>
    </row>
    <row r="128" spans="1:11" x14ac:dyDescent="0.15">
      <c r="A128" s="262" t="s">
        <v>140</v>
      </c>
      <c r="B128" s="191">
        <v>116.05758</v>
      </c>
      <c r="C128" s="191">
        <v>18.353199999999998</v>
      </c>
      <c r="D128" s="191">
        <v>59.520639999999993</v>
      </c>
      <c r="E128" s="191">
        <v>4.3495499999999998</v>
      </c>
      <c r="F128" s="191">
        <v>87.855460000000008</v>
      </c>
      <c r="G128" s="191">
        <v>20.548449999999995</v>
      </c>
      <c r="H128" s="191">
        <v>28.38241</v>
      </c>
      <c r="I128" s="191">
        <v>3.04508</v>
      </c>
      <c r="J128" s="219">
        <v>971.31</v>
      </c>
      <c r="K128" s="219">
        <v>3179</v>
      </c>
    </row>
    <row r="129" spans="1:11" x14ac:dyDescent="0.15">
      <c r="A129" s="262" t="s">
        <v>145</v>
      </c>
      <c r="B129" s="191">
        <v>245.90309999999999</v>
      </c>
      <c r="C129" s="191">
        <v>84.39448999999999</v>
      </c>
      <c r="D129" s="191">
        <v>92.415500000000009</v>
      </c>
      <c r="E129" s="191">
        <v>16.483709999999999</v>
      </c>
      <c r="F129" s="191">
        <v>79.167509999999993</v>
      </c>
      <c r="G129" s="191">
        <v>18.487010000000001</v>
      </c>
      <c r="H129" s="191">
        <v>26.198749999999997</v>
      </c>
      <c r="I129" s="191">
        <v>6.5463500000000003</v>
      </c>
      <c r="J129" s="219">
        <v>7987.01</v>
      </c>
      <c r="K129" s="219">
        <v>3061</v>
      </c>
    </row>
    <row r="130" spans="1:11" x14ac:dyDescent="0.15">
      <c r="A130" s="262" t="s">
        <v>316</v>
      </c>
      <c r="B130" s="191">
        <v>388.57965000000002</v>
      </c>
      <c r="C130" s="191">
        <v>163.73339999999996</v>
      </c>
      <c r="D130" s="191">
        <v>61.987290000000002</v>
      </c>
      <c r="E130" s="191">
        <v>9.2191600000000005</v>
      </c>
      <c r="F130" s="191">
        <v>77.750100000000003</v>
      </c>
      <c r="G130" s="191">
        <v>15.804020000000001</v>
      </c>
      <c r="H130" s="191">
        <v>31.00207</v>
      </c>
      <c r="I130" s="191">
        <v>12.434100000000001</v>
      </c>
      <c r="J130" s="219">
        <v>13207.5</v>
      </c>
      <c r="K130" s="219">
        <v>2943</v>
      </c>
    </row>
    <row r="131" spans="1:11" x14ac:dyDescent="0.15">
      <c r="A131" s="262"/>
      <c r="B131" s="191"/>
      <c r="C131" s="191"/>
      <c r="D131" s="191"/>
      <c r="E131" s="191"/>
      <c r="F131" s="191"/>
      <c r="G131" s="191"/>
      <c r="H131" s="191"/>
      <c r="I131" s="191"/>
      <c r="J131" s="219"/>
      <c r="K131" s="219"/>
    </row>
    <row r="132" spans="1:11" x14ac:dyDescent="0.15">
      <c r="A132" s="262" t="s">
        <v>319</v>
      </c>
      <c r="B132" s="191">
        <f ca="1">IF($C132="","",[1]!BTSP(B$2,$C132)/1000)</f>
        <v>307.12124999999997</v>
      </c>
      <c r="C132" s="191">
        <f ca="1">IF($C132="","",([1]!BTSP(Q$6,$C132)+[1]!BTSP(Q$7,$C132)+[1]!BTSP(Q$8,$C132)+[1]!BTSP(Q$9,$C132)+[1]!BTSP(Q$10,$C132)+[1]!BTSP(Q$11,$C132)+[1]!BTSP(Q$12,$C132)+[1]!BTSP(Q$5,$C132))/1000)</f>
        <v>10.44056</v>
      </c>
      <c r="D132" s="191">
        <f ca="1">IF($C132="","",([1]!BTSP(Q$15,$C132)+[1]!BTSP(Q$17,$C132)+[1]!BTSP(Q$16,$C132)+[1]!BTSP(Q$18,$C132)+[1]!BTSP(Q$19,$C132)+[1]!BTSP(Q$20,$C132)+[1]!BTSP(Q$21,$C132)+[1]!BTSP(Q$22,$C132)+[1]!BTSP(Q$23,$C132)+[1]!BTSP(Q$26,$C132)+[1]!BTSP(Q$27,$C132))/1000)</f>
        <v>62.061320000000002</v>
      </c>
      <c r="E132" s="191">
        <f ca="1">IF($C132="","",[1]!BTSP(E$2,$C132)/1000)</f>
        <v>83.571399999999997</v>
      </c>
      <c r="F132" s="191">
        <f ca="1">IF($C132="","",[1]!BTSP(F$2,$C132)/1000)</f>
        <v>59.161569999999998</v>
      </c>
      <c r="G132" s="191">
        <f ca="1">IF($C132="","",([1]!BTSP(U$6,$C132)+[1]!BTSP(U$7,$C132)+[1]!BTSP(U$8,$C132)+[1]!BTSP(U$9,$C132)+[1]!BTSP(U$10,$C132)+[1]!BTSP(U$11,$C132)+[1]!BTSP(U$12,$C132)+[1]!BTSP(U$5,$C132))/1000)</f>
        <v>12.315569999999999</v>
      </c>
      <c r="H132" s="191">
        <f ca="1">IF($C132="","",([1]!BTSP(U$15,$C132)+[1]!BTSP(U$17,$C132)+[1]!BTSP(U$16,$C132)+[1]!BTSP(U$18,$C132)+[1]!BTSP(U$19,$C132)+[1]!BTSP(U$20,$C132)+[1]!BTSP(U$21,$C132)+[1]!BTSP(U$22,$C132)+[1]!BTSP(U$23,$C132)+[1]!BTSP(U$26,$C132)+[1]!BTSP(U$27,$C132))/1000)</f>
        <v>20.32001</v>
      </c>
      <c r="I132" s="191">
        <f ca="1">IF($C132="","",[1]!BTSP(I$2,$C132)/1000)</f>
        <v>0.63245000000000007</v>
      </c>
      <c r="J132" s="219">
        <f ca="1">IF($C132="","",[1]!BTSP(J$2,$C132)/100)</f>
        <v>5797.87</v>
      </c>
      <c r="K132" s="219">
        <f ca="1">IF($C132="","",[1]!BTSP(K$2,$C132))</f>
        <v>2849</v>
      </c>
    </row>
    <row r="133" spans="1:11" x14ac:dyDescent="0.15">
      <c r="A133" s="262" t="s">
        <v>325</v>
      </c>
      <c r="B133" s="31">
        <f ca="1">IF($C133="","",[1]!BTSP(B$2,$C133)/1000)</f>
        <v>161.68073999999999</v>
      </c>
      <c r="C133" s="31">
        <f ca="1">IF($C133="","",([1]!BTSP(Q$6,$C133)+[1]!BTSP(Q$7,$C133)+[1]!BTSP(Q$8,$C133)+[1]!BTSP(Q$9,$C133)+[1]!BTSP(Q$10,$C133)+[1]!BTSP(Q$11,$C133)+[1]!BTSP(Q$12,$C133)+[1]!BTSP(Q$5,$C133))/1000)</f>
        <v>15.257290000000001</v>
      </c>
      <c r="D133" s="31">
        <f ca="1">IF($C133="","",([1]!BTSP(Q$15,$C133)+[1]!BTSP(Q$17,$C133)+[1]!BTSP(Q$16,$C133)+[1]!BTSP(Q$18,$C133)+[1]!BTSP(Q$19,$C133)+[1]!BTSP(Q$20,$C133)+[1]!BTSP(Q$21,$C133)+[1]!BTSP(Q$22,$C133)+[1]!BTSP(Q$23,$C133)+[1]!BTSP(Q$26,$C133)+[1]!BTSP(Q$27,$C133))/1000)</f>
        <v>76.262049999999988</v>
      </c>
      <c r="E133" s="31">
        <f ca="1">IF($C133="","",[1]!BTSP(E$2,$C133)/1000)</f>
        <v>17.240959999999998</v>
      </c>
      <c r="F133" s="31">
        <f ca="1">IF($C133="","",[1]!BTSP(F$2,$C133)/1000)</f>
        <v>127.89066</v>
      </c>
      <c r="G133" s="31">
        <f ca="1">IF($C133="","",([1]!BTSP(U$6,$C133)+[1]!BTSP(U$7,$C133)+[1]!BTSP(U$8,$C133)+[1]!BTSP(U$9,$C133)+[1]!BTSP(U$10,$C133)+[1]!BTSP(U$11,$C133)+[1]!BTSP(U$12,$C133)+[1]!BTSP(U$5,$C133))/1000)</f>
        <v>52.856569999999998</v>
      </c>
      <c r="H133" s="31">
        <f ca="1">IF($C133="","",([1]!BTSP(U$15,$C133)+[1]!BTSP(U$17,$C133)+[1]!BTSP(U$16,$C133)+[1]!BTSP(U$18,$C133)+[1]!BTSP(U$19,$C133)+[1]!BTSP(U$20,$C133)+[1]!BTSP(U$21,$C133)+[1]!BTSP(U$22,$C133)+[1]!BTSP(U$23,$C133)+[1]!BTSP(U$26,$C133)+[1]!BTSP(U$27,$C133))/1000)</f>
        <v>30.302169999999993</v>
      </c>
      <c r="I133" s="31">
        <f ca="1">IF($C133="","",[1]!BTSP(I$2,$C133)/1000)</f>
        <v>2.6755800000000001</v>
      </c>
      <c r="J133" s="34">
        <f ca="1">IF($C133="","",[1]!BTSP(J$2,$C133)/100)</f>
        <v>2249.96</v>
      </c>
      <c r="K133" s="34">
        <f ca="1">IF($C133="","",[1]!BTSP(K$2,$C133))</f>
        <v>2890</v>
      </c>
    </row>
    <row r="134" spans="1:11" x14ac:dyDescent="0.15">
      <c r="A134" s="262" t="s">
        <v>328</v>
      </c>
      <c r="B134" s="31">
        <f ca="1">IF($C134="","",[1]!BTSP(B$2,$C134)/1000)</f>
        <v>328.55571999999995</v>
      </c>
      <c r="C134" s="31">
        <f ca="1">IF($C134="","",([1]!BTSP(Q$6,$C134)+[1]!BTSP(Q$7,$C134)+[1]!BTSP(Q$8,$C134)+[1]!BTSP(Q$9,$C134)+[1]!BTSP(Q$10,$C134)+[1]!BTSP(Q$11,$C134)+[1]!BTSP(Q$12,$C134)+[1]!BTSP(Q$5,$C134))/1000)</f>
        <v>73.84008</v>
      </c>
      <c r="D134" s="31">
        <f ca="1">IF($C134="","",([1]!BTSP(Q$15,$C134)+[1]!BTSP(Q$17,$C134)+[1]!BTSP(Q$16,$C134)+[1]!BTSP(Q$18,$C134)+[1]!BTSP(Q$19,$C134)+[1]!BTSP(Q$20,$C134)+[1]!BTSP(Q$21,$C134)+[1]!BTSP(Q$22,$C134)+[1]!BTSP(Q$23,$C134)+[1]!BTSP(Q$26,$C134)+[1]!BTSP(Q$27,$C134))/1000)</f>
        <v>173.23919999999995</v>
      </c>
      <c r="E134" s="31">
        <f ca="1">IF($C134="","",[1]!BTSP(E$2,$C134)/1000)</f>
        <v>11.81931</v>
      </c>
      <c r="F134" s="31">
        <f ca="1">IF($C134="","",[1]!BTSP(F$2,$C134)/1000)</f>
        <v>308.96019000000001</v>
      </c>
      <c r="G134" s="31">
        <f ca="1">IF($C134="","",([1]!BTSP(U$6,$C134)+[1]!BTSP(U$7,$C134)+[1]!BTSP(U$8,$C134)+[1]!BTSP(U$9,$C134)+[1]!BTSP(U$10,$C134)+[1]!BTSP(U$11,$C134)+[1]!BTSP(U$12,$C134)+[1]!BTSP(U$5,$C134))/1000)</f>
        <v>120.29594999999999</v>
      </c>
      <c r="H134" s="31">
        <f ca="1">IF($C134="","",([1]!BTSP(U$15,$C134)+[1]!BTSP(U$17,$C134)+[1]!BTSP(U$16,$C134)+[1]!BTSP(U$18,$C134)+[1]!BTSP(U$19,$C134)+[1]!BTSP(U$20,$C134)+[1]!BTSP(U$21,$C134)+[1]!BTSP(U$22,$C134)+[1]!BTSP(U$23,$C134)+[1]!BTSP(U$26,$C134)+[1]!BTSP(U$27,$C134))/1000)</f>
        <v>51.118180000000009</v>
      </c>
      <c r="I134" s="31">
        <f ca="1">IF($C134="","",[1]!BTSP(I$2,$C134)/1000)</f>
        <v>14.10365</v>
      </c>
      <c r="J134" s="34">
        <f ca="1">IF($C134="","",[1]!BTSP(J$2,$C134)/100)</f>
        <v>1800.8</v>
      </c>
      <c r="K134" s="34">
        <f ca="1">IF($C134="","",[1]!BTSP(K$2,$C134))</f>
        <v>2686</v>
      </c>
    </row>
    <row r="135" spans="1:11" x14ac:dyDescent="0.15">
      <c r="A135" s="68" t="s">
        <v>48</v>
      </c>
      <c r="B135" s="68"/>
      <c r="C135" s="68"/>
      <c r="D135" s="68"/>
      <c r="E135" s="68"/>
      <c r="F135" s="68"/>
      <c r="G135" s="68"/>
      <c r="H135" s="68"/>
      <c r="I135" s="68"/>
      <c r="J135" s="68"/>
      <c r="K135" s="68"/>
    </row>
  </sheetData>
  <mergeCells count="5">
    <mergeCell ref="A3:A4"/>
    <mergeCell ref="F3:F4"/>
    <mergeCell ref="K3:K4"/>
    <mergeCell ref="B3:B4"/>
    <mergeCell ref="J3:J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7" orientation="portrait" horizontalDpi="4294967294" vertic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L138"/>
  <sheetViews>
    <sheetView view="pageBreakPreview" zoomScale="85" zoomScaleNormal="100" zoomScaleSheetLayoutView="85" workbookViewId="0">
      <pane ySplit="4" topLeftCell="A95" activePane="bottomLeft" state="frozen"/>
      <selection activeCell="M68" sqref="M68"/>
      <selection pane="bottomLeft" activeCell="D131" sqref="D131"/>
    </sheetView>
  </sheetViews>
  <sheetFormatPr defaultColWidth="9.21875" defaultRowHeight="13.5" x14ac:dyDescent="0.15"/>
  <sheetData>
    <row r="1" spans="1:12" ht="18.75" x14ac:dyDescent="0.25">
      <c r="A1" s="89" t="s">
        <v>46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12"/>
    </row>
    <row r="2" spans="1:12" s="47" customFormat="1" x14ac:dyDescent="0.15">
      <c r="A2" s="97" t="s">
        <v>30</v>
      </c>
      <c r="B2" s="97"/>
      <c r="C2" s="97"/>
      <c r="D2" s="97"/>
      <c r="E2" s="97"/>
      <c r="F2" s="97"/>
      <c r="G2" s="97"/>
      <c r="H2" s="97"/>
      <c r="I2" s="97"/>
      <c r="J2" s="97"/>
      <c r="K2" s="3" t="s">
        <v>29</v>
      </c>
    </row>
    <row r="3" spans="1:12" ht="15" customHeight="1" x14ac:dyDescent="0.15">
      <c r="A3" s="276" t="s">
        <v>1</v>
      </c>
      <c r="B3" s="290" t="s">
        <v>16</v>
      </c>
      <c r="C3" s="119"/>
      <c r="D3" s="119"/>
      <c r="E3" s="119"/>
      <c r="F3" s="119"/>
      <c r="G3" s="290" t="s">
        <v>17</v>
      </c>
      <c r="H3" s="119"/>
      <c r="I3" s="119"/>
      <c r="J3" s="119"/>
      <c r="K3" s="119"/>
    </row>
    <row r="4" spans="1:12" ht="15" customHeight="1" x14ac:dyDescent="0.15">
      <c r="A4" s="282"/>
      <c r="B4" s="291"/>
      <c r="C4" s="116" t="s">
        <v>27</v>
      </c>
      <c r="D4" s="116" t="s">
        <v>106</v>
      </c>
      <c r="E4" s="116" t="s">
        <v>28</v>
      </c>
      <c r="F4" s="117" t="s">
        <v>107</v>
      </c>
      <c r="G4" s="291"/>
      <c r="H4" s="116" t="s">
        <v>109</v>
      </c>
      <c r="I4" s="116" t="s">
        <v>106</v>
      </c>
      <c r="J4" s="116" t="s">
        <v>28</v>
      </c>
      <c r="K4" s="117" t="s">
        <v>107</v>
      </c>
    </row>
    <row r="5" spans="1:12" ht="13.5" customHeight="1" x14ac:dyDescent="0.15">
      <c r="A5" s="75">
        <v>2012</v>
      </c>
      <c r="B5" s="121">
        <v>2142.2257810000001</v>
      </c>
      <c r="C5" s="121">
        <v>22.23734</v>
      </c>
      <c r="D5" s="121">
        <v>1319.7130139999999</v>
      </c>
      <c r="E5" s="121">
        <v>494.34689200000003</v>
      </c>
      <c r="F5" s="121">
        <v>305.92853500000001</v>
      </c>
      <c r="G5" s="121">
        <v>1385.125912</v>
      </c>
      <c r="H5" s="121">
        <v>457.703193</v>
      </c>
      <c r="I5" s="121">
        <v>498.190673</v>
      </c>
      <c r="J5" s="121">
        <v>199.257836</v>
      </c>
      <c r="K5" s="144">
        <v>229.97421</v>
      </c>
    </row>
    <row r="6" spans="1:12" ht="13.5" customHeight="1" x14ac:dyDescent="0.15">
      <c r="A6" s="75">
        <v>2013</v>
      </c>
      <c r="B6" s="121">
        <v>2173.2845149999998</v>
      </c>
      <c r="C6" s="121">
        <v>30.166826</v>
      </c>
      <c r="D6" s="121">
        <v>1344.1188440000001</v>
      </c>
      <c r="E6" s="121">
        <v>506.04245500000002</v>
      </c>
      <c r="F6" s="121">
        <v>292.95639</v>
      </c>
      <c r="G6" s="121">
        <v>1410.6226019999999</v>
      </c>
      <c r="H6" s="121">
        <v>524.90294600000004</v>
      </c>
      <c r="I6" s="121">
        <v>463.63882999999998</v>
      </c>
      <c r="J6" s="121">
        <v>197.56846200000001</v>
      </c>
      <c r="K6" s="144">
        <v>224.51236399999999</v>
      </c>
    </row>
    <row r="7" spans="1:12" ht="13.5" customHeight="1" x14ac:dyDescent="0.15">
      <c r="A7" s="75">
        <v>2014</v>
      </c>
      <c r="B7" s="121">
        <v>2069.7478759999999</v>
      </c>
      <c r="C7" s="121">
        <v>32.201048</v>
      </c>
      <c r="D7" s="121">
        <v>1231.7442349999999</v>
      </c>
      <c r="E7" s="121">
        <v>493.86836699999998</v>
      </c>
      <c r="F7" s="121">
        <v>311.93422600000002</v>
      </c>
      <c r="G7" s="121">
        <v>2863.1979270000002</v>
      </c>
      <c r="H7" s="121">
        <v>559.05831599999999</v>
      </c>
      <c r="I7" s="121">
        <v>1793.203874</v>
      </c>
      <c r="J7" s="121">
        <v>202.49553</v>
      </c>
      <c r="K7" s="144">
        <v>308.44020699999999</v>
      </c>
    </row>
    <row r="8" spans="1:12" ht="13.5" customHeight="1" x14ac:dyDescent="0.15">
      <c r="A8" s="75">
        <v>2015</v>
      </c>
      <c r="B8" s="121">
        <v>1881.2896720000001</v>
      </c>
      <c r="C8" s="121">
        <v>31.251555</v>
      </c>
      <c r="D8" s="121">
        <v>1128.2311520000001</v>
      </c>
      <c r="E8" s="121">
        <v>422.35047100000003</v>
      </c>
      <c r="F8" s="121">
        <v>299.45649400000002</v>
      </c>
      <c r="G8" s="121">
        <v>3152.193945</v>
      </c>
      <c r="H8" s="121">
        <v>449.62119100000001</v>
      </c>
      <c r="I8" s="121">
        <v>2083.2757919999999</v>
      </c>
      <c r="J8" s="121">
        <v>280.48215499999998</v>
      </c>
      <c r="K8" s="144">
        <v>338.81480699999997</v>
      </c>
    </row>
    <row r="9" spans="1:12" ht="13.5" customHeight="1" x14ac:dyDescent="0.15">
      <c r="A9" s="75"/>
      <c r="B9" s="121" t="s">
        <v>207</v>
      </c>
      <c r="C9" s="121" t="s">
        <v>207</v>
      </c>
      <c r="D9" s="121" t="s">
        <v>207</v>
      </c>
      <c r="E9" s="121" t="s">
        <v>207</v>
      </c>
      <c r="F9" s="121" t="s">
        <v>207</v>
      </c>
      <c r="G9" s="121" t="s">
        <v>207</v>
      </c>
      <c r="H9" s="121" t="s">
        <v>207</v>
      </c>
      <c r="I9" s="121" t="s">
        <v>207</v>
      </c>
      <c r="J9" s="121" t="s">
        <v>207</v>
      </c>
      <c r="K9" s="144" t="s">
        <v>207</v>
      </c>
    </row>
    <row r="10" spans="1:12" ht="13.5" customHeight="1" x14ac:dyDescent="0.15">
      <c r="A10" s="75">
        <v>2016</v>
      </c>
      <c r="B10" s="121">
        <v>1659.8033519999999</v>
      </c>
      <c r="C10" s="121">
        <v>27.549098000000001</v>
      </c>
      <c r="D10" s="121">
        <v>846.02712099999997</v>
      </c>
      <c r="E10" s="121">
        <v>427.42485299999998</v>
      </c>
      <c r="F10" s="121">
        <v>358.80228</v>
      </c>
      <c r="G10" s="121">
        <v>2335.6734299999998</v>
      </c>
      <c r="H10" s="121">
        <v>421.63944500000002</v>
      </c>
      <c r="I10" s="121">
        <v>1459.147872</v>
      </c>
      <c r="J10" s="121">
        <v>146.137022</v>
      </c>
      <c r="K10" s="144">
        <v>308.74909100000002</v>
      </c>
      <c r="L10" s="174"/>
    </row>
    <row r="11" spans="1:12" ht="13.5" customHeight="1" x14ac:dyDescent="0.15">
      <c r="A11" s="75">
        <v>2017</v>
      </c>
      <c r="B11" s="121">
        <v>1782.758546</v>
      </c>
      <c r="C11" s="121">
        <v>21.355847000000001</v>
      </c>
      <c r="D11" s="121">
        <v>892.45067600000004</v>
      </c>
      <c r="E11" s="121">
        <v>429.52505000000002</v>
      </c>
      <c r="F11" s="121">
        <v>439.42697299999998</v>
      </c>
      <c r="G11" s="121">
        <v>3461.5177859999999</v>
      </c>
      <c r="H11" s="121">
        <v>867.897515</v>
      </c>
      <c r="I11" s="121">
        <v>2037.9390109999999</v>
      </c>
      <c r="J11" s="121">
        <v>185.69064399999999</v>
      </c>
      <c r="K11" s="144">
        <v>369.99061599999999</v>
      </c>
      <c r="L11" s="174"/>
    </row>
    <row r="12" spans="1:12" s="118" customFormat="1" ht="13.5" customHeight="1" x14ac:dyDescent="0.15">
      <c r="A12" s="75">
        <v>2018</v>
      </c>
      <c r="B12" s="121">
        <v>2096.951024</v>
      </c>
      <c r="C12" s="121">
        <v>16.083406</v>
      </c>
      <c r="D12" s="121">
        <v>1020.299256</v>
      </c>
      <c r="E12" s="121">
        <v>539.508961</v>
      </c>
      <c r="F12" s="121">
        <v>521.05940099999998</v>
      </c>
      <c r="G12" s="121">
        <v>4788.3789850000003</v>
      </c>
      <c r="H12" s="121">
        <v>1198.8633480000001</v>
      </c>
      <c r="I12" s="121">
        <v>2952.231706</v>
      </c>
      <c r="J12" s="121">
        <v>180.99330599999999</v>
      </c>
      <c r="K12" s="144">
        <v>456.29062499999998</v>
      </c>
      <c r="L12" s="174"/>
    </row>
    <row r="13" spans="1:12" s="118" customFormat="1" ht="13.5" customHeight="1" x14ac:dyDescent="0.15">
      <c r="A13" s="75">
        <v>2019</v>
      </c>
      <c r="B13" s="121">
        <v>2087.8760560000001</v>
      </c>
      <c r="C13" s="121">
        <v>17.974329000000001</v>
      </c>
      <c r="D13" s="121">
        <v>1010.306812</v>
      </c>
      <c r="E13" s="121">
        <v>510.01430800000003</v>
      </c>
      <c r="F13" s="121">
        <v>549.58060699999999</v>
      </c>
      <c r="G13" s="121">
        <v>4048.8736239999998</v>
      </c>
      <c r="H13" s="121">
        <v>948.94353899999999</v>
      </c>
      <c r="I13" s="121">
        <v>2484.7532839999999</v>
      </c>
      <c r="J13" s="121">
        <v>193.09012200000001</v>
      </c>
      <c r="K13" s="144">
        <v>422.086679</v>
      </c>
      <c r="L13" s="174"/>
    </row>
    <row r="14" spans="1:12" s="118" customFormat="1" ht="13.5" customHeight="1" x14ac:dyDescent="0.15">
      <c r="A14" s="75">
        <v>2020</v>
      </c>
      <c r="B14" s="121">
        <v>2023.271045</v>
      </c>
      <c r="C14" s="121">
        <v>25.049386999999999</v>
      </c>
      <c r="D14" s="121">
        <v>955.00184899999999</v>
      </c>
      <c r="E14" s="121">
        <v>482.08522799999997</v>
      </c>
      <c r="F14" s="121">
        <v>561.13458100000003</v>
      </c>
      <c r="G14" s="121">
        <v>3148.9141119999999</v>
      </c>
      <c r="H14" s="121">
        <v>715.81048699999997</v>
      </c>
      <c r="I14" s="121">
        <v>1792.322674</v>
      </c>
      <c r="J14" s="121">
        <v>201.22154699999999</v>
      </c>
      <c r="K14" s="144">
        <v>439.55940399999997</v>
      </c>
      <c r="L14" s="174"/>
    </row>
    <row r="15" spans="1:12" s="118" customFormat="1" ht="13.5" customHeight="1" x14ac:dyDescent="0.15">
      <c r="A15" s="75"/>
      <c r="B15" s="121" t="s">
        <v>207</v>
      </c>
      <c r="C15" s="121" t="s">
        <v>207</v>
      </c>
      <c r="D15" s="121" t="s">
        <v>207</v>
      </c>
      <c r="E15" s="121" t="s">
        <v>207</v>
      </c>
      <c r="F15" s="121" t="s">
        <v>207</v>
      </c>
      <c r="G15" s="121" t="s">
        <v>207</v>
      </c>
      <c r="H15" s="121" t="s">
        <v>207</v>
      </c>
      <c r="I15" s="121" t="s">
        <v>207</v>
      </c>
      <c r="J15" s="121" t="s">
        <v>207</v>
      </c>
      <c r="K15" s="144" t="s">
        <v>207</v>
      </c>
      <c r="L15" s="174"/>
    </row>
    <row r="16" spans="1:12" s="118" customFormat="1" ht="13.5" customHeight="1" x14ac:dyDescent="0.15">
      <c r="A16" s="75">
        <v>2021</v>
      </c>
      <c r="B16" s="121">
        <v>2729.8790319999998</v>
      </c>
      <c r="C16" s="121">
        <v>37.802233999999999</v>
      </c>
      <c r="D16" s="121">
        <v>1409.9319149999999</v>
      </c>
      <c r="E16" s="121">
        <v>558.48943799999995</v>
      </c>
      <c r="F16" s="121">
        <v>723.65544499999999</v>
      </c>
      <c r="G16" s="121">
        <v>4317.6654820000003</v>
      </c>
      <c r="H16" s="121">
        <v>1072.9311279999999</v>
      </c>
      <c r="I16" s="121">
        <v>2566.0767070000002</v>
      </c>
      <c r="J16" s="121">
        <v>172.519069</v>
      </c>
      <c r="K16" s="144">
        <v>506.138578</v>
      </c>
      <c r="L16" s="174"/>
    </row>
    <row r="17" spans="1:12" s="118" customFormat="1" ht="13.5" customHeight="1" x14ac:dyDescent="0.15">
      <c r="A17" s="75">
        <v>2022</v>
      </c>
      <c r="B17" s="121">
        <v>2748.6671729999998</v>
      </c>
      <c r="C17" s="121">
        <v>35.297361000000002</v>
      </c>
      <c r="D17" s="121">
        <v>1382.3749989999999</v>
      </c>
      <c r="E17" s="121">
        <v>595.84723699999995</v>
      </c>
      <c r="F17" s="121">
        <v>735.14757599999996</v>
      </c>
      <c r="G17" s="121">
        <v>7704.3635000000004</v>
      </c>
      <c r="H17" s="121">
        <v>1667.4837</v>
      </c>
      <c r="I17" s="121">
        <v>5388.9461899999997</v>
      </c>
      <c r="J17" s="121">
        <v>165.75689700000001</v>
      </c>
      <c r="K17" s="144">
        <v>482.17671300000001</v>
      </c>
      <c r="L17" s="174"/>
    </row>
    <row r="18" spans="1:12" s="118" customFormat="1" ht="13.5" customHeight="1" x14ac:dyDescent="0.15">
      <c r="A18" s="75">
        <v>2023</v>
      </c>
      <c r="B18" s="121">
        <v>2707.7349450000002</v>
      </c>
      <c r="C18" s="121">
        <v>48.887104000000001</v>
      </c>
      <c r="D18" s="121">
        <v>1195.2296229999999</v>
      </c>
      <c r="E18" s="121">
        <v>665.63119400000005</v>
      </c>
      <c r="F18" s="121">
        <v>797.98702400000002</v>
      </c>
      <c r="G18" s="121">
        <v>5417.3712910000004</v>
      </c>
      <c r="H18" s="121">
        <v>1186.6207890000001</v>
      </c>
      <c r="I18" s="121">
        <v>3617.7538509999999</v>
      </c>
      <c r="J18" s="121">
        <v>150.935034</v>
      </c>
      <c r="K18" s="144">
        <v>462.06161700000001</v>
      </c>
      <c r="L18" s="174"/>
    </row>
    <row r="19" spans="1:12" ht="13.5" customHeight="1" x14ac:dyDescent="0.15">
      <c r="A19" s="77"/>
      <c r="B19" s="120"/>
      <c r="C19" s="120"/>
      <c r="D19" s="120"/>
      <c r="E19" s="120"/>
      <c r="F19" s="121"/>
      <c r="G19" s="120"/>
      <c r="H19" s="120"/>
      <c r="I19" s="120"/>
      <c r="J19" s="120"/>
      <c r="K19" s="144"/>
      <c r="L19" s="174"/>
    </row>
    <row r="20" spans="1:12" ht="13.5" customHeight="1" x14ac:dyDescent="0.15">
      <c r="A20" s="77" t="s">
        <v>152</v>
      </c>
      <c r="B20" s="120">
        <v>173.92927399999999</v>
      </c>
      <c r="C20" s="120">
        <v>1.710709</v>
      </c>
      <c r="D20" s="120">
        <v>90.216245000000001</v>
      </c>
      <c r="E20" s="120">
        <v>40.283366000000001</v>
      </c>
      <c r="F20" s="121">
        <v>41.718953999999997</v>
      </c>
      <c r="G20" s="120">
        <v>316.38197200000002</v>
      </c>
      <c r="H20" s="120">
        <v>102.288335</v>
      </c>
      <c r="I20" s="120">
        <v>169.61821900000001</v>
      </c>
      <c r="J20" s="120">
        <v>9.9657830000000001</v>
      </c>
      <c r="K20" s="144">
        <v>34.509635000000003</v>
      </c>
      <c r="L20" s="174"/>
    </row>
    <row r="21" spans="1:12" ht="13.5" customHeight="1" x14ac:dyDescent="0.15">
      <c r="A21" s="77" t="s">
        <v>154</v>
      </c>
      <c r="B21" s="120">
        <v>152.241142</v>
      </c>
      <c r="C21" s="120">
        <v>0.89424400000000004</v>
      </c>
      <c r="D21" s="120">
        <v>77.618919000000005</v>
      </c>
      <c r="E21" s="120">
        <v>38.002665999999998</v>
      </c>
      <c r="F21" s="121">
        <v>35.725313</v>
      </c>
      <c r="G21" s="120">
        <v>344.38903800000003</v>
      </c>
      <c r="H21" s="120">
        <v>67.817667</v>
      </c>
      <c r="I21" s="120">
        <v>240.60609199999999</v>
      </c>
      <c r="J21" s="120">
        <v>7.5716590000000004</v>
      </c>
      <c r="K21" s="144">
        <v>28.393619999999999</v>
      </c>
      <c r="L21" s="174"/>
    </row>
    <row r="22" spans="1:12" ht="13.5" customHeight="1" x14ac:dyDescent="0.15">
      <c r="A22" s="77" t="s">
        <v>155</v>
      </c>
      <c r="B22" s="120">
        <v>177.04110700000001</v>
      </c>
      <c r="C22" s="120">
        <v>1.238062</v>
      </c>
      <c r="D22" s="120">
        <v>80.234566000000001</v>
      </c>
      <c r="E22" s="120">
        <v>46.448687</v>
      </c>
      <c r="F22" s="121">
        <v>49.119791999999997</v>
      </c>
      <c r="G22" s="120">
        <v>274.94429600000001</v>
      </c>
      <c r="H22" s="120">
        <v>73.474945000000005</v>
      </c>
      <c r="I22" s="120">
        <v>155.17544799999999</v>
      </c>
      <c r="J22" s="120">
        <v>11.586843</v>
      </c>
      <c r="K22" s="144">
        <v>34.707059999999998</v>
      </c>
    </row>
    <row r="23" spans="1:12" ht="13.5" customHeight="1" x14ac:dyDescent="0.15">
      <c r="A23" s="77"/>
      <c r="B23" s="120" t="s">
        <v>207</v>
      </c>
      <c r="C23" s="120" t="s">
        <v>207</v>
      </c>
      <c r="D23" s="120" t="s">
        <v>207</v>
      </c>
      <c r="E23" s="120" t="s">
        <v>207</v>
      </c>
      <c r="F23" s="121" t="s">
        <v>207</v>
      </c>
      <c r="G23" s="120" t="s">
        <v>207</v>
      </c>
      <c r="H23" s="120" t="s">
        <v>207</v>
      </c>
      <c r="I23" s="120" t="s">
        <v>207</v>
      </c>
      <c r="J23" s="120" t="s">
        <v>207</v>
      </c>
      <c r="K23" s="144" t="s">
        <v>207</v>
      </c>
    </row>
    <row r="24" spans="1:12" ht="13.5" customHeight="1" x14ac:dyDescent="0.15">
      <c r="A24" s="77" t="s">
        <v>156</v>
      </c>
      <c r="B24" s="120">
        <v>172.77212800000001</v>
      </c>
      <c r="C24" s="120">
        <v>2.0470109999999999</v>
      </c>
      <c r="D24" s="120">
        <v>83.402546999999998</v>
      </c>
      <c r="E24" s="120">
        <v>42.468186000000003</v>
      </c>
      <c r="F24" s="121">
        <v>44.854384000000003</v>
      </c>
      <c r="G24" s="120">
        <v>280.70792899999998</v>
      </c>
      <c r="H24" s="120">
        <v>66.244296000000006</v>
      </c>
      <c r="I24" s="120">
        <v>162.786428</v>
      </c>
      <c r="J24" s="120">
        <v>15.458175000000001</v>
      </c>
      <c r="K24" s="144">
        <v>36.219029999999997</v>
      </c>
    </row>
    <row r="25" spans="1:12" ht="13.5" customHeight="1" x14ac:dyDescent="0.15">
      <c r="A25" s="77" t="s">
        <v>157</v>
      </c>
      <c r="B25" s="120">
        <v>180.39376300000001</v>
      </c>
      <c r="C25" s="120">
        <v>2.295496</v>
      </c>
      <c r="D25" s="120">
        <v>89.483159000000001</v>
      </c>
      <c r="E25" s="120">
        <v>43.054397000000002</v>
      </c>
      <c r="F25" s="121">
        <v>45.560710999999998</v>
      </c>
      <c r="G25" s="120">
        <v>312.28477800000002</v>
      </c>
      <c r="H25" s="120">
        <v>90.210643000000005</v>
      </c>
      <c r="I25" s="120">
        <v>172.97857999999999</v>
      </c>
      <c r="J25" s="120">
        <v>11.919359</v>
      </c>
      <c r="K25" s="144">
        <v>37.176195999999997</v>
      </c>
    </row>
    <row r="26" spans="1:12" ht="13.5" customHeight="1" x14ac:dyDescent="0.15">
      <c r="A26" s="77" t="s">
        <v>158</v>
      </c>
      <c r="B26" s="120">
        <v>178.34786199999999</v>
      </c>
      <c r="C26" s="120">
        <v>1.0200819999999999</v>
      </c>
      <c r="D26" s="120">
        <v>87.836832000000001</v>
      </c>
      <c r="E26" s="120">
        <v>42.510350000000003</v>
      </c>
      <c r="F26" s="121">
        <v>46.980598000000001</v>
      </c>
      <c r="G26" s="120">
        <v>360.77171199999998</v>
      </c>
      <c r="H26" s="120">
        <v>62.197172000000002</v>
      </c>
      <c r="I26" s="120">
        <v>262.280416</v>
      </c>
      <c r="J26" s="120">
        <v>12.415456000000001</v>
      </c>
      <c r="K26" s="144">
        <v>23.878668000000001</v>
      </c>
    </row>
    <row r="27" spans="1:12" ht="13.5" customHeight="1" x14ac:dyDescent="0.15">
      <c r="A27" s="77"/>
      <c r="B27" s="120" t="s">
        <v>207</v>
      </c>
      <c r="C27" s="120" t="s">
        <v>207</v>
      </c>
      <c r="D27" s="120" t="s">
        <v>207</v>
      </c>
      <c r="E27" s="120" t="s">
        <v>207</v>
      </c>
      <c r="F27" s="121" t="s">
        <v>207</v>
      </c>
      <c r="G27" s="120" t="s">
        <v>207</v>
      </c>
      <c r="H27" s="120" t="s">
        <v>207</v>
      </c>
      <c r="I27" s="120" t="s">
        <v>207</v>
      </c>
      <c r="J27" s="120" t="s">
        <v>207</v>
      </c>
      <c r="K27" s="144" t="s">
        <v>207</v>
      </c>
    </row>
    <row r="28" spans="1:12" ht="13.5" customHeight="1" x14ac:dyDescent="0.15">
      <c r="A28" s="77" t="s">
        <v>159</v>
      </c>
      <c r="B28" s="120">
        <v>182.40368799999999</v>
      </c>
      <c r="C28" s="120">
        <v>1.698215</v>
      </c>
      <c r="D28" s="120">
        <v>88.522231000000005</v>
      </c>
      <c r="E28" s="120">
        <v>40.208691999999999</v>
      </c>
      <c r="F28" s="121">
        <v>51.974550000000001</v>
      </c>
      <c r="G28" s="120">
        <v>339.178923</v>
      </c>
      <c r="H28" s="120">
        <v>97.657886000000005</v>
      </c>
      <c r="I28" s="120">
        <v>193.98542699999999</v>
      </c>
      <c r="J28" s="120">
        <v>14.322126000000001</v>
      </c>
      <c r="K28" s="144">
        <v>33.213484000000001</v>
      </c>
    </row>
    <row r="29" spans="1:12" ht="13.5" customHeight="1" x14ac:dyDescent="0.15">
      <c r="A29" s="77" t="s">
        <v>160</v>
      </c>
      <c r="B29" s="120">
        <v>169.238822</v>
      </c>
      <c r="C29" s="120">
        <v>1.1865969999999999</v>
      </c>
      <c r="D29" s="120">
        <v>86.996435000000005</v>
      </c>
      <c r="E29" s="120">
        <v>32.861342</v>
      </c>
      <c r="F29" s="121">
        <v>48.194448000000001</v>
      </c>
      <c r="G29" s="120">
        <v>355.99293</v>
      </c>
      <c r="H29" s="120">
        <v>96.053752000000003</v>
      </c>
      <c r="I29" s="120">
        <v>217.52758299999999</v>
      </c>
      <c r="J29" s="120">
        <v>13.641892</v>
      </c>
      <c r="K29" s="144">
        <v>28.769703</v>
      </c>
    </row>
    <row r="30" spans="1:12" ht="13.5" customHeight="1" x14ac:dyDescent="0.15">
      <c r="A30" s="77" t="s">
        <v>161</v>
      </c>
      <c r="B30" s="120">
        <v>167.78032899999999</v>
      </c>
      <c r="C30" s="120">
        <v>1.7928930000000001</v>
      </c>
      <c r="D30" s="120">
        <v>81.649045999999998</v>
      </c>
      <c r="E30" s="120">
        <v>41.930945999999999</v>
      </c>
      <c r="F30" s="121">
        <v>42.407443999999998</v>
      </c>
      <c r="G30" s="120">
        <v>383.27070700000002</v>
      </c>
      <c r="H30" s="120">
        <v>73.351276999999996</v>
      </c>
      <c r="I30" s="120">
        <v>258.708279</v>
      </c>
      <c r="J30" s="120">
        <v>15.917681</v>
      </c>
      <c r="K30" s="144">
        <v>35.293469999999999</v>
      </c>
    </row>
    <row r="31" spans="1:12" ht="13.5" customHeight="1" x14ac:dyDescent="0.15">
      <c r="A31" s="77"/>
      <c r="B31" s="120" t="s">
        <v>207</v>
      </c>
      <c r="C31" s="120" t="s">
        <v>207</v>
      </c>
      <c r="D31" s="120" t="s">
        <v>207</v>
      </c>
      <c r="E31" s="120" t="s">
        <v>207</v>
      </c>
      <c r="F31" s="121" t="s">
        <v>207</v>
      </c>
      <c r="G31" s="120" t="s">
        <v>207</v>
      </c>
      <c r="H31" s="120" t="s">
        <v>207</v>
      </c>
      <c r="I31" s="120" t="s">
        <v>207</v>
      </c>
      <c r="J31" s="120" t="s">
        <v>207</v>
      </c>
      <c r="K31" s="144" t="s">
        <v>207</v>
      </c>
    </row>
    <row r="32" spans="1:12" ht="13.5" customHeight="1" x14ac:dyDescent="0.15">
      <c r="A32" s="77" t="s">
        <v>162</v>
      </c>
      <c r="B32" s="120">
        <v>190.49755500000001</v>
      </c>
      <c r="C32" s="120">
        <v>1.276816</v>
      </c>
      <c r="D32" s="120">
        <v>95.948313999999996</v>
      </c>
      <c r="E32" s="120">
        <v>41.182070000000003</v>
      </c>
      <c r="F32" s="121">
        <v>52.090355000000002</v>
      </c>
      <c r="G32" s="120">
        <v>346.95653099999998</v>
      </c>
      <c r="H32" s="120">
        <v>78.155044000000004</v>
      </c>
      <c r="I32" s="120">
        <v>216.93257</v>
      </c>
      <c r="J32" s="120">
        <v>13.242082</v>
      </c>
      <c r="K32" s="144">
        <v>38.626835</v>
      </c>
    </row>
    <row r="33" spans="1:11" ht="13.5" customHeight="1" x14ac:dyDescent="0.15">
      <c r="A33" s="77" t="s">
        <v>163</v>
      </c>
      <c r="B33" s="120">
        <v>163.26049800000001</v>
      </c>
      <c r="C33" s="120">
        <v>0.66136200000000001</v>
      </c>
      <c r="D33" s="120">
        <v>69.013485000000003</v>
      </c>
      <c r="E33" s="120">
        <v>44.804451999999998</v>
      </c>
      <c r="F33" s="121">
        <v>48.781199000000001</v>
      </c>
      <c r="G33" s="120">
        <v>334.02296200000001</v>
      </c>
      <c r="H33" s="120">
        <v>68.339167000000003</v>
      </c>
      <c r="I33" s="120">
        <v>193.30723699999999</v>
      </c>
      <c r="J33" s="120">
        <v>31.99644</v>
      </c>
      <c r="K33" s="144">
        <v>40.380118000000003</v>
      </c>
    </row>
    <row r="34" spans="1:11" ht="13.5" customHeight="1" x14ac:dyDescent="0.15">
      <c r="A34" s="77" t="s">
        <v>165</v>
      </c>
      <c r="B34" s="120">
        <v>179.969888</v>
      </c>
      <c r="C34" s="120">
        <v>2.1528420000000001</v>
      </c>
      <c r="D34" s="120">
        <v>79.385033000000007</v>
      </c>
      <c r="E34" s="120">
        <v>56.259154000000002</v>
      </c>
      <c r="F34" s="121">
        <v>42.172859000000003</v>
      </c>
      <c r="G34" s="120">
        <v>399.97184600000003</v>
      </c>
      <c r="H34" s="120">
        <v>73.153355000000005</v>
      </c>
      <c r="I34" s="120">
        <v>240.847005</v>
      </c>
      <c r="J34" s="120">
        <v>35.052625999999997</v>
      </c>
      <c r="K34" s="144">
        <v>50.918860000000002</v>
      </c>
    </row>
    <row r="35" spans="1:11" ht="13.5" customHeight="1" x14ac:dyDescent="0.15">
      <c r="A35" s="77"/>
      <c r="B35" s="120" t="s">
        <v>207</v>
      </c>
      <c r="C35" s="120" t="s">
        <v>207</v>
      </c>
      <c r="D35" s="120" t="s">
        <v>207</v>
      </c>
      <c r="E35" s="120" t="s">
        <v>207</v>
      </c>
      <c r="F35" s="121" t="s">
        <v>207</v>
      </c>
      <c r="G35" s="120" t="s">
        <v>207</v>
      </c>
      <c r="H35" s="120" t="s">
        <v>207</v>
      </c>
      <c r="I35" s="120" t="s">
        <v>207</v>
      </c>
      <c r="J35" s="120" t="s">
        <v>207</v>
      </c>
      <c r="K35" s="144" t="s">
        <v>207</v>
      </c>
    </row>
    <row r="36" spans="1:11" ht="13.5" customHeight="1" x14ac:dyDescent="0.15">
      <c r="A36" s="77" t="s">
        <v>166</v>
      </c>
      <c r="B36" s="120">
        <v>142.14219499999999</v>
      </c>
      <c r="C36" s="120">
        <v>0.32342500000000002</v>
      </c>
      <c r="D36" s="120">
        <v>70.580904000000004</v>
      </c>
      <c r="E36" s="120">
        <v>32.815772000000003</v>
      </c>
      <c r="F36" s="121">
        <v>38.422094000000001</v>
      </c>
      <c r="G36" s="120">
        <v>253.80229299999999</v>
      </c>
      <c r="H36" s="120">
        <v>63.370327000000003</v>
      </c>
      <c r="I36" s="120">
        <v>134.20077499999999</v>
      </c>
      <c r="J36" s="120">
        <v>17.371288</v>
      </c>
      <c r="K36" s="144">
        <v>38.859903000000003</v>
      </c>
    </row>
    <row r="37" spans="1:11" ht="13.5" customHeight="1" x14ac:dyDescent="0.15">
      <c r="A37" s="77" t="s">
        <v>167</v>
      </c>
      <c r="B37" s="120">
        <v>153.901734</v>
      </c>
      <c r="C37" s="120">
        <v>0.62129100000000004</v>
      </c>
      <c r="D37" s="120">
        <v>83.424287000000007</v>
      </c>
      <c r="E37" s="120">
        <v>34.999538999999999</v>
      </c>
      <c r="F37" s="121">
        <v>34.856617</v>
      </c>
      <c r="G37" s="120">
        <v>372.759208</v>
      </c>
      <c r="H37" s="120">
        <v>84.569402999999994</v>
      </c>
      <c r="I37" s="120">
        <v>253.44091599999999</v>
      </c>
      <c r="J37" s="120">
        <v>10.000007</v>
      </c>
      <c r="K37" s="144">
        <v>24.748881999999998</v>
      </c>
    </row>
    <row r="38" spans="1:11" ht="13.5" customHeight="1" x14ac:dyDescent="0.15">
      <c r="A38" s="77" t="s">
        <v>168</v>
      </c>
      <c r="B38" s="120">
        <v>172.39899299999999</v>
      </c>
      <c r="C38" s="120">
        <v>1.6835990000000001</v>
      </c>
      <c r="D38" s="120">
        <v>81.544027</v>
      </c>
      <c r="E38" s="120">
        <v>42.688707999999998</v>
      </c>
      <c r="F38" s="121">
        <v>46.482658999999998</v>
      </c>
      <c r="G38" s="120">
        <v>205.449333</v>
      </c>
      <c r="H38" s="120">
        <v>55.433129999999998</v>
      </c>
      <c r="I38" s="120">
        <v>105.249804</v>
      </c>
      <c r="J38" s="120">
        <v>10.157593</v>
      </c>
      <c r="K38" s="144">
        <v>34.608806000000001</v>
      </c>
    </row>
    <row r="39" spans="1:11" ht="13.5" customHeight="1" x14ac:dyDescent="0.15">
      <c r="A39" s="77"/>
      <c r="B39" s="120" t="s">
        <v>207</v>
      </c>
      <c r="C39" s="120" t="s">
        <v>207</v>
      </c>
      <c r="D39" s="120" t="s">
        <v>207</v>
      </c>
      <c r="E39" s="120" t="s">
        <v>207</v>
      </c>
      <c r="F39" s="121" t="s">
        <v>207</v>
      </c>
      <c r="G39" s="120" t="s">
        <v>207</v>
      </c>
      <c r="H39" s="120" t="s">
        <v>207</v>
      </c>
      <c r="I39" s="120" t="s">
        <v>207</v>
      </c>
      <c r="J39" s="120" t="s">
        <v>207</v>
      </c>
      <c r="K39" s="144" t="s">
        <v>207</v>
      </c>
    </row>
    <row r="40" spans="1:11" ht="13.5" customHeight="1" x14ac:dyDescent="0.15">
      <c r="A40" s="77" t="s">
        <v>169</v>
      </c>
      <c r="B40" s="120">
        <v>153.389973</v>
      </c>
      <c r="C40" s="120">
        <v>1.2179070000000001</v>
      </c>
      <c r="D40" s="120">
        <v>73.698261000000002</v>
      </c>
      <c r="E40" s="120">
        <v>33.449798999999999</v>
      </c>
      <c r="F40" s="121">
        <v>45.024006</v>
      </c>
      <c r="G40" s="120">
        <v>349.10833400000001</v>
      </c>
      <c r="H40" s="120">
        <v>52.933039999999998</v>
      </c>
      <c r="I40" s="120">
        <v>241.11252500000001</v>
      </c>
      <c r="J40" s="120">
        <v>17.900143</v>
      </c>
      <c r="K40" s="144">
        <v>37.162626000000003</v>
      </c>
    </row>
    <row r="41" spans="1:11" ht="13.5" customHeight="1" x14ac:dyDescent="0.15">
      <c r="A41" s="77" t="s">
        <v>170</v>
      </c>
      <c r="B41" s="120">
        <v>128.36323899999999</v>
      </c>
      <c r="C41" s="120">
        <v>1.140765</v>
      </c>
      <c r="D41" s="120">
        <v>48.496232999999997</v>
      </c>
      <c r="E41" s="120">
        <v>35.661847999999999</v>
      </c>
      <c r="F41" s="121">
        <v>43.064393000000003</v>
      </c>
      <c r="G41" s="120">
        <v>346.92381999999998</v>
      </c>
      <c r="H41" s="120">
        <v>64.460704000000007</v>
      </c>
      <c r="I41" s="120">
        <v>236.16548800000001</v>
      </c>
      <c r="J41" s="120">
        <v>12.777359000000001</v>
      </c>
      <c r="K41" s="144">
        <v>33.520268999999999</v>
      </c>
    </row>
    <row r="42" spans="1:11" ht="13.5" customHeight="1" x14ac:dyDescent="0.15">
      <c r="A42" s="77" t="s">
        <v>172</v>
      </c>
      <c r="B42" s="120">
        <v>164.27176</v>
      </c>
      <c r="C42" s="120">
        <v>3.45587</v>
      </c>
      <c r="D42" s="120">
        <v>63.613781000000003</v>
      </c>
      <c r="E42" s="120">
        <v>47.670108999999997</v>
      </c>
      <c r="F42" s="121">
        <v>49.531999999999996</v>
      </c>
      <c r="G42" s="120">
        <v>243.035134</v>
      </c>
      <c r="H42" s="120">
        <v>63.162944000000003</v>
      </c>
      <c r="I42" s="120">
        <v>128.753726</v>
      </c>
      <c r="J42" s="120">
        <v>15.849162</v>
      </c>
      <c r="K42" s="144">
        <v>35.269302000000003</v>
      </c>
    </row>
    <row r="43" spans="1:11" ht="13.5" customHeight="1" x14ac:dyDescent="0.15">
      <c r="A43" s="77"/>
      <c r="B43" s="120" t="s">
        <v>207</v>
      </c>
      <c r="C43" s="120" t="s">
        <v>207</v>
      </c>
      <c r="D43" s="120" t="s">
        <v>207</v>
      </c>
      <c r="E43" s="120" t="s">
        <v>207</v>
      </c>
      <c r="F43" s="121" t="s">
        <v>207</v>
      </c>
      <c r="G43" s="120" t="s">
        <v>207</v>
      </c>
      <c r="H43" s="120" t="s">
        <v>207</v>
      </c>
      <c r="I43" s="120" t="s">
        <v>207</v>
      </c>
      <c r="J43" s="120" t="s">
        <v>207</v>
      </c>
      <c r="K43" s="144" t="s">
        <v>207</v>
      </c>
    </row>
    <row r="44" spans="1:11" ht="13.5" customHeight="1" x14ac:dyDescent="0.15">
      <c r="A44" s="77" t="s">
        <v>173</v>
      </c>
      <c r="B44" s="120">
        <v>170.99120400000001</v>
      </c>
      <c r="C44" s="120">
        <v>1.9443109999999999</v>
      </c>
      <c r="D44" s="120">
        <v>71.687926000000004</v>
      </c>
      <c r="E44" s="120">
        <v>42.016238000000001</v>
      </c>
      <c r="F44" s="121">
        <v>55.342728999999999</v>
      </c>
      <c r="G44" s="120">
        <v>263.61157300000002</v>
      </c>
      <c r="H44" s="120">
        <v>77.829590999999994</v>
      </c>
      <c r="I44" s="120">
        <v>134.00232700000001</v>
      </c>
      <c r="J44" s="120">
        <v>14.883156</v>
      </c>
      <c r="K44" s="144">
        <v>36.896498999999999</v>
      </c>
    </row>
    <row r="45" spans="1:11" ht="13.5" customHeight="1" x14ac:dyDescent="0.15">
      <c r="A45" s="77" t="s">
        <v>174</v>
      </c>
      <c r="B45" s="120">
        <v>154.67081300000001</v>
      </c>
      <c r="C45" s="120">
        <v>3.3468089999999999</v>
      </c>
      <c r="D45" s="120">
        <v>68.416531000000006</v>
      </c>
      <c r="E45" s="120">
        <v>32.282077999999998</v>
      </c>
      <c r="F45" s="121">
        <v>50.625394999999997</v>
      </c>
      <c r="G45" s="120">
        <v>232.84584899999999</v>
      </c>
      <c r="H45" s="120">
        <v>58.588076000000001</v>
      </c>
      <c r="I45" s="120">
        <v>124.41342299999999</v>
      </c>
      <c r="J45" s="120">
        <v>17.146802000000001</v>
      </c>
      <c r="K45" s="144">
        <v>32.697547999999998</v>
      </c>
    </row>
    <row r="46" spans="1:11" ht="13.5" customHeight="1" x14ac:dyDescent="0.15">
      <c r="A46" s="77" t="s">
        <v>175</v>
      </c>
      <c r="B46" s="120">
        <v>190.74942300000001</v>
      </c>
      <c r="C46" s="120">
        <v>2.365799</v>
      </c>
      <c r="D46" s="120">
        <v>89.810862999999998</v>
      </c>
      <c r="E46" s="120">
        <v>50.244354000000001</v>
      </c>
      <c r="F46" s="121">
        <v>48.328406999999999</v>
      </c>
      <c r="G46" s="120">
        <v>210.062116</v>
      </c>
      <c r="H46" s="120">
        <v>57.364960000000004</v>
      </c>
      <c r="I46" s="120">
        <v>100.49212900000001</v>
      </c>
      <c r="J46" s="120">
        <v>16.687902000000001</v>
      </c>
      <c r="K46" s="144">
        <v>35.517125</v>
      </c>
    </row>
    <row r="47" spans="1:11" ht="13.5" customHeight="1" x14ac:dyDescent="0.15">
      <c r="A47" s="77"/>
      <c r="B47" s="120" t="s">
        <v>207</v>
      </c>
      <c r="C47" s="120" t="s">
        <v>207</v>
      </c>
      <c r="D47" s="120" t="s">
        <v>207</v>
      </c>
      <c r="E47" s="120" t="s">
        <v>207</v>
      </c>
      <c r="F47" s="121" t="s">
        <v>207</v>
      </c>
      <c r="G47" s="120" t="s">
        <v>207</v>
      </c>
      <c r="H47" s="120" t="s">
        <v>207</v>
      </c>
      <c r="I47" s="120" t="s">
        <v>207</v>
      </c>
      <c r="J47" s="120" t="s">
        <v>207</v>
      </c>
      <c r="K47" s="144" t="s">
        <v>207</v>
      </c>
    </row>
    <row r="48" spans="1:11" ht="13.5" customHeight="1" x14ac:dyDescent="0.15">
      <c r="A48" s="77" t="s">
        <v>176</v>
      </c>
      <c r="B48" s="120">
        <v>174.68327099999999</v>
      </c>
      <c r="C48" s="120">
        <v>3.3052959999999998</v>
      </c>
      <c r="D48" s="120">
        <v>83.111592000000002</v>
      </c>
      <c r="E48" s="120">
        <v>40.039487999999999</v>
      </c>
      <c r="F48" s="121">
        <v>48.226894999999999</v>
      </c>
      <c r="G48" s="120">
        <v>154.74098900000001</v>
      </c>
      <c r="H48" s="120">
        <v>43.447006999999999</v>
      </c>
      <c r="I48" s="120">
        <v>39.191229999999997</v>
      </c>
      <c r="J48" s="120">
        <v>25.176321000000002</v>
      </c>
      <c r="K48" s="144">
        <v>46.926431000000001</v>
      </c>
    </row>
    <row r="49" spans="1:11" ht="13.5" customHeight="1" x14ac:dyDescent="0.15">
      <c r="A49" s="77" t="s">
        <v>146</v>
      </c>
      <c r="B49" s="120">
        <v>212.776207</v>
      </c>
      <c r="C49" s="120">
        <v>2.6699120000000001</v>
      </c>
      <c r="D49" s="120">
        <v>117.347993</v>
      </c>
      <c r="E49" s="120">
        <v>44.579498000000001</v>
      </c>
      <c r="F49" s="121">
        <v>48.178804</v>
      </c>
      <c r="G49" s="120">
        <v>254.045661</v>
      </c>
      <c r="H49" s="120">
        <v>40.382421999999998</v>
      </c>
      <c r="I49" s="120">
        <v>161.09298999999999</v>
      </c>
      <c r="J49" s="120">
        <v>14.794312</v>
      </c>
      <c r="K49" s="144">
        <v>37.775936999999999</v>
      </c>
    </row>
    <row r="50" spans="1:11" ht="13.5" customHeight="1" x14ac:dyDescent="0.15">
      <c r="A50" s="77" t="s">
        <v>150</v>
      </c>
      <c r="B50" s="120">
        <v>204.932233</v>
      </c>
      <c r="C50" s="120">
        <v>2.9744030000000001</v>
      </c>
      <c r="D50" s="120">
        <v>103.269451</v>
      </c>
      <c r="E50" s="120">
        <v>45.637796999999999</v>
      </c>
      <c r="F50" s="121">
        <v>53.050581999999999</v>
      </c>
      <c r="G50" s="120">
        <v>262.52980200000002</v>
      </c>
      <c r="H50" s="120">
        <v>54.268883000000002</v>
      </c>
      <c r="I50" s="120">
        <v>134.20734100000001</v>
      </c>
      <c r="J50" s="120">
        <v>28.477502000000001</v>
      </c>
      <c r="K50" s="144">
        <v>45.576076</v>
      </c>
    </row>
    <row r="51" spans="1:11" ht="13.5" customHeight="1" x14ac:dyDescent="0.15">
      <c r="A51" s="77"/>
      <c r="B51" s="120" t="s">
        <v>207</v>
      </c>
      <c r="C51" s="120" t="s">
        <v>207</v>
      </c>
      <c r="D51" s="120" t="s">
        <v>207</v>
      </c>
      <c r="E51" s="120" t="s">
        <v>207</v>
      </c>
      <c r="F51" s="121" t="s">
        <v>207</v>
      </c>
      <c r="G51" s="120" t="s">
        <v>207</v>
      </c>
      <c r="H51" s="120" t="s">
        <v>207</v>
      </c>
      <c r="I51" s="120" t="s">
        <v>207</v>
      </c>
      <c r="J51" s="120" t="s">
        <v>207</v>
      </c>
      <c r="K51" s="144" t="s">
        <v>207</v>
      </c>
    </row>
    <row r="52" spans="1:11" ht="13.5" customHeight="1" x14ac:dyDescent="0.15">
      <c r="A52" s="77" t="s">
        <v>187</v>
      </c>
      <c r="B52" s="120">
        <v>189.48223400000001</v>
      </c>
      <c r="C52" s="120">
        <v>2.2004649999999999</v>
      </c>
      <c r="D52" s="120">
        <v>104.95628499999999</v>
      </c>
      <c r="E52" s="120">
        <v>37.083019999999998</v>
      </c>
      <c r="F52" s="121">
        <v>45.242463999999998</v>
      </c>
      <c r="G52" s="120">
        <v>180.734239</v>
      </c>
      <c r="H52" s="120">
        <v>41.840591000000003</v>
      </c>
      <c r="I52" s="120">
        <v>82.040549999999996</v>
      </c>
      <c r="J52" s="120">
        <v>12.539600999999999</v>
      </c>
      <c r="K52" s="144">
        <v>44.313496999999998</v>
      </c>
    </row>
    <row r="53" spans="1:11" ht="13.5" customHeight="1" x14ac:dyDescent="0.15">
      <c r="A53" s="77" t="s">
        <v>154</v>
      </c>
      <c r="B53" s="120">
        <v>205.896345</v>
      </c>
      <c r="C53" s="120">
        <v>2.6722380000000001</v>
      </c>
      <c r="D53" s="120">
        <v>113.924785</v>
      </c>
      <c r="E53" s="120">
        <v>43.321997000000003</v>
      </c>
      <c r="F53" s="121">
        <v>45.977325</v>
      </c>
      <c r="G53" s="120">
        <v>555.11901899999998</v>
      </c>
      <c r="H53" s="120">
        <v>43.894886</v>
      </c>
      <c r="I53" s="120">
        <v>464.11345999999998</v>
      </c>
      <c r="J53" s="120">
        <v>13.197554</v>
      </c>
      <c r="K53" s="144">
        <v>33.913119000000002</v>
      </c>
    </row>
    <row r="54" spans="1:11" ht="13.5" customHeight="1" x14ac:dyDescent="0.15">
      <c r="A54" s="77" t="s">
        <v>168</v>
      </c>
      <c r="B54" s="120">
        <v>237.935147</v>
      </c>
      <c r="C54" s="120">
        <v>4.3197070000000002</v>
      </c>
      <c r="D54" s="120">
        <v>122.63287099999999</v>
      </c>
      <c r="E54" s="120">
        <v>52.864100000000001</v>
      </c>
      <c r="F54" s="121">
        <v>58.118468999999997</v>
      </c>
      <c r="G54" s="120">
        <v>288.13581199999999</v>
      </c>
      <c r="H54" s="120">
        <v>92.725323000000003</v>
      </c>
      <c r="I54" s="120">
        <v>136.85601299999999</v>
      </c>
      <c r="J54" s="120">
        <v>15.100915000000001</v>
      </c>
      <c r="K54" s="144">
        <v>43.453561000000001</v>
      </c>
    </row>
    <row r="55" spans="1:11" ht="13.5" customHeight="1" x14ac:dyDescent="0.15">
      <c r="A55" s="77"/>
      <c r="B55" s="120" t="s">
        <v>207</v>
      </c>
      <c r="C55" s="120" t="s">
        <v>207</v>
      </c>
      <c r="D55" s="120" t="s">
        <v>207</v>
      </c>
      <c r="E55" s="120" t="s">
        <v>207</v>
      </c>
      <c r="F55" s="121" t="s">
        <v>207</v>
      </c>
      <c r="G55" s="120" t="s">
        <v>207</v>
      </c>
      <c r="H55" s="120" t="s">
        <v>207</v>
      </c>
      <c r="I55" s="120" t="s">
        <v>207</v>
      </c>
      <c r="J55" s="120" t="s">
        <v>207</v>
      </c>
      <c r="K55" s="144" t="s">
        <v>207</v>
      </c>
    </row>
    <row r="56" spans="1:11" ht="13.5" customHeight="1" x14ac:dyDescent="0.15">
      <c r="A56" s="77" t="s">
        <v>133</v>
      </c>
      <c r="B56" s="120">
        <v>230.27323999999999</v>
      </c>
      <c r="C56" s="120">
        <v>2.7794720000000002</v>
      </c>
      <c r="D56" s="120">
        <v>119.984981</v>
      </c>
      <c r="E56" s="120">
        <v>45.313017000000002</v>
      </c>
      <c r="F56" s="121">
        <v>62.195770000000003</v>
      </c>
      <c r="G56" s="120">
        <v>297.733315</v>
      </c>
      <c r="H56" s="120">
        <v>68.099372000000002</v>
      </c>
      <c r="I56" s="120">
        <v>173.11030600000001</v>
      </c>
      <c r="J56" s="120">
        <v>13.144527999999999</v>
      </c>
      <c r="K56" s="144">
        <v>43.379109</v>
      </c>
    </row>
    <row r="57" spans="1:11" ht="13.5" customHeight="1" x14ac:dyDescent="0.15">
      <c r="A57" s="77" t="s">
        <v>135</v>
      </c>
      <c r="B57" s="120">
        <v>222.476202</v>
      </c>
      <c r="C57" s="120">
        <v>4.9123659999999996</v>
      </c>
      <c r="D57" s="120">
        <v>111.110026</v>
      </c>
      <c r="E57" s="120">
        <v>47.385097999999999</v>
      </c>
      <c r="F57" s="121">
        <v>59.068711999999998</v>
      </c>
      <c r="G57" s="120">
        <v>354.74635699999999</v>
      </c>
      <c r="H57" s="120">
        <v>51.381864999999998</v>
      </c>
      <c r="I57" s="120">
        <v>242.917811</v>
      </c>
      <c r="J57" s="120">
        <v>16.228114999999999</v>
      </c>
      <c r="K57" s="144">
        <v>44.218566000000003</v>
      </c>
    </row>
    <row r="58" spans="1:11" ht="13.5" customHeight="1" x14ac:dyDescent="0.15">
      <c r="A58" s="77" t="s">
        <v>136</v>
      </c>
      <c r="B58" s="120">
        <v>206.74055000000001</v>
      </c>
      <c r="C58" s="120">
        <v>3.4699900000000001</v>
      </c>
      <c r="D58" s="120">
        <v>93.978037999999998</v>
      </c>
      <c r="E58" s="120">
        <v>47.251317999999998</v>
      </c>
      <c r="F58" s="121">
        <v>62.041204</v>
      </c>
      <c r="G58" s="120">
        <v>196.393688</v>
      </c>
      <c r="H58" s="120">
        <v>94.084135000000003</v>
      </c>
      <c r="I58" s="120">
        <v>52.585887</v>
      </c>
      <c r="J58" s="120">
        <v>17.811001999999998</v>
      </c>
      <c r="K58" s="144">
        <v>31.912663999999999</v>
      </c>
    </row>
    <row r="59" spans="1:11" ht="13.5" customHeight="1" x14ac:dyDescent="0.15">
      <c r="A59" s="77"/>
      <c r="B59" s="120" t="s">
        <v>207</v>
      </c>
      <c r="C59" s="120" t="s">
        <v>207</v>
      </c>
      <c r="D59" s="120" t="s">
        <v>207</v>
      </c>
      <c r="E59" s="120" t="s">
        <v>207</v>
      </c>
      <c r="F59" s="121" t="s">
        <v>207</v>
      </c>
      <c r="G59" s="120" t="s">
        <v>207</v>
      </c>
      <c r="H59" s="120" t="s">
        <v>207</v>
      </c>
      <c r="I59" s="120" t="s">
        <v>207</v>
      </c>
      <c r="J59" s="120" t="s">
        <v>207</v>
      </c>
      <c r="K59" s="144" t="s">
        <v>207</v>
      </c>
    </row>
    <row r="60" spans="1:11" ht="13.5" customHeight="1" x14ac:dyDescent="0.15">
      <c r="A60" s="77" t="s">
        <v>138</v>
      </c>
      <c r="B60" s="120">
        <v>251.64077800000001</v>
      </c>
      <c r="C60" s="120">
        <v>3.4755850000000001</v>
      </c>
      <c r="D60" s="120">
        <v>140.801109</v>
      </c>
      <c r="E60" s="120">
        <v>45.313566999999999</v>
      </c>
      <c r="F60" s="121">
        <v>62.050516999999999</v>
      </c>
      <c r="G60" s="120">
        <v>366.00768799999997</v>
      </c>
      <c r="H60" s="120">
        <v>107.209442</v>
      </c>
      <c r="I60" s="120">
        <v>210.605133</v>
      </c>
      <c r="J60" s="120">
        <v>12.067487</v>
      </c>
      <c r="K60" s="144">
        <v>36.125625999999997</v>
      </c>
    </row>
    <row r="61" spans="1:11" ht="13.5" customHeight="1" x14ac:dyDescent="0.15">
      <c r="A61" s="77" t="s">
        <v>142</v>
      </c>
      <c r="B61" s="120">
        <v>217.443803</v>
      </c>
      <c r="C61" s="120">
        <v>4.4399439999999997</v>
      </c>
      <c r="D61" s="120">
        <v>115.616691</v>
      </c>
      <c r="E61" s="120">
        <v>38.189405000000001</v>
      </c>
      <c r="F61" s="121">
        <v>59.197763000000002</v>
      </c>
      <c r="G61" s="120">
        <v>311.289377</v>
      </c>
      <c r="H61" s="120">
        <v>97.089001999999994</v>
      </c>
      <c r="I61" s="120">
        <v>167.45427599999999</v>
      </c>
      <c r="J61" s="120">
        <v>17.171807000000001</v>
      </c>
      <c r="K61" s="144">
        <v>29.574292</v>
      </c>
    </row>
    <row r="62" spans="1:11" ht="13.5" customHeight="1" x14ac:dyDescent="0.15">
      <c r="A62" s="77" t="s">
        <v>144</v>
      </c>
      <c r="B62" s="120">
        <v>249.24748199999999</v>
      </c>
      <c r="C62" s="120">
        <v>2.4297089999999999</v>
      </c>
      <c r="D62" s="120">
        <v>123.202274</v>
      </c>
      <c r="E62" s="120">
        <v>46.458654000000003</v>
      </c>
      <c r="F62" s="121">
        <v>77.156845000000004</v>
      </c>
      <c r="G62" s="120">
        <v>578.00987499999997</v>
      </c>
      <c r="H62" s="120">
        <v>131.21276</v>
      </c>
      <c r="I62" s="120">
        <v>387.75423699999999</v>
      </c>
      <c r="J62" s="120">
        <v>13.107654999999999</v>
      </c>
      <c r="K62" s="144">
        <v>45.935223000000001</v>
      </c>
    </row>
    <row r="63" spans="1:11" ht="13.5" customHeight="1" x14ac:dyDescent="0.15">
      <c r="A63" s="77"/>
      <c r="B63" s="120" t="s">
        <v>207</v>
      </c>
      <c r="C63" s="120" t="s">
        <v>207</v>
      </c>
      <c r="D63" s="120" t="s">
        <v>207</v>
      </c>
      <c r="E63" s="120" t="s">
        <v>207</v>
      </c>
      <c r="F63" s="121" t="s">
        <v>207</v>
      </c>
      <c r="G63" s="120" t="s">
        <v>207</v>
      </c>
      <c r="H63" s="120" t="s">
        <v>207</v>
      </c>
      <c r="I63" s="120" t="s">
        <v>207</v>
      </c>
      <c r="J63" s="120" t="s">
        <v>207</v>
      </c>
      <c r="K63" s="144" t="s">
        <v>207</v>
      </c>
    </row>
    <row r="64" spans="1:11" ht="13.5" customHeight="1" x14ac:dyDescent="0.15">
      <c r="A64" s="77" t="s">
        <v>191</v>
      </c>
      <c r="B64" s="120">
        <v>260.79729200000003</v>
      </c>
      <c r="C64" s="120">
        <v>2.809437</v>
      </c>
      <c r="D64" s="120">
        <v>141.16388499999999</v>
      </c>
      <c r="E64" s="120">
        <v>55.367013</v>
      </c>
      <c r="F64" s="121">
        <v>61.456957000000003</v>
      </c>
      <c r="G64" s="120">
        <v>372.08472699999999</v>
      </c>
      <c r="H64" s="120">
        <v>120.63461700000001</v>
      </c>
      <c r="I64" s="120">
        <v>192.19656599999999</v>
      </c>
      <c r="J64" s="120">
        <v>14.853286000000001</v>
      </c>
      <c r="K64" s="144">
        <v>44.400258000000001</v>
      </c>
    </row>
    <row r="65" spans="1:12" ht="13.5" customHeight="1" x14ac:dyDescent="0.15">
      <c r="A65" s="77" t="s">
        <v>147</v>
      </c>
      <c r="B65" s="120">
        <v>237.64672200000001</v>
      </c>
      <c r="C65" s="120">
        <v>2.5338880000000001</v>
      </c>
      <c r="D65" s="120">
        <v>126.266583</v>
      </c>
      <c r="E65" s="120">
        <v>50.898966999999999</v>
      </c>
      <c r="F65" s="121">
        <v>57.947284000000003</v>
      </c>
      <c r="G65" s="120">
        <v>358.33090900000002</v>
      </c>
      <c r="H65" s="120">
        <v>120.57205999999999</v>
      </c>
      <c r="I65" s="120">
        <v>173.65492</v>
      </c>
      <c r="J65" s="120">
        <v>13.319589000000001</v>
      </c>
      <c r="K65" s="144">
        <v>50.78434</v>
      </c>
    </row>
    <row r="66" spans="1:12" s="29" customFormat="1" ht="13.5" customHeight="1" x14ac:dyDescent="0.15">
      <c r="A66" s="77" t="s">
        <v>192</v>
      </c>
      <c r="B66" s="120">
        <v>220.29923700000001</v>
      </c>
      <c r="C66" s="120">
        <v>1.759433</v>
      </c>
      <c r="D66" s="120">
        <v>96.294387</v>
      </c>
      <c r="E66" s="120">
        <v>49.043281999999998</v>
      </c>
      <c r="F66" s="121">
        <v>73.202134999999998</v>
      </c>
      <c r="G66" s="120">
        <v>459.08047599999998</v>
      </c>
      <c r="H66" s="120">
        <v>104.18707499999999</v>
      </c>
      <c r="I66" s="120">
        <v>282.78754800000002</v>
      </c>
      <c r="J66" s="120">
        <v>13.97753</v>
      </c>
      <c r="K66" s="144">
        <v>58.128323000000002</v>
      </c>
    </row>
    <row r="67" spans="1:12" ht="13.5" customHeight="1" x14ac:dyDescent="0.15">
      <c r="A67" s="77"/>
      <c r="B67" s="120" t="s">
        <v>207</v>
      </c>
      <c r="C67" s="120" t="s">
        <v>207</v>
      </c>
      <c r="D67" s="120" t="s">
        <v>207</v>
      </c>
      <c r="E67" s="120" t="s">
        <v>207</v>
      </c>
      <c r="F67" s="121" t="s">
        <v>207</v>
      </c>
      <c r="G67" s="120" t="s">
        <v>207</v>
      </c>
      <c r="H67" s="120" t="s">
        <v>207</v>
      </c>
      <c r="I67" s="120" t="s">
        <v>207</v>
      </c>
      <c r="J67" s="120" t="s">
        <v>207</v>
      </c>
      <c r="K67" s="144" t="s">
        <v>207</v>
      </c>
    </row>
    <row r="68" spans="1:12" ht="13.5" customHeight="1" x14ac:dyDescent="0.15">
      <c r="A68" s="77" t="s">
        <v>244</v>
      </c>
      <c r="B68" s="120">
        <v>236.03783200000001</v>
      </c>
      <c r="C68" s="120">
        <v>2.5794160000000002</v>
      </c>
      <c r="D68" s="120">
        <v>134.17470800000001</v>
      </c>
      <c r="E68" s="120">
        <v>44.470004000000003</v>
      </c>
      <c r="F68" s="121">
        <v>54.813704000000001</v>
      </c>
      <c r="G68" s="120">
        <v>657.61586999999997</v>
      </c>
      <c r="H68" s="120">
        <v>131.81116900000001</v>
      </c>
      <c r="I68" s="120">
        <v>463.613292</v>
      </c>
      <c r="J68" s="120">
        <v>13.195219</v>
      </c>
      <c r="K68" s="144">
        <v>48.996189999999999</v>
      </c>
    </row>
    <row r="69" spans="1:12" s="29" customFormat="1" ht="13.5" customHeight="1" x14ac:dyDescent="0.15">
      <c r="A69" s="77" t="s">
        <v>210</v>
      </c>
      <c r="B69" s="120">
        <v>243.61245500000001</v>
      </c>
      <c r="C69" s="120">
        <v>3.3701910000000002</v>
      </c>
      <c r="D69" s="120">
        <v>139.97877099999999</v>
      </c>
      <c r="E69" s="120">
        <v>47.131442</v>
      </c>
      <c r="F69" s="121">
        <v>53.132050999999997</v>
      </c>
      <c r="G69" s="120">
        <v>360.49556699999999</v>
      </c>
      <c r="H69" s="120">
        <v>125.027221</v>
      </c>
      <c r="I69" s="120">
        <v>196.59966700000001</v>
      </c>
      <c r="J69" s="120">
        <v>11.417306</v>
      </c>
      <c r="K69" s="144">
        <v>27.451373</v>
      </c>
    </row>
    <row r="70" spans="1:12" ht="13.5" customHeight="1" x14ac:dyDescent="0.15">
      <c r="A70" s="77" t="s">
        <v>211</v>
      </c>
      <c r="B70" s="120">
        <v>263.07126299999999</v>
      </c>
      <c r="C70" s="120">
        <v>3.4648539999999999</v>
      </c>
      <c r="D70" s="120">
        <v>127.807334</v>
      </c>
      <c r="E70" s="120">
        <v>57.579259999999998</v>
      </c>
      <c r="F70" s="121">
        <v>74.219814999999997</v>
      </c>
      <c r="G70" s="120">
        <v>615.52531099999999</v>
      </c>
      <c r="H70" s="120">
        <v>169.97155699999999</v>
      </c>
      <c r="I70" s="120">
        <v>390.74665700000003</v>
      </c>
      <c r="J70" s="120">
        <v>14.476666</v>
      </c>
      <c r="K70" s="144">
        <v>40.330430999999997</v>
      </c>
      <c r="L70" s="29"/>
    </row>
    <row r="71" spans="1:12" ht="13.5" customHeight="1" x14ac:dyDescent="0.15">
      <c r="A71" s="77"/>
      <c r="B71" s="77" t="s">
        <v>207</v>
      </c>
      <c r="C71" s="77" t="s">
        <v>207</v>
      </c>
      <c r="D71" s="77" t="s">
        <v>207</v>
      </c>
      <c r="E71" s="77" t="s">
        <v>207</v>
      </c>
      <c r="F71" s="77" t="s">
        <v>207</v>
      </c>
      <c r="G71" s="77" t="s">
        <v>207</v>
      </c>
      <c r="H71" s="77" t="s">
        <v>207</v>
      </c>
      <c r="I71" s="77" t="s">
        <v>207</v>
      </c>
      <c r="J71" s="77" t="s">
        <v>207</v>
      </c>
      <c r="K71" s="133" t="s">
        <v>207</v>
      </c>
      <c r="L71" s="29"/>
    </row>
    <row r="72" spans="1:12" ht="13.5" customHeight="1" x14ac:dyDescent="0.15">
      <c r="A72" s="77" t="s">
        <v>213</v>
      </c>
      <c r="B72" s="120">
        <v>279.61439899999999</v>
      </c>
      <c r="C72" s="120">
        <v>3.7000310000000001</v>
      </c>
      <c r="D72" s="120">
        <v>155.89169000000001</v>
      </c>
      <c r="E72" s="120">
        <v>58.043694000000002</v>
      </c>
      <c r="F72" s="121">
        <v>61.978983999999997</v>
      </c>
      <c r="G72" s="120">
        <v>329.266505</v>
      </c>
      <c r="H72" s="120">
        <v>93.388893999999993</v>
      </c>
      <c r="I72" s="120">
        <v>184.16167999999999</v>
      </c>
      <c r="J72" s="120">
        <v>10.330503999999999</v>
      </c>
      <c r="K72" s="144">
        <v>41.385427</v>
      </c>
    </row>
    <row r="73" spans="1:12" ht="13.5" customHeight="1" x14ac:dyDescent="0.15">
      <c r="A73" s="77" t="s">
        <v>214</v>
      </c>
      <c r="B73" s="120">
        <v>229.37128000000001</v>
      </c>
      <c r="C73" s="120">
        <v>2.5256340000000002</v>
      </c>
      <c r="D73" s="120">
        <v>108.007705</v>
      </c>
      <c r="E73" s="120">
        <v>46.709186000000003</v>
      </c>
      <c r="F73" s="121">
        <v>72.128754999999998</v>
      </c>
      <c r="G73" s="120">
        <v>567.434392</v>
      </c>
      <c r="H73" s="120">
        <v>118.798734</v>
      </c>
      <c r="I73" s="120">
        <v>397.07291700000002</v>
      </c>
      <c r="J73" s="120">
        <v>13.323565</v>
      </c>
      <c r="K73" s="144">
        <v>38.239176</v>
      </c>
    </row>
    <row r="74" spans="1:12" ht="13.5" customHeight="1" x14ac:dyDescent="0.15">
      <c r="A74" s="77" t="s">
        <v>245</v>
      </c>
      <c r="B74" s="120">
        <v>234.10531</v>
      </c>
      <c r="C74" s="120">
        <v>2.2970470000000001</v>
      </c>
      <c r="D74" s="120">
        <v>124.769122</v>
      </c>
      <c r="E74" s="120">
        <v>45.648470000000003</v>
      </c>
      <c r="F74" s="121">
        <v>61.390670999999998</v>
      </c>
      <c r="G74" s="120">
        <v>378.02853299999998</v>
      </c>
      <c r="H74" s="120">
        <v>175.98669899999999</v>
      </c>
      <c r="I74" s="120">
        <v>153.67529200000001</v>
      </c>
      <c r="J74" s="120">
        <v>9.3888630000000006</v>
      </c>
      <c r="K74" s="144">
        <v>38.977679000000002</v>
      </c>
    </row>
    <row r="75" spans="1:12" ht="13.5" customHeight="1" x14ac:dyDescent="0.15">
      <c r="A75" s="77"/>
      <c r="B75" s="120" t="s">
        <v>207</v>
      </c>
      <c r="C75" s="120" t="s">
        <v>207</v>
      </c>
      <c r="D75" s="120" t="s">
        <v>207</v>
      </c>
      <c r="E75" s="120" t="s">
        <v>207</v>
      </c>
      <c r="F75" s="121" t="s">
        <v>207</v>
      </c>
      <c r="G75" s="120" t="s">
        <v>207</v>
      </c>
      <c r="H75" s="120" t="s">
        <v>207</v>
      </c>
      <c r="I75" s="120" t="s">
        <v>207</v>
      </c>
      <c r="J75" s="120" t="s">
        <v>207</v>
      </c>
      <c r="K75" s="144" t="s">
        <v>207</v>
      </c>
    </row>
    <row r="76" spans="1:12" ht="13.5" customHeight="1" x14ac:dyDescent="0.15">
      <c r="A76" s="77" t="s">
        <v>202</v>
      </c>
      <c r="B76" s="120">
        <v>222.11770899999999</v>
      </c>
      <c r="C76" s="120">
        <v>2.0123250000000001</v>
      </c>
      <c r="D76" s="120">
        <v>105.153409</v>
      </c>
      <c r="E76" s="120">
        <v>56.996184</v>
      </c>
      <c r="F76" s="121">
        <v>57.955790999999998</v>
      </c>
      <c r="G76" s="120">
        <v>509.963122</v>
      </c>
      <c r="H76" s="120">
        <v>161.49848700000001</v>
      </c>
      <c r="I76" s="120">
        <v>293.77263900000003</v>
      </c>
      <c r="J76" s="120">
        <v>14.638996000000001</v>
      </c>
      <c r="K76" s="144">
        <v>40.052999999999997</v>
      </c>
    </row>
    <row r="77" spans="1:12" ht="13.5" customHeight="1" x14ac:dyDescent="0.15">
      <c r="A77" s="77" t="s">
        <v>203</v>
      </c>
      <c r="B77" s="120">
        <v>187.52261200000001</v>
      </c>
      <c r="C77" s="120">
        <v>3.2087150000000002</v>
      </c>
      <c r="D77" s="120">
        <v>86.856888999999995</v>
      </c>
      <c r="E77" s="120">
        <v>39.451903000000001</v>
      </c>
      <c r="F77" s="121">
        <v>58.005105</v>
      </c>
      <c r="G77" s="120">
        <v>724.81043499999998</v>
      </c>
      <c r="H77" s="120">
        <v>172.75387799999999</v>
      </c>
      <c r="I77" s="120">
        <v>494.92365100000001</v>
      </c>
      <c r="J77" s="120">
        <v>14.988286</v>
      </c>
      <c r="K77" s="144">
        <v>42.144620000000003</v>
      </c>
    </row>
    <row r="78" spans="1:12" ht="13.5" customHeight="1" x14ac:dyDescent="0.15">
      <c r="A78" s="77" t="s">
        <v>143</v>
      </c>
      <c r="B78" s="120">
        <v>224.021219</v>
      </c>
      <c r="C78" s="120">
        <v>2.6395330000000001</v>
      </c>
      <c r="D78" s="120">
        <v>108.733722</v>
      </c>
      <c r="E78" s="120">
        <v>53.985540999999998</v>
      </c>
      <c r="F78" s="121">
        <v>58.662422999999997</v>
      </c>
      <c r="G78" s="120">
        <v>1536.952346</v>
      </c>
      <c r="H78" s="120">
        <v>162.727856</v>
      </c>
      <c r="I78" s="120">
        <v>1320.3725380000001</v>
      </c>
      <c r="J78" s="120">
        <v>14.67301</v>
      </c>
      <c r="K78" s="144">
        <v>39.178941999999999</v>
      </c>
    </row>
    <row r="79" spans="1:12" ht="13.5" customHeight="1" x14ac:dyDescent="0.15">
      <c r="A79" s="77"/>
      <c r="B79" s="120" t="s">
        <v>207</v>
      </c>
      <c r="C79" s="120" t="s">
        <v>207</v>
      </c>
      <c r="D79" s="120" t="s">
        <v>207</v>
      </c>
      <c r="E79" s="120" t="s">
        <v>207</v>
      </c>
      <c r="F79" s="121" t="s">
        <v>207</v>
      </c>
      <c r="G79" s="120" t="s">
        <v>207</v>
      </c>
      <c r="H79" s="120" t="s">
        <v>207</v>
      </c>
      <c r="I79" s="120" t="s">
        <v>207</v>
      </c>
      <c r="J79" s="120" t="s">
        <v>207</v>
      </c>
      <c r="K79" s="144" t="s">
        <v>207</v>
      </c>
    </row>
    <row r="80" spans="1:12" s="29" customFormat="1" ht="13.5" customHeight="1" x14ac:dyDescent="0.15">
      <c r="A80" s="77" t="s">
        <v>191</v>
      </c>
      <c r="B80" s="120">
        <v>218.53783799999999</v>
      </c>
      <c r="C80" s="120">
        <v>2.720507</v>
      </c>
      <c r="D80" s="120">
        <v>109.41018099999999</v>
      </c>
      <c r="E80" s="120">
        <v>44.170994999999998</v>
      </c>
      <c r="F80" s="121">
        <v>62.236154999999997</v>
      </c>
      <c r="G80" s="120">
        <v>693.77534800000001</v>
      </c>
      <c r="H80" s="120">
        <v>82.598894000000001</v>
      </c>
      <c r="I80" s="120">
        <v>564.84871599999997</v>
      </c>
      <c r="J80" s="120">
        <v>10.37083</v>
      </c>
      <c r="K80" s="144">
        <v>35.956907999999999</v>
      </c>
    </row>
    <row r="81" spans="1:12" s="29" customFormat="1" ht="13.5" customHeight="1" x14ac:dyDescent="0.15">
      <c r="A81" s="77" t="s">
        <v>147</v>
      </c>
      <c r="B81" s="120">
        <v>202.653738</v>
      </c>
      <c r="C81" s="120">
        <v>2.8436279999999998</v>
      </c>
      <c r="D81" s="120">
        <v>89.203288000000001</v>
      </c>
      <c r="E81" s="120">
        <v>50.800685999999999</v>
      </c>
      <c r="F81" s="121">
        <v>59.806136000000002</v>
      </c>
      <c r="G81" s="120">
        <v>855.22088399999996</v>
      </c>
      <c r="H81" s="120">
        <v>115.852994</v>
      </c>
      <c r="I81" s="120">
        <v>665.302324</v>
      </c>
      <c r="J81" s="120">
        <v>29.470288</v>
      </c>
      <c r="K81" s="144">
        <v>44.595278</v>
      </c>
    </row>
    <row r="82" spans="1:12" s="29" customFormat="1" ht="13.5" customHeight="1" x14ac:dyDescent="0.15">
      <c r="A82" s="77" t="s">
        <v>206</v>
      </c>
      <c r="B82" s="120">
        <v>208.001518</v>
      </c>
      <c r="C82" s="120">
        <v>3.9354800000000001</v>
      </c>
      <c r="D82" s="120">
        <v>92.388180000000006</v>
      </c>
      <c r="E82" s="120">
        <v>50.859872000000003</v>
      </c>
      <c r="F82" s="121">
        <v>60.817985999999998</v>
      </c>
      <c r="G82" s="120">
        <v>475.27518700000002</v>
      </c>
      <c r="H82" s="120">
        <v>157.067317</v>
      </c>
      <c r="I82" s="120">
        <v>263.85681699999998</v>
      </c>
      <c r="J82" s="120">
        <v>9.4833639999999999</v>
      </c>
      <c r="K82" s="144">
        <v>44.867688999999999</v>
      </c>
    </row>
    <row r="83" spans="1:12" s="29" customFormat="1" ht="13.5" customHeight="1" x14ac:dyDescent="0.15">
      <c r="A83" s="77"/>
      <c r="B83" s="120" t="s">
        <v>207</v>
      </c>
      <c r="C83" s="120" t="s">
        <v>207</v>
      </c>
      <c r="D83" s="120" t="s">
        <v>207</v>
      </c>
      <c r="E83" s="120" t="s">
        <v>207</v>
      </c>
      <c r="F83" s="121" t="s">
        <v>207</v>
      </c>
      <c r="G83" s="120" t="s">
        <v>207</v>
      </c>
      <c r="H83" s="120" t="s">
        <v>207</v>
      </c>
      <c r="I83" s="120" t="s">
        <v>207</v>
      </c>
      <c r="J83" s="120" t="s">
        <v>207</v>
      </c>
      <c r="K83" s="144" t="s">
        <v>207</v>
      </c>
    </row>
    <row r="84" spans="1:12" s="29" customFormat="1" ht="13.5" customHeight="1" x14ac:dyDescent="0.15">
      <c r="A84" s="77" t="s">
        <v>246</v>
      </c>
      <c r="B84" s="120">
        <v>184.77375599999999</v>
      </c>
      <c r="C84" s="120">
        <v>3.8553229999999998</v>
      </c>
      <c r="D84" s="120">
        <v>88.424736999999993</v>
      </c>
      <c r="E84" s="120">
        <v>43.925431000000003</v>
      </c>
      <c r="F84" s="121">
        <v>48.568264999999997</v>
      </c>
      <c r="G84" s="120">
        <v>997.9873</v>
      </c>
      <c r="H84" s="120">
        <v>149.095586</v>
      </c>
      <c r="I84" s="120">
        <v>798.13495399999999</v>
      </c>
      <c r="J84" s="120">
        <v>15.274055000000001</v>
      </c>
      <c r="K84" s="144">
        <v>35.482705000000003</v>
      </c>
    </row>
    <row r="85" spans="1:12" s="118" customFormat="1" ht="13.5" customHeight="1" x14ac:dyDescent="0.15">
      <c r="A85" s="77" t="s">
        <v>210</v>
      </c>
      <c r="B85" s="120">
        <v>224.54508000000001</v>
      </c>
      <c r="C85" s="120">
        <v>5.4278279999999999</v>
      </c>
      <c r="D85" s="120">
        <v>99.955927000000003</v>
      </c>
      <c r="E85" s="120">
        <v>59.637872999999999</v>
      </c>
      <c r="F85" s="121">
        <v>59.523451999999999</v>
      </c>
      <c r="G85" s="120">
        <v>706.98317799999995</v>
      </c>
      <c r="H85" s="120">
        <v>168.340025</v>
      </c>
      <c r="I85" s="120">
        <v>490.911541</v>
      </c>
      <c r="J85" s="120">
        <v>10.773241000000001</v>
      </c>
      <c r="K85" s="144">
        <v>36.958371</v>
      </c>
      <c r="L85" s="174"/>
    </row>
    <row r="86" spans="1:12" s="67" customFormat="1" ht="13.5" customHeight="1" x14ac:dyDescent="0.15">
      <c r="A86" s="77" t="s">
        <v>211</v>
      </c>
      <c r="B86" s="120">
        <v>213.52044799999999</v>
      </c>
      <c r="C86" s="120">
        <v>3.9338839999999999</v>
      </c>
      <c r="D86" s="120">
        <v>82.844468000000006</v>
      </c>
      <c r="E86" s="120">
        <v>58.754527000000003</v>
      </c>
      <c r="F86" s="121">
        <v>67.987568999999993</v>
      </c>
      <c r="G86" s="120">
        <v>808.26235299999996</v>
      </c>
      <c r="H86" s="120">
        <v>132.38002800000001</v>
      </c>
      <c r="I86" s="120">
        <v>616.87631999999996</v>
      </c>
      <c r="J86" s="120">
        <v>13.877604</v>
      </c>
      <c r="K86" s="144">
        <v>45.128400999999997</v>
      </c>
    </row>
    <row r="87" spans="1:12" x14ac:dyDescent="0.15">
      <c r="A87" s="77"/>
      <c r="B87" s="120"/>
      <c r="C87" s="120"/>
      <c r="D87" s="120"/>
      <c r="E87" s="120"/>
      <c r="F87" s="121"/>
      <c r="G87" s="120"/>
      <c r="H87" s="120"/>
      <c r="I87" s="120"/>
      <c r="J87" s="120"/>
      <c r="K87" s="144"/>
    </row>
    <row r="88" spans="1:12" x14ac:dyDescent="0.15">
      <c r="A88" s="77" t="s">
        <v>213</v>
      </c>
      <c r="B88" s="120">
        <v>216.89699899999999</v>
      </c>
      <c r="C88" s="120">
        <v>3.5554199999999998</v>
      </c>
      <c r="D88" s="120">
        <v>90.903649999999999</v>
      </c>
      <c r="E88" s="120">
        <v>54.451616000000001</v>
      </c>
      <c r="F88" s="121">
        <v>67.986312999999996</v>
      </c>
      <c r="G88" s="120">
        <v>252.05039199999999</v>
      </c>
      <c r="H88" s="120">
        <v>69.396259999999998</v>
      </c>
      <c r="I88" s="120">
        <v>130.225289</v>
      </c>
      <c r="J88" s="120">
        <v>13.231699000000001</v>
      </c>
      <c r="K88" s="144">
        <v>39.197144000000002</v>
      </c>
    </row>
    <row r="89" spans="1:12" x14ac:dyDescent="0.15">
      <c r="A89" s="77" t="s">
        <v>214</v>
      </c>
      <c r="B89" s="120">
        <v>238.84310500000001</v>
      </c>
      <c r="C89" s="120">
        <v>2.948915</v>
      </c>
      <c r="D89" s="120">
        <v>110.862138</v>
      </c>
      <c r="E89" s="120">
        <v>56.311284999999998</v>
      </c>
      <c r="F89" s="121">
        <v>68.720766999999995</v>
      </c>
      <c r="G89" s="120">
        <v>292.18559900000002</v>
      </c>
      <c r="H89" s="120">
        <v>54.052883999999999</v>
      </c>
      <c r="I89" s="120">
        <v>183.422023</v>
      </c>
      <c r="J89" s="120">
        <v>12.926606</v>
      </c>
      <c r="K89" s="144">
        <v>41.784086000000002</v>
      </c>
    </row>
    <row r="90" spans="1:12" x14ac:dyDescent="0.15">
      <c r="A90" s="77" t="s">
        <v>245</v>
      </c>
      <c r="B90" s="120">
        <v>235.608844</v>
      </c>
      <c r="C90" s="120">
        <v>3.8700299999999999</v>
      </c>
      <c r="D90" s="120">
        <v>101.672291</v>
      </c>
      <c r="E90" s="120">
        <v>63.180705000000003</v>
      </c>
      <c r="F90" s="121">
        <v>66.885818</v>
      </c>
      <c r="G90" s="120">
        <v>239.57610399999999</v>
      </c>
      <c r="H90" s="120">
        <v>104.953746</v>
      </c>
      <c r="I90" s="120">
        <v>84.690866</v>
      </c>
      <c r="J90" s="120">
        <v>11.045304</v>
      </c>
      <c r="K90" s="144">
        <v>38.886187999999997</v>
      </c>
    </row>
    <row r="91" spans="1:12" x14ac:dyDescent="0.15">
      <c r="A91" s="77"/>
      <c r="B91" s="120"/>
      <c r="C91" s="120"/>
      <c r="D91" s="120"/>
      <c r="E91" s="120"/>
      <c r="F91" s="121"/>
      <c r="G91" s="120"/>
      <c r="H91" s="120"/>
      <c r="I91" s="120"/>
      <c r="J91" s="120"/>
      <c r="K91" s="144"/>
    </row>
    <row r="92" spans="1:12" x14ac:dyDescent="0.15">
      <c r="A92" s="77" t="s">
        <v>202</v>
      </c>
      <c r="B92" s="120">
        <v>303.23608400000001</v>
      </c>
      <c r="C92" s="120">
        <v>3.9592679999999998</v>
      </c>
      <c r="D92" s="120">
        <v>194.96733699999999</v>
      </c>
      <c r="E92" s="120">
        <v>44.228343000000002</v>
      </c>
      <c r="F92" s="121">
        <v>60.081136000000001</v>
      </c>
      <c r="G92" s="120">
        <v>285.33923399999998</v>
      </c>
      <c r="H92" s="120">
        <v>102.517914</v>
      </c>
      <c r="I92" s="120">
        <v>136.012123</v>
      </c>
      <c r="J92" s="120">
        <v>8.9945749999999993</v>
      </c>
      <c r="K92" s="144">
        <v>37.814622</v>
      </c>
    </row>
    <row r="93" spans="1:12" x14ac:dyDescent="0.15">
      <c r="A93" s="77" t="s">
        <v>203</v>
      </c>
      <c r="B93" s="120">
        <v>201.68489400000001</v>
      </c>
      <c r="C93" s="120">
        <v>3.8747050000000001</v>
      </c>
      <c r="D93" s="120">
        <v>76.356786</v>
      </c>
      <c r="E93" s="120">
        <v>57.554034999999999</v>
      </c>
      <c r="F93" s="121">
        <v>63.899368000000003</v>
      </c>
      <c r="G93" s="120">
        <v>308.40060299999999</v>
      </c>
      <c r="H93" s="120">
        <v>91.052826999999994</v>
      </c>
      <c r="I93" s="120">
        <v>172.964259</v>
      </c>
      <c r="J93" s="120">
        <v>11.001735</v>
      </c>
      <c r="K93" s="144">
        <v>33.381782000000001</v>
      </c>
    </row>
    <row r="94" spans="1:12" x14ac:dyDescent="0.15">
      <c r="A94" s="77" t="s">
        <v>143</v>
      </c>
      <c r="B94" s="120">
        <v>227.42010500000001</v>
      </c>
      <c r="C94" s="120">
        <v>3.4664779999999999</v>
      </c>
      <c r="D94" s="120">
        <v>85.351898000000006</v>
      </c>
      <c r="E94" s="120">
        <v>59.852615</v>
      </c>
      <c r="F94" s="121">
        <v>78.749114000000006</v>
      </c>
      <c r="G94" s="120">
        <v>293.14525700000002</v>
      </c>
      <c r="H94" s="120">
        <v>87.894775999999993</v>
      </c>
      <c r="I94" s="120">
        <v>162.13138799999999</v>
      </c>
      <c r="J94" s="120">
        <v>11.794298</v>
      </c>
      <c r="K94" s="144">
        <v>31.324795000000002</v>
      </c>
    </row>
    <row r="95" spans="1:12" x14ac:dyDescent="0.15">
      <c r="A95" s="77"/>
      <c r="B95" s="120"/>
      <c r="C95" s="120"/>
      <c r="D95" s="120"/>
      <c r="E95" s="120"/>
      <c r="F95" s="121"/>
      <c r="G95" s="120"/>
      <c r="H95" s="120"/>
      <c r="I95" s="120"/>
      <c r="J95" s="120"/>
      <c r="K95" s="144"/>
    </row>
    <row r="96" spans="1:12" x14ac:dyDescent="0.15">
      <c r="A96" s="77" t="s">
        <v>96</v>
      </c>
      <c r="B96" s="120">
        <v>216.551357</v>
      </c>
      <c r="C96" s="120">
        <v>3.2113499999999999</v>
      </c>
      <c r="D96" s="120">
        <v>88.501406000000003</v>
      </c>
      <c r="E96" s="120">
        <v>47.283079999999998</v>
      </c>
      <c r="F96" s="121">
        <v>77.555520999999999</v>
      </c>
      <c r="G96" s="120">
        <v>328.82987500000002</v>
      </c>
      <c r="H96" s="120">
        <v>88.955436000000006</v>
      </c>
      <c r="I96" s="120">
        <v>186.60846599999999</v>
      </c>
      <c r="J96" s="120">
        <v>12.339665999999999</v>
      </c>
      <c r="K96" s="144">
        <v>40.926307000000001</v>
      </c>
    </row>
    <row r="97" spans="1:11" x14ac:dyDescent="0.15">
      <c r="A97" s="77" t="s">
        <v>97</v>
      </c>
      <c r="B97" s="120">
        <v>215.01120599999999</v>
      </c>
      <c r="C97" s="120">
        <v>5.6746160000000003</v>
      </c>
      <c r="D97" s="120">
        <v>78.232703000000001</v>
      </c>
      <c r="E97" s="120">
        <v>59.785404</v>
      </c>
      <c r="F97" s="121">
        <v>71.318483000000001</v>
      </c>
      <c r="G97" s="120">
        <v>340.42204700000002</v>
      </c>
      <c r="H97" s="120">
        <v>68.868572</v>
      </c>
      <c r="I97" s="120">
        <v>216.63378</v>
      </c>
      <c r="J97" s="120">
        <v>15.422027</v>
      </c>
      <c r="K97" s="144">
        <v>39.497667999999997</v>
      </c>
    </row>
    <row r="98" spans="1:11" x14ac:dyDescent="0.15">
      <c r="A98" s="77" t="s">
        <v>98</v>
      </c>
      <c r="B98" s="120">
        <v>229.643067</v>
      </c>
      <c r="C98" s="120">
        <v>5.1092870000000001</v>
      </c>
      <c r="D98" s="120">
        <v>97.156282000000004</v>
      </c>
      <c r="E98" s="120">
        <v>60.66628</v>
      </c>
      <c r="F98" s="121">
        <v>66.711218000000002</v>
      </c>
      <c r="G98" s="120">
        <v>564.18934899999999</v>
      </c>
      <c r="H98" s="120">
        <v>69.112735000000001</v>
      </c>
      <c r="I98" s="120">
        <v>439.14284199999997</v>
      </c>
      <c r="J98" s="120">
        <v>14.254224000000001</v>
      </c>
      <c r="K98" s="144">
        <v>41.679547999999997</v>
      </c>
    </row>
    <row r="99" spans="1:11" x14ac:dyDescent="0.15">
      <c r="A99" s="77"/>
      <c r="B99" s="120"/>
      <c r="C99" s="120"/>
      <c r="D99" s="120"/>
      <c r="E99" s="120"/>
      <c r="F99" s="121"/>
      <c r="G99" s="120"/>
      <c r="H99" s="120"/>
      <c r="I99" s="120"/>
      <c r="J99" s="120"/>
      <c r="K99" s="144"/>
    </row>
    <row r="100" spans="1:11" x14ac:dyDescent="0.15">
      <c r="A100" s="77" t="s">
        <v>241</v>
      </c>
      <c r="B100" s="120">
        <v>196.88161099999999</v>
      </c>
      <c r="C100" s="120">
        <v>5.2394619999999996</v>
      </c>
      <c r="D100" s="120">
        <v>69.757086999999999</v>
      </c>
      <c r="E100" s="120">
        <v>57.376223000000003</v>
      </c>
      <c r="F100" s="121">
        <v>64.508838999999995</v>
      </c>
      <c r="G100" s="120">
        <v>497.08145999999999</v>
      </c>
      <c r="H100" s="120">
        <v>60.169960000000003</v>
      </c>
      <c r="I100" s="120">
        <v>391.58835699999997</v>
      </c>
      <c r="J100" s="120">
        <v>10.158346</v>
      </c>
      <c r="K100" s="144">
        <v>35.164797</v>
      </c>
    </row>
    <row r="101" spans="1:11" x14ac:dyDescent="0.15">
      <c r="A101" s="77" t="s">
        <v>210</v>
      </c>
      <c r="B101" s="120">
        <v>303.74731200000002</v>
      </c>
      <c r="C101" s="120">
        <v>5.5495960000000002</v>
      </c>
      <c r="D101" s="120">
        <v>182.01944399999999</v>
      </c>
      <c r="E101" s="120">
        <v>49.814149</v>
      </c>
      <c r="F101" s="121">
        <v>66.364123000000006</v>
      </c>
      <c r="G101" s="120">
        <v>403.034919</v>
      </c>
      <c r="H101" s="120">
        <v>56.441653000000002</v>
      </c>
      <c r="I101" s="120">
        <v>282.46078</v>
      </c>
      <c r="J101" s="120">
        <v>31.939696999999999</v>
      </c>
      <c r="K101" s="144">
        <v>32.192788999999998</v>
      </c>
    </row>
    <row r="102" spans="1:11" x14ac:dyDescent="0.15">
      <c r="A102" s="77" t="s">
        <v>211</v>
      </c>
      <c r="B102" s="120">
        <v>278.80266899999998</v>
      </c>
      <c r="C102" s="120">
        <v>5.3216580000000002</v>
      </c>
      <c r="D102" s="120">
        <v>151.15986599999999</v>
      </c>
      <c r="E102" s="120">
        <v>58.776003000000003</v>
      </c>
      <c r="F102" s="121">
        <v>63.545141999999998</v>
      </c>
      <c r="G102" s="120">
        <v>381.98839199999998</v>
      </c>
      <c r="H102" s="120">
        <v>63.078709000000003</v>
      </c>
      <c r="I102" s="120">
        <v>275.91186299999998</v>
      </c>
      <c r="J102" s="120">
        <v>12.956153</v>
      </c>
      <c r="K102" s="144">
        <v>30.041667</v>
      </c>
    </row>
    <row r="103" spans="1:11" x14ac:dyDescent="0.15">
      <c r="A103" s="77"/>
      <c r="B103" s="120"/>
      <c r="C103" s="120"/>
      <c r="D103" s="120"/>
      <c r="E103" s="120"/>
      <c r="F103" s="121"/>
      <c r="G103" s="120"/>
      <c r="H103" s="120"/>
      <c r="I103" s="120"/>
      <c r="J103" s="120"/>
      <c r="K103" s="144"/>
    </row>
    <row r="104" spans="1:11" x14ac:dyDescent="0.15">
      <c r="A104" s="133" t="s">
        <v>213</v>
      </c>
      <c r="B104" s="201">
        <v>239.29842500000001</v>
      </c>
      <c r="C104" s="201">
        <v>2.488826</v>
      </c>
      <c r="D104" s="201">
        <v>108.62255399999999</v>
      </c>
      <c r="E104" s="201">
        <v>51.105480999999997</v>
      </c>
      <c r="F104" s="144">
        <v>77.081564</v>
      </c>
      <c r="G104" s="201">
        <v>298.18098700000002</v>
      </c>
      <c r="H104" s="201">
        <v>37.467846999999999</v>
      </c>
      <c r="I104" s="201">
        <v>204.460106</v>
      </c>
      <c r="J104" s="201">
        <v>12.334906999999999</v>
      </c>
      <c r="K104" s="144">
        <v>43.918126999999998</v>
      </c>
    </row>
    <row r="105" spans="1:11" x14ac:dyDescent="0.15">
      <c r="A105" s="77" t="s">
        <v>214</v>
      </c>
      <c r="B105" s="201">
        <v>261.80578800000001</v>
      </c>
      <c r="C105" s="201">
        <v>3.7761999999999998</v>
      </c>
      <c r="D105" s="201">
        <v>117.110039</v>
      </c>
      <c r="E105" s="201">
        <v>58.581682000000001</v>
      </c>
      <c r="F105" s="144">
        <v>82.337867000000003</v>
      </c>
      <c r="G105" s="201">
        <v>433.40781800000002</v>
      </c>
      <c r="H105" s="201">
        <v>30.991074000000001</v>
      </c>
      <c r="I105" s="201">
        <v>346.86351999999999</v>
      </c>
      <c r="J105" s="201">
        <v>24.940864000000001</v>
      </c>
      <c r="K105" s="144">
        <v>30.612359999999999</v>
      </c>
    </row>
    <row r="106" spans="1:11" x14ac:dyDescent="0.15">
      <c r="A106" s="77" t="s">
        <v>245</v>
      </c>
      <c r="B106" s="201">
        <v>242.89227600000001</v>
      </c>
      <c r="C106" s="201">
        <v>3.74376</v>
      </c>
      <c r="D106" s="201">
        <v>107.38824</v>
      </c>
      <c r="E106" s="201">
        <v>55.213867999999998</v>
      </c>
      <c r="F106" s="144">
        <v>76.546408</v>
      </c>
      <c r="G106" s="201">
        <v>291.26856199999997</v>
      </c>
      <c r="H106" s="201">
        <v>56.549190000000003</v>
      </c>
      <c r="I106" s="201">
        <v>186.54528300000001</v>
      </c>
      <c r="J106" s="201">
        <v>16.023599999999998</v>
      </c>
      <c r="K106" s="144">
        <v>32.150489</v>
      </c>
    </row>
    <row r="107" spans="1:11" x14ac:dyDescent="0.15">
      <c r="A107" s="77"/>
      <c r="B107" s="211"/>
      <c r="C107" s="211"/>
      <c r="D107" s="211"/>
      <c r="E107" s="211"/>
      <c r="F107" s="212"/>
      <c r="G107" s="211"/>
      <c r="H107" s="211"/>
      <c r="I107" s="211"/>
      <c r="J107" s="211"/>
      <c r="K107" s="212"/>
    </row>
    <row r="108" spans="1:11" x14ac:dyDescent="0.15">
      <c r="A108" s="77" t="s">
        <v>202</v>
      </c>
      <c r="B108" s="211">
        <v>227.08572100000001</v>
      </c>
      <c r="C108" s="211">
        <v>2.6810350000000001</v>
      </c>
      <c r="D108" s="211">
        <v>92.148301000000004</v>
      </c>
      <c r="E108" s="211">
        <v>53.440254000000003</v>
      </c>
      <c r="F108" s="212">
        <v>78.816130999999999</v>
      </c>
      <c r="G108" s="211">
        <v>157.272887</v>
      </c>
      <c r="H108" s="211">
        <v>77.136499000000001</v>
      </c>
      <c r="I108" s="211">
        <v>33.009534000000002</v>
      </c>
      <c r="J108" s="211">
        <v>11.365712</v>
      </c>
      <c r="K108" s="212">
        <v>35.761142</v>
      </c>
    </row>
    <row r="109" spans="1:11" x14ac:dyDescent="0.15">
      <c r="A109" s="77" t="s">
        <v>203</v>
      </c>
      <c r="B109" s="211">
        <v>190.08250200000001</v>
      </c>
      <c r="C109" s="211">
        <v>1.9051279999999999</v>
      </c>
      <c r="D109" s="211">
        <v>68.413545999999997</v>
      </c>
      <c r="E109" s="211">
        <v>44.109912999999999</v>
      </c>
      <c r="F109" s="212">
        <v>75.653914999999998</v>
      </c>
      <c r="G109" s="211">
        <v>142.01318000000001</v>
      </c>
      <c r="H109" s="211">
        <v>62.109954999999999</v>
      </c>
      <c r="I109" s="211">
        <v>28.112849000000001</v>
      </c>
      <c r="J109" s="211">
        <v>15.457300999999999</v>
      </c>
      <c r="K109" s="212">
        <v>36.333075000000001</v>
      </c>
    </row>
    <row r="110" spans="1:11" x14ac:dyDescent="0.15">
      <c r="A110" s="77" t="s">
        <v>143</v>
      </c>
      <c r="B110" s="211">
        <v>256.01577300000002</v>
      </c>
      <c r="C110" s="211">
        <v>2.3780290000000002</v>
      </c>
      <c r="D110" s="211">
        <v>128.26033699999999</v>
      </c>
      <c r="E110" s="211">
        <v>49.796978000000003</v>
      </c>
      <c r="F110" s="212">
        <v>75.580428999999995</v>
      </c>
      <c r="G110" s="211">
        <v>169.778471</v>
      </c>
      <c r="H110" s="211">
        <v>39.013362000000001</v>
      </c>
      <c r="I110" s="211">
        <v>86.341781999999995</v>
      </c>
      <c r="J110" s="211">
        <v>13.521531</v>
      </c>
      <c r="K110" s="212">
        <v>30.901796000000001</v>
      </c>
    </row>
    <row r="111" spans="1:11" x14ac:dyDescent="0.15">
      <c r="A111" s="77"/>
      <c r="B111" s="211"/>
      <c r="C111" s="211"/>
      <c r="D111" s="211"/>
      <c r="E111" s="211"/>
      <c r="F111" s="212"/>
      <c r="G111" s="211"/>
      <c r="H111" s="211"/>
      <c r="I111" s="211"/>
      <c r="J111" s="211"/>
      <c r="K111" s="212"/>
    </row>
    <row r="112" spans="1:11" x14ac:dyDescent="0.15">
      <c r="A112" s="77" t="s">
        <v>191</v>
      </c>
      <c r="B112" s="211">
        <v>237.00809699999999</v>
      </c>
      <c r="C112" s="211">
        <v>4.4818699999999998</v>
      </c>
      <c r="D112" s="211">
        <v>96.540869999999998</v>
      </c>
      <c r="E112" s="211">
        <v>50.869759999999999</v>
      </c>
      <c r="F112" s="212">
        <v>85.115596999999994</v>
      </c>
      <c r="G112" s="211">
        <v>603.09039199999995</v>
      </c>
      <c r="H112" s="211">
        <v>68.383313999999999</v>
      </c>
      <c r="I112" s="211">
        <v>471.02450700000003</v>
      </c>
      <c r="J112" s="211">
        <v>16.131907000000002</v>
      </c>
      <c r="K112" s="212">
        <v>47.550663999999998</v>
      </c>
    </row>
    <row r="113" spans="1:11" x14ac:dyDescent="0.15">
      <c r="A113" s="77" t="s">
        <v>147</v>
      </c>
      <c r="B113" s="211">
        <v>222.12756300000001</v>
      </c>
      <c r="C113" s="211">
        <v>2.7413639999999999</v>
      </c>
      <c r="D113" s="211">
        <v>76.657666000000006</v>
      </c>
      <c r="E113" s="211">
        <v>64.267869000000005</v>
      </c>
      <c r="F113" s="212">
        <v>78.460663999999994</v>
      </c>
      <c r="G113" s="211">
        <v>253.35649100000001</v>
      </c>
      <c r="H113" s="211">
        <v>64.639322000000007</v>
      </c>
      <c r="I113" s="211">
        <v>133.39158800000001</v>
      </c>
      <c r="J113" s="211">
        <v>15.894507000000001</v>
      </c>
      <c r="K113" s="212">
        <v>39.431074000000002</v>
      </c>
    </row>
    <row r="114" spans="1:11" x14ac:dyDescent="0.15">
      <c r="A114" s="77" t="s">
        <v>206</v>
      </c>
      <c r="B114" s="211">
        <v>227.31617</v>
      </c>
      <c r="C114" s="211">
        <v>7.0783990000000001</v>
      </c>
      <c r="D114" s="211">
        <v>85.629206999999994</v>
      </c>
      <c r="E114" s="211">
        <v>55.714134999999999</v>
      </c>
      <c r="F114" s="212">
        <v>78.894429000000002</v>
      </c>
      <c r="G114" s="211">
        <v>341.74186300000002</v>
      </c>
      <c r="H114" s="211">
        <v>49.529985000000003</v>
      </c>
      <c r="I114" s="211">
        <v>225.02532500000001</v>
      </c>
      <c r="J114" s="211">
        <v>15.069099</v>
      </c>
      <c r="K114" s="212">
        <v>52.117454000000002</v>
      </c>
    </row>
    <row r="115" spans="1:11" x14ac:dyDescent="0.15">
      <c r="A115" s="77"/>
      <c r="B115" s="211"/>
      <c r="C115" s="211"/>
      <c r="D115" s="211"/>
      <c r="E115" s="211"/>
      <c r="F115" s="212"/>
      <c r="G115" s="211"/>
      <c r="H115" s="211"/>
      <c r="I115" s="211"/>
      <c r="J115" s="211"/>
      <c r="K115" s="220"/>
    </row>
    <row r="116" spans="1:11" x14ac:dyDescent="0.15">
      <c r="A116" s="77" t="s">
        <v>274</v>
      </c>
      <c r="B116" s="211">
        <v>192.582109</v>
      </c>
      <c r="C116" s="211">
        <v>3.5173030000000001</v>
      </c>
      <c r="D116" s="211">
        <v>73.211016999999998</v>
      </c>
      <c r="E116" s="211">
        <v>46.076090999999998</v>
      </c>
      <c r="F116" s="212">
        <v>69.777698000000001</v>
      </c>
      <c r="G116" s="211">
        <v>410.689976</v>
      </c>
      <c r="H116" s="211">
        <v>52.442788999999998</v>
      </c>
      <c r="I116" s="211">
        <v>309.486356</v>
      </c>
      <c r="J116" s="211">
        <v>12.945601999999999</v>
      </c>
      <c r="K116" s="212">
        <v>35.815229000000002</v>
      </c>
    </row>
    <row r="117" spans="1:11" x14ac:dyDescent="0.15">
      <c r="A117" s="77" t="s">
        <v>210</v>
      </c>
      <c r="B117" s="211">
        <v>301.42088999999999</v>
      </c>
      <c r="C117" s="211">
        <v>4.2901889999999998</v>
      </c>
      <c r="D117" s="211">
        <v>147.83464599999999</v>
      </c>
      <c r="E117" s="211">
        <v>62.815714</v>
      </c>
      <c r="F117" s="212">
        <v>86.480340999999996</v>
      </c>
      <c r="G117" s="211">
        <v>249.79494600000001</v>
      </c>
      <c r="H117" s="211">
        <v>59.653559000000001</v>
      </c>
      <c r="I117" s="211">
        <v>143.86498599999999</v>
      </c>
      <c r="J117" s="211">
        <v>11.654804</v>
      </c>
      <c r="K117" s="212">
        <v>34.621597000000001</v>
      </c>
    </row>
    <row r="118" spans="1:11" x14ac:dyDescent="0.15">
      <c r="A118" s="77" t="s">
        <v>282</v>
      </c>
      <c r="B118" s="211">
        <v>312.83791000000002</v>
      </c>
      <c r="C118" s="211">
        <v>3.940156</v>
      </c>
      <c r="D118" s="211">
        <v>162.21983</v>
      </c>
      <c r="E118" s="211">
        <v>59.328912000000003</v>
      </c>
      <c r="F118" s="212">
        <v>87.349012000000002</v>
      </c>
      <c r="G118" s="211">
        <v>348.86888599999997</v>
      </c>
      <c r="H118" s="211">
        <v>29.667770999999998</v>
      </c>
      <c r="I118" s="211">
        <v>270.21367400000003</v>
      </c>
      <c r="J118" s="211">
        <v>15.503959999999999</v>
      </c>
      <c r="K118" s="212">
        <v>33.483480999999998</v>
      </c>
    </row>
    <row r="119" spans="1:11" x14ac:dyDescent="0.15">
      <c r="A119" s="77"/>
      <c r="B119" s="211"/>
      <c r="C119" s="211"/>
      <c r="D119" s="211"/>
      <c r="E119" s="211"/>
      <c r="F119" s="212"/>
      <c r="G119" s="211"/>
      <c r="H119" s="211"/>
      <c r="I119" s="211"/>
      <c r="J119" s="211"/>
      <c r="K119" s="220"/>
    </row>
    <row r="120" spans="1:11" x14ac:dyDescent="0.15">
      <c r="A120" s="77" t="s">
        <v>133</v>
      </c>
      <c r="B120" s="211">
        <v>297.07456999999999</v>
      </c>
      <c r="C120" s="211">
        <v>4.1955549999999997</v>
      </c>
      <c r="D120" s="211">
        <v>127.231649</v>
      </c>
      <c r="E120" s="211">
        <v>65.521433000000002</v>
      </c>
      <c r="F120" s="212">
        <v>100.125933</v>
      </c>
      <c r="G120" s="211">
        <v>524.65533800000003</v>
      </c>
      <c r="H120" s="211">
        <v>48.994067999999999</v>
      </c>
      <c r="I120" s="211">
        <v>419.55654900000002</v>
      </c>
      <c r="J120" s="211">
        <v>12.927322999999999</v>
      </c>
      <c r="K120" s="220">
        <v>43.177397999999997</v>
      </c>
    </row>
    <row r="121" spans="1:11" x14ac:dyDescent="0.15">
      <c r="A121" s="77" t="s">
        <v>135</v>
      </c>
      <c r="B121" s="211">
        <v>229.56676100000001</v>
      </c>
      <c r="C121" s="211">
        <v>2.2552120000000002</v>
      </c>
      <c r="D121" s="211">
        <v>82.180266000000003</v>
      </c>
      <c r="E121" s="211">
        <v>56.107987000000001</v>
      </c>
      <c r="F121" s="212">
        <v>89.023296000000002</v>
      </c>
      <c r="G121" s="211">
        <v>150.51678000000001</v>
      </c>
      <c r="H121" s="211">
        <v>22.644428999999999</v>
      </c>
      <c r="I121" s="211">
        <v>73.666953000000007</v>
      </c>
      <c r="J121" s="211">
        <v>11.337045</v>
      </c>
      <c r="K121" s="212">
        <v>42.868352999999999</v>
      </c>
    </row>
    <row r="122" spans="1:11" x14ac:dyDescent="0.15">
      <c r="A122" s="77" t="s">
        <v>245</v>
      </c>
      <c r="B122" s="211">
        <v>247.64350999999999</v>
      </c>
      <c r="C122" s="211">
        <v>3.6746340000000002</v>
      </c>
      <c r="D122" s="211">
        <v>94.475652999999994</v>
      </c>
      <c r="E122" s="211">
        <v>61.484803999999997</v>
      </c>
      <c r="F122" s="212">
        <v>88.008419000000004</v>
      </c>
      <c r="G122" s="211">
        <v>336.62024400000001</v>
      </c>
      <c r="H122" s="211">
        <v>40.324921000000003</v>
      </c>
      <c r="I122" s="211">
        <v>245.19436200000001</v>
      </c>
      <c r="J122" s="211">
        <v>10.222060000000001</v>
      </c>
      <c r="K122" s="212">
        <v>40.878900999999999</v>
      </c>
    </row>
    <row r="123" spans="1:11" x14ac:dyDescent="0.15">
      <c r="A123" s="77"/>
      <c r="B123" s="211"/>
      <c r="C123" s="211"/>
      <c r="D123" s="211"/>
      <c r="E123" s="211"/>
      <c r="F123" s="212"/>
      <c r="G123" s="211"/>
      <c r="H123" s="211"/>
      <c r="I123" s="211"/>
      <c r="J123" s="211"/>
      <c r="K123" s="212"/>
    </row>
    <row r="124" spans="1:11" x14ac:dyDescent="0.15">
      <c r="A124" s="77" t="s">
        <v>297</v>
      </c>
      <c r="B124" s="211">
        <v>268.82630899999998</v>
      </c>
      <c r="C124" s="211">
        <v>1.541652</v>
      </c>
      <c r="D124" s="211">
        <v>120.398658</v>
      </c>
      <c r="E124" s="211">
        <v>58.8187</v>
      </c>
      <c r="F124" s="212">
        <v>88.067299000000006</v>
      </c>
      <c r="G124" s="211">
        <v>219.95646500000001</v>
      </c>
      <c r="H124" s="211">
        <v>83.087179000000006</v>
      </c>
      <c r="I124" s="211">
        <v>81.616833999999997</v>
      </c>
      <c r="J124" s="211">
        <v>13.642251</v>
      </c>
      <c r="K124" s="212">
        <v>41.610201000000004</v>
      </c>
    </row>
    <row r="125" spans="1:11" s="239" customFormat="1" x14ac:dyDescent="0.15">
      <c r="A125" s="262" t="s">
        <v>142</v>
      </c>
      <c r="B125" s="211">
        <v>269.86654299999998</v>
      </c>
      <c r="C125" s="211">
        <v>2.2240359999999999</v>
      </c>
      <c r="D125" s="211">
        <v>145.06102000000001</v>
      </c>
      <c r="E125" s="211">
        <v>47.589858</v>
      </c>
      <c r="F125" s="211">
        <v>74.991629000000003</v>
      </c>
      <c r="G125" s="211">
        <v>521.82953299999997</v>
      </c>
      <c r="H125" s="211">
        <v>75.477391999999995</v>
      </c>
      <c r="I125" s="211">
        <v>392.00904700000001</v>
      </c>
      <c r="J125" s="211">
        <v>13.957617000000001</v>
      </c>
      <c r="K125" s="211">
        <v>40.385477000000002</v>
      </c>
    </row>
    <row r="126" spans="1:11" s="257" customFormat="1" x14ac:dyDescent="0.15">
      <c r="A126" s="262" t="s">
        <v>143</v>
      </c>
      <c r="B126" s="211">
        <v>242.31455500000001</v>
      </c>
      <c r="C126" s="211">
        <v>3.5819909999999999</v>
      </c>
      <c r="D126" s="211">
        <v>84.634007999999994</v>
      </c>
      <c r="E126" s="211">
        <v>60.924306999999999</v>
      </c>
      <c r="F126" s="211">
        <v>93.174249000000003</v>
      </c>
      <c r="G126" s="211">
        <v>500.50548700000002</v>
      </c>
      <c r="H126" s="211">
        <v>42.253819</v>
      </c>
      <c r="I126" s="211">
        <v>390.82736599999998</v>
      </c>
      <c r="J126" s="211">
        <v>15.426479</v>
      </c>
      <c r="K126" s="211">
        <v>51.997822999999997</v>
      </c>
    </row>
    <row r="127" spans="1:11" s="257" customFormat="1" x14ac:dyDescent="0.15">
      <c r="A127" s="262"/>
      <c r="B127" s="211"/>
      <c r="C127" s="211"/>
      <c r="D127" s="211"/>
      <c r="E127" s="211"/>
      <c r="F127" s="211"/>
      <c r="G127" s="211"/>
      <c r="H127" s="211"/>
      <c r="I127" s="211"/>
      <c r="J127" s="211"/>
      <c r="K127" s="211"/>
    </row>
    <row r="128" spans="1:11" s="257" customFormat="1" x14ac:dyDescent="0.15">
      <c r="A128" s="262" t="s">
        <v>306</v>
      </c>
      <c r="B128" s="211">
        <v>227.29768200000001</v>
      </c>
      <c r="C128" s="211">
        <v>2.5004369999999998</v>
      </c>
      <c r="D128" s="211">
        <v>96.705550000000002</v>
      </c>
      <c r="E128" s="211">
        <v>50.883296000000001</v>
      </c>
      <c r="F128" s="211">
        <v>0.68613199999999996</v>
      </c>
      <c r="G128" s="211">
        <v>185.141772</v>
      </c>
      <c r="H128" s="211">
        <v>45.890675000000002</v>
      </c>
      <c r="I128" s="211">
        <v>87.915481999999997</v>
      </c>
      <c r="J128" s="211">
        <v>10.515889</v>
      </c>
      <c r="K128" s="211">
        <v>30.495569</v>
      </c>
    </row>
    <row r="129" spans="1:11" s="257" customFormat="1" x14ac:dyDescent="0.15">
      <c r="A129" s="262" t="s">
        <v>147</v>
      </c>
      <c r="B129" s="211">
        <v>212.21921699999999</v>
      </c>
      <c r="C129" s="211">
        <v>3.1383420000000002</v>
      </c>
      <c r="D129" s="211">
        <v>76.803802000000005</v>
      </c>
      <c r="E129" s="211">
        <v>53.818401000000001</v>
      </c>
      <c r="F129" s="211">
        <v>0.69920000000000004</v>
      </c>
      <c r="G129" s="211">
        <v>313.33356300000003</v>
      </c>
      <c r="H129" s="211">
        <v>52.595753999999999</v>
      </c>
      <c r="I129" s="211">
        <v>203.75377</v>
      </c>
      <c r="J129" s="211">
        <v>12.538403000000001</v>
      </c>
      <c r="K129" s="211">
        <v>27.755123999999999</v>
      </c>
    </row>
    <row r="130" spans="1:11" s="257" customFormat="1" x14ac:dyDescent="0.15">
      <c r="A130" s="262" t="s">
        <v>150</v>
      </c>
      <c r="B130" s="211">
        <v>262.89829500000002</v>
      </c>
      <c r="C130" s="211">
        <v>1.646973</v>
      </c>
      <c r="D130" s="211">
        <v>113.058605</v>
      </c>
      <c r="E130" s="211">
        <v>55.604681999999997</v>
      </c>
      <c r="F130" s="211">
        <v>0.55188099999999995</v>
      </c>
      <c r="G130" s="211">
        <v>274.11365999999998</v>
      </c>
      <c r="H130" s="211">
        <v>22.216586</v>
      </c>
      <c r="I130" s="211">
        <v>179.78211300000001</v>
      </c>
      <c r="J130" s="211">
        <v>13.293861</v>
      </c>
      <c r="K130" s="211">
        <v>30.66133</v>
      </c>
    </row>
    <row r="131" spans="1:11" s="257" customFormat="1" x14ac:dyDescent="0.15">
      <c r="A131" s="262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</row>
    <row r="132" spans="1:11" s="257" customFormat="1" x14ac:dyDescent="0.15">
      <c r="A132" s="262" t="s">
        <v>317</v>
      </c>
      <c r="B132" s="211">
        <v>215.49303800000001</v>
      </c>
      <c r="C132" s="211">
        <v>3.1690830000000001</v>
      </c>
      <c r="D132" s="211">
        <v>80.237877999999995</v>
      </c>
      <c r="E132" s="211">
        <v>57.065634000000003</v>
      </c>
      <c r="F132" s="211">
        <v>0.48398400000000003</v>
      </c>
      <c r="G132" s="211">
        <v>254.30146199999999</v>
      </c>
      <c r="H132" s="211">
        <v>59.095300000000002</v>
      </c>
      <c r="I132" s="211">
        <v>130.46286000000001</v>
      </c>
      <c r="J132" s="211">
        <v>13.961308000000001</v>
      </c>
      <c r="K132" s="211">
        <v>23.958964999999999</v>
      </c>
    </row>
    <row r="133" spans="1:11" s="257" customFormat="1" x14ac:dyDescent="0.15">
      <c r="A133" s="262" t="s">
        <v>154</v>
      </c>
      <c r="B133" s="120">
        <f ca="1">IF($C133="","",[1]!BTSP(B$2,$C133)/1000000)</f>
        <v>242.16041899999999</v>
      </c>
      <c r="C133" s="120">
        <f ca="1">IF($C133="","",[1]!BTSP(C$2,$C133)/1000000)</f>
        <v>2.5888360000000001</v>
      </c>
      <c r="D133" s="120">
        <f ca="1">IF($C133="","",[1]!BTSP(D$2,$C133)/1000000)</f>
        <v>115.706029</v>
      </c>
      <c r="E133" s="120">
        <f ca="1">IF($C133="","",[1]!BTSP(E$2,$C133)/1000000)</f>
        <v>50.110028</v>
      </c>
      <c r="F133" s="120">
        <f ca="1">IF($C133="","",[1]!BTSP(F$2,$C133)/1000000)</f>
        <v>4.8413999999999999E-2</v>
      </c>
      <c r="G133" s="120">
        <f ca="1">IF($C133="","",[1]!BTSP(G$2,$C133)/1000000)</f>
        <v>393.443691</v>
      </c>
      <c r="H133" s="120">
        <f ca="1">IF($C133="","",[1]!BTSP(H$2,$C133)/1000000)</f>
        <v>43.357804000000002</v>
      </c>
      <c r="I133" s="120">
        <f ca="1">IF($C133="","",[1]!BTSP(I$2,$C133)/1000000)</f>
        <v>305.063874</v>
      </c>
      <c r="J133" s="120">
        <f ca="1">IF($C133="","",[1]!BTSP(J$2,$C133)/1000000)</f>
        <v>12.177294</v>
      </c>
      <c r="K133" s="120">
        <f ca="1">IF($C133="","",[1]!BTSP(K$2,$C133)/1000000)</f>
        <v>19.856463000000002</v>
      </c>
    </row>
    <row r="134" spans="1:11" s="257" customFormat="1" x14ac:dyDescent="0.15">
      <c r="A134" s="262" t="s">
        <v>168</v>
      </c>
      <c r="B134" s="120">
        <f ca="1">IF($C134="","",[1]!BTSP(B$2,$C134)/1000000)</f>
        <v>317.09097300000002</v>
      </c>
      <c r="C134" s="120">
        <f ca="1">IF($C134="","",[1]!BTSP(C$2,$C134)/1000000)</f>
        <v>3.9216769999999999</v>
      </c>
      <c r="D134" s="120">
        <f ca="1">IF($C134="","",[1]!BTSP(D$2,$C134)/1000000)</f>
        <v>158.236199</v>
      </c>
      <c r="E134" s="120">
        <f ca="1">IF($C134="","",[1]!BTSP(E$2,$C134)/1000000)</f>
        <v>64.867481999999995</v>
      </c>
      <c r="F134" s="120">
        <f ca="1">IF($C134="","",[1]!BTSP(F$2,$C134)/1000000)</f>
        <v>0.187663</v>
      </c>
      <c r="G134" s="120">
        <f ca="1">IF($C134="","",[1]!BTSP(G$2,$C134)/1000000)</f>
        <v>308.844765</v>
      </c>
      <c r="H134" s="120">
        <f ca="1">IF($C134="","",[1]!BTSP(H$2,$C134)/1000000)</f>
        <v>55.339939999999999</v>
      </c>
      <c r="I134" s="120">
        <f ca="1">IF($C134="","",[1]!BTSP(I$2,$C134)/1000000)</f>
        <v>198.628165</v>
      </c>
      <c r="J134" s="120">
        <f ca="1">IF($C134="","",[1]!BTSP(J$2,$C134)/1000000)</f>
        <v>11.967093999999999</v>
      </c>
      <c r="K134" s="120">
        <f ca="1">IF($C134="","",[1]!BTSP(K$2,$C134)/1000000)</f>
        <v>28.500357999999999</v>
      </c>
    </row>
    <row r="135" spans="1:11" s="257" customFormat="1" x14ac:dyDescent="0.15">
      <c r="A135" s="262"/>
      <c r="B135" s="211"/>
      <c r="C135" s="211"/>
      <c r="D135" s="211"/>
      <c r="E135" s="211"/>
      <c r="F135" s="211"/>
      <c r="G135" s="211"/>
      <c r="H135" s="211"/>
      <c r="I135" s="211"/>
      <c r="J135" s="211"/>
      <c r="K135" s="211"/>
    </row>
    <row r="136" spans="1:11" s="257" customFormat="1" x14ac:dyDescent="0.15">
      <c r="A136" s="262" t="s">
        <v>133</v>
      </c>
      <c r="B136" s="120">
        <f ca="1">IF($C136="","",[1]!BTSP(B$2,$C136)/1000000)</f>
        <v>271.71520299999997</v>
      </c>
      <c r="C136" s="120">
        <f ca="1">IF($C136="","",[1]!BTSP(C$2,$C136)/1000000)</f>
        <v>5.1959070000000001</v>
      </c>
      <c r="D136" s="120">
        <f ca="1">IF($C136="","",[1]!BTSP(D$2,$C136)/1000000)</f>
        <v>92.688101000000003</v>
      </c>
      <c r="E136" s="120">
        <f ca="1">IF($C136="","",[1]!BTSP(E$2,$C136)/1000000)</f>
        <v>63.420729000000001</v>
      </c>
      <c r="F136" s="120">
        <f ca="1">IF($C136="","",[1]!BTSP(F$2,$C136)/1000000)</f>
        <v>0.55359599999999998</v>
      </c>
      <c r="G136" s="120">
        <f ca="1">IF($C136="","",[1]!BTSP(G$2,$C136)/1000000)</f>
        <v>349.76120700000001</v>
      </c>
      <c r="H136" s="120">
        <f ca="1">IF($C136="","",[1]!BTSP(H$2,$C136)/1000000)</f>
        <v>60.968699999999998</v>
      </c>
      <c r="I136" s="120">
        <f ca="1">IF($C136="","",[1]!BTSP(I$2,$C136)/1000000)</f>
        <v>227.50861800000001</v>
      </c>
      <c r="J136" s="120">
        <f ca="1">IF($C136="","",[1]!BTSP(J$2,$C136)/1000000)</f>
        <v>16.356190999999999</v>
      </c>
      <c r="K136" s="120">
        <f ca="1">IF($C136="","",[1]!BTSP(K$2,$C136)/1000000)</f>
        <v>28.695689000000002</v>
      </c>
    </row>
    <row r="137" spans="1:11" x14ac:dyDescent="0.15">
      <c r="A137" s="114" t="s">
        <v>108</v>
      </c>
      <c r="B137" s="122"/>
      <c r="C137" s="122"/>
      <c r="D137" s="123"/>
      <c r="E137" s="122"/>
      <c r="F137" s="122"/>
      <c r="G137" s="122"/>
      <c r="H137" s="122"/>
      <c r="I137" s="122"/>
      <c r="J137" s="122"/>
      <c r="K137" s="122"/>
    </row>
    <row r="138" spans="1:11" x14ac:dyDescent="0.15">
      <c r="A138" s="66" t="s">
        <v>179</v>
      </c>
      <c r="B138" s="67"/>
      <c r="C138" s="67"/>
      <c r="D138" s="67"/>
      <c r="E138" s="67"/>
      <c r="F138" s="67"/>
      <c r="G138" s="67"/>
      <c r="H138" s="67"/>
      <c r="I138" s="67"/>
      <c r="J138" s="67"/>
      <c r="K138" s="67"/>
    </row>
  </sheetData>
  <mergeCells count="3">
    <mergeCell ref="A3:A4"/>
    <mergeCell ref="B3:B4"/>
    <mergeCell ref="G3:G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XFD138"/>
  <sheetViews>
    <sheetView view="pageBreakPreview" zoomScale="85" zoomScaleNormal="100" zoomScaleSheetLayoutView="85" workbookViewId="0">
      <pane ySplit="5" topLeftCell="A98" activePane="bottomLeft" state="frozen"/>
      <selection activeCell="M68" sqref="M68"/>
      <selection pane="bottomLeft" activeCell="C133" sqref="C133"/>
    </sheetView>
  </sheetViews>
  <sheetFormatPr defaultRowHeight="13.5" x14ac:dyDescent="0.15"/>
  <cols>
    <col min="1" max="1" width="12.44140625" customWidth="1"/>
    <col min="2" max="8" width="11.77734375" customWidth="1"/>
    <col min="9" max="9" width="14" customWidth="1"/>
  </cols>
  <sheetData>
    <row r="1" spans="1:9" ht="19.5" x14ac:dyDescent="0.25">
      <c r="A1" s="89" t="s">
        <v>32</v>
      </c>
      <c r="B1" s="54"/>
      <c r="C1" s="54"/>
      <c r="D1" s="54"/>
      <c r="E1" s="54"/>
      <c r="F1" s="54"/>
      <c r="G1" s="54"/>
      <c r="H1" s="54"/>
      <c r="I1" s="54"/>
    </row>
    <row r="2" spans="1:9" s="47" customFormat="1" x14ac:dyDescent="0.15">
      <c r="A2" s="97" t="s">
        <v>30</v>
      </c>
      <c r="C2" s="23"/>
      <c r="D2" s="23"/>
      <c r="E2" s="23"/>
      <c r="F2" s="23"/>
      <c r="G2" s="23"/>
      <c r="H2" s="55" t="s">
        <v>33</v>
      </c>
    </row>
    <row r="3" spans="1:9" x14ac:dyDescent="0.15">
      <c r="A3" s="276" t="s">
        <v>1</v>
      </c>
      <c r="B3" s="287" t="s">
        <v>51</v>
      </c>
      <c r="C3" s="53"/>
      <c r="D3" s="53"/>
      <c r="E3" s="53"/>
      <c r="F3" s="295" t="s">
        <v>53</v>
      </c>
      <c r="G3" s="300" t="s">
        <v>52</v>
      </c>
      <c r="H3" s="297" t="s">
        <v>18</v>
      </c>
    </row>
    <row r="4" spans="1:9" x14ac:dyDescent="0.15">
      <c r="A4" s="292"/>
      <c r="B4" s="293"/>
      <c r="C4" s="64" t="s">
        <v>31</v>
      </c>
      <c r="D4" s="148"/>
      <c r="E4" s="148"/>
      <c r="F4" s="296"/>
      <c r="G4" s="301"/>
      <c r="H4" s="298"/>
    </row>
    <row r="5" spans="1:9" x14ac:dyDescent="0.15">
      <c r="A5" s="277"/>
      <c r="B5" s="294"/>
      <c r="C5" s="65"/>
      <c r="D5" s="146" t="s">
        <v>19</v>
      </c>
      <c r="E5" s="147" t="s">
        <v>20</v>
      </c>
      <c r="F5" s="288"/>
      <c r="G5" s="302"/>
      <c r="H5" s="299"/>
    </row>
    <row r="6" spans="1:9" ht="13.5" customHeight="1" x14ac:dyDescent="0.15">
      <c r="A6" s="75">
        <v>2012</v>
      </c>
      <c r="B6" s="44">
        <v>1243.4083333333333</v>
      </c>
      <c r="C6" s="44">
        <v>725.10833333333323</v>
      </c>
      <c r="D6" s="44">
        <v>707.20833333333337</v>
      </c>
      <c r="E6" s="44">
        <v>17.916666666666671</v>
      </c>
      <c r="F6" s="45">
        <v>58.29999999999999</v>
      </c>
      <c r="G6" s="42">
        <v>56.883333333333333</v>
      </c>
      <c r="H6" s="45">
        <v>2.5083333333333333</v>
      </c>
    </row>
    <row r="7" spans="1:9" ht="13.5" customHeight="1" x14ac:dyDescent="0.15">
      <c r="A7" s="75">
        <v>2013</v>
      </c>
      <c r="B7" s="44">
        <v>1254.3166666666668</v>
      </c>
      <c r="C7" s="44">
        <v>722.45833333333337</v>
      </c>
      <c r="D7" s="44">
        <v>705.75</v>
      </c>
      <c r="E7" s="44">
        <v>16.700000000000003</v>
      </c>
      <c r="F7" s="45">
        <v>57.599999999999994</v>
      </c>
      <c r="G7" s="42">
        <v>56.25</v>
      </c>
      <c r="H7" s="45">
        <v>2.3333333333333335</v>
      </c>
    </row>
    <row r="8" spans="1:9" ht="13.5" customHeight="1" x14ac:dyDescent="0.15">
      <c r="A8" s="75">
        <v>2014</v>
      </c>
      <c r="B8" s="43">
        <v>1266.7333333333336</v>
      </c>
      <c r="C8" s="43">
        <v>743.40000000000009</v>
      </c>
      <c r="D8" s="43">
        <v>720.54166666666652</v>
      </c>
      <c r="E8" s="43">
        <v>22.875</v>
      </c>
      <c r="F8" s="42">
        <v>58.675000000000004</v>
      </c>
      <c r="G8" s="42">
        <v>56.866666666666674</v>
      </c>
      <c r="H8" s="45">
        <v>3.1166666666666667</v>
      </c>
    </row>
    <row r="9" spans="1:9" ht="13.5" customHeight="1" x14ac:dyDescent="0.15">
      <c r="A9" s="75">
        <v>2015</v>
      </c>
      <c r="B9" s="43">
        <v>1280.0833333333333</v>
      </c>
      <c r="C9" s="43">
        <v>765.43333333333339</v>
      </c>
      <c r="D9" s="43">
        <v>740.79166666666663</v>
      </c>
      <c r="E9" s="43">
        <v>24.625</v>
      </c>
      <c r="F9" s="42">
        <v>59.783333333333331</v>
      </c>
      <c r="G9" s="42">
        <v>57.858333333333341</v>
      </c>
      <c r="H9" s="45">
        <v>3.2583333333333333</v>
      </c>
    </row>
    <row r="10" spans="1:9" ht="13.5" customHeight="1" x14ac:dyDescent="0.15">
      <c r="A10" s="75"/>
      <c r="B10" s="43" t="s">
        <v>207</v>
      </c>
      <c r="C10" s="43" t="s">
        <v>207</v>
      </c>
      <c r="D10" s="43" t="s">
        <v>207</v>
      </c>
      <c r="E10" s="43" t="s">
        <v>207</v>
      </c>
      <c r="F10" s="42" t="s">
        <v>207</v>
      </c>
      <c r="G10" s="42" t="s">
        <v>207</v>
      </c>
      <c r="H10" s="45" t="s">
        <v>207</v>
      </c>
    </row>
    <row r="11" spans="1:9" ht="13.5" customHeight="1" x14ac:dyDescent="0.15">
      <c r="A11" s="75">
        <v>2016</v>
      </c>
      <c r="B11" s="43">
        <v>1287.6833333333334</v>
      </c>
      <c r="C11" s="43">
        <v>771.0916666666667</v>
      </c>
      <c r="D11" s="43">
        <v>749.35</v>
      </c>
      <c r="E11" s="43">
        <v>21.758333333333336</v>
      </c>
      <c r="F11" s="42">
        <v>59.891666666666659</v>
      </c>
      <c r="G11" s="42">
        <v>58.199999999999996</v>
      </c>
      <c r="H11" s="45">
        <v>2.8583333333333329</v>
      </c>
    </row>
    <row r="12" spans="1:9" ht="13.5" customHeight="1" x14ac:dyDescent="0.15">
      <c r="A12" s="75">
        <v>2017</v>
      </c>
      <c r="B12" s="43">
        <v>1294.8499999999999</v>
      </c>
      <c r="C12" s="43">
        <v>811.01666666666654</v>
      </c>
      <c r="D12" s="43">
        <v>789.73333333333323</v>
      </c>
      <c r="E12" s="43">
        <v>21.241666666666667</v>
      </c>
      <c r="F12" s="42">
        <v>62.625</v>
      </c>
      <c r="G12" s="42">
        <v>61</v>
      </c>
      <c r="H12" s="45">
        <v>2.6416666666666671</v>
      </c>
    </row>
    <row r="13" spans="1:9" ht="13.5" customHeight="1" x14ac:dyDescent="0.15">
      <c r="A13" s="75">
        <v>2018</v>
      </c>
      <c r="B13" s="43">
        <v>1299.8083333333332</v>
      </c>
      <c r="C13" s="43">
        <v>812.29166666666652</v>
      </c>
      <c r="D13" s="43">
        <v>788.63333333333333</v>
      </c>
      <c r="E13" s="43">
        <v>23.658333333333335</v>
      </c>
      <c r="F13" s="42">
        <v>62.483333333333327</v>
      </c>
      <c r="G13" s="42">
        <v>60.683333333333337</v>
      </c>
      <c r="H13" s="45">
        <v>2.9333333333333331</v>
      </c>
    </row>
    <row r="14" spans="1:9" ht="13.5" customHeight="1" x14ac:dyDescent="0.15">
      <c r="A14" s="75">
        <v>2019</v>
      </c>
      <c r="B14" s="43">
        <v>1302.9083333333333</v>
      </c>
      <c r="C14" s="43">
        <v>841.34999999999991</v>
      </c>
      <c r="D14" s="43">
        <v>811.23333333333346</v>
      </c>
      <c r="E14" s="43">
        <v>30.116666666666664</v>
      </c>
      <c r="F14" s="42">
        <v>64.583333333333329</v>
      </c>
      <c r="G14" s="42">
        <v>62.25</v>
      </c>
      <c r="H14" s="45">
        <v>3.6416666666666662</v>
      </c>
    </row>
    <row r="15" spans="1:9" ht="13.5" customHeight="1" x14ac:dyDescent="0.15">
      <c r="A15" s="75">
        <v>2020</v>
      </c>
      <c r="B15" s="43">
        <v>1307.425</v>
      </c>
      <c r="C15" s="43">
        <v>827.24166666666667</v>
      </c>
      <c r="D15" s="43">
        <v>794.75</v>
      </c>
      <c r="E15" s="43">
        <v>32.483333333333327</v>
      </c>
      <c r="F15" s="42">
        <v>63.258333333333326</v>
      </c>
      <c r="G15" s="42">
        <v>60.775000000000006</v>
      </c>
      <c r="H15" s="45">
        <v>3.9666666666666663</v>
      </c>
    </row>
    <row r="16" spans="1:9" ht="13.5" customHeight="1" x14ac:dyDescent="0.15">
      <c r="A16" s="75"/>
      <c r="B16" s="43" t="s">
        <v>207</v>
      </c>
      <c r="C16" s="43" t="s">
        <v>207</v>
      </c>
      <c r="D16" s="43" t="s">
        <v>207</v>
      </c>
      <c r="E16" s="43" t="s">
        <v>207</v>
      </c>
      <c r="F16" s="42" t="s">
        <v>207</v>
      </c>
      <c r="G16" s="42" t="s">
        <v>207</v>
      </c>
      <c r="H16" s="45" t="s">
        <v>207</v>
      </c>
    </row>
    <row r="17" spans="1:8" ht="13.5" customHeight="1" x14ac:dyDescent="0.15">
      <c r="A17" s="75">
        <v>2021</v>
      </c>
      <c r="B17" s="43">
        <v>1317.2250000000001</v>
      </c>
      <c r="C17" s="43">
        <v>839.56666666666672</v>
      </c>
      <c r="D17" s="43">
        <v>809.25833333333321</v>
      </c>
      <c r="E17" s="43">
        <v>30.3</v>
      </c>
      <c r="F17" s="42">
        <v>63.725000000000001</v>
      </c>
      <c r="G17" s="42">
        <v>61.441666666666663</v>
      </c>
      <c r="H17" s="45">
        <v>3.6749999999999994</v>
      </c>
    </row>
    <row r="18" spans="1:8" ht="13.5" customHeight="1" x14ac:dyDescent="0.15">
      <c r="A18" s="75">
        <v>2022</v>
      </c>
      <c r="B18" s="43">
        <v>1322.4583333333335</v>
      </c>
      <c r="C18" s="43">
        <v>844.54999999999984</v>
      </c>
      <c r="D18" s="43">
        <v>817.70833333333348</v>
      </c>
      <c r="E18" s="43">
        <v>26.841666666666669</v>
      </c>
      <c r="F18" s="42">
        <v>63.866666666666674</v>
      </c>
      <c r="G18" s="42">
        <v>61.841666666666661</v>
      </c>
      <c r="H18" s="45">
        <v>3.2250000000000001</v>
      </c>
    </row>
    <row r="19" spans="1:8" ht="13.5" customHeight="1" x14ac:dyDescent="0.15">
      <c r="A19" s="75">
        <v>2023</v>
      </c>
      <c r="B19" s="43">
        <v>1327.3166666666666</v>
      </c>
      <c r="C19" s="43">
        <v>864.45833333333337</v>
      </c>
      <c r="D19" s="43">
        <v>840.67500000000007</v>
      </c>
      <c r="E19" s="43">
        <v>23.791666666666668</v>
      </c>
      <c r="F19" s="42">
        <v>65.13333333333334</v>
      </c>
      <c r="G19" s="42">
        <v>63.341666666666661</v>
      </c>
      <c r="H19" s="45">
        <v>2.8166666666666664</v>
      </c>
    </row>
    <row r="20" spans="1:8" ht="13.5" customHeight="1" x14ac:dyDescent="0.15">
      <c r="A20" s="77"/>
      <c r="B20" s="43"/>
      <c r="C20" s="46"/>
      <c r="D20" s="46"/>
      <c r="E20" s="46"/>
      <c r="F20" s="25"/>
      <c r="G20" s="25"/>
      <c r="H20" s="73"/>
    </row>
    <row r="21" spans="1:8" ht="13.5" customHeight="1" x14ac:dyDescent="0.15">
      <c r="A21" s="77" t="s">
        <v>148</v>
      </c>
      <c r="B21" s="43">
        <v>1300.8</v>
      </c>
      <c r="C21" s="46">
        <v>771.6</v>
      </c>
      <c r="D21" s="46">
        <v>721.1</v>
      </c>
      <c r="E21" s="46">
        <v>50.5</v>
      </c>
      <c r="F21" s="25">
        <v>59.3</v>
      </c>
      <c r="G21" s="25">
        <v>55.4</v>
      </c>
      <c r="H21" s="73">
        <v>6.5</v>
      </c>
    </row>
    <row r="22" spans="1:8" ht="13.5" customHeight="1" x14ac:dyDescent="0.15">
      <c r="A22" s="77" t="s">
        <v>21</v>
      </c>
      <c r="B22" s="43">
        <v>1302.8</v>
      </c>
      <c r="C22" s="46">
        <v>783.9</v>
      </c>
      <c r="D22" s="46">
        <v>731.3</v>
      </c>
      <c r="E22" s="46">
        <v>52.6</v>
      </c>
      <c r="F22" s="25">
        <v>60.2</v>
      </c>
      <c r="G22" s="25">
        <v>56.1</v>
      </c>
      <c r="H22" s="73">
        <v>6.7</v>
      </c>
    </row>
    <row r="23" spans="1:8" ht="13.5" customHeight="1" x14ac:dyDescent="0.15">
      <c r="A23" s="77" t="s">
        <v>89</v>
      </c>
      <c r="B23" s="43">
        <v>1302.5999999999999</v>
      </c>
      <c r="C23" s="46">
        <v>831.2</v>
      </c>
      <c r="D23" s="46">
        <v>800.3</v>
      </c>
      <c r="E23" s="46">
        <v>31</v>
      </c>
      <c r="F23" s="25">
        <v>63.8</v>
      </c>
      <c r="G23" s="25">
        <v>61.4</v>
      </c>
      <c r="H23" s="73">
        <v>3.7</v>
      </c>
    </row>
    <row r="24" spans="1:8" ht="13.5" customHeight="1" x14ac:dyDescent="0.15">
      <c r="A24" s="77"/>
      <c r="B24" s="43" t="s">
        <v>207</v>
      </c>
      <c r="C24" s="46" t="s">
        <v>207</v>
      </c>
      <c r="D24" s="46" t="s">
        <v>207</v>
      </c>
      <c r="E24" s="46" t="s">
        <v>207</v>
      </c>
      <c r="F24" s="25" t="s">
        <v>207</v>
      </c>
      <c r="G24" s="25" t="s">
        <v>207</v>
      </c>
      <c r="H24" s="73" t="s">
        <v>207</v>
      </c>
    </row>
    <row r="25" spans="1:8" ht="13.5" customHeight="1" x14ac:dyDescent="0.15">
      <c r="A25" s="77" t="s">
        <v>123</v>
      </c>
      <c r="B25" s="43">
        <v>1302.8</v>
      </c>
      <c r="C25" s="46">
        <v>860.6</v>
      </c>
      <c r="D25" s="46">
        <v>830.9</v>
      </c>
      <c r="E25" s="46">
        <v>29.7</v>
      </c>
      <c r="F25" s="25">
        <v>66.099999999999994</v>
      </c>
      <c r="G25" s="25">
        <v>63.8</v>
      </c>
      <c r="H25" s="73">
        <v>3.5</v>
      </c>
    </row>
    <row r="26" spans="1:8" ht="13.5" customHeight="1" x14ac:dyDescent="0.15">
      <c r="A26" s="77" t="s">
        <v>91</v>
      </c>
      <c r="B26" s="43">
        <v>1302</v>
      </c>
      <c r="C26" s="46">
        <v>866.1</v>
      </c>
      <c r="D26" s="46">
        <v>839.5</v>
      </c>
      <c r="E26" s="46">
        <v>26.6</v>
      </c>
      <c r="F26" s="25">
        <v>66.5</v>
      </c>
      <c r="G26" s="25">
        <v>64.5</v>
      </c>
      <c r="H26" s="73">
        <v>3.1</v>
      </c>
    </row>
    <row r="27" spans="1:8" ht="13.5" customHeight="1" x14ac:dyDescent="0.15">
      <c r="A27" s="77" t="s">
        <v>92</v>
      </c>
      <c r="B27" s="43">
        <v>1302.3</v>
      </c>
      <c r="C27" s="46">
        <v>860.8</v>
      </c>
      <c r="D27" s="46">
        <v>831.5</v>
      </c>
      <c r="E27" s="46">
        <v>29.3</v>
      </c>
      <c r="F27" s="25">
        <v>66.099999999999994</v>
      </c>
      <c r="G27" s="25">
        <v>63.8</v>
      </c>
      <c r="H27" s="73">
        <v>3.4</v>
      </c>
    </row>
    <row r="28" spans="1:8" ht="13.5" customHeight="1" x14ac:dyDescent="0.15">
      <c r="A28" s="77"/>
      <c r="B28" s="43" t="s">
        <v>207</v>
      </c>
      <c r="C28" s="46" t="s">
        <v>207</v>
      </c>
      <c r="D28" s="46" t="s">
        <v>207</v>
      </c>
      <c r="E28" s="46" t="s">
        <v>207</v>
      </c>
      <c r="F28" s="25" t="s">
        <v>207</v>
      </c>
      <c r="G28" s="25" t="s">
        <v>207</v>
      </c>
      <c r="H28" s="73" t="s">
        <v>207</v>
      </c>
    </row>
    <row r="29" spans="1:8" ht="13.5" customHeight="1" x14ac:dyDescent="0.15">
      <c r="A29" s="77" t="s">
        <v>93</v>
      </c>
      <c r="B29" s="43">
        <v>1303.0999999999999</v>
      </c>
      <c r="C29" s="46">
        <v>867.5</v>
      </c>
      <c r="D29" s="46">
        <v>847.6</v>
      </c>
      <c r="E29" s="46">
        <v>19.899999999999999</v>
      </c>
      <c r="F29" s="25">
        <v>66.599999999999994</v>
      </c>
      <c r="G29" s="25">
        <v>65</v>
      </c>
      <c r="H29" s="73">
        <v>2.2999999999999998</v>
      </c>
    </row>
    <row r="30" spans="1:8" ht="13.5" customHeight="1" x14ac:dyDescent="0.15">
      <c r="A30" s="77" t="s">
        <v>94</v>
      </c>
      <c r="B30" s="43">
        <v>1302.9000000000001</v>
      </c>
      <c r="C30" s="46">
        <v>870</v>
      </c>
      <c r="D30" s="46">
        <v>851.2</v>
      </c>
      <c r="E30" s="46">
        <v>18.8</v>
      </c>
      <c r="F30" s="25">
        <v>66.8</v>
      </c>
      <c r="G30" s="25">
        <v>65.3</v>
      </c>
      <c r="H30" s="73">
        <v>2.2000000000000002</v>
      </c>
    </row>
    <row r="31" spans="1:8" ht="13.5" customHeight="1" x14ac:dyDescent="0.15">
      <c r="A31" s="77" t="s">
        <v>95</v>
      </c>
      <c r="B31" s="43">
        <v>1303.2</v>
      </c>
      <c r="C31" s="46">
        <v>866.6</v>
      </c>
      <c r="D31" s="46">
        <v>846.7</v>
      </c>
      <c r="E31" s="46">
        <v>19.899999999999999</v>
      </c>
      <c r="F31" s="25">
        <v>66.5</v>
      </c>
      <c r="G31" s="25">
        <v>65</v>
      </c>
      <c r="H31" s="73">
        <v>2.2999999999999998</v>
      </c>
    </row>
    <row r="32" spans="1:8" ht="13.5" customHeight="1" x14ac:dyDescent="0.15">
      <c r="A32" s="77"/>
      <c r="B32" s="43" t="s">
        <v>207</v>
      </c>
      <c r="C32" s="46" t="s">
        <v>207</v>
      </c>
      <c r="D32" s="46" t="s">
        <v>207</v>
      </c>
      <c r="E32" s="46" t="s">
        <v>207</v>
      </c>
      <c r="F32" s="25" t="s">
        <v>207</v>
      </c>
      <c r="G32" s="25" t="s">
        <v>207</v>
      </c>
      <c r="H32" s="73" t="s">
        <v>207</v>
      </c>
    </row>
    <row r="33" spans="1:8" ht="13.5" customHeight="1" x14ac:dyDescent="0.15">
      <c r="A33" s="77" t="s">
        <v>96</v>
      </c>
      <c r="B33" s="43">
        <v>1303.7</v>
      </c>
      <c r="C33" s="46">
        <v>864.2</v>
      </c>
      <c r="D33" s="46">
        <v>840.7</v>
      </c>
      <c r="E33" s="46">
        <v>23.6</v>
      </c>
      <c r="F33" s="25">
        <v>66.3</v>
      </c>
      <c r="G33" s="25">
        <v>64.5</v>
      </c>
      <c r="H33" s="73">
        <v>2.7</v>
      </c>
    </row>
    <row r="34" spans="1:8" ht="13.5" customHeight="1" x14ac:dyDescent="0.15">
      <c r="A34" s="77" t="s">
        <v>97</v>
      </c>
      <c r="B34" s="43">
        <v>1303.9000000000001</v>
      </c>
      <c r="C34" s="46">
        <v>854.9</v>
      </c>
      <c r="D34" s="46">
        <v>834.4</v>
      </c>
      <c r="E34" s="46">
        <v>20.399999999999999</v>
      </c>
      <c r="F34" s="25">
        <v>65.599999999999994</v>
      </c>
      <c r="G34" s="25">
        <v>64</v>
      </c>
      <c r="H34" s="73">
        <v>2.4</v>
      </c>
    </row>
    <row r="35" spans="1:8" ht="13.5" customHeight="1" x14ac:dyDescent="0.15">
      <c r="A35" s="77" t="s">
        <v>98</v>
      </c>
      <c r="B35" s="43">
        <v>1304.8</v>
      </c>
      <c r="C35" s="46">
        <v>798.8</v>
      </c>
      <c r="D35" s="46">
        <v>759.6</v>
      </c>
      <c r="E35" s="46">
        <v>39.1</v>
      </c>
      <c r="F35" s="25">
        <v>61.2</v>
      </c>
      <c r="G35" s="25">
        <v>58.2</v>
      </c>
      <c r="H35" s="73">
        <v>4.9000000000000004</v>
      </c>
    </row>
    <row r="36" spans="1:8" ht="13.5" customHeight="1" x14ac:dyDescent="0.15">
      <c r="A36" s="77"/>
      <c r="B36" s="43" t="s">
        <v>207</v>
      </c>
      <c r="C36" s="46" t="s">
        <v>207</v>
      </c>
      <c r="D36" s="46" t="s">
        <v>207</v>
      </c>
      <c r="E36" s="46" t="s">
        <v>207</v>
      </c>
      <c r="F36" s="25" t="s">
        <v>207</v>
      </c>
      <c r="G36" s="25" t="s">
        <v>207</v>
      </c>
      <c r="H36" s="73" t="s">
        <v>207</v>
      </c>
    </row>
    <row r="37" spans="1:8" ht="13.5" customHeight="1" x14ac:dyDescent="0.15">
      <c r="A37" s="77" t="s">
        <v>164</v>
      </c>
      <c r="B37" s="43">
        <v>1304.4000000000001</v>
      </c>
      <c r="C37" s="46">
        <v>789.4</v>
      </c>
      <c r="D37" s="46">
        <v>734.7</v>
      </c>
      <c r="E37" s="46">
        <v>54.7</v>
      </c>
      <c r="F37" s="25">
        <v>60.5</v>
      </c>
      <c r="G37" s="25">
        <v>56.3</v>
      </c>
      <c r="H37" s="73">
        <v>6.9</v>
      </c>
    </row>
    <row r="38" spans="1:8" ht="13.5" customHeight="1" x14ac:dyDescent="0.15">
      <c r="A38" s="77" t="s">
        <v>21</v>
      </c>
      <c r="B38" s="43">
        <v>1305.7</v>
      </c>
      <c r="C38" s="46">
        <v>796.7</v>
      </c>
      <c r="D38" s="46">
        <v>759.2</v>
      </c>
      <c r="E38" s="46">
        <v>37.4</v>
      </c>
      <c r="F38" s="25">
        <v>61</v>
      </c>
      <c r="G38" s="25">
        <v>58.1</v>
      </c>
      <c r="H38" s="73">
        <v>4.7</v>
      </c>
    </row>
    <row r="39" spans="1:8" ht="13.5" customHeight="1" x14ac:dyDescent="0.15">
      <c r="A39" s="77" t="s">
        <v>89</v>
      </c>
      <c r="B39" s="43">
        <v>1305.9000000000001</v>
      </c>
      <c r="C39" s="46">
        <v>828.8</v>
      </c>
      <c r="D39" s="46">
        <v>797.8</v>
      </c>
      <c r="E39" s="46">
        <v>31</v>
      </c>
      <c r="F39" s="25">
        <v>63.5</v>
      </c>
      <c r="G39" s="25">
        <v>61.1</v>
      </c>
      <c r="H39" s="73">
        <v>3.7</v>
      </c>
    </row>
    <row r="40" spans="1:8" ht="13.5" customHeight="1" x14ac:dyDescent="0.15">
      <c r="A40" s="77"/>
      <c r="B40" s="43" t="s">
        <v>207</v>
      </c>
      <c r="C40" s="46" t="s">
        <v>207</v>
      </c>
      <c r="D40" s="46" t="s">
        <v>207</v>
      </c>
      <c r="E40" s="46" t="s">
        <v>207</v>
      </c>
      <c r="F40" s="25" t="s">
        <v>207</v>
      </c>
      <c r="G40" s="25" t="s">
        <v>207</v>
      </c>
      <c r="H40" s="73" t="s">
        <v>207</v>
      </c>
    </row>
    <row r="41" spans="1:8" ht="13.5" customHeight="1" x14ac:dyDescent="0.15">
      <c r="A41" s="77" t="s">
        <v>90</v>
      </c>
      <c r="B41" s="43">
        <v>1306.0999999999999</v>
      </c>
      <c r="C41" s="46">
        <v>833.6</v>
      </c>
      <c r="D41" s="46">
        <v>800.7</v>
      </c>
      <c r="E41" s="46">
        <v>32.9</v>
      </c>
      <c r="F41" s="25">
        <v>63.8</v>
      </c>
      <c r="G41" s="25">
        <v>61.3</v>
      </c>
      <c r="H41" s="73">
        <v>3.9</v>
      </c>
    </row>
    <row r="42" spans="1:8" ht="13.5" customHeight="1" x14ac:dyDescent="0.15">
      <c r="A42" s="77" t="s">
        <v>91</v>
      </c>
      <c r="B42" s="43">
        <v>1307.3</v>
      </c>
      <c r="C42" s="46">
        <v>849.6</v>
      </c>
      <c r="D42" s="46">
        <v>818.3</v>
      </c>
      <c r="E42" s="46">
        <v>31.4</v>
      </c>
      <c r="F42" s="25">
        <v>65</v>
      </c>
      <c r="G42" s="25">
        <v>62.6</v>
      </c>
      <c r="H42" s="73">
        <v>3.7</v>
      </c>
    </row>
    <row r="43" spans="1:8" ht="13.5" customHeight="1" x14ac:dyDescent="0.15">
      <c r="A43" s="77" t="s">
        <v>92</v>
      </c>
      <c r="B43" s="43">
        <v>1307.8</v>
      </c>
      <c r="C43" s="46">
        <v>854.5</v>
      </c>
      <c r="D43" s="46">
        <v>821.4</v>
      </c>
      <c r="E43" s="46">
        <v>33.1</v>
      </c>
      <c r="F43" s="25">
        <v>65.3</v>
      </c>
      <c r="G43" s="25">
        <v>62.8</v>
      </c>
      <c r="H43" s="73">
        <v>3.9</v>
      </c>
    </row>
    <row r="44" spans="1:8" ht="13.5" customHeight="1" x14ac:dyDescent="0.15">
      <c r="A44" s="77"/>
      <c r="B44" s="43" t="s">
        <v>207</v>
      </c>
      <c r="C44" s="46" t="s">
        <v>207</v>
      </c>
      <c r="D44" s="46" t="s">
        <v>207</v>
      </c>
      <c r="E44" s="46" t="s">
        <v>207</v>
      </c>
      <c r="F44" s="25" t="s">
        <v>207</v>
      </c>
      <c r="G44" s="25" t="s">
        <v>207</v>
      </c>
      <c r="H44" s="73" t="s">
        <v>207</v>
      </c>
    </row>
    <row r="45" spans="1:8" ht="13.5" customHeight="1" x14ac:dyDescent="0.15">
      <c r="A45" s="77" t="s">
        <v>93</v>
      </c>
      <c r="B45" s="43">
        <v>1308</v>
      </c>
      <c r="C45" s="46">
        <v>848.2</v>
      </c>
      <c r="D45" s="46">
        <v>815.5</v>
      </c>
      <c r="E45" s="46">
        <v>32.700000000000003</v>
      </c>
      <c r="F45" s="25">
        <v>64.8</v>
      </c>
      <c r="G45" s="25">
        <v>62.3</v>
      </c>
      <c r="H45" s="73">
        <v>3.9</v>
      </c>
    </row>
    <row r="46" spans="1:8" ht="13.5" customHeight="1" x14ac:dyDescent="0.15">
      <c r="A46" s="77" t="s">
        <v>94</v>
      </c>
      <c r="B46" s="43">
        <v>1308</v>
      </c>
      <c r="C46" s="46">
        <v>838.9</v>
      </c>
      <c r="D46" s="46">
        <v>820</v>
      </c>
      <c r="E46" s="46">
        <v>18.899999999999999</v>
      </c>
      <c r="F46" s="25">
        <v>64.099999999999994</v>
      </c>
      <c r="G46" s="25">
        <v>62.7</v>
      </c>
      <c r="H46" s="73">
        <v>2.2999999999999998</v>
      </c>
    </row>
    <row r="47" spans="1:8" ht="13.5" customHeight="1" x14ac:dyDescent="0.15">
      <c r="A47" s="77" t="s">
        <v>95</v>
      </c>
      <c r="B47" s="43">
        <v>1308</v>
      </c>
      <c r="C47" s="46">
        <v>835.6</v>
      </c>
      <c r="D47" s="46">
        <v>812.3</v>
      </c>
      <c r="E47" s="46">
        <v>23.3</v>
      </c>
      <c r="F47" s="25">
        <v>63.9</v>
      </c>
      <c r="G47" s="25">
        <v>62.1</v>
      </c>
      <c r="H47" s="73">
        <v>2.8</v>
      </c>
    </row>
    <row r="48" spans="1:8" ht="13.5" customHeight="1" x14ac:dyDescent="0.15">
      <c r="A48" s="77"/>
      <c r="B48" s="43" t="s">
        <v>207</v>
      </c>
      <c r="C48" s="46" t="s">
        <v>207</v>
      </c>
      <c r="D48" s="46" t="s">
        <v>207</v>
      </c>
      <c r="E48" s="46" t="s">
        <v>207</v>
      </c>
      <c r="F48" s="25" t="s">
        <v>207</v>
      </c>
      <c r="G48" s="25" t="s">
        <v>207</v>
      </c>
      <c r="H48" s="73" t="s">
        <v>207</v>
      </c>
    </row>
    <row r="49" spans="1:8" ht="13.5" customHeight="1" x14ac:dyDescent="0.15">
      <c r="A49" s="77" t="s">
        <v>96</v>
      </c>
      <c r="B49" s="43">
        <v>1308.4000000000001</v>
      </c>
      <c r="C49" s="46">
        <v>839.1</v>
      </c>
      <c r="D49" s="46">
        <v>816.6</v>
      </c>
      <c r="E49" s="46">
        <v>22.4</v>
      </c>
      <c r="F49" s="25">
        <v>64.099999999999994</v>
      </c>
      <c r="G49" s="25">
        <v>62.4</v>
      </c>
      <c r="H49" s="73">
        <v>2.7</v>
      </c>
    </row>
    <row r="50" spans="1:8" ht="13.5" customHeight="1" x14ac:dyDescent="0.15">
      <c r="A50" s="77" t="s">
        <v>180</v>
      </c>
      <c r="B50" s="43">
        <v>1309.3</v>
      </c>
      <c r="C50" s="46">
        <v>829.3</v>
      </c>
      <c r="D50" s="46">
        <v>813</v>
      </c>
      <c r="E50" s="46">
        <v>16.3</v>
      </c>
      <c r="F50" s="25">
        <v>63.3</v>
      </c>
      <c r="G50" s="25">
        <v>62.1</v>
      </c>
      <c r="H50" s="73">
        <v>2</v>
      </c>
    </row>
    <row r="51" spans="1:8" ht="13.5" customHeight="1" x14ac:dyDescent="0.15">
      <c r="A51" s="77" t="s">
        <v>98</v>
      </c>
      <c r="B51" s="43">
        <v>1310.2</v>
      </c>
      <c r="C51" s="46">
        <v>783.2</v>
      </c>
      <c r="D51" s="46">
        <v>727.5</v>
      </c>
      <c r="E51" s="46">
        <v>55.7</v>
      </c>
      <c r="F51" s="25">
        <v>59.8</v>
      </c>
      <c r="G51" s="25">
        <v>55.5</v>
      </c>
      <c r="H51" s="73">
        <v>7.1</v>
      </c>
    </row>
    <row r="52" spans="1:8" ht="13.5" customHeight="1" x14ac:dyDescent="0.15">
      <c r="A52" s="77"/>
      <c r="B52" s="43" t="s">
        <v>207</v>
      </c>
      <c r="C52" s="46" t="s">
        <v>207</v>
      </c>
      <c r="D52" s="46" t="s">
        <v>207</v>
      </c>
      <c r="E52" s="46" t="s">
        <v>207</v>
      </c>
      <c r="F52" s="25" t="s">
        <v>207</v>
      </c>
      <c r="G52" s="25" t="s">
        <v>207</v>
      </c>
      <c r="H52" s="73" t="s">
        <v>207</v>
      </c>
    </row>
    <row r="53" spans="1:8" ht="13.5" customHeight="1" x14ac:dyDescent="0.15">
      <c r="A53" s="77" t="s">
        <v>186</v>
      </c>
      <c r="B53" s="43">
        <v>1312.9</v>
      </c>
      <c r="C53" s="46">
        <v>759.9</v>
      </c>
      <c r="D53" s="46">
        <v>692.8</v>
      </c>
      <c r="E53" s="46">
        <v>67.099999999999994</v>
      </c>
      <c r="F53" s="25">
        <v>57.9</v>
      </c>
      <c r="G53" s="25">
        <v>52.8</v>
      </c>
      <c r="H53" s="73">
        <v>8.8000000000000007</v>
      </c>
    </row>
    <row r="54" spans="1:8" ht="13.5" customHeight="1" x14ac:dyDescent="0.15">
      <c r="A54" s="77" t="s">
        <v>153</v>
      </c>
      <c r="B54" s="43">
        <v>1313.6</v>
      </c>
      <c r="C54" s="46">
        <v>786</v>
      </c>
      <c r="D54" s="46">
        <v>736.8</v>
      </c>
      <c r="E54" s="46">
        <v>49.2</v>
      </c>
      <c r="F54" s="25">
        <v>59.8</v>
      </c>
      <c r="G54" s="25">
        <v>56.1</v>
      </c>
      <c r="H54" s="73">
        <v>6.3</v>
      </c>
    </row>
    <row r="55" spans="1:8" ht="13.5" customHeight="1" x14ac:dyDescent="0.15">
      <c r="A55" s="77" t="s">
        <v>89</v>
      </c>
      <c r="B55" s="43">
        <v>1314.4</v>
      </c>
      <c r="C55" s="46">
        <v>826.9</v>
      </c>
      <c r="D55" s="46">
        <v>803.4</v>
      </c>
      <c r="E55" s="46">
        <v>23.5</v>
      </c>
      <c r="F55" s="25">
        <v>62.9</v>
      </c>
      <c r="G55" s="25">
        <v>61.1</v>
      </c>
      <c r="H55" s="73">
        <v>2.8</v>
      </c>
    </row>
    <row r="56" spans="1:8" ht="13.5" customHeight="1" x14ac:dyDescent="0.15">
      <c r="A56" s="77"/>
      <c r="B56" s="43" t="s">
        <v>207</v>
      </c>
      <c r="C56" s="46" t="s">
        <v>207</v>
      </c>
      <c r="D56" s="46" t="s">
        <v>207</v>
      </c>
      <c r="E56" s="46" t="s">
        <v>207</v>
      </c>
      <c r="F56" s="25" t="s">
        <v>207</v>
      </c>
      <c r="G56" s="25" t="s">
        <v>207</v>
      </c>
      <c r="H56" s="73" t="s">
        <v>207</v>
      </c>
    </row>
    <row r="57" spans="1:8" ht="13.5" customHeight="1" x14ac:dyDescent="0.15">
      <c r="A57" s="77" t="s">
        <v>90</v>
      </c>
      <c r="B57" s="43">
        <v>1315.3</v>
      </c>
      <c r="C57" s="46">
        <v>843.5</v>
      </c>
      <c r="D57" s="46">
        <v>817.9</v>
      </c>
      <c r="E57" s="46">
        <v>25.6</v>
      </c>
      <c r="F57" s="25">
        <v>64.099999999999994</v>
      </c>
      <c r="G57" s="25">
        <v>62.2</v>
      </c>
      <c r="H57" s="73">
        <v>3</v>
      </c>
    </row>
    <row r="58" spans="1:8" ht="13.5" customHeight="1" x14ac:dyDescent="0.15">
      <c r="A58" s="77" t="s">
        <v>91</v>
      </c>
      <c r="B58" s="43">
        <v>1316.2</v>
      </c>
      <c r="C58" s="46">
        <v>857</v>
      </c>
      <c r="D58" s="46">
        <v>835.6</v>
      </c>
      <c r="E58" s="46">
        <v>21.4</v>
      </c>
      <c r="F58" s="25">
        <v>65.099999999999994</v>
      </c>
      <c r="G58" s="25">
        <v>63.5</v>
      </c>
      <c r="H58" s="73">
        <v>2.5</v>
      </c>
    </row>
    <row r="59" spans="1:8" ht="13.5" customHeight="1" x14ac:dyDescent="0.15">
      <c r="A59" s="77" t="s">
        <v>92</v>
      </c>
      <c r="B59" s="43">
        <v>1317</v>
      </c>
      <c r="C59" s="46">
        <v>867.1</v>
      </c>
      <c r="D59" s="46">
        <v>843.1</v>
      </c>
      <c r="E59" s="46">
        <v>24</v>
      </c>
      <c r="F59" s="25">
        <v>65.8</v>
      </c>
      <c r="G59" s="25">
        <v>64</v>
      </c>
      <c r="H59" s="73">
        <v>2.8</v>
      </c>
    </row>
    <row r="60" spans="1:8" ht="13.5" customHeight="1" x14ac:dyDescent="0.15">
      <c r="A60" s="77"/>
      <c r="B60" s="43" t="s">
        <v>207</v>
      </c>
      <c r="C60" s="46" t="s">
        <v>207</v>
      </c>
      <c r="D60" s="46" t="s">
        <v>207</v>
      </c>
      <c r="E60" s="46" t="s">
        <v>207</v>
      </c>
      <c r="F60" s="25" t="s">
        <v>207</v>
      </c>
      <c r="G60" s="25" t="s">
        <v>207</v>
      </c>
      <c r="H60" s="73" t="s">
        <v>207</v>
      </c>
    </row>
    <row r="61" spans="1:8" ht="13.5" customHeight="1" x14ac:dyDescent="0.15">
      <c r="A61" s="77" t="s">
        <v>93</v>
      </c>
      <c r="B61" s="43">
        <v>1317.7</v>
      </c>
      <c r="C61" s="46">
        <v>866.8</v>
      </c>
      <c r="D61" s="46">
        <v>844.4</v>
      </c>
      <c r="E61" s="46">
        <v>22.4</v>
      </c>
      <c r="F61" s="25">
        <v>65.8</v>
      </c>
      <c r="G61" s="25">
        <v>64.099999999999994</v>
      </c>
      <c r="H61" s="73">
        <v>2.6</v>
      </c>
    </row>
    <row r="62" spans="1:8" ht="13.5" customHeight="1" x14ac:dyDescent="0.15">
      <c r="A62" s="77" t="s">
        <v>94</v>
      </c>
      <c r="B62" s="43">
        <v>1318.1</v>
      </c>
      <c r="C62" s="46">
        <v>860.6</v>
      </c>
      <c r="D62" s="46">
        <v>841.3</v>
      </c>
      <c r="E62" s="46">
        <v>19.3</v>
      </c>
      <c r="F62" s="25">
        <v>65.3</v>
      </c>
      <c r="G62" s="25">
        <v>63.8</v>
      </c>
      <c r="H62" s="73">
        <v>2.2000000000000002</v>
      </c>
    </row>
    <row r="63" spans="1:8" ht="13.5" customHeight="1" x14ac:dyDescent="0.15">
      <c r="A63" s="77" t="s">
        <v>95</v>
      </c>
      <c r="B63" s="43">
        <v>1318.7</v>
      </c>
      <c r="C63" s="46">
        <v>854.5</v>
      </c>
      <c r="D63" s="46">
        <v>837</v>
      </c>
      <c r="E63" s="46">
        <v>17.5</v>
      </c>
      <c r="F63" s="25">
        <v>64.8</v>
      </c>
      <c r="G63" s="25">
        <v>63.5</v>
      </c>
      <c r="H63" s="73">
        <v>2</v>
      </c>
    </row>
    <row r="64" spans="1:8" ht="13.5" customHeight="1" x14ac:dyDescent="0.15">
      <c r="A64" s="77"/>
      <c r="B64" s="43" t="s">
        <v>207</v>
      </c>
      <c r="C64" s="46" t="s">
        <v>207</v>
      </c>
      <c r="D64" s="46" t="s">
        <v>207</v>
      </c>
      <c r="E64" s="46" t="s">
        <v>207</v>
      </c>
      <c r="F64" s="25" t="s">
        <v>207</v>
      </c>
      <c r="G64" s="25" t="s">
        <v>207</v>
      </c>
      <c r="H64" s="73" t="s">
        <v>207</v>
      </c>
    </row>
    <row r="65" spans="1:16384" ht="13.5" customHeight="1" x14ac:dyDescent="0.15">
      <c r="A65" s="77" t="s">
        <v>96</v>
      </c>
      <c r="B65" s="43">
        <v>1319.7</v>
      </c>
      <c r="C65" s="46">
        <v>864.5</v>
      </c>
      <c r="D65" s="46">
        <v>840.5</v>
      </c>
      <c r="E65" s="46">
        <v>24</v>
      </c>
      <c r="F65" s="25">
        <v>65.5</v>
      </c>
      <c r="G65" s="25">
        <v>63.7</v>
      </c>
      <c r="H65" s="73">
        <v>2.8</v>
      </c>
    </row>
    <row r="66" spans="1:16384" s="29" customFormat="1" ht="13.5" customHeight="1" x14ac:dyDescent="0.15">
      <c r="A66" s="77" t="s">
        <v>193</v>
      </c>
      <c r="B66" s="43">
        <v>1321.1</v>
      </c>
      <c r="C66" s="46">
        <v>858.9</v>
      </c>
      <c r="D66" s="46">
        <v>842.5</v>
      </c>
      <c r="E66" s="46">
        <v>16.3</v>
      </c>
      <c r="F66" s="25">
        <v>65</v>
      </c>
      <c r="G66" s="25">
        <v>63.8</v>
      </c>
      <c r="H66" s="73">
        <v>1.9</v>
      </c>
    </row>
    <row r="67" spans="1:16384" s="29" customFormat="1" ht="13.5" customHeight="1" x14ac:dyDescent="0.15">
      <c r="A67" s="77" t="s">
        <v>151</v>
      </c>
      <c r="B67" s="43">
        <v>1322</v>
      </c>
      <c r="C67" s="46">
        <v>829.1</v>
      </c>
      <c r="D67" s="46">
        <v>775.8</v>
      </c>
      <c r="E67" s="46">
        <v>53.3</v>
      </c>
      <c r="F67" s="25">
        <v>62.7</v>
      </c>
      <c r="G67" s="25">
        <v>58.7</v>
      </c>
      <c r="H67" s="73">
        <v>6.4</v>
      </c>
    </row>
    <row r="68" spans="1:16384" ht="13.5" customHeight="1" x14ac:dyDescent="0.15">
      <c r="A68" s="77"/>
      <c r="B68" s="43" t="s">
        <v>207</v>
      </c>
      <c r="C68" s="46" t="s">
        <v>207</v>
      </c>
      <c r="D68" s="46" t="s">
        <v>207</v>
      </c>
      <c r="E68" s="46" t="s">
        <v>207</v>
      </c>
      <c r="F68" s="25" t="s">
        <v>207</v>
      </c>
      <c r="G68" s="25" t="s">
        <v>207</v>
      </c>
      <c r="H68" s="73" t="s">
        <v>207</v>
      </c>
    </row>
    <row r="69" spans="1:16384" s="29" customFormat="1" ht="13.5" customHeight="1" x14ac:dyDescent="0.15">
      <c r="A69" s="77" t="s">
        <v>215</v>
      </c>
      <c r="B69" s="43">
        <v>1317.3</v>
      </c>
      <c r="C69" s="46">
        <v>772.4</v>
      </c>
      <c r="D69" s="46">
        <v>723.9</v>
      </c>
      <c r="E69" s="46">
        <v>48.5</v>
      </c>
      <c r="F69" s="25">
        <v>58.6</v>
      </c>
      <c r="G69" s="25">
        <v>55</v>
      </c>
      <c r="H69" s="73">
        <v>6.3</v>
      </c>
    </row>
    <row r="70" spans="1:16384" s="159" customFormat="1" ht="13.5" customHeight="1" x14ac:dyDescent="0.15">
      <c r="A70" s="77" t="s">
        <v>21</v>
      </c>
      <c r="B70" s="43">
        <v>1318.3</v>
      </c>
      <c r="C70" s="46">
        <v>806.4</v>
      </c>
      <c r="D70" s="46">
        <v>773.3</v>
      </c>
      <c r="E70" s="46">
        <v>33.1</v>
      </c>
      <c r="F70" s="25">
        <v>61.2</v>
      </c>
      <c r="G70" s="25">
        <v>58.7</v>
      </c>
      <c r="H70" s="73">
        <v>4.0999999999999996</v>
      </c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/>
      <c r="GE70" s="29"/>
      <c r="GF70" s="29"/>
      <c r="GG70" s="29"/>
      <c r="GH70" s="29"/>
      <c r="GI70" s="29"/>
      <c r="GJ70" s="29"/>
      <c r="GK70" s="29"/>
      <c r="GL70" s="29"/>
      <c r="GM70" s="29"/>
      <c r="GN70" s="29"/>
      <c r="GO70" s="29"/>
      <c r="GP70" s="29"/>
      <c r="GQ70" s="29"/>
      <c r="GR70" s="29"/>
      <c r="GS70" s="29"/>
      <c r="GT70" s="29"/>
      <c r="GU70" s="29"/>
      <c r="GV70" s="29"/>
      <c r="GW70" s="29"/>
      <c r="GX70" s="29"/>
      <c r="GY70" s="29"/>
      <c r="GZ70" s="29"/>
      <c r="HA70" s="29"/>
      <c r="HB70" s="29"/>
      <c r="HC70" s="29"/>
      <c r="HD70" s="29"/>
      <c r="HE70" s="29"/>
      <c r="HF70" s="29"/>
      <c r="HG70" s="29"/>
      <c r="HH70" s="29"/>
      <c r="HI70" s="29"/>
      <c r="HJ70" s="29"/>
      <c r="HK70" s="29"/>
      <c r="HL70" s="29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/>
      <c r="IM70" s="29"/>
      <c r="IN70" s="29"/>
      <c r="IO70" s="29"/>
      <c r="IP70" s="29"/>
      <c r="IQ70" s="29"/>
      <c r="IR70" s="29"/>
      <c r="IS70" s="29"/>
      <c r="IT70" s="29"/>
      <c r="IU70" s="29"/>
      <c r="IV70" s="29"/>
      <c r="IW70" s="29"/>
      <c r="IX70" s="29"/>
      <c r="IY70" s="29"/>
      <c r="IZ70" s="29"/>
      <c r="JA70" s="29"/>
      <c r="JB70" s="29"/>
      <c r="JC70" s="29"/>
      <c r="JD70" s="29"/>
      <c r="JE70" s="29"/>
      <c r="JF70" s="29"/>
      <c r="JG70" s="29"/>
      <c r="JH70" s="29"/>
      <c r="JI70" s="29"/>
      <c r="JJ70" s="29"/>
      <c r="JK70" s="29"/>
      <c r="JL70" s="29"/>
      <c r="JM70" s="29"/>
      <c r="JN70" s="29"/>
      <c r="JO70" s="29"/>
      <c r="JP70" s="29"/>
      <c r="JQ70" s="29"/>
      <c r="JR70" s="29"/>
      <c r="JS70" s="29"/>
      <c r="JT70" s="29"/>
      <c r="JU70" s="29"/>
      <c r="JV70" s="29"/>
      <c r="JW70" s="29"/>
      <c r="JX70" s="29"/>
      <c r="JY70" s="29"/>
      <c r="JZ70" s="29"/>
      <c r="KA70" s="29"/>
      <c r="KB70" s="29"/>
      <c r="KC70" s="29"/>
      <c r="KD70" s="29"/>
      <c r="KE70" s="29"/>
      <c r="KF70" s="29"/>
      <c r="KG70" s="29"/>
      <c r="KH70" s="29"/>
      <c r="KI70" s="29"/>
      <c r="KJ70" s="29"/>
      <c r="KK70" s="29"/>
      <c r="KL70" s="29"/>
      <c r="KM70" s="29"/>
      <c r="KN70" s="29"/>
      <c r="KO70" s="29"/>
      <c r="KP70" s="29"/>
      <c r="KQ70" s="29"/>
      <c r="KR70" s="29"/>
      <c r="KS70" s="29"/>
      <c r="KT70" s="29"/>
      <c r="KU70" s="29"/>
      <c r="KV70" s="29"/>
      <c r="KW70" s="29"/>
      <c r="KX70" s="29"/>
      <c r="KY70" s="29"/>
      <c r="KZ70" s="29"/>
      <c r="LA70" s="29"/>
      <c r="LB70" s="29"/>
      <c r="LC70" s="29"/>
      <c r="LD70" s="29"/>
      <c r="LE70" s="29"/>
      <c r="LF70" s="29"/>
      <c r="LG70" s="29"/>
      <c r="LH70" s="29"/>
      <c r="LI70" s="29"/>
      <c r="LJ70" s="29"/>
      <c r="LK70" s="29"/>
      <c r="LL70" s="29"/>
      <c r="LM70" s="29"/>
      <c r="LN70" s="29"/>
      <c r="LO70" s="29"/>
      <c r="LP70" s="29"/>
      <c r="LQ70" s="29"/>
      <c r="LR70" s="29"/>
      <c r="LS70" s="29"/>
      <c r="LT70" s="29"/>
      <c r="LU70" s="29"/>
      <c r="LV70" s="29"/>
      <c r="LW70" s="29"/>
      <c r="LX70" s="29"/>
      <c r="LY70" s="29"/>
      <c r="LZ70" s="29"/>
      <c r="MA70" s="29"/>
      <c r="MB70" s="29"/>
      <c r="MC70" s="29"/>
      <c r="MD70" s="29"/>
      <c r="ME70" s="29"/>
      <c r="MF70" s="29"/>
      <c r="MG70" s="29"/>
      <c r="MH70" s="29"/>
      <c r="MI70" s="29"/>
      <c r="MJ70" s="29"/>
      <c r="MK70" s="29"/>
      <c r="ML70" s="29"/>
      <c r="MM70" s="29"/>
      <c r="MN70" s="29"/>
      <c r="MO70" s="29"/>
      <c r="MP70" s="29"/>
      <c r="MQ70" s="29"/>
      <c r="MR70" s="29"/>
      <c r="MS70" s="29"/>
      <c r="MT70" s="29"/>
      <c r="MU70" s="29"/>
      <c r="MV70" s="29"/>
      <c r="MW70" s="29"/>
      <c r="MX70" s="29"/>
      <c r="MY70" s="29"/>
      <c r="MZ70" s="29"/>
      <c r="NA70" s="29"/>
      <c r="NB70" s="29"/>
      <c r="NC70" s="29"/>
      <c r="ND70" s="29"/>
      <c r="NE70" s="29"/>
      <c r="NF70" s="29"/>
      <c r="NG70" s="29"/>
      <c r="NH70" s="29"/>
      <c r="NI70" s="29"/>
      <c r="NJ70" s="29"/>
      <c r="NK70" s="29"/>
      <c r="NL70" s="29"/>
      <c r="NM70" s="29"/>
      <c r="NN70" s="29"/>
      <c r="NO70" s="29"/>
      <c r="NP70" s="29"/>
      <c r="NQ70" s="29"/>
      <c r="NR70" s="29"/>
      <c r="NS70" s="29"/>
      <c r="NT70" s="29"/>
      <c r="NU70" s="29"/>
      <c r="NV70" s="29"/>
      <c r="NW70" s="29"/>
      <c r="NX70" s="29"/>
      <c r="NY70" s="29"/>
      <c r="NZ70" s="29"/>
      <c r="OA70" s="29"/>
      <c r="OB70" s="29"/>
      <c r="OC70" s="29"/>
      <c r="OD70" s="29"/>
      <c r="OE70" s="29"/>
      <c r="OF70" s="29"/>
      <c r="OG70" s="29"/>
      <c r="OH70" s="29"/>
      <c r="OI70" s="29"/>
      <c r="OJ70" s="29"/>
      <c r="OK70" s="29"/>
      <c r="OL70" s="29"/>
      <c r="OM70" s="29"/>
      <c r="ON70" s="29"/>
      <c r="OO70" s="29"/>
      <c r="OP70" s="29"/>
      <c r="OQ70" s="29"/>
      <c r="OR70" s="29"/>
      <c r="OS70" s="29"/>
      <c r="OT70" s="29"/>
      <c r="OU70" s="29"/>
      <c r="OV70" s="29"/>
      <c r="OW70" s="29"/>
      <c r="OX70" s="29"/>
      <c r="OY70" s="29"/>
      <c r="OZ70" s="29"/>
      <c r="PA70" s="29"/>
      <c r="PB70" s="29"/>
      <c r="PC70" s="29"/>
      <c r="PD70" s="29"/>
      <c r="PE70" s="29"/>
      <c r="PF70" s="29"/>
      <c r="PG70" s="29"/>
      <c r="PH70" s="29"/>
      <c r="PI70" s="29"/>
      <c r="PJ70" s="29"/>
      <c r="PK70" s="29"/>
      <c r="PL70" s="29"/>
      <c r="PM70" s="29"/>
      <c r="PN70" s="29"/>
      <c r="PO70" s="29"/>
      <c r="PP70" s="29"/>
      <c r="PQ70" s="29"/>
      <c r="PR70" s="29"/>
      <c r="PS70" s="29"/>
      <c r="PT70" s="29"/>
      <c r="PU70" s="29"/>
      <c r="PV70" s="29"/>
      <c r="PW70" s="29"/>
      <c r="PX70" s="29"/>
      <c r="PY70" s="29"/>
      <c r="PZ70" s="29"/>
      <c r="QA70" s="29"/>
      <c r="QB70" s="29"/>
      <c r="QC70" s="29"/>
      <c r="QD70" s="29"/>
      <c r="QE70" s="29"/>
      <c r="QF70" s="29"/>
      <c r="QG70" s="29"/>
      <c r="QH70" s="29"/>
      <c r="QI70" s="29"/>
      <c r="QJ70" s="29"/>
      <c r="QK70" s="29"/>
      <c r="QL70" s="29"/>
      <c r="QM70" s="29"/>
      <c r="QN70" s="29"/>
      <c r="QO70" s="29"/>
      <c r="QP70" s="29"/>
      <c r="QQ70" s="29"/>
      <c r="QR70" s="29"/>
      <c r="QS70" s="29"/>
      <c r="QT70" s="29"/>
      <c r="QU70" s="29"/>
      <c r="QV70" s="29"/>
      <c r="QW70" s="29"/>
      <c r="QX70" s="29"/>
      <c r="QY70" s="29"/>
      <c r="QZ70" s="29"/>
      <c r="RA70" s="29"/>
      <c r="RB70" s="29"/>
      <c r="RC70" s="29"/>
      <c r="RD70" s="29"/>
      <c r="RE70" s="29"/>
      <c r="RF70" s="29"/>
      <c r="RG70" s="29"/>
      <c r="RH70" s="29"/>
      <c r="RI70" s="29"/>
      <c r="RJ70" s="29"/>
      <c r="RK70" s="29"/>
      <c r="RL70" s="29"/>
      <c r="RM70" s="29"/>
      <c r="RN70" s="29"/>
      <c r="RO70" s="29"/>
      <c r="RP70" s="29"/>
      <c r="RQ70" s="29"/>
      <c r="RR70" s="29"/>
      <c r="RS70" s="29"/>
      <c r="RT70" s="29"/>
      <c r="RU70" s="29"/>
      <c r="RV70" s="29"/>
      <c r="RW70" s="29"/>
      <c r="RX70" s="29"/>
      <c r="RY70" s="29"/>
      <c r="RZ70" s="29"/>
      <c r="SA70" s="29"/>
      <c r="SB70" s="29"/>
      <c r="SC70" s="29"/>
      <c r="SD70" s="29"/>
      <c r="SE70" s="29"/>
      <c r="SF70" s="29"/>
      <c r="SG70" s="29"/>
      <c r="SH70" s="29"/>
      <c r="SI70" s="29"/>
      <c r="SJ70" s="29"/>
      <c r="SK70" s="29"/>
      <c r="SL70" s="29"/>
      <c r="SM70" s="29"/>
      <c r="SN70" s="29"/>
      <c r="SO70" s="29"/>
      <c r="SP70" s="29"/>
      <c r="SQ70" s="29"/>
      <c r="SR70" s="29"/>
      <c r="SS70" s="29"/>
      <c r="ST70" s="29"/>
      <c r="SU70" s="29"/>
      <c r="SV70" s="29"/>
      <c r="SW70" s="29"/>
      <c r="SX70" s="29"/>
      <c r="SY70" s="29"/>
      <c r="SZ70" s="29"/>
      <c r="TA70" s="29"/>
      <c r="TB70" s="29"/>
      <c r="TC70" s="29"/>
      <c r="TD70" s="29"/>
      <c r="TE70" s="29"/>
      <c r="TF70" s="29"/>
      <c r="TG70" s="29"/>
      <c r="TH70" s="29"/>
      <c r="TI70" s="29"/>
      <c r="TJ70" s="29"/>
      <c r="TK70" s="29"/>
      <c r="TL70" s="29"/>
      <c r="TM70" s="29"/>
      <c r="TN70" s="29"/>
      <c r="TO70" s="29"/>
      <c r="TP70" s="29"/>
      <c r="TQ70" s="29"/>
      <c r="TR70" s="29"/>
      <c r="TS70" s="29"/>
      <c r="TT70" s="29"/>
      <c r="TU70" s="29"/>
      <c r="TV70" s="29"/>
      <c r="TW70" s="29"/>
      <c r="TX70" s="29"/>
      <c r="TY70" s="29"/>
      <c r="TZ70" s="29"/>
      <c r="UA70" s="29"/>
      <c r="UB70" s="29"/>
      <c r="UC70" s="29"/>
      <c r="UD70" s="29"/>
      <c r="UE70" s="29"/>
      <c r="UF70" s="29"/>
      <c r="UG70" s="29"/>
      <c r="UH70" s="29"/>
      <c r="UI70" s="29"/>
      <c r="UJ70" s="29"/>
      <c r="UK70" s="29"/>
      <c r="UL70" s="29"/>
      <c r="UM70" s="29"/>
      <c r="UN70" s="29"/>
      <c r="UO70" s="29"/>
      <c r="UP70" s="29"/>
      <c r="UQ70" s="29"/>
      <c r="UR70" s="29"/>
      <c r="US70" s="29"/>
      <c r="UT70" s="29"/>
      <c r="UU70" s="29"/>
      <c r="UV70" s="29"/>
      <c r="UW70" s="29"/>
      <c r="UX70" s="29"/>
      <c r="UY70" s="29"/>
      <c r="UZ70" s="29"/>
      <c r="VA70" s="29"/>
      <c r="VB70" s="29"/>
      <c r="VC70" s="29"/>
      <c r="VD70" s="29"/>
      <c r="VE70" s="29"/>
      <c r="VF70" s="29"/>
      <c r="VG70" s="29"/>
      <c r="VH70" s="29"/>
      <c r="VI70" s="29"/>
      <c r="VJ70" s="29"/>
      <c r="VK70" s="29"/>
      <c r="VL70" s="29"/>
      <c r="VM70" s="29"/>
      <c r="VN70" s="29"/>
      <c r="VO70" s="29"/>
      <c r="VP70" s="29"/>
      <c r="VQ70" s="29"/>
      <c r="VR70" s="29"/>
      <c r="VS70" s="29"/>
      <c r="VT70" s="29"/>
      <c r="VU70" s="29"/>
      <c r="VV70" s="29"/>
      <c r="VW70" s="29"/>
      <c r="VX70" s="29"/>
      <c r="VY70" s="29"/>
      <c r="VZ70" s="29"/>
      <c r="WA70" s="29"/>
      <c r="WB70" s="29"/>
      <c r="WC70" s="29"/>
      <c r="WD70" s="29"/>
      <c r="WE70" s="29"/>
      <c r="WF70" s="29"/>
      <c r="WG70" s="29"/>
      <c r="WH70" s="29"/>
      <c r="WI70" s="29"/>
      <c r="WJ70" s="29"/>
      <c r="WK70" s="29"/>
      <c r="WL70" s="29"/>
      <c r="WM70" s="29"/>
      <c r="WN70" s="29"/>
      <c r="WO70" s="29"/>
      <c r="WP70" s="29"/>
      <c r="WQ70" s="29"/>
      <c r="WR70" s="29"/>
      <c r="WS70" s="29"/>
      <c r="WT70" s="29"/>
      <c r="WU70" s="29"/>
      <c r="WV70" s="29"/>
      <c r="WW70" s="29"/>
      <c r="WX70" s="29"/>
      <c r="WY70" s="29"/>
      <c r="WZ70" s="29"/>
      <c r="XA70" s="29"/>
      <c r="XB70" s="29"/>
      <c r="XC70" s="29"/>
      <c r="XD70" s="29"/>
      <c r="XE70" s="29"/>
      <c r="XF70" s="29"/>
      <c r="XG70" s="29"/>
      <c r="XH70" s="29"/>
      <c r="XI70" s="29"/>
      <c r="XJ70" s="29"/>
      <c r="XK70" s="29"/>
      <c r="XL70" s="29"/>
      <c r="XM70" s="29"/>
      <c r="XN70" s="29"/>
      <c r="XO70" s="29"/>
      <c r="XP70" s="29"/>
      <c r="XQ70" s="29"/>
      <c r="XR70" s="29"/>
      <c r="XS70" s="29"/>
      <c r="XT70" s="29"/>
      <c r="XU70" s="29"/>
      <c r="XV70" s="29"/>
      <c r="XW70" s="29"/>
      <c r="XX70" s="29"/>
      <c r="XY70" s="29"/>
      <c r="XZ70" s="29"/>
      <c r="YA70" s="29"/>
      <c r="YB70" s="29"/>
      <c r="YC70" s="29"/>
      <c r="YD70" s="29"/>
      <c r="YE70" s="29"/>
      <c r="YF70" s="29"/>
      <c r="YG70" s="29"/>
      <c r="YH70" s="29"/>
      <c r="YI70" s="29"/>
      <c r="YJ70" s="29"/>
      <c r="YK70" s="29"/>
      <c r="YL70" s="29"/>
      <c r="YM70" s="29"/>
      <c r="YN70" s="29"/>
      <c r="YO70" s="29"/>
      <c r="YP70" s="29"/>
      <c r="YQ70" s="29"/>
      <c r="YR70" s="29"/>
      <c r="YS70" s="29"/>
      <c r="YT70" s="29"/>
      <c r="YU70" s="29"/>
      <c r="YV70" s="29"/>
      <c r="YW70" s="29"/>
      <c r="YX70" s="29"/>
      <c r="YY70" s="29"/>
      <c r="YZ70" s="29"/>
      <c r="ZA70" s="29"/>
      <c r="ZB70" s="29"/>
      <c r="ZC70" s="29"/>
      <c r="ZD70" s="29"/>
      <c r="ZE70" s="29"/>
      <c r="ZF70" s="29"/>
      <c r="ZG70" s="29"/>
      <c r="ZH70" s="29"/>
      <c r="ZI70" s="29"/>
      <c r="ZJ70" s="29"/>
      <c r="ZK70" s="29"/>
      <c r="ZL70" s="29"/>
      <c r="ZM70" s="29"/>
      <c r="ZN70" s="29"/>
      <c r="ZO70" s="29"/>
      <c r="ZP70" s="29"/>
      <c r="ZQ70" s="29"/>
      <c r="ZR70" s="29"/>
      <c r="ZS70" s="29"/>
      <c r="ZT70" s="29"/>
      <c r="ZU70" s="29"/>
      <c r="ZV70" s="29"/>
      <c r="ZW70" s="29"/>
      <c r="ZX70" s="29"/>
      <c r="ZY70" s="29"/>
      <c r="ZZ70" s="29"/>
      <c r="AAA70" s="29"/>
      <c r="AAB70" s="29"/>
      <c r="AAC70" s="29"/>
      <c r="AAD70" s="29"/>
      <c r="AAE70" s="29"/>
      <c r="AAF70" s="29"/>
      <c r="AAG70" s="29"/>
      <c r="AAH70" s="29"/>
      <c r="AAI70" s="29"/>
      <c r="AAJ70" s="29"/>
      <c r="AAK70" s="29"/>
      <c r="AAL70" s="29"/>
      <c r="AAM70" s="29"/>
      <c r="AAN70" s="29"/>
      <c r="AAO70" s="29"/>
      <c r="AAP70" s="29"/>
      <c r="AAQ70" s="29"/>
      <c r="AAR70" s="29"/>
      <c r="AAS70" s="29"/>
      <c r="AAT70" s="29"/>
      <c r="AAU70" s="29"/>
      <c r="AAV70" s="29"/>
      <c r="AAW70" s="29"/>
      <c r="AAX70" s="29"/>
      <c r="AAY70" s="29"/>
      <c r="AAZ70" s="29"/>
      <c r="ABA70" s="29"/>
      <c r="ABB70" s="29"/>
      <c r="ABC70" s="29"/>
      <c r="ABD70" s="29"/>
      <c r="ABE70" s="29"/>
      <c r="ABF70" s="29"/>
      <c r="ABG70" s="29"/>
      <c r="ABH70" s="29"/>
      <c r="ABI70" s="29"/>
      <c r="ABJ70" s="29"/>
      <c r="ABK70" s="29"/>
      <c r="ABL70" s="29"/>
      <c r="ABM70" s="29"/>
      <c r="ABN70" s="29"/>
      <c r="ABO70" s="29"/>
      <c r="ABP70" s="29"/>
      <c r="ABQ70" s="29"/>
      <c r="ABR70" s="29"/>
      <c r="ABS70" s="29"/>
      <c r="ABT70" s="29"/>
      <c r="ABU70" s="29"/>
      <c r="ABV70" s="29"/>
      <c r="ABW70" s="29"/>
      <c r="ABX70" s="29"/>
      <c r="ABY70" s="29"/>
      <c r="ABZ70" s="29"/>
      <c r="ACA70" s="29"/>
      <c r="ACB70" s="29"/>
      <c r="ACC70" s="29"/>
      <c r="ACD70" s="29"/>
      <c r="ACE70" s="29"/>
      <c r="ACF70" s="29"/>
      <c r="ACG70" s="29"/>
      <c r="ACH70" s="29"/>
      <c r="ACI70" s="29"/>
      <c r="ACJ70" s="29"/>
      <c r="ACK70" s="29"/>
      <c r="ACL70" s="29"/>
      <c r="ACM70" s="29"/>
      <c r="ACN70" s="29"/>
      <c r="ACO70" s="29"/>
      <c r="ACP70" s="29"/>
      <c r="ACQ70" s="29"/>
      <c r="ACR70" s="29"/>
      <c r="ACS70" s="29"/>
      <c r="ACT70" s="29"/>
      <c r="ACU70" s="29"/>
      <c r="ACV70" s="29"/>
      <c r="ACW70" s="29"/>
      <c r="ACX70" s="29"/>
      <c r="ACY70" s="29"/>
      <c r="ACZ70" s="29"/>
      <c r="ADA70" s="29"/>
      <c r="ADB70" s="29"/>
      <c r="ADC70" s="29"/>
      <c r="ADD70" s="29"/>
      <c r="ADE70" s="29"/>
      <c r="ADF70" s="29"/>
      <c r="ADG70" s="29"/>
      <c r="ADH70" s="29"/>
      <c r="ADI70" s="29"/>
      <c r="ADJ70" s="29"/>
      <c r="ADK70" s="29"/>
      <c r="ADL70" s="29"/>
      <c r="ADM70" s="29"/>
      <c r="ADN70" s="29"/>
      <c r="ADO70" s="29"/>
      <c r="ADP70" s="29"/>
      <c r="ADQ70" s="29"/>
      <c r="ADR70" s="29"/>
      <c r="ADS70" s="29"/>
      <c r="ADT70" s="29"/>
      <c r="ADU70" s="29"/>
      <c r="ADV70" s="29"/>
      <c r="ADW70" s="29"/>
      <c r="ADX70" s="29"/>
      <c r="ADY70" s="29"/>
      <c r="ADZ70" s="29"/>
      <c r="AEA70" s="29"/>
      <c r="AEB70" s="29"/>
      <c r="AEC70" s="29"/>
      <c r="AED70" s="29"/>
      <c r="AEE70" s="29"/>
      <c r="AEF70" s="29"/>
      <c r="AEG70" s="29"/>
      <c r="AEH70" s="29"/>
      <c r="AEI70" s="29"/>
      <c r="AEJ70" s="29"/>
      <c r="AEK70" s="29"/>
      <c r="AEL70" s="29"/>
      <c r="AEM70" s="29"/>
      <c r="AEN70" s="29"/>
      <c r="AEO70" s="29"/>
      <c r="AEP70" s="29"/>
      <c r="AEQ70" s="29"/>
      <c r="AER70" s="29"/>
      <c r="AES70" s="29"/>
      <c r="AET70" s="29"/>
      <c r="AEU70" s="29"/>
      <c r="AEV70" s="29"/>
      <c r="AEW70" s="29"/>
      <c r="AEX70" s="29"/>
      <c r="AEY70" s="29"/>
      <c r="AEZ70" s="29"/>
      <c r="AFA70" s="29"/>
      <c r="AFB70" s="29"/>
      <c r="AFC70" s="29"/>
      <c r="AFD70" s="29"/>
      <c r="AFE70" s="29"/>
      <c r="AFF70" s="29"/>
      <c r="AFG70" s="29"/>
      <c r="AFH70" s="29"/>
      <c r="AFI70" s="29"/>
      <c r="AFJ70" s="29"/>
      <c r="AFK70" s="29"/>
      <c r="AFL70" s="29"/>
      <c r="AFM70" s="29"/>
      <c r="AFN70" s="29"/>
      <c r="AFO70" s="29"/>
      <c r="AFP70" s="29"/>
      <c r="AFQ70" s="29"/>
      <c r="AFR70" s="29"/>
      <c r="AFS70" s="29"/>
      <c r="AFT70" s="29"/>
      <c r="AFU70" s="29"/>
      <c r="AFV70" s="29"/>
      <c r="AFW70" s="29"/>
      <c r="AFX70" s="29"/>
      <c r="AFY70" s="29"/>
      <c r="AFZ70" s="29"/>
      <c r="AGA70" s="29"/>
      <c r="AGB70" s="29"/>
      <c r="AGC70" s="29"/>
      <c r="AGD70" s="29"/>
      <c r="AGE70" s="29"/>
      <c r="AGF70" s="29"/>
      <c r="AGG70" s="29"/>
      <c r="AGH70" s="29"/>
      <c r="AGI70" s="29"/>
      <c r="AGJ70" s="29"/>
      <c r="AGK70" s="29"/>
      <c r="AGL70" s="29"/>
      <c r="AGM70" s="29"/>
      <c r="AGN70" s="29"/>
      <c r="AGO70" s="29"/>
      <c r="AGP70" s="29"/>
      <c r="AGQ70" s="29"/>
      <c r="AGR70" s="29"/>
      <c r="AGS70" s="29"/>
      <c r="AGT70" s="29"/>
      <c r="AGU70" s="29"/>
      <c r="AGV70" s="29"/>
      <c r="AGW70" s="29"/>
      <c r="AGX70" s="29"/>
      <c r="AGY70" s="29"/>
      <c r="AGZ70" s="29"/>
      <c r="AHA70" s="29"/>
      <c r="AHB70" s="29"/>
      <c r="AHC70" s="29"/>
      <c r="AHD70" s="29"/>
      <c r="AHE70" s="29"/>
      <c r="AHF70" s="29"/>
      <c r="AHG70" s="29"/>
      <c r="AHH70" s="29"/>
      <c r="AHI70" s="29"/>
      <c r="AHJ70" s="29"/>
      <c r="AHK70" s="29"/>
      <c r="AHL70" s="29"/>
      <c r="AHM70" s="29"/>
      <c r="AHN70" s="29"/>
      <c r="AHO70" s="29"/>
      <c r="AHP70" s="29"/>
      <c r="AHQ70" s="29"/>
      <c r="AHR70" s="29"/>
      <c r="AHS70" s="29"/>
      <c r="AHT70" s="29"/>
      <c r="AHU70" s="29"/>
      <c r="AHV70" s="29"/>
      <c r="AHW70" s="29"/>
      <c r="AHX70" s="29"/>
      <c r="AHY70" s="29"/>
      <c r="AHZ70" s="29"/>
      <c r="AIA70" s="29"/>
      <c r="AIB70" s="29"/>
      <c r="AIC70" s="29"/>
      <c r="AID70" s="29"/>
      <c r="AIE70" s="29"/>
      <c r="AIF70" s="29"/>
      <c r="AIG70" s="29"/>
      <c r="AIH70" s="29"/>
      <c r="AII70" s="29"/>
      <c r="AIJ70" s="29"/>
      <c r="AIK70" s="29"/>
      <c r="AIL70" s="29"/>
      <c r="AIM70" s="29"/>
      <c r="AIN70" s="29"/>
      <c r="AIO70" s="29"/>
      <c r="AIP70" s="29"/>
      <c r="AIQ70" s="29"/>
      <c r="AIR70" s="29"/>
      <c r="AIS70" s="29"/>
      <c r="AIT70" s="29"/>
      <c r="AIU70" s="29"/>
      <c r="AIV70" s="29"/>
      <c r="AIW70" s="29"/>
      <c r="AIX70" s="29"/>
      <c r="AIY70" s="29"/>
      <c r="AIZ70" s="29"/>
      <c r="AJA70" s="29"/>
      <c r="AJB70" s="29"/>
      <c r="AJC70" s="29"/>
      <c r="AJD70" s="29"/>
      <c r="AJE70" s="29"/>
      <c r="AJF70" s="29"/>
      <c r="AJG70" s="29"/>
      <c r="AJH70" s="29"/>
      <c r="AJI70" s="29"/>
      <c r="AJJ70" s="29"/>
      <c r="AJK70" s="29"/>
      <c r="AJL70" s="29"/>
      <c r="AJM70" s="29"/>
      <c r="AJN70" s="29"/>
      <c r="AJO70" s="29"/>
      <c r="AJP70" s="29"/>
      <c r="AJQ70" s="29"/>
      <c r="AJR70" s="29"/>
      <c r="AJS70" s="29"/>
      <c r="AJT70" s="29"/>
      <c r="AJU70" s="29"/>
      <c r="AJV70" s="29"/>
      <c r="AJW70" s="29"/>
      <c r="AJX70" s="29"/>
      <c r="AJY70" s="29"/>
      <c r="AJZ70" s="29"/>
      <c r="AKA70" s="29"/>
      <c r="AKB70" s="29"/>
      <c r="AKC70" s="29"/>
      <c r="AKD70" s="29"/>
      <c r="AKE70" s="29"/>
      <c r="AKF70" s="29"/>
      <c r="AKG70" s="29"/>
      <c r="AKH70" s="29"/>
      <c r="AKI70" s="29"/>
      <c r="AKJ70" s="29"/>
      <c r="AKK70" s="29"/>
      <c r="AKL70" s="29"/>
      <c r="AKM70" s="29"/>
      <c r="AKN70" s="29"/>
      <c r="AKO70" s="29"/>
      <c r="AKP70" s="29"/>
      <c r="AKQ70" s="29"/>
      <c r="AKR70" s="29"/>
      <c r="AKS70" s="29"/>
      <c r="AKT70" s="29"/>
      <c r="AKU70" s="29"/>
      <c r="AKV70" s="29"/>
      <c r="AKW70" s="29"/>
      <c r="AKX70" s="29"/>
      <c r="AKY70" s="29"/>
      <c r="AKZ70" s="29"/>
      <c r="ALA70" s="29"/>
      <c r="ALB70" s="29"/>
      <c r="ALC70" s="29"/>
      <c r="ALD70" s="29"/>
      <c r="ALE70" s="29"/>
      <c r="ALF70" s="29"/>
      <c r="ALG70" s="29"/>
      <c r="ALH70" s="29"/>
      <c r="ALI70" s="29"/>
      <c r="ALJ70" s="29"/>
      <c r="ALK70" s="29"/>
      <c r="ALL70" s="29"/>
      <c r="ALM70" s="29"/>
      <c r="ALN70" s="29"/>
      <c r="ALO70" s="29"/>
      <c r="ALP70" s="29"/>
      <c r="ALQ70" s="29"/>
      <c r="ALR70" s="29"/>
      <c r="ALS70" s="29"/>
      <c r="ALT70" s="29"/>
      <c r="ALU70" s="29"/>
      <c r="ALV70" s="29"/>
      <c r="ALW70" s="29"/>
      <c r="ALX70" s="29"/>
      <c r="ALY70" s="29"/>
      <c r="ALZ70" s="29"/>
      <c r="AMA70" s="29"/>
      <c r="AMB70" s="29"/>
      <c r="AMC70" s="29"/>
      <c r="AMD70" s="29"/>
      <c r="AME70" s="29"/>
      <c r="AMF70" s="29"/>
      <c r="AMG70" s="29"/>
      <c r="AMH70" s="29"/>
      <c r="AMI70" s="29"/>
      <c r="AMJ70" s="29"/>
      <c r="AMK70" s="29"/>
      <c r="AML70" s="29"/>
      <c r="AMM70" s="29"/>
      <c r="AMN70" s="29"/>
      <c r="AMO70" s="29"/>
      <c r="AMP70" s="29"/>
      <c r="AMQ70" s="29"/>
      <c r="AMR70" s="29"/>
      <c r="AMS70" s="29"/>
      <c r="AMT70" s="29"/>
      <c r="AMU70" s="29"/>
      <c r="AMV70" s="29"/>
      <c r="AMW70" s="29"/>
      <c r="AMX70" s="29"/>
      <c r="AMY70" s="29"/>
      <c r="AMZ70" s="29"/>
      <c r="ANA70" s="29"/>
      <c r="ANB70" s="29"/>
      <c r="ANC70" s="29"/>
      <c r="AND70" s="29"/>
      <c r="ANE70" s="29"/>
      <c r="ANF70" s="29"/>
      <c r="ANG70" s="29"/>
      <c r="ANH70" s="29"/>
      <c r="ANI70" s="29"/>
      <c r="ANJ70" s="29"/>
      <c r="ANK70" s="29"/>
      <c r="ANL70" s="29"/>
      <c r="ANM70" s="29"/>
      <c r="ANN70" s="29"/>
      <c r="ANO70" s="29"/>
      <c r="ANP70" s="29"/>
      <c r="ANQ70" s="29"/>
      <c r="ANR70" s="29"/>
      <c r="ANS70" s="29"/>
      <c r="ANT70" s="29"/>
      <c r="ANU70" s="29"/>
      <c r="ANV70" s="29"/>
      <c r="ANW70" s="29"/>
      <c r="ANX70" s="29"/>
      <c r="ANY70" s="29"/>
      <c r="ANZ70" s="29"/>
      <c r="AOA70" s="29"/>
      <c r="AOB70" s="29"/>
      <c r="AOC70" s="29"/>
      <c r="AOD70" s="29"/>
      <c r="AOE70" s="29"/>
      <c r="AOF70" s="29"/>
      <c r="AOG70" s="29"/>
      <c r="AOH70" s="29"/>
      <c r="AOI70" s="29"/>
      <c r="AOJ70" s="29"/>
      <c r="AOK70" s="29"/>
      <c r="AOL70" s="29"/>
      <c r="AOM70" s="29"/>
      <c r="AON70" s="29"/>
      <c r="AOO70" s="29"/>
      <c r="AOP70" s="29"/>
      <c r="AOQ70" s="29"/>
      <c r="AOR70" s="29"/>
      <c r="AOS70" s="29"/>
      <c r="AOT70" s="29"/>
      <c r="AOU70" s="29"/>
      <c r="AOV70" s="29"/>
      <c r="AOW70" s="29"/>
      <c r="AOX70" s="29"/>
      <c r="AOY70" s="29"/>
      <c r="AOZ70" s="29"/>
      <c r="APA70" s="29"/>
      <c r="APB70" s="29"/>
      <c r="APC70" s="29"/>
      <c r="APD70" s="29"/>
      <c r="APE70" s="29"/>
      <c r="APF70" s="29"/>
      <c r="APG70" s="29"/>
      <c r="APH70" s="29"/>
      <c r="API70" s="29"/>
      <c r="APJ70" s="29"/>
      <c r="APK70" s="29"/>
      <c r="APL70" s="29"/>
      <c r="APM70" s="29"/>
      <c r="APN70" s="29"/>
      <c r="APO70" s="29"/>
      <c r="APP70" s="29"/>
      <c r="APQ70" s="29"/>
      <c r="APR70" s="29"/>
      <c r="APS70" s="29"/>
      <c r="APT70" s="29"/>
      <c r="APU70" s="29"/>
      <c r="APV70" s="29"/>
      <c r="APW70" s="29"/>
      <c r="APX70" s="29"/>
      <c r="APY70" s="29"/>
      <c r="APZ70" s="29"/>
      <c r="AQA70" s="29"/>
      <c r="AQB70" s="29"/>
      <c r="AQC70" s="29"/>
      <c r="AQD70" s="29"/>
      <c r="AQE70" s="29"/>
      <c r="AQF70" s="29"/>
      <c r="AQG70" s="29"/>
      <c r="AQH70" s="29"/>
      <c r="AQI70" s="29"/>
      <c r="AQJ70" s="29"/>
      <c r="AQK70" s="29"/>
      <c r="AQL70" s="29"/>
      <c r="AQM70" s="29"/>
      <c r="AQN70" s="29"/>
      <c r="AQO70" s="29"/>
      <c r="AQP70" s="29"/>
      <c r="AQQ70" s="29"/>
      <c r="AQR70" s="29"/>
      <c r="AQS70" s="29"/>
      <c r="AQT70" s="29"/>
      <c r="AQU70" s="29"/>
      <c r="AQV70" s="29"/>
      <c r="AQW70" s="29"/>
      <c r="AQX70" s="29"/>
      <c r="AQY70" s="29"/>
      <c r="AQZ70" s="29"/>
      <c r="ARA70" s="29"/>
      <c r="ARB70" s="29"/>
      <c r="ARC70" s="29"/>
      <c r="ARD70" s="29"/>
      <c r="ARE70" s="29"/>
      <c r="ARF70" s="29"/>
      <c r="ARG70" s="29"/>
      <c r="ARH70" s="29"/>
      <c r="ARI70" s="29"/>
      <c r="ARJ70" s="29"/>
      <c r="ARK70" s="29"/>
      <c r="ARL70" s="29"/>
      <c r="ARM70" s="29"/>
      <c r="ARN70" s="29"/>
      <c r="ARO70" s="29"/>
      <c r="ARP70" s="29"/>
      <c r="ARQ70" s="29"/>
      <c r="ARR70" s="29"/>
      <c r="ARS70" s="29"/>
      <c r="ART70" s="29"/>
      <c r="ARU70" s="29"/>
      <c r="ARV70" s="29"/>
      <c r="ARW70" s="29"/>
      <c r="ARX70" s="29"/>
      <c r="ARY70" s="29"/>
      <c r="ARZ70" s="29"/>
      <c r="ASA70" s="29"/>
      <c r="ASB70" s="29"/>
      <c r="ASC70" s="29"/>
      <c r="ASD70" s="29"/>
      <c r="ASE70" s="29"/>
      <c r="ASF70" s="29"/>
      <c r="ASG70" s="29"/>
      <c r="ASH70" s="29"/>
      <c r="ASI70" s="29"/>
      <c r="ASJ70" s="29"/>
      <c r="ASK70" s="29"/>
      <c r="ASL70" s="29"/>
      <c r="ASM70" s="29"/>
      <c r="ASN70" s="29"/>
      <c r="ASO70" s="29"/>
      <c r="ASP70" s="29"/>
      <c r="ASQ70" s="29"/>
      <c r="ASR70" s="29"/>
      <c r="ASS70" s="29"/>
      <c r="AST70" s="29"/>
      <c r="ASU70" s="29"/>
      <c r="ASV70" s="29"/>
      <c r="ASW70" s="29"/>
      <c r="ASX70" s="29"/>
      <c r="ASY70" s="29"/>
      <c r="ASZ70" s="29"/>
      <c r="ATA70" s="29"/>
      <c r="ATB70" s="29"/>
      <c r="ATC70" s="29"/>
      <c r="ATD70" s="29"/>
      <c r="ATE70" s="29"/>
      <c r="ATF70" s="29"/>
      <c r="ATG70" s="29"/>
      <c r="ATH70" s="29"/>
      <c r="ATI70" s="29"/>
      <c r="ATJ70" s="29"/>
      <c r="ATK70" s="29"/>
      <c r="ATL70" s="29"/>
      <c r="ATM70" s="29"/>
      <c r="ATN70" s="29"/>
      <c r="ATO70" s="29"/>
      <c r="ATP70" s="29"/>
      <c r="ATQ70" s="29"/>
      <c r="ATR70" s="29"/>
      <c r="ATS70" s="29"/>
      <c r="ATT70" s="29"/>
      <c r="ATU70" s="29"/>
      <c r="ATV70" s="29"/>
      <c r="ATW70" s="29"/>
      <c r="ATX70" s="29"/>
      <c r="ATY70" s="29"/>
      <c r="ATZ70" s="29"/>
      <c r="AUA70" s="29"/>
      <c r="AUB70" s="29"/>
      <c r="AUC70" s="29"/>
      <c r="AUD70" s="29"/>
      <c r="AUE70" s="29"/>
      <c r="AUF70" s="29"/>
      <c r="AUG70" s="29"/>
      <c r="AUH70" s="29"/>
      <c r="AUI70" s="29"/>
      <c r="AUJ70" s="29"/>
      <c r="AUK70" s="29"/>
      <c r="AUL70" s="29"/>
      <c r="AUM70" s="29"/>
      <c r="AUN70" s="29"/>
      <c r="AUO70" s="29"/>
      <c r="AUP70" s="29"/>
      <c r="AUQ70" s="29"/>
      <c r="AUR70" s="29"/>
      <c r="AUS70" s="29"/>
      <c r="AUT70" s="29"/>
      <c r="AUU70" s="29"/>
      <c r="AUV70" s="29"/>
      <c r="AUW70" s="29"/>
      <c r="AUX70" s="29"/>
      <c r="AUY70" s="29"/>
      <c r="AUZ70" s="29"/>
      <c r="AVA70" s="29"/>
      <c r="AVB70" s="29"/>
      <c r="AVC70" s="29"/>
      <c r="AVD70" s="29"/>
      <c r="AVE70" s="29"/>
      <c r="AVF70" s="29"/>
      <c r="AVG70" s="29"/>
      <c r="AVH70" s="29"/>
      <c r="AVI70" s="29"/>
      <c r="AVJ70" s="29"/>
      <c r="AVK70" s="29"/>
      <c r="AVL70" s="29"/>
      <c r="AVM70" s="29"/>
      <c r="AVN70" s="29"/>
      <c r="AVO70" s="29"/>
      <c r="AVP70" s="29"/>
      <c r="AVQ70" s="29"/>
      <c r="AVR70" s="29"/>
      <c r="AVS70" s="29"/>
      <c r="AVT70" s="29"/>
      <c r="AVU70" s="29"/>
      <c r="AVV70" s="29"/>
      <c r="AVW70" s="29"/>
      <c r="AVX70" s="29"/>
      <c r="AVY70" s="29"/>
      <c r="AVZ70" s="29"/>
      <c r="AWA70" s="29"/>
      <c r="AWB70" s="29"/>
      <c r="AWC70" s="29"/>
      <c r="AWD70" s="29"/>
      <c r="AWE70" s="29"/>
      <c r="AWF70" s="29"/>
      <c r="AWG70" s="29"/>
      <c r="AWH70" s="29"/>
      <c r="AWI70" s="29"/>
      <c r="AWJ70" s="29"/>
      <c r="AWK70" s="29"/>
      <c r="AWL70" s="29"/>
      <c r="AWM70" s="29"/>
      <c r="AWN70" s="29"/>
      <c r="AWO70" s="29"/>
      <c r="AWP70" s="29"/>
      <c r="AWQ70" s="29"/>
      <c r="AWR70" s="29"/>
      <c r="AWS70" s="29"/>
      <c r="AWT70" s="29"/>
      <c r="AWU70" s="29"/>
      <c r="AWV70" s="29"/>
      <c r="AWW70" s="29"/>
      <c r="AWX70" s="29"/>
      <c r="AWY70" s="29"/>
      <c r="AWZ70" s="29"/>
      <c r="AXA70" s="29"/>
      <c r="AXB70" s="29"/>
      <c r="AXC70" s="29"/>
      <c r="AXD70" s="29"/>
      <c r="AXE70" s="29"/>
      <c r="AXF70" s="29"/>
      <c r="AXG70" s="29"/>
      <c r="AXH70" s="29"/>
      <c r="AXI70" s="29"/>
      <c r="AXJ70" s="29"/>
      <c r="AXK70" s="29"/>
      <c r="AXL70" s="29"/>
      <c r="AXM70" s="29"/>
      <c r="AXN70" s="29"/>
      <c r="AXO70" s="29"/>
      <c r="AXP70" s="29"/>
      <c r="AXQ70" s="29"/>
      <c r="AXR70" s="29"/>
      <c r="AXS70" s="29"/>
      <c r="AXT70" s="29"/>
      <c r="AXU70" s="29"/>
      <c r="AXV70" s="29"/>
      <c r="AXW70" s="29"/>
      <c r="AXX70" s="29"/>
      <c r="AXY70" s="29"/>
      <c r="AXZ70" s="29"/>
      <c r="AYA70" s="29"/>
      <c r="AYB70" s="29"/>
      <c r="AYC70" s="29"/>
      <c r="AYD70" s="29"/>
      <c r="AYE70" s="29"/>
      <c r="AYF70" s="29"/>
      <c r="AYG70" s="29"/>
      <c r="AYH70" s="29"/>
      <c r="AYI70" s="29"/>
      <c r="AYJ70" s="29"/>
      <c r="AYK70" s="29"/>
      <c r="AYL70" s="29"/>
      <c r="AYM70" s="29"/>
      <c r="AYN70" s="29"/>
      <c r="AYO70" s="29"/>
      <c r="AYP70" s="29"/>
      <c r="AYQ70" s="29"/>
      <c r="AYR70" s="29"/>
      <c r="AYS70" s="29"/>
      <c r="AYT70" s="29"/>
      <c r="AYU70" s="29"/>
      <c r="AYV70" s="29"/>
      <c r="AYW70" s="29"/>
      <c r="AYX70" s="29"/>
      <c r="AYY70" s="29"/>
      <c r="AYZ70" s="29"/>
      <c r="AZA70" s="29"/>
      <c r="AZB70" s="29"/>
      <c r="AZC70" s="29"/>
      <c r="AZD70" s="29"/>
      <c r="AZE70" s="29"/>
      <c r="AZF70" s="29"/>
      <c r="AZG70" s="29"/>
      <c r="AZH70" s="29"/>
      <c r="AZI70" s="29"/>
      <c r="AZJ70" s="29"/>
      <c r="AZK70" s="29"/>
      <c r="AZL70" s="29"/>
      <c r="AZM70" s="29"/>
      <c r="AZN70" s="29"/>
      <c r="AZO70" s="29"/>
      <c r="AZP70" s="29"/>
      <c r="AZQ70" s="29"/>
      <c r="AZR70" s="29"/>
      <c r="AZS70" s="29"/>
      <c r="AZT70" s="29"/>
      <c r="AZU70" s="29"/>
      <c r="AZV70" s="29"/>
      <c r="AZW70" s="29"/>
      <c r="AZX70" s="29"/>
      <c r="AZY70" s="29"/>
      <c r="AZZ70" s="29"/>
      <c r="BAA70" s="29"/>
      <c r="BAB70" s="29"/>
      <c r="BAC70" s="29"/>
      <c r="BAD70" s="29"/>
      <c r="BAE70" s="29"/>
      <c r="BAF70" s="29"/>
      <c r="BAG70" s="29"/>
      <c r="BAH70" s="29"/>
      <c r="BAI70" s="29"/>
      <c r="BAJ70" s="29"/>
      <c r="BAK70" s="29"/>
      <c r="BAL70" s="29"/>
      <c r="BAM70" s="29"/>
      <c r="BAN70" s="29"/>
      <c r="BAO70" s="29"/>
      <c r="BAP70" s="29"/>
      <c r="BAQ70" s="29"/>
      <c r="BAR70" s="29"/>
      <c r="BAS70" s="29"/>
      <c r="BAT70" s="29"/>
      <c r="BAU70" s="29"/>
      <c r="BAV70" s="29"/>
      <c r="BAW70" s="29"/>
      <c r="BAX70" s="29"/>
      <c r="BAY70" s="29"/>
      <c r="BAZ70" s="29"/>
      <c r="BBA70" s="29"/>
      <c r="BBB70" s="29"/>
      <c r="BBC70" s="29"/>
      <c r="BBD70" s="29"/>
      <c r="BBE70" s="29"/>
      <c r="BBF70" s="29"/>
      <c r="BBG70" s="29"/>
      <c r="BBH70" s="29"/>
      <c r="BBI70" s="29"/>
      <c r="BBJ70" s="29"/>
      <c r="BBK70" s="29"/>
      <c r="BBL70" s="29"/>
      <c r="BBM70" s="29"/>
      <c r="BBN70" s="29"/>
      <c r="BBO70" s="29"/>
      <c r="BBP70" s="29"/>
      <c r="BBQ70" s="29"/>
      <c r="BBR70" s="29"/>
      <c r="BBS70" s="29"/>
      <c r="BBT70" s="29"/>
      <c r="BBU70" s="29"/>
      <c r="BBV70" s="29"/>
      <c r="BBW70" s="29"/>
      <c r="BBX70" s="29"/>
      <c r="BBY70" s="29"/>
      <c r="BBZ70" s="29"/>
      <c r="BCA70" s="29"/>
      <c r="BCB70" s="29"/>
      <c r="BCC70" s="29"/>
      <c r="BCD70" s="29"/>
      <c r="BCE70" s="29"/>
      <c r="BCF70" s="29"/>
      <c r="BCG70" s="29"/>
      <c r="BCH70" s="29"/>
      <c r="BCI70" s="29"/>
      <c r="BCJ70" s="29"/>
      <c r="BCK70" s="29"/>
      <c r="BCL70" s="29"/>
      <c r="BCM70" s="29"/>
      <c r="BCN70" s="29"/>
      <c r="BCO70" s="29"/>
      <c r="BCP70" s="29"/>
      <c r="BCQ70" s="29"/>
      <c r="BCR70" s="29"/>
      <c r="BCS70" s="29"/>
      <c r="BCT70" s="29"/>
      <c r="BCU70" s="29"/>
      <c r="BCV70" s="29"/>
      <c r="BCW70" s="29"/>
      <c r="BCX70" s="29"/>
      <c r="BCY70" s="29"/>
      <c r="BCZ70" s="29"/>
      <c r="BDA70" s="29"/>
      <c r="BDB70" s="29"/>
      <c r="BDC70" s="29"/>
      <c r="BDD70" s="29"/>
      <c r="BDE70" s="29"/>
      <c r="BDF70" s="29"/>
      <c r="BDG70" s="29"/>
      <c r="BDH70" s="29"/>
      <c r="BDI70" s="29"/>
      <c r="BDJ70" s="29"/>
      <c r="BDK70" s="29"/>
      <c r="BDL70" s="29"/>
      <c r="BDM70" s="29"/>
      <c r="BDN70" s="29"/>
      <c r="BDO70" s="29"/>
      <c r="BDP70" s="29"/>
      <c r="BDQ70" s="29"/>
      <c r="BDR70" s="29"/>
      <c r="BDS70" s="29"/>
      <c r="BDT70" s="29"/>
      <c r="BDU70" s="29"/>
      <c r="BDV70" s="29"/>
      <c r="BDW70" s="29"/>
      <c r="BDX70" s="29"/>
      <c r="BDY70" s="29"/>
      <c r="BDZ70" s="29"/>
      <c r="BEA70" s="29"/>
      <c r="BEB70" s="29"/>
      <c r="BEC70" s="29"/>
      <c r="BED70" s="29"/>
      <c r="BEE70" s="29"/>
      <c r="BEF70" s="29"/>
      <c r="BEG70" s="29"/>
      <c r="BEH70" s="29"/>
      <c r="BEI70" s="29"/>
      <c r="BEJ70" s="29"/>
      <c r="BEK70" s="29"/>
      <c r="BEL70" s="29"/>
      <c r="BEM70" s="29"/>
      <c r="BEN70" s="29"/>
      <c r="BEO70" s="29"/>
      <c r="BEP70" s="29"/>
      <c r="BEQ70" s="29"/>
      <c r="BER70" s="29"/>
      <c r="BES70" s="29"/>
      <c r="BET70" s="29"/>
      <c r="BEU70" s="29"/>
      <c r="BEV70" s="29"/>
      <c r="BEW70" s="29"/>
      <c r="BEX70" s="29"/>
      <c r="BEY70" s="29"/>
      <c r="BEZ70" s="29"/>
      <c r="BFA70" s="29"/>
      <c r="BFB70" s="29"/>
      <c r="BFC70" s="29"/>
      <c r="BFD70" s="29"/>
      <c r="BFE70" s="29"/>
      <c r="BFF70" s="29"/>
      <c r="BFG70" s="29"/>
      <c r="BFH70" s="29"/>
      <c r="BFI70" s="29"/>
      <c r="BFJ70" s="29"/>
      <c r="BFK70" s="29"/>
      <c r="BFL70" s="29"/>
      <c r="BFM70" s="29"/>
      <c r="BFN70" s="29"/>
      <c r="BFO70" s="29"/>
      <c r="BFP70" s="29"/>
      <c r="BFQ70" s="29"/>
      <c r="BFR70" s="29"/>
      <c r="BFS70" s="29"/>
      <c r="BFT70" s="29"/>
      <c r="BFU70" s="29"/>
      <c r="BFV70" s="29"/>
      <c r="BFW70" s="29"/>
      <c r="BFX70" s="29"/>
      <c r="BFY70" s="29"/>
      <c r="BFZ70" s="29"/>
      <c r="BGA70" s="29"/>
      <c r="BGB70" s="29"/>
      <c r="BGC70" s="29"/>
      <c r="BGD70" s="29"/>
      <c r="BGE70" s="29"/>
      <c r="BGF70" s="29"/>
      <c r="BGG70" s="29"/>
      <c r="BGH70" s="29"/>
      <c r="BGI70" s="29"/>
      <c r="BGJ70" s="29"/>
      <c r="BGK70" s="29"/>
      <c r="BGL70" s="29"/>
      <c r="BGM70" s="29"/>
      <c r="BGN70" s="29"/>
      <c r="BGO70" s="29"/>
      <c r="BGP70" s="29"/>
      <c r="BGQ70" s="29"/>
      <c r="BGR70" s="29"/>
      <c r="BGS70" s="29"/>
      <c r="BGT70" s="29"/>
      <c r="BGU70" s="29"/>
      <c r="BGV70" s="29"/>
      <c r="BGW70" s="29"/>
      <c r="BGX70" s="29"/>
      <c r="BGY70" s="29"/>
      <c r="BGZ70" s="29"/>
      <c r="BHA70" s="29"/>
      <c r="BHB70" s="29"/>
      <c r="BHC70" s="29"/>
      <c r="BHD70" s="29"/>
      <c r="BHE70" s="29"/>
      <c r="BHF70" s="29"/>
      <c r="BHG70" s="29"/>
      <c r="BHH70" s="29"/>
      <c r="BHI70" s="29"/>
      <c r="BHJ70" s="29"/>
      <c r="BHK70" s="29"/>
      <c r="BHL70" s="29"/>
      <c r="BHM70" s="29"/>
      <c r="BHN70" s="29"/>
      <c r="BHO70" s="29"/>
      <c r="BHP70" s="29"/>
      <c r="BHQ70" s="29"/>
      <c r="BHR70" s="29"/>
      <c r="BHS70" s="29"/>
      <c r="BHT70" s="29"/>
      <c r="BHU70" s="29"/>
      <c r="BHV70" s="29"/>
      <c r="BHW70" s="29"/>
      <c r="BHX70" s="29"/>
      <c r="BHY70" s="29"/>
      <c r="BHZ70" s="29"/>
      <c r="BIA70" s="29"/>
      <c r="BIB70" s="29"/>
      <c r="BIC70" s="29"/>
      <c r="BID70" s="29"/>
      <c r="BIE70" s="29"/>
      <c r="BIF70" s="29"/>
      <c r="BIG70" s="29"/>
      <c r="BIH70" s="29"/>
      <c r="BII70" s="29"/>
      <c r="BIJ70" s="29"/>
      <c r="BIK70" s="29"/>
      <c r="BIL70" s="29"/>
      <c r="BIM70" s="29"/>
      <c r="BIN70" s="29"/>
      <c r="BIO70" s="29"/>
      <c r="BIP70" s="29"/>
      <c r="BIQ70" s="29"/>
      <c r="BIR70" s="29"/>
      <c r="BIS70" s="29"/>
      <c r="BIT70" s="29"/>
      <c r="BIU70" s="29"/>
      <c r="BIV70" s="29"/>
      <c r="BIW70" s="29"/>
      <c r="BIX70" s="29"/>
      <c r="BIY70" s="29"/>
      <c r="BIZ70" s="29"/>
      <c r="BJA70" s="29"/>
      <c r="BJB70" s="29"/>
      <c r="BJC70" s="29"/>
      <c r="BJD70" s="29"/>
      <c r="BJE70" s="29"/>
      <c r="BJF70" s="29"/>
      <c r="BJG70" s="29"/>
      <c r="BJH70" s="29"/>
      <c r="BJI70" s="29"/>
      <c r="BJJ70" s="29"/>
      <c r="BJK70" s="29"/>
      <c r="BJL70" s="29"/>
      <c r="BJM70" s="29"/>
      <c r="BJN70" s="29"/>
      <c r="BJO70" s="29"/>
      <c r="BJP70" s="29"/>
      <c r="BJQ70" s="29"/>
      <c r="BJR70" s="29"/>
      <c r="BJS70" s="29"/>
      <c r="BJT70" s="29"/>
      <c r="BJU70" s="29"/>
      <c r="BJV70" s="29"/>
      <c r="BJW70" s="29"/>
      <c r="BJX70" s="29"/>
      <c r="BJY70" s="29"/>
      <c r="BJZ70" s="29"/>
      <c r="BKA70" s="29"/>
      <c r="BKB70" s="29"/>
      <c r="BKC70" s="29"/>
      <c r="BKD70" s="29"/>
      <c r="BKE70" s="29"/>
      <c r="BKF70" s="29"/>
      <c r="BKG70" s="29"/>
      <c r="BKH70" s="29"/>
      <c r="BKI70" s="29"/>
      <c r="BKJ70" s="29"/>
      <c r="BKK70" s="29"/>
      <c r="BKL70" s="29"/>
      <c r="BKM70" s="29"/>
      <c r="BKN70" s="29"/>
      <c r="BKO70" s="29"/>
      <c r="BKP70" s="29"/>
      <c r="BKQ70" s="29"/>
      <c r="BKR70" s="29"/>
      <c r="BKS70" s="29"/>
      <c r="BKT70" s="29"/>
      <c r="BKU70" s="29"/>
      <c r="BKV70" s="29"/>
      <c r="BKW70" s="29"/>
      <c r="BKX70" s="29"/>
      <c r="BKY70" s="29"/>
      <c r="BKZ70" s="29"/>
      <c r="BLA70" s="29"/>
      <c r="BLB70" s="29"/>
      <c r="BLC70" s="29"/>
      <c r="BLD70" s="29"/>
      <c r="BLE70" s="29"/>
      <c r="BLF70" s="29"/>
      <c r="BLG70" s="29"/>
      <c r="BLH70" s="29"/>
      <c r="BLI70" s="29"/>
      <c r="BLJ70" s="29"/>
      <c r="BLK70" s="29"/>
      <c r="BLL70" s="29"/>
      <c r="BLM70" s="29"/>
      <c r="BLN70" s="29"/>
      <c r="BLO70" s="29"/>
      <c r="BLP70" s="29"/>
      <c r="BLQ70" s="29"/>
      <c r="BLR70" s="29"/>
      <c r="BLS70" s="29"/>
      <c r="BLT70" s="29"/>
      <c r="BLU70" s="29"/>
      <c r="BLV70" s="29"/>
      <c r="BLW70" s="29"/>
      <c r="BLX70" s="29"/>
      <c r="BLY70" s="29"/>
      <c r="BLZ70" s="29"/>
      <c r="BMA70" s="29"/>
      <c r="BMB70" s="29"/>
      <c r="BMC70" s="29"/>
      <c r="BMD70" s="29"/>
      <c r="BME70" s="29"/>
      <c r="BMF70" s="29"/>
      <c r="BMG70" s="29"/>
      <c r="BMH70" s="29"/>
      <c r="BMI70" s="29"/>
      <c r="BMJ70" s="29"/>
      <c r="BMK70" s="29"/>
      <c r="BML70" s="29"/>
      <c r="BMM70" s="29"/>
      <c r="BMN70" s="29"/>
      <c r="BMO70" s="29"/>
      <c r="BMP70" s="29"/>
      <c r="BMQ70" s="29"/>
      <c r="BMR70" s="29"/>
      <c r="BMS70" s="29"/>
      <c r="BMT70" s="29"/>
      <c r="BMU70" s="29"/>
      <c r="BMV70" s="29"/>
      <c r="BMW70" s="29"/>
      <c r="BMX70" s="29"/>
      <c r="BMY70" s="29"/>
      <c r="BMZ70" s="29"/>
      <c r="BNA70" s="29"/>
      <c r="BNB70" s="29"/>
      <c r="BNC70" s="29"/>
      <c r="BND70" s="29"/>
      <c r="BNE70" s="29"/>
      <c r="BNF70" s="29"/>
      <c r="BNG70" s="29"/>
      <c r="BNH70" s="29"/>
      <c r="BNI70" s="29"/>
      <c r="BNJ70" s="29"/>
      <c r="BNK70" s="29"/>
      <c r="BNL70" s="29"/>
      <c r="BNM70" s="29"/>
      <c r="BNN70" s="29"/>
      <c r="BNO70" s="29"/>
      <c r="BNP70" s="29"/>
      <c r="BNQ70" s="29"/>
      <c r="BNR70" s="29"/>
      <c r="BNS70" s="29"/>
      <c r="BNT70" s="29"/>
      <c r="BNU70" s="29"/>
      <c r="BNV70" s="29"/>
      <c r="BNW70" s="29"/>
      <c r="BNX70" s="29"/>
      <c r="BNY70" s="29"/>
      <c r="BNZ70" s="29"/>
      <c r="BOA70" s="29"/>
      <c r="BOB70" s="29"/>
      <c r="BOC70" s="29"/>
      <c r="BOD70" s="29"/>
      <c r="BOE70" s="29"/>
      <c r="BOF70" s="29"/>
      <c r="BOG70" s="29"/>
      <c r="BOH70" s="29"/>
      <c r="BOI70" s="29"/>
      <c r="BOJ70" s="29"/>
      <c r="BOK70" s="29"/>
      <c r="BOL70" s="29"/>
      <c r="BOM70" s="29"/>
      <c r="BON70" s="29"/>
      <c r="BOO70" s="29"/>
      <c r="BOP70" s="29"/>
      <c r="BOQ70" s="29"/>
      <c r="BOR70" s="29"/>
      <c r="BOS70" s="29"/>
      <c r="BOT70" s="29"/>
      <c r="BOU70" s="29"/>
      <c r="BOV70" s="29"/>
      <c r="BOW70" s="29"/>
      <c r="BOX70" s="29"/>
      <c r="BOY70" s="29"/>
      <c r="BOZ70" s="29"/>
      <c r="BPA70" s="29"/>
      <c r="BPB70" s="29"/>
      <c r="BPC70" s="29"/>
      <c r="BPD70" s="29"/>
      <c r="BPE70" s="29"/>
      <c r="BPF70" s="29"/>
      <c r="BPG70" s="29"/>
      <c r="BPH70" s="29"/>
      <c r="BPI70" s="29"/>
      <c r="BPJ70" s="29"/>
      <c r="BPK70" s="29"/>
      <c r="BPL70" s="29"/>
      <c r="BPM70" s="29"/>
      <c r="BPN70" s="29"/>
      <c r="BPO70" s="29"/>
      <c r="BPP70" s="29"/>
      <c r="BPQ70" s="29"/>
      <c r="BPR70" s="29"/>
      <c r="BPS70" s="29"/>
      <c r="BPT70" s="29"/>
      <c r="BPU70" s="29"/>
      <c r="BPV70" s="29"/>
      <c r="BPW70" s="29"/>
      <c r="BPX70" s="29"/>
      <c r="BPY70" s="29"/>
      <c r="BPZ70" s="29"/>
      <c r="BQA70" s="29"/>
      <c r="BQB70" s="29"/>
      <c r="BQC70" s="29"/>
      <c r="BQD70" s="29"/>
      <c r="BQE70" s="29"/>
      <c r="BQF70" s="29"/>
      <c r="BQG70" s="29"/>
      <c r="BQH70" s="29"/>
      <c r="BQI70" s="29"/>
      <c r="BQJ70" s="29"/>
      <c r="BQK70" s="29"/>
      <c r="BQL70" s="29"/>
      <c r="BQM70" s="29"/>
      <c r="BQN70" s="29"/>
      <c r="BQO70" s="29"/>
      <c r="BQP70" s="29"/>
      <c r="BQQ70" s="29"/>
      <c r="BQR70" s="29"/>
      <c r="BQS70" s="29"/>
      <c r="BQT70" s="29"/>
      <c r="BQU70" s="29"/>
      <c r="BQV70" s="29"/>
      <c r="BQW70" s="29"/>
      <c r="BQX70" s="29"/>
      <c r="BQY70" s="29"/>
      <c r="BQZ70" s="29"/>
      <c r="BRA70" s="29"/>
      <c r="BRB70" s="29"/>
      <c r="BRC70" s="29"/>
      <c r="BRD70" s="29"/>
      <c r="BRE70" s="29"/>
      <c r="BRF70" s="29"/>
      <c r="BRG70" s="29"/>
      <c r="BRH70" s="29"/>
      <c r="BRI70" s="29"/>
      <c r="BRJ70" s="29"/>
      <c r="BRK70" s="29"/>
      <c r="BRL70" s="29"/>
      <c r="BRM70" s="29"/>
      <c r="BRN70" s="29"/>
      <c r="BRO70" s="29"/>
      <c r="BRP70" s="29"/>
      <c r="BRQ70" s="29"/>
      <c r="BRR70" s="29"/>
      <c r="BRS70" s="29"/>
      <c r="BRT70" s="29"/>
      <c r="BRU70" s="29"/>
      <c r="BRV70" s="29"/>
      <c r="BRW70" s="29"/>
      <c r="BRX70" s="29"/>
      <c r="BRY70" s="29"/>
      <c r="BRZ70" s="29"/>
      <c r="BSA70" s="29"/>
      <c r="BSB70" s="29"/>
      <c r="BSC70" s="29"/>
      <c r="BSD70" s="29"/>
      <c r="BSE70" s="29"/>
      <c r="BSF70" s="29"/>
      <c r="BSG70" s="29"/>
      <c r="BSH70" s="29"/>
      <c r="BSI70" s="29"/>
      <c r="BSJ70" s="29"/>
      <c r="BSK70" s="29"/>
      <c r="BSL70" s="29"/>
      <c r="BSM70" s="29"/>
      <c r="BSN70" s="29"/>
      <c r="BSO70" s="29"/>
      <c r="BSP70" s="29"/>
      <c r="BSQ70" s="29"/>
      <c r="BSR70" s="29"/>
      <c r="BSS70" s="29"/>
      <c r="BST70" s="29"/>
      <c r="BSU70" s="29"/>
      <c r="BSV70" s="29"/>
      <c r="BSW70" s="29"/>
      <c r="BSX70" s="29"/>
      <c r="BSY70" s="29"/>
      <c r="BSZ70" s="29"/>
      <c r="BTA70" s="29"/>
      <c r="BTB70" s="29"/>
      <c r="BTC70" s="29"/>
      <c r="BTD70" s="29"/>
      <c r="BTE70" s="29"/>
      <c r="BTF70" s="29"/>
      <c r="BTG70" s="29"/>
      <c r="BTH70" s="29"/>
      <c r="BTI70" s="29"/>
      <c r="BTJ70" s="29"/>
      <c r="BTK70" s="29"/>
      <c r="BTL70" s="29"/>
      <c r="BTM70" s="29"/>
      <c r="BTN70" s="29"/>
      <c r="BTO70" s="29"/>
      <c r="BTP70" s="29"/>
      <c r="BTQ70" s="29"/>
      <c r="BTR70" s="29"/>
      <c r="BTS70" s="29"/>
      <c r="BTT70" s="29"/>
      <c r="BTU70" s="29"/>
      <c r="BTV70" s="29"/>
      <c r="BTW70" s="29"/>
      <c r="BTX70" s="29"/>
      <c r="BTY70" s="29"/>
      <c r="BTZ70" s="29"/>
      <c r="BUA70" s="29"/>
      <c r="BUB70" s="29"/>
      <c r="BUC70" s="29"/>
      <c r="BUD70" s="29"/>
      <c r="BUE70" s="29"/>
      <c r="BUF70" s="29"/>
      <c r="BUG70" s="29"/>
      <c r="BUH70" s="29"/>
      <c r="BUI70" s="29"/>
      <c r="BUJ70" s="29"/>
      <c r="BUK70" s="29"/>
      <c r="BUL70" s="29"/>
      <c r="BUM70" s="29"/>
      <c r="BUN70" s="29"/>
      <c r="BUO70" s="29"/>
      <c r="BUP70" s="29"/>
      <c r="BUQ70" s="29"/>
      <c r="BUR70" s="29"/>
      <c r="BUS70" s="29"/>
      <c r="BUT70" s="29"/>
      <c r="BUU70" s="29"/>
      <c r="BUV70" s="29"/>
      <c r="BUW70" s="29"/>
      <c r="BUX70" s="29"/>
      <c r="BUY70" s="29"/>
      <c r="BUZ70" s="29"/>
      <c r="BVA70" s="29"/>
      <c r="BVB70" s="29"/>
      <c r="BVC70" s="29"/>
      <c r="BVD70" s="29"/>
      <c r="BVE70" s="29"/>
      <c r="BVF70" s="29"/>
      <c r="BVG70" s="29"/>
      <c r="BVH70" s="29"/>
      <c r="BVI70" s="29"/>
      <c r="BVJ70" s="29"/>
      <c r="BVK70" s="29"/>
      <c r="BVL70" s="29"/>
      <c r="BVM70" s="29"/>
      <c r="BVN70" s="29"/>
      <c r="BVO70" s="29"/>
      <c r="BVP70" s="29"/>
      <c r="BVQ70" s="29"/>
      <c r="BVR70" s="29"/>
      <c r="BVS70" s="29"/>
      <c r="BVT70" s="29"/>
      <c r="BVU70" s="29"/>
      <c r="BVV70" s="29"/>
      <c r="BVW70" s="29"/>
      <c r="BVX70" s="29"/>
      <c r="BVY70" s="29"/>
      <c r="BVZ70" s="29"/>
      <c r="BWA70" s="29"/>
      <c r="BWB70" s="29"/>
      <c r="BWC70" s="29"/>
      <c r="BWD70" s="29"/>
      <c r="BWE70" s="29"/>
      <c r="BWF70" s="29"/>
      <c r="BWG70" s="29"/>
      <c r="BWH70" s="29"/>
      <c r="BWI70" s="29"/>
      <c r="BWJ70" s="29"/>
      <c r="BWK70" s="29"/>
      <c r="BWL70" s="29"/>
      <c r="BWM70" s="29"/>
      <c r="BWN70" s="29"/>
      <c r="BWO70" s="29"/>
      <c r="BWP70" s="29"/>
      <c r="BWQ70" s="29"/>
      <c r="BWR70" s="29"/>
      <c r="BWS70" s="29"/>
      <c r="BWT70" s="29"/>
      <c r="BWU70" s="29"/>
      <c r="BWV70" s="29"/>
      <c r="BWW70" s="29"/>
      <c r="BWX70" s="29"/>
      <c r="BWY70" s="29"/>
      <c r="BWZ70" s="29"/>
      <c r="BXA70" s="29"/>
      <c r="BXB70" s="29"/>
      <c r="BXC70" s="29"/>
      <c r="BXD70" s="29"/>
      <c r="BXE70" s="29"/>
      <c r="BXF70" s="29"/>
      <c r="BXG70" s="29"/>
      <c r="BXH70" s="29"/>
      <c r="BXI70" s="29"/>
      <c r="BXJ70" s="29"/>
      <c r="BXK70" s="29"/>
      <c r="BXL70" s="29"/>
      <c r="BXM70" s="29"/>
      <c r="BXN70" s="29"/>
      <c r="BXO70" s="29"/>
      <c r="BXP70" s="29"/>
      <c r="BXQ70" s="29"/>
      <c r="BXR70" s="29"/>
      <c r="BXS70" s="29"/>
      <c r="BXT70" s="29"/>
      <c r="BXU70" s="29"/>
      <c r="BXV70" s="29"/>
      <c r="BXW70" s="29"/>
      <c r="BXX70" s="29"/>
      <c r="BXY70" s="29"/>
      <c r="BXZ70" s="29"/>
      <c r="BYA70" s="29"/>
      <c r="BYB70" s="29"/>
      <c r="BYC70" s="29"/>
      <c r="BYD70" s="29"/>
      <c r="BYE70" s="29"/>
      <c r="BYF70" s="29"/>
      <c r="BYG70" s="29"/>
      <c r="BYH70" s="29"/>
      <c r="BYI70" s="29"/>
      <c r="BYJ70" s="29"/>
      <c r="BYK70" s="29"/>
      <c r="BYL70" s="29"/>
      <c r="BYM70" s="29"/>
      <c r="BYN70" s="29"/>
      <c r="BYO70" s="29"/>
      <c r="BYP70" s="29"/>
      <c r="BYQ70" s="29"/>
      <c r="BYR70" s="29"/>
      <c r="BYS70" s="29"/>
      <c r="BYT70" s="29"/>
      <c r="BYU70" s="29"/>
      <c r="BYV70" s="29"/>
      <c r="BYW70" s="29"/>
      <c r="BYX70" s="29"/>
      <c r="BYY70" s="29"/>
      <c r="BYZ70" s="29"/>
      <c r="BZA70" s="29"/>
      <c r="BZB70" s="29"/>
      <c r="BZC70" s="29"/>
      <c r="BZD70" s="29"/>
      <c r="BZE70" s="29"/>
      <c r="BZF70" s="29"/>
      <c r="BZG70" s="29"/>
      <c r="BZH70" s="29"/>
      <c r="BZI70" s="29"/>
      <c r="BZJ70" s="29"/>
      <c r="BZK70" s="29"/>
      <c r="BZL70" s="29"/>
      <c r="BZM70" s="29"/>
      <c r="BZN70" s="29"/>
      <c r="BZO70" s="29"/>
      <c r="BZP70" s="29"/>
      <c r="BZQ70" s="29"/>
      <c r="BZR70" s="29"/>
      <c r="BZS70" s="29"/>
      <c r="BZT70" s="29"/>
      <c r="BZU70" s="29"/>
      <c r="BZV70" s="29"/>
      <c r="BZW70" s="29"/>
      <c r="BZX70" s="29"/>
      <c r="BZY70" s="29"/>
      <c r="BZZ70" s="29"/>
      <c r="CAA70" s="29"/>
      <c r="CAB70" s="29"/>
      <c r="CAC70" s="29"/>
      <c r="CAD70" s="29"/>
      <c r="CAE70" s="29"/>
      <c r="CAF70" s="29"/>
      <c r="CAG70" s="29"/>
      <c r="CAH70" s="29"/>
      <c r="CAI70" s="29"/>
      <c r="CAJ70" s="29"/>
      <c r="CAK70" s="29"/>
      <c r="CAL70" s="29"/>
      <c r="CAM70" s="29"/>
      <c r="CAN70" s="29"/>
      <c r="CAO70" s="29"/>
      <c r="CAP70" s="29"/>
      <c r="CAQ70" s="29"/>
      <c r="CAR70" s="29"/>
      <c r="CAS70" s="29"/>
      <c r="CAT70" s="29"/>
      <c r="CAU70" s="29"/>
      <c r="CAV70" s="29"/>
      <c r="CAW70" s="29"/>
      <c r="CAX70" s="29"/>
      <c r="CAY70" s="29"/>
      <c r="CAZ70" s="29"/>
      <c r="CBA70" s="29"/>
      <c r="CBB70" s="29"/>
      <c r="CBC70" s="29"/>
      <c r="CBD70" s="29"/>
      <c r="CBE70" s="29"/>
      <c r="CBF70" s="29"/>
      <c r="CBG70" s="29"/>
      <c r="CBH70" s="29"/>
      <c r="CBI70" s="29"/>
      <c r="CBJ70" s="29"/>
      <c r="CBK70" s="29"/>
      <c r="CBL70" s="29"/>
      <c r="CBM70" s="29"/>
      <c r="CBN70" s="29"/>
      <c r="CBO70" s="29"/>
      <c r="CBP70" s="29"/>
      <c r="CBQ70" s="29"/>
      <c r="CBR70" s="29"/>
      <c r="CBS70" s="29"/>
      <c r="CBT70" s="29"/>
      <c r="CBU70" s="29"/>
      <c r="CBV70" s="29"/>
      <c r="CBW70" s="29"/>
      <c r="CBX70" s="29"/>
      <c r="CBY70" s="29"/>
      <c r="CBZ70" s="29"/>
      <c r="CCA70" s="29"/>
      <c r="CCB70" s="29"/>
      <c r="CCC70" s="29"/>
      <c r="CCD70" s="29"/>
      <c r="CCE70" s="29"/>
      <c r="CCF70" s="29"/>
      <c r="CCG70" s="29"/>
      <c r="CCH70" s="29"/>
      <c r="CCI70" s="29"/>
      <c r="CCJ70" s="29"/>
      <c r="CCK70" s="29"/>
      <c r="CCL70" s="29"/>
      <c r="CCM70" s="29"/>
      <c r="CCN70" s="29"/>
      <c r="CCO70" s="29"/>
      <c r="CCP70" s="29"/>
      <c r="CCQ70" s="29"/>
      <c r="CCR70" s="29"/>
      <c r="CCS70" s="29"/>
      <c r="CCT70" s="29"/>
      <c r="CCU70" s="29"/>
      <c r="CCV70" s="29"/>
      <c r="CCW70" s="29"/>
      <c r="CCX70" s="29"/>
      <c r="CCY70" s="29"/>
      <c r="CCZ70" s="29"/>
      <c r="CDA70" s="29"/>
      <c r="CDB70" s="29"/>
      <c r="CDC70" s="29"/>
      <c r="CDD70" s="29"/>
      <c r="CDE70" s="29"/>
      <c r="CDF70" s="29"/>
      <c r="CDG70" s="29"/>
      <c r="CDH70" s="29"/>
      <c r="CDI70" s="29"/>
      <c r="CDJ70" s="29"/>
      <c r="CDK70" s="29"/>
      <c r="CDL70" s="29"/>
      <c r="CDM70" s="29"/>
      <c r="CDN70" s="29"/>
      <c r="CDO70" s="29"/>
      <c r="CDP70" s="29"/>
      <c r="CDQ70" s="29"/>
      <c r="CDR70" s="29"/>
      <c r="CDS70" s="29"/>
      <c r="CDT70" s="29"/>
      <c r="CDU70" s="29"/>
      <c r="CDV70" s="29"/>
      <c r="CDW70" s="29"/>
      <c r="CDX70" s="29"/>
      <c r="CDY70" s="29"/>
      <c r="CDZ70" s="29"/>
      <c r="CEA70" s="29"/>
      <c r="CEB70" s="29"/>
      <c r="CEC70" s="29"/>
      <c r="CED70" s="29"/>
      <c r="CEE70" s="29"/>
      <c r="CEF70" s="29"/>
      <c r="CEG70" s="29"/>
      <c r="CEH70" s="29"/>
      <c r="CEI70" s="29"/>
      <c r="CEJ70" s="29"/>
      <c r="CEK70" s="29"/>
      <c r="CEL70" s="29"/>
      <c r="CEM70" s="29"/>
      <c r="CEN70" s="29"/>
      <c r="CEO70" s="29"/>
      <c r="CEP70" s="29"/>
      <c r="CEQ70" s="29"/>
      <c r="CER70" s="29"/>
      <c r="CES70" s="29"/>
      <c r="CET70" s="29"/>
      <c r="CEU70" s="29"/>
      <c r="CEV70" s="29"/>
      <c r="CEW70" s="29"/>
      <c r="CEX70" s="29"/>
      <c r="CEY70" s="29"/>
      <c r="CEZ70" s="29"/>
      <c r="CFA70" s="29"/>
      <c r="CFB70" s="29"/>
      <c r="CFC70" s="29"/>
      <c r="CFD70" s="29"/>
      <c r="CFE70" s="29"/>
      <c r="CFF70" s="29"/>
      <c r="CFG70" s="29"/>
      <c r="CFH70" s="29"/>
      <c r="CFI70" s="29"/>
      <c r="CFJ70" s="29"/>
      <c r="CFK70" s="29"/>
      <c r="CFL70" s="29"/>
      <c r="CFM70" s="29"/>
      <c r="CFN70" s="29"/>
      <c r="CFO70" s="29"/>
      <c r="CFP70" s="29"/>
      <c r="CFQ70" s="29"/>
      <c r="CFR70" s="29"/>
      <c r="CFS70" s="29"/>
      <c r="CFT70" s="29"/>
      <c r="CFU70" s="29"/>
      <c r="CFV70" s="29"/>
      <c r="CFW70" s="29"/>
      <c r="CFX70" s="29"/>
      <c r="CFY70" s="29"/>
      <c r="CFZ70" s="29"/>
      <c r="CGA70" s="29"/>
      <c r="CGB70" s="29"/>
      <c r="CGC70" s="29"/>
      <c r="CGD70" s="29"/>
      <c r="CGE70" s="29"/>
      <c r="CGF70" s="29"/>
      <c r="CGG70" s="29"/>
      <c r="CGH70" s="29"/>
      <c r="CGI70" s="29"/>
      <c r="CGJ70" s="29"/>
      <c r="CGK70" s="29"/>
      <c r="CGL70" s="29"/>
      <c r="CGM70" s="29"/>
      <c r="CGN70" s="29"/>
      <c r="CGO70" s="29"/>
      <c r="CGP70" s="29"/>
      <c r="CGQ70" s="29"/>
      <c r="CGR70" s="29"/>
      <c r="CGS70" s="29"/>
      <c r="CGT70" s="29"/>
      <c r="CGU70" s="29"/>
      <c r="CGV70" s="29"/>
      <c r="CGW70" s="29"/>
      <c r="CGX70" s="29"/>
      <c r="CGY70" s="29"/>
      <c r="CGZ70" s="29"/>
      <c r="CHA70" s="29"/>
      <c r="CHB70" s="29"/>
      <c r="CHC70" s="29"/>
      <c r="CHD70" s="29"/>
      <c r="CHE70" s="29"/>
      <c r="CHF70" s="29"/>
      <c r="CHG70" s="29"/>
      <c r="CHH70" s="29"/>
      <c r="CHI70" s="29"/>
      <c r="CHJ70" s="29"/>
      <c r="CHK70" s="29"/>
      <c r="CHL70" s="29"/>
      <c r="CHM70" s="29"/>
      <c r="CHN70" s="29"/>
      <c r="CHO70" s="29"/>
      <c r="CHP70" s="29"/>
      <c r="CHQ70" s="29"/>
      <c r="CHR70" s="29"/>
      <c r="CHS70" s="29"/>
      <c r="CHT70" s="29"/>
      <c r="CHU70" s="29"/>
      <c r="CHV70" s="29"/>
      <c r="CHW70" s="29"/>
      <c r="CHX70" s="29"/>
      <c r="CHY70" s="29"/>
      <c r="CHZ70" s="29"/>
      <c r="CIA70" s="29"/>
      <c r="CIB70" s="29"/>
      <c r="CIC70" s="29"/>
      <c r="CID70" s="29"/>
      <c r="CIE70" s="29"/>
      <c r="CIF70" s="29"/>
      <c r="CIG70" s="29"/>
      <c r="CIH70" s="29"/>
      <c r="CII70" s="29"/>
      <c r="CIJ70" s="29"/>
      <c r="CIK70" s="29"/>
      <c r="CIL70" s="29"/>
      <c r="CIM70" s="29"/>
      <c r="CIN70" s="29"/>
      <c r="CIO70" s="29"/>
      <c r="CIP70" s="29"/>
      <c r="CIQ70" s="29"/>
      <c r="CIR70" s="29"/>
      <c r="CIS70" s="29"/>
      <c r="CIT70" s="29"/>
      <c r="CIU70" s="29"/>
      <c r="CIV70" s="29"/>
      <c r="CIW70" s="29"/>
      <c r="CIX70" s="29"/>
      <c r="CIY70" s="29"/>
      <c r="CIZ70" s="29"/>
      <c r="CJA70" s="29"/>
      <c r="CJB70" s="29"/>
      <c r="CJC70" s="29"/>
      <c r="CJD70" s="29"/>
      <c r="CJE70" s="29"/>
      <c r="CJF70" s="29"/>
      <c r="CJG70" s="29"/>
      <c r="CJH70" s="29"/>
      <c r="CJI70" s="29"/>
      <c r="CJJ70" s="29"/>
      <c r="CJK70" s="29"/>
      <c r="CJL70" s="29"/>
      <c r="CJM70" s="29"/>
      <c r="CJN70" s="29"/>
      <c r="CJO70" s="29"/>
      <c r="CJP70" s="29"/>
      <c r="CJQ70" s="29"/>
      <c r="CJR70" s="29"/>
      <c r="CJS70" s="29"/>
      <c r="CJT70" s="29"/>
      <c r="CJU70" s="29"/>
      <c r="CJV70" s="29"/>
      <c r="CJW70" s="29"/>
      <c r="CJX70" s="29"/>
      <c r="CJY70" s="29"/>
      <c r="CJZ70" s="29"/>
      <c r="CKA70" s="29"/>
      <c r="CKB70" s="29"/>
      <c r="CKC70" s="29"/>
      <c r="CKD70" s="29"/>
      <c r="CKE70" s="29"/>
      <c r="CKF70" s="29"/>
      <c r="CKG70" s="29"/>
      <c r="CKH70" s="29"/>
      <c r="CKI70" s="29"/>
      <c r="CKJ70" s="29"/>
      <c r="CKK70" s="29"/>
      <c r="CKL70" s="29"/>
      <c r="CKM70" s="29"/>
      <c r="CKN70" s="29"/>
      <c r="CKO70" s="29"/>
      <c r="CKP70" s="29"/>
      <c r="CKQ70" s="29"/>
      <c r="CKR70" s="29"/>
      <c r="CKS70" s="29"/>
      <c r="CKT70" s="29"/>
      <c r="CKU70" s="29"/>
      <c r="CKV70" s="29"/>
      <c r="CKW70" s="29"/>
      <c r="CKX70" s="29"/>
      <c r="CKY70" s="29"/>
      <c r="CKZ70" s="29"/>
      <c r="CLA70" s="29"/>
      <c r="CLB70" s="29"/>
      <c r="CLC70" s="29"/>
      <c r="CLD70" s="29"/>
      <c r="CLE70" s="29"/>
      <c r="CLF70" s="29"/>
      <c r="CLG70" s="29"/>
      <c r="CLH70" s="29"/>
      <c r="CLI70" s="29"/>
      <c r="CLJ70" s="29"/>
      <c r="CLK70" s="29"/>
      <c r="CLL70" s="29"/>
      <c r="CLM70" s="29"/>
      <c r="CLN70" s="29"/>
      <c r="CLO70" s="29"/>
      <c r="CLP70" s="29"/>
      <c r="CLQ70" s="29"/>
      <c r="CLR70" s="29"/>
      <c r="CLS70" s="29"/>
      <c r="CLT70" s="29"/>
      <c r="CLU70" s="29"/>
      <c r="CLV70" s="29"/>
      <c r="CLW70" s="29"/>
      <c r="CLX70" s="29"/>
      <c r="CLY70" s="29"/>
      <c r="CLZ70" s="29"/>
      <c r="CMA70" s="29"/>
      <c r="CMB70" s="29"/>
      <c r="CMC70" s="29"/>
      <c r="CMD70" s="29"/>
      <c r="CME70" s="29"/>
      <c r="CMF70" s="29"/>
      <c r="CMG70" s="29"/>
      <c r="CMH70" s="29"/>
      <c r="CMI70" s="29"/>
      <c r="CMJ70" s="29"/>
      <c r="CMK70" s="29"/>
      <c r="CML70" s="29"/>
      <c r="CMM70" s="29"/>
      <c r="CMN70" s="29"/>
      <c r="CMO70" s="29"/>
      <c r="CMP70" s="29"/>
      <c r="CMQ70" s="29"/>
      <c r="CMR70" s="29"/>
      <c r="CMS70" s="29"/>
      <c r="CMT70" s="29"/>
      <c r="CMU70" s="29"/>
      <c r="CMV70" s="29"/>
      <c r="CMW70" s="29"/>
      <c r="CMX70" s="29"/>
      <c r="CMY70" s="29"/>
      <c r="CMZ70" s="29"/>
      <c r="CNA70" s="29"/>
      <c r="CNB70" s="29"/>
      <c r="CNC70" s="29"/>
      <c r="CND70" s="29"/>
      <c r="CNE70" s="29"/>
      <c r="CNF70" s="29"/>
      <c r="CNG70" s="29"/>
      <c r="CNH70" s="29"/>
      <c r="CNI70" s="29"/>
      <c r="CNJ70" s="29"/>
      <c r="CNK70" s="29"/>
      <c r="CNL70" s="29"/>
      <c r="CNM70" s="29"/>
      <c r="CNN70" s="29"/>
      <c r="CNO70" s="29"/>
      <c r="CNP70" s="29"/>
      <c r="CNQ70" s="29"/>
      <c r="CNR70" s="29"/>
      <c r="CNS70" s="29"/>
      <c r="CNT70" s="29"/>
      <c r="CNU70" s="29"/>
      <c r="CNV70" s="29"/>
      <c r="CNW70" s="29"/>
      <c r="CNX70" s="29"/>
      <c r="CNY70" s="29"/>
      <c r="CNZ70" s="29"/>
      <c r="COA70" s="29"/>
      <c r="COB70" s="29"/>
      <c r="COC70" s="29"/>
      <c r="COD70" s="29"/>
      <c r="COE70" s="29"/>
      <c r="COF70" s="29"/>
      <c r="COG70" s="29"/>
      <c r="COH70" s="29"/>
      <c r="COI70" s="29"/>
      <c r="COJ70" s="29"/>
      <c r="COK70" s="29"/>
      <c r="COL70" s="29"/>
      <c r="COM70" s="29"/>
      <c r="CON70" s="29"/>
      <c r="COO70" s="29"/>
      <c r="COP70" s="29"/>
      <c r="COQ70" s="29"/>
      <c r="COR70" s="29"/>
      <c r="COS70" s="29"/>
      <c r="COT70" s="29"/>
      <c r="COU70" s="29"/>
      <c r="COV70" s="29"/>
      <c r="COW70" s="29"/>
      <c r="COX70" s="29"/>
      <c r="COY70" s="29"/>
      <c r="COZ70" s="29"/>
      <c r="CPA70" s="29"/>
      <c r="CPB70" s="29"/>
      <c r="CPC70" s="29"/>
      <c r="CPD70" s="29"/>
      <c r="CPE70" s="29"/>
      <c r="CPF70" s="29"/>
      <c r="CPG70" s="29"/>
      <c r="CPH70" s="29"/>
      <c r="CPI70" s="29"/>
      <c r="CPJ70" s="29"/>
      <c r="CPK70" s="29"/>
      <c r="CPL70" s="29"/>
      <c r="CPM70" s="29"/>
      <c r="CPN70" s="29"/>
      <c r="CPO70" s="29"/>
      <c r="CPP70" s="29"/>
      <c r="CPQ70" s="29"/>
      <c r="CPR70" s="29"/>
      <c r="CPS70" s="29"/>
      <c r="CPT70" s="29"/>
      <c r="CPU70" s="29"/>
      <c r="CPV70" s="29"/>
      <c r="CPW70" s="29"/>
      <c r="CPX70" s="29"/>
      <c r="CPY70" s="29"/>
      <c r="CPZ70" s="29"/>
      <c r="CQA70" s="29"/>
      <c r="CQB70" s="29"/>
      <c r="CQC70" s="29"/>
      <c r="CQD70" s="29"/>
      <c r="CQE70" s="29"/>
      <c r="CQF70" s="29"/>
      <c r="CQG70" s="29"/>
      <c r="CQH70" s="29"/>
      <c r="CQI70" s="29"/>
      <c r="CQJ70" s="29"/>
      <c r="CQK70" s="29"/>
      <c r="CQL70" s="29"/>
      <c r="CQM70" s="29"/>
      <c r="CQN70" s="29"/>
      <c r="CQO70" s="29"/>
      <c r="CQP70" s="29"/>
      <c r="CQQ70" s="29"/>
      <c r="CQR70" s="29"/>
      <c r="CQS70" s="29"/>
      <c r="CQT70" s="29"/>
      <c r="CQU70" s="29"/>
      <c r="CQV70" s="29"/>
      <c r="CQW70" s="29"/>
      <c r="CQX70" s="29"/>
      <c r="CQY70" s="29"/>
      <c r="CQZ70" s="29"/>
      <c r="CRA70" s="29"/>
      <c r="CRB70" s="29"/>
      <c r="CRC70" s="29"/>
      <c r="CRD70" s="29"/>
      <c r="CRE70" s="29"/>
      <c r="CRF70" s="29"/>
      <c r="CRG70" s="29"/>
      <c r="CRH70" s="29"/>
      <c r="CRI70" s="29"/>
      <c r="CRJ70" s="29"/>
      <c r="CRK70" s="29"/>
      <c r="CRL70" s="29"/>
      <c r="CRM70" s="29"/>
      <c r="CRN70" s="29"/>
      <c r="CRO70" s="29"/>
      <c r="CRP70" s="29"/>
      <c r="CRQ70" s="29"/>
      <c r="CRR70" s="29"/>
      <c r="CRS70" s="29"/>
      <c r="CRT70" s="29"/>
      <c r="CRU70" s="29"/>
      <c r="CRV70" s="29"/>
      <c r="CRW70" s="29"/>
      <c r="CRX70" s="29"/>
      <c r="CRY70" s="29"/>
      <c r="CRZ70" s="29"/>
      <c r="CSA70" s="29"/>
      <c r="CSB70" s="29"/>
      <c r="CSC70" s="29"/>
      <c r="CSD70" s="29"/>
      <c r="CSE70" s="29"/>
      <c r="CSF70" s="29"/>
      <c r="CSG70" s="29"/>
      <c r="CSH70" s="29"/>
      <c r="CSI70" s="29"/>
      <c r="CSJ70" s="29"/>
      <c r="CSK70" s="29"/>
      <c r="CSL70" s="29"/>
      <c r="CSM70" s="29"/>
      <c r="CSN70" s="29"/>
      <c r="CSO70" s="29"/>
      <c r="CSP70" s="29"/>
      <c r="CSQ70" s="29"/>
      <c r="CSR70" s="29"/>
      <c r="CSS70" s="29"/>
      <c r="CST70" s="29"/>
      <c r="CSU70" s="29"/>
      <c r="CSV70" s="29"/>
      <c r="CSW70" s="29"/>
      <c r="CSX70" s="29"/>
      <c r="CSY70" s="29"/>
      <c r="CSZ70" s="29"/>
      <c r="CTA70" s="29"/>
      <c r="CTB70" s="29"/>
      <c r="CTC70" s="29"/>
      <c r="CTD70" s="29"/>
      <c r="CTE70" s="29"/>
      <c r="CTF70" s="29"/>
      <c r="CTG70" s="29"/>
      <c r="CTH70" s="29"/>
      <c r="CTI70" s="29"/>
      <c r="CTJ70" s="29"/>
      <c r="CTK70" s="29"/>
      <c r="CTL70" s="29"/>
      <c r="CTM70" s="29"/>
      <c r="CTN70" s="29"/>
      <c r="CTO70" s="29"/>
      <c r="CTP70" s="29"/>
      <c r="CTQ70" s="29"/>
      <c r="CTR70" s="29"/>
      <c r="CTS70" s="29"/>
      <c r="CTT70" s="29"/>
      <c r="CTU70" s="29"/>
      <c r="CTV70" s="29"/>
      <c r="CTW70" s="29"/>
      <c r="CTX70" s="29"/>
      <c r="CTY70" s="29"/>
      <c r="CTZ70" s="29"/>
      <c r="CUA70" s="29"/>
      <c r="CUB70" s="29"/>
      <c r="CUC70" s="29"/>
      <c r="CUD70" s="29"/>
      <c r="CUE70" s="29"/>
      <c r="CUF70" s="29"/>
      <c r="CUG70" s="29"/>
      <c r="CUH70" s="29"/>
      <c r="CUI70" s="29"/>
      <c r="CUJ70" s="29"/>
      <c r="CUK70" s="29"/>
      <c r="CUL70" s="29"/>
      <c r="CUM70" s="29"/>
      <c r="CUN70" s="29"/>
      <c r="CUO70" s="29"/>
      <c r="CUP70" s="29"/>
      <c r="CUQ70" s="29"/>
      <c r="CUR70" s="29"/>
      <c r="CUS70" s="29"/>
      <c r="CUT70" s="29"/>
      <c r="CUU70" s="29"/>
      <c r="CUV70" s="29"/>
      <c r="CUW70" s="29"/>
      <c r="CUX70" s="29"/>
      <c r="CUY70" s="29"/>
      <c r="CUZ70" s="29"/>
      <c r="CVA70" s="29"/>
      <c r="CVB70" s="29"/>
      <c r="CVC70" s="29"/>
      <c r="CVD70" s="29"/>
      <c r="CVE70" s="29"/>
      <c r="CVF70" s="29"/>
      <c r="CVG70" s="29"/>
      <c r="CVH70" s="29"/>
      <c r="CVI70" s="29"/>
      <c r="CVJ70" s="29"/>
      <c r="CVK70" s="29"/>
      <c r="CVL70" s="29"/>
      <c r="CVM70" s="29"/>
      <c r="CVN70" s="29"/>
      <c r="CVO70" s="29"/>
      <c r="CVP70" s="29"/>
      <c r="CVQ70" s="29"/>
      <c r="CVR70" s="29"/>
      <c r="CVS70" s="29"/>
      <c r="CVT70" s="29"/>
      <c r="CVU70" s="29"/>
      <c r="CVV70" s="29"/>
      <c r="CVW70" s="29"/>
      <c r="CVX70" s="29"/>
      <c r="CVY70" s="29"/>
      <c r="CVZ70" s="29"/>
      <c r="CWA70" s="29"/>
      <c r="CWB70" s="29"/>
      <c r="CWC70" s="29"/>
      <c r="CWD70" s="29"/>
      <c r="CWE70" s="29"/>
      <c r="CWF70" s="29"/>
      <c r="CWG70" s="29"/>
      <c r="CWH70" s="29"/>
      <c r="CWI70" s="29"/>
      <c r="CWJ70" s="29"/>
      <c r="CWK70" s="29"/>
      <c r="CWL70" s="29"/>
      <c r="CWM70" s="29"/>
      <c r="CWN70" s="29"/>
      <c r="CWO70" s="29"/>
      <c r="CWP70" s="29"/>
      <c r="CWQ70" s="29"/>
      <c r="CWR70" s="29"/>
      <c r="CWS70" s="29"/>
      <c r="CWT70" s="29"/>
      <c r="CWU70" s="29"/>
      <c r="CWV70" s="29"/>
      <c r="CWW70" s="29"/>
      <c r="CWX70" s="29"/>
      <c r="CWY70" s="29"/>
      <c r="CWZ70" s="29"/>
      <c r="CXA70" s="29"/>
      <c r="CXB70" s="29"/>
      <c r="CXC70" s="29"/>
      <c r="CXD70" s="29"/>
      <c r="CXE70" s="29"/>
      <c r="CXF70" s="29"/>
      <c r="CXG70" s="29"/>
      <c r="CXH70" s="29"/>
      <c r="CXI70" s="29"/>
      <c r="CXJ70" s="29"/>
      <c r="CXK70" s="29"/>
      <c r="CXL70" s="29"/>
      <c r="CXM70" s="29"/>
      <c r="CXN70" s="29"/>
      <c r="CXO70" s="29"/>
      <c r="CXP70" s="29"/>
      <c r="CXQ70" s="29"/>
      <c r="CXR70" s="29"/>
      <c r="CXS70" s="29"/>
      <c r="CXT70" s="29"/>
      <c r="CXU70" s="29"/>
      <c r="CXV70" s="29"/>
      <c r="CXW70" s="29"/>
      <c r="CXX70" s="29"/>
      <c r="CXY70" s="29"/>
      <c r="CXZ70" s="29"/>
      <c r="CYA70" s="29"/>
      <c r="CYB70" s="29"/>
      <c r="CYC70" s="29"/>
      <c r="CYD70" s="29"/>
      <c r="CYE70" s="29"/>
      <c r="CYF70" s="29"/>
      <c r="CYG70" s="29"/>
      <c r="CYH70" s="29"/>
      <c r="CYI70" s="29"/>
      <c r="CYJ70" s="29"/>
      <c r="CYK70" s="29"/>
      <c r="CYL70" s="29"/>
      <c r="CYM70" s="29"/>
      <c r="CYN70" s="29"/>
      <c r="CYO70" s="29"/>
      <c r="CYP70" s="29"/>
      <c r="CYQ70" s="29"/>
      <c r="CYR70" s="29"/>
      <c r="CYS70" s="29"/>
      <c r="CYT70" s="29"/>
      <c r="CYU70" s="29"/>
      <c r="CYV70" s="29"/>
      <c r="CYW70" s="29"/>
      <c r="CYX70" s="29"/>
      <c r="CYY70" s="29"/>
      <c r="CYZ70" s="29"/>
      <c r="CZA70" s="29"/>
      <c r="CZB70" s="29"/>
      <c r="CZC70" s="29"/>
      <c r="CZD70" s="29"/>
      <c r="CZE70" s="29"/>
      <c r="CZF70" s="29"/>
      <c r="CZG70" s="29"/>
      <c r="CZH70" s="29"/>
      <c r="CZI70" s="29"/>
      <c r="CZJ70" s="29"/>
      <c r="CZK70" s="29"/>
      <c r="CZL70" s="29"/>
      <c r="CZM70" s="29"/>
      <c r="CZN70" s="29"/>
      <c r="CZO70" s="29"/>
      <c r="CZP70" s="29"/>
      <c r="CZQ70" s="29"/>
      <c r="CZR70" s="29"/>
      <c r="CZS70" s="29"/>
      <c r="CZT70" s="29"/>
      <c r="CZU70" s="29"/>
      <c r="CZV70" s="29"/>
      <c r="CZW70" s="29"/>
      <c r="CZX70" s="29"/>
      <c r="CZY70" s="29"/>
      <c r="CZZ70" s="29"/>
      <c r="DAA70" s="29"/>
      <c r="DAB70" s="29"/>
      <c r="DAC70" s="29"/>
      <c r="DAD70" s="29"/>
      <c r="DAE70" s="29"/>
      <c r="DAF70" s="29"/>
      <c r="DAG70" s="29"/>
      <c r="DAH70" s="29"/>
      <c r="DAI70" s="29"/>
      <c r="DAJ70" s="29"/>
      <c r="DAK70" s="29"/>
      <c r="DAL70" s="29"/>
      <c r="DAM70" s="29"/>
      <c r="DAN70" s="29"/>
      <c r="DAO70" s="29"/>
      <c r="DAP70" s="29"/>
      <c r="DAQ70" s="29"/>
      <c r="DAR70" s="29"/>
      <c r="DAS70" s="29"/>
      <c r="DAT70" s="29"/>
      <c r="DAU70" s="29"/>
      <c r="DAV70" s="29"/>
      <c r="DAW70" s="29"/>
      <c r="DAX70" s="29"/>
      <c r="DAY70" s="29"/>
      <c r="DAZ70" s="29"/>
      <c r="DBA70" s="29"/>
      <c r="DBB70" s="29"/>
      <c r="DBC70" s="29"/>
      <c r="DBD70" s="29"/>
      <c r="DBE70" s="29"/>
      <c r="DBF70" s="29"/>
      <c r="DBG70" s="29"/>
      <c r="DBH70" s="29"/>
      <c r="DBI70" s="29"/>
      <c r="DBJ70" s="29"/>
      <c r="DBK70" s="29"/>
      <c r="DBL70" s="29"/>
      <c r="DBM70" s="29"/>
      <c r="DBN70" s="29"/>
      <c r="DBO70" s="29"/>
      <c r="DBP70" s="29"/>
      <c r="DBQ70" s="29"/>
      <c r="DBR70" s="29"/>
      <c r="DBS70" s="29"/>
      <c r="DBT70" s="29"/>
      <c r="DBU70" s="29"/>
      <c r="DBV70" s="29"/>
      <c r="DBW70" s="29"/>
      <c r="DBX70" s="29"/>
      <c r="DBY70" s="29"/>
      <c r="DBZ70" s="29"/>
      <c r="DCA70" s="29"/>
      <c r="DCB70" s="29"/>
      <c r="DCC70" s="29"/>
      <c r="DCD70" s="29"/>
      <c r="DCE70" s="29"/>
      <c r="DCF70" s="29"/>
      <c r="DCG70" s="29"/>
      <c r="DCH70" s="29"/>
      <c r="DCI70" s="29"/>
      <c r="DCJ70" s="29"/>
      <c r="DCK70" s="29"/>
      <c r="DCL70" s="29"/>
      <c r="DCM70" s="29"/>
      <c r="DCN70" s="29"/>
      <c r="DCO70" s="29"/>
      <c r="DCP70" s="29"/>
      <c r="DCQ70" s="29"/>
      <c r="DCR70" s="29"/>
      <c r="DCS70" s="29"/>
      <c r="DCT70" s="29"/>
      <c r="DCU70" s="29"/>
      <c r="DCV70" s="29"/>
      <c r="DCW70" s="29"/>
      <c r="DCX70" s="29"/>
      <c r="DCY70" s="29"/>
      <c r="DCZ70" s="29"/>
      <c r="DDA70" s="29"/>
      <c r="DDB70" s="29"/>
      <c r="DDC70" s="29"/>
      <c r="DDD70" s="29"/>
      <c r="DDE70" s="29"/>
      <c r="DDF70" s="29"/>
      <c r="DDG70" s="29"/>
      <c r="DDH70" s="29"/>
      <c r="DDI70" s="29"/>
      <c r="DDJ70" s="29"/>
      <c r="DDK70" s="29"/>
      <c r="DDL70" s="29"/>
      <c r="DDM70" s="29"/>
      <c r="DDN70" s="29"/>
      <c r="DDO70" s="29"/>
      <c r="DDP70" s="29"/>
      <c r="DDQ70" s="29"/>
      <c r="DDR70" s="29"/>
      <c r="DDS70" s="29"/>
      <c r="DDT70" s="29"/>
      <c r="DDU70" s="29"/>
      <c r="DDV70" s="29"/>
      <c r="DDW70" s="29"/>
      <c r="DDX70" s="29"/>
      <c r="DDY70" s="29"/>
      <c r="DDZ70" s="29"/>
      <c r="DEA70" s="29"/>
      <c r="DEB70" s="29"/>
      <c r="DEC70" s="29"/>
      <c r="DED70" s="29"/>
      <c r="DEE70" s="29"/>
      <c r="DEF70" s="29"/>
      <c r="DEG70" s="29"/>
      <c r="DEH70" s="29"/>
      <c r="DEI70" s="29"/>
      <c r="DEJ70" s="29"/>
      <c r="DEK70" s="29"/>
      <c r="DEL70" s="29"/>
      <c r="DEM70" s="29"/>
      <c r="DEN70" s="29"/>
      <c r="DEO70" s="29"/>
      <c r="DEP70" s="29"/>
      <c r="DEQ70" s="29"/>
      <c r="DER70" s="29"/>
      <c r="DES70" s="29"/>
      <c r="DET70" s="29"/>
      <c r="DEU70" s="29"/>
      <c r="DEV70" s="29"/>
      <c r="DEW70" s="29"/>
      <c r="DEX70" s="29"/>
      <c r="DEY70" s="29"/>
      <c r="DEZ70" s="29"/>
      <c r="DFA70" s="29"/>
      <c r="DFB70" s="29"/>
      <c r="DFC70" s="29"/>
      <c r="DFD70" s="29"/>
      <c r="DFE70" s="29"/>
      <c r="DFF70" s="29"/>
      <c r="DFG70" s="29"/>
      <c r="DFH70" s="29"/>
      <c r="DFI70" s="29"/>
      <c r="DFJ70" s="29"/>
      <c r="DFK70" s="29"/>
      <c r="DFL70" s="29"/>
      <c r="DFM70" s="29"/>
      <c r="DFN70" s="29"/>
      <c r="DFO70" s="29"/>
      <c r="DFP70" s="29"/>
      <c r="DFQ70" s="29"/>
      <c r="DFR70" s="29"/>
      <c r="DFS70" s="29"/>
      <c r="DFT70" s="29"/>
      <c r="DFU70" s="29"/>
      <c r="DFV70" s="29"/>
      <c r="DFW70" s="29"/>
      <c r="DFX70" s="29"/>
      <c r="DFY70" s="29"/>
      <c r="DFZ70" s="29"/>
      <c r="DGA70" s="29"/>
      <c r="DGB70" s="29"/>
      <c r="DGC70" s="29"/>
      <c r="DGD70" s="29"/>
      <c r="DGE70" s="29"/>
      <c r="DGF70" s="29"/>
      <c r="DGG70" s="29"/>
      <c r="DGH70" s="29"/>
      <c r="DGI70" s="29"/>
      <c r="DGJ70" s="29"/>
      <c r="DGK70" s="29"/>
      <c r="DGL70" s="29"/>
      <c r="DGM70" s="29"/>
      <c r="DGN70" s="29"/>
      <c r="DGO70" s="29"/>
      <c r="DGP70" s="29"/>
      <c r="DGQ70" s="29"/>
      <c r="DGR70" s="29"/>
      <c r="DGS70" s="29"/>
      <c r="DGT70" s="29"/>
      <c r="DGU70" s="29"/>
      <c r="DGV70" s="29"/>
      <c r="DGW70" s="29"/>
      <c r="DGX70" s="29"/>
      <c r="DGY70" s="29"/>
      <c r="DGZ70" s="29"/>
      <c r="DHA70" s="29"/>
      <c r="DHB70" s="29"/>
      <c r="DHC70" s="29"/>
      <c r="DHD70" s="29"/>
      <c r="DHE70" s="29"/>
      <c r="DHF70" s="29"/>
      <c r="DHG70" s="29"/>
      <c r="DHH70" s="29"/>
      <c r="DHI70" s="29"/>
      <c r="DHJ70" s="29"/>
      <c r="DHK70" s="29"/>
      <c r="DHL70" s="29"/>
      <c r="DHM70" s="29"/>
      <c r="DHN70" s="29"/>
      <c r="DHO70" s="29"/>
      <c r="DHP70" s="29"/>
      <c r="DHQ70" s="29"/>
      <c r="DHR70" s="29"/>
      <c r="DHS70" s="29"/>
      <c r="DHT70" s="29"/>
      <c r="DHU70" s="29"/>
      <c r="DHV70" s="29"/>
      <c r="DHW70" s="29"/>
      <c r="DHX70" s="29"/>
      <c r="DHY70" s="29"/>
      <c r="DHZ70" s="29"/>
      <c r="DIA70" s="29"/>
      <c r="DIB70" s="29"/>
      <c r="DIC70" s="29"/>
      <c r="DID70" s="29"/>
      <c r="DIE70" s="29"/>
      <c r="DIF70" s="29"/>
      <c r="DIG70" s="29"/>
      <c r="DIH70" s="29"/>
      <c r="DII70" s="29"/>
      <c r="DIJ70" s="29"/>
      <c r="DIK70" s="29"/>
      <c r="DIL70" s="29"/>
      <c r="DIM70" s="29"/>
      <c r="DIN70" s="29"/>
      <c r="DIO70" s="29"/>
      <c r="DIP70" s="29"/>
      <c r="DIQ70" s="29"/>
      <c r="DIR70" s="29"/>
      <c r="DIS70" s="29"/>
      <c r="DIT70" s="29"/>
      <c r="DIU70" s="29"/>
      <c r="DIV70" s="29"/>
      <c r="DIW70" s="29"/>
      <c r="DIX70" s="29"/>
      <c r="DIY70" s="29"/>
      <c r="DIZ70" s="29"/>
      <c r="DJA70" s="29"/>
      <c r="DJB70" s="29"/>
      <c r="DJC70" s="29"/>
      <c r="DJD70" s="29"/>
      <c r="DJE70" s="29"/>
      <c r="DJF70" s="29"/>
      <c r="DJG70" s="29"/>
      <c r="DJH70" s="29"/>
      <c r="DJI70" s="29"/>
      <c r="DJJ70" s="29"/>
      <c r="DJK70" s="29"/>
      <c r="DJL70" s="29"/>
      <c r="DJM70" s="29"/>
      <c r="DJN70" s="29"/>
      <c r="DJO70" s="29"/>
      <c r="DJP70" s="29"/>
      <c r="DJQ70" s="29"/>
      <c r="DJR70" s="29"/>
      <c r="DJS70" s="29"/>
      <c r="DJT70" s="29"/>
      <c r="DJU70" s="29"/>
      <c r="DJV70" s="29"/>
      <c r="DJW70" s="29"/>
      <c r="DJX70" s="29"/>
      <c r="DJY70" s="29"/>
      <c r="DJZ70" s="29"/>
      <c r="DKA70" s="29"/>
      <c r="DKB70" s="29"/>
      <c r="DKC70" s="29"/>
      <c r="DKD70" s="29"/>
      <c r="DKE70" s="29"/>
      <c r="DKF70" s="29"/>
      <c r="DKG70" s="29"/>
      <c r="DKH70" s="29"/>
      <c r="DKI70" s="29"/>
      <c r="DKJ70" s="29"/>
      <c r="DKK70" s="29"/>
      <c r="DKL70" s="29"/>
      <c r="DKM70" s="29"/>
      <c r="DKN70" s="29"/>
      <c r="DKO70" s="29"/>
      <c r="DKP70" s="29"/>
      <c r="DKQ70" s="29"/>
      <c r="DKR70" s="29"/>
      <c r="DKS70" s="29"/>
      <c r="DKT70" s="29"/>
      <c r="DKU70" s="29"/>
      <c r="DKV70" s="29"/>
      <c r="DKW70" s="29"/>
      <c r="DKX70" s="29"/>
      <c r="DKY70" s="29"/>
      <c r="DKZ70" s="29"/>
      <c r="DLA70" s="29"/>
      <c r="DLB70" s="29"/>
      <c r="DLC70" s="29"/>
      <c r="DLD70" s="29"/>
      <c r="DLE70" s="29"/>
      <c r="DLF70" s="29"/>
      <c r="DLG70" s="29"/>
      <c r="DLH70" s="29"/>
      <c r="DLI70" s="29"/>
      <c r="DLJ70" s="29"/>
      <c r="DLK70" s="29"/>
      <c r="DLL70" s="29"/>
      <c r="DLM70" s="29"/>
      <c r="DLN70" s="29"/>
      <c r="DLO70" s="29"/>
      <c r="DLP70" s="29"/>
      <c r="DLQ70" s="29"/>
      <c r="DLR70" s="29"/>
      <c r="DLS70" s="29"/>
      <c r="DLT70" s="29"/>
      <c r="DLU70" s="29"/>
      <c r="DLV70" s="29"/>
      <c r="DLW70" s="29"/>
      <c r="DLX70" s="29"/>
      <c r="DLY70" s="29"/>
      <c r="DLZ70" s="29"/>
      <c r="DMA70" s="29"/>
      <c r="DMB70" s="29"/>
      <c r="DMC70" s="29"/>
      <c r="DMD70" s="29"/>
      <c r="DME70" s="29"/>
      <c r="DMF70" s="29"/>
      <c r="DMG70" s="29"/>
      <c r="DMH70" s="29"/>
      <c r="DMI70" s="29"/>
      <c r="DMJ70" s="29"/>
      <c r="DMK70" s="29"/>
      <c r="DML70" s="29"/>
      <c r="DMM70" s="29"/>
      <c r="DMN70" s="29"/>
      <c r="DMO70" s="29"/>
      <c r="DMP70" s="29"/>
      <c r="DMQ70" s="29"/>
      <c r="DMR70" s="29"/>
      <c r="DMS70" s="29"/>
      <c r="DMT70" s="29"/>
      <c r="DMU70" s="29"/>
      <c r="DMV70" s="29"/>
      <c r="DMW70" s="29"/>
      <c r="DMX70" s="29"/>
      <c r="DMY70" s="29"/>
      <c r="DMZ70" s="29"/>
      <c r="DNA70" s="29"/>
      <c r="DNB70" s="29"/>
      <c r="DNC70" s="29"/>
      <c r="DND70" s="29"/>
      <c r="DNE70" s="29"/>
      <c r="DNF70" s="29"/>
      <c r="DNG70" s="29"/>
      <c r="DNH70" s="29"/>
      <c r="DNI70" s="29"/>
      <c r="DNJ70" s="29"/>
      <c r="DNK70" s="29"/>
      <c r="DNL70" s="29"/>
      <c r="DNM70" s="29"/>
      <c r="DNN70" s="29"/>
      <c r="DNO70" s="29"/>
      <c r="DNP70" s="29"/>
      <c r="DNQ70" s="29"/>
      <c r="DNR70" s="29"/>
      <c r="DNS70" s="29"/>
      <c r="DNT70" s="29"/>
      <c r="DNU70" s="29"/>
      <c r="DNV70" s="29"/>
      <c r="DNW70" s="29"/>
      <c r="DNX70" s="29"/>
      <c r="DNY70" s="29"/>
      <c r="DNZ70" s="29"/>
      <c r="DOA70" s="29"/>
      <c r="DOB70" s="29"/>
      <c r="DOC70" s="29"/>
      <c r="DOD70" s="29"/>
      <c r="DOE70" s="29"/>
      <c r="DOF70" s="29"/>
      <c r="DOG70" s="29"/>
      <c r="DOH70" s="29"/>
      <c r="DOI70" s="29"/>
      <c r="DOJ70" s="29"/>
      <c r="DOK70" s="29"/>
      <c r="DOL70" s="29"/>
      <c r="DOM70" s="29"/>
      <c r="DON70" s="29"/>
      <c r="DOO70" s="29"/>
      <c r="DOP70" s="29"/>
      <c r="DOQ70" s="29"/>
      <c r="DOR70" s="29"/>
      <c r="DOS70" s="29"/>
      <c r="DOT70" s="29"/>
      <c r="DOU70" s="29"/>
      <c r="DOV70" s="29"/>
      <c r="DOW70" s="29"/>
      <c r="DOX70" s="29"/>
      <c r="DOY70" s="29"/>
      <c r="DOZ70" s="29"/>
      <c r="DPA70" s="29"/>
      <c r="DPB70" s="29"/>
      <c r="DPC70" s="29"/>
      <c r="DPD70" s="29"/>
      <c r="DPE70" s="29"/>
      <c r="DPF70" s="29"/>
      <c r="DPG70" s="29"/>
      <c r="DPH70" s="29"/>
      <c r="DPI70" s="29"/>
      <c r="DPJ70" s="29"/>
      <c r="DPK70" s="29"/>
      <c r="DPL70" s="29"/>
      <c r="DPM70" s="29"/>
      <c r="DPN70" s="29"/>
      <c r="DPO70" s="29"/>
      <c r="DPP70" s="29"/>
      <c r="DPQ70" s="29"/>
      <c r="DPR70" s="29"/>
      <c r="DPS70" s="29"/>
      <c r="DPT70" s="29"/>
      <c r="DPU70" s="29"/>
      <c r="DPV70" s="29"/>
      <c r="DPW70" s="29"/>
      <c r="DPX70" s="29"/>
      <c r="DPY70" s="29"/>
      <c r="DPZ70" s="29"/>
      <c r="DQA70" s="29"/>
      <c r="DQB70" s="29"/>
      <c r="DQC70" s="29"/>
      <c r="DQD70" s="29"/>
      <c r="DQE70" s="29"/>
      <c r="DQF70" s="29"/>
      <c r="DQG70" s="29"/>
      <c r="DQH70" s="29"/>
      <c r="DQI70" s="29"/>
      <c r="DQJ70" s="29"/>
      <c r="DQK70" s="29"/>
      <c r="DQL70" s="29"/>
      <c r="DQM70" s="29"/>
      <c r="DQN70" s="29"/>
      <c r="DQO70" s="29"/>
      <c r="DQP70" s="29"/>
      <c r="DQQ70" s="29"/>
      <c r="DQR70" s="29"/>
      <c r="DQS70" s="29"/>
      <c r="DQT70" s="29"/>
      <c r="DQU70" s="29"/>
      <c r="DQV70" s="29"/>
      <c r="DQW70" s="29"/>
      <c r="DQX70" s="29"/>
      <c r="DQY70" s="29"/>
      <c r="DQZ70" s="29"/>
      <c r="DRA70" s="29"/>
      <c r="DRB70" s="29"/>
      <c r="DRC70" s="29"/>
      <c r="DRD70" s="29"/>
      <c r="DRE70" s="29"/>
      <c r="DRF70" s="29"/>
      <c r="DRG70" s="29"/>
      <c r="DRH70" s="29"/>
      <c r="DRI70" s="29"/>
      <c r="DRJ70" s="29"/>
      <c r="DRK70" s="29"/>
      <c r="DRL70" s="29"/>
      <c r="DRM70" s="29"/>
      <c r="DRN70" s="29"/>
      <c r="DRO70" s="29"/>
      <c r="DRP70" s="29"/>
      <c r="DRQ70" s="29"/>
      <c r="DRR70" s="29"/>
      <c r="DRS70" s="29"/>
      <c r="DRT70" s="29"/>
      <c r="DRU70" s="29"/>
      <c r="DRV70" s="29"/>
      <c r="DRW70" s="29"/>
      <c r="DRX70" s="29"/>
      <c r="DRY70" s="29"/>
      <c r="DRZ70" s="29"/>
      <c r="DSA70" s="29"/>
      <c r="DSB70" s="29"/>
      <c r="DSC70" s="29"/>
      <c r="DSD70" s="29"/>
      <c r="DSE70" s="29"/>
      <c r="DSF70" s="29"/>
      <c r="DSG70" s="29"/>
      <c r="DSH70" s="29"/>
      <c r="DSI70" s="29"/>
      <c r="DSJ70" s="29"/>
      <c r="DSK70" s="29"/>
      <c r="DSL70" s="29"/>
      <c r="DSM70" s="29"/>
      <c r="DSN70" s="29"/>
      <c r="DSO70" s="29"/>
      <c r="DSP70" s="29"/>
      <c r="DSQ70" s="29"/>
      <c r="DSR70" s="29"/>
      <c r="DSS70" s="29"/>
      <c r="DST70" s="29"/>
      <c r="DSU70" s="29"/>
      <c r="DSV70" s="29"/>
      <c r="DSW70" s="29"/>
      <c r="DSX70" s="29"/>
      <c r="DSY70" s="29"/>
      <c r="DSZ70" s="29"/>
      <c r="DTA70" s="29"/>
      <c r="DTB70" s="29"/>
      <c r="DTC70" s="29"/>
      <c r="DTD70" s="29"/>
      <c r="DTE70" s="29"/>
      <c r="DTF70" s="29"/>
      <c r="DTG70" s="29"/>
      <c r="DTH70" s="29"/>
      <c r="DTI70" s="29"/>
      <c r="DTJ70" s="29"/>
      <c r="DTK70" s="29"/>
      <c r="DTL70" s="29"/>
      <c r="DTM70" s="29"/>
      <c r="DTN70" s="29"/>
      <c r="DTO70" s="29"/>
      <c r="DTP70" s="29"/>
      <c r="DTQ70" s="29"/>
      <c r="DTR70" s="29"/>
      <c r="DTS70" s="29"/>
      <c r="DTT70" s="29"/>
      <c r="DTU70" s="29"/>
      <c r="DTV70" s="29"/>
      <c r="DTW70" s="29"/>
      <c r="DTX70" s="29"/>
      <c r="DTY70" s="29"/>
      <c r="DTZ70" s="29"/>
      <c r="DUA70" s="29"/>
      <c r="DUB70" s="29"/>
      <c r="DUC70" s="29"/>
      <c r="DUD70" s="29"/>
      <c r="DUE70" s="29"/>
      <c r="DUF70" s="29"/>
      <c r="DUG70" s="29"/>
      <c r="DUH70" s="29"/>
      <c r="DUI70" s="29"/>
      <c r="DUJ70" s="29"/>
      <c r="DUK70" s="29"/>
      <c r="DUL70" s="29"/>
      <c r="DUM70" s="29"/>
      <c r="DUN70" s="29"/>
      <c r="DUO70" s="29"/>
      <c r="DUP70" s="29"/>
      <c r="DUQ70" s="29"/>
      <c r="DUR70" s="29"/>
      <c r="DUS70" s="29"/>
      <c r="DUT70" s="29"/>
      <c r="DUU70" s="29"/>
      <c r="DUV70" s="29"/>
      <c r="DUW70" s="29"/>
      <c r="DUX70" s="29"/>
      <c r="DUY70" s="29"/>
      <c r="DUZ70" s="29"/>
      <c r="DVA70" s="29"/>
      <c r="DVB70" s="29"/>
      <c r="DVC70" s="29"/>
      <c r="DVD70" s="29"/>
      <c r="DVE70" s="29"/>
      <c r="DVF70" s="29"/>
      <c r="DVG70" s="29"/>
      <c r="DVH70" s="29"/>
      <c r="DVI70" s="29"/>
      <c r="DVJ70" s="29"/>
      <c r="DVK70" s="29"/>
      <c r="DVL70" s="29"/>
      <c r="DVM70" s="29"/>
      <c r="DVN70" s="29"/>
      <c r="DVO70" s="29"/>
      <c r="DVP70" s="29"/>
      <c r="DVQ70" s="29"/>
      <c r="DVR70" s="29"/>
      <c r="DVS70" s="29"/>
      <c r="DVT70" s="29"/>
      <c r="DVU70" s="29"/>
      <c r="DVV70" s="29"/>
      <c r="DVW70" s="29"/>
      <c r="DVX70" s="29"/>
      <c r="DVY70" s="29"/>
      <c r="DVZ70" s="29"/>
      <c r="DWA70" s="29"/>
      <c r="DWB70" s="29"/>
      <c r="DWC70" s="29"/>
      <c r="DWD70" s="29"/>
      <c r="DWE70" s="29"/>
      <c r="DWF70" s="29"/>
      <c r="DWG70" s="29"/>
      <c r="DWH70" s="29"/>
      <c r="DWI70" s="29"/>
      <c r="DWJ70" s="29"/>
      <c r="DWK70" s="29"/>
      <c r="DWL70" s="29"/>
      <c r="DWM70" s="29"/>
      <c r="DWN70" s="29"/>
      <c r="DWO70" s="29"/>
      <c r="DWP70" s="29"/>
      <c r="DWQ70" s="29"/>
      <c r="DWR70" s="29"/>
      <c r="DWS70" s="29"/>
      <c r="DWT70" s="29"/>
      <c r="DWU70" s="29"/>
      <c r="DWV70" s="29"/>
      <c r="DWW70" s="29"/>
      <c r="DWX70" s="29"/>
      <c r="DWY70" s="29"/>
      <c r="DWZ70" s="29"/>
      <c r="DXA70" s="29"/>
      <c r="DXB70" s="29"/>
      <c r="DXC70" s="29"/>
      <c r="DXD70" s="29"/>
      <c r="DXE70" s="29"/>
      <c r="DXF70" s="29"/>
      <c r="DXG70" s="29"/>
      <c r="DXH70" s="29"/>
      <c r="DXI70" s="29"/>
      <c r="DXJ70" s="29"/>
      <c r="DXK70" s="29"/>
      <c r="DXL70" s="29"/>
      <c r="DXM70" s="29"/>
      <c r="DXN70" s="29"/>
      <c r="DXO70" s="29"/>
      <c r="DXP70" s="29"/>
      <c r="DXQ70" s="29"/>
      <c r="DXR70" s="29"/>
      <c r="DXS70" s="29"/>
      <c r="DXT70" s="29"/>
      <c r="DXU70" s="29"/>
      <c r="DXV70" s="29"/>
      <c r="DXW70" s="29"/>
      <c r="DXX70" s="29"/>
      <c r="DXY70" s="29"/>
      <c r="DXZ70" s="29"/>
      <c r="DYA70" s="29"/>
      <c r="DYB70" s="29"/>
      <c r="DYC70" s="29"/>
      <c r="DYD70" s="29"/>
      <c r="DYE70" s="29"/>
      <c r="DYF70" s="29"/>
      <c r="DYG70" s="29"/>
      <c r="DYH70" s="29"/>
      <c r="DYI70" s="29"/>
      <c r="DYJ70" s="29"/>
      <c r="DYK70" s="29"/>
      <c r="DYL70" s="29"/>
      <c r="DYM70" s="29"/>
      <c r="DYN70" s="29"/>
      <c r="DYO70" s="29"/>
      <c r="DYP70" s="29"/>
      <c r="DYQ70" s="29"/>
      <c r="DYR70" s="29"/>
      <c r="DYS70" s="29"/>
      <c r="DYT70" s="29"/>
      <c r="DYU70" s="29"/>
      <c r="DYV70" s="29"/>
      <c r="DYW70" s="29"/>
      <c r="DYX70" s="29"/>
      <c r="DYY70" s="29"/>
      <c r="DYZ70" s="29"/>
      <c r="DZA70" s="29"/>
      <c r="DZB70" s="29"/>
      <c r="DZC70" s="29"/>
      <c r="DZD70" s="29"/>
      <c r="DZE70" s="29"/>
      <c r="DZF70" s="29"/>
      <c r="DZG70" s="29"/>
      <c r="DZH70" s="29"/>
      <c r="DZI70" s="29"/>
      <c r="DZJ70" s="29"/>
      <c r="DZK70" s="29"/>
      <c r="DZL70" s="29"/>
      <c r="DZM70" s="29"/>
      <c r="DZN70" s="29"/>
      <c r="DZO70" s="29"/>
      <c r="DZP70" s="29"/>
      <c r="DZQ70" s="29"/>
      <c r="DZR70" s="29"/>
      <c r="DZS70" s="29"/>
      <c r="DZT70" s="29"/>
      <c r="DZU70" s="29"/>
      <c r="DZV70" s="29"/>
      <c r="DZW70" s="29"/>
      <c r="DZX70" s="29"/>
      <c r="DZY70" s="29"/>
      <c r="DZZ70" s="29"/>
      <c r="EAA70" s="29"/>
      <c r="EAB70" s="29"/>
      <c r="EAC70" s="29"/>
      <c r="EAD70" s="29"/>
      <c r="EAE70" s="29"/>
      <c r="EAF70" s="29"/>
      <c r="EAG70" s="29"/>
      <c r="EAH70" s="29"/>
      <c r="EAI70" s="29"/>
      <c r="EAJ70" s="29"/>
      <c r="EAK70" s="29"/>
      <c r="EAL70" s="29"/>
      <c r="EAM70" s="29"/>
      <c r="EAN70" s="29"/>
      <c r="EAO70" s="29"/>
      <c r="EAP70" s="29"/>
      <c r="EAQ70" s="29"/>
      <c r="EAR70" s="29"/>
      <c r="EAS70" s="29"/>
      <c r="EAT70" s="29"/>
      <c r="EAU70" s="29"/>
      <c r="EAV70" s="29"/>
      <c r="EAW70" s="29"/>
      <c r="EAX70" s="29"/>
      <c r="EAY70" s="29"/>
      <c r="EAZ70" s="29"/>
      <c r="EBA70" s="29"/>
      <c r="EBB70" s="29"/>
      <c r="EBC70" s="29"/>
      <c r="EBD70" s="29"/>
      <c r="EBE70" s="29"/>
      <c r="EBF70" s="29"/>
      <c r="EBG70" s="29"/>
      <c r="EBH70" s="29"/>
      <c r="EBI70" s="29"/>
      <c r="EBJ70" s="29"/>
      <c r="EBK70" s="29"/>
      <c r="EBL70" s="29"/>
      <c r="EBM70" s="29"/>
      <c r="EBN70" s="29"/>
      <c r="EBO70" s="29"/>
      <c r="EBP70" s="29"/>
      <c r="EBQ70" s="29"/>
      <c r="EBR70" s="29"/>
      <c r="EBS70" s="29"/>
      <c r="EBT70" s="29"/>
      <c r="EBU70" s="29"/>
      <c r="EBV70" s="29"/>
      <c r="EBW70" s="29"/>
      <c r="EBX70" s="29"/>
      <c r="EBY70" s="29"/>
      <c r="EBZ70" s="29"/>
      <c r="ECA70" s="29"/>
      <c r="ECB70" s="29"/>
      <c r="ECC70" s="29"/>
      <c r="ECD70" s="29"/>
      <c r="ECE70" s="29"/>
      <c r="ECF70" s="29"/>
      <c r="ECG70" s="29"/>
      <c r="ECH70" s="29"/>
      <c r="ECI70" s="29"/>
      <c r="ECJ70" s="29"/>
      <c r="ECK70" s="29"/>
      <c r="ECL70" s="29"/>
      <c r="ECM70" s="29"/>
      <c r="ECN70" s="29"/>
      <c r="ECO70" s="29"/>
      <c r="ECP70" s="29"/>
      <c r="ECQ70" s="29"/>
      <c r="ECR70" s="29"/>
      <c r="ECS70" s="29"/>
      <c r="ECT70" s="29"/>
      <c r="ECU70" s="29"/>
      <c r="ECV70" s="29"/>
      <c r="ECW70" s="29"/>
      <c r="ECX70" s="29"/>
      <c r="ECY70" s="29"/>
      <c r="ECZ70" s="29"/>
      <c r="EDA70" s="29"/>
      <c r="EDB70" s="29"/>
      <c r="EDC70" s="29"/>
      <c r="EDD70" s="29"/>
      <c r="EDE70" s="29"/>
      <c r="EDF70" s="29"/>
      <c r="EDG70" s="29"/>
      <c r="EDH70" s="29"/>
      <c r="EDI70" s="29"/>
      <c r="EDJ70" s="29"/>
      <c r="EDK70" s="29"/>
      <c r="EDL70" s="29"/>
      <c r="EDM70" s="29"/>
      <c r="EDN70" s="29"/>
      <c r="EDO70" s="29"/>
      <c r="EDP70" s="29"/>
      <c r="EDQ70" s="29"/>
      <c r="EDR70" s="29"/>
      <c r="EDS70" s="29"/>
      <c r="EDT70" s="29"/>
      <c r="EDU70" s="29"/>
      <c r="EDV70" s="29"/>
      <c r="EDW70" s="29"/>
      <c r="EDX70" s="29"/>
      <c r="EDY70" s="29"/>
      <c r="EDZ70" s="29"/>
      <c r="EEA70" s="29"/>
      <c r="EEB70" s="29"/>
      <c r="EEC70" s="29"/>
      <c r="EED70" s="29"/>
      <c r="EEE70" s="29"/>
      <c r="EEF70" s="29"/>
      <c r="EEG70" s="29"/>
      <c r="EEH70" s="29"/>
      <c r="EEI70" s="29"/>
      <c r="EEJ70" s="29"/>
      <c r="EEK70" s="29"/>
      <c r="EEL70" s="29"/>
      <c r="EEM70" s="29"/>
      <c r="EEN70" s="29"/>
      <c r="EEO70" s="29"/>
      <c r="EEP70" s="29"/>
      <c r="EEQ70" s="29"/>
      <c r="EER70" s="29"/>
      <c r="EES70" s="29"/>
      <c r="EET70" s="29"/>
      <c r="EEU70" s="29"/>
      <c r="EEV70" s="29"/>
      <c r="EEW70" s="29"/>
      <c r="EEX70" s="29"/>
      <c r="EEY70" s="29"/>
      <c r="EEZ70" s="29"/>
      <c r="EFA70" s="29"/>
      <c r="EFB70" s="29"/>
      <c r="EFC70" s="29"/>
      <c r="EFD70" s="29"/>
      <c r="EFE70" s="29"/>
      <c r="EFF70" s="29"/>
      <c r="EFG70" s="29"/>
      <c r="EFH70" s="29"/>
      <c r="EFI70" s="29"/>
      <c r="EFJ70" s="29"/>
      <c r="EFK70" s="29"/>
      <c r="EFL70" s="29"/>
      <c r="EFM70" s="29"/>
      <c r="EFN70" s="29"/>
      <c r="EFO70" s="29"/>
      <c r="EFP70" s="29"/>
      <c r="EFQ70" s="29"/>
      <c r="EFR70" s="29"/>
      <c r="EFS70" s="29"/>
      <c r="EFT70" s="29"/>
      <c r="EFU70" s="29"/>
      <c r="EFV70" s="29"/>
      <c r="EFW70" s="29"/>
      <c r="EFX70" s="29"/>
      <c r="EFY70" s="29"/>
      <c r="EFZ70" s="29"/>
      <c r="EGA70" s="29"/>
      <c r="EGB70" s="29"/>
      <c r="EGC70" s="29"/>
      <c r="EGD70" s="29"/>
      <c r="EGE70" s="29"/>
      <c r="EGF70" s="29"/>
      <c r="EGG70" s="29"/>
      <c r="EGH70" s="29"/>
      <c r="EGI70" s="29"/>
      <c r="EGJ70" s="29"/>
      <c r="EGK70" s="29"/>
      <c r="EGL70" s="29"/>
      <c r="EGM70" s="29"/>
      <c r="EGN70" s="29"/>
      <c r="EGO70" s="29"/>
      <c r="EGP70" s="29"/>
      <c r="EGQ70" s="29"/>
      <c r="EGR70" s="29"/>
      <c r="EGS70" s="29"/>
      <c r="EGT70" s="29"/>
      <c r="EGU70" s="29"/>
      <c r="EGV70" s="29"/>
      <c r="EGW70" s="29"/>
      <c r="EGX70" s="29"/>
      <c r="EGY70" s="29"/>
      <c r="EGZ70" s="29"/>
      <c r="EHA70" s="29"/>
      <c r="EHB70" s="29"/>
      <c r="EHC70" s="29"/>
      <c r="EHD70" s="29"/>
      <c r="EHE70" s="29"/>
      <c r="EHF70" s="29"/>
      <c r="EHG70" s="29"/>
      <c r="EHH70" s="29"/>
      <c r="EHI70" s="29"/>
      <c r="EHJ70" s="29"/>
      <c r="EHK70" s="29"/>
      <c r="EHL70" s="29"/>
      <c r="EHM70" s="29"/>
      <c r="EHN70" s="29"/>
      <c r="EHO70" s="29"/>
      <c r="EHP70" s="29"/>
      <c r="EHQ70" s="29"/>
      <c r="EHR70" s="29"/>
      <c r="EHS70" s="29"/>
      <c r="EHT70" s="29"/>
      <c r="EHU70" s="29"/>
      <c r="EHV70" s="29"/>
      <c r="EHW70" s="29"/>
      <c r="EHX70" s="29"/>
      <c r="EHY70" s="29"/>
      <c r="EHZ70" s="29"/>
      <c r="EIA70" s="29"/>
      <c r="EIB70" s="29"/>
      <c r="EIC70" s="29"/>
      <c r="EID70" s="29"/>
      <c r="EIE70" s="29"/>
      <c r="EIF70" s="29"/>
      <c r="EIG70" s="29"/>
      <c r="EIH70" s="29"/>
      <c r="EII70" s="29"/>
      <c r="EIJ70" s="29"/>
      <c r="EIK70" s="29"/>
      <c r="EIL70" s="29"/>
      <c r="EIM70" s="29"/>
      <c r="EIN70" s="29"/>
      <c r="EIO70" s="29"/>
      <c r="EIP70" s="29"/>
      <c r="EIQ70" s="29"/>
      <c r="EIR70" s="29"/>
      <c r="EIS70" s="29"/>
      <c r="EIT70" s="29"/>
      <c r="EIU70" s="29"/>
      <c r="EIV70" s="29"/>
      <c r="EIW70" s="29"/>
      <c r="EIX70" s="29"/>
      <c r="EIY70" s="29"/>
      <c r="EIZ70" s="29"/>
      <c r="EJA70" s="29"/>
      <c r="EJB70" s="29"/>
      <c r="EJC70" s="29"/>
      <c r="EJD70" s="29"/>
      <c r="EJE70" s="29"/>
      <c r="EJF70" s="29"/>
      <c r="EJG70" s="29"/>
      <c r="EJH70" s="29"/>
      <c r="EJI70" s="29"/>
      <c r="EJJ70" s="29"/>
      <c r="EJK70" s="29"/>
      <c r="EJL70" s="29"/>
      <c r="EJM70" s="29"/>
      <c r="EJN70" s="29"/>
      <c r="EJO70" s="29"/>
      <c r="EJP70" s="29"/>
      <c r="EJQ70" s="29"/>
      <c r="EJR70" s="29"/>
      <c r="EJS70" s="29"/>
      <c r="EJT70" s="29"/>
      <c r="EJU70" s="29"/>
      <c r="EJV70" s="29"/>
      <c r="EJW70" s="29"/>
      <c r="EJX70" s="29"/>
      <c r="EJY70" s="29"/>
      <c r="EJZ70" s="29"/>
      <c r="EKA70" s="29"/>
      <c r="EKB70" s="29"/>
      <c r="EKC70" s="29"/>
      <c r="EKD70" s="29"/>
      <c r="EKE70" s="29"/>
      <c r="EKF70" s="29"/>
      <c r="EKG70" s="29"/>
      <c r="EKH70" s="29"/>
      <c r="EKI70" s="29"/>
      <c r="EKJ70" s="29"/>
      <c r="EKK70" s="29"/>
      <c r="EKL70" s="29"/>
      <c r="EKM70" s="29"/>
      <c r="EKN70" s="29"/>
      <c r="EKO70" s="29"/>
      <c r="EKP70" s="29"/>
      <c r="EKQ70" s="29"/>
      <c r="EKR70" s="29"/>
      <c r="EKS70" s="29"/>
      <c r="EKT70" s="29"/>
      <c r="EKU70" s="29"/>
      <c r="EKV70" s="29"/>
      <c r="EKW70" s="29"/>
      <c r="EKX70" s="29"/>
      <c r="EKY70" s="29"/>
      <c r="EKZ70" s="29"/>
      <c r="ELA70" s="29"/>
      <c r="ELB70" s="29"/>
      <c r="ELC70" s="29"/>
      <c r="ELD70" s="29"/>
      <c r="ELE70" s="29"/>
      <c r="ELF70" s="29"/>
      <c r="ELG70" s="29"/>
      <c r="ELH70" s="29"/>
      <c r="ELI70" s="29"/>
      <c r="ELJ70" s="29"/>
      <c r="ELK70" s="29"/>
      <c r="ELL70" s="29"/>
      <c r="ELM70" s="29"/>
      <c r="ELN70" s="29"/>
      <c r="ELO70" s="29"/>
      <c r="ELP70" s="29"/>
      <c r="ELQ70" s="29"/>
      <c r="ELR70" s="29"/>
      <c r="ELS70" s="29"/>
      <c r="ELT70" s="29"/>
      <c r="ELU70" s="29"/>
      <c r="ELV70" s="29"/>
      <c r="ELW70" s="29"/>
      <c r="ELX70" s="29"/>
      <c r="ELY70" s="29"/>
      <c r="ELZ70" s="29"/>
      <c r="EMA70" s="29"/>
      <c r="EMB70" s="29"/>
      <c r="EMC70" s="29"/>
      <c r="EMD70" s="29"/>
      <c r="EME70" s="29"/>
      <c r="EMF70" s="29"/>
      <c r="EMG70" s="29"/>
      <c r="EMH70" s="29"/>
      <c r="EMI70" s="29"/>
      <c r="EMJ70" s="29"/>
      <c r="EMK70" s="29"/>
      <c r="EML70" s="29"/>
      <c r="EMM70" s="29"/>
      <c r="EMN70" s="29"/>
      <c r="EMO70" s="29"/>
      <c r="EMP70" s="29"/>
      <c r="EMQ70" s="29"/>
      <c r="EMR70" s="29"/>
      <c r="EMS70" s="29"/>
      <c r="EMT70" s="29"/>
      <c r="EMU70" s="29"/>
      <c r="EMV70" s="29"/>
      <c r="EMW70" s="29"/>
      <c r="EMX70" s="29"/>
      <c r="EMY70" s="29"/>
      <c r="EMZ70" s="29"/>
      <c r="ENA70" s="29"/>
      <c r="ENB70" s="29"/>
      <c r="ENC70" s="29"/>
      <c r="END70" s="29"/>
      <c r="ENE70" s="29"/>
      <c r="ENF70" s="29"/>
      <c r="ENG70" s="29"/>
      <c r="ENH70" s="29"/>
      <c r="ENI70" s="29"/>
      <c r="ENJ70" s="29"/>
      <c r="ENK70" s="29"/>
      <c r="ENL70" s="29"/>
      <c r="ENM70" s="29"/>
      <c r="ENN70" s="29"/>
      <c r="ENO70" s="29"/>
      <c r="ENP70" s="29"/>
      <c r="ENQ70" s="29"/>
      <c r="ENR70" s="29"/>
      <c r="ENS70" s="29"/>
      <c r="ENT70" s="29"/>
      <c r="ENU70" s="29"/>
      <c r="ENV70" s="29"/>
      <c r="ENW70" s="29"/>
      <c r="ENX70" s="29"/>
      <c r="ENY70" s="29"/>
      <c r="ENZ70" s="29"/>
      <c r="EOA70" s="29"/>
      <c r="EOB70" s="29"/>
      <c r="EOC70" s="29"/>
      <c r="EOD70" s="29"/>
      <c r="EOE70" s="29"/>
      <c r="EOF70" s="29"/>
      <c r="EOG70" s="29"/>
      <c r="EOH70" s="29"/>
      <c r="EOI70" s="29"/>
      <c r="EOJ70" s="29"/>
      <c r="EOK70" s="29"/>
      <c r="EOL70" s="29"/>
      <c r="EOM70" s="29"/>
      <c r="EON70" s="29"/>
      <c r="EOO70" s="29"/>
      <c r="EOP70" s="29"/>
      <c r="EOQ70" s="29"/>
      <c r="EOR70" s="29"/>
      <c r="EOS70" s="29"/>
      <c r="EOT70" s="29"/>
      <c r="EOU70" s="29"/>
      <c r="EOV70" s="29"/>
      <c r="EOW70" s="29"/>
      <c r="EOX70" s="29"/>
      <c r="EOY70" s="29"/>
      <c r="EOZ70" s="29"/>
      <c r="EPA70" s="29"/>
      <c r="EPB70" s="29"/>
      <c r="EPC70" s="29"/>
      <c r="EPD70" s="29"/>
      <c r="EPE70" s="29"/>
      <c r="EPF70" s="29"/>
      <c r="EPG70" s="29"/>
      <c r="EPH70" s="29"/>
      <c r="EPI70" s="29"/>
      <c r="EPJ70" s="29"/>
      <c r="EPK70" s="29"/>
      <c r="EPL70" s="29"/>
      <c r="EPM70" s="29"/>
      <c r="EPN70" s="29"/>
      <c r="EPO70" s="29"/>
      <c r="EPP70" s="29"/>
      <c r="EPQ70" s="29"/>
      <c r="EPR70" s="29"/>
      <c r="EPS70" s="29"/>
      <c r="EPT70" s="29"/>
      <c r="EPU70" s="29"/>
      <c r="EPV70" s="29"/>
      <c r="EPW70" s="29"/>
      <c r="EPX70" s="29"/>
      <c r="EPY70" s="29"/>
      <c r="EPZ70" s="29"/>
      <c r="EQA70" s="29"/>
      <c r="EQB70" s="29"/>
      <c r="EQC70" s="29"/>
      <c r="EQD70" s="29"/>
      <c r="EQE70" s="29"/>
      <c r="EQF70" s="29"/>
      <c r="EQG70" s="29"/>
      <c r="EQH70" s="29"/>
      <c r="EQI70" s="29"/>
      <c r="EQJ70" s="29"/>
      <c r="EQK70" s="29"/>
      <c r="EQL70" s="29"/>
      <c r="EQM70" s="29"/>
      <c r="EQN70" s="29"/>
      <c r="EQO70" s="29"/>
      <c r="EQP70" s="29"/>
      <c r="EQQ70" s="29"/>
      <c r="EQR70" s="29"/>
      <c r="EQS70" s="29"/>
      <c r="EQT70" s="29"/>
      <c r="EQU70" s="29"/>
      <c r="EQV70" s="29"/>
      <c r="EQW70" s="29"/>
      <c r="EQX70" s="29"/>
      <c r="EQY70" s="29"/>
      <c r="EQZ70" s="29"/>
      <c r="ERA70" s="29"/>
      <c r="ERB70" s="29"/>
      <c r="ERC70" s="29"/>
      <c r="ERD70" s="29"/>
      <c r="ERE70" s="29"/>
      <c r="ERF70" s="29"/>
      <c r="ERG70" s="29"/>
      <c r="ERH70" s="29"/>
      <c r="ERI70" s="29"/>
      <c r="ERJ70" s="29"/>
      <c r="ERK70" s="29"/>
      <c r="ERL70" s="29"/>
      <c r="ERM70" s="29"/>
      <c r="ERN70" s="29"/>
      <c r="ERO70" s="29"/>
      <c r="ERP70" s="29"/>
      <c r="ERQ70" s="29"/>
      <c r="ERR70" s="29"/>
      <c r="ERS70" s="29"/>
      <c r="ERT70" s="29"/>
      <c r="ERU70" s="29"/>
      <c r="ERV70" s="29"/>
      <c r="ERW70" s="29"/>
      <c r="ERX70" s="29"/>
      <c r="ERY70" s="29"/>
      <c r="ERZ70" s="29"/>
      <c r="ESA70" s="29"/>
      <c r="ESB70" s="29"/>
      <c r="ESC70" s="29"/>
      <c r="ESD70" s="29"/>
      <c r="ESE70" s="29"/>
      <c r="ESF70" s="29"/>
      <c r="ESG70" s="29"/>
      <c r="ESH70" s="29"/>
      <c r="ESI70" s="29"/>
      <c r="ESJ70" s="29"/>
      <c r="ESK70" s="29"/>
      <c r="ESL70" s="29"/>
      <c r="ESM70" s="29"/>
      <c r="ESN70" s="29"/>
      <c r="ESO70" s="29"/>
      <c r="ESP70" s="29"/>
      <c r="ESQ70" s="29"/>
      <c r="ESR70" s="29"/>
      <c r="ESS70" s="29"/>
      <c r="EST70" s="29"/>
      <c r="ESU70" s="29"/>
      <c r="ESV70" s="29"/>
      <c r="ESW70" s="29"/>
      <c r="ESX70" s="29"/>
      <c r="ESY70" s="29"/>
      <c r="ESZ70" s="29"/>
      <c r="ETA70" s="29"/>
      <c r="ETB70" s="29"/>
      <c r="ETC70" s="29"/>
      <c r="ETD70" s="29"/>
      <c r="ETE70" s="29"/>
      <c r="ETF70" s="29"/>
      <c r="ETG70" s="29"/>
      <c r="ETH70" s="29"/>
      <c r="ETI70" s="29"/>
      <c r="ETJ70" s="29"/>
      <c r="ETK70" s="29"/>
      <c r="ETL70" s="29"/>
      <c r="ETM70" s="29"/>
      <c r="ETN70" s="29"/>
      <c r="ETO70" s="29"/>
      <c r="ETP70" s="29"/>
      <c r="ETQ70" s="29"/>
      <c r="ETR70" s="29"/>
      <c r="ETS70" s="29"/>
      <c r="ETT70" s="29"/>
      <c r="ETU70" s="29"/>
      <c r="ETV70" s="29"/>
      <c r="ETW70" s="29"/>
      <c r="ETX70" s="29"/>
      <c r="ETY70" s="29"/>
      <c r="ETZ70" s="29"/>
      <c r="EUA70" s="29"/>
      <c r="EUB70" s="29"/>
      <c r="EUC70" s="29"/>
      <c r="EUD70" s="29"/>
      <c r="EUE70" s="29"/>
      <c r="EUF70" s="29"/>
      <c r="EUG70" s="29"/>
      <c r="EUH70" s="29"/>
      <c r="EUI70" s="29"/>
      <c r="EUJ70" s="29"/>
      <c r="EUK70" s="29"/>
      <c r="EUL70" s="29"/>
      <c r="EUM70" s="29"/>
      <c r="EUN70" s="29"/>
      <c r="EUO70" s="29"/>
      <c r="EUP70" s="29"/>
      <c r="EUQ70" s="29"/>
      <c r="EUR70" s="29"/>
      <c r="EUS70" s="29"/>
      <c r="EUT70" s="29"/>
      <c r="EUU70" s="29"/>
      <c r="EUV70" s="29"/>
      <c r="EUW70" s="29"/>
      <c r="EUX70" s="29"/>
      <c r="EUY70" s="29"/>
      <c r="EUZ70" s="29"/>
      <c r="EVA70" s="29"/>
      <c r="EVB70" s="29"/>
      <c r="EVC70" s="29"/>
      <c r="EVD70" s="29"/>
      <c r="EVE70" s="29"/>
      <c r="EVF70" s="29"/>
      <c r="EVG70" s="29"/>
      <c r="EVH70" s="29"/>
      <c r="EVI70" s="29"/>
      <c r="EVJ70" s="29"/>
      <c r="EVK70" s="29"/>
      <c r="EVL70" s="29"/>
      <c r="EVM70" s="29"/>
      <c r="EVN70" s="29"/>
      <c r="EVO70" s="29"/>
      <c r="EVP70" s="29"/>
      <c r="EVQ70" s="29"/>
      <c r="EVR70" s="29"/>
      <c r="EVS70" s="29"/>
      <c r="EVT70" s="29"/>
      <c r="EVU70" s="29"/>
      <c r="EVV70" s="29"/>
      <c r="EVW70" s="29"/>
      <c r="EVX70" s="29"/>
      <c r="EVY70" s="29"/>
      <c r="EVZ70" s="29"/>
      <c r="EWA70" s="29"/>
      <c r="EWB70" s="29"/>
      <c r="EWC70" s="29"/>
      <c r="EWD70" s="29"/>
      <c r="EWE70" s="29"/>
      <c r="EWF70" s="29"/>
      <c r="EWG70" s="29"/>
      <c r="EWH70" s="29"/>
      <c r="EWI70" s="29"/>
      <c r="EWJ70" s="29"/>
      <c r="EWK70" s="29"/>
      <c r="EWL70" s="29"/>
      <c r="EWM70" s="29"/>
      <c r="EWN70" s="29"/>
      <c r="EWO70" s="29"/>
      <c r="EWP70" s="29"/>
      <c r="EWQ70" s="29"/>
      <c r="EWR70" s="29"/>
      <c r="EWS70" s="29"/>
      <c r="EWT70" s="29"/>
      <c r="EWU70" s="29"/>
      <c r="EWV70" s="29"/>
      <c r="EWW70" s="29"/>
      <c r="EWX70" s="29"/>
      <c r="EWY70" s="29"/>
      <c r="EWZ70" s="29"/>
      <c r="EXA70" s="29"/>
      <c r="EXB70" s="29"/>
      <c r="EXC70" s="29"/>
      <c r="EXD70" s="29"/>
      <c r="EXE70" s="29"/>
      <c r="EXF70" s="29"/>
      <c r="EXG70" s="29"/>
      <c r="EXH70" s="29"/>
      <c r="EXI70" s="29"/>
      <c r="EXJ70" s="29"/>
      <c r="EXK70" s="29"/>
      <c r="EXL70" s="29"/>
      <c r="EXM70" s="29"/>
      <c r="EXN70" s="29"/>
      <c r="EXO70" s="29"/>
      <c r="EXP70" s="29"/>
      <c r="EXQ70" s="29"/>
      <c r="EXR70" s="29"/>
      <c r="EXS70" s="29"/>
      <c r="EXT70" s="29"/>
      <c r="EXU70" s="29"/>
      <c r="EXV70" s="29"/>
      <c r="EXW70" s="29"/>
      <c r="EXX70" s="29"/>
      <c r="EXY70" s="29"/>
      <c r="EXZ70" s="29"/>
      <c r="EYA70" s="29"/>
      <c r="EYB70" s="29"/>
      <c r="EYC70" s="29"/>
      <c r="EYD70" s="29"/>
      <c r="EYE70" s="29"/>
      <c r="EYF70" s="29"/>
      <c r="EYG70" s="29"/>
      <c r="EYH70" s="29"/>
      <c r="EYI70" s="29"/>
      <c r="EYJ70" s="29"/>
      <c r="EYK70" s="29"/>
      <c r="EYL70" s="29"/>
      <c r="EYM70" s="29"/>
      <c r="EYN70" s="29"/>
      <c r="EYO70" s="29"/>
      <c r="EYP70" s="29"/>
      <c r="EYQ70" s="29"/>
      <c r="EYR70" s="29"/>
      <c r="EYS70" s="29"/>
      <c r="EYT70" s="29"/>
      <c r="EYU70" s="29"/>
      <c r="EYV70" s="29"/>
      <c r="EYW70" s="29"/>
      <c r="EYX70" s="29"/>
      <c r="EYY70" s="29"/>
      <c r="EYZ70" s="29"/>
      <c r="EZA70" s="29"/>
      <c r="EZB70" s="29"/>
      <c r="EZC70" s="29"/>
      <c r="EZD70" s="29"/>
      <c r="EZE70" s="29"/>
      <c r="EZF70" s="29"/>
      <c r="EZG70" s="29"/>
      <c r="EZH70" s="29"/>
      <c r="EZI70" s="29"/>
      <c r="EZJ70" s="29"/>
      <c r="EZK70" s="29"/>
      <c r="EZL70" s="29"/>
      <c r="EZM70" s="29"/>
      <c r="EZN70" s="29"/>
      <c r="EZO70" s="29"/>
      <c r="EZP70" s="29"/>
      <c r="EZQ70" s="29"/>
      <c r="EZR70" s="29"/>
      <c r="EZS70" s="29"/>
      <c r="EZT70" s="29"/>
      <c r="EZU70" s="29"/>
      <c r="EZV70" s="29"/>
      <c r="EZW70" s="29"/>
      <c r="EZX70" s="29"/>
      <c r="EZY70" s="29"/>
      <c r="EZZ70" s="29"/>
      <c r="FAA70" s="29"/>
      <c r="FAB70" s="29"/>
      <c r="FAC70" s="29"/>
      <c r="FAD70" s="29"/>
      <c r="FAE70" s="29"/>
      <c r="FAF70" s="29"/>
      <c r="FAG70" s="29"/>
      <c r="FAH70" s="29"/>
      <c r="FAI70" s="29"/>
      <c r="FAJ70" s="29"/>
      <c r="FAK70" s="29"/>
      <c r="FAL70" s="29"/>
      <c r="FAM70" s="29"/>
      <c r="FAN70" s="29"/>
      <c r="FAO70" s="29"/>
      <c r="FAP70" s="29"/>
      <c r="FAQ70" s="29"/>
      <c r="FAR70" s="29"/>
      <c r="FAS70" s="29"/>
      <c r="FAT70" s="29"/>
      <c r="FAU70" s="29"/>
      <c r="FAV70" s="29"/>
      <c r="FAW70" s="29"/>
      <c r="FAX70" s="29"/>
      <c r="FAY70" s="29"/>
      <c r="FAZ70" s="29"/>
      <c r="FBA70" s="29"/>
      <c r="FBB70" s="29"/>
      <c r="FBC70" s="29"/>
      <c r="FBD70" s="29"/>
      <c r="FBE70" s="29"/>
      <c r="FBF70" s="29"/>
      <c r="FBG70" s="29"/>
      <c r="FBH70" s="29"/>
      <c r="FBI70" s="29"/>
      <c r="FBJ70" s="29"/>
      <c r="FBK70" s="29"/>
      <c r="FBL70" s="29"/>
      <c r="FBM70" s="29"/>
      <c r="FBN70" s="29"/>
      <c r="FBO70" s="29"/>
      <c r="FBP70" s="29"/>
      <c r="FBQ70" s="29"/>
      <c r="FBR70" s="29"/>
      <c r="FBS70" s="29"/>
      <c r="FBT70" s="29"/>
      <c r="FBU70" s="29"/>
      <c r="FBV70" s="29"/>
      <c r="FBW70" s="29"/>
      <c r="FBX70" s="29"/>
      <c r="FBY70" s="29"/>
      <c r="FBZ70" s="29"/>
      <c r="FCA70" s="29"/>
      <c r="FCB70" s="29"/>
      <c r="FCC70" s="29"/>
      <c r="FCD70" s="29"/>
      <c r="FCE70" s="29"/>
      <c r="FCF70" s="29"/>
      <c r="FCG70" s="29"/>
      <c r="FCH70" s="29"/>
      <c r="FCI70" s="29"/>
      <c r="FCJ70" s="29"/>
      <c r="FCK70" s="29"/>
      <c r="FCL70" s="29"/>
      <c r="FCM70" s="29"/>
      <c r="FCN70" s="29"/>
      <c r="FCO70" s="29"/>
      <c r="FCP70" s="29"/>
      <c r="FCQ70" s="29"/>
      <c r="FCR70" s="29"/>
      <c r="FCS70" s="29"/>
      <c r="FCT70" s="29"/>
      <c r="FCU70" s="29"/>
      <c r="FCV70" s="29"/>
      <c r="FCW70" s="29"/>
      <c r="FCX70" s="29"/>
      <c r="FCY70" s="29"/>
      <c r="FCZ70" s="29"/>
      <c r="FDA70" s="29"/>
      <c r="FDB70" s="29"/>
      <c r="FDC70" s="29"/>
      <c r="FDD70" s="29"/>
      <c r="FDE70" s="29"/>
      <c r="FDF70" s="29"/>
      <c r="FDG70" s="29"/>
      <c r="FDH70" s="29"/>
      <c r="FDI70" s="29"/>
      <c r="FDJ70" s="29"/>
      <c r="FDK70" s="29"/>
      <c r="FDL70" s="29"/>
      <c r="FDM70" s="29"/>
      <c r="FDN70" s="29"/>
      <c r="FDO70" s="29"/>
      <c r="FDP70" s="29"/>
      <c r="FDQ70" s="29"/>
      <c r="FDR70" s="29"/>
      <c r="FDS70" s="29"/>
      <c r="FDT70" s="29"/>
      <c r="FDU70" s="29"/>
      <c r="FDV70" s="29"/>
      <c r="FDW70" s="29"/>
      <c r="FDX70" s="29"/>
      <c r="FDY70" s="29"/>
      <c r="FDZ70" s="29"/>
      <c r="FEA70" s="29"/>
      <c r="FEB70" s="29"/>
      <c r="FEC70" s="29"/>
      <c r="FED70" s="29"/>
      <c r="FEE70" s="29"/>
      <c r="FEF70" s="29"/>
      <c r="FEG70" s="29"/>
      <c r="FEH70" s="29"/>
      <c r="FEI70" s="29"/>
      <c r="FEJ70" s="29"/>
      <c r="FEK70" s="29"/>
      <c r="FEL70" s="29"/>
      <c r="FEM70" s="29"/>
      <c r="FEN70" s="29"/>
      <c r="FEO70" s="29"/>
      <c r="FEP70" s="29"/>
      <c r="FEQ70" s="29"/>
      <c r="FER70" s="29"/>
      <c r="FES70" s="29"/>
      <c r="FET70" s="29"/>
      <c r="FEU70" s="29"/>
      <c r="FEV70" s="29"/>
      <c r="FEW70" s="29"/>
      <c r="FEX70" s="29"/>
      <c r="FEY70" s="29"/>
      <c r="FEZ70" s="29"/>
      <c r="FFA70" s="29"/>
      <c r="FFB70" s="29"/>
      <c r="FFC70" s="29"/>
      <c r="FFD70" s="29"/>
      <c r="FFE70" s="29"/>
      <c r="FFF70" s="29"/>
      <c r="FFG70" s="29"/>
      <c r="FFH70" s="29"/>
      <c r="FFI70" s="29"/>
      <c r="FFJ70" s="29"/>
      <c r="FFK70" s="29"/>
      <c r="FFL70" s="29"/>
      <c r="FFM70" s="29"/>
      <c r="FFN70" s="29"/>
      <c r="FFO70" s="29"/>
      <c r="FFP70" s="29"/>
      <c r="FFQ70" s="29"/>
      <c r="FFR70" s="29"/>
      <c r="FFS70" s="29"/>
      <c r="FFT70" s="29"/>
      <c r="FFU70" s="29"/>
      <c r="FFV70" s="29"/>
      <c r="FFW70" s="29"/>
      <c r="FFX70" s="29"/>
      <c r="FFY70" s="29"/>
      <c r="FFZ70" s="29"/>
      <c r="FGA70" s="29"/>
      <c r="FGB70" s="29"/>
      <c r="FGC70" s="29"/>
      <c r="FGD70" s="29"/>
      <c r="FGE70" s="29"/>
      <c r="FGF70" s="29"/>
      <c r="FGG70" s="29"/>
      <c r="FGH70" s="29"/>
      <c r="FGI70" s="29"/>
      <c r="FGJ70" s="29"/>
      <c r="FGK70" s="29"/>
      <c r="FGL70" s="29"/>
      <c r="FGM70" s="29"/>
      <c r="FGN70" s="29"/>
      <c r="FGO70" s="29"/>
      <c r="FGP70" s="29"/>
      <c r="FGQ70" s="29"/>
      <c r="FGR70" s="29"/>
      <c r="FGS70" s="29"/>
      <c r="FGT70" s="29"/>
      <c r="FGU70" s="29"/>
      <c r="FGV70" s="29"/>
      <c r="FGW70" s="29"/>
      <c r="FGX70" s="29"/>
      <c r="FGY70" s="29"/>
      <c r="FGZ70" s="29"/>
      <c r="FHA70" s="29"/>
      <c r="FHB70" s="29"/>
      <c r="FHC70" s="29"/>
      <c r="FHD70" s="29"/>
      <c r="FHE70" s="29"/>
      <c r="FHF70" s="29"/>
      <c r="FHG70" s="29"/>
      <c r="FHH70" s="29"/>
      <c r="FHI70" s="29"/>
      <c r="FHJ70" s="29"/>
      <c r="FHK70" s="29"/>
      <c r="FHL70" s="29"/>
      <c r="FHM70" s="29"/>
      <c r="FHN70" s="29"/>
      <c r="FHO70" s="29"/>
      <c r="FHP70" s="29"/>
      <c r="FHQ70" s="29"/>
      <c r="FHR70" s="29"/>
      <c r="FHS70" s="29"/>
      <c r="FHT70" s="29"/>
      <c r="FHU70" s="29"/>
      <c r="FHV70" s="29"/>
      <c r="FHW70" s="29"/>
      <c r="FHX70" s="29"/>
      <c r="FHY70" s="29"/>
      <c r="FHZ70" s="29"/>
      <c r="FIA70" s="29"/>
      <c r="FIB70" s="29"/>
      <c r="FIC70" s="29"/>
      <c r="FID70" s="29"/>
      <c r="FIE70" s="29"/>
      <c r="FIF70" s="29"/>
      <c r="FIG70" s="29"/>
      <c r="FIH70" s="29"/>
      <c r="FII70" s="29"/>
      <c r="FIJ70" s="29"/>
      <c r="FIK70" s="29"/>
      <c r="FIL70" s="29"/>
      <c r="FIM70" s="29"/>
      <c r="FIN70" s="29"/>
      <c r="FIO70" s="29"/>
      <c r="FIP70" s="29"/>
      <c r="FIQ70" s="29"/>
      <c r="FIR70" s="29"/>
      <c r="FIS70" s="29"/>
      <c r="FIT70" s="29"/>
      <c r="FIU70" s="29"/>
      <c r="FIV70" s="29"/>
      <c r="FIW70" s="29"/>
      <c r="FIX70" s="29"/>
      <c r="FIY70" s="29"/>
      <c r="FIZ70" s="29"/>
      <c r="FJA70" s="29"/>
      <c r="FJB70" s="29"/>
      <c r="FJC70" s="29"/>
      <c r="FJD70" s="29"/>
      <c r="FJE70" s="29"/>
      <c r="FJF70" s="29"/>
      <c r="FJG70" s="29"/>
      <c r="FJH70" s="29"/>
      <c r="FJI70" s="29"/>
      <c r="FJJ70" s="29"/>
      <c r="FJK70" s="29"/>
      <c r="FJL70" s="29"/>
      <c r="FJM70" s="29"/>
      <c r="FJN70" s="29"/>
      <c r="FJO70" s="29"/>
      <c r="FJP70" s="29"/>
      <c r="FJQ70" s="29"/>
      <c r="FJR70" s="29"/>
      <c r="FJS70" s="29"/>
      <c r="FJT70" s="29"/>
      <c r="FJU70" s="29"/>
      <c r="FJV70" s="29"/>
      <c r="FJW70" s="29"/>
      <c r="FJX70" s="29"/>
      <c r="FJY70" s="29"/>
      <c r="FJZ70" s="29"/>
      <c r="FKA70" s="29"/>
      <c r="FKB70" s="29"/>
      <c r="FKC70" s="29"/>
      <c r="FKD70" s="29"/>
      <c r="FKE70" s="29"/>
      <c r="FKF70" s="29"/>
      <c r="FKG70" s="29"/>
      <c r="FKH70" s="29"/>
      <c r="FKI70" s="29"/>
      <c r="FKJ70" s="29"/>
      <c r="FKK70" s="29"/>
      <c r="FKL70" s="29"/>
      <c r="FKM70" s="29"/>
      <c r="FKN70" s="29"/>
      <c r="FKO70" s="29"/>
      <c r="FKP70" s="29"/>
      <c r="FKQ70" s="29"/>
      <c r="FKR70" s="29"/>
      <c r="FKS70" s="29"/>
      <c r="FKT70" s="29"/>
      <c r="FKU70" s="29"/>
      <c r="FKV70" s="29"/>
      <c r="FKW70" s="29"/>
      <c r="FKX70" s="29"/>
      <c r="FKY70" s="29"/>
      <c r="FKZ70" s="29"/>
      <c r="FLA70" s="29"/>
      <c r="FLB70" s="29"/>
      <c r="FLC70" s="29"/>
      <c r="FLD70" s="29"/>
      <c r="FLE70" s="29"/>
      <c r="FLF70" s="29"/>
      <c r="FLG70" s="29"/>
      <c r="FLH70" s="29"/>
      <c r="FLI70" s="29"/>
      <c r="FLJ70" s="29"/>
      <c r="FLK70" s="29"/>
      <c r="FLL70" s="29"/>
      <c r="FLM70" s="29"/>
      <c r="FLN70" s="29"/>
      <c r="FLO70" s="29"/>
      <c r="FLP70" s="29"/>
      <c r="FLQ70" s="29"/>
      <c r="FLR70" s="29"/>
      <c r="FLS70" s="29"/>
      <c r="FLT70" s="29"/>
      <c r="FLU70" s="29"/>
      <c r="FLV70" s="29"/>
      <c r="FLW70" s="29"/>
      <c r="FLX70" s="29"/>
      <c r="FLY70" s="29"/>
      <c r="FLZ70" s="29"/>
      <c r="FMA70" s="29"/>
      <c r="FMB70" s="29"/>
      <c r="FMC70" s="29"/>
      <c r="FMD70" s="29"/>
      <c r="FME70" s="29"/>
      <c r="FMF70" s="29"/>
      <c r="FMG70" s="29"/>
      <c r="FMH70" s="29"/>
      <c r="FMI70" s="29"/>
      <c r="FMJ70" s="29"/>
      <c r="FMK70" s="29"/>
      <c r="FML70" s="29"/>
      <c r="FMM70" s="29"/>
      <c r="FMN70" s="29"/>
      <c r="FMO70" s="29"/>
      <c r="FMP70" s="29"/>
      <c r="FMQ70" s="29"/>
      <c r="FMR70" s="29"/>
      <c r="FMS70" s="29"/>
      <c r="FMT70" s="29"/>
      <c r="FMU70" s="29"/>
      <c r="FMV70" s="29"/>
      <c r="FMW70" s="29"/>
      <c r="FMX70" s="29"/>
      <c r="FMY70" s="29"/>
      <c r="FMZ70" s="29"/>
      <c r="FNA70" s="29"/>
      <c r="FNB70" s="29"/>
      <c r="FNC70" s="29"/>
      <c r="FND70" s="29"/>
      <c r="FNE70" s="29"/>
      <c r="FNF70" s="29"/>
      <c r="FNG70" s="29"/>
      <c r="FNH70" s="29"/>
      <c r="FNI70" s="29"/>
      <c r="FNJ70" s="29"/>
      <c r="FNK70" s="29"/>
      <c r="FNL70" s="29"/>
      <c r="FNM70" s="29"/>
      <c r="FNN70" s="29"/>
      <c r="FNO70" s="29"/>
      <c r="FNP70" s="29"/>
      <c r="FNQ70" s="29"/>
      <c r="FNR70" s="29"/>
      <c r="FNS70" s="29"/>
      <c r="FNT70" s="29"/>
      <c r="FNU70" s="29"/>
      <c r="FNV70" s="29"/>
      <c r="FNW70" s="29"/>
      <c r="FNX70" s="29"/>
      <c r="FNY70" s="29"/>
      <c r="FNZ70" s="29"/>
      <c r="FOA70" s="29"/>
      <c r="FOB70" s="29"/>
      <c r="FOC70" s="29"/>
      <c r="FOD70" s="29"/>
      <c r="FOE70" s="29"/>
      <c r="FOF70" s="29"/>
      <c r="FOG70" s="29"/>
      <c r="FOH70" s="29"/>
      <c r="FOI70" s="29"/>
      <c r="FOJ70" s="29"/>
      <c r="FOK70" s="29"/>
      <c r="FOL70" s="29"/>
      <c r="FOM70" s="29"/>
      <c r="FON70" s="29"/>
      <c r="FOO70" s="29"/>
      <c r="FOP70" s="29"/>
      <c r="FOQ70" s="29"/>
      <c r="FOR70" s="29"/>
      <c r="FOS70" s="29"/>
      <c r="FOT70" s="29"/>
      <c r="FOU70" s="29"/>
      <c r="FOV70" s="29"/>
      <c r="FOW70" s="29"/>
      <c r="FOX70" s="29"/>
      <c r="FOY70" s="29"/>
      <c r="FOZ70" s="29"/>
      <c r="FPA70" s="29"/>
      <c r="FPB70" s="29"/>
      <c r="FPC70" s="29"/>
      <c r="FPD70" s="29"/>
      <c r="FPE70" s="29"/>
      <c r="FPF70" s="29"/>
      <c r="FPG70" s="29"/>
      <c r="FPH70" s="29"/>
      <c r="FPI70" s="29"/>
      <c r="FPJ70" s="29"/>
      <c r="FPK70" s="29"/>
      <c r="FPL70" s="29"/>
      <c r="FPM70" s="29"/>
      <c r="FPN70" s="29"/>
      <c r="FPO70" s="29"/>
      <c r="FPP70" s="29"/>
      <c r="FPQ70" s="29"/>
      <c r="FPR70" s="29"/>
      <c r="FPS70" s="29"/>
      <c r="FPT70" s="29"/>
      <c r="FPU70" s="29"/>
      <c r="FPV70" s="29"/>
      <c r="FPW70" s="29"/>
      <c r="FPX70" s="29"/>
      <c r="FPY70" s="29"/>
      <c r="FPZ70" s="29"/>
      <c r="FQA70" s="29"/>
      <c r="FQB70" s="29"/>
      <c r="FQC70" s="29"/>
      <c r="FQD70" s="29"/>
      <c r="FQE70" s="29"/>
      <c r="FQF70" s="29"/>
      <c r="FQG70" s="29"/>
      <c r="FQH70" s="29"/>
      <c r="FQI70" s="29"/>
      <c r="FQJ70" s="29"/>
      <c r="FQK70" s="29"/>
      <c r="FQL70" s="29"/>
      <c r="FQM70" s="29"/>
      <c r="FQN70" s="29"/>
      <c r="FQO70" s="29"/>
      <c r="FQP70" s="29"/>
      <c r="FQQ70" s="29"/>
      <c r="FQR70" s="29"/>
      <c r="FQS70" s="29"/>
      <c r="FQT70" s="29"/>
      <c r="FQU70" s="29"/>
      <c r="FQV70" s="29"/>
      <c r="FQW70" s="29"/>
      <c r="FQX70" s="29"/>
      <c r="FQY70" s="29"/>
      <c r="FQZ70" s="29"/>
      <c r="FRA70" s="29"/>
      <c r="FRB70" s="29"/>
      <c r="FRC70" s="29"/>
      <c r="FRD70" s="29"/>
      <c r="FRE70" s="29"/>
      <c r="FRF70" s="29"/>
      <c r="FRG70" s="29"/>
      <c r="FRH70" s="29"/>
      <c r="FRI70" s="29"/>
      <c r="FRJ70" s="29"/>
      <c r="FRK70" s="29"/>
      <c r="FRL70" s="29"/>
      <c r="FRM70" s="29"/>
      <c r="FRN70" s="29"/>
      <c r="FRO70" s="29"/>
      <c r="FRP70" s="29"/>
      <c r="FRQ70" s="29"/>
      <c r="FRR70" s="29"/>
      <c r="FRS70" s="29"/>
      <c r="FRT70" s="29"/>
      <c r="FRU70" s="29"/>
      <c r="FRV70" s="29"/>
      <c r="FRW70" s="29"/>
      <c r="FRX70" s="29"/>
      <c r="FRY70" s="29"/>
      <c r="FRZ70" s="29"/>
      <c r="FSA70" s="29"/>
      <c r="FSB70" s="29"/>
      <c r="FSC70" s="29"/>
      <c r="FSD70" s="29"/>
      <c r="FSE70" s="29"/>
      <c r="FSF70" s="29"/>
      <c r="FSG70" s="29"/>
      <c r="FSH70" s="29"/>
      <c r="FSI70" s="29"/>
      <c r="FSJ70" s="29"/>
      <c r="FSK70" s="29"/>
      <c r="FSL70" s="29"/>
      <c r="FSM70" s="29"/>
      <c r="FSN70" s="29"/>
      <c r="FSO70" s="29"/>
      <c r="FSP70" s="29"/>
      <c r="FSQ70" s="29"/>
      <c r="FSR70" s="29"/>
      <c r="FSS70" s="29"/>
      <c r="FST70" s="29"/>
      <c r="FSU70" s="29"/>
      <c r="FSV70" s="29"/>
      <c r="FSW70" s="29"/>
      <c r="FSX70" s="29"/>
      <c r="FSY70" s="29"/>
      <c r="FSZ70" s="29"/>
      <c r="FTA70" s="29"/>
      <c r="FTB70" s="29"/>
      <c r="FTC70" s="29"/>
      <c r="FTD70" s="29"/>
      <c r="FTE70" s="29"/>
      <c r="FTF70" s="29"/>
      <c r="FTG70" s="29"/>
      <c r="FTH70" s="29"/>
      <c r="FTI70" s="29"/>
      <c r="FTJ70" s="29"/>
      <c r="FTK70" s="29"/>
      <c r="FTL70" s="29"/>
      <c r="FTM70" s="29"/>
      <c r="FTN70" s="29"/>
      <c r="FTO70" s="29"/>
      <c r="FTP70" s="29"/>
      <c r="FTQ70" s="29"/>
      <c r="FTR70" s="29"/>
      <c r="FTS70" s="29"/>
      <c r="FTT70" s="29"/>
      <c r="FTU70" s="29"/>
      <c r="FTV70" s="29"/>
      <c r="FTW70" s="29"/>
      <c r="FTX70" s="29"/>
      <c r="FTY70" s="29"/>
      <c r="FTZ70" s="29"/>
      <c r="FUA70" s="29"/>
      <c r="FUB70" s="29"/>
      <c r="FUC70" s="29"/>
      <c r="FUD70" s="29"/>
      <c r="FUE70" s="29"/>
      <c r="FUF70" s="29"/>
      <c r="FUG70" s="29"/>
      <c r="FUH70" s="29"/>
      <c r="FUI70" s="29"/>
      <c r="FUJ70" s="29"/>
      <c r="FUK70" s="29"/>
      <c r="FUL70" s="29"/>
      <c r="FUM70" s="29"/>
      <c r="FUN70" s="29"/>
      <c r="FUO70" s="29"/>
      <c r="FUP70" s="29"/>
      <c r="FUQ70" s="29"/>
      <c r="FUR70" s="29"/>
      <c r="FUS70" s="29"/>
      <c r="FUT70" s="29"/>
      <c r="FUU70" s="29"/>
      <c r="FUV70" s="29"/>
      <c r="FUW70" s="29"/>
      <c r="FUX70" s="29"/>
      <c r="FUY70" s="29"/>
      <c r="FUZ70" s="29"/>
      <c r="FVA70" s="29"/>
      <c r="FVB70" s="29"/>
      <c r="FVC70" s="29"/>
      <c r="FVD70" s="29"/>
      <c r="FVE70" s="29"/>
      <c r="FVF70" s="29"/>
      <c r="FVG70" s="29"/>
      <c r="FVH70" s="29"/>
      <c r="FVI70" s="29"/>
      <c r="FVJ70" s="29"/>
      <c r="FVK70" s="29"/>
      <c r="FVL70" s="29"/>
      <c r="FVM70" s="29"/>
      <c r="FVN70" s="29"/>
      <c r="FVO70" s="29"/>
      <c r="FVP70" s="29"/>
      <c r="FVQ70" s="29"/>
      <c r="FVR70" s="29"/>
      <c r="FVS70" s="29"/>
      <c r="FVT70" s="29"/>
      <c r="FVU70" s="29"/>
      <c r="FVV70" s="29"/>
      <c r="FVW70" s="29"/>
      <c r="FVX70" s="29"/>
      <c r="FVY70" s="29"/>
      <c r="FVZ70" s="29"/>
      <c r="FWA70" s="29"/>
      <c r="FWB70" s="29"/>
      <c r="FWC70" s="29"/>
      <c r="FWD70" s="29"/>
      <c r="FWE70" s="29"/>
      <c r="FWF70" s="29"/>
      <c r="FWG70" s="29"/>
      <c r="FWH70" s="29"/>
      <c r="FWI70" s="29"/>
      <c r="FWJ70" s="29"/>
      <c r="FWK70" s="29"/>
      <c r="FWL70" s="29"/>
      <c r="FWM70" s="29"/>
      <c r="FWN70" s="29"/>
      <c r="FWO70" s="29"/>
      <c r="FWP70" s="29"/>
      <c r="FWQ70" s="29"/>
      <c r="FWR70" s="29"/>
      <c r="FWS70" s="29"/>
      <c r="FWT70" s="29"/>
      <c r="FWU70" s="29"/>
      <c r="FWV70" s="29"/>
      <c r="FWW70" s="29"/>
      <c r="FWX70" s="29"/>
      <c r="FWY70" s="29"/>
      <c r="FWZ70" s="29"/>
      <c r="FXA70" s="29"/>
      <c r="FXB70" s="29"/>
      <c r="FXC70" s="29"/>
      <c r="FXD70" s="29"/>
      <c r="FXE70" s="29"/>
      <c r="FXF70" s="29"/>
      <c r="FXG70" s="29"/>
      <c r="FXH70" s="29"/>
      <c r="FXI70" s="29"/>
      <c r="FXJ70" s="29"/>
      <c r="FXK70" s="29"/>
      <c r="FXL70" s="29"/>
      <c r="FXM70" s="29"/>
      <c r="FXN70" s="29"/>
      <c r="FXO70" s="29"/>
      <c r="FXP70" s="29"/>
      <c r="FXQ70" s="29"/>
      <c r="FXR70" s="29"/>
      <c r="FXS70" s="29"/>
      <c r="FXT70" s="29"/>
      <c r="FXU70" s="29"/>
      <c r="FXV70" s="29"/>
      <c r="FXW70" s="29"/>
      <c r="FXX70" s="29"/>
      <c r="FXY70" s="29"/>
      <c r="FXZ70" s="29"/>
      <c r="FYA70" s="29"/>
      <c r="FYB70" s="29"/>
      <c r="FYC70" s="29"/>
      <c r="FYD70" s="29"/>
      <c r="FYE70" s="29"/>
      <c r="FYF70" s="29"/>
      <c r="FYG70" s="29"/>
      <c r="FYH70" s="29"/>
      <c r="FYI70" s="29"/>
      <c r="FYJ70" s="29"/>
      <c r="FYK70" s="29"/>
      <c r="FYL70" s="29"/>
      <c r="FYM70" s="29"/>
      <c r="FYN70" s="29"/>
      <c r="FYO70" s="29"/>
      <c r="FYP70" s="29"/>
      <c r="FYQ70" s="29"/>
      <c r="FYR70" s="29"/>
      <c r="FYS70" s="29"/>
      <c r="FYT70" s="29"/>
      <c r="FYU70" s="29"/>
      <c r="FYV70" s="29"/>
      <c r="FYW70" s="29"/>
      <c r="FYX70" s="29"/>
      <c r="FYY70" s="29"/>
      <c r="FYZ70" s="29"/>
      <c r="FZA70" s="29"/>
      <c r="FZB70" s="29"/>
      <c r="FZC70" s="29"/>
      <c r="FZD70" s="29"/>
      <c r="FZE70" s="29"/>
      <c r="FZF70" s="29"/>
      <c r="FZG70" s="29"/>
      <c r="FZH70" s="29"/>
      <c r="FZI70" s="29"/>
      <c r="FZJ70" s="29"/>
      <c r="FZK70" s="29"/>
      <c r="FZL70" s="29"/>
      <c r="FZM70" s="29"/>
      <c r="FZN70" s="29"/>
      <c r="FZO70" s="29"/>
      <c r="FZP70" s="29"/>
      <c r="FZQ70" s="29"/>
      <c r="FZR70" s="29"/>
      <c r="FZS70" s="29"/>
      <c r="FZT70" s="29"/>
      <c r="FZU70" s="29"/>
      <c r="FZV70" s="29"/>
      <c r="FZW70" s="29"/>
      <c r="FZX70" s="29"/>
      <c r="FZY70" s="29"/>
      <c r="FZZ70" s="29"/>
      <c r="GAA70" s="29"/>
      <c r="GAB70" s="29"/>
      <c r="GAC70" s="29"/>
      <c r="GAD70" s="29"/>
      <c r="GAE70" s="29"/>
      <c r="GAF70" s="29"/>
      <c r="GAG70" s="29"/>
      <c r="GAH70" s="29"/>
      <c r="GAI70" s="29"/>
      <c r="GAJ70" s="29"/>
      <c r="GAK70" s="29"/>
      <c r="GAL70" s="29"/>
      <c r="GAM70" s="29"/>
      <c r="GAN70" s="29"/>
      <c r="GAO70" s="29"/>
      <c r="GAP70" s="29"/>
      <c r="GAQ70" s="29"/>
      <c r="GAR70" s="29"/>
      <c r="GAS70" s="29"/>
      <c r="GAT70" s="29"/>
      <c r="GAU70" s="29"/>
      <c r="GAV70" s="29"/>
      <c r="GAW70" s="29"/>
      <c r="GAX70" s="29"/>
      <c r="GAY70" s="29"/>
      <c r="GAZ70" s="29"/>
      <c r="GBA70" s="29"/>
      <c r="GBB70" s="29"/>
      <c r="GBC70" s="29"/>
      <c r="GBD70" s="29"/>
      <c r="GBE70" s="29"/>
      <c r="GBF70" s="29"/>
      <c r="GBG70" s="29"/>
      <c r="GBH70" s="29"/>
      <c r="GBI70" s="29"/>
      <c r="GBJ70" s="29"/>
      <c r="GBK70" s="29"/>
      <c r="GBL70" s="29"/>
      <c r="GBM70" s="29"/>
      <c r="GBN70" s="29"/>
      <c r="GBO70" s="29"/>
      <c r="GBP70" s="29"/>
      <c r="GBQ70" s="29"/>
      <c r="GBR70" s="29"/>
      <c r="GBS70" s="29"/>
      <c r="GBT70" s="29"/>
      <c r="GBU70" s="29"/>
      <c r="GBV70" s="29"/>
      <c r="GBW70" s="29"/>
      <c r="GBX70" s="29"/>
      <c r="GBY70" s="29"/>
      <c r="GBZ70" s="29"/>
      <c r="GCA70" s="29"/>
      <c r="GCB70" s="29"/>
      <c r="GCC70" s="29"/>
      <c r="GCD70" s="29"/>
      <c r="GCE70" s="29"/>
      <c r="GCF70" s="29"/>
      <c r="GCG70" s="29"/>
      <c r="GCH70" s="29"/>
      <c r="GCI70" s="29"/>
      <c r="GCJ70" s="29"/>
      <c r="GCK70" s="29"/>
      <c r="GCL70" s="29"/>
      <c r="GCM70" s="29"/>
      <c r="GCN70" s="29"/>
      <c r="GCO70" s="29"/>
      <c r="GCP70" s="29"/>
      <c r="GCQ70" s="29"/>
      <c r="GCR70" s="29"/>
      <c r="GCS70" s="29"/>
      <c r="GCT70" s="29"/>
      <c r="GCU70" s="29"/>
      <c r="GCV70" s="29"/>
      <c r="GCW70" s="29"/>
      <c r="GCX70" s="29"/>
      <c r="GCY70" s="29"/>
      <c r="GCZ70" s="29"/>
      <c r="GDA70" s="29"/>
      <c r="GDB70" s="29"/>
      <c r="GDC70" s="29"/>
      <c r="GDD70" s="29"/>
      <c r="GDE70" s="29"/>
      <c r="GDF70" s="29"/>
      <c r="GDG70" s="29"/>
      <c r="GDH70" s="29"/>
      <c r="GDI70" s="29"/>
      <c r="GDJ70" s="29"/>
      <c r="GDK70" s="29"/>
      <c r="GDL70" s="29"/>
      <c r="GDM70" s="29"/>
      <c r="GDN70" s="29"/>
      <c r="GDO70" s="29"/>
      <c r="GDP70" s="29"/>
      <c r="GDQ70" s="29"/>
      <c r="GDR70" s="29"/>
      <c r="GDS70" s="29"/>
      <c r="GDT70" s="29"/>
      <c r="GDU70" s="29"/>
      <c r="GDV70" s="29"/>
      <c r="GDW70" s="29"/>
      <c r="GDX70" s="29"/>
      <c r="GDY70" s="29"/>
      <c r="GDZ70" s="29"/>
      <c r="GEA70" s="29"/>
      <c r="GEB70" s="29"/>
      <c r="GEC70" s="29"/>
      <c r="GED70" s="29"/>
      <c r="GEE70" s="29"/>
      <c r="GEF70" s="29"/>
      <c r="GEG70" s="29"/>
      <c r="GEH70" s="29"/>
      <c r="GEI70" s="29"/>
      <c r="GEJ70" s="29"/>
      <c r="GEK70" s="29"/>
      <c r="GEL70" s="29"/>
      <c r="GEM70" s="29"/>
      <c r="GEN70" s="29"/>
      <c r="GEO70" s="29"/>
      <c r="GEP70" s="29"/>
      <c r="GEQ70" s="29"/>
      <c r="GER70" s="29"/>
      <c r="GES70" s="29"/>
      <c r="GET70" s="29"/>
      <c r="GEU70" s="29"/>
      <c r="GEV70" s="29"/>
      <c r="GEW70" s="29"/>
      <c r="GEX70" s="29"/>
      <c r="GEY70" s="29"/>
      <c r="GEZ70" s="29"/>
      <c r="GFA70" s="29"/>
      <c r="GFB70" s="29"/>
      <c r="GFC70" s="29"/>
      <c r="GFD70" s="29"/>
      <c r="GFE70" s="29"/>
      <c r="GFF70" s="29"/>
      <c r="GFG70" s="29"/>
      <c r="GFH70" s="29"/>
      <c r="GFI70" s="29"/>
      <c r="GFJ70" s="29"/>
      <c r="GFK70" s="29"/>
      <c r="GFL70" s="29"/>
      <c r="GFM70" s="29"/>
      <c r="GFN70" s="29"/>
      <c r="GFO70" s="29"/>
      <c r="GFP70" s="29"/>
      <c r="GFQ70" s="29"/>
      <c r="GFR70" s="29"/>
      <c r="GFS70" s="29"/>
      <c r="GFT70" s="29"/>
      <c r="GFU70" s="29"/>
      <c r="GFV70" s="29"/>
      <c r="GFW70" s="29"/>
      <c r="GFX70" s="29"/>
      <c r="GFY70" s="29"/>
      <c r="GFZ70" s="29"/>
      <c r="GGA70" s="29"/>
      <c r="GGB70" s="29"/>
      <c r="GGC70" s="29"/>
      <c r="GGD70" s="29"/>
      <c r="GGE70" s="29"/>
      <c r="GGF70" s="29"/>
      <c r="GGG70" s="29"/>
      <c r="GGH70" s="29"/>
      <c r="GGI70" s="29"/>
      <c r="GGJ70" s="29"/>
      <c r="GGK70" s="29"/>
      <c r="GGL70" s="29"/>
      <c r="GGM70" s="29"/>
      <c r="GGN70" s="29"/>
      <c r="GGO70" s="29"/>
      <c r="GGP70" s="29"/>
      <c r="GGQ70" s="29"/>
      <c r="GGR70" s="29"/>
      <c r="GGS70" s="29"/>
      <c r="GGT70" s="29"/>
      <c r="GGU70" s="29"/>
      <c r="GGV70" s="29"/>
      <c r="GGW70" s="29"/>
      <c r="GGX70" s="29"/>
      <c r="GGY70" s="29"/>
      <c r="GGZ70" s="29"/>
      <c r="GHA70" s="29"/>
      <c r="GHB70" s="29"/>
      <c r="GHC70" s="29"/>
      <c r="GHD70" s="29"/>
      <c r="GHE70" s="29"/>
      <c r="GHF70" s="29"/>
      <c r="GHG70" s="29"/>
      <c r="GHH70" s="29"/>
      <c r="GHI70" s="29"/>
      <c r="GHJ70" s="29"/>
      <c r="GHK70" s="29"/>
      <c r="GHL70" s="29"/>
      <c r="GHM70" s="29"/>
      <c r="GHN70" s="29"/>
      <c r="GHO70" s="29"/>
      <c r="GHP70" s="29"/>
      <c r="GHQ70" s="29"/>
      <c r="GHR70" s="29"/>
      <c r="GHS70" s="29"/>
      <c r="GHT70" s="29"/>
      <c r="GHU70" s="29"/>
      <c r="GHV70" s="29"/>
      <c r="GHW70" s="29"/>
      <c r="GHX70" s="29"/>
      <c r="GHY70" s="29"/>
      <c r="GHZ70" s="29"/>
      <c r="GIA70" s="29"/>
      <c r="GIB70" s="29"/>
      <c r="GIC70" s="29"/>
      <c r="GID70" s="29"/>
      <c r="GIE70" s="29"/>
      <c r="GIF70" s="29"/>
      <c r="GIG70" s="29"/>
      <c r="GIH70" s="29"/>
      <c r="GII70" s="29"/>
      <c r="GIJ70" s="29"/>
      <c r="GIK70" s="29"/>
      <c r="GIL70" s="29"/>
      <c r="GIM70" s="29"/>
      <c r="GIN70" s="29"/>
      <c r="GIO70" s="29"/>
      <c r="GIP70" s="29"/>
      <c r="GIQ70" s="29"/>
      <c r="GIR70" s="29"/>
      <c r="GIS70" s="29"/>
      <c r="GIT70" s="29"/>
      <c r="GIU70" s="29"/>
      <c r="GIV70" s="29"/>
      <c r="GIW70" s="29"/>
      <c r="GIX70" s="29"/>
      <c r="GIY70" s="29"/>
      <c r="GIZ70" s="29"/>
      <c r="GJA70" s="29"/>
      <c r="GJB70" s="29"/>
      <c r="GJC70" s="29"/>
      <c r="GJD70" s="29"/>
      <c r="GJE70" s="29"/>
      <c r="GJF70" s="29"/>
      <c r="GJG70" s="29"/>
      <c r="GJH70" s="29"/>
      <c r="GJI70" s="29"/>
      <c r="GJJ70" s="29"/>
      <c r="GJK70" s="29"/>
      <c r="GJL70" s="29"/>
      <c r="GJM70" s="29"/>
      <c r="GJN70" s="29"/>
      <c r="GJO70" s="29"/>
      <c r="GJP70" s="29"/>
      <c r="GJQ70" s="29"/>
      <c r="GJR70" s="29"/>
      <c r="GJS70" s="29"/>
      <c r="GJT70" s="29"/>
      <c r="GJU70" s="29"/>
      <c r="GJV70" s="29"/>
      <c r="GJW70" s="29"/>
      <c r="GJX70" s="29"/>
      <c r="GJY70" s="29"/>
      <c r="GJZ70" s="29"/>
      <c r="GKA70" s="29"/>
      <c r="GKB70" s="29"/>
      <c r="GKC70" s="29"/>
      <c r="GKD70" s="29"/>
      <c r="GKE70" s="29"/>
      <c r="GKF70" s="29"/>
      <c r="GKG70" s="29"/>
      <c r="GKH70" s="29"/>
      <c r="GKI70" s="29"/>
      <c r="GKJ70" s="29"/>
      <c r="GKK70" s="29"/>
      <c r="GKL70" s="29"/>
      <c r="GKM70" s="29"/>
      <c r="GKN70" s="29"/>
      <c r="GKO70" s="29"/>
      <c r="GKP70" s="29"/>
      <c r="GKQ70" s="29"/>
      <c r="GKR70" s="29"/>
      <c r="GKS70" s="29"/>
      <c r="GKT70" s="29"/>
      <c r="GKU70" s="29"/>
      <c r="GKV70" s="29"/>
      <c r="GKW70" s="29"/>
      <c r="GKX70" s="29"/>
      <c r="GKY70" s="29"/>
      <c r="GKZ70" s="29"/>
      <c r="GLA70" s="29"/>
      <c r="GLB70" s="29"/>
      <c r="GLC70" s="29"/>
      <c r="GLD70" s="29"/>
      <c r="GLE70" s="29"/>
      <c r="GLF70" s="29"/>
      <c r="GLG70" s="29"/>
      <c r="GLH70" s="29"/>
      <c r="GLI70" s="29"/>
      <c r="GLJ70" s="29"/>
      <c r="GLK70" s="29"/>
      <c r="GLL70" s="29"/>
      <c r="GLM70" s="29"/>
      <c r="GLN70" s="29"/>
      <c r="GLO70" s="29"/>
      <c r="GLP70" s="29"/>
      <c r="GLQ70" s="29"/>
      <c r="GLR70" s="29"/>
      <c r="GLS70" s="29"/>
      <c r="GLT70" s="29"/>
      <c r="GLU70" s="29"/>
      <c r="GLV70" s="29"/>
      <c r="GLW70" s="29"/>
      <c r="GLX70" s="29"/>
      <c r="GLY70" s="29"/>
      <c r="GLZ70" s="29"/>
      <c r="GMA70" s="29"/>
      <c r="GMB70" s="29"/>
      <c r="GMC70" s="29"/>
      <c r="GMD70" s="29"/>
      <c r="GME70" s="29"/>
      <c r="GMF70" s="29"/>
      <c r="GMG70" s="29"/>
      <c r="GMH70" s="29"/>
      <c r="GMI70" s="29"/>
      <c r="GMJ70" s="29"/>
      <c r="GMK70" s="29"/>
      <c r="GML70" s="29"/>
      <c r="GMM70" s="29"/>
      <c r="GMN70" s="29"/>
      <c r="GMO70" s="29"/>
      <c r="GMP70" s="29"/>
      <c r="GMQ70" s="29"/>
      <c r="GMR70" s="29"/>
      <c r="GMS70" s="29"/>
      <c r="GMT70" s="29"/>
      <c r="GMU70" s="29"/>
      <c r="GMV70" s="29"/>
      <c r="GMW70" s="29"/>
      <c r="GMX70" s="29"/>
      <c r="GMY70" s="29"/>
      <c r="GMZ70" s="29"/>
      <c r="GNA70" s="29"/>
      <c r="GNB70" s="29"/>
      <c r="GNC70" s="29"/>
      <c r="GND70" s="29"/>
      <c r="GNE70" s="29"/>
      <c r="GNF70" s="29"/>
      <c r="GNG70" s="29"/>
      <c r="GNH70" s="29"/>
      <c r="GNI70" s="29"/>
      <c r="GNJ70" s="29"/>
      <c r="GNK70" s="29"/>
      <c r="GNL70" s="29"/>
      <c r="GNM70" s="29"/>
      <c r="GNN70" s="29"/>
      <c r="GNO70" s="29"/>
      <c r="GNP70" s="29"/>
      <c r="GNQ70" s="29"/>
      <c r="GNR70" s="29"/>
      <c r="GNS70" s="29"/>
      <c r="GNT70" s="29"/>
      <c r="GNU70" s="29"/>
      <c r="GNV70" s="29"/>
      <c r="GNW70" s="29"/>
      <c r="GNX70" s="29"/>
      <c r="GNY70" s="29"/>
      <c r="GNZ70" s="29"/>
      <c r="GOA70" s="29"/>
      <c r="GOB70" s="29"/>
      <c r="GOC70" s="29"/>
      <c r="GOD70" s="29"/>
      <c r="GOE70" s="29"/>
      <c r="GOF70" s="29"/>
      <c r="GOG70" s="29"/>
      <c r="GOH70" s="29"/>
      <c r="GOI70" s="29"/>
      <c r="GOJ70" s="29"/>
      <c r="GOK70" s="29"/>
      <c r="GOL70" s="29"/>
      <c r="GOM70" s="29"/>
      <c r="GON70" s="29"/>
      <c r="GOO70" s="29"/>
      <c r="GOP70" s="29"/>
      <c r="GOQ70" s="29"/>
      <c r="GOR70" s="29"/>
      <c r="GOS70" s="29"/>
      <c r="GOT70" s="29"/>
      <c r="GOU70" s="29"/>
      <c r="GOV70" s="29"/>
      <c r="GOW70" s="29"/>
      <c r="GOX70" s="29"/>
      <c r="GOY70" s="29"/>
      <c r="GOZ70" s="29"/>
      <c r="GPA70" s="29"/>
      <c r="GPB70" s="29"/>
      <c r="GPC70" s="29"/>
      <c r="GPD70" s="29"/>
      <c r="GPE70" s="29"/>
      <c r="GPF70" s="29"/>
      <c r="GPG70" s="29"/>
      <c r="GPH70" s="29"/>
      <c r="GPI70" s="29"/>
      <c r="GPJ70" s="29"/>
      <c r="GPK70" s="29"/>
      <c r="GPL70" s="29"/>
      <c r="GPM70" s="29"/>
      <c r="GPN70" s="29"/>
      <c r="GPO70" s="29"/>
      <c r="GPP70" s="29"/>
      <c r="GPQ70" s="29"/>
      <c r="GPR70" s="29"/>
      <c r="GPS70" s="29"/>
      <c r="GPT70" s="29"/>
      <c r="GPU70" s="29"/>
      <c r="GPV70" s="29"/>
      <c r="GPW70" s="29"/>
      <c r="GPX70" s="29"/>
      <c r="GPY70" s="29"/>
      <c r="GPZ70" s="29"/>
      <c r="GQA70" s="29"/>
      <c r="GQB70" s="29"/>
      <c r="GQC70" s="29"/>
      <c r="GQD70" s="29"/>
      <c r="GQE70" s="29"/>
      <c r="GQF70" s="29"/>
      <c r="GQG70" s="29"/>
      <c r="GQH70" s="29"/>
      <c r="GQI70" s="29"/>
      <c r="GQJ70" s="29"/>
      <c r="GQK70" s="29"/>
      <c r="GQL70" s="29"/>
      <c r="GQM70" s="29"/>
      <c r="GQN70" s="29"/>
      <c r="GQO70" s="29"/>
      <c r="GQP70" s="29"/>
      <c r="GQQ70" s="29"/>
      <c r="GQR70" s="29"/>
      <c r="GQS70" s="29"/>
      <c r="GQT70" s="29"/>
      <c r="GQU70" s="29"/>
      <c r="GQV70" s="29"/>
      <c r="GQW70" s="29"/>
      <c r="GQX70" s="29"/>
      <c r="GQY70" s="29"/>
      <c r="GQZ70" s="29"/>
      <c r="GRA70" s="29"/>
      <c r="GRB70" s="29"/>
      <c r="GRC70" s="29"/>
      <c r="GRD70" s="29"/>
      <c r="GRE70" s="29"/>
      <c r="GRF70" s="29"/>
      <c r="GRG70" s="29"/>
      <c r="GRH70" s="29"/>
      <c r="GRI70" s="29"/>
      <c r="GRJ70" s="29"/>
      <c r="GRK70" s="29"/>
      <c r="GRL70" s="29"/>
      <c r="GRM70" s="29"/>
      <c r="GRN70" s="29"/>
      <c r="GRO70" s="29"/>
      <c r="GRP70" s="29"/>
      <c r="GRQ70" s="29"/>
      <c r="GRR70" s="29"/>
      <c r="GRS70" s="29"/>
      <c r="GRT70" s="29"/>
      <c r="GRU70" s="29"/>
      <c r="GRV70" s="29"/>
      <c r="GRW70" s="29"/>
      <c r="GRX70" s="29"/>
      <c r="GRY70" s="29"/>
      <c r="GRZ70" s="29"/>
      <c r="GSA70" s="29"/>
      <c r="GSB70" s="29"/>
      <c r="GSC70" s="29"/>
      <c r="GSD70" s="29"/>
      <c r="GSE70" s="29"/>
      <c r="GSF70" s="29"/>
      <c r="GSG70" s="29"/>
      <c r="GSH70" s="29"/>
      <c r="GSI70" s="29"/>
      <c r="GSJ70" s="29"/>
      <c r="GSK70" s="29"/>
      <c r="GSL70" s="29"/>
      <c r="GSM70" s="29"/>
      <c r="GSN70" s="29"/>
      <c r="GSO70" s="29"/>
      <c r="GSP70" s="29"/>
      <c r="GSQ70" s="29"/>
      <c r="GSR70" s="29"/>
      <c r="GSS70" s="29"/>
      <c r="GST70" s="29"/>
      <c r="GSU70" s="29"/>
      <c r="GSV70" s="29"/>
      <c r="GSW70" s="29"/>
      <c r="GSX70" s="29"/>
      <c r="GSY70" s="29"/>
      <c r="GSZ70" s="29"/>
      <c r="GTA70" s="29"/>
      <c r="GTB70" s="29"/>
      <c r="GTC70" s="29"/>
      <c r="GTD70" s="29"/>
      <c r="GTE70" s="29"/>
      <c r="GTF70" s="29"/>
      <c r="GTG70" s="29"/>
      <c r="GTH70" s="29"/>
      <c r="GTI70" s="29"/>
      <c r="GTJ70" s="29"/>
      <c r="GTK70" s="29"/>
      <c r="GTL70" s="29"/>
      <c r="GTM70" s="29"/>
      <c r="GTN70" s="29"/>
      <c r="GTO70" s="29"/>
      <c r="GTP70" s="29"/>
      <c r="GTQ70" s="29"/>
      <c r="GTR70" s="29"/>
      <c r="GTS70" s="29"/>
      <c r="GTT70" s="29"/>
      <c r="GTU70" s="29"/>
      <c r="GTV70" s="29"/>
      <c r="GTW70" s="29"/>
      <c r="GTX70" s="29"/>
      <c r="GTY70" s="29"/>
      <c r="GTZ70" s="29"/>
      <c r="GUA70" s="29"/>
      <c r="GUB70" s="29"/>
      <c r="GUC70" s="29"/>
      <c r="GUD70" s="29"/>
      <c r="GUE70" s="29"/>
      <c r="GUF70" s="29"/>
      <c r="GUG70" s="29"/>
      <c r="GUH70" s="29"/>
      <c r="GUI70" s="29"/>
      <c r="GUJ70" s="29"/>
      <c r="GUK70" s="29"/>
      <c r="GUL70" s="29"/>
      <c r="GUM70" s="29"/>
      <c r="GUN70" s="29"/>
      <c r="GUO70" s="29"/>
      <c r="GUP70" s="29"/>
      <c r="GUQ70" s="29"/>
      <c r="GUR70" s="29"/>
      <c r="GUS70" s="29"/>
      <c r="GUT70" s="29"/>
      <c r="GUU70" s="29"/>
      <c r="GUV70" s="29"/>
      <c r="GUW70" s="29"/>
      <c r="GUX70" s="29"/>
      <c r="GUY70" s="29"/>
      <c r="GUZ70" s="29"/>
      <c r="GVA70" s="29"/>
      <c r="GVB70" s="29"/>
      <c r="GVC70" s="29"/>
      <c r="GVD70" s="29"/>
      <c r="GVE70" s="29"/>
      <c r="GVF70" s="29"/>
      <c r="GVG70" s="29"/>
      <c r="GVH70" s="29"/>
      <c r="GVI70" s="29"/>
      <c r="GVJ70" s="29"/>
      <c r="GVK70" s="29"/>
      <c r="GVL70" s="29"/>
      <c r="GVM70" s="29"/>
      <c r="GVN70" s="29"/>
      <c r="GVO70" s="29"/>
      <c r="GVP70" s="29"/>
      <c r="GVQ70" s="29"/>
      <c r="GVR70" s="29"/>
      <c r="GVS70" s="29"/>
      <c r="GVT70" s="29"/>
      <c r="GVU70" s="29"/>
      <c r="GVV70" s="29"/>
      <c r="GVW70" s="29"/>
      <c r="GVX70" s="29"/>
      <c r="GVY70" s="29"/>
      <c r="GVZ70" s="29"/>
      <c r="GWA70" s="29"/>
      <c r="GWB70" s="29"/>
      <c r="GWC70" s="29"/>
      <c r="GWD70" s="29"/>
      <c r="GWE70" s="29"/>
      <c r="GWF70" s="29"/>
      <c r="GWG70" s="29"/>
      <c r="GWH70" s="29"/>
      <c r="GWI70" s="29"/>
      <c r="GWJ70" s="29"/>
      <c r="GWK70" s="29"/>
      <c r="GWL70" s="29"/>
      <c r="GWM70" s="29"/>
      <c r="GWN70" s="29"/>
      <c r="GWO70" s="29"/>
      <c r="GWP70" s="29"/>
      <c r="GWQ70" s="29"/>
      <c r="GWR70" s="29"/>
      <c r="GWS70" s="29"/>
      <c r="GWT70" s="29"/>
      <c r="GWU70" s="29"/>
      <c r="GWV70" s="29"/>
      <c r="GWW70" s="29"/>
      <c r="GWX70" s="29"/>
      <c r="GWY70" s="29"/>
      <c r="GWZ70" s="29"/>
      <c r="GXA70" s="29"/>
      <c r="GXB70" s="29"/>
      <c r="GXC70" s="29"/>
      <c r="GXD70" s="29"/>
      <c r="GXE70" s="29"/>
      <c r="GXF70" s="29"/>
      <c r="GXG70" s="29"/>
      <c r="GXH70" s="29"/>
      <c r="GXI70" s="29"/>
      <c r="GXJ70" s="29"/>
      <c r="GXK70" s="29"/>
      <c r="GXL70" s="29"/>
      <c r="GXM70" s="29"/>
      <c r="GXN70" s="29"/>
      <c r="GXO70" s="29"/>
      <c r="GXP70" s="29"/>
      <c r="GXQ70" s="29"/>
      <c r="GXR70" s="29"/>
      <c r="GXS70" s="29"/>
      <c r="GXT70" s="29"/>
      <c r="GXU70" s="29"/>
      <c r="GXV70" s="29"/>
      <c r="GXW70" s="29"/>
      <c r="GXX70" s="29"/>
      <c r="GXY70" s="29"/>
      <c r="GXZ70" s="29"/>
      <c r="GYA70" s="29"/>
      <c r="GYB70" s="29"/>
      <c r="GYC70" s="29"/>
      <c r="GYD70" s="29"/>
      <c r="GYE70" s="29"/>
      <c r="GYF70" s="29"/>
      <c r="GYG70" s="29"/>
      <c r="GYH70" s="29"/>
      <c r="GYI70" s="29"/>
      <c r="GYJ70" s="29"/>
      <c r="GYK70" s="29"/>
      <c r="GYL70" s="29"/>
      <c r="GYM70" s="29"/>
      <c r="GYN70" s="29"/>
      <c r="GYO70" s="29"/>
      <c r="GYP70" s="29"/>
      <c r="GYQ70" s="29"/>
      <c r="GYR70" s="29"/>
      <c r="GYS70" s="29"/>
      <c r="GYT70" s="29"/>
      <c r="GYU70" s="29"/>
      <c r="GYV70" s="29"/>
      <c r="GYW70" s="29"/>
      <c r="GYX70" s="29"/>
      <c r="GYY70" s="29"/>
      <c r="GYZ70" s="29"/>
      <c r="GZA70" s="29"/>
      <c r="GZB70" s="29"/>
      <c r="GZC70" s="29"/>
      <c r="GZD70" s="29"/>
      <c r="GZE70" s="29"/>
      <c r="GZF70" s="29"/>
      <c r="GZG70" s="29"/>
      <c r="GZH70" s="29"/>
      <c r="GZI70" s="29"/>
      <c r="GZJ70" s="29"/>
      <c r="GZK70" s="29"/>
      <c r="GZL70" s="29"/>
      <c r="GZM70" s="29"/>
      <c r="GZN70" s="29"/>
      <c r="GZO70" s="29"/>
      <c r="GZP70" s="29"/>
      <c r="GZQ70" s="29"/>
      <c r="GZR70" s="29"/>
      <c r="GZS70" s="29"/>
      <c r="GZT70" s="29"/>
      <c r="GZU70" s="29"/>
      <c r="GZV70" s="29"/>
      <c r="GZW70" s="29"/>
      <c r="GZX70" s="29"/>
      <c r="GZY70" s="29"/>
      <c r="GZZ70" s="29"/>
      <c r="HAA70" s="29"/>
      <c r="HAB70" s="29"/>
      <c r="HAC70" s="29"/>
      <c r="HAD70" s="29"/>
      <c r="HAE70" s="29"/>
      <c r="HAF70" s="29"/>
      <c r="HAG70" s="29"/>
      <c r="HAH70" s="29"/>
      <c r="HAI70" s="29"/>
      <c r="HAJ70" s="29"/>
      <c r="HAK70" s="29"/>
      <c r="HAL70" s="29"/>
      <c r="HAM70" s="29"/>
      <c r="HAN70" s="29"/>
      <c r="HAO70" s="29"/>
      <c r="HAP70" s="29"/>
      <c r="HAQ70" s="29"/>
      <c r="HAR70" s="29"/>
      <c r="HAS70" s="29"/>
      <c r="HAT70" s="29"/>
      <c r="HAU70" s="29"/>
      <c r="HAV70" s="29"/>
      <c r="HAW70" s="29"/>
      <c r="HAX70" s="29"/>
      <c r="HAY70" s="29"/>
      <c r="HAZ70" s="29"/>
      <c r="HBA70" s="29"/>
      <c r="HBB70" s="29"/>
      <c r="HBC70" s="29"/>
      <c r="HBD70" s="29"/>
      <c r="HBE70" s="29"/>
      <c r="HBF70" s="29"/>
      <c r="HBG70" s="29"/>
      <c r="HBH70" s="29"/>
      <c r="HBI70" s="29"/>
      <c r="HBJ70" s="29"/>
      <c r="HBK70" s="29"/>
      <c r="HBL70" s="29"/>
      <c r="HBM70" s="29"/>
      <c r="HBN70" s="29"/>
      <c r="HBO70" s="29"/>
      <c r="HBP70" s="29"/>
      <c r="HBQ70" s="29"/>
      <c r="HBR70" s="29"/>
      <c r="HBS70" s="29"/>
      <c r="HBT70" s="29"/>
      <c r="HBU70" s="29"/>
      <c r="HBV70" s="29"/>
      <c r="HBW70" s="29"/>
      <c r="HBX70" s="29"/>
      <c r="HBY70" s="29"/>
      <c r="HBZ70" s="29"/>
      <c r="HCA70" s="29"/>
      <c r="HCB70" s="29"/>
      <c r="HCC70" s="29"/>
      <c r="HCD70" s="29"/>
      <c r="HCE70" s="29"/>
      <c r="HCF70" s="29"/>
      <c r="HCG70" s="29"/>
      <c r="HCH70" s="29"/>
      <c r="HCI70" s="29"/>
      <c r="HCJ70" s="29"/>
      <c r="HCK70" s="29"/>
      <c r="HCL70" s="29"/>
      <c r="HCM70" s="29"/>
      <c r="HCN70" s="29"/>
      <c r="HCO70" s="29"/>
      <c r="HCP70" s="29"/>
      <c r="HCQ70" s="29"/>
      <c r="HCR70" s="29"/>
      <c r="HCS70" s="29"/>
      <c r="HCT70" s="29"/>
      <c r="HCU70" s="29"/>
      <c r="HCV70" s="29"/>
      <c r="HCW70" s="29"/>
      <c r="HCX70" s="29"/>
      <c r="HCY70" s="29"/>
      <c r="HCZ70" s="29"/>
      <c r="HDA70" s="29"/>
      <c r="HDB70" s="29"/>
      <c r="HDC70" s="29"/>
      <c r="HDD70" s="29"/>
      <c r="HDE70" s="29"/>
      <c r="HDF70" s="29"/>
      <c r="HDG70" s="29"/>
      <c r="HDH70" s="29"/>
      <c r="HDI70" s="29"/>
      <c r="HDJ70" s="29"/>
      <c r="HDK70" s="29"/>
      <c r="HDL70" s="29"/>
      <c r="HDM70" s="29"/>
      <c r="HDN70" s="29"/>
      <c r="HDO70" s="29"/>
      <c r="HDP70" s="29"/>
      <c r="HDQ70" s="29"/>
      <c r="HDR70" s="29"/>
      <c r="HDS70" s="29"/>
      <c r="HDT70" s="29"/>
      <c r="HDU70" s="29"/>
      <c r="HDV70" s="29"/>
      <c r="HDW70" s="29"/>
      <c r="HDX70" s="29"/>
      <c r="HDY70" s="29"/>
      <c r="HDZ70" s="29"/>
      <c r="HEA70" s="29"/>
      <c r="HEB70" s="29"/>
      <c r="HEC70" s="29"/>
      <c r="HED70" s="29"/>
      <c r="HEE70" s="29"/>
      <c r="HEF70" s="29"/>
      <c r="HEG70" s="29"/>
      <c r="HEH70" s="29"/>
      <c r="HEI70" s="29"/>
      <c r="HEJ70" s="29"/>
      <c r="HEK70" s="29"/>
      <c r="HEL70" s="29"/>
      <c r="HEM70" s="29"/>
      <c r="HEN70" s="29"/>
      <c r="HEO70" s="29"/>
      <c r="HEP70" s="29"/>
      <c r="HEQ70" s="29"/>
      <c r="HER70" s="29"/>
      <c r="HES70" s="29"/>
      <c r="HET70" s="29"/>
      <c r="HEU70" s="29"/>
      <c r="HEV70" s="29"/>
      <c r="HEW70" s="29"/>
      <c r="HEX70" s="29"/>
      <c r="HEY70" s="29"/>
      <c r="HEZ70" s="29"/>
      <c r="HFA70" s="29"/>
      <c r="HFB70" s="29"/>
      <c r="HFC70" s="29"/>
      <c r="HFD70" s="29"/>
      <c r="HFE70" s="29"/>
      <c r="HFF70" s="29"/>
      <c r="HFG70" s="29"/>
      <c r="HFH70" s="29"/>
      <c r="HFI70" s="29"/>
      <c r="HFJ70" s="29"/>
      <c r="HFK70" s="29"/>
      <c r="HFL70" s="29"/>
      <c r="HFM70" s="29"/>
      <c r="HFN70" s="29"/>
      <c r="HFO70" s="29"/>
      <c r="HFP70" s="29"/>
      <c r="HFQ70" s="29"/>
      <c r="HFR70" s="29"/>
      <c r="HFS70" s="29"/>
      <c r="HFT70" s="29"/>
      <c r="HFU70" s="29"/>
      <c r="HFV70" s="29"/>
      <c r="HFW70" s="29"/>
      <c r="HFX70" s="29"/>
      <c r="HFY70" s="29"/>
      <c r="HFZ70" s="29"/>
      <c r="HGA70" s="29"/>
      <c r="HGB70" s="29"/>
      <c r="HGC70" s="29"/>
      <c r="HGD70" s="29"/>
      <c r="HGE70" s="29"/>
      <c r="HGF70" s="29"/>
      <c r="HGG70" s="29"/>
      <c r="HGH70" s="29"/>
      <c r="HGI70" s="29"/>
      <c r="HGJ70" s="29"/>
      <c r="HGK70" s="29"/>
      <c r="HGL70" s="29"/>
      <c r="HGM70" s="29"/>
      <c r="HGN70" s="29"/>
      <c r="HGO70" s="29"/>
      <c r="HGP70" s="29"/>
      <c r="HGQ70" s="29"/>
      <c r="HGR70" s="29"/>
      <c r="HGS70" s="29"/>
      <c r="HGT70" s="29"/>
      <c r="HGU70" s="29"/>
      <c r="HGV70" s="29"/>
      <c r="HGW70" s="29"/>
      <c r="HGX70" s="29"/>
      <c r="HGY70" s="29"/>
      <c r="HGZ70" s="29"/>
      <c r="HHA70" s="29"/>
      <c r="HHB70" s="29"/>
      <c r="HHC70" s="29"/>
      <c r="HHD70" s="29"/>
      <c r="HHE70" s="29"/>
      <c r="HHF70" s="29"/>
      <c r="HHG70" s="29"/>
      <c r="HHH70" s="29"/>
      <c r="HHI70" s="29"/>
      <c r="HHJ70" s="29"/>
      <c r="HHK70" s="29"/>
      <c r="HHL70" s="29"/>
      <c r="HHM70" s="29"/>
      <c r="HHN70" s="29"/>
      <c r="HHO70" s="29"/>
      <c r="HHP70" s="29"/>
      <c r="HHQ70" s="29"/>
      <c r="HHR70" s="29"/>
      <c r="HHS70" s="29"/>
      <c r="HHT70" s="29"/>
      <c r="HHU70" s="29"/>
      <c r="HHV70" s="29"/>
      <c r="HHW70" s="29"/>
      <c r="HHX70" s="29"/>
      <c r="HHY70" s="29"/>
      <c r="HHZ70" s="29"/>
      <c r="HIA70" s="29"/>
      <c r="HIB70" s="29"/>
      <c r="HIC70" s="29"/>
      <c r="HID70" s="29"/>
      <c r="HIE70" s="29"/>
      <c r="HIF70" s="29"/>
      <c r="HIG70" s="29"/>
      <c r="HIH70" s="29"/>
      <c r="HII70" s="29"/>
      <c r="HIJ70" s="29"/>
      <c r="HIK70" s="29"/>
      <c r="HIL70" s="29"/>
      <c r="HIM70" s="29"/>
      <c r="HIN70" s="29"/>
      <c r="HIO70" s="29"/>
      <c r="HIP70" s="29"/>
      <c r="HIQ70" s="29"/>
      <c r="HIR70" s="29"/>
      <c r="HIS70" s="29"/>
      <c r="HIT70" s="29"/>
      <c r="HIU70" s="29"/>
      <c r="HIV70" s="29"/>
      <c r="HIW70" s="29"/>
      <c r="HIX70" s="29"/>
      <c r="HIY70" s="29"/>
      <c r="HIZ70" s="29"/>
      <c r="HJA70" s="29"/>
      <c r="HJB70" s="29"/>
      <c r="HJC70" s="29"/>
      <c r="HJD70" s="29"/>
      <c r="HJE70" s="29"/>
      <c r="HJF70" s="29"/>
      <c r="HJG70" s="29"/>
      <c r="HJH70" s="29"/>
      <c r="HJI70" s="29"/>
      <c r="HJJ70" s="29"/>
      <c r="HJK70" s="29"/>
      <c r="HJL70" s="29"/>
      <c r="HJM70" s="29"/>
      <c r="HJN70" s="29"/>
      <c r="HJO70" s="29"/>
      <c r="HJP70" s="29"/>
      <c r="HJQ70" s="29"/>
      <c r="HJR70" s="29"/>
      <c r="HJS70" s="29"/>
      <c r="HJT70" s="29"/>
      <c r="HJU70" s="29"/>
      <c r="HJV70" s="29"/>
      <c r="HJW70" s="29"/>
      <c r="HJX70" s="29"/>
      <c r="HJY70" s="29"/>
      <c r="HJZ70" s="29"/>
      <c r="HKA70" s="29"/>
      <c r="HKB70" s="29"/>
      <c r="HKC70" s="29"/>
      <c r="HKD70" s="29"/>
      <c r="HKE70" s="29"/>
      <c r="HKF70" s="29"/>
      <c r="HKG70" s="29"/>
      <c r="HKH70" s="29"/>
      <c r="HKI70" s="29"/>
      <c r="HKJ70" s="29"/>
      <c r="HKK70" s="29"/>
      <c r="HKL70" s="29"/>
      <c r="HKM70" s="29"/>
      <c r="HKN70" s="29"/>
      <c r="HKO70" s="29"/>
      <c r="HKP70" s="29"/>
      <c r="HKQ70" s="29"/>
      <c r="HKR70" s="29"/>
      <c r="HKS70" s="29"/>
      <c r="HKT70" s="29"/>
      <c r="HKU70" s="29"/>
      <c r="HKV70" s="29"/>
      <c r="HKW70" s="29"/>
      <c r="HKX70" s="29"/>
      <c r="HKY70" s="29"/>
      <c r="HKZ70" s="29"/>
      <c r="HLA70" s="29"/>
      <c r="HLB70" s="29"/>
      <c r="HLC70" s="29"/>
      <c r="HLD70" s="29"/>
      <c r="HLE70" s="29"/>
      <c r="HLF70" s="29"/>
      <c r="HLG70" s="29"/>
      <c r="HLH70" s="29"/>
      <c r="HLI70" s="29"/>
      <c r="HLJ70" s="29"/>
      <c r="HLK70" s="29"/>
      <c r="HLL70" s="29"/>
      <c r="HLM70" s="29"/>
      <c r="HLN70" s="29"/>
      <c r="HLO70" s="29"/>
      <c r="HLP70" s="29"/>
      <c r="HLQ70" s="29"/>
      <c r="HLR70" s="29"/>
      <c r="HLS70" s="29"/>
      <c r="HLT70" s="29"/>
      <c r="HLU70" s="29"/>
      <c r="HLV70" s="29"/>
      <c r="HLW70" s="29"/>
      <c r="HLX70" s="29"/>
      <c r="HLY70" s="29"/>
      <c r="HLZ70" s="29"/>
      <c r="HMA70" s="29"/>
      <c r="HMB70" s="29"/>
      <c r="HMC70" s="29"/>
      <c r="HMD70" s="29"/>
      <c r="HME70" s="29"/>
      <c r="HMF70" s="29"/>
      <c r="HMG70" s="29"/>
      <c r="HMH70" s="29"/>
      <c r="HMI70" s="29"/>
      <c r="HMJ70" s="29"/>
      <c r="HMK70" s="29"/>
      <c r="HML70" s="29"/>
      <c r="HMM70" s="29"/>
      <c r="HMN70" s="29"/>
      <c r="HMO70" s="29"/>
      <c r="HMP70" s="29"/>
      <c r="HMQ70" s="29"/>
      <c r="HMR70" s="29"/>
      <c r="HMS70" s="29"/>
      <c r="HMT70" s="29"/>
      <c r="HMU70" s="29"/>
      <c r="HMV70" s="29"/>
      <c r="HMW70" s="29"/>
      <c r="HMX70" s="29"/>
      <c r="HMY70" s="29"/>
      <c r="HMZ70" s="29"/>
      <c r="HNA70" s="29"/>
      <c r="HNB70" s="29"/>
      <c r="HNC70" s="29"/>
      <c r="HND70" s="29"/>
      <c r="HNE70" s="29"/>
      <c r="HNF70" s="29"/>
      <c r="HNG70" s="29"/>
      <c r="HNH70" s="29"/>
      <c r="HNI70" s="29"/>
      <c r="HNJ70" s="29"/>
      <c r="HNK70" s="29"/>
      <c r="HNL70" s="29"/>
      <c r="HNM70" s="29"/>
      <c r="HNN70" s="29"/>
      <c r="HNO70" s="29"/>
      <c r="HNP70" s="29"/>
      <c r="HNQ70" s="29"/>
      <c r="HNR70" s="29"/>
      <c r="HNS70" s="29"/>
      <c r="HNT70" s="29"/>
      <c r="HNU70" s="29"/>
      <c r="HNV70" s="29"/>
      <c r="HNW70" s="29"/>
      <c r="HNX70" s="29"/>
      <c r="HNY70" s="29"/>
      <c r="HNZ70" s="29"/>
      <c r="HOA70" s="29"/>
      <c r="HOB70" s="29"/>
      <c r="HOC70" s="29"/>
      <c r="HOD70" s="29"/>
      <c r="HOE70" s="29"/>
      <c r="HOF70" s="29"/>
      <c r="HOG70" s="29"/>
      <c r="HOH70" s="29"/>
      <c r="HOI70" s="29"/>
      <c r="HOJ70" s="29"/>
      <c r="HOK70" s="29"/>
      <c r="HOL70" s="29"/>
      <c r="HOM70" s="29"/>
      <c r="HON70" s="29"/>
      <c r="HOO70" s="29"/>
      <c r="HOP70" s="29"/>
      <c r="HOQ70" s="29"/>
      <c r="HOR70" s="29"/>
      <c r="HOS70" s="29"/>
      <c r="HOT70" s="29"/>
      <c r="HOU70" s="29"/>
      <c r="HOV70" s="29"/>
      <c r="HOW70" s="29"/>
      <c r="HOX70" s="29"/>
      <c r="HOY70" s="29"/>
      <c r="HOZ70" s="29"/>
      <c r="HPA70" s="29"/>
      <c r="HPB70" s="29"/>
      <c r="HPC70" s="29"/>
      <c r="HPD70" s="29"/>
      <c r="HPE70" s="29"/>
      <c r="HPF70" s="29"/>
      <c r="HPG70" s="29"/>
      <c r="HPH70" s="29"/>
      <c r="HPI70" s="29"/>
      <c r="HPJ70" s="29"/>
      <c r="HPK70" s="29"/>
      <c r="HPL70" s="29"/>
      <c r="HPM70" s="29"/>
      <c r="HPN70" s="29"/>
      <c r="HPO70" s="29"/>
      <c r="HPP70" s="29"/>
      <c r="HPQ70" s="29"/>
      <c r="HPR70" s="29"/>
      <c r="HPS70" s="29"/>
      <c r="HPT70" s="29"/>
      <c r="HPU70" s="29"/>
      <c r="HPV70" s="29"/>
      <c r="HPW70" s="29"/>
      <c r="HPX70" s="29"/>
      <c r="HPY70" s="29"/>
      <c r="HPZ70" s="29"/>
      <c r="HQA70" s="29"/>
      <c r="HQB70" s="29"/>
      <c r="HQC70" s="29"/>
      <c r="HQD70" s="29"/>
      <c r="HQE70" s="29"/>
      <c r="HQF70" s="29"/>
      <c r="HQG70" s="29"/>
      <c r="HQH70" s="29"/>
      <c r="HQI70" s="29"/>
      <c r="HQJ70" s="29"/>
      <c r="HQK70" s="29"/>
      <c r="HQL70" s="29"/>
      <c r="HQM70" s="29"/>
      <c r="HQN70" s="29"/>
      <c r="HQO70" s="29"/>
      <c r="HQP70" s="29"/>
      <c r="HQQ70" s="29"/>
      <c r="HQR70" s="29"/>
      <c r="HQS70" s="29"/>
      <c r="HQT70" s="29"/>
      <c r="HQU70" s="29"/>
      <c r="HQV70" s="29"/>
      <c r="HQW70" s="29"/>
      <c r="HQX70" s="29"/>
      <c r="HQY70" s="29"/>
      <c r="HQZ70" s="29"/>
      <c r="HRA70" s="29"/>
      <c r="HRB70" s="29"/>
      <c r="HRC70" s="29"/>
      <c r="HRD70" s="29"/>
      <c r="HRE70" s="29"/>
      <c r="HRF70" s="29"/>
      <c r="HRG70" s="29"/>
      <c r="HRH70" s="29"/>
      <c r="HRI70" s="29"/>
      <c r="HRJ70" s="29"/>
      <c r="HRK70" s="29"/>
      <c r="HRL70" s="29"/>
      <c r="HRM70" s="29"/>
      <c r="HRN70" s="29"/>
      <c r="HRO70" s="29"/>
      <c r="HRP70" s="29"/>
      <c r="HRQ70" s="29"/>
      <c r="HRR70" s="29"/>
      <c r="HRS70" s="29"/>
      <c r="HRT70" s="29"/>
      <c r="HRU70" s="29"/>
      <c r="HRV70" s="29"/>
      <c r="HRW70" s="29"/>
      <c r="HRX70" s="29"/>
      <c r="HRY70" s="29"/>
      <c r="HRZ70" s="29"/>
      <c r="HSA70" s="29"/>
      <c r="HSB70" s="29"/>
      <c r="HSC70" s="29"/>
      <c r="HSD70" s="29"/>
      <c r="HSE70" s="29"/>
      <c r="HSF70" s="29"/>
      <c r="HSG70" s="29"/>
      <c r="HSH70" s="29"/>
      <c r="HSI70" s="29"/>
      <c r="HSJ70" s="29"/>
      <c r="HSK70" s="29"/>
      <c r="HSL70" s="29"/>
      <c r="HSM70" s="29"/>
      <c r="HSN70" s="29"/>
      <c r="HSO70" s="29"/>
      <c r="HSP70" s="29"/>
      <c r="HSQ70" s="29"/>
      <c r="HSR70" s="29"/>
      <c r="HSS70" s="29"/>
      <c r="HST70" s="29"/>
      <c r="HSU70" s="29"/>
      <c r="HSV70" s="29"/>
      <c r="HSW70" s="29"/>
      <c r="HSX70" s="29"/>
      <c r="HSY70" s="29"/>
      <c r="HSZ70" s="29"/>
      <c r="HTA70" s="29"/>
      <c r="HTB70" s="29"/>
      <c r="HTC70" s="29"/>
      <c r="HTD70" s="29"/>
      <c r="HTE70" s="29"/>
      <c r="HTF70" s="29"/>
      <c r="HTG70" s="29"/>
      <c r="HTH70" s="29"/>
      <c r="HTI70" s="29"/>
      <c r="HTJ70" s="29"/>
      <c r="HTK70" s="29"/>
      <c r="HTL70" s="29"/>
      <c r="HTM70" s="29"/>
      <c r="HTN70" s="29"/>
      <c r="HTO70" s="29"/>
      <c r="HTP70" s="29"/>
      <c r="HTQ70" s="29"/>
      <c r="HTR70" s="29"/>
      <c r="HTS70" s="29"/>
      <c r="HTT70" s="29"/>
      <c r="HTU70" s="29"/>
      <c r="HTV70" s="29"/>
      <c r="HTW70" s="29"/>
      <c r="HTX70" s="29"/>
      <c r="HTY70" s="29"/>
      <c r="HTZ70" s="29"/>
      <c r="HUA70" s="29"/>
      <c r="HUB70" s="29"/>
      <c r="HUC70" s="29"/>
      <c r="HUD70" s="29"/>
      <c r="HUE70" s="29"/>
      <c r="HUF70" s="29"/>
      <c r="HUG70" s="29"/>
      <c r="HUH70" s="29"/>
      <c r="HUI70" s="29"/>
      <c r="HUJ70" s="29"/>
      <c r="HUK70" s="29"/>
      <c r="HUL70" s="29"/>
      <c r="HUM70" s="29"/>
      <c r="HUN70" s="29"/>
      <c r="HUO70" s="29"/>
      <c r="HUP70" s="29"/>
      <c r="HUQ70" s="29"/>
      <c r="HUR70" s="29"/>
      <c r="HUS70" s="29"/>
      <c r="HUT70" s="29"/>
      <c r="HUU70" s="29"/>
      <c r="HUV70" s="29"/>
      <c r="HUW70" s="29"/>
      <c r="HUX70" s="29"/>
      <c r="HUY70" s="29"/>
      <c r="HUZ70" s="29"/>
      <c r="HVA70" s="29"/>
      <c r="HVB70" s="29"/>
      <c r="HVC70" s="29"/>
      <c r="HVD70" s="29"/>
      <c r="HVE70" s="29"/>
      <c r="HVF70" s="29"/>
      <c r="HVG70" s="29"/>
      <c r="HVH70" s="29"/>
      <c r="HVI70" s="29"/>
      <c r="HVJ70" s="29"/>
      <c r="HVK70" s="29"/>
      <c r="HVL70" s="29"/>
      <c r="HVM70" s="29"/>
      <c r="HVN70" s="29"/>
      <c r="HVO70" s="29"/>
      <c r="HVP70" s="29"/>
      <c r="HVQ70" s="29"/>
      <c r="HVR70" s="29"/>
      <c r="HVS70" s="29"/>
      <c r="HVT70" s="29"/>
      <c r="HVU70" s="29"/>
      <c r="HVV70" s="29"/>
      <c r="HVW70" s="29"/>
      <c r="HVX70" s="29"/>
      <c r="HVY70" s="29"/>
      <c r="HVZ70" s="29"/>
      <c r="HWA70" s="29"/>
      <c r="HWB70" s="29"/>
      <c r="HWC70" s="29"/>
      <c r="HWD70" s="29"/>
      <c r="HWE70" s="29"/>
      <c r="HWF70" s="29"/>
      <c r="HWG70" s="29"/>
      <c r="HWH70" s="29"/>
      <c r="HWI70" s="29"/>
      <c r="HWJ70" s="29"/>
      <c r="HWK70" s="29"/>
      <c r="HWL70" s="29"/>
      <c r="HWM70" s="29"/>
      <c r="HWN70" s="29"/>
      <c r="HWO70" s="29"/>
      <c r="HWP70" s="29"/>
      <c r="HWQ70" s="29"/>
      <c r="HWR70" s="29"/>
      <c r="HWS70" s="29"/>
      <c r="HWT70" s="29"/>
      <c r="HWU70" s="29"/>
      <c r="HWV70" s="29"/>
      <c r="HWW70" s="29"/>
      <c r="HWX70" s="29"/>
      <c r="HWY70" s="29"/>
      <c r="HWZ70" s="29"/>
      <c r="HXA70" s="29"/>
      <c r="HXB70" s="29"/>
      <c r="HXC70" s="29"/>
      <c r="HXD70" s="29"/>
      <c r="HXE70" s="29"/>
      <c r="HXF70" s="29"/>
      <c r="HXG70" s="29"/>
      <c r="HXH70" s="29"/>
      <c r="HXI70" s="29"/>
      <c r="HXJ70" s="29"/>
      <c r="HXK70" s="29"/>
      <c r="HXL70" s="29"/>
      <c r="HXM70" s="29"/>
      <c r="HXN70" s="29"/>
      <c r="HXO70" s="29"/>
      <c r="HXP70" s="29"/>
      <c r="HXQ70" s="29"/>
      <c r="HXR70" s="29"/>
      <c r="HXS70" s="29"/>
      <c r="HXT70" s="29"/>
      <c r="HXU70" s="29"/>
      <c r="HXV70" s="29"/>
      <c r="HXW70" s="29"/>
      <c r="HXX70" s="29"/>
      <c r="HXY70" s="29"/>
      <c r="HXZ70" s="29"/>
      <c r="HYA70" s="29"/>
      <c r="HYB70" s="29"/>
      <c r="HYC70" s="29"/>
      <c r="HYD70" s="29"/>
      <c r="HYE70" s="29"/>
      <c r="HYF70" s="29"/>
      <c r="HYG70" s="29"/>
      <c r="HYH70" s="29"/>
      <c r="HYI70" s="29"/>
      <c r="HYJ70" s="29"/>
      <c r="HYK70" s="29"/>
      <c r="HYL70" s="29"/>
      <c r="HYM70" s="29"/>
      <c r="HYN70" s="29"/>
      <c r="HYO70" s="29"/>
      <c r="HYP70" s="29"/>
      <c r="HYQ70" s="29"/>
      <c r="HYR70" s="29"/>
      <c r="HYS70" s="29"/>
      <c r="HYT70" s="29"/>
      <c r="HYU70" s="29"/>
      <c r="HYV70" s="29"/>
      <c r="HYW70" s="29"/>
      <c r="HYX70" s="29"/>
      <c r="HYY70" s="29"/>
      <c r="HYZ70" s="29"/>
      <c r="HZA70" s="29"/>
      <c r="HZB70" s="29"/>
      <c r="HZC70" s="29"/>
      <c r="HZD70" s="29"/>
      <c r="HZE70" s="29"/>
      <c r="HZF70" s="29"/>
      <c r="HZG70" s="29"/>
      <c r="HZH70" s="29"/>
      <c r="HZI70" s="29"/>
      <c r="HZJ70" s="29"/>
      <c r="HZK70" s="29"/>
      <c r="HZL70" s="29"/>
      <c r="HZM70" s="29"/>
      <c r="HZN70" s="29"/>
      <c r="HZO70" s="29"/>
      <c r="HZP70" s="29"/>
      <c r="HZQ70" s="29"/>
      <c r="HZR70" s="29"/>
      <c r="HZS70" s="29"/>
      <c r="HZT70" s="29"/>
      <c r="HZU70" s="29"/>
      <c r="HZV70" s="29"/>
      <c r="HZW70" s="29"/>
      <c r="HZX70" s="29"/>
      <c r="HZY70" s="29"/>
      <c r="HZZ70" s="29"/>
      <c r="IAA70" s="29"/>
      <c r="IAB70" s="29"/>
      <c r="IAC70" s="29"/>
      <c r="IAD70" s="29"/>
      <c r="IAE70" s="29"/>
      <c r="IAF70" s="29"/>
      <c r="IAG70" s="29"/>
      <c r="IAH70" s="29"/>
      <c r="IAI70" s="29"/>
      <c r="IAJ70" s="29"/>
      <c r="IAK70" s="29"/>
      <c r="IAL70" s="29"/>
      <c r="IAM70" s="29"/>
      <c r="IAN70" s="29"/>
      <c r="IAO70" s="29"/>
      <c r="IAP70" s="29"/>
      <c r="IAQ70" s="29"/>
      <c r="IAR70" s="29"/>
      <c r="IAS70" s="29"/>
      <c r="IAT70" s="29"/>
      <c r="IAU70" s="29"/>
      <c r="IAV70" s="29"/>
      <c r="IAW70" s="29"/>
      <c r="IAX70" s="29"/>
      <c r="IAY70" s="29"/>
      <c r="IAZ70" s="29"/>
      <c r="IBA70" s="29"/>
      <c r="IBB70" s="29"/>
      <c r="IBC70" s="29"/>
      <c r="IBD70" s="29"/>
      <c r="IBE70" s="29"/>
      <c r="IBF70" s="29"/>
      <c r="IBG70" s="29"/>
      <c r="IBH70" s="29"/>
      <c r="IBI70" s="29"/>
      <c r="IBJ70" s="29"/>
      <c r="IBK70" s="29"/>
      <c r="IBL70" s="29"/>
      <c r="IBM70" s="29"/>
      <c r="IBN70" s="29"/>
      <c r="IBO70" s="29"/>
      <c r="IBP70" s="29"/>
      <c r="IBQ70" s="29"/>
      <c r="IBR70" s="29"/>
      <c r="IBS70" s="29"/>
      <c r="IBT70" s="29"/>
      <c r="IBU70" s="29"/>
      <c r="IBV70" s="29"/>
      <c r="IBW70" s="29"/>
      <c r="IBX70" s="29"/>
      <c r="IBY70" s="29"/>
      <c r="IBZ70" s="29"/>
      <c r="ICA70" s="29"/>
      <c r="ICB70" s="29"/>
      <c r="ICC70" s="29"/>
      <c r="ICD70" s="29"/>
      <c r="ICE70" s="29"/>
      <c r="ICF70" s="29"/>
      <c r="ICG70" s="29"/>
      <c r="ICH70" s="29"/>
      <c r="ICI70" s="29"/>
      <c r="ICJ70" s="29"/>
      <c r="ICK70" s="29"/>
      <c r="ICL70" s="29"/>
      <c r="ICM70" s="29"/>
      <c r="ICN70" s="29"/>
      <c r="ICO70" s="29"/>
      <c r="ICP70" s="29"/>
      <c r="ICQ70" s="29"/>
      <c r="ICR70" s="29"/>
      <c r="ICS70" s="29"/>
      <c r="ICT70" s="29"/>
      <c r="ICU70" s="29"/>
      <c r="ICV70" s="29"/>
      <c r="ICW70" s="29"/>
      <c r="ICX70" s="29"/>
      <c r="ICY70" s="29"/>
      <c r="ICZ70" s="29"/>
      <c r="IDA70" s="29"/>
      <c r="IDB70" s="29"/>
      <c r="IDC70" s="29"/>
      <c r="IDD70" s="29"/>
      <c r="IDE70" s="29"/>
      <c r="IDF70" s="29"/>
      <c r="IDG70" s="29"/>
      <c r="IDH70" s="29"/>
      <c r="IDI70" s="29"/>
      <c r="IDJ70" s="29"/>
      <c r="IDK70" s="29"/>
      <c r="IDL70" s="29"/>
      <c r="IDM70" s="29"/>
      <c r="IDN70" s="29"/>
      <c r="IDO70" s="29"/>
      <c r="IDP70" s="29"/>
      <c r="IDQ70" s="29"/>
      <c r="IDR70" s="29"/>
      <c r="IDS70" s="29"/>
      <c r="IDT70" s="29"/>
      <c r="IDU70" s="29"/>
      <c r="IDV70" s="29"/>
      <c r="IDW70" s="29"/>
      <c r="IDX70" s="29"/>
      <c r="IDY70" s="29"/>
      <c r="IDZ70" s="29"/>
      <c r="IEA70" s="29"/>
      <c r="IEB70" s="29"/>
      <c r="IEC70" s="29"/>
      <c r="IED70" s="29"/>
      <c r="IEE70" s="29"/>
      <c r="IEF70" s="29"/>
      <c r="IEG70" s="29"/>
      <c r="IEH70" s="29"/>
      <c r="IEI70" s="29"/>
      <c r="IEJ70" s="29"/>
      <c r="IEK70" s="29"/>
      <c r="IEL70" s="29"/>
      <c r="IEM70" s="29"/>
      <c r="IEN70" s="29"/>
      <c r="IEO70" s="29"/>
      <c r="IEP70" s="29"/>
      <c r="IEQ70" s="29"/>
      <c r="IER70" s="29"/>
      <c r="IES70" s="29"/>
      <c r="IET70" s="29"/>
      <c r="IEU70" s="29"/>
      <c r="IEV70" s="29"/>
      <c r="IEW70" s="29"/>
      <c r="IEX70" s="29"/>
      <c r="IEY70" s="29"/>
      <c r="IEZ70" s="29"/>
      <c r="IFA70" s="29"/>
      <c r="IFB70" s="29"/>
      <c r="IFC70" s="29"/>
      <c r="IFD70" s="29"/>
      <c r="IFE70" s="29"/>
      <c r="IFF70" s="29"/>
      <c r="IFG70" s="29"/>
      <c r="IFH70" s="29"/>
      <c r="IFI70" s="29"/>
      <c r="IFJ70" s="29"/>
      <c r="IFK70" s="29"/>
      <c r="IFL70" s="29"/>
      <c r="IFM70" s="29"/>
      <c r="IFN70" s="29"/>
      <c r="IFO70" s="29"/>
      <c r="IFP70" s="29"/>
      <c r="IFQ70" s="29"/>
      <c r="IFR70" s="29"/>
      <c r="IFS70" s="29"/>
      <c r="IFT70" s="29"/>
      <c r="IFU70" s="29"/>
      <c r="IFV70" s="29"/>
      <c r="IFW70" s="29"/>
      <c r="IFX70" s="29"/>
      <c r="IFY70" s="29"/>
      <c r="IFZ70" s="29"/>
      <c r="IGA70" s="29"/>
      <c r="IGB70" s="29"/>
      <c r="IGC70" s="29"/>
      <c r="IGD70" s="29"/>
      <c r="IGE70" s="29"/>
      <c r="IGF70" s="29"/>
      <c r="IGG70" s="29"/>
      <c r="IGH70" s="29"/>
      <c r="IGI70" s="29"/>
      <c r="IGJ70" s="29"/>
      <c r="IGK70" s="29"/>
      <c r="IGL70" s="29"/>
      <c r="IGM70" s="29"/>
      <c r="IGN70" s="29"/>
      <c r="IGO70" s="29"/>
      <c r="IGP70" s="29"/>
      <c r="IGQ70" s="29"/>
      <c r="IGR70" s="29"/>
      <c r="IGS70" s="29"/>
      <c r="IGT70" s="29"/>
      <c r="IGU70" s="29"/>
      <c r="IGV70" s="29"/>
      <c r="IGW70" s="29"/>
      <c r="IGX70" s="29"/>
      <c r="IGY70" s="29"/>
      <c r="IGZ70" s="29"/>
      <c r="IHA70" s="29"/>
      <c r="IHB70" s="29"/>
      <c r="IHC70" s="29"/>
      <c r="IHD70" s="29"/>
      <c r="IHE70" s="29"/>
      <c r="IHF70" s="29"/>
      <c r="IHG70" s="29"/>
      <c r="IHH70" s="29"/>
      <c r="IHI70" s="29"/>
      <c r="IHJ70" s="29"/>
      <c r="IHK70" s="29"/>
      <c r="IHL70" s="29"/>
      <c r="IHM70" s="29"/>
      <c r="IHN70" s="29"/>
      <c r="IHO70" s="29"/>
      <c r="IHP70" s="29"/>
      <c r="IHQ70" s="29"/>
      <c r="IHR70" s="29"/>
      <c r="IHS70" s="29"/>
      <c r="IHT70" s="29"/>
      <c r="IHU70" s="29"/>
      <c r="IHV70" s="29"/>
      <c r="IHW70" s="29"/>
      <c r="IHX70" s="29"/>
      <c r="IHY70" s="29"/>
      <c r="IHZ70" s="29"/>
      <c r="IIA70" s="29"/>
      <c r="IIB70" s="29"/>
      <c r="IIC70" s="29"/>
      <c r="IID70" s="29"/>
      <c r="IIE70" s="29"/>
      <c r="IIF70" s="29"/>
      <c r="IIG70" s="29"/>
      <c r="IIH70" s="29"/>
      <c r="III70" s="29"/>
      <c r="IIJ70" s="29"/>
      <c r="IIK70" s="29"/>
      <c r="IIL70" s="29"/>
      <c r="IIM70" s="29"/>
      <c r="IIN70" s="29"/>
      <c r="IIO70" s="29"/>
      <c r="IIP70" s="29"/>
      <c r="IIQ70" s="29"/>
      <c r="IIR70" s="29"/>
      <c r="IIS70" s="29"/>
      <c r="IIT70" s="29"/>
      <c r="IIU70" s="29"/>
      <c r="IIV70" s="29"/>
      <c r="IIW70" s="29"/>
      <c r="IIX70" s="29"/>
      <c r="IIY70" s="29"/>
      <c r="IIZ70" s="29"/>
      <c r="IJA70" s="29"/>
      <c r="IJB70" s="29"/>
      <c r="IJC70" s="29"/>
      <c r="IJD70" s="29"/>
      <c r="IJE70" s="29"/>
      <c r="IJF70" s="29"/>
      <c r="IJG70" s="29"/>
      <c r="IJH70" s="29"/>
      <c r="IJI70" s="29"/>
      <c r="IJJ70" s="29"/>
      <c r="IJK70" s="29"/>
      <c r="IJL70" s="29"/>
      <c r="IJM70" s="29"/>
      <c r="IJN70" s="29"/>
      <c r="IJO70" s="29"/>
      <c r="IJP70" s="29"/>
      <c r="IJQ70" s="29"/>
      <c r="IJR70" s="29"/>
      <c r="IJS70" s="29"/>
      <c r="IJT70" s="29"/>
      <c r="IJU70" s="29"/>
      <c r="IJV70" s="29"/>
      <c r="IJW70" s="29"/>
      <c r="IJX70" s="29"/>
      <c r="IJY70" s="29"/>
      <c r="IJZ70" s="29"/>
      <c r="IKA70" s="29"/>
      <c r="IKB70" s="29"/>
      <c r="IKC70" s="29"/>
      <c r="IKD70" s="29"/>
      <c r="IKE70" s="29"/>
      <c r="IKF70" s="29"/>
      <c r="IKG70" s="29"/>
      <c r="IKH70" s="29"/>
      <c r="IKI70" s="29"/>
      <c r="IKJ70" s="29"/>
      <c r="IKK70" s="29"/>
      <c r="IKL70" s="29"/>
      <c r="IKM70" s="29"/>
      <c r="IKN70" s="29"/>
      <c r="IKO70" s="29"/>
      <c r="IKP70" s="29"/>
      <c r="IKQ70" s="29"/>
      <c r="IKR70" s="29"/>
      <c r="IKS70" s="29"/>
      <c r="IKT70" s="29"/>
      <c r="IKU70" s="29"/>
      <c r="IKV70" s="29"/>
      <c r="IKW70" s="29"/>
      <c r="IKX70" s="29"/>
      <c r="IKY70" s="29"/>
      <c r="IKZ70" s="29"/>
      <c r="ILA70" s="29"/>
      <c r="ILB70" s="29"/>
      <c r="ILC70" s="29"/>
      <c r="ILD70" s="29"/>
      <c r="ILE70" s="29"/>
      <c r="ILF70" s="29"/>
      <c r="ILG70" s="29"/>
      <c r="ILH70" s="29"/>
      <c r="ILI70" s="29"/>
      <c r="ILJ70" s="29"/>
      <c r="ILK70" s="29"/>
      <c r="ILL70" s="29"/>
      <c r="ILM70" s="29"/>
      <c r="ILN70" s="29"/>
      <c r="ILO70" s="29"/>
      <c r="ILP70" s="29"/>
      <c r="ILQ70" s="29"/>
      <c r="ILR70" s="29"/>
      <c r="ILS70" s="29"/>
      <c r="ILT70" s="29"/>
      <c r="ILU70" s="29"/>
      <c r="ILV70" s="29"/>
      <c r="ILW70" s="29"/>
      <c r="ILX70" s="29"/>
      <c r="ILY70" s="29"/>
      <c r="ILZ70" s="29"/>
      <c r="IMA70" s="29"/>
      <c r="IMB70" s="29"/>
      <c r="IMC70" s="29"/>
      <c r="IMD70" s="29"/>
      <c r="IME70" s="29"/>
      <c r="IMF70" s="29"/>
      <c r="IMG70" s="29"/>
      <c r="IMH70" s="29"/>
      <c r="IMI70" s="29"/>
      <c r="IMJ70" s="29"/>
      <c r="IMK70" s="29"/>
      <c r="IML70" s="29"/>
      <c r="IMM70" s="29"/>
      <c r="IMN70" s="29"/>
      <c r="IMO70" s="29"/>
      <c r="IMP70" s="29"/>
      <c r="IMQ70" s="29"/>
      <c r="IMR70" s="29"/>
      <c r="IMS70" s="29"/>
      <c r="IMT70" s="29"/>
      <c r="IMU70" s="29"/>
      <c r="IMV70" s="29"/>
      <c r="IMW70" s="29"/>
      <c r="IMX70" s="29"/>
      <c r="IMY70" s="29"/>
      <c r="IMZ70" s="29"/>
      <c r="INA70" s="29"/>
      <c r="INB70" s="29"/>
      <c r="INC70" s="29"/>
      <c r="IND70" s="29"/>
      <c r="INE70" s="29"/>
      <c r="INF70" s="29"/>
      <c r="ING70" s="29"/>
      <c r="INH70" s="29"/>
      <c r="INI70" s="29"/>
      <c r="INJ70" s="29"/>
      <c r="INK70" s="29"/>
      <c r="INL70" s="29"/>
      <c r="INM70" s="29"/>
      <c r="INN70" s="29"/>
      <c r="INO70" s="29"/>
      <c r="INP70" s="29"/>
      <c r="INQ70" s="29"/>
      <c r="INR70" s="29"/>
      <c r="INS70" s="29"/>
      <c r="INT70" s="29"/>
      <c r="INU70" s="29"/>
      <c r="INV70" s="29"/>
      <c r="INW70" s="29"/>
      <c r="INX70" s="29"/>
      <c r="INY70" s="29"/>
      <c r="INZ70" s="29"/>
      <c r="IOA70" s="29"/>
      <c r="IOB70" s="29"/>
      <c r="IOC70" s="29"/>
      <c r="IOD70" s="29"/>
      <c r="IOE70" s="29"/>
      <c r="IOF70" s="29"/>
      <c r="IOG70" s="29"/>
      <c r="IOH70" s="29"/>
      <c r="IOI70" s="29"/>
      <c r="IOJ70" s="29"/>
      <c r="IOK70" s="29"/>
      <c r="IOL70" s="29"/>
      <c r="IOM70" s="29"/>
      <c r="ION70" s="29"/>
      <c r="IOO70" s="29"/>
      <c r="IOP70" s="29"/>
      <c r="IOQ70" s="29"/>
      <c r="IOR70" s="29"/>
      <c r="IOS70" s="29"/>
      <c r="IOT70" s="29"/>
      <c r="IOU70" s="29"/>
      <c r="IOV70" s="29"/>
      <c r="IOW70" s="29"/>
      <c r="IOX70" s="29"/>
      <c r="IOY70" s="29"/>
      <c r="IOZ70" s="29"/>
      <c r="IPA70" s="29"/>
      <c r="IPB70" s="29"/>
      <c r="IPC70" s="29"/>
      <c r="IPD70" s="29"/>
      <c r="IPE70" s="29"/>
      <c r="IPF70" s="29"/>
      <c r="IPG70" s="29"/>
      <c r="IPH70" s="29"/>
      <c r="IPI70" s="29"/>
      <c r="IPJ70" s="29"/>
      <c r="IPK70" s="29"/>
      <c r="IPL70" s="29"/>
      <c r="IPM70" s="29"/>
      <c r="IPN70" s="29"/>
      <c r="IPO70" s="29"/>
      <c r="IPP70" s="29"/>
      <c r="IPQ70" s="29"/>
      <c r="IPR70" s="29"/>
      <c r="IPS70" s="29"/>
      <c r="IPT70" s="29"/>
      <c r="IPU70" s="29"/>
      <c r="IPV70" s="29"/>
      <c r="IPW70" s="29"/>
      <c r="IPX70" s="29"/>
      <c r="IPY70" s="29"/>
      <c r="IPZ70" s="29"/>
      <c r="IQA70" s="29"/>
      <c r="IQB70" s="29"/>
      <c r="IQC70" s="29"/>
      <c r="IQD70" s="29"/>
      <c r="IQE70" s="29"/>
      <c r="IQF70" s="29"/>
      <c r="IQG70" s="29"/>
      <c r="IQH70" s="29"/>
      <c r="IQI70" s="29"/>
      <c r="IQJ70" s="29"/>
      <c r="IQK70" s="29"/>
      <c r="IQL70" s="29"/>
      <c r="IQM70" s="29"/>
      <c r="IQN70" s="29"/>
      <c r="IQO70" s="29"/>
      <c r="IQP70" s="29"/>
      <c r="IQQ70" s="29"/>
      <c r="IQR70" s="29"/>
      <c r="IQS70" s="29"/>
      <c r="IQT70" s="29"/>
      <c r="IQU70" s="29"/>
      <c r="IQV70" s="29"/>
      <c r="IQW70" s="29"/>
      <c r="IQX70" s="29"/>
      <c r="IQY70" s="29"/>
      <c r="IQZ70" s="29"/>
      <c r="IRA70" s="29"/>
      <c r="IRB70" s="29"/>
      <c r="IRC70" s="29"/>
      <c r="IRD70" s="29"/>
      <c r="IRE70" s="29"/>
      <c r="IRF70" s="29"/>
      <c r="IRG70" s="29"/>
      <c r="IRH70" s="29"/>
      <c r="IRI70" s="29"/>
      <c r="IRJ70" s="29"/>
      <c r="IRK70" s="29"/>
      <c r="IRL70" s="29"/>
      <c r="IRM70" s="29"/>
      <c r="IRN70" s="29"/>
      <c r="IRO70" s="29"/>
      <c r="IRP70" s="29"/>
      <c r="IRQ70" s="29"/>
      <c r="IRR70" s="29"/>
      <c r="IRS70" s="29"/>
      <c r="IRT70" s="29"/>
      <c r="IRU70" s="29"/>
      <c r="IRV70" s="29"/>
      <c r="IRW70" s="29"/>
      <c r="IRX70" s="29"/>
      <c r="IRY70" s="29"/>
      <c r="IRZ70" s="29"/>
      <c r="ISA70" s="29"/>
      <c r="ISB70" s="29"/>
      <c r="ISC70" s="29"/>
      <c r="ISD70" s="29"/>
      <c r="ISE70" s="29"/>
      <c r="ISF70" s="29"/>
      <c r="ISG70" s="29"/>
      <c r="ISH70" s="29"/>
      <c r="ISI70" s="29"/>
      <c r="ISJ70" s="29"/>
      <c r="ISK70" s="29"/>
      <c r="ISL70" s="29"/>
      <c r="ISM70" s="29"/>
      <c r="ISN70" s="29"/>
      <c r="ISO70" s="29"/>
      <c r="ISP70" s="29"/>
      <c r="ISQ70" s="29"/>
      <c r="ISR70" s="29"/>
      <c r="ISS70" s="29"/>
      <c r="IST70" s="29"/>
      <c r="ISU70" s="29"/>
      <c r="ISV70" s="29"/>
      <c r="ISW70" s="29"/>
      <c r="ISX70" s="29"/>
      <c r="ISY70" s="29"/>
      <c r="ISZ70" s="29"/>
      <c r="ITA70" s="29"/>
      <c r="ITB70" s="29"/>
      <c r="ITC70" s="29"/>
      <c r="ITD70" s="29"/>
      <c r="ITE70" s="29"/>
      <c r="ITF70" s="29"/>
      <c r="ITG70" s="29"/>
      <c r="ITH70" s="29"/>
      <c r="ITI70" s="29"/>
      <c r="ITJ70" s="29"/>
      <c r="ITK70" s="29"/>
      <c r="ITL70" s="29"/>
      <c r="ITM70" s="29"/>
      <c r="ITN70" s="29"/>
      <c r="ITO70" s="29"/>
      <c r="ITP70" s="29"/>
      <c r="ITQ70" s="29"/>
      <c r="ITR70" s="29"/>
      <c r="ITS70" s="29"/>
      <c r="ITT70" s="29"/>
      <c r="ITU70" s="29"/>
      <c r="ITV70" s="29"/>
      <c r="ITW70" s="29"/>
      <c r="ITX70" s="29"/>
      <c r="ITY70" s="29"/>
      <c r="ITZ70" s="29"/>
      <c r="IUA70" s="29"/>
      <c r="IUB70" s="29"/>
      <c r="IUC70" s="29"/>
      <c r="IUD70" s="29"/>
      <c r="IUE70" s="29"/>
      <c r="IUF70" s="29"/>
      <c r="IUG70" s="29"/>
      <c r="IUH70" s="29"/>
      <c r="IUI70" s="29"/>
      <c r="IUJ70" s="29"/>
      <c r="IUK70" s="29"/>
      <c r="IUL70" s="29"/>
      <c r="IUM70" s="29"/>
      <c r="IUN70" s="29"/>
      <c r="IUO70" s="29"/>
      <c r="IUP70" s="29"/>
      <c r="IUQ70" s="29"/>
      <c r="IUR70" s="29"/>
      <c r="IUS70" s="29"/>
      <c r="IUT70" s="29"/>
      <c r="IUU70" s="29"/>
      <c r="IUV70" s="29"/>
      <c r="IUW70" s="29"/>
      <c r="IUX70" s="29"/>
      <c r="IUY70" s="29"/>
      <c r="IUZ70" s="29"/>
      <c r="IVA70" s="29"/>
      <c r="IVB70" s="29"/>
      <c r="IVC70" s="29"/>
      <c r="IVD70" s="29"/>
      <c r="IVE70" s="29"/>
      <c r="IVF70" s="29"/>
      <c r="IVG70" s="29"/>
      <c r="IVH70" s="29"/>
      <c r="IVI70" s="29"/>
      <c r="IVJ70" s="29"/>
      <c r="IVK70" s="29"/>
      <c r="IVL70" s="29"/>
      <c r="IVM70" s="29"/>
      <c r="IVN70" s="29"/>
      <c r="IVO70" s="29"/>
      <c r="IVP70" s="29"/>
      <c r="IVQ70" s="29"/>
      <c r="IVR70" s="29"/>
      <c r="IVS70" s="29"/>
      <c r="IVT70" s="29"/>
      <c r="IVU70" s="29"/>
      <c r="IVV70" s="29"/>
      <c r="IVW70" s="29"/>
      <c r="IVX70" s="29"/>
      <c r="IVY70" s="29"/>
      <c r="IVZ70" s="29"/>
      <c r="IWA70" s="29"/>
      <c r="IWB70" s="29"/>
      <c r="IWC70" s="29"/>
      <c r="IWD70" s="29"/>
      <c r="IWE70" s="29"/>
      <c r="IWF70" s="29"/>
      <c r="IWG70" s="29"/>
      <c r="IWH70" s="29"/>
      <c r="IWI70" s="29"/>
      <c r="IWJ70" s="29"/>
      <c r="IWK70" s="29"/>
      <c r="IWL70" s="29"/>
      <c r="IWM70" s="29"/>
      <c r="IWN70" s="29"/>
      <c r="IWO70" s="29"/>
      <c r="IWP70" s="29"/>
      <c r="IWQ70" s="29"/>
      <c r="IWR70" s="29"/>
      <c r="IWS70" s="29"/>
      <c r="IWT70" s="29"/>
      <c r="IWU70" s="29"/>
      <c r="IWV70" s="29"/>
      <c r="IWW70" s="29"/>
      <c r="IWX70" s="29"/>
      <c r="IWY70" s="29"/>
      <c r="IWZ70" s="29"/>
      <c r="IXA70" s="29"/>
      <c r="IXB70" s="29"/>
      <c r="IXC70" s="29"/>
      <c r="IXD70" s="29"/>
      <c r="IXE70" s="29"/>
      <c r="IXF70" s="29"/>
      <c r="IXG70" s="29"/>
      <c r="IXH70" s="29"/>
      <c r="IXI70" s="29"/>
      <c r="IXJ70" s="29"/>
      <c r="IXK70" s="29"/>
      <c r="IXL70" s="29"/>
      <c r="IXM70" s="29"/>
      <c r="IXN70" s="29"/>
      <c r="IXO70" s="29"/>
      <c r="IXP70" s="29"/>
      <c r="IXQ70" s="29"/>
      <c r="IXR70" s="29"/>
      <c r="IXS70" s="29"/>
      <c r="IXT70" s="29"/>
      <c r="IXU70" s="29"/>
      <c r="IXV70" s="29"/>
      <c r="IXW70" s="29"/>
      <c r="IXX70" s="29"/>
      <c r="IXY70" s="29"/>
      <c r="IXZ70" s="29"/>
      <c r="IYA70" s="29"/>
      <c r="IYB70" s="29"/>
      <c r="IYC70" s="29"/>
      <c r="IYD70" s="29"/>
      <c r="IYE70" s="29"/>
      <c r="IYF70" s="29"/>
      <c r="IYG70" s="29"/>
      <c r="IYH70" s="29"/>
      <c r="IYI70" s="29"/>
      <c r="IYJ70" s="29"/>
      <c r="IYK70" s="29"/>
      <c r="IYL70" s="29"/>
      <c r="IYM70" s="29"/>
      <c r="IYN70" s="29"/>
      <c r="IYO70" s="29"/>
      <c r="IYP70" s="29"/>
      <c r="IYQ70" s="29"/>
      <c r="IYR70" s="29"/>
      <c r="IYS70" s="29"/>
      <c r="IYT70" s="29"/>
      <c r="IYU70" s="29"/>
      <c r="IYV70" s="29"/>
      <c r="IYW70" s="29"/>
      <c r="IYX70" s="29"/>
      <c r="IYY70" s="29"/>
      <c r="IYZ70" s="29"/>
      <c r="IZA70" s="29"/>
      <c r="IZB70" s="29"/>
      <c r="IZC70" s="29"/>
      <c r="IZD70" s="29"/>
      <c r="IZE70" s="29"/>
      <c r="IZF70" s="29"/>
      <c r="IZG70" s="29"/>
      <c r="IZH70" s="29"/>
      <c r="IZI70" s="29"/>
      <c r="IZJ70" s="29"/>
      <c r="IZK70" s="29"/>
      <c r="IZL70" s="29"/>
      <c r="IZM70" s="29"/>
      <c r="IZN70" s="29"/>
      <c r="IZO70" s="29"/>
      <c r="IZP70" s="29"/>
      <c r="IZQ70" s="29"/>
      <c r="IZR70" s="29"/>
      <c r="IZS70" s="29"/>
      <c r="IZT70" s="29"/>
      <c r="IZU70" s="29"/>
      <c r="IZV70" s="29"/>
      <c r="IZW70" s="29"/>
      <c r="IZX70" s="29"/>
      <c r="IZY70" s="29"/>
      <c r="IZZ70" s="29"/>
      <c r="JAA70" s="29"/>
      <c r="JAB70" s="29"/>
      <c r="JAC70" s="29"/>
      <c r="JAD70" s="29"/>
      <c r="JAE70" s="29"/>
      <c r="JAF70" s="29"/>
      <c r="JAG70" s="29"/>
      <c r="JAH70" s="29"/>
      <c r="JAI70" s="29"/>
      <c r="JAJ70" s="29"/>
      <c r="JAK70" s="29"/>
      <c r="JAL70" s="29"/>
      <c r="JAM70" s="29"/>
      <c r="JAN70" s="29"/>
      <c r="JAO70" s="29"/>
      <c r="JAP70" s="29"/>
      <c r="JAQ70" s="29"/>
      <c r="JAR70" s="29"/>
      <c r="JAS70" s="29"/>
      <c r="JAT70" s="29"/>
      <c r="JAU70" s="29"/>
      <c r="JAV70" s="29"/>
      <c r="JAW70" s="29"/>
      <c r="JAX70" s="29"/>
      <c r="JAY70" s="29"/>
      <c r="JAZ70" s="29"/>
      <c r="JBA70" s="29"/>
      <c r="JBB70" s="29"/>
      <c r="JBC70" s="29"/>
      <c r="JBD70" s="29"/>
      <c r="JBE70" s="29"/>
      <c r="JBF70" s="29"/>
      <c r="JBG70" s="29"/>
      <c r="JBH70" s="29"/>
      <c r="JBI70" s="29"/>
      <c r="JBJ70" s="29"/>
      <c r="JBK70" s="29"/>
      <c r="JBL70" s="29"/>
      <c r="JBM70" s="29"/>
      <c r="JBN70" s="29"/>
      <c r="JBO70" s="29"/>
      <c r="JBP70" s="29"/>
      <c r="JBQ70" s="29"/>
      <c r="JBR70" s="29"/>
      <c r="JBS70" s="29"/>
      <c r="JBT70" s="29"/>
      <c r="JBU70" s="29"/>
      <c r="JBV70" s="29"/>
      <c r="JBW70" s="29"/>
      <c r="JBX70" s="29"/>
      <c r="JBY70" s="29"/>
      <c r="JBZ70" s="29"/>
      <c r="JCA70" s="29"/>
      <c r="JCB70" s="29"/>
      <c r="JCC70" s="29"/>
      <c r="JCD70" s="29"/>
      <c r="JCE70" s="29"/>
      <c r="JCF70" s="29"/>
      <c r="JCG70" s="29"/>
      <c r="JCH70" s="29"/>
      <c r="JCI70" s="29"/>
      <c r="JCJ70" s="29"/>
      <c r="JCK70" s="29"/>
      <c r="JCL70" s="29"/>
      <c r="JCM70" s="29"/>
      <c r="JCN70" s="29"/>
      <c r="JCO70" s="29"/>
      <c r="JCP70" s="29"/>
      <c r="JCQ70" s="29"/>
      <c r="JCR70" s="29"/>
      <c r="JCS70" s="29"/>
      <c r="JCT70" s="29"/>
      <c r="JCU70" s="29"/>
      <c r="JCV70" s="29"/>
      <c r="JCW70" s="29"/>
      <c r="JCX70" s="29"/>
      <c r="JCY70" s="29"/>
      <c r="JCZ70" s="29"/>
      <c r="JDA70" s="29"/>
      <c r="JDB70" s="29"/>
      <c r="JDC70" s="29"/>
      <c r="JDD70" s="29"/>
      <c r="JDE70" s="29"/>
      <c r="JDF70" s="29"/>
      <c r="JDG70" s="29"/>
      <c r="JDH70" s="29"/>
      <c r="JDI70" s="29"/>
      <c r="JDJ70" s="29"/>
      <c r="JDK70" s="29"/>
      <c r="JDL70" s="29"/>
      <c r="JDM70" s="29"/>
      <c r="JDN70" s="29"/>
      <c r="JDO70" s="29"/>
      <c r="JDP70" s="29"/>
      <c r="JDQ70" s="29"/>
      <c r="JDR70" s="29"/>
      <c r="JDS70" s="29"/>
      <c r="JDT70" s="29"/>
      <c r="JDU70" s="29"/>
      <c r="JDV70" s="29"/>
      <c r="JDW70" s="29"/>
      <c r="JDX70" s="29"/>
      <c r="JDY70" s="29"/>
      <c r="JDZ70" s="29"/>
      <c r="JEA70" s="29"/>
      <c r="JEB70" s="29"/>
      <c r="JEC70" s="29"/>
      <c r="JED70" s="29"/>
      <c r="JEE70" s="29"/>
      <c r="JEF70" s="29"/>
      <c r="JEG70" s="29"/>
      <c r="JEH70" s="29"/>
      <c r="JEI70" s="29"/>
      <c r="JEJ70" s="29"/>
      <c r="JEK70" s="29"/>
      <c r="JEL70" s="29"/>
      <c r="JEM70" s="29"/>
      <c r="JEN70" s="29"/>
      <c r="JEO70" s="29"/>
      <c r="JEP70" s="29"/>
      <c r="JEQ70" s="29"/>
      <c r="JER70" s="29"/>
      <c r="JES70" s="29"/>
      <c r="JET70" s="29"/>
      <c r="JEU70" s="29"/>
      <c r="JEV70" s="29"/>
      <c r="JEW70" s="29"/>
      <c r="JEX70" s="29"/>
      <c r="JEY70" s="29"/>
      <c r="JEZ70" s="29"/>
      <c r="JFA70" s="29"/>
      <c r="JFB70" s="29"/>
      <c r="JFC70" s="29"/>
      <c r="JFD70" s="29"/>
      <c r="JFE70" s="29"/>
      <c r="JFF70" s="29"/>
      <c r="JFG70" s="29"/>
      <c r="JFH70" s="29"/>
      <c r="JFI70" s="29"/>
      <c r="JFJ70" s="29"/>
      <c r="JFK70" s="29"/>
      <c r="JFL70" s="29"/>
      <c r="JFM70" s="29"/>
      <c r="JFN70" s="29"/>
      <c r="JFO70" s="29"/>
      <c r="JFP70" s="29"/>
      <c r="JFQ70" s="29"/>
      <c r="JFR70" s="29"/>
      <c r="JFS70" s="29"/>
      <c r="JFT70" s="29"/>
      <c r="JFU70" s="29"/>
      <c r="JFV70" s="29"/>
      <c r="JFW70" s="29"/>
      <c r="JFX70" s="29"/>
      <c r="JFY70" s="29"/>
      <c r="JFZ70" s="29"/>
      <c r="JGA70" s="29"/>
      <c r="JGB70" s="29"/>
      <c r="JGC70" s="29"/>
      <c r="JGD70" s="29"/>
      <c r="JGE70" s="29"/>
      <c r="JGF70" s="29"/>
      <c r="JGG70" s="29"/>
      <c r="JGH70" s="29"/>
      <c r="JGI70" s="29"/>
      <c r="JGJ70" s="29"/>
      <c r="JGK70" s="29"/>
      <c r="JGL70" s="29"/>
      <c r="JGM70" s="29"/>
      <c r="JGN70" s="29"/>
      <c r="JGO70" s="29"/>
      <c r="JGP70" s="29"/>
      <c r="JGQ70" s="29"/>
      <c r="JGR70" s="29"/>
      <c r="JGS70" s="29"/>
      <c r="JGT70" s="29"/>
      <c r="JGU70" s="29"/>
      <c r="JGV70" s="29"/>
      <c r="JGW70" s="29"/>
      <c r="JGX70" s="29"/>
      <c r="JGY70" s="29"/>
      <c r="JGZ70" s="29"/>
      <c r="JHA70" s="29"/>
      <c r="JHB70" s="29"/>
      <c r="JHC70" s="29"/>
      <c r="JHD70" s="29"/>
      <c r="JHE70" s="29"/>
      <c r="JHF70" s="29"/>
      <c r="JHG70" s="29"/>
      <c r="JHH70" s="29"/>
      <c r="JHI70" s="29"/>
      <c r="JHJ70" s="29"/>
      <c r="JHK70" s="29"/>
      <c r="JHL70" s="29"/>
      <c r="JHM70" s="29"/>
      <c r="JHN70" s="29"/>
      <c r="JHO70" s="29"/>
      <c r="JHP70" s="29"/>
      <c r="JHQ70" s="29"/>
      <c r="JHR70" s="29"/>
      <c r="JHS70" s="29"/>
      <c r="JHT70" s="29"/>
      <c r="JHU70" s="29"/>
      <c r="JHV70" s="29"/>
      <c r="JHW70" s="29"/>
      <c r="JHX70" s="29"/>
      <c r="JHY70" s="29"/>
      <c r="JHZ70" s="29"/>
      <c r="JIA70" s="29"/>
      <c r="JIB70" s="29"/>
      <c r="JIC70" s="29"/>
      <c r="JID70" s="29"/>
      <c r="JIE70" s="29"/>
      <c r="JIF70" s="29"/>
      <c r="JIG70" s="29"/>
      <c r="JIH70" s="29"/>
      <c r="JII70" s="29"/>
      <c r="JIJ70" s="29"/>
      <c r="JIK70" s="29"/>
      <c r="JIL70" s="29"/>
      <c r="JIM70" s="29"/>
      <c r="JIN70" s="29"/>
      <c r="JIO70" s="29"/>
      <c r="JIP70" s="29"/>
      <c r="JIQ70" s="29"/>
      <c r="JIR70" s="29"/>
      <c r="JIS70" s="29"/>
      <c r="JIT70" s="29"/>
      <c r="JIU70" s="29"/>
      <c r="JIV70" s="29"/>
      <c r="JIW70" s="29"/>
      <c r="JIX70" s="29"/>
      <c r="JIY70" s="29"/>
      <c r="JIZ70" s="29"/>
      <c r="JJA70" s="29"/>
      <c r="JJB70" s="29"/>
      <c r="JJC70" s="29"/>
      <c r="JJD70" s="29"/>
      <c r="JJE70" s="29"/>
      <c r="JJF70" s="29"/>
      <c r="JJG70" s="29"/>
      <c r="JJH70" s="29"/>
      <c r="JJI70" s="29"/>
      <c r="JJJ70" s="29"/>
      <c r="JJK70" s="29"/>
      <c r="JJL70" s="29"/>
      <c r="JJM70" s="29"/>
      <c r="JJN70" s="29"/>
      <c r="JJO70" s="29"/>
      <c r="JJP70" s="29"/>
      <c r="JJQ70" s="29"/>
      <c r="JJR70" s="29"/>
      <c r="JJS70" s="29"/>
      <c r="JJT70" s="29"/>
      <c r="JJU70" s="29"/>
      <c r="JJV70" s="29"/>
      <c r="JJW70" s="29"/>
      <c r="JJX70" s="29"/>
      <c r="JJY70" s="29"/>
      <c r="JJZ70" s="29"/>
      <c r="JKA70" s="29"/>
      <c r="JKB70" s="29"/>
      <c r="JKC70" s="29"/>
      <c r="JKD70" s="29"/>
      <c r="JKE70" s="29"/>
      <c r="JKF70" s="29"/>
      <c r="JKG70" s="29"/>
      <c r="JKH70" s="29"/>
      <c r="JKI70" s="29"/>
      <c r="JKJ70" s="29"/>
      <c r="JKK70" s="29"/>
      <c r="JKL70" s="29"/>
      <c r="JKM70" s="29"/>
      <c r="JKN70" s="29"/>
      <c r="JKO70" s="29"/>
      <c r="JKP70" s="29"/>
      <c r="JKQ70" s="29"/>
      <c r="JKR70" s="29"/>
      <c r="JKS70" s="29"/>
      <c r="JKT70" s="29"/>
      <c r="JKU70" s="29"/>
      <c r="JKV70" s="29"/>
      <c r="JKW70" s="29"/>
      <c r="JKX70" s="29"/>
      <c r="JKY70" s="29"/>
      <c r="JKZ70" s="29"/>
      <c r="JLA70" s="29"/>
      <c r="JLB70" s="29"/>
      <c r="JLC70" s="29"/>
      <c r="JLD70" s="29"/>
      <c r="JLE70" s="29"/>
      <c r="JLF70" s="29"/>
      <c r="JLG70" s="29"/>
      <c r="JLH70" s="29"/>
      <c r="JLI70" s="29"/>
      <c r="JLJ70" s="29"/>
      <c r="JLK70" s="29"/>
      <c r="JLL70" s="29"/>
      <c r="JLM70" s="29"/>
      <c r="JLN70" s="29"/>
      <c r="JLO70" s="29"/>
      <c r="JLP70" s="29"/>
      <c r="JLQ70" s="29"/>
      <c r="JLR70" s="29"/>
      <c r="JLS70" s="29"/>
      <c r="JLT70" s="29"/>
      <c r="JLU70" s="29"/>
      <c r="JLV70" s="29"/>
      <c r="JLW70" s="29"/>
      <c r="JLX70" s="29"/>
      <c r="JLY70" s="29"/>
      <c r="JLZ70" s="29"/>
      <c r="JMA70" s="29"/>
      <c r="JMB70" s="29"/>
      <c r="JMC70" s="29"/>
      <c r="JMD70" s="29"/>
      <c r="JME70" s="29"/>
      <c r="JMF70" s="29"/>
      <c r="JMG70" s="29"/>
      <c r="JMH70" s="29"/>
      <c r="JMI70" s="29"/>
      <c r="JMJ70" s="29"/>
      <c r="JMK70" s="29"/>
      <c r="JML70" s="29"/>
      <c r="JMM70" s="29"/>
      <c r="JMN70" s="29"/>
      <c r="JMO70" s="29"/>
      <c r="JMP70" s="29"/>
      <c r="JMQ70" s="29"/>
      <c r="JMR70" s="29"/>
      <c r="JMS70" s="29"/>
      <c r="JMT70" s="29"/>
      <c r="JMU70" s="29"/>
      <c r="JMV70" s="29"/>
      <c r="JMW70" s="29"/>
      <c r="JMX70" s="29"/>
      <c r="JMY70" s="29"/>
      <c r="JMZ70" s="29"/>
      <c r="JNA70" s="29"/>
      <c r="JNB70" s="29"/>
      <c r="JNC70" s="29"/>
      <c r="JND70" s="29"/>
      <c r="JNE70" s="29"/>
      <c r="JNF70" s="29"/>
      <c r="JNG70" s="29"/>
      <c r="JNH70" s="29"/>
      <c r="JNI70" s="29"/>
      <c r="JNJ70" s="29"/>
      <c r="JNK70" s="29"/>
      <c r="JNL70" s="29"/>
      <c r="JNM70" s="29"/>
      <c r="JNN70" s="29"/>
      <c r="JNO70" s="29"/>
      <c r="JNP70" s="29"/>
      <c r="JNQ70" s="29"/>
      <c r="JNR70" s="29"/>
      <c r="JNS70" s="29"/>
      <c r="JNT70" s="29"/>
      <c r="JNU70" s="29"/>
      <c r="JNV70" s="29"/>
      <c r="JNW70" s="29"/>
      <c r="JNX70" s="29"/>
      <c r="JNY70" s="29"/>
      <c r="JNZ70" s="29"/>
      <c r="JOA70" s="29"/>
      <c r="JOB70" s="29"/>
      <c r="JOC70" s="29"/>
      <c r="JOD70" s="29"/>
      <c r="JOE70" s="29"/>
      <c r="JOF70" s="29"/>
      <c r="JOG70" s="29"/>
      <c r="JOH70" s="29"/>
      <c r="JOI70" s="29"/>
      <c r="JOJ70" s="29"/>
      <c r="JOK70" s="29"/>
      <c r="JOL70" s="29"/>
      <c r="JOM70" s="29"/>
      <c r="JON70" s="29"/>
      <c r="JOO70" s="29"/>
      <c r="JOP70" s="29"/>
      <c r="JOQ70" s="29"/>
      <c r="JOR70" s="29"/>
      <c r="JOS70" s="29"/>
      <c r="JOT70" s="29"/>
      <c r="JOU70" s="29"/>
      <c r="JOV70" s="29"/>
      <c r="JOW70" s="29"/>
      <c r="JOX70" s="29"/>
      <c r="JOY70" s="29"/>
      <c r="JOZ70" s="29"/>
      <c r="JPA70" s="29"/>
      <c r="JPB70" s="29"/>
      <c r="JPC70" s="29"/>
      <c r="JPD70" s="29"/>
      <c r="JPE70" s="29"/>
      <c r="JPF70" s="29"/>
      <c r="JPG70" s="29"/>
      <c r="JPH70" s="29"/>
      <c r="JPI70" s="29"/>
      <c r="JPJ70" s="29"/>
      <c r="JPK70" s="29"/>
      <c r="JPL70" s="29"/>
      <c r="JPM70" s="29"/>
      <c r="JPN70" s="29"/>
      <c r="JPO70" s="29"/>
      <c r="JPP70" s="29"/>
      <c r="JPQ70" s="29"/>
      <c r="JPR70" s="29"/>
      <c r="JPS70" s="29"/>
      <c r="JPT70" s="29"/>
      <c r="JPU70" s="29"/>
      <c r="JPV70" s="29"/>
      <c r="JPW70" s="29"/>
      <c r="JPX70" s="29"/>
      <c r="JPY70" s="29"/>
      <c r="JPZ70" s="29"/>
      <c r="JQA70" s="29"/>
      <c r="JQB70" s="29"/>
      <c r="JQC70" s="29"/>
      <c r="JQD70" s="29"/>
      <c r="JQE70" s="29"/>
      <c r="JQF70" s="29"/>
      <c r="JQG70" s="29"/>
      <c r="JQH70" s="29"/>
      <c r="JQI70" s="29"/>
      <c r="JQJ70" s="29"/>
      <c r="JQK70" s="29"/>
      <c r="JQL70" s="29"/>
      <c r="JQM70" s="29"/>
      <c r="JQN70" s="29"/>
      <c r="JQO70" s="29"/>
      <c r="JQP70" s="29"/>
      <c r="JQQ70" s="29"/>
      <c r="JQR70" s="29"/>
      <c r="JQS70" s="29"/>
      <c r="JQT70" s="29"/>
      <c r="JQU70" s="29"/>
      <c r="JQV70" s="29"/>
      <c r="JQW70" s="29"/>
      <c r="JQX70" s="29"/>
      <c r="JQY70" s="29"/>
      <c r="JQZ70" s="29"/>
      <c r="JRA70" s="29"/>
      <c r="JRB70" s="29"/>
      <c r="JRC70" s="29"/>
      <c r="JRD70" s="29"/>
      <c r="JRE70" s="29"/>
      <c r="JRF70" s="29"/>
      <c r="JRG70" s="29"/>
      <c r="JRH70" s="29"/>
      <c r="JRI70" s="29"/>
      <c r="JRJ70" s="29"/>
      <c r="JRK70" s="29"/>
      <c r="JRL70" s="29"/>
      <c r="JRM70" s="29"/>
      <c r="JRN70" s="29"/>
      <c r="JRO70" s="29"/>
      <c r="JRP70" s="29"/>
      <c r="JRQ70" s="29"/>
      <c r="JRR70" s="29"/>
      <c r="JRS70" s="29"/>
      <c r="JRT70" s="29"/>
      <c r="JRU70" s="29"/>
      <c r="JRV70" s="29"/>
      <c r="JRW70" s="29"/>
      <c r="JRX70" s="29"/>
      <c r="JRY70" s="29"/>
      <c r="JRZ70" s="29"/>
      <c r="JSA70" s="29"/>
      <c r="JSB70" s="29"/>
      <c r="JSC70" s="29"/>
      <c r="JSD70" s="29"/>
      <c r="JSE70" s="29"/>
      <c r="JSF70" s="29"/>
      <c r="JSG70" s="29"/>
      <c r="JSH70" s="29"/>
      <c r="JSI70" s="29"/>
      <c r="JSJ70" s="29"/>
      <c r="JSK70" s="29"/>
      <c r="JSL70" s="29"/>
      <c r="JSM70" s="29"/>
      <c r="JSN70" s="29"/>
      <c r="JSO70" s="29"/>
      <c r="JSP70" s="29"/>
      <c r="JSQ70" s="29"/>
      <c r="JSR70" s="29"/>
      <c r="JSS70" s="29"/>
      <c r="JST70" s="29"/>
      <c r="JSU70" s="29"/>
      <c r="JSV70" s="29"/>
      <c r="JSW70" s="29"/>
      <c r="JSX70" s="29"/>
      <c r="JSY70" s="29"/>
      <c r="JSZ70" s="29"/>
      <c r="JTA70" s="29"/>
      <c r="JTB70" s="29"/>
      <c r="JTC70" s="29"/>
      <c r="JTD70" s="29"/>
      <c r="JTE70" s="29"/>
      <c r="JTF70" s="29"/>
      <c r="JTG70" s="29"/>
      <c r="JTH70" s="29"/>
      <c r="JTI70" s="29"/>
      <c r="JTJ70" s="29"/>
      <c r="JTK70" s="29"/>
      <c r="JTL70" s="29"/>
      <c r="JTM70" s="29"/>
      <c r="JTN70" s="29"/>
      <c r="JTO70" s="29"/>
      <c r="JTP70" s="29"/>
      <c r="JTQ70" s="29"/>
      <c r="JTR70" s="29"/>
      <c r="JTS70" s="29"/>
      <c r="JTT70" s="29"/>
      <c r="JTU70" s="29"/>
      <c r="JTV70" s="29"/>
      <c r="JTW70" s="29"/>
      <c r="JTX70" s="29"/>
      <c r="JTY70" s="29"/>
      <c r="JTZ70" s="29"/>
      <c r="JUA70" s="29"/>
      <c r="JUB70" s="29"/>
      <c r="JUC70" s="29"/>
      <c r="JUD70" s="29"/>
      <c r="JUE70" s="29"/>
      <c r="JUF70" s="29"/>
      <c r="JUG70" s="29"/>
      <c r="JUH70" s="29"/>
      <c r="JUI70" s="29"/>
      <c r="JUJ70" s="29"/>
      <c r="JUK70" s="29"/>
      <c r="JUL70" s="29"/>
      <c r="JUM70" s="29"/>
      <c r="JUN70" s="29"/>
      <c r="JUO70" s="29"/>
      <c r="JUP70" s="29"/>
      <c r="JUQ70" s="29"/>
      <c r="JUR70" s="29"/>
      <c r="JUS70" s="29"/>
      <c r="JUT70" s="29"/>
      <c r="JUU70" s="29"/>
      <c r="JUV70" s="29"/>
      <c r="JUW70" s="29"/>
      <c r="JUX70" s="29"/>
      <c r="JUY70" s="29"/>
      <c r="JUZ70" s="29"/>
      <c r="JVA70" s="29"/>
      <c r="JVB70" s="29"/>
      <c r="JVC70" s="29"/>
      <c r="JVD70" s="29"/>
      <c r="JVE70" s="29"/>
      <c r="JVF70" s="29"/>
      <c r="JVG70" s="29"/>
      <c r="JVH70" s="29"/>
      <c r="JVI70" s="29"/>
      <c r="JVJ70" s="29"/>
      <c r="JVK70" s="29"/>
      <c r="JVL70" s="29"/>
      <c r="JVM70" s="29"/>
      <c r="JVN70" s="29"/>
      <c r="JVO70" s="29"/>
      <c r="JVP70" s="29"/>
      <c r="JVQ70" s="29"/>
      <c r="JVR70" s="29"/>
      <c r="JVS70" s="29"/>
      <c r="JVT70" s="29"/>
      <c r="JVU70" s="29"/>
      <c r="JVV70" s="29"/>
      <c r="JVW70" s="29"/>
      <c r="JVX70" s="29"/>
      <c r="JVY70" s="29"/>
      <c r="JVZ70" s="29"/>
      <c r="JWA70" s="29"/>
      <c r="JWB70" s="29"/>
      <c r="JWC70" s="29"/>
      <c r="JWD70" s="29"/>
      <c r="JWE70" s="29"/>
      <c r="JWF70" s="29"/>
      <c r="JWG70" s="29"/>
      <c r="JWH70" s="29"/>
      <c r="JWI70" s="29"/>
      <c r="JWJ70" s="29"/>
      <c r="JWK70" s="29"/>
      <c r="JWL70" s="29"/>
      <c r="JWM70" s="29"/>
      <c r="JWN70" s="29"/>
      <c r="JWO70" s="29"/>
      <c r="JWP70" s="29"/>
      <c r="JWQ70" s="29"/>
      <c r="JWR70" s="29"/>
      <c r="JWS70" s="29"/>
      <c r="JWT70" s="29"/>
      <c r="JWU70" s="29"/>
      <c r="JWV70" s="29"/>
      <c r="JWW70" s="29"/>
      <c r="JWX70" s="29"/>
      <c r="JWY70" s="29"/>
      <c r="JWZ70" s="29"/>
      <c r="JXA70" s="29"/>
      <c r="JXB70" s="29"/>
      <c r="JXC70" s="29"/>
      <c r="JXD70" s="29"/>
      <c r="JXE70" s="29"/>
      <c r="JXF70" s="29"/>
      <c r="JXG70" s="29"/>
      <c r="JXH70" s="29"/>
      <c r="JXI70" s="29"/>
      <c r="JXJ70" s="29"/>
      <c r="JXK70" s="29"/>
      <c r="JXL70" s="29"/>
      <c r="JXM70" s="29"/>
      <c r="JXN70" s="29"/>
      <c r="JXO70" s="29"/>
      <c r="JXP70" s="29"/>
      <c r="JXQ70" s="29"/>
      <c r="JXR70" s="29"/>
      <c r="JXS70" s="29"/>
      <c r="JXT70" s="29"/>
      <c r="JXU70" s="29"/>
      <c r="JXV70" s="29"/>
      <c r="JXW70" s="29"/>
      <c r="JXX70" s="29"/>
      <c r="JXY70" s="29"/>
      <c r="JXZ70" s="29"/>
      <c r="JYA70" s="29"/>
      <c r="JYB70" s="29"/>
      <c r="JYC70" s="29"/>
      <c r="JYD70" s="29"/>
      <c r="JYE70" s="29"/>
      <c r="JYF70" s="29"/>
      <c r="JYG70" s="29"/>
      <c r="JYH70" s="29"/>
      <c r="JYI70" s="29"/>
      <c r="JYJ70" s="29"/>
      <c r="JYK70" s="29"/>
      <c r="JYL70" s="29"/>
      <c r="JYM70" s="29"/>
      <c r="JYN70" s="29"/>
      <c r="JYO70" s="29"/>
      <c r="JYP70" s="29"/>
      <c r="JYQ70" s="29"/>
      <c r="JYR70" s="29"/>
      <c r="JYS70" s="29"/>
      <c r="JYT70" s="29"/>
      <c r="JYU70" s="29"/>
      <c r="JYV70" s="29"/>
      <c r="JYW70" s="29"/>
      <c r="JYX70" s="29"/>
      <c r="JYY70" s="29"/>
      <c r="JYZ70" s="29"/>
      <c r="JZA70" s="29"/>
      <c r="JZB70" s="29"/>
      <c r="JZC70" s="29"/>
      <c r="JZD70" s="29"/>
      <c r="JZE70" s="29"/>
      <c r="JZF70" s="29"/>
      <c r="JZG70" s="29"/>
      <c r="JZH70" s="29"/>
      <c r="JZI70" s="29"/>
      <c r="JZJ70" s="29"/>
      <c r="JZK70" s="29"/>
      <c r="JZL70" s="29"/>
      <c r="JZM70" s="29"/>
      <c r="JZN70" s="29"/>
      <c r="JZO70" s="29"/>
      <c r="JZP70" s="29"/>
      <c r="JZQ70" s="29"/>
      <c r="JZR70" s="29"/>
      <c r="JZS70" s="29"/>
      <c r="JZT70" s="29"/>
      <c r="JZU70" s="29"/>
      <c r="JZV70" s="29"/>
      <c r="JZW70" s="29"/>
      <c r="JZX70" s="29"/>
      <c r="JZY70" s="29"/>
      <c r="JZZ70" s="29"/>
      <c r="KAA70" s="29"/>
      <c r="KAB70" s="29"/>
      <c r="KAC70" s="29"/>
      <c r="KAD70" s="29"/>
      <c r="KAE70" s="29"/>
      <c r="KAF70" s="29"/>
      <c r="KAG70" s="29"/>
      <c r="KAH70" s="29"/>
      <c r="KAI70" s="29"/>
      <c r="KAJ70" s="29"/>
      <c r="KAK70" s="29"/>
      <c r="KAL70" s="29"/>
      <c r="KAM70" s="29"/>
      <c r="KAN70" s="29"/>
      <c r="KAO70" s="29"/>
      <c r="KAP70" s="29"/>
      <c r="KAQ70" s="29"/>
      <c r="KAR70" s="29"/>
      <c r="KAS70" s="29"/>
      <c r="KAT70" s="29"/>
      <c r="KAU70" s="29"/>
      <c r="KAV70" s="29"/>
      <c r="KAW70" s="29"/>
      <c r="KAX70" s="29"/>
      <c r="KAY70" s="29"/>
      <c r="KAZ70" s="29"/>
      <c r="KBA70" s="29"/>
      <c r="KBB70" s="29"/>
      <c r="KBC70" s="29"/>
      <c r="KBD70" s="29"/>
      <c r="KBE70" s="29"/>
      <c r="KBF70" s="29"/>
      <c r="KBG70" s="29"/>
      <c r="KBH70" s="29"/>
      <c r="KBI70" s="29"/>
      <c r="KBJ70" s="29"/>
      <c r="KBK70" s="29"/>
      <c r="KBL70" s="29"/>
      <c r="KBM70" s="29"/>
      <c r="KBN70" s="29"/>
      <c r="KBO70" s="29"/>
      <c r="KBP70" s="29"/>
      <c r="KBQ70" s="29"/>
      <c r="KBR70" s="29"/>
      <c r="KBS70" s="29"/>
      <c r="KBT70" s="29"/>
      <c r="KBU70" s="29"/>
      <c r="KBV70" s="29"/>
      <c r="KBW70" s="29"/>
      <c r="KBX70" s="29"/>
      <c r="KBY70" s="29"/>
      <c r="KBZ70" s="29"/>
      <c r="KCA70" s="29"/>
      <c r="KCB70" s="29"/>
      <c r="KCC70" s="29"/>
      <c r="KCD70" s="29"/>
      <c r="KCE70" s="29"/>
      <c r="KCF70" s="29"/>
      <c r="KCG70" s="29"/>
      <c r="KCH70" s="29"/>
      <c r="KCI70" s="29"/>
      <c r="KCJ70" s="29"/>
      <c r="KCK70" s="29"/>
      <c r="KCL70" s="29"/>
      <c r="KCM70" s="29"/>
      <c r="KCN70" s="29"/>
      <c r="KCO70" s="29"/>
      <c r="KCP70" s="29"/>
      <c r="KCQ70" s="29"/>
      <c r="KCR70" s="29"/>
      <c r="KCS70" s="29"/>
      <c r="KCT70" s="29"/>
      <c r="KCU70" s="29"/>
      <c r="KCV70" s="29"/>
      <c r="KCW70" s="29"/>
      <c r="KCX70" s="29"/>
      <c r="KCY70" s="29"/>
      <c r="KCZ70" s="29"/>
      <c r="KDA70" s="29"/>
      <c r="KDB70" s="29"/>
      <c r="KDC70" s="29"/>
      <c r="KDD70" s="29"/>
      <c r="KDE70" s="29"/>
      <c r="KDF70" s="29"/>
      <c r="KDG70" s="29"/>
      <c r="KDH70" s="29"/>
      <c r="KDI70" s="29"/>
      <c r="KDJ70" s="29"/>
      <c r="KDK70" s="29"/>
      <c r="KDL70" s="29"/>
      <c r="KDM70" s="29"/>
      <c r="KDN70" s="29"/>
      <c r="KDO70" s="29"/>
      <c r="KDP70" s="29"/>
      <c r="KDQ70" s="29"/>
      <c r="KDR70" s="29"/>
      <c r="KDS70" s="29"/>
      <c r="KDT70" s="29"/>
      <c r="KDU70" s="29"/>
      <c r="KDV70" s="29"/>
      <c r="KDW70" s="29"/>
      <c r="KDX70" s="29"/>
      <c r="KDY70" s="29"/>
      <c r="KDZ70" s="29"/>
      <c r="KEA70" s="29"/>
      <c r="KEB70" s="29"/>
      <c r="KEC70" s="29"/>
      <c r="KED70" s="29"/>
      <c r="KEE70" s="29"/>
      <c r="KEF70" s="29"/>
      <c r="KEG70" s="29"/>
      <c r="KEH70" s="29"/>
      <c r="KEI70" s="29"/>
      <c r="KEJ70" s="29"/>
      <c r="KEK70" s="29"/>
      <c r="KEL70" s="29"/>
      <c r="KEM70" s="29"/>
      <c r="KEN70" s="29"/>
      <c r="KEO70" s="29"/>
      <c r="KEP70" s="29"/>
      <c r="KEQ70" s="29"/>
      <c r="KER70" s="29"/>
      <c r="KES70" s="29"/>
      <c r="KET70" s="29"/>
      <c r="KEU70" s="29"/>
      <c r="KEV70" s="29"/>
      <c r="KEW70" s="29"/>
      <c r="KEX70" s="29"/>
      <c r="KEY70" s="29"/>
      <c r="KEZ70" s="29"/>
      <c r="KFA70" s="29"/>
      <c r="KFB70" s="29"/>
      <c r="KFC70" s="29"/>
      <c r="KFD70" s="29"/>
      <c r="KFE70" s="29"/>
      <c r="KFF70" s="29"/>
      <c r="KFG70" s="29"/>
      <c r="KFH70" s="29"/>
      <c r="KFI70" s="29"/>
      <c r="KFJ70" s="29"/>
      <c r="KFK70" s="29"/>
      <c r="KFL70" s="29"/>
      <c r="KFM70" s="29"/>
      <c r="KFN70" s="29"/>
      <c r="KFO70" s="29"/>
      <c r="KFP70" s="29"/>
      <c r="KFQ70" s="29"/>
      <c r="KFR70" s="29"/>
      <c r="KFS70" s="29"/>
      <c r="KFT70" s="29"/>
      <c r="KFU70" s="29"/>
      <c r="KFV70" s="29"/>
      <c r="KFW70" s="29"/>
      <c r="KFX70" s="29"/>
      <c r="KFY70" s="29"/>
      <c r="KFZ70" s="29"/>
      <c r="KGA70" s="29"/>
      <c r="KGB70" s="29"/>
      <c r="KGC70" s="29"/>
      <c r="KGD70" s="29"/>
      <c r="KGE70" s="29"/>
      <c r="KGF70" s="29"/>
      <c r="KGG70" s="29"/>
      <c r="KGH70" s="29"/>
      <c r="KGI70" s="29"/>
      <c r="KGJ70" s="29"/>
      <c r="KGK70" s="29"/>
      <c r="KGL70" s="29"/>
      <c r="KGM70" s="29"/>
      <c r="KGN70" s="29"/>
      <c r="KGO70" s="29"/>
      <c r="KGP70" s="29"/>
      <c r="KGQ70" s="29"/>
      <c r="KGR70" s="29"/>
      <c r="KGS70" s="29"/>
      <c r="KGT70" s="29"/>
      <c r="KGU70" s="29"/>
      <c r="KGV70" s="29"/>
      <c r="KGW70" s="29"/>
      <c r="KGX70" s="29"/>
      <c r="KGY70" s="29"/>
      <c r="KGZ70" s="29"/>
      <c r="KHA70" s="29"/>
      <c r="KHB70" s="29"/>
      <c r="KHC70" s="29"/>
      <c r="KHD70" s="29"/>
      <c r="KHE70" s="29"/>
      <c r="KHF70" s="29"/>
      <c r="KHG70" s="29"/>
      <c r="KHH70" s="29"/>
      <c r="KHI70" s="29"/>
      <c r="KHJ70" s="29"/>
      <c r="KHK70" s="29"/>
      <c r="KHL70" s="29"/>
      <c r="KHM70" s="29"/>
      <c r="KHN70" s="29"/>
      <c r="KHO70" s="29"/>
      <c r="KHP70" s="29"/>
      <c r="KHQ70" s="29"/>
      <c r="KHR70" s="29"/>
      <c r="KHS70" s="29"/>
      <c r="KHT70" s="29"/>
      <c r="KHU70" s="29"/>
      <c r="KHV70" s="29"/>
      <c r="KHW70" s="29"/>
      <c r="KHX70" s="29"/>
      <c r="KHY70" s="29"/>
      <c r="KHZ70" s="29"/>
      <c r="KIA70" s="29"/>
      <c r="KIB70" s="29"/>
      <c r="KIC70" s="29"/>
      <c r="KID70" s="29"/>
      <c r="KIE70" s="29"/>
      <c r="KIF70" s="29"/>
      <c r="KIG70" s="29"/>
      <c r="KIH70" s="29"/>
      <c r="KII70" s="29"/>
      <c r="KIJ70" s="29"/>
      <c r="KIK70" s="29"/>
      <c r="KIL70" s="29"/>
      <c r="KIM70" s="29"/>
      <c r="KIN70" s="29"/>
      <c r="KIO70" s="29"/>
      <c r="KIP70" s="29"/>
      <c r="KIQ70" s="29"/>
      <c r="KIR70" s="29"/>
      <c r="KIS70" s="29"/>
      <c r="KIT70" s="29"/>
      <c r="KIU70" s="29"/>
      <c r="KIV70" s="29"/>
      <c r="KIW70" s="29"/>
      <c r="KIX70" s="29"/>
      <c r="KIY70" s="29"/>
      <c r="KIZ70" s="29"/>
      <c r="KJA70" s="29"/>
      <c r="KJB70" s="29"/>
      <c r="KJC70" s="29"/>
      <c r="KJD70" s="29"/>
      <c r="KJE70" s="29"/>
      <c r="KJF70" s="29"/>
      <c r="KJG70" s="29"/>
      <c r="KJH70" s="29"/>
      <c r="KJI70" s="29"/>
      <c r="KJJ70" s="29"/>
      <c r="KJK70" s="29"/>
      <c r="KJL70" s="29"/>
      <c r="KJM70" s="29"/>
      <c r="KJN70" s="29"/>
      <c r="KJO70" s="29"/>
      <c r="KJP70" s="29"/>
      <c r="KJQ70" s="29"/>
      <c r="KJR70" s="29"/>
      <c r="KJS70" s="29"/>
      <c r="KJT70" s="29"/>
      <c r="KJU70" s="29"/>
      <c r="KJV70" s="29"/>
      <c r="KJW70" s="29"/>
      <c r="KJX70" s="29"/>
      <c r="KJY70" s="29"/>
      <c r="KJZ70" s="29"/>
      <c r="KKA70" s="29"/>
      <c r="KKB70" s="29"/>
      <c r="KKC70" s="29"/>
      <c r="KKD70" s="29"/>
      <c r="KKE70" s="29"/>
      <c r="KKF70" s="29"/>
      <c r="KKG70" s="29"/>
      <c r="KKH70" s="29"/>
      <c r="KKI70" s="29"/>
      <c r="KKJ70" s="29"/>
      <c r="KKK70" s="29"/>
      <c r="KKL70" s="29"/>
      <c r="KKM70" s="29"/>
      <c r="KKN70" s="29"/>
      <c r="KKO70" s="29"/>
      <c r="KKP70" s="29"/>
      <c r="KKQ70" s="29"/>
      <c r="KKR70" s="29"/>
      <c r="KKS70" s="29"/>
      <c r="KKT70" s="29"/>
      <c r="KKU70" s="29"/>
      <c r="KKV70" s="29"/>
      <c r="KKW70" s="29"/>
      <c r="KKX70" s="29"/>
      <c r="KKY70" s="29"/>
      <c r="KKZ70" s="29"/>
      <c r="KLA70" s="29"/>
      <c r="KLB70" s="29"/>
      <c r="KLC70" s="29"/>
      <c r="KLD70" s="29"/>
      <c r="KLE70" s="29"/>
      <c r="KLF70" s="29"/>
      <c r="KLG70" s="29"/>
      <c r="KLH70" s="29"/>
      <c r="KLI70" s="29"/>
      <c r="KLJ70" s="29"/>
      <c r="KLK70" s="29"/>
      <c r="KLL70" s="29"/>
      <c r="KLM70" s="29"/>
      <c r="KLN70" s="29"/>
      <c r="KLO70" s="29"/>
      <c r="KLP70" s="29"/>
      <c r="KLQ70" s="29"/>
      <c r="KLR70" s="29"/>
      <c r="KLS70" s="29"/>
      <c r="KLT70" s="29"/>
      <c r="KLU70" s="29"/>
      <c r="KLV70" s="29"/>
      <c r="KLW70" s="29"/>
      <c r="KLX70" s="29"/>
      <c r="KLY70" s="29"/>
      <c r="KLZ70" s="29"/>
      <c r="KMA70" s="29"/>
      <c r="KMB70" s="29"/>
      <c r="KMC70" s="29"/>
      <c r="KMD70" s="29"/>
      <c r="KME70" s="29"/>
      <c r="KMF70" s="29"/>
      <c r="KMG70" s="29"/>
      <c r="KMH70" s="29"/>
      <c r="KMI70" s="29"/>
      <c r="KMJ70" s="29"/>
      <c r="KMK70" s="29"/>
      <c r="KML70" s="29"/>
      <c r="KMM70" s="29"/>
      <c r="KMN70" s="29"/>
      <c r="KMO70" s="29"/>
      <c r="KMP70" s="29"/>
      <c r="KMQ70" s="29"/>
      <c r="KMR70" s="29"/>
      <c r="KMS70" s="29"/>
      <c r="KMT70" s="29"/>
      <c r="KMU70" s="29"/>
      <c r="KMV70" s="29"/>
      <c r="KMW70" s="29"/>
      <c r="KMX70" s="29"/>
      <c r="KMY70" s="29"/>
      <c r="KMZ70" s="29"/>
      <c r="KNA70" s="29"/>
      <c r="KNB70" s="29"/>
      <c r="KNC70" s="29"/>
      <c r="KND70" s="29"/>
      <c r="KNE70" s="29"/>
      <c r="KNF70" s="29"/>
      <c r="KNG70" s="29"/>
      <c r="KNH70" s="29"/>
      <c r="KNI70" s="29"/>
      <c r="KNJ70" s="29"/>
      <c r="KNK70" s="29"/>
      <c r="KNL70" s="29"/>
      <c r="KNM70" s="29"/>
      <c r="KNN70" s="29"/>
      <c r="KNO70" s="29"/>
      <c r="KNP70" s="29"/>
      <c r="KNQ70" s="29"/>
      <c r="KNR70" s="29"/>
      <c r="KNS70" s="29"/>
      <c r="KNT70" s="29"/>
      <c r="KNU70" s="29"/>
      <c r="KNV70" s="29"/>
      <c r="KNW70" s="29"/>
      <c r="KNX70" s="29"/>
      <c r="KNY70" s="29"/>
      <c r="KNZ70" s="29"/>
      <c r="KOA70" s="29"/>
      <c r="KOB70" s="29"/>
      <c r="KOC70" s="29"/>
      <c r="KOD70" s="29"/>
      <c r="KOE70" s="29"/>
      <c r="KOF70" s="29"/>
      <c r="KOG70" s="29"/>
      <c r="KOH70" s="29"/>
      <c r="KOI70" s="29"/>
      <c r="KOJ70" s="29"/>
      <c r="KOK70" s="29"/>
      <c r="KOL70" s="29"/>
      <c r="KOM70" s="29"/>
      <c r="KON70" s="29"/>
      <c r="KOO70" s="29"/>
      <c r="KOP70" s="29"/>
      <c r="KOQ70" s="29"/>
      <c r="KOR70" s="29"/>
      <c r="KOS70" s="29"/>
      <c r="KOT70" s="29"/>
      <c r="KOU70" s="29"/>
      <c r="KOV70" s="29"/>
      <c r="KOW70" s="29"/>
      <c r="KOX70" s="29"/>
      <c r="KOY70" s="29"/>
      <c r="KOZ70" s="29"/>
      <c r="KPA70" s="29"/>
      <c r="KPB70" s="29"/>
      <c r="KPC70" s="29"/>
      <c r="KPD70" s="29"/>
      <c r="KPE70" s="29"/>
      <c r="KPF70" s="29"/>
      <c r="KPG70" s="29"/>
      <c r="KPH70" s="29"/>
      <c r="KPI70" s="29"/>
      <c r="KPJ70" s="29"/>
      <c r="KPK70" s="29"/>
      <c r="KPL70" s="29"/>
      <c r="KPM70" s="29"/>
      <c r="KPN70" s="29"/>
      <c r="KPO70" s="29"/>
      <c r="KPP70" s="29"/>
      <c r="KPQ70" s="29"/>
      <c r="KPR70" s="29"/>
      <c r="KPS70" s="29"/>
      <c r="KPT70" s="29"/>
      <c r="KPU70" s="29"/>
      <c r="KPV70" s="29"/>
      <c r="KPW70" s="29"/>
      <c r="KPX70" s="29"/>
      <c r="KPY70" s="29"/>
      <c r="KPZ70" s="29"/>
      <c r="KQA70" s="29"/>
      <c r="KQB70" s="29"/>
      <c r="KQC70" s="29"/>
      <c r="KQD70" s="29"/>
      <c r="KQE70" s="29"/>
      <c r="KQF70" s="29"/>
      <c r="KQG70" s="29"/>
      <c r="KQH70" s="29"/>
      <c r="KQI70" s="29"/>
      <c r="KQJ70" s="29"/>
      <c r="KQK70" s="29"/>
      <c r="KQL70" s="29"/>
      <c r="KQM70" s="29"/>
      <c r="KQN70" s="29"/>
      <c r="KQO70" s="29"/>
      <c r="KQP70" s="29"/>
      <c r="KQQ70" s="29"/>
      <c r="KQR70" s="29"/>
      <c r="KQS70" s="29"/>
      <c r="KQT70" s="29"/>
      <c r="KQU70" s="29"/>
      <c r="KQV70" s="29"/>
      <c r="KQW70" s="29"/>
      <c r="KQX70" s="29"/>
      <c r="KQY70" s="29"/>
      <c r="KQZ70" s="29"/>
      <c r="KRA70" s="29"/>
      <c r="KRB70" s="29"/>
      <c r="KRC70" s="29"/>
      <c r="KRD70" s="29"/>
      <c r="KRE70" s="29"/>
      <c r="KRF70" s="29"/>
      <c r="KRG70" s="29"/>
      <c r="KRH70" s="29"/>
      <c r="KRI70" s="29"/>
      <c r="KRJ70" s="29"/>
      <c r="KRK70" s="29"/>
      <c r="KRL70" s="29"/>
      <c r="KRM70" s="29"/>
      <c r="KRN70" s="29"/>
      <c r="KRO70" s="29"/>
      <c r="KRP70" s="29"/>
      <c r="KRQ70" s="29"/>
      <c r="KRR70" s="29"/>
      <c r="KRS70" s="29"/>
      <c r="KRT70" s="29"/>
      <c r="KRU70" s="29"/>
      <c r="KRV70" s="29"/>
      <c r="KRW70" s="29"/>
      <c r="KRX70" s="29"/>
      <c r="KRY70" s="29"/>
      <c r="KRZ70" s="29"/>
      <c r="KSA70" s="29"/>
      <c r="KSB70" s="29"/>
      <c r="KSC70" s="29"/>
      <c r="KSD70" s="29"/>
      <c r="KSE70" s="29"/>
      <c r="KSF70" s="29"/>
      <c r="KSG70" s="29"/>
      <c r="KSH70" s="29"/>
      <c r="KSI70" s="29"/>
      <c r="KSJ70" s="29"/>
      <c r="KSK70" s="29"/>
      <c r="KSL70" s="29"/>
      <c r="KSM70" s="29"/>
      <c r="KSN70" s="29"/>
      <c r="KSO70" s="29"/>
      <c r="KSP70" s="29"/>
      <c r="KSQ70" s="29"/>
      <c r="KSR70" s="29"/>
      <c r="KSS70" s="29"/>
      <c r="KST70" s="29"/>
      <c r="KSU70" s="29"/>
      <c r="KSV70" s="29"/>
      <c r="KSW70" s="29"/>
      <c r="KSX70" s="29"/>
      <c r="KSY70" s="29"/>
      <c r="KSZ70" s="29"/>
      <c r="KTA70" s="29"/>
      <c r="KTB70" s="29"/>
      <c r="KTC70" s="29"/>
      <c r="KTD70" s="29"/>
      <c r="KTE70" s="29"/>
      <c r="KTF70" s="29"/>
      <c r="KTG70" s="29"/>
      <c r="KTH70" s="29"/>
      <c r="KTI70" s="29"/>
      <c r="KTJ70" s="29"/>
      <c r="KTK70" s="29"/>
      <c r="KTL70" s="29"/>
      <c r="KTM70" s="29"/>
      <c r="KTN70" s="29"/>
      <c r="KTO70" s="29"/>
      <c r="KTP70" s="29"/>
      <c r="KTQ70" s="29"/>
      <c r="KTR70" s="29"/>
      <c r="KTS70" s="29"/>
      <c r="KTT70" s="29"/>
      <c r="KTU70" s="29"/>
      <c r="KTV70" s="29"/>
      <c r="KTW70" s="29"/>
      <c r="KTX70" s="29"/>
      <c r="KTY70" s="29"/>
      <c r="KTZ70" s="29"/>
      <c r="KUA70" s="29"/>
      <c r="KUB70" s="29"/>
      <c r="KUC70" s="29"/>
      <c r="KUD70" s="29"/>
      <c r="KUE70" s="29"/>
      <c r="KUF70" s="29"/>
      <c r="KUG70" s="29"/>
      <c r="KUH70" s="29"/>
      <c r="KUI70" s="29"/>
      <c r="KUJ70" s="29"/>
      <c r="KUK70" s="29"/>
      <c r="KUL70" s="29"/>
      <c r="KUM70" s="29"/>
      <c r="KUN70" s="29"/>
      <c r="KUO70" s="29"/>
      <c r="KUP70" s="29"/>
      <c r="KUQ70" s="29"/>
      <c r="KUR70" s="29"/>
      <c r="KUS70" s="29"/>
      <c r="KUT70" s="29"/>
      <c r="KUU70" s="29"/>
      <c r="KUV70" s="29"/>
      <c r="KUW70" s="29"/>
      <c r="KUX70" s="29"/>
      <c r="KUY70" s="29"/>
      <c r="KUZ70" s="29"/>
      <c r="KVA70" s="29"/>
      <c r="KVB70" s="29"/>
      <c r="KVC70" s="29"/>
      <c r="KVD70" s="29"/>
      <c r="KVE70" s="29"/>
      <c r="KVF70" s="29"/>
      <c r="KVG70" s="29"/>
      <c r="KVH70" s="29"/>
      <c r="KVI70" s="29"/>
      <c r="KVJ70" s="29"/>
      <c r="KVK70" s="29"/>
      <c r="KVL70" s="29"/>
      <c r="KVM70" s="29"/>
      <c r="KVN70" s="29"/>
      <c r="KVO70" s="29"/>
      <c r="KVP70" s="29"/>
      <c r="KVQ70" s="29"/>
      <c r="KVR70" s="29"/>
      <c r="KVS70" s="29"/>
      <c r="KVT70" s="29"/>
      <c r="KVU70" s="29"/>
      <c r="KVV70" s="29"/>
      <c r="KVW70" s="29"/>
      <c r="KVX70" s="29"/>
      <c r="KVY70" s="29"/>
      <c r="KVZ70" s="29"/>
      <c r="KWA70" s="29"/>
      <c r="KWB70" s="29"/>
      <c r="KWC70" s="29"/>
      <c r="KWD70" s="29"/>
      <c r="KWE70" s="29"/>
      <c r="KWF70" s="29"/>
      <c r="KWG70" s="29"/>
      <c r="KWH70" s="29"/>
      <c r="KWI70" s="29"/>
      <c r="KWJ70" s="29"/>
      <c r="KWK70" s="29"/>
      <c r="KWL70" s="29"/>
      <c r="KWM70" s="29"/>
      <c r="KWN70" s="29"/>
      <c r="KWO70" s="29"/>
      <c r="KWP70" s="29"/>
      <c r="KWQ70" s="29"/>
      <c r="KWR70" s="29"/>
      <c r="KWS70" s="29"/>
      <c r="KWT70" s="29"/>
      <c r="KWU70" s="29"/>
      <c r="KWV70" s="29"/>
      <c r="KWW70" s="29"/>
      <c r="KWX70" s="29"/>
      <c r="KWY70" s="29"/>
      <c r="KWZ70" s="29"/>
      <c r="KXA70" s="29"/>
      <c r="KXB70" s="29"/>
      <c r="KXC70" s="29"/>
      <c r="KXD70" s="29"/>
      <c r="KXE70" s="29"/>
      <c r="KXF70" s="29"/>
      <c r="KXG70" s="29"/>
      <c r="KXH70" s="29"/>
      <c r="KXI70" s="29"/>
      <c r="KXJ70" s="29"/>
      <c r="KXK70" s="29"/>
      <c r="KXL70" s="29"/>
      <c r="KXM70" s="29"/>
      <c r="KXN70" s="29"/>
      <c r="KXO70" s="29"/>
      <c r="KXP70" s="29"/>
      <c r="KXQ70" s="29"/>
      <c r="KXR70" s="29"/>
      <c r="KXS70" s="29"/>
      <c r="KXT70" s="29"/>
      <c r="KXU70" s="29"/>
      <c r="KXV70" s="29"/>
      <c r="KXW70" s="29"/>
      <c r="KXX70" s="29"/>
      <c r="KXY70" s="29"/>
      <c r="KXZ70" s="29"/>
      <c r="KYA70" s="29"/>
      <c r="KYB70" s="29"/>
      <c r="KYC70" s="29"/>
      <c r="KYD70" s="29"/>
      <c r="KYE70" s="29"/>
      <c r="KYF70" s="29"/>
      <c r="KYG70" s="29"/>
      <c r="KYH70" s="29"/>
      <c r="KYI70" s="29"/>
      <c r="KYJ70" s="29"/>
      <c r="KYK70" s="29"/>
      <c r="KYL70" s="29"/>
      <c r="KYM70" s="29"/>
      <c r="KYN70" s="29"/>
      <c r="KYO70" s="29"/>
      <c r="KYP70" s="29"/>
      <c r="KYQ70" s="29"/>
      <c r="KYR70" s="29"/>
      <c r="KYS70" s="29"/>
      <c r="KYT70" s="29"/>
      <c r="KYU70" s="29"/>
      <c r="KYV70" s="29"/>
      <c r="KYW70" s="29"/>
      <c r="KYX70" s="29"/>
      <c r="KYY70" s="29"/>
      <c r="KYZ70" s="29"/>
      <c r="KZA70" s="29"/>
      <c r="KZB70" s="29"/>
      <c r="KZC70" s="29"/>
      <c r="KZD70" s="29"/>
      <c r="KZE70" s="29"/>
      <c r="KZF70" s="29"/>
      <c r="KZG70" s="29"/>
      <c r="KZH70" s="29"/>
      <c r="KZI70" s="29"/>
      <c r="KZJ70" s="29"/>
      <c r="KZK70" s="29"/>
      <c r="KZL70" s="29"/>
      <c r="KZM70" s="29"/>
      <c r="KZN70" s="29"/>
      <c r="KZO70" s="29"/>
      <c r="KZP70" s="29"/>
      <c r="KZQ70" s="29"/>
      <c r="KZR70" s="29"/>
      <c r="KZS70" s="29"/>
      <c r="KZT70" s="29"/>
      <c r="KZU70" s="29"/>
      <c r="KZV70" s="29"/>
      <c r="KZW70" s="29"/>
      <c r="KZX70" s="29"/>
      <c r="KZY70" s="29"/>
      <c r="KZZ70" s="29"/>
      <c r="LAA70" s="29"/>
      <c r="LAB70" s="29"/>
      <c r="LAC70" s="29"/>
      <c r="LAD70" s="29"/>
      <c r="LAE70" s="29"/>
      <c r="LAF70" s="29"/>
      <c r="LAG70" s="29"/>
      <c r="LAH70" s="29"/>
      <c r="LAI70" s="29"/>
      <c r="LAJ70" s="29"/>
      <c r="LAK70" s="29"/>
      <c r="LAL70" s="29"/>
      <c r="LAM70" s="29"/>
      <c r="LAN70" s="29"/>
      <c r="LAO70" s="29"/>
      <c r="LAP70" s="29"/>
      <c r="LAQ70" s="29"/>
      <c r="LAR70" s="29"/>
      <c r="LAS70" s="29"/>
      <c r="LAT70" s="29"/>
      <c r="LAU70" s="29"/>
      <c r="LAV70" s="29"/>
      <c r="LAW70" s="29"/>
      <c r="LAX70" s="29"/>
      <c r="LAY70" s="29"/>
      <c r="LAZ70" s="29"/>
      <c r="LBA70" s="29"/>
      <c r="LBB70" s="29"/>
      <c r="LBC70" s="29"/>
      <c r="LBD70" s="29"/>
      <c r="LBE70" s="29"/>
      <c r="LBF70" s="29"/>
      <c r="LBG70" s="29"/>
      <c r="LBH70" s="29"/>
      <c r="LBI70" s="29"/>
      <c r="LBJ70" s="29"/>
      <c r="LBK70" s="29"/>
      <c r="LBL70" s="29"/>
      <c r="LBM70" s="29"/>
      <c r="LBN70" s="29"/>
      <c r="LBO70" s="29"/>
      <c r="LBP70" s="29"/>
      <c r="LBQ70" s="29"/>
      <c r="LBR70" s="29"/>
      <c r="LBS70" s="29"/>
      <c r="LBT70" s="29"/>
      <c r="LBU70" s="29"/>
      <c r="LBV70" s="29"/>
      <c r="LBW70" s="29"/>
      <c r="LBX70" s="29"/>
      <c r="LBY70" s="29"/>
      <c r="LBZ70" s="29"/>
      <c r="LCA70" s="29"/>
      <c r="LCB70" s="29"/>
      <c r="LCC70" s="29"/>
      <c r="LCD70" s="29"/>
      <c r="LCE70" s="29"/>
      <c r="LCF70" s="29"/>
      <c r="LCG70" s="29"/>
      <c r="LCH70" s="29"/>
      <c r="LCI70" s="29"/>
      <c r="LCJ70" s="29"/>
      <c r="LCK70" s="29"/>
      <c r="LCL70" s="29"/>
      <c r="LCM70" s="29"/>
      <c r="LCN70" s="29"/>
      <c r="LCO70" s="29"/>
      <c r="LCP70" s="29"/>
      <c r="LCQ70" s="29"/>
      <c r="LCR70" s="29"/>
      <c r="LCS70" s="29"/>
      <c r="LCT70" s="29"/>
      <c r="LCU70" s="29"/>
      <c r="LCV70" s="29"/>
      <c r="LCW70" s="29"/>
      <c r="LCX70" s="29"/>
      <c r="LCY70" s="29"/>
      <c r="LCZ70" s="29"/>
      <c r="LDA70" s="29"/>
      <c r="LDB70" s="29"/>
      <c r="LDC70" s="29"/>
      <c r="LDD70" s="29"/>
      <c r="LDE70" s="29"/>
      <c r="LDF70" s="29"/>
      <c r="LDG70" s="29"/>
      <c r="LDH70" s="29"/>
      <c r="LDI70" s="29"/>
      <c r="LDJ70" s="29"/>
      <c r="LDK70" s="29"/>
      <c r="LDL70" s="29"/>
      <c r="LDM70" s="29"/>
      <c r="LDN70" s="29"/>
      <c r="LDO70" s="29"/>
      <c r="LDP70" s="29"/>
      <c r="LDQ70" s="29"/>
      <c r="LDR70" s="29"/>
      <c r="LDS70" s="29"/>
      <c r="LDT70" s="29"/>
      <c r="LDU70" s="29"/>
      <c r="LDV70" s="29"/>
      <c r="LDW70" s="29"/>
      <c r="LDX70" s="29"/>
      <c r="LDY70" s="29"/>
      <c r="LDZ70" s="29"/>
      <c r="LEA70" s="29"/>
      <c r="LEB70" s="29"/>
      <c r="LEC70" s="29"/>
      <c r="LED70" s="29"/>
      <c r="LEE70" s="29"/>
      <c r="LEF70" s="29"/>
      <c r="LEG70" s="29"/>
      <c r="LEH70" s="29"/>
      <c r="LEI70" s="29"/>
      <c r="LEJ70" s="29"/>
      <c r="LEK70" s="29"/>
      <c r="LEL70" s="29"/>
      <c r="LEM70" s="29"/>
      <c r="LEN70" s="29"/>
      <c r="LEO70" s="29"/>
      <c r="LEP70" s="29"/>
      <c r="LEQ70" s="29"/>
      <c r="LER70" s="29"/>
      <c r="LES70" s="29"/>
      <c r="LET70" s="29"/>
      <c r="LEU70" s="29"/>
      <c r="LEV70" s="29"/>
      <c r="LEW70" s="29"/>
      <c r="LEX70" s="29"/>
      <c r="LEY70" s="29"/>
      <c r="LEZ70" s="29"/>
      <c r="LFA70" s="29"/>
      <c r="LFB70" s="29"/>
      <c r="LFC70" s="29"/>
      <c r="LFD70" s="29"/>
      <c r="LFE70" s="29"/>
      <c r="LFF70" s="29"/>
      <c r="LFG70" s="29"/>
      <c r="LFH70" s="29"/>
      <c r="LFI70" s="29"/>
      <c r="LFJ70" s="29"/>
      <c r="LFK70" s="29"/>
      <c r="LFL70" s="29"/>
      <c r="LFM70" s="29"/>
      <c r="LFN70" s="29"/>
      <c r="LFO70" s="29"/>
      <c r="LFP70" s="29"/>
      <c r="LFQ70" s="29"/>
      <c r="LFR70" s="29"/>
      <c r="LFS70" s="29"/>
      <c r="LFT70" s="29"/>
      <c r="LFU70" s="29"/>
      <c r="LFV70" s="29"/>
      <c r="LFW70" s="29"/>
      <c r="LFX70" s="29"/>
      <c r="LFY70" s="29"/>
      <c r="LFZ70" s="29"/>
      <c r="LGA70" s="29"/>
      <c r="LGB70" s="29"/>
      <c r="LGC70" s="29"/>
      <c r="LGD70" s="29"/>
      <c r="LGE70" s="29"/>
      <c r="LGF70" s="29"/>
      <c r="LGG70" s="29"/>
      <c r="LGH70" s="29"/>
      <c r="LGI70" s="29"/>
      <c r="LGJ70" s="29"/>
      <c r="LGK70" s="29"/>
      <c r="LGL70" s="29"/>
      <c r="LGM70" s="29"/>
      <c r="LGN70" s="29"/>
      <c r="LGO70" s="29"/>
      <c r="LGP70" s="29"/>
      <c r="LGQ70" s="29"/>
      <c r="LGR70" s="29"/>
      <c r="LGS70" s="29"/>
      <c r="LGT70" s="29"/>
      <c r="LGU70" s="29"/>
      <c r="LGV70" s="29"/>
      <c r="LGW70" s="29"/>
      <c r="LGX70" s="29"/>
      <c r="LGY70" s="29"/>
      <c r="LGZ70" s="29"/>
      <c r="LHA70" s="29"/>
      <c r="LHB70" s="29"/>
      <c r="LHC70" s="29"/>
      <c r="LHD70" s="29"/>
      <c r="LHE70" s="29"/>
      <c r="LHF70" s="29"/>
      <c r="LHG70" s="29"/>
      <c r="LHH70" s="29"/>
      <c r="LHI70" s="29"/>
      <c r="LHJ70" s="29"/>
      <c r="LHK70" s="29"/>
      <c r="LHL70" s="29"/>
      <c r="LHM70" s="29"/>
      <c r="LHN70" s="29"/>
      <c r="LHO70" s="29"/>
      <c r="LHP70" s="29"/>
      <c r="LHQ70" s="29"/>
      <c r="LHR70" s="29"/>
      <c r="LHS70" s="29"/>
      <c r="LHT70" s="29"/>
      <c r="LHU70" s="29"/>
      <c r="LHV70" s="29"/>
      <c r="LHW70" s="29"/>
      <c r="LHX70" s="29"/>
      <c r="LHY70" s="29"/>
      <c r="LHZ70" s="29"/>
      <c r="LIA70" s="29"/>
      <c r="LIB70" s="29"/>
      <c r="LIC70" s="29"/>
      <c r="LID70" s="29"/>
      <c r="LIE70" s="29"/>
      <c r="LIF70" s="29"/>
      <c r="LIG70" s="29"/>
      <c r="LIH70" s="29"/>
      <c r="LII70" s="29"/>
      <c r="LIJ70" s="29"/>
      <c r="LIK70" s="29"/>
      <c r="LIL70" s="29"/>
      <c r="LIM70" s="29"/>
      <c r="LIN70" s="29"/>
      <c r="LIO70" s="29"/>
      <c r="LIP70" s="29"/>
      <c r="LIQ70" s="29"/>
      <c r="LIR70" s="29"/>
      <c r="LIS70" s="29"/>
      <c r="LIT70" s="29"/>
      <c r="LIU70" s="29"/>
      <c r="LIV70" s="29"/>
      <c r="LIW70" s="29"/>
      <c r="LIX70" s="29"/>
      <c r="LIY70" s="29"/>
      <c r="LIZ70" s="29"/>
      <c r="LJA70" s="29"/>
      <c r="LJB70" s="29"/>
      <c r="LJC70" s="29"/>
      <c r="LJD70" s="29"/>
      <c r="LJE70" s="29"/>
      <c r="LJF70" s="29"/>
      <c r="LJG70" s="29"/>
      <c r="LJH70" s="29"/>
      <c r="LJI70" s="29"/>
      <c r="LJJ70" s="29"/>
      <c r="LJK70" s="29"/>
      <c r="LJL70" s="29"/>
      <c r="LJM70" s="29"/>
      <c r="LJN70" s="29"/>
      <c r="LJO70" s="29"/>
      <c r="LJP70" s="29"/>
      <c r="LJQ70" s="29"/>
      <c r="LJR70" s="29"/>
      <c r="LJS70" s="29"/>
      <c r="LJT70" s="29"/>
      <c r="LJU70" s="29"/>
      <c r="LJV70" s="29"/>
      <c r="LJW70" s="29"/>
      <c r="LJX70" s="29"/>
      <c r="LJY70" s="29"/>
      <c r="LJZ70" s="29"/>
      <c r="LKA70" s="29"/>
      <c r="LKB70" s="29"/>
      <c r="LKC70" s="29"/>
      <c r="LKD70" s="29"/>
      <c r="LKE70" s="29"/>
      <c r="LKF70" s="29"/>
      <c r="LKG70" s="29"/>
      <c r="LKH70" s="29"/>
      <c r="LKI70" s="29"/>
      <c r="LKJ70" s="29"/>
      <c r="LKK70" s="29"/>
      <c r="LKL70" s="29"/>
      <c r="LKM70" s="29"/>
      <c r="LKN70" s="29"/>
      <c r="LKO70" s="29"/>
      <c r="LKP70" s="29"/>
      <c r="LKQ70" s="29"/>
      <c r="LKR70" s="29"/>
      <c r="LKS70" s="29"/>
      <c r="LKT70" s="29"/>
      <c r="LKU70" s="29"/>
      <c r="LKV70" s="29"/>
      <c r="LKW70" s="29"/>
      <c r="LKX70" s="29"/>
      <c r="LKY70" s="29"/>
      <c r="LKZ70" s="29"/>
      <c r="LLA70" s="29"/>
      <c r="LLB70" s="29"/>
      <c r="LLC70" s="29"/>
      <c r="LLD70" s="29"/>
      <c r="LLE70" s="29"/>
      <c r="LLF70" s="29"/>
      <c r="LLG70" s="29"/>
      <c r="LLH70" s="29"/>
      <c r="LLI70" s="29"/>
      <c r="LLJ70" s="29"/>
      <c r="LLK70" s="29"/>
      <c r="LLL70" s="29"/>
      <c r="LLM70" s="29"/>
      <c r="LLN70" s="29"/>
      <c r="LLO70" s="29"/>
      <c r="LLP70" s="29"/>
      <c r="LLQ70" s="29"/>
      <c r="LLR70" s="29"/>
      <c r="LLS70" s="29"/>
      <c r="LLT70" s="29"/>
      <c r="LLU70" s="29"/>
      <c r="LLV70" s="29"/>
      <c r="LLW70" s="29"/>
      <c r="LLX70" s="29"/>
      <c r="LLY70" s="29"/>
      <c r="LLZ70" s="29"/>
      <c r="LMA70" s="29"/>
      <c r="LMB70" s="29"/>
      <c r="LMC70" s="29"/>
      <c r="LMD70" s="29"/>
      <c r="LME70" s="29"/>
      <c r="LMF70" s="29"/>
      <c r="LMG70" s="29"/>
      <c r="LMH70" s="29"/>
      <c r="LMI70" s="29"/>
      <c r="LMJ70" s="29"/>
      <c r="LMK70" s="29"/>
      <c r="LML70" s="29"/>
      <c r="LMM70" s="29"/>
      <c r="LMN70" s="29"/>
      <c r="LMO70" s="29"/>
      <c r="LMP70" s="29"/>
      <c r="LMQ70" s="29"/>
      <c r="LMR70" s="29"/>
      <c r="LMS70" s="29"/>
      <c r="LMT70" s="29"/>
      <c r="LMU70" s="29"/>
      <c r="LMV70" s="29"/>
      <c r="LMW70" s="29"/>
      <c r="LMX70" s="29"/>
      <c r="LMY70" s="29"/>
      <c r="LMZ70" s="29"/>
      <c r="LNA70" s="29"/>
      <c r="LNB70" s="29"/>
      <c r="LNC70" s="29"/>
      <c r="LND70" s="29"/>
      <c r="LNE70" s="29"/>
      <c r="LNF70" s="29"/>
      <c r="LNG70" s="29"/>
      <c r="LNH70" s="29"/>
      <c r="LNI70" s="29"/>
      <c r="LNJ70" s="29"/>
      <c r="LNK70" s="29"/>
      <c r="LNL70" s="29"/>
      <c r="LNM70" s="29"/>
      <c r="LNN70" s="29"/>
      <c r="LNO70" s="29"/>
      <c r="LNP70" s="29"/>
      <c r="LNQ70" s="29"/>
      <c r="LNR70" s="29"/>
      <c r="LNS70" s="29"/>
      <c r="LNT70" s="29"/>
      <c r="LNU70" s="29"/>
      <c r="LNV70" s="29"/>
      <c r="LNW70" s="29"/>
      <c r="LNX70" s="29"/>
      <c r="LNY70" s="29"/>
      <c r="LNZ70" s="29"/>
      <c r="LOA70" s="29"/>
      <c r="LOB70" s="29"/>
      <c r="LOC70" s="29"/>
      <c r="LOD70" s="29"/>
      <c r="LOE70" s="29"/>
      <c r="LOF70" s="29"/>
      <c r="LOG70" s="29"/>
      <c r="LOH70" s="29"/>
      <c r="LOI70" s="29"/>
      <c r="LOJ70" s="29"/>
      <c r="LOK70" s="29"/>
      <c r="LOL70" s="29"/>
      <c r="LOM70" s="29"/>
      <c r="LON70" s="29"/>
      <c r="LOO70" s="29"/>
      <c r="LOP70" s="29"/>
      <c r="LOQ70" s="29"/>
      <c r="LOR70" s="29"/>
      <c r="LOS70" s="29"/>
      <c r="LOT70" s="29"/>
      <c r="LOU70" s="29"/>
      <c r="LOV70" s="29"/>
      <c r="LOW70" s="29"/>
      <c r="LOX70" s="29"/>
      <c r="LOY70" s="29"/>
      <c r="LOZ70" s="29"/>
      <c r="LPA70" s="29"/>
      <c r="LPB70" s="29"/>
      <c r="LPC70" s="29"/>
      <c r="LPD70" s="29"/>
      <c r="LPE70" s="29"/>
      <c r="LPF70" s="29"/>
      <c r="LPG70" s="29"/>
      <c r="LPH70" s="29"/>
      <c r="LPI70" s="29"/>
      <c r="LPJ70" s="29"/>
      <c r="LPK70" s="29"/>
      <c r="LPL70" s="29"/>
      <c r="LPM70" s="29"/>
      <c r="LPN70" s="29"/>
      <c r="LPO70" s="29"/>
      <c r="LPP70" s="29"/>
      <c r="LPQ70" s="29"/>
      <c r="LPR70" s="29"/>
      <c r="LPS70" s="29"/>
      <c r="LPT70" s="29"/>
      <c r="LPU70" s="29"/>
      <c r="LPV70" s="29"/>
      <c r="LPW70" s="29"/>
      <c r="LPX70" s="29"/>
      <c r="LPY70" s="29"/>
      <c r="LPZ70" s="29"/>
      <c r="LQA70" s="29"/>
      <c r="LQB70" s="29"/>
      <c r="LQC70" s="29"/>
      <c r="LQD70" s="29"/>
      <c r="LQE70" s="29"/>
      <c r="LQF70" s="29"/>
      <c r="LQG70" s="29"/>
      <c r="LQH70" s="29"/>
      <c r="LQI70" s="29"/>
      <c r="LQJ70" s="29"/>
      <c r="LQK70" s="29"/>
      <c r="LQL70" s="29"/>
      <c r="LQM70" s="29"/>
      <c r="LQN70" s="29"/>
      <c r="LQO70" s="29"/>
      <c r="LQP70" s="29"/>
      <c r="LQQ70" s="29"/>
      <c r="LQR70" s="29"/>
      <c r="LQS70" s="29"/>
      <c r="LQT70" s="29"/>
      <c r="LQU70" s="29"/>
      <c r="LQV70" s="29"/>
      <c r="LQW70" s="29"/>
      <c r="LQX70" s="29"/>
      <c r="LQY70" s="29"/>
      <c r="LQZ70" s="29"/>
      <c r="LRA70" s="29"/>
      <c r="LRB70" s="29"/>
      <c r="LRC70" s="29"/>
      <c r="LRD70" s="29"/>
      <c r="LRE70" s="29"/>
      <c r="LRF70" s="29"/>
      <c r="LRG70" s="29"/>
      <c r="LRH70" s="29"/>
      <c r="LRI70" s="29"/>
      <c r="LRJ70" s="29"/>
      <c r="LRK70" s="29"/>
      <c r="LRL70" s="29"/>
      <c r="LRM70" s="29"/>
      <c r="LRN70" s="29"/>
      <c r="LRO70" s="29"/>
      <c r="LRP70" s="29"/>
      <c r="LRQ70" s="29"/>
      <c r="LRR70" s="29"/>
      <c r="LRS70" s="29"/>
      <c r="LRT70" s="29"/>
      <c r="LRU70" s="29"/>
      <c r="LRV70" s="29"/>
      <c r="LRW70" s="29"/>
      <c r="LRX70" s="29"/>
      <c r="LRY70" s="29"/>
      <c r="LRZ70" s="29"/>
      <c r="LSA70" s="29"/>
      <c r="LSB70" s="29"/>
      <c r="LSC70" s="29"/>
      <c r="LSD70" s="29"/>
      <c r="LSE70" s="29"/>
      <c r="LSF70" s="29"/>
      <c r="LSG70" s="29"/>
      <c r="LSH70" s="29"/>
      <c r="LSI70" s="29"/>
      <c r="LSJ70" s="29"/>
      <c r="LSK70" s="29"/>
      <c r="LSL70" s="29"/>
      <c r="LSM70" s="29"/>
      <c r="LSN70" s="29"/>
      <c r="LSO70" s="29"/>
      <c r="LSP70" s="29"/>
      <c r="LSQ70" s="29"/>
      <c r="LSR70" s="29"/>
      <c r="LSS70" s="29"/>
      <c r="LST70" s="29"/>
      <c r="LSU70" s="29"/>
      <c r="LSV70" s="29"/>
      <c r="LSW70" s="29"/>
      <c r="LSX70" s="29"/>
      <c r="LSY70" s="29"/>
      <c r="LSZ70" s="29"/>
      <c r="LTA70" s="29"/>
      <c r="LTB70" s="29"/>
      <c r="LTC70" s="29"/>
      <c r="LTD70" s="29"/>
      <c r="LTE70" s="29"/>
      <c r="LTF70" s="29"/>
      <c r="LTG70" s="29"/>
      <c r="LTH70" s="29"/>
      <c r="LTI70" s="29"/>
      <c r="LTJ70" s="29"/>
      <c r="LTK70" s="29"/>
      <c r="LTL70" s="29"/>
      <c r="LTM70" s="29"/>
      <c r="LTN70" s="29"/>
      <c r="LTO70" s="29"/>
      <c r="LTP70" s="29"/>
      <c r="LTQ70" s="29"/>
      <c r="LTR70" s="29"/>
      <c r="LTS70" s="29"/>
      <c r="LTT70" s="29"/>
      <c r="LTU70" s="29"/>
      <c r="LTV70" s="29"/>
      <c r="LTW70" s="29"/>
      <c r="LTX70" s="29"/>
      <c r="LTY70" s="29"/>
      <c r="LTZ70" s="29"/>
      <c r="LUA70" s="29"/>
      <c r="LUB70" s="29"/>
      <c r="LUC70" s="29"/>
      <c r="LUD70" s="29"/>
      <c r="LUE70" s="29"/>
      <c r="LUF70" s="29"/>
      <c r="LUG70" s="29"/>
      <c r="LUH70" s="29"/>
      <c r="LUI70" s="29"/>
      <c r="LUJ70" s="29"/>
      <c r="LUK70" s="29"/>
      <c r="LUL70" s="29"/>
      <c r="LUM70" s="29"/>
      <c r="LUN70" s="29"/>
      <c r="LUO70" s="29"/>
      <c r="LUP70" s="29"/>
      <c r="LUQ70" s="29"/>
      <c r="LUR70" s="29"/>
      <c r="LUS70" s="29"/>
      <c r="LUT70" s="29"/>
      <c r="LUU70" s="29"/>
      <c r="LUV70" s="29"/>
      <c r="LUW70" s="29"/>
      <c r="LUX70" s="29"/>
      <c r="LUY70" s="29"/>
      <c r="LUZ70" s="29"/>
      <c r="LVA70" s="29"/>
      <c r="LVB70" s="29"/>
      <c r="LVC70" s="29"/>
      <c r="LVD70" s="29"/>
      <c r="LVE70" s="29"/>
      <c r="LVF70" s="29"/>
      <c r="LVG70" s="29"/>
      <c r="LVH70" s="29"/>
      <c r="LVI70" s="29"/>
      <c r="LVJ70" s="29"/>
      <c r="LVK70" s="29"/>
      <c r="LVL70" s="29"/>
      <c r="LVM70" s="29"/>
      <c r="LVN70" s="29"/>
      <c r="LVO70" s="29"/>
      <c r="LVP70" s="29"/>
      <c r="LVQ70" s="29"/>
      <c r="LVR70" s="29"/>
      <c r="LVS70" s="29"/>
      <c r="LVT70" s="29"/>
      <c r="LVU70" s="29"/>
      <c r="LVV70" s="29"/>
      <c r="LVW70" s="29"/>
      <c r="LVX70" s="29"/>
      <c r="LVY70" s="29"/>
      <c r="LVZ70" s="29"/>
      <c r="LWA70" s="29"/>
      <c r="LWB70" s="29"/>
      <c r="LWC70" s="29"/>
      <c r="LWD70" s="29"/>
      <c r="LWE70" s="29"/>
      <c r="LWF70" s="29"/>
      <c r="LWG70" s="29"/>
      <c r="LWH70" s="29"/>
      <c r="LWI70" s="29"/>
      <c r="LWJ70" s="29"/>
      <c r="LWK70" s="29"/>
      <c r="LWL70" s="29"/>
      <c r="LWM70" s="29"/>
      <c r="LWN70" s="29"/>
      <c r="LWO70" s="29"/>
      <c r="LWP70" s="29"/>
      <c r="LWQ70" s="29"/>
      <c r="LWR70" s="29"/>
      <c r="LWS70" s="29"/>
      <c r="LWT70" s="29"/>
      <c r="LWU70" s="29"/>
      <c r="LWV70" s="29"/>
      <c r="LWW70" s="29"/>
      <c r="LWX70" s="29"/>
      <c r="LWY70" s="29"/>
      <c r="LWZ70" s="29"/>
      <c r="LXA70" s="29"/>
      <c r="LXB70" s="29"/>
      <c r="LXC70" s="29"/>
      <c r="LXD70" s="29"/>
      <c r="LXE70" s="29"/>
      <c r="LXF70" s="29"/>
      <c r="LXG70" s="29"/>
      <c r="LXH70" s="29"/>
      <c r="LXI70" s="29"/>
      <c r="LXJ70" s="29"/>
      <c r="LXK70" s="29"/>
      <c r="LXL70" s="29"/>
      <c r="LXM70" s="29"/>
      <c r="LXN70" s="29"/>
      <c r="LXO70" s="29"/>
      <c r="LXP70" s="29"/>
      <c r="LXQ70" s="29"/>
      <c r="LXR70" s="29"/>
      <c r="LXS70" s="29"/>
      <c r="LXT70" s="29"/>
      <c r="LXU70" s="29"/>
      <c r="LXV70" s="29"/>
      <c r="LXW70" s="29"/>
      <c r="LXX70" s="29"/>
      <c r="LXY70" s="29"/>
      <c r="LXZ70" s="29"/>
      <c r="LYA70" s="29"/>
      <c r="LYB70" s="29"/>
      <c r="LYC70" s="29"/>
      <c r="LYD70" s="29"/>
      <c r="LYE70" s="29"/>
      <c r="LYF70" s="29"/>
      <c r="LYG70" s="29"/>
      <c r="LYH70" s="29"/>
      <c r="LYI70" s="29"/>
      <c r="LYJ70" s="29"/>
      <c r="LYK70" s="29"/>
      <c r="LYL70" s="29"/>
      <c r="LYM70" s="29"/>
      <c r="LYN70" s="29"/>
      <c r="LYO70" s="29"/>
      <c r="LYP70" s="29"/>
      <c r="LYQ70" s="29"/>
      <c r="LYR70" s="29"/>
      <c r="LYS70" s="29"/>
      <c r="LYT70" s="29"/>
      <c r="LYU70" s="29"/>
      <c r="LYV70" s="29"/>
      <c r="LYW70" s="29"/>
      <c r="LYX70" s="29"/>
      <c r="LYY70" s="29"/>
      <c r="LYZ70" s="29"/>
      <c r="LZA70" s="29"/>
      <c r="LZB70" s="29"/>
      <c r="LZC70" s="29"/>
      <c r="LZD70" s="29"/>
      <c r="LZE70" s="29"/>
      <c r="LZF70" s="29"/>
      <c r="LZG70" s="29"/>
      <c r="LZH70" s="29"/>
      <c r="LZI70" s="29"/>
      <c r="LZJ70" s="29"/>
      <c r="LZK70" s="29"/>
      <c r="LZL70" s="29"/>
      <c r="LZM70" s="29"/>
      <c r="LZN70" s="29"/>
      <c r="LZO70" s="29"/>
      <c r="LZP70" s="29"/>
      <c r="LZQ70" s="29"/>
      <c r="LZR70" s="29"/>
      <c r="LZS70" s="29"/>
      <c r="LZT70" s="29"/>
      <c r="LZU70" s="29"/>
      <c r="LZV70" s="29"/>
      <c r="LZW70" s="29"/>
      <c r="LZX70" s="29"/>
      <c r="LZY70" s="29"/>
      <c r="LZZ70" s="29"/>
      <c r="MAA70" s="29"/>
      <c r="MAB70" s="29"/>
      <c r="MAC70" s="29"/>
      <c r="MAD70" s="29"/>
      <c r="MAE70" s="29"/>
      <c r="MAF70" s="29"/>
      <c r="MAG70" s="29"/>
      <c r="MAH70" s="29"/>
      <c r="MAI70" s="29"/>
      <c r="MAJ70" s="29"/>
      <c r="MAK70" s="29"/>
      <c r="MAL70" s="29"/>
      <c r="MAM70" s="29"/>
      <c r="MAN70" s="29"/>
      <c r="MAO70" s="29"/>
      <c r="MAP70" s="29"/>
      <c r="MAQ70" s="29"/>
      <c r="MAR70" s="29"/>
      <c r="MAS70" s="29"/>
      <c r="MAT70" s="29"/>
      <c r="MAU70" s="29"/>
      <c r="MAV70" s="29"/>
      <c r="MAW70" s="29"/>
      <c r="MAX70" s="29"/>
      <c r="MAY70" s="29"/>
      <c r="MAZ70" s="29"/>
      <c r="MBA70" s="29"/>
      <c r="MBB70" s="29"/>
      <c r="MBC70" s="29"/>
      <c r="MBD70" s="29"/>
      <c r="MBE70" s="29"/>
      <c r="MBF70" s="29"/>
      <c r="MBG70" s="29"/>
      <c r="MBH70" s="29"/>
      <c r="MBI70" s="29"/>
      <c r="MBJ70" s="29"/>
      <c r="MBK70" s="29"/>
      <c r="MBL70" s="29"/>
      <c r="MBM70" s="29"/>
      <c r="MBN70" s="29"/>
      <c r="MBO70" s="29"/>
      <c r="MBP70" s="29"/>
      <c r="MBQ70" s="29"/>
      <c r="MBR70" s="29"/>
      <c r="MBS70" s="29"/>
      <c r="MBT70" s="29"/>
      <c r="MBU70" s="29"/>
      <c r="MBV70" s="29"/>
      <c r="MBW70" s="29"/>
      <c r="MBX70" s="29"/>
      <c r="MBY70" s="29"/>
      <c r="MBZ70" s="29"/>
      <c r="MCA70" s="29"/>
      <c r="MCB70" s="29"/>
      <c r="MCC70" s="29"/>
      <c r="MCD70" s="29"/>
      <c r="MCE70" s="29"/>
      <c r="MCF70" s="29"/>
      <c r="MCG70" s="29"/>
      <c r="MCH70" s="29"/>
      <c r="MCI70" s="29"/>
      <c r="MCJ70" s="29"/>
      <c r="MCK70" s="29"/>
      <c r="MCL70" s="29"/>
      <c r="MCM70" s="29"/>
      <c r="MCN70" s="29"/>
      <c r="MCO70" s="29"/>
      <c r="MCP70" s="29"/>
      <c r="MCQ70" s="29"/>
      <c r="MCR70" s="29"/>
      <c r="MCS70" s="29"/>
      <c r="MCT70" s="29"/>
      <c r="MCU70" s="29"/>
      <c r="MCV70" s="29"/>
      <c r="MCW70" s="29"/>
      <c r="MCX70" s="29"/>
      <c r="MCY70" s="29"/>
      <c r="MCZ70" s="29"/>
      <c r="MDA70" s="29"/>
      <c r="MDB70" s="29"/>
      <c r="MDC70" s="29"/>
      <c r="MDD70" s="29"/>
      <c r="MDE70" s="29"/>
      <c r="MDF70" s="29"/>
      <c r="MDG70" s="29"/>
      <c r="MDH70" s="29"/>
      <c r="MDI70" s="29"/>
      <c r="MDJ70" s="29"/>
      <c r="MDK70" s="29"/>
      <c r="MDL70" s="29"/>
      <c r="MDM70" s="29"/>
      <c r="MDN70" s="29"/>
      <c r="MDO70" s="29"/>
      <c r="MDP70" s="29"/>
      <c r="MDQ70" s="29"/>
      <c r="MDR70" s="29"/>
      <c r="MDS70" s="29"/>
      <c r="MDT70" s="29"/>
      <c r="MDU70" s="29"/>
      <c r="MDV70" s="29"/>
      <c r="MDW70" s="29"/>
      <c r="MDX70" s="29"/>
      <c r="MDY70" s="29"/>
      <c r="MDZ70" s="29"/>
      <c r="MEA70" s="29"/>
      <c r="MEB70" s="29"/>
      <c r="MEC70" s="29"/>
      <c r="MED70" s="29"/>
      <c r="MEE70" s="29"/>
      <c r="MEF70" s="29"/>
      <c r="MEG70" s="29"/>
      <c r="MEH70" s="29"/>
      <c r="MEI70" s="29"/>
      <c r="MEJ70" s="29"/>
      <c r="MEK70" s="29"/>
      <c r="MEL70" s="29"/>
      <c r="MEM70" s="29"/>
      <c r="MEN70" s="29"/>
      <c r="MEO70" s="29"/>
      <c r="MEP70" s="29"/>
      <c r="MEQ70" s="29"/>
      <c r="MER70" s="29"/>
      <c r="MES70" s="29"/>
      <c r="MET70" s="29"/>
      <c r="MEU70" s="29"/>
      <c r="MEV70" s="29"/>
      <c r="MEW70" s="29"/>
      <c r="MEX70" s="29"/>
      <c r="MEY70" s="29"/>
      <c r="MEZ70" s="29"/>
      <c r="MFA70" s="29"/>
      <c r="MFB70" s="29"/>
      <c r="MFC70" s="29"/>
      <c r="MFD70" s="29"/>
      <c r="MFE70" s="29"/>
      <c r="MFF70" s="29"/>
      <c r="MFG70" s="29"/>
      <c r="MFH70" s="29"/>
      <c r="MFI70" s="29"/>
      <c r="MFJ70" s="29"/>
      <c r="MFK70" s="29"/>
      <c r="MFL70" s="29"/>
      <c r="MFM70" s="29"/>
      <c r="MFN70" s="29"/>
      <c r="MFO70" s="29"/>
      <c r="MFP70" s="29"/>
      <c r="MFQ70" s="29"/>
      <c r="MFR70" s="29"/>
      <c r="MFS70" s="29"/>
      <c r="MFT70" s="29"/>
      <c r="MFU70" s="29"/>
      <c r="MFV70" s="29"/>
      <c r="MFW70" s="29"/>
      <c r="MFX70" s="29"/>
      <c r="MFY70" s="29"/>
      <c r="MFZ70" s="29"/>
      <c r="MGA70" s="29"/>
      <c r="MGB70" s="29"/>
      <c r="MGC70" s="29"/>
      <c r="MGD70" s="29"/>
      <c r="MGE70" s="29"/>
      <c r="MGF70" s="29"/>
      <c r="MGG70" s="29"/>
      <c r="MGH70" s="29"/>
      <c r="MGI70" s="29"/>
      <c r="MGJ70" s="29"/>
      <c r="MGK70" s="29"/>
      <c r="MGL70" s="29"/>
      <c r="MGM70" s="29"/>
      <c r="MGN70" s="29"/>
      <c r="MGO70" s="29"/>
      <c r="MGP70" s="29"/>
      <c r="MGQ70" s="29"/>
      <c r="MGR70" s="29"/>
      <c r="MGS70" s="29"/>
      <c r="MGT70" s="29"/>
      <c r="MGU70" s="29"/>
      <c r="MGV70" s="29"/>
      <c r="MGW70" s="29"/>
      <c r="MGX70" s="29"/>
      <c r="MGY70" s="29"/>
      <c r="MGZ70" s="29"/>
      <c r="MHA70" s="29"/>
      <c r="MHB70" s="29"/>
      <c r="MHC70" s="29"/>
      <c r="MHD70" s="29"/>
      <c r="MHE70" s="29"/>
      <c r="MHF70" s="29"/>
      <c r="MHG70" s="29"/>
      <c r="MHH70" s="29"/>
      <c r="MHI70" s="29"/>
      <c r="MHJ70" s="29"/>
      <c r="MHK70" s="29"/>
      <c r="MHL70" s="29"/>
      <c r="MHM70" s="29"/>
      <c r="MHN70" s="29"/>
      <c r="MHO70" s="29"/>
      <c r="MHP70" s="29"/>
      <c r="MHQ70" s="29"/>
      <c r="MHR70" s="29"/>
      <c r="MHS70" s="29"/>
      <c r="MHT70" s="29"/>
      <c r="MHU70" s="29"/>
      <c r="MHV70" s="29"/>
      <c r="MHW70" s="29"/>
      <c r="MHX70" s="29"/>
      <c r="MHY70" s="29"/>
      <c r="MHZ70" s="29"/>
      <c r="MIA70" s="29"/>
      <c r="MIB70" s="29"/>
      <c r="MIC70" s="29"/>
      <c r="MID70" s="29"/>
      <c r="MIE70" s="29"/>
      <c r="MIF70" s="29"/>
      <c r="MIG70" s="29"/>
      <c r="MIH70" s="29"/>
      <c r="MII70" s="29"/>
      <c r="MIJ70" s="29"/>
      <c r="MIK70" s="29"/>
      <c r="MIL70" s="29"/>
      <c r="MIM70" s="29"/>
      <c r="MIN70" s="29"/>
      <c r="MIO70" s="29"/>
      <c r="MIP70" s="29"/>
      <c r="MIQ70" s="29"/>
      <c r="MIR70" s="29"/>
      <c r="MIS70" s="29"/>
      <c r="MIT70" s="29"/>
      <c r="MIU70" s="29"/>
      <c r="MIV70" s="29"/>
      <c r="MIW70" s="29"/>
      <c r="MIX70" s="29"/>
      <c r="MIY70" s="29"/>
      <c r="MIZ70" s="29"/>
      <c r="MJA70" s="29"/>
      <c r="MJB70" s="29"/>
      <c r="MJC70" s="29"/>
      <c r="MJD70" s="29"/>
      <c r="MJE70" s="29"/>
      <c r="MJF70" s="29"/>
      <c r="MJG70" s="29"/>
      <c r="MJH70" s="29"/>
      <c r="MJI70" s="29"/>
      <c r="MJJ70" s="29"/>
      <c r="MJK70" s="29"/>
      <c r="MJL70" s="29"/>
      <c r="MJM70" s="29"/>
      <c r="MJN70" s="29"/>
      <c r="MJO70" s="29"/>
      <c r="MJP70" s="29"/>
      <c r="MJQ70" s="29"/>
      <c r="MJR70" s="29"/>
      <c r="MJS70" s="29"/>
      <c r="MJT70" s="29"/>
      <c r="MJU70" s="29"/>
      <c r="MJV70" s="29"/>
      <c r="MJW70" s="29"/>
      <c r="MJX70" s="29"/>
      <c r="MJY70" s="29"/>
      <c r="MJZ70" s="29"/>
      <c r="MKA70" s="29"/>
      <c r="MKB70" s="29"/>
      <c r="MKC70" s="29"/>
      <c r="MKD70" s="29"/>
      <c r="MKE70" s="29"/>
      <c r="MKF70" s="29"/>
      <c r="MKG70" s="29"/>
      <c r="MKH70" s="29"/>
      <c r="MKI70" s="29"/>
      <c r="MKJ70" s="29"/>
      <c r="MKK70" s="29"/>
      <c r="MKL70" s="29"/>
      <c r="MKM70" s="29"/>
      <c r="MKN70" s="29"/>
      <c r="MKO70" s="29"/>
      <c r="MKP70" s="29"/>
      <c r="MKQ70" s="29"/>
      <c r="MKR70" s="29"/>
      <c r="MKS70" s="29"/>
      <c r="MKT70" s="29"/>
      <c r="MKU70" s="29"/>
      <c r="MKV70" s="29"/>
      <c r="MKW70" s="29"/>
      <c r="MKX70" s="29"/>
      <c r="MKY70" s="29"/>
      <c r="MKZ70" s="29"/>
      <c r="MLA70" s="29"/>
      <c r="MLB70" s="29"/>
      <c r="MLC70" s="29"/>
      <c r="MLD70" s="29"/>
      <c r="MLE70" s="29"/>
      <c r="MLF70" s="29"/>
      <c r="MLG70" s="29"/>
      <c r="MLH70" s="29"/>
      <c r="MLI70" s="29"/>
      <c r="MLJ70" s="29"/>
      <c r="MLK70" s="29"/>
      <c r="MLL70" s="29"/>
      <c r="MLM70" s="29"/>
      <c r="MLN70" s="29"/>
      <c r="MLO70" s="29"/>
      <c r="MLP70" s="29"/>
      <c r="MLQ70" s="29"/>
      <c r="MLR70" s="29"/>
      <c r="MLS70" s="29"/>
      <c r="MLT70" s="29"/>
      <c r="MLU70" s="29"/>
      <c r="MLV70" s="29"/>
      <c r="MLW70" s="29"/>
      <c r="MLX70" s="29"/>
      <c r="MLY70" s="29"/>
      <c r="MLZ70" s="29"/>
      <c r="MMA70" s="29"/>
      <c r="MMB70" s="29"/>
      <c r="MMC70" s="29"/>
      <c r="MMD70" s="29"/>
      <c r="MME70" s="29"/>
      <c r="MMF70" s="29"/>
      <c r="MMG70" s="29"/>
      <c r="MMH70" s="29"/>
      <c r="MMI70" s="29"/>
      <c r="MMJ70" s="29"/>
      <c r="MMK70" s="29"/>
      <c r="MML70" s="29"/>
      <c r="MMM70" s="29"/>
      <c r="MMN70" s="29"/>
      <c r="MMO70" s="29"/>
      <c r="MMP70" s="29"/>
      <c r="MMQ70" s="29"/>
      <c r="MMR70" s="29"/>
      <c r="MMS70" s="29"/>
      <c r="MMT70" s="29"/>
      <c r="MMU70" s="29"/>
      <c r="MMV70" s="29"/>
      <c r="MMW70" s="29"/>
      <c r="MMX70" s="29"/>
      <c r="MMY70" s="29"/>
      <c r="MMZ70" s="29"/>
      <c r="MNA70" s="29"/>
      <c r="MNB70" s="29"/>
      <c r="MNC70" s="29"/>
      <c r="MND70" s="29"/>
      <c r="MNE70" s="29"/>
      <c r="MNF70" s="29"/>
      <c r="MNG70" s="29"/>
      <c r="MNH70" s="29"/>
      <c r="MNI70" s="29"/>
      <c r="MNJ70" s="29"/>
      <c r="MNK70" s="29"/>
      <c r="MNL70" s="29"/>
      <c r="MNM70" s="29"/>
      <c r="MNN70" s="29"/>
      <c r="MNO70" s="29"/>
      <c r="MNP70" s="29"/>
      <c r="MNQ70" s="29"/>
      <c r="MNR70" s="29"/>
      <c r="MNS70" s="29"/>
      <c r="MNT70" s="29"/>
      <c r="MNU70" s="29"/>
      <c r="MNV70" s="29"/>
      <c r="MNW70" s="29"/>
      <c r="MNX70" s="29"/>
      <c r="MNY70" s="29"/>
      <c r="MNZ70" s="29"/>
      <c r="MOA70" s="29"/>
      <c r="MOB70" s="29"/>
      <c r="MOC70" s="29"/>
      <c r="MOD70" s="29"/>
      <c r="MOE70" s="29"/>
      <c r="MOF70" s="29"/>
      <c r="MOG70" s="29"/>
      <c r="MOH70" s="29"/>
      <c r="MOI70" s="29"/>
      <c r="MOJ70" s="29"/>
      <c r="MOK70" s="29"/>
      <c r="MOL70" s="29"/>
      <c r="MOM70" s="29"/>
      <c r="MON70" s="29"/>
      <c r="MOO70" s="29"/>
      <c r="MOP70" s="29"/>
      <c r="MOQ70" s="29"/>
      <c r="MOR70" s="29"/>
      <c r="MOS70" s="29"/>
      <c r="MOT70" s="29"/>
      <c r="MOU70" s="29"/>
      <c r="MOV70" s="29"/>
      <c r="MOW70" s="29"/>
      <c r="MOX70" s="29"/>
      <c r="MOY70" s="29"/>
      <c r="MOZ70" s="29"/>
      <c r="MPA70" s="29"/>
      <c r="MPB70" s="29"/>
      <c r="MPC70" s="29"/>
      <c r="MPD70" s="29"/>
      <c r="MPE70" s="29"/>
      <c r="MPF70" s="29"/>
      <c r="MPG70" s="29"/>
      <c r="MPH70" s="29"/>
      <c r="MPI70" s="29"/>
      <c r="MPJ70" s="29"/>
      <c r="MPK70" s="29"/>
      <c r="MPL70" s="29"/>
      <c r="MPM70" s="29"/>
      <c r="MPN70" s="29"/>
      <c r="MPO70" s="29"/>
      <c r="MPP70" s="29"/>
      <c r="MPQ70" s="29"/>
      <c r="MPR70" s="29"/>
      <c r="MPS70" s="29"/>
      <c r="MPT70" s="29"/>
      <c r="MPU70" s="29"/>
      <c r="MPV70" s="29"/>
      <c r="MPW70" s="29"/>
      <c r="MPX70" s="29"/>
      <c r="MPY70" s="29"/>
      <c r="MPZ70" s="29"/>
      <c r="MQA70" s="29"/>
      <c r="MQB70" s="29"/>
      <c r="MQC70" s="29"/>
      <c r="MQD70" s="29"/>
      <c r="MQE70" s="29"/>
      <c r="MQF70" s="29"/>
      <c r="MQG70" s="29"/>
      <c r="MQH70" s="29"/>
      <c r="MQI70" s="29"/>
      <c r="MQJ70" s="29"/>
      <c r="MQK70" s="29"/>
      <c r="MQL70" s="29"/>
      <c r="MQM70" s="29"/>
      <c r="MQN70" s="29"/>
      <c r="MQO70" s="29"/>
      <c r="MQP70" s="29"/>
      <c r="MQQ70" s="29"/>
      <c r="MQR70" s="29"/>
      <c r="MQS70" s="29"/>
      <c r="MQT70" s="29"/>
      <c r="MQU70" s="29"/>
      <c r="MQV70" s="29"/>
      <c r="MQW70" s="29"/>
      <c r="MQX70" s="29"/>
      <c r="MQY70" s="29"/>
      <c r="MQZ70" s="29"/>
      <c r="MRA70" s="29"/>
      <c r="MRB70" s="29"/>
      <c r="MRC70" s="29"/>
      <c r="MRD70" s="29"/>
      <c r="MRE70" s="29"/>
      <c r="MRF70" s="29"/>
      <c r="MRG70" s="29"/>
      <c r="MRH70" s="29"/>
      <c r="MRI70" s="29"/>
      <c r="MRJ70" s="29"/>
      <c r="MRK70" s="29"/>
      <c r="MRL70" s="29"/>
      <c r="MRM70" s="29"/>
      <c r="MRN70" s="29"/>
      <c r="MRO70" s="29"/>
      <c r="MRP70" s="29"/>
      <c r="MRQ70" s="29"/>
      <c r="MRR70" s="29"/>
      <c r="MRS70" s="29"/>
      <c r="MRT70" s="29"/>
      <c r="MRU70" s="29"/>
      <c r="MRV70" s="29"/>
      <c r="MRW70" s="29"/>
      <c r="MRX70" s="29"/>
      <c r="MRY70" s="29"/>
      <c r="MRZ70" s="29"/>
      <c r="MSA70" s="29"/>
      <c r="MSB70" s="29"/>
      <c r="MSC70" s="29"/>
      <c r="MSD70" s="29"/>
      <c r="MSE70" s="29"/>
      <c r="MSF70" s="29"/>
      <c r="MSG70" s="29"/>
      <c r="MSH70" s="29"/>
      <c r="MSI70" s="29"/>
      <c r="MSJ70" s="29"/>
      <c r="MSK70" s="29"/>
      <c r="MSL70" s="29"/>
      <c r="MSM70" s="29"/>
      <c r="MSN70" s="29"/>
      <c r="MSO70" s="29"/>
      <c r="MSP70" s="29"/>
      <c r="MSQ70" s="29"/>
      <c r="MSR70" s="29"/>
      <c r="MSS70" s="29"/>
      <c r="MST70" s="29"/>
      <c r="MSU70" s="29"/>
      <c r="MSV70" s="29"/>
      <c r="MSW70" s="29"/>
      <c r="MSX70" s="29"/>
      <c r="MSY70" s="29"/>
      <c r="MSZ70" s="29"/>
      <c r="MTA70" s="29"/>
      <c r="MTB70" s="29"/>
      <c r="MTC70" s="29"/>
      <c r="MTD70" s="29"/>
      <c r="MTE70" s="29"/>
      <c r="MTF70" s="29"/>
      <c r="MTG70" s="29"/>
      <c r="MTH70" s="29"/>
      <c r="MTI70" s="29"/>
      <c r="MTJ70" s="29"/>
      <c r="MTK70" s="29"/>
      <c r="MTL70" s="29"/>
      <c r="MTM70" s="29"/>
      <c r="MTN70" s="29"/>
      <c r="MTO70" s="29"/>
      <c r="MTP70" s="29"/>
      <c r="MTQ70" s="29"/>
      <c r="MTR70" s="29"/>
      <c r="MTS70" s="29"/>
      <c r="MTT70" s="29"/>
      <c r="MTU70" s="29"/>
      <c r="MTV70" s="29"/>
      <c r="MTW70" s="29"/>
      <c r="MTX70" s="29"/>
      <c r="MTY70" s="29"/>
      <c r="MTZ70" s="29"/>
      <c r="MUA70" s="29"/>
      <c r="MUB70" s="29"/>
      <c r="MUC70" s="29"/>
      <c r="MUD70" s="29"/>
      <c r="MUE70" s="29"/>
      <c r="MUF70" s="29"/>
      <c r="MUG70" s="29"/>
      <c r="MUH70" s="29"/>
      <c r="MUI70" s="29"/>
      <c r="MUJ70" s="29"/>
      <c r="MUK70" s="29"/>
      <c r="MUL70" s="29"/>
      <c r="MUM70" s="29"/>
      <c r="MUN70" s="29"/>
      <c r="MUO70" s="29"/>
      <c r="MUP70" s="29"/>
      <c r="MUQ70" s="29"/>
      <c r="MUR70" s="29"/>
      <c r="MUS70" s="29"/>
      <c r="MUT70" s="29"/>
      <c r="MUU70" s="29"/>
      <c r="MUV70" s="29"/>
      <c r="MUW70" s="29"/>
      <c r="MUX70" s="29"/>
      <c r="MUY70" s="29"/>
      <c r="MUZ70" s="29"/>
      <c r="MVA70" s="29"/>
      <c r="MVB70" s="29"/>
      <c r="MVC70" s="29"/>
      <c r="MVD70" s="29"/>
      <c r="MVE70" s="29"/>
      <c r="MVF70" s="29"/>
      <c r="MVG70" s="29"/>
      <c r="MVH70" s="29"/>
      <c r="MVI70" s="29"/>
      <c r="MVJ70" s="29"/>
      <c r="MVK70" s="29"/>
      <c r="MVL70" s="29"/>
      <c r="MVM70" s="29"/>
      <c r="MVN70" s="29"/>
      <c r="MVO70" s="29"/>
      <c r="MVP70" s="29"/>
      <c r="MVQ70" s="29"/>
      <c r="MVR70" s="29"/>
      <c r="MVS70" s="29"/>
      <c r="MVT70" s="29"/>
      <c r="MVU70" s="29"/>
      <c r="MVV70" s="29"/>
      <c r="MVW70" s="29"/>
      <c r="MVX70" s="29"/>
      <c r="MVY70" s="29"/>
      <c r="MVZ70" s="29"/>
      <c r="MWA70" s="29"/>
      <c r="MWB70" s="29"/>
      <c r="MWC70" s="29"/>
      <c r="MWD70" s="29"/>
      <c r="MWE70" s="29"/>
      <c r="MWF70" s="29"/>
      <c r="MWG70" s="29"/>
      <c r="MWH70" s="29"/>
      <c r="MWI70" s="29"/>
      <c r="MWJ70" s="29"/>
      <c r="MWK70" s="29"/>
      <c r="MWL70" s="29"/>
      <c r="MWM70" s="29"/>
      <c r="MWN70" s="29"/>
      <c r="MWO70" s="29"/>
      <c r="MWP70" s="29"/>
      <c r="MWQ70" s="29"/>
      <c r="MWR70" s="29"/>
      <c r="MWS70" s="29"/>
      <c r="MWT70" s="29"/>
      <c r="MWU70" s="29"/>
      <c r="MWV70" s="29"/>
      <c r="MWW70" s="29"/>
      <c r="MWX70" s="29"/>
      <c r="MWY70" s="29"/>
      <c r="MWZ70" s="29"/>
      <c r="MXA70" s="29"/>
      <c r="MXB70" s="29"/>
      <c r="MXC70" s="29"/>
      <c r="MXD70" s="29"/>
      <c r="MXE70" s="29"/>
      <c r="MXF70" s="29"/>
      <c r="MXG70" s="29"/>
      <c r="MXH70" s="29"/>
      <c r="MXI70" s="29"/>
      <c r="MXJ70" s="29"/>
      <c r="MXK70" s="29"/>
      <c r="MXL70" s="29"/>
      <c r="MXM70" s="29"/>
      <c r="MXN70" s="29"/>
      <c r="MXO70" s="29"/>
      <c r="MXP70" s="29"/>
      <c r="MXQ70" s="29"/>
      <c r="MXR70" s="29"/>
      <c r="MXS70" s="29"/>
      <c r="MXT70" s="29"/>
      <c r="MXU70" s="29"/>
      <c r="MXV70" s="29"/>
      <c r="MXW70" s="29"/>
      <c r="MXX70" s="29"/>
      <c r="MXY70" s="29"/>
      <c r="MXZ70" s="29"/>
      <c r="MYA70" s="29"/>
      <c r="MYB70" s="29"/>
      <c r="MYC70" s="29"/>
      <c r="MYD70" s="29"/>
      <c r="MYE70" s="29"/>
      <c r="MYF70" s="29"/>
      <c r="MYG70" s="29"/>
      <c r="MYH70" s="29"/>
      <c r="MYI70" s="29"/>
      <c r="MYJ70" s="29"/>
      <c r="MYK70" s="29"/>
      <c r="MYL70" s="29"/>
      <c r="MYM70" s="29"/>
      <c r="MYN70" s="29"/>
      <c r="MYO70" s="29"/>
      <c r="MYP70" s="29"/>
      <c r="MYQ70" s="29"/>
      <c r="MYR70" s="29"/>
      <c r="MYS70" s="29"/>
      <c r="MYT70" s="29"/>
      <c r="MYU70" s="29"/>
      <c r="MYV70" s="29"/>
      <c r="MYW70" s="29"/>
      <c r="MYX70" s="29"/>
      <c r="MYY70" s="29"/>
      <c r="MYZ70" s="29"/>
      <c r="MZA70" s="29"/>
      <c r="MZB70" s="29"/>
      <c r="MZC70" s="29"/>
      <c r="MZD70" s="29"/>
      <c r="MZE70" s="29"/>
      <c r="MZF70" s="29"/>
      <c r="MZG70" s="29"/>
      <c r="MZH70" s="29"/>
      <c r="MZI70" s="29"/>
      <c r="MZJ70" s="29"/>
      <c r="MZK70" s="29"/>
      <c r="MZL70" s="29"/>
      <c r="MZM70" s="29"/>
      <c r="MZN70" s="29"/>
      <c r="MZO70" s="29"/>
      <c r="MZP70" s="29"/>
      <c r="MZQ70" s="29"/>
      <c r="MZR70" s="29"/>
      <c r="MZS70" s="29"/>
      <c r="MZT70" s="29"/>
      <c r="MZU70" s="29"/>
      <c r="MZV70" s="29"/>
      <c r="MZW70" s="29"/>
      <c r="MZX70" s="29"/>
      <c r="MZY70" s="29"/>
      <c r="MZZ70" s="29"/>
      <c r="NAA70" s="29"/>
      <c r="NAB70" s="29"/>
      <c r="NAC70" s="29"/>
      <c r="NAD70" s="29"/>
      <c r="NAE70" s="29"/>
      <c r="NAF70" s="29"/>
      <c r="NAG70" s="29"/>
      <c r="NAH70" s="29"/>
      <c r="NAI70" s="29"/>
      <c r="NAJ70" s="29"/>
      <c r="NAK70" s="29"/>
      <c r="NAL70" s="29"/>
      <c r="NAM70" s="29"/>
      <c r="NAN70" s="29"/>
      <c r="NAO70" s="29"/>
      <c r="NAP70" s="29"/>
      <c r="NAQ70" s="29"/>
      <c r="NAR70" s="29"/>
      <c r="NAS70" s="29"/>
      <c r="NAT70" s="29"/>
      <c r="NAU70" s="29"/>
      <c r="NAV70" s="29"/>
      <c r="NAW70" s="29"/>
      <c r="NAX70" s="29"/>
      <c r="NAY70" s="29"/>
      <c r="NAZ70" s="29"/>
      <c r="NBA70" s="29"/>
      <c r="NBB70" s="29"/>
      <c r="NBC70" s="29"/>
      <c r="NBD70" s="29"/>
      <c r="NBE70" s="29"/>
      <c r="NBF70" s="29"/>
      <c r="NBG70" s="29"/>
      <c r="NBH70" s="29"/>
      <c r="NBI70" s="29"/>
      <c r="NBJ70" s="29"/>
      <c r="NBK70" s="29"/>
      <c r="NBL70" s="29"/>
      <c r="NBM70" s="29"/>
      <c r="NBN70" s="29"/>
      <c r="NBO70" s="29"/>
      <c r="NBP70" s="29"/>
      <c r="NBQ70" s="29"/>
      <c r="NBR70" s="29"/>
      <c r="NBS70" s="29"/>
      <c r="NBT70" s="29"/>
      <c r="NBU70" s="29"/>
      <c r="NBV70" s="29"/>
      <c r="NBW70" s="29"/>
      <c r="NBX70" s="29"/>
      <c r="NBY70" s="29"/>
      <c r="NBZ70" s="29"/>
      <c r="NCA70" s="29"/>
      <c r="NCB70" s="29"/>
      <c r="NCC70" s="29"/>
      <c r="NCD70" s="29"/>
      <c r="NCE70" s="29"/>
      <c r="NCF70" s="29"/>
      <c r="NCG70" s="29"/>
      <c r="NCH70" s="29"/>
      <c r="NCI70" s="29"/>
      <c r="NCJ70" s="29"/>
      <c r="NCK70" s="29"/>
      <c r="NCL70" s="29"/>
      <c r="NCM70" s="29"/>
      <c r="NCN70" s="29"/>
      <c r="NCO70" s="29"/>
      <c r="NCP70" s="29"/>
      <c r="NCQ70" s="29"/>
      <c r="NCR70" s="29"/>
      <c r="NCS70" s="29"/>
      <c r="NCT70" s="29"/>
      <c r="NCU70" s="29"/>
      <c r="NCV70" s="29"/>
      <c r="NCW70" s="29"/>
      <c r="NCX70" s="29"/>
      <c r="NCY70" s="29"/>
      <c r="NCZ70" s="29"/>
      <c r="NDA70" s="29"/>
      <c r="NDB70" s="29"/>
      <c r="NDC70" s="29"/>
      <c r="NDD70" s="29"/>
      <c r="NDE70" s="29"/>
      <c r="NDF70" s="29"/>
      <c r="NDG70" s="29"/>
      <c r="NDH70" s="29"/>
      <c r="NDI70" s="29"/>
      <c r="NDJ70" s="29"/>
      <c r="NDK70" s="29"/>
      <c r="NDL70" s="29"/>
      <c r="NDM70" s="29"/>
      <c r="NDN70" s="29"/>
      <c r="NDO70" s="29"/>
      <c r="NDP70" s="29"/>
      <c r="NDQ70" s="29"/>
      <c r="NDR70" s="29"/>
      <c r="NDS70" s="29"/>
      <c r="NDT70" s="29"/>
      <c r="NDU70" s="29"/>
      <c r="NDV70" s="29"/>
      <c r="NDW70" s="29"/>
      <c r="NDX70" s="29"/>
      <c r="NDY70" s="29"/>
      <c r="NDZ70" s="29"/>
      <c r="NEA70" s="29"/>
      <c r="NEB70" s="29"/>
      <c r="NEC70" s="29"/>
      <c r="NED70" s="29"/>
      <c r="NEE70" s="29"/>
      <c r="NEF70" s="29"/>
      <c r="NEG70" s="29"/>
      <c r="NEH70" s="29"/>
      <c r="NEI70" s="29"/>
      <c r="NEJ70" s="29"/>
      <c r="NEK70" s="29"/>
      <c r="NEL70" s="29"/>
      <c r="NEM70" s="29"/>
      <c r="NEN70" s="29"/>
      <c r="NEO70" s="29"/>
      <c r="NEP70" s="29"/>
      <c r="NEQ70" s="29"/>
      <c r="NER70" s="29"/>
      <c r="NES70" s="29"/>
      <c r="NET70" s="29"/>
      <c r="NEU70" s="29"/>
      <c r="NEV70" s="29"/>
      <c r="NEW70" s="29"/>
      <c r="NEX70" s="29"/>
      <c r="NEY70" s="29"/>
      <c r="NEZ70" s="29"/>
      <c r="NFA70" s="29"/>
      <c r="NFB70" s="29"/>
      <c r="NFC70" s="29"/>
      <c r="NFD70" s="29"/>
      <c r="NFE70" s="29"/>
      <c r="NFF70" s="29"/>
      <c r="NFG70" s="29"/>
      <c r="NFH70" s="29"/>
      <c r="NFI70" s="29"/>
      <c r="NFJ70" s="29"/>
      <c r="NFK70" s="29"/>
      <c r="NFL70" s="29"/>
      <c r="NFM70" s="29"/>
      <c r="NFN70" s="29"/>
      <c r="NFO70" s="29"/>
      <c r="NFP70" s="29"/>
      <c r="NFQ70" s="29"/>
      <c r="NFR70" s="29"/>
      <c r="NFS70" s="29"/>
      <c r="NFT70" s="29"/>
      <c r="NFU70" s="29"/>
      <c r="NFV70" s="29"/>
      <c r="NFW70" s="29"/>
      <c r="NFX70" s="29"/>
      <c r="NFY70" s="29"/>
      <c r="NFZ70" s="29"/>
      <c r="NGA70" s="29"/>
      <c r="NGB70" s="29"/>
      <c r="NGC70" s="29"/>
      <c r="NGD70" s="29"/>
      <c r="NGE70" s="29"/>
      <c r="NGF70" s="29"/>
      <c r="NGG70" s="29"/>
      <c r="NGH70" s="29"/>
      <c r="NGI70" s="29"/>
      <c r="NGJ70" s="29"/>
      <c r="NGK70" s="29"/>
      <c r="NGL70" s="29"/>
      <c r="NGM70" s="29"/>
      <c r="NGN70" s="29"/>
      <c r="NGO70" s="29"/>
      <c r="NGP70" s="29"/>
      <c r="NGQ70" s="29"/>
      <c r="NGR70" s="29"/>
      <c r="NGS70" s="29"/>
      <c r="NGT70" s="29"/>
      <c r="NGU70" s="29"/>
      <c r="NGV70" s="29"/>
      <c r="NGW70" s="29"/>
      <c r="NGX70" s="29"/>
      <c r="NGY70" s="29"/>
      <c r="NGZ70" s="29"/>
      <c r="NHA70" s="29"/>
      <c r="NHB70" s="29"/>
      <c r="NHC70" s="29"/>
      <c r="NHD70" s="29"/>
      <c r="NHE70" s="29"/>
      <c r="NHF70" s="29"/>
      <c r="NHG70" s="29"/>
      <c r="NHH70" s="29"/>
      <c r="NHI70" s="29"/>
      <c r="NHJ70" s="29"/>
      <c r="NHK70" s="29"/>
      <c r="NHL70" s="29"/>
      <c r="NHM70" s="29"/>
      <c r="NHN70" s="29"/>
      <c r="NHO70" s="29"/>
      <c r="NHP70" s="29"/>
      <c r="NHQ70" s="29"/>
      <c r="NHR70" s="29"/>
      <c r="NHS70" s="29"/>
      <c r="NHT70" s="29"/>
      <c r="NHU70" s="29"/>
      <c r="NHV70" s="29"/>
      <c r="NHW70" s="29"/>
      <c r="NHX70" s="29"/>
      <c r="NHY70" s="29"/>
      <c r="NHZ70" s="29"/>
      <c r="NIA70" s="29"/>
      <c r="NIB70" s="29"/>
      <c r="NIC70" s="29"/>
      <c r="NID70" s="29"/>
      <c r="NIE70" s="29"/>
      <c r="NIF70" s="29"/>
      <c r="NIG70" s="29"/>
      <c r="NIH70" s="29"/>
      <c r="NII70" s="29"/>
      <c r="NIJ70" s="29"/>
      <c r="NIK70" s="29"/>
      <c r="NIL70" s="29"/>
      <c r="NIM70" s="29"/>
      <c r="NIN70" s="29"/>
      <c r="NIO70" s="29"/>
      <c r="NIP70" s="29"/>
      <c r="NIQ70" s="29"/>
      <c r="NIR70" s="29"/>
      <c r="NIS70" s="29"/>
      <c r="NIT70" s="29"/>
      <c r="NIU70" s="29"/>
      <c r="NIV70" s="29"/>
      <c r="NIW70" s="29"/>
      <c r="NIX70" s="29"/>
      <c r="NIY70" s="29"/>
      <c r="NIZ70" s="29"/>
      <c r="NJA70" s="29"/>
      <c r="NJB70" s="29"/>
      <c r="NJC70" s="29"/>
      <c r="NJD70" s="29"/>
      <c r="NJE70" s="29"/>
      <c r="NJF70" s="29"/>
      <c r="NJG70" s="29"/>
      <c r="NJH70" s="29"/>
      <c r="NJI70" s="29"/>
      <c r="NJJ70" s="29"/>
      <c r="NJK70" s="29"/>
      <c r="NJL70" s="29"/>
      <c r="NJM70" s="29"/>
      <c r="NJN70" s="29"/>
      <c r="NJO70" s="29"/>
      <c r="NJP70" s="29"/>
      <c r="NJQ70" s="29"/>
      <c r="NJR70" s="29"/>
      <c r="NJS70" s="29"/>
      <c r="NJT70" s="29"/>
      <c r="NJU70" s="29"/>
      <c r="NJV70" s="29"/>
      <c r="NJW70" s="29"/>
      <c r="NJX70" s="29"/>
      <c r="NJY70" s="29"/>
      <c r="NJZ70" s="29"/>
      <c r="NKA70" s="29"/>
      <c r="NKB70" s="29"/>
      <c r="NKC70" s="29"/>
      <c r="NKD70" s="29"/>
      <c r="NKE70" s="29"/>
      <c r="NKF70" s="29"/>
      <c r="NKG70" s="29"/>
      <c r="NKH70" s="29"/>
      <c r="NKI70" s="29"/>
      <c r="NKJ70" s="29"/>
      <c r="NKK70" s="29"/>
      <c r="NKL70" s="29"/>
      <c r="NKM70" s="29"/>
      <c r="NKN70" s="29"/>
      <c r="NKO70" s="29"/>
      <c r="NKP70" s="29"/>
      <c r="NKQ70" s="29"/>
      <c r="NKR70" s="29"/>
      <c r="NKS70" s="29"/>
      <c r="NKT70" s="29"/>
      <c r="NKU70" s="29"/>
      <c r="NKV70" s="29"/>
      <c r="NKW70" s="29"/>
      <c r="NKX70" s="29"/>
      <c r="NKY70" s="29"/>
      <c r="NKZ70" s="29"/>
      <c r="NLA70" s="29"/>
      <c r="NLB70" s="29"/>
      <c r="NLC70" s="29"/>
      <c r="NLD70" s="29"/>
      <c r="NLE70" s="29"/>
      <c r="NLF70" s="29"/>
      <c r="NLG70" s="29"/>
      <c r="NLH70" s="29"/>
      <c r="NLI70" s="29"/>
      <c r="NLJ70" s="29"/>
      <c r="NLK70" s="29"/>
      <c r="NLL70" s="29"/>
      <c r="NLM70" s="29"/>
      <c r="NLN70" s="29"/>
      <c r="NLO70" s="29"/>
      <c r="NLP70" s="29"/>
      <c r="NLQ70" s="29"/>
      <c r="NLR70" s="29"/>
      <c r="NLS70" s="29"/>
      <c r="NLT70" s="29"/>
      <c r="NLU70" s="29"/>
      <c r="NLV70" s="29"/>
      <c r="NLW70" s="29"/>
      <c r="NLX70" s="29"/>
      <c r="NLY70" s="29"/>
      <c r="NLZ70" s="29"/>
      <c r="NMA70" s="29"/>
      <c r="NMB70" s="29"/>
      <c r="NMC70" s="29"/>
      <c r="NMD70" s="29"/>
      <c r="NME70" s="29"/>
      <c r="NMF70" s="29"/>
      <c r="NMG70" s="29"/>
      <c r="NMH70" s="29"/>
      <c r="NMI70" s="29"/>
      <c r="NMJ70" s="29"/>
      <c r="NMK70" s="29"/>
      <c r="NML70" s="29"/>
      <c r="NMM70" s="29"/>
      <c r="NMN70" s="29"/>
      <c r="NMO70" s="29"/>
      <c r="NMP70" s="29"/>
      <c r="NMQ70" s="29"/>
      <c r="NMR70" s="29"/>
      <c r="NMS70" s="29"/>
      <c r="NMT70" s="29"/>
      <c r="NMU70" s="29"/>
      <c r="NMV70" s="29"/>
      <c r="NMW70" s="29"/>
      <c r="NMX70" s="29"/>
      <c r="NMY70" s="29"/>
      <c r="NMZ70" s="29"/>
      <c r="NNA70" s="29"/>
      <c r="NNB70" s="29"/>
      <c r="NNC70" s="29"/>
      <c r="NND70" s="29"/>
      <c r="NNE70" s="29"/>
      <c r="NNF70" s="29"/>
      <c r="NNG70" s="29"/>
      <c r="NNH70" s="29"/>
      <c r="NNI70" s="29"/>
      <c r="NNJ70" s="29"/>
      <c r="NNK70" s="29"/>
      <c r="NNL70" s="29"/>
      <c r="NNM70" s="29"/>
      <c r="NNN70" s="29"/>
      <c r="NNO70" s="29"/>
      <c r="NNP70" s="29"/>
      <c r="NNQ70" s="29"/>
      <c r="NNR70" s="29"/>
      <c r="NNS70" s="29"/>
      <c r="NNT70" s="29"/>
      <c r="NNU70" s="29"/>
      <c r="NNV70" s="29"/>
      <c r="NNW70" s="29"/>
      <c r="NNX70" s="29"/>
      <c r="NNY70" s="29"/>
      <c r="NNZ70" s="29"/>
      <c r="NOA70" s="29"/>
      <c r="NOB70" s="29"/>
      <c r="NOC70" s="29"/>
      <c r="NOD70" s="29"/>
      <c r="NOE70" s="29"/>
      <c r="NOF70" s="29"/>
      <c r="NOG70" s="29"/>
      <c r="NOH70" s="29"/>
      <c r="NOI70" s="29"/>
      <c r="NOJ70" s="29"/>
      <c r="NOK70" s="29"/>
      <c r="NOL70" s="29"/>
      <c r="NOM70" s="29"/>
      <c r="NON70" s="29"/>
      <c r="NOO70" s="29"/>
      <c r="NOP70" s="29"/>
      <c r="NOQ70" s="29"/>
      <c r="NOR70" s="29"/>
      <c r="NOS70" s="29"/>
      <c r="NOT70" s="29"/>
      <c r="NOU70" s="29"/>
      <c r="NOV70" s="29"/>
      <c r="NOW70" s="29"/>
      <c r="NOX70" s="29"/>
      <c r="NOY70" s="29"/>
      <c r="NOZ70" s="29"/>
      <c r="NPA70" s="29"/>
      <c r="NPB70" s="29"/>
      <c r="NPC70" s="29"/>
      <c r="NPD70" s="29"/>
      <c r="NPE70" s="29"/>
      <c r="NPF70" s="29"/>
      <c r="NPG70" s="29"/>
      <c r="NPH70" s="29"/>
      <c r="NPI70" s="29"/>
      <c r="NPJ70" s="29"/>
      <c r="NPK70" s="29"/>
      <c r="NPL70" s="29"/>
      <c r="NPM70" s="29"/>
      <c r="NPN70" s="29"/>
      <c r="NPO70" s="29"/>
      <c r="NPP70" s="29"/>
      <c r="NPQ70" s="29"/>
      <c r="NPR70" s="29"/>
      <c r="NPS70" s="29"/>
      <c r="NPT70" s="29"/>
      <c r="NPU70" s="29"/>
      <c r="NPV70" s="29"/>
      <c r="NPW70" s="29"/>
      <c r="NPX70" s="29"/>
      <c r="NPY70" s="29"/>
      <c r="NPZ70" s="29"/>
      <c r="NQA70" s="29"/>
      <c r="NQB70" s="29"/>
      <c r="NQC70" s="29"/>
      <c r="NQD70" s="29"/>
      <c r="NQE70" s="29"/>
      <c r="NQF70" s="29"/>
      <c r="NQG70" s="29"/>
      <c r="NQH70" s="29"/>
      <c r="NQI70" s="29"/>
      <c r="NQJ70" s="29"/>
      <c r="NQK70" s="29"/>
      <c r="NQL70" s="29"/>
      <c r="NQM70" s="29"/>
      <c r="NQN70" s="29"/>
      <c r="NQO70" s="29"/>
      <c r="NQP70" s="29"/>
      <c r="NQQ70" s="29"/>
      <c r="NQR70" s="29"/>
      <c r="NQS70" s="29"/>
      <c r="NQT70" s="29"/>
      <c r="NQU70" s="29"/>
      <c r="NQV70" s="29"/>
      <c r="NQW70" s="29"/>
      <c r="NQX70" s="29"/>
      <c r="NQY70" s="29"/>
      <c r="NQZ70" s="29"/>
      <c r="NRA70" s="29"/>
      <c r="NRB70" s="29"/>
      <c r="NRC70" s="29"/>
      <c r="NRD70" s="29"/>
      <c r="NRE70" s="29"/>
      <c r="NRF70" s="29"/>
      <c r="NRG70" s="29"/>
      <c r="NRH70" s="29"/>
      <c r="NRI70" s="29"/>
      <c r="NRJ70" s="29"/>
      <c r="NRK70" s="29"/>
      <c r="NRL70" s="29"/>
      <c r="NRM70" s="29"/>
      <c r="NRN70" s="29"/>
      <c r="NRO70" s="29"/>
      <c r="NRP70" s="29"/>
      <c r="NRQ70" s="29"/>
      <c r="NRR70" s="29"/>
      <c r="NRS70" s="29"/>
      <c r="NRT70" s="29"/>
      <c r="NRU70" s="29"/>
      <c r="NRV70" s="29"/>
      <c r="NRW70" s="29"/>
      <c r="NRX70" s="29"/>
      <c r="NRY70" s="29"/>
      <c r="NRZ70" s="29"/>
      <c r="NSA70" s="29"/>
      <c r="NSB70" s="29"/>
      <c r="NSC70" s="29"/>
      <c r="NSD70" s="29"/>
      <c r="NSE70" s="29"/>
      <c r="NSF70" s="29"/>
      <c r="NSG70" s="29"/>
      <c r="NSH70" s="29"/>
      <c r="NSI70" s="29"/>
      <c r="NSJ70" s="29"/>
      <c r="NSK70" s="29"/>
      <c r="NSL70" s="29"/>
      <c r="NSM70" s="29"/>
      <c r="NSN70" s="29"/>
      <c r="NSO70" s="29"/>
      <c r="NSP70" s="29"/>
      <c r="NSQ70" s="29"/>
      <c r="NSR70" s="29"/>
      <c r="NSS70" s="29"/>
      <c r="NST70" s="29"/>
      <c r="NSU70" s="29"/>
      <c r="NSV70" s="29"/>
      <c r="NSW70" s="29"/>
      <c r="NSX70" s="29"/>
      <c r="NSY70" s="29"/>
      <c r="NSZ70" s="29"/>
      <c r="NTA70" s="29"/>
      <c r="NTB70" s="29"/>
      <c r="NTC70" s="29"/>
      <c r="NTD70" s="29"/>
      <c r="NTE70" s="29"/>
      <c r="NTF70" s="29"/>
      <c r="NTG70" s="29"/>
      <c r="NTH70" s="29"/>
      <c r="NTI70" s="29"/>
      <c r="NTJ70" s="29"/>
      <c r="NTK70" s="29"/>
      <c r="NTL70" s="29"/>
      <c r="NTM70" s="29"/>
      <c r="NTN70" s="29"/>
      <c r="NTO70" s="29"/>
      <c r="NTP70" s="29"/>
      <c r="NTQ70" s="29"/>
      <c r="NTR70" s="29"/>
      <c r="NTS70" s="29"/>
      <c r="NTT70" s="29"/>
      <c r="NTU70" s="29"/>
      <c r="NTV70" s="29"/>
      <c r="NTW70" s="29"/>
      <c r="NTX70" s="29"/>
      <c r="NTY70" s="29"/>
      <c r="NTZ70" s="29"/>
      <c r="NUA70" s="29"/>
      <c r="NUB70" s="29"/>
      <c r="NUC70" s="29"/>
      <c r="NUD70" s="29"/>
      <c r="NUE70" s="29"/>
      <c r="NUF70" s="29"/>
      <c r="NUG70" s="29"/>
      <c r="NUH70" s="29"/>
      <c r="NUI70" s="29"/>
      <c r="NUJ70" s="29"/>
      <c r="NUK70" s="29"/>
      <c r="NUL70" s="29"/>
      <c r="NUM70" s="29"/>
      <c r="NUN70" s="29"/>
      <c r="NUO70" s="29"/>
      <c r="NUP70" s="29"/>
      <c r="NUQ70" s="29"/>
      <c r="NUR70" s="29"/>
      <c r="NUS70" s="29"/>
      <c r="NUT70" s="29"/>
      <c r="NUU70" s="29"/>
      <c r="NUV70" s="29"/>
      <c r="NUW70" s="29"/>
      <c r="NUX70" s="29"/>
      <c r="NUY70" s="29"/>
      <c r="NUZ70" s="29"/>
      <c r="NVA70" s="29"/>
      <c r="NVB70" s="29"/>
      <c r="NVC70" s="29"/>
      <c r="NVD70" s="29"/>
      <c r="NVE70" s="29"/>
      <c r="NVF70" s="29"/>
      <c r="NVG70" s="29"/>
      <c r="NVH70" s="29"/>
      <c r="NVI70" s="29"/>
      <c r="NVJ70" s="29"/>
      <c r="NVK70" s="29"/>
      <c r="NVL70" s="29"/>
      <c r="NVM70" s="29"/>
      <c r="NVN70" s="29"/>
      <c r="NVO70" s="29"/>
      <c r="NVP70" s="29"/>
      <c r="NVQ70" s="29"/>
      <c r="NVR70" s="29"/>
      <c r="NVS70" s="29"/>
      <c r="NVT70" s="29"/>
      <c r="NVU70" s="29"/>
      <c r="NVV70" s="29"/>
      <c r="NVW70" s="29"/>
      <c r="NVX70" s="29"/>
      <c r="NVY70" s="29"/>
      <c r="NVZ70" s="29"/>
      <c r="NWA70" s="29"/>
      <c r="NWB70" s="29"/>
      <c r="NWC70" s="29"/>
      <c r="NWD70" s="29"/>
      <c r="NWE70" s="29"/>
      <c r="NWF70" s="29"/>
      <c r="NWG70" s="29"/>
      <c r="NWH70" s="29"/>
      <c r="NWI70" s="29"/>
      <c r="NWJ70" s="29"/>
      <c r="NWK70" s="29"/>
      <c r="NWL70" s="29"/>
      <c r="NWM70" s="29"/>
      <c r="NWN70" s="29"/>
      <c r="NWO70" s="29"/>
      <c r="NWP70" s="29"/>
      <c r="NWQ70" s="29"/>
      <c r="NWR70" s="29"/>
      <c r="NWS70" s="29"/>
      <c r="NWT70" s="29"/>
      <c r="NWU70" s="29"/>
      <c r="NWV70" s="29"/>
      <c r="NWW70" s="29"/>
      <c r="NWX70" s="29"/>
      <c r="NWY70" s="29"/>
      <c r="NWZ70" s="29"/>
      <c r="NXA70" s="29"/>
      <c r="NXB70" s="29"/>
      <c r="NXC70" s="29"/>
      <c r="NXD70" s="29"/>
      <c r="NXE70" s="29"/>
      <c r="NXF70" s="29"/>
      <c r="NXG70" s="29"/>
      <c r="NXH70" s="29"/>
      <c r="NXI70" s="29"/>
      <c r="NXJ70" s="29"/>
      <c r="NXK70" s="29"/>
      <c r="NXL70" s="29"/>
      <c r="NXM70" s="29"/>
      <c r="NXN70" s="29"/>
      <c r="NXO70" s="29"/>
      <c r="NXP70" s="29"/>
      <c r="NXQ70" s="29"/>
      <c r="NXR70" s="29"/>
      <c r="NXS70" s="29"/>
      <c r="NXT70" s="29"/>
      <c r="NXU70" s="29"/>
      <c r="NXV70" s="29"/>
      <c r="NXW70" s="29"/>
      <c r="NXX70" s="29"/>
      <c r="NXY70" s="29"/>
      <c r="NXZ70" s="29"/>
      <c r="NYA70" s="29"/>
      <c r="NYB70" s="29"/>
      <c r="NYC70" s="29"/>
      <c r="NYD70" s="29"/>
      <c r="NYE70" s="29"/>
      <c r="NYF70" s="29"/>
      <c r="NYG70" s="29"/>
      <c r="NYH70" s="29"/>
      <c r="NYI70" s="29"/>
      <c r="NYJ70" s="29"/>
      <c r="NYK70" s="29"/>
      <c r="NYL70" s="29"/>
      <c r="NYM70" s="29"/>
      <c r="NYN70" s="29"/>
      <c r="NYO70" s="29"/>
      <c r="NYP70" s="29"/>
      <c r="NYQ70" s="29"/>
      <c r="NYR70" s="29"/>
      <c r="NYS70" s="29"/>
      <c r="NYT70" s="29"/>
      <c r="NYU70" s="29"/>
      <c r="NYV70" s="29"/>
      <c r="NYW70" s="29"/>
      <c r="NYX70" s="29"/>
      <c r="NYY70" s="29"/>
      <c r="NYZ70" s="29"/>
      <c r="NZA70" s="29"/>
      <c r="NZB70" s="29"/>
      <c r="NZC70" s="29"/>
      <c r="NZD70" s="29"/>
      <c r="NZE70" s="29"/>
      <c r="NZF70" s="29"/>
      <c r="NZG70" s="29"/>
      <c r="NZH70" s="29"/>
      <c r="NZI70" s="29"/>
      <c r="NZJ70" s="29"/>
      <c r="NZK70" s="29"/>
      <c r="NZL70" s="29"/>
      <c r="NZM70" s="29"/>
      <c r="NZN70" s="29"/>
      <c r="NZO70" s="29"/>
      <c r="NZP70" s="29"/>
      <c r="NZQ70" s="29"/>
      <c r="NZR70" s="29"/>
      <c r="NZS70" s="29"/>
      <c r="NZT70" s="29"/>
      <c r="NZU70" s="29"/>
      <c r="NZV70" s="29"/>
      <c r="NZW70" s="29"/>
      <c r="NZX70" s="29"/>
      <c r="NZY70" s="29"/>
      <c r="NZZ70" s="29"/>
      <c r="OAA70" s="29"/>
      <c r="OAB70" s="29"/>
      <c r="OAC70" s="29"/>
      <c r="OAD70" s="29"/>
      <c r="OAE70" s="29"/>
      <c r="OAF70" s="29"/>
      <c r="OAG70" s="29"/>
      <c r="OAH70" s="29"/>
      <c r="OAI70" s="29"/>
      <c r="OAJ70" s="29"/>
      <c r="OAK70" s="29"/>
      <c r="OAL70" s="29"/>
      <c r="OAM70" s="29"/>
      <c r="OAN70" s="29"/>
      <c r="OAO70" s="29"/>
      <c r="OAP70" s="29"/>
      <c r="OAQ70" s="29"/>
      <c r="OAR70" s="29"/>
      <c r="OAS70" s="29"/>
      <c r="OAT70" s="29"/>
      <c r="OAU70" s="29"/>
      <c r="OAV70" s="29"/>
      <c r="OAW70" s="29"/>
      <c r="OAX70" s="29"/>
      <c r="OAY70" s="29"/>
      <c r="OAZ70" s="29"/>
      <c r="OBA70" s="29"/>
      <c r="OBB70" s="29"/>
      <c r="OBC70" s="29"/>
      <c r="OBD70" s="29"/>
      <c r="OBE70" s="29"/>
      <c r="OBF70" s="29"/>
      <c r="OBG70" s="29"/>
      <c r="OBH70" s="29"/>
      <c r="OBI70" s="29"/>
      <c r="OBJ70" s="29"/>
      <c r="OBK70" s="29"/>
      <c r="OBL70" s="29"/>
      <c r="OBM70" s="29"/>
      <c r="OBN70" s="29"/>
      <c r="OBO70" s="29"/>
      <c r="OBP70" s="29"/>
      <c r="OBQ70" s="29"/>
      <c r="OBR70" s="29"/>
      <c r="OBS70" s="29"/>
      <c r="OBT70" s="29"/>
      <c r="OBU70" s="29"/>
      <c r="OBV70" s="29"/>
      <c r="OBW70" s="29"/>
      <c r="OBX70" s="29"/>
      <c r="OBY70" s="29"/>
      <c r="OBZ70" s="29"/>
      <c r="OCA70" s="29"/>
      <c r="OCB70" s="29"/>
      <c r="OCC70" s="29"/>
      <c r="OCD70" s="29"/>
      <c r="OCE70" s="29"/>
      <c r="OCF70" s="29"/>
      <c r="OCG70" s="29"/>
      <c r="OCH70" s="29"/>
      <c r="OCI70" s="29"/>
      <c r="OCJ70" s="29"/>
      <c r="OCK70" s="29"/>
      <c r="OCL70" s="29"/>
      <c r="OCM70" s="29"/>
      <c r="OCN70" s="29"/>
      <c r="OCO70" s="29"/>
      <c r="OCP70" s="29"/>
      <c r="OCQ70" s="29"/>
      <c r="OCR70" s="29"/>
      <c r="OCS70" s="29"/>
      <c r="OCT70" s="29"/>
      <c r="OCU70" s="29"/>
      <c r="OCV70" s="29"/>
      <c r="OCW70" s="29"/>
      <c r="OCX70" s="29"/>
      <c r="OCY70" s="29"/>
      <c r="OCZ70" s="29"/>
      <c r="ODA70" s="29"/>
      <c r="ODB70" s="29"/>
      <c r="ODC70" s="29"/>
      <c r="ODD70" s="29"/>
      <c r="ODE70" s="29"/>
      <c r="ODF70" s="29"/>
      <c r="ODG70" s="29"/>
      <c r="ODH70" s="29"/>
      <c r="ODI70" s="29"/>
      <c r="ODJ70" s="29"/>
      <c r="ODK70" s="29"/>
      <c r="ODL70" s="29"/>
      <c r="ODM70" s="29"/>
      <c r="ODN70" s="29"/>
      <c r="ODO70" s="29"/>
      <c r="ODP70" s="29"/>
      <c r="ODQ70" s="29"/>
      <c r="ODR70" s="29"/>
      <c r="ODS70" s="29"/>
      <c r="ODT70" s="29"/>
      <c r="ODU70" s="29"/>
      <c r="ODV70" s="29"/>
      <c r="ODW70" s="29"/>
      <c r="ODX70" s="29"/>
      <c r="ODY70" s="29"/>
      <c r="ODZ70" s="29"/>
      <c r="OEA70" s="29"/>
      <c r="OEB70" s="29"/>
      <c r="OEC70" s="29"/>
      <c r="OED70" s="29"/>
      <c r="OEE70" s="29"/>
      <c r="OEF70" s="29"/>
      <c r="OEG70" s="29"/>
      <c r="OEH70" s="29"/>
      <c r="OEI70" s="29"/>
      <c r="OEJ70" s="29"/>
      <c r="OEK70" s="29"/>
      <c r="OEL70" s="29"/>
      <c r="OEM70" s="29"/>
      <c r="OEN70" s="29"/>
      <c r="OEO70" s="29"/>
      <c r="OEP70" s="29"/>
      <c r="OEQ70" s="29"/>
      <c r="OER70" s="29"/>
      <c r="OES70" s="29"/>
      <c r="OET70" s="29"/>
      <c r="OEU70" s="29"/>
      <c r="OEV70" s="29"/>
      <c r="OEW70" s="29"/>
      <c r="OEX70" s="29"/>
      <c r="OEY70" s="29"/>
      <c r="OEZ70" s="29"/>
      <c r="OFA70" s="29"/>
      <c r="OFB70" s="29"/>
      <c r="OFC70" s="29"/>
      <c r="OFD70" s="29"/>
      <c r="OFE70" s="29"/>
      <c r="OFF70" s="29"/>
      <c r="OFG70" s="29"/>
      <c r="OFH70" s="29"/>
      <c r="OFI70" s="29"/>
      <c r="OFJ70" s="29"/>
      <c r="OFK70" s="29"/>
      <c r="OFL70" s="29"/>
      <c r="OFM70" s="29"/>
      <c r="OFN70" s="29"/>
      <c r="OFO70" s="29"/>
      <c r="OFP70" s="29"/>
      <c r="OFQ70" s="29"/>
      <c r="OFR70" s="29"/>
      <c r="OFS70" s="29"/>
      <c r="OFT70" s="29"/>
      <c r="OFU70" s="29"/>
      <c r="OFV70" s="29"/>
      <c r="OFW70" s="29"/>
      <c r="OFX70" s="29"/>
      <c r="OFY70" s="29"/>
      <c r="OFZ70" s="29"/>
      <c r="OGA70" s="29"/>
      <c r="OGB70" s="29"/>
      <c r="OGC70" s="29"/>
      <c r="OGD70" s="29"/>
      <c r="OGE70" s="29"/>
      <c r="OGF70" s="29"/>
      <c r="OGG70" s="29"/>
      <c r="OGH70" s="29"/>
      <c r="OGI70" s="29"/>
      <c r="OGJ70" s="29"/>
      <c r="OGK70" s="29"/>
      <c r="OGL70" s="29"/>
      <c r="OGM70" s="29"/>
      <c r="OGN70" s="29"/>
      <c r="OGO70" s="29"/>
      <c r="OGP70" s="29"/>
      <c r="OGQ70" s="29"/>
      <c r="OGR70" s="29"/>
      <c r="OGS70" s="29"/>
      <c r="OGT70" s="29"/>
      <c r="OGU70" s="29"/>
      <c r="OGV70" s="29"/>
      <c r="OGW70" s="29"/>
      <c r="OGX70" s="29"/>
      <c r="OGY70" s="29"/>
      <c r="OGZ70" s="29"/>
      <c r="OHA70" s="29"/>
      <c r="OHB70" s="29"/>
      <c r="OHC70" s="29"/>
      <c r="OHD70" s="29"/>
      <c r="OHE70" s="29"/>
      <c r="OHF70" s="29"/>
      <c r="OHG70" s="29"/>
      <c r="OHH70" s="29"/>
      <c r="OHI70" s="29"/>
      <c r="OHJ70" s="29"/>
      <c r="OHK70" s="29"/>
      <c r="OHL70" s="29"/>
      <c r="OHM70" s="29"/>
      <c r="OHN70" s="29"/>
      <c r="OHO70" s="29"/>
      <c r="OHP70" s="29"/>
      <c r="OHQ70" s="29"/>
      <c r="OHR70" s="29"/>
      <c r="OHS70" s="29"/>
      <c r="OHT70" s="29"/>
      <c r="OHU70" s="29"/>
      <c r="OHV70" s="29"/>
      <c r="OHW70" s="29"/>
      <c r="OHX70" s="29"/>
      <c r="OHY70" s="29"/>
      <c r="OHZ70" s="29"/>
      <c r="OIA70" s="29"/>
      <c r="OIB70" s="29"/>
      <c r="OIC70" s="29"/>
      <c r="OID70" s="29"/>
      <c r="OIE70" s="29"/>
      <c r="OIF70" s="29"/>
      <c r="OIG70" s="29"/>
      <c r="OIH70" s="29"/>
      <c r="OII70" s="29"/>
      <c r="OIJ70" s="29"/>
      <c r="OIK70" s="29"/>
      <c r="OIL70" s="29"/>
      <c r="OIM70" s="29"/>
      <c r="OIN70" s="29"/>
      <c r="OIO70" s="29"/>
      <c r="OIP70" s="29"/>
      <c r="OIQ70" s="29"/>
      <c r="OIR70" s="29"/>
      <c r="OIS70" s="29"/>
      <c r="OIT70" s="29"/>
      <c r="OIU70" s="29"/>
      <c r="OIV70" s="29"/>
      <c r="OIW70" s="29"/>
      <c r="OIX70" s="29"/>
      <c r="OIY70" s="29"/>
      <c r="OIZ70" s="29"/>
      <c r="OJA70" s="29"/>
      <c r="OJB70" s="29"/>
      <c r="OJC70" s="29"/>
      <c r="OJD70" s="29"/>
      <c r="OJE70" s="29"/>
      <c r="OJF70" s="29"/>
      <c r="OJG70" s="29"/>
      <c r="OJH70" s="29"/>
      <c r="OJI70" s="29"/>
      <c r="OJJ70" s="29"/>
      <c r="OJK70" s="29"/>
      <c r="OJL70" s="29"/>
      <c r="OJM70" s="29"/>
      <c r="OJN70" s="29"/>
      <c r="OJO70" s="29"/>
      <c r="OJP70" s="29"/>
      <c r="OJQ70" s="29"/>
      <c r="OJR70" s="29"/>
      <c r="OJS70" s="29"/>
      <c r="OJT70" s="29"/>
      <c r="OJU70" s="29"/>
      <c r="OJV70" s="29"/>
      <c r="OJW70" s="29"/>
      <c r="OJX70" s="29"/>
      <c r="OJY70" s="29"/>
      <c r="OJZ70" s="29"/>
      <c r="OKA70" s="29"/>
      <c r="OKB70" s="29"/>
      <c r="OKC70" s="29"/>
      <c r="OKD70" s="29"/>
      <c r="OKE70" s="29"/>
      <c r="OKF70" s="29"/>
      <c r="OKG70" s="29"/>
      <c r="OKH70" s="29"/>
      <c r="OKI70" s="29"/>
      <c r="OKJ70" s="29"/>
      <c r="OKK70" s="29"/>
      <c r="OKL70" s="29"/>
      <c r="OKM70" s="29"/>
      <c r="OKN70" s="29"/>
      <c r="OKO70" s="29"/>
      <c r="OKP70" s="29"/>
      <c r="OKQ70" s="29"/>
      <c r="OKR70" s="29"/>
      <c r="OKS70" s="29"/>
      <c r="OKT70" s="29"/>
      <c r="OKU70" s="29"/>
      <c r="OKV70" s="29"/>
      <c r="OKW70" s="29"/>
      <c r="OKX70" s="29"/>
      <c r="OKY70" s="29"/>
      <c r="OKZ70" s="29"/>
      <c r="OLA70" s="29"/>
      <c r="OLB70" s="29"/>
      <c r="OLC70" s="29"/>
      <c r="OLD70" s="29"/>
      <c r="OLE70" s="29"/>
      <c r="OLF70" s="29"/>
      <c r="OLG70" s="29"/>
      <c r="OLH70" s="29"/>
      <c r="OLI70" s="29"/>
      <c r="OLJ70" s="29"/>
      <c r="OLK70" s="29"/>
      <c r="OLL70" s="29"/>
      <c r="OLM70" s="29"/>
      <c r="OLN70" s="29"/>
      <c r="OLO70" s="29"/>
      <c r="OLP70" s="29"/>
      <c r="OLQ70" s="29"/>
      <c r="OLR70" s="29"/>
      <c r="OLS70" s="29"/>
      <c r="OLT70" s="29"/>
      <c r="OLU70" s="29"/>
      <c r="OLV70" s="29"/>
      <c r="OLW70" s="29"/>
      <c r="OLX70" s="29"/>
      <c r="OLY70" s="29"/>
      <c r="OLZ70" s="29"/>
      <c r="OMA70" s="29"/>
      <c r="OMB70" s="29"/>
      <c r="OMC70" s="29"/>
      <c r="OMD70" s="29"/>
      <c r="OME70" s="29"/>
      <c r="OMF70" s="29"/>
      <c r="OMG70" s="29"/>
      <c r="OMH70" s="29"/>
      <c r="OMI70" s="29"/>
      <c r="OMJ70" s="29"/>
      <c r="OMK70" s="29"/>
      <c r="OML70" s="29"/>
      <c r="OMM70" s="29"/>
      <c r="OMN70" s="29"/>
      <c r="OMO70" s="29"/>
      <c r="OMP70" s="29"/>
      <c r="OMQ70" s="29"/>
      <c r="OMR70" s="29"/>
      <c r="OMS70" s="29"/>
      <c r="OMT70" s="29"/>
      <c r="OMU70" s="29"/>
      <c r="OMV70" s="29"/>
      <c r="OMW70" s="29"/>
      <c r="OMX70" s="29"/>
      <c r="OMY70" s="29"/>
      <c r="OMZ70" s="29"/>
      <c r="ONA70" s="29"/>
      <c r="ONB70" s="29"/>
      <c r="ONC70" s="29"/>
      <c r="OND70" s="29"/>
      <c r="ONE70" s="29"/>
      <c r="ONF70" s="29"/>
      <c r="ONG70" s="29"/>
      <c r="ONH70" s="29"/>
      <c r="ONI70" s="29"/>
      <c r="ONJ70" s="29"/>
      <c r="ONK70" s="29"/>
      <c r="ONL70" s="29"/>
      <c r="ONM70" s="29"/>
      <c r="ONN70" s="29"/>
      <c r="ONO70" s="29"/>
      <c r="ONP70" s="29"/>
      <c r="ONQ70" s="29"/>
      <c r="ONR70" s="29"/>
      <c r="ONS70" s="29"/>
      <c r="ONT70" s="29"/>
      <c r="ONU70" s="29"/>
      <c r="ONV70" s="29"/>
      <c r="ONW70" s="29"/>
      <c r="ONX70" s="29"/>
      <c r="ONY70" s="29"/>
      <c r="ONZ70" s="29"/>
      <c r="OOA70" s="29"/>
      <c r="OOB70" s="29"/>
      <c r="OOC70" s="29"/>
      <c r="OOD70" s="29"/>
      <c r="OOE70" s="29"/>
      <c r="OOF70" s="29"/>
      <c r="OOG70" s="29"/>
      <c r="OOH70" s="29"/>
      <c r="OOI70" s="29"/>
      <c r="OOJ70" s="29"/>
      <c r="OOK70" s="29"/>
      <c r="OOL70" s="29"/>
      <c r="OOM70" s="29"/>
      <c r="OON70" s="29"/>
      <c r="OOO70" s="29"/>
      <c r="OOP70" s="29"/>
      <c r="OOQ70" s="29"/>
      <c r="OOR70" s="29"/>
      <c r="OOS70" s="29"/>
      <c r="OOT70" s="29"/>
      <c r="OOU70" s="29"/>
      <c r="OOV70" s="29"/>
      <c r="OOW70" s="29"/>
      <c r="OOX70" s="29"/>
      <c r="OOY70" s="29"/>
      <c r="OOZ70" s="29"/>
      <c r="OPA70" s="29"/>
      <c r="OPB70" s="29"/>
      <c r="OPC70" s="29"/>
      <c r="OPD70" s="29"/>
      <c r="OPE70" s="29"/>
      <c r="OPF70" s="29"/>
      <c r="OPG70" s="29"/>
      <c r="OPH70" s="29"/>
      <c r="OPI70" s="29"/>
      <c r="OPJ70" s="29"/>
      <c r="OPK70" s="29"/>
      <c r="OPL70" s="29"/>
      <c r="OPM70" s="29"/>
      <c r="OPN70" s="29"/>
      <c r="OPO70" s="29"/>
      <c r="OPP70" s="29"/>
      <c r="OPQ70" s="29"/>
      <c r="OPR70" s="29"/>
      <c r="OPS70" s="29"/>
      <c r="OPT70" s="29"/>
      <c r="OPU70" s="29"/>
      <c r="OPV70" s="29"/>
      <c r="OPW70" s="29"/>
      <c r="OPX70" s="29"/>
      <c r="OPY70" s="29"/>
      <c r="OPZ70" s="29"/>
      <c r="OQA70" s="29"/>
      <c r="OQB70" s="29"/>
      <c r="OQC70" s="29"/>
      <c r="OQD70" s="29"/>
      <c r="OQE70" s="29"/>
      <c r="OQF70" s="29"/>
      <c r="OQG70" s="29"/>
      <c r="OQH70" s="29"/>
      <c r="OQI70" s="29"/>
      <c r="OQJ70" s="29"/>
      <c r="OQK70" s="29"/>
      <c r="OQL70" s="29"/>
      <c r="OQM70" s="29"/>
      <c r="OQN70" s="29"/>
      <c r="OQO70" s="29"/>
      <c r="OQP70" s="29"/>
      <c r="OQQ70" s="29"/>
      <c r="OQR70" s="29"/>
      <c r="OQS70" s="29"/>
      <c r="OQT70" s="29"/>
      <c r="OQU70" s="29"/>
      <c r="OQV70" s="29"/>
      <c r="OQW70" s="29"/>
      <c r="OQX70" s="29"/>
      <c r="OQY70" s="29"/>
      <c r="OQZ70" s="29"/>
      <c r="ORA70" s="29"/>
      <c r="ORB70" s="29"/>
      <c r="ORC70" s="29"/>
      <c r="ORD70" s="29"/>
      <c r="ORE70" s="29"/>
      <c r="ORF70" s="29"/>
      <c r="ORG70" s="29"/>
      <c r="ORH70" s="29"/>
      <c r="ORI70" s="29"/>
      <c r="ORJ70" s="29"/>
      <c r="ORK70" s="29"/>
      <c r="ORL70" s="29"/>
      <c r="ORM70" s="29"/>
      <c r="ORN70" s="29"/>
      <c r="ORO70" s="29"/>
      <c r="ORP70" s="29"/>
      <c r="ORQ70" s="29"/>
      <c r="ORR70" s="29"/>
      <c r="ORS70" s="29"/>
      <c r="ORT70" s="29"/>
      <c r="ORU70" s="29"/>
      <c r="ORV70" s="29"/>
      <c r="ORW70" s="29"/>
      <c r="ORX70" s="29"/>
      <c r="ORY70" s="29"/>
      <c r="ORZ70" s="29"/>
      <c r="OSA70" s="29"/>
      <c r="OSB70" s="29"/>
      <c r="OSC70" s="29"/>
      <c r="OSD70" s="29"/>
      <c r="OSE70" s="29"/>
      <c r="OSF70" s="29"/>
      <c r="OSG70" s="29"/>
      <c r="OSH70" s="29"/>
      <c r="OSI70" s="29"/>
      <c r="OSJ70" s="29"/>
      <c r="OSK70" s="29"/>
      <c r="OSL70" s="29"/>
      <c r="OSM70" s="29"/>
      <c r="OSN70" s="29"/>
      <c r="OSO70" s="29"/>
      <c r="OSP70" s="29"/>
      <c r="OSQ70" s="29"/>
      <c r="OSR70" s="29"/>
      <c r="OSS70" s="29"/>
      <c r="OST70" s="29"/>
      <c r="OSU70" s="29"/>
      <c r="OSV70" s="29"/>
      <c r="OSW70" s="29"/>
      <c r="OSX70" s="29"/>
      <c r="OSY70" s="29"/>
      <c r="OSZ70" s="29"/>
      <c r="OTA70" s="29"/>
      <c r="OTB70" s="29"/>
      <c r="OTC70" s="29"/>
      <c r="OTD70" s="29"/>
      <c r="OTE70" s="29"/>
      <c r="OTF70" s="29"/>
      <c r="OTG70" s="29"/>
      <c r="OTH70" s="29"/>
      <c r="OTI70" s="29"/>
      <c r="OTJ70" s="29"/>
      <c r="OTK70" s="29"/>
      <c r="OTL70" s="29"/>
      <c r="OTM70" s="29"/>
      <c r="OTN70" s="29"/>
      <c r="OTO70" s="29"/>
      <c r="OTP70" s="29"/>
      <c r="OTQ70" s="29"/>
      <c r="OTR70" s="29"/>
      <c r="OTS70" s="29"/>
      <c r="OTT70" s="29"/>
      <c r="OTU70" s="29"/>
      <c r="OTV70" s="29"/>
      <c r="OTW70" s="29"/>
      <c r="OTX70" s="29"/>
      <c r="OTY70" s="29"/>
      <c r="OTZ70" s="29"/>
      <c r="OUA70" s="29"/>
      <c r="OUB70" s="29"/>
      <c r="OUC70" s="29"/>
      <c r="OUD70" s="29"/>
      <c r="OUE70" s="29"/>
      <c r="OUF70" s="29"/>
      <c r="OUG70" s="29"/>
      <c r="OUH70" s="29"/>
      <c r="OUI70" s="29"/>
      <c r="OUJ70" s="29"/>
      <c r="OUK70" s="29"/>
      <c r="OUL70" s="29"/>
      <c r="OUM70" s="29"/>
      <c r="OUN70" s="29"/>
      <c r="OUO70" s="29"/>
      <c r="OUP70" s="29"/>
      <c r="OUQ70" s="29"/>
      <c r="OUR70" s="29"/>
      <c r="OUS70" s="29"/>
      <c r="OUT70" s="29"/>
      <c r="OUU70" s="29"/>
      <c r="OUV70" s="29"/>
      <c r="OUW70" s="29"/>
      <c r="OUX70" s="29"/>
      <c r="OUY70" s="29"/>
      <c r="OUZ70" s="29"/>
      <c r="OVA70" s="29"/>
      <c r="OVB70" s="29"/>
      <c r="OVC70" s="29"/>
      <c r="OVD70" s="29"/>
      <c r="OVE70" s="29"/>
      <c r="OVF70" s="29"/>
      <c r="OVG70" s="29"/>
      <c r="OVH70" s="29"/>
      <c r="OVI70" s="29"/>
      <c r="OVJ70" s="29"/>
      <c r="OVK70" s="29"/>
      <c r="OVL70" s="29"/>
      <c r="OVM70" s="29"/>
      <c r="OVN70" s="29"/>
      <c r="OVO70" s="29"/>
      <c r="OVP70" s="29"/>
      <c r="OVQ70" s="29"/>
      <c r="OVR70" s="29"/>
      <c r="OVS70" s="29"/>
      <c r="OVT70" s="29"/>
      <c r="OVU70" s="29"/>
      <c r="OVV70" s="29"/>
      <c r="OVW70" s="29"/>
      <c r="OVX70" s="29"/>
      <c r="OVY70" s="29"/>
      <c r="OVZ70" s="29"/>
      <c r="OWA70" s="29"/>
      <c r="OWB70" s="29"/>
      <c r="OWC70" s="29"/>
      <c r="OWD70" s="29"/>
      <c r="OWE70" s="29"/>
      <c r="OWF70" s="29"/>
      <c r="OWG70" s="29"/>
      <c r="OWH70" s="29"/>
      <c r="OWI70" s="29"/>
      <c r="OWJ70" s="29"/>
      <c r="OWK70" s="29"/>
      <c r="OWL70" s="29"/>
      <c r="OWM70" s="29"/>
      <c r="OWN70" s="29"/>
      <c r="OWO70" s="29"/>
      <c r="OWP70" s="29"/>
      <c r="OWQ70" s="29"/>
      <c r="OWR70" s="29"/>
      <c r="OWS70" s="29"/>
      <c r="OWT70" s="29"/>
      <c r="OWU70" s="29"/>
      <c r="OWV70" s="29"/>
      <c r="OWW70" s="29"/>
      <c r="OWX70" s="29"/>
      <c r="OWY70" s="29"/>
      <c r="OWZ70" s="29"/>
      <c r="OXA70" s="29"/>
      <c r="OXB70" s="29"/>
      <c r="OXC70" s="29"/>
      <c r="OXD70" s="29"/>
      <c r="OXE70" s="29"/>
      <c r="OXF70" s="29"/>
      <c r="OXG70" s="29"/>
      <c r="OXH70" s="29"/>
      <c r="OXI70" s="29"/>
      <c r="OXJ70" s="29"/>
      <c r="OXK70" s="29"/>
      <c r="OXL70" s="29"/>
      <c r="OXM70" s="29"/>
      <c r="OXN70" s="29"/>
      <c r="OXO70" s="29"/>
      <c r="OXP70" s="29"/>
      <c r="OXQ70" s="29"/>
      <c r="OXR70" s="29"/>
      <c r="OXS70" s="29"/>
      <c r="OXT70" s="29"/>
      <c r="OXU70" s="29"/>
      <c r="OXV70" s="29"/>
      <c r="OXW70" s="29"/>
      <c r="OXX70" s="29"/>
      <c r="OXY70" s="29"/>
      <c r="OXZ70" s="29"/>
      <c r="OYA70" s="29"/>
      <c r="OYB70" s="29"/>
      <c r="OYC70" s="29"/>
      <c r="OYD70" s="29"/>
      <c r="OYE70" s="29"/>
      <c r="OYF70" s="29"/>
      <c r="OYG70" s="29"/>
      <c r="OYH70" s="29"/>
      <c r="OYI70" s="29"/>
      <c r="OYJ70" s="29"/>
      <c r="OYK70" s="29"/>
      <c r="OYL70" s="29"/>
      <c r="OYM70" s="29"/>
      <c r="OYN70" s="29"/>
      <c r="OYO70" s="29"/>
      <c r="OYP70" s="29"/>
      <c r="OYQ70" s="29"/>
      <c r="OYR70" s="29"/>
      <c r="OYS70" s="29"/>
      <c r="OYT70" s="29"/>
      <c r="OYU70" s="29"/>
      <c r="OYV70" s="29"/>
      <c r="OYW70" s="29"/>
      <c r="OYX70" s="29"/>
      <c r="OYY70" s="29"/>
      <c r="OYZ70" s="29"/>
      <c r="OZA70" s="29"/>
      <c r="OZB70" s="29"/>
      <c r="OZC70" s="29"/>
      <c r="OZD70" s="29"/>
      <c r="OZE70" s="29"/>
      <c r="OZF70" s="29"/>
      <c r="OZG70" s="29"/>
      <c r="OZH70" s="29"/>
      <c r="OZI70" s="29"/>
      <c r="OZJ70" s="29"/>
      <c r="OZK70" s="29"/>
      <c r="OZL70" s="29"/>
      <c r="OZM70" s="29"/>
      <c r="OZN70" s="29"/>
      <c r="OZO70" s="29"/>
      <c r="OZP70" s="29"/>
      <c r="OZQ70" s="29"/>
      <c r="OZR70" s="29"/>
      <c r="OZS70" s="29"/>
      <c r="OZT70" s="29"/>
      <c r="OZU70" s="29"/>
      <c r="OZV70" s="29"/>
      <c r="OZW70" s="29"/>
      <c r="OZX70" s="29"/>
      <c r="OZY70" s="29"/>
      <c r="OZZ70" s="29"/>
      <c r="PAA70" s="29"/>
      <c r="PAB70" s="29"/>
      <c r="PAC70" s="29"/>
      <c r="PAD70" s="29"/>
      <c r="PAE70" s="29"/>
      <c r="PAF70" s="29"/>
      <c r="PAG70" s="29"/>
      <c r="PAH70" s="29"/>
      <c r="PAI70" s="29"/>
      <c r="PAJ70" s="29"/>
      <c r="PAK70" s="29"/>
      <c r="PAL70" s="29"/>
      <c r="PAM70" s="29"/>
      <c r="PAN70" s="29"/>
      <c r="PAO70" s="29"/>
      <c r="PAP70" s="29"/>
      <c r="PAQ70" s="29"/>
      <c r="PAR70" s="29"/>
      <c r="PAS70" s="29"/>
      <c r="PAT70" s="29"/>
      <c r="PAU70" s="29"/>
      <c r="PAV70" s="29"/>
      <c r="PAW70" s="29"/>
      <c r="PAX70" s="29"/>
      <c r="PAY70" s="29"/>
      <c r="PAZ70" s="29"/>
      <c r="PBA70" s="29"/>
      <c r="PBB70" s="29"/>
      <c r="PBC70" s="29"/>
      <c r="PBD70" s="29"/>
      <c r="PBE70" s="29"/>
      <c r="PBF70" s="29"/>
      <c r="PBG70" s="29"/>
      <c r="PBH70" s="29"/>
      <c r="PBI70" s="29"/>
      <c r="PBJ70" s="29"/>
      <c r="PBK70" s="29"/>
      <c r="PBL70" s="29"/>
      <c r="PBM70" s="29"/>
      <c r="PBN70" s="29"/>
      <c r="PBO70" s="29"/>
      <c r="PBP70" s="29"/>
      <c r="PBQ70" s="29"/>
      <c r="PBR70" s="29"/>
      <c r="PBS70" s="29"/>
      <c r="PBT70" s="29"/>
      <c r="PBU70" s="29"/>
      <c r="PBV70" s="29"/>
      <c r="PBW70" s="29"/>
      <c r="PBX70" s="29"/>
      <c r="PBY70" s="29"/>
      <c r="PBZ70" s="29"/>
      <c r="PCA70" s="29"/>
      <c r="PCB70" s="29"/>
      <c r="PCC70" s="29"/>
      <c r="PCD70" s="29"/>
      <c r="PCE70" s="29"/>
      <c r="PCF70" s="29"/>
      <c r="PCG70" s="29"/>
      <c r="PCH70" s="29"/>
      <c r="PCI70" s="29"/>
      <c r="PCJ70" s="29"/>
      <c r="PCK70" s="29"/>
      <c r="PCL70" s="29"/>
      <c r="PCM70" s="29"/>
      <c r="PCN70" s="29"/>
      <c r="PCO70" s="29"/>
      <c r="PCP70" s="29"/>
      <c r="PCQ70" s="29"/>
      <c r="PCR70" s="29"/>
      <c r="PCS70" s="29"/>
      <c r="PCT70" s="29"/>
      <c r="PCU70" s="29"/>
      <c r="PCV70" s="29"/>
      <c r="PCW70" s="29"/>
      <c r="PCX70" s="29"/>
      <c r="PCY70" s="29"/>
      <c r="PCZ70" s="29"/>
      <c r="PDA70" s="29"/>
      <c r="PDB70" s="29"/>
      <c r="PDC70" s="29"/>
      <c r="PDD70" s="29"/>
      <c r="PDE70" s="29"/>
      <c r="PDF70" s="29"/>
      <c r="PDG70" s="29"/>
      <c r="PDH70" s="29"/>
      <c r="PDI70" s="29"/>
      <c r="PDJ70" s="29"/>
      <c r="PDK70" s="29"/>
      <c r="PDL70" s="29"/>
      <c r="PDM70" s="29"/>
      <c r="PDN70" s="29"/>
      <c r="PDO70" s="29"/>
      <c r="PDP70" s="29"/>
      <c r="PDQ70" s="29"/>
      <c r="PDR70" s="29"/>
      <c r="PDS70" s="29"/>
      <c r="PDT70" s="29"/>
      <c r="PDU70" s="29"/>
      <c r="PDV70" s="29"/>
      <c r="PDW70" s="29"/>
      <c r="PDX70" s="29"/>
      <c r="PDY70" s="29"/>
      <c r="PDZ70" s="29"/>
      <c r="PEA70" s="29"/>
      <c r="PEB70" s="29"/>
      <c r="PEC70" s="29"/>
      <c r="PED70" s="29"/>
      <c r="PEE70" s="29"/>
      <c r="PEF70" s="29"/>
      <c r="PEG70" s="29"/>
      <c r="PEH70" s="29"/>
      <c r="PEI70" s="29"/>
      <c r="PEJ70" s="29"/>
      <c r="PEK70" s="29"/>
      <c r="PEL70" s="29"/>
      <c r="PEM70" s="29"/>
      <c r="PEN70" s="29"/>
      <c r="PEO70" s="29"/>
      <c r="PEP70" s="29"/>
      <c r="PEQ70" s="29"/>
      <c r="PER70" s="29"/>
      <c r="PES70" s="29"/>
      <c r="PET70" s="29"/>
      <c r="PEU70" s="29"/>
      <c r="PEV70" s="29"/>
      <c r="PEW70" s="29"/>
      <c r="PEX70" s="29"/>
      <c r="PEY70" s="29"/>
      <c r="PEZ70" s="29"/>
      <c r="PFA70" s="29"/>
      <c r="PFB70" s="29"/>
      <c r="PFC70" s="29"/>
      <c r="PFD70" s="29"/>
      <c r="PFE70" s="29"/>
      <c r="PFF70" s="29"/>
      <c r="PFG70" s="29"/>
      <c r="PFH70" s="29"/>
      <c r="PFI70" s="29"/>
      <c r="PFJ70" s="29"/>
      <c r="PFK70" s="29"/>
      <c r="PFL70" s="29"/>
      <c r="PFM70" s="29"/>
      <c r="PFN70" s="29"/>
      <c r="PFO70" s="29"/>
      <c r="PFP70" s="29"/>
      <c r="PFQ70" s="29"/>
      <c r="PFR70" s="29"/>
      <c r="PFS70" s="29"/>
      <c r="PFT70" s="29"/>
      <c r="PFU70" s="29"/>
      <c r="PFV70" s="29"/>
      <c r="PFW70" s="29"/>
      <c r="PFX70" s="29"/>
      <c r="PFY70" s="29"/>
      <c r="PFZ70" s="29"/>
      <c r="PGA70" s="29"/>
      <c r="PGB70" s="29"/>
      <c r="PGC70" s="29"/>
      <c r="PGD70" s="29"/>
      <c r="PGE70" s="29"/>
      <c r="PGF70" s="29"/>
      <c r="PGG70" s="29"/>
      <c r="PGH70" s="29"/>
      <c r="PGI70" s="29"/>
      <c r="PGJ70" s="29"/>
      <c r="PGK70" s="29"/>
      <c r="PGL70" s="29"/>
      <c r="PGM70" s="29"/>
      <c r="PGN70" s="29"/>
      <c r="PGO70" s="29"/>
      <c r="PGP70" s="29"/>
      <c r="PGQ70" s="29"/>
      <c r="PGR70" s="29"/>
      <c r="PGS70" s="29"/>
      <c r="PGT70" s="29"/>
      <c r="PGU70" s="29"/>
      <c r="PGV70" s="29"/>
      <c r="PGW70" s="29"/>
      <c r="PGX70" s="29"/>
      <c r="PGY70" s="29"/>
      <c r="PGZ70" s="29"/>
      <c r="PHA70" s="29"/>
      <c r="PHB70" s="29"/>
      <c r="PHC70" s="29"/>
      <c r="PHD70" s="29"/>
      <c r="PHE70" s="29"/>
      <c r="PHF70" s="29"/>
      <c r="PHG70" s="29"/>
      <c r="PHH70" s="29"/>
      <c r="PHI70" s="29"/>
      <c r="PHJ70" s="29"/>
      <c r="PHK70" s="29"/>
      <c r="PHL70" s="29"/>
      <c r="PHM70" s="29"/>
      <c r="PHN70" s="29"/>
      <c r="PHO70" s="29"/>
      <c r="PHP70" s="29"/>
      <c r="PHQ70" s="29"/>
      <c r="PHR70" s="29"/>
      <c r="PHS70" s="29"/>
      <c r="PHT70" s="29"/>
      <c r="PHU70" s="29"/>
      <c r="PHV70" s="29"/>
      <c r="PHW70" s="29"/>
      <c r="PHX70" s="29"/>
      <c r="PHY70" s="29"/>
      <c r="PHZ70" s="29"/>
      <c r="PIA70" s="29"/>
      <c r="PIB70" s="29"/>
      <c r="PIC70" s="29"/>
      <c r="PID70" s="29"/>
      <c r="PIE70" s="29"/>
      <c r="PIF70" s="29"/>
      <c r="PIG70" s="29"/>
      <c r="PIH70" s="29"/>
      <c r="PII70" s="29"/>
      <c r="PIJ70" s="29"/>
      <c r="PIK70" s="29"/>
      <c r="PIL70" s="29"/>
      <c r="PIM70" s="29"/>
      <c r="PIN70" s="29"/>
      <c r="PIO70" s="29"/>
      <c r="PIP70" s="29"/>
      <c r="PIQ70" s="29"/>
      <c r="PIR70" s="29"/>
      <c r="PIS70" s="29"/>
      <c r="PIT70" s="29"/>
      <c r="PIU70" s="29"/>
      <c r="PIV70" s="29"/>
      <c r="PIW70" s="29"/>
      <c r="PIX70" s="29"/>
      <c r="PIY70" s="29"/>
      <c r="PIZ70" s="29"/>
      <c r="PJA70" s="29"/>
      <c r="PJB70" s="29"/>
      <c r="PJC70" s="29"/>
      <c r="PJD70" s="29"/>
      <c r="PJE70" s="29"/>
      <c r="PJF70" s="29"/>
      <c r="PJG70" s="29"/>
      <c r="PJH70" s="29"/>
      <c r="PJI70" s="29"/>
      <c r="PJJ70" s="29"/>
      <c r="PJK70" s="29"/>
      <c r="PJL70" s="29"/>
      <c r="PJM70" s="29"/>
      <c r="PJN70" s="29"/>
      <c r="PJO70" s="29"/>
      <c r="PJP70" s="29"/>
      <c r="PJQ70" s="29"/>
      <c r="PJR70" s="29"/>
      <c r="PJS70" s="29"/>
      <c r="PJT70" s="29"/>
      <c r="PJU70" s="29"/>
      <c r="PJV70" s="29"/>
      <c r="PJW70" s="29"/>
      <c r="PJX70" s="29"/>
      <c r="PJY70" s="29"/>
      <c r="PJZ70" s="29"/>
      <c r="PKA70" s="29"/>
      <c r="PKB70" s="29"/>
      <c r="PKC70" s="29"/>
      <c r="PKD70" s="29"/>
      <c r="PKE70" s="29"/>
      <c r="PKF70" s="29"/>
      <c r="PKG70" s="29"/>
      <c r="PKH70" s="29"/>
      <c r="PKI70" s="29"/>
      <c r="PKJ70" s="29"/>
      <c r="PKK70" s="29"/>
      <c r="PKL70" s="29"/>
      <c r="PKM70" s="29"/>
      <c r="PKN70" s="29"/>
      <c r="PKO70" s="29"/>
      <c r="PKP70" s="29"/>
      <c r="PKQ70" s="29"/>
      <c r="PKR70" s="29"/>
      <c r="PKS70" s="29"/>
      <c r="PKT70" s="29"/>
      <c r="PKU70" s="29"/>
      <c r="PKV70" s="29"/>
      <c r="PKW70" s="29"/>
      <c r="PKX70" s="29"/>
      <c r="PKY70" s="29"/>
      <c r="PKZ70" s="29"/>
      <c r="PLA70" s="29"/>
      <c r="PLB70" s="29"/>
      <c r="PLC70" s="29"/>
      <c r="PLD70" s="29"/>
      <c r="PLE70" s="29"/>
      <c r="PLF70" s="29"/>
      <c r="PLG70" s="29"/>
      <c r="PLH70" s="29"/>
      <c r="PLI70" s="29"/>
      <c r="PLJ70" s="29"/>
      <c r="PLK70" s="29"/>
      <c r="PLL70" s="29"/>
      <c r="PLM70" s="29"/>
      <c r="PLN70" s="29"/>
      <c r="PLO70" s="29"/>
      <c r="PLP70" s="29"/>
      <c r="PLQ70" s="29"/>
      <c r="PLR70" s="29"/>
      <c r="PLS70" s="29"/>
      <c r="PLT70" s="29"/>
      <c r="PLU70" s="29"/>
      <c r="PLV70" s="29"/>
      <c r="PLW70" s="29"/>
      <c r="PLX70" s="29"/>
      <c r="PLY70" s="29"/>
      <c r="PLZ70" s="29"/>
      <c r="PMA70" s="29"/>
      <c r="PMB70" s="29"/>
      <c r="PMC70" s="29"/>
      <c r="PMD70" s="29"/>
      <c r="PME70" s="29"/>
      <c r="PMF70" s="29"/>
      <c r="PMG70" s="29"/>
      <c r="PMH70" s="29"/>
      <c r="PMI70" s="29"/>
      <c r="PMJ70" s="29"/>
      <c r="PMK70" s="29"/>
      <c r="PML70" s="29"/>
      <c r="PMM70" s="29"/>
      <c r="PMN70" s="29"/>
      <c r="PMO70" s="29"/>
      <c r="PMP70" s="29"/>
      <c r="PMQ70" s="29"/>
      <c r="PMR70" s="29"/>
      <c r="PMS70" s="29"/>
      <c r="PMT70" s="29"/>
      <c r="PMU70" s="29"/>
      <c r="PMV70" s="29"/>
      <c r="PMW70" s="29"/>
      <c r="PMX70" s="29"/>
      <c r="PMY70" s="29"/>
      <c r="PMZ70" s="29"/>
      <c r="PNA70" s="29"/>
      <c r="PNB70" s="29"/>
      <c r="PNC70" s="29"/>
      <c r="PND70" s="29"/>
      <c r="PNE70" s="29"/>
      <c r="PNF70" s="29"/>
      <c r="PNG70" s="29"/>
      <c r="PNH70" s="29"/>
      <c r="PNI70" s="29"/>
      <c r="PNJ70" s="29"/>
      <c r="PNK70" s="29"/>
      <c r="PNL70" s="29"/>
      <c r="PNM70" s="29"/>
      <c r="PNN70" s="29"/>
      <c r="PNO70" s="29"/>
      <c r="PNP70" s="29"/>
      <c r="PNQ70" s="29"/>
      <c r="PNR70" s="29"/>
      <c r="PNS70" s="29"/>
      <c r="PNT70" s="29"/>
      <c r="PNU70" s="29"/>
      <c r="PNV70" s="29"/>
      <c r="PNW70" s="29"/>
      <c r="PNX70" s="29"/>
      <c r="PNY70" s="29"/>
      <c r="PNZ70" s="29"/>
      <c r="POA70" s="29"/>
      <c r="POB70" s="29"/>
      <c r="POC70" s="29"/>
      <c r="POD70" s="29"/>
      <c r="POE70" s="29"/>
      <c r="POF70" s="29"/>
      <c r="POG70" s="29"/>
      <c r="POH70" s="29"/>
      <c r="POI70" s="29"/>
      <c r="POJ70" s="29"/>
      <c r="POK70" s="29"/>
      <c r="POL70" s="29"/>
      <c r="POM70" s="29"/>
      <c r="PON70" s="29"/>
      <c r="POO70" s="29"/>
      <c r="POP70" s="29"/>
      <c r="POQ70" s="29"/>
      <c r="POR70" s="29"/>
      <c r="POS70" s="29"/>
      <c r="POT70" s="29"/>
      <c r="POU70" s="29"/>
      <c r="POV70" s="29"/>
      <c r="POW70" s="29"/>
      <c r="POX70" s="29"/>
      <c r="POY70" s="29"/>
      <c r="POZ70" s="29"/>
      <c r="PPA70" s="29"/>
      <c r="PPB70" s="29"/>
      <c r="PPC70" s="29"/>
      <c r="PPD70" s="29"/>
      <c r="PPE70" s="29"/>
      <c r="PPF70" s="29"/>
      <c r="PPG70" s="29"/>
      <c r="PPH70" s="29"/>
      <c r="PPI70" s="29"/>
      <c r="PPJ70" s="29"/>
      <c r="PPK70" s="29"/>
      <c r="PPL70" s="29"/>
      <c r="PPM70" s="29"/>
      <c r="PPN70" s="29"/>
      <c r="PPO70" s="29"/>
      <c r="PPP70" s="29"/>
      <c r="PPQ70" s="29"/>
      <c r="PPR70" s="29"/>
      <c r="PPS70" s="29"/>
      <c r="PPT70" s="29"/>
      <c r="PPU70" s="29"/>
      <c r="PPV70" s="29"/>
      <c r="PPW70" s="29"/>
      <c r="PPX70" s="29"/>
      <c r="PPY70" s="29"/>
      <c r="PPZ70" s="29"/>
      <c r="PQA70" s="29"/>
      <c r="PQB70" s="29"/>
      <c r="PQC70" s="29"/>
      <c r="PQD70" s="29"/>
      <c r="PQE70" s="29"/>
      <c r="PQF70" s="29"/>
      <c r="PQG70" s="29"/>
      <c r="PQH70" s="29"/>
      <c r="PQI70" s="29"/>
      <c r="PQJ70" s="29"/>
      <c r="PQK70" s="29"/>
      <c r="PQL70" s="29"/>
      <c r="PQM70" s="29"/>
      <c r="PQN70" s="29"/>
      <c r="PQO70" s="29"/>
      <c r="PQP70" s="29"/>
      <c r="PQQ70" s="29"/>
      <c r="PQR70" s="29"/>
      <c r="PQS70" s="29"/>
      <c r="PQT70" s="29"/>
      <c r="PQU70" s="29"/>
      <c r="PQV70" s="29"/>
      <c r="PQW70" s="29"/>
      <c r="PQX70" s="29"/>
      <c r="PQY70" s="29"/>
      <c r="PQZ70" s="29"/>
      <c r="PRA70" s="29"/>
      <c r="PRB70" s="29"/>
      <c r="PRC70" s="29"/>
      <c r="PRD70" s="29"/>
      <c r="PRE70" s="29"/>
      <c r="PRF70" s="29"/>
      <c r="PRG70" s="29"/>
      <c r="PRH70" s="29"/>
      <c r="PRI70" s="29"/>
      <c r="PRJ70" s="29"/>
      <c r="PRK70" s="29"/>
      <c r="PRL70" s="29"/>
      <c r="PRM70" s="29"/>
      <c r="PRN70" s="29"/>
      <c r="PRO70" s="29"/>
      <c r="PRP70" s="29"/>
      <c r="PRQ70" s="29"/>
      <c r="PRR70" s="29"/>
      <c r="PRS70" s="29"/>
      <c r="PRT70" s="29"/>
      <c r="PRU70" s="29"/>
      <c r="PRV70" s="29"/>
      <c r="PRW70" s="29"/>
      <c r="PRX70" s="29"/>
      <c r="PRY70" s="29"/>
      <c r="PRZ70" s="29"/>
      <c r="PSA70" s="29"/>
      <c r="PSB70" s="29"/>
      <c r="PSC70" s="29"/>
      <c r="PSD70" s="29"/>
      <c r="PSE70" s="29"/>
      <c r="PSF70" s="29"/>
      <c r="PSG70" s="29"/>
      <c r="PSH70" s="29"/>
      <c r="PSI70" s="29"/>
      <c r="PSJ70" s="29"/>
      <c r="PSK70" s="29"/>
      <c r="PSL70" s="29"/>
      <c r="PSM70" s="29"/>
      <c r="PSN70" s="29"/>
      <c r="PSO70" s="29"/>
      <c r="PSP70" s="29"/>
      <c r="PSQ70" s="29"/>
      <c r="PSR70" s="29"/>
      <c r="PSS70" s="29"/>
      <c r="PST70" s="29"/>
      <c r="PSU70" s="29"/>
      <c r="PSV70" s="29"/>
      <c r="PSW70" s="29"/>
      <c r="PSX70" s="29"/>
      <c r="PSY70" s="29"/>
      <c r="PSZ70" s="29"/>
      <c r="PTA70" s="29"/>
      <c r="PTB70" s="29"/>
      <c r="PTC70" s="29"/>
      <c r="PTD70" s="29"/>
      <c r="PTE70" s="29"/>
      <c r="PTF70" s="29"/>
      <c r="PTG70" s="29"/>
      <c r="PTH70" s="29"/>
      <c r="PTI70" s="29"/>
      <c r="PTJ70" s="29"/>
      <c r="PTK70" s="29"/>
      <c r="PTL70" s="29"/>
      <c r="PTM70" s="29"/>
      <c r="PTN70" s="29"/>
      <c r="PTO70" s="29"/>
      <c r="PTP70" s="29"/>
      <c r="PTQ70" s="29"/>
      <c r="PTR70" s="29"/>
      <c r="PTS70" s="29"/>
      <c r="PTT70" s="29"/>
      <c r="PTU70" s="29"/>
      <c r="PTV70" s="29"/>
      <c r="PTW70" s="29"/>
      <c r="PTX70" s="29"/>
      <c r="PTY70" s="29"/>
      <c r="PTZ70" s="29"/>
      <c r="PUA70" s="29"/>
      <c r="PUB70" s="29"/>
      <c r="PUC70" s="29"/>
      <c r="PUD70" s="29"/>
      <c r="PUE70" s="29"/>
      <c r="PUF70" s="29"/>
      <c r="PUG70" s="29"/>
      <c r="PUH70" s="29"/>
      <c r="PUI70" s="29"/>
      <c r="PUJ70" s="29"/>
      <c r="PUK70" s="29"/>
      <c r="PUL70" s="29"/>
      <c r="PUM70" s="29"/>
      <c r="PUN70" s="29"/>
      <c r="PUO70" s="29"/>
      <c r="PUP70" s="29"/>
      <c r="PUQ70" s="29"/>
      <c r="PUR70" s="29"/>
      <c r="PUS70" s="29"/>
      <c r="PUT70" s="29"/>
      <c r="PUU70" s="29"/>
      <c r="PUV70" s="29"/>
      <c r="PUW70" s="29"/>
      <c r="PUX70" s="29"/>
      <c r="PUY70" s="29"/>
      <c r="PUZ70" s="29"/>
      <c r="PVA70" s="29"/>
      <c r="PVB70" s="29"/>
      <c r="PVC70" s="29"/>
      <c r="PVD70" s="29"/>
      <c r="PVE70" s="29"/>
      <c r="PVF70" s="29"/>
      <c r="PVG70" s="29"/>
      <c r="PVH70" s="29"/>
      <c r="PVI70" s="29"/>
      <c r="PVJ70" s="29"/>
      <c r="PVK70" s="29"/>
      <c r="PVL70" s="29"/>
      <c r="PVM70" s="29"/>
      <c r="PVN70" s="29"/>
      <c r="PVO70" s="29"/>
      <c r="PVP70" s="29"/>
      <c r="PVQ70" s="29"/>
      <c r="PVR70" s="29"/>
      <c r="PVS70" s="29"/>
      <c r="PVT70" s="29"/>
      <c r="PVU70" s="29"/>
      <c r="PVV70" s="29"/>
      <c r="PVW70" s="29"/>
      <c r="PVX70" s="29"/>
      <c r="PVY70" s="29"/>
      <c r="PVZ70" s="29"/>
      <c r="PWA70" s="29"/>
      <c r="PWB70" s="29"/>
      <c r="PWC70" s="29"/>
      <c r="PWD70" s="29"/>
      <c r="PWE70" s="29"/>
      <c r="PWF70" s="29"/>
      <c r="PWG70" s="29"/>
      <c r="PWH70" s="29"/>
      <c r="PWI70" s="29"/>
      <c r="PWJ70" s="29"/>
      <c r="PWK70" s="29"/>
      <c r="PWL70" s="29"/>
      <c r="PWM70" s="29"/>
      <c r="PWN70" s="29"/>
      <c r="PWO70" s="29"/>
      <c r="PWP70" s="29"/>
      <c r="PWQ70" s="29"/>
      <c r="PWR70" s="29"/>
      <c r="PWS70" s="29"/>
      <c r="PWT70" s="29"/>
      <c r="PWU70" s="29"/>
      <c r="PWV70" s="29"/>
      <c r="PWW70" s="29"/>
      <c r="PWX70" s="29"/>
      <c r="PWY70" s="29"/>
      <c r="PWZ70" s="29"/>
      <c r="PXA70" s="29"/>
      <c r="PXB70" s="29"/>
      <c r="PXC70" s="29"/>
      <c r="PXD70" s="29"/>
      <c r="PXE70" s="29"/>
      <c r="PXF70" s="29"/>
      <c r="PXG70" s="29"/>
      <c r="PXH70" s="29"/>
      <c r="PXI70" s="29"/>
      <c r="PXJ70" s="29"/>
      <c r="PXK70" s="29"/>
      <c r="PXL70" s="29"/>
      <c r="PXM70" s="29"/>
      <c r="PXN70" s="29"/>
      <c r="PXO70" s="29"/>
      <c r="PXP70" s="29"/>
      <c r="PXQ70" s="29"/>
      <c r="PXR70" s="29"/>
      <c r="PXS70" s="29"/>
      <c r="PXT70" s="29"/>
      <c r="PXU70" s="29"/>
      <c r="PXV70" s="29"/>
      <c r="PXW70" s="29"/>
      <c r="PXX70" s="29"/>
      <c r="PXY70" s="29"/>
      <c r="PXZ70" s="29"/>
      <c r="PYA70" s="29"/>
      <c r="PYB70" s="29"/>
      <c r="PYC70" s="29"/>
      <c r="PYD70" s="29"/>
      <c r="PYE70" s="29"/>
      <c r="PYF70" s="29"/>
      <c r="PYG70" s="29"/>
      <c r="PYH70" s="29"/>
      <c r="PYI70" s="29"/>
      <c r="PYJ70" s="29"/>
      <c r="PYK70" s="29"/>
      <c r="PYL70" s="29"/>
      <c r="PYM70" s="29"/>
      <c r="PYN70" s="29"/>
      <c r="PYO70" s="29"/>
      <c r="PYP70" s="29"/>
      <c r="PYQ70" s="29"/>
      <c r="PYR70" s="29"/>
      <c r="PYS70" s="29"/>
      <c r="PYT70" s="29"/>
      <c r="PYU70" s="29"/>
      <c r="PYV70" s="29"/>
      <c r="PYW70" s="29"/>
      <c r="PYX70" s="29"/>
      <c r="PYY70" s="29"/>
      <c r="PYZ70" s="29"/>
      <c r="PZA70" s="29"/>
      <c r="PZB70" s="29"/>
      <c r="PZC70" s="29"/>
      <c r="PZD70" s="29"/>
      <c r="PZE70" s="29"/>
      <c r="PZF70" s="29"/>
      <c r="PZG70" s="29"/>
      <c r="PZH70" s="29"/>
      <c r="PZI70" s="29"/>
      <c r="PZJ70" s="29"/>
      <c r="PZK70" s="29"/>
      <c r="PZL70" s="29"/>
      <c r="PZM70" s="29"/>
      <c r="PZN70" s="29"/>
      <c r="PZO70" s="29"/>
      <c r="PZP70" s="29"/>
      <c r="PZQ70" s="29"/>
      <c r="PZR70" s="29"/>
      <c r="PZS70" s="29"/>
      <c r="PZT70" s="29"/>
      <c r="PZU70" s="29"/>
      <c r="PZV70" s="29"/>
      <c r="PZW70" s="29"/>
      <c r="PZX70" s="29"/>
      <c r="PZY70" s="29"/>
      <c r="PZZ70" s="29"/>
      <c r="QAA70" s="29"/>
      <c r="QAB70" s="29"/>
      <c r="QAC70" s="29"/>
      <c r="QAD70" s="29"/>
      <c r="QAE70" s="29"/>
      <c r="QAF70" s="29"/>
      <c r="QAG70" s="29"/>
      <c r="QAH70" s="29"/>
      <c r="QAI70" s="29"/>
      <c r="QAJ70" s="29"/>
      <c r="QAK70" s="29"/>
      <c r="QAL70" s="29"/>
      <c r="QAM70" s="29"/>
      <c r="QAN70" s="29"/>
      <c r="QAO70" s="29"/>
      <c r="QAP70" s="29"/>
      <c r="QAQ70" s="29"/>
      <c r="QAR70" s="29"/>
      <c r="QAS70" s="29"/>
      <c r="QAT70" s="29"/>
      <c r="QAU70" s="29"/>
      <c r="QAV70" s="29"/>
      <c r="QAW70" s="29"/>
      <c r="QAX70" s="29"/>
      <c r="QAY70" s="29"/>
      <c r="QAZ70" s="29"/>
      <c r="QBA70" s="29"/>
      <c r="QBB70" s="29"/>
      <c r="QBC70" s="29"/>
      <c r="QBD70" s="29"/>
      <c r="QBE70" s="29"/>
      <c r="QBF70" s="29"/>
      <c r="QBG70" s="29"/>
      <c r="QBH70" s="29"/>
      <c r="QBI70" s="29"/>
      <c r="QBJ70" s="29"/>
      <c r="QBK70" s="29"/>
      <c r="QBL70" s="29"/>
      <c r="QBM70" s="29"/>
      <c r="QBN70" s="29"/>
      <c r="QBO70" s="29"/>
      <c r="QBP70" s="29"/>
      <c r="QBQ70" s="29"/>
      <c r="QBR70" s="29"/>
      <c r="QBS70" s="29"/>
      <c r="QBT70" s="29"/>
      <c r="QBU70" s="29"/>
      <c r="QBV70" s="29"/>
      <c r="QBW70" s="29"/>
      <c r="QBX70" s="29"/>
      <c r="QBY70" s="29"/>
      <c r="QBZ70" s="29"/>
      <c r="QCA70" s="29"/>
      <c r="QCB70" s="29"/>
      <c r="QCC70" s="29"/>
      <c r="QCD70" s="29"/>
      <c r="QCE70" s="29"/>
      <c r="QCF70" s="29"/>
      <c r="QCG70" s="29"/>
      <c r="QCH70" s="29"/>
      <c r="QCI70" s="29"/>
      <c r="QCJ70" s="29"/>
      <c r="QCK70" s="29"/>
      <c r="QCL70" s="29"/>
      <c r="QCM70" s="29"/>
      <c r="QCN70" s="29"/>
      <c r="QCO70" s="29"/>
      <c r="QCP70" s="29"/>
      <c r="QCQ70" s="29"/>
      <c r="QCR70" s="29"/>
      <c r="QCS70" s="29"/>
      <c r="QCT70" s="29"/>
      <c r="QCU70" s="29"/>
      <c r="QCV70" s="29"/>
      <c r="QCW70" s="29"/>
      <c r="QCX70" s="29"/>
      <c r="QCY70" s="29"/>
      <c r="QCZ70" s="29"/>
      <c r="QDA70" s="29"/>
      <c r="QDB70" s="29"/>
      <c r="QDC70" s="29"/>
      <c r="QDD70" s="29"/>
      <c r="QDE70" s="29"/>
      <c r="QDF70" s="29"/>
      <c r="QDG70" s="29"/>
      <c r="QDH70" s="29"/>
      <c r="QDI70" s="29"/>
      <c r="QDJ70" s="29"/>
      <c r="QDK70" s="29"/>
      <c r="QDL70" s="29"/>
      <c r="QDM70" s="29"/>
      <c r="QDN70" s="29"/>
      <c r="QDO70" s="29"/>
      <c r="QDP70" s="29"/>
      <c r="QDQ70" s="29"/>
      <c r="QDR70" s="29"/>
      <c r="QDS70" s="29"/>
      <c r="QDT70" s="29"/>
      <c r="QDU70" s="29"/>
      <c r="QDV70" s="29"/>
      <c r="QDW70" s="29"/>
      <c r="QDX70" s="29"/>
      <c r="QDY70" s="29"/>
      <c r="QDZ70" s="29"/>
      <c r="QEA70" s="29"/>
      <c r="QEB70" s="29"/>
      <c r="QEC70" s="29"/>
      <c r="QED70" s="29"/>
      <c r="QEE70" s="29"/>
      <c r="QEF70" s="29"/>
      <c r="QEG70" s="29"/>
      <c r="QEH70" s="29"/>
      <c r="QEI70" s="29"/>
      <c r="QEJ70" s="29"/>
      <c r="QEK70" s="29"/>
      <c r="QEL70" s="29"/>
      <c r="QEM70" s="29"/>
      <c r="QEN70" s="29"/>
      <c r="QEO70" s="29"/>
      <c r="QEP70" s="29"/>
      <c r="QEQ70" s="29"/>
      <c r="QER70" s="29"/>
      <c r="QES70" s="29"/>
      <c r="QET70" s="29"/>
      <c r="QEU70" s="29"/>
      <c r="QEV70" s="29"/>
      <c r="QEW70" s="29"/>
      <c r="QEX70" s="29"/>
      <c r="QEY70" s="29"/>
      <c r="QEZ70" s="29"/>
      <c r="QFA70" s="29"/>
      <c r="QFB70" s="29"/>
      <c r="QFC70" s="29"/>
      <c r="QFD70" s="29"/>
      <c r="QFE70" s="29"/>
      <c r="QFF70" s="29"/>
      <c r="QFG70" s="29"/>
      <c r="QFH70" s="29"/>
      <c r="QFI70" s="29"/>
      <c r="QFJ70" s="29"/>
      <c r="QFK70" s="29"/>
      <c r="QFL70" s="29"/>
      <c r="QFM70" s="29"/>
      <c r="QFN70" s="29"/>
      <c r="QFO70" s="29"/>
      <c r="QFP70" s="29"/>
      <c r="QFQ70" s="29"/>
      <c r="QFR70" s="29"/>
      <c r="QFS70" s="29"/>
      <c r="QFT70" s="29"/>
      <c r="QFU70" s="29"/>
      <c r="QFV70" s="29"/>
      <c r="QFW70" s="29"/>
      <c r="QFX70" s="29"/>
      <c r="QFY70" s="29"/>
      <c r="QFZ70" s="29"/>
      <c r="QGA70" s="29"/>
      <c r="QGB70" s="29"/>
      <c r="QGC70" s="29"/>
      <c r="QGD70" s="29"/>
      <c r="QGE70" s="29"/>
      <c r="QGF70" s="29"/>
      <c r="QGG70" s="29"/>
      <c r="QGH70" s="29"/>
      <c r="QGI70" s="29"/>
      <c r="QGJ70" s="29"/>
      <c r="QGK70" s="29"/>
      <c r="QGL70" s="29"/>
      <c r="QGM70" s="29"/>
      <c r="QGN70" s="29"/>
      <c r="QGO70" s="29"/>
      <c r="QGP70" s="29"/>
      <c r="QGQ70" s="29"/>
      <c r="QGR70" s="29"/>
      <c r="QGS70" s="29"/>
      <c r="QGT70" s="29"/>
      <c r="QGU70" s="29"/>
      <c r="QGV70" s="29"/>
      <c r="QGW70" s="29"/>
      <c r="QGX70" s="29"/>
      <c r="QGY70" s="29"/>
      <c r="QGZ70" s="29"/>
      <c r="QHA70" s="29"/>
      <c r="QHB70" s="29"/>
      <c r="QHC70" s="29"/>
      <c r="QHD70" s="29"/>
      <c r="QHE70" s="29"/>
      <c r="QHF70" s="29"/>
      <c r="QHG70" s="29"/>
      <c r="QHH70" s="29"/>
      <c r="QHI70" s="29"/>
      <c r="QHJ70" s="29"/>
      <c r="QHK70" s="29"/>
      <c r="QHL70" s="29"/>
      <c r="QHM70" s="29"/>
      <c r="QHN70" s="29"/>
      <c r="QHO70" s="29"/>
      <c r="QHP70" s="29"/>
      <c r="QHQ70" s="29"/>
      <c r="QHR70" s="29"/>
      <c r="QHS70" s="29"/>
      <c r="QHT70" s="29"/>
      <c r="QHU70" s="29"/>
      <c r="QHV70" s="29"/>
      <c r="QHW70" s="29"/>
      <c r="QHX70" s="29"/>
      <c r="QHY70" s="29"/>
      <c r="QHZ70" s="29"/>
      <c r="QIA70" s="29"/>
      <c r="QIB70" s="29"/>
      <c r="QIC70" s="29"/>
      <c r="QID70" s="29"/>
      <c r="QIE70" s="29"/>
      <c r="QIF70" s="29"/>
      <c r="QIG70" s="29"/>
      <c r="QIH70" s="29"/>
      <c r="QII70" s="29"/>
      <c r="QIJ70" s="29"/>
      <c r="QIK70" s="29"/>
      <c r="QIL70" s="29"/>
      <c r="QIM70" s="29"/>
      <c r="QIN70" s="29"/>
      <c r="QIO70" s="29"/>
      <c r="QIP70" s="29"/>
      <c r="QIQ70" s="29"/>
      <c r="QIR70" s="29"/>
      <c r="QIS70" s="29"/>
      <c r="QIT70" s="29"/>
      <c r="QIU70" s="29"/>
      <c r="QIV70" s="29"/>
      <c r="QIW70" s="29"/>
      <c r="QIX70" s="29"/>
      <c r="QIY70" s="29"/>
      <c r="QIZ70" s="29"/>
      <c r="QJA70" s="29"/>
      <c r="QJB70" s="29"/>
      <c r="QJC70" s="29"/>
      <c r="QJD70" s="29"/>
      <c r="QJE70" s="29"/>
      <c r="QJF70" s="29"/>
      <c r="QJG70" s="29"/>
      <c r="QJH70" s="29"/>
      <c r="QJI70" s="29"/>
      <c r="QJJ70" s="29"/>
      <c r="QJK70" s="29"/>
      <c r="QJL70" s="29"/>
      <c r="QJM70" s="29"/>
      <c r="QJN70" s="29"/>
      <c r="QJO70" s="29"/>
      <c r="QJP70" s="29"/>
      <c r="QJQ70" s="29"/>
      <c r="QJR70" s="29"/>
      <c r="QJS70" s="29"/>
      <c r="QJT70" s="29"/>
      <c r="QJU70" s="29"/>
      <c r="QJV70" s="29"/>
      <c r="QJW70" s="29"/>
      <c r="QJX70" s="29"/>
      <c r="QJY70" s="29"/>
      <c r="QJZ70" s="29"/>
      <c r="QKA70" s="29"/>
      <c r="QKB70" s="29"/>
      <c r="QKC70" s="29"/>
      <c r="QKD70" s="29"/>
      <c r="QKE70" s="29"/>
      <c r="QKF70" s="29"/>
      <c r="QKG70" s="29"/>
      <c r="QKH70" s="29"/>
      <c r="QKI70" s="29"/>
      <c r="QKJ70" s="29"/>
      <c r="QKK70" s="29"/>
      <c r="QKL70" s="29"/>
      <c r="QKM70" s="29"/>
      <c r="QKN70" s="29"/>
      <c r="QKO70" s="29"/>
      <c r="QKP70" s="29"/>
      <c r="QKQ70" s="29"/>
      <c r="QKR70" s="29"/>
      <c r="QKS70" s="29"/>
      <c r="QKT70" s="29"/>
      <c r="QKU70" s="29"/>
      <c r="QKV70" s="29"/>
      <c r="QKW70" s="29"/>
      <c r="QKX70" s="29"/>
      <c r="QKY70" s="29"/>
      <c r="QKZ70" s="29"/>
      <c r="QLA70" s="29"/>
      <c r="QLB70" s="29"/>
      <c r="QLC70" s="29"/>
      <c r="QLD70" s="29"/>
      <c r="QLE70" s="29"/>
      <c r="QLF70" s="29"/>
      <c r="QLG70" s="29"/>
      <c r="QLH70" s="29"/>
      <c r="QLI70" s="29"/>
      <c r="QLJ70" s="29"/>
      <c r="QLK70" s="29"/>
      <c r="QLL70" s="29"/>
      <c r="QLM70" s="29"/>
      <c r="QLN70" s="29"/>
      <c r="QLO70" s="29"/>
      <c r="QLP70" s="29"/>
      <c r="QLQ70" s="29"/>
      <c r="QLR70" s="29"/>
      <c r="QLS70" s="29"/>
      <c r="QLT70" s="29"/>
      <c r="QLU70" s="29"/>
      <c r="QLV70" s="29"/>
      <c r="QLW70" s="29"/>
      <c r="QLX70" s="29"/>
      <c r="QLY70" s="29"/>
      <c r="QLZ70" s="29"/>
      <c r="QMA70" s="29"/>
      <c r="QMB70" s="29"/>
      <c r="QMC70" s="29"/>
      <c r="QMD70" s="29"/>
      <c r="QME70" s="29"/>
      <c r="QMF70" s="29"/>
      <c r="QMG70" s="29"/>
      <c r="QMH70" s="29"/>
      <c r="QMI70" s="29"/>
      <c r="QMJ70" s="29"/>
      <c r="QMK70" s="29"/>
      <c r="QML70" s="29"/>
      <c r="QMM70" s="29"/>
      <c r="QMN70" s="29"/>
      <c r="QMO70" s="29"/>
      <c r="QMP70" s="29"/>
      <c r="QMQ70" s="29"/>
      <c r="QMR70" s="29"/>
      <c r="QMS70" s="29"/>
      <c r="QMT70" s="29"/>
      <c r="QMU70" s="29"/>
      <c r="QMV70" s="29"/>
      <c r="QMW70" s="29"/>
      <c r="QMX70" s="29"/>
      <c r="QMY70" s="29"/>
      <c r="QMZ70" s="29"/>
      <c r="QNA70" s="29"/>
      <c r="QNB70" s="29"/>
      <c r="QNC70" s="29"/>
      <c r="QND70" s="29"/>
      <c r="QNE70" s="29"/>
      <c r="QNF70" s="29"/>
      <c r="QNG70" s="29"/>
      <c r="QNH70" s="29"/>
      <c r="QNI70" s="29"/>
      <c r="QNJ70" s="29"/>
      <c r="QNK70" s="29"/>
      <c r="QNL70" s="29"/>
      <c r="QNM70" s="29"/>
      <c r="QNN70" s="29"/>
      <c r="QNO70" s="29"/>
      <c r="QNP70" s="29"/>
      <c r="QNQ70" s="29"/>
      <c r="QNR70" s="29"/>
      <c r="QNS70" s="29"/>
      <c r="QNT70" s="29"/>
      <c r="QNU70" s="29"/>
      <c r="QNV70" s="29"/>
      <c r="QNW70" s="29"/>
      <c r="QNX70" s="29"/>
      <c r="QNY70" s="29"/>
      <c r="QNZ70" s="29"/>
      <c r="QOA70" s="29"/>
      <c r="QOB70" s="29"/>
      <c r="QOC70" s="29"/>
      <c r="QOD70" s="29"/>
      <c r="QOE70" s="29"/>
      <c r="QOF70" s="29"/>
      <c r="QOG70" s="29"/>
      <c r="QOH70" s="29"/>
      <c r="QOI70" s="29"/>
      <c r="QOJ70" s="29"/>
      <c r="QOK70" s="29"/>
      <c r="QOL70" s="29"/>
      <c r="QOM70" s="29"/>
      <c r="QON70" s="29"/>
      <c r="QOO70" s="29"/>
      <c r="QOP70" s="29"/>
      <c r="QOQ70" s="29"/>
      <c r="QOR70" s="29"/>
      <c r="QOS70" s="29"/>
      <c r="QOT70" s="29"/>
      <c r="QOU70" s="29"/>
      <c r="QOV70" s="29"/>
      <c r="QOW70" s="29"/>
      <c r="QOX70" s="29"/>
      <c r="QOY70" s="29"/>
      <c r="QOZ70" s="29"/>
      <c r="QPA70" s="29"/>
      <c r="QPB70" s="29"/>
      <c r="QPC70" s="29"/>
      <c r="QPD70" s="29"/>
      <c r="QPE70" s="29"/>
      <c r="QPF70" s="29"/>
      <c r="QPG70" s="29"/>
      <c r="QPH70" s="29"/>
      <c r="QPI70" s="29"/>
      <c r="QPJ70" s="29"/>
      <c r="QPK70" s="29"/>
      <c r="QPL70" s="29"/>
      <c r="QPM70" s="29"/>
      <c r="QPN70" s="29"/>
      <c r="QPO70" s="29"/>
      <c r="QPP70" s="29"/>
      <c r="QPQ70" s="29"/>
      <c r="QPR70" s="29"/>
      <c r="QPS70" s="29"/>
      <c r="QPT70" s="29"/>
      <c r="QPU70" s="29"/>
      <c r="QPV70" s="29"/>
      <c r="QPW70" s="29"/>
      <c r="QPX70" s="29"/>
      <c r="QPY70" s="29"/>
      <c r="QPZ70" s="29"/>
      <c r="QQA70" s="29"/>
      <c r="QQB70" s="29"/>
      <c r="QQC70" s="29"/>
      <c r="QQD70" s="29"/>
      <c r="QQE70" s="29"/>
      <c r="QQF70" s="29"/>
      <c r="QQG70" s="29"/>
      <c r="QQH70" s="29"/>
      <c r="QQI70" s="29"/>
      <c r="QQJ70" s="29"/>
      <c r="QQK70" s="29"/>
      <c r="QQL70" s="29"/>
      <c r="QQM70" s="29"/>
      <c r="QQN70" s="29"/>
      <c r="QQO70" s="29"/>
      <c r="QQP70" s="29"/>
      <c r="QQQ70" s="29"/>
      <c r="QQR70" s="29"/>
      <c r="QQS70" s="29"/>
      <c r="QQT70" s="29"/>
      <c r="QQU70" s="29"/>
      <c r="QQV70" s="29"/>
      <c r="QQW70" s="29"/>
      <c r="QQX70" s="29"/>
      <c r="QQY70" s="29"/>
      <c r="QQZ70" s="29"/>
      <c r="QRA70" s="29"/>
      <c r="QRB70" s="29"/>
      <c r="QRC70" s="29"/>
      <c r="QRD70" s="29"/>
      <c r="QRE70" s="29"/>
      <c r="QRF70" s="29"/>
      <c r="QRG70" s="29"/>
      <c r="QRH70" s="29"/>
      <c r="QRI70" s="29"/>
      <c r="QRJ70" s="29"/>
      <c r="QRK70" s="29"/>
      <c r="QRL70" s="29"/>
      <c r="QRM70" s="29"/>
      <c r="QRN70" s="29"/>
      <c r="QRO70" s="29"/>
      <c r="QRP70" s="29"/>
      <c r="QRQ70" s="29"/>
      <c r="QRR70" s="29"/>
      <c r="QRS70" s="29"/>
      <c r="QRT70" s="29"/>
      <c r="QRU70" s="29"/>
      <c r="QRV70" s="29"/>
      <c r="QRW70" s="29"/>
      <c r="QRX70" s="29"/>
      <c r="QRY70" s="29"/>
      <c r="QRZ70" s="29"/>
      <c r="QSA70" s="29"/>
      <c r="QSB70" s="29"/>
      <c r="QSC70" s="29"/>
      <c r="QSD70" s="29"/>
      <c r="QSE70" s="29"/>
      <c r="QSF70" s="29"/>
      <c r="QSG70" s="29"/>
      <c r="QSH70" s="29"/>
      <c r="QSI70" s="29"/>
      <c r="QSJ70" s="29"/>
      <c r="QSK70" s="29"/>
      <c r="QSL70" s="29"/>
      <c r="QSM70" s="29"/>
      <c r="QSN70" s="29"/>
      <c r="QSO70" s="29"/>
      <c r="QSP70" s="29"/>
      <c r="QSQ70" s="29"/>
      <c r="QSR70" s="29"/>
      <c r="QSS70" s="29"/>
      <c r="QST70" s="29"/>
      <c r="QSU70" s="29"/>
      <c r="QSV70" s="29"/>
      <c r="QSW70" s="29"/>
      <c r="QSX70" s="29"/>
      <c r="QSY70" s="29"/>
      <c r="QSZ70" s="29"/>
      <c r="QTA70" s="29"/>
      <c r="QTB70" s="29"/>
      <c r="QTC70" s="29"/>
      <c r="QTD70" s="29"/>
      <c r="QTE70" s="29"/>
      <c r="QTF70" s="29"/>
      <c r="QTG70" s="29"/>
      <c r="QTH70" s="29"/>
      <c r="QTI70" s="29"/>
      <c r="QTJ70" s="29"/>
      <c r="QTK70" s="29"/>
      <c r="QTL70" s="29"/>
      <c r="QTM70" s="29"/>
      <c r="QTN70" s="29"/>
      <c r="QTO70" s="29"/>
      <c r="QTP70" s="29"/>
      <c r="QTQ70" s="29"/>
      <c r="QTR70" s="29"/>
      <c r="QTS70" s="29"/>
      <c r="QTT70" s="29"/>
      <c r="QTU70" s="29"/>
      <c r="QTV70" s="29"/>
      <c r="QTW70" s="29"/>
      <c r="QTX70" s="29"/>
      <c r="QTY70" s="29"/>
      <c r="QTZ70" s="29"/>
      <c r="QUA70" s="29"/>
      <c r="QUB70" s="29"/>
      <c r="QUC70" s="29"/>
      <c r="QUD70" s="29"/>
      <c r="QUE70" s="29"/>
      <c r="QUF70" s="29"/>
      <c r="QUG70" s="29"/>
      <c r="QUH70" s="29"/>
      <c r="QUI70" s="29"/>
      <c r="QUJ70" s="29"/>
      <c r="QUK70" s="29"/>
      <c r="QUL70" s="29"/>
      <c r="QUM70" s="29"/>
      <c r="QUN70" s="29"/>
      <c r="QUO70" s="29"/>
      <c r="QUP70" s="29"/>
      <c r="QUQ70" s="29"/>
      <c r="QUR70" s="29"/>
      <c r="QUS70" s="29"/>
      <c r="QUT70" s="29"/>
      <c r="QUU70" s="29"/>
      <c r="QUV70" s="29"/>
      <c r="QUW70" s="29"/>
      <c r="QUX70" s="29"/>
      <c r="QUY70" s="29"/>
      <c r="QUZ70" s="29"/>
      <c r="QVA70" s="29"/>
      <c r="QVB70" s="29"/>
      <c r="QVC70" s="29"/>
      <c r="QVD70" s="29"/>
      <c r="QVE70" s="29"/>
      <c r="QVF70" s="29"/>
      <c r="QVG70" s="29"/>
      <c r="QVH70" s="29"/>
      <c r="QVI70" s="29"/>
      <c r="QVJ70" s="29"/>
      <c r="QVK70" s="29"/>
      <c r="QVL70" s="29"/>
      <c r="QVM70" s="29"/>
      <c r="QVN70" s="29"/>
      <c r="QVO70" s="29"/>
      <c r="QVP70" s="29"/>
      <c r="QVQ70" s="29"/>
      <c r="QVR70" s="29"/>
      <c r="QVS70" s="29"/>
      <c r="QVT70" s="29"/>
      <c r="QVU70" s="29"/>
      <c r="QVV70" s="29"/>
      <c r="QVW70" s="29"/>
      <c r="QVX70" s="29"/>
      <c r="QVY70" s="29"/>
      <c r="QVZ70" s="29"/>
      <c r="QWA70" s="29"/>
      <c r="QWB70" s="29"/>
      <c r="QWC70" s="29"/>
      <c r="QWD70" s="29"/>
      <c r="QWE70" s="29"/>
      <c r="QWF70" s="29"/>
      <c r="QWG70" s="29"/>
      <c r="QWH70" s="29"/>
      <c r="QWI70" s="29"/>
      <c r="QWJ70" s="29"/>
      <c r="QWK70" s="29"/>
      <c r="QWL70" s="29"/>
      <c r="QWM70" s="29"/>
      <c r="QWN70" s="29"/>
      <c r="QWO70" s="29"/>
      <c r="QWP70" s="29"/>
      <c r="QWQ70" s="29"/>
      <c r="QWR70" s="29"/>
      <c r="QWS70" s="29"/>
      <c r="QWT70" s="29"/>
      <c r="QWU70" s="29"/>
      <c r="QWV70" s="29"/>
      <c r="QWW70" s="29"/>
      <c r="QWX70" s="29"/>
      <c r="QWY70" s="29"/>
      <c r="QWZ70" s="29"/>
      <c r="QXA70" s="29"/>
      <c r="QXB70" s="29"/>
      <c r="QXC70" s="29"/>
      <c r="QXD70" s="29"/>
      <c r="QXE70" s="29"/>
      <c r="QXF70" s="29"/>
      <c r="QXG70" s="29"/>
      <c r="QXH70" s="29"/>
      <c r="QXI70" s="29"/>
      <c r="QXJ70" s="29"/>
      <c r="QXK70" s="29"/>
      <c r="QXL70" s="29"/>
      <c r="QXM70" s="29"/>
      <c r="QXN70" s="29"/>
      <c r="QXO70" s="29"/>
      <c r="QXP70" s="29"/>
      <c r="QXQ70" s="29"/>
      <c r="QXR70" s="29"/>
      <c r="QXS70" s="29"/>
      <c r="QXT70" s="29"/>
      <c r="QXU70" s="29"/>
      <c r="QXV70" s="29"/>
      <c r="QXW70" s="29"/>
      <c r="QXX70" s="29"/>
      <c r="QXY70" s="29"/>
      <c r="QXZ70" s="29"/>
      <c r="QYA70" s="29"/>
      <c r="QYB70" s="29"/>
      <c r="QYC70" s="29"/>
      <c r="QYD70" s="29"/>
      <c r="QYE70" s="29"/>
      <c r="QYF70" s="29"/>
      <c r="QYG70" s="29"/>
      <c r="QYH70" s="29"/>
      <c r="QYI70" s="29"/>
      <c r="QYJ70" s="29"/>
      <c r="QYK70" s="29"/>
      <c r="QYL70" s="29"/>
      <c r="QYM70" s="29"/>
      <c r="QYN70" s="29"/>
      <c r="QYO70" s="29"/>
      <c r="QYP70" s="29"/>
      <c r="QYQ70" s="29"/>
      <c r="QYR70" s="29"/>
      <c r="QYS70" s="29"/>
      <c r="QYT70" s="29"/>
      <c r="QYU70" s="29"/>
      <c r="QYV70" s="29"/>
      <c r="QYW70" s="29"/>
      <c r="QYX70" s="29"/>
      <c r="QYY70" s="29"/>
      <c r="QYZ70" s="29"/>
      <c r="QZA70" s="29"/>
      <c r="QZB70" s="29"/>
      <c r="QZC70" s="29"/>
      <c r="QZD70" s="29"/>
      <c r="QZE70" s="29"/>
      <c r="QZF70" s="29"/>
      <c r="QZG70" s="29"/>
      <c r="QZH70" s="29"/>
      <c r="QZI70" s="29"/>
      <c r="QZJ70" s="29"/>
      <c r="QZK70" s="29"/>
      <c r="QZL70" s="29"/>
      <c r="QZM70" s="29"/>
      <c r="QZN70" s="29"/>
      <c r="QZO70" s="29"/>
      <c r="QZP70" s="29"/>
      <c r="QZQ70" s="29"/>
      <c r="QZR70" s="29"/>
      <c r="QZS70" s="29"/>
      <c r="QZT70" s="29"/>
      <c r="QZU70" s="29"/>
      <c r="QZV70" s="29"/>
      <c r="QZW70" s="29"/>
      <c r="QZX70" s="29"/>
      <c r="QZY70" s="29"/>
      <c r="QZZ70" s="29"/>
      <c r="RAA70" s="29"/>
      <c r="RAB70" s="29"/>
      <c r="RAC70" s="29"/>
      <c r="RAD70" s="29"/>
      <c r="RAE70" s="29"/>
      <c r="RAF70" s="29"/>
      <c r="RAG70" s="29"/>
      <c r="RAH70" s="29"/>
      <c r="RAI70" s="29"/>
      <c r="RAJ70" s="29"/>
      <c r="RAK70" s="29"/>
      <c r="RAL70" s="29"/>
      <c r="RAM70" s="29"/>
      <c r="RAN70" s="29"/>
      <c r="RAO70" s="29"/>
      <c r="RAP70" s="29"/>
      <c r="RAQ70" s="29"/>
      <c r="RAR70" s="29"/>
      <c r="RAS70" s="29"/>
      <c r="RAT70" s="29"/>
      <c r="RAU70" s="29"/>
      <c r="RAV70" s="29"/>
      <c r="RAW70" s="29"/>
      <c r="RAX70" s="29"/>
      <c r="RAY70" s="29"/>
      <c r="RAZ70" s="29"/>
      <c r="RBA70" s="29"/>
      <c r="RBB70" s="29"/>
      <c r="RBC70" s="29"/>
      <c r="RBD70" s="29"/>
      <c r="RBE70" s="29"/>
      <c r="RBF70" s="29"/>
      <c r="RBG70" s="29"/>
      <c r="RBH70" s="29"/>
      <c r="RBI70" s="29"/>
      <c r="RBJ70" s="29"/>
      <c r="RBK70" s="29"/>
      <c r="RBL70" s="29"/>
      <c r="RBM70" s="29"/>
      <c r="RBN70" s="29"/>
      <c r="RBO70" s="29"/>
      <c r="RBP70" s="29"/>
      <c r="RBQ70" s="29"/>
      <c r="RBR70" s="29"/>
      <c r="RBS70" s="29"/>
      <c r="RBT70" s="29"/>
      <c r="RBU70" s="29"/>
      <c r="RBV70" s="29"/>
      <c r="RBW70" s="29"/>
      <c r="RBX70" s="29"/>
      <c r="RBY70" s="29"/>
      <c r="RBZ70" s="29"/>
      <c r="RCA70" s="29"/>
      <c r="RCB70" s="29"/>
      <c r="RCC70" s="29"/>
      <c r="RCD70" s="29"/>
      <c r="RCE70" s="29"/>
      <c r="RCF70" s="29"/>
      <c r="RCG70" s="29"/>
      <c r="RCH70" s="29"/>
      <c r="RCI70" s="29"/>
      <c r="RCJ70" s="29"/>
      <c r="RCK70" s="29"/>
      <c r="RCL70" s="29"/>
      <c r="RCM70" s="29"/>
      <c r="RCN70" s="29"/>
      <c r="RCO70" s="29"/>
      <c r="RCP70" s="29"/>
      <c r="RCQ70" s="29"/>
      <c r="RCR70" s="29"/>
      <c r="RCS70" s="29"/>
      <c r="RCT70" s="29"/>
      <c r="RCU70" s="29"/>
      <c r="RCV70" s="29"/>
      <c r="RCW70" s="29"/>
      <c r="RCX70" s="29"/>
      <c r="RCY70" s="29"/>
      <c r="RCZ70" s="29"/>
      <c r="RDA70" s="29"/>
      <c r="RDB70" s="29"/>
      <c r="RDC70" s="29"/>
      <c r="RDD70" s="29"/>
      <c r="RDE70" s="29"/>
      <c r="RDF70" s="29"/>
      <c r="RDG70" s="29"/>
      <c r="RDH70" s="29"/>
      <c r="RDI70" s="29"/>
      <c r="RDJ70" s="29"/>
      <c r="RDK70" s="29"/>
      <c r="RDL70" s="29"/>
      <c r="RDM70" s="29"/>
      <c r="RDN70" s="29"/>
      <c r="RDO70" s="29"/>
      <c r="RDP70" s="29"/>
      <c r="RDQ70" s="29"/>
      <c r="RDR70" s="29"/>
      <c r="RDS70" s="29"/>
      <c r="RDT70" s="29"/>
      <c r="RDU70" s="29"/>
      <c r="RDV70" s="29"/>
      <c r="RDW70" s="29"/>
      <c r="RDX70" s="29"/>
      <c r="RDY70" s="29"/>
      <c r="RDZ70" s="29"/>
      <c r="REA70" s="29"/>
      <c r="REB70" s="29"/>
      <c r="REC70" s="29"/>
      <c r="RED70" s="29"/>
      <c r="REE70" s="29"/>
      <c r="REF70" s="29"/>
      <c r="REG70" s="29"/>
      <c r="REH70" s="29"/>
      <c r="REI70" s="29"/>
      <c r="REJ70" s="29"/>
      <c r="REK70" s="29"/>
      <c r="REL70" s="29"/>
      <c r="REM70" s="29"/>
      <c r="REN70" s="29"/>
      <c r="REO70" s="29"/>
      <c r="REP70" s="29"/>
      <c r="REQ70" s="29"/>
      <c r="RER70" s="29"/>
      <c r="RES70" s="29"/>
      <c r="RET70" s="29"/>
      <c r="REU70" s="29"/>
      <c r="REV70" s="29"/>
      <c r="REW70" s="29"/>
      <c r="REX70" s="29"/>
      <c r="REY70" s="29"/>
      <c r="REZ70" s="29"/>
      <c r="RFA70" s="29"/>
      <c r="RFB70" s="29"/>
      <c r="RFC70" s="29"/>
      <c r="RFD70" s="29"/>
      <c r="RFE70" s="29"/>
      <c r="RFF70" s="29"/>
      <c r="RFG70" s="29"/>
      <c r="RFH70" s="29"/>
      <c r="RFI70" s="29"/>
      <c r="RFJ70" s="29"/>
      <c r="RFK70" s="29"/>
      <c r="RFL70" s="29"/>
      <c r="RFM70" s="29"/>
      <c r="RFN70" s="29"/>
      <c r="RFO70" s="29"/>
      <c r="RFP70" s="29"/>
      <c r="RFQ70" s="29"/>
      <c r="RFR70" s="29"/>
      <c r="RFS70" s="29"/>
      <c r="RFT70" s="29"/>
      <c r="RFU70" s="29"/>
      <c r="RFV70" s="29"/>
      <c r="RFW70" s="29"/>
      <c r="RFX70" s="29"/>
      <c r="RFY70" s="29"/>
      <c r="RFZ70" s="29"/>
      <c r="RGA70" s="29"/>
      <c r="RGB70" s="29"/>
      <c r="RGC70" s="29"/>
      <c r="RGD70" s="29"/>
      <c r="RGE70" s="29"/>
      <c r="RGF70" s="29"/>
      <c r="RGG70" s="29"/>
      <c r="RGH70" s="29"/>
      <c r="RGI70" s="29"/>
      <c r="RGJ70" s="29"/>
      <c r="RGK70" s="29"/>
      <c r="RGL70" s="29"/>
      <c r="RGM70" s="29"/>
      <c r="RGN70" s="29"/>
      <c r="RGO70" s="29"/>
      <c r="RGP70" s="29"/>
      <c r="RGQ70" s="29"/>
      <c r="RGR70" s="29"/>
      <c r="RGS70" s="29"/>
      <c r="RGT70" s="29"/>
      <c r="RGU70" s="29"/>
      <c r="RGV70" s="29"/>
      <c r="RGW70" s="29"/>
      <c r="RGX70" s="29"/>
      <c r="RGY70" s="29"/>
      <c r="RGZ70" s="29"/>
      <c r="RHA70" s="29"/>
      <c r="RHB70" s="29"/>
      <c r="RHC70" s="29"/>
      <c r="RHD70" s="29"/>
      <c r="RHE70" s="29"/>
      <c r="RHF70" s="29"/>
      <c r="RHG70" s="29"/>
      <c r="RHH70" s="29"/>
      <c r="RHI70" s="29"/>
      <c r="RHJ70" s="29"/>
      <c r="RHK70" s="29"/>
      <c r="RHL70" s="29"/>
      <c r="RHM70" s="29"/>
      <c r="RHN70" s="29"/>
      <c r="RHO70" s="29"/>
      <c r="RHP70" s="29"/>
      <c r="RHQ70" s="29"/>
      <c r="RHR70" s="29"/>
      <c r="RHS70" s="29"/>
      <c r="RHT70" s="29"/>
      <c r="RHU70" s="29"/>
      <c r="RHV70" s="29"/>
      <c r="RHW70" s="29"/>
      <c r="RHX70" s="29"/>
      <c r="RHY70" s="29"/>
      <c r="RHZ70" s="29"/>
      <c r="RIA70" s="29"/>
      <c r="RIB70" s="29"/>
      <c r="RIC70" s="29"/>
      <c r="RID70" s="29"/>
      <c r="RIE70" s="29"/>
      <c r="RIF70" s="29"/>
      <c r="RIG70" s="29"/>
      <c r="RIH70" s="29"/>
      <c r="RII70" s="29"/>
      <c r="RIJ70" s="29"/>
      <c r="RIK70" s="29"/>
      <c r="RIL70" s="29"/>
      <c r="RIM70" s="29"/>
      <c r="RIN70" s="29"/>
      <c r="RIO70" s="29"/>
      <c r="RIP70" s="29"/>
      <c r="RIQ70" s="29"/>
      <c r="RIR70" s="29"/>
      <c r="RIS70" s="29"/>
      <c r="RIT70" s="29"/>
      <c r="RIU70" s="29"/>
      <c r="RIV70" s="29"/>
      <c r="RIW70" s="29"/>
      <c r="RIX70" s="29"/>
      <c r="RIY70" s="29"/>
      <c r="RIZ70" s="29"/>
      <c r="RJA70" s="29"/>
      <c r="RJB70" s="29"/>
      <c r="RJC70" s="29"/>
      <c r="RJD70" s="29"/>
      <c r="RJE70" s="29"/>
      <c r="RJF70" s="29"/>
      <c r="RJG70" s="29"/>
      <c r="RJH70" s="29"/>
      <c r="RJI70" s="29"/>
      <c r="RJJ70" s="29"/>
      <c r="RJK70" s="29"/>
      <c r="RJL70" s="29"/>
      <c r="RJM70" s="29"/>
      <c r="RJN70" s="29"/>
      <c r="RJO70" s="29"/>
      <c r="RJP70" s="29"/>
      <c r="RJQ70" s="29"/>
      <c r="RJR70" s="29"/>
      <c r="RJS70" s="29"/>
      <c r="RJT70" s="29"/>
      <c r="RJU70" s="29"/>
      <c r="RJV70" s="29"/>
      <c r="RJW70" s="29"/>
      <c r="RJX70" s="29"/>
      <c r="RJY70" s="29"/>
      <c r="RJZ70" s="29"/>
      <c r="RKA70" s="29"/>
      <c r="RKB70" s="29"/>
      <c r="RKC70" s="29"/>
      <c r="RKD70" s="29"/>
      <c r="RKE70" s="29"/>
      <c r="RKF70" s="29"/>
      <c r="RKG70" s="29"/>
      <c r="RKH70" s="29"/>
      <c r="RKI70" s="29"/>
      <c r="RKJ70" s="29"/>
      <c r="RKK70" s="29"/>
      <c r="RKL70" s="29"/>
      <c r="RKM70" s="29"/>
      <c r="RKN70" s="29"/>
      <c r="RKO70" s="29"/>
      <c r="RKP70" s="29"/>
      <c r="RKQ70" s="29"/>
      <c r="RKR70" s="29"/>
      <c r="RKS70" s="29"/>
      <c r="RKT70" s="29"/>
      <c r="RKU70" s="29"/>
      <c r="RKV70" s="29"/>
      <c r="RKW70" s="29"/>
      <c r="RKX70" s="29"/>
      <c r="RKY70" s="29"/>
      <c r="RKZ70" s="29"/>
      <c r="RLA70" s="29"/>
      <c r="RLB70" s="29"/>
      <c r="RLC70" s="29"/>
      <c r="RLD70" s="29"/>
      <c r="RLE70" s="29"/>
      <c r="RLF70" s="29"/>
      <c r="RLG70" s="29"/>
      <c r="RLH70" s="29"/>
      <c r="RLI70" s="29"/>
      <c r="RLJ70" s="29"/>
      <c r="RLK70" s="29"/>
      <c r="RLL70" s="29"/>
      <c r="RLM70" s="29"/>
      <c r="RLN70" s="29"/>
      <c r="RLO70" s="29"/>
      <c r="RLP70" s="29"/>
      <c r="RLQ70" s="29"/>
      <c r="RLR70" s="29"/>
      <c r="RLS70" s="29"/>
      <c r="RLT70" s="29"/>
      <c r="RLU70" s="29"/>
      <c r="RLV70" s="29"/>
      <c r="RLW70" s="29"/>
      <c r="RLX70" s="29"/>
      <c r="RLY70" s="29"/>
      <c r="RLZ70" s="29"/>
      <c r="RMA70" s="29"/>
      <c r="RMB70" s="29"/>
      <c r="RMC70" s="29"/>
      <c r="RMD70" s="29"/>
      <c r="RME70" s="29"/>
      <c r="RMF70" s="29"/>
      <c r="RMG70" s="29"/>
      <c r="RMH70" s="29"/>
      <c r="RMI70" s="29"/>
      <c r="RMJ70" s="29"/>
      <c r="RMK70" s="29"/>
      <c r="RML70" s="29"/>
      <c r="RMM70" s="29"/>
      <c r="RMN70" s="29"/>
      <c r="RMO70" s="29"/>
      <c r="RMP70" s="29"/>
      <c r="RMQ70" s="29"/>
      <c r="RMR70" s="29"/>
      <c r="RMS70" s="29"/>
      <c r="RMT70" s="29"/>
      <c r="RMU70" s="29"/>
      <c r="RMV70" s="29"/>
      <c r="RMW70" s="29"/>
      <c r="RMX70" s="29"/>
      <c r="RMY70" s="29"/>
      <c r="RMZ70" s="29"/>
      <c r="RNA70" s="29"/>
      <c r="RNB70" s="29"/>
      <c r="RNC70" s="29"/>
      <c r="RND70" s="29"/>
      <c r="RNE70" s="29"/>
      <c r="RNF70" s="29"/>
      <c r="RNG70" s="29"/>
      <c r="RNH70" s="29"/>
      <c r="RNI70" s="29"/>
      <c r="RNJ70" s="29"/>
      <c r="RNK70" s="29"/>
      <c r="RNL70" s="29"/>
      <c r="RNM70" s="29"/>
      <c r="RNN70" s="29"/>
      <c r="RNO70" s="29"/>
      <c r="RNP70" s="29"/>
      <c r="RNQ70" s="29"/>
      <c r="RNR70" s="29"/>
      <c r="RNS70" s="29"/>
      <c r="RNT70" s="29"/>
      <c r="RNU70" s="29"/>
      <c r="RNV70" s="29"/>
      <c r="RNW70" s="29"/>
      <c r="RNX70" s="29"/>
      <c r="RNY70" s="29"/>
      <c r="RNZ70" s="29"/>
      <c r="ROA70" s="29"/>
      <c r="ROB70" s="29"/>
      <c r="ROC70" s="29"/>
      <c r="ROD70" s="29"/>
      <c r="ROE70" s="29"/>
      <c r="ROF70" s="29"/>
      <c r="ROG70" s="29"/>
      <c r="ROH70" s="29"/>
      <c r="ROI70" s="29"/>
      <c r="ROJ70" s="29"/>
      <c r="ROK70" s="29"/>
      <c r="ROL70" s="29"/>
      <c r="ROM70" s="29"/>
      <c r="RON70" s="29"/>
      <c r="ROO70" s="29"/>
      <c r="ROP70" s="29"/>
      <c r="ROQ70" s="29"/>
      <c r="ROR70" s="29"/>
      <c r="ROS70" s="29"/>
      <c r="ROT70" s="29"/>
      <c r="ROU70" s="29"/>
      <c r="ROV70" s="29"/>
      <c r="ROW70" s="29"/>
      <c r="ROX70" s="29"/>
      <c r="ROY70" s="29"/>
      <c r="ROZ70" s="29"/>
      <c r="RPA70" s="29"/>
      <c r="RPB70" s="29"/>
      <c r="RPC70" s="29"/>
      <c r="RPD70" s="29"/>
      <c r="RPE70" s="29"/>
      <c r="RPF70" s="29"/>
      <c r="RPG70" s="29"/>
      <c r="RPH70" s="29"/>
      <c r="RPI70" s="29"/>
      <c r="RPJ70" s="29"/>
      <c r="RPK70" s="29"/>
      <c r="RPL70" s="29"/>
      <c r="RPM70" s="29"/>
      <c r="RPN70" s="29"/>
      <c r="RPO70" s="29"/>
      <c r="RPP70" s="29"/>
      <c r="RPQ70" s="29"/>
      <c r="RPR70" s="29"/>
      <c r="RPS70" s="29"/>
      <c r="RPT70" s="29"/>
      <c r="RPU70" s="29"/>
      <c r="RPV70" s="29"/>
      <c r="RPW70" s="29"/>
      <c r="RPX70" s="29"/>
      <c r="RPY70" s="29"/>
      <c r="RPZ70" s="29"/>
      <c r="RQA70" s="29"/>
      <c r="RQB70" s="29"/>
      <c r="RQC70" s="29"/>
      <c r="RQD70" s="29"/>
      <c r="RQE70" s="29"/>
      <c r="RQF70" s="29"/>
      <c r="RQG70" s="29"/>
      <c r="RQH70" s="29"/>
      <c r="RQI70" s="29"/>
      <c r="RQJ70" s="29"/>
      <c r="RQK70" s="29"/>
      <c r="RQL70" s="29"/>
      <c r="RQM70" s="29"/>
      <c r="RQN70" s="29"/>
      <c r="RQO70" s="29"/>
      <c r="RQP70" s="29"/>
      <c r="RQQ70" s="29"/>
      <c r="RQR70" s="29"/>
      <c r="RQS70" s="29"/>
      <c r="RQT70" s="29"/>
      <c r="RQU70" s="29"/>
      <c r="RQV70" s="29"/>
      <c r="RQW70" s="29"/>
      <c r="RQX70" s="29"/>
      <c r="RQY70" s="29"/>
      <c r="RQZ70" s="29"/>
      <c r="RRA70" s="29"/>
      <c r="RRB70" s="29"/>
      <c r="RRC70" s="29"/>
      <c r="RRD70" s="29"/>
      <c r="RRE70" s="29"/>
      <c r="RRF70" s="29"/>
      <c r="RRG70" s="29"/>
      <c r="RRH70" s="29"/>
      <c r="RRI70" s="29"/>
      <c r="RRJ70" s="29"/>
      <c r="RRK70" s="29"/>
      <c r="RRL70" s="29"/>
      <c r="RRM70" s="29"/>
      <c r="RRN70" s="29"/>
      <c r="RRO70" s="29"/>
      <c r="RRP70" s="29"/>
      <c r="RRQ70" s="29"/>
      <c r="RRR70" s="29"/>
      <c r="RRS70" s="29"/>
      <c r="RRT70" s="29"/>
      <c r="RRU70" s="29"/>
      <c r="RRV70" s="29"/>
      <c r="RRW70" s="29"/>
      <c r="RRX70" s="29"/>
      <c r="RRY70" s="29"/>
      <c r="RRZ70" s="29"/>
      <c r="RSA70" s="29"/>
      <c r="RSB70" s="29"/>
      <c r="RSC70" s="29"/>
      <c r="RSD70" s="29"/>
      <c r="RSE70" s="29"/>
      <c r="RSF70" s="29"/>
      <c r="RSG70" s="29"/>
      <c r="RSH70" s="29"/>
      <c r="RSI70" s="29"/>
      <c r="RSJ70" s="29"/>
      <c r="RSK70" s="29"/>
      <c r="RSL70" s="29"/>
      <c r="RSM70" s="29"/>
      <c r="RSN70" s="29"/>
      <c r="RSO70" s="29"/>
      <c r="RSP70" s="29"/>
      <c r="RSQ70" s="29"/>
      <c r="RSR70" s="29"/>
      <c r="RSS70" s="29"/>
      <c r="RST70" s="29"/>
      <c r="RSU70" s="29"/>
      <c r="RSV70" s="29"/>
      <c r="RSW70" s="29"/>
      <c r="RSX70" s="29"/>
      <c r="RSY70" s="29"/>
      <c r="RSZ70" s="29"/>
      <c r="RTA70" s="29"/>
      <c r="RTB70" s="29"/>
      <c r="RTC70" s="29"/>
      <c r="RTD70" s="29"/>
      <c r="RTE70" s="29"/>
      <c r="RTF70" s="29"/>
      <c r="RTG70" s="29"/>
      <c r="RTH70" s="29"/>
      <c r="RTI70" s="29"/>
      <c r="RTJ70" s="29"/>
      <c r="RTK70" s="29"/>
      <c r="RTL70" s="29"/>
      <c r="RTM70" s="29"/>
      <c r="RTN70" s="29"/>
      <c r="RTO70" s="29"/>
      <c r="RTP70" s="29"/>
      <c r="RTQ70" s="29"/>
      <c r="RTR70" s="29"/>
      <c r="RTS70" s="29"/>
      <c r="RTT70" s="29"/>
      <c r="RTU70" s="29"/>
      <c r="RTV70" s="29"/>
      <c r="RTW70" s="29"/>
      <c r="RTX70" s="29"/>
      <c r="RTY70" s="29"/>
      <c r="RTZ70" s="29"/>
      <c r="RUA70" s="29"/>
      <c r="RUB70" s="29"/>
      <c r="RUC70" s="29"/>
      <c r="RUD70" s="29"/>
      <c r="RUE70" s="29"/>
      <c r="RUF70" s="29"/>
      <c r="RUG70" s="29"/>
      <c r="RUH70" s="29"/>
      <c r="RUI70" s="29"/>
      <c r="RUJ70" s="29"/>
      <c r="RUK70" s="29"/>
      <c r="RUL70" s="29"/>
      <c r="RUM70" s="29"/>
      <c r="RUN70" s="29"/>
      <c r="RUO70" s="29"/>
      <c r="RUP70" s="29"/>
      <c r="RUQ70" s="29"/>
      <c r="RUR70" s="29"/>
      <c r="RUS70" s="29"/>
      <c r="RUT70" s="29"/>
      <c r="RUU70" s="29"/>
      <c r="RUV70" s="29"/>
      <c r="RUW70" s="29"/>
      <c r="RUX70" s="29"/>
      <c r="RUY70" s="29"/>
      <c r="RUZ70" s="29"/>
      <c r="RVA70" s="29"/>
      <c r="RVB70" s="29"/>
      <c r="RVC70" s="29"/>
      <c r="RVD70" s="29"/>
      <c r="RVE70" s="29"/>
      <c r="RVF70" s="29"/>
      <c r="RVG70" s="29"/>
      <c r="RVH70" s="29"/>
      <c r="RVI70" s="29"/>
      <c r="RVJ70" s="29"/>
      <c r="RVK70" s="29"/>
      <c r="RVL70" s="29"/>
      <c r="RVM70" s="29"/>
      <c r="RVN70" s="29"/>
      <c r="RVO70" s="29"/>
      <c r="RVP70" s="29"/>
      <c r="RVQ70" s="29"/>
      <c r="RVR70" s="29"/>
      <c r="RVS70" s="29"/>
      <c r="RVT70" s="29"/>
      <c r="RVU70" s="29"/>
      <c r="RVV70" s="29"/>
      <c r="RVW70" s="29"/>
      <c r="RVX70" s="29"/>
      <c r="RVY70" s="29"/>
      <c r="RVZ70" s="29"/>
      <c r="RWA70" s="29"/>
      <c r="RWB70" s="29"/>
      <c r="RWC70" s="29"/>
      <c r="RWD70" s="29"/>
      <c r="RWE70" s="29"/>
      <c r="RWF70" s="29"/>
      <c r="RWG70" s="29"/>
      <c r="RWH70" s="29"/>
      <c r="RWI70" s="29"/>
      <c r="RWJ70" s="29"/>
      <c r="RWK70" s="29"/>
      <c r="RWL70" s="29"/>
      <c r="RWM70" s="29"/>
      <c r="RWN70" s="29"/>
      <c r="RWO70" s="29"/>
      <c r="RWP70" s="29"/>
      <c r="RWQ70" s="29"/>
      <c r="RWR70" s="29"/>
      <c r="RWS70" s="29"/>
      <c r="RWT70" s="29"/>
      <c r="RWU70" s="29"/>
      <c r="RWV70" s="29"/>
      <c r="RWW70" s="29"/>
      <c r="RWX70" s="29"/>
      <c r="RWY70" s="29"/>
      <c r="RWZ70" s="29"/>
      <c r="RXA70" s="29"/>
      <c r="RXB70" s="29"/>
      <c r="RXC70" s="29"/>
      <c r="RXD70" s="29"/>
      <c r="RXE70" s="29"/>
      <c r="RXF70" s="29"/>
      <c r="RXG70" s="29"/>
      <c r="RXH70" s="29"/>
      <c r="RXI70" s="29"/>
      <c r="RXJ70" s="29"/>
      <c r="RXK70" s="29"/>
      <c r="RXL70" s="29"/>
      <c r="RXM70" s="29"/>
      <c r="RXN70" s="29"/>
      <c r="RXO70" s="29"/>
      <c r="RXP70" s="29"/>
      <c r="RXQ70" s="29"/>
      <c r="RXR70" s="29"/>
      <c r="RXS70" s="29"/>
      <c r="RXT70" s="29"/>
      <c r="RXU70" s="29"/>
      <c r="RXV70" s="29"/>
      <c r="RXW70" s="29"/>
      <c r="RXX70" s="29"/>
      <c r="RXY70" s="29"/>
      <c r="RXZ70" s="29"/>
      <c r="RYA70" s="29"/>
      <c r="RYB70" s="29"/>
      <c r="RYC70" s="29"/>
      <c r="RYD70" s="29"/>
      <c r="RYE70" s="29"/>
      <c r="RYF70" s="29"/>
      <c r="RYG70" s="29"/>
      <c r="RYH70" s="29"/>
      <c r="RYI70" s="29"/>
      <c r="RYJ70" s="29"/>
      <c r="RYK70" s="29"/>
      <c r="RYL70" s="29"/>
      <c r="RYM70" s="29"/>
      <c r="RYN70" s="29"/>
      <c r="RYO70" s="29"/>
      <c r="RYP70" s="29"/>
      <c r="RYQ70" s="29"/>
      <c r="RYR70" s="29"/>
      <c r="RYS70" s="29"/>
      <c r="RYT70" s="29"/>
      <c r="RYU70" s="29"/>
      <c r="RYV70" s="29"/>
      <c r="RYW70" s="29"/>
      <c r="RYX70" s="29"/>
      <c r="RYY70" s="29"/>
      <c r="RYZ70" s="29"/>
      <c r="RZA70" s="29"/>
      <c r="RZB70" s="29"/>
      <c r="RZC70" s="29"/>
      <c r="RZD70" s="29"/>
      <c r="RZE70" s="29"/>
      <c r="RZF70" s="29"/>
      <c r="RZG70" s="29"/>
      <c r="RZH70" s="29"/>
      <c r="RZI70" s="29"/>
      <c r="RZJ70" s="29"/>
      <c r="RZK70" s="29"/>
      <c r="RZL70" s="29"/>
      <c r="RZM70" s="29"/>
      <c r="RZN70" s="29"/>
      <c r="RZO70" s="29"/>
      <c r="RZP70" s="29"/>
      <c r="RZQ70" s="29"/>
      <c r="RZR70" s="29"/>
      <c r="RZS70" s="29"/>
      <c r="RZT70" s="29"/>
      <c r="RZU70" s="29"/>
      <c r="RZV70" s="29"/>
      <c r="RZW70" s="29"/>
      <c r="RZX70" s="29"/>
      <c r="RZY70" s="29"/>
      <c r="RZZ70" s="29"/>
      <c r="SAA70" s="29"/>
      <c r="SAB70" s="29"/>
      <c r="SAC70" s="29"/>
      <c r="SAD70" s="29"/>
      <c r="SAE70" s="29"/>
      <c r="SAF70" s="29"/>
      <c r="SAG70" s="29"/>
      <c r="SAH70" s="29"/>
      <c r="SAI70" s="29"/>
      <c r="SAJ70" s="29"/>
      <c r="SAK70" s="29"/>
      <c r="SAL70" s="29"/>
      <c r="SAM70" s="29"/>
      <c r="SAN70" s="29"/>
      <c r="SAO70" s="29"/>
      <c r="SAP70" s="29"/>
      <c r="SAQ70" s="29"/>
      <c r="SAR70" s="29"/>
      <c r="SAS70" s="29"/>
      <c r="SAT70" s="29"/>
      <c r="SAU70" s="29"/>
      <c r="SAV70" s="29"/>
      <c r="SAW70" s="29"/>
      <c r="SAX70" s="29"/>
      <c r="SAY70" s="29"/>
      <c r="SAZ70" s="29"/>
      <c r="SBA70" s="29"/>
      <c r="SBB70" s="29"/>
      <c r="SBC70" s="29"/>
      <c r="SBD70" s="29"/>
      <c r="SBE70" s="29"/>
      <c r="SBF70" s="29"/>
      <c r="SBG70" s="29"/>
      <c r="SBH70" s="29"/>
      <c r="SBI70" s="29"/>
      <c r="SBJ70" s="29"/>
      <c r="SBK70" s="29"/>
      <c r="SBL70" s="29"/>
      <c r="SBM70" s="29"/>
      <c r="SBN70" s="29"/>
      <c r="SBO70" s="29"/>
      <c r="SBP70" s="29"/>
      <c r="SBQ70" s="29"/>
      <c r="SBR70" s="29"/>
      <c r="SBS70" s="29"/>
      <c r="SBT70" s="29"/>
      <c r="SBU70" s="29"/>
      <c r="SBV70" s="29"/>
      <c r="SBW70" s="29"/>
      <c r="SBX70" s="29"/>
      <c r="SBY70" s="29"/>
      <c r="SBZ70" s="29"/>
      <c r="SCA70" s="29"/>
      <c r="SCB70" s="29"/>
      <c r="SCC70" s="29"/>
      <c r="SCD70" s="29"/>
      <c r="SCE70" s="29"/>
      <c r="SCF70" s="29"/>
      <c r="SCG70" s="29"/>
      <c r="SCH70" s="29"/>
      <c r="SCI70" s="29"/>
      <c r="SCJ70" s="29"/>
      <c r="SCK70" s="29"/>
      <c r="SCL70" s="29"/>
      <c r="SCM70" s="29"/>
      <c r="SCN70" s="29"/>
      <c r="SCO70" s="29"/>
      <c r="SCP70" s="29"/>
      <c r="SCQ70" s="29"/>
      <c r="SCR70" s="29"/>
      <c r="SCS70" s="29"/>
      <c r="SCT70" s="29"/>
      <c r="SCU70" s="29"/>
      <c r="SCV70" s="29"/>
      <c r="SCW70" s="29"/>
      <c r="SCX70" s="29"/>
      <c r="SCY70" s="29"/>
      <c r="SCZ70" s="29"/>
      <c r="SDA70" s="29"/>
      <c r="SDB70" s="29"/>
      <c r="SDC70" s="29"/>
      <c r="SDD70" s="29"/>
      <c r="SDE70" s="29"/>
      <c r="SDF70" s="29"/>
      <c r="SDG70" s="29"/>
      <c r="SDH70" s="29"/>
      <c r="SDI70" s="29"/>
      <c r="SDJ70" s="29"/>
      <c r="SDK70" s="29"/>
      <c r="SDL70" s="29"/>
      <c r="SDM70" s="29"/>
      <c r="SDN70" s="29"/>
      <c r="SDO70" s="29"/>
      <c r="SDP70" s="29"/>
      <c r="SDQ70" s="29"/>
      <c r="SDR70" s="29"/>
      <c r="SDS70" s="29"/>
      <c r="SDT70" s="29"/>
      <c r="SDU70" s="29"/>
      <c r="SDV70" s="29"/>
      <c r="SDW70" s="29"/>
      <c r="SDX70" s="29"/>
      <c r="SDY70" s="29"/>
      <c r="SDZ70" s="29"/>
      <c r="SEA70" s="29"/>
      <c r="SEB70" s="29"/>
      <c r="SEC70" s="29"/>
      <c r="SED70" s="29"/>
      <c r="SEE70" s="29"/>
      <c r="SEF70" s="29"/>
      <c r="SEG70" s="29"/>
      <c r="SEH70" s="29"/>
      <c r="SEI70" s="29"/>
      <c r="SEJ70" s="29"/>
      <c r="SEK70" s="29"/>
      <c r="SEL70" s="29"/>
      <c r="SEM70" s="29"/>
      <c r="SEN70" s="29"/>
      <c r="SEO70" s="29"/>
      <c r="SEP70" s="29"/>
      <c r="SEQ70" s="29"/>
      <c r="SER70" s="29"/>
      <c r="SES70" s="29"/>
      <c r="SET70" s="29"/>
      <c r="SEU70" s="29"/>
      <c r="SEV70" s="29"/>
      <c r="SEW70" s="29"/>
      <c r="SEX70" s="29"/>
      <c r="SEY70" s="29"/>
      <c r="SEZ70" s="29"/>
      <c r="SFA70" s="29"/>
      <c r="SFB70" s="29"/>
      <c r="SFC70" s="29"/>
      <c r="SFD70" s="29"/>
      <c r="SFE70" s="29"/>
      <c r="SFF70" s="29"/>
      <c r="SFG70" s="29"/>
      <c r="SFH70" s="29"/>
      <c r="SFI70" s="29"/>
      <c r="SFJ70" s="29"/>
      <c r="SFK70" s="29"/>
      <c r="SFL70" s="29"/>
      <c r="SFM70" s="29"/>
      <c r="SFN70" s="29"/>
      <c r="SFO70" s="29"/>
      <c r="SFP70" s="29"/>
      <c r="SFQ70" s="29"/>
      <c r="SFR70" s="29"/>
      <c r="SFS70" s="29"/>
      <c r="SFT70" s="29"/>
      <c r="SFU70" s="29"/>
      <c r="SFV70" s="29"/>
      <c r="SFW70" s="29"/>
      <c r="SFX70" s="29"/>
      <c r="SFY70" s="29"/>
      <c r="SFZ70" s="29"/>
      <c r="SGA70" s="29"/>
      <c r="SGB70" s="29"/>
      <c r="SGC70" s="29"/>
      <c r="SGD70" s="29"/>
      <c r="SGE70" s="29"/>
      <c r="SGF70" s="29"/>
      <c r="SGG70" s="29"/>
      <c r="SGH70" s="29"/>
      <c r="SGI70" s="29"/>
      <c r="SGJ70" s="29"/>
      <c r="SGK70" s="29"/>
      <c r="SGL70" s="29"/>
      <c r="SGM70" s="29"/>
      <c r="SGN70" s="29"/>
      <c r="SGO70" s="29"/>
      <c r="SGP70" s="29"/>
      <c r="SGQ70" s="29"/>
      <c r="SGR70" s="29"/>
      <c r="SGS70" s="29"/>
      <c r="SGT70" s="29"/>
      <c r="SGU70" s="29"/>
      <c r="SGV70" s="29"/>
      <c r="SGW70" s="29"/>
      <c r="SGX70" s="29"/>
      <c r="SGY70" s="29"/>
      <c r="SGZ70" s="29"/>
      <c r="SHA70" s="29"/>
      <c r="SHB70" s="29"/>
      <c r="SHC70" s="29"/>
      <c r="SHD70" s="29"/>
      <c r="SHE70" s="29"/>
      <c r="SHF70" s="29"/>
      <c r="SHG70" s="29"/>
      <c r="SHH70" s="29"/>
      <c r="SHI70" s="29"/>
      <c r="SHJ70" s="29"/>
      <c r="SHK70" s="29"/>
      <c r="SHL70" s="29"/>
      <c r="SHM70" s="29"/>
      <c r="SHN70" s="29"/>
      <c r="SHO70" s="29"/>
      <c r="SHP70" s="29"/>
      <c r="SHQ70" s="29"/>
      <c r="SHR70" s="29"/>
      <c r="SHS70" s="29"/>
      <c r="SHT70" s="29"/>
      <c r="SHU70" s="29"/>
      <c r="SHV70" s="29"/>
      <c r="SHW70" s="29"/>
      <c r="SHX70" s="29"/>
      <c r="SHY70" s="29"/>
      <c r="SHZ70" s="29"/>
      <c r="SIA70" s="29"/>
      <c r="SIB70" s="29"/>
      <c r="SIC70" s="29"/>
      <c r="SID70" s="29"/>
      <c r="SIE70" s="29"/>
      <c r="SIF70" s="29"/>
      <c r="SIG70" s="29"/>
      <c r="SIH70" s="29"/>
      <c r="SII70" s="29"/>
      <c r="SIJ70" s="29"/>
      <c r="SIK70" s="29"/>
      <c r="SIL70" s="29"/>
      <c r="SIM70" s="29"/>
      <c r="SIN70" s="29"/>
      <c r="SIO70" s="29"/>
      <c r="SIP70" s="29"/>
      <c r="SIQ70" s="29"/>
      <c r="SIR70" s="29"/>
      <c r="SIS70" s="29"/>
      <c r="SIT70" s="29"/>
      <c r="SIU70" s="29"/>
      <c r="SIV70" s="29"/>
      <c r="SIW70" s="29"/>
      <c r="SIX70" s="29"/>
      <c r="SIY70" s="29"/>
      <c r="SIZ70" s="29"/>
      <c r="SJA70" s="29"/>
      <c r="SJB70" s="29"/>
      <c r="SJC70" s="29"/>
      <c r="SJD70" s="29"/>
      <c r="SJE70" s="29"/>
      <c r="SJF70" s="29"/>
      <c r="SJG70" s="29"/>
      <c r="SJH70" s="29"/>
      <c r="SJI70" s="29"/>
      <c r="SJJ70" s="29"/>
      <c r="SJK70" s="29"/>
      <c r="SJL70" s="29"/>
      <c r="SJM70" s="29"/>
      <c r="SJN70" s="29"/>
      <c r="SJO70" s="29"/>
      <c r="SJP70" s="29"/>
      <c r="SJQ70" s="29"/>
      <c r="SJR70" s="29"/>
      <c r="SJS70" s="29"/>
      <c r="SJT70" s="29"/>
      <c r="SJU70" s="29"/>
      <c r="SJV70" s="29"/>
      <c r="SJW70" s="29"/>
      <c r="SJX70" s="29"/>
      <c r="SJY70" s="29"/>
      <c r="SJZ70" s="29"/>
      <c r="SKA70" s="29"/>
      <c r="SKB70" s="29"/>
      <c r="SKC70" s="29"/>
      <c r="SKD70" s="29"/>
      <c r="SKE70" s="29"/>
      <c r="SKF70" s="29"/>
      <c r="SKG70" s="29"/>
      <c r="SKH70" s="29"/>
      <c r="SKI70" s="29"/>
      <c r="SKJ70" s="29"/>
      <c r="SKK70" s="29"/>
      <c r="SKL70" s="29"/>
      <c r="SKM70" s="29"/>
      <c r="SKN70" s="29"/>
      <c r="SKO70" s="29"/>
      <c r="SKP70" s="29"/>
      <c r="SKQ70" s="29"/>
      <c r="SKR70" s="29"/>
      <c r="SKS70" s="29"/>
      <c r="SKT70" s="29"/>
      <c r="SKU70" s="29"/>
      <c r="SKV70" s="29"/>
      <c r="SKW70" s="29"/>
      <c r="SKX70" s="29"/>
      <c r="SKY70" s="29"/>
      <c r="SKZ70" s="29"/>
      <c r="SLA70" s="29"/>
      <c r="SLB70" s="29"/>
      <c r="SLC70" s="29"/>
      <c r="SLD70" s="29"/>
      <c r="SLE70" s="29"/>
      <c r="SLF70" s="29"/>
      <c r="SLG70" s="29"/>
      <c r="SLH70" s="29"/>
      <c r="SLI70" s="29"/>
      <c r="SLJ70" s="29"/>
      <c r="SLK70" s="29"/>
      <c r="SLL70" s="29"/>
      <c r="SLM70" s="29"/>
      <c r="SLN70" s="29"/>
      <c r="SLO70" s="29"/>
      <c r="SLP70" s="29"/>
      <c r="SLQ70" s="29"/>
      <c r="SLR70" s="29"/>
      <c r="SLS70" s="29"/>
      <c r="SLT70" s="29"/>
      <c r="SLU70" s="29"/>
      <c r="SLV70" s="29"/>
      <c r="SLW70" s="29"/>
      <c r="SLX70" s="29"/>
      <c r="SLY70" s="29"/>
      <c r="SLZ70" s="29"/>
      <c r="SMA70" s="29"/>
      <c r="SMB70" s="29"/>
      <c r="SMC70" s="29"/>
      <c r="SMD70" s="29"/>
      <c r="SME70" s="29"/>
      <c r="SMF70" s="29"/>
      <c r="SMG70" s="29"/>
      <c r="SMH70" s="29"/>
      <c r="SMI70" s="29"/>
      <c r="SMJ70" s="29"/>
      <c r="SMK70" s="29"/>
      <c r="SML70" s="29"/>
      <c r="SMM70" s="29"/>
      <c r="SMN70" s="29"/>
      <c r="SMO70" s="29"/>
      <c r="SMP70" s="29"/>
      <c r="SMQ70" s="29"/>
      <c r="SMR70" s="29"/>
      <c r="SMS70" s="29"/>
      <c r="SMT70" s="29"/>
      <c r="SMU70" s="29"/>
      <c r="SMV70" s="29"/>
      <c r="SMW70" s="29"/>
      <c r="SMX70" s="29"/>
      <c r="SMY70" s="29"/>
      <c r="SMZ70" s="29"/>
      <c r="SNA70" s="29"/>
      <c r="SNB70" s="29"/>
      <c r="SNC70" s="29"/>
      <c r="SND70" s="29"/>
      <c r="SNE70" s="29"/>
      <c r="SNF70" s="29"/>
      <c r="SNG70" s="29"/>
      <c r="SNH70" s="29"/>
      <c r="SNI70" s="29"/>
      <c r="SNJ70" s="29"/>
      <c r="SNK70" s="29"/>
      <c r="SNL70" s="29"/>
      <c r="SNM70" s="29"/>
      <c r="SNN70" s="29"/>
      <c r="SNO70" s="29"/>
      <c r="SNP70" s="29"/>
      <c r="SNQ70" s="29"/>
      <c r="SNR70" s="29"/>
      <c r="SNS70" s="29"/>
      <c r="SNT70" s="29"/>
      <c r="SNU70" s="29"/>
      <c r="SNV70" s="29"/>
      <c r="SNW70" s="29"/>
      <c r="SNX70" s="29"/>
      <c r="SNY70" s="29"/>
      <c r="SNZ70" s="29"/>
      <c r="SOA70" s="29"/>
      <c r="SOB70" s="29"/>
      <c r="SOC70" s="29"/>
      <c r="SOD70" s="29"/>
      <c r="SOE70" s="29"/>
      <c r="SOF70" s="29"/>
      <c r="SOG70" s="29"/>
      <c r="SOH70" s="29"/>
      <c r="SOI70" s="29"/>
      <c r="SOJ70" s="29"/>
      <c r="SOK70" s="29"/>
      <c r="SOL70" s="29"/>
      <c r="SOM70" s="29"/>
      <c r="SON70" s="29"/>
      <c r="SOO70" s="29"/>
      <c r="SOP70" s="29"/>
      <c r="SOQ70" s="29"/>
      <c r="SOR70" s="29"/>
      <c r="SOS70" s="29"/>
      <c r="SOT70" s="29"/>
      <c r="SOU70" s="29"/>
      <c r="SOV70" s="29"/>
      <c r="SOW70" s="29"/>
      <c r="SOX70" s="29"/>
      <c r="SOY70" s="29"/>
      <c r="SOZ70" s="29"/>
      <c r="SPA70" s="29"/>
      <c r="SPB70" s="29"/>
      <c r="SPC70" s="29"/>
      <c r="SPD70" s="29"/>
      <c r="SPE70" s="29"/>
      <c r="SPF70" s="29"/>
      <c r="SPG70" s="29"/>
      <c r="SPH70" s="29"/>
      <c r="SPI70" s="29"/>
      <c r="SPJ70" s="29"/>
      <c r="SPK70" s="29"/>
      <c r="SPL70" s="29"/>
      <c r="SPM70" s="29"/>
      <c r="SPN70" s="29"/>
      <c r="SPO70" s="29"/>
      <c r="SPP70" s="29"/>
      <c r="SPQ70" s="29"/>
      <c r="SPR70" s="29"/>
      <c r="SPS70" s="29"/>
      <c r="SPT70" s="29"/>
      <c r="SPU70" s="29"/>
      <c r="SPV70" s="29"/>
      <c r="SPW70" s="29"/>
      <c r="SPX70" s="29"/>
      <c r="SPY70" s="29"/>
      <c r="SPZ70" s="29"/>
      <c r="SQA70" s="29"/>
      <c r="SQB70" s="29"/>
      <c r="SQC70" s="29"/>
      <c r="SQD70" s="29"/>
      <c r="SQE70" s="29"/>
      <c r="SQF70" s="29"/>
      <c r="SQG70" s="29"/>
      <c r="SQH70" s="29"/>
      <c r="SQI70" s="29"/>
      <c r="SQJ70" s="29"/>
      <c r="SQK70" s="29"/>
      <c r="SQL70" s="29"/>
      <c r="SQM70" s="29"/>
      <c r="SQN70" s="29"/>
      <c r="SQO70" s="29"/>
      <c r="SQP70" s="29"/>
      <c r="SQQ70" s="29"/>
      <c r="SQR70" s="29"/>
      <c r="SQS70" s="29"/>
      <c r="SQT70" s="29"/>
      <c r="SQU70" s="29"/>
      <c r="SQV70" s="29"/>
      <c r="SQW70" s="29"/>
      <c r="SQX70" s="29"/>
      <c r="SQY70" s="29"/>
      <c r="SQZ70" s="29"/>
      <c r="SRA70" s="29"/>
      <c r="SRB70" s="29"/>
      <c r="SRC70" s="29"/>
      <c r="SRD70" s="29"/>
      <c r="SRE70" s="29"/>
      <c r="SRF70" s="29"/>
      <c r="SRG70" s="29"/>
      <c r="SRH70" s="29"/>
      <c r="SRI70" s="29"/>
      <c r="SRJ70" s="29"/>
      <c r="SRK70" s="29"/>
      <c r="SRL70" s="29"/>
      <c r="SRM70" s="29"/>
      <c r="SRN70" s="29"/>
      <c r="SRO70" s="29"/>
      <c r="SRP70" s="29"/>
      <c r="SRQ70" s="29"/>
      <c r="SRR70" s="29"/>
      <c r="SRS70" s="29"/>
      <c r="SRT70" s="29"/>
      <c r="SRU70" s="29"/>
      <c r="SRV70" s="29"/>
      <c r="SRW70" s="29"/>
      <c r="SRX70" s="29"/>
      <c r="SRY70" s="29"/>
      <c r="SRZ70" s="29"/>
      <c r="SSA70" s="29"/>
      <c r="SSB70" s="29"/>
      <c r="SSC70" s="29"/>
      <c r="SSD70" s="29"/>
      <c r="SSE70" s="29"/>
      <c r="SSF70" s="29"/>
      <c r="SSG70" s="29"/>
      <c r="SSH70" s="29"/>
      <c r="SSI70" s="29"/>
      <c r="SSJ70" s="29"/>
      <c r="SSK70" s="29"/>
      <c r="SSL70" s="29"/>
      <c r="SSM70" s="29"/>
      <c r="SSN70" s="29"/>
      <c r="SSO70" s="29"/>
      <c r="SSP70" s="29"/>
      <c r="SSQ70" s="29"/>
      <c r="SSR70" s="29"/>
      <c r="SSS70" s="29"/>
      <c r="SST70" s="29"/>
      <c r="SSU70" s="29"/>
      <c r="SSV70" s="29"/>
      <c r="SSW70" s="29"/>
      <c r="SSX70" s="29"/>
      <c r="SSY70" s="29"/>
      <c r="SSZ70" s="29"/>
      <c r="STA70" s="29"/>
      <c r="STB70" s="29"/>
      <c r="STC70" s="29"/>
      <c r="STD70" s="29"/>
      <c r="STE70" s="29"/>
      <c r="STF70" s="29"/>
      <c r="STG70" s="29"/>
      <c r="STH70" s="29"/>
      <c r="STI70" s="29"/>
      <c r="STJ70" s="29"/>
      <c r="STK70" s="29"/>
      <c r="STL70" s="29"/>
      <c r="STM70" s="29"/>
      <c r="STN70" s="29"/>
      <c r="STO70" s="29"/>
      <c r="STP70" s="29"/>
      <c r="STQ70" s="29"/>
      <c r="STR70" s="29"/>
      <c r="STS70" s="29"/>
      <c r="STT70" s="29"/>
      <c r="STU70" s="29"/>
      <c r="STV70" s="29"/>
      <c r="STW70" s="29"/>
      <c r="STX70" s="29"/>
      <c r="STY70" s="29"/>
      <c r="STZ70" s="29"/>
      <c r="SUA70" s="29"/>
      <c r="SUB70" s="29"/>
      <c r="SUC70" s="29"/>
      <c r="SUD70" s="29"/>
      <c r="SUE70" s="29"/>
      <c r="SUF70" s="29"/>
      <c r="SUG70" s="29"/>
      <c r="SUH70" s="29"/>
      <c r="SUI70" s="29"/>
      <c r="SUJ70" s="29"/>
      <c r="SUK70" s="29"/>
      <c r="SUL70" s="29"/>
      <c r="SUM70" s="29"/>
      <c r="SUN70" s="29"/>
      <c r="SUO70" s="29"/>
      <c r="SUP70" s="29"/>
      <c r="SUQ70" s="29"/>
      <c r="SUR70" s="29"/>
      <c r="SUS70" s="29"/>
      <c r="SUT70" s="29"/>
      <c r="SUU70" s="29"/>
      <c r="SUV70" s="29"/>
      <c r="SUW70" s="29"/>
      <c r="SUX70" s="29"/>
      <c r="SUY70" s="29"/>
      <c r="SUZ70" s="29"/>
      <c r="SVA70" s="29"/>
      <c r="SVB70" s="29"/>
      <c r="SVC70" s="29"/>
      <c r="SVD70" s="29"/>
      <c r="SVE70" s="29"/>
      <c r="SVF70" s="29"/>
      <c r="SVG70" s="29"/>
      <c r="SVH70" s="29"/>
      <c r="SVI70" s="29"/>
      <c r="SVJ70" s="29"/>
      <c r="SVK70" s="29"/>
      <c r="SVL70" s="29"/>
      <c r="SVM70" s="29"/>
      <c r="SVN70" s="29"/>
      <c r="SVO70" s="29"/>
      <c r="SVP70" s="29"/>
      <c r="SVQ70" s="29"/>
      <c r="SVR70" s="29"/>
      <c r="SVS70" s="29"/>
      <c r="SVT70" s="29"/>
      <c r="SVU70" s="29"/>
      <c r="SVV70" s="29"/>
      <c r="SVW70" s="29"/>
      <c r="SVX70" s="29"/>
      <c r="SVY70" s="29"/>
      <c r="SVZ70" s="29"/>
      <c r="SWA70" s="29"/>
      <c r="SWB70" s="29"/>
      <c r="SWC70" s="29"/>
      <c r="SWD70" s="29"/>
      <c r="SWE70" s="29"/>
      <c r="SWF70" s="29"/>
      <c r="SWG70" s="29"/>
      <c r="SWH70" s="29"/>
      <c r="SWI70" s="29"/>
      <c r="SWJ70" s="29"/>
      <c r="SWK70" s="29"/>
      <c r="SWL70" s="29"/>
      <c r="SWM70" s="29"/>
      <c r="SWN70" s="29"/>
      <c r="SWO70" s="29"/>
      <c r="SWP70" s="29"/>
      <c r="SWQ70" s="29"/>
      <c r="SWR70" s="29"/>
      <c r="SWS70" s="29"/>
      <c r="SWT70" s="29"/>
      <c r="SWU70" s="29"/>
      <c r="SWV70" s="29"/>
      <c r="SWW70" s="29"/>
      <c r="SWX70" s="29"/>
      <c r="SWY70" s="29"/>
      <c r="SWZ70" s="29"/>
      <c r="SXA70" s="29"/>
      <c r="SXB70" s="29"/>
      <c r="SXC70" s="29"/>
      <c r="SXD70" s="29"/>
      <c r="SXE70" s="29"/>
      <c r="SXF70" s="29"/>
      <c r="SXG70" s="29"/>
      <c r="SXH70" s="29"/>
      <c r="SXI70" s="29"/>
      <c r="SXJ70" s="29"/>
      <c r="SXK70" s="29"/>
      <c r="SXL70" s="29"/>
      <c r="SXM70" s="29"/>
      <c r="SXN70" s="29"/>
      <c r="SXO70" s="29"/>
      <c r="SXP70" s="29"/>
      <c r="SXQ70" s="29"/>
      <c r="SXR70" s="29"/>
      <c r="SXS70" s="29"/>
      <c r="SXT70" s="29"/>
      <c r="SXU70" s="29"/>
      <c r="SXV70" s="29"/>
      <c r="SXW70" s="29"/>
      <c r="SXX70" s="29"/>
      <c r="SXY70" s="29"/>
      <c r="SXZ70" s="29"/>
      <c r="SYA70" s="29"/>
      <c r="SYB70" s="29"/>
      <c r="SYC70" s="29"/>
      <c r="SYD70" s="29"/>
      <c r="SYE70" s="29"/>
      <c r="SYF70" s="29"/>
      <c r="SYG70" s="29"/>
      <c r="SYH70" s="29"/>
      <c r="SYI70" s="29"/>
      <c r="SYJ70" s="29"/>
      <c r="SYK70" s="29"/>
      <c r="SYL70" s="29"/>
      <c r="SYM70" s="29"/>
      <c r="SYN70" s="29"/>
      <c r="SYO70" s="29"/>
      <c r="SYP70" s="29"/>
      <c r="SYQ70" s="29"/>
      <c r="SYR70" s="29"/>
      <c r="SYS70" s="29"/>
      <c r="SYT70" s="29"/>
      <c r="SYU70" s="29"/>
      <c r="SYV70" s="29"/>
      <c r="SYW70" s="29"/>
      <c r="SYX70" s="29"/>
      <c r="SYY70" s="29"/>
      <c r="SYZ70" s="29"/>
      <c r="SZA70" s="29"/>
      <c r="SZB70" s="29"/>
      <c r="SZC70" s="29"/>
      <c r="SZD70" s="29"/>
      <c r="SZE70" s="29"/>
      <c r="SZF70" s="29"/>
      <c r="SZG70" s="29"/>
      <c r="SZH70" s="29"/>
      <c r="SZI70" s="29"/>
      <c r="SZJ70" s="29"/>
      <c r="SZK70" s="29"/>
      <c r="SZL70" s="29"/>
      <c r="SZM70" s="29"/>
      <c r="SZN70" s="29"/>
      <c r="SZO70" s="29"/>
      <c r="SZP70" s="29"/>
      <c r="SZQ70" s="29"/>
      <c r="SZR70" s="29"/>
      <c r="SZS70" s="29"/>
      <c r="SZT70" s="29"/>
      <c r="SZU70" s="29"/>
      <c r="SZV70" s="29"/>
      <c r="SZW70" s="29"/>
      <c r="SZX70" s="29"/>
      <c r="SZY70" s="29"/>
      <c r="SZZ70" s="29"/>
      <c r="TAA70" s="29"/>
      <c r="TAB70" s="29"/>
      <c r="TAC70" s="29"/>
      <c r="TAD70" s="29"/>
      <c r="TAE70" s="29"/>
      <c r="TAF70" s="29"/>
      <c r="TAG70" s="29"/>
      <c r="TAH70" s="29"/>
      <c r="TAI70" s="29"/>
      <c r="TAJ70" s="29"/>
      <c r="TAK70" s="29"/>
      <c r="TAL70" s="29"/>
      <c r="TAM70" s="29"/>
      <c r="TAN70" s="29"/>
      <c r="TAO70" s="29"/>
      <c r="TAP70" s="29"/>
      <c r="TAQ70" s="29"/>
      <c r="TAR70" s="29"/>
      <c r="TAS70" s="29"/>
      <c r="TAT70" s="29"/>
      <c r="TAU70" s="29"/>
      <c r="TAV70" s="29"/>
      <c r="TAW70" s="29"/>
      <c r="TAX70" s="29"/>
      <c r="TAY70" s="29"/>
      <c r="TAZ70" s="29"/>
      <c r="TBA70" s="29"/>
      <c r="TBB70" s="29"/>
      <c r="TBC70" s="29"/>
      <c r="TBD70" s="29"/>
      <c r="TBE70" s="29"/>
      <c r="TBF70" s="29"/>
      <c r="TBG70" s="29"/>
      <c r="TBH70" s="29"/>
      <c r="TBI70" s="29"/>
      <c r="TBJ70" s="29"/>
      <c r="TBK70" s="29"/>
      <c r="TBL70" s="29"/>
      <c r="TBM70" s="29"/>
      <c r="TBN70" s="29"/>
      <c r="TBO70" s="29"/>
      <c r="TBP70" s="29"/>
      <c r="TBQ70" s="29"/>
      <c r="TBR70" s="29"/>
      <c r="TBS70" s="29"/>
      <c r="TBT70" s="29"/>
      <c r="TBU70" s="29"/>
      <c r="TBV70" s="29"/>
      <c r="TBW70" s="29"/>
      <c r="TBX70" s="29"/>
      <c r="TBY70" s="29"/>
      <c r="TBZ70" s="29"/>
      <c r="TCA70" s="29"/>
      <c r="TCB70" s="29"/>
      <c r="TCC70" s="29"/>
      <c r="TCD70" s="29"/>
      <c r="TCE70" s="29"/>
      <c r="TCF70" s="29"/>
      <c r="TCG70" s="29"/>
      <c r="TCH70" s="29"/>
      <c r="TCI70" s="29"/>
      <c r="TCJ70" s="29"/>
      <c r="TCK70" s="29"/>
      <c r="TCL70" s="29"/>
      <c r="TCM70" s="29"/>
      <c r="TCN70" s="29"/>
      <c r="TCO70" s="29"/>
      <c r="TCP70" s="29"/>
      <c r="TCQ70" s="29"/>
      <c r="TCR70" s="29"/>
      <c r="TCS70" s="29"/>
      <c r="TCT70" s="29"/>
      <c r="TCU70" s="29"/>
      <c r="TCV70" s="29"/>
      <c r="TCW70" s="29"/>
      <c r="TCX70" s="29"/>
      <c r="TCY70" s="29"/>
      <c r="TCZ70" s="29"/>
      <c r="TDA70" s="29"/>
      <c r="TDB70" s="29"/>
      <c r="TDC70" s="29"/>
      <c r="TDD70" s="29"/>
      <c r="TDE70" s="29"/>
      <c r="TDF70" s="29"/>
      <c r="TDG70" s="29"/>
      <c r="TDH70" s="29"/>
      <c r="TDI70" s="29"/>
      <c r="TDJ70" s="29"/>
      <c r="TDK70" s="29"/>
      <c r="TDL70" s="29"/>
      <c r="TDM70" s="29"/>
      <c r="TDN70" s="29"/>
      <c r="TDO70" s="29"/>
      <c r="TDP70" s="29"/>
      <c r="TDQ70" s="29"/>
      <c r="TDR70" s="29"/>
      <c r="TDS70" s="29"/>
      <c r="TDT70" s="29"/>
      <c r="TDU70" s="29"/>
      <c r="TDV70" s="29"/>
      <c r="TDW70" s="29"/>
      <c r="TDX70" s="29"/>
      <c r="TDY70" s="29"/>
      <c r="TDZ70" s="29"/>
      <c r="TEA70" s="29"/>
      <c r="TEB70" s="29"/>
      <c r="TEC70" s="29"/>
      <c r="TED70" s="29"/>
      <c r="TEE70" s="29"/>
      <c r="TEF70" s="29"/>
      <c r="TEG70" s="29"/>
      <c r="TEH70" s="29"/>
      <c r="TEI70" s="29"/>
      <c r="TEJ70" s="29"/>
      <c r="TEK70" s="29"/>
      <c r="TEL70" s="29"/>
      <c r="TEM70" s="29"/>
      <c r="TEN70" s="29"/>
      <c r="TEO70" s="29"/>
      <c r="TEP70" s="29"/>
      <c r="TEQ70" s="29"/>
      <c r="TER70" s="29"/>
      <c r="TES70" s="29"/>
      <c r="TET70" s="29"/>
      <c r="TEU70" s="29"/>
      <c r="TEV70" s="29"/>
      <c r="TEW70" s="29"/>
      <c r="TEX70" s="29"/>
      <c r="TEY70" s="29"/>
      <c r="TEZ70" s="29"/>
      <c r="TFA70" s="29"/>
      <c r="TFB70" s="29"/>
      <c r="TFC70" s="29"/>
      <c r="TFD70" s="29"/>
      <c r="TFE70" s="29"/>
      <c r="TFF70" s="29"/>
      <c r="TFG70" s="29"/>
      <c r="TFH70" s="29"/>
      <c r="TFI70" s="29"/>
      <c r="TFJ70" s="29"/>
      <c r="TFK70" s="29"/>
      <c r="TFL70" s="29"/>
      <c r="TFM70" s="29"/>
      <c r="TFN70" s="29"/>
      <c r="TFO70" s="29"/>
      <c r="TFP70" s="29"/>
      <c r="TFQ70" s="29"/>
      <c r="TFR70" s="29"/>
      <c r="TFS70" s="29"/>
      <c r="TFT70" s="29"/>
      <c r="TFU70" s="29"/>
      <c r="TFV70" s="29"/>
      <c r="TFW70" s="29"/>
      <c r="TFX70" s="29"/>
      <c r="TFY70" s="29"/>
      <c r="TFZ70" s="29"/>
      <c r="TGA70" s="29"/>
      <c r="TGB70" s="29"/>
      <c r="TGC70" s="29"/>
      <c r="TGD70" s="29"/>
      <c r="TGE70" s="29"/>
      <c r="TGF70" s="29"/>
      <c r="TGG70" s="29"/>
      <c r="TGH70" s="29"/>
      <c r="TGI70" s="29"/>
      <c r="TGJ70" s="29"/>
      <c r="TGK70" s="29"/>
      <c r="TGL70" s="29"/>
      <c r="TGM70" s="29"/>
      <c r="TGN70" s="29"/>
      <c r="TGO70" s="29"/>
      <c r="TGP70" s="29"/>
      <c r="TGQ70" s="29"/>
      <c r="TGR70" s="29"/>
      <c r="TGS70" s="29"/>
      <c r="TGT70" s="29"/>
      <c r="TGU70" s="29"/>
      <c r="TGV70" s="29"/>
      <c r="TGW70" s="29"/>
      <c r="TGX70" s="29"/>
      <c r="TGY70" s="29"/>
      <c r="TGZ70" s="29"/>
      <c r="THA70" s="29"/>
      <c r="THB70" s="29"/>
      <c r="THC70" s="29"/>
      <c r="THD70" s="29"/>
      <c r="THE70" s="29"/>
      <c r="THF70" s="29"/>
      <c r="THG70" s="29"/>
      <c r="THH70" s="29"/>
      <c r="THI70" s="29"/>
      <c r="THJ70" s="29"/>
      <c r="THK70" s="29"/>
      <c r="THL70" s="29"/>
      <c r="THM70" s="29"/>
      <c r="THN70" s="29"/>
      <c r="THO70" s="29"/>
      <c r="THP70" s="29"/>
      <c r="THQ70" s="29"/>
      <c r="THR70" s="29"/>
      <c r="THS70" s="29"/>
      <c r="THT70" s="29"/>
      <c r="THU70" s="29"/>
      <c r="THV70" s="29"/>
      <c r="THW70" s="29"/>
      <c r="THX70" s="29"/>
      <c r="THY70" s="29"/>
      <c r="THZ70" s="29"/>
      <c r="TIA70" s="29"/>
      <c r="TIB70" s="29"/>
      <c r="TIC70" s="29"/>
      <c r="TID70" s="29"/>
      <c r="TIE70" s="29"/>
      <c r="TIF70" s="29"/>
      <c r="TIG70" s="29"/>
      <c r="TIH70" s="29"/>
      <c r="TII70" s="29"/>
      <c r="TIJ70" s="29"/>
      <c r="TIK70" s="29"/>
      <c r="TIL70" s="29"/>
      <c r="TIM70" s="29"/>
      <c r="TIN70" s="29"/>
      <c r="TIO70" s="29"/>
      <c r="TIP70" s="29"/>
      <c r="TIQ70" s="29"/>
      <c r="TIR70" s="29"/>
      <c r="TIS70" s="29"/>
      <c r="TIT70" s="29"/>
      <c r="TIU70" s="29"/>
      <c r="TIV70" s="29"/>
      <c r="TIW70" s="29"/>
      <c r="TIX70" s="29"/>
      <c r="TIY70" s="29"/>
      <c r="TIZ70" s="29"/>
      <c r="TJA70" s="29"/>
      <c r="TJB70" s="29"/>
      <c r="TJC70" s="29"/>
      <c r="TJD70" s="29"/>
      <c r="TJE70" s="29"/>
      <c r="TJF70" s="29"/>
      <c r="TJG70" s="29"/>
      <c r="TJH70" s="29"/>
      <c r="TJI70" s="29"/>
      <c r="TJJ70" s="29"/>
      <c r="TJK70" s="29"/>
      <c r="TJL70" s="29"/>
      <c r="TJM70" s="29"/>
      <c r="TJN70" s="29"/>
      <c r="TJO70" s="29"/>
      <c r="TJP70" s="29"/>
      <c r="TJQ70" s="29"/>
      <c r="TJR70" s="29"/>
      <c r="TJS70" s="29"/>
      <c r="TJT70" s="29"/>
      <c r="TJU70" s="29"/>
      <c r="TJV70" s="29"/>
      <c r="TJW70" s="29"/>
      <c r="TJX70" s="29"/>
      <c r="TJY70" s="29"/>
      <c r="TJZ70" s="29"/>
      <c r="TKA70" s="29"/>
      <c r="TKB70" s="29"/>
      <c r="TKC70" s="29"/>
      <c r="TKD70" s="29"/>
      <c r="TKE70" s="29"/>
      <c r="TKF70" s="29"/>
      <c r="TKG70" s="29"/>
      <c r="TKH70" s="29"/>
      <c r="TKI70" s="29"/>
      <c r="TKJ70" s="29"/>
      <c r="TKK70" s="29"/>
      <c r="TKL70" s="29"/>
      <c r="TKM70" s="29"/>
      <c r="TKN70" s="29"/>
      <c r="TKO70" s="29"/>
      <c r="TKP70" s="29"/>
      <c r="TKQ70" s="29"/>
      <c r="TKR70" s="29"/>
      <c r="TKS70" s="29"/>
      <c r="TKT70" s="29"/>
      <c r="TKU70" s="29"/>
      <c r="TKV70" s="29"/>
      <c r="TKW70" s="29"/>
      <c r="TKX70" s="29"/>
      <c r="TKY70" s="29"/>
      <c r="TKZ70" s="29"/>
      <c r="TLA70" s="29"/>
      <c r="TLB70" s="29"/>
      <c r="TLC70" s="29"/>
      <c r="TLD70" s="29"/>
      <c r="TLE70" s="29"/>
      <c r="TLF70" s="29"/>
      <c r="TLG70" s="29"/>
      <c r="TLH70" s="29"/>
      <c r="TLI70" s="29"/>
      <c r="TLJ70" s="29"/>
      <c r="TLK70" s="29"/>
      <c r="TLL70" s="29"/>
      <c r="TLM70" s="29"/>
      <c r="TLN70" s="29"/>
      <c r="TLO70" s="29"/>
      <c r="TLP70" s="29"/>
      <c r="TLQ70" s="29"/>
      <c r="TLR70" s="29"/>
      <c r="TLS70" s="29"/>
      <c r="TLT70" s="29"/>
      <c r="TLU70" s="29"/>
      <c r="TLV70" s="29"/>
      <c r="TLW70" s="29"/>
      <c r="TLX70" s="29"/>
      <c r="TLY70" s="29"/>
      <c r="TLZ70" s="29"/>
      <c r="TMA70" s="29"/>
      <c r="TMB70" s="29"/>
      <c r="TMC70" s="29"/>
      <c r="TMD70" s="29"/>
      <c r="TME70" s="29"/>
      <c r="TMF70" s="29"/>
      <c r="TMG70" s="29"/>
      <c r="TMH70" s="29"/>
      <c r="TMI70" s="29"/>
      <c r="TMJ70" s="29"/>
      <c r="TMK70" s="29"/>
      <c r="TML70" s="29"/>
      <c r="TMM70" s="29"/>
      <c r="TMN70" s="29"/>
      <c r="TMO70" s="29"/>
      <c r="TMP70" s="29"/>
      <c r="TMQ70" s="29"/>
      <c r="TMR70" s="29"/>
      <c r="TMS70" s="29"/>
      <c r="TMT70" s="29"/>
      <c r="TMU70" s="29"/>
      <c r="TMV70" s="29"/>
      <c r="TMW70" s="29"/>
      <c r="TMX70" s="29"/>
      <c r="TMY70" s="29"/>
      <c r="TMZ70" s="29"/>
      <c r="TNA70" s="29"/>
      <c r="TNB70" s="29"/>
      <c r="TNC70" s="29"/>
      <c r="TND70" s="29"/>
      <c r="TNE70" s="29"/>
      <c r="TNF70" s="29"/>
      <c r="TNG70" s="29"/>
      <c r="TNH70" s="29"/>
      <c r="TNI70" s="29"/>
      <c r="TNJ70" s="29"/>
      <c r="TNK70" s="29"/>
      <c r="TNL70" s="29"/>
      <c r="TNM70" s="29"/>
      <c r="TNN70" s="29"/>
      <c r="TNO70" s="29"/>
      <c r="TNP70" s="29"/>
      <c r="TNQ70" s="29"/>
      <c r="TNR70" s="29"/>
      <c r="TNS70" s="29"/>
      <c r="TNT70" s="29"/>
      <c r="TNU70" s="29"/>
      <c r="TNV70" s="29"/>
      <c r="TNW70" s="29"/>
      <c r="TNX70" s="29"/>
      <c r="TNY70" s="29"/>
      <c r="TNZ70" s="29"/>
      <c r="TOA70" s="29"/>
      <c r="TOB70" s="29"/>
      <c r="TOC70" s="29"/>
      <c r="TOD70" s="29"/>
      <c r="TOE70" s="29"/>
      <c r="TOF70" s="29"/>
      <c r="TOG70" s="29"/>
      <c r="TOH70" s="29"/>
      <c r="TOI70" s="29"/>
      <c r="TOJ70" s="29"/>
      <c r="TOK70" s="29"/>
      <c r="TOL70" s="29"/>
      <c r="TOM70" s="29"/>
      <c r="TON70" s="29"/>
      <c r="TOO70" s="29"/>
      <c r="TOP70" s="29"/>
      <c r="TOQ70" s="29"/>
      <c r="TOR70" s="29"/>
      <c r="TOS70" s="29"/>
      <c r="TOT70" s="29"/>
      <c r="TOU70" s="29"/>
      <c r="TOV70" s="29"/>
      <c r="TOW70" s="29"/>
      <c r="TOX70" s="29"/>
      <c r="TOY70" s="29"/>
      <c r="TOZ70" s="29"/>
      <c r="TPA70" s="29"/>
      <c r="TPB70" s="29"/>
      <c r="TPC70" s="29"/>
      <c r="TPD70" s="29"/>
      <c r="TPE70" s="29"/>
      <c r="TPF70" s="29"/>
      <c r="TPG70" s="29"/>
      <c r="TPH70" s="29"/>
      <c r="TPI70" s="29"/>
      <c r="TPJ70" s="29"/>
      <c r="TPK70" s="29"/>
      <c r="TPL70" s="29"/>
      <c r="TPM70" s="29"/>
      <c r="TPN70" s="29"/>
      <c r="TPO70" s="29"/>
      <c r="TPP70" s="29"/>
      <c r="TPQ70" s="29"/>
      <c r="TPR70" s="29"/>
      <c r="TPS70" s="29"/>
      <c r="TPT70" s="29"/>
      <c r="TPU70" s="29"/>
      <c r="TPV70" s="29"/>
      <c r="TPW70" s="29"/>
      <c r="TPX70" s="29"/>
      <c r="TPY70" s="29"/>
      <c r="TPZ70" s="29"/>
      <c r="TQA70" s="29"/>
      <c r="TQB70" s="29"/>
      <c r="TQC70" s="29"/>
      <c r="TQD70" s="29"/>
      <c r="TQE70" s="29"/>
      <c r="TQF70" s="29"/>
      <c r="TQG70" s="29"/>
      <c r="TQH70" s="29"/>
      <c r="TQI70" s="29"/>
      <c r="TQJ70" s="29"/>
      <c r="TQK70" s="29"/>
      <c r="TQL70" s="29"/>
      <c r="TQM70" s="29"/>
      <c r="TQN70" s="29"/>
      <c r="TQO70" s="29"/>
      <c r="TQP70" s="29"/>
      <c r="TQQ70" s="29"/>
      <c r="TQR70" s="29"/>
      <c r="TQS70" s="29"/>
      <c r="TQT70" s="29"/>
      <c r="TQU70" s="29"/>
      <c r="TQV70" s="29"/>
      <c r="TQW70" s="29"/>
      <c r="TQX70" s="29"/>
      <c r="TQY70" s="29"/>
      <c r="TQZ70" s="29"/>
      <c r="TRA70" s="29"/>
      <c r="TRB70" s="29"/>
      <c r="TRC70" s="29"/>
      <c r="TRD70" s="29"/>
      <c r="TRE70" s="29"/>
      <c r="TRF70" s="29"/>
      <c r="TRG70" s="29"/>
      <c r="TRH70" s="29"/>
      <c r="TRI70" s="29"/>
      <c r="TRJ70" s="29"/>
      <c r="TRK70" s="29"/>
      <c r="TRL70" s="29"/>
      <c r="TRM70" s="29"/>
      <c r="TRN70" s="29"/>
      <c r="TRO70" s="29"/>
      <c r="TRP70" s="29"/>
      <c r="TRQ70" s="29"/>
      <c r="TRR70" s="29"/>
      <c r="TRS70" s="29"/>
      <c r="TRT70" s="29"/>
      <c r="TRU70" s="29"/>
      <c r="TRV70" s="29"/>
      <c r="TRW70" s="29"/>
      <c r="TRX70" s="29"/>
      <c r="TRY70" s="29"/>
      <c r="TRZ70" s="29"/>
      <c r="TSA70" s="29"/>
      <c r="TSB70" s="29"/>
      <c r="TSC70" s="29"/>
      <c r="TSD70" s="29"/>
      <c r="TSE70" s="29"/>
      <c r="TSF70" s="29"/>
      <c r="TSG70" s="29"/>
      <c r="TSH70" s="29"/>
      <c r="TSI70" s="29"/>
      <c r="TSJ70" s="29"/>
      <c r="TSK70" s="29"/>
      <c r="TSL70" s="29"/>
      <c r="TSM70" s="29"/>
      <c r="TSN70" s="29"/>
      <c r="TSO70" s="29"/>
      <c r="TSP70" s="29"/>
      <c r="TSQ70" s="29"/>
      <c r="TSR70" s="29"/>
      <c r="TSS70" s="29"/>
      <c r="TST70" s="29"/>
      <c r="TSU70" s="29"/>
      <c r="TSV70" s="29"/>
      <c r="TSW70" s="29"/>
      <c r="TSX70" s="29"/>
      <c r="TSY70" s="29"/>
      <c r="TSZ70" s="29"/>
      <c r="TTA70" s="29"/>
      <c r="TTB70" s="29"/>
      <c r="TTC70" s="29"/>
      <c r="TTD70" s="29"/>
      <c r="TTE70" s="29"/>
      <c r="TTF70" s="29"/>
      <c r="TTG70" s="29"/>
      <c r="TTH70" s="29"/>
      <c r="TTI70" s="29"/>
      <c r="TTJ70" s="29"/>
      <c r="TTK70" s="29"/>
      <c r="TTL70" s="29"/>
      <c r="TTM70" s="29"/>
      <c r="TTN70" s="29"/>
      <c r="TTO70" s="29"/>
      <c r="TTP70" s="29"/>
      <c r="TTQ70" s="29"/>
      <c r="TTR70" s="29"/>
      <c r="TTS70" s="29"/>
      <c r="TTT70" s="29"/>
      <c r="TTU70" s="29"/>
      <c r="TTV70" s="29"/>
      <c r="TTW70" s="29"/>
      <c r="TTX70" s="29"/>
      <c r="TTY70" s="29"/>
      <c r="TTZ70" s="29"/>
      <c r="TUA70" s="29"/>
      <c r="TUB70" s="29"/>
      <c r="TUC70" s="29"/>
      <c r="TUD70" s="29"/>
      <c r="TUE70" s="29"/>
      <c r="TUF70" s="29"/>
      <c r="TUG70" s="29"/>
      <c r="TUH70" s="29"/>
      <c r="TUI70" s="29"/>
      <c r="TUJ70" s="29"/>
      <c r="TUK70" s="29"/>
      <c r="TUL70" s="29"/>
      <c r="TUM70" s="29"/>
      <c r="TUN70" s="29"/>
      <c r="TUO70" s="29"/>
      <c r="TUP70" s="29"/>
      <c r="TUQ70" s="29"/>
      <c r="TUR70" s="29"/>
      <c r="TUS70" s="29"/>
      <c r="TUT70" s="29"/>
      <c r="TUU70" s="29"/>
      <c r="TUV70" s="29"/>
      <c r="TUW70" s="29"/>
      <c r="TUX70" s="29"/>
      <c r="TUY70" s="29"/>
      <c r="TUZ70" s="29"/>
      <c r="TVA70" s="29"/>
      <c r="TVB70" s="29"/>
      <c r="TVC70" s="29"/>
      <c r="TVD70" s="29"/>
      <c r="TVE70" s="29"/>
      <c r="TVF70" s="29"/>
      <c r="TVG70" s="29"/>
      <c r="TVH70" s="29"/>
      <c r="TVI70" s="29"/>
      <c r="TVJ70" s="29"/>
      <c r="TVK70" s="29"/>
      <c r="TVL70" s="29"/>
      <c r="TVM70" s="29"/>
      <c r="TVN70" s="29"/>
      <c r="TVO70" s="29"/>
      <c r="TVP70" s="29"/>
      <c r="TVQ70" s="29"/>
      <c r="TVR70" s="29"/>
      <c r="TVS70" s="29"/>
      <c r="TVT70" s="29"/>
      <c r="TVU70" s="29"/>
      <c r="TVV70" s="29"/>
      <c r="TVW70" s="29"/>
      <c r="TVX70" s="29"/>
      <c r="TVY70" s="29"/>
      <c r="TVZ70" s="29"/>
      <c r="TWA70" s="29"/>
      <c r="TWB70" s="29"/>
      <c r="TWC70" s="29"/>
      <c r="TWD70" s="29"/>
      <c r="TWE70" s="29"/>
      <c r="TWF70" s="29"/>
      <c r="TWG70" s="29"/>
      <c r="TWH70" s="29"/>
      <c r="TWI70" s="29"/>
      <c r="TWJ70" s="29"/>
      <c r="TWK70" s="29"/>
      <c r="TWL70" s="29"/>
      <c r="TWM70" s="29"/>
      <c r="TWN70" s="29"/>
      <c r="TWO70" s="29"/>
      <c r="TWP70" s="29"/>
      <c r="TWQ70" s="29"/>
      <c r="TWR70" s="29"/>
      <c r="TWS70" s="29"/>
      <c r="TWT70" s="29"/>
      <c r="TWU70" s="29"/>
      <c r="TWV70" s="29"/>
      <c r="TWW70" s="29"/>
      <c r="TWX70" s="29"/>
      <c r="TWY70" s="29"/>
      <c r="TWZ70" s="29"/>
      <c r="TXA70" s="29"/>
      <c r="TXB70" s="29"/>
      <c r="TXC70" s="29"/>
      <c r="TXD70" s="29"/>
      <c r="TXE70" s="29"/>
      <c r="TXF70" s="29"/>
      <c r="TXG70" s="29"/>
      <c r="TXH70" s="29"/>
      <c r="TXI70" s="29"/>
      <c r="TXJ70" s="29"/>
      <c r="TXK70" s="29"/>
      <c r="TXL70" s="29"/>
      <c r="TXM70" s="29"/>
      <c r="TXN70" s="29"/>
      <c r="TXO70" s="29"/>
      <c r="TXP70" s="29"/>
      <c r="TXQ70" s="29"/>
      <c r="TXR70" s="29"/>
      <c r="TXS70" s="29"/>
      <c r="TXT70" s="29"/>
      <c r="TXU70" s="29"/>
      <c r="TXV70" s="29"/>
      <c r="TXW70" s="29"/>
      <c r="TXX70" s="29"/>
      <c r="TXY70" s="29"/>
      <c r="TXZ70" s="29"/>
      <c r="TYA70" s="29"/>
      <c r="TYB70" s="29"/>
      <c r="TYC70" s="29"/>
      <c r="TYD70" s="29"/>
      <c r="TYE70" s="29"/>
      <c r="TYF70" s="29"/>
      <c r="TYG70" s="29"/>
      <c r="TYH70" s="29"/>
      <c r="TYI70" s="29"/>
      <c r="TYJ70" s="29"/>
      <c r="TYK70" s="29"/>
      <c r="TYL70" s="29"/>
      <c r="TYM70" s="29"/>
      <c r="TYN70" s="29"/>
      <c r="TYO70" s="29"/>
      <c r="TYP70" s="29"/>
      <c r="TYQ70" s="29"/>
      <c r="TYR70" s="29"/>
      <c r="TYS70" s="29"/>
      <c r="TYT70" s="29"/>
      <c r="TYU70" s="29"/>
      <c r="TYV70" s="29"/>
      <c r="TYW70" s="29"/>
      <c r="TYX70" s="29"/>
      <c r="TYY70" s="29"/>
      <c r="TYZ70" s="29"/>
      <c r="TZA70" s="29"/>
      <c r="TZB70" s="29"/>
      <c r="TZC70" s="29"/>
      <c r="TZD70" s="29"/>
      <c r="TZE70" s="29"/>
      <c r="TZF70" s="29"/>
      <c r="TZG70" s="29"/>
      <c r="TZH70" s="29"/>
      <c r="TZI70" s="29"/>
      <c r="TZJ70" s="29"/>
      <c r="TZK70" s="29"/>
      <c r="TZL70" s="29"/>
      <c r="TZM70" s="29"/>
      <c r="TZN70" s="29"/>
      <c r="TZO70" s="29"/>
      <c r="TZP70" s="29"/>
      <c r="TZQ70" s="29"/>
      <c r="TZR70" s="29"/>
      <c r="TZS70" s="29"/>
      <c r="TZT70" s="29"/>
      <c r="TZU70" s="29"/>
      <c r="TZV70" s="29"/>
      <c r="TZW70" s="29"/>
      <c r="TZX70" s="29"/>
      <c r="TZY70" s="29"/>
      <c r="TZZ70" s="29"/>
      <c r="UAA70" s="29"/>
      <c r="UAB70" s="29"/>
      <c r="UAC70" s="29"/>
      <c r="UAD70" s="29"/>
      <c r="UAE70" s="29"/>
      <c r="UAF70" s="29"/>
      <c r="UAG70" s="29"/>
      <c r="UAH70" s="29"/>
      <c r="UAI70" s="29"/>
      <c r="UAJ70" s="29"/>
      <c r="UAK70" s="29"/>
      <c r="UAL70" s="29"/>
      <c r="UAM70" s="29"/>
      <c r="UAN70" s="29"/>
      <c r="UAO70" s="29"/>
      <c r="UAP70" s="29"/>
      <c r="UAQ70" s="29"/>
      <c r="UAR70" s="29"/>
      <c r="UAS70" s="29"/>
      <c r="UAT70" s="29"/>
      <c r="UAU70" s="29"/>
      <c r="UAV70" s="29"/>
      <c r="UAW70" s="29"/>
      <c r="UAX70" s="29"/>
      <c r="UAY70" s="29"/>
      <c r="UAZ70" s="29"/>
      <c r="UBA70" s="29"/>
      <c r="UBB70" s="29"/>
      <c r="UBC70" s="29"/>
      <c r="UBD70" s="29"/>
      <c r="UBE70" s="29"/>
      <c r="UBF70" s="29"/>
      <c r="UBG70" s="29"/>
      <c r="UBH70" s="29"/>
      <c r="UBI70" s="29"/>
      <c r="UBJ70" s="29"/>
      <c r="UBK70" s="29"/>
      <c r="UBL70" s="29"/>
      <c r="UBM70" s="29"/>
      <c r="UBN70" s="29"/>
      <c r="UBO70" s="29"/>
      <c r="UBP70" s="29"/>
      <c r="UBQ70" s="29"/>
      <c r="UBR70" s="29"/>
      <c r="UBS70" s="29"/>
      <c r="UBT70" s="29"/>
      <c r="UBU70" s="29"/>
      <c r="UBV70" s="29"/>
      <c r="UBW70" s="29"/>
      <c r="UBX70" s="29"/>
      <c r="UBY70" s="29"/>
      <c r="UBZ70" s="29"/>
      <c r="UCA70" s="29"/>
      <c r="UCB70" s="29"/>
      <c r="UCC70" s="29"/>
      <c r="UCD70" s="29"/>
      <c r="UCE70" s="29"/>
      <c r="UCF70" s="29"/>
      <c r="UCG70" s="29"/>
      <c r="UCH70" s="29"/>
      <c r="UCI70" s="29"/>
      <c r="UCJ70" s="29"/>
      <c r="UCK70" s="29"/>
      <c r="UCL70" s="29"/>
      <c r="UCM70" s="29"/>
      <c r="UCN70" s="29"/>
      <c r="UCO70" s="29"/>
      <c r="UCP70" s="29"/>
      <c r="UCQ70" s="29"/>
      <c r="UCR70" s="29"/>
      <c r="UCS70" s="29"/>
      <c r="UCT70" s="29"/>
      <c r="UCU70" s="29"/>
      <c r="UCV70" s="29"/>
      <c r="UCW70" s="29"/>
      <c r="UCX70" s="29"/>
      <c r="UCY70" s="29"/>
      <c r="UCZ70" s="29"/>
      <c r="UDA70" s="29"/>
      <c r="UDB70" s="29"/>
      <c r="UDC70" s="29"/>
      <c r="UDD70" s="29"/>
      <c r="UDE70" s="29"/>
      <c r="UDF70" s="29"/>
      <c r="UDG70" s="29"/>
      <c r="UDH70" s="29"/>
      <c r="UDI70" s="29"/>
      <c r="UDJ70" s="29"/>
      <c r="UDK70" s="29"/>
      <c r="UDL70" s="29"/>
      <c r="UDM70" s="29"/>
      <c r="UDN70" s="29"/>
      <c r="UDO70" s="29"/>
      <c r="UDP70" s="29"/>
      <c r="UDQ70" s="29"/>
      <c r="UDR70" s="29"/>
      <c r="UDS70" s="29"/>
      <c r="UDT70" s="29"/>
      <c r="UDU70" s="29"/>
      <c r="UDV70" s="29"/>
      <c r="UDW70" s="29"/>
      <c r="UDX70" s="29"/>
      <c r="UDY70" s="29"/>
      <c r="UDZ70" s="29"/>
      <c r="UEA70" s="29"/>
      <c r="UEB70" s="29"/>
      <c r="UEC70" s="29"/>
      <c r="UED70" s="29"/>
      <c r="UEE70" s="29"/>
      <c r="UEF70" s="29"/>
      <c r="UEG70" s="29"/>
      <c r="UEH70" s="29"/>
      <c r="UEI70" s="29"/>
      <c r="UEJ70" s="29"/>
      <c r="UEK70" s="29"/>
      <c r="UEL70" s="29"/>
      <c r="UEM70" s="29"/>
      <c r="UEN70" s="29"/>
      <c r="UEO70" s="29"/>
      <c r="UEP70" s="29"/>
      <c r="UEQ70" s="29"/>
      <c r="UER70" s="29"/>
      <c r="UES70" s="29"/>
      <c r="UET70" s="29"/>
      <c r="UEU70" s="29"/>
      <c r="UEV70" s="29"/>
      <c r="UEW70" s="29"/>
      <c r="UEX70" s="29"/>
      <c r="UEY70" s="29"/>
      <c r="UEZ70" s="29"/>
      <c r="UFA70" s="29"/>
      <c r="UFB70" s="29"/>
      <c r="UFC70" s="29"/>
      <c r="UFD70" s="29"/>
      <c r="UFE70" s="29"/>
      <c r="UFF70" s="29"/>
      <c r="UFG70" s="29"/>
      <c r="UFH70" s="29"/>
      <c r="UFI70" s="29"/>
      <c r="UFJ70" s="29"/>
      <c r="UFK70" s="29"/>
      <c r="UFL70" s="29"/>
      <c r="UFM70" s="29"/>
      <c r="UFN70" s="29"/>
      <c r="UFO70" s="29"/>
      <c r="UFP70" s="29"/>
      <c r="UFQ70" s="29"/>
      <c r="UFR70" s="29"/>
      <c r="UFS70" s="29"/>
      <c r="UFT70" s="29"/>
      <c r="UFU70" s="29"/>
      <c r="UFV70" s="29"/>
      <c r="UFW70" s="29"/>
      <c r="UFX70" s="29"/>
      <c r="UFY70" s="29"/>
      <c r="UFZ70" s="29"/>
      <c r="UGA70" s="29"/>
      <c r="UGB70" s="29"/>
      <c r="UGC70" s="29"/>
      <c r="UGD70" s="29"/>
      <c r="UGE70" s="29"/>
      <c r="UGF70" s="29"/>
      <c r="UGG70" s="29"/>
      <c r="UGH70" s="29"/>
      <c r="UGI70" s="29"/>
      <c r="UGJ70" s="29"/>
      <c r="UGK70" s="29"/>
      <c r="UGL70" s="29"/>
      <c r="UGM70" s="29"/>
      <c r="UGN70" s="29"/>
      <c r="UGO70" s="29"/>
      <c r="UGP70" s="29"/>
      <c r="UGQ70" s="29"/>
      <c r="UGR70" s="29"/>
      <c r="UGS70" s="29"/>
      <c r="UGT70" s="29"/>
      <c r="UGU70" s="29"/>
      <c r="UGV70" s="29"/>
      <c r="UGW70" s="29"/>
      <c r="UGX70" s="29"/>
      <c r="UGY70" s="29"/>
      <c r="UGZ70" s="29"/>
      <c r="UHA70" s="29"/>
      <c r="UHB70" s="29"/>
      <c r="UHC70" s="29"/>
      <c r="UHD70" s="29"/>
      <c r="UHE70" s="29"/>
      <c r="UHF70" s="29"/>
      <c r="UHG70" s="29"/>
      <c r="UHH70" s="29"/>
      <c r="UHI70" s="29"/>
      <c r="UHJ70" s="29"/>
      <c r="UHK70" s="29"/>
      <c r="UHL70" s="29"/>
      <c r="UHM70" s="29"/>
      <c r="UHN70" s="29"/>
      <c r="UHO70" s="29"/>
      <c r="UHP70" s="29"/>
      <c r="UHQ70" s="29"/>
      <c r="UHR70" s="29"/>
      <c r="UHS70" s="29"/>
      <c r="UHT70" s="29"/>
      <c r="UHU70" s="29"/>
      <c r="UHV70" s="29"/>
      <c r="UHW70" s="29"/>
      <c r="UHX70" s="29"/>
      <c r="UHY70" s="29"/>
      <c r="UHZ70" s="29"/>
      <c r="UIA70" s="29"/>
      <c r="UIB70" s="29"/>
      <c r="UIC70" s="29"/>
      <c r="UID70" s="29"/>
      <c r="UIE70" s="29"/>
      <c r="UIF70" s="29"/>
      <c r="UIG70" s="29"/>
      <c r="UIH70" s="29"/>
      <c r="UII70" s="29"/>
      <c r="UIJ70" s="29"/>
      <c r="UIK70" s="29"/>
      <c r="UIL70" s="29"/>
      <c r="UIM70" s="29"/>
      <c r="UIN70" s="29"/>
      <c r="UIO70" s="29"/>
      <c r="UIP70" s="29"/>
      <c r="UIQ70" s="29"/>
      <c r="UIR70" s="29"/>
      <c r="UIS70" s="29"/>
      <c r="UIT70" s="29"/>
      <c r="UIU70" s="29"/>
      <c r="UIV70" s="29"/>
      <c r="UIW70" s="29"/>
      <c r="UIX70" s="29"/>
      <c r="UIY70" s="29"/>
      <c r="UIZ70" s="29"/>
      <c r="UJA70" s="29"/>
      <c r="UJB70" s="29"/>
      <c r="UJC70" s="29"/>
      <c r="UJD70" s="29"/>
      <c r="UJE70" s="29"/>
      <c r="UJF70" s="29"/>
      <c r="UJG70" s="29"/>
      <c r="UJH70" s="29"/>
      <c r="UJI70" s="29"/>
      <c r="UJJ70" s="29"/>
      <c r="UJK70" s="29"/>
      <c r="UJL70" s="29"/>
      <c r="UJM70" s="29"/>
      <c r="UJN70" s="29"/>
      <c r="UJO70" s="29"/>
      <c r="UJP70" s="29"/>
      <c r="UJQ70" s="29"/>
      <c r="UJR70" s="29"/>
      <c r="UJS70" s="29"/>
      <c r="UJT70" s="29"/>
      <c r="UJU70" s="29"/>
      <c r="UJV70" s="29"/>
      <c r="UJW70" s="29"/>
      <c r="UJX70" s="29"/>
      <c r="UJY70" s="29"/>
      <c r="UJZ70" s="29"/>
      <c r="UKA70" s="29"/>
      <c r="UKB70" s="29"/>
      <c r="UKC70" s="29"/>
      <c r="UKD70" s="29"/>
      <c r="UKE70" s="29"/>
      <c r="UKF70" s="29"/>
      <c r="UKG70" s="29"/>
      <c r="UKH70" s="29"/>
      <c r="UKI70" s="29"/>
      <c r="UKJ70" s="29"/>
      <c r="UKK70" s="29"/>
      <c r="UKL70" s="29"/>
      <c r="UKM70" s="29"/>
      <c r="UKN70" s="29"/>
      <c r="UKO70" s="29"/>
      <c r="UKP70" s="29"/>
      <c r="UKQ70" s="29"/>
      <c r="UKR70" s="29"/>
      <c r="UKS70" s="29"/>
      <c r="UKT70" s="29"/>
      <c r="UKU70" s="29"/>
      <c r="UKV70" s="29"/>
      <c r="UKW70" s="29"/>
      <c r="UKX70" s="29"/>
      <c r="UKY70" s="29"/>
      <c r="UKZ70" s="29"/>
      <c r="ULA70" s="29"/>
      <c r="ULB70" s="29"/>
      <c r="ULC70" s="29"/>
      <c r="ULD70" s="29"/>
      <c r="ULE70" s="29"/>
      <c r="ULF70" s="29"/>
      <c r="ULG70" s="29"/>
      <c r="ULH70" s="29"/>
      <c r="ULI70" s="29"/>
      <c r="ULJ70" s="29"/>
      <c r="ULK70" s="29"/>
      <c r="ULL70" s="29"/>
      <c r="ULM70" s="29"/>
      <c r="ULN70" s="29"/>
      <c r="ULO70" s="29"/>
      <c r="ULP70" s="29"/>
      <c r="ULQ70" s="29"/>
      <c r="ULR70" s="29"/>
      <c r="ULS70" s="29"/>
      <c r="ULT70" s="29"/>
      <c r="ULU70" s="29"/>
      <c r="ULV70" s="29"/>
      <c r="ULW70" s="29"/>
      <c r="ULX70" s="29"/>
      <c r="ULY70" s="29"/>
      <c r="ULZ70" s="29"/>
      <c r="UMA70" s="29"/>
      <c r="UMB70" s="29"/>
      <c r="UMC70" s="29"/>
      <c r="UMD70" s="29"/>
      <c r="UME70" s="29"/>
      <c r="UMF70" s="29"/>
      <c r="UMG70" s="29"/>
      <c r="UMH70" s="29"/>
      <c r="UMI70" s="29"/>
      <c r="UMJ70" s="29"/>
      <c r="UMK70" s="29"/>
      <c r="UML70" s="29"/>
      <c r="UMM70" s="29"/>
      <c r="UMN70" s="29"/>
      <c r="UMO70" s="29"/>
      <c r="UMP70" s="29"/>
      <c r="UMQ70" s="29"/>
      <c r="UMR70" s="29"/>
      <c r="UMS70" s="29"/>
      <c r="UMT70" s="29"/>
      <c r="UMU70" s="29"/>
      <c r="UMV70" s="29"/>
      <c r="UMW70" s="29"/>
      <c r="UMX70" s="29"/>
      <c r="UMY70" s="29"/>
      <c r="UMZ70" s="29"/>
      <c r="UNA70" s="29"/>
      <c r="UNB70" s="29"/>
      <c r="UNC70" s="29"/>
      <c r="UND70" s="29"/>
      <c r="UNE70" s="29"/>
      <c r="UNF70" s="29"/>
      <c r="UNG70" s="29"/>
      <c r="UNH70" s="29"/>
      <c r="UNI70" s="29"/>
      <c r="UNJ70" s="29"/>
      <c r="UNK70" s="29"/>
      <c r="UNL70" s="29"/>
      <c r="UNM70" s="29"/>
      <c r="UNN70" s="29"/>
      <c r="UNO70" s="29"/>
      <c r="UNP70" s="29"/>
      <c r="UNQ70" s="29"/>
      <c r="UNR70" s="29"/>
      <c r="UNS70" s="29"/>
      <c r="UNT70" s="29"/>
      <c r="UNU70" s="29"/>
      <c r="UNV70" s="29"/>
      <c r="UNW70" s="29"/>
      <c r="UNX70" s="29"/>
      <c r="UNY70" s="29"/>
      <c r="UNZ70" s="29"/>
      <c r="UOA70" s="29"/>
      <c r="UOB70" s="29"/>
      <c r="UOC70" s="29"/>
      <c r="UOD70" s="29"/>
      <c r="UOE70" s="29"/>
      <c r="UOF70" s="29"/>
      <c r="UOG70" s="29"/>
      <c r="UOH70" s="29"/>
      <c r="UOI70" s="29"/>
      <c r="UOJ70" s="29"/>
      <c r="UOK70" s="29"/>
      <c r="UOL70" s="29"/>
      <c r="UOM70" s="29"/>
      <c r="UON70" s="29"/>
      <c r="UOO70" s="29"/>
      <c r="UOP70" s="29"/>
      <c r="UOQ70" s="29"/>
      <c r="UOR70" s="29"/>
      <c r="UOS70" s="29"/>
      <c r="UOT70" s="29"/>
      <c r="UOU70" s="29"/>
      <c r="UOV70" s="29"/>
      <c r="UOW70" s="29"/>
      <c r="UOX70" s="29"/>
      <c r="UOY70" s="29"/>
      <c r="UOZ70" s="29"/>
      <c r="UPA70" s="29"/>
      <c r="UPB70" s="29"/>
      <c r="UPC70" s="29"/>
      <c r="UPD70" s="29"/>
      <c r="UPE70" s="29"/>
      <c r="UPF70" s="29"/>
      <c r="UPG70" s="29"/>
      <c r="UPH70" s="29"/>
      <c r="UPI70" s="29"/>
      <c r="UPJ70" s="29"/>
      <c r="UPK70" s="29"/>
      <c r="UPL70" s="29"/>
      <c r="UPM70" s="29"/>
      <c r="UPN70" s="29"/>
      <c r="UPO70" s="29"/>
      <c r="UPP70" s="29"/>
      <c r="UPQ70" s="29"/>
      <c r="UPR70" s="29"/>
      <c r="UPS70" s="29"/>
      <c r="UPT70" s="29"/>
      <c r="UPU70" s="29"/>
      <c r="UPV70" s="29"/>
      <c r="UPW70" s="29"/>
      <c r="UPX70" s="29"/>
      <c r="UPY70" s="29"/>
      <c r="UPZ70" s="29"/>
      <c r="UQA70" s="29"/>
      <c r="UQB70" s="29"/>
      <c r="UQC70" s="29"/>
      <c r="UQD70" s="29"/>
      <c r="UQE70" s="29"/>
      <c r="UQF70" s="29"/>
      <c r="UQG70" s="29"/>
      <c r="UQH70" s="29"/>
      <c r="UQI70" s="29"/>
      <c r="UQJ70" s="29"/>
      <c r="UQK70" s="29"/>
      <c r="UQL70" s="29"/>
      <c r="UQM70" s="29"/>
      <c r="UQN70" s="29"/>
      <c r="UQO70" s="29"/>
      <c r="UQP70" s="29"/>
      <c r="UQQ70" s="29"/>
      <c r="UQR70" s="29"/>
      <c r="UQS70" s="29"/>
      <c r="UQT70" s="29"/>
      <c r="UQU70" s="29"/>
      <c r="UQV70" s="29"/>
      <c r="UQW70" s="29"/>
      <c r="UQX70" s="29"/>
      <c r="UQY70" s="29"/>
      <c r="UQZ70" s="29"/>
      <c r="URA70" s="29"/>
      <c r="URB70" s="29"/>
      <c r="URC70" s="29"/>
      <c r="URD70" s="29"/>
      <c r="URE70" s="29"/>
      <c r="URF70" s="29"/>
      <c r="URG70" s="29"/>
      <c r="URH70" s="29"/>
      <c r="URI70" s="29"/>
      <c r="URJ70" s="29"/>
      <c r="URK70" s="29"/>
      <c r="URL70" s="29"/>
      <c r="URM70" s="29"/>
      <c r="URN70" s="29"/>
      <c r="URO70" s="29"/>
      <c r="URP70" s="29"/>
      <c r="URQ70" s="29"/>
      <c r="URR70" s="29"/>
      <c r="URS70" s="29"/>
      <c r="URT70" s="29"/>
      <c r="URU70" s="29"/>
      <c r="URV70" s="29"/>
      <c r="URW70" s="29"/>
      <c r="URX70" s="29"/>
      <c r="URY70" s="29"/>
      <c r="URZ70" s="29"/>
      <c r="USA70" s="29"/>
      <c r="USB70" s="29"/>
      <c r="USC70" s="29"/>
      <c r="USD70" s="29"/>
      <c r="USE70" s="29"/>
      <c r="USF70" s="29"/>
      <c r="USG70" s="29"/>
      <c r="USH70" s="29"/>
      <c r="USI70" s="29"/>
      <c r="USJ70" s="29"/>
      <c r="USK70" s="29"/>
      <c r="USL70" s="29"/>
      <c r="USM70" s="29"/>
      <c r="USN70" s="29"/>
      <c r="USO70" s="29"/>
      <c r="USP70" s="29"/>
      <c r="USQ70" s="29"/>
      <c r="USR70" s="29"/>
      <c r="USS70" s="29"/>
      <c r="UST70" s="29"/>
      <c r="USU70" s="29"/>
      <c r="USV70" s="29"/>
      <c r="USW70" s="29"/>
      <c r="USX70" s="29"/>
      <c r="USY70" s="29"/>
      <c r="USZ70" s="29"/>
      <c r="UTA70" s="29"/>
      <c r="UTB70" s="29"/>
      <c r="UTC70" s="29"/>
      <c r="UTD70" s="29"/>
      <c r="UTE70" s="29"/>
      <c r="UTF70" s="29"/>
      <c r="UTG70" s="29"/>
      <c r="UTH70" s="29"/>
      <c r="UTI70" s="29"/>
      <c r="UTJ70" s="29"/>
      <c r="UTK70" s="29"/>
      <c r="UTL70" s="29"/>
      <c r="UTM70" s="29"/>
      <c r="UTN70" s="29"/>
      <c r="UTO70" s="29"/>
      <c r="UTP70" s="29"/>
      <c r="UTQ70" s="29"/>
      <c r="UTR70" s="29"/>
      <c r="UTS70" s="29"/>
      <c r="UTT70" s="29"/>
      <c r="UTU70" s="29"/>
      <c r="UTV70" s="29"/>
      <c r="UTW70" s="29"/>
      <c r="UTX70" s="29"/>
      <c r="UTY70" s="29"/>
      <c r="UTZ70" s="29"/>
      <c r="UUA70" s="29"/>
      <c r="UUB70" s="29"/>
      <c r="UUC70" s="29"/>
      <c r="UUD70" s="29"/>
      <c r="UUE70" s="29"/>
      <c r="UUF70" s="29"/>
      <c r="UUG70" s="29"/>
      <c r="UUH70" s="29"/>
      <c r="UUI70" s="29"/>
      <c r="UUJ70" s="29"/>
      <c r="UUK70" s="29"/>
      <c r="UUL70" s="29"/>
      <c r="UUM70" s="29"/>
      <c r="UUN70" s="29"/>
      <c r="UUO70" s="29"/>
      <c r="UUP70" s="29"/>
      <c r="UUQ70" s="29"/>
      <c r="UUR70" s="29"/>
      <c r="UUS70" s="29"/>
      <c r="UUT70" s="29"/>
      <c r="UUU70" s="29"/>
      <c r="UUV70" s="29"/>
      <c r="UUW70" s="29"/>
      <c r="UUX70" s="29"/>
      <c r="UUY70" s="29"/>
      <c r="UUZ70" s="29"/>
      <c r="UVA70" s="29"/>
      <c r="UVB70" s="29"/>
      <c r="UVC70" s="29"/>
      <c r="UVD70" s="29"/>
      <c r="UVE70" s="29"/>
      <c r="UVF70" s="29"/>
      <c r="UVG70" s="29"/>
      <c r="UVH70" s="29"/>
      <c r="UVI70" s="29"/>
      <c r="UVJ70" s="29"/>
      <c r="UVK70" s="29"/>
      <c r="UVL70" s="29"/>
      <c r="UVM70" s="29"/>
      <c r="UVN70" s="29"/>
      <c r="UVO70" s="29"/>
      <c r="UVP70" s="29"/>
      <c r="UVQ70" s="29"/>
      <c r="UVR70" s="29"/>
      <c r="UVS70" s="29"/>
      <c r="UVT70" s="29"/>
      <c r="UVU70" s="29"/>
      <c r="UVV70" s="29"/>
      <c r="UVW70" s="29"/>
      <c r="UVX70" s="29"/>
      <c r="UVY70" s="29"/>
      <c r="UVZ70" s="29"/>
      <c r="UWA70" s="29"/>
      <c r="UWB70" s="29"/>
      <c r="UWC70" s="29"/>
      <c r="UWD70" s="29"/>
      <c r="UWE70" s="29"/>
      <c r="UWF70" s="29"/>
      <c r="UWG70" s="29"/>
      <c r="UWH70" s="29"/>
      <c r="UWI70" s="29"/>
      <c r="UWJ70" s="29"/>
      <c r="UWK70" s="29"/>
      <c r="UWL70" s="29"/>
      <c r="UWM70" s="29"/>
      <c r="UWN70" s="29"/>
      <c r="UWO70" s="29"/>
      <c r="UWP70" s="29"/>
      <c r="UWQ70" s="29"/>
      <c r="UWR70" s="29"/>
      <c r="UWS70" s="29"/>
      <c r="UWT70" s="29"/>
      <c r="UWU70" s="29"/>
      <c r="UWV70" s="29"/>
      <c r="UWW70" s="29"/>
      <c r="UWX70" s="29"/>
      <c r="UWY70" s="29"/>
      <c r="UWZ70" s="29"/>
      <c r="UXA70" s="29"/>
      <c r="UXB70" s="29"/>
      <c r="UXC70" s="29"/>
      <c r="UXD70" s="29"/>
      <c r="UXE70" s="29"/>
      <c r="UXF70" s="29"/>
      <c r="UXG70" s="29"/>
      <c r="UXH70" s="29"/>
      <c r="UXI70" s="29"/>
      <c r="UXJ70" s="29"/>
      <c r="UXK70" s="29"/>
      <c r="UXL70" s="29"/>
      <c r="UXM70" s="29"/>
      <c r="UXN70" s="29"/>
      <c r="UXO70" s="29"/>
      <c r="UXP70" s="29"/>
      <c r="UXQ70" s="29"/>
      <c r="UXR70" s="29"/>
      <c r="UXS70" s="29"/>
      <c r="UXT70" s="29"/>
      <c r="UXU70" s="29"/>
      <c r="UXV70" s="29"/>
      <c r="UXW70" s="29"/>
      <c r="UXX70" s="29"/>
      <c r="UXY70" s="29"/>
      <c r="UXZ70" s="29"/>
      <c r="UYA70" s="29"/>
      <c r="UYB70" s="29"/>
      <c r="UYC70" s="29"/>
      <c r="UYD70" s="29"/>
      <c r="UYE70" s="29"/>
      <c r="UYF70" s="29"/>
      <c r="UYG70" s="29"/>
      <c r="UYH70" s="29"/>
      <c r="UYI70" s="29"/>
      <c r="UYJ70" s="29"/>
      <c r="UYK70" s="29"/>
      <c r="UYL70" s="29"/>
      <c r="UYM70" s="29"/>
      <c r="UYN70" s="29"/>
      <c r="UYO70" s="29"/>
      <c r="UYP70" s="29"/>
      <c r="UYQ70" s="29"/>
      <c r="UYR70" s="29"/>
      <c r="UYS70" s="29"/>
      <c r="UYT70" s="29"/>
      <c r="UYU70" s="29"/>
      <c r="UYV70" s="29"/>
      <c r="UYW70" s="29"/>
      <c r="UYX70" s="29"/>
      <c r="UYY70" s="29"/>
      <c r="UYZ70" s="29"/>
      <c r="UZA70" s="29"/>
      <c r="UZB70" s="29"/>
      <c r="UZC70" s="29"/>
      <c r="UZD70" s="29"/>
      <c r="UZE70" s="29"/>
      <c r="UZF70" s="29"/>
      <c r="UZG70" s="29"/>
      <c r="UZH70" s="29"/>
      <c r="UZI70" s="29"/>
      <c r="UZJ70" s="29"/>
      <c r="UZK70" s="29"/>
      <c r="UZL70" s="29"/>
      <c r="UZM70" s="29"/>
      <c r="UZN70" s="29"/>
      <c r="UZO70" s="29"/>
      <c r="UZP70" s="29"/>
      <c r="UZQ70" s="29"/>
      <c r="UZR70" s="29"/>
      <c r="UZS70" s="29"/>
      <c r="UZT70" s="29"/>
      <c r="UZU70" s="29"/>
      <c r="UZV70" s="29"/>
      <c r="UZW70" s="29"/>
      <c r="UZX70" s="29"/>
      <c r="UZY70" s="29"/>
      <c r="UZZ70" s="29"/>
      <c r="VAA70" s="29"/>
      <c r="VAB70" s="29"/>
      <c r="VAC70" s="29"/>
      <c r="VAD70" s="29"/>
      <c r="VAE70" s="29"/>
      <c r="VAF70" s="29"/>
      <c r="VAG70" s="29"/>
      <c r="VAH70" s="29"/>
      <c r="VAI70" s="29"/>
      <c r="VAJ70" s="29"/>
      <c r="VAK70" s="29"/>
      <c r="VAL70" s="29"/>
      <c r="VAM70" s="29"/>
      <c r="VAN70" s="29"/>
      <c r="VAO70" s="29"/>
      <c r="VAP70" s="29"/>
      <c r="VAQ70" s="29"/>
      <c r="VAR70" s="29"/>
      <c r="VAS70" s="29"/>
      <c r="VAT70" s="29"/>
      <c r="VAU70" s="29"/>
      <c r="VAV70" s="29"/>
      <c r="VAW70" s="29"/>
      <c r="VAX70" s="29"/>
      <c r="VAY70" s="29"/>
      <c r="VAZ70" s="29"/>
      <c r="VBA70" s="29"/>
      <c r="VBB70" s="29"/>
      <c r="VBC70" s="29"/>
      <c r="VBD70" s="29"/>
      <c r="VBE70" s="29"/>
      <c r="VBF70" s="29"/>
      <c r="VBG70" s="29"/>
      <c r="VBH70" s="29"/>
      <c r="VBI70" s="29"/>
      <c r="VBJ70" s="29"/>
      <c r="VBK70" s="29"/>
      <c r="VBL70" s="29"/>
      <c r="VBM70" s="29"/>
      <c r="VBN70" s="29"/>
      <c r="VBO70" s="29"/>
      <c r="VBP70" s="29"/>
      <c r="VBQ70" s="29"/>
      <c r="VBR70" s="29"/>
      <c r="VBS70" s="29"/>
      <c r="VBT70" s="29"/>
      <c r="VBU70" s="29"/>
      <c r="VBV70" s="29"/>
      <c r="VBW70" s="29"/>
      <c r="VBX70" s="29"/>
      <c r="VBY70" s="29"/>
      <c r="VBZ70" s="29"/>
      <c r="VCA70" s="29"/>
      <c r="VCB70" s="29"/>
      <c r="VCC70" s="29"/>
      <c r="VCD70" s="29"/>
      <c r="VCE70" s="29"/>
      <c r="VCF70" s="29"/>
      <c r="VCG70" s="29"/>
      <c r="VCH70" s="29"/>
      <c r="VCI70" s="29"/>
      <c r="VCJ70" s="29"/>
      <c r="VCK70" s="29"/>
      <c r="VCL70" s="29"/>
      <c r="VCM70" s="29"/>
      <c r="VCN70" s="29"/>
      <c r="VCO70" s="29"/>
      <c r="VCP70" s="29"/>
      <c r="VCQ70" s="29"/>
      <c r="VCR70" s="29"/>
      <c r="VCS70" s="29"/>
      <c r="VCT70" s="29"/>
      <c r="VCU70" s="29"/>
      <c r="VCV70" s="29"/>
      <c r="VCW70" s="29"/>
      <c r="VCX70" s="29"/>
      <c r="VCY70" s="29"/>
      <c r="VCZ70" s="29"/>
      <c r="VDA70" s="29"/>
      <c r="VDB70" s="29"/>
      <c r="VDC70" s="29"/>
      <c r="VDD70" s="29"/>
      <c r="VDE70" s="29"/>
      <c r="VDF70" s="29"/>
      <c r="VDG70" s="29"/>
      <c r="VDH70" s="29"/>
      <c r="VDI70" s="29"/>
      <c r="VDJ70" s="29"/>
      <c r="VDK70" s="29"/>
      <c r="VDL70" s="29"/>
      <c r="VDM70" s="29"/>
      <c r="VDN70" s="29"/>
      <c r="VDO70" s="29"/>
      <c r="VDP70" s="29"/>
      <c r="VDQ70" s="29"/>
      <c r="VDR70" s="29"/>
      <c r="VDS70" s="29"/>
      <c r="VDT70" s="29"/>
      <c r="VDU70" s="29"/>
      <c r="VDV70" s="29"/>
      <c r="VDW70" s="29"/>
      <c r="VDX70" s="29"/>
      <c r="VDY70" s="29"/>
      <c r="VDZ70" s="29"/>
      <c r="VEA70" s="29"/>
      <c r="VEB70" s="29"/>
      <c r="VEC70" s="29"/>
      <c r="VED70" s="29"/>
      <c r="VEE70" s="29"/>
      <c r="VEF70" s="29"/>
      <c r="VEG70" s="29"/>
      <c r="VEH70" s="29"/>
      <c r="VEI70" s="29"/>
      <c r="VEJ70" s="29"/>
      <c r="VEK70" s="29"/>
      <c r="VEL70" s="29"/>
      <c r="VEM70" s="29"/>
      <c r="VEN70" s="29"/>
      <c r="VEO70" s="29"/>
      <c r="VEP70" s="29"/>
      <c r="VEQ70" s="29"/>
      <c r="VER70" s="29"/>
      <c r="VES70" s="29"/>
      <c r="VET70" s="29"/>
      <c r="VEU70" s="29"/>
      <c r="VEV70" s="29"/>
      <c r="VEW70" s="29"/>
      <c r="VEX70" s="29"/>
      <c r="VEY70" s="29"/>
      <c r="VEZ70" s="29"/>
      <c r="VFA70" s="29"/>
      <c r="VFB70" s="29"/>
      <c r="VFC70" s="29"/>
      <c r="VFD70" s="29"/>
      <c r="VFE70" s="29"/>
      <c r="VFF70" s="29"/>
      <c r="VFG70" s="29"/>
      <c r="VFH70" s="29"/>
      <c r="VFI70" s="29"/>
      <c r="VFJ70" s="29"/>
      <c r="VFK70" s="29"/>
      <c r="VFL70" s="29"/>
      <c r="VFM70" s="29"/>
      <c r="VFN70" s="29"/>
      <c r="VFO70" s="29"/>
      <c r="VFP70" s="29"/>
      <c r="VFQ70" s="29"/>
      <c r="VFR70" s="29"/>
      <c r="VFS70" s="29"/>
      <c r="VFT70" s="29"/>
      <c r="VFU70" s="29"/>
      <c r="VFV70" s="29"/>
      <c r="VFW70" s="29"/>
      <c r="VFX70" s="29"/>
      <c r="VFY70" s="29"/>
      <c r="VFZ70" s="29"/>
      <c r="VGA70" s="29"/>
      <c r="VGB70" s="29"/>
      <c r="VGC70" s="29"/>
      <c r="VGD70" s="29"/>
      <c r="VGE70" s="29"/>
      <c r="VGF70" s="29"/>
      <c r="VGG70" s="29"/>
      <c r="VGH70" s="29"/>
      <c r="VGI70" s="29"/>
      <c r="VGJ70" s="29"/>
      <c r="VGK70" s="29"/>
      <c r="VGL70" s="29"/>
      <c r="VGM70" s="29"/>
      <c r="VGN70" s="29"/>
      <c r="VGO70" s="29"/>
      <c r="VGP70" s="29"/>
      <c r="VGQ70" s="29"/>
      <c r="VGR70" s="29"/>
      <c r="VGS70" s="29"/>
      <c r="VGT70" s="29"/>
      <c r="VGU70" s="29"/>
      <c r="VGV70" s="29"/>
      <c r="VGW70" s="29"/>
      <c r="VGX70" s="29"/>
      <c r="VGY70" s="29"/>
      <c r="VGZ70" s="29"/>
      <c r="VHA70" s="29"/>
      <c r="VHB70" s="29"/>
      <c r="VHC70" s="29"/>
      <c r="VHD70" s="29"/>
      <c r="VHE70" s="29"/>
      <c r="VHF70" s="29"/>
      <c r="VHG70" s="29"/>
      <c r="VHH70" s="29"/>
      <c r="VHI70" s="29"/>
      <c r="VHJ70" s="29"/>
      <c r="VHK70" s="29"/>
      <c r="VHL70" s="29"/>
      <c r="VHM70" s="29"/>
      <c r="VHN70" s="29"/>
      <c r="VHO70" s="29"/>
      <c r="VHP70" s="29"/>
      <c r="VHQ70" s="29"/>
      <c r="VHR70" s="29"/>
      <c r="VHS70" s="29"/>
      <c r="VHT70" s="29"/>
      <c r="VHU70" s="29"/>
      <c r="VHV70" s="29"/>
      <c r="VHW70" s="29"/>
      <c r="VHX70" s="29"/>
      <c r="VHY70" s="29"/>
      <c r="VHZ70" s="29"/>
      <c r="VIA70" s="29"/>
      <c r="VIB70" s="29"/>
      <c r="VIC70" s="29"/>
      <c r="VID70" s="29"/>
      <c r="VIE70" s="29"/>
      <c r="VIF70" s="29"/>
      <c r="VIG70" s="29"/>
      <c r="VIH70" s="29"/>
      <c r="VII70" s="29"/>
      <c r="VIJ70" s="29"/>
      <c r="VIK70" s="29"/>
      <c r="VIL70" s="29"/>
      <c r="VIM70" s="29"/>
      <c r="VIN70" s="29"/>
      <c r="VIO70" s="29"/>
      <c r="VIP70" s="29"/>
      <c r="VIQ70" s="29"/>
      <c r="VIR70" s="29"/>
      <c r="VIS70" s="29"/>
      <c r="VIT70" s="29"/>
      <c r="VIU70" s="29"/>
      <c r="VIV70" s="29"/>
      <c r="VIW70" s="29"/>
      <c r="VIX70" s="29"/>
      <c r="VIY70" s="29"/>
      <c r="VIZ70" s="29"/>
      <c r="VJA70" s="29"/>
      <c r="VJB70" s="29"/>
      <c r="VJC70" s="29"/>
      <c r="VJD70" s="29"/>
      <c r="VJE70" s="29"/>
      <c r="VJF70" s="29"/>
      <c r="VJG70" s="29"/>
      <c r="VJH70" s="29"/>
      <c r="VJI70" s="29"/>
      <c r="VJJ70" s="29"/>
      <c r="VJK70" s="29"/>
      <c r="VJL70" s="29"/>
      <c r="VJM70" s="29"/>
      <c r="VJN70" s="29"/>
      <c r="VJO70" s="29"/>
      <c r="VJP70" s="29"/>
      <c r="VJQ70" s="29"/>
      <c r="VJR70" s="29"/>
      <c r="VJS70" s="29"/>
      <c r="VJT70" s="29"/>
      <c r="VJU70" s="29"/>
      <c r="VJV70" s="29"/>
      <c r="VJW70" s="29"/>
      <c r="VJX70" s="29"/>
      <c r="VJY70" s="29"/>
      <c r="VJZ70" s="29"/>
      <c r="VKA70" s="29"/>
      <c r="VKB70" s="29"/>
      <c r="VKC70" s="29"/>
      <c r="VKD70" s="29"/>
      <c r="VKE70" s="29"/>
      <c r="VKF70" s="29"/>
      <c r="VKG70" s="29"/>
      <c r="VKH70" s="29"/>
      <c r="VKI70" s="29"/>
      <c r="VKJ70" s="29"/>
      <c r="VKK70" s="29"/>
      <c r="VKL70" s="29"/>
      <c r="VKM70" s="29"/>
      <c r="VKN70" s="29"/>
      <c r="VKO70" s="29"/>
      <c r="VKP70" s="29"/>
      <c r="VKQ70" s="29"/>
      <c r="VKR70" s="29"/>
      <c r="VKS70" s="29"/>
      <c r="VKT70" s="29"/>
      <c r="VKU70" s="29"/>
      <c r="VKV70" s="29"/>
      <c r="VKW70" s="29"/>
      <c r="VKX70" s="29"/>
      <c r="VKY70" s="29"/>
      <c r="VKZ70" s="29"/>
      <c r="VLA70" s="29"/>
      <c r="VLB70" s="29"/>
      <c r="VLC70" s="29"/>
      <c r="VLD70" s="29"/>
      <c r="VLE70" s="29"/>
      <c r="VLF70" s="29"/>
      <c r="VLG70" s="29"/>
      <c r="VLH70" s="29"/>
      <c r="VLI70" s="29"/>
      <c r="VLJ70" s="29"/>
      <c r="VLK70" s="29"/>
      <c r="VLL70" s="29"/>
      <c r="VLM70" s="29"/>
      <c r="VLN70" s="29"/>
      <c r="VLO70" s="29"/>
      <c r="VLP70" s="29"/>
      <c r="VLQ70" s="29"/>
      <c r="VLR70" s="29"/>
      <c r="VLS70" s="29"/>
      <c r="VLT70" s="29"/>
      <c r="VLU70" s="29"/>
      <c r="VLV70" s="29"/>
      <c r="VLW70" s="29"/>
      <c r="VLX70" s="29"/>
      <c r="VLY70" s="29"/>
      <c r="VLZ70" s="29"/>
      <c r="VMA70" s="29"/>
      <c r="VMB70" s="29"/>
      <c r="VMC70" s="29"/>
      <c r="VMD70" s="29"/>
      <c r="VME70" s="29"/>
      <c r="VMF70" s="29"/>
      <c r="VMG70" s="29"/>
      <c r="VMH70" s="29"/>
      <c r="VMI70" s="29"/>
      <c r="VMJ70" s="29"/>
      <c r="VMK70" s="29"/>
      <c r="VML70" s="29"/>
      <c r="VMM70" s="29"/>
      <c r="VMN70" s="29"/>
      <c r="VMO70" s="29"/>
      <c r="VMP70" s="29"/>
      <c r="VMQ70" s="29"/>
      <c r="VMR70" s="29"/>
      <c r="VMS70" s="29"/>
      <c r="VMT70" s="29"/>
      <c r="VMU70" s="29"/>
      <c r="VMV70" s="29"/>
      <c r="VMW70" s="29"/>
      <c r="VMX70" s="29"/>
      <c r="VMY70" s="29"/>
      <c r="VMZ70" s="29"/>
      <c r="VNA70" s="29"/>
      <c r="VNB70" s="29"/>
      <c r="VNC70" s="29"/>
      <c r="VND70" s="29"/>
      <c r="VNE70" s="29"/>
      <c r="VNF70" s="29"/>
      <c r="VNG70" s="29"/>
      <c r="VNH70" s="29"/>
      <c r="VNI70" s="29"/>
      <c r="VNJ70" s="29"/>
      <c r="VNK70" s="29"/>
      <c r="VNL70" s="29"/>
      <c r="VNM70" s="29"/>
      <c r="VNN70" s="29"/>
      <c r="VNO70" s="29"/>
      <c r="VNP70" s="29"/>
      <c r="VNQ70" s="29"/>
      <c r="VNR70" s="29"/>
      <c r="VNS70" s="29"/>
      <c r="VNT70" s="29"/>
      <c r="VNU70" s="29"/>
      <c r="VNV70" s="29"/>
      <c r="VNW70" s="29"/>
      <c r="VNX70" s="29"/>
      <c r="VNY70" s="29"/>
      <c r="VNZ70" s="29"/>
      <c r="VOA70" s="29"/>
      <c r="VOB70" s="29"/>
      <c r="VOC70" s="29"/>
      <c r="VOD70" s="29"/>
      <c r="VOE70" s="29"/>
      <c r="VOF70" s="29"/>
      <c r="VOG70" s="29"/>
      <c r="VOH70" s="29"/>
      <c r="VOI70" s="29"/>
      <c r="VOJ70" s="29"/>
      <c r="VOK70" s="29"/>
      <c r="VOL70" s="29"/>
      <c r="VOM70" s="29"/>
      <c r="VON70" s="29"/>
      <c r="VOO70" s="29"/>
      <c r="VOP70" s="29"/>
      <c r="VOQ70" s="29"/>
      <c r="VOR70" s="29"/>
      <c r="VOS70" s="29"/>
      <c r="VOT70" s="29"/>
      <c r="VOU70" s="29"/>
      <c r="VOV70" s="29"/>
      <c r="VOW70" s="29"/>
      <c r="VOX70" s="29"/>
      <c r="VOY70" s="29"/>
      <c r="VOZ70" s="29"/>
      <c r="VPA70" s="29"/>
      <c r="VPB70" s="29"/>
      <c r="VPC70" s="29"/>
      <c r="VPD70" s="29"/>
      <c r="VPE70" s="29"/>
      <c r="VPF70" s="29"/>
      <c r="VPG70" s="29"/>
      <c r="VPH70" s="29"/>
      <c r="VPI70" s="29"/>
      <c r="VPJ70" s="29"/>
      <c r="VPK70" s="29"/>
      <c r="VPL70" s="29"/>
      <c r="VPM70" s="29"/>
      <c r="VPN70" s="29"/>
      <c r="VPO70" s="29"/>
      <c r="VPP70" s="29"/>
      <c r="VPQ70" s="29"/>
      <c r="VPR70" s="29"/>
      <c r="VPS70" s="29"/>
      <c r="VPT70" s="29"/>
      <c r="VPU70" s="29"/>
      <c r="VPV70" s="29"/>
      <c r="VPW70" s="29"/>
      <c r="VPX70" s="29"/>
      <c r="VPY70" s="29"/>
      <c r="VPZ70" s="29"/>
      <c r="VQA70" s="29"/>
      <c r="VQB70" s="29"/>
      <c r="VQC70" s="29"/>
      <c r="VQD70" s="29"/>
      <c r="VQE70" s="29"/>
      <c r="VQF70" s="29"/>
      <c r="VQG70" s="29"/>
      <c r="VQH70" s="29"/>
      <c r="VQI70" s="29"/>
      <c r="VQJ70" s="29"/>
      <c r="VQK70" s="29"/>
      <c r="VQL70" s="29"/>
      <c r="VQM70" s="29"/>
      <c r="VQN70" s="29"/>
      <c r="VQO70" s="29"/>
      <c r="VQP70" s="29"/>
      <c r="VQQ70" s="29"/>
      <c r="VQR70" s="29"/>
      <c r="VQS70" s="29"/>
      <c r="VQT70" s="29"/>
      <c r="VQU70" s="29"/>
      <c r="VQV70" s="29"/>
      <c r="VQW70" s="29"/>
      <c r="VQX70" s="29"/>
      <c r="VQY70" s="29"/>
      <c r="VQZ70" s="29"/>
      <c r="VRA70" s="29"/>
      <c r="VRB70" s="29"/>
      <c r="VRC70" s="29"/>
      <c r="VRD70" s="29"/>
      <c r="VRE70" s="29"/>
      <c r="VRF70" s="29"/>
      <c r="VRG70" s="29"/>
      <c r="VRH70" s="29"/>
      <c r="VRI70" s="29"/>
      <c r="VRJ70" s="29"/>
      <c r="VRK70" s="29"/>
      <c r="VRL70" s="29"/>
      <c r="VRM70" s="29"/>
      <c r="VRN70" s="29"/>
      <c r="VRO70" s="29"/>
      <c r="VRP70" s="29"/>
      <c r="VRQ70" s="29"/>
      <c r="VRR70" s="29"/>
      <c r="VRS70" s="29"/>
      <c r="VRT70" s="29"/>
      <c r="VRU70" s="29"/>
      <c r="VRV70" s="29"/>
      <c r="VRW70" s="29"/>
      <c r="VRX70" s="29"/>
      <c r="VRY70" s="29"/>
      <c r="VRZ70" s="29"/>
      <c r="VSA70" s="29"/>
      <c r="VSB70" s="29"/>
      <c r="VSC70" s="29"/>
      <c r="VSD70" s="29"/>
      <c r="VSE70" s="29"/>
      <c r="VSF70" s="29"/>
      <c r="VSG70" s="29"/>
      <c r="VSH70" s="29"/>
      <c r="VSI70" s="29"/>
      <c r="VSJ70" s="29"/>
      <c r="VSK70" s="29"/>
      <c r="VSL70" s="29"/>
      <c r="VSM70" s="29"/>
      <c r="VSN70" s="29"/>
      <c r="VSO70" s="29"/>
      <c r="VSP70" s="29"/>
      <c r="VSQ70" s="29"/>
      <c r="VSR70" s="29"/>
      <c r="VSS70" s="29"/>
      <c r="VST70" s="29"/>
      <c r="VSU70" s="29"/>
      <c r="VSV70" s="29"/>
      <c r="VSW70" s="29"/>
      <c r="VSX70" s="29"/>
      <c r="VSY70" s="29"/>
      <c r="VSZ70" s="29"/>
      <c r="VTA70" s="29"/>
      <c r="VTB70" s="29"/>
      <c r="VTC70" s="29"/>
      <c r="VTD70" s="29"/>
      <c r="VTE70" s="29"/>
      <c r="VTF70" s="29"/>
      <c r="VTG70" s="29"/>
      <c r="VTH70" s="29"/>
      <c r="VTI70" s="29"/>
      <c r="VTJ70" s="29"/>
      <c r="VTK70" s="29"/>
      <c r="VTL70" s="29"/>
      <c r="VTM70" s="29"/>
      <c r="VTN70" s="29"/>
      <c r="VTO70" s="29"/>
      <c r="VTP70" s="29"/>
      <c r="VTQ70" s="29"/>
      <c r="VTR70" s="29"/>
      <c r="VTS70" s="29"/>
      <c r="VTT70" s="29"/>
      <c r="VTU70" s="29"/>
      <c r="VTV70" s="29"/>
      <c r="VTW70" s="29"/>
      <c r="VTX70" s="29"/>
      <c r="VTY70" s="29"/>
      <c r="VTZ70" s="29"/>
      <c r="VUA70" s="29"/>
      <c r="VUB70" s="29"/>
      <c r="VUC70" s="29"/>
      <c r="VUD70" s="29"/>
      <c r="VUE70" s="29"/>
      <c r="VUF70" s="29"/>
      <c r="VUG70" s="29"/>
      <c r="VUH70" s="29"/>
      <c r="VUI70" s="29"/>
      <c r="VUJ70" s="29"/>
      <c r="VUK70" s="29"/>
      <c r="VUL70" s="29"/>
      <c r="VUM70" s="29"/>
      <c r="VUN70" s="29"/>
      <c r="VUO70" s="29"/>
      <c r="VUP70" s="29"/>
      <c r="VUQ70" s="29"/>
      <c r="VUR70" s="29"/>
      <c r="VUS70" s="29"/>
      <c r="VUT70" s="29"/>
      <c r="VUU70" s="29"/>
      <c r="VUV70" s="29"/>
      <c r="VUW70" s="29"/>
      <c r="VUX70" s="29"/>
      <c r="VUY70" s="29"/>
      <c r="VUZ70" s="29"/>
      <c r="VVA70" s="29"/>
      <c r="VVB70" s="29"/>
      <c r="VVC70" s="29"/>
      <c r="VVD70" s="29"/>
      <c r="VVE70" s="29"/>
      <c r="VVF70" s="29"/>
      <c r="VVG70" s="29"/>
      <c r="VVH70" s="29"/>
      <c r="VVI70" s="29"/>
      <c r="VVJ70" s="29"/>
      <c r="VVK70" s="29"/>
      <c r="VVL70" s="29"/>
      <c r="VVM70" s="29"/>
      <c r="VVN70" s="29"/>
      <c r="VVO70" s="29"/>
      <c r="VVP70" s="29"/>
      <c r="VVQ70" s="29"/>
      <c r="VVR70" s="29"/>
      <c r="VVS70" s="29"/>
      <c r="VVT70" s="29"/>
      <c r="VVU70" s="29"/>
      <c r="VVV70" s="29"/>
      <c r="VVW70" s="29"/>
      <c r="VVX70" s="29"/>
      <c r="VVY70" s="29"/>
      <c r="VVZ70" s="29"/>
      <c r="VWA70" s="29"/>
      <c r="VWB70" s="29"/>
      <c r="VWC70" s="29"/>
      <c r="VWD70" s="29"/>
      <c r="VWE70" s="29"/>
      <c r="VWF70" s="29"/>
      <c r="VWG70" s="29"/>
      <c r="VWH70" s="29"/>
      <c r="VWI70" s="29"/>
      <c r="VWJ70" s="29"/>
      <c r="VWK70" s="29"/>
      <c r="VWL70" s="29"/>
      <c r="VWM70" s="29"/>
      <c r="VWN70" s="29"/>
      <c r="VWO70" s="29"/>
      <c r="VWP70" s="29"/>
      <c r="VWQ70" s="29"/>
      <c r="VWR70" s="29"/>
      <c r="VWS70" s="29"/>
      <c r="VWT70" s="29"/>
      <c r="VWU70" s="29"/>
      <c r="VWV70" s="29"/>
      <c r="VWW70" s="29"/>
      <c r="VWX70" s="29"/>
      <c r="VWY70" s="29"/>
      <c r="VWZ70" s="29"/>
      <c r="VXA70" s="29"/>
      <c r="VXB70" s="29"/>
      <c r="VXC70" s="29"/>
      <c r="VXD70" s="29"/>
      <c r="VXE70" s="29"/>
      <c r="VXF70" s="29"/>
      <c r="VXG70" s="29"/>
      <c r="VXH70" s="29"/>
      <c r="VXI70" s="29"/>
      <c r="VXJ70" s="29"/>
      <c r="VXK70" s="29"/>
      <c r="VXL70" s="29"/>
      <c r="VXM70" s="29"/>
      <c r="VXN70" s="29"/>
      <c r="VXO70" s="29"/>
      <c r="VXP70" s="29"/>
      <c r="VXQ70" s="29"/>
      <c r="VXR70" s="29"/>
      <c r="VXS70" s="29"/>
      <c r="VXT70" s="29"/>
      <c r="VXU70" s="29"/>
      <c r="VXV70" s="29"/>
      <c r="VXW70" s="29"/>
      <c r="VXX70" s="29"/>
      <c r="VXY70" s="29"/>
      <c r="VXZ70" s="29"/>
      <c r="VYA70" s="29"/>
      <c r="VYB70" s="29"/>
      <c r="VYC70" s="29"/>
      <c r="VYD70" s="29"/>
      <c r="VYE70" s="29"/>
      <c r="VYF70" s="29"/>
      <c r="VYG70" s="29"/>
      <c r="VYH70" s="29"/>
      <c r="VYI70" s="29"/>
      <c r="VYJ70" s="29"/>
      <c r="VYK70" s="29"/>
      <c r="VYL70" s="29"/>
      <c r="VYM70" s="29"/>
      <c r="VYN70" s="29"/>
      <c r="VYO70" s="29"/>
      <c r="VYP70" s="29"/>
      <c r="VYQ70" s="29"/>
      <c r="VYR70" s="29"/>
      <c r="VYS70" s="29"/>
      <c r="VYT70" s="29"/>
      <c r="VYU70" s="29"/>
      <c r="VYV70" s="29"/>
      <c r="VYW70" s="29"/>
      <c r="VYX70" s="29"/>
      <c r="VYY70" s="29"/>
      <c r="VYZ70" s="29"/>
      <c r="VZA70" s="29"/>
      <c r="VZB70" s="29"/>
      <c r="VZC70" s="29"/>
      <c r="VZD70" s="29"/>
      <c r="VZE70" s="29"/>
      <c r="VZF70" s="29"/>
      <c r="VZG70" s="29"/>
      <c r="VZH70" s="29"/>
      <c r="VZI70" s="29"/>
      <c r="VZJ70" s="29"/>
      <c r="VZK70" s="29"/>
      <c r="VZL70" s="29"/>
      <c r="VZM70" s="29"/>
      <c r="VZN70" s="29"/>
      <c r="VZO70" s="29"/>
      <c r="VZP70" s="29"/>
      <c r="VZQ70" s="29"/>
      <c r="VZR70" s="29"/>
      <c r="VZS70" s="29"/>
      <c r="VZT70" s="29"/>
      <c r="VZU70" s="29"/>
      <c r="VZV70" s="29"/>
      <c r="VZW70" s="29"/>
      <c r="VZX70" s="29"/>
      <c r="VZY70" s="29"/>
      <c r="VZZ70" s="29"/>
      <c r="WAA70" s="29"/>
      <c r="WAB70" s="29"/>
      <c r="WAC70" s="29"/>
      <c r="WAD70" s="29"/>
      <c r="WAE70" s="29"/>
      <c r="WAF70" s="29"/>
      <c r="WAG70" s="29"/>
      <c r="WAH70" s="29"/>
      <c r="WAI70" s="29"/>
      <c r="WAJ70" s="29"/>
      <c r="WAK70" s="29"/>
      <c r="WAL70" s="29"/>
      <c r="WAM70" s="29"/>
      <c r="WAN70" s="29"/>
      <c r="WAO70" s="29"/>
      <c r="WAP70" s="29"/>
      <c r="WAQ70" s="29"/>
      <c r="WAR70" s="29"/>
      <c r="WAS70" s="29"/>
      <c r="WAT70" s="29"/>
      <c r="WAU70" s="29"/>
      <c r="WAV70" s="29"/>
      <c r="WAW70" s="29"/>
      <c r="WAX70" s="29"/>
      <c r="WAY70" s="29"/>
      <c r="WAZ70" s="29"/>
      <c r="WBA70" s="29"/>
      <c r="WBB70" s="29"/>
      <c r="WBC70" s="29"/>
      <c r="WBD70" s="29"/>
      <c r="WBE70" s="29"/>
      <c r="WBF70" s="29"/>
      <c r="WBG70" s="29"/>
      <c r="WBH70" s="29"/>
      <c r="WBI70" s="29"/>
      <c r="WBJ70" s="29"/>
      <c r="WBK70" s="29"/>
      <c r="WBL70" s="29"/>
      <c r="WBM70" s="29"/>
      <c r="WBN70" s="29"/>
      <c r="WBO70" s="29"/>
      <c r="WBP70" s="29"/>
      <c r="WBQ70" s="29"/>
      <c r="WBR70" s="29"/>
      <c r="WBS70" s="29"/>
      <c r="WBT70" s="29"/>
      <c r="WBU70" s="29"/>
      <c r="WBV70" s="29"/>
      <c r="WBW70" s="29"/>
      <c r="WBX70" s="29"/>
      <c r="WBY70" s="29"/>
      <c r="WBZ70" s="29"/>
      <c r="WCA70" s="29"/>
      <c r="WCB70" s="29"/>
      <c r="WCC70" s="29"/>
      <c r="WCD70" s="29"/>
      <c r="WCE70" s="29"/>
      <c r="WCF70" s="29"/>
      <c r="WCG70" s="29"/>
      <c r="WCH70" s="29"/>
      <c r="WCI70" s="29"/>
      <c r="WCJ70" s="29"/>
      <c r="WCK70" s="29"/>
      <c r="WCL70" s="29"/>
      <c r="WCM70" s="29"/>
      <c r="WCN70" s="29"/>
      <c r="WCO70" s="29"/>
      <c r="WCP70" s="29"/>
      <c r="WCQ70" s="29"/>
      <c r="WCR70" s="29"/>
      <c r="WCS70" s="29"/>
      <c r="WCT70" s="29"/>
      <c r="WCU70" s="29"/>
      <c r="WCV70" s="29"/>
      <c r="WCW70" s="29"/>
      <c r="WCX70" s="29"/>
      <c r="WCY70" s="29"/>
      <c r="WCZ70" s="29"/>
      <c r="WDA70" s="29"/>
      <c r="WDB70" s="29"/>
      <c r="WDC70" s="29"/>
      <c r="WDD70" s="29"/>
      <c r="WDE70" s="29"/>
      <c r="WDF70" s="29"/>
      <c r="WDG70" s="29"/>
      <c r="WDH70" s="29"/>
      <c r="WDI70" s="29"/>
      <c r="WDJ70" s="29"/>
      <c r="WDK70" s="29"/>
      <c r="WDL70" s="29"/>
      <c r="WDM70" s="29"/>
      <c r="WDN70" s="29"/>
      <c r="WDO70" s="29"/>
      <c r="WDP70" s="29"/>
      <c r="WDQ70" s="29"/>
      <c r="WDR70" s="29"/>
      <c r="WDS70" s="29"/>
      <c r="WDT70" s="29"/>
      <c r="WDU70" s="29"/>
      <c r="WDV70" s="29"/>
      <c r="WDW70" s="29"/>
      <c r="WDX70" s="29"/>
      <c r="WDY70" s="29"/>
      <c r="WDZ70" s="29"/>
      <c r="WEA70" s="29"/>
      <c r="WEB70" s="29"/>
      <c r="WEC70" s="29"/>
      <c r="WED70" s="29"/>
      <c r="WEE70" s="29"/>
      <c r="WEF70" s="29"/>
      <c r="WEG70" s="29"/>
      <c r="WEH70" s="29"/>
      <c r="WEI70" s="29"/>
      <c r="WEJ70" s="29"/>
      <c r="WEK70" s="29"/>
      <c r="WEL70" s="29"/>
      <c r="WEM70" s="29"/>
      <c r="WEN70" s="29"/>
      <c r="WEO70" s="29"/>
      <c r="WEP70" s="29"/>
      <c r="WEQ70" s="29"/>
      <c r="WER70" s="29"/>
      <c r="WES70" s="29"/>
      <c r="WET70" s="29"/>
      <c r="WEU70" s="29"/>
      <c r="WEV70" s="29"/>
      <c r="WEW70" s="29"/>
      <c r="WEX70" s="29"/>
      <c r="WEY70" s="29"/>
      <c r="WEZ70" s="29"/>
      <c r="WFA70" s="29"/>
      <c r="WFB70" s="29"/>
      <c r="WFC70" s="29"/>
      <c r="WFD70" s="29"/>
      <c r="WFE70" s="29"/>
      <c r="WFF70" s="29"/>
      <c r="WFG70" s="29"/>
      <c r="WFH70" s="29"/>
      <c r="WFI70" s="29"/>
      <c r="WFJ70" s="29"/>
      <c r="WFK70" s="29"/>
      <c r="WFL70" s="29"/>
      <c r="WFM70" s="29"/>
      <c r="WFN70" s="29"/>
      <c r="WFO70" s="29"/>
      <c r="WFP70" s="29"/>
      <c r="WFQ70" s="29"/>
      <c r="WFR70" s="29"/>
      <c r="WFS70" s="29"/>
      <c r="WFT70" s="29"/>
      <c r="WFU70" s="29"/>
      <c r="WFV70" s="29"/>
      <c r="WFW70" s="29"/>
      <c r="WFX70" s="29"/>
      <c r="WFY70" s="29"/>
      <c r="WFZ70" s="29"/>
      <c r="WGA70" s="29"/>
      <c r="WGB70" s="29"/>
      <c r="WGC70" s="29"/>
      <c r="WGD70" s="29"/>
      <c r="WGE70" s="29"/>
      <c r="WGF70" s="29"/>
      <c r="WGG70" s="29"/>
      <c r="WGH70" s="29"/>
      <c r="WGI70" s="29"/>
      <c r="WGJ70" s="29"/>
      <c r="WGK70" s="29"/>
      <c r="WGL70" s="29"/>
      <c r="WGM70" s="29"/>
      <c r="WGN70" s="29"/>
      <c r="WGO70" s="29"/>
      <c r="WGP70" s="29"/>
      <c r="WGQ70" s="29"/>
      <c r="WGR70" s="29"/>
      <c r="WGS70" s="29"/>
      <c r="WGT70" s="29"/>
      <c r="WGU70" s="29"/>
      <c r="WGV70" s="29"/>
      <c r="WGW70" s="29"/>
      <c r="WGX70" s="29"/>
      <c r="WGY70" s="29"/>
      <c r="WGZ70" s="29"/>
      <c r="WHA70" s="29"/>
      <c r="WHB70" s="29"/>
      <c r="WHC70" s="29"/>
      <c r="WHD70" s="29"/>
      <c r="WHE70" s="29"/>
      <c r="WHF70" s="29"/>
      <c r="WHG70" s="29"/>
      <c r="WHH70" s="29"/>
      <c r="WHI70" s="29"/>
      <c r="WHJ70" s="29"/>
      <c r="WHK70" s="29"/>
      <c r="WHL70" s="29"/>
      <c r="WHM70" s="29"/>
      <c r="WHN70" s="29"/>
      <c r="WHO70" s="29"/>
      <c r="WHP70" s="29"/>
      <c r="WHQ70" s="29"/>
      <c r="WHR70" s="29"/>
      <c r="WHS70" s="29"/>
      <c r="WHT70" s="29"/>
      <c r="WHU70" s="29"/>
      <c r="WHV70" s="29"/>
      <c r="WHW70" s="29"/>
      <c r="WHX70" s="29"/>
      <c r="WHY70" s="29"/>
      <c r="WHZ70" s="29"/>
      <c r="WIA70" s="29"/>
      <c r="WIB70" s="29"/>
      <c r="WIC70" s="29"/>
      <c r="WID70" s="29"/>
      <c r="WIE70" s="29"/>
      <c r="WIF70" s="29"/>
      <c r="WIG70" s="29"/>
      <c r="WIH70" s="29"/>
      <c r="WII70" s="29"/>
      <c r="WIJ70" s="29"/>
      <c r="WIK70" s="29"/>
      <c r="WIL70" s="29"/>
      <c r="WIM70" s="29"/>
      <c r="WIN70" s="29"/>
      <c r="WIO70" s="29"/>
      <c r="WIP70" s="29"/>
      <c r="WIQ70" s="29"/>
      <c r="WIR70" s="29"/>
      <c r="WIS70" s="29"/>
      <c r="WIT70" s="29"/>
      <c r="WIU70" s="29"/>
      <c r="WIV70" s="29"/>
      <c r="WIW70" s="29"/>
      <c r="WIX70" s="29"/>
      <c r="WIY70" s="29"/>
      <c r="WIZ70" s="29"/>
      <c r="WJA70" s="29"/>
      <c r="WJB70" s="29"/>
      <c r="WJC70" s="29"/>
      <c r="WJD70" s="29"/>
      <c r="WJE70" s="29"/>
      <c r="WJF70" s="29"/>
      <c r="WJG70" s="29"/>
      <c r="WJH70" s="29"/>
      <c r="WJI70" s="29"/>
      <c r="WJJ70" s="29"/>
      <c r="WJK70" s="29"/>
      <c r="WJL70" s="29"/>
      <c r="WJM70" s="29"/>
      <c r="WJN70" s="29"/>
      <c r="WJO70" s="29"/>
      <c r="WJP70" s="29"/>
      <c r="WJQ70" s="29"/>
      <c r="WJR70" s="29"/>
      <c r="WJS70" s="29"/>
      <c r="WJT70" s="29"/>
      <c r="WJU70" s="29"/>
      <c r="WJV70" s="29"/>
      <c r="WJW70" s="29"/>
      <c r="WJX70" s="29"/>
      <c r="WJY70" s="29"/>
      <c r="WJZ70" s="29"/>
      <c r="WKA70" s="29"/>
      <c r="WKB70" s="29"/>
      <c r="WKC70" s="29"/>
      <c r="WKD70" s="29"/>
      <c r="WKE70" s="29"/>
      <c r="WKF70" s="29"/>
      <c r="WKG70" s="29"/>
      <c r="WKH70" s="29"/>
      <c r="WKI70" s="29"/>
      <c r="WKJ70" s="29"/>
      <c r="WKK70" s="29"/>
      <c r="WKL70" s="29"/>
      <c r="WKM70" s="29"/>
      <c r="WKN70" s="29"/>
      <c r="WKO70" s="29"/>
      <c r="WKP70" s="29"/>
      <c r="WKQ70" s="29"/>
      <c r="WKR70" s="29"/>
      <c r="WKS70" s="29"/>
      <c r="WKT70" s="29"/>
      <c r="WKU70" s="29"/>
      <c r="WKV70" s="29"/>
      <c r="WKW70" s="29"/>
      <c r="WKX70" s="29"/>
      <c r="WKY70" s="29"/>
      <c r="WKZ70" s="29"/>
      <c r="WLA70" s="29"/>
      <c r="WLB70" s="29"/>
      <c r="WLC70" s="29"/>
      <c r="WLD70" s="29"/>
      <c r="WLE70" s="29"/>
      <c r="WLF70" s="29"/>
      <c r="WLG70" s="29"/>
      <c r="WLH70" s="29"/>
      <c r="WLI70" s="29"/>
      <c r="WLJ70" s="29"/>
      <c r="WLK70" s="29"/>
      <c r="WLL70" s="29"/>
      <c r="WLM70" s="29"/>
      <c r="WLN70" s="29"/>
      <c r="WLO70" s="29"/>
      <c r="WLP70" s="29"/>
      <c r="WLQ70" s="29"/>
      <c r="WLR70" s="29"/>
      <c r="WLS70" s="29"/>
      <c r="WLT70" s="29"/>
      <c r="WLU70" s="29"/>
      <c r="WLV70" s="29"/>
      <c r="WLW70" s="29"/>
      <c r="WLX70" s="29"/>
      <c r="WLY70" s="29"/>
      <c r="WLZ70" s="29"/>
      <c r="WMA70" s="29"/>
      <c r="WMB70" s="29"/>
      <c r="WMC70" s="29"/>
      <c r="WMD70" s="29"/>
      <c r="WME70" s="29"/>
      <c r="WMF70" s="29"/>
      <c r="WMG70" s="29"/>
      <c r="WMH70" s="29"/>
      <c r="WMI70" s="29"/>
      <c r="WMJ70" s="29"/>
      <c r="WMK70" s="29"/>
      <c r="WML70" s="29"/>
      <c r="WMM70" s="29"/>
      <c r="WMN70" s="29"/>
      <c r="WMO70" s="29"/>
      <c r="WMP70" s="29"/>
      <c r="WMQ70" s="29"/>
      <c r="WMR70" s="29"/>
      <c r="WMS70" s="29"/>
      <c r="WMT70" s="29"/>
      <c r="WMU70" s="29"/>
      <c r="WMV70" s="29"/>
      <c r="WMW70" s="29"/>
      <c r="WMX70" s="29"/>
      <c r="WMY70" s="29"/>
      <c r="WMZ70" s="29"/>
      <c r="WNA70" s="29"/>
      <c r="WNB70" s="29"/>
      <c r="WNC70" s="29"/>
      <c r="WND70" s="29"/>
      <c r="WNE70" s="29"/>
      <c r="WNF70" s="29"/>
      <c r="WNG70" s="29"/>
      <c r="WNH70" s="29"/>
      <c r="WNI70" s="29"/>
      <c r="WNJ70" s="29"/>
      <c r="WNK70" s="29"/>
      <c r="WNL70" s="29"/>
      <c r="WNM70" s="29"/>
      <c r="WNN70" s="29"/>
      <c r="WNO70" s="29"/>
      <c r="WNP70" s="29"/>
      <c r="WNQ70" s="29"/>
      <c r="WNR70" s="29"/>
      <c r="WNS70" s="29"/>
      <c r="WNT70" s="29"/>
      <c r="WNU70" s="29"/>
      <c r="WNV70" s="29"/>
      <c r="WNW70" s="29"/>
      <c r="WNX70" s="29"/>
      <c r="WNY70" s="29"/>
      <c r="WNZ70" s="29"/>
      <c r="WOA70" s="29"/>
      <c r="WOB70" s="29"/>
      <c r="WOC70" s="29"/>
      <c r="WOD70" s="29"/>
      <c r="WOE70" s="29"/>
      <c r="WOF70" s="29"/>
      <c r="WOG70" s="29"/>
      <c r="WOH70" s="29"/>
      <c r="WOI70" s="29"/>
      <c r="WOJ70" s="29"/>
      <c r="WOK70" s="29"/>
      <c r="WOL70" s="29"/>
      <c r="WOM70" s="29"/>
      <c r="WON70" s="29"/>
      <c r="WOO70" s="29"/>
      <c r="WOP70" s="29"/>
      <c r="WOQ70" s="29"/>
      <c r="WOR70" s="29"/>
      <c r="WOS70" s="29"/>
      <c r="WOT70" s="29"/>
      <c r="WOU70" s="29"/>
      <c r="WOV70" s="29"/>
      <c r="WOW70" s="29"/>
      <c r="WOX70" s="29"/>
      <c r="WOY70" s="29"/>
      <c r="WOZ70" s="29"/>
      <c r="WPA70" s="29"/>
      <c r="WPB70" s="29"/>
      <c r="WPC70" s="29"/>
      <c r="WPD70" s="29"/>
      <c r="WPE70" s="29"/>
      <c r="WPF70" s="29"/>
      <c r="WPG70" s="29"/>
      <c r="WPH70" s="29"/>
      <c r="WPI70" s="29"/>
      <c r="WPJ70" s="29"/>
      <c r="WPK70" s="29"/>
      <c r="WPL70" s="29"/>
      <c r="WPM70" s="29"/>
      <c r="WPN70" s="29"/>
      <c r="WPO70" s="29"/>
      <c r="WPP70" s="29"/>
      <c r="WPQ70" s="29"/>
      <c r="WPR70" s="29"/>
      <c r="WPS70" s="29"/>
      <c r="WPT70" s="29"/>
      <c r="WPU70" s="29"/>
      <c r="WPV70" s="29"/>
      <c r="WPW70" s="29"/>
      <c r="WPX70" s="29"/>
      <c r="WPY70" s="29"/>
      <c r="WPZ70" s="29"/>
      <c r="WQA70" s="29"/>
      <c r="WQB70" s="29"/>
      <c r="WQC70" s="29"/>
      <c r="WQD70" s="29"/>
      <c r="WQE70" s="29"/>
      <c r="WQF70" s="29"/>
      <c r="WQG70" s="29"/>
      <c r="WQH70" s="29"/>
      <c r="WQI70" s="29"/>
      <c r="WQJ70" s="29"/>
      <c r="WQK70" s="29"/>
      <c r="WQL70" s="29"/>
      <c r="WQM70" s="29"/>
      <c r="WQN70" s="29"/>
      <c r="WQO70" s="29"/>
      <c r="WQP70" s="29"/>
      <c r="WQQ70" s="29"/>
      <c r="WQR70" s="29"/>
      <c r="WQS70" s="29"/>
      <c r="WQT70" s="29"/>
      <c r="WQU70" s="29"/>
      <c r="WQV70" s="29"/>
      <c r="WQW70" s="29"/>
      <c r="WQX70" s="29"/>
      <c r="WQY70" s="29"/>
      <c r="WQZ70" s="29"/>
      <c r="WRA70" s="29"/>
      <c r="WRB70" s="29"/>
      <c r="WRC70" s="29"/>
      <c r="WRD70" s="29"/>
      <c r="WRE70" s="29"/>
      <c r="WRF70" s="29"/>
      <c r="WRG70" s="29"/>
      <c r="WRH70" s="29"/>
      <c r="WRI70" s="29"/>
      <c r="WRJ70" s="29"/>
      <c r="WRK70" s="29"/>
      <c r="WRL70" s="29"/>
      <c r="WRM70" s="29"/>
      <c r="WRN70" s="29"/>
      <c r="WRO70" s="29"/>
      <c r="WRP70" s="29"/>
      <c r="WRQ70" s="29"/>
      <c r="WRR70" s="29"/>
      <c r="WRS70" s="29"/>
      <c r="WRT70" s="29"/>
      <c r="WRU70" s="29"/>
      <c r="WRV70" s="29"/>
      <c r="WRW70" s="29"/>
      <c r="WRX70" s="29"/>
      <c r="WRY70" s="29"/>
      <c r="WRZ70" s="29"/>
      <c r="WSA70" s="29"/>
      <c r="WSB70" s="29"/>
      <c r="WSC70" s="29"/>
      <c r="WSD70" s="29"/>
      <c r="WSE70" s="29"/>
      <c r="WSF70" s="29"/>
      <c r="WSG70" s="29"/>
      <c r="WSH70" s="29"/>
      <c r="WSI70" s="29"/>
      <c r="WSJ70" s="29"/>
      <c r="WSK70" s="29"/>
      <c r="WSL70" s="29"/>
      <c r="WSM70" s="29"/>
      <c r="WSN70" s="29"/>
      <c r="WSO70" s="29"/>
      <c r="WSP70" s="29"/>
      <c r="WSQ70" s="29"/>
      <c r="WSR70" s="29"/>
      <c r="WSS70" s="29"/>
      <c r="WST70" s="29"/>
      <c r="WSU70" s="29"/>
      <c r="WSV70" s="29"/>
      <c r="WSW70" s="29"/>
      <c r="WSX70" s="29"/>
      <c r="WSY70" s="29"/>
      <c r="WSZ70" s="29"/>
      <c r="WTA70" s="29"/>
      <c r="WTB70" s="29"/>
      <c r="WTC70" s="29"/>
      <c r="WTD70" s="29"/>
      <c r="WTE70" s="29"/>
      <c r="WTF70" s="29"/>
      <c r="WTG70" s="29"/>
      <c r="WTH70" s="29"/>
      <c r="WTI70" s="29"/>
      <c r="WTJ70" s="29"/>
      <c r="WTK70" s="29"/>
      <c r="WTL70" s="29"/>
      <c r="WTM70" s="29"/>
      <c r="WTN70" s="29"/>
      <c r="WTO70" s="29"/>
      <c r="WTP70" s="29"/>
      <c r="WTQ70" s="29"/>
      <c r="WTR70" s="29"/>
      <c r="WTS70" s="29"/>
      <c r="WTT70" s="29"/>
      <c r="WTU70" s="29"/>
      <c r="WTV70" s="29"/>
      <c r="WTW70" s="29"/>
      <c r="WTX70" s="29"/>
      <c r="WTY70" s="29"/>
      <c r="WTZ70" s="29"/>
      <c r="WUA70" s="29"/>
      <c r="WUB70" s="29"/>
      <c r="WUC70" s="29"/>
      <c r="WUD70" s="29"/>
      <c r="WUE70" s="29"/>
      <c r="WUF70" s="29"/>
      <c r="WUG70" s="29"/>
      <c r="WUH70" s="29"/>
      <c r="WUI70" s="29"/>
      <c r="WUJ70" s="29"/>
      <c r="WUK70" s="29"/>
      <c r="WUL70" s="29"/>
      <c r="WUM70" s="29"/>
      <c r="WUN70" s="29"/>
      <c r="WUO70" s="29"/>
      <c r="WUP70" s="29"/>
      <c r="WUQ70" s="29"/>
      <c r="WUR70" s="29"/>
      <c r="WUS70" s="29"/>
      <c r="WUT70" s="29"/>
      <c r="WUU70" s="29"/>
      <c r="WUV70" s="29"/>
      <c r="WUW70" s="29"/>
      <c r="WUX70" s="29"/>
      <c r="WUY70" s="29"/>
      <c r="WUZ70" s="29"/>
      <c r="WVA70" s="29"/>
      <c r="WVB70" s="29"/>
      <c r="WVC70" s="29"/>
      <c r="WVD70" s="29"/>
      <c r="WVE70" s="29"/>
      <c r="WVF70" s="29"/>
      <c r="WVG70" s="29"/>
      <c r="WVH70" s="29"/>
      <c r="WVI70" s="29"/>
      <c r="WVJ70" s="29"/>
      <c r="WVK70" s="29"/>
      <c r="WVL70" s="29"/>
      <c r="WVM70" s="29"/>
      <c r="WVN70" s="29"/>
      <c r="WVO70" s="29"/>
      <c r="WVP70" s="29"/>
      <c r="WVQ70" s="29"/>
      <c r="WVR70" s="29"/>
      <c r="WVS70" s="29"/>
      <c r="WVT70" s="29"/>
      <c r="WVU70" s="29"/>
      <c r="WVV70" s="29"/>
      <c r="WVW70" s="29"/>
      <c r="WVX70" s="29"/>
      <c r="WVY70" s="29"/>
      <c r="WVZ70" s="29"/>
      <c r="WWA70" s="29"/>
      <c r="WWB70" s="29"/>
      <c r="WWC70" s="29"/>
      <c r="WWD70" s="29"/>
      <c r="WWE70" s="29"/>
      <c r="WWF70" s="29"/>
      <c r="WWG70" s="29"/>
      <c r="WWH70" s="29"/>
      <c r="WWI70" s="29"/>
      <c r="WWJ70" s="29"/>
      <c r="WWK70" s="29"/>
      <c r="WWL70" s="29"/>
      <c r="WWM70" s="29"/>
      <c r="WWN70" s="29"/>
      <c r="WWO70" s="29"/>
      <c r="WWP70" s="29"/>
      <c r="WWQ70" s="29"/>
      <c r="WWR70" s="29"/>
      <c r="WWS70" s="29"/>
      <c r="WWT70" s="29"/>
      <c r="WWU70" s="29"/>
      <c r="WWV70" s="29"/>
      <c r="WWW70" s="29"/>
      <c r="WWX70" s="29"/>
      <c r="WWY70" s="29"/>
      <c r="WWZ70" s="29"/>
      <c r="WXA70" s="29"/>
      <c r="WXB70" s="29"/>
      <c r="WXC70" s="29"/>
      <c r="WXD70" s="29"/>
      <c r="WXE70" s="29"/>
      <c r="WXF70" s="29"/>
      <c r="WXG70" s="29"/>
      <c r="WXH70" s="29"/>
      <c r="WXI70" s="29"/>
      <c r="WXJ70" s="29"/>
      <c r="WXK70" s="29"/>
      <c r="WXL70" s="29"/>
      <c r="WXM70" s="29"/>
      <c r="WXN70" s="29"/>
      <c r="WXO70" s="29"/>
      <c r="WXP70" s="29"/>
      <c r="WXQ70" s="29"/>
      <c r="WXR70" s="29"/>
      <c r="WXS70" s="29"/>
      <c r="WXT70" s="29"/>
      <c r="WXU70" s="29"/>
      <c r="WXV70" s="29"/>
      <c r="WXW70" s="29"/>
      <c r="WXX70" s="29"/>
      <c r="WXY70" s="29"/>
      <c r="WXZ70" s="29"/>
      <c r="WYA70" s="29"/>
      <c r="WYB70" s="29"/>
      <c r="WYC70" s="29"/>
      <c r="WYD70" s="29"/>
      <c r="WYE70" s="29"/>
      <c r="WYF70" s="29"/>
      <c r="WYG70" s="29"/>
      <c r="WYH70" s="29"/>
      <c r="WYI70" s="29"/>
      <c r="WYJ70" s="29"/>
      <c r="WYK70" s="29"/>
      <c r="WYL70" s="29"/>
      <c r="WYM70" s="29"/>
      <c r="WYN70" s="29"/>
      <c r="WYO70" s="29"/>
      <c r="WYP70" s="29"/>
      <c r="WYQ70" s="29"/>
      <c r="WYR70" s="29"/>
      <c r="WYS70" s="29"/>
      <c r="WYT70" s="29"/>
      <c r="WYU70" s="29"/>
      <c r="WYV70" s="29"/>
      <c r="WYW70" s="29"/>
      <c r="WYX70" s="29"/>
      <c r="WYY70" s="29"/>
      <c r="WYZ70" s="29"/>
      <c r="WZA70" s="29"/>
      <c r="WZB70" s="29"/>
      <c r="WZC70" s="29"/>
      <c r="WZD70" s="29"/>
      <c r="WZE70" s="29"/>
      <c r="WZF70" s="29"/>
      <c r="WZG70" s="29"/>
      <c r="WZH70" s="29"/>
      <c r="WZI70" s="29"/>
      <c r="WZJ70" s="29"/>
      <c r="WZK70" s="29"/>
      <c r="WZL70" s="29"/>
      <c r="WZM70" s="29"/>
      <c r="WZN70" s="29"/>
      <c r="WZO70" s="29"/>
      <c r="WZP70" s="29"/>
      <c r="WZQ70" s="29"/>
      <c r="WZR70" s="29"/>
      <c r="WZS70" s="29"/>
      <c r="WZT70" s="29"/>
      <c r="WZU70" s="29"/>
      <c r="WZV70" s="29"/>
      <c r="WZW70" s="29"/>
      <c r="WZX70" s="29"/>
      <c r="WZY70" s="29"/>
      <c r="WZZ70" s="29"/>
      <c r="XAA70" s="29"/>
      <c r="XAB70" s="29"/>
      <c r="XAC70" s="29"/>
      <c r="XAD70" s="29"/>
      <c r="XAE70" s="29"/>
      <c r="XAF70" s="29"/>
      <c r="XAG70" s="29"/>
      <c r="XAH70" s="29"/>
      <c r="XAI70" s="29"/>
      <c r="XAJ70" s="29"/>
      <c r="XAK70" s="29"/>
      <c r="XAL70" s="29"/>
      <c r="XAM70" s="29"/>
      <c r="XAN70" s="29"/>
      <c r="XAO70" s="29"/>
      <c r="XAP70" s="29"/>
      <c r="XAQ70" s="29"/>
      <c r="XAR70" s="29"/>
      <c r="XAS70" s="29"/>
      <c r="XAT70" s="29"/>
      <c r="XAU70" s="29"/>
      <c r="XAV70" s="29"/>
      <c r="XAW70" s="29"/>
      <c r="XAX70" s="29"/>
      <c r="XAY70" s="29"/>
      <c r="XAZ70" s="29"/>
      <c r="XBA70" s="29"/>
      <c r="XBB70" s="29"/>
      <c r="XBC70" s="29"/>
      <c r="XBD70" s="29"/>
      <c r="XBE70" s="29"/>
      <c r="XBF70" s="29"/>
      <c r="XBG70" s="29"/>
      <c r="XBH70" s="29"/>
      <c r="XBI70" s="29"/>
      <c r="XBJ70" s="29"/>
      <c r="XBK70" s="29"/>
      <c r="XBL70" s="29"/>
      <c r="XBM70" s="29"/>
      <c r="XBN70" s="29"/>
      <c r="XBO70" s="29"/>
      <c r="XBP70" s="29"/>
      <c r="XBQ70" s="29"/>
      <c r="XBR70" s="29"/>
      <c r="XBS70" s="29"/>
      <c r="XBT70" s="29"/>
      <c r="XBU70" s="29"/>
      <c r="XBV70" s="29"/>
      <c r="XBW70" s="29"/>
      <c r="XBX70" s="29"/>
      <c r="XBY70" s="29"/>
      <c r="XBZ70" s="29"/>
      <c r="XCA70" s="29"/>
      <c r="XCB70" s="29"/>
      <c r="XCC70" s="29"/>
      <c r="XCD70" s="29"/>
      <c r="XCE70" s="29"/>
      <c r="XCF70" s="29"/>
      <c r="XCG70" s="29"/>
      <c r="XCH70" s="29"/>
      <c r="XCI70" s="29"/>
      <c r="XCJ70" s="29"/>
      <c r="XCK70" s="29"/>
      <c r="XCL70" s="29"/>
      <c r="XCM70" s="29"/>
      <c r="XCN70" s="29"/>
      <c r="XCO70" s="29"/>
      <c r="XCP70" s="29"/>
      <c r="XCQ70" s="29"/>
      <c r="XCR70" s="29"/>
      <c r="XCS70" s="29"/>
      <c r="XCT70" s="29"/>
      <c r="XCU70" s="29"/>
      <c r="XCV70" s="29"/>
      <c r="XCW70" s="29"/>
      <c r="XCX70" s="29"/>
      <c r="XCY70" s="29"/>
      <c r="XCZ70" s="29"/>
      <c r="XDA70" s="29"/>
      <c r="XDB70" s="29"/>
      <c r="XDC70" s="29"/>
      <c r="XDD70" s="29"/>
      <c r="XDE70" s="29"/>
      <c r="XDF70" s="29"/>
      <c r="XDG70" s="29"/>
      <c r="XDH70" s="29"/>
      <c r="XDI70" s="29"/>
      <c r="XDJ70" s="29"/>
      <c r="XDK70" s="29"/>
      <c r="XDL70" s="29"/>
      <c r="XDM70" s="29"/>
      <c r="XDN70" s="29"/>
      <c r="XDO70" s="29"/>
      <c r="XDP70" s="29"/>
      <c r="XDQ70" s="29"/>
      <c r="XDR70" s="29"/>
      <c r="XDS70" s="29"/>
      <c r="XDT70" s="29"/>
      <c r="XDU70" s="29"/>
      <c r="XDV70" s="29"/>
      <c r="XDW70" s="29"/>
      <c r="XDX70" s="29"/>
      <c r="XDY70" s="29"/>
      <c r="XDZ70" s="29"/>
      <c r="XEA70" s="29"/>
      <c r="XEB70" s="29"/>
      <c r="XEC70" s="29"/>
      <c r="XED70" s="29"/>
      <c r="XEE70" s="29"/>
      <c r="XEF70" s="29"/>
      <c r="XEG70" s="29"/>
      <c r="XEH70" s="29"/>
      <c r="XEI70" s="29"/>
      <c r="XEJ70" s="29"/>
      <c r="XEK70" s="29"/>
      <c r="XEL70" s="29"/>
      <c r="XEM70" s="29"/>
      <c r="XEN70" s="29"/>
      <c r="XEO70" s="29"/>
      <c r="XEP70" s="29"/>
      <c r="XEQ70" s="29"/>
      <c r="XER70" s="29"/>
      <c r="XES70" s="29"/>
      <c r="XET70" s="29"/>
      <c r="XEU70" s="29"/>
      <c r="XEV70" s="29"/>
      <c r="XEW70" s="29"/>
      <c r="XEX70" s="29"/>
      <c r="XEY70" s="29"/>
      <c r="XEZ70" s="29"/>
      <c r="XFA70" s="29"/>
      <c r="XFB70" s="29"/>
      <c r="XFC70" s="29"/>
      <c r="XFD70" s="29"/>
    </row>
    <row r="71" spans="1:16384" ht="13.5" customHeight="1" x14ac:dyDescent="0.15">
      <c r="A71" s="77" t="s">
        <v>89</v>
      </c>
      <c r="B71" s="43">
        <v>1318.9</v>
      </c>
      <c r="C71" s="46">
        <v>828.3</v>
      </c>
      <c r="D71" s="46">
        <v>796.4</v>
      </c>
      <c r="E71" s="46">
        <v>31.9</v>
      </c>
      <c r="F71" s="25">
        <v>62.8</v>
      </c>
      <c r="G71" s="25">
        <v>60.4</v>
      </c>
      <c r="H71" s="73">
        <v>3.9</v>
      </c>
    </row>
    <row r="72" spans="1:16384" ht="13.5" customHeight="1" x14ac:dyDescent="0.15">
      <c r="A72" s="77"/>
      <c r="B72" s="43" t="s">
        <v>207</v>
      </c>
      <c r="C72" s="46" t="s">
        <v>207</v>
      </c>
      <c r="D72" s="46" t="s">
        <v>207</v>
      </c>
      <c r="E72" s="46" t="s">
        <v>207</v>
      </c>
      <c r="F72" s="25" t="s">
        <v>207</v>
      </c>
      <c r="G72" s="25" t="s">
        <v>207</v>
      </c>
      <c r="H72" s="73" t="s">
        <v>207</v>
      </c>
    </row>
    <row r="73" spans="1:16384" s="29" customFormat="1" ht="13.5" customHeight="1" x14ac:dyDescent="0.15">
      <c r="A73" s="77" t="s">
        <v>90</v>
      </c>
      <c r="B73" s="43">
        <v>1320</v>
      </c>
      <c r="C73" s="46">
        <v>848.4</v>
      </c>
      <c r="D73" s="46">
        <v>826.2</v>
      </c>
      <c r="E73" s="46">
        <v>22.2</v>
      </c>
      <c r="F73" s="25">
        <v>64.3</v>
      </c>
      <c r="G73" s="25">
        <v>62.6</v>
      </c>
      <c r="H73" s="73">
        <v>2.6</v>
      </c>
    </row>
    <row r="74" spans="1:16384" s="29" customFormat="1" ht="13.5" customHeight="1" x14ac:dyDescent="0.15">
      <c r="A74" s="77" t="s">
        <v>91</v>
      </c>
      <c r="B74" s="43">
        <v>1320.9</v>
      </c>
      <c r="C74" s="46">
        <v>863.5</v>
      </c>
      <c r="D74" s="46">
        <v>843.2</v>
      </c>
      <c r="E74" s="46">
        <v>20.3</v>
      </c>
      <c r="F74" s="25">
        <v>65.400000000000006</v>
      </c>
      <c r="G74" s="25">
        <v>63.8</v>
      </c>
      <c r="H74" s="73">
        <v>2.4</v>
      </c>
    </row>
    <row r="75" spans="1:16384" s="29" customFormat="1" ht="13.5" customHeight="1" x14ac:dyDescent="0.15">
      <c r="A75" s="77" t="s">
        <v>92</v>
      </c>
      <c r="B75" s="43">
        <v>1321.3</v>
      </c>
      <c r="C75" s="46">
        <v>866.2</v>
      </c>
      <c r="D75" s="46">
        <v>844.9</v>
      </c>
      <c r="E75" s="46">
        <v>21.3</v>
      </c>
      <c r="F75" s="25">
        <v>65.599999999999994</v>
      </c>
      <c r="G75" s="25">
        <v>63.9</v>
      </c>
      <c r="H75" s="73">
        <v>2.5</v>
      </c>
    </row>
    <row r="76" spans="1:16384" s="29" customFormat="1" ht="13.5" customHeight="1" x14ac:dyDescent="0.15">
      <c r="A76" s="77"/>
      <c r="B76" s="43" t="s">
        <v>207</v>
      </c>
      <c r="C76" s="46" t="s">
        <v>207</v>
      </c>
      <c r="D76" s="46" t="s">
        <v>207</v>
      </c>
      <c r="E76" s="46" t="s">
        <v>207</v>
      </c>
      <c r="F76" s="25" t="s">
        <v>207</v>
      </c>
      <c r="G76" s="25" t="s">
        <v>207</v>
      </c>
      <c r="H76" s="73" t="s">
        <v>207</v>
      </c>
    </row>
    <row r="77" spans="1:16384" s="29" customFormat="1" ht="13.5" customHeight="1" x14ac:dyDescent="0.15">
      <c r="A77" s="77" t="s">
        <v>93</v>
      </c>
      <c r="B77" s="43">
        <v>1322.3</v>
      </c>
      <c r="C77" s="46">
        <v>867.2</v>
      </c>
      <c r="D77" s="46">
        <v>848.5</v>
      </c>
      <c r="E77" s="46">
        <v>18.600000000000001</v>
      </c>
      <c r="F77" s="25">
        <v>65.599999999999994</v>
      </c>
      <c r="G77" s="25">
        <v>64.2</v>
      </c>
      <c r="H77" s="73">
        <v>2.1</v>
      </c>
    </row>
    <row r="78" spans="1:16384" s="29" customFormat="1" ht="13.5" customHeight="1" x14ac:dyDescent="0.15">
      <c r="A78" s="77" t="s">
        <v>94</v>
      </c>
      <c r="B78" s="43">
        <v>1323.5</v>
      </c>
      <c r="C78" s="46">
        <v>864.9</v>
      </c>
      <c r="D78" s="46">
        <v>846.5</v>
      </c>
      <c r="E78" s="46">
        <v>18.399999999999999</v>
      </c>
      <c r="F78" s="25">
        <v>65.3</v>
      </c>
      <c r="G78" s="25">
        <v>64</v>
      </c>
      <c r="H78" s="73">
        <v>2.1</v>
      </c>
    </row>
    <row r="79" spans="1:16384" ht="13.5" customHeight="1" x14ac:dyDescent="0.15">
      <c r="A79" s="77" t="s">
        <v>95</v>
      </c>
      <c r="B79" s="43">
        <v>1324.6</v>
      </c>
      <c r="C79" s="46">
        <v>869.4</v>
      </c>
      <c r="D79" s="46">
        <v>848.6</v>
      </c>
      <c r="E79" s="46">
        <v>20.8</v>
      </c>
      <c r="F79" s="25">
        <v>65.599999999999994</v>
      </c>
      <c r="G79" s="25">
        <v>64.099999999999994</v>
      </c>
      <c r="H79" s="73">
        <v>2.4</v>
      </c>
    </row>
    <row r="80" spans="1:16384" ht="13.5" customHeight="1" x14ac:dyDescent="0.15">
      <c r="A80" s="77"/>
      <c r="B80" s="43" t="s">
        <v>207</v>
      </c>
      <c r="C80" s="46" t="s">
        <v>207</v>
      </c>
      <c r="D80" s="46" t="s">
        <v>207</v>
      </c>
      <c r="E80" s="46" t="s">
        <v>207</v>
      </c>
      <c r="F80" s="25" t="s">
        <v>207</v>
      </c>
      <c r="G80" s="25" t="s">
        <v>207</v>
      </c>
      <c r="H80" s="73" t="s">
        <v>207</v>
      </c>
    </row>
    <row r="81" spans="1:28" ht="13.5" customHeight="1" x14ac:dyDescent="0.15">
      <c r="A81" s="77" t="s">
        <v>96</v>
      </c>
      <c r="B81" s="43">
        <v>1326.2</v>
      </c>
      <c r="C81" s="46">
        <v>868</v>
      </c>
      <c r="D81" s="46">
        <v>847.1</v>
      </c>
      <c r="E81" s="46">
        <v>20.9</v>
      </c>
      <c r="F81" s="25">
        <v>65.5</v>
      </c>
      <c r="G81" s="25">
        <v>63.9</v>
      </c>
      <c r="H81" s="73">
        <v>2.4</v>
      </c>
      <c r="I81" s="29"/>
    </row>
    <row r="82" spans="1:28" ht="13.5" customHeight="1" x14ac:dyDescent="0.15">
      <c r="A82" s="77" t="s">
        <v>97</v>
      </c>
      <c r="B82" s="43">
        <v>1327.5</v>
      </c>
      <c r="C82" s="46">
        <v>859.6</v>
      </c>
      <c r="D82" s="46">
        <v>840.7</v>
      </c>
      <c r="E82" s="46">
        <v>19</v>
      </c>
      <c r="F82" s="25">
        <v>64.8</v>
      </c>
      <c r="G82" s="25">
        <v>63.3</v>
      </c>
      <c r="H82" s="73">
        <v>2.2000000000000002</v>
      </c>
      <c r="I82" s="29"/>
    </row>
    <row r="83" spans="1:28" ht="13.5" customHeight="1" x14ac:dyDescent="0.15">
      <c r="A83" s="77" t="s">
        <v>98</v>
      </c>
      <c r="B83" s="43">
        <v>1328.7</v>
      </c>
      <c r="C83" s="46">
        <v>820.3</v>
      </c>
      <c r="D83" s="46">
        <v>773.2</v>
      </c>
      <c r="E83" s="46">
        <v>47.1</v>
      </c>
      <c r="F83" s="25">
        <v>61.7</v>
      </c>
      <c r="G83" s="25">
        <v>58.2</v>
      </c>
      <c r="H83" s="73">
        <v>5.7</v>
      </c>
      <c r="I83" s="29"/>
    </row>
    <row r="84" spans="1:28" s="162" customFormat="1" ht="13.5" customHeight="1" x14ac:dyDescent="0.15">
      <c r="A84" s="77"/>
      <c r="B84" s="43"/>
      <c r="C84" s="46"/>
      <c r="D84" s="46"/>
      <c r="E84" s="46"/>
      <c r="F84" s="25"/>
      <c r="G84" s="25"/>
      <c r="H84" s="73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</row>
    <row r="85" spans="1:28" x14ac:dyDescent="0.15">
      <c r="A85" s="77" t="s">
        <v>209</v>
      </c>
      <c r="B85" s="43">
        <v>1325.1</v>
      </c>
      <c r="C85" s="46">
        <v>798.4</v>
      </c>
      <c r="D85" s="46">
        <v>740.5</v>
      </c>
      <c r="E85" s="46">
        <v>58</v>
      </c>
      <c r="F85" s="25">
        <v>60.3</v>
      </c>
      <c r="G85" s="25">
        <v>55.9</v>
      </c>
      <c r="H85" s="73">
        <v>7.3</v>
      </c>
      <c r="I85" s="29"/>
    </row>
    <row r="86" spans="1:28" x14ac:dyDescent="0.15">
      <c r="A86" s="77" t="s">
        <v>21</v>
      </c>
      <c r="B86" s="43">
        <v>1325.3</v>
      </c>
      <c r="C86" s="46">
        <v>815.1</v>
      </c>
      <c r="D86" s="46">
        <v>786.3</v>
      </c>
      <c r="E86" s="46">
        <v>28.8</v>
      </c>
      <c r="F86" s="25">
        <v>61.5</v>
      </c>
      <c r="G86" s="25">
        <v>59.3</v>
      </c>
      <c r="H86" s="73">
        <v>3.5</v>
      </c>
      <c r="I86" s="29"/>
    </row>
    <row r="87" spans="1:28" x14ac:dyDescent="0.15">
      <c r="A87" s="77" t="s">
        <v>89</v>
      </c>
      <c r="B87" s="43">
        <v>1326.2</v>
      </c>
      <c r="C87" s="46">
        <v>858.4</v>
      </c>
      <c r="D87" s="46">
        <v>832.5</v>
      </c>
      <c r="E87" s="46">
        <v>25.9</v>
      </c>
      <c r="F87" s="25">
        <v>64.7</v>
      </c>
      <c r="G87" s="25">
        <v>62.8</v>
      </c>
      <c r="H87" s="73">
        <v>3</v>
      </c>
      <c r="I87" s="29"/>
    </row>
    <row r="88" spans="1:28" x14ac:dyDescent="0.15">
      <c r="A88" s="77"/>
      <c r="B88" s="43"/>
      <c r="C88" s="46"/>
      <c r="D88" s="46"/>
      <c r="E88" s="46"/>
      <c r="F88" s="25"/>
      <c r="G88" s="25"/>
      <c r="H88" s="73"/>
      <c r="I88" s="29"/>
    </row>
    <row r="89" spans="1:28" x14ac:dyDescent="0.15">
      <c r="A89" s="77" t="s">
        <v>90</v>
      </c>
      <c r="B89" s="43">
        <v>1326.5</v>
      </c>
      <c r="C89" s="46">
        <v>882.8</v>
      </c>
      <c r="D89" s="46">
        <v>860.8</v>
      </c>
      <c r="E89" s="46">
        <v>21.9</v>
      </c>
      <c r="F89" s="25">
        <v>66.599999999999994</v>
      </c>
      <c r="G89" s="25">
        <v>64.900000000000006</v>
      </c>
      <c r="H89" s="73">
        <v>2.5</v>
      </c>
      <c r="I89" s="29"/>
    </row>
    <row r="90" spans="1:28" x14ac:dyDescent="0.15">
      <c r="A90" s="77" t="s">
        <v>91</v>
      </c>
      <c r="B90" s="43">
        <v>1327.1</v>
      </c>
      <c r="C90" s="46">
        <v>894.6</v>
      </c>
      <c r="D90" s="46">
        <v>877.9</v>
      </c>
      <c r="E90" s="46">
        <v>16.7</v>
      </c>
      <c r="F90" s="25">
        <v>67.400000000000006</v>
      </c>
      <c r="G90" s="25">
        <v>66.2</v>
      </c>
      <c r="H90" s="73">
        <v>1.9</v>
      </c>
      <c r="I90" s="29"/>
    </row>
    <row r="91" spans="1:28" x14ac:dyDescent="0.15">
      <c r="A91" s="77" t="s">
        <v>92</v>
      </c>
      <c r="B91" s="43">
        <v>1327.4</v>
      </c>
      <c r="C91" s="46">
        <v>894.7</v>
      </c>
      <c r="D91" s="46">
        <v>875.4</v>
      </c>
      <c r="E91" s="46">
        <v>19.3</v>
      </c>
      <c r="F91" s="25">
        <v>67.400000000000006</v>
      </c>
      <c r="G91" s="25">
        <v>65.900000000000006</v>
      </c>
      <c r="H91" s="73">
        <v>2.2000000000000002</v>
      </c>
      <c r="I91" s="29"/>
    </row>
    <row r="92" spans="1:28" x14ac:dyDescent="0.15">
      <c r="A92" s="77"/>
      <c r="B92" s="43"/>
      <c r="C92" s="46"/>
      <c r="D92" s="46"/>
      <c r="E92" s="46"/>
      <c r="F92" s="25"/>
      <c r="G92" s="25"/>
      <c r="H92" s="73"/>
      <c r="I92" s="29"/>
    </row>
    <row r="93" spans="1:28" x14ac:dyDescent="0.15">
      <c r="A93" s="77" t="s">
        <v>93</v>
      </c>
      <c r="B93" s="43">
        <v>1327.5</v>
      </c>
      <c r="C93" s="46">
        <v>889.5</v>
      </c>
      <c r="D93" s="46">
        <v>866.8</v>
      </c>
      <c r="E93" s="46">
        <v>22.7</v>
      </c>
      <c r="F93" s="25">
        <v>67</v>
      </c>
      <c r="G93" s="25">
        <v>65.3</v>
      </c>
      <c r="H93" s="73">
        <v>2.6</v>
      </c>
      <c r="I93" s="29"/>
    </row>
    <row r="94" spans="1:28" x14ac:dyDescent="0.15">
      <c r="A94" s="77" t="s">
        <v>94</v>
      </c>
      <c r="B94" s="43">
        <v>1327.6</v>
      </c>
      <c r="C94" s="46">
        <v>881.1</v>
      </c>
      <c r="D94" s="46">
        <v>870.8</v>
      </c>
      <c r="E94" s="46">
        <v>10.3</v>
      </c>
      <c r="F94" s="25">
        <v>66.400000000000006</v>
      </c>
      <c r="G94" s="25">
        <v>65.599999999999994</v>
      </c>
      <c r="H94" s="73">
        <v>1.2</v>
      </c>
      <c r="I94" s="29"/>
    </row>
    <row r="95" spans="1:28" x14ac:dyDescent="0.15">
      <c r="A95" s="77" t="s">
        <v>95</v>
      </c>
      <c r="B95" s="43">
        <v>1327.7</v>
      </c>
      <c r="C95" s="46">
        <v>878.9</v>
      </c>
      <c r="D95" s="46">
        <v>868.4</v>
      </c>
      <c r="E95" s="46">
        <v>10.6</v>
      </c>
      <c r="F95" s="25">
        <v>66.2</v>
      </c>
      <c r="G95" s="25">
        <v>65.400000000000006</v>
      </c>
      <c r="H95" s="73">
        <v>1.2</v>
      </c>
      <c r="I95" s="29"/>
    </row>
    <row r="96" spans="1:28" x14ac:dyDescent="0.15">
      <c r="A96" s="77"/>
      <c r="B96" s="43"/>
      <c r="C96" s="46"/>
      <c r="D96" s="46"/>
      <c r="E96" s="46"/>
      <c r="F96" s="25"/>
      <c r="G96" s="25"/>
      <c r="H96" s="73"/>
      <c r="I96" s="29"/>
    </row>
    <row r="97" spans="1:9" x14ac:dyDescent="0.15">
      <c r="A97" s="77" t="s">
        <v>223</v>
      </c>
      <c r="B97" s="43">
        <v>1328.3</v>
      </c>
      <c r="C97" s="46">
        <v>879.6</v>
      </c>
      <c r="D97" s="46">
        <v>867.1</v>
      </c>
      <c r="E97" s="46">
        <v>12.5</v>
      </c>
      <c r="F97" s="25">
        <v>66.2</v>
      </c>
      <c r="G97" s="25">
        <v>65.3</v>
      </c>
      <c r="H97" s="73">
        <v>1.4</v>
      </c>
      <c r="I97" s="29"/>
    </row>
    <row r="98" spans="1:9" x14ac:dyDescent="0.15">
      <c r="A98" s="77" t="s">
        <v>225</v>
      </c>
      <c r="B98" s="43">
        <v>1329</v>
      </c>
      <c r="C98" s="46">
        <v>873.1</v>
      </c>
      <c r="D98" s="46">
        <v>857.4</v>
      </c>
      <c r="E98" s="46">
        <v>15.8</v>
      </c>
      <c r="F98" s="25">
        <v>65.7</v>
      </c>
      <c r="G98" s="25">
        <v>64.5</v>
      </c>
      <c r="H98" s="73">
        <v>1.8</v>
      </c>
      <c r="I98" s="29"/>
    </row>
    <row r="99" spans="1:9" x14ac:dyDescent="0.15">
      <c r="A99" s="77" t="s">
        <v>226</v>
      </c>
      <c r="B99" s="43">
        <v>1330.1</v>
      </c>
      <c r="C99" s="46">
        <v>827.3</v>
      </c>
      <c r="D99" s="46">
        <v>784.2</v>
      </c>
      <c r="E99" s="46">
        <v>43</v>
      </c>
      <c r="F99" s="25">
        <v>62.2</v>
      </c>
      <c r="G99" s="25">
        <v>59</v>
      </c>
      <c r="H99" s="73">
        <v>5.2</v>
      </c>
      <c r="I99" s="29"/>
    </row>
    <row r="100" spans="1:9" x14ac:dyDescent="0.15">
      <c r="A100" s="77"/>
      <c r="B100" s="43"/>
      <c r="C100" s="46"/>
      <c r="D100" s="46"/>
      <c r="E100" s="46"/>
      <c r="F100" s="25"/>
      <c r="G100" s="25"/>
      <c r="H100" s="73"/>
      <c r="I100" s="29"/>
    </row>
    <row r="101" spans="1:9" x14ac:dyDescent="0.15">
      <c r="A101" s="77" t="s">
        <v>242</v>
      </c>
      <c r="B101" s="43">
        <v>1330.9</v>
      </c>
      <c r="C101" s="46">
        <v>805.4</v>
      </c>
      <c r="D101" s="46">
        <v>754.7</v>
      </c>
      <c r="E101" s="46">
        <v>50.7</v>
      </c>
      <c r="F101" s="25">
        <v>60.5</v>
      </c>
      <c r="G101" s="25">
        <v>56.7</v>
      </c>
      <c r="H101" s="73">
        <v>6.3</v>
      </c>
      <c r="I101" s="29"/>
    </row>
    <row r="102" spans="1:9" x14ac:dyDescent="0.15">
      <c r="A102" s="77" t="s">
        <v>21</v>
      </c>
      <c r="B102" s="43">
        <v>1330.4</v>
      </c>
      <c r="C102" s="46">
        <v>811.1</v>
      </c>
      <c r="D102" s="46">
        <v>779.5</v>
      </c>
      <c r="E102" s="46">
        <v>31.6</v>
      </c>
      <c r="F102" s="25">
        <v>61</v>
      </c>
      <c r="G102" s="25">
        <v>58.6</v>
      </c>
      <c r="H102" s="73">
        <v>3.9</v>
      </c>
      <c r="I102" s="29"/>
    </row>
    <row r="103" spans="1:9" x14ac:dyDescent="0.15">
      <c r="A103" s="77" t="s">
        <v>89</v>
      </c>
      <c r="B103" s="43">
        <v>1329.4</v>
      </c>
      <c r="C103" s="46">
        <v>843.9</v>
      </c>
      <c r="D103" s="46">
        <v>815.5</v>
      </c>
      <c r="E103" s="46">
        <v>28.3</v>
      </c>
      <c r="F103" s="25">
        <v>63.5</v>
      </c>
      <c r="G103" s="25">
        <v>61.3</v>
      </c>
      <c r="H103" s="73">
        <v>3.4</v>
      </c>
      <c r="I103" s="29"/>
    </row>
    <row r="104" spans="1:9" x14ac:dyDescent="0.15">
      <c r="A104" s="77"/>
      <c r="B104" s="43"/>
      <c r="C104" s="46"/>
      <c r="D104" s="46"/>
      <c r="E104" s="46"/>
      <c r="F104" s="25"/>
      <c r="G104" s="25"/>
      <c r="H104" s="73"/>
      <c r="I104" s="29"/>
    </row>
    <row r="105" spans="1:9" x14ac:dyDescent="0.15">
      <c r="A105" s="77" t="s">
        <v>90</v>
      </c>
      <c r="B105" s="43">
        <v>1328.8</v>
      </c>
      <c r="C105" s="46">
        <v>883.8</v>
      </c>
      <c r="D105" s="46">
        <v>862.6</v>
      </c>
      <c r="E105" s="46">
        <v>21.2</v>
      </c>
      <c r="F105" s="25">
        <v>66.5</v>
      </c>
      <c r="G105" s="25">
        <v>64.900000000000006</v>
      </c>
      <c r="H105" s="73">
        <v>2.4</v>
      </c>
      <c r="I105" s="29"/>
    </row>
    <row r="106" spans="1:9" x14ac:dyDescent="0.15">
      <c r="A106" s="77" t="s">
        <v>91</v>
      </c>
      <c r="B106" s="43">
        <v>1327.8</v>
      </c>
      <c r="C106" s="46">
        <v>896.8</v>
      </c>
      <c r="D106" s="46">
        <v>878.3</v>
      </c>
      <c r="E106" s="46">
        <v>18.5</v>
      </c>
      <c r="F106" s="25">
        <v>67.5</v>
      </c>
      <c r="G106" s="25">
        <v>66.099999999999994</v>
      </c>
      <c r="H106" s="73">
        <v>2.1</v>
      </c>
      <c r="I106" s="29"/>
    </row>
    <row r="107" spans="1:9" x14ac:dyDescent="0.15">
      <c r="A107" s="77" t="s">
        <v>92</v>
      </c>
      <c r="B107" s="43">
        <v>1327</v>
      </c>
      <c r="C107" s="46">
        <v>898</v>
      </c>
      <c r="D107" s="46">
        <v>875.3</v>
      </c>
      <c r="E107" s="46">
        <v>22.7</v>
      </c>
      <c r="F107" s="25">
        <v>67.7</v>
      </c>
      <c r="G107" s="25">
        <v>66</v>
      </c>
      <c r="H107" s="73">
        <v>2.5</v>
      </c>
      <c r="I107" s="29"/>
    </row>
    <row r="108" spans="1:9" x14ac:dyDescent="0.15">
      <c r="A108" s="77"/>
      <c r="B108" s="43"/>
      <c r="C108" s="46"/>
      <c r="D108" s="46"/>
      <c r="E108" s="46"/>
      <c r="F108" s="25"/>
      <c r="G108" s="25"/>
      <c r="H108" s="73"/>
      <c r="I108" s="29"/>
    </row>
    <row r="109" spans="1:9" x14ac:dyDescent="0.15">
      <c r="A109" s="77" t="s">
        <v>93</v>
      </c>
      <c r="B109" s="43">
        <v>1328.6</v>
      </c>
      <c r="C109" s="46">
        <v>899.1</v>
      </c>
      <c r="D109" s="46">
        <v>882.6</v>
      </c>
      <c r="E109" s="46">
        <v>16.5</v>
      </c>
      <c r="F109" s="25">
        <v>67.7</v>
      </c>
      <c r="G109" s="25">
        <v>66.400000000000006</v>
      </c>
      <c r="H109" s="73">
        <v>1.8</v>
      </c>
      <c r="I109" s="29"/>
    </row>
    <row r="110" spans="1:9" x14ac:dyDescent="0.15">
      <c r="A110" s="77" t="s">
        <v>94</v>
      </c>
      <c r="B110" s="43">
        <v>1326.5</v>
      </c>
      <c r="C110" s="46">
        <v>886.2</v>
      </c>
      <c r="D110" s="46">
        <v>877.7</v>
      </c>
      <c r="E110" s="46">
        <v>8.5</v>
      </c>
      <c r="F110" s="25">
        <v>66.8</v>
      </c>
      <c r="G110" s="25">
        <v>66.2</v>
      </c>
      <c r="H110" s="73">
        <v>1</v>
      </c>
      <c r="I110" s="29"/>
    </row>
    <row r="111" spans="1:9" x14ac:dyDescent="0.15">
      <c r="A111" s="77" t="s">
        <v>95</v>
      </c>
      <c r="B111" s="43">
        <v>1326.3</v>
      </c>
      <c r="C111" s="46">
        <v>883.2</v>
      </c>
      <c r="D111" s="46">
        <v>873.5</v>
      </c>
      <c r="E111" s="46">
        <v>9.6999999999999993</v>
      </c>
      <c r="F111" s="25">
        <v>66.599999999999994</v>
      </c>
      <c r="G111" s="25">
        <v>65.900000000000006</v>
      </c>
      <c r="H111" s="73">
        <v>1.1000000000000001</v>
      </c>
      <c r="I111" s="29"/>
    </row>
    <row r="112" spans="1:9" x14ac:dyDescent="0.15">
      <c r="A112" s="77"/>
      <c r="B112" s="43"/>
      <c r="C112" s="46"/>
      <c r="D112" s="46"/>
      <c r="E112" s="46"/>
      <c r="F112" s="25"/>
      <c r="G112" s="25"/>
      <c r="H112" s="73"/>
      <c r="I112" s="29"/>
    </row>
    <row r="113" spans="1:9" x14ac:dyDescent="0.15">
      <c r="A113" s="77" t="s">
        <v>96</v>
      </c>
      <c r="B113" s="43">
        <v>1326.4</v>
      </c>
      <c r="C113" s="46">
        <v>889.9</v>
      </c>
      <c r="D113" s="46">
        <v>879.1</v>
      </c>
      <c r="E113" s="46">
        <v>10.8</v>
      </c>
      <c r="F113" s="25">
        <v>67.099999999999994</v>
      </c>
      <c r="G113" s="25">
        <v>66.3</v>
      </c>
      <c r="H113" s="73">
        <v>1.2</v>
      </c>
      <c r="I113" s="29"/>
    </row>
    <row r="114" spans="1:9" x14ac:dyDescent="0.15">
      <c r="A114" s="77" t="s">
        <v>97</v>
      </c>
      <c r="B114" s="43">
        <v>1326.7</v>
      </c>
      <c r="C114" s="46">
        <v>888</v>
      </c>
      <c r="D114" s="46">
        <v>876.8</v>
      </c>
      <c r="E114" s="46">
        <v>11.2</v>
      </c>
      <c r="F114" s="25">
        <v>66.900000000000006</v>
      </c>
      <c r="G114" s="25">
        <v>66.099999999999994</v>
      </c>
      <c r="H114" s="73">
        <v>1.3</v>
      </c>
      <c r="I114" s="29"/>
    </row>
    <row r="115" spans="1:9" x14ac:dyDescent="0.15">
      <c r="A115" s="77" t="s">
        <v>98</v>
      </c>
      <c r="B115" s="43">
        <v>1327.2</v>
      </c>
      <c r="C115" s="223">
        <v>825.9</v>
      </c>
      <c r="D115" s="46">
        <v>767.5</v>
      </c>
      <c r="E115" s="46">
        <v>58.4</v>
      </c>
      <c r="F115" s="25">
        <v>62.2</v>
      </c>
      <c r="G115" s="25">
        <v>57.8</v>
      </c>
      <c r="H115" s="73">
        <v>7.1</v>
      </c>
      <c r="I115" s="29"/>
    </row>
    <row r="116" spans="1:9" x14ac:dyDescent="0.15">
      <c r="A116" s="77"/>
      <c r="B116" s="222"/>
      <c r="C116" s="223"/>
      <c r="D116" s="223"/>
      <c r="E116" s="223"/>
      <c r="F116" s="192"/>
      <c r="G116" s="192"/>
      <c r="H116" s="221"/>
      <c r="I116" s="29"/>
    </row>
    <row r="117" spans="1:9" x14ac:dyDescent="0.15">
      <c r="A117" s="77" t="s">
        <v>275</v>
      </c>
      <c r="B117" s="222">
        <v>1327.4</v>
      </c>
      <c r="C117" s="223">
        <v>820.2</v>
      </c>
      <c r="D117" s="223">
        <v>768.9</v>
      </c>
      <c r="E117" s="223">
        <v>51.3</v>
      </c>
      <c r="F117" s="192">
        <v>61.8</v>
      </c>
      <c r="G117" s="192">
        <v>57.9</v>
      </c>
      <c r="H117" s="192">
        <v>6.3</v>
      </c>
      <c r="I117" s="29"/>
    </row>
    <row r="118" spans="1:9" x14ac:dyDescent="0.15">
      <c r="A118" s="77" t="s">
        <v>21</v>
      </c>
      <c r="B118" s="222">
        <v>1327.6</v>
      </c>
      <c r="C118" s="223">
        <v>821</v>
      </c>
      <c r="D118" s="223">
        <v>800.3</v>
      </c>
      <c r="E118" s="223">
        <v>20.8</v>
      </c>
      <c r="F118" s="192">
        <v>61.8</v>
      </c>
      <c r="G118" s="192">
        <v>60.3</v>
      </c>
      <c r="H118" s="192">
        <v>2.5</v>
      </c>
      <c r="I118" s="29"/>
    </row>
    <row r="119" spans="1:9" x14ac:dyDescent="0.15">
      <c r="A119" s="77" t="s">
        <v>89</v>
      </c>
      <c r="B119" s="222">
        <v>1327.4</v>
      </c>
      <c r="C119" s="223">
        <v>849.8</v>
      </c>
      <c r="D119" s="223">
        <v>827.5</v>
      </c>
      <c r="E119" s="223">
        <v>22.2</v>
      </c>
      <c r="F119" s="192">
        <v>64</v>
      </c>
      <c r="G119" s="192">
        <v>62.3</v>
      </c>
      <c r="H119" s="192">
        <v>2.6</v>
      </c>
      <c r="I119" s="29"/>
    </row>
    <row r="120" spans="1:9" x14ac:dyDescent="0.15">
      <c r="A120" s="77"/>
      <c r="B120" s="222"/>
      <c r="C120" s="223"/>
      <c r="D120" s="223"/>
      <c r="E120" s="223"/>
      <c r="F120" s="192"/>
      <c r="G120" s="192"/>
      <c r="H120" s="192"/>
      <c r="I120" s="29"/>
    </row>
    <row r="121" spans="1:9" x14ac:dyDescent="0.15">
      <c r="A121" s="77" t="s">
        <v>289</v>
      </c>
      <c r="B121" s="222">
        <v>1326.9</v>
      </c>
      <c r="C121" s="223">
        <v>894.1</v>
      </c>
      <c r="D121" s="223">
        <v>877.4</v>
      </c>
      <c r="E121" s="223">
        <v>16.7</v>
      </c>
      <c r="F121" s="192">
        <v>67.400000000000006</v>
      </c>
      <c r="G121" s="192">
        <v>66.099999999999994</v>
      </c>
      <c r="H121" s="221">
        <v>1.9</v>
      </c>
      <c r="I121" s="29"/>
    </row>
    <row r="122" spans="1:9" x14ac:dyDescent="0.15">
      <c r="A122" s="77" t="s">
        <v>134</v>
      </c>
      <c r="B122" s="222">
        <v>1326.7</v>
      </c>
      <c r="C122" s="223">
        <v>904.3</v>
      </c>
      <c r="D122" s="223">
        <v>889.1</v>
      </c>
      <c r="E122" s="223">
        <v>15.2</v>
      </c>
      <c r="F122" s="192">
        <v>68.2</v>
      </c>
      <c r="G122" s="192">
        <v>67</v>
      </c>
      <c r="H122" s="221">
        <v>1.7</v>
      </c>
      <c r="I122" s="29"/>
    </row>
    <row r="123" spans="1:9" x14ac:dyDescent="0.15">
      <c r="A123" s="77" t="s">
        <v>92</v>
      </c>
      <c r="B123" s="222">
        <v>1326.1</v>
      </c>
      <c r="C123" s="223">
        <v>903.6</v>
      </c>
      <c r="D123" s="223">
        <v>887</v>
      </c>
      <c r="E123" s="223">
        <v>16.600000000000001</v>
      </c>
      <c r="F123" s="192">
        <v>68.099999999999994</v>
      </c>
      <c r="G123" s="192">
        <v>66.900000000000006</v>
      </c>
      <c r="H123" s="192">
        <v>1.8</v>
      </c>
      <c r="I123" s="29"/>
    </row>
    <row r="124" spans="1:9" x14ac:dyDescent="0.15">
      <c r="A124" s="77"/>
      <c r="B124" s="222"/>
      <c r="C124" s="223"/>
      <c r="D124" s="223"/>
      <c r="E124" s="223"/>
      <c r="F124" s="192"/>
      <c r="G124" s="192"/>
      <c r="H124" s="192"/>
      <c r="I124" s="29"/>
    </row>
    <row r="125" spans="1:9" x14ac:dyDescent="0.15">
      <c r="A125" s="77" t="s">
        <v>298</v>
      </c>
      <c r="B125" s="222">
        <v>1325.5</v>
      </c>
      <c r="C125" s="223">
        <v>903.6</v>
      </c>
      <c r="D125" s="223">
        <v>882.3</v>
      </c>
      <c r="E125" s="223">
        <v>21.3</v>
      </c>
      <c r="F125" s="243">
        <v>68.2</v>
      </c>
      <c r="G125" s="243">
        <v>66.599999999999994</v>
      </c>
      <c r="H125" s="243">
        <v>2.4</v>
      </c>
      <c r="I125" s="29"/>
    </row>
    <row r="126" spans="1:9" s="241" customFormat="1" x14ac:dyDescent="0.15">
      <c r="A126" s="262" t="s">
        <v>94</v>
      </c>
      <c r="B126" s="222">
        <v>1325.3</v>
      </c>
      <c r="C126" s="222">
        <v>890.4</v>
      </c>
      <c r="D126" s="222">
        <v>876.7</v>
      </c>
      <c r="E126" s="222">
        <v>13.7</v>
      </c>
      <c r="F126" s="243">
        <v>67.2</v>
      </c>
      <c r="G126" s="243">
        <v>66.2</v>
      </c>
      <c r="H126" s="243">
        <v>1.5</v>
      </c>
      <c r="I126" s="242"/>
    </row>
    <row r="127" spans="1:9" s="257" customFormat="1" x14ac:dyDescent="0.15">
      <c r="A127" s="262" t="s">
        <v>95</v>
      </c>
      <c r="B127" s="222">
        <v>1325</v>
      </c>
      <c r="C127" s="222">
        <v>898.9</v>
      </c>
      <c r="D127" s="222">
        <v>886.7</v>
      </c>
      <c r="E127" s="222">
        <v>12.2</v>
      </c>
      <c r="F127" s="243">
        <v>67.8</v>
      </c>
      <c r="G127" s="243">
        <v>66.900000000000006</v>
      </c>
      <c r="H127" s="265">
        <v>1.4</v>
      </c>
      <c r="I127" s="261"/>
    </row>
    <row r="128" spans="1:9" s="257" customFormat="1" x14ac:dyDescent="0.15">
      <c r="A128" s="262"/>
      <c r="B128" s="222"/>
      <c r="C128" s="222"/>
      <c r="D128" s="222"/>
      <c r="E128" s="222"/>
      <c r="F128" s="243"/>
      <c r="G128" s="243"/>
      <c r="H128" s="243"/>
      <c r="I128" s="261"/>
    </row>
    <row r="129" spans="1:16384" s="257" customFormat="1" x14ac:dyDescent="0.15">
      <c r="A129" s="262" t="s">
        <v>307</v>
      </c>
      <c r="B129" s="222">
        <v>1324.8</v>
      </c>
      <c r="C129" s="222">
        <v>898.7</v>
      </c>
      <c r="D129" s="222">
        <v>882</v>
      </c>
      <c r="E129" s="222">
        <v>16.7</v>
      </c>
      <c r="F129" s="243">
        <v>67.8</v>
      </c>
      <c r="G129" s="243">
        <v>66.599999999999994</v>
      </c>
      <c r="H129" s="243">
        <v>1.9</v>
      </c>
      <c r="I129" s="261"/>
    </row>
    <row r="130" spans="1:16384" s="257" customFormat="1" x14ac:dyDescent="0.15">
      <c r="A130" s="262" t="s">
        <v>145</v>
      </c>
      <c r="B130" s="222">
        <v>1325.2</v>
      </c>
      <c r="C130" s="222">
        <v>893.9</v>
      </c>
      <c r="D130" s="222">
        <v>875.8</v>
      </c>
      <c r="E130" s="222">
        <v>18.100000000000001</v>
      </c>
      <c r="F130" s="243">
        <v>67.5</v>
      </c>
      <c r="G130" s="243">
        <v>66.099999999999994</v>
      </c>
      <c r="H130" s="243">
        <v>2</v>
      </c>
      <c r="I130" s="261"/>
    </row>
    <row r="131" spans="1:16384" s="257" customFormat="1" x14ac:dyDescent="0.15">
      <c r="A131" s="262" t="s">
        <v>151</v>
      </c>
      <c r="B131" s="222">
        <v>1325.4</v>
      </c>
      <c r="C131" s="222">
        <v>846</v>
      </c>
      <c r="D131" s="222">
        <v>800</v>
      </c>
      <c r="E131" s="222">
        <v>46</v>
      </c>
      <c r="F131" s="243">
        <v>63.8</v>
      </c>
      <c r="G131" s="243">
        <v>60.4</v>
      </c>
      <c r="H131" s="243">
        <v>5.4</v>
      </c>
      <c r="I131" s="261"/>
    </row>
    <row r="132" spans="1:16384" s="257" customFormat="1" x14ac:dyDescent="0.15">
      <c r="A132" s="262"/>
      <c r="B132" s="222"/>
      <c r="C132" s="222"/>
      <c r="D132" s="222"/>
      <c r="E132" s="222"/>
      <c r="F132" s="243"/>
      <c r="G132" s="243"/>
      <c r="H132" s="243"/>
      <c r="I132" s="261"/>
    </row>
    <row r="133" spans="1:16384" s="257" customFormat="1" x14ac:dyDescent="0.15">
      <c r="A133" s="262" t="s">
        <v>318</v>
      </c>
      <c r="B133" s="222">
        <v>1327.9</v>
      </c>
      <c r="C133" s="222">
        <v>834.3</v>
      </c>
      <c r="D133" s="222">
        <v>780.1</v>
      </c>
      <c r="E133" s="222">
        <v>54.2</v>
      </c>
      <c r="F133" s="243">
        <v>62.8</v>
      </c>
      <c r="G133" s="243">
        <v>58.7</v>
      </c>
      <c r="H133" s="243">
        <v>6.5</v>
      </c>
      <c r="I133" s="261"/>
    </row>
    <row r="134" spans="1:16384" s="261" customFormat="1" x14ac:dyDescent="0.15">
      <c r="A134" s="262" t="s">
        <v>153</v>
      </c>
      <c r="B134" s="43">
        <f ca="1">IF($C134="","",[1]!BTSP(B$2,$C134))</f>
        <v>1328.6</v>
      </c>
      <c r="C134" s="46">
        <f ca="1">IF($C134="","",[1]!BTSP(C$2,$C134))</f>
        <v>853.5</v>
      </c>
      <c r="D134" s="46">
        <f ca="1">IF($C134="","",[1]!BTSP(D$2,$C134))</f>
        <v>822.4</v>
      </c>
      <c r="E134" s="46">
        <f ca="1">IF($C134="","",[1]!BTSP(E$2,$C134))</f>
        <v>31.1</v>
      </c>
      <c r="F134" s="25">
        <f ca="1">IF($C134="","",[1]!BTSP(F$2,$C134))</f>
        <v>64.2</v>
      </c>
      <c r="G134" s="25">
        <f ca="1">IF($C134="","",[1]!BTSP(G$2,$C134))</f>
        <v>61.9</v>
      </c>
      <c r="H134" s="73">
        <f ca="1">IF($C134="","",[1]!BTSP(H$2,$C134))</f>
        <v>3.6</v>
      </c>
      <c r="I134" s="258"/>
      <c r="J134" s="270"/>
      <c r="K134" s="271"/>
      <c r="L134" s="271"/>
      <c r="M134" s="271"/>
      <c r="N134" s="221"/>
      <c r="O134" s="221"/>
      <c r="P134" s="221"/>
      <c r="Q134" s="258"/>
      <c r="R134" s="270"/>
      <c r="S134" s="271"/>
      <c r="T134" s="271"/>
      <c r="U134" s="271"/>
      <c r="V134" s="221"/>
      <c r="W134" s="221"/>
      <c r="X134" s="221"/>
      <c r="Y134" s="258"/>
      <c r="Z134" s="270"/>
      <c r="AA134" s="271"/>
      <c r="AB134" s="271"/>
      <c r="AC134" s="271"/>
      <c r="AD134" s="221"/>
      <c r="AE134" s="221"/>
      <c r="AF134" s="221"/>
      <c r="AG134" s="258"/>
      <c r="AH134" s="270"/>
      <c r="AI134" s="271"/>
      <c r="AJ134" s="271"/>
      <c r="AK134" s="271"/>
      <c r="AL134" s="221"/>
      <c r="AM134" s="221"/>
      <c r="AN134" s="221"/>
      <c r="AO134" s="258"/>
      <c r="AP134" s="270"/>
      <c r="AQ134" s="271"/>
      <c r="AR134" s="271"/>
      <c r="AS134" s="271"/>
      <c r="AT134" s="221"/>
      <c r="AU134" s="221"/>
      <c r="AV134" s="221"/>
      <c r="AW134" s="258"/>
      <c r="AX134" s="270"/>
      <c r="AY134" s="271"/>
      <c r="AZ134" s="271"/>
      <c r="BA134" s="271"/>
      <c r="BB134" s="221"/>
      <c r="BC134" s="221"/>
      <c r="BD134" s="221"/>
      <c r="BE134" s="258"/>
      <c r="BF134" s="270"/>
      <c r="BG134" s="271"/>
      <c r="BH134" s="271"/>
      <c r="BI134" s="271"/>
      <c r="BJ134" s="221"/>
      <c r="BK134" s="221"/>
      <c r="BL134" s="221"/>
      <c r="BM134" s="258"/>
      <c r="BN134" s="270"/>
      <c r="BO134" s="271"/>
      <c r="BP134" s="271"/>
      <c r="BQ134" s="271"/>
      <c r="BR134" s="221"/>
      <c r="BS134" s="221"/>
      <c r="BT134" s="221"/>
      <c r="BU134" s="258"/>
      <c r="BV134" s="270"/>
      <c r="BW134" s="271"/>
      <c r="BX134" s="271"/>
      <c r="BY134" s="271"/>
      <c r="BZ134" s="221"/>
      <c r="CA134" s="221"/>
      <c r="CB134" s="221"/>
      <c r="CC134" s="258"/>
      <c r="CD134" s="270"/>
      <c r="CE134" s="271"/>
      <c r="CF134" s="271"/>
      <c r="CG134" s="271"/>
      <c r="CH134" s="221"/>
      <c r="CI134" s="221"/>
      <c r="CJ134" s="221"/>
      <c r="CK134" s="258"/>
      <c r="CL134" s="270"/>
      <c r="CM134" s="271"/>
      <c r="CN134" s="271"/>
      <c r="CO134" s="271"/>
      <c r="CP134" s="221"/>
      <c r="CQ134" s="221"/>
      <c r="CR134" s="221"/>
      <c r="CS134" s="258"/>
      <c r="CT134" s="270"/>
      <c r="CU134" s="271"/>
      <c r="CV134" s="271"/>
      <c r="CW134" s="271"/>
      <c r="CX134" s="221"/>
      <c r="CY134" s="221"/>
      <c r="CZ134" s="221"/>
      <c r="DA134" s="258"/>
      <c r="DB134" s="270"/>
      <c r="DC134" s="271"/>
      <c r="DD134" s="271"/>
      <c r="DE134" s="271"/>
      <c r="DF134" s="221"/>
      <c r="DG134" s="221"/>
      <c r="DH134" s="221"/>
      <c r="DI134" s="258"/>
      <c r="DJ134" s="270"/>
      <c r="DK134" s="271"/>
      <c r="DL134" s="271"/>
      <c r="DM134" s="271"/>
      <c r="DN134" s="221"/>
      <c r="DO134" s="221"/>
      <c r="DP134" s="221"/>
      <c r="DQ134" s="258"/>
      <c r="DR134" s="270"/>
      <c r="DS134" s="271"/>
      <c r="DT134" s="271"/>
      <c r="DU134" s="271"/>
      <c r="DV134" s="221"/>
      <c r="DW134" s="221"/>
      <c r="DX134" s="221"/>
      <c r="DY134" s="258"/>
      <c r="DZ134" s="270"/>
      <c r="EA134" s="271"/>
      <c r="EB134" s="271"/>
      <c r="EC134" s="271"/>
      <c r="ED134" s="221"/>
      <c r="EE134" s="221"/>
      <c r="EF134" s="221"/>
      <c r="EG134" s="258"/>
      <c r="EH134" s="270"/>
      <c r="EI134" s="271"/>
      <c r="EJ134" s="271"/>
      <c r="EK134" s="271"/>
      <c r="EL134" s="221"/>
      <c r="EM134" s="221"/>
      <c r="EN134" s="221"/>
      <c r="EO134" s="258"/>
      <c r="EP134" s="270"/>
      <c r="EQ134" s="271"/>
      <c r="ER134" s="271"/>
      <c r="ES134" s="271"/>
      <c r="ET134" s="221"/>
      <c r="EU134" s="221"/>
      <c r="EV134" s="221"/>
      <c r="EW134" s="258"/>
      <c r="EX134" s="270"/>
      <c r="EY134" s="271"/>
      <c r="EZ134" s="271"/>
      <c r="FA134" s="271"/>
      <c r="FB134" s="221"/>
      <c r="FC134" s="221"/>
      <c r="FD134" s="221"/>
      <c r="FE134" s="258"/>
      <c r="FF134" s="270"/>
      <c r="FG134" s="271"/>
      <c r="FH134" s="271"/>
      <c r="FI134" s="271"/>
      <c r="FJ134" s="221"/>
      <c r="FK134" s="221"/>
      <c r="FL134" s="221"/>
      <c r="FM134" s="258"/>
      <c r="FN134" s="270"/>
      <c r="FO134" s="271"/>
      <c r="FP134" s="271"/>
      <c r="FQ134" s="271"/>
      <c r="FR134" s="221"/>
      <c r="FS134" s="221"/>
      <c r="FT134" s="221"/>
      <c r="FU134" s="258"/>
      <c r="FV134" s="270"/>
      <c r="FW134" s="271"/>
      <c r="FX134" s="271"/>
      <c r="FY134" s="271"/>
      <c r="FZ134" s="221"/>
      <c r="GA134" s="221"/>
      <c r="GB134" s="221"/>
      <c r="GC134" s="258"/>
      <c r="GD134" s="270"/>
      <c r="GE134" s="271"/>
      <c r="GF134" s="271"/>
      <c r="GG134" s="271"/>
      <c r="GH134" s="221"/>
      <c r="GI134" s="221"/>
      <c r="GJ134" s="221"/>
      <c r="GK134" s="258"/>
      <c r="GL134" s="270"/>
      <c r="GM134" s="271"/>
      <c r="GN134" s="271"/>
      <c r="GO134" s="271"/>
      <c r="GP134" s="221"/>
      <c r="GQ134" s="221"/>
      <c r="GR134" s="221"/>
      <c r="GS134" s="258"/>
      <c r="GT134" s="270"/>
      <c r="GU134" s="271"/>
      <c r="GV134" s="271"/>
      <c r="GW134" s="271"/>
      <c r="GX134" s="221"/>
      <c r="GY134" s="221"/>
      <c r="GZ134" s="221"/>
      <c r="HA134" s="258"/>
      <c r="HB134" s="270"/>
      <c r="HC134" s="271"/>
      <c r="HD134" s="271"/>
      <c r="HE134" s="271"/>
      <c r="HF134" s="221"/>
      <c r="HG134" s="221"/>
      <c r="HH134" s="221"/>
      <c r="HI134" s="258"/>
      <c r="HJ134" s="270"/>
      <c r="HK134" s="271"/>
      <c r="HL134" s="271"/>
      <c r="HM134" s="271"/>
      <c r="HN134" s="221"/>
      <c r="HO134" s="221"/>
      <c r="HP134" s="221"/>
      <c r="HQ134" s="258"/>
      <c r="HR134" s="270"/>
      <c r="HS134" s="271"/>
      <c r="HT134" s="271"/>
      <c r="HU134" s="271"/>
      <c r="HV134" s="221"/>
      <c r="HW134" s="221"/>
      <c r="HX134" s="221"/>
      <c r="HY134" s="258"/>
      <c r="HZ134" s="270"/>
      <c r="IA134" s="271"/>
      <c r="IB134" s="271"/>
      <c r="IC134" s="271"/>
      <c r="ID134" s="221"/>
      <c r="IE134" s="221"/>
      <c r="IF134" s="221"/>
      <c r="IG134" s="258"/>
      <c r="IH134" s="270"/>
      <c r="II134" s="271"/>
      <c r="IJ134" s="271"/>
      <c r="IK134" s="271"/>
      <c r="IL134" s="221"/>
      <c r="IM134" s="221"/>
      <c r="IN134" s="221"/>
      <c r="IO134" s="258"/>
      <c r="IP134" s="270"/>
      <c r="IQ134" s="271"/>
      <c r="IR134" s="271"/>
      <c r="IS134" s="271"/>
      <c r="IT134" s="221"/>
      <c r="IU134" s="221"/>
      <c r="IV134" s="221"/>
      <c r="IW134" s="258"/>
      <c r="IX134" s="270"/>
      <c r="IY134" s="271"/>
      <c r="IZ134" s="271"/>
      <c r="JA134" s="271"/>
      <c r="JB134" s="221"/>
      <c r="JC134" s="221"/>
      <c r="JD134" s="221"/>
      <c r="JE134" s="258"/>
      <c r="JF134" s="270"/>
      <c r="JG134" s="271"/>
      <c r="JH134" s="271"/>
      <c r="JI134" s="271"/>
      <c r="JJ134" s="221"/>
      <c r="JK134" s="221"/>
      <c r="JL134" s="221"/>
      <c r="JM134" s="258"/>
      <c r="JN134" s="270"/>
      <c r="JO134" s="271"/>
      <c r="JP134" s="271"/>
      <c r="JQ134" s="271"/>
      <c r="JR134" s="221"/>
      <c r="JS134" s="221"/>
      <c r="JT134" s="221"/>
      <c r="JU134" s="258"/>
      <c r="JV134" s="270"/>
      <c r="JW134" s="271"/>
      <c r="JX134" s="271"/>
      <c r="JY134" s="271"/>
      <c r="JZ134" s="221"/>
      <c r="KA134" s="221"/>
      <c r="KB134" s="221"/>
      <c r="KC134" s="258"/>
      <c r="KD134" s="270"/>
      <c r="KE134" s="271"/>
      <c r="KF134" s="271"/>
      <c r="KG134" s="271"/>
      <c r="KH134" s="221"/>
      <c r="KI134" s="221"/>
      <c r="KJ134" s="221"/>
      <c r="KK134" s="258"/>
      <c r="KL134" s="270"/>
      <c r="KM134" s="271"/>
      <c r="KN134" s="271"/>
      <c r="KO134" s="271"/>
      <c r="KP134" s="221"/>
      <c r="KQ134" s="221"/>
      <c r="KR134" s="221"/>
      <c r="KS134" s="258"/>
      <c r="KT134" s="270"/>
      <c r="KU134" s="271"/>
      <c r="KV134" s="271"/>
      <c r="KW134" s="271"/>
      <c r="KX134" s="221"/>
      <c r="KY134" s="221"/>
      <c r="KZ134" s="221"/>
      <c r="LA134" s="258"/>
      <c r="LB134" s="270"/>
      <c r="LC134" s="271"/>
      <c r="LD134" s="271"/>
      <c r="LE134" s="271"/>
      <c r="LF134" s="221"/>
      <c r="LG134" s="221"/>
      <c r="LH134" s="221"/>
      <c r="LI134" s="258"/>
      <c r="LJ134" s="270"/>
      <c r="LK134" s="271"/>
      <c r="LL134" s="271"/>
      <c r="LM134" s="271"/>
      <c r="LN134" s="221"/>
      <c r="LO134" s="221"/>
      <c r="LP134" s="221"/>
      <c r="LQ134" s="258"/>
      <c r="LR134" s="270"/>
      <c r="LS134" s="271"/>
      <c r="LT134" s="271"/>
      <c r="LU134" s="271"/>
      <c r="LV134" s="221"/>
      <c r="LW134" s="221"/>
      <c r="LX134" s="221"/>
      <c r="LY134" s="258"/>
      <c r="LZ134" s="270"/>
      <c r="MA134" s="271"/>
      <c r="MB134" s="271"/>
      <c r="MC134" s="271"/>
      <c r="MD134" s="221"/>
      <c r="ME134" s="221"/>
      <c r="MF134" s="221"/>
      <c r="MG134" s="258"/>
      <c r="MH134" s="270"/>
      <c r="MI134" s="271"/>
      <c r="MJ134" s="271"/>
      <c r="MK134" s="271"/>
      <c r="ML134" s="221"/>
      <c r="MM134" s="221"/>
      <c r="MN134" s="221"/>
      <c r="MO134" s="258"/>
      <c r="MP134" s="270"/>
      <c r="MQ134" s="271"/>
      <c r="MR134" s="271"/>
      <c r="MS134" s="271"/>
      <c r="MT134" s="221"/>
      <c r="MU134" s="221"/>
      <c r="MV134" s="221"/>
      <c r="MW134" s="258"/>
      <c r="MX134" s="270"/>
      <c r="MY134" s="271"/>
      <c r="MZ134" s="271"/>
      <c r="NA134" s="271"/>
      <c r="NB134" s="221"/>
      <c r="NC134" s="221"/>
      <c r="ND134" s="221"/>
      <c r="NE134" s="258"/>
      <c r="NF134" s="270"/>
      <c r="NG134" s="271"/>
      <c r="NH134" s="271"/>
      <c r="NI134" s="271"/>
      <c r="NJ134" s="221"/>
      <c r="NK134" s="221"/>
      <c r="NL134" s="221"/>
      <c r="NM134" s="258"/>
      <c r="NN134" s="270"/>
      <c r="NO134" s="271"/>
      <c r="NP134" s="271"/>
      <c r="NQ134" s="271"/>
      <c r="NR134" s="221"/>
      <c r="NS134" s="221"/>
      <c r="NT134" s="221"/>
      <c r="NU134" s="258"/>
      <c r="NV134" s="270"/>
      <c r="NW134" s="271"/>
      <c r="NX134" s="271"/>
      <c r="NY134" s="271"/>
      <c r="NZ134" s="221"/>
      <c r="OA134" s="221"/>
      <c r="OB134" s="221"/>
      <c r="OC134" s="258"/>
      <c r="OD134" s="270"/>
      <c r="OE134" s="271"/>
      <c r="OF134" s="271"/>
      <c r="OG134" s="271"/>
      <c r="OH134" s="221"/>
      <c r="OI134" s="221"/>
      <c r="OJ134" s="221"/>
      <c r="OK134" s="258"/>
      <c r="OL134" s="270"/>
      <c r="OM134" s="271"/>
      <c r="ON134" s="271"/>
      <c r="OO134" s="271"/>
      <c r="OP134" s="221"/>
      <c r="OQ134" s="221"/>
      <c r="OR134" s="221"/>
      <c r="OS134" s="258"/>
      <c r="OT134" s="270"/>
      <c r="OU134" s="271"/>
      <c r="OV134" s="271"/>
      <c r="OW134" s="271"/>
      <c r="OX134" s="221"/>
      <c r="OY134" s="221"/>
      <c r="OZ134" s="221"/>
      <c r="PA134" s="258"/>
      <c r="PB134" s="270"/>
      <c r="PC134" s="271"/>
      <c r="PD134" s="271"/>
      <c r="PE134" s="271"/>
      <c r="PF134" s="221"/>
      <c r="PG134" s="221"/>
      <c r="PH134" s="221"/>
      <c r="PI134" s="258"/>
      <c r="PJ134" s="270"/>
      <c r="PK134" s="271"/>
      <c r="PL134" s="271"/>
      <c r="PM134" s="271"/>
      <c r="PN134" s="221"/>
      <c r="PO134" s="221"/>
      <c r="PP134" s="221"/>
      <c r="PQ134" s="258"/>
      <c r="PR134" s="270"/>
      <c r="PS134" s="271"/>
      <c r="PT134" s="271"/>
      <c r="PU134" s="271"/>
      <c r="PV134" s="221"/>
      <c r="PW134" s="221"/>
      <c r="PX134" s="221"/>
      <c r="PY134" s="258"/>
      <c r="PZ134" s="270"/>
      <c r="QA134" s="271"/>
      <c r="QB134" s="271"/>
      <c r="QC134" s="271"/>
      <c r="QD134" s="221"/>
      <c r="QE134" s="221"/>
      <c r="QF134" s="221"/>
      <c r="QG134" s="258"/>
      <c r="QH134" s="270"/>
      <c r="QI134" s="271"/>
      <c r="QJ134" s="271"/>
      <c r="QK134" s="271"/>
      <c r="QL134" s="221"/>
      <c r="QM134" s="221"/>
      <c r="QN134" s="221"/>
      <c r="QO134" s="258"/>
      <c r="QP134" s="270"/>
      <c r="QQ134" s="271"/>
      <c r="QR134" s="271"/>
      <c r="QS134" s="271"/>
      <c r="QT134" s="221"/>
      <c r="QU134" s="221"/>
      <c r="QV134" s="221"/>
      <c r="QW134" s="258"/>
      <c r="QX134" s="270"/>
      <c r="QY134" s="271"/>
      <c r="QZ134" s="271"/>
      <c r="RA134" s="271"/>
      <c r="RB134" s="221"/>
      <c r="RC134" s="221"/>
      <c r="RD134" s="221"/>
      <c r="RE134" s="258"/>
      <c r="RF134" s="270"/>
      <c r="RG134" s="271"/>
      <c r="RH134" s="271"/>
      <c r="RI134" s="271"/>
      <c r="RJ134" s="221"/>
      <c r="RK134" s="221"/>
      <c r="RL134" s="221"/>
      <c r="RM134" s="258"/>
      <c r="RN134" s="270"/>
      <c r="RO134" s="271"/>
      <c r="RP134" s="271"/>
      <c r="RQ134" s="271"/>
      <c r="RR134" s="221"/>
      <c r="RS134" s="221"/>
      <c r="RT134" s="221"/>
      <c r="RU134" s="258"/>
      <c r="RV134" s="270"/>
      <c r="RW134" s="271"/>
      <c r="RX134" s="271"/>
      <c r="RY134" s="271"/>
      <c r="RZ134" s="221"/>
      <c r="SA134" s="221"/>
      <c r="SB134" s="221"/>
      <c r="SC134" s="258"/>
      <c r="SD134" s="270"/>
      <c r="SE134" s="271"/>
      <c r="SF134" s="271"/>
      <c r="SG134" s="271"/>
      <c r="SH134" s="221"/>
      <c r="SI134" s="221"/>
      <c r="SJ134" s="221"/>
      <c r="SK134" s="258"/>
      <c r="SL134" s="270"/>
      <c r="SM134" s="271"/>
      <c r="SN134" s="271"/>
      <c r="SO134" s="271"/>
      <c r="SP134" s="221"/>
      <c r="SQ134" s="221"/>
      <c r="SR134" s="221"/>
      <c r="SS134" s="258"/>
      <c r="ST134" s="270"/>
      <c r="SU134" s="271"/>
      <c r="SV134" s="271"/>
      <c r="SW134" s="271"/>
      <c r="SX134" s="221"/>
      <c r="SY134" s="221"/>
      <c r="SZ134" s="221"/>
      <c r="TA134" s="258"/>
      <c r="TB134" s="270"/>
      <c r="TC134" s="271"/>
      <c r="TD134" s="271"/>
      <c r="TE134" s="271"/>
      <c r="TF134" s="221"/>
      <c r="TG134" s="221"/>
      <c r="TH134" s="221"/>
      <c r="TI134" s="258"/>
      <c r="TJ134" s="270"/>
      <c r="TK134" s="271"/>
      <c r="TL134" s="271"/>
      <c r="TM134" s="271"/>
      <c r="TN134" s="221"/>
      <c r="TO134" s="221"/>
      <c r="TP134" s="221"/>
      <c r="TQ134" s="258"/>
      <c r="TR134" s="270"/>
      <c r="TS134" s="271"/>
      <c r="TT134" s="271"/>
      <c r="TU134" s="271"/>
      <c r="TV134" s="221"/>
      <c r="TW134" s="221"/>
      <c r="TX134" s="221"/>
      <c r="TY134" s="258"/>
      <c r="TZ134" s="270"/>
      <c r="UA134" s="271"/>
      <c r="UB134" s="271"/>
      <c r="UC134" s="271"/>
      <c r="UD134" s="221"/>
      <c r="UE134" s="221"/>
      <c r="UF134" s="221"/>
      <c r="UG134" s="258"/>
      <c r="UH134" s="270"/>
      <c r="UI134" s="271"/>
      <c r="UJ134" s="271"/>
      <c r="UK134" s="271"/>
      <c r="UL134" s="221"/>
      <c r="UM134" s="221"/>
      <c r="UN134" s="221"/>
      <c r="UO134" s="258"/>
      <c r="UP134" s="270"/>
      <c r="UQ134" s="271"/>
      <c r="UR134" s="271"/>
      <c r="US134" s="271"/>
      <c r="UT134" s="221"/>
      <c r="UU134" s="221"/>
      <c r="UV134" s="221"/>
      <c r="UW134" s="258"/>
      <c r="UX134" s="270"/>
      <c r="UY134" s="271"/>
      <c r="UZ134" s="271"/>
      <c r="VA134" s="271"/>
      <c r="VB134" s="221"/>
      <c r="VC134" s="221"/>
      <c r="VD134" s="221"/>
      <c r="VE134" s="258"/>
      <c r="VF134" s="270"/>
      <c r="VG134" s="271"/>
      <c r="VH134" s="271"/>
      <c r="VI134" s="271"/>
      <c r="VJ134" s="221"/>
      <c r="VK134" s="221"/>
      <c r="VL134" s="221"/>
      <c r="VM134" s="258"/>
      <c r="VN134" s="270"/>
      <c r="VO134" s="271"/>
      <c r="VP134" s="271"/>
      <c r="VQ134" s="271"/>
      <c r="VR134" s="221"/>
      <c r="VS134" s="221"/>
      <c r="VT134" s="221"/>
      <c r="VU134" s="258"/>
      <c r="VV134" s="270"/>
      <c r="VW134" s="271"/>
      <c r="VX134" s="271"/>
      <c r="VY134" s="271"/>
      <c r="VZ134" s="221"/>
      <c r="WA134" s="221"/>
      <c r="WB134" s="221"/>
      <c r="WC134" s="258"/>
      <c r="WD134" s="270"/>
      <c r="WE134" s="271"/>
      <c r="WF134" s="271"/>
      <c r="WG134" s="271"/>
      <c r="WH134" s="221"/>
      <c r="WI134" s="221"/>
      <c r="WJ134" s="221"/>
      <c r="WK134" s="258"/>
      <c r="WL134" s="270"/>
      <c r="WM134" s="271"/>
      <c r="WN134" s="271"/>
      <c r="WO134" s="271"/>
      <c r="WP134" s="221"/>
      <c r="WQ134" s="221"/>
      <c r="WR134" s="221"/>
      <c r="WS134" s="258"/>
      <c r="WT134" s="270"/>
      <c r="WU134" s="271"/>
      <c r="WV134" s="271"/>
      <c r="WW134" s="271"/>
      <c r="WX134" s="221"/>
      <c r="WY134" s="221"/>
      <c r="WZ134" s="221"/>
      <c r="XA134" s="258"/>
      <c r="XB134" s="270"/>
      <c r="XC134" s="271"/>
      <c r="XD134" s="271"/>
      <c r="XE134" s="271"/>
      <c r="XF134" s="221"/>
      <c r="XG134" s="221"/>
      <c r="XH134" s="221"/>
      <c r="XI134" s="258"/>
      <c r="XJ134" s="270"/>
      <c r="XK134" s="271"/>
      <c r="XL134" s="271"/>
      <c r="XM134" s="271"/>
      <c r="XN134" s="221"/>
      <c r="XO134" s="221"/>
      <c r="XP134" s="221"/>
      <c r="XQ134" s="258"/>
      <c r="XR134" s="270"/>
      <c r="XS134" s="271"/>
      <c r="XT134" s="271"/>
      <c r="XU134" s="271"/>
      <c r="XV134" s="221"/>
      <c r="XW134" s="221"/>
      <c r="XX134" s="221"/>
      <c r="XY134" s="258"/>
      <c r="XZ134" s="270"/>
      <c r="YA134" s="271"/>
      <c r="YB134" s="271"/>
      <c r="YC134" s="271"/>
      <c r="YD134" s="221"/>
      <c r="YE134" s="221"/>
      <c r="YF134" s="221"/>
      <c r="YG134" s="258"/>
      <c r="YH134" s="270"/>
      <c r="YI134" s="271"/>
      <c r="YJ134" s="271"/>
      <c r="YK134" s="271"/>
      <c r="YL134" s="221"/>
      <c r="YM134" s="221"/>
      <c r="YN134" s="221"/>
      <c r="YO134" s="258"/>
      <c r="YP134" s="270"/>
      <c r="YQ134" s="271"/>
      <c r="YR134" s="271"/>
      <c r="YS134" s="271"/>
      <c r="YT134" s="221"/>
      <c r="YU134" s="221"/>
      <c r="YV134" s="221"/>
      <c r="YW134" s="258"/>
      <c r="YX134" s="270"/>
      <c r="YY134" s="271"/>
      <c r="YZ134" s="271"/>
      <c r="ZA134" s="271"/>
      <c r="ZB134" s="221"/>
      <c r="ZC134" s="221"/>
      <c r="ZD134" s="221"/>
      <c r="ZE134" s="258"/>
      <c r="ZF134" s="270"/>
      <c r="ZG134" s="271"/>
      <c r="ZH134" s="271"/>
      <c r="ZI134" s="271"/>
      <c r="ZJ134" s="221"/>
      <c r="ZK134" s="221"/>
      <c r="ZL134" s="221"/>
      <c r="ZM134" s="258"/>
      <c r="ZN134" s="270"/>
      <c r="ZO134" s="271"/>
      <c r="ZP134" s="271"/>
      <c r="ZQ134" s="271"/>
      <c r="ZR134" s="221"/>
      <c r="ZS134" s="221"/>
      <c r="ZT134" s="221"/>
      <c r="ZU134" s="258"/>
      <c r="ZV134" s="270"/>
      <c r="ZW134" s="271"/>
      <c r="ZX134" s="271"/>
      <c r="ZY134" s="271"/>
      <c r="ZZ134" s="221"/>
      <c r="AAA134" s="221"/>
      <c r="AAB134" s="221"/>
      <c r="AAC134" s="258"/>
      <c r="AAD134" s="270"/>
      <c r="AAE134" s="271"/>
      <c r="AAF134" s="271"/>
      <c r="AAG134" s="271"/>
      <c r="AAH134" s="221"/>
      <c r="AAI134" s="221"/>
      <c r="AAJ134" s="221"/>
      <c r="AAK134" s="258"/>
      <c r="AAL134" s="270"/>
      <c r="AAM134" s="271"/>
      <c r="AAN134" s="271"/>
      <c r="AAO134" s="271"/>
      <c r="AAP134" s="221"/>
      <c r="AAQ134" s="221"/>
      <c r="AAR134" s="221"/>
      <c r="AAS134" s="258"/>
      <c r="AAT134" s="270"/>
      <c r="AAU134" s="271"/>
      <c r="AAV134" s="271"/>
      <c r="AAW134" s="271"/>
      <c r="AAX134" s="221"/>
      <c r="AAY134" s="221"/>
      <c r="AAZ134" s="221"/>
      <c r="ABA134" s="258"/>
      <c r="ABB134" s="270"/>
      <c r="ABC134" s="271"/>
      <c r="ABD134" s="271"/>
      <c r="ABE134" s="271"/>
      <c r="ABF134" s="221"/>
      <c r="ABG134" s="221"/>
      <c r="ABH134" s="221"/>
      <c r="ABI134" s="258"/>
      <c r="ABJ134" s="270"/>
      <c r="ABK134" s="271"/>
      <c r="ABL134" s="271"/>
      <c r="ABM134" s="271"/>
      <c r="ABN134" s="221"/>
      <c r="ABO134" s="221"/>
      <c r="ABP134" s="221"/>
      <c r="ABQ134" s="258"/>
      <c r="ABR134" s="270"/>
      <c r="ABS134" s="271"/>
      <c r="ABT134" s="271"/>
      <c r="ABU134" s="271"/>
      <c r="ABV134" s="221"/>
      <c r="ABW134" s="221"/>
      <c r="ABX134" s="221"/>
      <c r="ABY134" s="258"/>
      <c r="ABZ134" s="270"/>
      <c r="ACA134" s="271"/>
      <c r="ACB134" s="271"/>
      <c r="ACC134" s="271"/>
      <c r="ACD134" s="221"/>
      <c r="ACE134" s="221"/>
      <c r="ACF134" s="221"/>
      <c r="ACG134" s="258"/>
      <c r="ACH134" s="270"/>
      <c r="ACI134" s="271"/>
      <c r="ACJ134" s="271"/>
      <c r="ACK134" s="271"/>
      <c r="ACL134" s="221"/>
      <c r="ACM134" s="221"/>
      <c r="ACN134" s="221"/>
      <c r="ACO134" s="258"/>
      <c r="ACP134" s="270"/>
      <c r="ACQ134" s="271"/>
      <c r="ACR134" s="271"/>
      <c r="ACS134" s="271"/>
      <c r="ACT134" s="221"/>
      <c r="ACU134" s="221"/>
      <c r="ACV134" s="221"/>
      <c r="ACW134" s="258"/>
      <c r="ACX134" s="270"/>
      <c r="ACY134" s="271"/>
      <c r="ACZ134" s="271"/>
      <c r="ADA134" s="271"/>
      <c r="ADB134" s="221"/>
      <c r="ADC134" s="221"/>
      <c r="ADD134" s="221"/>
      <c r="ADE134" s="258"/>
      <c r="ADF134" s="270"/>
      <c r="ADG134" s="271"/>
      <c r="ADH134" s="271"/>
      <c r="ADI134" s="271"/>
      <c r="ADJ134" s="221"/>
      <c r="ADK134" s="221"/>
      <c r="ADL134" s="221"/>
      <c r="ADM134" s="258"/>
      <c r="ADN134" s="270"/>
      <c r="ADO134" s="271"/>
      <c r="ADP134" s="271"/>
      <c r="ADQ134" s="271"/>
      <c r="ADR134" s="221"/>
      <c r="ADS134" s="221"/>
      <c r="ADT134" s="221"/>
      <c r="ADU134" s="258"/>
      <c r="ADV134" s="270"/>
      <c r="ADW134" s="271"/>
      <c r="ADX134" s="271"/>
      <c r="ADY134" s="271"/>
      <c r="ADZ134" s="221"/>
      <c r="AEA134" s="221"/>
      <c r="AEB134" s="221"/>
      <c r="AEC134" s="258"/>
      <c r="AED134" s="270"/>
      <c r="AEE134" s="271"/>
      <c r="AEF134" s="271"/>
      <c r="AEG134" s="271"/>
      <c r="AEH134" s="221"/>
      <c r="AEI134" s="221"/>
      <c r="AEJ134" s="221"/>
      <c r="AEK134" s="258"/>
      <c r="AEL134" s="270"/>
      <c r="AEM134" s="271"/>
      <c r="AEN134" s="271"/>
      <c r="AEO134" s="271"/>
      <c r="AEP134" s="221"/>
      <c r="AEQ134" s="221"/>
      <c r="AER134" s="221"/>
      <c r="AES134" s="258"/>
      <c r="AET134" s="270"/>
      <c r="AEU134" s="271"/>
      <c r="AEV134" s="271"/>
      <c r="AEW134" s="271"/>
      <c r="AEX134" s="221"/>
      <c r="AEY134" s="221"/>
      <c r="AEZ134" s="221"/>
      <c r="AFA134" s="258"/>
      <c r="AFB134" s="270"/>
      <c r="AFC134" s="271"/>
      <c r="AFD134" s="271"/>
      <c r="AFE134" s="271"/>
      <c r="AFF134" s="221"/>
      <c r="AFG134" s="221"/>
      <c r="AFH134" s="221"/>
      <c r="AFI134" s="258"/>
      <c r="AFJ134" s="270"/>
      <c r="AFK134" s="271"/>
      <c r="AFL134" s="271"/>
      <c r="AFM134" s="271"/>
      <c r="AFN134" s="221"/>
      <c r="AFO134" s="221"/>
      <c r="AFP134" s="221"/>
      <c r="AFQ134" s="258"/>
      <c r="AFR134" s="270"/>
      <c r="AFS134" s="271"/>
      <c r="AFT134" s="271"/>
      <c r="AFU134" s="271"/>
      <c r="AFV134" s="221"/>
      <c r="AFW134" s="221"/>
      <c r="AFX134" s="221"/>
      <c r="AFY134" s="258"/>
      <c r="AFZ134" s="270"/>
      <c r="AGA134" s="271"/>
      <c r="AGB134" s="271"/>
      <c r="AGC134" s="271"/>
      <c r="AGD134" s="221"/>
      <c r="AGE134" s="221"/>
      <c r="AGF134" s="221"/>
      <c r="AGG134" s="258"/>
      <c r="AGH134" s="270"/>
      <c r="AGI134" s="271"/>
      <c r="AGJ134" s="271"/>
      <c r="AGK134" s="271"/>
      <c r="AGL134" s="221"/>
      <c r="AGM134" s="221"/>
      <c r="AGN134" s="221"/>
      <c r="AGO134" s="258"/>
      <c r="AGP134" s="270"/>
      <c r="AGQ134" s="271"/>
      <c r="AGR134" s="271"/>
      <c r="AGS134" s="271"/>
      <c r="AGT134" s="221"/>
      <c r="AGU134" s="221"/>
      <c r="AGV134" s="221"/>
      <c r="AGW134" s="258"/>
      <c r="AGX134" s="270"/>
      <c r="AGY134" s="271"/>
      <c r="AGZ134" s="271"/>
      <c r="AHA134" s="271"/>
      <c r="AHB134" s="221"/>
      <c r="AHC134" s="221"/>
      <c r="AHD134" s="221"/>
      <c r="AHE134" s="258"/>
      <c r="AHF134" s="270"/>
      <c r="AHG134" s="271"/>
      <c r="AHH134" s="271"/>
      <c r="AHI134" s="271"/>
      <c r="AHJ134" s="221"/>
      <c r="AHK134" s="221"/>
      <c r="AHL134" s="221"/>
      <c r="AHM134" s="258"/>
      <c r="AHN134" s="270"/>
      <c r="AHO134" s="271"/>
      <c r="AHP134" s="271"/>
      <c r="AHQ134" s="271"/>
      <c r="AHR134" s="221"/>
      <c r="AHS134" s="221"/>
      <c r="AHT134" s="221"/>
      <c r="AHU134" s="258"/>
      <c r="AHV134" s="270"/>
      <c r="AHW134" s="271"/>
      <c r="AHX134" s="271"/>
      <c r="AHY134" s="271"/>
      <c r="AHZ134" s="221"/>
      <c r="AIA134" s="221"/>
      <c r="AIB134" s="221"/>
      <c r="AIC134" s="258"/>
      <c r="AID134" s="270"/>
      <c r="AIE134" s="271"/>
      <c r="AIF134" s="271"/>
      <c r="AIG134" s="271"/>
      <c r="AIH134" s="221"/>
      <c r="AII134" s="221"/>
      <c r="AIJ134" s="221"/>
      <c r="AIK134" s="258"/>
      <c r="AIL134" s="270"/>
      <c r="AIM134" s="271"/>
      <c r="AIN134" s="271"/>
      <c r="AIO134" s="271"/>
      <c r="AIP134" s="221"/>
      <c r="AIQ134" s="221"/>
      <c r="AIR134" s="221"/>
      <c r="AIS134" s="258"/>
      <c r="AIT134" s="270"/>
      <c r="AIU134" s="271"/>
      <c r="AIV134" s="271"/>
      <c r="AIW134" s="271"/>
      <c r="AIX134" s="221"/>
      <c r="AIY134" s="221"/>
      <c r="AIZ134" s="221"/>
      <c r="AJA134" s="258"/>
      <c r="AJB134" s="270"/>
      <c r="AJC134" s="271"/>
      <c r="AJD134" s="271"/>
      <c r="AJE134" s="271"/>
      <c r="AJF134" s="221"/>
      <c r="AJG134" s="221"/>
      <c r="AJH134" s="221"/>
      <c r="AJI134" s="258"/>
      <c r="AJJ134" s="270"/>
      <c r="AJK134" s="271"/>
      <c r="AJL134" s="271"/>
      <c r="AJM134" s="271"/>
      <c r="AJN134" s="221"/>
      <c r="AJO134" s="221"/>
      <c r="AJP134" s="221"/>
      <c r="AJQ134" s="258"/>
      <c r="AJR134" s="270"/>
      <c r="AJS134" s="271"/>
      <c r="AJT134" s="271"/>
      <c r="AJU134" s="271"/>
      <c r="AJV134" s="221"/>
      <c r="AJW134" s="221"/>
      <c r="AJX134" s="221"/>
      <c r="AJY134" s="258"/>
      <c r="AJZ134" s="270"/>
      <c r="AKA134" s="271"/>
      <c r="AKB134" s="271"/>
      <c r="AKC134" s="271"/>
      <c r="AKD134" s="221"/>
      <c r="AKE134" s="221"/>
      <c r="AKF134" s="221"/>
      <c r="AKG134" s="258"/>
      <c r="AKH134" s="270"/>
      <c r="AKI134" s="271"/>
      <c r="AKJ134" s="271"/>
      <c r="AKK134" s="271"/>
      <c r="AKL134" s="221"/>
      <c r="AKM134" s="221"/>
      <c r="AKN134" s="221"/>
      <c r="AKO134" s="258"/>
      <c r="AKP134" s="270"/>
      <c r="AKQ134" s="271"/>
      <c r="AKR134" s="271"/>
      <c r="AKS134" s="271"/>
      <c r="AKT134" s="221"/>
      <c r="AKU134" s="221"/>
      <c r="AKV134" s="221"/>
      <c r="AKW134" s="258"/>
      <c r="AKX134" s="270"/>
      <c r="AKY134" s="271"/>
      <c r="AKZ134" s="271"/>
      <c r="ALA134" s="271"/>
      <c r="ALB134" s="221"/>
      <c r="ALC134" s="221"/>
      <c r="ALD134" s="221"/>
      <c r="ALE134" s="258"/>
      <c r="ALF134" s="270"/>
      <c r="ALG134" s="271"/>
      <c r="ALH134" s="271"/>
      <c r="ALI134" s="271"/>
      <c r="ALJ134" s="221"/>
      <c r="ALK134" s="221"/>
      <c r="ALL134" s="221"/>
      <c r="ALM134" s="258"/>
      <c r="ALN134" s="270"/>
      <c r="ALO134" s="271"/>
      <c r="ALP134" s="271"/>
      <c r="ALQ134" s="271"/>
      <c r="ALR134" s="221"/>
      <c r="ALS134" s="221"/>
      <c r="ALT134" s="221"/>
      <c r="ALU134" s="258"/>
      <c r="ALV134" s="270"/>
      <c r="ALW134" s="271"/>
      <c r="ALX134" s="271"/>
      <c r="ALY134" s="271"/>
      <c r="ALZ134" s="221"/>
      <c r="AMA134" s="221"/>
      <c r="AMB134" s="221"/>
      <c r="AMC134" s="258"/>
      <c r="AMD134" s="270"/>
      <c r="AME134" s="271"/>
      <c r="AMF134" s="271"/>
      <c r="AMG134" s="271"/>
      <c r="AMH134" s="221"/>
      <c r="AMI134" s="221"/>
      <c r="AMJ134" s="221"/>
      <c r="AMK134" s="258"/>
      <c r="AML134" s="270"/>
      <c r="AMM134" s="271"/>
      <c r="AMN134" s="271"/>
      <c r="AMO134" s="271"/>
      <c r="AMP134" s="221"/>
      <c r="AMQ134" s="221"/>
      <c r="AMR134" s="221"/>
      <c r="AMS134" s="258"/>
      <c r="AMT134" s="270"/>
      <c r="AMU134" s="271"/>
      <c r="AMV134" s="271"/>
      <c r="AMW134" s="271"/>
      <c r="AMX134" s="221"/>
      <c r="AMY134" s="221"/>
      <c r="AMZ134" s="221"/>
      <c r="ANA134" s="258"/>
      <c r="ANB134" s="270"/>
      <c r="ANC134" s="271"/>
      <c r="AND134" s="271"/>
      <c r="ANE134" s="271"/>
      <c r="ANF134" s="221"/>
      <c r="ANG134" s="221"/>
      <c r="ANH134" s="221"/>
      <c r="ANI134" s="258"/>
      <c r="ANJ134" s="270"/>
      <c r="ANK134" s="271"/>
      <c r="ANL134" s="271"/>
      <c r="ANM134" s="271"/>
      <c r="ANN134" s="221"/>
      <c r="ANO134" s="221"/>
      <c r="ANP134" s="221"/>
      <c r="ANQ134" s="258"/>
      <c r="ANR134" s="270"/>
      <c r="ANS134" s="271"/>
      <c r="ANT134" s="271"/>
      <c r="ANU134" s="271"/>
      <c r="ANV134" s="221"/>
      <c r="ANW134" s="221"/>
      <c r="ANX134" s="221"/>
      <c r="ANY134" s="258"/>
      <c r="ANZ134" s="270"/>
      <c r="AOA134" s="271"/>
      <c r="AOB134" s="271"/>
      <c r="AOC134" s="271"/>
      <c r="AOD134" s="221"/>
      <c r="AOE134" s="221"/>
      <c r="AOF134" s="221"/>
      <c r="AOG134" s="258"/>
      <c r="AOH134" s="270"/>
      <c r="AOI134" s="271"/>
      <c r="AOJ134" s="271"/>
      <c r="AOK134" s="271"/>
      <c r="AOL134" s="221"/>
      <c r="AOM134" s="221"/>
      <c r="AON134" s="221"/>
      <c r="AOO134" s="258"/>
      <c r="AOP134" s="270"/>
      <c r="AOQ134" s="271"/>
      <c r="AOR134" s="271"/>
      <c r="AOS134" s="271"/>
      <c r="AOT134" s="221"/>
      <c r="AOU134" s="221"/>
      <c r="AOV134" s="221"/>
      <c r="AOW134" s="258"/>
      <c r="AOX134" s="270"/>
      <c r="AOY134" s="271"/>
      <c r="AOZ134" s="271"/>
      <c r="APA134" s="271"/>
      <c r="APB134" s="221"/>
      <c r="APC134" s="221"/>
      <c r="APD134" s="221"/>
      <c r="APE134" s="258"/>
      <c r="APF134" s="270"/>
      <c r="APG134" s="271"/>
      <c r="APH134" s="271"/>
      <c r="API134" s="271"/>
      <c r="APJ134" s="221"/>
      <c r="APK134" s="221"/>
      <c r="APL134" s="221"/>
      <c r="APM134" s="258"/>
      <c r="APN134" s="270"/>
      <c r="APO134" s="271"/>
      <c r="APP134" s="271"/>
      <c r="APQ134" s="271"/>
      <c r="APR134" s="221"/>
      <c r="APS134" s="221"/>
      <c r="APT134" s="221"/>
      <c r="APU134" s="258"/>
      <c r="APV134" s="270"/>
      <c r="APW134" s="271"/>
      <c r="APX134" s="271"/>
      <c r="APY134" s="271"/>
      <c r="APZ134" s="221"/>
      <c r="AQA134" s="221"/>
      <c r="AQB134" s="221"/>
      <c r="AQC134" s="258"/>
      <c r="AQD134" s="270"/>
      <c r="AQE134" s="271"/>
      <c r="AQF134" s="271"/>
      <c r="AQG134" s="271"/>
      <c r="AQH134" s="221"/>
      <c r="AQI134" s="221"/>
      <c r="AQJ134" s="221"/>
      <c r="AQK134" s="258"/>
      <c r="AQL134" s="270"/>
      <c r="AQM134" s="271"/>
      <c r="AQN134" s="271"/>
      <c r="AQO134" s="271"/>
      <c r="AQP134" s="221"/>
      <c r="AQQ134" s="221"/>
      <c r="AQR134" s="221"/>
      <c r="AQS134" s="258"/>
      <c r="AQT134" s="270"/>
      <c r="AQU134" s="271"/>
      <c r="AQV134" s="271"/>
      <c r="AQW134" s="271"/>
      <c r="AQX134" s="221"/>
      <c r="AQY134" s="221"/>
      <c r="AQZ134" s="221"/>
      <c r="ARA134" s="258"/>
      <c r="ARB134" s="270"/>
      <c r="ARC134" s="271"/>
      <c r="ARD134" s="271"/>
      <c r="ARE134" s="271"/>
      <c r="ARF134" s="221"/>
      <c r="ARG134" s="221"/>
      <c r="ARH134" s="221"/>
      <c r="ARI134" s="258"/>
      <c r="ARJ134" s="270"/>
      <c r="ARK134" s="271"/>
      <c r="ARL134" s="271"/>
      <c r="ARM134" s="271"/>
      <c r="ARN134" s="221"/>
      <c r="ARO134" s="221"/>
      <c r="ARP134" s="221"/>
      <c r="ARQ134" s="258"/>
      <c r="ARR134" s="270"/>
      <c r="ARS134" s="271"/>
      <c r="ART134" s="271"/>
      <c r="ARU134" s="271"/>
      <c r="ARV134" s="221"/>
      <c r="ARW134" s="221"/>
      <c r="ARX134" s="221"/>
      <c r="ARY134" s="258"/>
      <c r="ARZ134" s="270"/>
      <c r="ASA134" s="271"/>
      <c r="ASB134" s="271"/>
      <c r="ASC134" s="271"/>
      <c r="ASD134" s="221"/>
      <c r="ASE134" s="221"/>
      <c r="ASF134" s="221"/>
      <c r="ASG134" s="258"/>
      <c r="ASH134" s="270"/>
      <c r="ASI134" s="271"/>
      <c r="ASJ134" s="271"/>
      <c r="ASK134" s="271"/>
      <c r="ASL134" s="221"/>
      <c r="ASM134" s="221"/>
      <c r="ASN134" s="221"/>
      <c r="ASO134" s="258"/>
      <c r="ASP134" s="270"/>
      <c r="ASQ134" s="271"/>
      <c r="ASR134" s="271"/>
      <c r="ASS134" s="271"/>
      <c r="AST134" s="221"/>
      <c r="ASU134" s="221"/>
      <c r="ASV134" s="221"/>
      <c r="ASW134" s="258"/>
      <c r="ASX134" s="270"/>
      <c r="ASY134" s="271"/>
      <c r="ASZ134" s="271"/>
      <c r="ATA134" s="271"/>
      <c r="ATB134" s="221"/>
      <c r="ATC134" s="221"/>
      <c r="ATD134" s="221"/>
      <c r="ATE134" s="258"/>
      <c r="ATF134" s="270"/>
      <c r="ATG134" s="271"/>
      <c r="ATH134" s="271"/>
      <c r="ATI134" s="271"/>
      <c r="ATJ134" s="221"/>
      <c r="ATK134" s="221"/>
      <c r="ATL134" s="221"/>
      <c r="ATM134" s="258"/>
      <c r="ATN134" s="270"/>
      <c r="ATO134" s="271"/>
      <c r="ATP134" s="271"/>
      <c r="ATQ134" s="271"/>
      <c r="ATR134" s="221"/>
      <c r="ATS134" s="221"/>
      <c r="ATT134" s="221"/>
      <c r="ATU134" s="258"/>
      <c r="ATV134" s="270"/>
      <c r="ATW134" s="271"/>
      <c r="ATX134" s="271"/>
      <c r="ATY134" s="271"/>
      <c r="ATZ134" s="221"/>
      <c r="AUA134" s="221"/>
      <c r="AUB134" s="221"/>
      <c r="AUC134" s="258"/>
      <c r="AUD134" s="270"/>
      <c r="AUE134" s="271"/>
      <c r="AUF134" s="271"/>
      <c r="AUG134" s="271"/>
      <c r="AUH134" s="221"/>
      <c r="AUI134" s="221"/>
      <c r="AUJ134" s="221"/>
      <c r="AUK134" s="258"/>
      <c r="AUL134" s="270"/>
      <c r="AUM134" s="271"/>
      <c r="AUN134" s="271"/>
      <c r="AUO134" s="271"/>
      <c r="AUP134" s="221"/>
      <c r="AUQ134" s="221"/>
      <c r="AUR134" s="221"/>
      <c r="AUS134" s="258"/>
      <c r="AUT134" s="270"/>
      <c r="AUU134" s="271"/>
      <c r="AUV134" s="271"/>
      <c r="AUW134" s="271"/>
      <c r="AUX134" s="221"/>
      <c r="AUY134" s="221"/>
      <c r="AUZ134" s="221"/>
      <c r="AVA134" s="258"/>
      <c r="AVB134" s="270"/>
      <c r="AVC134" s="271"/>
      <c r="AVD134" s="271"/>
      <c r="AVE134" s="271"/>
      <c r="AVF134" s="221"/>
      <c r="AVG134" s="221"/>
      <c r="AVH134" s="221"/>
      <c r="AVI134" s="258"/>
      <c r="AVJ134" s="270"/>
      <c r="AVK134" s="271"/>
      <c r="AVL134" s="271"/>
      <c r="AVM134" s="271"/>
      <c r="AVN134" s="221"/>
      <c r="AVO134" s="221"/>
      <c r="AVP134" s="221"/>
      <c r="AVQ134" s="258"/>
      <c r="AVR134" s="270"/>
      <c r="AVS134" s="271"/>
      <c r="AVT134" s="271"/>
      <c r="AVU134" s="271"/>
      <c r="AVV134" s="221"/>
      <c r="AVW134" s="221"/>
      <c r="AVX134" s="221"/>
      <c r="AVY134" s="258"/>
      <c r="AVZ134" s="270"/>
      <c r="AWA134" s="271"/>
      <c r="AWB134" s="271"/>
      <c r="AWC134" s="271"/>
      <c r="AWD134" s="221"/>
      <c r="AWE134" s="221"/>
      <c r="AWF134" s="221"/>
      <c r="AWG134" s="258"/>
      <c r="AWH134" s="270"/>
      <c r="AWI134" s="271"/>
      <c r="AWJ134" s="271"/>
      <c r="AWK134" s="271"/>
      <c r="AWL134" s="221"/>
      <c r="AWM134" s="221"/>
      <c r="AWN134" s="221"/>
      <c r="AWO134" s="258"/>
      <c r="AWP134" s="270"/>
      <c r="AWQ134" s="271"/>
      <c r="AWR134" s="271"/>
      <c r="AWS134" s="271"/>
      <c r="AWT134" s="221"/>
      <c r="AWU134" s="221"/>
      <c r="AWV134" s="221"/>
      <c r="AWW134" s="258"/>
      <c r="AWX134" s="270"/>
      <c r="AWY134" s="271"/>
      <c r="AWZ134" s="271"/>
      <c r="AXA134" s="271"/>
      <c r="AXB134" s="221"/>
      <c r="AXC134" s="221"/>
      <c r="AXD134" s="221"/>
      <c r="AXE134" s="258"/>
      <c r="AXF134" s="270"/>
      <c r="AXG134" s="271"/>
      <c r="AXH134" s="271"/>
      <c r="AXI134" s="271"/>
      <c r="AXJ134" s="221"/>
      <c r="AXK134" s="221"/>
      <c r="AXL134" s="221"/>
      <c r="AXM134" s="258"/>
      <c r="AXN134" s="270"/>
      <c r="AXO134" s="271"/>
      <c r="AXP134" s="271"/>
      <c r="AXQ134" s="271"/>
      <c r="AXR134" s="221"/>
      <c r="AXS134" s="221"/>
      <c r="AXT134" s="221"/>
      <c r="AXU134" s="258"/>
      <c r="AXV134" s="270"/>
      <c r="AXW134" s="271"/>
      <c r="AXX134" s="271"/>
      <c r="AXY134" s="271"/>
      <c r="AXZ134" s="221"/>
      <c r="AYA134" s="221"/>
      <c r="AYB134" s="221"/>
      <c r="AYC134" s="258"/>
      <c r="AYD134" s="270"/>
      <c r="AYE134" s="271"/>
      <c r="AYF134" s="271"/>
      <c r="AYG134" s="271"/>
      <c r="AYH134" s="221"/>
      <c r="AYI134" s="221"/>
      <c r="AYJ134" s="221"/>
      <c r="AYK134" s="258"/>
      <c r="AYL134" s="270"/>
      <c r="AYM134" s="271"/>
      <c r="AYN134" s="271"/>
      <c r="AYO134" s="271"/>
      <c r="AYP134" s="221"/>
      <c r="AYQ134" s="221"/>
      <c r="AYR134" s="221"/>
      <c r="AYS134" s="258"/>
      <c r="AYT134" s="270"/>
      <c r="AYU134" s="271"/>
      <c r="AYV134" s="271"/>
      <c r="AYW134" s="271"/>
      <c r="AYX134" s="221"/>
      <c r="AYY134" s="221"/>
      <c r="AYZ134" s="221"/>
      <c r="AZA134" s="258"/>
      <c r="AZB134" s="270"/>
      <c r="AZC134" s="271"/>
      <c r="AZD134" s="271"/>
      <c r="AZE134" s="271"/>
      <c r="AZF134" s="221"/>
      <c r="AZG134" s="221"/>
      <c r="AZH134" s="221"/>
      <c r="AZI134" s="258"/>
      <c r="AZJ134" s="270"/>
      <c r="AZK134" s="271"/>
      <c r="AZL134" s="271"/>
      <c r="AZM134" s="271"/>
      <c r="AZN134" s="221"/>
      <c r="AZO134" s="221"/>
      <c r="AZP134" s="221"/>
      <c r="AZQ134" s="258"/>
      <c r="AZR134" s="270"/>
      <c r="AZS134" s="271"/>
      <c r="AZT134" s="271"/>
      <c r="AZU134" s="271"/>
      <c r="AZV134" s="221"/>
      <c r="AZW134" s="221"/>
      <c r="AZX134" s="221"/>
      <c r="AZY134" s="258"/>
      <c r="AZZ134" s="270"/>
      <c r="BAA134" s="271"/>
      <c r="BAB134" s="271"/>
      <c r="BAC134" s="271"/>
      <c r="BAD134" s="221"/>
      <c r="BAE134" s="221"/>
      <c r="BAF134" s="221"/>
      <c r="BAG134" s="258"/>
      <c r="BAH134" s="270"/>
      <c r="BAI134" s="271"/>
      <c r="BAJ134" s="271"/>
      <c r="BAK134" s="271"/>
      <c r="BAL134" s="221"/>
      <c r="BAM134" s="221"/>
      <c r="BAN134" s="221"/>
      <c r="BAO134" s="258"/>
      <c r="BAP134" s="270"/>
      <c r="BAQ134" s="271"/>
      <c r="BAR134" s="271"/>
      <c r="BAS134" s="271"/>
      <c r="BAT134" s="221"/>
      <c r="BAU134" s="221"/>
      <c r="BAV134" s="221"/>
      <c r="BAW134" s="258"/>
      <c r="BAX134" s="270"/>
      <c r="BAY134" s="271"/>
      <c r="BAZ134" s="271"/>
      <c r="BBA134" s="271"/>
      <c r="BBB134" s="221"/>
      <c r="BBC134" s="221"/>
      <c r="BBD134" s="221"/>
      <c r="BBE134" s="258"/>
      <c r="BBF134" s="270"/>
      <c r="BBG134" s="271"/>
      <c r="BBH134" s="271"/>
      <c r="BBI134" s="271"/>
      <c r="BBJ134" s="221"/>
      <c r="BBK134" s="221"/>
      <c r="BBL134" s="221"/>
      <c r="BBM134" s="258"/>
      <c r="BBN134" s="270"/>
      <c r="BBO134" s="271"/>
      <c r="BBP134" s="271"/>
      <c r="BBQ134" s="271"/>
      <c r="BBR134" s="221"/>
      <c r="BBS134" s="221"/>
      <c r="BBT134" s="221"/>
      <c r="BBU134" s="258"/>
      <c r="BBV134" s="270"/>
      <c r="BBW134" s="271"/>
      <c r="BBX134" s="271"/>
      <c r="BBY134" s="271"/>
      <c r="BBZ134" s="221"/>
      <c r="BCA134" s="221"/>
      <c r="BCB134" s="221"/>
      <c r="BCC134" s="258"/>
      <c r="BCD134" s="270"/>
      <c r="BCE134" s="271"/>
      <c r="BCF134" s="271"/>
      <c r="BCG134" s="271"/>
      <c r="BCH134" s="221"/>
      <c r="BCI134" s="221"/>
      <c r="BCJ134" s="221"/>
      <c r="BCK134" s="258"/>
      <c r="BCL134" s="270"/>
      <c r="BCM134" s="271"/>
      <c r="BCN134" s="271"/>
      <c r="BCO134" s="271"/>
      <c r="BCP134" s="221"/>
      <c r="BCQ134" s="221"/>
      <c r="BCR134" s="221"/>
      <c r="BCS134" s="258"/>
      <c r="BCT134" s="270"/>
      <c r="BCU134" s="271"/>
      <c r="BCV134" s="271"/>
      <c r="BCW134" s="271"/>
      <c r="BCX134" s="221"/>
      <c r="BCY134" s="221"/>
      <c r="BCZ134" s="221"/>
      <c r="BDA134" s="258"/>
      <c r="BDB134" s="270"/>
      <c r="BDC134" s="271"/>
      <c r="BDD134" s="271"/>
      <c r="BDE134" s="271"/>
      <c r="BDF134" s="221"/>
      <c r="BDG134" s="221"/>
      <c r="BDH134" s="221"/>
      <c r="BDI134" s="258"/>
      <c r="BDJ134" s="270"/>
      <c r="BDK134" s="271"/>
      <c r="BDL134" s="271"/>
      <c r="BDM134" s="271"/>
      <c r="BDN134" s="221"/>
      <c r="BDO134" s="221"/>
      <c r="BDP134" s="221"/>
      <c r="BDQ134" s="258"/>
      <c r="BDR134" s="270"/>
      <c r="BDS134" s="271"/>
      <c r="BDT134" s="271"/>
      <c r="BDU134" s="271"/>
      <c r="BDV134" s="221"/>
      <c r="BDW134" s="221"/>
      <c r="BDX134" s="221"/>
      <c r="BDY134" s="258"/>
      <c r="BDZ134" s="270"/>
      <c r="BEA134" s="271"/>
      <c r="BEB134" s="271"/>
      <c r="BEC134" s="271"/>
      <c r="BED134" s="221"/>
      <c r="BEE134" s="221"/>
      <c r="BEF134" s="221"/>
      <c r="BEG134" s="258"/>
      <c r="BEH134" s="270"/>
      <c r="BEI134" s="271"/>
      <c r="BEJ134" s="271"/>
      <c r="BEK134" s="271"/>
      <c r="BEL134" s="221"/>
      <c r="BEM134" s="221"/>
      <c r="BEN134" s="221"/>
      <c r="BEO134" s="258"/>
      <c r="BEP134" s="270"/>
      <c r="BEQ134" s="271"/>
      <c r="BER134" s="271"/>
      <c r="BES134" s="271"/>
      <c r="BET134" s="221"/>
      <c r="BEU134" s="221"/>
      <c r="BEV134" s="221"/>
      <c r="BEW134" s="258"/>
      <c r="BEX134" s="270"/>
      <c r="BEY134" s="271"/>
      <c r="BEZ134" s="271"/>
      <c r="BFA134" s="271"/>
      <c r="BFB134" s="221"/>
      <c r="BFC134" s="221"/>
      <c r="BFD134" s="221"/>
      <c r="BFE134" s="258"/>
      <c r="BFF134" s="270"/>
      <c r="BFG134" s="271"/>
      <c r="BFH134" s="271"/>
      <c r="BFI134" s="271"/>
      <c r="BFJ134" s="221"/>
      <c r="BFK134" s="221"/>
      <c r="BFL134" s="221"/>
      <c r="BFM134" s="258"/>
      <c r="BFN134" s="270"/>
      <c r="BFO134" s="271"/>
      <c r="BFP134" s="271"/>
      <c r="BFQ134" s="271"/>
      <c r="BFR134" s="221"/>
      <c r="BFS134" s="221"/>
      <c r="BFT134" s="221"/>
      <c r="BFU134" s="258"/>
      <c r="BFV134" s="270"/>
      <c r="BFW134" s="271"/>
      <c r="BFX134" s="271"/>
      <c r="BFY134" s="271"/>
      <c r="BFZ134" s="221"/>
      <c r="BGA134" s="221"/>
      <c r="BGB134" s="221"/>
      <c r="BGC134" s="258"/>
      <c r="BGD134" s="270"/>
      <c r="BGE134" s="271"/>
      <c r="BGF134" s="271"/>
      <c r="BGG134" s="271"/>
      <c r="BGH134" s="221"/>
      <c r="BGI134" s="221"/>
      <c r="BGJ134" s="221"/>
      <c r="BGK134" s="258"/>
      <c r="BGL134" s="270"/>
      <c r="BGM134" s="271"/>
      <c r="BGN134" s="271"/>
      <c r="BGO134" s="271"/>
      <c r="BGP134" s="221"/>
      <c r="BGQ134" s="221"/>
      <c r="BGR134" s="221"/>
      <c r="BGS134" s="258"/>
      <c r="BGT134" s="270"/>
      <c r="BGU134" s="271"/>
      <c r="BGV134" s="271"/>
      <c r="BGW134" s="271"/>
      <c r="BGX134" s="221"/>
      <c r="BGY134" s="221"/>
      <c r="BGZ134" s="221"/>
      <c r="BHA134" s="258"/>
      <c r="BHB134" s="270"/>
      <c r="BHC134" s="271"/>
      <c r="BHD134" s="271"/>
      <c r="BHE134" s="271"/>
      <c r="BHF134" s="221"/>
      <c r="BHG134" s="221"/>
      <c r="BHH134" s="221"/>
      <c r="BHI134" s="258"/>
      <c r="BHJ134" s="270"/>
      <c r="BHK134" s="271"/>
      <c r="BHL134" s="271"/>
      <c r="BHM134" s="271"/>
      <c r="BHN134" s="221"/>
      <c r="BHO134" s="221"/>
      <c r="BHP134" s="221"/>
      <c r="BHQ134" s="258"/>
      <c r="BHR134" s="270"/>
      <c r="BHS134" s="271"/>
      <c r="BHT134" s="271"/>
      <c r="BHU134" s="271"/>
      <c r="BHV134" s="221"/>
      <c r="BHW134" s="221"/>
      <c r="BHX134" s="221"/>
      <c r="BHY134" s="258"/>
      <c r="BHZ134" s="270"/>
      <c r="BIA134" s="271"/>
      <c r="BIB134" s="271"/>
      <c r="BIC134" s="271"/>
      <c r="BID134" s="221"/>
      <c r="BIE134" s="221"/>
      <c r="BIF134" s="221"/>
      <c r="BIG134" s="258"/>
      <c r="BIH134" s="270"/>
      <c r="BII134" s="271"/>
      <c r="BIJ134" s="271"/>
      <c r="BIK134" s="271"/>
      <c r="BIL134" s="221"/>
      <c r="BIM134" s="221"/>
      <c r="BIN134" s="221"/>
      <c r="BIO134" s="258"/>
      <c r="BIP134" s="270"/>
      <c r="BIQ134" s="271"/>
      <c r="BIR134" s="271"/>
      <c r="BIS134" s="271"/>
      <c r="BIT134" s="221"/>
      <c r="BIU134" s="221"/>
      <c r="BIV134" s="221"/>
      <c r="BIW134" s="258"/>
      <c r="BIX134" s="270"/>
      <c r="BIY134" s="271"/>
      <c r="BIZ134" s="271"/>
      <c r="BJA134" s="271"/>
      <c r="BJB134" s="221"/>
      <c r="BJC134" s="221"/>
      <c r="BJD134" s="221"/>
      <c r="BJE134" s="258"/>
      <c r="BJF134" s="270"/>
      <c r="BJG134" s="271"/>
      <c r="BJH134" s="271"/>
      <c r="BJI134" s="271"/>
      <c r="BJJ134" s="221"/>
      <c r="BJK134" s="221"/>
      <c r="BJL134" s="221"/>
      <c r="BJM134" s="258"/>
      <c r="BJN134" s="270"/>
      <c r="BJO134" s="271"/>
      <c r="BJP134" s="271"/>
      <c r="BJQ134" s="271"/>
      <c r="BJR134" s="221"/>
      <c r="BJS134" s="221"/>
      <c r="BJT134" s="221"/>
      <c r="BJU134" s="258"/>
      <c r="BJV134" s="270"/>
      <c r="BJW134" s="271"/>
      <c r="BJX134" s="271"/>
      <c r="BJY134" s="271"/>
      <c r="BJZ134" s="221"/>
      <c r="BKA134" s="221"/>
      <c r="BKB134" s="221"/>
      <c r="BKC134" s="258"/>
      <c r="BKD134" s="270"/>
      <c r="BKE134" s="271"/>
      <c r="BKF134" s="271"/>
      <c r="BKG134" s="271"/>
      <c r="BKH134" s="221"/>
      <c r="BKI134" s="221"/>
      <c r="BKJ134" s="221"/>
      <c r="BKK134" s="258"/>
      <c r="BKL134" s="270"/>
      <c r="BKM134" s="271"/>
      <c r="BKN134" s="271"/>
      <c r="BKO134" s="271"/>
      <c r="BKP134" s="221"/>
      <c r="BKQ134" s="221"/>
      <c r="BKR134" s="221"/>
      <c r="BKS134" s="258"/>
      <c r="BKT134" s="270"/>
      <c r="BKU134" s="271"/>
      <c r="BKV134" s="271"/>
      <c r="BKW134" s="271"/>
      <c r="BKX134" s="221"/>
      <c r="BKY134" s="221"/>
      <c r="BKZ134" s="221"/>
      <c r="BLA134" s="258"/>
      <c r="BLB134" s="270"/>
      <c r="BLC134" s="271"/>
      <c r="BLD134" s="271"/>
      <c r="BLE134" s="271"/>
      <c r="BLF134" s="221"/>
      <c r="BLG134" s="221"/>
      <c r="BLH134" s="221"/>
      <c r="BLI134" s="258"/>
      <c r="BLJ134" s="270"/>
      <c r="BLK134" s="271"/>
      <c r="BLL134" s="271"/>
      <c r="BLM134" s="271"/>
      <c r="BLN134" s="221"/>
      <c r="BLO134" s="221"/>
      <c r="BLP134" s="221"/>
      <c r="BLQ134" s="258"/>
      <c r="BLR134" s="270"/>
      <c r="BLS134" s="271"/>
      <c r="BLT134" s="271"/>
      <c r="BLU134" s="271"/>
      <c r="BLV134" s="221"/>
      <c r="BLW134" s="221"/>
      <c r="BLX134" s="221"/>
      <c r="BLY134" s="258"/>
      <c r="BLZ134" s="270"/>
      <c r="BMA134" s="271"/>
      <c r="BMB134" s="271"/>
      <c r="BMC134" s="271"/>
      <c r="BMD134" s="221"/>
      <c r="BME134" s="221"/>
      <c r="BMF134" s="221"/>
      <c r="BMG134" s="258"/>
      <c r="BMH134" s="270"/>
      <c r="BMI134" s="271"/>
      <c r="BMJ134" s="271"/>
      <c r="BMK134" s="271"/>
      <c r="BML134" s="221"/>
      <c r="BMM134" s="221"/>
      <c r="BMN134" s="221"/>
      <c r="BMO134" s="258"/>
      <c r="BMP134" s="270"/>
      <c r="BMQ134" s="271"/>
      <c r="BMR134" s="271"/>
      <c r="BMS134" s="271"/>
      <c r="BMT134" s="221"/>
      <c r="BMU134" s="221"/>
      <c r="BMV134" s="221"/>
      <c r="BMW134" s="258"/>
      <c r="BMX134" s="270"/>
      <c r="BMY134" s="271"/>
      <c r="BMZ134" s="271"/>
      <c r="BNA134" s="271"/>
      <c r="BNB134" s="221"/>
      <c r="BNC134" s="221"/>
      <c r="BND134" s="221"/>
      <c r="BNE134" s="258"/>
      <c r="BNF134" s="270"/>
      <c r="BNG134" s="271"/>
      <c r="BNH134" s="271"/>
      <c r="BNI134" s="271"/>
      <c r="BNJ134" s="221"/>
      <c r="BNK134" s="221"/>
      <c r="BNL134" s="221"/>
      <c r="BNM134" s="258"/>
      <c r="BNN134" s="270"/>
      <c r="BNO134" s="271"/>
      <c r="BNP134" s="271"/>
      <c r="BNQ134" s="271"/>
      <c r="BNR134" s="221"/>
      <c r="BNS134" s="221"/>
      <c r="BNT134" s="221"/>
      <c r="BNU134" s="258"/>
      <c r="BNV134" s="270"/>
      <c r="BNW134" s="271"/>
      <c r="BNX134" s="271"/>
      <c r="BNY134" s="271"/>
      <c r="BNZ134" s="221"/>
      <c r="BOA134" s="221"/>
      <c r="BOB134" s="221"/>
      <c r="BOC134" s="258"/>
      <c r="BOD134" s="270"/>
      <c r="BOE134" s="271"/>
      <c r="BOF134" s="271"/>
      <c r="BOG134" s="271"/>
      <c r="BOH134" s="221"/>
      <c r="BOI134" s="221"/>
      <c r="BOJ134" s="221"/>
      <c r="BOK134" s="258"/>
      <c r="BOL134" s="270"/>
      <c r="BOM134" s="271"/>
      <c r="BON134" s="271"/>
      <c r="BOO134" s="271"/>
      <c r="BOP134" s="221"/>
      <c r="BOQ134" s="221"/>
      <c r="BOR134" s="221"/>
      <c r="BOS134" s="258"/>
      <c r="BOT134" s="270"/>
      <c r="BOU134" s="271"/>
      <c r="BOV134" s="271"/>
      <c r="BOW134" s="271"/>
      <c r="BOX134" s="221"/>
      <c r="BOY134" s="221"/>
      <c r="BOZ134" s="221"/>
      <c r="BPA134" s="258"/>
      <c r="BPB134" s="270"/>
      <c r="BPC134" s="271"/>
      <c r="BPD134" s="271"/>
      <c r="BPE134" s="271"/>
      <c r="BPF134" s="221"/>
      <c r="BPG134" s="221"/>
      <c r="BPH134" s="221"/>
      <c r="BPI134" s="258"/>
      <c r="BPJ134" s="270"/>
      <c r="BPK134" s="271"/>
      <c r="BPL134" s="271"/>
      <c r="BPM134" s="271"/>
      <c r="BPN134" s="221"/>
      <c r="BPO134" s="221"/>
      <c r="BPP134" s="221"/>
      <c r="BPQ134" s="258"/>
      <c r="BPR134" s="270"/>
      <c r="BPS134" s="271"/>
      <c r="BPT134" s="271"/>
      <c r="BPU134" s="271"/>
      <c r="BPV134" s="221"/>
      <c r="BPW134" s="221"/>
      <c r="BPX134" s="221"/>
      <c r="BPY134" s="258"/>
      <c r="BPZ134" s="270"/>
      <c r="BQA134" s="271"/>
      <c r="BQB134" s="271"/>
      <c r="BQC134" s="271"/>
      <c r="BQD134" s="221"/>
      <c r="BQE134" s="221"/>
      <c r="BQF134" s="221"/>
      <c r="BQG134" s="258"/>
      <c r="BQH134" s="270"/>
      <c r="BQI134" s="271"/>
      <c r="BQJ134" s="271"/>
      <c r="BQK134" s="271"/>
      <c r="BQL134" s="221"/>
      <c r="BQM134" s="221"/>
      <c r="BQN134" s="221"/>
      <c r="BQO134" s="258"/>
      <c r="BQP134" s="270"/>
      <c r="BQQ134" s="271"/>
      <c r="BQR134" s="271"/>
      <c r="BQS134" s="271"/>
      <c r="BQT134" s="221"/>
      <c r="BQU134" s="221"/>
      <c r="BQV134" s="221"/>
      <c r="BQW134" s="258"/>
      <c r="BQX134" s="270"/>
      <c r="BQY134" s="271"/>
      <c r="BQZ134" s="271"/>
      <c r="BRA134" s="271"/>
      <c r="BRB134" s="221"/>
      <c r="BRC134" s="221"/>
      <c r="BRD134" s="221"/>
      <c r="BRE134" s="258"/>
      <c r="BRF134" s="270"/>
      <c r="BRG134" s="271"/>
      <c r="BRH134" s="271"/>
      <c r="BRI134" s="271"/>
      <c r="BRJ134" s="221"/>
      <c r="BRK134" s="221"/>
      <c r="BRL134" s="221"/>
      <c r="BRM134" s="258"/>
      <c r="BRN134" s="270"/>
      <c r="BRO134" s="271"/>
      <c r="BRP134" s="271"/>
      <c r="BRQ134" s="271"/>
      <c r="BRR134" s="221"/>
      <c r="BRS134" s="221"/>
      <c r="BRT134" s="221"/>
      <c r="BRU134" s="258"/>
      <c r="BRV134" s="270"/>
      <c r="BRW134" s="271"/>
      <c r="BRX134" s="271"/>
      <c r="BRY134" s="271"/>
      <c r="BRZ134" s="221"/>
      <c r="BSA134" s="221"/>
      <c r="BSB134" s="221"/>
      <c r="BSC134" s="258"/>
      <c r="BSD134" s="270"/>
      <c r="BSE134" s="271"/>
      <c r="BSF134" s="271"/>
      <c r="BSG134" s="271"/>
      <c r="BSH134" s="221"/>
      <c r="BSI134" s="221"/>
      <c r="BSJ134" s="221"/>
      <c r="BSK134" s="258"/>
      <c r="BSL134" s="270"/>
      <c r="BSM134" s="271"/>
      <c r="BSN134" s="271"/>
      <c r="BSO134" s="271"/>
      <c r="BSP134" s="221"/>
      <c r="BSQ134" s="221"/>
      <c r="BSR134" s="221"/>
      <c r="BSS134" s="258"/>
      <c r="BST134" s="270"/>
      <c r="BSU134" s="271"/>
      <c r="BSV134" s="271"/>
      <c r="BSW134" s="271"/>
      <c r="BSX134" s="221"/>
      <c r="BSY134" s="221"/>
      <c r="BSZ134" s="221"/>
      <c r="BTA134" s="258"/>
      <c r="BTB134" s="270"/>
      <c r="BTC134" s="271"/>
      <c r="BTD134" s="271"/>
      <c r="BTE134" s="271"/>
      <c r="BTF134" s="221"/>
      <c r="BTG134" s="221"/>
      <c r="BTH134" s="221"/>
      <c r="BTI134" s="258"/>
      <c r="BTJ134" s="270"/>
      <c r="BTK134" s="271"/>
      <c r="BTL134" s="271"/>
      <c r="BTM134" s="271"/>
      <c r="BTN134" s="221"/>
      <c r="BTO134" s="221"/>
      <c r="BTP134" s="221"/>
      <c r="BTQ134" s="258"/>
      <c r="BTR134" s="270"/>
      <c r="BTS134" s="271"/>
      <c r="BTT134" s="271"/>
      <c r="BTU134" s="271"/>
      <c r="BTV134" s="221"/>
      <c r="BTW134" s="221"/>
      <c r="BTX134" s="221"/>
      <c r="BTY134" s="258"/>
      <c r="BTZ134" s="270"/>
      <c r="BUA134" s="271"/>
      <c r="BUB134" s="271"/>
      <c r="BUC134" s="271"/>
      <c r="BUD134" s="221"/>
      <c r="BUE134" s="221"/>
      <c r="BUF134" s="221"/>
      <c r="BUG134" s="258"/>
      <c r="BUH134" s="270"/>
      <c r="BUI134" s="271"/>
      <c r="BUJ134" s="271"/>
      <c r="BUK134" s="271"/>
      <c r="BUL134" s="221"/>
      <c r="BUM134" s="221"/>
      <c r="BUN134" s="221"/>
      <c r="BUO134" s="258"/>
      <c r="BUP134" s="270"/>
      <c r="BUQ134" s="271"/>
      <c r="BUR134" s="271"/>
      <c r="BUS134" s="271"/>
      <c r="BUT134" s="221"/>
      <c r="BUU134" s="221"/>
      <c r="BUV134" s="221"/>
      <c r="BUW134" s="258"/>
      <c r="BUX134" s="270"/>
      <c r="BUY134" s="271"/>
      <c r="BUZ134" s="271"/>
      <c r="BVA134" s="271"/>
      <c r="BVB134" s="221"/>
      <c r="BVC134" s="221"/>
      <c r="BVD134" s="221"/>
      <c r="BVE134" s="258"/>
      <c r="BVF134" s="270"/>
      <c r="BVG134" s="271"/>
      <c r="BVH134" s="271"/>
      <c r="BVI134" s="271"/>
      <c r="BVJ134" s="221"/>
      <c r="BVK134" s="221"/>
      <c r="BVL134" s="221"/>
      <c r="BVM134" s="258"/>
      <c r="BVN134" s="270"/>
      <c r="BVO134" s="271"/>
      <c r="BVP134" s="271"/>
      <c r="BVQ134" s="271"/>
      <c r="BVR134" s="221"/>
      <c r="BVS134" s="221"/>
      <c r="BVT134" s="221"/>
      <c r="BVU134" s="258"/>
      <c r="BVV134" s="270"/>
      <c r="BVW134" s="271"/>
      <c r="BVX134" s="271"/>
      <c r="BVY134" s="271"/>
      <c r="BVZ134" s="221"/>
      <c r="BWA134" s="221"/>
      <c r="BWB134" s="221"/>
      <c r="BWC134" s="258"/>
      <c r="BWD134" s="270"/>
      <c r="BWE134" s="271"/>
      <c r="BWF134" s="271"/>
      <c r="BWG134" s="271"/>
      <c r="BWH134" s="221"/>
      <c r="BWI134" s="221"/>
      <c r="BWJ134" s="221"/>
      <c r="BWK134" s="258"/>
      <c r="BWL134" s="270"/>
      <c r="BWM134" s="271"/>
      <c r="BWN134" s="271"/>
      <c r="BWO134" s="271"/>
      <c r="BWP134" s="221"/>
      <c r="BWQ134" s="221"/>
      <c r="BWR134" s="221"/>
      <c r="BWS134" s="258"/>
      <c r="BWT134" s="270"/>
      <c r="BWU134" s="271"/>
      <c r="BWV134" s="271"/>
      <c r="BWW134" s="271"/>
      <c r="BWX134" s="221"/>
      <c r="BWY134" s="221"/>
      <c r="BWZ134" s="221"/>
      <c r="BXA134" s="258"/>
      <c r="BXB134" s="270"/>
      <c r="BXC134" s="271"/>
      <c r="BXD134" s="271"/>
      <c r="BXE134" s="271"/>
      <c r="BXF134" s="221"/>
      <c r="BXG134" s="221"/>
      <c r="BXH134" s="221"/>
      <c r="BXI134" s="258"/>
      <c r="BXJ134" s="270"/>
      <c r="BXK134" s="271"/>
      <c r="BXL134" s="271"/>
      <c r="BXM134" s="271"/>
      <c r="BXN134" s="221"/>
      <c r="BXO134" s="221"/>
      <c r="BXP134" s="221"/>
      <c r="BXQ134" s="258"/>
      <c r="BXR134" s="270"/>
      <c r="BXS134" s="271"/>
      <c r="BXT134" s="271"/>
      <c r="BXU134" s="271"/>
      <c r="BXV134" s="221"/>
      <c r="BXW134" s="221"/>
      <c r="BXX134" s="221"/>
      <c r="BXY134" s="258"/>
      <c r="BXZ134" s="270"/>
      <c r="BYA134" s="271"/>
      <c r="BYB134" s="271"/>
      <c r="BYC134" s="271"/>
      <c r="BYD134" s="221"/>
      <c r="BYE134" s="221"/>
      <c r="BYF134" s="221"/>
      <c r="BYG134" s="258"/>
      <c r="BYH134" s="270"/>
      <c r="BYI134" s="271"/>
      <c r="BYJ134" s="271"/>
      <c r="BYK134" s="271"/>
      <c r="BYL134" s="221"/>
      <c r="BYM134" s="221"/>
      <c r="BYN134" s="221"/>
      <c r="BYO134" s="258"/>
      <c r="BYP134" s="270"/>
      <c r="BYQ134" s="271"/>
      <c r="BYR134" s="271"/>
      <c r="BYS134" s="271"/>
      <c r="BYT134" s="221"/>
      <c r="BYU134" s="221"/>
      <c r="BYV134" s="221"/>
      <c r="BYW134" s="258"/>
      <c r="BYX134" s="270"/>
      <c r="BYY134" s="271"/>
      <c r="BYZ134" s="271"/>
      <c r="BZA134" s="271"/>
      <c r="BZB134" s="221"/>
      <c r="BZC134" s="221"/>
      <c r="BZD134" s="221"/>
      <c r="BZE134" s="258"/>
      <c r="BZF134" s="270"/>
      <c r="BZG134" s="271"/>
      <c r="BZH134" s="271"/>
      <c r="BZI134" s="271"/>
      <c r="BZJ134" s="221"/>
      <c r="BZK134" s="221"/>
      <c r="BZL134" s="221"/>
      <c r="BZM134" s="258"/>
      <c r="BZN134" s="270"/>
      <c r="BZO134" s="271"/>
      <c r="BZP134" s="271"/>
      <c r="BZQ134" s="271"/>
      <c r="BZR134" s="221"/>
      <c r="BZS134" s="221"/>
      <c r="BZT134" s="221"/>
      <c r="BZU134" s="258"/>
      <c r="BZV134" s="270"/>
      <c r="BZW134" s="271"/>
      <c r="BZX134" s="271"/>
      <c r="BZY134" s="271"/>
      <c r="BZZ134" s="221"/>
      <c r="CAA134" s="221"/>
      <c r="CAB134" s="221"/>
      <c r="CAC134" s="258"/>
      <c r="CAD134" s="270"/>
      <c r="CAE134" s="271"/>
      <c r="CAF134" s="271"/>
      <c r="CAG134" s="271"/>
      <c r="CAH134" s="221"/>
      <c r="CAI134" s="221"/>
      <c r="CAJ134" s="221"/>
      <c r="CAK134" s="258"/>
      <c r="CAL134" s="270"/>
      <c r="CAM134" s="271"/>
      <c r="CAN134" s="271"/>
      <c r="CAO134" s="271"/>
      <c r="CAP134" s="221"/>
      <c r="CAQ134" s="221"/>
      <c r="CAR134" s="221"/>
      <c r="CAS134" s="258"/>
      <c r="CAT134" s="270"/>
      <c r="CAU134" s="271"/>
      <c r="CAV134" s="271"/>
      <c r="CAW134" s="271"/>
      <c r="CAX134" s="221"/>
      <c r="CAY134" s="221"/>
      <c r="CAZ134" s="221"/>
      <c r="CBA134" s="258"/>
      <c r="CBB134" s="270"/>
      <c r="CBC134" s="271"/>
      <c r="CBD134" s="271"/>
      <c r="CBE134" s="271"/>
      <c r="CBF134" s="221"/>
      <c r="CBG134" s="221"/>
      <c r="CBH134" s="221"/>
      <c r="CBI134" s="258"/>
      <c r="CBJ134" s="270"/>
      <c r="CBK134" s="271"/>
      <c r="CBL134" s="271"/>
      <c r="CBM134" s="271"/>
      <c r="CBN134" s="221"/>
      <c r="CBO134" s="221"/>
      <c r="CBP134" s="221"/>
      <c r="CBQ134" s="258"/>
      <c r="CBR134" s="270"/>
      <c r="CBS134" s="271"/>
      <c r="CBT134" s="271"/>
      <c r="CBU134" s="271"/>
      <c r="CBV134" s="221"/>
      <c r="CBW134" s="221"/>
      <c r="CBX134" s="221"/>
      <c r="CBY134" s="258"/>
      <c r="CBZ134" s="270"/>
      <c r="CCA134" s="271"/>
      <c r="CCB134" s="271"/>
      <c r="CCC134" s="271"/>
      <c r="CCD134" s="221"/>
      <c r="CCE134" s="221"/>
      <c r="CCF134" s="221"/>
      <c r="CCG134" s="258"/>
      <c r="CCH134" s="270"/>
      <c r="CCI134" s="271"/>
      <c r="CCJ134" s="271"/>
      <c r="CCK134" s="271"/>
      <c r="CCL134" s="221"/>
      <c r="CCM134" s="221"/>
      <c r="CCN134" s="221"/>
      <c r="CCO134" s="258"/>
      <c r="CCP134" s="270"/>
      <c r="CCQ134" s="271"/>
      <c r="CCR134" s="271"/>
      <c r="CCS134" s="271"/>
      <c r="CCT134" s="221"/>
      <c r="CCU134" s="221"/>
      <c r="CCV134" s="221"/>
      <c r="CCW134" s="258"/>
      <c r="CCX134" s="270"/>
      <c r="CCY134" s="271"/>
      <c r="CCZ134" s="271"/>
      <c r="CDA134" s="271"/>
      <c r="CDB134" s="221"/>
      <c r="CDC134" s="221"/>
      <c r="CDD134" s="221"/>
      <c r="CDE134" s="258"/>
      <c r="CDF134" s="270"/>
      <c r="CDG134" s="271"/>
      <c r="CDH134" s="271"/>
      <c r="CDI134" s="271"/>
      <c r="CDJ134" s="221"/>
      <c r="CDK134" s="221"/>
      <c r="CDL134" s="221"/>
      <c r="CDM134" s="258"/>
      <c r="CDN134" s="270"/>
      <c r="CDO134" s="271"/>
      <c r="CDP134" s="271"/>
      <c r="CDQ134" s="271"/>
      <c r="CDR134" s="221"/>
      <c r="CDS134" s="221"/>
      <c r="CDT134" s="221"/>
      <c r="CDU134" s="258"/>
      <c r="CDV134" s="270"/>
      <c r="CDW134" s="271"/>
      <c r="CDX134" s="271"/>
      <c r="CDY134" s="271"/>
      <c r="CDZ134" s="221"/>
      <c r="CEA134" s="221"/>
      <c r="CEB134" s="221"/>
      <c r="CEC134" s="258"/>
      <c r="CED134" s="270"/>
      <c r="CEE134" s="271"/>
      <c r="CEF134" s="271"/>
      <c r="CEG134" s="271"/>
      <c r="CEH134" s="221"/>
      <c r="CEI134" s="221"/>
      <c r="CEJ134" s="221"/>
      <c r="CEK134" s="258"/>
      <c r="CEL134" s="270"/>
      <c r="CEM134" s="271"/>
      <c r="CEN134" s="271"/>
      <c r="CEO134" s="271"/>
      <c r="CEP134" s="221"/>
      <c r="CEQ134" s="221"/>
      <c r="CER134" s="221"/>
      <c r="CES134" s="258"/>
      <c r="CET134" s="270"/>
      <c r="CEU134" s="271"/>
      <c r="CEV134" s="271"/>
      <c r="CEW134" s="271"/>
      <c r="CEX134" s="221"/>
      <c r="CEY134" s="221"/>
      <c r="CEZ134" s="221"/>
      <c r="CFA134" s="258"/>
      <c r="CFB134" s="270"/>
      <c r="CFC134" s="271"/>
      <c r="CFD134" s="271"/>
      <c r="CFE134" s="271"/>
      <c r="CFF134" s="221"/>
      <c r="CFG134" s="221"/>
      <c r="CFH134" s="221"/>
      <c r="CFI134" s="258"/>
      <c r="CFJ134" s="270"/>
      <c r="CFK134" s="271"/>
      <c r="CFL134" s="271"/>
      <c r="CFM134" s="271"/>
      <c r="CFN134" s="221"/>
      <c r="CFO134" s="221"/>
      <c r="CFP134" s="221"/>
      <c r="CFQ134" s="258"/>
      <c r="CFR134" s="270"/>
      <c r="CFS134" s="271"/>
      <c r="CFT134" s="271"/>
      <c r="CFU134" s="271"/>
      <c r="CFV134" s="221"/>
      <c r="CFW134" s="221"/>
      <c r="CFX134" s="221"/>
      <c r="CFY134" s="258"/>
      <c r="CFZ134" s="270"/>
      <c r="CGA134" s="271"/>
      <c r="CGB134" s="271"/>
      <c r="CGC134" s="271"/>
      <c r="CGD134" s="221"/>
      <c r="CGE134" s="221"/>
      <c r="CGF134" s="221"/>
      <c r="CGG134" s="258"/>
      <c r="CGH134" s="270"/>
      <c r="CGI134" s="271"/>
      <c r="CGJ134" s="271"/>
      <c r="CGK134" s="271"/>
      <c r="CGL134" s="221"/>
      <c r="CGM134" s="221"/>
      <c r="CGN134" s="221"/>
      <c r="CGO134" s="258"/>
      <c r="CGP134" s="270"/>
      <c r="CGQ134" s="271"/>
      <c r="CGR134" s="271"/>
      <c r="CGS134" s="271"/>
      <c r="CGT134" s="221"/>
      <c r="CGU134" s="221"/>
      <c r="CGV134" s="221"/>
      <c r="CGW134" s="258"/>
      <c r="CGX134" s="270"/>
      <c r="CGY134" s="271"/>
      <c r="CGZ134" s="271"/>
      <c r="CHA134" s="271"/>
      <c r="CHB134" s="221"/>
      <c r="CHC134" s="221"/>
      <c r="CHD134" s="221"/>
      <c r="CHE134" s="258"/>
      <c r="CHF134" s="270"/>
      <c r="CHG134" s="271"/>
      <c r="CHH134" s="271"/>
      <c r="CHI134" s="271"/>
      <c r="CHJ134" s="221"/>
      <c r="CHK134" s="221"/>
      <c r="CHL134" s="221"/>
      <c r="CHM134" s="258"/>
      <c r="CHN134" s="270"/>
      <c r="CHO134" s="271"/>
      <c r="CHP134" s="271"/>
      <c r="CHQ134" s="271"/>
      <c r="CHR134" s="221"/>
      <c r="CHS134" s="221"/>
      <c r="CHT134" s="221"/>
      <c r="CHU134" s="258"/>
      <c r="CHV134" s="270"/>
      <c r="CHW134" s="271"/>
      <c r="CHX134" s="271"/>
      <c r="CHY134" s="271"/>
      <c r="CHZ134" s="221"/>
      <c r="CIA134" s="221"/>
      <c r="CIB134" s="221"/>
      <c r="CIC134" s="258"/>
      <c r="CID134" s="270"/>
      <c r="CIE134" s="271"/>
      <c r="CIF134" s="271"/>
      <c r="CIG134" s="271"/>
      <c r="CIH134" s="221"/>
      <c r="CII134" s="221"/>
      <c r="CIJ134" s="221"/>
      <c r="CIK134" s="258"/>
      <c r="CIL134" s="270"/>
      <c r="CIM134" s="271"/>
      <c r="CIN134" s="271"/>
      <c r="CIO134" s="271"/>
      <c r="CIP134" s="221"/>
      <c r="CIQ134" s="221"/>
      <c r="CIR134" s="221"/>
      <c r="CIS134" s="258"/>
      <c r="CIT134" s="270"/>
      <c r="CIU134" s="271"/>
      <c r="CIV134" s="271"/>
      <c r="CIW134" s="271"/>
      <c r="CIX134" s="221"/>
      <c r="CIY134" s="221"/>
      <c r="CIZ134" s="221"/>
      <c r="CJA134" s="258"/>
      <c r="CJB134" s="270"/>
      <c r="CJC134" s="271"/>
      <c r="CJD134" s="271"/>
      <c r="CJE134" s="271"/>
      <c r="CJF134" s="221"/>
      <c r="CJG134" s="221"/>
      <c r="CJH134" s="221"/>
      <c r="CJI134" s="258"/>
      <c r="CJJ134" s="270"/>
      <c r="CJK134" s="271"/>
      <c r="CJL134" s="271"/>
      <c r="CJM134" s="271"/>
      <c r="CJN134" s="221"/>
      <c r="CJO134" s="221"/>
      <c r="CJP134" s="221"/>
      <c r="CJQ134" s="258"/>
      <c r="CJR134" s="270"/>
      <c r="CJS134" s="271"/>
      <c r="CJT134" s="271"/>
      <c r="CJU134" s="271"/>
      <c r="CJV134" s="221"/>
      <c r="CJW134" s="221"/>
      <c r="CJX134" s="221"/>
      <c r="CJY134" s="258"/>
      <c r="CJZ134" s="270"/>
      <c r="CKA134" s="271"/>
      <c r="CKB134" s="271"/>
      <c r="CKC134" s="271"/>
      <c r="CKD134" s="221"/>
      <c r="CKE134" s="221"/>
      <c r="CKF134" s="221"/>
      <c r="CKG134" s="258"/>
      <c r="CKH134" s="270"/>
      <c r="CKI134" s="271"/>
      <c r="CKJ134" s="271"/>
      <c r="CKK134" s="271"/>
      <c r="CKL134" s="221"/>
      <c r="CKM134" s="221"/>
      <c r="CKN134" s="221"/>
      <c r="CKO134" s="258"/>
      <c r="CKP134" s="270"/>
      <c r="CKQ134" s="271"/>
      <c r="CKR134" s="271"/>
      <c r="CKS134" s="271"/>
      <c r="CKT134" s="221"/>
      <c r="CKU134" s="221"/>
      <c r="CKV134" s="221"/>
      <c r="CKW134" s="258"/>
      <c r="CKX134" s="270"/>
      <c r="CKY134" s="271"/>
      <c r="CKZ134" s="271"/>
      <c r="CLA134" s="271"/>
      <c r="CLB134" s="221"/>
      <c r="CLC134" s="221"/>
      <c r="CLD134" s="221"/>
      <c r="CLE134" s="258"/>
      <c r="CLF134" s="270"/>
      <c r="CLG134" s="271"/>
      <c r="CLH134" s="271"/>
      <c r="CLI134" s="271"/>
      <c r="CLJ134" s="221"/>
      <c r="CLK134" s="221"/>
      <c r="CLL134" s="221"/>
      <c r="CLM134" s="258"/>
      <c r="CLN134" s="270"/>
      <c r="CLO134" s="271"/>
      <c r="CLP134" s="271"/>
      <c r="CLQ134" s="271"/>
      <c r="CLR134" s="221"/>
      <c r="CLS134" s="221"/>
      <c r="CLT134" s="221"/>
      <c r="CLU134" s="258"/>
      <c r="CLV134" s="270"/>
      <c r="CLW134" s="271"/>
      <c r="CLX134" s="271"/>
      <c r="CLY134" s="271"/>
      <c r="CLZ134" s="221"/>
      <c r="CMA134" s="221"/>
      <c r="CMB134" s="221"/>
      <c r="CMC134" s="258"/>
      <c r="CMD134" s="270"/>
      <c r="CME134" s="271"/>
      <c r="CMF134" s="271"/>
      <c r="CMG134" s="271"/>
      <c r="CMH134" s="221"/>
      <c r="CMI134" s="221"/>
      <c r="CMJ134" s="221"/>
      <c r="CMK134" s="258"/>
      <c r="CML134" s="270"/>
      <c r="CMM134" s="271"/>
      <c r="CMN134" s="271"/>
      <c r="CMO134" s="271"/>
      <c r="CMP134" s="221"/>
      <c r="CMQ134" s="221"/>
      <c r="CMR134" s="221"/>
      <c r="CMS134" s="258"/>
      <c r="CMT134" s="270"/>
      <c r="CMU134" s="271"/>
      <c r="CMV134" s="271"/>
      <c r="CMW134" s="271"/>
      <c r="CMX134" s="221"/>
      <c r="CMY134" s="221"/>
      <c r="CMZ134" s="221"/>
      <c r="CNA134" s="258"/>
      <c r="CNB134" s="270"/>
      <c r="CNC134" s="271"/>
      <c r="CND134" s="271"/>
      <c r="CNE134" s="271"/>
      <c r="CNF134" s="221"/>
      <c r="CNG134" s="221"/>
      <c r="CNH134" s="221"/>
      <c r="CNI134" s="258"/>
      <c r="CNJ134" s="270"/>
      <c r="CNK134" s="271"/>
      <c r="CNL134" s="271"/>
      <c r="CNM134" s="271"/>
      <c r="CNN134" s="221"/>
      <c r="CNO134" s="221"/>
      <c r="CNP134" s="221"/>
      <c r="CNQ134" s="258"/>
      <c r="CNR134" s="270"/>
      <c r="CNS134" s="271"/>
      <c r="CNT134" s="271"/>
      <c r="CNU134" s="271"/>
      <c r="CNV134" s="221"/>
      <c r="CNW134" s="221"/>
      <c r="CNX134" s="221"/>
      <c r="CNY134" s="258"/>
      <c r="CNZ134" s="270"/>
      <c r="COA134" s="271"/>
      <c r="COB134" s="271"/>
      <c r="COC134" s="271"/>
      <c r="COD134" s="221"/>
      <c r="COE134" s="221"/>
      <c r="COF134" s="221"/>
      <c r="COG134" s="258"/>
      <c r="COH134" s="270"/>
      <c r="COI134" s="271"/>
      <c r="COJ134" s="271"/>
      <c r="COK134" s="271"/>
      <c r="COL134" s="221"/>
      <c r="COM134" s="221"/>
      <c r="CON134" s="221"/>
      <c r="COO134" s="258"/>
      <c r="COP134" s="270"/>
      <c r="COQ134" s="271"/>
      <c r="COR134" s="271"/>
      <c r="COS134" s="271"/>
      <c r="COT134" s="221"/>
      <c r="COU134" s="221"/>
      <c r="COV134" s="221"/>
      <c r="COW134" s="258"/>
      <c r="COX134" s="270"/>
      <c r="COY134" s="271"/>
      <c r="COZ134" s="271"/>
      <c r="CPA134" s="271"/>
      <c r="CPB134" s="221"/>
      <c r="CPC134" s="221"/>
      <c r="CPD134" s="221"/>
      <c r="CPE134" s="258"/>
      <c r="CPF134" s="270"/>
      <c r="CPG134" s="271"/>
      <c r="CPH134" s="271"/>
      <c r="CPI134" s="271"/>
      <c r="CPJ134" s="221"/>
      <c r="CPK134" s="221"/>
      <c r="CPL134" s="221"/>
      <c r="CPM134" s="258"/>
      <c r="CPN134" s="270"/>
      <c r="CPO134" s="271"/>
      <c r="CPP134" s="271"/>
      <c r="CPQ134" s="271"/>
      <c r="CPR134" s="221"/>
      <c r="CPS134" s="221"/>
      <c r="CPT134" s="221"/>
      <c r="CPU134" s="258"/>
      <c r="CPV134" s="270"/>
      <c r="CPW134" s="271"/>
      <c r="CPX134" s="271"/>
      <c r="CPY134" s="271"/>
      <c r="CPZ134" s="221"/>
      <c r="CQA134" s="221"/>
      <c r="CQB134" s="221"/>
      <c r="CQC134" s="258"/>
      <c r="CQD134" s="270"/>
      <c r="CQE134" s="271"/>
      <c r="CQF134" s="271"/>
      <c r="CQG134" s="271"/>
      <c r="CQH134" s="221"/>
      <c r="CQI134" s="221"/>
      <c r="CQJ134" s="221"/>
      <c r="CQK134" s="258"/>
      <c r="CQL134" s="270"/>
      <c r="CQM134" s="271"/>
      <c r="CQN134" s="271"/>
      <c r="CQO134" s="271"/>
      <c r="CQP134" s="221"/>
      <c r="CQQ134" s="221"/>
      <c r="CQR134" s="221"/>
      <c r="CQS134" s="258"/>
      <c r="CQT134" s="270"/>
      <c r="CQU134" s="271"/>
      <c r="CQV134" s="271"/>
      <c r="CQW134" s="271"/>
      <c r="CQX134" s="221"/>
      <c r="CQY134" s="221"/>
      <c r="CQZ134" s="221"/>
      <c r="CRA134" s="258"/>
      <c r="CRB134" s="270"/>
      <c r="CRC134" s="271"/>
      <c r="CRD134" s="271"/>
      <c r="CRE134" s="271"/>
      <c r="CRF134" s="221"/>
      <c r="CRG134" s="221"/>
      <c r="CRH134" s="221"/>
      <c r="CRI134" s="258"/>
      <c r="CRJ134" s="270"/>
      <c r="CRK134" s="271"/>
      <c r="CRL134" s="271"/>
      <c r="CRM134" s="271"/>
      <c r="CRN134" s="221"/>
      <c r="CRO134" s="221"/>
      <c r="CRP134" s="221"/>
      <c r="CRQ134" s="258"/>
      <c r="CRR134" s="270"/>
      <c r="CRS134" s="271"/>
      <c r="CRT134" s="271"/>
      <c r="CRU134" s="271"/>
      <c r="CRV134" s="221"/>
      <c r="CRW134" s="221"/>
      <c r="CRX134" s="221"/>
      <c r="CRY134" s="258"/>
      <c r="CRZ134" s="270"/>
      <c r="CSA134" s="271"/>
      <c r="CSB134" s="271"/>
      <c r="CSC134" s="271"/>
      <c r="CSD134" s="221"/>
      <c r="CSE134" s="221"/>
      <c r="CSF134" s="221"/>
      <c r="CSG134" s="258"/>
      <c r="CSH134" s="270"/>
      <c r="CSI134" s="271"/>
      <c r="CSJ134" s="271"/>
      <c r="CSK134" s="271"/>
      <c r="CSL134" s="221"/>
      <c r="CSM134" s="221"/>
      <c r="CSN134" s="221"/>
      <c r="CSO134" s="258"/>
      <c r="CSP134" s="270"/>
      <c r="CSQ134" s="271"/>
      <c r="CSR134" s="271"/>
      <c r="CSS134" s="271"/>
      <c r="CST134" s="221"/>
      <c r="CSU134" s="221"/>
      <c r="CSV134" s="221"/>
      <c r="CSW134" s="258"/>
      <c r="CSX134" s="270"/>
      <c r="CSY134" s="271"/>
      <c r="CSZ134" s="271"/>
      <c r="CTA134" s="271"/>
      <c r="CTB134" s="221"/>
      <c r="CTC134" s="221"/>
      <c r="CTD134" s="221"/>
      <c r="CTE134" s="258"/>
      <c r="CTF134" s="270"/>
      <c r="CTG134" s="271"/>
      <c r="CTH134" s="271"/>
      <c r="CTI134" s="271"/>
      <c r="CTJ134" s="221"/>
      <c r="CTK134" s="221"/>
      <c r="CTL134" s="221"/>
      <c r="CTM134" s="258"/>
      <c r="CTN134" s="270"/>
      <c r="CTO134" s="271"/>
      <c r="CTP134" s="271"/>
      <c r="CTQ134" s="271"/>
      <c r="CTR134" s="221"/>
      <c r="CTS134" s="221"/>
      <c r="CTT134" s="221"/>
      <c r="CTU134" s="258"/>
      <c r="CTV134" s="270"/>
      <c r="CTW134" s="271"/>
      <c r="CTX134" s="271"/>
      <c r="CTY134" s="271"/>
      <c r="CTZ134" s="221"/>
      <c r="CUA134" s="221"/>
      <c r="CUB134" s="221"/>
      <c r="CUC134" s="258"/>
      <c r="CUD134" s="270"/>
      <c r="CUE134" s="271"/>
      <c r="CUF134" s="271"/>
      <c r="CUG134" s="271"/>
      <c r="CUH134" s="221"/>
      <c r="CUI134" s="221"/>
      <c r="CUJ134" s="221"/>
      <c r="CUK134" s="258"/>
      <c r="CUL134" s="270"/>
      <c r="CUM134" s="271"/>
      <c r="CUN134" s="271"/>
      <c r="CUO134" s="271"/>
      <c r="CUP134" s="221"/>
      <c r="CUQ134" s="221"/>
      <c r="CUR134" s="221"/>
      <c r="CUS134" s="258"/>
      <c r="CUT134" s="270"/>
      <c r="CUU134" s="271"/>
      <c r="CUV134" s="271"/>
      <c r="CUW134" s="271"/>
      <c r="CUX134" s="221"/>
      <c r="CUY134" s="221"/>
      <c r="CUZ134" s="221"/>
      <c r="CVA134" s="258"/>
      <c r="CVB134" s="270"/>
      <c r="CVC134" s="271"/>
      <c r="CVD134" s="271"/>
      <c r="CVE134" s="271"/>
      <c r="CVF134" s="221"/>
      <c r="CVG134" s="221"/>
      <c r="CVH134" s="221"/>
      <c r="CVI134" s="258"/>
      <c r="CVJ134" s="270"/>
      <c r="CVK134" s="271"/>
      <c r="CVL134" s="271"/>
      <c r="CVM134" s="271"/>
      <c r="CVN134" s="221"/>
      <c r="CVO134" s="221"/>
      <c r="CVP134" s="221"/>
      <c r="CVQ134" s="258"/>
      <c r="CVR134" s="270"/>
      <c r="CVS134" s="271"/>
      <c r="CVT134" s="271"/>
      <c r="CVU134" s="271"/>
      <c r="CVV134" s="221"/>
      <c r="CVW134" s="221"/>
      <c r="CVX134" s="221"/>
      <c r="CVY134" s="258"/>
      <c r="CVZ134" s="270"/>
      <c r="CWA134" s="271"/>
      <c r="CWB134" s="271"/>
      <c r="CWC134" s="271"/>
      <c r="CWD134" s="221"/>
      <c r="CWE134" s="221"/>
      <c r="CWF134" s="221"/>
      <c r="CWG134" s="258"/>
      <c r="CWH134" s="270"/>
      <c r="CWI134" s="271"/>
      <c r="CWJ134" s="271"/>
      <c r="CWK134" s="271"/>
      <c r="CWL134" s="221"/>
      <c r="CWM134" s="221"/>
      <c r="CWN134" s="221"/>
      <c r="CWO134" s="258"/>
      <c r="CWP134" s="270"/>
      <c r="CWQ134" s="271"/>
      <c r="CWR134" s="271"/>
      <c r="CWS134" s="271"/>
      <c r="CWT134" s="221"/>
      <c r="CWU134" s="221"/>
      <c r="CWV134" s="221"/>
      <c r="CWW134" s="258"/>
      <c r="CWX134" s="270"/>
      <c r="CWY134" s="271"/>
      <c r="CWZ134" s="271"/>
      <c r="CXA134" s="271"/>
      <c r="CXB134" s="221"/>
      <c r="CXC134" s="221"/>
      <c r="CXD134" s="221"/>
      <c r="CXE134" s="258"/>
      <c r="CXF134" s="270"/>
      <c r="CXG134" s="271"/>
      <c r="CXH134" s="271"/>
      <c r="CXI134" s="271"/>
      <c r="CXJ134" s="221"/>
      <c r="CXK134" s="221"/>
      <c r="CXL134" s="221"/>
      <c r="CXM134" s="258"/>
      <c r="CXN134" s="270"/>
      <c r="CXO134" s="271"/>
      <c r="CXP134" s="271"/>
      <c r="CXQ134" s="271"/>
      <c r="CXR134" s="221"/>
      <c r="CXS134" s="221"/>
      <c r="CXT134" s="221"/>
      <c r="CXU134" s="258"/>
      <c r="CXV134" s="270"/>
      <c r="CXW134" s="271"/>
      <c r="CXX134" s="271"/>
      <c r="CXY134" s="271"/>
      <c r="CXZ134" s="221"/>
      <c r="CYA134" s="221"/>
      <c r="CYB134" s="221"/>
      <c r="CYC134" s="258"/>
      <c r="CYD134" s="270"/>
      <c r="CYE134" s="271"/>
      <c r="CYF134" s="271"/>
      <c r="CYG134" s="271"/>
      <c r="CYH134" s="221"/>
      <c r="CYI134" s="221"/>
      <c r="CYJ134" s="221"/>
      <c r="CYK134" s="258"/>
      <c r="CYL134" s="270"/>
      <c r="CYM134" s="271"/>
      <c r="CYN134" s="271"/>
      <c r="CYO134" s="271"/>
      <c r="CYP134" s="221"/>
      <c r="CYQ134" s="221"/>
      <c r="CYR134" s="221"/>
      <c r="CYS134" s="258"/>
      <c r="CYT134" s="270"/>
      <c r="CYU134" s="271"/>
      <c r="CYV134" s="271"/>
      <c r="CYW134" s="271"/>
      <c r="CYX134" s="221"/>
      <c r="CYY134" s="221"/>
      <c r="CYZ134" s="221"/>
      <c r="CZA134" s="258"/>
      <c r="CZB134" s="270"/>
      <c r="CZC134" s="271"/>
      <c r="CZD134" s="271"/>
      <c r="CZE134" s="271"/>
      <c r="CZF134" s="221"/>
      <c r="CZG134" s="221"/>
      <c r="CZH134" s="221"/>
      <c r="CZI134" s="258"/>
      <c r="CZJ134" s="270"/>
      <c r="CZK134" s="271"/>
      <c r="CZL134" s="271"/>
      <c r="CZM134" s="271"/>
      <c r="CZN134" s="221"/>
      <c r="CZO134" s="221"/>
      <c r="CZP134" s="221"/>
      <c r="CZQ134" s="258"/>
      <c r="CZR134" s="270"/>
      <c r="CZS134" s="271"/>
      <c r="CZT134" s="271"/>
      <c r="CZU134" s="271"/>
      <c r="CZV134" s="221"/>
      <c r="CZW134" s="221"/>
      <c r="CZX134" s="221"/>
      <c r="CZY134" s="258"/>
      <c r="CZZ134" s="270"/>
      <c r="DAA134" s="271"/>
      <c r="DAB134" s="271"/>
      <c r="DAC134" s="271"/>
      <c r="DAD134" s="221"/>
      <c r="DAE134" s="221"/>
      <c r="DAF134" s="221"/>
      <c r="DAG134" s="258"/>
      <c r="DAH134" s="270"/>
      <c r="DAI134" s="271"/>
      <c r="DAJ134" s="271"/>
      <c r="DAK134" s="271"/>
      <c r="DAL134" s="221"/>
      <c r="DAM134" s="221"/>
      <c r="DAN134" s="221"/>
      <c r="DAO134" s="258"/>
      <c r="DAP134" s="270"/>
      <c r="DAQ134" s="271"/>
      <c r="DAR134" s="271"/>
      <c r="DAS134" s="271"/>
      <c r="DAT134" s="221"/>
      <c r="DAU134" s="221"/>
      <c r="DAV134" s="221"/>
      <c r="DAW134" s="258"/>
      <c r="DAX134" s="270"/>
      <c r="DAY134" s="271"/>
      <c r="DAZ134" s="271"/>
      <c r="DBA134" s="271"/>
      <c r="DBB134" s="221"/>
      <c r="DBC134" s="221"/>
      <c r="DBD134" s="221"/>
      <c r="DBE134" s="258"/>
      <c r="DBF134" s="270"/>
      <c r="DBG134" s="271"/>
      <c r="DBH134" s="271"/>
      <c r="DBI134" s="271"/>
      <c r="DBJ134" s="221"/>
      <c r="DBK134" s="221"/>
      <c r="DBL134" s="221"/>
      <c r="DBM134" s="258"/>
      <c r="DBN134" s="270"/>
      <c r="DBO134" s="271"/>
      <c r="DBP134" s="271"/>
      <c r="DBQ134" s="271"/>
      <c r="DBR134" s="221"/>
      <c r="DBS134" s="221"/>
      <c r="DBT134" s="221"/>
      <c r="DBU134" s="258"/>
      <c r="DBV134" s="270"/>
      <c r="DBW134" s="271"/>
      <c r="DBX134" s="271"/>
      <c r="DBY134" s="271"/>
      <c r="DBZ134" s="221"/>
      <c r="DCA134" s="221"/>
      <c r="DCB134" s="221"/>
      <c r="DCC134" s="258"/>
      <c r="DCD134" s="270"/>
      <c r="DCE134" s="271"/>
      <c r="DCF134" s="271"/>
      <c r="DCG134" s="271"/>
      <c r="DCH134" s="221"/>
      <c r="DCI134" s="221"/>
      <c r="DCJ134" s="221"/>
      <c r="DCK134" s="258"/>
      <c r="DCL134" s="270"/>
      <c r="DCM134" s="271"/>
      <c r="DCN134" s="271"/>
      <c r="DCO134" s="271"/>
      <c r="DCP134" s="221"/>
      <c r="DCQ134" s="221"/>
      <c r="DCR134" s="221"/>
      <c r="DCS134" s="258"/>
      <c r="DCT134" s="270"/>
      <c r="DCU134" s="271"/>
      <c r="DCV134" s="271"/>
      <c r="DCW134" s="271"/>
      <c r="DCX134" s="221"/>
      <c r="DCY134" s="221"/>
      <c r="DCZ134" s="221"/>
      <c r="DDA134" s="258"/>
      <c r="DDB134" s="270"/>
      <c r="DDC134" s="271"/>
      <c r="DDD134" s="271"/>
      <c r="DDE134" s="271"/>
      <c r="DDF134" s="221"/>
      <c r="DDG134" s="221"/>
      <c r="DDH134" s="221"/>
      <c r="DDI134" s="258"/>
      <c r="DDJ134" s="270"/>
      <c r="DDK134" s="271"/>
      <c r="DDL134" s="271"/>
      <c r="DDM134" s="271"/>
      <c r="DDN134" s="221"/>
      <c r="DDO134" s="221"/>
      <c r="DDP134" s="221"/>
      <c r="DDQ134" s="258"/>
      <c r="DDR134" s="270"/>
      <c r="DDS134" s="271"/>
      <c r="DDT134" s="271"/>
      <c r="DDU134" s="271"/>
      <c r="DDV134" s="221"/>
      <c r="DDW134" s="221"/>
      <c r="DDX134" s="221"/>
      <c r="DDY134" s="258"/>
      <c r="DDZ134" s="270"/>
      <c r="DEA134" s="271"/>
      <c r="DEB134" s="271"/>
      <c r="DEC134" s="271"/>
      <c r="DED134" s="221"/>
      <c r="DEE134" s="221"/>
      <c r="DEF134" s="221"/>
      <c r="DEG134" s="258"/>
      <c r="DEH134" s="270"/>
      <c r="DEI134" s="271"/>
      <c r="DEJ134" s="271"/>
      <c r="DEK134" s="271"/>
      <c r="DEL134" s="221"/>
      <c r="DEM134" s="221"/>
      <c r="DEN134" s="221"/>
      <c r="DEO134" s="258"/>
      <c r="DEP134" s="270"/>
      <c r="DEQ134" s="271"/>
      <c r="DER134" s="271"/>
      <c r="DES134" s="271"/>
      <c r="DET134" s="221"/>
      <c r="DEU134" s="221"/>
      <c r="DEV134" s="221"/>
      <c r="DEW134" s="258"/>
      <c r="DEX134" s="270"/>
      <c r="DEY134" s="271"/>
      <c r="DEZ134" s="271"/>
      <c r="DFA134" s="271"/>
      <c r="DFB134" s="221"/>
      <c r="DFC134" s="221"/>
      <c r="DFD134" s="221"/>
      <c r="DFE134" s="258"/>
      <c r="DFF134" s="270"/>
      <c r="DFG134" s="271"/>
      <c r="DFH134" s="271"/>
      <c r="DFI134" s="271"/>
      <c r="DFJ134" s="221"/>
      <c r="DFK134" s="221"/>
      <c r="DFL134" s="221"/>
      <c r="DFM134" s="258"/>
      <c r="DFN134" s="270"/>
      <c r="DFO134" s="271"/>
      <c r="DFP134" s="271"/>
      <c r="DFQ134" s="271"/>
      <c r="DFR134" s="221"/>
      <c r="DFS134" s="221"/>
      <c r="DFT134" s="221"/>
      <c r="DFU134" s="258"/>
      <c r="DFV134" s="270"/>
      <c r="DFW134" s="271"/>
      <c r="DFX134" s="271"/>
      <c r="DFY134" s="271"/>
      <c r="DFZ134" s="221"/>
      <c r="DGA134" s="221"/>
      <c r="DGB134" s="221"/>
      <c r="DGC134" s="258"/>
      <c r="DGD134" s="270"/>
      <c r="DGE134" s="271"/>
      <c r="DGF134" s="271"/>
      <c r="DGG134" s="271"/>
      <c r="DGH134" s="221"/>
      <c r="DGI134" s="221"/>
      <c r="DGJ134" s="221"/>
      <c r="DGK134" s="258"/>
      <c r="DGL134" s="270"/>
      <c r="DGM134" s="271"/>
      <c r="DGN134" s="271"/>
      <c r="DGO134" s="271"/>
      <c r="DGP134" s="221"/>
      <c r="DGQ134" s="221"/>
      <c r="DGR134" s="221"/>
      <c r="DGS134" s="258"/>
      <c r="DGT134" s="270"/>
      <c r="DGU134" s="271"/>
      <c r="DGV134" s="271"/>
      <c r="DGW134" s="271"/>
      <c r="DGX134" s="221"/>
      <c r="DGY134" s="221"/>
      <c r="DGZ134" s="221"/>
      <c r="DHA134" s="258"/>
      <c r="DHB134" s="270"/>
      <c r="DHC134" s="271"/>
      <c r="DHD134" s="271"/>
      <c r="DHE134" s="271"/>
      <c r="DHF134" s="221"/>
      <c r="DHG134" s="221"/>
      <c r="DHH134" s="221"/>
      <c r="DHI134" s="258"/>
      <c r="DHJ134" s="270"/>
      <c r="DHK134" s="271"/>
      <c r="DHL134" s="271"/>
      <c r="DHM134" s="271"/>
      <c r="DHN134" s="221"/>
      <c r="DHO134" s="221"/>
      <c r="DHP134" s="221"/>
      <c r="DHQ134" s="258"/>
      <c r="DHR134" s="270"/>
      <c r="DHS134" s="271"/>
      <c r="DHT134" s="271"/>
      <c r="DHU134" s="271"/>
      <c r="DHV134" s="221"/>
      <c r="DHW134" s="221"/>
      <c r="DHX134" s="221"/>
      <c r="DHY134" s="258"/>
      <c r="DHZ134" s="270"/>
      <c r="DIA134" s="271"/>
      <c r="DIB134" s="271"/>
      <c r="DIC134" s="271"/>
      <c r="DID134" s="221"/>
      <c r="DIE134" s="221"/>
      <c r="DIF134" s="221"/>
      <c r="DIG134" s="258"/>
      <c r="DIH134" s="270"/>
      <c r="DII134" s="271"/>
      <c r="DIJ134" s="271"/>
      <c r="DIK134" s="271"/>
      <c r="DIL134" s="221"/>
      <c r="DIM134" s="221"/>
      <c r="DIN134" s="221"/>
      <c r="DIO134" s="258"/>
      <c r="DIP134" s="270"/>
      <c r="DIQ134" s="271"/>
      <c r="DIR134" s="271"/>
      <c r="DIS134" s="271"/>
      <c r="DIT134" s="221"/>
      <c r="DIU134" s="221"/>
      <c r="DIV134" s="221"/>
      <c r="DIW134" s="258"/>
      <c r="DIX134" s="270"/>
      <c r="DIY134" s="271"/>
      <c r="DIZ134" s="271"/>
      <c r="DJA134" s="271"/>
      <c r="DJB134" s="221"/>
      <c r="DJC134" s="221"/>
      <c r="DJD134" s="221"/>
      <c r="DJE134" s="258"/>
      <c r="DJF134" s="270"/>
      <c r="DJG134" s="271"/>
      <c r="DJH134" s="271"/>
      <c r="DJI134" s="271"/>
      <c r="DJJ134" s="221"/>
      <c r="DJK134" s="221"/>
      <c r="DJL134" s="221"/>
      <c r="DJM134" s="258"/>
      <c r="DJN134" s="270"/>
      <c r="DJO134" s="271"/>
      <c r="DJP134" s="271"/>
      <c r="DJQ134" s="271"/>
      <c r="DJR134" s="221"/>
      <c r="DJS134" s="221"/>
      <c r="DJT134" s="221"/>
      <c r="DJU134" s="258"/>
      <c r="DJV134" s="270"/>
      <c r="DJW134" s="271"/>
      <c r="DJX134" s="271"/>
      <c r="DJY134" s="271"/>
      <c r="DJZ134" s="221"/>
      <c r="DKA134" s="221"/>
      <c r="DKB134" s="221"/>
      <c r="DKC134" s="258"/>
      <c r="DKD134" s="270"/>
      <c r="DKE134" s="271"/>
      <c r="DKF134" s="271"/>
      <c r="DKG134" s="271"/>
      <c r="DKH134" s="221"/>
      <c r="DKI134" s="221"/>
      <c r="DKJ134" s="221"/>
      <c r="DKK134" s="258"/>
      <c r="DKL134" s="270"/>
      <c r="DKM134" s="271"/>
      <c r="DKN134" s="271"/>
      <c r="DKO134" s="271"/>
      <c r="DKP134" s="221"/>
      <c r="DKQ134" s="221"/>
      <c r="DKR134" s="221"/>
      <c r="DKS134" s="258"/>
      <c r="DKT134" s="270"/>
      <c r="DKU134" s="271"/>
      <c r="DKV134" s="271"/>
      <c r="DKW134" s="271"/>
      <c r="DKX134" s="221"/>
      <c r="DKY134" s="221"/>
      <c r="DKZ134" s="221"/>
      <c r="DLA134" s="258"/>
      <c r="DLB134" s="270"/>
      <c r="DLC134" s="271"/>
      <c r="DLD134" s="271"/>
      <c r="DLE134" s="271"/>
      <c r="DLF134" s="221"/>
      <c r="DLG134" s="221"/>
      <c r="DLH134" s="221"/>
      <c r="DLI134" s="258"/>
      <c r="DLJ134" s="270"/>
      <c r="DLK134" s="271"/>
      <c r="DLL134" s="271"/>
      <c r="DLM134" s="271"/>
      <c r="DLN134" s="221"/>
      <c r="DLO134" s="221"/>
      <c r="DLP134" s="221"/>
      <c r="DLQ134" s="258"/>
      <c r="DLR134" s="270"/>
      <c r="DLS134" s="271"/>
      <c r="DLT134" s="271"/>
      <c r="DLU134" s="271"/>
      <c r="DLV134" s="221"/>
      <c r="DLW134" s="221"/>
      <c r="DLX134" s="221"/>
      <c r="DLY134" s="258"/>
      <c r="DLZ134" s="270"/>
      <c r="DMA134" s="271"/>
      <c r="DMB134" s="271"/>
      <c r="DMC134" s="271"/>
      <c r="DMD134" s="221"/>
      <c r="DME134" s="221"/>
      <c r="DMF134" s="221"/>
      <c r="DMG134" s="258"/>
      <c r="DMH134" s="270"/>
      <c r="DMI134" s="271"/>
      <c r="DMJ134" s="271"/>
      <c r="DMK134" s="271"/>
      <c r="DML134" s="221"/>
      <c r="DMM134" s="221"/>
      <c r="DMN134" s="221"/>
      <c r="DMO134" s="258"/>
      <c r="DMP134" s="270"/>
      <c r="DMQ134" s="271"/>
      <c r="DMR134" s="271"/>
      <c r="DMS134" s="271"/>
      <c r="DMT134" s="221"/>
      <c r="DMU134" s="221"/>
      <c r="DMV134" s="221"/>
      <c r="DMW134" s="258"/>
      <c r="DMX134" s="270"/>
      <c r="DMY134" s="271"/>
      <c r="DMZ134" s="271"/>
      <c r="DNA134" s="271"/>
      <c r="DNB134" s="221"/>
      <c r="DNC134" s="221"/>
      <c r="DND134" s="221"/>
      <c r="DNE134" s="258"/>
      <c r="DNF134" s="270"/>
      <c r="DNG134" s="271"/>
      <c r="DNH134" s="271"/>
      <c r="DNI134" s="271"/>
      <c r="DNJ134" s="221"/>
      <c r="DNK134" s="221"/>
      <c r="DNL134" s="221"/>
      <c r="DNM134" s="258"/>
      <c r="DNN134" s="270"/>
      <c r="DNO134" s="271"/>
      <c r="DNP134" s="271"/>
      <c r="DNQ134" s="271"/>
      <c r="DNR134" s="221"/>
      <c r="DNS134" s="221"/>
      <c r="DNT134" s="221"/>
      <c r="DNU134" s="258"/>
      <c r="DNV134" s="270"/>
      <c r="DNW134" s="271"/>
      <c r="DNX134" s="271"/>
      <c r="DNY134" s="271"/>
      <c r="DNZ134" s="221"/>
      <c r="DOA134" s="221"/>
      <c r="DOB134" s="221"/>
      <c r="DOC134" s="258"/>
      <c r="DOD134" s="270"/>
      <c r="DOE134" s="271"/>
      <c r="DOF134" s="271"/>
      <c r="DOG134" s="271"/>
      <c r="DOH134" s="221"/>
      <c r="DOI134" s="221"/>
      <c r="DOJ134" s="221"/>
      <c r="DOK134" s="258"/>
      <c r="DOL134" s="270"/>
      <c r="DOM134" s="271"/>
      <c r="DON134" s="271"/>
      <c r="DOO134" s="271"/>
      <c r="DOP134" s="221"/>
      <c r="DOQ134" s="221"/>
      <c r="DOR134" s="221"/>
      <c r="DOS134" s="258"/>
      <c r="DOT134" s="270"/>
      <c r="DOU134" s="271"/>
      <c r="DOV134" s="271"/>
      <c r="DOW134" s="271"/>
      <c r="DOX134" s="221"/>
      <c r="DOY134" s="221"/>
      <c r="DOZ134" s="221"/>
      <c r="DPA134" s="258"/>
      <c r="DPB134" s="270"/>
      <c r="DPC134" s="271"/>
      <c r="DPD134" s="271"/>
      <c r="DPE134" s="271"/>
      <c r="DPF134" s="221"/>
      <c r="DPG134" s="221"/>
      <c r="DPH134" s="221"/>
      <c r="DPI134" s="258"/>
      <c r="DPJ134" s="270"/>
      <c r="DPK134" s="271"/>
      <c r="DPL134" s="271"/>
      <c r="DPM134" s="271"/>
      <c r="DPN134" s="221"/>
      <c r="DPO134" s="221"/>
      <c r="DPP134" s="221"/>
      <c r="DPQ134" s="258"/>
      <c r="DPR134" s="270"/>
      <c r="DPS134" s="271"/>
      <c r="DPT134" s="271"/>
      <c r="DPU134" s="271"/>
      <c r="DPV134" s="221"/>
      <c r="DPW134" s="221"/>
      <c r="DPX134" s="221"/>
      <c r="DPY134" s="258"/>
      <c r="DPZ134" s="270"/>
      <c r="DQA134" s="271"/>
      <c r="DQB134" s="271"/>
      <c r="DQC134" s="271"/>
      <c r="DQD134" s="221"/>
      <c r="DQE134" s="221"/>
      <c r="DQF134" s="221"/>
      <c r="DQG134" s="258"/>
      <c r="DQH134" s="270"/>
      <c r="DQI134" s="271"/>
      <c r="DQJ134" s="271"/>
      <c r="DQK134" s="271"/>
      <c r="DQL134" s="221"/>
      <c r="DQM134" s="221"/>
      <c r="DQN134" s="221"/>
      <c r="DQO134" s="258"/>
      <c r="DQP134" s="270"/>
      <c r="DQQ134" s="271"/>
      <c r="DQR134" s="271"/>
      <c r="DQS134" s="271"/>
      <c r="DQT134" s="221"/>
      <c r="DQU134" s="221"/>
      <c r="DQV134" s="221"/>
      <c r="DQW134" s="258"/>
      <c r="DQX134" s="270"/>
      <c r="DQY134" s="271"/>
      <c r="DQZ134" s="271"/>
      <c r="DRA134" s="271"/>
      <c r="DRB134" s="221"/>
      <c r="DRC134" s="221"/>
      <c r="DRD134" s="221"/>
      <c r="DRE134" s="258"/>
      <c r="DRF134" s="270"/>
      <c r="DRG134" s="271"/>
      <c r="DRH134" s="271"/>
      <c r="DRI134" s="271"/>
      <c r="DRJ134" s="221"/>
      <c r="DRK134" s="221"/>
      <c r="DRL134" s="221"/>
      <c r="DRM134" s="258"/>
      <c r="DRN134" s="270"/>
      <c r="DRO134" s="271"/>
      <c r="DRP134" s="271"/>
      <c r="DRQ134" s="271"/>
      <c r="DRR134" s="221"/>
      <c r="DRS134" s="221"/>
      <c r="DRT134" s="221"/>
      <c r="DRU134" s="258"/>
      <c r="DRV134" s="270"/>
      <c r="DRW134" s="271"/>
      <c r="DRX134" s="271"/>
      <c r="DRY134" s="271"/>
      <c r="DRZ134" s="221"/>
      <c r="DSA134" s="221"/>
      <c r="DSB134" s="221"/>
      <c r="DSC134" s="258"/>
      <c r="DSD134" s="270"/>
      <c r="DSE134" s="271"/>
      <c r="DSF134" s="271"/>
      <c r="DSG134" s="271"/>
      <c r="DSH134" s="221"/>
      <c r="DSI134" s="221"/>
      <c r="DSJ134" s="221"/>
      <c r="DSK134" s="258"/>
      <c r="DSL134" s="270"/>
      <c r="DSM134" s="271"/>
      <c r="DSN134" s="271"/>
      <c r="DSO134" s="271"/>
      <c r="DSP134" s="221"/>
      <c r="DSQ134" s="221"/>
      <c r="DSR134" s="221"/>
      <c r="DSS134" s="258"/>
      <c r="DST134" s="270"/>
      <c r="DSU134" s="271"/>
      <c r="DSV134" s="271"/>
      <c r="DSW134" s="271"/>
      <c r="DSX134" s="221"/>
      <c r="DSY134" s="221"/>
      <c r="DSZ134" s="221"/>
      <c r="DTA134" s="258"/>
      <c r="DTB134" s="270"/>
      <c r="DTC134" s="271"/>
      <c r="DTD134" s="271"/>
      <c r="DTE134" s="271"/>
      <c r="DTF134" s="221"/>
      <c r="DTG134" s="221"/>
      <c r="DTH134" s="221"/>
      <c r="DTI134" s="258"/>
      <c r="DTJ134" s="270"/>
      <c r="DTK134" s="271"/>
      <c r="DTL134" s="271"/>
      <c r="DTM134" s="271"/>
      <c r="DTN134" s="221"/>
      <c r="DTO134" s="221"/>
      <c r="DTP134" s="221"/>
      <c r="DTQ134" s="258"/>
      <c r="DTR134" s="270"/>
      <c r="DTS134" s="271"/>
      <c r="DTT134" s="271"/>
      <c r="DTU134" s="271"/>
      <c r="DTV134" s="221"/>
      <c r="DTW134" s="221"/>
      <c r="DTX134" s="221"/>
      <c r="DTY134" s="258"/>
      <c r="DTZ134" s="270"/>
      <c r="DUA134" s="271"/>
      <c r="DUB134" s="271"/>
      <c r="DUC134" s="271"/>
      <c r="DUD134" s="221"/>
      <c r="DUE134" s="221"/>
      <c r="DUF134" s="221"/>
      <c r="DUG134" s="258"/>
      <c r="DUH134" s="270"/>
      <c r="DUI134" s="271"/>
      <c r="DUJ134" s="271"/>
      <c r="DUK134" s="271"/>
      <c r="DUL134" s="221"/>
      <c r="DUM134" s="221"/>
      <c r="DUN134" s="221"/>
      <c r="DUO134" s="258"/>
      <c r="DUP134" s="270"/>
      <c r="DUQ134" s="271"/>
      <c r="DUR134" s="271"/>
      <c r="DUS134" s="271"/>
      <c r="DUT134" s="221"/>
      <c r="DUU134" s="221"/>
      <c r="DUV134" s="221"/>
      <c r="DUW134" s="258"/>
      <c r="DUX134" s="270"/>
      <c r="DUY134" s="271"/>
      <c r="DUZ134" s="271"/>
      <c r="DVA134" s="271"/>
      <c r="DVB134" s="221"/>
      <c r="DVC134" s="221"/>
      <c r="DVD134" s="221"/>
      <c r="DVE134" s="258"/>
      <c r="DVF134" s="270"/>
      <c r="DVG134" s="271"/>
      <c r="DVH134" s="271"/>
      <c r="DVI134" s="271"/>
      <c r="DVJ134" s="221"/>
      <c r="DVK134" s="221"/>
      <c r="DVL134" s="221"/>
      <c r="DVM134" s="258"/>
      <c r="DVN134" s="270"/>
      <c r="DVO134" s="271"/>
      <c r="DVP134" s="271"/>
      <c r="DVQ134" s="271"/>
      <c r="DVR134" s="221"/>
      <c r="DVS134" s="221"/>
      <c r="DVT134" s="221"/>
      <c r="DVU134" s="258"/>
      <c r="DVV134" s="270"/>
      <c r="DVW134" s="271"/>
      <c r="DVX134" s="271"/>
      <c r="DVY134" s="271"/>
      <c r="DVZ134" s="221"/>
      <c r="DWA134" s="221"/>
      <c r="DWB134" s="221"/>
      <c r="DWC134" s="258"/>
      <c r="DWD134" s="270"/>
      <c r="DWE134" s="271"/>
      <c r="DWF134" s="271"/>
      <c r="DWG134" s="271"/>
      <c r="DWH134" s="221"/>
      <c r="DWI134" s="221"/>
      <c r="DWJ134" s="221"/>
      <c r="DWK134" s="258"/>
      <c r="DWL134" s="270"/>
      <c r="DWM134" s="271"/>
      <c r="DWN134" s="271"/>
      <c r="DWO134" s="271"/>
      <c r="DWP134" s="221"/>
      <c r="DWQ134" s="221"/>
      <c r="DWR134" s="221"/>
      <c r="DWS134" s="258"/>
      <c r="DWT134" s="270"/>
      <c r="DWU134" s="271"/>
      <c r="DWV134" s="271"/>
      <c r="DWW134" s="271"/>
      <c r="DWX134" s="221"/>
      <c r="DWY134" s="221"/>
      <c r="DWZ134" s="221"/>
      <c r="DXA134" s="258"/>
      <c r="DXB134" s="270"/>
      <c r="DXC134" s="271"/>
      <c r="DXD134" s="271"/>
      <c r="DXE134" s="271"/>
      <c r="DXF134" s="221"/>
      <c r="DXG134" s="221"/>
      <c r="DXH134" s="221"/>
      <c r="DXI134" s="258"/>
      <c r="DXJ134" s="270"/>
      <c r="DXK134" s="271"/>
      <c r="DXL134" s="271"/>
      <c r="DXM134" s="271"/>
      <c r="DXN134" s="221"/>
      <c r="DXO134" s="221"/>
      <c r="DXP134" s="221"/>
      <c r="DXQ134" s="258"/>
      <c r="DXR134" s="270"/>
      <c r="DXS134" s="271"/>
      <c r="DXT134" s="271"/>
      <c r="DXU134" s="271"/>
      <c r="DXV134" s="221"/>
      <c r="DXW134" s="221"/>
      <c r="DXX134" s="221"/>
      <c r="DXY134" s="258"/>
      <c r="DXZ134" s="270"/>
      <c r="DYA134" s="271"/>
      <c r="DYB134" s="271"/>
      <c r="DYC134" s="271"/>
      <c r="DYD134" s="221"/>
      <c r="DYE134" s="221"/>
      <c r="DYF134" s="221"/>
      <c r="DYG134" s="258"/>
      <c r="DYH134" s="270"/>
      <c r="DYI134" s="271"/>
      <c r="DYJ134" s="271"/>
      <c r="DYK134" s="271"/>
      <c r="DYL134" s="221"/>
      <c r="DYM134" s="221"/>
      <c r="DYN134" s="221"/>
      <c r="DYO134" s="258"/>
      <c r="DYP134" s="270"/>
      <c r="DYQ134" s="271"/>
      <c r="DYR134" s="271"/>
      <c r="DYS134" s="271"/>
      <c r="DYT134" s="221"/>
      <c r="DYU134" s="221"/>
      <c r="DYV134" s="221"/>
      <c r="DYW134" s="258"/>
      <c r="DYX134" s="270"/>
      <c r="DYY134" s="271"/>
      <c r="DYZ134" s="271"/>
      <c r="DZA134" s="271"/>
      <c r="DZB134" s="221"/>
      <c r="DZC134" s="221"/>
      <c r="DZD134" s="221"/>
      <c r="DZE134" s="258"/>
      <c r="DZF134" s="270"/>
      <c r="DZG134" s="271"/>
      <c r="DZH134" s="271"/>
      <c r="DZI134" s="271"/>
      <c r="DZJ134" s="221"/>
      <c r="DZK134" s="221"/>
      <c r="DZL134" s="221"/>
      <c r="DZM134" s="258"/>
      <c r="DZN134" s="270"/>
      <c r="DZO134" s="271"/>
      <c r="DZP134" s="271"/>
      <c r="DZQ134" s="271"/>
      <c r="DZR134" s="221"/>
      <c r="DZS134" s="221"/>
      <c r="DZT134" s="221"/>
      <c r="DZU134" s="258"/>
      <c r="DZV134" s="270"/>
      <c r="DZW134" s="271"/>
      <c r="DZX134" s="271"/>
      <c r="DZY134" s="271"/>
      <c r="DZZ134" s="221"/>
      <c r="EAA134" s="221"/>
      <c r="EAB134" s="221"/>
      <c r="EAC134" s="258"/>
      <c r="EAD134" s="270"/>
      <c r="EAE134" s="271"/>
      <c r="EAF134" s="271"/>
      <c r="EAG134" s="271"/>
      <c r="EAH134" s="221"/>
      <c r="EAI134" s="221"/>
      <c r="EAJ134" s="221"/>
      <c r="EAK134" s="258"/>
      <c r="EAL134" s="270"/>
      <c r="EAM134" s="271"/>
      <c r="EAN134" s="271"/>
      <c r="EAO134" s="271"/>
      <c r="EAP134" s="221"/>
      <c r="EAQ134" s="221"/>
      <c r="EAR134" s="221"/>
      <c r="EAS134" s="258"/>
      <c r="EAT134" s="270"/>
      <c r="EAU134" s="271"/>
      <c r="EAV134" s="271"/>
      <c r="EAW134" s="271"/>
      <c r="EAX134" s="221"/>
      <c r="EAY134" s="221"/>
      <c r="EAZ134" s="221"/>
      <c r="EBA134" s="258"/>
      <c r="EBB134" s="270"/>
      <c r="EBC134" s="271"/>
      <c r="EBD134" s="271"/>
      <c r="EBE134" s="271"/>
      <c r="EBF134" s="221"/>
      <c r="EBG134" s="221"/>
      <c r="EBH134" s="221"/>
      <c r="EBI134" s="258"/>
      <c r="EBJ134" s="270"/>
      <c r="EBK134" s="271"/>
      <c r="EBL134" s="271"/>
      <c r="EBM134" s="271"/>
      <c r="EBN134" s="221"/>
      <c r="EBO134" s="221"/>
      <c r="EBP134" s="221"/>
      <c r="EBQ134" s="258"/>
      <c r="EBR134" s="270"/>
      <c r="EBS134" s="271"/>
      <c r="EBT134" s="271"/>
      <c r="EBU134" s="271"/>
      <c r="EBV134" s="221"/>
      <c r="EBW134" s="221"/>
      <c r="EBX134" s="221"/>
      <c r="EBY134" s="258"/>
      <c r="EBZ134" s="270"/>
      <c r="ECA134" s="271"/>
      <c r="ECB134" s="271"/>
      <c r="ECC134" s="271"/>
      <c r="ECD134" s="221"/>
      <c r="ECE134" s="221"/>
      <c r="ECF134" s="221"/>
      <c r="ECG134" s="258"/>
      <c r="ECH134" s="270"/>
      <c r="ECI134" s="271"/>
      <c r="ECJ134" s="271"/>
      <c r="ECK134" s="271"/>
      <c r="ECL134" s="221"/>
      <c r="ECM134" s="221"/>
      <c r="ECN134" s="221"/>
      <c r="ECO134" s="258"/>
      <c r="ECP134" s="270"/>
      <c r="ECQ134" s="271"/>
      <c r="ECR134" s="271"/>
      <c r="ECS134" s="271"/>
      <c r="ECT134" s="221"/>
      <c r="ECU134" s="221"/>
      <c r="ECV134" s="221"/>
      <c r="ECW134" s="258"/>
      <c r="ECX134" s="270"/>
      <c r="ECY134" s="271"/>
      <c r="ECZ134" s="271"/>
      <c r="EDA134" s="271"/>
      <c r="EDB134" s="221"/>
      <c r="EDC134" s="221"/>
      <c r="EDD134" s="221"/>
      <c r="EDE134" s="258"/>
      <c r="EDF134" s="270"/>
      <c r="EDG134" s="271"/>
      <c r="EDH134" s="271"/>
      <c r="EDI134" s="271"/>
      <c r="EDJ134" s="221"/>
      <c r="EDK134" s="221"/>
      <c r="EDL134" s="221"/>
      <c r="EDM134" s="258"/>
      <c r="EDN134" s="270"/>
      <c r="EDO134" s="271"/>
      <c r="EDP134" s="271"/>
      <c r="EDQ134" s="271"/>
      <c r="EDR134" s="221"/>
      <c r="EDS134" s="221"/>
      <c r="EDT134" s="221"/>
      <c r="EDU134" s="258"/>
      <c r="EDV134" s="270"/>
      <c r="EDW134" s="271"/>
      <c r="EDX134" s="271"/>
      <c r="EDY134" s="271"/>
      <c r="EDZ134" s="221"/>
      <c r="EEA134" s="221"/>
      <c r="EEB134" s="221"/>
      <c r="EEC134" s="258"/>
      <c r="EED134" s="270"/>
      <c r="EEE134" s="271"/>
      <c r="EEF134" s="271"/>
      <c r="EEG134" s="271"/>
      <c r="EEH134" s="221"/>
      <c r="EEI134" s="221"/>
      <c r="EEJ134" s="221"/>
      <c r="EEK134" s="258"/>
      <c r="EEL134" s="270"/>
      <c r="EEM134" s="271"/>
      <c r="EEN134" s="271"/>
      <c r="EEO134" s="271"/>
      <c r="EEP134" s="221"/>
      <c r="EEQ134" s="221"/>
      <c r="EER134" s="221"/>
      <c r="EES134" s="258"/>
      <c r="EET134" s="270"/>
      <c r="EEU134" s="271"/>
      <c r="EEV134" s="271"/>
      <c r="EEW134" s="271"/>
      <c r="EEX134" s="221"/>
      <c r="EEY134" s="221"/>
      <c r="EEZ134" s="221"/>
      <c r="EFA134" s="258"/>
      <c r="EFB134" s="270"/>
      <c r="EFC134" s="271"/>
      <c r="EFD134" s="271"/>
      <c r="EFE134" s="271"/>
      <c r="EFF134" s="221"/>
      <c r="EFG134" s="221"/>
      <c r="EFH134" s="221"/>
      <c r="EFI134" s="258"/>
      <c r="EFJ134" s="270"/>
      <c r="EFK134" s="271"/>
      <c r="EFL134" s="271"/>
      <c r="EFM134" s="271"/>
      <c r="EFN134" s="221"/>
      <c r="EFO134" s="221"/>
      <c r="EFP134" s="221"/>
      <c r="EFQ134" s="258"/>
      <c r="EFR134" s="270"/>
      <c r="EFS134" s="271"/>
      <c r="EFT134" s="271"/>
      <c r="EFU134" s="271"/>
      <c r="EFV134" s="221"/>
      <c r="EFW134" s="221"/>
      <c r="EFX134" s="221"/>
      <c r="EFY134" s="258"/>
      <c r="EFZ134" s="270"/>
      <c r="EGA134" s="271"/>
      <c r="EGB134" s="271"/>
      <c r="EGC134" s="271"/>
      <c r="EGD134" s="221"/>
      <c r="EGE134" s="221"/>
      <c r="EGF134" s="221"/>
      <c r="EGG134" s="258"/>
      <c r="EGH134" s="270"/>
      <c r="EGI134" s="271"/>
      <c r="EGJ134" s="271"/>
      <c r="EGK134" s="271"/>
      <c r="EGL134" s="221"/>
      <c r="EGM134" s="221"/>
      <c r="EGN134" s="221"/>
      <c r="EGO134" s="258"/>
      <c r="EGP134" s="270"/>
      <c r="EGQ134" s="271"/>
      <c r="EGR134" s="271"/>
      <c r="EGS134" s="271"/>
      <c r="EGT134" s="221"/>
      <c r="EGU134" s="221"/>
      <c r="EGV134" s="221"/>
      <c r="EGW134" s="258"/>
      <c r="EGX134" s="270"/>
      <c r="EGY134" s="271"/>
      <c r="EGZ134" s="271"/>
      <c r="EHA134" s="271"/>
      <c r="EHB134" s="221"/>
      <c r="EHC134" s="221"/>
      <c r="EHD134" s="221"/>
      <c r="EHE134" s="258"/>
      <c r="EHF134" s="270"/>
      <c r="EHG134" s="271"/>
      <c r="EHH134" s="271"/>
      <c r="EHI134" s="271"/>
      <c r="EHJ134" s="221"/>
      <c r="EHK134" s="221"/>
      <c r="EHL134" s="221"/>
      <c r="EHM134" s="258"/>
      <c r="EHN134" s="270"/>
      <c r="EHO134" s="271"/>
      <c r="EHP134" s="271"/>
      <c r="EHQ134" s="271"/>
      <c r="EHR134" s="221"/>
      <c r="EHS134" s="221"/>
      <c r="EHT134" s="221"/>
      <c r="EHU134" s="258"/>
      <c r="EHV134" s="270"/>
      <c r="EHW134" s="271"/>
      <c r="EHX134" s="271"/>
      <c r="EHY134" s="271"/>
      <c r="EHZ134" s="221"/>
      <c r="EIA134" s="221"/>
      <c r="EIB134" s="221"/>
      <c r="EIC134" s="258"/>
      <c r="EID134" s="270"/>
      <c r="EIE134" s="271"/>
      <c r="EIF134" s="271"/>
      <c r="EIG134" s="271"/>
      <c r="EIH134" s="221"/>
      <c r="EII134" s="221"/>
      <c r="EIJ134" s="221"/>
      <c r="EIK134" s="258"/>
      <c r="EIL134" s="270"/>
      <c r="EIM134" s="271"/>
      <c r="EIN134" s="271"/>
      <c r="EIO134" s="271"/>
      <c r="EIP134" s="221"/>
      <c r="EIQ134" s="221"/>
      <c r="EIR134" s="221"/>
      <c r="EIS134" s="258"/>
      <c r="EIT134" s="270"/>
      <c r="EIU134" s="271"/>
      <c r="EIV134" s="271"/>
      <c r="EIW134" s="271"/>
      <c r="EIX134" s="221"/>
      <c r="EIY134" s="221"/>
      <c r="EIZ134" s="221"/>
      <c r="EJA134" s="258"/>
      <c r="EJB134" s="270"/>
      <c r="EJC134" s="271"/>
      <c r="EJD134" s="271"/>
      <c r="EJE134" s="271"/>
      <c r="EJF134" s="221"/>
      <c r="EJG134" s="221"/>
      <c r="EJH134" s="221"/>
      <c r="EJI134" s="258"/>
      <c r="EJJ134" s="270"/>
      <c r="EJK134" s="271"/>
      <c r="EJL134" s="271"/>
      <c r="EJM134" s="271"/>
      <c r="EJN134" s="221"/>
      <c r="EJO134" s="221"/>
      <c r="EJP134" s="221"/>
      <c r="EJQ134" s="258"/>
      <c r="EJR134" s="270"/>
      <c r="EJS134" s="271"/>
      <c r="EJT134" s="271"/>
      <c r="EJU134" s="271"/>
      <c r="EJV134" s="221"/>
      <c r="EJW134" s="221"/>
      <c r="EJX134" s="221"/>
      <c r="EJY134" s="258"/>
      <c r="EJZ134" s="270"/>
      <c r="EKA134" s="271"/>
      <c r="EKB134" s="271"/>
      <c r="EKC134" s="271"/>
      <c r="EKD134" s="221"/>
      <c r="EKE134" s="221"/>
      <c r="EKF134" s="221"/>
      <c r="EKG134" s="258"/>
      <c r="EKH134" s="270"/>
      <c r="EKI134" s="271"/>
      <c r="EKJ134" s="271"/>
      <c r="EKK134" s="271"/>
      <c r="EKL134" s="221"/>
      <c r="EKM134" s="221"/>
      <c r="EKN134" s="221"/>
      <c r="EKO134" s="258"/>
      <c r="EKP134" s="270"/>
      <c r="EKQ134" s="271"/>
      <c r="EKR134" s="271"/>
      <c r="EKS134" s="271"/>
      <c r="EKT134" s="221"/>
      <c r="EKU134" s="221"/>
      <c r="EKV134" s="221"/>
      <c r="EKW134" s="258"/>
      <c r="EKX134" s="270"/>
      <c r="EKY134" s="271"/>
      <c r="EKZ134" s="271"/>
      <c r="ELA134" s="271"/>
      <c r="ELB134" s="221"/>
      <c r="ELC134" s="221"/>
      <c r="ELD134" s="221"/>
      <c r="ELE134" s="258"/>
      <c r="ELF134" s="270"/>
      <c r="ELG134" s="271"/>
      <c r="ELH134" s="271"/>
      <c r="ELI134" s="271"/>
      <c r="ELJ134" s="221"/>
      <c r="ELK134" s="221"/>
      <c r="ELL134" s="221"/>
      <c r="ELM134" s="258"/>
      <c r="ELN134" s="270"/>
      <c r="ELO134" s="271"/>
      <c r="ELP134" s="271"/>
      <c r="ELQ134" s="271"/>
      <c r="ELR134" s="221"/>
      <c r="ELS134" s="221"/>
      <c r="ELT134" s="221"/>
      <c r="ELU134" s="258"/>
      <c r="ELV134" s="270"/>
      <c r="ELW134" s="271"/>
      <c r="ELX134" s="271"/>
      <c r="ELY134" s="271"/>
      <c r="ELZ134" s="221"/>
      <c r="EMA134" s="221"/>
      <c r="EMB134" s="221"/>
      <c r="EMC134" s="258"/>
      <c r="EMD134" s="270"/>
      <c r="EME134" s="271"/>
      <c r="EMF134" s="271"/>
      <c r="EMG134" s="271"/>
      <c r="EMH134" s="221"/>
      <c r="EMI134" s="221"/>
      <c r="EMJ134" s="221"/>
      <c r="EMK134" s="258"/>
      <c r="EML134" s="270"/>
      <c r="EMM134" s="271"/>
      <c r="EMN134" s="271"/>
      <c r="EMO134" s="271"/>
      <c r="EMP134" s="221"/>
      <c r="EMQ134" s="221"/>
      <c r="EMR134" s="221"/>
      <c r="EMS134" s="258"/>
      <c r="EMT134" s="270"/>
      <c r="EMU134" s="271"/>
      <c r="EMV134" s="271"/>
      <c r="EMW134" s="271"/>
      <c r="EMX134" s="221"/>
      <c r="EMY134" s="221"/>
      <c r="EMZ134" s="221"/>
      <c r="ENA134" s="258"/>
      <c r="ENB134" s="270"/>
      <c r="ENC134" s="271"/>
      <c r="END134" s="271"/>
      <c r="ENE134" s="271"/>
      <c r="ENF134" s="221"/>
      <c r="ENG134" s="221"/>
      <c r="ENH134" s="221"/>
      <c r="ENI134" s="258"/>
      <c r="ENJ134" s="270"/>
      <c r="ENK134" s="271"/>
      <c r="ENL134" s="271"/>
      <c r="ENM134" s="271"/>
      <c r="ENN134" s="221"/>
      <c r="ENO134" s="221"/>
      <c r="ENP134" s="221"/>
      <c r="ENQ134" s="258"/>
      <c r="ENR134" s="270"/>
      <c r="ENS134" s="271"/>
      <c r="ENT134" s="271"/>
      <c r="ENU134" s="271"/>
      <c r="ENV134" s="221"/>
      <c r="ENW134" s="221"/>
      <c r="ENX134" s="221"/>
      <c r="ENY134" s="258"/>
      <c r="ENZ134" s="270"/>
      <c r="EOA134" s="271"/>
      <c r="EOB134" s="271"/>
      <c r="EOC134" s="271"/>
      <c r="EOD134" s="221"/>
      <c r="EOE134" s="221"/>
      <c r="EOF134" s="221"/>
      <c r="EOG134" s="258"/>
      <c r="EOH134" s="270"/>
      <c r="EOI134" s="271"/>
      <c r="EOJ134" s="271"/>
      <c r="EOK134" s="271"/>
      <c r="EOL134" s="221"/>
      <c r="EOM134" s="221"/>
      <c r="EON134" s="221"/>
      <c r="EOO134" s="258"/>
      <c r="EOP134" s="270"/>
      <c r="EOQ134" s="271"/>
      <c r="EOR134" s="271"/>
      <c r="EOS134" s="271"/>
      <c r="EOT134" s="221"/>
      <c r="EOU134" s="221"/>
      <c r="EOV134" s="221"/>
      <c r="EOW134" s="258"/>
      <c r="EOX134" s="270"/>
      <c r="EOY134" s="271"/>
      <c r="EOZ134" s="271"/>
      <c r="EPA134" s="271"/>
      <c r="EPB134" s="221"/>
      <c r="EPC134" s="221"/>
      <c r="EPD134" s="221"/>
      <c r="EPE134" s="258"/>
      <c r="EPF134" s="270"/>
      <c r="EPG134" s="271"/>
      <c r="EPH134" s="271"/>
      <c r="EPI134" s="271"/>
      <c r="EPJ134" s="221"/>
      <c r="EPK134" s="221"/>
      <c r="EPL134" s="221"/>
      <c r="EPM134" s="258"/>
      <c r="EPN134" s="270"/>
      <c r="EPO134" s="271"/>
      <c r="EPP134" s="271"/>
      <c r="EPQ134" s="271"/>
      <c r="EPR134" s="221"/>
      <c r="EPS134" s="221"/>
      <c r="EPT134" s="221"/>
      <c r="EPU134" s="258"/>
      <c r="EPV134" s="270"/>
      <c r="EPW134" s="271"/>
      <c r="EPX134" s="271"/>
      <c r="EPY134" s="271"/>
      <c r="EPZ134" s="221"/>
      <c r="EQA134" s="221"/>
      <c r="EQB134" s="221"/>
      <c r="EQC134" s="258"/>
      <c r="EQD134" s="270"/>
      <c r="EQE134" s="271"/>
      <c r="EQF134" s="271"/>
      <c r="EQG134" s="271"/>
      <c r="EQH134" s="221"/>
      <c r="EQI134" s="221"/>
      <c r="EQJ134" s="221"/>
      <c r="EQK134" s="258"/>
      <c r="EQL134" s="270"/>
      <c r="EQM134" s="271"/>
      <c r="EQN134" s="271"/>
      <c r="EQO134" s="271"/>
      <c r="EQP134" s="221"/>
      <c r="EQQ134" s="221"/>
      <c r="EQR134" s="221"/>
      <c r="EQS134" s="258"/>
      <c r="EQT134" s="270"/>
      <c r="EQU134" s="271"/>
      <c r="EQV134" s="271"/>
      <c r="EQW134" s="271"/>
      <c r="EQX134" s="221"/>
      <c r="EQY134" s="221"/>
      <c r="EQZ134" s="221"/>
      <c r="ERA134" s="258"/>
      <c r="ERB134" s="270"/>
      <c r="ERC134" s="271"/>
      <c r="ERD134" s="271"/>
      <c r="ERE134" s="271"/>
      <c r="ERF134" s="221"/>
      <c r="ERG134" s="221"/>
      <c r="ERH134" s="221"/>
      <c r="ERI134" s="258"/>
      <c r="ERJ134" s="270"/>
      <c r="ERK134" s="271"/>
      <c r="ERL134" s="271"/>
      <c r="ERM134" s="271"/>
      <c r="ERN134" s="221"/>
      <c r="ERO134" s="221"/>
      <c r="ERP134" s="221"/>
      <c r="ERQ134" s="258"/>
      <c r="ERR134" s="270"/>
      <c r="ERS134" s="271"/>
      <c r="ERT134" s="271"/>
      <c r="ERU134" s="271"/>
      <c r="ERV134" s="221"/>
      <c r="ERW134" s="221"/>
      <c r="ERX134" s="221"/>
      <c r="ERY134" s="258"/>
      <c r="ERZ134" s="270"/>
      <c r="ESA134" s="271"/>
      <c r="ESB134" s="271"/>
      <c r="ESC134" s="271"/>
      <c r="ESD134" s="221"/>
      <c r="ESE134" s="221"/>
      <c r="ESF134" s="221"/>
      <c r="ESG134" s="258"/>
      <c r="ESH134" s="270"/>
      <c r="ESI134" s="271"/>
      <c r="ESJ134" s="271"/>
      <c r="ESK134" s="271"/>
      <c r="ESL134" s="221"/>
      <c r="ESM134" s="221"/>
      <c r="ESN134" s="221"/>
      <c r="ESO134" s="258"/>
      <c r="ESP134" s="270"/>
      <c r="ESQ134" s="271"/>
      <c r="ESR134" s="271"/>
      <c r="ESS134" s="271"/>
      <c r="EST134" s="221"/>
      <c r="ESU134" s="221"/>
      <c r="ESV134" s="221"/>
      <c r="ESW134" s="258"/>
      <c r="ESX134" s="270"/>
      <c r="ESY134" s="271"/>
      <c r="ESZ134" s="271"/>
      <c r="ETA134" s="271"/>
      <c r="ETB134" s="221"/>
      <c r="ETC134" s="221"/>
      <c r="ETD134" s="221"/>
      <c r="ETE134" s="258"/>
      <c r="ETF134" s="270"/>
      <c r="ETG134" s="271"/>
      <c r="ETH134" s="271"/>
      <c r="ETI134" s="271"/>
      <c r="ETJ134" s="221"/>
      <c r="ETK134" s="221"/>
      <c r="ETL134" s="221"/>
      <c r="ETM134" s="258"/>
      <c r="ETN134" s="270"/>
      <c r="ETO134" s="271"/>
      <c r="ETP134" s="271"/>
      <c r="ETQ134" s="271"/>
      <c r="ETR134" s="221"/>
      <c r="ETS134" s="221"/>
      <c r="ETT134" s="221"/>
      <c r="ETU134" s="258"/>
      <c r="ETV134" s="270"/>
      <c r="ETW134" s="271"/>
      <c r="ETX134" s="271"/>
      <c r="ETY134" s="271"/>
      <c r="ETZ134" s="221"/>
      <c r="EUA134" s="221"/>
      <c r="EUB134" s="221"/>
      <c r="EUC134" s="258"/>
      <c r="EUD134" s="270"/>
      <c r="EUE134" s="271"/>
      <c r="EUF134" s="271"/>
      <c r="EUG134" s="271"/>
      <c r="EUH134" s="221"/>
      <c r="EUI134" s="221"/>
      <c r="EUJ134" s="221"/>
      <c r="EUK134" s="258"/>
      <c r="EUL134" s="270"/>
      <c r="EUM134" s="271"/>
      <c r="EUN134" s="271"/>
      <c r="EUO134" s="271"/>
      <c r="EUP134" s="221"/>
      <c r="EUQ134" s="221"/>
      <c r="EUR134" s="221"/>
      <c r="EUS134" s="258"/>
      <c r="EUT134" s="270"/>
      <c r="EUU134" s="271"/>
      <c r="EUV134" s="271"/>
      <c r="EUW134" s="271"/>
      <c r="EUX134" s="221"/>
      <c r="EUY134" s="221"/>
      <c r="EUZ134" s="221"/>
      <c r="EVA134" s="258"/>
      <c r="EVB134" s="270"/>
      <c r="EVC134" s="271"/>
      <c r="EVD134" s="271"/>
      <c r="EVE134" s="271"/>
      <c r="EVF134" s="221"/>
      <c r="EVG134" s="221"/>
      <c r="EVH134" s="221"/>
      <c r="EVI134" s="258"/>
      <c r="EVJ134" s="270"/>
      <c r="EVK134" s="271"/>
      <c r="EVL134" s="271"/>
      <c r="EVM134" s="271"/>
      <c r="EVN134" s="221"/>
      <c r="EVO134" s="221"/>
      <c r="EVP134" s="221"/>
      <c r="EVQ134" s="258"/>
      <c r="EVR134" s="270"/>
      <c r="EVS134" s="271"/>
      <c r="EVT134" s="271"/>
      <c r="EVU134" s="271"/>
      <c r="EVV134" s="221"/>
      <c r="EVW134" s="221"/>
      <c r="EVX134" s="221"/>
      <c r="EVY134" s="258"/>
      <c r="EVZ134" s="270"/>
      <c r="EWA134" s="271"/>
      <c r="EWB134" s="271"/>
      <c r="EWC134" s="271"/>
      <c r="EWD134" s="221"/>
      <c r="EWE134" s="221"/>
      <c r="EWF134" s="221"/>
      <c r="EWG134" s="258"/>
      <c r="EWH134" s="270"/>
      <c r="EWI134" s="271"/>
      <c r="EWJ134" s="271"/>
      <c r="EWK134" s="271"/>
      <c r="EWL134" s="221"/>
      <c r="EWM134" s="221"/>
      <c r="EWN134" s="221"/>
      <c r="EWO134" s="258"/>
      <c r="EWP134" s="270"/>
      <c r="EWQ134" s="271"/>
      <c r="EWR134" s="271"/>
      <c r="EWS134" s="271"/>
      <c r="EWT134" s="221"/>
      <c r="EWU134" s="221"/>
      <c r="EWV134" s="221"/>
      <c r="EWW134" s="258"/>
      <c r="EWX134" s="270"/>
      <c r="EWY134" s="271"/>
      <c r="EWZ134" s="271"/>
      <c r="EXA134" s="271"/>
      <c r="EXB134" s="221"/>
      <c r="EXC134" s="221"/>
      <c r="EXD134" s="221"/>
      <c r="EXE134" s="258"/>
      <c r="EXF134" s="270"/>
      <c r="EXG134" s="271"/>
      <c r="EXH134" s="271"/>
      <c r="EXI134" s="271"/>
      <c r="EXJ134" s="221"/>
      <c r="EXK134" s="221"/>
      <c r="EXL134" s="221"/>
      <c r="EXM134" s="258"/>
      <c r="EXN134" s="270"/>
      <c r="EXO134" s="271"/>
      <c r="EXP134" s="271"/>
      <c r="EXQ134" s="271"/>
      <c r="EXR134" s="221"/>
      <c r="EXS134" s="221"/>
      <c r="EXT134" s="221"/>
      <c r="EXU134" s="258"/>
      <c r="EXV134" s="270"/>
      <c r="EXW134" s="271"/>
      <c r="EXX134" s="271"/>
      <c r="EXY134" s="271"/>
      <c r="EXZ134" s="221"/>
      <c r="EYA134" s="221"/>
      <c r="EYB134" s="221"/>
      <c r="EYC134" s="258"/>
      <c r="EYD134" s="270"/>
      <c r="EYE134" s="271"/>
      <c r="EYF134" s="271"/>
      <c r="EYG134" s="271"/>
      <c r="EYH134" s="221"/>
      <c r="EYI134" s="221"/>
      <c r="EYJ134" s="221"/>
      <c r="EYK134" s="258"/>
      <c r="EYL134" s="270"/>
      <c r="EYM134" s="271"/>
      <c r="EYN134" s="271"/>
      <c r="EYO134" s="271"/>
      <c r="EYP134" s="221"/>
      <c r="EYQ134" s="221"/>
      <c r="EYR134" s="221"/>
      <c r="EYS134" s="258"/>
      <c r="EYT134" s="270"/>
      <c r="EYU134" s="271"/>
      <c r="EYV134" s="271"/>
      <c r="EYW134" s="271"/>
      <c r="EYX134" s="221"/>
      <c r="EYY134" s="221"/>
      <c r="EYZ134" s="221"/>
      <c r="EZA134" s="258"/>
      <c r="EZB134" s="270"/>
      <c r="EZC134" s="271"/>
      <c r="EZD134" s="271"/>
      <c r="EZE134" s="271"/>
      <c r="EZF134" s="221"/>
      <c r="EZG134" s="221"/>
      <c r="EZH134" s="221"/>
      <c r="EZI134" s="258"/>
      <c r="EZJ134" s="270"/>
      <c r="EZK134" s="271"/>
      <c r="EZL134" s="271"/>
      <c r="EZM134" s="271"/>
      <c r="EZN134" s="221"/>
      <c r="EZO134" s="221"/>
      <c r="EZP134" s="221"/>
      <c r="EZQ134" s="258"/>
      <c r="EZR134" s="270"/>
      <c r="EZS134" s="271"/>
      <c r="EZT134" s="271"/>
      <c r="EZU134" s="271"/>
      <c r="EZV134" s="221"/>
      <c r="EZW134" s="221"/>
      <c r="EZX134" s="221"/>
      <c r="EZY134" s="258"/>
      <c r="EZZ134" s="270"/>
      <c r="FAA134" s="271"/>
      <c r="FAB134" s="271"/>
      <c r="FAC134" s="271"/>
      <c r="FAD134" s="221"/>
      <c r="FAE134" s="221"/>
      <c r="FAF134" s="221"/>
      <c r="FAG134" s="258"/>
      <c r="FAH134" s="270"/>
      <c r="FAI134" s="271"/>
      <c r="FAJ134" s="271"/>
      <c r="FAK134" s="271"/>
      <c r="FAL134" s="221"/>
      <c r="FAM134" s="221"/>
      <c r="FAN134" s="221"/>
      <c r="FAO134" s="258"/>
      <c r="FAP134" s="270"/>
      <c r="FAQ134" s="271"/>
      <c r="FAR134" s="271"/>
      <c r="FAS134" s="271"/>
      <c r="FAT134" s="221"/>
      <c r="FAU134" s="221"/>
      <c r="FAV134" s="221"/>
      <c r="FAW134" s="258"/>
      <c r="FAX134" s="270"/>
      <c r="FAY134" s="271"/>
      <c r="FAZ134" s="271"/>
      <c r="FBA134" s="271"/>
      <c r="FBB134" s="221"/>
      <c r="FBC134" s="221"/>
      <c r="FBD134" s="221"/>
      <c r="FBE134" s="258"/>
      <c r="FBF134" s="270"/>
      <c r="FBG134" s="271"/>
      <c r="FBH134" s="271"/>
      <c r="FBI134" s="271"/>
      <c r="FBJ134" s="221"/>
      <c r="FBK134" s="221"/>
      <c r="FBL134" s="221"/>
      <c r="FBM134" s="258"/>
      <c r="FBN134" s="270"/>
      <c r="FBO134" s="271"/>
      <c r="FBP134" s="271"/>
      <c r="FBQ134" s="271"/>
      <c r="FBR134" s="221"/>
      <c r="FBS134" s="221"/>
      <c r="FBT134" s="221"/>
      <c r="FBU134" s="258"/>
      <c r="FBV134" s="270"/>
      <c r="FBW134" s="271"/>
      <c r="FBX134" s="271"/>
      <c r="FBY134" s="271"/>
      <c r="FBZ134" s="221"/>
      <c r="FCA134" s="221"/>
      <c r="FCB134" s="221"/>
      <c r="FCC134" s="258"/>
      <c r="FCD134" s="270"/>
      <c r="FCE134" s="271"/>
      <c r="FCF134" s="271"/>
      <c r="FCG134" s="271"/>
      <c r="FCH134" s="221"/>
      <c r="FCI134" s="221"/>
      <c r="FCJ134" s="221"/>
      <c r="FCK134" s="258"/>
      <c r="FCL134" s="270"/>
      <c r="FCM134" s="271"/>
      <c r="FCN134" s="271"/>
      <c r="FCO134" s="271"/>
      <c r="FCP134" s="221"/>
      <c r="FCQ134" s="221"/>
      <c r="FCR134" s="221"/>
      <c r="FCS134" s="258"/>
      <c r="FCT134" s="270"/>
      <c r="FCU134" s="271"/>
      <c r="FCV134" s="271"/>
      <c r="FCW134" s="271"/>
      <c r="FCX134" s="221"/>
      <c r="FCY134" s="221"/>
      <c r="FCZ134" s="221"/>
      <c r="FDA134" s="258"/>
      <c r="FDB134" s="270"/>
      <c r="FDC134" s="271"/>
      <c r="FDD134" s="271"/>
      <c r="FDE134" s="271"/>
      <c r="FDF134" s="221"/>
      <c r="FDG134" s="221"/>
      <c r="FDH134" s="221"/>
      <c r="FDI134" s="258"/>
      <c r="FDJ134" s="270"/>
      <c r="FDK134" s="271"/>
      <c r="FDL134" s="271"/>
      <c r="FDM134" s="271"/>
      <c r="FDN134" s="221"/>
      <c r="FDO134" s="221"/>
      <c r="FDP134" s="221"/>
      <c r="FDQ134" s="258"/>
      <c r="FDR134" s="270"/>
      <c r="FDS134" s="271"/>
      <c r="FDT134" s="271"/>
      <c r="FDU134" s="271"/>
      <c r="FDV134" s="221"/>
      <c r="FDW134" s="221"/>
      <c r="FDX134" s="221"/>
      <c r="FDY134" s="258"/>
      <c r="FDZ134" s="270"/>
      <c r="FEA134" s="271"/>
      <c r="FEB134" s="271"/>
      <c r="FEC134" s="271"/>
      <c r="FED134" s="221"/>
      <c r="FEE134" s="221"/>
      <c r="FEF134" s="221"/>
      <c r="FEG134" s="258"/>
      <c r="FEH134" s="270"/>
      <c r="FEI134" s="271"/>
      <c r="FEJ134" s="271"/>
      <c r="FEK134" s="271"/>
      <c r="FEL134" s="221"/>
      <c r="FEM134" s="221"/>
      <c r="FEN134" s="221"/>
      <c r="FEO134" s="258"/>
      <c r="FEP134" s="270"/>
      <c r="FEQ134" s="271"/>
      <c r="FER134" s="271"/>
      <c r="FES134" s="271"/>
      <c r="FET134" s="221"/>
      <c r="FEU134" s="221"/>
      <c r="FEV134" s="221"/>
      <c r="FEW134" s="258"/>
      <c r="FEX134" s="270"/>
      <c r="FEY134" s="271"/>
      <c r="FEZ134" s="271"/>
      <c r="FFA134" s="271"/>
      <c r="FFB134" s="221"/>
      <c r="FFC134" s="221"/>
      <c r="FFD134" s="221"/>
      <c r="FFE134" s="258"/>
      <c r="FFF134" s="270"/>
      <c r="FFG134" s="271"/>
      <c r="FFH134" s="271"/>
      <c r="FFI134" s="271"/>
      <c r="FFJ134" s="221"/>
      <c r="FFK134" s="221"/>
      <c r="FFL134" s="221"/>
      <c r="FFM134" s="258"/>
      <c r="FFN134" s="270"/>
      <c r="FFO134" s="271"/>
      <c r="FFP134" s="271"/>
      <c r="FFQ134" s="271"/>
      <c r="FFR134" s="221"/>
      <c r="FFS134" s="221"/>
      <c r="FFT134" s="221"/>
      <c r="FFU134" s="258"/>
      <c r="FFV134" s="270"/>
      <c r="FFW134" s="271"/>
      <c r="FFX134" s="271"/>
      <c r="FFY134" s="271"/>
      <c r="FFZ134" s="221"/>
      <c r="FGA134" s="221"/>
      <c r="FGB134" s="221"/>
      <c r="FGC134" s="258"/>
      <c r="FGD134" s="270"/>
      <c r="FGE134" s="271"/>
      <c r="FGF134" s="271"/>
      <c r="FGG134" s="271"/>
      <c r="FGH134" s="221"/>
      <c r="FGI134" s="221"/>
      <c r="FGJ134" s="221"/>
      <c r="FGK134" s="258"/>
      <c r="FGL134" s="270"/>
      <c r="FGM134" s="271"/>
      <c r="FGN134" s="271"/>
      <c r="FGO134" s="271"/>
      <c r="FGP134" s="221"/>
      <c r="FGQ134" s="221"/>
      <c r="FGR134" s="221"/>
      <c r="FGS134" s="258"/>
      <c r="FGT134" s="270"/>
      <c r="FGU134" s="271"/>
      <c r="FGV134" s="271"/>
      <c r="FGW134" s="271"/>
      <c r="FGX134" s="221"/>
      <c r="FGY134" s="221"/>
      <c r="FGZ134" s="221"/>
      <c r="FHA134" s="258"/>
      <c r="FHB134" s="270"/>
      <c r="FHC134" s="271"/>
      <c r="FHD134" s="271"/>
      <c r="FHE134" s="271"/>
      <c r="FHF134" s="221"/>
      <c r="FHG134" s="221"/>
      <c r="FHH134" s="221"/>
      <c r="FHI134" s="258"/>
      <c r="FHJ134" s="270"/>
      <c r="FHK134" s="271"/>
      <c r="FHL134" s="271"/>
      <c r="FHM134" s="271"/>
      <c r="FHN134" s="221"/>
      <c r="FHO134" s="221"/>
      <c r="FHP134" s="221"/>
      <c r="FHQ134" s="258"/>
      <c r="FHR134" s="270"/>
      <c r="FHS134" s="271"/>
      <c r="FHT134" s="271"/>
      <c r="FHU134" s="271"/>
      <c r="FHV134" s="221"/>
      <c r="FHW134" s="221"/>
      <c r="FHX134" s="221"/>
      <c r="FHY134" s="258"/>
      <c r="FHZ134" s="270"/>
      <c r="FIA134" s="271"/>
      <c r="FIB134" s="271"/>
      <c r="FIC134" s="271"/>
      <c r="FID134" s="221"/>
      <c r="FIE134" s="221"/>
      <c r="FIF134" s="221"/>
      <c r="FIG134" s="258"/>
      <c r="FIH134" s="270"/>
      <c r="FII134" s="271"/>
      <c r="FIJ134" s="271"/>
      <c r="FIK134" s="271"/>
      <c r="FIL134" s="221"/>
      <c r="FIM134" s="221"/>
      <c r="FIN134" s="221"/>
      <c r="FIO134" s="258"/>
      <c r="FIP134" s="270"/>
      <c r="FIQ134" s="271"/>
      <c r="FIR134" s="271"/>
      <c r="FIS134" s="271"/>
      <c r="FIT134" s="221"/>
      <c r="FIU134" s="221"/>
      <c r="FIV134" s="221"/>
      <c r="FIW134" s="258"/>
      <c r="FIX134" s="270"/>
      <c r="FIY134" s="271"/>
      <c r="FIZ134" s="271"/>
      <c r="FJA134" s="271"/>
      <c r="FJB134" s="221"/>
      <c r="FJC134" s="221"/>
      <c r="FJD134" s="221"/>
      <c r="FJE134" s="258"/>
      <c r="FJF134" s="270"/>
      <c r="FJG134" s="271"/>
      <c r="FJH134" s="271"/>
      <c r="FJI134" s="271"/>
      <c r="FJJ134" s="221"/>
      <c r="FJK134" s="221"/>
      <c r="FJL134" s="221"/>
      <c r="FJM134" s="258"/>
      <c r="FJN134" s="270"/>
      <c r="FJO134" s="271"/>
      <c r="FJP134" s="271"/>
      <c r="FJQ134" s="271"/>
      <c r="FJR134" s="221"/>
      <c r="FJS134" s="221"/>
      <c r="FJT134" s="221"/>
      <c r="FJU134" s="258"/>
      <c r="FJV134" s="270"/>
      <c r="FJW134" s="271"/>
      <c r="FJX134" s="271"/>
      <c r="FJY134" s="271"/>
      <c r="FJZ134" s="221"/>
      <c r="FKA134" s="221"/>
      <c r="FKB134" s="221"/>
      <c r="FKC134" s="258"/>
      <c r="FKD134" s="270"/>
      <c r="FKE134" s="271"/>
      <c r="FKF134" s="271"/>
      <c r="FKG134" s="271"/>
      <c r="FKH134" s="221"/>
      <c r="FKI134" s="221"/>
      <c r="FKJ134" s="221"/>
      <c r="FKK134" s="258"/>
      <c r="FKL134" s="270"/>
      <c r="FKM134" s="271"/>
      <c r="FKN134" s="271"/>
      <c r="FKO134" s="271"/>
      <c r="FKP134" s="221"/>
      <c r="FKQ134" s="221"/>
      <c r="FKR134" s="221"/>
      <c r="FKS134" s="258"/>
      <c r="FKT134" s="270"/>
      <c r="FKU134" s="271"/>
      <c r="FKV134" s="271"/>
      <c r="FKW134" s="271"/>
      <c r="FKX134" s="221"/>
      <c r="FKY134" s="221"/>
      <c r="FKZ134" s="221"/>
      <c r="FLA134" s="258"/>
      <c r="FLB134" s="270"/>
      <c r="FLC134" s="271"/>
      <c r="FLD134" s="271"/>
      <c r="FLE134" s="271"/>
      <c r="FLF134" s="221"/>
      <c r="FLG134" s="221"/>
      <c r="FLH134" s="221"/>
      <c r="FLI134" s="258"/>
      <c r="FLJ134" s="270"/>
      <c r="FLK134" s="271"/>
      <c r="FLL134" s="271"/>
      <c r="FLM134" s="271"/>
      <c r="FLN134" s="221"/>
      <c r="FLO134" s="221"/>
      <c r="FLP134" s="221"/>
      <c r="FLQ134" s="258"/>
      <c r="FLR134" s="270"/>
      <c r="FLS134" s="271"/>
      <c r="FLT134" s="271"/>
      <c r="FLU134" s="271"/>
      <c r="FLV134" s="221"/>
      <c r="FLW134" s="221"/>
      <c r="FLX134" s="221"/>
      <c r="FLY134" s="258"/>
      <c r="FLZ134" s="270"/>
      <c r="FMA134" s="271"/>
      <c r="FMB134" s="271"/>
      <c r="FMC134" s="271"/>
      <c r="FMD134" s="221"/>
      <c r="FME134" s="221"/>
      <c r="FMF134" s="221"/>
      <c r="FMG134" s="258"/>
      <c r="FMH134" s="270"/>
      <c r="FMI134" s="271"/>
      <c r="FMJ134" s="271"/>
      <c r="FMK134" s="271"/>
      <c r="FML134" s="221"/>
      <c r="FMM134" s="221"/>
      <c r="FMN134" s="221"/>
      <c r="FMO134" s="258"/>
      <c r="FMP134" s="270"/>
      <c r="FMQ134" s="271"/>
      <c r="FMR134" s="271"/>
      <c r="FMS134" s="271"/>
      <c r="FMT134" s="221"/>
      <c r="FMU134" s="221"/>
      <c r="FMV134" s="221"/>
      <c r="FMW134" s="258"/>
      <c r="FMX134" s="270"/>
      <c r="FMY134" s="271"/>
      <c r="FMZ134" s="271"/>
      <c r="FNA134" s="271"/>
      <c r="FNB134" s="221"/>
      <c r="FNC134" s="221"/>
      <c r="FND134" s="221"/>
      <c r="FNE134" s="258"/>
      <c r="FNF134" s="270"/>
      <c r="FNG134" s="271"/>
      <c r="FNH134" s="271"/>
      <c r="FNI134" s="271"/>
      <c r="FNJ134" s="221"/>
      <c r="FNK134" s="221"/>
      <c r="FNL134" s="221"/>
      <c r="FNM134" s="258"/>
      <c r="FNN134" s="270"/>
      <c r="FNO134" s="271"/>
      <c r="FNP134" s="271"/>
      <c r="FNQ134" s="271"/>
      <c r="FNR134" s="221"/>
      <c r="FNS134" s="221"/>
      <c r="FNT134" s="221"/>
      <c r="FNU134" s="258"/>
      <c r="FNV134" s="270"/>
      <c r="FNW134" s="271"/>
      <c r="FNX134" s="271"/>
      <c r="FNY134" s="271"/>
      <c r="FNZ134" s="221"/>
      <c r="FOA134" s="221"/>
      <c r="FOB134" s="221"/>
      <c r="FOC134" s="258"/>
      <c r="FOD134" s="270"/>
      <c r="FOE134" s="271"/>
      <c r="FOF134" s="271"/>
      <c r="FOG134" s="271"/>
      <c r="FOH134" s="221"/>
      <c r="FOI134" s="221"/>
      <c r="FOJ134" s="221"/>
      <c r="FOK134" s="258"/>
      <c r="FOL134" s="270"/>
      <c r="FOM134" s="271"/>
      <c r="FON134" s="271"/>
      <c r="FOO134" s="271"/>
      <c r="FOP134" s="221"/>
      <c r="FOQ134" s="221"/>
      <c r="FOR134" s="221"/>
      <c r="FOS134" s="258"/>
      <c r="FOT134" s="270"/>
      <c r="FOU134" s="271"/>
      <c r="FOV134" s="271"/>
      <c r="FOW134" s="271"/>
      <c r="FOX134" s="221"/>
      <c r="FOY134" s="221"/>
      <c r="FOZ134" s="221"/>
      <c r="FPA134" s="258"/>
      <c r="FPB134" s="270"/>
      <c r="FPC134" s="271"/>
      <c r="FPD134" s="271"/>
      <c r="FPE134" s="271"/>
      <c r="FPF134" s="221"/>
      <c r="FPG134" s="221"/>
      <c r="FPH134" s="221"/>
      <c r="FPI134" s="258"/>
      <c r="FPJ134" s="270"/>
      <c r="FPK134" s="271"/>
      <c r="FPL134" s="271"/>
      <c r="FPM134" s="271"/>
      <c r="FPN134" s="221"/>
      <c r="FPO134" s="221"/>
      <c r="FPP134" s="221"/>
      <c r="FPQ134" s="258"/>
      <c r="FPR134" s="270"/>
      <c r="FPS134" s="271"/>
      <c r="FPT134" s="271"/>
      <c r="FPU134" s="271"/>
      <c r="FPV134" s="221"/>
      <c r="FPW134" s="221"/>
      <c r="FPX134" s="221"/>
      <c r="FPY134" s="258"/>
      <c r="FPZ134" s="270"/>
      <c r="FQA134" s="271"/>
      <c r="FQB134" s="271"/>
      <c r="FQC134" s="271"/>
      <c r="FQD134" s="221"/>
      <c r="FQE134" s="221"/>
      <c r="FQF134" s="221"/>
      <c r="FQG134" s="258"/>
      <c r="FQH134" s="270"/>
      <c r="FQI134" s="271"/>
      <c r="FQJ134" s="271"/>
      <c r="FQK134" s="271"/>
      <c r="FQL134" s="221"/>
      <c r="FQM134" s="221"/>
      <c r="FQN134" s="221"/>
      <c r="FQO134" s="258"/>
      <c r="FQP134" s="270"/>
      <c r="FQQ134" s="271"/>
      <c r="FQR134" s="271"/>
      <c r="FQS134" s="271"/>
      <c r="FQT134" s="221"/>
      <c r="FQU134" s="221"/>
      <c r="FQV134" s="221"/>
      <c r="FQW134" s="258"/>
      <c r="FQX134" s="270"/>
      <c r="FQY134" s="271"/>
      <c r="FQZ134" s="271"/>
      <c r="FRA134" s="271"/>
      <c r="FRB134" s="221"/>
      <c r="FRC134" s="221"/>
      <c r="FRD134" s="221"/>
      <c r="FRE134" s="258"/>
      <c r="FRF134" s="270"/>
      <c r="FRG134" s="271"/>
      <c r="FRH134" s="271"/>
      <c r="FRI134" s="271"/>
      <c r="FRJ134" s="221"/>
      <c r="FRK134" s="221"/>
      <c r="FRL134" s="221"/>
      <c r="FRM134" s="258"/>
      <c r="FRN134" s="270"/>
      <c r="FRO134" s="271"/>
      <c r="FRP134" s="271"/>
      <c r="FRQ134" s="271"/>
      <c r="FRR134" s="221"/>
      <c r="FRS134" s="221"/>
      <c r="FRT134" s="221"/>
      <c r="FRU134" s="258"/>
      <c r="FRV134" s="270"/>
      <c r="FRW134" s="271"/>
      <c r="FRX134" s="271"/>
      <c r="FRY134" s="271"/>
      <c r="FRZ134" s="221"/>
      <c r="FSA134" s="221"/>
      <c r="FSB134" s="221"/>
      <c r="FSC134" s="258"/>
      <c r="FSD134" s="270"/>
      <c r="FSE134" s="271"/>
      <c r="FSF134" s="271"/>
      <c r="FSG134" s="271"/>
      <c r="FSH134" s="221"/>
      <c r="FSI134" s="221"/>
      <c r="FSJ134" s="221"/>
      <c r="FSK134" s="258"/>
      <c r="FSL134" s="270"/>
      <c r="FSM134" s="271"/>
      <c r="FSN134" s="271"/>
      <c r="FSO134" s="271"/>
      <c r="FSP134" s="221"/>
      <c r="FSQ134" s="221"/>
      <c r="FSR134" s="221"/>
      <c r="FSS134" s="258"/>
      <c r="FST134" s="270"/>
      <c r="FSU134" s="271"/>
      <c r="FSV134" s="271"/>
      <c r="FSW134" s="271"/>
      <c r="FSX134" s="221"/>
      <c r="FSY134" s="221"/>
      <c r="FSZ134" s="221"/>
      <c r="FTA134" s="258"/>
      <c r="FTB134" s="270"/>
      <c r="FTC134" s="271"/>
      <c r="FTD134" s="271"/>
      <c r="FTE134" s="271"/>
      <c r="FTF134" s="221"/>
      <c r="FTG134" s="221"/>
      <c r="FTH134" s="221"/>
      <c r="FTI134" s="258"/>
      <c r="FTJ134" s="270"/>
      <c r="FTK134" s="271"/>
      <c r="FTL134" s="271"/>
      <c r="FTM134" s="271"/>
      <c r="FTN134" s="221"/>
      <c r="FTO134" s="221"/>
      <c r="FTP134" s="221"/>
      <c r="FTQ134" s="258"/>
      <c r="FTR134" s="270"/>
      <c r="FTS134" s="271"/>
      <c r="FTT134" s="271"/>
      <c r="FTU134" s="271"/>
      <c r="FTV134" s="221"/>
      <c r="FTW134" s="221"/>
      <c r="FTX134" s="221"/>
      <c r="FTY134" s="258"/>
      <c r="FTZ134" s="270"/>
      <c r="FUA134" s="271"/>
      <c r="FUB134" s="271"/>
      <c r="FUC134" s="271"/>
      <c r="FUD134" s="221"/>
      <c r="FUE134" s="221"/>
      <c r="FUF134" s="221"/>
      <c r="FUG134" s="258"/>
      <c r="FUH134" s="270"/>
      <c r="FUI134" s="271"/>
      <c r="FUJ134" s="271"/>
      <c r="FUK134" s="271"/>
      <c r="FUL134" s="221"/>
      <c r="FUM134" s="221"/>
      <c r="FUN134" s="221"/>
      <c r="FUO134" s="258"/>
      <c r="FUP134" s="270"/>
      <c r="FUQ134" s="271"/>
      <c r="FUR134" s="271"/>
      <c r="FUS134" s="271"/>
      <c r="FUT134" s="221"/>
      <c r="FUU134" s="221"/>
      <c r="FUV134" s="221"/>
      <c r="FUW134" s="258"/>
      <c r="FUX134" s="270"/>
      <c r="FUY134" s="271"/>
      <c r="FUZ134" s="271"/>
      <c r="FVA134" s="271"/>
      <c r="FVB134" s="221"/>
      <c r="FVC134" s="221"/>
      <c r="FVD134" s="221"/>
      <c r="FVE134" s="258"/>
      <c r="FVF134" s="270"/>
      <c r="FVG134" s="271"/>
      <c r="FVH134" s="271"/>
      <c r="FVI134" s="271"/>
      <c r="FVJ134" s="221"/>
      <c r="FVK134" s="221"/>
      <c r="FVL134" s="221"/>
      <c r="FVM134" s="258"/>
      <c r="FVN134" s="270"/>
      <c r="FVO134" s="271"/>
      <c r="FVP134" s="271"/>
      <c r="FVQ134" s="271"/>
      <c r="FVR134" s="221"/>
      <c r="FVS134" s="221"/>
      <c r="FVT134" s="221"/>
      <c r="FVU134" s="258"/>
      <c r="FVV134" s="270"/>
      <c r="FVW134" s="271"/>
      <c r="FVX134" s="271"/>
      <c r="FVY134" s="271"/>
      <c r="FVZ134" s="221"/>
      <c r="FWA134" s="221"/>
      <c r="FWB134" s="221"/>
      <c r="FWC134" s="258"/>
      <c r="FWD134" s="270"/>
      <c r="FWE134" s="271"/>
      <c r="FWF134" s="271"/>
      <c r="FWG134" s="271"/>
      <c r="FWH134" s="221"/>
      <c r="FWI134" s="221"/>
      <c r="FWJ134" s="221"/>
      <c r="FWK134" s="258"/>
      <c r="FWL134" s="270"/>
      <c r="FWM134" s="271"/>
      <c r="FWN134" s="271"/>
      <c r="FWO134" s="271"/>
      <c r="FWP134" s="221"/>
      <c r="FWQ134" s="221"/>
      <c r="FWR134" s="221"/>
      <c r="FWS134" s="258"/>
      <c r="FWT134" s="270"/>
      <c r="FWU134" s="271"/>
      <c r="FWV134" s="271"/>
      <c r="FWW134" s="271"/>
      <c r="FWX134" s="221"/>
      <c r="FWY134" s="221"/>
      <c r="FWZ134" s="221"/>
      <c r="FXA134" s="258"/>
      <c r="FXB134" s="270"/>
      <c r="FXC134" s="271"/>
      <c r="FXD134" s="271"/>
      <c r="FXE134" s="271"/>
      <c r="FXF134" s="221"/>
      <c r="FXG134" s="221"/>
      <c r="FXH134" s="221"/>
      <c r="FXI134" s="258"/>
      <c r="FXJ134" s="270"/>
      <c r="FXK134" s="271"/>
      <c r="FXL134" s="271"/>
      <c r="FXM134" s="271"/>
      <c r="FXN134" s="221"/>
      <c r="FXO134" s="221"/>
      <c r="FXP134" s="221"/>
      <c r="FXQ134" s="258"/>
      <c r="FXR134" s="270"/>
      <c r="FXS134" s="271"/>
      <c r="FXT134" s="271"/>
      <c r="FXU134" s="271"/>
      <c r="FXV134" s="221"/>
      <c r="FXW134" s="221"/>
      <c r="FXX134" s="221"/>
      <c r="FXY134" s="258"/>
      <c r="FXZ134" s="270"/>
      <c r="FYA134" s="271"/>
      <c r="FYB134" s="271"/>
      <c r="FYC134" s="271"/>
      <c r="FYD134" s="221"/>
      <c r="FYE134" s="221"/>
      <c r="FYF134" s="221"/>
      <c r="FYG134" s="258"/>
      <c r="FYH134" s="270"/>
      <c r="FYI134" s="271"/>
      <c r="FYJ134" s="271"/>
      <c r="FYK134" s="271"/>
      <c r="FYL134" s="221"/>
      <c r="FYM134" s="221"/>
      <c r="FYN134" s="221"/>
      <c r="FYO134" s="258"/>
      <c r="FYP134" s="270"/>
      <c r="FYQ134" s="271"/>
      <c r="FYR134" s="271"/>
      <c r="FYS134" s="271"/>
      <c r="FYT134" s="221"/>
      <c r="FYU134" s="221"/>
      <c r="FYV134" s="221"/>
      <c r="FYW134" s="258"/>
      <c r="FYX134" s="270"/>
      <c r="FYY134" s="271"/>
      <c r="FYZ134" s="271"/>
      <c r="FZA134" s="271"/>
      <c r="FZB134" s="221"/>
      <c r="FZC134" s="221"/>
      <c r="FZD134" s="221"/>
      <c r="FZE134" s="258"/>
      <c r="FZF134" s="270"/>
      <c r="FZG134" s="271"/>
      <c r="FZH134" s="271"/>
      <c r="FZI134" s="271"/>
      <c r="FZJ134" s="221"/>
      <c r="FZK134" s="221"/>
      <c r="FZL134" s="221"/>
      <c r="FZM134" s="258"/>
      <c r="FZN134" s="270"/>
      <c r="FZO134" s="271"/>
      <c r="FZP134" s="271"/>
      <c r="FZQ134" s="271"/>
      <c r="FZR134" s="221"/>
      <c r="FZS134" s="221"/>
      <c r="FZT134" s="221"/>
      <c r="FZU134" s="258"/>
      <c r="FZV134" s="270"/>
      <c r="FZW134" s="271"/>
      <c r="FZX134" s="271"/>
      <c r="FZY134" s="271"/>
      <c r="FZZ134" s="221"/>
      <c r="GAA134" s="221"/>
      <c r="GAB134" s="221"/>
      <c r="GAC134" s="258"/>
      <c r="GAD134" s="270"/>
      <c r="GAE134" s="271"/>
      <c r="GAF134" s="271"/>
      <c r="GAG134" s="271"/>
      <c r="GAH134" s="221"/>
      <c r="GAI134" s="221"/>
      <c r="GAJ134" s="221"/>
      <c r="GAK134" s="258"/>
      <c r="GAL134" s="270"/>
      <c r="GAM134" s="271"/>
      <c r="GAN134" s="271"/>
      <c r="GAO134" s="271"/>
      <c r="GAP134" s="221"/>
      <c r="GAQ134" s="221"/>
      <c r="GAR134" s="221"/>
      <c r="GAS134" s="258"/>
      <c r="GAT134" s="270"/>
      <c r="GAU134" s="271"/>
      <c r="GAV134" s="271"/>
      <c r="GAW134" s="271"/>
      <c r="GAX134" s="221"/>
      <c r="GAY134" s="221"/>
      <c r="GAZ134" s="221"/>
      <c r="GBA134" s="258"/>
      <c r="GBB134" s="270"/>
      <c r="GBC134" s="271"/>
      <c r="GBD134" s="271"/>
      <c r="GBE134" s="271"/>
      <c r="GBF134" s="221"/>
      <c r="GBG134" s="221"/>
      <c r="GBH134" s="221"/>
      <c r="GBI134" s="258"/>
      <c r="GBJ134" s="270"/>
      <c r="GBK134" s="271"/>
      <c r="GBL134" s="271"/>
      <c r="GBM134" s="271"/>
      <c r="GBN134" s="221"/>
      <c r="GBO134" s="221"/>
      <c r="GBP134" s="221"/>
      <c r="GBQ134" s="258"/>
      <c r="GBR134" s="270"/>
      <c r="GBS134" s="271"/>
      <c r="GBT134" s="271"/>
      <c r="GBU134" s="271"/>
      <c r="GBV134" s="221"/>
      <c r="GBW134" s="221"/>
      <c r="GBX134" s="221"/>
      <c r="GBY134" s="258"/>
      <c r="GBZ134" s="270"/>
      <c r="GCA134" s="271"/>
      <c r="GCB134" s="271"/>
      <c r="GCC134" s="271"/>
      <c r="GCD134" s="221"/>
      <c r="GCE134" s="221"/>
      <c r="GCF134" s="221"/>
      <c r="GCG134" s="258"/>
      <c r="GCH134" s="270"/>
      <c r="GCI134" s="271"/>
      <c r="GCJ134" s="271"/>
      <c r="GCK134" s="271"/>
      <c r="GCL134" s="221"/>
      <c r="GCM134" s="221"/>
      <c r="GCN134" s="221"/>
      <c r="GCO134" s="258"/>
      <c r="GCP134" s="270"/>
      <c r="GCQ134" s="271"/>
      <c r="GCR134" s="271"/>
      <c r="GCS134" s="271"/>
      <c r="GCT134" s="221"/>
      <c r="GCU134" s="221"/>
      <c r="GCV134" s="221"/>
      <c r="GCW134" s="258"/>
      <c r="GCX134" s="270"/>
      <c r="GCY134" s="271"/>
      <c r="GCZ134" s="271"/>
      <c r="GDA134" s="271"/>
      <c r="GDB134" s="221"/>
      <c r="GDC134" s="221"/>
      <c r="GDD134" s="221"/>
      <c r="GDE134" s="258"/>
      <c r="GDF134" s="270"/>
      <c r="GDG134" s="271"/>
      <c r="GDH134" s="271"/>
      <c r="GDI134" s="271"/>
      <c r="GDJ134" s="221"/>
      <c r="GDK134" s="221"/>
      <c r="GDL134" s="221"/>
      <c r="GDM134" s="258"/>
      <c r="GDN134" s="270"/>
      <c r="GDO134" s="271"/>
      <c r="GDP134" s="271"/>
      <c r="GDQ134" s="271"/>
      <c r="GDR134" s="221"/>
      <c r="GDS134" s="221"/>
      <c r="GDT134" s="221"/>
      <c r="GDU134" s="258"/>
      <c r="GDV134" s="270"/>
      <c r="GDW134" s="271"/>
      <c r="GDX134" s="271"/>
      <c r="GDY134" s="271"/>
      <c r="GDZ134" s="221"/>
      <c r="GEA134" s="221"/>
      <c r="GEB134" s="221"/>
      <c r="GEC134" s="258"/>
      <c r="GED134" s="270"/>
      <c r="GEE134" s="271"/>
      <c r="GEF134" s="271"/>
      <c r="GEG134" s="271"/>
      <c r="GEH134" s="221"/>
      <c r="GEI134" s="221"/>
      <c r="GEJ134" s="221"/>
      <c r="GEK134" s="258"/>
      <c r="GEL134" s="270"/>
      <c r="GEM134" s="271"/>
      <c r="GEN134" s="271"/>
      <c r="GEO134" s="271"/>
      <c r="GEP134" s="221"/>
      <c r="GEQ134" s="221"/>
      <c r="GER134" s="221"/>
      <c r="GES134" s="258"/>
      <c r="GET134" s="270"/>
      <c r="GEU134" s="271"/>
      <c r="GEV134" s="271"/>
      <c r="GEW134" s="271"/>
      <c r="GEX134" s="221"/>
      <c r="GEY134" s="221"/>
      <c r="GEZ134" s="221"/>
      <c r="GFA134" s="258"/>
      <c r="GFB134" s="270"/>
      <c r="GFC134" s="271"/>
      <c r="GFD134" s="271"/>
      <c r="GFE134" s="271"/>
      <c r="GFF134" s="221"/>
      <c r="GFG134" s="221"/>
      <c r="GFH134" s="221"/>
      <c r="GFI134" s="258"/>
      <c r="GFJ134" s="270"/>
      <c r="GFK134" s="271"/>
      <c r="GFL134" s="271"/>
      <c r="GFM134" s="271"/>
      <c r="GFN134" s="221"/>
      <c r="GFO134" s="221"/>
      <c r="GFP134" s="221"/>
      <c r="GFQ134" s="258"/>
      <c r="GFR134" s="270"/>
      <c r="GFS134" s="271"/>
      <c r="GFT134" s="271"/>
      <c r="GFU134" s="271"/>
      <c r="GFV134" s="221"/>
      <c r="GFW134" s="221"/>
      <c r="GFX134" s="221"/>
      <c r="GFY134" s="258"/>
      <c r="GFZ134" s="270"/>
      <c r="GGA134" s="271"/>
      <c r="GGB134" s="271"/>
      <c r="GGC134" s="271"/>
      <c r="GGD134" s="221"/>
      <c r="GGE134" s="221"/>
      <c r="GGF134" s="221"/>
      <c r="GGG134" s="258"/>
      <c r="GGH134" s="270"/>
      <c r="GGI134" s="271"/>
      <c r="GGJ134" s="271"/>
      <c r="GGK134" s="271"/>
      <c r="GGL134" s="221"/>
      <c r="GGM134" s="221"/>
      <c r="GGN134" s="221"/>
      <c r="GGO134" s="258"/>
      <c r="GGP134" s="270"/>
      <c r="GGQ134" s="271"/>
      <c r="GGR134" s="271"/>
      <c r="GGS134" s="271"/>
      <c r="GGT134" s="221"/>
      <c r="GGU134" s="221"/>
      <c r="GGV134" s="221"/>
      <c r="GGW134" s="258"/>
      <c r="GGX134" s="270"/>
      <c r="GGY134" s="271"/>
      <c r="GGZ134" s="271"/>
      <c r="GHA134" s="271"/>
      <c r="GHB134" s="221"/>
      <c r="GHC134" s="221"/>
      <c r="GHD134" s="221"/>
      <c r="GHE134" s="258"/>
      <c r="GHF134" s="270"/>
      <c r="GHG134" s="271"/>
      <c r="GHH134" s="271"/>
      <c r="GHI134" s="271"/>
      <c r="GHJ134" s="221"/>
      <c r="GHK134" s="221"/>
      <c r="GHL134" s="221"/>
      <c r="GHM134" s="258"/>
      <c r="GHN134" s="270"/>
      <c r="GHO134" s="271"/>
      <c r="GHP134" s="271"/>
      <c r="GHQ134" s="271"/>
      <c r="GHR134" s="221"/>
      <c r="GHS134" s="221"/>
      <c r="GHT134" s="221"/>
      <c r="GHU134" s="258"/>
      <c r="GHV134" s="270"/>
      <c r="GHW134" s="271"/>
      <c r="GHX134" s="271"/>
      <c r="GHY134" s="271"/>
      <c r="GHZ134" s="221"/>
      <c r="GIA134" s="221"/>
      <c r="GIB134" s="221"/>
      <c r="GIC134" s="258"/>
      <c r="GID134" s="270"/>
      <c r="GIE134" s="271"/>
      <c r="GIF134" s="271"/>
      <c r="GIG134" s="271"/>
      <c r="GIH134" s="221"/>
      <c r="GII134" s="221"/>
      <c r="GIJ134" s="221"/>
      <c r="GIK134" s="258"/>
      <c r="GIL134" s="270"/>
      <c r="GIM134" s="271"/>
      <c r="GIN134" s="271"/>
      <c r="GIO134" s="271"/>
      <c r="GIP134" s="221"/>
      <c r="GIQ134" s="221"/>
      <c r="GIR134" s="221"/>
      <c r="GIS134" s="258"/>
      <c r="GIT134" s="270"/>
      <c r="GIU134" s="271"/>
      <c r="GIV134" s="271"/>
      <c r="GIW134" s="271"/>
      <c r="GIX134" s="221"/>
      <c r="GIY134" s="221"/>
      <c r="GIZ134" s="221"/>
      <c r="GJA134" s="258"/>
      <c r="GJB134" s="270"/>
      <c r="GJC134" s="271"/>
      <c r="GJD134" s="271"/>
      <c r="GJE134" s="271"/>
      <c r="GJF134" s="221"/>
      <c r="GJG134" s="221"/>
      <c r="GJH134" s="221"/>
      <c r="GJI134" s="258"/>
      <c r="GJJ134" s="270"/>
      <c r="GJK134" s="271"/>
      <c r="GJL134" s="271"/>
      <c r="GJM134" s="271"/>
      <c r="GJN134" s="221"/>
      <c r="GJO134" s="221"/>
      <c r="GJP134" s="221"/>
      <c r="GJQ134" s="258"/>
      <c r="GJR134" s="270"/>
      <c r="GJS134" s="271"/>
      <c r="GJT134" s="271"/>
      <c r="GJU134" s="271"/>
      <c r="GJV134" s="221"/>
      <c r="GJW134" s="221"/>
      <c r="GJX134" s="221"/>
      <c r="GJY134" s="258"/>
      <c r="GJZ134" s="270"/>
      <c r="GKA134" s="271"/>
      <c r="GKB134" s="271"/>
      <c r="GKC134" s="271"/>
      <c r="GKD134" s="221"/>
      <c r="GKE134" s="221"/>
      <c r="GKF134" s="221"/>
      <c r="GKG134" s="258"/>
      <c r="GKH134" s="270"/>
      <c r="GKI134" s="271"/>
      <c r="GKJ134" s="271"/>
      <c r="GKK134" s="271"/>
      <c r="GKL134" s="221"/>
      <c r="GKM134" s="221"/>
      <c r="GKN134" s="221"/>
      <c r="GKO134" s="258"/>
      <c r="GKP134" s="270"/>
      <c r="GKQ134" s="271"/>
      <c r="GKR134" s="271"/>
      <c r="GKS134" s="271"/>
      <c r="GKT134" s="221"/>
      <c r="GKU134" s="221"/>
      <c r="GKV134" s="221"/>
      <c r="GKW134" s="258"/>
      <c r="GKX134" s="270"/>
      <c r="GKY134" s="271"/>
      <c r="GKZ134" s="271"/>
      <c r="GLA134" s="271"/>
      <c r="GLB134" s="221"/>
      <c r="GLC134" s="221"/>
      <c r="GLD134" s="221"/>
      <c r="GLE134" s="258"/>
      <c r="GLF134" s="270"/>
      <c r="GLG134" s="271"/>
      <c r="GLH134" s="271"/>
      <c r="GLI134" s="271"/>
      <c r="GLJ134" s="221"/>
      <c r="GLK134" s="221"/>
      <c r="GLL134" s="221"/>
      <c r="GLM134" s="258"/>
      <c r="GLN134" s="270"/>
      <c r="GLO134" s="271"/>
      <c r="GLP134" s="271"/>
      <c r="GLQ134" s="271"/>
      <c r="GLR134" s="221"/>
      <c r="GLS134" s="221"/>
      <c r="GLT134" s="221"/>
      <c r="GLU134" s="258"/>
      <c r="GLV134" s="270"/>
      <c r="GLW134" s="271"/>
      <c r="GLX134" s="271"/>
      <c r="GLY134" s="271"/>
      <c r="GLZ134" s="221"/>
      <c r="GMA134" s="221"/>
      <c r="GMB134" s="221"/>
      <c r="GMC134" s="258"/>
      <c r="GMD134" s="270"/>
      <c r="GME134" s="271"/>
      <c r="GMF134" s="271"/>
      <c r="GMG134" s="271"/>
      <c r="GMH134" s="221"/>
      <c r="GMI134" s="221"/>
      <c r="GMJ134" s="221"/>
      <c r="GMK134" s="258"/>
      <c r="GML134" s="270"/>
      <c r="GMM134" s="271"/>
      <c r="GMN134" s="271"/>
      <c r="GMO134" s="271"/>
      <c r="GMP134" s="221"/>
      <c r="GMQ134" s="221"/>
      <c r="GMR134" s="221"/>
      <c r="GMS134" s="258"/>
      <c r="GMT134" s="270"/>
      <c r="GMU134" s="271"/>
      <c r="GMV134" s="271"/>
      <c r="GMW134" s="271"/>
      <c r="GMX134" s="221"/>
      <c r="GMY134" s="221"/>
      <c r="GMZ134" s="221"/>
      <c r="GNA134" s="258"/>
      <c r="GNB134" s="270"/>
      <c r="GNC134" s="271"/>
      <c r="GND134" s="271"/>
      <c r="GNE134" s="271"/>
      <c r="GNF134" s="221"/>
      <c r="GNG134" s="221"/>
      <c r="GNH134" s="221"/>
      <c r="GNI134" s="258"/>
      <c r="GNJ134" s="270"/>
      <c r="GNK134" s="271"/>
      <c r="GNL134" s="271"/>
      <c r="GNM134" s="271"/>
      <c r="GNN134" s="221"/>
      <c r="GNO134" s="221"/>
      <c r="GNP134" s="221"/>
      <c r="GNQ134" s="258"/>
      <c r="GNR134" s="270"/>
      <c r="GNS134" s="271"/>
      <c r="GNT134" s="271"/>
      <c r="GNU134" s="271"/>
      <c r="GNV134" s="221"/>
      <c r="GNW134" s="221"/>
      <c r="GNX134" s="221"/>
      <c r="GNY134" s="258"/>
      <c r="GNZ134" s="270"/>
      <c r="GOA134" s="271"/>
      <c r="GOB134" s="271"/>
      <c r="GOC134" s="271"/>
      <c r="GOD134" s="221"/>
      <c r="GOE134" s="221"/>
      <c r="GOF134" s="221"/>
      <c r="GOG134" s="258"/>
      <c r="GOH134" s="270"/>
      <c r="GOI134" s="271"/>
      <c r="GOJ134" s="271"/>
      <c r="GOK134" s="271"/>
      <c r="GOL134" s="221"/>
      <c r="GOM134" s="221"/>
      <c r="GON134" s="221"/>
      <c r="GOO134" s="258"/>
      <c r="GOP134" s="270"/>
      <c r="GOQ134" s="271"/>
      <c r="GOR134" s="271"/>
      <c r="GOS134" s="271"/>
      <c r="GOT134" s="221"/>
      <c r="GOU134" s="221"/>
      <c r="GOV134" s="221"/>
      <c r="GOW134" s="258"/>
      <c r="GOX134" s="270"/>
      <c r="GOY134" s="271"/>
      <c r="GOZ134" s="271"/>
      <c r="GPA134" s="271"/>
      <c r="GPB134" s="221"/>
      <c r="GPC134" s="221"/>
      <c r="GPD134" s="221"/>
      <c r="GPE134" s="258"/>
      <c r="GPF134" s="270"/>
      <c r="GPG134" s="271"/>
      <c r="GPH134" s="271"/>
      <c r="GPI134" s="271"/>
      <c r="GPJ134" s="221"/>
      <c r="GPK134" s="221"/>
      <c r="GPL134" s="221"/>
      <c r="GPM134" s="258"/>
      <c r="GPN134" s="270"/>
      <c r="GPO134" s="271"/>
      <c r="GPP134" s="271"/>
      <c r="GPQ134" s="271"/>
      <c r="GPR134" s="221"/>
      <c r="GPS134" s="221"/>
      <c r="GPT134" s="221"/>
      <c r="GPU134" s="258"/>
      <c r="GPV134" s="270"/>
      <c r="GPW134" s="271"/>
      <c r="GPX134" s="271"/>
      <c r="GPY134" s="271"/>
      <c r="GPZ134" s="221"/>
      <c r="GQA134" s="221"/>
      <c r="GQB134" s="221"/>
      <c r="GQC134" s="258"/>
      <c r="GQD134" s="270"/>
      <c r="GQE134" s="271"/>
      <c r="GQF134" s="271"/>
      <c r="GQG134" s="271"/>
      <c r="GQH134" s="221"/>
      <c r="GQI134" s="221"/>
      <c r="GQJ134" s="221"/>
      <c r="GQK134" s="258"/>
      <c r="GQL134" s="270"/>
      <c r="GQM134" s="271"/>
      <c r="GQN134" s="271"/>
      <c r="GQO134" s="271"/>
      <c r="GQP134" s="221"/>
      <c r="GQQ134" s="221"/>
      <c r="GQR134" s="221"/>
      <c r="GQS134" s="258"/>
      <c r="GQT134" s="270"/>
      <c r="GQU134" s="271"/>
      <c r="GQV134" s="271"/>
      <c r="GQW134" s="271"/>
      <c r="GQX134" s="221"/>
      <c r="GQY134" s="221"/>
      <c r="GQZ134" s="221"/>
      <c r="GRA134" s="258"/>
      <c r="GRB134" s="270"/>
      <c r="GRC134" s="271"/>
      <c r="GRD134" s="271"/>
      <c r="GRE134" s="271"/>
      <c r="GRF134" s="221"/>
      <c r="GRG134" s="221"/>
      <c r="GRH134" s="221"/>
      <c r="GRI134" s="258"/>
      <c r="GRJ134" s="270"/>
      <c r="GRK134" s="271"/>
      <c r="GRL134" s="271"/>
      <c r="GRM134" s="271"/>
      <c r="GRN134" s="221"/>
      <c r="GRO134" s="221"/>
      <c r="GRP134" s="221"/>
      <c r="GRQ134" s="258"/>
      <c r="GRR134" s="270"/>
      <c r="GRS134" s="271"/>
      <c r="GRT134" s="271"/>
      <c r="GRU134" s="271"/>
      <c r="GRV134" s="221"/>
      <c r="GRW134" s="221"/>
      <c r="GRX134" s="221"/>
      <c r="GRY134" s="258"/>
      <c r="GRZ134" s="270"/>
      <c r="GSA134" s="271"/>
      <c r="GSB134" s="271"/>
      <c r="GSC134" s="271"/>
      <c r="GSD134" s="221"/>
      <c r="GSE134" s="221"/>
      <c r="GSF134" s="221"/>
      <c r="GSG134" s="258"/>
      <c r="GSH134" s="270"/>
      <c r="GSI134" s="271"/>
      <c r="GSJ134" s="271"/>
      <c r="GSK134" s="271"/>
      <c r="GSL134" s="221"/>
      <c r="GSM134" s="221"/>
      <c r="GSN134" s="221"/>
      <c r="GSO134" s="258"/>
      <c r="GSP134" s="270"/>
      <c r="GSQ134" s="271"/>
      <c r="GSR134" s="271"/>
      <c r="GSS134" s="271"/>
      <c r="GST134" s="221"/>
      <c r="GSU134" s="221"/>
      <c r="GSV134" s="221"/>
      <c r="GSW134" s="258"/>
      <c r="GSX134" s="270"/>
      <c r="GSY134" s="271"/>
      <c r="GSZ134" s="271"/>
      <c r="GTA134" s="271"/>
      <c r="GTB134" s="221"/>
      <c r="GTC134" s="221"/>
      <c r="GTD134" s="221"/>
      <c r="GTE134" s="258"/>
      <c r="GTF134" s="270"/>
      <c r="GTG134" s="271"/>
      <c r="GTH134" s="271"/>
      <c r="GTI134" s="271"/>
      <c r="GTJ134" s="221"/>
      <c r="GTK134" s="221"/>
      <c r="GTL134" s="221"/>
      <c r="GTM134" s="258"/>
      <c r="GTN134" s="270"/>
      <c r="GTO134" s="271"/>
      <c r="GTP134" s="271"/>
      <c r="GTQ134" s="271"/>
      <c r="GTR134" s="221"/>
      <c r="GTS134" s="221"/>
      <c r="GTT134" s="221"/>
      <c r="GTU134" s="258"/>
      <c r="GTV134" s="270"/>
      <c r="GTW134" s="271"/>
      <c r="GTX134" s="271"/>
      <c r="GTY134" s="271"/>
      <c r="GTZ134" s="221"/>
      <c r="GUA134" s="221"/>
      <c r="GUB134" s="221"/>
      <c r="GUC134" s="258"/>
      <c r="GUD134" s="270"/>
      <c r="GUE134" s="271"/>
      <c r="GUF134" s="271"/>
      <c r="GUG134" s="271"/>
      <c r="GUH134" s="221"/>
      <c r="GUI134" s="221"/>
      <c r="GUJ134" s="221"/>
      <c r="GUK134" s="258"/>
      <c r="GUL134" s="270"/>
      <c r="GUM134" s="271"/>
      <c r="GUN134" s="271"/>
      <c r="GUO134" s="271"/>
      <c r="GUP134" s="221"/>
      <c r="GUQ134" s="221"/>
      <c r="GUR134" s="221"/>
      <c r="GUS134" s="258"/>
      <c r="GUT134" s="270"/>
      <c r="GUU134" s="271"/>
      <c r="GUV134" s="271"/>
      <c r="GUW134" s="271"/>
      <c r="GUX134" s="221"/>
      <c r="GUY134" s="221"/>
      <c r="GUZ134" s="221"/>
      <c r="GVA134" s="258"/>
      <c r="GVB134" s="270"/>
      <c r="GVC134" s="271"/>
      <c r="GVD134" s="271"/>
      <c r="GVE134" s="271"/>
      <c r="GVF134" s="221"/>
      <c r="GVG134" s="221"/>
      <c r="GVH134" s="221"/>
      <c r="GVI134" s="258"/>
      <c r="GVJ134" s="270"/>
      <c r="GVK134" s="271"/>
      <c r="GVL134" s="271"/>
      <c r="GVM134" s="271"/>
      <c r="GVN134" s="221"/>
      <c r="GVO134" s="221"/>
      <c r="GVP134" s="221"/>
      <c r="GVQ134" s="258"/>
      <c r="GVR134" s="270"/>
      <c r="GVS134" s="271"/>
      <c r="GVT134" s="271"/>
      <c r="GVU134" s="271"/>
      <c r="GVV134" s="221"/>
      <c r="GVW134" s="221"/>
      <c r="GVX134" s="221"/>
      <c r="GVY134" s="258"/>
      <c r="GVZ134" s="270"/>
      <c r="GWA134" s="271"/>
      <c r="GWB134" s="271"/>
      <c r="GWC134" s="271"/>
      <c r="GWD134" s="221"/>
      <c r="GWE134" s="221"/>
      <c r="GWF134" s="221"/>
      <c r="GWG134" s="258"/>
      <c r="GWH134" s="270"/>
      <c r="GWI134" s="271"/>
      <c r="GWJ134" s="271"/>
      <c r="GWK134" s="271"/>
      <c r="GWL134" s="221"/>
      <c r="GWM134" s="221"/>
      <c r="GWN134" s="221"/>
      <c r="GWO134" s="258"/>
      <c r="GWP134" s="270"/>
      <c r="GWQ134" s="271"/>
      <c r="GWR134" s="271"/>
      <c r="GWS134" s="271"/>
      <c r="GWT134" s="221"/>
      <c r="GWU134" s="221"/>
      <c r="GWV134" s="221"/>
      <c r="GWW134" s="258"/>
      <c r="GWX134" s="270"/>
      <c r="GWY134" s="271"/>
      <c r="GWZ134" s="271"/>
      <c r="GXA134" s="271"/>
      <c r="GXB134" s="221"/>
      <c r="GXC134" s="221"/>
      <c r="GXD134" s="221"/>
      <c r="GXE134" s="258"/>
      <c r="GXF134" s="270"/>
      <c r="GXG134" s="271"/>
      <c r="GXH134" s="271"/>
      <c r="GXI134" s="271"/>
      <c r="GXJ134" s="221"/>
      <c r="GXK134" s="221"/>
      <c r="GXL134" s="221"/>
      <c r="GXM134" s="258"/>
      <c r="GXN134" s="270"/>
      <c r="GXO134" s="271"/>
      <c r="GXP134" s="271"/>
      <c r="GXQ134" s="271"/>
      <c r="GXR134" s="221"/>
      <c r="GXS134" s="221"/>
      <c r="GXT134" s="221"/>
      <c r="GXU134" s="258"/>
      <c r="GXV134" s="270"/>
      <c r="GXW134" s="271"/>
      <c r="GXX134" s="271"/>
      <c r="GXY134" s="271"/>
      <c r="GXZ134" s="221"/>
      <c r="GYA134" s="221"/>
      <c r="GYB134" s="221"/>
      <c r="GYC134" s="258"/>
      <c r="GYD134" s="270"/>
      <c r="GYE134" s="271"/>
      <c r="GYF134" s="271"/>
      <c r="GYG134" s="271"/>
      <c r="GYH134" s="221"/>
      <c r="GYI134" s="221"/>
      <c r="GYJ134" s="221"/>
      <c r="GYK134" s="258"/>
      <c r="GYL134" s="270"/>
      <c r="GYM134" s="271"/>
      <c r="GYN134" s="271"/>
      <c r="GYO134" s="271"/>
      <c r="GYP134" s="221"/>
      <c r="GYQ134" s="221"/>
      <c r="GYR134" s="221"/>
      <c r="GYS134" s="258"/>
      <c r="GYT134" s="270"/>
      <c r="GYU134" s="271"/>
      <c r="GYV134" s="271"/>
      <c r="GYW134" s="271"/>
      <c r="GYX134" s="221"/>
      <c r="GYY134" s="221"/>
      <c r="GYZ134" s="221"/>
      <c r="GZA134" s="258"/>
      <c r="GZB134" s="270"/>
      <c r="GZC134" s="271"/>
      <c r="GZD134" s="271"/>
      <c r="GZE134" s="271"/>
      <c r="GZF134" s="221"/>
      <c r="GZG134" s="221"/>
      <c r="GZH134" s="221"/>
      <c r="GZI134" s="258"/>
      <c r="GZJ134" s="270"/>
      <c r="GZK134" s="271"/>
      <c r="GZL134" s="271"/>
      <c r="GZM134" s="271"/>
      <c r="GZN134" s="221"/>
      <c r="GZO134" s="221"/>
      <c r="GZP134" s="221"/>
      <c r="GZQ134" s="258"/>
      <c r="GZR134" s="270"/>
      <c r="GZS134" s="271"/>
      <c r="GZT134" s="271"/>
      <c r="GZU134" s="271"/>
      <c r="GZV134" s="221"/>
      <c r="GZW134" s="221"/>
      <c r="GZX134" s="221"/>
      <c r="GZY134" s="258"/>
      <c r="GZZ134" s="270"/>
      <c r="HAA134" s="271"/>
      <c r="HAB134" s="271"/>
      <c r="HAC134" s="271"/>
      <c r="HAD134" s="221"/>
      <c r="HAE134" s="221"/>
      <c r="HAF134" s="221"/>
      <c r="HAG134" s="258"/>
      <c r="HAH134" s="270"/>
      <c r="HAI134" s="271"/>
      <c r="HAJ134" s="271"/>
      <c r="HAK134" s="271"/>
      <c r="HAL134" s="221"/>
      <c r="HAM134" s="221"/>
      <c r="HAN134" s="221"/>
      <c r="HAO134" s="258"/>
      <c r="HAP134" s="270"/>
      <c r="HAQ134" s="271"/>
      <c r="HAR134" s="271"/>
      <c r="HAS134" s="271"/>
      <c r="HAT134" s="221"/>
      <c r="HAU134" s="221"/>
      <c r="HAV134" s="221"/>
      <c r="HAW134" s="258"/>
      <c r="HAX134" s="270"/>
      <c r="HAY134" s="271"/>
      <c r="HAZ134" s="271"/>
      <c r="HBA134" s="271"/>
      <c r="HBB134" s="221"/>
      <c r="HBC134" s="221"/>
      <c r="HBD134" s="221"/>
      <c r="HBE134" s="258"/>
      <c r="HBF134" s="270"/>
      <c r="HBG134" s="271"/>
      <c r="HBH134" s="271"/>
      <c r="HBI134" s="271"/>
      <c r="HBJ134" s="221"/>
      <c r="HBK134" s="221"/>
      <c r="HBL134" s="221"/>
      <c r="HBM134" s="258"/>
      <c r="HBN134" s="270"/>
      <c r="HBO134" s="271"/>
      <c r="HBP134" s="271"/>
      <c r="HBQ134" s="271"/>
      <c r="HBR134" s="221"/>
      <c r="HBS134" s="221"/>
      <c r="HBT134" s="221"/>
      <c r="HBU134" s="258"/>
      <c r="HBV134" s="270"/>
      <c r="HBW134" s="271"/>
      <c r="HBX134" s="271"/>
      <c r="HBY134" s="271"/>
      <c r="HBZ134" s="221"/>
      <c r="HCA134" s="221"/>
      <c r="HCB134" s="221"/>
      <c r="HCC134" s="258"/>
      <c r="HCD134" s="270"/>
      <c r="HCE134" s="271"/>
      <c r="HCF134" s="271"/>
      <c r="HCG134" s="271"/>
      <c r="HCH134" s="221"/>
      <c r="HCI134" s="221"/>
      <c r="HCJ134" s="221"/>
      <c r="HCK134" s="258"/>
      <c r="HCL134" s="270"/>
      <c r="HCM134" s="271"/>
      <c r="HCN134" s="271"/>
      <c r="HCO134" s="271"/>
      <c r="HCP134" s="221"/>
      <c r="HCQ134" s="221"/>
      <c r="HCR134" s="221"/>
      <c r="HCS134" s="258"/>
      <c r="HCT134" s="270"/>
      <c r="HCU134" s="271"/>
      <c r="HCV134" s="271"/>
      <c r="HCW134" s="271"/>
      <c r="HCX134" s="221"/>
      <c r="HCY134" s="221"/>
      <c r="HCZ134" s="221"/>
      <c r="HDA134" s="258"/>
      <c r="HDB134" s="270"/>
      <c r="HDC134" s="271"/>
      <c r="HDD134" s="271"/>
      <c r="HDE134" s="271"/>
      <c r="HDF134" s="221"/>
      <c r="HDG134" s="221"/>
      <c r="HDH134" s="221"/>
      <c r="HDI134" s="258"/>
      <c r="HDJ134" s="270"/>
      <c r="HDK134" s="271"/>
      <c r="HDL134" s="271"/>
      <c r="HDM134" s="271"/>
      <c r="HDN134" s="221"/>
      <c r="HDO134" s="221"/>
      <c r="HDP134" s="221"/>
      <c r="HDQ134" s="258"/>
      <c r="HDR134" s="270"/>
      <c r="HDS134" s="271"/>
      <c r="HDT134" s="271"/>
      <c r="HDU134" s="271"/>
      <c r="HDV134" s="221"/>
      <c r="HDW134" s="221"/>
      <c r="HDX134" s="221"/>
      <c r="HDY134" s="258"/>
      <c r="HDZ134" s="270"/>
      <c r="HEA134" s="271"/>
      <c r="HEB134" s="271"/>
      <c r="HEC134" s="271"/>
      <c r="HED134" s="221"/>
      <c r="HEE134" s="221"/>
      <c r="HEF134" s="221"/>
      <c r="HEG134" s="258"/>
      <c r="HEH134" s="270"/>
      <c r="HEI134" s="271"/>
      <c r="HEJ134" s="271"/>
      <c r="HEK134" s="271"/>
      <c r="HEL134" s="221"/>
      <c r="HEM134" s="221"/>
      <c r="HEN134" s="221"/>
      <c r="HEO134" s="258"/>
      <c r="HEP134" s="270"/>
      <c r="HEQ134" s="271"/>
      <c r="HER134" s="271"/>
      <c r="HES134" s="271"/>
      <c r="HET134" s="221"/>
      <c r="HEU134" s="221"/>
      <c r="HEV134" s="221"/>
      <c r="HEW134" s="258"/>
      <c r="HEX134" s="270"/>
      <c r="HEY134" s="271"/>
      <c r="HEZ134" s="271"/>
      <c r="HFA134" s="271"/>
      <c r="HFB134" s="221"/>
      <c r="HFC134" s="221"/>
      <c r="HFD134" s="221"/>
      <c r="HFE134" s="258"/>
      <c r="HFF134" s="270"/>
      <c r="HFG134" s="271"/>
      <c r="HFH134" s="271"/>
      <c r="HFI134" s="271"/>
      <c r="HFJ134" s="221"/>
      <c r="HFK134" s="221"/>
      <c r="HFL134" s="221"/>
      <c r="HFM134" s="258"/>
      <c r="HFN134" s="270"/>
      <c r="HFO134" s="271"/>
      <c r="HFP134" s="271"/>
      <c r="HFQ134" s="271"/>
      <c r="HFR134" s="221"/>
      <c r="HFS134" s="221"/>
      <c r="HFT134" s="221"/>
      <c r="HFU134" s="258"/>
      <c r="HFV134" s="270"/>
      <c r="HFW134" s="271"/>
      <c r="HFX134" s="271"/>
      <c r="HFY134" s="271"/>
      <c r="HFZ134" s="221"/>
      <c r="HGA134" s="221"/>
      <c r="HGB134" s="221"/>
      <c r="HGC134" s="258"/>
      <c r="HGD134" s="270"/>
      <c r="HGE134" s="271"/>
      <c r="HGF134" s="271"/>
      <c r="HGG134" s="271"/>
      <c r="HGH134" s="221"/>
      <c r="HGI134" s="221"/>
      <c r="HGJ134" s="221"/>
      <c r="HGK134" s="258"/>
      <c r="HGL134" s="270"/>
      <c r="HGM134" s="271"/>
      <c r="HGN134" s="271"/>
      <c r="HGO134" s="271"/>
      <c r="HGP134" s="221"/>
      <c r="HGQ134" s="221"/>
      <c r="HGR134" s="221"/>
      <c r="HGS134" s="258"/>
      <c r="HGT134" s="270"/>
      <c r="HGU134" s="271"/>
      <c r="HGV134" s="271"/>
      <c r="HGW134" s="271"/>
      <c r="HGX134" s="221"/>
      <c r="HGY134" s="221"/>
      <c r="HGZ134" s="221"/>
      <c r="HHA134" s="258"/>
      <c r="HHB134" s="270"/>
      <c r="HHC134" s="271"/>
      <c r="HHD134" s="271"/>
      <c r="HHE134" s="271"/>
      <c r="HHF134" s="221"/>
      <c r="HHG134" s="221"/>
      <c r="HHH134" s="221"/>
      <c r="HHI134" s="258"/>
      <c r="HHJ134" s="270"/>
      <c r="HHK134" s="271"/>
      <c r="HHL134" s="271"/>
      <c r="HHM134" s="271"/>
      <c r="HHN134" s="221"/>
      <c r="HHO134" s="221"/>
      <c r="HHP134" s="221"/>
      <c r="HHQ134" s="258"/>
      <c r="HHR134" s="270"/>
      <c r="HHS134" s="271"/>
      <c r="HHT134" s="271"/>
      <c r="HHU134" s="271"/>
      <c r="HHV134" s="221"/>
      <c r="HHW134" s="221"/>
      <c r="HHX134" s="221"/>
      <c r="HHY134" s="258"/>
      <c r="HHZ134" s="270"/>
      <c r="HIA134" s="271"/>
      <c r="HIB134" s="271"/>
      <c r="HIC134" s="271"/>
      <c r="HID134" s="221"/>
      <c r="HIE134" s="221"/>
      <c r="HIF134" s="221"/>
      <c r="HIG134" s="258"/>
      <c r="HIH134" s="270"/>
      <c r="HII134" s="271"/>
      <c r="HIJ134" s="271"/>
      <c r="HIK134" s="271"/>
      <c r="HIL134" s="221"/>
      <c r="HIM134" s="221"/>
      <c r="HIN134" s="221"/>
      <c r="HIO134" s="258"/>
      <c r="HIP134" s="270"/>
      <c r="HIQ134" s="271"/>
      <c r="HIR134" s="271"/>
      <c r="HIS134" s="271"/>
      <c r="HIT134" s="221"/>
      <c r="HIU134" s="221"/>
      <c r="HIV134" s="221"/>
      <c r="HIW134" s="258"/>
      <c r="HIX134" s="270"/>
      <c r="HIY134" s="271"/>
      <c r="HIZ134" s="271"/>
      <c r="HJA134" s="271"/>
      <c r="HJB134" s="221"/>
      <c r="HJC134" s="221"/>
      <c r="HJD134" s="221"/>
      <c r="HJE134" s="258"/>
      <c r="HJF134" s="270"/>
      <c r="HJG134" s="271"/>
      <c r="HJH134" s="271"/>
      <c r="HJI134" s="271"/>
      <c r="HJJ134" s="221"/>
      <c r="HJK134" s="221"/>
      <c r="HJL134" s="221"/>
      <c r="HJM134" s="258"/>
      <c r="HJN134" s="270"/>
      <c r="HJO134" s="271"/>
      <c r="HJP134" s="271"/>
      <c r="HJQ134" s="271"/>
      <c r="HJR134" s="221"/>
      <c r="HJS134" s="221"/>
      <c r="HJT134" s="221"/>
      <c r="HJU134" s="258"/>
      <c r="HJV134" s="270"/>
      <c r="HJW134" s="271"/>
      <c r="HJX134" s="271"/>
      <c r="HJY134" s="271"/>
      <c r="HJZ134" s="221"/>
      <c r="HKA134" s="221"/>
      <c r="HKB134" s="221"/>
      <c r="HKC134" s="258"/>
      <c r="HKD134" s="270"/>
      <c r="HKE134" s="271"/>
      <c r="HKF134" s="271"/>
      <c r="HKG134" s="271"/>
      <c r="HKH134" s="221"/>
      <c r="HKI134" s="221"/>
      <c r="HKJ134" s="221"/>
      <c r="HKK134" s="258"/>
      <c r="HKL134" s="270"/>
      <c r="HKM134" s="271"/>
      <c r="HKN134" s="271"/>
      <c r="HKO134" s="271"/>
      <c r="HKP134" s="221"/>
      <c r="HKQ134" s="221"/>
      <c r="HKR134" s="221"/>
      <c r="HKS134" s="258"/>
      <c r="HKT134" s="270"/>
      <c r="HKU134" s="271"/>
      <c r="HKV134" s="271"/>
      <c r="HKW134" s="271"/>
      <c r="HKX134" s="221"/>
      <c r="HKY134" s="221"/>
      <c r="HKZ134" s="221"/>
      <c r="HLA134" s="258"/>
      <c r="HLB134" s="270"/>
      <c r="HLC134" s="271"/>
      <c r="HLD134" s="271"/>
      <c r="HLE134" s="271"/>
      <c r="HLF134" s="221"/>
      <c r="HLG134" s="221"/>
      <c r="HLH134" s="221"/>
      <c r="HLI134" s="258"/>
      <c r="HLJ134" s="270"/>
      <c r="HLK134" s="271"/>
      <c r="HLL134" s="271"/>
      <c r="HLM134" s="271"/>
      <c r="HLN134" s="221"/>
      <c r="HLO134" s="221"/>
      <c r="HLP134" s="221"/>
      <c r="HLQ134" s="258"/>
      <c r="HLR134" s="270"/>
      <c r="HLS134" s="271"/>
      <c r="HLT134" s="271"/>
      <c r="HLU134" s="271"/>
      <c r="HLV134" s="221"/>
      <c r="HLW134" s="221"/>
      <c r="HLX134" s="221"/>
      <c r="HLY134" s="258"/>
      <c r="HLZ134" s="270"/>
      <c r="HMA134" s="271"/>
      <c r="HMB134" s="271"/>
      <c r="HMC134" s="271"/>
      <c r="HMD134" s="221"/>
      <c r="HME134" s="221"/>
      <c r="HMF134" s="221"/>
      <c r="HMG134" s="258"/>
      <c r="HMH134" s="270"/>
      <c r="HMI134" s="271"/>
      <c r="HMJ134" s="271"/>
      <c r="HMK134" s="271"/>
      <c r="HML134" s="221"/>
      <c r="HMM134" s="221"/>
      <c r="HMN134" s="221"/>
      <c r="HMO134" s="258"/>
      <c r="HMP134" s="270"/>
      <c r="HMQ134" s="271"/>
      <c r="HMR134" s="271"/>
      <c r="HMS134" s="271"/>
      <c r="HMT134" s="221"/>
      <c r="HMU134" s="221"/>
      <c r="HMV134" s="221"/>
      <c r="HMW134" s="258"/>
      <c r="HMX134" s="270"/>
      <c r="HMY134" s="271"/>
      <c r="HMZ134" s="271"/>
      <c r="HNA134" s="271"/>
      <c r="HNB134" s="221"/>
      <c r="HNC134" s="221"/>
      <c r="HND134" s="221"/>
      <c r="HNE134" s="258"/>
      <c r="HNF134" s="270"/>
      <c r="HNG134" s="271"/>
      <c r="HNH134" s="271"/>
      <c r="HNI134" s="271"/>
      <c r="HNJ134" s="221"/>
      <c r="HNK134" s="221"/>
      <c r="HNL134" s="221"/>
      <c r="HNM134" s="258"/>
      <c r="HNN134" s="270"/>
      <c r="HNO134" s="271"/>
      <c r="HNP134" s="271"/>
      <c r="HNQ134" s="271"/>
      <c r="HNR134" s="221"/>
      <c r="HNS134" s="221"/>
      <c r="HNT134" s="221"/>
      <c r="HNU134" s="258"/>
      <c r="HNV134" s="270"/>
      <c r="HNW134" s="271"/>
      <c r="HNX134" s="271"/>
      <c r="HNY134" s="271"/>
      <c r="HNZ134" s="221"/>
      <c r="HOA134" s="221"/>
      <c r="HOB134" s="221"/>
      <c r="HOC134" s="258"/>
      <c r="HOD134" s="270"/>
      <c r="HOE134" s="271"/>
      <c r="HOF134" s="271"/>
      <c r="HOG134" s="271"/>
      <c r="HOH134" s="221"/>
      <c r="HOI134" s="221"/>
      <c r="HOJ134" s="221"/>
      <c r="HOK134" s="258"/>
      <c r="HOL134" s="270"/>
      <c r="HOM134" s="271"/>
      <c r="HON134" s="271"/>
      <c r="HOO134" s="271"/>
      <c r="HOP134" s="221"/>
      <c r="HOQ134" s="221"/>
      <c r="HOR134" s="221"/>
      <c r="HOS134" s="258"/>
      <c r="HOT134" s="270"/>
      <c r="HOU134" s="271"/>
      <c r="HOV134" s="271"/>
      <c r="HOW134" s="271"/>
      <c r="HOX134" s="221"/>
      <c r="HOY134" s="221"/>
      <c r="HOZ134" s="221"/>
      <c r="HPA134" s="258"/>
      <c r="HPB134" s="270"/>
      <c r="HPC134" s="271"/>
      <c r="HPD134" s="271"/>
      <c r="HPE134" s="271"/>
      <c r="HPF134" s="221"/>
      <c r="HPG134" s="221"/>
      <c r="HPH134" s="221"/>
      <c r="HPI134" s="258"/>
      <c r="HPJ134" s="270"/>
      <c r="HPK134" s="271"/>
      <c r="HPL134" s="271"/>
      <c r="HPM134" s="271"/>
      <c r="HPN134" s="221"/>
      <c r="HPO134" s="221"/>
      <c r="HPP134" s="221"/>
      <c r="HPQ134" s="258"/>
      <c r="HPR134" s="270"/>
      <c r="HPS134" s="271"/>
      <c r="HPT134" s="271"/>
      <c r="HPU134" s="271"/>
      <c r="HPV134" s="221"/>
      <c r="HPW134" s="221"/>
      <c r="HPX134" s="221"/>
      <c r="HPY134" s="258"/>
      <c r="HPZ134" s="270"/>
      <c r="HQA134" s="271"/>
      <c r="HQB134" s="271"/>
      <c r="HQC134" s="271"/>
      <c r="HQD134" s="221"/>
      <c r="HQE134" s="221"/>
      <c r="HQF134" s="221"/>
      <c r="HQG134" s="258"/>
      <c r="HQH134" s="270"/>
      <c r="HQI134" s="271"/>
      <c r="HQJ134" s="271"/>
      <c r="HQK134" s="271"/>
      <c r="HQL134" s="221"/>
      <c r="HQM134" s="221"/>
      <c r="HQN134" s="221"/>
      <c r="HQO134" s="258"/>
      <c r="HQP134" s="270"/>
      <c r="HQQ134" s="271"/>
      <c r="HQR134" s="271"/>
      <c r="HQS134" s="271"/>
      <c r="HQT134" s="221"/>
      <c r="HQU134" s="221"/>
      <c r="HQV134" s="221"/>
      <c r="HQW134" s="258"/>
      <c r="HQX134" s="270"/>
      <c r="HQY134" s="271"/>
      <c r="HQZ134" s="271"/>
      <c r="HRA134" s="271"/>
      <c r="HRB134" s="221"/>
      <c r="HRC134" s="221"/>
      <c r="HRD134" s="221"/>
      <c r="HRE134" s="258"/>
      <c r="HRF134" s="270"/>
      <c r="HRG134" s="271"/>
      <c r="HRH134" s="271"/>
      <c r="HRI134" s="271"/>
      <c r="HRJ134" s="221"/>
      <c r="HRK134" s="221"/>
      <c r="HRL134" s="221"/>
      <c r="HRM134" s="258"/>
      <c r="HRN134" s="270"/>
      <c r="HRO134" s="271"/>
      <c r="HRP134" s="271"/>
      <c r="HRQ134" s="271"/>
      <c r="HRR134" s="221"/>
      <c r="HRS134" s="221"/>
      <c r="HRT134" s="221"/>
      <c r="HRU134" s="258"/>
      <c r="HRV134" s="270"/>
      <c r="HRW134" s="271"/>
      <c r="HRX134" s="271"/>
      <c r="HRY134" s="271"/>
      <c r="HRZ134" s="221"/>
      <c r="HSA134" s="221"/>
      <c r="HSB134" s="221"/>
      <c r="HSC134" s="258"/>
      <c r="HSD134" s="270"/>
      <c r="HSE134" s="271"/>
      <c r="HSF134" s="271"/>
      <c r="HSG134" s="271"/>
      <c r="HSH134" s="221"/>
      <c r="HSI134" s="221"/>
      <c r="HSJ134" s="221"/>
      <c r="HSK134" s="258"/>
      <c r="HSL134" s="270"/>
      <c r="HSM134" s="271"/>
      <c r="HSN134" s="271"/>
      <c r="HSO134" s="271"/>
      <c r="HSP134" s="221"/>
      <c r="HSQ134" s="221"/>
      <c r="HSR134" s="221"/>
      <c r="HSS134" s="258"/>
      <c r="HST134" s="270"/>
      <c r="HSU134" s="271"/>
      <c r="HSV134" s="271"/>
      <c r="HSW134" s="271"/>
      <c r="HSX134" s="221"/>
      <c r="HSY134" s="221"/>
      <c r="HSZ134" s="221"/>
      <c r="HTA134" s="258"/>
      <c r="HTB134" s="270"/>
      <c r="HTC134" s="271"/>
      <c r="HTD134" s="271"/>
      <c r="HTE134" s="271"/>
      <c r="HTF134" s="221"/>
      <c r="HTG134" s="221"/>
      <c r="HTH134" s="221"/>
      <c r="HTI134" s="258"/>
      <c r="HTJ134" s="270"/>
      <c r="HTK134" s="271"/>
      <c r="HTL134" s="271"/>
      <c r="HTM134" s="271"/>
      <c r="HTN134" s="221"/>
      <c r="HTO134" s="221"/>
      <c r="HTP134" s="221"/>
      <c r="HTQ134" s="258"/>
      <c r="HTR134" s="270"/>
      <c r="HTS134" s="271"/>
      <c r="HTT134" s="271"/>
      <c r="HTU134" s="271"/>
      <c r="HTV134" s="221"/>
      <c r="HTW134" s="221"/>
      <c r="HTX134" s="221"/>
      <c r="HTY134" s="258"/>
      <c r="HTZ134" s="270"/>
      <c r="HUA134" s="271"/>
      <c r="HUB134" s="271"/>
      <c r="HUC134" s="271"/>
      <c r="HUD134" s="221"/>
      <c r="HUE134" s="221"/>
      <c r="HUF134" s="221"/>
      <c r="HUG134" s="258"/>
      <c r="HUH134" s="270"/>
      <c r="HUI134" s="271"/>
      <c r="HUJ134" s="271"/>
      <c r="HUK134" s="271"/>
      <c r="HUL134" s="221"/>
      <c r="HUM134" s="221"/>
      <c r="HUN134" s="221"/>
      <c r="HUO134" s="258"/>
      <c r="HUP134" s="270"/>
      <c r="HUQ134" s="271"/>
      <c r="HUR134" s="271"/>
      <c r="HUS134" s="271"/>
      <c r="HUT134" s="221"/>
      <c r="HUU134" s="221"/>
      <c r="HUV134" s="221"/>
      <c r="HUW134" s="258"/>
      <c r="HUX134" s="270"/>
      <c r="HUY134" s="271"/>
      <c r="HUZ134" s="271"/>
      <c r="HVA134" s="271"/>
      <c r="HVB134" s="221"/>
      <c r="HVC134" s="221"/>
      <c r="HVD134" s="221"/>
      <c r="HVE134" s="258"/>
      <c r="HVF134" s="270"/>
      <c r="HVG134" s="271"/>
      <c r="HVH134" s="271"/>
      <c r="HVI134" s="271"/>
      <c r="HVJ134" s="221"/>
      <c r="HVK134" s="221"/>
      <c r="HVL134" s="221"/>
      <c r="HVM134" s="258"/>
      <c r="HVN134" s="270"/>
      <c r="HVO134" s="271"/>
      <c r="HVP134" s="271"/>
      <c r="HVQ134" s="271"/>
      <c r="HVR134" s="221"/>
      <c r="HVS134" s="221"/>
      <c r="HVT134" s="221"/>
      <c r="HVU134" s="258"/>
      <c r="HVV134" s="270"/>
      <c r="HVW134" s="271"/>
      <c r="HVX134" s="271"/>
      <c r="HVY134" s="271"/>
      <c r="HVZ134" s="221"/>
      <c r="HWA134" s="221"/>
      <c r="HWB134" s="221"/>
      <c r="HWC134" s="258"/>
      <c r="HWD134" s="270"/>
      <c r="HWE134" s="271"/>
      <c r="HWF134" s="271"/>
      <c r="HWG134" s="271"/>
      <c r="HWH134" s="221"/>
      <c r="HWI134" s="221"/>
      <c r="HWJ134" s="221"/>
      <c r="HWK134" s="258"/>
      <c r="HWL134" s="270"/>
      <c r="HWM134" s="271"/>
      <c r="HWN134" s="271"/>
      <c r="HWO134" s="271"/>
      <c r="HWP134" s="221"/>
      <c r="HWQ134" s="221"/>
      <c r="HWR134" s="221"/>
      <c r="HWS134" s="258"/>
      <c r="HWT134" s="270"/>
      <c r="HWU134" s="271"/>
      <c r="HWV134" s="271"/>
      <c r="HWW134" s="271"/>
      <c r="HWX134" s="221"/>
      <c r="HWY134" s="221"/>
      <c r="HWZ134" s="221"/>
      <c r="HXA134" s="258"/>
      <c r="HXB134" s="270"/>
      <c r="HXC134" s="271"/>
      <c r="HXD134" s="271"/>
      <c r="HXE134" s="271"/>
      <c r="HXF134" s="221"/>
      <c r="HXG134" s="221"/>
      <c r="HXH134" s="221"/>
      <c r="HXI134" s="258"/>
      <c r="HXJ134" s="270"/>
      <c r="HXK134" s="271"/>
      <c r="HXL134" s="271"/>
      <c r="HXM134" s="271"/>
      <c r="HXN134" s="221"/>
      <c r="HXO134" s="221"/>
      <c r="HXP134" s="221"/>
      <c r="HXQ134" s="258"/>
      <c r="HXR134" s="270"/>
      <c r="HXS134" s="271"/>
      <c r="HXT134" s="271"/>
      <c r="HXU134" s="271"/>
      <c r="HXV134" s="221"/>
      <c r="HXW134" s="221"/>
      <c r="HXX134" s="221"/>
      <c r="HXY134" s="258"/>
      <c r="HXZ134" s="270"/>
      <c r="HYA134" s="271"/>
      <c r="HYB134" s="271"/>
      <c r="HYC134" s="271"/>
      <c r="HYD134" s="221"/>
      <c r="HYE134" s="221"/>
      <c r="HYF134" s="221"/>
      <c r="HYG134" s="258"/>
      <c r="HYH134" s="270"/>
      <c r="HYI134" s="271"/>
      <c r="HYJ134" s="271"/>
      <c r="HYK134" s="271"/>
      <c r="HYL134" s="221"/>
      <c r="HYM134" s="221"/>
      <c r="HYN134" s="221"/>
      <c r="HYO134" s="258"/>
      <c r="HYP134" s="270"/>
      <c r="HYQ134" s="271"/>
      <c r="HYR134" s="271"/>
      <c r="HYS134" s="271"/>
      <c r="HYT134" s="221"/>
      <c r="HYU134" s="221"/>
      <c r="HYV134" s="221"/>
      <c r="HYW134" s="258"/>
      <c r="HYX134" s="270"/>
      <c r="HYY134" s="271"/>
      <c r="HYZ134" s="271"/>
      <c r="HZA134" s="271"/>
      <c r="HZB134" s="221"/>
      <c r="HZC134" s="221"/>
      <c r="HZD134" s="221"/>
      <c r="HZE134" s="258"/>
      <c r="HZF134" s="270"/>
      <c r="HZG134" s="271"/>
      <c r="HZH134" s="271"/>
      <c r="HZI134" s="271"/>
      <c r="HZJ134" s="221"/>
      <c r="HZK134" s="221"/>
      <c r="HZL134" s="221"/>
      <c r="HZM134" s="258"/>
      <c r="HZN134" s="270"/>
      <c r="HZO134" s="271"/>
      <c r="HZP134" s="271"/>
      <c r="HZQ134" s="271"/>
      <c r="HZR134" s="221"/>
      <c r="HZS134" s="221"/>
      <c r="HZT134" s="221"/>
      <c r="HZU134" s="258"/>
      <c r="HZV134" s="270"/>
      <c r="HZW134" s="271"/>
      <c r="HZX134" s="271"/>
      <c r="HZY134" s="271"/>
      <c r="HZZ134" s="221"/>
      <c r="IAA134" s="221"/>
      <c r="IAB134" s="221"/>
      <c r="IAC134" s="258"/>
      <c r="IAD134" s="270"/>
      <c r="IAE134" s="271"/>
      <c r="IAF134" s="271"/>
      <c r="IAG134" s="271"/>
      <c r="IAH134" s="221"/>
      <c r="IAI134" s="221"/>
      <c r="IAJ134" s="221"/>
      <c r="IAK134" s="258"/>
      <c r="IAL134" s="270"/>
      <c r="IAM134" s="271"/>
      <c r="IAN134" s="271"/>
      <c r="IAO134" s="271"/>
      <c r="IAP134" s="221"/>
      <c r="IAQ134" s="221"/>
      <c r="IAR134" s="221"/>
      <c r="IAS134" s="258"/>
      <c r="IAT134" s="270"/>
      <c r="IAU134" s="271"/>
      <c r="IAV134" s="271"/>
      <c r="IAW134" s="271"/>
      <c r="IAX134" s="221"/>
      <c r="IAY134" s="221"/>
      <c r="IAZ134" s="221"/>
      <c r="IBA134" s="258"/>
      <c r="IBB134" s="270"/>
      <c r="IBC134" s="271"/>
      <c r="IBD134" s="271"/>
      <c r="IBE134" s="271"/>
      <c r="IBF134" s="221"/>
      <c r="IBG134" s="221"/>
      <c r="IBH134" s="221"/>
      <c r="IBI134" s="258"/>
      <c r="IBJ134" s="270"/>
      <c r="IBK134" s="271"/>
      <c r="IBL134" s="271"/>
      <c r="IBM134" s="271"/>
      <c r="IBN134" s="221"/>
      <c r="IBO134" s="221"/>
      <c r="IBP134" s="221"/>
      <c r="IBQ134" s="258"/>
      <c r="IBR134" s="270"/>
      <c r="IBS134" s="271"/>
      <c r="IBT134" s="271"/>
      <c r="IBU134" s="271"/>
      <c r="IBV134" s="221"/>
      <c r="IBW134" s="221"/>
      <c r="IBX134" s="221"/>
      <c r="IBY134" s="258"/>
      <c r="IBZ134" s="270"/>
      <c r="ICA134" s="271"/>
      <c r="ICB134" s="271"/>
      <c r="ICC134" s="271"/>
      <c r="ICD134" s="221"/>
      <c r="ICE134" s="221"/>
      <c r="ICF134" s="221"/>
      <c r="ICG134" s="258"/>
      <c r="ICH134" s="270"/>
      <c r="ICI134" s="271"/>
      <c r="ICJ134" s="271"/>
      <c r="ICK134" s="271"/>
      <c r="ICL134" s="221"/>
      <c r="ICM134" s="221"/>
      <c r="ICN134" s="221"/>
      <c r="ICO134" s="258"/>
      <c r="ICP134" s="270"/>
      <c r="ICQ134" s="271"/>
      <c r="ICR134" s="271"/>
      <c r="ICS134" s="271"/>
      <c r="ICT134" s="221"/>
      <c r="ICU134" s="221"/>
      <c r="ICV134" s="221"/>
      <c r="ICW134" s="258"/>
      <c r="ICX134" s="270"/>
      <c r="ICY134" s="271"/>
      <c r="ICZ134" s="271"/>
      <c r="IDA134" s="271"/>
      <c r="IDB134" s="221"/>
      <c r="IDC134" s="221"/>
      <c r="IDD134" s="221"/>
      <c r="IDE134" s="258"/>
      <c r="IDF134" s="270"/>
      <c r="IDG134" s="271"/>
      <c r="IDH134" s="271"/>
      <c r="IDI134" s="271"/>
      <c r="IDJ134" s="221"/>
      <c r="IDK134" s="221"/>
      <c r="IDL134" s="221"/>
      <c r="IDM134" s="258"/>
      <c r="IDN134" s="270"/>
      <c r="IDO134" s="271"/>
      <c r="IDP134" s="271"/>
      <c r="IDQ134" s="271"/>
      <c r="IDR134" s="221"/>
      <c r="IDS134" s="221"/>
      <c r="IDT134" s="221"/>
      <c r="IDU134" s="258"/>
      <c r="IDV134" s="270"/>
      <c r="IDW134" s="271"/>
      <c r="IDX134" s="271"/>
      <c r="IDY134" s="271"/>
      <c r="IDZ134" s="221"/>
      <c r="IEA134" s="221"/>
      <c r="IEB134" s="221"/>
      <c r="IEC134" s="258"/>
      <c r="IED134" s="270"/>
      <c r="IEE134" s="271"/>
      <c r="IEF134" s="271"/>
      <c r="IEG134" s="271"/>
      <c r="IEH134" s="221"/>
      <c r="IEI134" s="221"/>
      <c r="IEJ134" s="221"/>
      <c r="IEK134" s="258"/>
      <c r="IEL134" s="270"/>
      <c r="IEM134" s="271"/>
      <c r="IEN134" s="271"/>
      <c r="IEO134" s="271"/>
      <c r="IEP134" s="221"/>
      <c r="IEQ134" s="221"/>
      <c r="IER134" s="221"/>
      <c r="IES134" s="258"/>
      <c r="IET134" s="270"/>
      <c r="IEU134" s="271"/>
      <c r="IEV134" s="271"/>
      <c r="IEW134" s="271"/>
      <c r="IEX134" s="221"/>
      <c r="IEY134" s="221"/>
      <c r="IEZ134" s="221"/>
      <c r="IFA134" s="258"/>
      <c r="IFB134" s="270"/>
      <c r="IFC134" s="271"/>
      <c r="IFD134" s="271"/>
      <c r="IFE134" s="271"/>
      <c r="IFF134" s="221"/>
      <c r="IFG134" s="221"/>
      <c r="IFH134" s="221"/>
      <c r="IFI134" s="258"/>
      <c r="IFJ134" s="270"/>
      <c r="IFK134" s="271"/>
      <c r="IFL134" s="271"/>
      <c r="IFM134" s="271"/>
      <c r="IFN134" s="221"/>
      <c r="IFO134" s="221"/>
      <c r="IFP134" s="221"/>
      <c r="IFQ134" s="258"/>
      <c r="IFR134" s="270"/>
      <c r="IFS134" s="271"/>
      <c r="IFT134" s="271"/>
      <c r="IFU134" s="271"/>
      <c r="IFV134" s="221"/>
      <c r="IFW134" s="221"/>
      <c r="IFX134" s="221"/>
      <c r="IFY134" s="258"/>
      <c r="IFZ134" s="270"/>
      <c r="IGA134" s="271"/>
      <c r="IGB134" s="271"/>
      <c r="IGC134" s="271"/>
      <c r="IGD134" s="221"/>
      <c r="IGE134" s="221"/>
      <c r="IGF134" s="221"/>
      <c r="IGG134" s="258"/>
      <c r="IGH134" s="270"/>
      <c r="IGI134" s="271"/>
      <c r="IGJ134" s="271"/>
      <c r="IGK134" s="271"/>
      <c r="IGL134" s="221"/>
      <c r="IGM134" s="221"/>
      <c r="IGN134" s="221"/>
      <c r="IGO134" s="258"/>
      <c r="IGP134" s="270"/>
      <c r="IGQ134" s="271"/>
      <c r="IGR134" s="271"/>
      <c r="IGS134" s="271"/>
      <c r="IGT134" s="221"/>
      <c r="IGU134" s="221"/>
      <c r="IGV134" s="221"/>
      <c r="IGW134" s="258"/>
      <c r="IGX134" s="270"/>
      <c r="IGY134" s="271"/>
      <c r="IGZ134" s="271"/>
      <c r="IHA134" s="271"/>
      <c r="IHB134" s="221"/>
      <c r="IHC134" s="221"/>
      <c r="IHD134" s="221"/>
      <c r="IHE134" s="258"/>
      <c r="IHF134" s="270"/>
      <c r="IHG134" s="271"/>
      <c r="IHH134" s="271"/>
      <c r="IHI134" s="271"/>
      <c r="IHJ134" s="221"/>
      <c r="IHK134" s="221"/>
      <c r="IHL134" s="221"/>
      <c r="IHM134" s="258"/>
      <c r="IHN134" s="270"/>
      <c r="IHO134" s="271"/>
      <c r="IHP134" s="271"/>
      <c r="IHQ134" s="271"/>
      <c r="IHR134" s="221"/>
      <c r="IHS134" s="221"/>
      <c r="IHT134" s="221"/>
      <c r="IHU134" s="258"/>
      <c r="IHV134" s="270"/>
      <c r="IHW134" s="271"/>
      <c r="IHX134" s="271"/>
      <c r="IHY134" s="271"/>
      <c r="IHZ134" s="221"/>
      <c r="IIA134" s="221"/>
      <c r="IIB134" s="221"/>
      <c r="IIC134" s="258"/>
      <c r="IID134" s="270"/>
      <c r="IIE134" s="271"/>
      <c r="IIF134" s="271"/>
      <c r="IIG134" s="271"/>
      <c r="IIH134" s="221"/>
      <c r="III134" s="221"/>
      <c r="IIJ134" s="221"/>
      <c r="IIK134" s="258"/>
      <c r="IIL134" s="270"/>
      <c r="IIM134" s="271"/>
      <c r="IIN134" s="271"/>
      <c r="IIO134" s="271"/>
      <c r="IIP134" s="221"/>
      <c r="IIQ134" s="221"/>
      <c r="IIR134" s="221"/>
      <c r="IIS134" s="258"/>
      <c r="IIT134" s="270"/>
      <c r="IIU134" s="271"/>
      <c r="IIV134" s="271"/>
      <c r="IIW134" s="271"/>
      <c r="IIX134" s="221"/>
      <c r="IIY134" s="221"/>
      <c r="IIZ134" s="221"/>
      <c r="IJA134" s="258"/>
      <c r="IJB134" s="270"/>
      <c r="IJC134" s="271"/>
      <c r="IJD134" s="271"/>
      <c r="IJE134" s="271"/>
      <c r="IJF134" s="221"/>
      <c r="IJG134" s="221"/>
      <c r="IJH134" s="221"/>
      <c r="IJI134" s="258"/>
      <c r="IJJ134" s="270"/>
      <c r="IJK134" s="271"/>
      <c r="IJL134" s="271"/>
      <c r="IJM134" s="271"/>
      <c r="IJN134" s="221"/>
      <c r="IJO134" s="221"/>
      <c r="IJP134" s="221"/>
      <c r="IJQ134" s="258"/>
      <c r="IJR134" s="270"/>
      <c r="IJS134" s="271"/>
      <c r="IJT134" s="271"/>
      <c r="IJU134" s="271"/>
      <c r="IJV134" s="221"/>
      <c r="IJW134" s="221"/>
      <c r="IJX134" s="221"/>
      <c r="IJY134" s="258"/>
      <c r="IJZ134" s="270"/>
      <c r="IKA134" s="271"/>
      <c r="IKB134" s="271"/>
      <c r="IKC134" s="271"/>
      <c r="IKD134" s="221"/>
      <c r="IKE134" s="221"/>
      <c r="IKF134" s="221"/>
      <c r="IKG134" s="258"/>
      <c r="IKH134" s="270"/>
      <c r="IKI134" s="271"/>
      <c r="IKJ134" s="271"/>
      <c r="IKK134" s="271"/>
      <c r="IKL134" s="221"/>
      <c r="IKM134" s="221"/>
      <c r="IKN134" s="221"/>
      <c r="IKO134" s="258"/>
      <c r="IKP134" s="270"/>
      <c r="IKQ134" s="271"/>
      <c r="IKR134" s="271"/>
      <c r="IKS134" s="271"/>
      <c r="IKT134" s="221"/>
      <c r="IKU134" s="221"/>
      <c r="IKV134" s="221"/>
      <c r="IKW134" s="258"/>
      <c r="IKX134" s="270"/>
      <c r="IKY134" s="271"/>
      <c r="IKZ134" s="271"/>
      <c r="ILA134" s="271"/>
      <c r="ILB134" s="221"/>
      <c r="ILC134" s="221"/>
      <c r="ILD134" s="221"/>
      <c r="ILE134" s="258"/>
      <c r="ILF134" s="270"/>
      <c r="ILG134" s="271"/>
      <c r="ILH134" s="271"/>
      <c r="ILI134" s="271"/>
      <c r="ILJ134" s="221"/>
      <c r="ILK134" s="221"/>
      <c r="ILL134" s="221"/>
      <c r="ILM134" s="258"/>
      <c r="ILN134" s="270"/>
      <c r="ILO134" s="271"/>
      <c r="ILP134" s="271"/>
      <c r="ILQ134" s="271"/>
      <c r="ILR134" s="221"/>
      <c r="ILS134" s="221"/>
      <c r="ILT134" s="221"/>
      <c r="ILU134" s="258"/>
      <c r="ILV134" s="270"/>
      <c r="ILW134" s="271"/>
      <c r="ILX134" s="271"/>
      <c r="ILY134" s="271"/>
      <c r="ILZ134" s="221"/>
      <c r="IMA134" s="221"/>
      <c r="IMB134" s="221"/>
      <c r="IMC134" s="258"/>
      <c r="IMD134" s="270"/>
      <c r="IME134" s="271"/>
      <c r="IMF134" s="271"/>
      <c r="IMG134" s="271"/>
      <c r="IMH134" s="221"/>
      <c r="IMI134" s="221"/>
      <c r="IMJ134" s="221"/>
      <c r="IMK134" s="258"/>
      <c r="IML134" s="270"/>
      <c r="IMM134" s="271"/>
      <c r="IMN134" s="271"/>
      <c r="IMO134" s="271"/>
      <c r="IMP134" s="221"/>
      <c r="IMQ134" s="221"/>
      <c r="IMR134" s="221"/>
      <c r="IMS134" s="258"/>
      <c r="IMT134" s="270"/>
      <c r="IMU134" s="271"/>
      <c r="IMV134" s="271"/>
      <c r="IMW134" s="271"/>
      <c r="IMX134" s="221"/>
      <c r="IMY134" s="221"/>
      <c r="IMZ134" s="221"/>
      <c r="INA134" s="258"/>
      <c r="INB134" s="270"/>
      <c r="INC134" s="271"/>
      <c r="IND134" s="271"/>
      <c r="INE134" s="271"/>
      <c r="INF134" s="221"/>
      <c r="ING134" s="221"/>
      <c r="INH134" s="221"/>
      <c r="INI134" s="258"/>
      <c r="INJ134" s="270"/>
      <c r="INK134" s="271"/>
      <c r="INL134" s="271"/>
      <c r="INM134" s="271"/>
      <c r="INN134" s="221"/>
      <c r="INO134" s="221"/>
      <c r="INP134" s="221"/>
      <c r="INQ134" s="258"/>
      <c r="INR134" s="270"/>
      <c r="INS134" s="271"/>
      <c r="INT134" s="271"/>
      <c r="INU134" s="271"/>
      <c r="INV134" s="221"/>
      <c r="INW134" s="221"/>
      <c r="INX134" s="221"/>
      <c r="INY134" s="258"/>
      <c r="INZ134" s="270"/>
      <c r="IOA134" s="271"/>
      <c r="IOB134" s="271"/>
      <c r="IOC134" s="271"/>
      <c r="IOD134" s="221"/>
      <c r="IOE134" s="221"/>
      <c r="IOF134" s="221"/>
      <c r="IOG134" s="258"/>
      <c r="IOH134" s="270"/>
      <c r="IOI134" s="271"/>
      <c r="IOJ134" s="271"/>
      <c r="IOK134" s="271"/>
      <c r="IOL134" s="221"/>
      <c r="IOM134" s="221"/>
      <c r="ION134" s="221"/>
      <c r="IOO134" s="258"/>
      <c r="IOP134" s="270"/>
      <c r="IOQ134" s="271"/>
      <c r="IOR134" s="271"/>
      <c r="IOS134" s="271"/>
      <c r="IOT134" s="221"/>
      <c r="IOU134" s="221"/>
      <c r="IOV134" s="221"/>
      <c r="IOW134" s="258"/>
      <c r="IOX134" s="270"/>
      <c r="IOY134" s="271"/>
      <c r="IOZ134" s="271"/>
      <c r="IPA134" s="271"/>
      <c r="IPB134" s="221"/>
      <c r="IPC134" s="221"/>
      <c r="IPD134" s="221"/>
      <c r="IPE134" s="258"/>
      <c r="IPF134" s="270"/>
      <c r="IPG134" s="271"/>
      <c r="IPH134" s="271"/>
      <c r="IPI134" s="271"/>
      <c r="IPJ134" s="221"/>
      <c r="IPK134" s="221"/>
      <c r="IPL134" s="221"/>
      <c r="IPM134" s="258"/>
      <c r="IPN134" s="270"/>
      <c r="IPO134" s="271"/>
      <c r="IPP134" s="271"/>
      <c r="IPQ134" s="271"/>
      <c r="IPR134" s="221"/>
      <c r="IPS134" s="221"/>
      <c r="IPT134" s="221"/>
      <c r="IPU134" s="258"/>
      <c r="IPV134" s="270"/>
      <c r="IPW134" s="271"/>
      <c r="IPX134" s="271"/>
      <c r="IPY134" s="271"/>
      <c r="IPZ134" s="221"/>
      <c r="IQA134" s="221"/>
      <c r="IQB134" s="221"/>
      <c r="IQC134" s="258"/>
      <c r="IQD134" s="270"/>
      <c r="IQE134" s="271"/>
      <c r="IQF134" s="271"/>
      <c r="IQG134" s="271"/>
      <c r="IQH134" s="221"/>
      <c r="IQI134" s="221"/>
      <c r="IQJ134" s="221"/>
      <c r="IQK134" s="258"/>
      <c r="IQL134" s="270"/>
      <c r="IQM134" s="271"/>
      <c r="IQN134" s="271"/>
      <c r="IQO134" s="271"/>
      <c r="IQP134" s="221"/>
      <c r="IQQ134" s="221"/>
      <c r="IQR134" s="221"/>
      <c r="IQS134" s="258"/>
      <c r="IQT134" s="270"/>
      <c r="IQU134" s="271"/>
      <c r="IQV134" s="271"/>
      <c r="IQW134" s="271"/>
      <c r="IQX134" s="221"/>
      <c r="IQY134" s="221"/>
      <c r="IQZ134" s="221"/>
      <c r="IRA134" s="258"/>
      <c r="IRB134" s="270"/>
      <c r="IRC134" s="271"/>
      <c r="IRD134" s="271"/>
      <c r="IRE134" s="271"/>
      <c r="IRF134" s="221"/>
      <c r="IRG134" s="221"/>
      <c r="IRH134" s="221"/>
      <c r="IRI134" s="258"/>
      <c r="IRJ134" s="270"/>
      <c r="IRK134" s="271"/>
      <c r="IRL134" s="271"/>
      <c r="IRM134" s="271"/>
      <c r="IRN134" s="221"/>
      <c r="IRO134" s="221"/>
      <c r="IRP134" s="221"/>
      <c r="IRQ134" s="258"/>
      <c r="IRR134" s="270"/>
      <c r="IRS134" s="271"/>
      <c r="IRT134" s="271"/>
      <c r="IRU134" s="271"/>
      <c r="IRV134" s="221"/>
      <c r="IRW134" s="221"/>
      <c r="IRX134" s="221"/>
      <c r="IRY134" s="258"/>
      <c r="IRZ134" s="270"/>
      <c r="ISA134" s="271"/>
      <c r="ISB134" s="271"/>
      <c r="ISC134" s="271"/>
      <c r="ISD134" s="221"/>
      <c r="ISE134" s="221"/>
      <c r="ISF134" s="221"/>
      <c r="ISG134" s="258"/>
      <c r="ISH134" s="270"/>
      <c r="ISI134" s="271"/>
      <c r="ISJ134" s="271"/>
      <c r="ISK134" s="271"/>
      <c r="ISL134" s="221"/>
      <c r="ISM134" s="221"/>
      <c r="ISN134" s="221"/>
      <c r="ISO134" s="258"/>
      <c r="ISP134" s="270"/>
      <c r="ISQ134" s="271"/>
      <c r="ISR134" s="271"/>
      <c r="ISS134" s="271"/>
      <c r="IST134" s="221"/>
      <c r="ISU134" s="221"/>
      <c r="ISV134" s="221"/>
      <c r="ISW134" s="258"/>
      <c r="ISX134" s="270"/>
      <c r="ISY134" s="271"/>
      <c r="ISZ134" s="271"/>
      <c r="ITA134" s="271"/>
      <c r="ITB134" s="221"/>
      <c r="ITC134" s="221"/>
      <c r="ITD134" s="221"/>
      <c r="ITE134" s="258"/>
      <c r="ITF134" s="270"/>
      <c r="ITG134" s="271"/>
      <c r="ITH134" s="271"/>
      <c r="ITI134" s="271"/>
      <c r="ITJ134" s="221"/>
      <c r="ITK134" s="221"/>
      <c r="ITL134" s="221"/>
      <c r="ITM134" s="258"/>
      <c r="ITN134" s="270"/>
      <c r="ITO134" s="271"/>
      <c r="ITP134" s="271"/>
      <c r="ITQ134" s="271"/>
      <c r="ITR134" s="221"/>
      <c r="ITS134" s="221"/>
      <c r="ITT134" s="221"/>
      <c r="ITU134" s="258"/>
      <c r="ITV134" s="270"/>
      <c r="ITW134" s="271"/>
      <c r="ITX134" s="271"/>
      <c r="ITY134" s="271"/>
      <c r="ITZ134" s="221"/>
      <c r="IUA134" s="221"/>
      <c r="IUB134" s="221"/>
      <c r="IUC134" s="258"/>
      <c r="IUD134" s="270"/>
      <c r="IUE134" s="271"/>
      <c r="IUF134" s="271"/>
      <c r="IUG134" s="271"/>
      <c r="IUH134" s="221"/>
      <c r="IUI134" s="221"/>
      <c r="IUJ134" s="221"/>
      <c r="IUK134" s="258"/>
      <c r="IUL134" s="270"/>
      <c r="IUM134" s="271"/>
      <c r="IUN134" s="271"/>
      <c r="IUO134" s="271"/>
      <c r="IUP134" s="221"/>
      <c r="IUQ134" s="221"/>
      <c r="IUR134" s="221"/>
      <c r="IUS134" s="258"/>
      <c r="IUT134" s="270"/>
      <c r="IUU134" s="271"/>
      <c r="IUV134" s="271"/>
      <c r="IUW134" s="271"/>
      <c r="IUX134" s="221"/>
      <c r="IUY134" s="221"/>
      <c r="IUZ134" s="221"/>
      <c r="IVA134" s="258"/>
      <c r="IVB134" s="270"/>
      <c r="IVC134" s="271"/>
      <c r="IVD134" s="271"/>
      <c r="IVE134" s="271"/>
      <c r="IVF134" s="221"/>
      <c r="IVG134" s="221"/>
      <c r="IVH134" s="221"/>
      <c r="IVI134" s="258"/>
      <c r="IVJ134" s="270"/>
      <c r="IVK134" s="271"/>
      <c r="IVL134" s="271"/>
      <c r="IVM134" s="271"/>
      <c r="IVN134" s="221"/>
      <c r="IVO134" s="221"/>
      <c r="IVP134" s="221"/>
      <c r="IVQ134" s="258"/>
      <c r="IVR134" s="270"/>
      <c r="IVS134" s="271"/>
      <c r="IVT134" s="271"/>
      <c r="IVU134" s="271"/>
      <c r="IVV134" s="221"/>
      <c r="IVW134" s="221"/>
      <c r="IVX134" s="221"/>
      <c r="IVY134" s="258"/>
      <c r="IVZ134" s="270"/>
      <c r="IWA134" s="271"/>
      <c r="IWB134" s="271"/>
      <c r="IWC134" s="271"/>
      <c r="IWD134" s="221"/>
      <c r="IWE134" s="221"/>
      <c r="IWF134" s="221"/>
      <c r="IWG134" s="258"/>
      <c r="IWH134" s="270"/>
      <c r="IWI134" s="271"/>
      <c r="IWJ134" s="271"/>
      <c r="IWK134" s="271"/>
      <c r="IWL134" s="221"/>
      <c r="IWM134" s="221"/>
      <c r="IWN134" s="221"/>
      <c r="IWO134" s="258"/>
      <c r="IWP134" s="270"/>
      <c r="IWQ134" s="271"/>
      <c r="IWR134" s="271"/>
      <c r="IWS134" s="271"/>
      <c r="IWT134" s="221"/>
      <c r="IWU134" s="221"/>
      <c r="IWV134" s="221"/>
      <c r="IWW134" s="258"/>
      <c r="IWX134" s="270"/>
      <c r="IWY134" s="271"/>
      <c r="IWZ134" s="271"/>
      <c r="IXA134" s="271"/>
      <c r="IXB134" s="221"/>
      <c r="IXC134" s="221"/>
      <c r="IXD134" s="221"/>
      <c r="IXE134" s="258"/>
      <c r="IXF134" s="270"/>
      <c r="IXG134" s="271"/>
      <c r="IXH134" s="271"/>
      <c r="IXI134" s="271"/>
      <c r="IXJ134" s="221"/>
      <c r="IXK134" s="221"/>
      <c r="IXL134" s="221"/>
      <c r="IXM134" s="258"/>
      <c r="IXN134" s="270"/>
      <c r="IXO134" s="271"/>
      <c r="IXP134" s="271"/>
      <c r="IXQ134" s="271"/>
      <c r="IXR134" s="221"/>
      <c r="IXS134" s="221"/>
      <c r="IXT134" s="221"/>
      <c r="IXU134" s="258"/>
      <c r="IXV134" s="270"/>
      <c r="IXW134" s="271"/>
      <c r="IXX134" s="271"/>
      <c r="IXY134" s="271"/>
      <c r="IXZ134" s="221"/>
      <c r="IYA134" s="221"/>
      <c r="IYB134" s="221"/>
      <c r="IYC134" s="258"/>
      <c r="IYD134" s="270"/>
      <c r="IYE134" s="271"/>
      <c r="IYF134" s="271"/>
      <c r="IYG134" s="271"/>
      <c r="IYH134" s="221"/>
      <c r="IYI134" s="221"/>
      <c r="IYJ134" s="221"/>
      <c r="IYK134" s="258"/>
      <c r="IYL134" s="270"/>
      <c r="IYM134" s="271"/>
      <c r="IYN134" s="271"/>
      <c r="IYO134" s="271"/>
      <c r="IYP134" s="221"/>
      <c r="IYQ134" s="221"/>
      <c r="IYR134" s="221"/>
      <c r="IYS134" s="258"/>
      <c r="IYT134" s="270"/>
      <c r="IYU134" s="271"/>
      <c r="IYV134" s="271"/>
      <c r="IYW134" s="271"/>
      <c r="IYX134" s="221"/>
      <c r="IYY134" s="221"/>
      <c r="IYZ134" s="221"/>
      <c r="IZA134" s="258"/>
      <c r="IZB134" s="270"/>
      <c r="IZC134" s="271"/>
      <c r="IZD134" s="271"/>
      <c r="IZE134" s="271"/>
      <c r="IZF134" s="221"/>
      <c r="IZG134" s="221"/>
      <c r="IZH134" s="221"/>
      <c r="IZI134" s="258"/>
      <c r="IZJ134" s="270"/>
      <c r="IZK134" s="271"/>
      <c r="IZL134" s="271"/>
      <c r="IZM134" s="271"/>
      <c r="IZN134" s="221"/>
      <c r="IZO134" s="221"/>
      <c r="IZP134" s="221"/>
      <c r="IZQ134" s="258"/>
      <c r="IZR134" s="270"/>
      <c r="IZS134" s="271"/>
      <c r="IZT134" s="271"/>
      <c r="IZU134" s="271"/>
      <c r="IZV134" s="221"/>
      <c r="IZW134" s="221"/>
      <c r="IZX134" s="221"/>
      <c r="IZY134" s="258"/>
      <c r="IZZ134" s="270"/>
      <c r="JAA134" s="271"/>
      <c r="JAB134" s="271"/>
      <c r="JAC134" s="271"/>
      <c r="JAD134" s="221"/>
      <c r="JAE134" s="221"/>
      <c r="JAF134" s="221"/>
      <c r="JAG134" s="258"/>
      <c r="JAH134" s="270"/>
      <c r="JAI134" s="271"/>
      <c r="JAJ134" s="271"/>
      <c r="JAK134" s="271"/>
      <c r="JAL134" s="221"/>
      <c r="JAM134" s="221"/>
      <c r="JAN134" s="221"/>
      <c r="JAO134" s="258"/>
      <c r="JAP134" s="270"/>
      <c r="JAQ134" s="271"/>
      <c r="JAR134" s="271"/>
      <c r="JAS134" s="271"/>
      <c r="JAT134" s="221"/>
      <c r="JAU134" s="221"/>
      <c r="JAV134" s="221"/>
      <c r="JAW134" s="258"/>
      <c r="JAX134" s="270"/>
      <c r="JAY134" s="271"/>
      <c r="JAZ134" s="271"/>
      <c r="JBA134" s="271"/>
      <c r="JBB134" s="221"/>
      <c r="JBC134" s="221"/>
      <c r="JBD134" s="221"/>
      <c r="JBE134" s="258"/>
      <c r="JBF134" s="270"/>
      <c r="JBG134" s="271"/>
      <c r="JBH134" s="271"/>
      <c r="JBI134" s="271"/>
      <c r="JBJ134" s="221"/>
      <c r="JBK134" s="221"/>
      <c r="JBL134" s="221"/>
      <c r="JBM134" s="258"/>
      <c r="JBN134" s="270"/>
      <c r="JBO134" s="271"/>
      <c r="JBP134" s="271"/>
      <c r="JBQ134" s="271"/>
      <c r="JBR134" s="221"/>
      <c r="JBS134" s="221"/>
      <c r="JBT134" s="221"/>
      <c r="JBU134" s="258"/>
      <c r="JBV134" s="270"/>
      <c r="JBW134" s="271"/>
      <c r="JBX134" s="271"/>
      <c r="JBY134" s="271"/>
      <c r="JBZ134" s="221"/>
      <c r="JCA134" s="221"/>
      <c r="JCB134" s="221"/>
      <c r="JCC134" s="258"/>
      <c r="JCD134" s="270"/>
      <c r="JCE134" s="271"/>
      <c r="JCF134" s="271"/>
      <c r="JCG134" s="271"/>
      <c r="JCH134" s="221"/>
      <c r="JCI134" s="221"/>
      <c r="JCJ134" s="221"/>
      <c r="JCK134" s="258"/>
      <c r="JCL134" s="270"/>
      <c r="JCM134" s="271"/>
      <c r="JCN134" s="271"/>
      <c r="JCO134" s="271"/>
      <c r="JCP134" s="221"/>
      <c r="JCQ134" s="221"/>
      <c r="JCR134" s="221"/>
      <c r="JCS134" s="258"/>
      <c r="JCT134" s="270"/>
      <c r="JCU134" s="271"/>
      <c r="JCV134" s="271"/>
      <c r="JCW134" s="271"/>
      <c r="JCX134" s="221"/>
      <c r="JCY134" s="221"/>
      <c r="JCZ134" s="221"/>
      <c r="JDA134" s="258"/>
      <c r="JDB134" s="270"/>
      <c r="JDC134" s="271"/>
      <c r="JDD134" s="271"/>
      <c r="JDE134" s="271"/>
      <c r="JDF134" s="221"/>
      <c r="JDG134" s="221"/>
      <c r="JDH134" s="221"/>
      <c r="JDI134" s="258"/>
      <c r="JDJ134" s="270"/>
      <c r="JDK134" s="271"/>
      <c r="JDL134" s="271"/>
      <c r="JDM134" s="271"/>
      <c r="JDN134" s="221"/>
      <c r="JDO134" s="221"/>
      <c r="JDP134" s="221"/>
      <c r="JDQ134" s="258"/>
      <c r="JDR134" s="270"/>
      <c r="JDS134" s="271"/>
      <c r="JDT134" s="271"/>
      <c r="JDU134" s="271"/>
      <c r="JDV134" s="221"/>
      <c r="JDW134" s="221"/>
      <c r="JDX134" s="221"/>
      <c r="JDY134" s="258"/>
      <c r="JDZ134" s="270"/>
      <c r="JEA134" s="271"/>
      <c r="JEB134" s="271"/>
      <c r="JEC134" s="271"/>
      <c r="JED134" s="221"/>
      <c r="JEE134" s="221"/>
      <c r="JEF134" s="221"/>
      <c r="JEG134" s="258"/>
      <c r="JEH134" s="270"/>
      <c r="JEI134" s="271"/>
      <c r="JEJ134" s="271"/>
      <c r="JEK134" s="271"/>
      <c r="JEL134" s="221"/>
      <c r="JEM134" s="221"/>
      <c r="JEN134" s="221"/>
      <c r="JEO134" s="258"/>
      <c r="JEP134" s="270"/>
      <c r="JEQ134" s="271"/>
      <c r="JER134" s="271"/>
      <c r="JES134" s="271"/>
      <c r="JET134" s="221"/>
      <c r="JEU134" s="221"/>
      <c r="JEV134" s="221"/>
      <c r="JEW134" s="258"/>
      <c r="JEX134" s="270"/>
      <c r="JEY134" s="271"/>
      <c r="JEZ134" s="271"/>
      <c r="JFA134" s="271"/>
      <c r="JFB134" s="221"/>
      <c r="JFC134" s="221"/>
      <c r="JFD134" s="221"/>
      <c r="JFE134" s="258"/>
      <c r="JFF134" s="270"/>
      <c r="JFG134" s="271"/>
      <c r="JFH134" s="271"/>
      <c r="JFI134" s="271"/>
      <c r="JFJ134" s="221"/>
      <c r="JFK134" s="221"/>
      <c r="JFL134" s="221"/>
      <c r="JFM134" s="258"/>
      <c r="JFN134" s="270"/>
      <c r="JFO134" s="271"/>
      <c r="JFP134" s="271"/>
      <c r="JFQ134" s="271"/>
      <c r="JFR134" s="221"/>
      <c r="JFS134" s="221"/>
      <c r="JFT134" s="221"/>
      <c r="JFU134" s="258"/>
      <c r="JFV134" s="270"/>
      <c r="JFW134" s="271"/>
      <c r="JFX134" s="271"/>
      <c r="JFY134" s="271"/>
      <c r="JFZ134" s="221"/>
      <c r="JGA134" s="221"/>
      <c r="JGB134" s="221"/>
      <c r="JGC134" s="258"/>
      <c r="JGD134" s="270"/>
      <c r="JGE134" s="271"/>
      <c r="JGF134" s="271"/>
      <c r="JGG134" s="271"/>
      <c r="JGH134" s="221"/>
      <c r="JGI134" s="221"/>
      <c r="JGJ134" s="221"/>
      <c r="JGK134" s="258"/>
      <c r="JGL134" s="270"/>
      <c r="JGM134" s="271"/>
      <c r="JGN134" s="271"/>
      <c r="JGO134" s="271"/>
      <c r="JGP134" s="221"/>
      <c r="JGQ134" s="221"/>
      <c r="JGR134" s="221"/>
      <c r="JGS134" s="258"/>
      <c r="JGT134" s="270"/>
      <c r="JGU134" s="271"/>
      <c r="JGV134" s="271"/>
      <c r="JGW134" s="271"/>
      <c r="JGX134" s="221"/>
      <c r="JGY134" s="221"/>
      <c r="JGZ134" s="221"/>
      <c r="JHA134" s="258"/>
      <c r="JHB134" s="270"/>
      <c r="JHC134" s="271"/>
      <c r="JHD134" s="271"/>
      <c r="JHE134" s="271"/>
      <c r="JHF134" s="221"/>
      <c r="JHG134" s="221"/>
      <c r="JHH134" s="221"/>
      <c r="JHI134" s="258"/>
      <c r="JHJ134" s="270"/>
      <c r="JHK134" s="271"/>
      <c r="JHL134" s="271"/>
      <c r="JHM134" s="271"/>
      <c r="JHN134" s="221"/>
      <c r="JHO134" s="221"/>
      <c r="JHP134" s="221"/>
      <c r="JHQ134" s="258"/>
      <c r="JHR134" s="270"/>
      <c r="JHS134" s="271"/>
      <c r="JHT134" s="271"/>
      <c r="JHU134" s="271"/>
      <c r="JHV134" s="221"/>
      <c r="JHW134" s="221"/>
      <c r="JHX134" s="221"/>
      <c r="JHY134" s="258"/>
      <c r="JHZ134" s="270"/>
      <c r="JIA134" s="271"/>
      <c r="JIB134" s="271"/>
      <c r="JIC134" s="271"/>
      <c r="JID134" s="221"/>
      <c r="JIE134" s="221"/>
      <c r="JIF134" s="221"/>
      <c r="JIG134" s="258"/>
      <c r="JIH134" s="270"/>
      <c r="JII134" s="271"/>
      <c r="JIJ134" s="271"/>
      <c r="JIK134" s="271"/>
      <c r="JIL134" s="221"/>
      <c r="JIM134" s="221"/>
      <c r="JIN134" s="221"/>
      <c r="JIO134" s="258"/>
      <c r="JIP134" s="270"/>
      <c r="JIQ134" s="271"/>
      <c r="JIR134" s="271"/>
      <c r="JIS134" s="271"/>
      <c r="JIT134" s="221"/>
      <c r="JIU134" s="221"/>
      <c r="JIV134" s="221"/>
      <c r="JIW134" s="258"/>
      <c r="JIX134" s="270"/>
      <c r="JIY134" s="271"/>
      <c r="JIZ134" s="271"/>
      <c r="JJA134" s="271"/>
      <c r="JJB134" s="221"/>
      <c r="JJC134" s="221"/>
      <c r="JJD134" s="221"/>
      <c r="JJE134" s="258"/>
      <c r="JJF134" s="270"/>
      <c r="JJG134" s="271"/>
      <c r="JJH134" s="271"/>
      <c r="JJI134" s="271"/>
      <c r="JJJ134" s="221"/>
      <c r="JJK134" s="221"/>
      <c r="JJL134" s="221"/>
      <c r="JJM134" s="258"/>
      <c r="JJN134" s="270"/>
      <c r="JJO134" s="271"/>
      <c r="JJP134" s="271"/>
      <c r="JJQ134" s="271"/>
      <c r="JJR134" s="221"/>
      <c r="JJS134" s="221"/>
      <c r="JJT134" s="221"/>
      <c r="JJU134" s="258"/>
      <c r="JJV134" s="270"/>
      <c r="JJW134" s="271"/>
      <c r="JJX134" s="271"/>
      <c r="JJY134" s="271"/>
      <c r="JJZ134" s="221"/>
      <c r="JKA134" s="221"/>
      <c r="JKB134" s="221"/>
      <c r="JKC134" s="258"/>
      <c r="JKD134" s="270"/>
      <c r="JKE134" s="271"/>
      <c r="JKF134" s="271"/>
      <c r="JKG134" s="271"/>
      <c r="JKH134" s="221"/>
      <c r="JKI134" s="221"/>
      <c r="JKJ134" s="221"/>
      <c r="JKK134" s="258"/>
      <c r="JKL134" s="270"/>
      <c r="JKM134" s="271"/>
      <c r="JKN134" s="271"/>
      <c r="JKO134" s="271"/>
      <c r="JKP134" s="221"/>
      <c r="JKQ134" s="221"/>
      <c r="JKR134" s="221"/>
      <c r="JKS134" s="258"/>
      <c r="JKT134" s="270"/>
      <c r="JKU134" s="271"/>
      <c r="JKV134" s="271"/>
      <c r="JKW134" s="271"/>
      <c r="JKX134" s="221"/>
      <c r="JKY134" s="221"/>
      <c r="JKZ134" s="221"/>
      <c r="JLA134" s="258"/>
      <c r="JLB134" s="270"/>
      <c r="JLC134" s="271"/>
      <c r="JLD134" s="271"/>
      <c r="JLE134" s="271"/>
      <c r="JLF134" s="221"/>
      <c r="JLG134" s="221"/>
      <c r="JLH134" s="221"/>
      <c r="JLI134" s="258"/>
      <c r="JLJ134" s="270"/>
      <c r="JLK134" s="271"/>
      <c r="JLL134" s="271"/>
      <c r="JLM134" s="271"/>
      <c r="JLN134" s="221"/>
      <c r="JLO134" s="221"/>
      <c r="JLP134" s="221"/>
      <c r="JLQ134" s="258"/>
      <c r="JLR134" s="270"/>
      <c r="JLS134" s="271"/>
      <c r="JLT134" s="271"/>
      <c r="JLU134" s="271"/>
      <c r="JLV134" s="221"/>
      <c r="JLW134" s="221"/>
      <c r="JLX134" s="221"/>
      <c r="JLY134" s="258"/>
      <c r="JLZ134" s="270"/>
      <c r="JMA134" s="271"/>
      <c r="JMB134" s="271"/>
      <c r="JMC134" s="271"/>
      <c r="JMD134" s="221"/>
      <c r="JME134" s="221"/>
      <c r="JMF134" s="221"/>
      <c r="JMG134" s="258"/>
      <c r="JMH134" s="270"/>
      <c r="JMI134" s="271"/>
      <c r="JMJ134" s="271"/>
      <c r="JMK134" s="271"/>
      <c r="JML134" s="221"/>
      <c r="JMM134" s="221"/>
      <c r="JMN134" s="221"/>
      <c r="JMO134" s="258"/>
      <c r="JMP134" s="270"/>
      <c r="JMQ134" s="271"/>
      <c r="JMR134" s="271"/>
      <c r="JMS134" s="271"/>
      <c r="JMT134" s="221"/>
      <c r="JMU134" s="221"/>
      <c r="JMV134" s="221"/>
      <c r="JMW134" s="258"/>
      <c r="JMX134" s="270"/>
      <c r="JMY134" s="271"/>
      <c r="JMZ134" s="271"/>
      <c r="JNA134" s="271"/>
      <c r="JNB134" s="221"/>
      <c r="JNC134" s="221"/>
      <c r="JND134" s="221"/>
      <c r="JNE134" s="258"/>
      <c r="JNF134" s="270"/>
      <c r="JNG134" s="271"/>
      <c r="JNH134" s="271"/>
      <c r="JNI134" s="271"/>
      <c r="JNJ134" s="221"/>
      <c r="JNK134" s="221"/>
      <c r="JNL134" s="221"/>
      <c r="JNM134" s="258"/>
      <c r="JNN134" s="270"/>
      <c r="JNO134" s="271"/>
      <c r="JNP134" s="271"/>
      <c r="JNQ134" s="271"/>
      <c r="JNR134" s="221"/>
      <c r="JNS134" s="221"/>
      <c r="JNT134" s="221"/>
      <c r="JNU134" s="258"/>
      <c r="JNV134" s="270"/>
      <c r="JNW134" s="271"/>
      <c r="JNX134" s="271"/>
      <c r="JNY134" s="271"/>
      <c r="JNZ134" s="221"/>
      <c r="JOA134" s="221"/>
      <c r="JOB134" s="221"/>
      <c r="JOC134" s="258"/>
      <c r="JOD134" s="270"/>
      <c r="JOE134" s="271"/>
      <c r="JOF134" s="271"/>
      <c r="JOG134" s="271"/>
      <c r="JOH134" s="221"/>
      <c r="JOI134" s="221"/>
      <c r="JOJ134" s="221"/>
      <c r="JOK134" s="258"/>
      <c r="JOL134" s="270"/>
      <c r="JOM134" s="271"/>
      <c r="JON134" s="271"/>
      <c r="JOO134" s="271"/>
      <c r="JOP134" s="221"/>
      <c r="JOQ134" s="221"/>
      <c r="JOR134" s="221"/>
      <c r="JOS134" s="258"/>
      <c r="JOT134" s="270"/>
      <c r="JOU134" s="271"/>
      <c r="JOV134" s="271"/>
      <c r="JOW134" s="271"/>
      <c r="JOX134" s="221"/>
      <c r="JOY134" s="221"/>
      <c r="JOZ134" s="221"/>
      <c r="JPA134" s="258"/>
      <c r="JPB134" s="270"/>
      <c r="JPC134" s="271"/>
      <c r="JPD134" s="271"/>
      <c r="JPE134" s="271"/>
      <c r="JPF134" s="221"/>
      <c r="JPG134" s="221"/>
      <c r="JPH134" s="221"/>
      <c r="JPI134" s="258"/>
      <c r="JPJ134" s="270"/>
      <c r="JPK134" s="271"/>
      <c r="JPL134" s="271"/>
      <c r="JPM134" s="271"/>
      <c r="JPN134" s="221"/>
      <c r="JPO134" s="221"/>
      <c r="JPP134" s="221"/>
      <c r="JPQ134" s="258"/>
      <c r="JPR134" s="270"/>
      <c r="JPS134" s="271"/>
      <c r="JPT134" s="271"/>
      <c r="JPU134" s="271"/>
      <c r="JPV134" s="221"/>
      <c r="JPW134" s="221"/>
      <c r="JPX134" s="221"/>
      <c r="JPY134" s="258"/>
      <c r="JPZ134" s="270"/>
      <c r="JQA134" s="271"/>
      <c r="JQB134" s="271"/>
      <c r="JQC134" s="271"/>
      <c r="JQD134" s="221"/>
      <c r="JQE134" s="221"/>
      <c r="JQF134" s="221"/>
      <c r="JQG134" s="258"/>
      <c r="JQH134" s="270"/>
      <c r="JQI134" s="271"/>
      <c r="JQJ134" s="271"/>
      <c r="JQK134" s="271"/>
      <c r="JQL134" s="221"/>
      <c r="JQM134" s="221"/>
      <c r="JQN134" s="221"/>
      <c r="JQO134" s="258"/>
      <c r="JQP134" s="270"/>
      <c r="JQQ134" s="271"/>
      <c r="JQR134" s="271"/>
      <c r="JQS134" s="271"/>
      <c r="JQT134" s="221"/>
      <c r="JQU134" s="221"/>
      <c r="JQV134" s="221"/>
      <c r="JQW134" s="258"/>
      <c r="JQX134" s="270"/>
      <c r="JQY134" s="271"/>
      <c r="JQZ134" s="271"/>
      <c r="JRA134" s="271"/>
      <c r="JRB134" s="221"/>
      <c r="JRC134" s="221"/>
      <c r="JRD134" s="221"/>
      <c r="JRE134" s="258"/>
      <c r="JRF134" s="270"/>
      <c r="JRG134" s="271"/>
      <c r="JRH134" s="271"/>
      <c r="JRI134" s="271"/>
      <c r="JRJ134" s="221"/>
      <c r="JRK134" s="221"/>
      <c r="JRL134" s="221"/>
      <c r="JRM134" s="258"/>
      <c r="JRN134" s="270"/>
      <c r="JRO134" s="271"/>
      <c r="JRP134" s="271"/>
      <c r="JRQ134" s="271"/>
      <c r="JRR134" s="221"/>
      <c r="JRS134" s="221"/>
      <c r="JRT134" s="221"/>
      <c r="JRU134" s="258"/>
      <c r="JRV134" s="270"/>
      <c r="JRW134" s="271"/>
      <c r="JRX134" s="271"/>
      <c r="JRY134" s="271"/>
      <c r="JRZ134" s="221"/>
      <c r="JSA134" s="221"/>
      <c r="JSB134" s="221"/>
      <c r="JSC134" s="258"/>
      <c r="JSD134" s="270"/>
      <c r="JSE134" s="271"/>
      <c r="JSF134" s="271"/>
      <c r="JSG134" s="271"/>
      <c r="JSH134" s="221"/>
      <c r="JSI134" s="221"/>
      <c r="JSJ134" s="221"/>
      <c r="JSK134" s="258"/>
      <c r="JSL134" s="270"/>
      <c r="JSM134" s="271"/>
      <c r="JSN134" s="271"/>
      <c r="JSO134" s="271"/>
      <c r="JSP134" s="221"/>
      <c r="JSQ134" s="221"/>
      <c r="JSR134" s="221"/>
      <c r="JSS134" s="258"/>
      <c r="JST134" s="270"/>
      <c r="JSU134" s="271"/>
      <c r="JSV134" s="271"/>
      <c r="JSW134" s="271"/>
      <c r="JSX134" s="221"/>
      <c r="JSY134" s="221"/>
      <c r="JSZ134" s="221"/>
      <c r="JTA134" s="258"/>
      <c r="JTB134" s="270"/>
      <c r="JTC134" s="271"/>
      <c r="JTD134" s="271"/>
      <c r="JTE134" s="271"/>
      <c r="JTF134" s="221"/>
      <c r="JTG134" s="221"/>
      <c r="JTH134" s="221"/>
      <c r="JTI134" s="258"/>
      <c r="JTJ134" s="270"/>
      <c r="JTK134" s="271"/>
      <c r="JTL134" s="271"/>
      <c r="JTM134" s="271"/>
      <c r="JTN134" s="221"/>
      <c r="JTO134" s="221"/>
      <c r="JTP134" s="221"/>
      <c r="JTQ134" s="258"/>
      <c r="JTR134" s="270"/>
      <c r="JTS134" s="271"/>
      <c r="JTT134" s="271"/>
      <c r="JTU134" s="271"/>
      <c r="JTV134" s="221"/>
      <c r="JTW134" s="221"/>
      <c r="JTX134" s="221"/>
      <c r="JTY134" s="258"/>
      <c r="JTZ134" s="270"/>
      <c r="JUA134" s="271"/>
      <c r="JUB134" s="271"/>
      <c r="JUC134" s="271"/>
      <c r="JUD134" s="221"/>
      <c r="JUE134" s="221"/>
      <c r="JUF134" s="221"/>
      <c r="JUG134" s="258"/>
      <c r="JUH134" s="270"/>
      <c r="JUI134" s="271"/>
      <c r="JUJ134" s="271"/>
      <c r="JUK134" s="271"/>
      <c r="JUL134" s="221"/>
      <c r="JUM134" s="221"/>
      <c r="JUN134" s="221"/>
      <c r="JUO134" s="258"/>
      <c r="JUP134" s="270"/>
      <c r="JUQ134" s="271"/>
      <c r="JUR134" s="271"/>
      <c r="JUS134" s="271"/>
      <c r="JUT134" s="221"/>
      <c r="JUU134" s="221"/>
      <c r="JUV134" s="221"/>
      <c r="JUW134" s="258"/>
      <c r="JUX134" s="270"/>
      <c r="JUY134" s="271"/>
      <c r="JUZ134" s="271"/>
      <c r="JVA134" s="271"/>
      <c r="JVB134" s="221"/>
      <c r="JVC134" s="221"/>
      <c r="JVD134" s="221"/>
      <c r="JVE134" s="258"/>
      <c r="JVF134" s="270"/>
      <c r="JVG134" s="271"/>
      <c r="JVH134" s="271"/>
      <c r="JVI134" s="271"/>
      <c r="JVJ134" s="221"/>
      <c r="JVK134" s="221"/>
      <c r="JVL134" s="221"/>
      <c r="JVM134" s="258"/>
      <c r="JVN134" s="270"/>
      <c r="JVO134" s="271"/>
      <c r="JVP134" s="271"/>
      <c r="JVQ134" s="271"/>
      <c r="JVR134" s="221"/>
      <c r="JVS134" s="221"/>
      <c r="JVT134" s="221"/>
      <c r="JVU134" s="258"/>
      <c r="JVV134" s="270"/>
      <c r="JVW134" s="271"/>
      <c r="JVX134" s="271"/>
      <c r="JVY134" s="271"/>
      <c r="JVZ134" s="221"/>
      <c r="JWA134" s="221"/>
      <c r="JWB134" s="221"/>
      <c r="JWC134" s="258"/>
      <c r="JWD134" s="270"/>
      <c r="JWE134" s="271"/>
      <c r="JWF134" s="271"/>
      <c r="JWG134" s="271"/>
      <c r="JWH134" s="221"/>
      <c r="JWI134" s="221"/>
      <c r="JWJ134" s="221"/>
      <c r="JWK134" s="258"/>
      <c r="JWL134" s="270"/>
      <c r="JWM134" s="271"/>
      <c r="JWN134" s="271"/>
      <c r="JWO134" s="271"/>
      <c r="JWP134" s="221"/>
      <c r="JWQ134" s="221"/>
      <c r="JWR134" s="221"/>
      <c r="JWS134" s="258"/>
      <c r="JWT134" s="270"/>
      <c r="JWU134" s="271"/>
      <c r="JWV134" s="271"/>
      <c r="JWW134" s="271"/>
      <c r="JWX134" s="221"/>
      <c r="JWY134" s="221"/>
      <c r="JWZ134" s="221"/>
      <c r="JXA134" s="258"/>
      <c r="JXB134" s="270"/>
      <c r="JXC134" s="271"/>
      <c r="JXD134" s="271"/>
      <c r="JXE134" s="271"/>
      <c r="JXF134" s="221"/>
      <c r="JXG134" s="221"/>
      <c r="JXH134" s="221"/>
      <c r="JXI134" s="258"/>
      <c r="JXJ134" s="270"/>
      <c r="JXK134" s="271"/>
      <c r="JXL134" s="271"/>
      <c r="JXM134" s="271"/>
      <c r="JXN134" s="221"/>
      <c r="JXO134" s="221"/>
      <c r="JXP134" s="221"/>
      <c r="JXQ134" s="258"/>
      <c r="JXR134" s="270"/>
      <c r="JXS134" s="271"/>
      <c r="JXT134" s="271"/>
      <c r="JXU134" s="271"/>
      <c r="JXV134" s="221"/>
      <c r="JXW134" s="221"/>
      <c r="JXX134" s="221"/>
      <c r="JXY134" s="258"/>
      <c r="JXZ134" s="270"/>
      <c r="JYA134" s="271"/>
      <c r="JYB134" s="271"/>
      <c r="JYC134" s="271"/>
      <c r="JYD134" s="221"/>
      <c r="JYE134" s="221"/>
      <c r="JYF134" s="221"/>
      <c r="JYG134" s="258"/>
      <c r="JYH134" s="270"/>
      <c r="JYI134" s="271"/>
      <c r="JYJ134" s="271"/>
      <c r="JYK134" s="271"/>
      <c r="JYL134" s="221"/>
      <c r="JYM134" s="221"/>
      <c r="JYN134" s="221"/>
      <c r="JYO134" s="258"/>
      <c r="JYP134" s="270"/>
      <c r="JYQ134" s="271"/>
      <c r="JYR134" s="271"/>
      <c r="JYS134" s="271"/>
      <c r="JYT134" s="221"/>
      <c r="JYU134" s="221"/>
      <c r="JYV134" s="221"/>
      <c r="JYW134" s="258"/>
      <c r="JYX134" s="270"/>
      <c r="JYY134" s="271"/>
      <c r="JYZ134" s="271"/>
      <c r="JZA134" s="271"/>
      <c r="JZB134" s="221"/>
      <c r="JZC134" s="221"/>
      <c r="JZD134" s="221"/>
      <c r="JZE134" s="258"/>
      <c r="JZF134" s="270"/>
      <c r="JZG134" s="271"/>
      <c r="JZH134" s="271"/>
      <c r="JZI134" s="271"/>
      <c r="JZJ134" s="221"/>
      <c r="JZK134" s="221"/>
      <c r="JZL134" s="221"/>
      <c r="JZM134" s="258"/>
      <c r="JZN134" s="270"/>
      <c r="JZO134" s="271"/>
      <c r="JZP134" s="271"/>
      <c r="JZQ134" s="271"/>
      <c r="JZR134" s="221"/>
      <c r="JZS134" s="221"/>
      <c r="JZT134" s="221"/>
      <c r="JZU134" s="258"/>
      <c r="JZV134" s="270"/>
      <c r="JZW134" s="271"/>
      <c r="JZX134" s="271"/>
      <c r="JZY134" s="271"/>
      <c r="JZZ134" s="221"/>
      <c r="KAA134" s="221"/>
      <c r="KAB134" s="221"/>
      <c r="KAC134" s="258"/>
      <c r="KAD134" s="270"/>
      <c r="KAE134" s="271"/>
      <c r="KAF134" s="271"/>
      <c r="KAG134" s="271"/>
      <c r="KAH134" s="221"/>
      <c r="KAI134" s="221"/>
      <c r="KAJ134" s="221"/>
      <c r="KAK134" s="258"/>
      <c r="KAL134" s="270"/>
      <c r="KAM134" s="271"/>
      <c r="KAN134" s="271"/>
      <c r="KAO134" s="271"/>
      <c r="KAP134" s="221"/>
      <c r="KAQ134" s="221"/>
      <c r="KAR134" s="221"/>
      <c r="KAS134" s="258"/>
      <c r="KAT134" s="270"/>
      <c r="KAU134" s="271"/>
      <c r="KAV134" s="271"/>
      <c r="KAW134" s="271"/>
      <c r="KAX134" s="221"/>
      <c r="KAY134" s="221"/>
      <c r="KAZ134" s="221"/>
      <c r="KBA134" s="258"/>
      <c r="KBB134" s="270"/>
      <c r="KBC134" s="271"/>
      <c r="KBD134" s="271"/>
      <c r="KBE134" s="271"/>
      <c r="KBF134" s="221"/>
      <c r="KBG134" s="221"/>
      <c r="KBH134" s="221"/>
      <c r="KBI134" s="258"/>
      <c r="KBJ134" s="270"/>
      <c r="KBK134" s="271"/>
      <c r="KBL134" s="271"/>
      <c r="KBM134" s="271"/>
      <c r="KBN134" s="221"/>
      <c r="KBO134" s="221"/>
      <c r="KBP134" s="221"/>
      <c r="KBQ134" s="258"/>
      <c r="KBR134" s="270"/>
      <c r="KBS134" s="271"/>
      <c r="KBT134" s="271"/>
      <c r="KBU134" s="271"/>
      <c r="KBV134" s="221"/>
      <c r="KBW134" s="221"/>
      <c r="KBX134" s="221"/>
      <c r="KBY134" s="258"/>
      <c r="KBZ134" s="270"/>
      <c r="KCA134" s="271"/>
      <c r="KCB134" s="271"/>
      <c r="KCC134" s="271"/>
      <c r="KCD134" s="221"/>
      <c r="KCE134" s="221"/>
      <c r="KCF134" s="221"/>
      <c r="KCG134" s="258"/>
      <c r="KCH134" s="270"/>
      <c r="KCI134" s="271"/>
      <c r="KCJ134" s="271"/>
      <c r="KCK134" s="271"/>
      <c r="KCL134" s="221"/>
      <c r="KCM134" s="221"/>
      <c r="KCN134" s="221"/>
      <c r="KCO134" s="258"/>
      <c r="KCP134" s="270"/>
      <c r="KCQ134" s="271"/>
      <c r="KCR134" s="271"/>
      <c r="KCS134" s="271"/>
      <c r="KCT134" s="221"/>
      <c r="KCU134" s="221"/>
      <c r="KCV134" s="221"/>
      <c r="KCW134" s="258"/>
      <c r="KCX134" s="270"/>
      <c r="KCY134" s="271"/>
      <c r="KCZ134" s="271"/>
      <c r="KDA134" s="271"/>
      <c r="KDB134" s="221"/>
      <c r="KDC134" s="221"/>
      <c r="KDD134" s="221"/>
      <c r="KDE134" s="258"/>
      <c r="KDF134" s="270"/>
      <c r="KDG134" s="271"/>
      <c r="KDH134" s="271"/>
      <c r="KDI134" s="271"/>
      <c r="KDJ134" s="221"/>
      <c r="KDK134" s="221"/>
      <c r="KDL134" s="221"/>
      <c r="KDM134" s="258"/>
      <c r="KDN134" s="270"/>
      <c r="KDO134" s="271"/>
      <c r="KDP134" s="271"/>
      <c r="KDQ134" s="271"/>
      <c r="KDR134" s="221"/>
      <c r="KDS134" s="221"/>
      <c r="KDT134" s="221"/>
      <c r="KDU134" s="258"/>
      <c r="KDV134" s="270"/>
      <c r="KDW134" s="271"/>
      <c r="KDX134" s="271"/>
      <c r="KDY134" s="271"/>
      <c r="KDZ134" s="221"/>
      <c r="KEA134" s="221"/>
      <c r="KEB134" s="221"/>
      <c r="KEC134" s="258"/>
      <c r="KED134" s="270"/>
      <c r="KEE134" s="271"/>
      <c r="KEF134" s="271"/>
      <c r="KEG134" s="271"/>
      <c r="KEH134" s="221"/>
      <c r="KEI134" s="221"/>
      <c r="KEJ134" s="221"/>
      <c r="KEK134" s="258"/>
      <c r="KEL134" s="270"/>
      <c r="KEM134" s="271"/>
      <c r="KEN134" s="271"/>
      <c r="KEO134" s="271"/>
      <c r="KEP134" s="221"/>
      <c r="KEQ134" s="221"/>
      <c r="KER134" s="221"/>
      <c r="KES134" s="258"/>
      <c r="KET134" s="270"/>
      <c r="KEU134" s="271"/>
      <c r="KEV134" s="271"/>
      <c r="KEW134" s="271"/>
      <c r="KEX134" s="221"/>
      <c r="KEY134" s="221"/>
      <c r="KEZ134" s="221"/>
      <c r="KFA134" s="258"/>
      <c r="KFB134" s="270"/>
      <c r="KFC134" s="271"/>
      <c r="KFD134" s="271"/>
      <c r="KFE134" s="271"/>
      <c r="KFF134" s="221"/>
      <c r="KFG134" s="221"/>
      <c r="KFH134" s="221"/>
      <c r="KFI134" s="258"/>
      <c r="KFJ134" s="270"/>
      <c r="KFK134" s="271"/>
      <c r="KFL134" s="271"/>
      <c r="KFM134" s="271"/>
      <c r="KFN134" s="221"/>
      <c r="KFO134" s="221"/>
      <c r="KFP134" s="221"/>
      <c r="KFQ134" s="258"/>
      <c r="KFR134" s="270"/>
      <c r="KFS134" s="271"/>
      <c r="KFT134" s="271"/>
      <c r="KFU134" s="271"/>
      <c r="KFV134" s="221"/>
      <c r="KFW134" s="221"/>
      <c r="KFX134" s="221"/>
      <c r="KFY134" s="258"/>
      <c r="KFZ134" s="270"/>
      <c r="KGA134" s="271"/>
      <c r="KGB134" s="271"/>
      <c r="KGC134" s="271"/>
      <c r="KGD134" s="221"/>
      <c r="KGE134" s="221"/>
      <c r="KGF134" s="221"/>
      <c r="KGG134" s="258"/>
      <c r="KGH134" s="270"/>
      <c r="KGI134" s="271"/>
      <c r="KGJ134" s="271"/>
      <c r="KGK134" s="271"/>
      <c r="KGL134" s="221"/>
      <c r="KGM134" s="221"/>
      <c r="KGN134" s="221"/>
      <c r="KGO134" s="258"/>
      <c r="KGP134" s="270"/>
      <c r="KGQ134" s="271"/>
      <c r="KGR134" s="271"/>
      <c r="KGS134" s="271"/>
      <c r="KGT134" s="221"/>
      <c r="KGU134" s="221"/>
      <c r="KGV134" s="221"/>
      <c r="KGW134" s="258"/>
      <c r="KGX134" s="270"/>
      <c r="KGY134" s="271"/>
      <c r="KGZ134" s="271"/>
      <c r="KHA134" s="271"/>
      <c r="KHB134" s="221"/>
      <c r="KHC134" s="221"/>
      <c r="KHD134" s="221"/>
      <c r="KHE134" s="258"/>
      <c r="KHF134" s="270"/>
      <c r="KHG134" s="271"/>
      <c r="KHH134" s="271"/>
      <c r="KHI134" s="271"/>
      <c r="KHJ134" s="221"/>
      <c r="KHK134" s="221"/>
      <c r="KHL134" s="221"/>
      <c r="KHM134" s="258"/>
      <c r="KHN134" s="270"/>
      <c r="KHO134" s="271"/>
      <c r="KHP134" s="271"/>
      <c r="KHQ134" s="271"/>
      <c r="KHR134" s="221"/>
      <c r="KHS134" s="221"/>
      <c r="KHT134" s="221"/>
      <c r="KHU134" s="258"/>
      <c r="KHV134" s="270"/>
      <c r="KHW134" s="271"/>
      <c r="KHX134" s="271"/>
      <c r="KHY134" s="271"/>
      <c r="KHZ134" s="221"/>
      <c r="KIA134" s="221"/>
      <c r="KIB134" s="221"/>
      <c r="KIC134" s="258"/>
      <c r="KID134" s="270"/>
      <c r="KIE134" s="271"/>
      <c r="KIF134" s="271"/>
      <c r="KIG134" s="271"/>
      <c r="KIH134" s="221"/>
      <c r="KII134" s="221"/>
      <c r="KIJ134" s="221"/>
      <c r="KIK134" s="258"/>
      <c r="KIL134" s="270"/>
      <c r="KIM134" s="271"/>
      <c r="KIN134" s="271"/>
      <c r="KIO134" s="271"/>
      <c r="KIP134" s="221"/>
      <c r="KIQ134" s="221"/>
      <c r="KIR134" s="221"/>
      <c r="KIS134" s="258"/>
      <c r="KIT134" s="270"/>
      <c r="KIU134" s="271"/>
      <c r="KIV134" s="271"/>
      <c r="KIW134" s="271"/>
      <c r="KIX134" s="221"/>
      <c r="KIY134" s="221"/>
      <c r="KIZ134" s="221"/>
      <c r="KJA134" s="258"/>
      <c r="KJB134" s="270"/>
      <c r="KJC134" s="271"/>
      <c r="KJD134" s="271"/>
      <c r="KJE134" s="271"/>
      <c r="KJF134" s="221"/>
      <c r="KJG134" s="221"/>
      <c r="KJH134" s="221"/>
      <c r="KJI134" s="258"/>
      <c r="KJJ134" s="270"/>
      <c r="KJK134" s="271"/>
      <c r="KJL134" s="271"/>
      <c r="KJM134" s="271"/>
      <c r="KJN134" s="221"/>
      <c r="KJO134" s="221"/>
      <c r="KJP134" s="221"/>
      <c r="KJQ134" s="258"/>
      <c r="KJR134" s="270"/>
      <c r="KJS134" s="271"/>
      <c r="KJT134" s="271"/>
      <c r="KJU134" s="271"/>
      <c r="KJV134" s="221"/>
      <c r="KJW134" s="221"/>
      <c r="KJX134" s="221"/>
      <c r="KJY134" s="258"/>
      <c r="KJZ134" s="270"/>
      <c r="KKA134" s="271"/>
      <c r="KKB134" s="271"/>
      <c r="KKC134" s="271"/>
      <c r="KKD134" s="221"/>
      <c r="KKE134" s="221"/>
      <c r="KKF134" s="221"/>
      <c r="KKG134" s="258"/>
      <c r="KKH134" s="270"/>
      <c r="KKI134" s="271"/>
      <c r="KKJ134" s="271"/>
      <c r="KKK134" s="271"/>
      <c r="KKL134" s="221"/>
      <c r="KKM134" s="221"/>
      <c r="KKN134" s="221"/>
      <c r="KKO134" s="258"/>
      <c r="KKP134" s="270"/>
      <c r="KKQ134" s="271"/>
      <c r="KKR134" s="271"/>
      <c r="KKS134" s="271"/>
      <c r="KKT134" s="221"/>
      <c r="KKU134" s="221"/>
      <c r="KKV134" s="221"/>
      <c r="KKW134" s="258"/>
      <c r="KKX134" s="270"/>
      <c r="KKY134" s="271"/>
      <c r="KKZ134" s="271"/>
      <c r="KLA134" s="271"/>
      <c r="KLB134" s="221"/>
      <c r="KLC134" s="221"/>
      <c r="KLD134" s="221"/>
      <c r="KLE134" s="258"/>
      <c r="KLF134" s="270"/>
      <c r="KLG134" s="271"/>
      <c r="KLH134" s="271"/>
      <c r="KLI134" s="271"/>
      <c r="KLJ134" s="221"/>
      <c r="KLK134" s="221"/>
      <c r="KLL134" s="221"/>
      <c r="KLM134" s="258"/>
      <c r="KLN134" s="270"/>
      <c r="KLO134" s="271"/>
      <c r="KLP134" s="271"/>
      <c r="KLQ134" s="271"/>
      <c r="KLR134" s="221"/>
      <c r="KLS134" s="221"/>
      <c r="KLT134" s="221"/>
      <c r="KLU134" s="258"/>
      <c r="KLV134" s="270"/>
      <c r="KLW134" s="271"/>
      <c r="KLX134" s="271"/>
      <c r="KLY134" s="271"/>
      <c r="KLZ134" s="221"/>
      <c r="KMA134" s="221"/>
      <c r="KMB134" s="221"/>
      <c r="KMC134" s="258"/>
      <c r="KMD134" s="270"/>
      <c r="KME134" s="271"/>
      <c r="KMF134" s="271"/>
      <c r="KMG134" s="271"/>
      <c r="KMH134" s="221"/>
      <c r="KMI134" s="221"/>
      <c r="KMJ134" s="221"/>
      <c r="KMK134" s="258"/>
      <c r="KML134" s="270"/>
      <c r="KMM134" s="271"/>
      <c r="KMN134" s="271"/>
      <c r="KMO134" s="271"/>
      <c r="KMP134" s="221"/>
      <c r="KMQ134" s="221"/>
      <c r="KMR134" s="221"/>
      <c r="KMS134" s="258"/>
      <c r="KMT134" s="270"/>
      <c r="KMU134" s="271"/>
      <c r="KMV134" s="271"/>
      <c r="KMW134" s="271"/>
      <c r="KMX134" s="221"/>
      <c r="KMY134" s="221"/>
      <c r="KMZ134" s="221"/>
      <c r="KNA134" s="258"/>
      <c r="KNB134" s="270"/>
      <c r="KNC134" s="271"/>
      <c r="KND134" s="271"/>
      <c r="KNE134" s="271"/>
      <c r="KNF134" s="221"/>
      <c r="KNG134" s="221"/>
      <c r="KNH134" s="221"/>
      <c r="KNI134" s="258"/>
      <c r="KNJ134" s="270"/>
      <c r="KNK134" s="271"/>
      <c r="KNL134" s="271"/>
      <c r="KNM134" s="271"/>
      <c r="KNN134" s="221"/>
      <c r="KNO134" s="221"/>
      <c r="KNP134" s="221"/>
      <c r="KNQ134" s="258"/>
      <c r="KNR134" s="270"/>
      <c r="KNS134" s="271"/>
      <c r="KNT134" s="271"/>
      <c r="KNU134" s="271"/>
      <c r="KNV134" s="221"/>
      <c r="KNW134" s="221"/>
      <c r="KNX134" s="221"/>
      <c r="KNY134" s="258"/>
      <c r="KNZ134" s="270"/>
      <c r="KOA134" s="271"/>
      <c r="KOB134" s="271"/>
      <c r="KOC134" s="271"/>
      <c r="KOD134" s="221"/>
      <c r="KOE134" s="221"/>
      <c r="KOF134" s="221"/>
      <c r="KOG134" s="258"/>
      <c r="KOH134" s="270"/>
      <c r="KOI134" s="271"/>
      <c r="KOJ134" s="271"/>
      <c r="KOK134" s="271"/>
      <c r="KOL134" s="221"/>
      <c r="KOM134" s="221"/>
      <c r="KON134" s="221"/>
      <c r="KOO134" s="258"/>
      <c r="KOP134" s="270"/>
      <c r="KOQ134" s="271"/>
      <c r="KOR134" s="271"/>
      <c r="KOS134" s="271"/>
      <c r="KOT134" s="221"/>
      <c r="KOU134" s="221"/>
      <c r="KOV134" s="221"/>
      <c r="KOW134" s="258"/>
      <c r="KOX134" s="270"/>
      <c r="KOY134" s="271"/>
      <c r="KOZ134" s="271"/>
      <c r="KPA134" s="271"/>
      <c r="KPB134" s="221"/>
      <c r="KPC134" s="221"/>
      <c r="KPD134" s="221"/>
      <c r="KPE134" s="258"/>
      <c r="KPF134" s="270"/>
      <c r="KPG134" s="271"/>
      <c r="KPH134" s="271"/>
      <c r="KPI134" s="271"/>
      <c r="KPJ134" s="221"/>
      <c r="KPK134" s="221"/>
      <c r="KPL134" s="221"/>
      <c r="KPM134" s="258"/>
      <c r="KPN134" s="270"/>
      <c r="KPO134" s="271"/>
      <c r="KPP134" s="271"/>
      <c r="KPQ134" s="271"/>
      <c r="KPR134" s="221"/>
      <c r="KPS134" s="221"/>
      <c r="KPT134" s="221"/>
      <c r="KPU134" s="258"/>
      <c r="KPV134" s="270"/>
      <c r="KPW134" s="271"/>
      <c r="KPX134" s="271"/>
      <c r="KPY134" s="271"/>
      <c r="KPZ134" s="221"/>
      <c r="KQA134" s="221"/>
      <c r="KQB134" s="221"/>
      <c r="KQC134" s="258"/>
      <c r="KQD134" s="270"/>
      <c r="KQE134" s="271"/>
      <c r="KQF134" s="271"/>
      <c r="KQG134" s="271"/>
      <c r="KQH134" s="221"/>
      <c r="KQI134" s="221"/>
      <c r="KQJ134" s="221"/>
      <c r="KQK134" s="258"/>
      <c r="KQL134" s="270"/>
      <c r="KQM134" s="271"/>
      <c r="KQN134" s="271"/>
      <c r="KQO134" s="271"/>
      <c r="KQP134" s="221"/>
      <c r="KQQ134" s="221"/>
      <c r="KQR134" s="221"/>
      <c r="KQS134" s="258"/>
      <c r="KQT134" s="270"/>
      <c r="KQU134" s="271"/>
      <c r="KQV134" s="271"/>
      <c r="KQW134" s="271"/>
      <c r="KQX134" s="221"/>
      <c r="KQY134" s="221"/>
      <c r="KQZ134" s="221"/>
      <c r="KRA134" s="258"/>
      <c r="KRB134" s="270"/>
      <c r="KRC134" s="271"/>
      <c r="KRD134" s="271"/>
      <c r="KRE134" s="271"/>
      <c r="KRF134" s="221"/>
      <c r="KRG134" s="221"/>
      <c r="KRH134" s="221"/>
      <c r="KRI134" s="258"/>
      <c r="KRJ134" s="270"/>
      <c r="KRK134" s="271"/>
      <c r="KRL134" s="271"/>
      <c r="KRM134" s="271"/>
      <c r="KRN134" s="221"/>
      <c r="KRO134" s="221"/>
      <c r="KRP134" s="221"/>
      <c r="KRQ134" s="258"/>
      <c r="KRR134" s="270"/>
      <c r="KRS134" s="271"/>
      <c r="KRT134" s="271"/>
      <c r="KRU134" s="271"/>
      <c r="KRV134" s="221"/>
      <c r="KRW134" s="221"/>
      <c r="KRX134" s="221"/>
      <c r="KRY134" s="258"/>
      <c r="KRZ134" s="270"/>
      <c r="KSA134" s="271"/>
      <c r="KSB134" s="271"/>
      <c r="KSC134" s="271"/>
      <c r="KSD134" s="221"/>
      <c r="KSE134" s="221"/>
      <c r="KSF134" s="221"/>
      <c r="KSG134" s="258"/>
      <c r="KSH134" s="270"/>
      <c r="KSI134" s="271"/>
      <c r="KSJ134" s="271"/>
      <c r="KSK134" s="271"/>
      <c r="KSL134" s="221"/>
      <c r="KSM134" s="221"/>
      <c r="KSN134" s="221"/>
      <c r="KSO134" s="258"/>
      <c r="KSP134" s="270"/>
      <c r="KSQ134" s="271"/>
      <c r="KSR134" s="271"/>
      <c r="KSS134" s="271"/>
      <c r="KST134" s="221"/>
      <c r="KSU134" s="221"/>
      <c r="KSV134" s="221"/>
      <c r="KSW134" s="258"/>
      <c r="KSX134" s="270"/>
      <c r="KSY134" s="271"/>
      <c r="KSZ134" s="271"/>
      <c r="KTA134" s="271"/>
      <c r="KTB134" s="221"/>
      <c r="KTC134" s="221"/>
      <c r="KTD134" s="221"/>
      <c r="KTE134" s="258"/>
      <c r="KTF134" s="270"/>
      <c r="KTG134" s="271"/>
      <c r="KTH134" s="271"/>
      <c r="KTI134" s="271"/>
      <c r="KTJ134" s="221"/>
      <c r="KTK134" s="221"/>
      <c r="KTL134" s="221"/>
      <c r="KTM134" s="258"/>
      <c r="KTN134" s="270"/>
      <c r="KTO134" s="271"/>
      <c r="KTP134" s="271"/>
      <c r="KTQ134" s="271"/>
      <c r="KTR134" s="221"/>
      <c r="KTS134" s="221"/>
      <c r="KTT134" s="221"/>
      <c r="KTU134" s="258"/>
      <c r="KTV134" s="270"/>
      <c r="KTW134" s="271"/>
      <c r="KTX134" s="271"/>
      <c r="KTY134" s="271"/>
      <c r="KTZ134" s="221"/>
      <c r="KUA134" s="221"/>
      <c r="KUB134" s="221"/>
      <c r="KUC134" s="258"/>
      <c r="KUD134" s="270"/>
      <c r="KUE134" s="271"/>
      <c r="KUF134" s="271"/>
      <c r="KUG134" s="271"/>
      <c r="KUH134" s="221"/>
      <c r="KUI134" s="221"/>
      <c r="KUJ134" s="221"/>
      <c r="KUK134" s="258"/>
      <c r="KUL134" s="270"/>
      <c r="KUM134" s="271"/>
      <c r="KUN134" s="271"/>
      <c r="KUO134" s="271"/>
      <c r="KUP134" s="221"/>
      <c r="KUQ134" s="221"/>
      <c r="KUR134" s="221"/>
      <c r="KUS134" s="258"/>
      <c r="KUT134" s="270"/>
      <c r="KUU134" s="271"/>
      <c r="KUV134" s="271"/>
      <c r="KUW134" s="271"/>
      <c r="KUX134" s="221"/>
      <c r="KUY134" s="221"/>
      <c r="KUZ134" s="221"/>
      <c r="KVA134" s="258"/>
      <c r="KVB134" s="270"/>
      <c r="KVC134" s="271"/>
      <c r="KVD134" s="271"/>
      <c r="KVE134" s="271"/>
      <c r="KVF134" s="221"/>
      <c r="KVG134" s="221"/>
      <c r="KVH134" s="221"/>
      <c r="KVI134" s="258"/>
      <c r="KVJ134" s="270"/>
      <c r="KVK134" s="271"/>
      <c r="KVL134" s="271"/>
      <c r="KVM134" s="271"/>
      <c r="KVN134" s="221"/>
      <c r="KVO134" s="221"/>
      <c r="KVP134" s="221"/>
      <c r="KVQ134" s="258"/>
      <c r="KVR134" s="270"/>
      <c r="KVS134" s="271"/>
      <c r="KVT134" s="271"/>
      <c r="KVU134" s="271"/>
      <c r="KVV134" s="221"/>
      <c r="KVW134" s="221"/>
      <c r="KVX134" s="221"/>
      <c r="KVY134" s="258"/>
      <c r="KVZ134" s="270"/>
      <c r="KWA134" s="271"/>
      <c r="KWB134" s="271"/>
      <c r="KWC134" s="271"/>
      <c r="KWD134" s="221"/>
      <c r="KWE134" s="221"/>
      <c r="KWF134" s="221"/>
      <c r="KWG134" s="258"/>
      <c r="KWH134" s="270"/>
      <c r="KWI134" s="271"/>
      <c r="KWJ134" s="271"/>
      <c r="KWK134" s="271"/>
      <c r="KWL134" s="221"/>
      <c r="KWM134" s="221"/>
      <c r="KWN134" s="221"/>
      <c r="KWO134" s="258"/>
      <c r="KWP134" s="270"/>
      <c r="KWQ134" s="271"/>
      <c r="KWR134" s="271"/>
      <c r="KWS134" s="271"/>
      <c r="KWT134" s="221"/>
      <c r="KWU134" s="221"/>
      <c r="KWV134" s="221"/>
      <c r="KWW134" s="258"/>
      <c r="KWX134" s="270"/>
      <c r="KWY134" s="271"/>
      <c r="KWZ134" s="271"/>
      <c r="KXA134" s="271"/>
      <c r="KXB134" s="221"/>
      <c r="KXC134" s="221"/>
      <c r="KXD134" s="221"/>
      <c r="KXE134" s="258"/>
      <c r="KXF134" s="270"/>
      <c r="KXG134" s="271"/>
      <c r="KXH134" s="271"/>
      <c r="KXI134" s="271"/>
      <c r="KXJ134" s="221"/>
      <c r="KXK134" s="221"/>
      <c r="KXL134" s="221"/>
      <c r="KXM134" s="258"/>
      <c r="KXN134" s="270"/>
      <c r="KXO134" s="271"/>
      <c r="KXP134" s="271"/>
      <c r="KXQ134" s="271"/>
      <c r="KXR134" s="221"/>
      <c r="KXS134" s="221"/>
      <c r="KXT134" s="221"/>
      <c r="KXU134" s="258"/>
      <c r="KXV134" s="270"/>
      <c r="KXW134" s="271"/>
      <c r="KXX134" s="271"/>
      <c r="KXY134" s="271"/>
      <c r="KXZ134" s="221"/>
      <c r="KYA134" s="221"/>
      <c r="KYB134" s="221"/>
      <c r="KYC134" s="258"/>
      <c r="KYD134" s="270"/>
      <c r="KYE134" s="271"/>
      <c r="KYF134" s="271"/>
      <c r="KYG134" s="271"/>
      <c r="KYH134" s="221"/>
      <c r="KYI134" s="221"/>
      <c r="KYJ134" s="221"/>
      <c r="KYK134" s="258"/>
      <c r="KYL134" s="270"/>
      <c r="KYM134" s="271"/>
      <c r="KYN134" s="271"/>
      <c r="KYO134" s="271"/>
      <c r="KYP134" s="221"/>
      <c r="KYQ134" s="221"/>
      <c r="KYR134" s="221"/>
      <c r="KYS134" s="258"/>
      <c r="KYT134" s="270"/>
      <c r="KYU134" s="271"/>
      <c r="KYV134" s="271"/>
      <c r="KYW134" s="271"/>
      <c r="KYX134" s="221"/>
      <c r="KYY134" s="221"/>
      <c r="KYZ134" s="221"/>
      <c r="KZA134" s="258"/>
      <c r="KZB134" s="270"/>
      <c r="KZC134" s="271"/>
      <c r="KZD134" s="271"/>
      <c r="KZE134" s="271"/>
      <c r="KZF134" s="221"/>
      <c r="KZG134" s="221"/>
      <c r="KZH134" s="221"/>
      <c r="KZI134" s="258"/>
      <c r="KZJ134" s="270"/>
      <c r="KZK134" s="271"/>
      <c r="KZL134" s="271"/>
      <c r="KZM134" s="271"/>
      <c r="KZN134" s="221"/>
      <c r="KZO134" s="221"/>
      <c r="KZP134" s="221"/>
      <c r="KZQ134" s="258"/>
      <c r="KZR134" s="270"/>
      <c r="KZS134" s="271"/>
      <c r="KZT134" s="271"/>
      <c r="KZU134" s="271"/>
      <c r="KZV134" s="221"/>
      <c r="KZW134" s="221"/>
      <c r="KZX134" s="221"/>
      <c r="KZY134" s="258"/>
      <c r="KZZ134" s="270"/>
      <c r="LAA134" s="271"/>
      <c r="LAB134" s="271"/>
      <c r="LAC134" s="271"/>
      <c r="LAD134" s="221"/>
      <c r="LAE134" s="221"/>
      <c r="LAF134" s="221"/>
      <c r="LAG134" s="258"/>
      <c r="LAH134" s="270"/>
      <c r="LAI134" s="271"/>
      <c r="LAJ134" s="271"/>
      <c r="LAK134" s="271"/>
      <c r="LAL134" s="221"/>
      <c r="LAM134" s="221"/>
      <c r="LAN134" s="221"/>
      <c r="LAO134" s="258"/>
      <c r="LAP134" s="270"/>
      <c r="LAQ134" s="271"/>
      <c r="LAR134" s="271"/>
      <c r="LAS134" s="271"/>
      <c r="LAT134" s="221"/>
      <c r="LAU134" s="221"/>
      <c r="LAV134" s="221"/>
      <c r="LAW134" s="258"/>
      <c r="LAX134" s="270"/>
      <c r="LAY134" s="271"/>
      <c r="LAZ134" s="271"/>
      <c r="LBA134" s="271"/>
      <c r="LBB134" s="221"/>
      <c r="LBC134" s="221"/>
      <c r="LBD134" s="221"/>
      <c r="LBE134" s="258"/>
      <c r="LBF134" s="270"/>
      <c r="LBG134" s="271"/>
      <c r="LBH134" s="271"/>
      <c r="LBI134" s="271"/>
      <c r="LBJ134" s="221"/>
      <c r="LBK134" s="221"/>
      <c r="LBL134" s="221"/>
      <c r="LBM134" s="258"/>
      <c r="LBN134" s="270"/>
      <c r="LBO134" s="271"/>
      <c r="LBP134" s="271"/>
      <c r="LBQ134" s="271"/>
      <c r="LBR134" s="221"/>
      <c r="LBS134" s="221"/>
      <c r="LBT134" s="221"/>
      <c r="LBU134" s="258"/>
      <c r="LBV134" s="270"/>
      <c r="LBW134" s="271"/>
      <c r="LBX134" s="271"/>
      <c r="LBY134" s="271"/>
      <c r="LBZ134" s="221"/>
      <c r="LCA134" s="221"/>
      <c r="LCB134" s="221"/>
      <c r="LCC134" s="258"/>
      <c r="LCD134" s="270"/>
      <c r="LCE134" s="271"/>
      <c r="LCF134" s="271"/>
      <c r="LCG134" s="271"/>
      <c r="LCH134" s="221"/>
      <c r="LCI134" s="221"/>
      <c r="LCJ134" s="221"/>
      <c r="LCK134" s="258"/>
      <c r="LCL134" s="270"/>
      <c r="LCM134" s="271"/>
      <c r="LCN134" s="271"/>
      <c r="LCO134" s="271"/>
      <c r="LCP134" s="221"/>
      <c r="LCQ134" s="221"/>
      <c r="LCR134" s="221"/>
      <c r="LCS134" s="258"/>
      <c r="LCT134" s="270"/>
      <c r="LCU134" s="271"/>
      <c r="LCV134" s="271"/>
      <c r="LCW134" s="271"/>
      <c r="LCX134" s="221"/>
      <c r="LCY134" s="221"/>
      <c r="LCZ134" s="221"/>
      <c r="LDA134" s="258"/>
      <c r="LDB134" s="270"/>
      <c r="LDC134" s="271"/>
      <c r="LDD134" s="271"/>
      <c r="LDE134" s="271"/>
      <c r="LDF134" s="221"/>
      <c r="LDG134" s="221"/>
      <c r="LDH134" s="221"/>
      <c r="LDI134" s="258"/>
      <c r="LDJ134" s="270"/>
      <c r="LDK134" s="271"/>
      <c r="LDL134" s="271"/>
      <c r="LDM134" s="271"/>
      <c r="LDN134" s="221"/>
      <c r="LDO134" s="221"/>
      <c r="LDP134" s="221"/>
      <c r="LDQ134" s="258"/>
      <c r="LDR134" s="270"/>
      <c r="LDS134" s="271"/>
      <c r="LDT134" s="271"/>
      <c r="LDU134" s="271"/>
      <c r="LDV134" s="221"/>
      <c r="LDW134" s="221"/>
      <c r="LDX134" s="221"/>
      <c r="LDY134" s="258"/>
      <c r="LDZ134" s="270"/>
      <c r="LEA134" s="271"/>
      <c r="LEB134" s="271"/>
      <c r="LEC134" s="271"/>
      <c r="LED134" s="221"/>
      <c r="LEE134" s="221"/>
      <c r="LEF134" s="221"/>
      <c r="LEG134" s="258"/>
      <c r="LEH134" s="270"/>
      <c r="LEI134" s="271"/>
      <c r="LEJ134" s="271"/>
      <c r="LEK134" s="271"/>
      <c r="LEL134" s="221"/>
      <c r="LEM134" s="221"/>
      <c r="LEN134" s="221"/>
      <c r="LEO134" s="258"/>
      <c r="LEP134" s="270"/>
      <c r="LEQ134" s="271"/>
      <c r="LER134" s="271"/>
      <c r="LES134" s="271"/>
      <c r="LET134" s="221"/>
      <c r="LEU134" s="221"/>
      <c r="LEV134" s="221"/>
      <c r="LEW134" s="258"/>
      <c r="LEX134" s="270"/>
      <c r="LEY134" s="271"/>
      <c r="LEZ134" s="271"/>
      <c r="LFA134" s="271"/>
      <c r="LFB134" s="221"/>
      <c r="LFC134" s="221"/>
      <c r="LFD134" s="221"/>
      <c r="LFE134" s="258"/>
      <c r="LFF134" s="270"/>
      <c r="LFG134" s="271"/>
      <c r="LFH134" s="271"/>
      <c r="LFI134" s="271"/>
      <c r="LFJ134" s="221"/>
      <c r="LFK134" s="221"/>
      <c r="LFL134" s="221"/>
      <c r="LFM134" s="258"/>
      <c r="LFN134" s="270"/>
      <c r="LFO134" s="271"/>
      <c r="LFP134" s="271"/>
      <c r="LFQ134" s="271"/>
      <c r="LFR134" s="221"/>
      <c r="LFS134" s="221"/>
      <c r="LFT134" s="221"/>
      <c r="LFU134" s="258"/>
      <c r="LFV134" s="270"/>
      <c r="LFW134" s="271"/>
      <c r="LFX134" s="271"/>
      <c r="LFY134" s="271"/>
      <c r="LFZ134" s="221"/>
      <c r="LGA134" s="221"/>
      <c r="LGB134" s="221"/>
      <c r="LGC134" s="258"/>
      <c r="LGD134" s="270"/>
      <c r="LGE134" s="271"/>
      <c r="LGF134" s="271"/>
      <c r="LGG134" s="271"/>
      <c r="LGH134" s="221"/>
      <c r="LGI134" s="221"/>
      <c r="LGJ134" s="221"/>
      <c r="LGK134" s="258"/>
      <c r="LGL134" s="270"/>
      <c r="LGM134" s="271"/>
      <c r="LGN134" s="271"/>
      <c r="LGO134" s="271"/>
      <c r="LGP134" s="221"/>
      <c r="LGQ134" s="221"/>
      <c r="LGR134" s="221"/>
      <c r="LGS134" s="258"/>
      <c r="LGT134" s="270"/>
      <c r="LGU134" s="271"/>
      <c r="LGV134" s="271"/>
      <c r="LGW134" s="271"/>
      <c r="LGX134" s="221"/>
      <c r="LGY134" s="221"/>
      <c r="LGZ134" s="221"/>
      <c r="LHA134" s="258"/>
      <c r="LHB134" s="270"/>
      <c r="LHC134" s="271"/>
      <c r="LHD134" s="271"/>
      <c r="LHE134" s="271"/>
      <c r="LHF134" s="221"/>
      <c r="LHG134" s="221"/>
      <c r="LHH134" s="221"/>
      <c r="LHI134" s="258"/>
      <c r="LHJ134" s="270"/>
      <c r="LHK134" s="271"/>
      <c r="LHL134" s="271"/>
      <c r="LHM134" s="271"/>
      <c r="LHN134" s="221"/>
      <c r="LHO134" s="221"/>
      <c r="LHP134" s="221"/>
      <c r="LHQ134" s="258"/>
      <c r="LHR134" s="270"/>
      <c r="LHS134" s="271"/>
      <c r="LHT134" s="271"/>
      <c r="LHU134" s="271"/>
      <c r="LHV134" s="221"/>
      <c r="LHW134" s="221"/>
      <c r="LHX134" s="221"/>
      <c r="LHY134" s="258"/>
      <c r="LHZ134" s="270"/>
      <c r="LIA134" s="271"/>
      <c r="LIB134" s="271"/>
      <c r="LIC134" s="271"/>
      <c r="LID134" s="221"/>
      <c r="LIE134" s="221"/>
      <c r="LIF134" s="221"/>
      <c r="LIG134" s="258"/>
      <c r="LIH134" s="270"/>
      <c r="LII134" s="271"/>
      <c r="LIJ134" s="271"/>
      <c r="LIK134" s="271"/>
      <c r="LIL134" s="221"/>
      <c r="LIM134" s="221"/>
      <c r="LIN134" s="221"/>
      <c r="LIO134" s="258"/>
      <c r="LIP134" s="270"/>
      <c r="LIQ134" s="271"/>
      <c r="LIR134" s="271"/>
      <c r="LIS134" s="271"/>
      <c r="LIT134" s="221"/>
      <c r="LIU134" s="221"/>
      <c r="LIV134" s="221"/>
      <c r="LIW134" s="258"/>
      <c r="LIX134" s="270"/>
      <c r="LIY134" s="271"/>
      <c r="LIZ134" s="271"/>
      <c r="LJA134" s="271"/>
      <c r="LJB134" s="221"/>
      <c r="LJC134" s="221"/>
      <c r="LJD134" s="221"/>
      <c r="LJE134" s="258"/>
      <c r="LJF134" s="270"/>
      <c r="LJG134" s="271"/>
      <c r="LJH134" s="271"/>
      <c r="LJI134" s="271"/>
      <c r="LJJ134" s="221"/>
      <c r="LJK134" s="221"/>
      <c r="LJL134" s="221"/>
      <c r="LJM134" s="258"/>
      <c r="LJN134" s="270"/>
      <c r="LJO134" s="271"/>
      <c r="LJP134" s="271"/>
      <c r="LJQ134" s="271"/>
      <c r="LJR134" s="221"/>
      <c r="LJS134" s="221"/>
      <c r="LJT134" s="221"/>
      <c r="LJU134" s="258"/>
      <c r="LJV134" s="270"/>
      <c r="LJW134" s="271"/>
      <c r="LJX134" s="271"/>
      <c r="LJY134" s="271"/>
      <c r="LJZ134" s="221"/>
      <c r="LKA134" s="221"/>
      <c r="LKB134" s="221"/>
      <c r="LKC134" s="258"/>
      <c r="LKD134" s="270"/>
      <c r="LKE134" s="271"/>
      <c r="LKF134" s="271"/>
      <c r="LKG134" s="271"/>
      <c r="LKH134" s="221"/>
      <c r="LKI134" s="221"/>
      <c r="LKJ134" s="221"/>
      <c r="LKK134" s="258"/>
      <c r="LKL134" s="270"/>
      <c r="LKM134" s="271"/>
      <c r="LKN134" s="271"/>
      <c r="LKO134" s="271"/>
      <c r="LKP134" s="221"/>
      <c r="LKQ134" s="221"/>
      <c r="LKR134" s="221"/>
      <c r="LKS134" s="258"/>
      <c r="LKT134" s="270"/>
      <c r="LKU134" s="271"/>
      <c r="LKV134" s="271"/>
      <c r="LKW134" s="271"/>
      <c r="LKX134" s="221"/>
      <c r="LKY134" s="221"/>
      <c r="LKZ134" s="221"/>
      <c r="LLA134" s="258"/>
      <c r="LLB134" s="270"/>
      <c r="LLC134" s="271"/>
      <c r="LLD134" s="271"/>
      <c r="LLE134" s="271"/>
      <c r="LLF134" s="221"/>
      <c r="LLG134" s="221"/>
      <c r="LLH134" s="221"/>
      <c r="LLI134" s="258"/>
      <c r="LLJ134" s="270"/>
      <c r="LLK134" s="271"/>
      <c r="LLL134" s="271"/>
      <c r="LLM134" s="271"/>
      <c r="LLN134" s="221"/>
      <c r="LLO134" s="221"/>
      <c r="LLP134" s="221"/>
      <c r="LLQ134" s="258"/>
      <c r="LLR134" s="270"/>
      <c r="LLS134" s="271"/>
      <c r="LLT134" s="271"/>
      <c r="LLU134" s="271"/>
      <c r="LLV134" s="221"/>
      <c r="LLW134" s="221"/>
      <c r="LLX134" s="221"/>
      <c r="LLY134" s="258"/>
      <c r="LLZ134" s="270"/>
      <c r="LMA134" s="271"/>
      <c r="LMB134" s="271"/>
      <c r="LMC134" s="271"/>
      <c r="LMD134" s="221"/>
      <c r="LME134" s="221"/>
      <c r="LMF134" s="221"/>
      <c r="LMG134" s="258"/>
      <c r="LMH134" s="270"/>
      <c r="LMI134" s="271"/>
      <c r="LMJ134" s="271"/>
      <c r="LMK134" s="271"/>
      <c r="LML134" s="221"/>
      <c r="LMM134" s="221"/>
      <c r="LMN134" s="221"/>
      <c r="LMO134" s="258"/>
      <c r="LMP134" s="270"/>
      <c r="LMQ134" s="271"/>
      <c r="LMR134" s="271"/>
      <c r="LMS134" s="271"/>
      <c r="LMT134" s="221"/>
      <c r="LMU134" s="221"/>
      <c r="LMV134" s="221"/>
      <c r="LMW134" s="258"/>
      <c r="LMX134" s="270"/>
      <c r="LMY134" s="271"/>
      <c r="LMZ134" s="271"/>
      <c r="LNA134" s="271"/>
      <c r="LNB134" s="221"/>
      <c r="LNC134" s="221"/>
      <c r="LND134" s="221"/>
      <c r="LNE134" s="258"/>
      <c r="LNF134" s="270"/>
      <c r="LNG134" s="271"/>
      <c r="LNH134" s="271"/>
      <c r="LNI134" s="271"/>
      <c r="LNJ134" s="221"/>
      <c r="LNK134" s="221"/>
      <c r="LNL134" s="221"/>
      <c r="LNM134" s="258"/>
      <c r="LNN134" s="270"/>
      <c r="LNO134" s="271"/>
      <c r="LNP134" s="271"/>
      <c r="LNQ134" s="271"/>
      <c r="LNR134" s="221"/>
      <c r="LNS134" s="221"/>
      <c r="LNT134" s="221"/>
      <c r="LNU134" s="258"/>
      <c r="LNV134" s="270"/>
      <c r="LNW134" s="271"/>
      <c r="LNX134" s="271"/>
      <c r="LNY134" s="271"/>
      <c r="LNZ134" s="221"/>
      <c r="LOA134" s="221"/>
      <c r="LOB134" s="221"/>
      <c r="LOC134" s="258"/>
      <c r="LOD134" s="270"/>
      <c r="LOE134" s="271"/>
      <c r="LOF134" s="271"/>
      <c r="LOG134" s="271"/>
      <c r="LOH134" s="221"/>
      <c r="LOI134" s="221"/>
      <c r="LOJ134" s="221"/>
      <c r="LOK134" s="258"/>
      <c r="LOL134" s="270"/>
      <c r="LOM134" s="271"/>
      <c r="LON134" s="271"/>
      <c r="LOO134" s="271"/>
      <c r="LOP134" s="221"/>
      <c r="LOQ134" s="221"/>
      <c r="LOR134" s="221"/>
      <c r="LOS134" s="258"/>
      <c r="LOT134" s="270"/>
      <c r="LOU134" s="271"/>
      <c r="LOV134" s="271"/>
      <c r="LOW134" s="271"/>
      <c r="LOX134" s="221"/>
      <c r="LOY134" s="221"/>
      <c r="LOZ134" s="221"/>
      <c r="LPA134" s="258"/>
      <c r="LPB134" s="270"/>
      <c r="LPC134" s="271"/>
      <c r="LPD134" s="271"/>
      <c r="LPE134" s="271"/>
      <c r="LPF134" s="221"/>
      <c r="LPG134" s="221"/>
      <c r="LPH134" s="221"/>
      <c r="LPI134" s="258"/>
      <c r="LPJ134" s="270"/>
      <c r="LPK134" s="271"/>
      <c r="LPL134" s="271"/>
      <c r="LPM134" s="271"/>
      <c r="LPN134" s="221"/>
      <c r="LPO134" s="221"/>
      <c r="LPP134" s="221"/>
      <c r="LPQ134" s="258"/>
      <c r="LPR134" s="270"/>
      <c r="LPS134" s="271"/>
      <c r="LPT134" s="271"/>
      <c r="LPU134" s="271"/>
      <c r="LPV134" s="221"/>
      <c r="LPW134" s="221"/>
      <c r="LPX134" s="221"/>
      <c r="LPY134" s="258"/>
      <c r="LPZ134" s="270"/>
      <c r="LQA134" s="271"/>
      <c r="LQB134" s="271"/>
      <c r="LQC134" s="271"/>
      <c r="LQD134" s="221"/>
      <c r="LQE134" s="221"/>
      <c r="LQF134" s="221"/>
      <c r="LQG134" s="258"/>
      <c r="LQH134" s="270"/>
      <c r="LQI134" s="271"/>
      <c r="LQJ134" s="271"/>
      <c r="LQK134" s="271"/>
      <c r="LQL134" s="221"/>
      <c r="LQM134" s="221"/>
      <c r="LQN134" s="221"/>
      <c r="LQO134" s="258"/>
      <c r="LQP134" s="270"/>
      <c r="LQQ134" s="271"/>
      <c r="LQR134" s="271"/>
      <c r="LQS134" s="271"/>
      <c r="LQT134" s="221"/>
      <c r="LQU134" s="221"/>
      <c r="LQV134" s="221"/>
      <c r="LQW134" s="258"/>
      <c r="LQX134" s="270"/>
      <c r="LQY134" s="271"/>
      <c r="LQZ134" s="271"/>
      <c r="LRA134" s="271"/>
      <c r="LRB134" s="221"/>
      <c r="LRC134" s="221"/>
      <c r="LRD134" s="221"/>
      <c r="LRE134" s="258"/>
      <c r="LRF134" s="270"/>
      <c r="LRG134" s="271"/>
      <c r="LRH134" s="271"/>
      <c r="LRI134" s="271"/>
      <c r="LRJ134" s="221"/>
      <c r="LRK134" s="221"/>
      <c r="LRL134" s="221"/>
      <c r="LRM134" s="258"/>
      <c r="LRN134" s="270"/>
      <c r="LRO134" s="271"/>
      <c r="LRP134" s="271"/>
      <c r="LRQ134" s="271"/>
      <c r="LRR134" s="221"/>
      <c r="LRS134" s="221"/>
      <c r="LRT134" s="221"/>
      <c r="LRU134" s="258"/>
      <c r="LRV134" s="270"/>
      <c r="LRW134" s="271"/>
      <c r="LRX134" s="271"/>
      <c r="LRY134" s="271"/>
      <c r="LRZ134" s="221"/>
      <c r="LSA134" s="221"/>
      <c r="LSB134" s="221"/>
      <c r="LSC134" s="258"/>
      <c r="LSD134" s="270"/>
      <c r="LSE134" s="271"/>
      <c r="LSF134" s="271"/>
      <c r="LSG134" s="271"/>
      <c r="LSH134" s="221"/>
      <c r="LSI134" s="221"/>
      <c r="LSJ134" s="221"/>
      <c r="LSK134" s="258"/>
      <c r="LSL134" s="270"/>
      <c r="LSM134" s="271"/>
      <c r="LSN134" s="271"/>
      <c r="LSO134" s="271"/>
      <c r="LSP134" s="221"/>
      <c r="LSQ134" s="221"/>
      <c r="LSR134" s="221"/>
      <c r="LSS134" s="258"/>
      <c r="LST134" s="270"/>
      <c r="LSU134" s="271"/>
      <c r="LSV134" s="271"/>
      <c r="LSW134" s="271"/>
      <c r="LSX134" s="221"/>
      <c r="LSY134" s="221"/>
      <c r="LSZ134" s="221"/>
      <c r="LTA134" s="258"/>
      <c r="LTB134" s="270"/>
      <c r="LTC134" s="271"/>
      <c r="LTD134" s="271"/>
      <c r="LTE134" s="271"/>
      <c r="LTF134" s="221"/>
      <c r="LTG134" s="221"/>
      <c r="LTH134" s="221"/>
      <c r="LTI134" s="258"/>
      <c r="LTJ134" s="270"/>
      <c r="LTK134" s="271"/>
      <c r="LTL134" s="271"/>
      <c r="LTM134" s="271"/>
      <c r="LTN134" s="221"/>
      <c r="LTO134" s="221"/>
      <c r="LTP134" s="221"/>
      <c r="LTQ134" s="258"/>
      <c r="LTR134" s="270"/>
      <c r="LTS134" s="271"/>
      <c r="LTT134" s="271"/>
      <c r="LTU134" s="271"/>
      <c r="LTV134" s="221"/>
      <c r="LTW134" s="221"/>
      <c r="LTX134" s="221"/>
      <c r="LTY134" s="258"/>
      <c r="LTZ134" s="270"/>
      <c r="LUA134" s="271"/>
      <c r="LUB134" s="271"/>
      <c r="LUC134" s="271"/>
      <c r="LUD134" s="221"/>
      <c r="LUE134" s="221"/>
      <c r="LUF134" s="221"/>
      <c r="LUG134" s="258"/>
      <c r="LUH134" s="270"/>
      <c r="LUI134" s="271"/>
      <c r="LUJ134" s="271"/>
      <c r="LUK134" s="271"/>
      <c r="LUL134" s="221"/>
      <c r="LUM134" s="221"/>
      <c r="LUN134" s="221"/>
      <c r="LUO134" s="258"/>
      <c r="LUP134" s="270"/>
      <c r="LUQ134" s="271"/>
      <c r="LUR134" s="271"/>
      <c r="LUS134" s="271"/>
      <c r="LUT134" s="221"/>
      <c r="LUU134" s="221"/>
      <c r="LUV134" s="221"/>
      <c r="LUW134" s="258"/>
      <c r="LUX134" s="270"/>
      <c r="LUY134" s="271"/>
      <c r="LUZ134" s="271"/>
      <c r="LVA134" s="271"/>
      <c r="LVB134" s="221"/>
      <c r="LVC134" s="221"/>
      <c r="LVD134" s="221"/>
      <c r="LVE134" s="258"/>
      <c r="LVF134" s="270"/>
      <c r="LVG134" s="271"/>
      <c r="LVH134" s="271"/>
      <c r="LVI134" s="271"/>
      <c r="LVJ134" s="221"/>
      <c r="LVK134" s="221"/>
      <c r="LVL134" s="221"/>
      <c r="LVM134" s="258"/>
      <c r="LVN134" s="270"/>
      <c r="LVO134" s="271"/>
      <c r="LVP134" s="271"/>
      <c r="LVQ134" s="271"/>
      <c r="LVR134" s="221"/>
      <c r="LVS134" s="221"/>
      <c r="LVT134" s="221"/>
      <c r="LVU134" s="258"/>
      <c r="LVV134" s="270"/>
      <c r="LVW134" s="271"/>
      <c r="LVX134" s="271"/>
      <c r="LVY134" s="271"/>
      <c r="LVZ134" s="221"/>
      <c r="LWA134" s="221"/>
      <c r="LWB134" s="221"/>
      <c r="LWC134" s="258"/>
      <c r="LWD134" s="270"/>
      <c r="LWE134" s="271"/>
      <c r="LWF134" s="271"/>
      <c r="LWG134" s="271"/>
      <c r="LWH134" s="221"/>
      <c r="LWI134" s="221"/>
      <c r="LWJ134" s="221"/>
      <c r="LWK134" s="258"/>
      <c r="LWL134" s="270"/>
      <c r="LWM134" s="271"/>
      <c r="LWN134" s="271"/>
      <c r="LWO134" s="271"/>
      <c r="LWP134" s="221"/>
      <c r="LWQ134" s="221"/>
      <c r="LWR134" s="221"/>
      <c r="LWS134" s="258"/>
      <c r="LWT134" s="270"/>
      <c r="LWU134" s="271"/>
      <c r="LWV134" s="271"/>
      <c r="LWW134" s="271"/>
      <c r="LWX134" s="221"/>
      <c r="LWY134" s="221"/>
      <c r="LWZ134" s="221"/>
      <c r="LXA134" s="258"/>
      <c r="LXB134" s="270"/>
      <c r="LXC134" s="271"/>
      <c r="LXD134" s="271"/>
      <c r="LXE134" s="271"/>
      <c r="LXF134" s="221"/>
      <c r="LXG134" s="221"/>
      <c r="LXH134" s="221"/>
      <c r="LXI134" s="258"/>
      <c r="LXJ134" s="270"/>
      <c r="LXK134" s="271"/>
      <c r="LXL134" s="271"/>
      <c r="LXM134" s="271"/>
      <c r="LXN134" s="221"/>
      <c r="LXO134" s="221"/>
      <c r="LXP134" s="221"/>
      <c r="LXQ134" s="258"/>
      <c r="LXR134" s="270"/>
      <c r="LXS134" s="271"/>
      <c r="LXT134" s="271"/>
      <c r="LXU134" s="271"/>
      <c r="LXV134" s="221"/>
      <c r="LXW134" s="221"/>
      <c r="LXX134" s="221"/>
      <c r="LXY134" s="258"/>
      <c r="LXZ134" s="270"/>
      <c r="LYA134" s="271"/>
      <c r="LYB134" s="271"/>
      <c r="LYC134" s="271"/>
      <c r="LYD134" s="221"/>
      <c r="LYE134" s="221"/>
      <c r="LYF134" s="221"/>
      <c r="LYG134" s="258"/>
      <c r="LYH134" s="270"/>
      <c r="LYI134" s="271"/>
      <c r="LYJ134" s="271"/>
      <c r="LYK134" s="271"/>
      <c r="LYL134" s="221"/>
      <c r="LYM134" s="221"/>
      <c r="LYN134" s="221"/>
      <c r="LYO134" s="258"/>
      <c r="LYP134" s="270"/>
      <c r="LYQ134" s="271"/>
      <c r="LYR134" s="271"/>
      <c r="LYS134" s="271"/>
      <c r="LYT134" s="221"/>
      <c r="LYU134" s="221"/>
      <c r="LYV134" s="221"/>
      <c r="LYW134" s="258"/>
      <c r="LYX134" s="270"/>
      <c r="LYY134" s="271"/>
      <c r="LYZ134" s="271"/>
      <c r="LZA134" s="271"/>
      <c r="LZB134" s="221"/>
      <c r="LZC134" s="221"/>
      <c r="LZD134" s="221"/>
      <c r="LZE134" s="258"/>
      <c r="LZF134" s="270"/>
      <c r="LZG134" s="271"/>
      <c r="LZH134" s="271"/>
      <c r="LZI134" s="271"/>
      <c r="LZJ134" s="221"/>
      <c r="LZK134" s="221"/>
      <c r="LZL134" s="221"/>
      <c r="LZM134" s="258"/>
      <c r="LZN134" s="270"/>
      <c r="LZO134" s="271"/>
      <c r="LZP134" s="271"/>
      <c r="LZQ134" s="271"/>
      <c r="LZR134" s="221"/>
      <c r="LZS134" s="221"/>
      <c r="LZT134" s="221"/>
      <c r="LZU134" s="258"/>
      <c r="LZV134" s="270"/>
      <c r="LZW134" s="271"/>
      <c r="LZX134" s="271"/>
      <c r="LZY134" s="271"/>
      <c r="LZZ134" s="221"/>
      <c r="MAA134" s="221"/>
      <c r="MAB134" s="221"/>
      <c r="MAC134" s="258"/>
      <c r="MAD134" s="270"/>
      <c r="MAE134" s="271"/>
      <c r="MAF134" s="271"/>
      <c r="MAG134" s="271"/>
      <c r="MAH134" s="221"/>
      <c r="MAI134" s="221"/>
      <c r="MAJ134" s="221"/>
      <c r="MAK134" s="258"/>
      <c r="MAL134" s="270"/>
      <c r="MAM134" s="271"/>
      <c r="MAN134" s="271"/>
      <c r="MAO134" s="271"/>
      <c r="MAP134" s="221"/>
      <c r="MAQ134" s="221"/>
      <c r="MAR134" s="221"/>
      <c r="MAS134" s="258"/>
      <c r="MAT134" s="270"/>
      <c r="MAU134" s="271"/>
      <c r="MAV134" s="271"/>
      <c r="MAW134" s="271"/>
      <c r="MAX134" s="221"/>
      <c r="MAY134" s="221"/>
      <c r="MAZ134" s="221"/>
      <c r="MBA134" s="258"/>
      <c r="MBB134" s="270"/>
      <c r="MBC134" s="271"/>
      <c r="MBD134" s="271"/>
      <c r="MBE134" s="271"/>
      <c r="MBF134" s="221"/>
      <c r="MBG134" s="221"/>
      <c r="MBH134" s="221"/>
      <c r="MBI134" s="258"/>
      <c r="MBJ134" s="270"/>
      <c r="MBK134" s="271"/>
      <c r="MBL134" s="271"/>
      <c r="MBM134" s="271"/>
      <c r="MBN134" s="221"/>
      <c r="MBO134" s="221"/>
      <c r="MBP134" s="221"/>
      <c r="MBQ134" s="258"/>
      <c r="MBR134" s="270"/>
      <c r="MBS134" s="271"/>
      <c r="MBT134" s="271"/>
      <c r="MBU134" s="271"/>
      <c r="MBV134" s="221"/>
      <c r="MBW134" s="221"/>
      <c r="MBX134" s="221"/>
      <c r="MBY134" s="258"/>
      <c r="MBZ134" s="270"/>
      <c r="MCA134" s="271"/>
      <c r="MCB134" s="271"/>
      <c r="MCC134" s="271"/>
      <c r="MCD134" s="221"/>
      <c r="MCE134" s="221"/>
      <c r="MCF134" s="221"/>
      <c r="MCG134" s="258"/>
      <c r="MCH134" s="270"/>
      <c r="MCI134" s="271"/>
      <c r="MCJ134" s="271"/>
      <c r="MCK134" s="271"/>
      <c r="MCL134" s="221"/>
      <c r="MCM134" s="221"/>
      <c r="MCN134" s="221"/>
      <c r="MCO134" s="258"/>
      <c r="MCP134" s="270"/>
      <c r="MCQ134" s="271"/>
      <c r="MCR134" s="271"/>
      <c r="MCS134" s="271"/>
      <c r="MCT134" s="221"/>
      <c r="MCU134" s="221"/>
      <c r="MCV134" s="221"/>
      <c r="MCW134" s="258"/>
      <c r="MCX134" s="270"/>
      <c r="MCY134" s="271"/>
      <c r="MCZ134" s="271"/>
      <c r="MDA134" s="271"/>
      <c r="MDB134" s="221"/>
      <c r="MDC134" s="221"/>
      <c r="MDD134" s="221"/>
      <c r="MDE134" s="258"/>
      <c r="MDF134" s="270"/>
      <c r="MDG134" s="271"/>
      <c r="MDH134" s="271"/>
      <c r="MDI134" s="271"/>
      <c r="MDJ134" s="221"/>
      <c r="MDK134" s="221"/>
      <c r="MDL134" s="221"/>
      <c r="MDM134" s="258"/>
      <c r="MDN134" s="270"/>
      <c r="MDO134" s="271"/>
      <c r="MDP134" s="271"/>
      <c r="MDQ134" s="271"/>
      <c r="MDR134" s="221"/>
      <c r="MDS134" s="221"/>
      <c r="MDT134" s="221"/>
      <c r="MDU134" s="258"/>
      <c r="MDV134" s="270"/>
      <c r="MDW134" s="271"/>
      <c r="MDX134" s="271"/>
      <c r="MDY134" s="271"/>
      <c r="MDZ134" s="221"/>
      <c r="MEA134" s="221"/>
      <c r="MEB134" s="221"/>
      <c r="MEC134" s="258"/>
      <c r="MED134" s="270"/>
      <c r="MEE134" s="271"/>
      <c r="MEF134" s="271"/>
      <c r="MEG134" s="271"/>
      <c r="MEH134" s="221"/>
      <c r="MEI134" s="221"/>
      <c r="MEJ134" s="221"/>
      <c r="MEK134" s="258"/>
      <c r="MEL134" s="270"/>
      <c r="MEM134" s="271"/>
      <c r="MEN134" s="271"/>
      <c r="MEO134" s="271"/>
      <c r="MEP134" s="221"/>
      <c r="MEQ134" s="221"/>
      <c r="MER134" s="221"/>
      <c r="MES134" s="258"/>
      <c r="MET134" s="270"/>
      <c r="MEU134" s="271"/>
      <c r="MEV134" s="271"/>
      <c r="MEW134" s="271"/>
      <c r="MEX134" s="221"/>
      <c r="MEY134" s="221"/>
      <c r="MEZ134" s="221"/>
      <c r="MFA134" s="258"/>
      <c r="MFB134" s="270"/>
      <c r="MFC134" s="271"/>
      <c r="MFD134" s="271"/>
      <c r="MFE134" s="271"/>
      <c r="MFF134" s="221"/>
      <c r="MFG134" s="221"/>
      <c r="MFH134" s="221"/>
      <c r="MFI134" s="258"/>
      <c r="MFJ134" s="270"/>
      <c r="MFK134" s="271"/>
      <c r="MFL134" s="271"/>
      <c r="MFM134" s="271"/>
      <c r="MFN134" s="221"/>
      <c r="MFO134" s="221"/>
      <c r="MFP134" s="221"/>
      <c r="MFQ134" s="258"/>
      <c r="MFR134" s="270"/>
      <c r="MFS134" s="271"/>
      <c r="MFT134" s="271"/>
      <c r="MFU134" s="271"/>
      <c r="MFV134" s="221"/>
      <c r="MFW134" s="221"/>
      <c r="MFX134" s="221"/>
      <c r="MFY134" s="258"/>
      <c r="MFZ134" s="270"/>
      <c r="MGA134" s="271"/>
      <c r="MGB134" s="271"/>
      <c r="MGC134" s="271"/>
      <c r="MGD134" s="221"/>
      <c r="MGE134" s="221"/>
      <c r="MGF134" s="221"/>
      <c r="MGG134" s="258"/>
      <c r="MGH134" s="270"/>
      <c r="MGI134" s="271"/>
      <c r="MGJ134" s="271"/>
      <c r="MGK134" s="271"/>
      <c r="MGL134" s="221"/>
      <c r="MGM134" s="221"/>
      <c r="MGN134" s="221"/>
      <c r="MGO134" s="258"/>
      <c r="MGP134" s="270"/>
      <c r="MGQ134" s="271"/>
      <c r="MGR134" s="271"/>
      <c r="MGS134" s="271"/>
      <c r="MGT134" s="221"/>
      <c r="MGU134" s="221"/>
      <c r="MGV134" s="221"/>
      <c r="MGW134" s="258"/>
      <c r="MGX134" s="270"/>
      <c r="MGY134" s="271"/>
      <c r="MGZ134" s="271"/>
      <c r="MHA134" s="271"/>
      <c r="MHB134" s="221"/>
      <c r="MHC134" s="221"/>
      <c r="MHD134" s="221"/>
      <c r="MHE134" s="258"/>
      <c r="MHF134" s="270"/>
      <c r="MHG134" s="271"/>
      <c r="MHH134" s="271"/>
      <c r="MHI134" s="271"/>
      <c r="MHJ134" s="221"/>
      <c r="MHK134" s="221"/>
      <c r="MHL134" s="221"/>
      <c r="MHM134" s="258"/>
      <c r="MHN134" s="270"/>
      <c r="MHO134" s="271"/>
      <c r="MHP134" s="271"/>
      <c r="MHQ134" s="271"/>
      <c r="MHR134" s="221"/>
      <c r="MHS134" s="221"/>
      <c r="MHT134" s="221"/>
      <c r="MHU134" s="258"/>
      <c r="MHV134" s="270"/>
      <c r="MHW134" s="271"/>
      <c r="MHX134" s="271"/>
      <c r="MHY134" s="271"/>
      <c r="MHZ134" s="221"/>
      <c r="MIA134" s="221"/>
      <c r="MIB134" s="221"/>
      <c r="MIC134" s="258"/>
      <c r="MID134" s="270"/>
      <c r="MIE134" s="271"/>
      <c r="MIF134" s="271"/>
      <c r="MIG134" s="271"/>
      <c r="MIH134" s="221"/>
      <c r="MII134" s="221"/>
      <c r="MIJ134" s="221"/>
      <c r="MIK134" s="258"/>
      <c r="MIL134" s="270"/>
      <c r="MIM134" s="271"/>
      <c r="MIN134" s="271"/>
      <c r="MIO134" s="271"/>
      <c r="MIP134" s="221"/>
      <c r="MIQ134" s="221"/>
      <c r="MIR134" s="221"/>
      <c r="MIS134" s="258"/>
      <c r="MIT134" s="270"/>
      <c r="MIU134" s="271"/>
      <c r="MIV134" s="271"/>
      <c r="MIW134" s="271"/>
      <c r="MIX134" s="221"/>
      <c r="MIY134" s="221"/>
      <c r="MIZ134" s="221"/>
      <c r="MJA134" s="258"/>
      <c r="MJB134" s="270"/>
      <c r="MJC134" s="271"/>
      <c r="MJD134" s="271"/>
      <c r="MJE134" s="271"/>
      <c r="MJF134" s="221"/>
      <c r="MJG134" s="221"/>
      <c r="MJH134" s="221"/>
      <c r="MJI134" s="258"/>
      <c r="MJJ134" s="270"/>
      <c r="MJK134" s="271"/>
      <c r="MJL134" s="271"/>
      <c r="MJM134" s="271"/>
      <c r="MJN134" s="221"/>
      <c r="MJO134" s="221"/>
      <c r="MJP134" s="221"/>
      <c r="MJQ134" s="258"/>
      <c r="MJR134" s="270"/>
      <c r="MJS134" s="271"/>
      <c r="MJT134" s="271"/>
      <c r="MJU134" s="271"/>
      <c r="MJV134" s="221"/>
      <c r="MJW134" s="221"/>
      <c r="MJX134" s="221"/>
      <c r="MJY134" s="258"/>
      <c r="MJZ134" s="270"/>
      <c r="MKA134" s="271"/>
      <c r="MKB134" s="271"/>
      <c r="MKC134" s="271"/>
      <c r="MKD134" s="221"/>
      <c r="MKE134" s="221"/>
      <c r="MKF134" s="221"/>
      <c r="MKG134" s="258"/>
      <c r="MKH134" s="270"/>
      <c r="MKI134" s="271"/>
      <c r="MKJ134" s="271"/>
      <c r="MKK134" s="271"/>
      <c r="MKL134" s="221"/>
      <c r="MKM134" s="221"/>
      <c r="MKN134" s="221"/>
      <c r="MKO134" s="258"/>
      <c r="MKP134" s="270"/>
      <c r="MKQ134" s="271"/>
      <c r="MKR134" s="271"/>
      <c r="MKS134" s="271"/>
      <c r="MKT134" s="221"/>
      <c r="MKU134" s="221"/>
      <c r="MKV134" s="221"/>
      <c r="MKW134" s="258"/>
      <c r="MKX134" s="270"/>
      <c r="MKY134" s="271"/>
      <c r="MKZ134" s="271"/>
      <c r="MLA134" s="271"/>
      <c r="MLB134" s="221"/>
      <c r="MLC134" s="221"/>
      <c r="MLD134" s="221"/>
      <c r="MLE134" s="258"/>
      <c r="MLF134" s="270"/>
      <c r="MLG134" s="271"/>
      <c r="MLH134" s="271"/>
      <c r="MLI134" s="271"/>
      <c r="MLJ134" s="221"/>
      <c r="MLK134" s="221"/>
      <c r="MLL134" s="221"/>
      <c r="MLM134" s="258"/>
      <c r="MLN134" s="270"/>
      <c r="MLO134" s="271"/>
      <c r="MLP134" s="271"/>
      <c r="MLQ134" s="271"/>
      <c r="MLR134" s="221"/>
      <c r="MLS134" s="221"/>
      <c r="MLT134" s="221"/>
      <c r="MLU134" s="258"/>
      <c r="MLV134" s="270"/>
      <c r="MLW134" s="271"/>
      <c r="MLX134" s="271"/>
      <c r="MLY134" s="271"/>
      <c r="MLZ134" s="221"/>
      <c r="MMA134" s="221"/>
      <c r="MMB134" s="221"/>
      <c r="MMC134" s="258"/>
      <c r="MMD134" s="270"/>
      <c r="MME134" s="271"/>
      <c r="MMF134" s="271"/>
      <c r="MMG134" s="271"/>
      <c r="MMH134" s="221"/>
      <c r="MMI134" s="221"/>
      <c r="MMJ134" s="221"/>
      <c r="MMK134" s="258"/>
      <c r="MML134" s="270"/>
      <c r="MMM134" s="271"/>
      <c r="MMN134" s="271"/>
      <c r="MMO134" s="271"/>
      <c r="MMP134" s="221"/>
      <c r="MMQ134" s="221"/>
      <c r="MMR134" s="221"/>
      <c r="MMS134" s="258"/>
      <c r="MMT134" s="270"/>
      <c r="MMU134" s="271"/>
      <c r="MMV134" s="271"/>
      <c r="MMW134" s="271"/>
      <c r="MMX134" s="221"/>
      <c r="MMY134" s="221"/>
      <c r="MMZ134" s="221"/>
      <c r="MNA134" s="258"/>
      <c r="MNB134" s="270"/>
      <c r="MNC134" s="271"/>
      <c r="MND134" s="271"/>
      <c r="MNE134" s="271"/>
      <c r="MNF134" s="221"/>
      <c r="MNG134" s="221"/>
      <c r="MNH134" s="221"/>
      <c r="MNI134" s="258"/>
      <c r="MNJ134" s="270"/>
      <c r="MNK134" s="271"/>
      <c r="MNL134" s="271"/>
      <c r="MNM134" s="271"/>
      <c r="MNN134" s="221"/>
      <c r="MNO134" s="221"/>
      <c r="MNP134" s="221"/>
      <c r="MNQ134" s="258"/>
      <c r="MNR134" s="270"/>
      <c r="MNS134" s="271"/>
      <c r="MNT134" s="271"/>
      <c r="MNU134" s="271"/>
      <c r="MNV134" s="221"/>
      <c r="MNW134" s="221"/>
      <c r="MNX134" s="221"/>
      <c r="MNY134" s="258"/>
      <c r="MNZ134" s="270"/>
      <c r="MOA134" s="271"/>
      <c r="MOB134" s="271"/>
      <c r="MOC134" s="271"/>
      <c r="MOD134" s="221"/>
      <c r="MOE134" s="221"/>
      <c r="MOF134" s="221"/>
      <c r="MOG134" s="258"/>
      <c r="MOH134" s="270"/>
      <c r="MOI134" s="271"/>
      <c r="MOJ134" s="271"/>
      <c r="MOK134" s="271"/>
      <c r="MOL134" s="221"/>
      <c r="MOM134" s="221"/>
      <c r="MON134" s="221"/>
      <c r="MOO134" s="258"/>
      <c r="MOP134" s="270"/>
      <c r="MOQ134" s="271"/>
      <c r="MOR134" s="271"/>
      <c r="MOS134" s="271"/>
      <c r="MOT134" s="221"/>
      <c r="MOU134" s="221"/>
      <c r="MOV134" s="221"/>
      <c r="MOW134" s="258"/>
      <c r="MOX134" s="270"/>
      <c r="MOY134" s="271"/>
      <c r="MOZ134" s="271"/>
      <c r="MPA134" s="271"/>
      <c r="MPB134" s="221"/>
      <c r="MPC134" s="221"/>
      <c r="MPD134" s="221"/>
      <c r="MPE134" s="258"/>
      <c r="MPF134" s="270"/>
      <c r="MPG134" s="271"/>
      <c r="MPH134" s="271"/>
      <c r="MPI134" s="271"/>
      <c r="MPJ134" s="221"/>
      <c r="MPK134" s="221"/>
      <c r="MPL134" s="221"/>
      <c r="MPM134" s="258"/>
      <c r="MPN134" s="270"/>
      <c r="MPO134" s="271"/>
      <c r="MPP134" s="271"/>
      <c r="MPQ134" s="271"/>
      <c r="MPR134" s="221"/>
      <c r="MPS134" s="221"/>
      <c r="MPT134" s="221"/>
      <c r="MPU134" s="258"/>
      <c r="MPV134" s="270"/>
      <c r="MPW134" s="271"/>
      <c r="MPX134" s="271"/>
      <c r="MPY134" s="271"/>
      <c r="MPZ134" s="221"/>
      <c r="MQA134" s="221"/>
      <c r="MQB134" s="221"/>
      <c r="MQC134" s="258"/>
      <c r="MQD134" s="270"/>
      <c r="MQE134" s="271"/>
      <c r="MQF134" s="271"/>
      <c r="MQG134" s="271"/>
      <c r="MQH134" s="221"/>
      <c r="MQI134" s="221"/>
      <c r="MQJ134" s="221"/>
      <c r="MQK134" s="258"/>
      <c r="MQL134" s="270"/>
      <c r="MQM134" s="271"/>
      <c r="MQN134" s="271"/>
      <c r="MQO134" s="271"/>
      <c r="MQP134" s="221"/>
      <c r="MQQ134" s="221"/>
      <c r="MQR134" s="221"/>
      <c r="MQS134" s="258"/>
      <c r="MQT134" s="270"/>
      <c r="MQU134" s="271"/>
      <c r="MQV134" s="271"/>
      <c r="MQW134" s="271"/>
      <c r="MQX134" s="221"/>
      <c r="MQY134" s="221"/>
      <c r="MQZ134" s="221"/>
      <c r="MRA134" s="258"/>
      <c r="MRB134" s="270"/>
      <c r="MRC134" s="271"/>
      <c r="MRD134" s="271"/>
      <c r="MRE134" s="271"/>
      <c r="MRF134" s="221"/>
      <c r="MRG134" s="221"/>
      <c r="MRH134" s="221"/>
      <c r="MRI134" s="258"/>
      <c r="MRJ134" s="270"/>
      <c r="MRK134" s="271"/>
      <c r="MRL134" s="271"/>
      <c r="MRM134" s="271"/>
      <c r="MRN134" s="221"/>
      <c r="MRO134" s="221"/>
      <c r="MRP134" s="221"/>
      <c r="MRQ134" s="258"/>
      <c r="MRR134" s="270"/>
      <c r="MRS134" s="271"/>
      <c r="MRT134" s="271"/>
      <c r="MRU134" s="271"/>
      <c r="MRV134" s="221"/>
      <c r="MRW134" s="221"/>
      <c r="MRX134" s="221"/>
      <c r="MRY134" s="258"/>
      <c r="MRZ134" s="270"/>
      <c r="MSA134" s="271"/>
      <c r="MSB134" s="271"/>
      <c r="MSC134" s="271"/>
      <c r="MSD134" s="221"/>
      <c r="MSE134" s="221"/>
      <c r="MSF134" s="221"/>
      <c r="MSG134" s="258"/>
      <c r="MSH134" s="270"/>
      <c r="MSI134" s="271"/>
      <c r="MSJ134" s="271"/>
      <c r="MSK134" s="271"/>
      <c r="MSL134" s="221"/>
      <c r="MSM134" s="221"/>
      <c r="MSN134" s="221"/>
      <c r="MSO134" s="258"/>
      <c r="MSP134" s="270"/>
      <c r="MSQ134" s="271"/>
      <c r="MSR134" s="271"/>
      <c r="MSS134" s="271"/>
      <c r="MST134" s="221"/>
      <c r="MSU134" s="221"/>
      <c r="MSV134" s="221"/>
      <c r="MSW134" s="258"/>
      <c r="MSX134" s="270"/>
      <c r="MSY134" s="271"/>
      <c r="MSZ134" s="271"/>
      <c r="MTA134" s="271"/>
      <c r="MTB134" s="221"/>
      <c r="MTC134" s="221"/>
      <c r="MTD134" s="221"/>
      <c r="MTE134" s="258"/>
      <c r="MTF134" s="270"/>
      <c r="MTG134" s="271"/>
      <c r="MTH134" s="271"/>
      <c r="MTI134" s="271"/>
      <c r="MTJ134" s="221"/>
      <c r="MTK134" s="221"/>
      <c r="MTL134" s="221"/>
      <c r="MTM134" s="258"/>
      <c r="MTN134" s="270"/>
      <c r="MTO134" s="271"/>
      <c r="MTP134" s="271"/>
      <c r="MTQ134" s="271"/>
      <c r="MTR134" s="221"/>
      <c r="MTS134" s="221"/>
      <c r="MTT134" s="221"/>
      <c r="MTU134" s="258"/>
      <c r="MTV134" s="270"/>
      <c r="MTW134" s="271"/>
      <c r="MTX134" s="271"/>
      <c r="MTY134" s="271"/>
      <c r="MTZ134" s="221"/>
      <c r="MUA134" s="221"/>
      <c r="MUB134" s="221"/>
      <c r="MUC134" s="258"/>
      <c r="MUD134" s="270"/>
      <c r="MUE134" s="271"/>
      <c r="MUF134" s="271"/>
      <c r="MUG134" s="271"/>
      <c r="MUH134" s="221"/>
      <c r="MUI134" s="221"/>
      <c r="MUJ134" s="221"/>
      <c r="MUK134" s="258"/>
      <c r="MUL134" s="270"/>
      <c r="MUM134" s="271"/>
      <c r="MUN134" s="271"/>
      <c r="MUO134" s="271"/>
      <c r="MUP134" s="221"/>
      <c r="MUQ134" s="221"/>
      <c r="MUR134" s="221"/>
      <c r="MUS134" s="258"/>
      <c r="MUT134" s="270"/>
      <c r="MUU134" s="271"/>
      <c r="MUV134" s="271"/>
      <c r="MUW134" s="271"/>
      <c r="MUX134" s="221"/>
      <c r="MUY134" s="221"/>
      <c r="MUZ134" s="221"/>
      <c r="MVA134" s="258"/>
      <c r="MVB134" s="270"/>
      <c r="MVC134" s="271"/>
      <c r="MVD134" s="271"/>
      <c r="MVE134" s="271"/>
      <c r="MVF134" s="221"/>
      <c r="MVG134" s="221"/>
      <c r="MVH134" s="221"/>
      <c r="MVI134" s="258"/>
      <c r="MVJ134" s="270"/>
      <c r="MVK134" s="271"/>
      <c r="MVL134" s="271"/>
      <c r="MVM134" s="271"/>
      <c r="MVN134" s="221"/>
      <c r="MVO134" s="221"/>
      <c r="MVP134" s="221"/>
      <c r="MVQ134" s="258"/>
      <c r="MVR134" s="270"/>
      <c r="MVS134" s="271"/>
      <c r="MVT134" s="271"/>
      <c r="MVU134" s="271"/>
      <c r="MVV134" s="221"/>
      <c r="MVW134" s="221"/>
      <c r="MVX134" s="221"/>
      <c r="MVY134" s="258"/>
      <c r="MVZ134" s="270"/>
      <c r="MWA134" s="271"/>
      <c r="MWB134" s="271"/>
      <c r="MWC134" s="271"/>
      <c r="MWD134" s="221"/>
      <c r="MWE134" s="221"/>
      <c r="MWF134" s="221"/>
      <c r="MWG134" s="258"/>
      <c r="MWH134" s="270"/>
      <c r="MWI134" s="271"/>
      <c r="MWJ134" s="271"/>
      <c r="MWK134" s="271"/>
      <c r="MWL134" s="221"/>
      <c r="MWM134" s="221"/>
      <c r="MWN134" s="221"/>
      <c r="MWO134" s="258"/>
      <c r="MWP134" s="270"/>
      <c r="MWQ134" s="271"/>
      <c r="MWR134" s="271"/>
      <c r="MWS134" s="271"/>
      <c r="MWT134" s="221"/>
      <c r="MWU134" s="221"/>
      <c r="MWV134" s="221"/>
      <c r="MWW134" s="258"/>
      <c r="MWX134" s="270"/>
      <c r="MWY134" s="271"/>
      <c r="MWZ134" s="271"/>
      <c r="MXA134" s="271"/>
      <c r="MXB134" s="221"/>
      <c r="MXC134" s="221"/>
      <c r="MXD134" s="221"/>
      <c r="MXE134" s="258"/>
      <c r="MXF134" s="270"/>
      <c r="MXG134" s="271"/>
      <c r="MXH134" s="271"/>
      <c r="MXI134" s="271"/>
      <c r="MXJ134" s="221"/>
      <c r="MXK134" s="221"/>
      <c r="MXL134" s="221"/>
      <c r="MXM134" s="258"/>
      <c r="MXN134" s="270"/>
      <c r="MXO134" s="271"/>
      <c r="MXP134" s="271"/>
      <c r="MXQ134" s="271"/>
      <c r="MXR134" s="221"/>
      <c r="MXS134" s="221"/>
      <c r="MXT134" s="221"/>
      <c r="MXU134" s="258"/>
      <c r="MXV134" s="270"/>
      <c r="MXW134" s="271"/>
      <c r="MXX134" s="271"/>
      <c r="MXY134" s="271"/>
      <c r="MXZ134" s="221"/>
      <c r="MYA134" s="221"/>
      <c r="MYB134" s="221"/>
      <c r="MYC134" s="258"/>
      <c r="MYD134" s="270"/>
      <c r="MYE134" s="271"/>
      <c r="MYF134" s="271"/>
      <c r="MYG134" s="271"/>
      <c r="MYH134" s="221"/>
      <c r="MYI134" s="221"/>
      <c r="MYJ134" s="221"/>
      <c r="MYK134" s="258"/>
      <c r="MYL134" s="270"/>
      <c r="MYM134" s="271"/>
      <c r="MYN134" s="271"/>
      <c r="MYO134" s="271"/>
      <c r="MYP134" s="221"/>
      <c r="MYQ134" s="221"/>
      <c r="MYR134" s="221"/>
      <c r="MYS134" s="258"/>
      <c r="MYT134" s="270"/>
      <c r="MYU134" s="271"/>
      <c r="MYV134" s="271"/>
      <c r="MYW134" s="271"/>
      <c r="MYX134" s="221"/>
      <c r="MYY134" s="221"/>
      <c r="MYZ134" s="221"/>
      <c r="MZA134" s="258"/>
      <c r="MZB134" s="270"/>
      <c r="MZC134" s="271"/>
      <c r="MZD134" s="271"/>
      <c r="MZE134" s="271"/>
      <c r="MZF134" s="221"/>
      <c r="MZG134" s="221"/>
      <c r="MZH134" s="221"/>
      <c r="MZI134" s="258"/>
      <c r="MZJ134" s="270"/>
      <c r="MZK134" s="271"/>
      <c r="MZL134" s="271"/>
      <c r="MZM134" s="271"/>
      <c r="MZN134" s="221"/>
      <c r="MZO134" s="221"/>
      <c r="MZP134" s="221"/>
      <c r="MZQ134" s="258"/>
      <c r="MZR134" s="270"/>
      <c r="MZS134" s="271"/>
      <c r="MZT134" s="271"/>
      <c r="MZU134" s="271"/>
      <c r="MZV134" s="221"/>
      <c r="MZW134" s="221"/>
      <c r="MZX134" s="221"/>
      <c r="MZY134" s="258"/>
      <c r="MZZ134" s="270"/>
      <c r="NAA134" s="271"/>
      <c r="NAB134" s="271"/>
      <c r="NAC134" s="271"/>
      <c r="NAD134" s="221"/>
      <c r="NAE134" s="221"/>
      <c r="NAF134" s="221"/>
      <c r="NAG134" s="258"/>
      <c r="NAH134" s="270"/>
      <c r="NAI134" s="271"/>
      <c r="NAJ134" s="271"/>
      <c r="NAK134" s="271"/>
      <c r="NAL134" s="221"/>
      <c r="NAM134" s="221"/>
      <c r="NAN134" s="221"/>
      <c r="NAO134" s="258"/>
      <c r="NAP134" s="270"/>
      <c r="NAQ134" s="271"/>
      <c r="NAR134" s="271"/>
      <c r="NAS134" s="271"/>
      <c r="NAT134" s="221"/>
      <c r="NAU134" s="221"/>
      <c r="NAV134" s="221"/>
      <c r="NAW134" s="258"/>
      <c r="NAX134" s="270"/>
      <c r="NAY134" s="271"/>
      <c r="NAZ134" s="271"/>
      <c r="NBA134" s="271"/>
      <c r="NBB134" s="221"/>
      <c r="NBC134" s="221"/>
      <c r="NBD134" s="221"/>
      <c r="NBE134" s="258"/>
      <c r="NBF134" s="270"/>
      <c r="NBG134" s="271"/>
      <c r="NBH134" s="271"/>
      <c r="NBI134" s="271"/>
      <c r="NBJ134" s="221"/>
      <c r="NBK134" s="221"/>
      <c r="NBL134" s="221"/>
      <c r="NBM134" s="258"/>
      <c r="NBN134" s="270"/>
      <c r="NBO134" s="271"/>
      <c r="NBP134" s="271"/>
      <c r="NBQ134" s="271"/>
      <c r="NBR134" s="221"/>
      <c r="NBS134" s="221"/>
      <c r="NBT134" s="221"/>
      <c r="NBU134" s="258"/>
      <c r="NBV134" s="270"/>
      <c r="NBW134" s="271"/>
      <c r="NBX134" s="271"/>
      <c r="NBY134" s="271"/>
      <c r="NBZ134" s="221"/>
      <c r="NCA134" s="221"/>
      <c r="NCB134" s="221"/>
      <c r="NCC134" s="258"/>
      <c r="NCD134" s="270"/>
      <c r="NCE134" s="271"/>
      <c r="NCF134" s="271"/>
      <c r="NCG134" s="271"/>
      <c r="NCH134" s="221"/>
      <c r="NCI134" s="221"/>
      <c r="NCJ134" s="221"/>
      <c r="NCK134" s="258"/>
      <c r="NCL134" s="270"/>
      <c r="NCM134" s="271"/>
      <c r="NCN134" s="271"/>
      <c r="NCO134" s="271"/>
      <c r="NCP134" s="221"/>
      <c r="NCQ134" s="221"/>
      <c r="NCR134" s="221"/>
      <c r="NCS134" s="258"/>
      <c r="NCT134" s="270"/>
      <c r="NCU134" s="271"/>
      <c r="NCV134" s="271"/>
      <c r="NCW134" s="271"/>
      <c r="NCX134" s="221"/>
      <c r="NCY134" s="221"/>
      <c r="NCZ134" s="221"/>
      <c r="NDA134" s="258"/>
      <c r="NDB134" s="270"/>
      <c r="NDC134" s="271"/>
      <c r="NDD134" s="271"/>
      <c r="NDE134" s="271"/>
      <c r="NDF134" s="221"/>
      <c r="NDG134" s="221"/>
      <c r="NDH134" s="221"/>
      <c r="NDI134" s="258"/>
      <c r="NDJ134" s="270"/>
      <c r="NDK134" s="271"/>
      <c r="NDL134" s="271"/>
      <c r="NDM134" s="271"/>
      <c r="NDN134" s="221"/>
      <c r="NDO134" s="221"/>
      <c r="NDP134" s="221"/>
      <c r="NDQ134" s="258"/>
      <c r="NDR134" s="270"/>
      <c r="NDS134" s="271"/>
      <c r="NDT134" s="271"/>
      <c r="NDU134" s="271"/>
      <c r="NDV134" s="221"/>
      <c r="NDW134" s="221"/>
      <c r="NDX134" s="221"/>
      <c r="NDY134" s="258"/>
      <c r="NDZ134" s="270"/>
      <c r="NEA134" s="271"/>
      <c r="NEB134" s="271"/>
      <c r="NEC134" s="271"/>
      <c r="NED134" s="221"/>
      <c r="NEE134" s="221"/>
      <c r="NEF134" s="221"/>
      <c r="NEG134" s="258"/>
      <c r="NEH134" s="270"/>
      <c r="NEI134" s="271"/>
      <c r="NEJ134" s="271"/>
      <c r="NEK134" s="271"/>
      <c r="NEL134" s="221"/>
      <c r="NEM134" s="221"/>
      <c r="NEN134" s="221"/>
      <c r="NEO134" s="258"/>
      <c r="NEP134" s="270"/>
      <c r="NEQ134" s="271"/>
      <c r="NER134" s="271"/>
      <c r="NES134" s="271"/>
      <c r="NET134" s="221"/>
      <c r="NEU134" s="221"/>
      <c r="NEV134" s="221"/>
      <c r="NEW134" s="258"/>
      <c r="NEX134" s="270"/>
      <c r="NEY134" s="271"/>
      <c r="NEZ134" s="271"/>
      <c r="NFA134" s="271"/>
      <c r="NFB134" s="221"/>
      <c r="NFC134" s="221"/>
      <c r="NFD134" s="221"/>
      <c r="NFE134" s="258"/>
      <c r="NFF134" s="270"/>
      <c r="NFG134" s="271"/>
      <c r="NFH134" s="271"/>
      <c r="NFI134" s="271"/>
      <c r="NFJ134" s="221"/>
      <c r="NFK134" s="221"/>
      <c r="NFL134" s="221"/>
      <c r="NFM134" s="258"/>
      <c r="NFN134" s="270"/>
      <c r="NFO134" s="271"/>
      <c r="NFP134" s="271"/>
      <c r="NFQ134" s="271"/>
      <c r="NFR134" s="221"/>
      <c r="NFS134" s="221"/>
      <c r="NFT134" s="221"/>
      <c r="NFU134" s="258"/>
      <c r="NFV134" s="270"/>
      <c r="NFW134" s="271"/>
      <c r="NFX134" s="271"/>
      <c r="NFY134" s="271"/>
      <c r="NFZ134" s="221"/>
      <c r="NGA134" s="221"/>
      <c r="NGB134" s="221"/>
      <c r="NGC134" s="258"/>
      <c r="NGD134" s="270"/>
      <c r="NGE134" s="271"/>
      <c r="NGF134" s="271"/>
      <c r="NGG134" s="271"/>
      <c r="NGH134" s="221"/>
      <c r="NGI134" s="221"/>
      <c r="NGJ134" s="221"/>
      <c r="NGK134" s="258"/>
      <c r="NGL134" s="270"/>
      <c r="NGM134" s="271"/>
      <c r="NGN134" s="271"/>
      <c r="NGO134" s="271"/>
      <c r="NGP134" s="221"/>
      <c r="NGQ134" s="221"/>
      <c r="NGR134" s="221"/>
      <c r="NGS134" s="258"/>
      <c r="NGT134" s="270"/>
      <c r="NGU134" s="271"/>
      <c r="NGV134" s="271"/>
      <c r="NGW134" s="271"/>
      <c r="NGX134" s="221"/>
      <c r="NGY134" s="221"/>
      <c r="NGZ134" s="221"/>
      <c r="NHA134" s="258"/>
      <c r="NHB134" s="270"/>
      <c r="NHC134" s="271"/>
      <c r="NHD134" s="271"/>
      <c r="NHE134" s="271"/>
      <c r="NHF134" s="221"/>
      <c r="NHG134" s="221"/>
      <c r="NHH134" s="221"/>
      <c r="NHI134" s="258"/>
      <c r="NHJ134" s="270"/>
      <c r="NHK134" s="271"/>
      <c r="NHL134" s="271"/>
      <c r="NHM134" s="271"/>
      <c r="NHN134" s="221"/>
      <c r="NHO134" s="221"/>
      <c r="NHP134" s="221"/>
      <c r="NHQ134" s="258"/>
      <c r="NHR134" s="270"/>
      <c r="NHS134" s="271"/>
      <c r="NHT134" s="271"/>
      <c r="NHU134" s="271"/>
      <c r="NHV134" s="221"/>
      <c r="NHW134" s="221"/>
      <c r="NHX134" s="221"/>
      <c r="NHY134" s="258"/>
      <c r="NHZ134" s="270"/>
      <c r="NIA134" s="271"/>
      <c r="NIB134" s="271"/>
      <c r="NIC134" s="271"/>
      <c r="NID134" s="221"/>
      <c r="NIE134" s="221"/>
      <c r="NIF134" s="221"/>
      <c r="NIG134" s="258"/>
      <c r="NIH134" s="270"/>
      <c r="NII134" s="271"/>
      <c r="NIJ134" s="271"/>
      <c r="NIK134" s="271"/>
      <c r="NIL134" s="221"/>
      <c r="NIM134" s="221"/>
      <c r="NIN134" s="221"/>
      <c r="NIO134" s="258"/>
      <c r="NIP134" s="270"/>
      <c r="NIQ134" s="271"/>
      <c r="NIR134" s="271"/>
      <c r="NIS134" s="271"/>
      <c r="NIT134" s="221"/>
      <c r="NIU134" s="221"/>
      <c r="NIV134" s="221"/>
      <c r="NIW134" s="258"/>
      <c r="NIX134" s="270"/>
      <c r="NIY134" s="271"/>
      <c r="NIZ134" s="271"/>
      <c r="NJA134" s="271"/>
      <c r="NJB134" s="221"/>
      <c r="NJC134" s="221"/>
      <c r="NJD134" s="221"/>
      <c r="NJE134" s="258"/>
      <c r="NJF134" s="270"/>
      <c r="NJG134" s="271"/>
      <c r="NJH134" s="271"/>
      <c r="NJI134" s="271"/>
      <c r="NJJ134" s="221"/>
      <c r="NJK134" s="221"/>
      <c r="NJL134" s="221"/>
      <c r="NJM134" s="258"/>
      <c r="NJN134" s="270"/>
      <c r="NJO134" s="271"/>
      <c r="NJP134" s="271"/>
      <c r="NJQ134" s="271"/>
      <c r="NJR134" s="221"/>
      <c r="NJS134" s="221"/>
      <c r="NJT134" s="221"/>
      <c r="NJU134" s="258"/>
      <c r="NJV134" s="270"/>
      <c r="NJW134" s="271"/>
      <c r="NJX134" s="271"/>
      <c r="NJY134" s="271"/>
      <c r="NJZ134" s="221"/>
      <c r="NKA134" s="221"/>
      <c r="NKB134" s="221"/>
      <c r="NKC134" s="258"/>
      <c r="NKD134" s="270"/>
      <c r="NKE134" s="271"/>
      <c r="NKF134" s="271"/>
      <c r="NKG134" s="271"/>
      <c r="NKH134" s="221"/>
      <c r="NKI134" s="221"/>
      <c r="NKJ134" s="221"/>
      <c r="NKK134" s="258"/>
      <c r="NKL134" s="270"/>
      <c r="NKM134" s="271"/>
      <c r="NKN134" s="271"/>
      <c r="NKO134" s="271"/>
      <c r="NKP134" s="221"/>
      <c r="NKQ134" s="221"/>
      <c r="NKR134" s="221"/>
      <c r="NKS134" s="258"/>
      <c r="NKT134" s="270"/>
      <c r="NKU134" s="271"/>
      <c r="NKV134" s="271"/>
      <c r="NKW134" s="271"/>
      <c r="NKX134" s="221"/>
      <c r="NKY134" s="221"/>
      <c r="NKZ134" s="221"/>
      <c r="NLA134" s="258"/>
      <c r="NLB134" s="270"/>
      <c r="NLC134" s="271"/>
      <c r="NLD134" s="271"/>
      <c r="NLE134" s="271"/>
      <c r="NLF134" s="221"/>
      <c r="NLG134" s="221"/>
      <c r="NLH134" s="221"/>
      <c r="NLI134" s="258"/>
      <c r="NLJ134" s="270"/>
      <c r="NLK134" s="271"/>
      <c r="NLL134" s="271"/>
      <c r="NLM134" s="271"/>
      <c r="NLN134" s="221"/>
      <c r="NLO134" s="221"/>
      <c r="NLP134" s="221"/>
      <c r="NLQ134" s="258"/>
      <c r="NLR134" s="270"/>
      <c r="NLS134" s="271"/>
      <c r="NLT134" s="271"/>
      <c r="NLU134" s="271"/>
      <c r="NLV134" s="221"/>
      <c r="NLW134" s="221"/>
      <c r="NLX134" s="221"/>
      <c r="NLY134" s="258"/>
      <c r="NLZ134" s="270"/>
      <c r="NMA134" s="271"/>
      <c r="NMB134" s="271"/>
      <c r="NMC134" s="271"/>
      <c r="NMD134" s="221"/>
      <c r="NME134" s="221"/>
      <c r="NMF134" s="221"/>
      <c r="NMG134" s="258"/>
      <c r="NMH134" s="270"/>
      <c r="NMI134" s="271"/>
      <c r="NMJ134" s="271"/>
      <c r="NMK134" s="271"/>
      <c r="NML134" s="221"/>
      <c r="NMM134" s="221"/>
      <c r="NMN134" s="221"/>
      <c r="NMO134" s="258"/>
      <c r="NMP134" s="270"/>
      <c r="NMQ134" s="271"/>
      <c r="NMR134" s="271"/>
      <c r="NMS134" s="271"/>
      <c r="NMT134" s="221"/>
      <c r="NMU134" s="221"/>
      <c r="NMV134" s="221"/>
      <c r="NMW134" s="258"/>
      <c r="NMX134" s="270"/>
      <c r="NMY134" s="271"/>
      <c r="NMZ134" s="271"/>
      <c r="NNA134" s="271"/>
      <c r="NNB134" s="221"/>
      <c r="NNC134" s="221"/>
      <c r="NND134" s="221"/>
      <c r="NNE134" s="258"/>
      <c r="NNF134" s="270"/>
      <c r="NNG134" s="271"/>
      <c r="NNH134" s="271"/>
      <c r="NNI134" s="271"/>
      <c r="NNJ134" s="221"/>
      <c r="NNK134" s="221"/>
      <c r="NNL134" s="221"/>
      <c r="NNM134" s="258"/>
      <c r="NNN134" s="270"/>
      <c r="NNO134" s="271"/>
      <c r="NNP134" s="271"/>
      <c r="NNQ134" s="271"/>
      <c r="NNR134" s="221"/>
      <c r="NNS134" s="221"/>
      <c r="NNT134" s="221"/>
      <c r="NNU134" s="258"/>
      <c r="NNV134" s="270"/>
      <c r="NNW134" s="271"/>
      <c r="NNX134" s="271"/>
      <c r="NNY134" s="271"/>
      <c r="NNZ134" s="221"/>
      <c r="NOA134" s="221"/>
      <c r="NOB134" s="221"/>
      <c r="NOC134" s="258"/>
      <c r="NOD134" s="270"/>
      <c r="NOE134" s="271"/>
      <c r="NOF134" s="271"/>
      <c r="NOG134" s="271"/>
      <c r="NOH134" s="221"/>
      <c r="NOI134" s="221"/>
      <c r="NOJ134" s="221"/>
      <c r="NOK134" s="258"/>
      <c r="NOL134" s="270"/>
      <c r="NOM134" s="271"/>
      <c r="NON134" s="271"/>
      <c r="NOO134" s="271"/>
      <c r="NOP134" s="221"/>
      <c r="NOQ134" s="221"/>
      <c r="NOR134" s="221"/>
      <c r="NOS134" s="258"/>
      <c r="NOT134" s="270"/>
      <c r="NOU134" s="271"/>
      <c r="NOV134" s="271"/>
      <c r="NOW134" s="271"/>
      <c r="NOX134" s="221"/>
      <c r="NOY134" s="221"/>
      <c r="NOZ134" s="221"/>
      <c r="NPA134" s="258"/>
      <c r="NPB134" s="270"/>
      <c r="NPC134" s="271"/>
      <c r="NPD134" s="271"/>
      <c r="NPE134" s="271"/>
      <c r="NPF134" s="221"/>
      <c r="NPG134" s="221"/>
      <c r="NPH134" s="221"/>
      <c r="NPI134" s="258"/>
      <c r="NPJ134" s="270"/>
      <c r="NPK134" s="271"/>
      <c r="NPL134" s="271"/>
      <c r="NPM134" s="271"/>
      <c r="NPN134" s="221"/>
      <c r="NPO134" s="221"/>
      <c r="NPP134" s="221"/>
      <c r="NPQ134" s="258"/>
      <c r="NPR134" s="270"/>
      <c r="NPS134" s="271"/>
      <c r="NPT134" s="271"/>
      <c r="NPU134" s="271"/>
      <c r="NPV134" s="221"/>
      <c r="NPW134" s="221"/>
      <c r="NPX134" s="221"/>
      <c r="NPY134" s="258"/>
      <c r="NPZ134" s="270"/>
      <c r="NQA134" s="271"/>
      <c r="NQB134" s="271"/>
      <c r="NQC134" s="271"/>
      <c r="NQD134" s="221"/>
      <c r="NQE134" s="221"/>
      <c r="NQF134" s="221"/>
      <c r="NQG134" s="258"/>
      <c r="NQH134" s="270"/>
      <c r="NQI134" s="271"/>
      <c r="NQJ134" s="271"/>
      <c r="NQK134" s="271"/>
      <c r="NQL134" s="221"/>
      <c r="NQM134" s="221"/>
      <c r="NQN134" s="221"/>
      <c r="NQO134" s="258"/>
      <c r="NQP134" s="270"/>
      <c r="NQQ134" s="271"/>
      <c r="NQR134" s="271"/>
      <c r="NQS134" s="271"/>
      <c r="NQT134" s="221"/>
      <c r="NQU134" s="221"/>
      <c r="NQV134" s="221"/>
      <c r="NQW134" s="258"/>
      <c r="NQX134" s="270"/>
      <c r="NQY134" s="271"/>
      <c r="NQZ134" s="271"/>
      <c r="NRA134" s="271"/>
      <c r="NRB134" s="221"/>
      <c r="NRC134" s="221"/>
      <c r="NRD134" s="221"/>
      <c r="NRE134" s="258"/>
      <c r="NRF134" s="270"/>
      <c r="NRG134" s="271"/>
      <c r="NRH134" s="271"/>
      <c r="NRI134" s="271"/>
      <c r="NRJ134" s="221"/>
      <c r="NRK134" s="221"/>
      <c r="NRL134" s="221"/>
      <c r="NRM134" s="258"/>
      <c r="NRN134" s="270"/>
      <c r="NRO134" s="271"/>
      <c r="NRP134" s="271"/>
      <c r="NRQ134" s="271"/>
      <c r="NRR134" s="221"/>
      <c r="NRS134" s="221"/>
      <c r="NRT134" s="221"/>
      <c r="NRU134" s="258"/>
      <c r="NRV134" s="270"/>
      <c r="NRW134" s="271"/>
      <c r="NRX134" s="271"/>
      <c r="NRY134" s="271"/>
      <c r="NRZ134" s="221"/>
      <c r="NSA134" s="221"/>
      <c r="NSB134" s="221"/>
      <c r="NSC134" s="258"/>
      <c r="NSD134" s="270"/>
      <c r="NSE134" s="271"/>
      <c r="NSF134" s="271"/>
      <c r="NSG134" s="271"/>
      <c r="NSH134" s="221"/>
      <c r="NSI134" s="221"/>
      <c r="NSJ134" s="221"/>
      <c r="NSK134" s="258"/>
      <c r="NSL134" s="270"/>
      <c r="NSM134" s="271"/>
      <c r="NSN134" s="271"/>
      <c r="NSO134" s="271"/>
      <c r="NSP134" s="221"/>
      <c r="NSQ134" s="221"/>
      <c r="NSR134" s="221"/>
      <c r="NSS134" s="258"/>
      <c r="NST134" s="270"/>
      <c r="NSU134" s="271"/>
      <c r="NSV134" s="271"/>
      <c r="NSW134" s="271"/>
      <c r="NSX134" s="221"/>
      <c r="NSY134" s="221"/>
      <c r="NSZ134" s="221"/>
      <c r="NTA134" s="258"/>
      <c r="NTB134" s="270"/>
      <c r="NTC134" s="271"/>
      <c r="NTD134" s="271"/>
      <c r="NTE134" s="271"/>
      <c r="NTF134" s="221"/>
      <c r="NTG134" s="221"/>
      <c r="NTH134" s="221"/>
      <c r="NTI134" s="258"/>
      <c r="NTJ134" s="270"/>
      <c r="NTK134" s="271"/>
      <c r="NTL134" s="271"/>
      <c r="NTM134" s="271"/>
      <c r="NTN134" s="221"/>
      <c r="NTO134" s="221"/>
      <c r="NTP134" s="221"/>
      <c r="NTQ134" s="258"/>
      <c r="NTR134" s="270"/>
      <c r="NTS134" s="271"/>
      <c r="NTT134" s="271"/>
      <c r="NTU134" s="271"/>
      <c r="NTV134" s="221"/>
      <c r="NTW134" s="221"/>
      <c r="NTX134" s="221"/>
      <c r="NTY134" s="258"/>
      <c r="NTZ134" s="270"/>
      <c r="NUA134" s="271"/>
      <c r="NUB134" s="271"/>
      <c r="NUC134" s="271"/>
      <c r="NUD134" s="221"/>
      <c r="NUE134" s="221"/>
      <c r="NUF134" s="221"/>
      <c r="NUG134" s="258"/>
      <c r="NUH134" s="270"/>
      <c r="NUI134" s="271"/>
      <c r="NUJ134" s="271"/>
      <c r="NUK134" s="271"/>
      <c r="NUL134" s="221"/>
      <c r="NUM134" s="221"/>
      <c r="NUN134" s="221"/>
      <c r="NUO134" s="258"/>
      <c r="NUP134" s="270"/>
      <c r="NUQ134" s="271"/>
      <c r="NUR134" s="271"/>
      <c r="NUS134" s="271"/>
      <c r="NUT134" s="221"/>
      <c r="NUU134" s="221"/>
      <c r="NUV134" s="221"/>
      <c r="NUW134" s="258"/>
      <c r="NUX134" s="270"/>
      <c r="NUY134" s="271"/>
      <c r="NUZ134" s="271"/>
      <c r="NVA134" s="271"/>
      <c r="NVB134" s="221"/>
      <c r="NVC134" s="221"/>
      <c r="NVD134" s="221"/>
      <c r="NVE134" s="258"/>
      <c r="NVF134" s="270"/>
      <c r="NVG134" s="271"/>
      <c r="NVH134" s="271"/>
      <c r="NVI134" s="271"/>
      <c r="NVJ134" s="221"/>
      <c r="NVK134" s="221"/>
      <c r="NVL134" s="221"/>
      <c r="NVM134" s="258"/>
      <c r="NVN134" s="270"/>
      <c r="NVO134" s="271"/>
      <c r="NVP134" s="271"/>
      <c r="NVQ134" s="271"/>
      <c r="NVR134" s="221"/>
      <c r="NVS134" s="221"/>
      <c r="NVT134" s="221"/>
      <c r="NVU134" s="258"/>
      <c r="NVV134" s="270"/>
      <c r="NVW134" s="271"/>
      <c r="NVX134" s="271"/>
      <c r="NVY134" s="271"/>
      <c r="NVZ134" s="221"/>
      <c r="NWA134" s="221"/>
      <c r="NWB134" s="221"/>
      <c r="NWC134" s="258"/>
      <c r="NWD134" s="270"/>
      <c r="NWE134" s="271"/>
      <c r="NWF134" s="271"/>
      <c r="NWG134" s="271"/>
      <c r="NWH134" s="221"/>
      <c r="NWI134" s="221"/>
      <c r="NWJ134" s="221"/>
      <c r="NWK134" s="258"/>
      <c r="NWL134" s="270"/>
      <c r="NWM134" s="271"/>
      <c r="NWN134" s="271"/>
      <c r="NWO134" s="271"/>
      <c r="NWP134" s="221"/>
      <c r="NWQ134" s="221"/>
      <c r="NWR134" s="221"/>
      <c r="NWS134" s="258"/>
      <c r="NWT134" s="270"/>
      <c r="NWU134" s="271"/>
      <c r="NWV134" s="271"/>
      <c r="NWW134" s="271"/>
      <c r="NWX134" s="221"/>
      <c r="NWY134" s="221"/>
      <c r="NWZ134" s="221"/>
      <c r="NXA134" s="258"/>
      <c r="NXB134" s="270"/>
      <c r="NXC134" s="271"/>
      <c r="NXD134" s="271"/>
      <c r="NXE134" s="271"/>
      <c r="NXF134" s="221"/>
      <c r="NXG134" s="221"/>
      <c r="NXH134" s="221"/>
      <c r="NXI134" s="258"/>
      <c r="NXJ134" s="270"/>
      <c r="NXK134" s="271"/>
      <c r="NXL134" s="271"/>
      <c r="NXM134" s="271"/>
      <c r="NXN134" s="221"/>
      <c r="NXO134" s="221"/>
      <c r="NXP134" s="221"/>
      <c r="NXQ134" s="258"/>
      <c r="NXR134" s="270"/>
      <c r="NXS134" s="271"/>
      <c r="NXT134" s="271"/>
      <c r="NXU134" s="271"/>
      <c r="NXV134" s="221"/>
      <c r="NXW134" s="221"/>
      <c r="NXX134" s="221"/>
      <c r="NXY134" s="258"/>
      <c r="NXZ134" s="270"/>
      <c r="NYA134" s="271"/>
      <c r="NYB134" s="271"/>
      <c r="NYC134" s="271"/>
      <c r="NYD134" s="221"/>
      <c r="NYE134" s="221"/>
      <c r="NYF134" s="221"/>
      <c r="NYG134" s="258"/>
      <c r="NYH134" s="270"/>
      <c r="NYI134" s="271"/>
      <c r="NYJ134" s="271"/>
      <c r="NYK134" s="271"/>
      <c r="NYL134" s="221"/>
      <c r="NYM134" s="221"/>
      <c r="NYN134" s="221"/>
      <c r="NYO134" s="258"/>
      <c r="NYP134" s="270"/>
      <c r="NYQ134" s="271"/>
      <c r="NYR134" s="271"/>
      <c r="NYS134" s="271"/>
      <c r="NYT134" s="221"/>
      <c r="NYU134" s="221"/>
      <c r="NYV134" s="221"/>
      <c r="NYW134" s="258"/>
      <c r="NYX134" s="270"/>
      <c r="NYY134" s="271"/>
      <c r="NYZ134" s="271"/>
      <c r="NZA134" s="271"/>
      <c r="NZB134" s="221"/>
      <c r="NZC134" s="221"/>
      <c r="NZD134" s="221"/>
      <c r="NZE134" s="258"/>
      <c r="NZF134" s="270"/>
      <c r="NZG134" s="271"/>
      <c r="NZH134" s="271"/>
      <c r="NZI134" s="271"/>
      <c r="NZJ134" s="221"/>
      <c r="NZK134" s="221"/>
      <c r="NZL134" s="221"/>
      <c r="NZM134" s="258"/>
      <c r="NZN134" s="270"/>
      <c r="NZO134" s="271"/>
      <c r="NZP134" s="271"/>
      <c r="NZQ134" s="271"/>
      <c r="NZR134" s="221"/>
      <c r="NZS134" s="221"/>
      <c r="NZT134" s="221"/>
      <c r="NZU134" s="258"/>
      <c r="NZV134" s="270"/>
      <c r="NZW134" s="271"/>
      <c r="NZX134" s="271"/>
      <c r="NZY134" s="271"/>
      <c r="NZZ134" s="221"/>
      <c r="OAA134" s="221"/>
      <c r="OAB134" s="221"/>
      <c r="OAC134" s="258"/>
      <c r="OAD134" s="270"/>
      <c r="OAE134" s="271"/>
      <c r="OAF134" s="271"/>
      <c r="OAG134" s="271"/>
      <c r="OAH134" s="221"/>
      <c r="OAI134" s="221"/>
      <c r="OAJ134" s="221"/>
      <c r="OAK134" s="258"/>
      <c r="OAL134" s="270"/>
      <c r="OAM134" s="271"/>
      <c r="OAN134" s="271"/>
      <c r="OAO134" s="271"/>
      <c r="OAP134" s="221"/>
      <c r="OAQ134" s="221"/>
      <c r="OAR134" s="221"/>
      <c r="OAS134" s="258"/>
      <c r="OAT134" s="270"/>
      <c r="OAU134" s="271"/>
      <c r="OAV134" s="271"/>
      <c r="OAW134" s="271"/>
      <c r="OAX134" s="221"/>
      <c r="OAY134" s="221"/>
      <c r="OAZ134" s="221"/>
      <c r="OBA134" s="258"/>
      <c r="OBB134" s="270"/>
      <c r="OBC134" s="271"/>
      <c r="OBD134" s="271"/>
      <c r="OBE134" s="271"/>
      <c r="OBF134" s="221"/>
      <c r="OBG134" s="221"/>
      <c r="OBH134" s="221"/>
      <c r="OBI134" s="258"/>
      <c r="OBJ134" s="270"/>
      <c r="OBK134" s="271"/>
      <c r="OBL134" s="271"/>
      <c r="OBM134" s="271"/>
      <c r="OBN134" s="221"/>
      <c r="OBO134" s="221"/>
      <c r="OBP134" s="221"/>
      <c r="OBQ134" s="258"/>
      <c r="OBR134" s="270"/>
      <c r="OBS134" s="271"/>
      <c r="OBT134" s="271"/>
      <c r="OBU134" s="271"/>
      <c r="OBV134" s="221"/>
      <c r="OBW134" s="221"/>
      <c r="OBX134" s="221"/>
      <c r="OBY134" s="258"/>
      <c r="OBZ134" s="270"/>
      <c r="OCA134" s="271"/>
      <c r="OCB134" s="271"/>
      <c r="OCC134" s="271"/>
      <c r="OCD134" s="221"/>
      <c r="OCE134" s="221"/>
      <c r="OCF134" s="221"/>
      <c r="OCG134" s="258"/>
      <c r="OCH134" s="270"/>
      <c r="OCI134" s="271"/>
      <c r="OCJ134" s="271"/>
      <c r="OCK134" s="271"/>
      <c r="OCL134" s="221"/>
      <c r="OCM134" s="221"/>
      <c r="OCN134" s="221"/>
      <c r="OCO134" s="258"/>
      <c r="OCP134" s="270"/>
      <c r="OCQ134" s="271"/>
      <c r="OCR134" s="271"/>
      <c r="OCS134" s="271"/>
      <c r="OCT134" s="221"/>
      <c r="OCU134" s="221"/>
      <c r="OCV134" s="221"/>
      <c r="OCW134" s="258"/>
      <c r="OCX134" s="270"/>
      <c r="OCY134" s="271"/>
      <c r="OCZ134" s="271"/>
      <c r="ODA134" s="271"/>
      <c r="ODB134" s="221"/>
      <c r="ODC134" s="221"/>
      <c r="ODD134" s="221"/>
      <c r="ODE134" s="258"/>
      <c r="ODF134" s="270"/>
      <c r="ODG134" s="271"/>
      <c r="ODH134" s="271"/>
      <c r="ODI134" s="271"/>
      <c r="ODJ134" s="221"/>
      <c r="ODK134" s="221"/>
      <c r="ODL134" s="221"/>
      <c r="ODM134" s="258"/>
      <c r="ODN134" s="270"/>
      <c r="ODO134" s="271"/>
      <c r="ODP134" s="271"/>
      <c r="ODQ134" s="271"/>
      <c r="ODR134" s="221"/>
      <c r="ODS134" s="221"/>
      <c r="ODT134" s="221"/>
      <c r="ODU134" s="258"/>
      <c r="ODV134" s="270"/>
      <c r="ODW134" s="271"/>
      <c r="ODX134" s="271"/>
      <c r="ODY134" s="271"/>
      <c r="ODZ134" s="221"/>
      <c r="OEA134" s="221"/>
      <c r="OEB134" s="221"/>
      <c r="OEC134" s="258"/>
      <c r="OED134" s="270"/>
      <c r="OEE134" s="271"/>
      <c r="OEF134" s="271"/>
      <c r="OEG134" s="271"/>
      <c r="OEH134" s="221"/>
      <c r="OEI134" s="221"/>
      <c r="OEJ134" s="221"/>
      <c r="OEK134" s="258"/>
      <c r="OEL134" s="270"/>
      <c r="OEM134" s="271"/>
      <c r="OEN134" s="271"/>
      <c r="OEO134" s="271"/>
      <c r="OEP134" s="221"/>
      <c r="OEQ134" s="221"/>
      <c r="OER134" s="221"/>
      <c r="OES134" s="258"/>
      <c r="OET134" s="270"/>
      <c r="OEU134" s="271"/>
      <c r="OEV134" s="271"/>
      <c r="OEW134" s="271"/>
      <c r="OEX134" s="221"/>
      <c r="OEY134" s="221"/>
      <c r="OEZ134" s="221"/>
      <c r="OFA134" s="258"/>
      <c r="OFB134" s="270"/>
      <c r="OFC134" s="271"/>
      <c r="OFD134" s="271"/>
      <c r="OFE134" s="271"/>
      <c r="OFF134" s="221"/>
      <c r="OFG134" s="221"/>
      <c r="OFH134" s="221"/>
      <c r="OFI134" s="258"/>
      <c r="OFJ134" s="270"/>
      <c r="OFK134" s="271"/>
      <c r="OFL134" s="271"/>
      <c r="OFM134" s="271"/>
      <c r="OFN134" s="221"/>
      <c r="OFO134" s="221"/>
      <c r="OFP134" s="221"/>
      <c r="OFQ134" s="258"/>
      <c r="OFR134" s="270"/>
      <c r="OFS134" s="271"/>
      <c r="OFT134" s="271"/>
      <c r="OFU134" s="271"/>
      <c r="OFV134" s="221"/>
      <c r="OFW134" s="221"/>
      <c r="OFX134" s="221"/>
      <c r="OFY134" s="258"/>
      <c r="OFZ134" s="270"/>
      <c r="OGA134" s="271"/>
      <c r="OGB134" s="271"/>
      <c r="OGC134" s="271"/>
      <c r="OGD134" s="221"/>
      <c r="OGE134" s="221"/>
      <c r="OGF134" s="221"/>
      <c r="OGG134" s="258"/>
      <c r="OGH134" s="270"/>
      <c r="OGI134" s="271"/>
      <c r="OGJ134" s="271"/>
      <c r="OGK134" s="271"/>
      <c r="OGL134" s="221"/>
      <c r="OGM134" s="221"/>
      <c r="OGN134" s="221"/>
      <c r="OGO134" s="258"/>
      <c r="OGP134" s="270"/>
      <c r="OGQ134" s="271"/>
      <c r="OGR134" s="271"/>
      <c r="OGS134" s="271"/>
      <c r="OGT134" s="221"/>
      <c r="OGU134" s="221"/>
      <c r="OGV134" s="221"/>
      <c r="OGW134" s="258"/>
      <c r="OGX134" s="270"/>
      <c r="OGY134" s="271"/>
      <c r="OGZ134" s="271"/>
      <c r="OHA134" s="271"/>
      <c r="OHB134" s="221"/>
      <c r="OHC134" s="221"/>
      <c r="OHD134" s="221"/>
      <c r="OHE134" s="258"/>
      <c r="OHF134" s="270"/>
      <c r="OHG134" s="271"/>
      <c r="OHH134" s="271"/>
      <c r="OHI134" s="271"/>
      <c r="OHJ134" s="221"/>
      <c r="OHK134" s="221"/>
      <c r="OHL134" s="221"/>
      <c r="OHM134" s="258"/>
      <c r="OHN134" s="270"/>
      <c r="OHO134" s="271"/>
      <c r="OHP134" s="271"/>
      <c r="OHQ134" s="271"/>
      <c r="OHR134" s="221"/>
      <c r="OHS134" s="221"/>
      <c r="OHT134" s="221"/>
      <c r="OHU134" s="258"/>
      <c r="OHV134" s="270"/>
      <c r="OHW134" s="271"/>
      <c r="OHX134" s="271"/>
      <c r="OHY134" s="271"/>
      <c r="OHZ134" s="221"/>
      <c r="OIA134" s="221"/>
      <c r="OIB134" s="221"/>
      <c r="OIC134" s="258"/>
      <c r="OID134" s="270"/>
      <c r="OIE134" s="271"/>
      <c r="OIF134" s="271"/>
      <c r="OIG134" s="271"/>
      <c r="OIH134" s="221"/>
      <c r="OII134" s="221"/>
      <c r="OIJ134" s="221"/>
      <c r="OIK134" s="258"/>
      <c r="OIL134" s="270"/>
      <c r="OIM134" s="271"/>
      <c r="OIN134" s="271"/>
      <c r="OIO134" s="271"/>
      <c r="OIP134" s="221"/>
      <c r="OIQ134" s="221"/>
      <c r="OIR134" s="221"/>
      <c r="OIS134" s="258"/>
      <c r="OIT134" s="270"/>
      <c r="OIU134" s="271"/>
      <c r="OIV134" s="271"/>
      <c r="OIW134" s="271"/>
      <c r="OIX134" s="221"/>
      <c r="OIY134" s="221"/>
      <c r="OIZ134" s="221"/>
      <c r="OJA134" s="258"/>
      <c r="OJB134" s="270"/>
      <c r="OJC134" s="271"/>
      <c r="OJD134" s="271"/>
      <c r="OJE134" s="271"/>
      <c r="OJF134" s="221"/>
      <c r="OJG134" s="221"/>
      <c r="OJH134" s="221"/>
      <c r="OJI134" s="258"/>
      <c r="OJJ134" s="270"/>
      <c r="OJK134" s="271"/>
      <c r="OJL134" s="271"/>
      <c r="OJM134" s="271"/>
      <c r="OJN134" s="221"/>
      <c r="OJO134" s="221"/>
      <c r="OJP134" s="221"/>
      <c r="OJQ134" s="258"/>
      <c r="OJR134" s="270"/>
      <c r="OJS134" s="271"/>
      <c r="OJT134" s="271"/>
      <c r="OJU134" s="271"/>
      <c r="OJV134" s="221"/>
      <c r="OJW134" s="221"/>
      <c r="OJX134" s="221"/>
      <c r="OJY134" s="258"/>
      <c r="OJZ134" s="270"/>
      <c r="OKA134" s="271"/>
      <c r="OKB134" s="271"/>
      <c r="OKC134" s="271"/>
      <c r="OKD134" s="221"/>
      <c r="OKE134" s="221"/>
      <c r="OKF134" s="221"/>
      <c r="OKG134" s="258"/>
      <c r="OKH134" s="270"/>
      <c r="OKI134" s="271"/>
      <c r="OKJ134" s="271"/>
      <c r="OKK134" s="271"/>
      <c r="OKL134" s="221"/>
      <c r="OKM134" s="221"/>
      <c r="OKN134" s="221"/>
      <c r="OKO134" s="258"/>
      <c r="OKP134" s="270"/>
      <c r="OKQ134" s="271"/>
      <c r="OKR134" s="271"/>
      <c r="OKS134" s="271"/>
      <c r="OKT134" s="221"/>
      <c r="OKU134" s="221"/>
      <c r="OKV134" s="221"/>
      <c r="OKW134" s="258"/>
      <c r="OKX134" s="270"/>
      <c r="OKY134" s="271"/>
      <c r="OKZ134" s="271"/>
      <c r="OLA134" s="271"/>
      <c r="OLB134" s="221"/>
      <c r="OLC134" s="221"/>
      <c r="OLD134" s="221"/>
      <c r="OLE134" s="258"/>
      <c r="OLF134" s="270"/>
      <c r="OLG134" s="271"/>
      <c r="OLH134" s="271"/>
      <c r="OLI134" s="271"/>
      <c r="OLJ134" s="221"/>
      <c r="OLK134" s="221"/>
      <c r="OLL134" s="221"/>
      <c r="OLM134" s="258"/>
      <c r="OLN134" s="270"/>
      <c r="OLO134" s="271"/>
      <c r="OLP134" s="271"/>
      <c r="OLQ134" s="271"/>
      <c r="OLR134" s="221"/>
      <c r="OLS134" s="221"/>
      <c r="OLT134" s="221"/>
      <c r="OLU134" s="258"/>
      <c r="OLV134" s="270"/>
      <c r="OLW134" s="271"/>
      <c r="OLX134" s="271"/>
      <c r="OLY134" s="271"/>
      <c r="OLZ134" s="221"/>
      <c r="OMA134" s="221"/>
      <c r="OMB134" s="221"/>
      <c r="OMC134" s="258"/>
      <c r="OMD134" s="270"/>
      <c r="OME134" s="271"/>
      <c r="OMF134" s="271"/>
      <c r="OMG134" s="271"/>
      <c r="OMH134" s="221"/>
      <c r="OMI134" s="221"/>
      <c r="OMJ134" s="221"/>
      <c r="OMK134" s="258"/>
      <c r="OML134" s="270"/>
      <c r="OMM134" s="271"/>
      <c r="OMN134" s="271"/>
      <c r="OMO134" s="271"/>
      <c r="OMP134" s="221"/>
      <c r="OMQ134" s="221"/>
      <c r="OMR134" s="221"/>
      <c r="OMS134" s="258"/>
      <c r="OMT134" s="270"/>
      <c r="OMU134" s="271"/>
      <c r="OMV134" s="271"/>
      <c r="OMW134" s="271"/>
      <c r="OMX134" s="221"/>
      <c r="OMY134" s="221"/>
      <c r="OMZ134" s="221"/>
      <c r="ONA134" s="258"/>
      <c r="ONB134" s="270"/>
      <c r="ONC134" s="271"/>
      <c r="OND134" s="271"/>
      <c r="ONE134" s="271"/>
      <c r="ONF134" s="221"/>
      <c r="ONG134" s="221"/>
      <c r="ONH134" s="221"/>
      <c r="ONI134" s="258"/>
      <c r="ONJ134" s="270"/>
      <c r="ONK134" s="271"/>
      <c r="ONL134" s="271"/>
      <c r="ONM134" s="271"/>
      <c r="ONN134" s="221"/>
      <c r="ONO134" s="221"/>
      <c r="ONP134" s="221"/>
      <c r="ONQ134" s="258"/>
      <c r="ONR134" s="270"/>
      <c r="ONS134" s="271"/>
      <c r="ONT134" s="271"/>
      <c r="ONU134" s="271"/>
      <c r="ONV134" s="221"/>
      <c r="ONW134" s="221"/>
      <c r="ONX134" s="221"/>
      <c r="ONY134" s="258"/>
      <c r="ONZ134" s="270"/>
      <c r="OOA134" s="271"/>
      <c r="OOB134" s="271"/>
      <c r="OOC134" s="271"/>
      <c r="OOD134" s="221"/>
      <c r="OOE134" s="221"/>
      <c r="OOF134" s="221"/>
      <c r="OOG134" s="258"/>
      <c r="OOH134" s="270"/>
      <c r="OOI134" s="271"/>
      <c r="OOJ134" s="271"/>
      <c r="OOK134" s="271"/>
      <c r="OOL134" s="221"/>
      <c r="OOM134" s="221"/>
      <c r="OON134" s="221"/>
      <c r="OOO134" s="258"/>
      <c r="OOP134" s="270"/>
      <c r="OOQ134" s="271"/>
      <c r="OOR134" s="271"/>
      <c r="OOS134" s="271"/>
      <c r="OOT134" s="221"/>
      <c r="OOU134" s="221"/>
      <c r="OOV134" s="221"/>
      <c r="OOW134" s="258"/>
      <c r="OOX134" s="270"/>
      <c r="OOY134" s="271"/>
      <c r="OOZ134" s="271"/>
      <c r="OPA134" s="271"/>
      <c r="OPB134" s="221"/>
      <c r="OPC134" s="221"/>
      <c r="OPD134" s="221"/>
      <c r="OPE134" s="258"/>
      <c r="OPF134" s="270"/>
      <c r="OPG134" s="271"/>
      <c r="OPH134" s="271"/>
      <c r="OPI134" s="271"/>
      <c r="OPJ134" s="221"/>
      <c r="OPK134" s="221"/>
      <c r="OPL134" s="221"/>
      <c r="OPM134" s="258"/>
      <c r="OPN134" s="270"/>
      <c r="OPO134" s="271"/>
      <c r="OPP134" s="271"/>
      <c r="OPQ134" s="271"/>
      <c r="OPR134" s="221"/>
      <c r="OPS134" s="221"/>
      <c r="OPT134" s="221"/>
      <c r="OPU134" s="258"/>
      <c r="OPV134" s="270"/>
      <c r="OPW134" s="271"/>
      <c r="OPX134" s="271"/>
      <c r="OPY134" s="271"/>
      <c r="OPZ134" s="221"/>
      <c r="OQA134" s="221"/>
      <c r="OQB134" s="221"/>
      <c r="OQC134" s="258"/>
      <c r="OQD134" s="270"/>
      <c r="OQE134" s="271"/>
      <c r="OQF134" s="271"/>
      <c r="OQG134" s="271"/>
      <c r="OQH134" s="221"/>
      <c r="OQI134" s="221"/>
      <c r="OQJ134" s="221"/>
      <c r="OQK134" s="258"/>
      <c r="OQL134" s="270"/>
      <c r="OQM134" s="271"/>
      <c r="OQN134" s="271"/>
      <c r="OQO134" s="271"/>
      <c r="OQP134" s="221"/>
      <c r="OQQ134" s="221"/>
      <c r="OQR134" s="221"/>
      <c r="OQS134" s="258"/>
      <c r="OQT134" s="270"/>
      <c r="OQU134" s="271"/>
      <c r="OQV134" s="271"/>
      <c r="OQW134" s="271"/>
      <c r="OQX134" s="221"/>
      <c r="OQY134" s="221"/>
      <c r="OQZ134" s="221"/>
      <c r="ORA134" s="258"/>
      <c r="ORB134" s="270"/>
      <c r="ORC134" s="271"/>
      <c r="ORD134" s="271"/>
      <c r="ORE134" s="271"/>
      <c r="ORF134" s="221"/>
      <c r="ORG134" s="221"/>
      <c r="ORH134" s="221"/>
      <c r="ORI134" s="258"/>
      <c r="ORJ134" s="270"/>
      <c r="ORK134" s="271"/>
      <c r="ORL134" s="271"/>
      <c r="ORM134" s="271"/>
      <c r="ORN134" s="221"/>
      <c r="ORO134" s="221"/>
      <c r="ORP134" s="221"/>
      <c r="ORQ134" s="258"/>
      <c r="ORR134" s="270"/>
      <c r="ORS134" s="271"/>
      <c r="ORT134" s="271"/>
      <c r="ORU134" s="271"/>
      <c r="ORV134" s="221"/>
      <c r="ORW134" s="221"/>
      <c r="ORX134" s="221"/>
      <c r="ORY134" s="258"/>
      <c r="ORZ134" s="270"/>
      <c r="OSA134" s="271"/>
      <c r="OSB134" s="271"/>
      <c r="OSC134" s="271"/>
      <c r="OSD134" s="221"/>
      <c r="OSE134" s="221"/>
      <c r="OSF134" s="221"/>
      <c r="OSG134" s="258"/>
      <c r="OSH134" s="270"/>
      <c r="OSI134" s="271"/>
      <c r="OSJ134" s="271"/>
      <c r="OSK134" s="271"/>
      <c r="OSL134" s="221"/>
      <c r="OSM134" s="221"/>
      <c r="OSN134" s="221"/>
      <c r="OSO134" s="258"/>
      <c r="OSP134" s="270"/>
      <c r="OSQ134" s="271"/>
      <c r="OSR134" s="271"/>
      <c r="OSS134" s="271"/>
      <c r="OST134" s="221"/>
      <c r="OSU134" s="221"/>
      <c r="OSV134" s="221"/>
      <c r="OSW134" s="258"/>
      <c r="OSX134" s="270"/>
      <c r="OSY134" s="271"/>
      <c r="OSZ134" s="271"/>
      <c r="OTA134" s="271"/>
      <c r="OTB134" s="221"/>
      <c r="OTC134" s="221"/>
      <c r="OTD134" s="221"/>
      <c r="OTE134" s="258"/>
      <c r="OTF134" s="270"/>
      <c r="OTG134" s="271"/>
      <c r="OTH134" s="271"/>
      <c r="OTI134" s="271"/>
      <c r="OTJ134" s="221"/>
      <c r="OTK134" s="221"/>
      <c r="OTL134" s="221"/>
      <c r="OTM134" s="258"/>
      <c r="OTN134" s="270"/>
      <c r="OTO134" s="271"/>
      <c r="OTP134" s="271"/>
      <c r="OTQ134" s="271"/>
      <c r="OTR134" s="221"/>
      <c r="OTS134" s="221"/>
      <c r="OTT134" s="221"/>
      <c r="OTU134" s="258"/>
      <c r="OTV134" s="270"/>
      <c r="OTW134" s="271"/>
      <c r="OTX134" s="271"/>
      <c r="OTY134" s="271"/>
      <c r="OTZ134" s="221"/>
      <c r="OUA134" s="221"/>
      <c r="OUB134" s="221"/>
      <c r="OUC134" s="258"/>
      <c r="OUD134" s="270"/>
      <c r="OUE134" s="271"/>
      <c r="OUF134" s="271"/>
      <c r="OUG134" s="271"/>
      <c r="OUH134" s="221"/>
      <c r="OUI134" s="221"/>
      <c r="OUJ134" s="221"/>
      <c r="OUK134" s="258"/>
      <c r="OUL134" s="270"/>
      <c r="OUM134" s="271"/>
      <c r="OUN134" s="271"/>
      <c r="OUO134" s="271"/>
      <c r="OUP134" s="221"/>
      <c r="OUQ134" s="221"/>
      <c r="OUR134" s="221"/>
      <c r="OUS134" s="258"/>
      <c r="OUT134" s="270"/>
      <c r="OUU134" s="271"/>
      <c r="OUV134" s="271"/>
      <c r="OUW134" s="271"/>
      <c r="OUX134" s="221"/>
      <c r="OUY134" s="221"/>
      <c r="OUZ134" s="221"/>
      <c r="OVA134" s="258"/>
      <c r="OVB134" s="270"/>
      <c r="OVC134" s="271"/>
      <c r="OVD134" s="271"/>
      <c r="OVE134" s="271"/>
      <c r="OVF134" s="221"/>
      <c r="OVG134" s="221"/>
      <c r="OVH134" s="221"/>
      <c r="OVI134" s="258"/>
      <c r="OVJ134" s="270"/>
      <c r="OVK134" s="271"/>
      <c r="OVL134" s="271"/>
      <c r="OVM134" s="271"/>
      <c r="OVN134" s="221"/>
      <c r="OVO134" s="221"/>
      <c r="OVP134" s="221"/>
      <c r="OVQ134" s="258"/>
      <c r="OVR134" s="270"/>
      <c r="OVS134" s="271"/>
      <c r="OVT134" s="271"/>
      <c r="OVU134" s="271"/>
      <c r="OVV134" s="221"/>
      <c r="OVW134" s="221"/>
      <c r="OVX134" s="221"/>
      <c r="OVY134" s="258"/>
      <c r="OVZ134" s="270"/>
      <c r="OWA134" s="271"/>
      <c r="OWB134" s="271"/>
      <c r="OWC134" s="271"/>
      <c r="OWD134" s="221"/>
      <c r="OWE134" s="221"/>
      <c r="OWF134" s="221"/>
      <c r="OWG134" s="258"/>
      <c r="OWH134" s="270"/>
      <c r="OWI134" s="271"/>
      <c r="OWJ134" s="271"/>
      <c r="OWK134" s="271"/>
      <c r="OWL134" s="221"/>
      <c r="OWM134" s="221"/>
      <c r="OWN134" s="221"/>
      <c r="OWO134" s="258"/>
      <c r="OWP134" s="270"/>
      <c r="OWQ134" s="271"/>
      <c r="OWR134" s="271"/>
      <c r="OWS134" s="271"/>
      <c r="OWT134" s="221"/>
      <c r="OWU134" s="221"/>
      <c r="OWV134" s="221"/>
      <c r="OWW134" s="258"/>
      <c r="OWX134" s="270"/>
      <c r="OWY134" s="271"/>
      <c r="OWZ134" s="271"/>
      <c r="OXA134" s="271"/>
      <c r="OXB134" s="221"/>
      <c r="OXC134" s="221"/>
      <c r="OXD134" s="221"/>
      <c r="OXE134" s="258"/>
      <c r="OXF134" s="270"/>
      <c r="OXG134" s="271"/>
      <c r="OXH134" s="271"/>
      <c r="OXI134" s="271"/>
      <c r="OXJ134" s="221"/>
      <c r="OXK134" s="221"/>
      <c r="OXL134" s="221"/>
      <c r="OXM134" s="258"/>
      <c r="OXN134" s="270"/>
      <c r="OXO134" s="271"/>
      <c r="OXP134" s="271"/>
      <c r="OXQ134" s="271"/>
      <c r="OXR134" s="221"/>
      <c r="OXS134" s="221"/>
      <c r="OXT134" s="221"/>
      <c r="OXU134" s="258"/>
      <c r="OXV134" s="270"/>
      <c r="OXW134" s="271"/>
      <c r="OXX134" s="271"/>
      <c r="OXY134" s="271"/>
      <c r="OXZ134" s="221"/>
      <c r="OYA134" s="221"/>
      <c r="OYB134" s="221"/>
      <c r="OYC134" s="258"/>
      <c r="OYD134" s="270"/>
      <c r="OYE134" s="271"/>
      <c r="OYF134" s="271"/>
      <c r="OYG134" s="271"/>
      <c r="OYH134" s="221"/>
      <c r="OYI134" s="221"/>
      <c r="OYJ134" s="221"/>
      <c r="OYK134" s="258"/>
      <c r="OYL134" s="270"/>
      <c r="OYM134" s="271"/>
      <c r="OYN134" s="271"/>
      <c r="OYO134" s="271"/>
      <c r="OYP134" s="221"/>
      <c r="OYQ134" s="221"/>
      <c r="OYR134" s="221"/>
      <c r="OYS134" s="258"/>
      <c r="OYT134" s="270"/>
      <c r="OYU134" s="271"/>
      <c r="OYV134" s="271"/>
      <c r="OYW134" s="271"/>
      <c r="OYX134" s="221"/>
      <c r="OYY134" s="221"/>
      <c r="OYZ134" s="221"/>
      <c r="OZA134" s="258"/>
      <c r="OZB134" s="270"/>
      <c r="OZC134" s="271"/>
      <c r="OZD134" s="271"/>
      <c r="OZE134" s="271"/>
      <c r="OZF134" s="221"/>
      <c r="OZG134" s="221"/>
      <c r="OZH134" s="221"/>
      <c r="OZI134" s="258"/>
      <c r="OZJ134" s="270"/>
      <c r="OZK134" s="271"/>
      <c r="OZL134" s="271"/>
      <c r="OZM134" s="271"/>
      <c r="OZN134" s="221"/>
      <c r="OZO134" s="221"/>
      <c r="OZP134" s="221"/>
      <c r="OZQ134" s="258"/>
      <c r="OZR134" s="270"/>
      <c r="OZS134" s="271"/>
      <c r="OZT134" s="271"/>
      <c r="OZU134" s="271"/>
      <c r="OZV134" s="221"/>
      <c r="OZW134" s="221"/>
      <c r="OZX134" s="221"/>
      <c r="OZY134" s="258"/>
      <c r="OZZ134" s="270"/>
      <c r="PAA134" s="271"/>
      <c r="PAB134" s="271"/>
      <c r="PAC134" s="271"/>
      <c r="PAD134" s="221"/>
      <c r="PAE134" s="221"/>
      <c r="PAF134" s="221"/>
      <c r="PAG134" s="258"/>
      <c r="PAH134" s="270"/>
      <c r="PAI134" s="271"/>
      <c r="PAJ134" s="271"/>
      <c r="PAK134" s="271"/>
      <c r="PAL134" s="221"/>
      <c r="PAM134" s="221"/>
      <c r="PAN134" s="221"/>
      <c r="PAO134" s="258"/>
      <c r="PAP134" s="270"/>
      <c r="PAQ134" s="271"/>
      <c r="PAR134" s="271"/>
      <c r="PAS134" s="271"/>
      <c r="PAT134" s="221"/>
      <c r="PAU134" s="221"/>
      <c r="PAV134" s="221"/>
      <c r="PAW134" s="258"/>
      <c r="PAX134" s="270"/>
      <c r="PAY134" s="271"/>
      <c r="PAZ134" s="271"/>
      <c r="PBA134" s="271"/>
      <c r="PBB134" s="221"/>
      <c r="PBC134" s="221"/>
      <c r="PBD134" s="221"/>
      <c r="PBE134" s="258"/>
      <c r="PBF134" s="270"/>
      <c r="PBG134" s="271"/>
      <c r="PBH134" s="271"/>
      <c r="PBI134" s="271"/>
      <c r="PBJ134" s="221"/>
      <c r="PBK134" s="221"/>
      <c r="PBL134" s="221"/>
      <c r="PBM134" s="258"/>
      <c r="PBN134" s="270"/>
      <c r="PBO134" s="271"/>
      <c r="PBP134" s="271"/>
      <c r="PBQ134" s="271"/>
      <c r="PBR134" s="221"/>
      <c r="PBS134" s="221"/>
      <c r="PBT134" s="221"/>
      <c r="PBU134" s="258"/>
      <c r="PBV134" s="270"/>
      <c r="PBW134" s="271"/>
      <c r="PBX134" s="271"/>
      <c r="PBY134" s="271"/>
      <c r="PBZ134" s="221"/>
      <c r="PCA134" s="221"/>
      <c r="PCB134" s="221"/>
      <c r="PCC134" s="258"/>
      <c r="PCD134" s="270"/>
      <c r="PCE134" s="271"/>
      <c r="PCF134" s="271"/>
      <c r="PCG134" s="271"/>
      <c r="PCH134" s="221"/>
      <c r="PCI134" s="221"/>
      <c r="PCJ134" s="221"/>
      <c r="PCK134" s="258"/>
      <c r="PCL134" s="270"/>
      <c r="PCM134" s="271"/>
      <c r="PCN134" s="271"/>
      <c r="PCO134" s="271"/>
      <c r="PCP134" s="221"/>
      <c r="PCQ134" s="221"/>
      <c r="PCR134" s="221"/>
      <c r="PCS134" s="258"/>
      <c r="PCT134" s="270"/>
      <c r="PCU134" s="271"/>
      <c r="PCV134" s="271"/>
      <c r="PCW134" s="271"/>
      <c r="PCX134" s="221"/>
      <c r="PCY134" s="221"/>
      <c r="PCZ134" s="221"/>
      <c r="PDA134" s="258"/>
      <c r="PDB134" s="270"/>
      <c r="PDC134" s="271"/>
      <c r="PDD134" s="271"/>
      <c r="PDE134" s="271"/>
      <c r="PDF134" s="221"/>
      <c r="PDG134" s="221"/>
      <c r="PDH134" s="221"/>
      <c r="PDI134" s="258"/>
      <c r="PDJ134" s="270"/>
      <c r="PDK134" s="271"/>
      <c r="PDL134" s="271"/>
      <c r="PDM134" s="271"/>
      <c r="PDN134" s="221"/>
      <c r="PDO134" s="221"/>
      <c r="PDP134" s="221"/>
      <c r="PDQ134" s="258"/>
      <c r="PDR134" s="270"/>
      <c r="PDS134" s="271"/>
      <c r="PDT134" s="271"/>
      <c r="PDU134" s="271"/>
      <c r="PDV134" s="221"/>
      <c r="PDW134" s="221"/>
      <c r="PDX134" s="221"/>
      <c r="PDY134" s="258"/>
      <c r="PDZ134" s="270"/>
      <c r="PEA134" s="271"/>
      <c r="PEB134" s="271"/>
      <c r="PEC134" s="271"/>
      <c r="PED134" s="221"/>
      <c r="PEE134" s="221"/>
      <c r="PEF134" s="221"/>
      <c r="PEG134" s="258"/>
      <c r="PEH134" s="270"/>
      <c r="PEI134" s="271"/>
      <c r="PEJ134" s="271"/>
      <c r="PEK134" s="271"/>
      <c r="PEL134" s="221"/>
      <c r="PEM134" s="221"/>
      <c r="PEN134" s="221"/>
      <c r="PEO134" s="258"/>
      <c r="PEP134" s="270"/>
      <c r="PEQ134" s="271"/>
      <c r="PER134" s="271"/>
      <c r="PES134" s="271"/>
      <c r="PET134" s="221"/>
      <c r="PEU134" s="221"/>
      <c r="PEV134" s="221"/>
      <c r="PEW134" s="258"/>
      <c r="PEX134" s="270"/>
      <c r="PEY134" s="271"/>
      <c r="PEZ134" s="271"/>
      <c r="PFA134" s="271"/>
      <c r="PFB134" s="221"/>
      <c r="PFC134" s="221"/>
      <c r="PFD134" s="221"/>
      <c r="PFE134" s="258"/>
      <c r="PFF134" s="270"/>
      <c r="PFG134" s="271"/>
      <c r="PFH134" s="271"/>
      <c r="PFI134" s="271"/>
      <c r="PFJ134" s="221"/>
      <c r="PFK134" s="221"/>
      <c r="PFL134" s="221"/>
      <c r="PFM134" s="258"/>
      <c r="PFN134" s="270"/>
      <c r="PFO134" s="271"/>
      <c r="PFP134" s="271"/>
      <c r="PFQ134" s="271"/>
      <c r="PFR134" s="221"/>
      <c r="PFS134" s="221"/>
      <c r="PFT134" s="221"/>
      <c r="PFU134" s="258"/>
      <c r="PFV134" s="270"/>
      <c r="PFW134" s="271"/>
      <c r="PFX134" s="271"/>
      <c r="PFY134" s="271"/>
      <c r="PFZ134" s="221"/>
      <c r="PGA134" s="221"/>
      <c r="PGB134" s="221"/>
      <c r="PGC134" s="258"/>
      <c r="PGD134" s="270"/>
      <c r="PGE134" s="271"/>
      <c r="PGF134" s="271"/>
      <c r="PGG134" s="271"/>
      <c r="PGH134" s="221"/>
      <c r="PGI134" s="221"/>
      <c r="PGJ134" s="221"/>
      <c r="PGK134" s="258"/>
      <c r="PGL134" s="270"/>
      <c r="PGM134" s="271"/>
      <c r="PGN134" s="271"/>
      <c r="PGO134" s="271"/>
      <c r="PGP134" s="221"/>
      <c r="PGQ134" s="221"/>
      <c r="PGR134" s="221"/>
      <c r="PGS134" s="258"/>
      <c r="PGT134" s="270"/>
      <c r="PGU134" s="271"/>
      <c r="PGV134" s="271"/>
      <c r="PGW134" s="271"/>
      <c r="PGX134" s="221"/>
      <c r="PGY134" s="221"/>
      <c r="PGZ134" s="221"/>
      <c r="PHA134" s="258"/>
      <c r="PHB134" s="270"/>
      <c r="PHC134" s="271"/>
      <c r="PHD134" s="271"/>
      <c r="PHE134" s="271"/>
      <c r="PHF134" s="221"/>
      <c r="PHG134" s="221"/>
      <c r="PHH134" s="221"/>
      <c r="PHI134" s="258"/>
      <c r="PHJ134" s="270"/>
      <c r="PHK134" s="271"/>
      <c r="PHL134" s="271"/>
      <c r="PHM134" s="271"/>
      <c r="PHN134" s="221"/>
      <c r="PHO134" s="221"/>
      <c r="PHP134" s="221"/>
      <c r="PHQ134" s="258"/>
      <c r="PHR134" s="270"/>
      <c r="PHS134" s="271"/>
      <c r="PHT134" s="271"/>
      <c r="PHU134" s="271"/>
      <c r="PHV134" s="221"/>
      <c r="PHW134" s="221"/>
      <c r="PHX134" s="221"/>
      <c r="PHY134" s="258"/>
      <c r="PHZ134" s="270"/>
      <c r="PIA134" s="271"/>
      <c r="PIB134" s="271"/>
      <c r="PIC134" s="271"/>
      <c r="PID134" s="221"/>
      <c r="PIE134" s="221"/>
      <c r="PIF134" s="221"/>
      <c r="PIG134" s="258"/>
      <c r="PIH134" s="270"/>
      <c r="PII134" s="271"/>
      <c r="PIJ134" s="271"/>
      <c r="PIK134" s="271"/>
      <c r="PIL134" s="221"/>
      <c r="PIM134" s="221"/>
      <c r="PIN134" s="221"/>
      <c r="PIO134" s="258"/>
      <c r="PIP134" s="270"/>
      <c r="PIQ134" s="271"/>
      <c r="PIR134" s="271"/>
      <c r="PIS134" s="271"/>
      <c r="PIT134" s="221"/>
      <c r="PIU134" s="221"/>
      <c r="PIV134" s="221"/>
      <c r="PIW134" s="258"/>
      <c r="PIX134" s="270"/>
      <c r="PIY134" s="271"/>
      <c r="PIZ134" s="271"/>
      <c r="PJA134" s="271"/>
      <c r="PJB134" s="221"/>
      <c r="PJC134" s="221"/>
      <c r="PJD134" s="221"/>
      <c r="PJE134" s="258"/>
      <c r="PJF134" s="270"/>
      <c r="PJG134" s="271"/>
      <c r="PJH134" s="271"/>
      <c r="PJI134" s="271"/>
      <c r="PJJ134" s="221"/>
      <c r="PJK134" s="221"/>
      <c r="PJL134" s="221"/>
      <c r="PJM134" s="258"/>
      <c r="PJN134" s="270"/>
      <c r="PJO134" s="271"/>
      <c r="PJP134" s="271"/>
      <c r="PJQ134" s="271"/>
      <c r="PJR134" s="221"/>
      <c r="PJS134" s="221"/>
      <c r="PJT134" s="221"/>
      <c r="PJU134" s="258"/>
      <c r="PJV134" s="270"/>
      <c r="PJW134" s="271"/>
      <c r="PJX134" s="271"/>
      <c r="PJY134" s="271"/>
      <c r="PJZ134" s="221"/>
      <c r="PKA134" s="221"/>
      <c r="PKB134" s="221"/>
      <c r="PKC134" s="258"/>
      <c r="PKD134" s="270"/>
      <c r="PKE134" s="271"/>
      <c r="PKF134" s="271"/>
      <c r="PKG134" s="271"/>
      <c r="PKH134" s="221"/>
      <c r="PKI134" s="221"/>
      <c r="PKJ134" s="221"/>
      <c r="PKK134" s="258"/>
      <c r="PKL134" s="270"/>
      <c r="PKM134" s="271"/>
      <c r="PKN134" s="271"/>
      <c r="PKO134" s="271"/>
      <c r="PKP134" s="221"/>
      <c r="PKQ134" s="221"/>
      <c r="PKR134" s="221"/>
      <c r="PKS134" s="258"/>
      <c r="PKT134" s="270"/>
      <c r="PKU134" s="271"/>
      <c r="PKV134" s="271"/>
      <c r="PKW134" s="271"/>
      <c r="PKX134" s="221"/>
      <c r="PKY134" s="221"/>
      <c r="PKZ134" s="221"/>
      <c r="PLA134" s="258"/>
      <c r="PLB134" s="270"/>
      <c r="PLC134" s="271"/>
      <c r="PLD134" s="271"/>
      <c r="PLE134" s="271"/>
      <c r="PLF134" s="221"/>
      <c r="PLG134" s="221"/>
      <c r="PLH134" s="221"/>
      <c r="PLI134" s="258"/>
      <c r="PLJ134" s="270"/>
      <c r="PLK134" s="271"/>
      <c r="PLL134" s="271"/>
      <c r="PLM134" s="271"/>
      <c r="PLN134" s="221"/>
      <c r="PLO134" s="221"/>
      <c r="PLP134" s="221"/>
      <c r="PLQ134" s="258"/>
      <c r="PLR134" s="270"/>
      <c r="PLS134" s="271"/>
      <c r="PLT134" s="271"/>
      <c r="PLU134" s="271"/>
      <c r="PLV134" s="221"/>
      <c r="PLW134" s="221"/>
      <c r="PLX134" s="221"/>
      <c r="PLY134" s="258"/>
      <c r="PLZ134" s="270"/>
      <c r="PMA134" s="271"/>
      <c r="PMB134" s="271"/>
      <c r="PMC134" s="271"/>
      <c r="PMD134" s="221"/>
      <c r="PME134" s="221"/>
      <c r="PMF134" s="221"/>
      <c r="PMG134" s="258"/>
      <c r="PMH134" s="270"/>
      <c r="PMI134" s="271"/>
      <c r="PMJ134" s="271"/>
      <c r="PMK134" s="271"/>
      <c r="PML134" s="221"/>
      <c r="PMM134" s="221"/>
      <c r="PMN134" s="221"/>
      <c r="PMO134" s="258"/>
      <c r="PMP134" s="270"/>
      <c r="PMQ134" s="271"/>
      <c r="PMR134" s="271"/>
      <c r="PMS134" s="271"/>
      <c r="PMT134" s="221"/>
      <c r="PMU134" s="221"/>
      <c r="PMV134" s="221"/>
      <c r="PMW134" s="258"/>
      <c r="PMX134" s="270"/>
      <c r="PMY134" s="271"/>
      <c r="PMZ134" s="271"/>
      <c r="PNA134" s="271"/>
      <c r="PNB134" s="221"/>
      <c r="PNC134" s="221"/>
      <c r="PND134" s="221"/>
      <c r="PNE134" s="258"/>
      <c r="PNF134" s="270"/>
      <c r="PNG134" s="271"/>
      <c r="PNH134" s="271"/>
      <c r="PNI134" s="271"/>
      <c r="PNJ134" s="221"/>
      <c r="PNK134" s="221"/>
      <c r="PNL134" s="221"/>
      <c r="PNM134" s="258"/>
      <c r="PNN134" s="270"/>
      <c r="PNO134" s="271"/>
      <c r="PNP134" s="271"/>
      <c r="PNQ134" s="271"/>
      <c r="PNR134" s="221"/>
      <c r="PNS134" s="221"/>
      <c r="PNT134" s="221"/>
      <c r="PNU134" s="258"/>
      <c r="PNV134" s="270"/>
      <c r="PNW134" s="271"/>
      <c r="PNX134" s="271"/>
      <c r="PNY134" s="271"/>
      <c r="PNZ134" s="221"/>
      <c r="POA134" s="221"/>
      <c r="POB134" s="221"/>
      <c r="POC134" s="258"/>
      <c r="POD134" s="270"/>
      <c r="POE134" s="271"/>
      <c r="POF134" s="271"/>
      <c r="POG134" s="271"/>
      <c r="POH134" s="221"/>
      <c r="POI134" s="221"/>
      <c r="POJ134" s="221"/>
      <c r="POK134" s="258"/>
      <c r="POL134" s="270"/>
      <c r="POM134" s="271"/>
      <c r="PON134" s="271"/>
      <c r="POO134" s="271"/>
      <c r="POP134" s="221"/>
      <c r="POQ134" s="221"/>
      <c r="POR134" s="221"/>
      <c r="POS134" s="258"/>
      <c r="POT134" s="270"/>
      <c r="POU134" s="271"/>
      <c r="POV134" s="271"/>
      <c r="POW134" s="271"/>
      <c r="POX134" s="221"/>
      <c r="POY134" s="221"/>
      <c r="POZ134" s="221"/>
      <c r="PPA134" s="258"/>
      <c r="PPB134" s="270"/>
      <c r="PPC134" s="271"/>
      <c r="PPD134" s="271"/>
      <c r="PPE134" s="271"/>
      <c r="PPF134" s="221"/>
      <c r="PPG134" s="221"/>
      <c r="PPH134" s="221"/>
      <c r="PPI134" s="258"/>
      <c r="PPJ134" s="270"/>
      <c r="PPK134" s="271"/>
      <c r="PPL134" s="271"/>
      <c r="PPM134" s="271"/>
      <c r="PPN134" s="221"/>
      <c r="PPO134" s="221"/>
      <c r="PPP134" s="221"/>
      <c r="PPQ134" s="258"/>
      <c r="PPR134" s="270"/>
      <c r="PPS134" s="271"/>
      <c r="PPT134" s="271"/>
      <c r="PPU134" s="271"/>
      <c r="PPV134" s="221"/>
      <c r="PPW134" s="221"/>
      <c r="PPX134" s="221"/>
      <c r="PPY134" s="258"/>
      <c r="PPZ134" s="270"/>
      <c r="PQA134" s="271"/>
      <c r="PQB134" s="271"/>
      <c r="PQC134" s="271"/>
      <c r="PQD134" s="221"/>
      <c r="PQE134" s="221"/>
      <c r="PQF134" s="221"/>
      <c r="PQG134" s="258"/>
      <c r="PQH134" s="270"/>
      <c r="PQI134" s="271"/>
      <c r="PQJ134" s="271"/>
      <c r="PQK134" s="271"/>
      <c r="PQL134" s="221"/>
      <c r="PQM134" s="221"/>
      <c r="PQN134" s="221"/>
      <c r="PQO134" s="258"/>
      <c r="PQP134" s="270"/>
      <c r="PQQ134" s="271"/>
      <c r="PQR134" s="271"/>
      <c r="PQS134" s="271"/>
      <c r="PQT134" s="221"/>
      <c r="PQU134" s="221"/>
      <c r="PQV134" s="221"/>
      <c r="PQW134" s="258"/>
      <c r="PQX134" s="270"/>
      <c r="PQY134" s="271"/>
      <c r="PQZ134" s="271"/>
      <c r="PRA134" s="271"/>
      <c r="PRB134" s="221"/>
      <c r="PRC134" s="221"/>
      <c r="PRD134" s="221"/>
      <c r="PRE134" s="258"/>
      <c r="PRF134" s="270"/>
      <c r="PRG134" s="271"/>
      <c r="PRH134" s="271"/>
      <c r="PRI134" s="271"/>
      <c r="PRJ134" s="221"/>
      <c r="PRK134" s="221"/>
      <c r="PRL134" s="221"/>
      <c r="PRM134" s="258"/>
      <c r="PRN134" s="270"/>
      <c r="PRO134" s="271"/>
      <c r="PRP134" s="271"/>
      <c r="PRQ134" s="271"/>
      <c r="PRR134" s="221"/>
      <c r="PRS134" s="221"/>
      <c r="PRT134" s="221"/>
      <c r="PRU134" s="258"/>
      <c r="PRV134" s="270"/>
      <c r="PRW134" s="271"/>
      <c r="PRX134" s="271"/>
      <c r="PRY134" s="271"/>
      <c r="PRZ134" s="221"/>
      <c r="PSA134" s="221"/>
      <c r="PSB134" s="221"/>
      <c r="PSC134" s="258"/>
      <c r="PSD134" s="270"/>
      <c r="PSE134" s="271"/>
      <c r="PSF134" s="271"/>
      <c r="PSG134" s="271"/>
      <c r="PSH134" s="221"/>
      <c r="PSI134" s="221"/>
      <c r="PSJ134" s="221"/>
      <c r="PSK134" s="258"/>
      <c r="PSL134" s="270"/>
      <c r="PSM134" s="271"/>
      <c r="PSN134" s="271"/>
      <c r="PSO134" s="271"/>
      <c r="PSP134" s="221"/>
      <c r="PSQ134" s="221"/>
      <c r="PSR134" s="221"/>
      <c r="PSS134" s="258"/>
      <c r="PST134" s="270"/>
      <c r="PSU134" s="271"/>
      <c r="PSV134" s="271"/>
      <c r="PSW134" s="271"/>
      <c r="PSX134" s="221"/>
      <c r="PSY134" s="221"/>
      <c r="PSZ134" s="221"/>
      <c r="PTA134" s="258"/>
      <c r="PTB134" s="270"/>
      <c r="PTC134" s="271"/>
      <c r="PTD134" s="271"/>
      <c r="PTE134" s="271"/>
      <c r="PTF134" s="221"/>
      <c r="PTG134" s="221"/>
      <c r="PTH134" s="221"/>
      <c r="PTI134" s="258"/>
      <c r="PTJ134" s="270"/>
      <c r="PTK134" s="271"/>
      <c r="PTL134" s="271"/>
      <c r="PTM134" s="271"/>
      <c r="PTN134" s="221"/>
      <c r="PTO134" s="221"/>
      <c r="PTP134" s="221"/>
      <c r="PTQ134" s="258"/>
      <c r="PTR134" s="270"/>
      <c r="PTS134" s="271"/>
      <c r="PTT134" s="271"/>
      <c r="PTU134" s="271"/>
      <c r="PTV134" s="221"/>
      <c r="PTW134" s="221"/>
      <c r="PTX134" s="221"/>
      <c r="PTY134" s="258"/>
      <c r="PTZ134" s="270"/>
      <c r="PUA134" s="271"/>
      <c r="PUB134" s="271"/>
      <c r="PUC134" s="271"/>
      <c r="PUD134" s="221"/>
      <c r="PUE134" s="221"/>
      <c r="PUF134" s="221"/>
      <c r="PUG134" s="258"/>
      <c r="PUH134" s="270"/>
      <c r="PUI134" s="271"/>
      <c r="PUJ134" s="271"/>
      <c r="PUK134" s="271"/>
      <c r="PUL134" s="221"/>
      <c r="PUM134" s="221"/>
      <c r="PUN134" s="221"/>
      <c r="PUO134" s="258"/>
      <c r="PUP134" s="270"/>
      <c r="PUQ134" s="271"/>
      <c r="PUR134" s="271"/>
      <c r="PUS134" s="271"/>
      <c r="PUT134" s="221"/>
      <c r="PUU134" s="221"/>
      <c r="PUV134" s="221"/>
      <c r="PUW134" s="258"/>
      <c r="PUX134" s="270"/>
      <c r="PUY134" s="271"/>
      <c r="PUZ134" s="271"/>
      <c r="PVA134" s="271"/>
      <c r="PVB134" s="221"/>
      <c r="PVC134" s="221"/>
      <c r="PVD134" s="221"/>
      <c r="PVE134" s="258"/>
      <c r="PVF134" s="270"/>
      <c r="PVG134" s="271"/>
      <c r="PVH134" s="271"/>
      <c r="PVI134" s="271"/>
      <c r="PVJ134" s="221"/>
      <c r="PVK134" s="221"/>
      <c r="PVL134" s="221"/>
      <c r="PVM134" s="258"/>
      <c r="PVN134" s="270"/>
      <c r="PVO134" s="271"/>
      <c r="PVP134" s="271"/>
      <c r="PVQ134" s="271"/>
      <c r="PVR134" s="221"/>
      <c r="PVS134" s="221"/>
      <c r="PVT134" s="221"/>
      <c r="PVU134" s="258"/>
      <c r="PVV134" s="270"/>
      <c r="PVW134" s="271"/>
      <c r="PVX134" s="271"/>
      <c r="PVY134" s="271"/>
      <c r="PVZ134" s="221"/>
      <c r="PWA134" s="221"/>
      <c r="PWB134" s="221"/>
      <c r="PWC134" s="258"/>
      <c r="PWD134" s="270"/>
      <c r="PWE134" s="271"/>
      <c r="PWF134" s="271"/>
      <c r="PWG134" s="271"/>
      <c r="PWH134" s="221"/>
      <c r="PWI134" s="221"/>
      <c r="PWJ134" s="221"/>
      <c r="PWK134" s="258"/>
      <c r="PWL134" s="270"/>
      <c r="PWM134" s="271"/>
      <c r="PWN134" s="271"/>
      <c r="PWO134" s="271"/>
      <c r="PWP134" s="221"/>
      <c r="PWQ134" s="221"/>
      <c r="PWR134" s="221"/>
      <c r="PWS134" s="258"/>
      <c r="PWT134" s="270"/>
      <c r="PWU134" s="271"/>
      <c r="PWV134" s="271"/>
      <c r="PWW134" s="271"/>
      <c r="PWX134" s="221"/>
      <c r="PWY134" s="221"/>
      <c r="PWZ134" s="221"/>
      <c r="PXA134" s="258"/>
      <c r="PXB134" s="270"/>
      <c r="PXC134" s="271"/>
      <c r="PXD134" s="271"/>
      <c r="PXE134" s="271"/>
      <c r="PXF134" s="221"/>
      <c r="PXG134" s="221"/>
      <c r="PXH134" s="221"/>
      <c r="PXI134" s="258"/>
      <c r="PXJ134" s="270"/>
      <c r="PXK134" s="271"/>
      <c r="PXL134" s="271"/>
      <c r="PXM134" s="271"/>
      <c r="PXN134" s="221"/>
      <c r="PXO134" s="221"/>
      <c r="PXP134" s="221"/>
      <c r="PXQ134" s="258"/>
      <c r="PXR134" s="270"/>
      <c r="PXS134" s="271"/>
      <c r="PXT134" s="271"/>
      <c r="PXU134" s="271"/>
      <c r="PXV134" s="221"/>
      <c r="PXW134" s="221"/>
      <c r="PXX134" s="221"/>
      <c r="PXY134" s="258"/>
      <c r="PXZ134" s="270"/>
      <c r="PYA134" s="271"/>
      <c r="PYB134" s="271"/>
      <c r="PYC134" s="271"/>
      <c r="PYD134" s="221"/>
      <c r="PYE134" s="221"/>
      <c r="PYF134" s="221"/>
      <c r="PYG134" s="258"/>
      <c r="PYH134" s="270"/>
      <c r="PYI134" s="271"/>
      <c r="PYJ134" s="271"/>
      <c r="PYK134" s="271"/>
      <c r="PYL134" s="221"/>
      <c r="PYM134" s="221"/>
      <c r="PYN134" s="221"/>
      <c r="PYO134" s="258"/>
      <c r="PYP134" s="270"/>
      <c r="PYQ134" s="271"/>
      <c r="PYR134" s="271"/>
      <c r="PYS134" s="271"/>
      <c r="PYT134" s="221"/>
      <c r="PYU134" s="221"/>
      <c r="PYV134" s="221"/>
      <c r="PYW134" s="258"/>
      <c r="PYX134" s="270"/>
      <c r="PYY134" s="271"/>
      <c r="PYZ134" s="271"/>
      <c r="PZA134" s="271"/>
      <c r="PZB134" s="221"/>
      <c r="PZC134" s="221"/>
      <c r="PZD134" s="221"/>
      <c r="PZE134" s="258"/>
      <c r="PZF134" s="270"/>
      <c r="PZG134" s="271"/>
      <c r="PZH134" s="271"/>
      <c r="PZI134" s="271"/>
      <c r="PZJ134" s="221"/>
      <c r="PZK134" s="221"/>
      <c r="PZL134" s="221"/>
      <c r="PZM134" s="258"/>
      <c r="PZN134" s="270"/>
      <c r="PZO134" s="271"/>
      <c r="PZP134" s="271"/>
      <c r="PZQ134" s="271"/>
      <c r="PZR134" s="221"/>
      <c r="PZS134" s="221"/>
      <c r="PZT134" s="221"/>
      <c r="PZU134" s="258"/>
      <c r="PZV134" s="270"/>
      <c r="PZW134" s="271"/>
      <c r="PZX134" s="271"/>
      <c r="PZY134" s="271"/>
      <c r="PZZ134" s="221"/>
      <c r="QAA134" s="221"/>
      <c r="QAB134" s="221"/>
      <c r="QAC134" s="258"/>
      <c r="QAD134" s="270"/>
      <c r="QAE134" s="271"/>
      <c r="QAF134" s="271"/>
      <c r="QAG134" s="271"/>
      <c r="QAH134" s="221"/>
      <c r="QAI134" s="221"/>
      <c r="QAJ134" s="221"/>
      <c r="QAK134" s="258"/>
      <c r="QAL134" s="270"/>
      <c r="QAM134" s="271"/>
      <c r="QAN134" s="271"/>
      <c r="QAO134" s="271"/>
      <c r="QAP134" s="221"/>
      <c r="QAQ134" s="221"/>
      <c r="QAR134" s="221"/>
      <c r="QAS134" s="258"/>
      <c r="QAT134" s="270"/>
      <c r="QAU134" s="271"/>
      <c r="QAV134" s="271"/>
      <c r="QAW134" s="271"/>
      <c r="QAX134" s="221"/>
      <c r="QAY134" s="221"/>
      <c r="QAZ134" s="221"/>
      <c r="QBA134" s="258"/>
      <c r="QBB134" s="270"/>
      <c r="QBC134" s="271"/>
      <c r="QBD134" s="271"/>
      <c r="QBE134" s="271"/>
      <c r="QBF134" s="221"/>
      <c r="QBG134" s="221"/>
      <c r="QBH134" s="221"/>
      <c r="QBI134" s="258"/>
      <c r="QBJ134" s="270"/>
      <c r="QBK134" s="271"/>
      <c r="QBL134" s="271"/>
      <c r="QBM134" s="271"/>
      <c r="QBN134" s="221"/>
      <c r="QBO134" s="221"/>
      <c r="QBP134" s="221"/>
      <c r="QBQ134" s="258"/>
      <c r="QBR134" s="270"/>
      <c r="QBS134" s="271"/>
      <c r="QBT134" s="271"/>
      <c r="QBU134" s="271"/>
      <c r="QBV134" s="221"/>
      <c r="QBW134" s="221"/>
      <c r="QBX134" s="221"/>
      <c r="QBY134" s="258"/>
      <c r="QBZ134" s="270"/>
      <c r="QCA134" s="271"/>
      <c r="QCB134" s="271"/>
      <c r="QCC134" s="271"/>
      <c r="QCD134" s="221"/>
      <c r="QCE134" s="221"/>
      <c r="QCF134" s="221"/>
      <c r="QCG134" s="258"/>
      <c r="QCH134" s="270"/>
      <c r="QCI134" s="271"/>
      <c r="QCJ134" s="271"/>
      <c r="QCK134" s="271"/>
      <c r="QCL134" s="221"/>
      <c r="QCM134" s="221"/>
      <c r="QCN134" s="221"/>
      <c r="QCO134" s="258"/>
      <c r="QCP134" s="270"/>
      <c r="QCQ134" s="271"/>
      <c r="QCR134" s="271"/>
      <c r="QCS134" s="271"/>
      <c r="QCT134" s="221"/>
      <c r="QCU134" s="221"/>
      <c r="QCV134" s="221"/>
      <c r="QCW134" s="258"/>
      <c r="QCX134" s="270"/>
      <c r="QCY134" s="271"/>
      <c r="QCZ134" s="271"/>
      <c r="QDA134" s="271"/>
      <c r="QDB134" s="221"/>
      <c r="QDC134" s="221"/>
      <c r="QDD134" s="221"/>
      <c r="QDE134" s="258"/>
      <c r="QDF134" s="270"/>
      <c r="QDG134" s="271"/>
      <c r="QDH134" s="271"/>
      <c r="QDI134" s="271"/>
      <c r="QDJ134" s="221"/>
      <c r="QDK134" s="221"/>
      <c r="QDL134" s="221"/>
      <c r="QDM134" s="258"/>
      <c r="QDN134" s="270"/>
      <c r="QDO134" s="271"/>
      <c r="QDP134" s="271"/>
      <c r="QDQ134" s="271"/>
      <c r="QDR134" s="221"/>
      <c r="QDS134" s="221"/>
      <c r="QDT134" s="221"/>
      <c r="QDU134" s="258"/>
      <c r="QDV134" s="270"/>
      <c r="QDW134" s="271"/>
      <c r="QDX134" s="271"/>
      <c r="QDY134" s="271"/>
      <c r="QDZ134" s="221"/>
      <c r="QEA134" s="221"/>
      <c r="QEB134" s="221"/>
      <c r="QEC134" s="258"/>
      <c r="QED134" s="270"/>
      <c r="QEE134" s="271"/>
      <c r="QEF134" s="271"/>
      <c r="QEG134" s="271"/>
      <c r="QEH134" s="221"/>
      <c r="QEI134" s="221"/>
      <c r="QEJ134" s="221"/>
      <c r="QEK134" s="258"/>
      <c r="QEL134" s="270"/>
      <c r="QEM134" s="271"/>
      <c r="QEN134" s="271"/>
      <c r="QEO134" s="271"/>
      <c r="QEP134" s="221"/>
      <c r="QEQ134" s="221"/>
      <c r="QER134" s="221"/>
      <c r="QES134" s="258"/>
      <c r="QET134" s="270"/>
      <c r="QEU134" s="271"/>
      <c r="QEV134" s="271"/>
      <c r="QEW134" s="271"/>
      <c r="QEX134" s="221"/>
      <c r="QEY134" s="221"/>
      <c r="QEZ134" s="221"/>
      <c r="QFA134" s="258"/>
      <c r="QFB134" s="270"/>
      <c r="QFC134" s="271"/>
      <c r="QFD134" s="271"/>
      <c r="QFE134" s="271"/>
      <c r="QFF134" s="221"/>
      <c r="QFG134" s="221"/>
      <c r="QFH134" s="221"/>
      <c r="QFI134" s="258"/>
      <c r="QFJ134" s="270"/>
      <c r="QFK134" s="271"/>
      <c r="QFL134" s="271"/>
      <c r="QFM134" s="271"/>
      <c r="QFN134" s="221"/>
      <c r="QFO134" s="221"/>
      <c r="QFP134" s="221"/>
      <c r="QFQ134" s="258"/>
      <c r="QFR134" s="270"/>
      <c r="QFS134" s="271"/>
      <c r="QFT134" s="271"/>
      <c r="QFU134" s="271"/>
      <c r="QFV134" s="221"/>
      <c r="QFW134" s="221"/>
      <c r="QFX134" s="221"/>
      <c r="QFY134" s="258"/>
      <c r="QFZ134" s="270"/>
      <c r="QGA134" s="271"/>
      <c r="QGB134" s="271"/>
      <c r="QGC134" s="271"/>
      <c r="QGD134" s="221"/>
      <c r="QGE134" s="221"/>
      <c r="QGF134" s="221"/>
      <c r="QGG134" s="258"/>
      <c r="QGH134" s="270"/>
      <c r="QGI134" s="271"/>
      <c r="QGJ134" s="271"/>
      <c r="QGK134" s="271"/>
      <c r="QGL134" s="221"/>
      <c r="QGM134" s="221"/>
      <c r="QGN134" s="221"/>
      <c r="QGO134" s="258"/>
      <c r="QGP134" s="270"/>
      <c r="QGQ134" s="271"/>
      <c r="QGR134" s="271"/>
      <c r="QGS134" s="271"/>
      <c r="QGT134" s="221"/>
      <c r="QGU134" s="221"/>
      <c r="QGV134" s="221"/>
      <c r="QGW134" s="258"/>
      <c r="QGX134" s="270"/>
      <c r="QGY134" s="271"/>
      <c r="QGZ134" s="271"/>
      <c r="QHA134" s="271"/>
      <c r="QHB134" s="221"/>
      <c r="QHC134" s="221"/>
      <c r="QHD134" s="221"/>
      <c r="QHE134" s="258"/>
      <c r="QHF134" s="270"/>
      <c r="QHG134" s="271"/>
      <c r="QHH134" s="271"/>
      <c r="QHI134" s="271"/>
      <c r="QHJ134" s="221"/>
      <c r="QHK134" s="221"/>
      <c r="QHL134" s="221"/>
      <c r="QHM134" s="258"/>
      <c r="QHN134" s="270"/>
      <c r="QHO134" s="271"/>
      <c r="QHP134" s="271"/>
      <c r="QHQ134" s="271"/>
      <c r="QHR134" s="221"/>
      <c r="QHS134" s="221"/>
      <c r="QHT134" s="221"/>
      <c r="QHU134" s="258"/>
      <c r="QHV134" s="270"/>
      <c r="QHW134" s="271"/>
      <c r="QHX134" s="271"/>
      <c r="QHY134" s="271"/>
      <c r="QHZ134" s="221"/>
      <c r="QIA134" s="221"/>
      <c r="QIB134" s="221"/>
      <c r="QIC134" s="258"/>
      <c r="QID134" s="270"/>
      <c r="QIE134" s="271"/>
      <c r="QIF134" s="271"/>
      <c r="QIG134" s="271"/>
      <c r="QIH134" s="221"/>
      <c r="QII134" s="221"/>
      <c r="QIJ134" s="221"/>
      <c r="QIK134" s="258"/>
      <c r="QIL134" s="270"/>
      <c r="QIM134" s="271"/>
      <c r="QIN134" s="271"/>
      <c r="QIO134" s="271"/>
      <c r="QIP134" s="221"/>
      <c r="QIQ134" s="221"/>
      <c r="QIR134" s="221"/>
      <c r="QIS134" s="258"/>
      <c r="QIT134" s="270"/>
      <c r="QIU134" s="271"/>
      <c r="QIV134" s="271"/>
      <c r="QIW134" s="271"/>
      <c r="QIX134" s="221"/>
      <c r="QIY134" s="221"/>
      <c r="QIZ134" s="221"/>
      <c r="QJA134" s="258"/>
      <c r="QJB134" s="270"/>
      <c r="QJC134" s="271"/>
      <c r="QJD134" s="271"/>
      <c r="QJE134" s="271"/>
      <c r="QJF134" s="221"/>
      <c r="QJG134" s="221"/>
      <c r="QJH134" s="221"/>
      <c r="QJI134" s="258"/>
      <c r="QJJ134" s="270"/>
      <c r="QJK134" s="271"/>
      <c r="QJL134" s="271"/>
      <c r="QJM134" s="271"/>
      <c r="QJN134" s="221"/>
      <c r="QJO134" s="221"/>
      <c r="QJP134" s="221"/>
      <c r="QJQ134" s="258"/>
      <c r="QJR134" s="270"/>
      <c r="QJS134" s="271"/>
      <c r="QJT134" s="271"/>
      <c r="QJU134" s="271"/>
      <c r="QJV134" s="221"/>
      <c r="QJW134" s="221"/>
      <c r="QJX134" s="221"/>
      <c r="QJY134" s="258"/>
      <c r="QJZ134" s="270"/>
      <c r="QKA134" s="271"/>
      <c r="QKB134" s="271"/>
      <c r="QKC134" s="271"/>
      <c r="QKD134" s="221"/>
      <c r="QKE134" s="221"/>
      <c r="QKF134" s="221"/>
      <c r="QKG134" s="258"/>
      <c r="QKH134" s="270"/>
      <c r="QKI134" s="271"/>
      <c r="QKJ134" s="271"/>
      <c r="QKK134" s="271"/>
      <c r="QKL134" s="221"/>
      <c r="QKM134" s="221"/>
      <c r="QKN134" s="221"/>
      <c r="QKO134" s="258"/>
      <c r="QKP134" s="270"/>
      <c r="QKQ134" s="271"/>
      <c r="QKR134" s="271"/>
      <c r="QKS134" s="271"/>
      <c r="QKT134" s="221"/>
      <c r="QKU134" s="221"/>
      <c r="QKV134" s="221"/>
      <c r="QKW134" s="258"/>
      <c r="QKX134" s="270"/>
      <c r="QKY134" s="271"/>
      <c r="QKZ134" s="271"/>
      <c r="QLA134" s="271"/>
      <c r="QLB134" s="221"/>
      <c r="QLC134" s="221"/>
      <c r="QLD134" s="221"/>
      <c r="QLE134" s="258"/>
      <c r="QLF134" s="270"/>
      <c r="QLG134" s="271"/>
      <c r="QLH134" s="271"/>
      <c r="QLI134" s="271"/>
      <c r="QLJ134" s="221"/>
      <c r="QLK134" s="221"/>
      <c r="QLL134" s="221"/>
      <c r="QLM134" s="258"/>
      <c r="QLN134" s="270"/>
      <c r="QLO134" s="271"/>
      <c r="QLP134" s="271"/>
      <c r="QLQ134" s="271"/>
      <c r="QLR134" s="221"/>
      <c r="QLS134" s="221"/>
      <c r="QLT134" s="221"/>
      <c r="QLU134" s="258"/>
      <c r="QLV134" s="270"/>
      <c r="QLW134" s="271"/>
      <c r="QLX134" s="271"/>
      <c r="QLY134" s="271"/>
      <c r="QLZ134" s="221"/>
      <c r="QMA134" s="221"/>
      <c r="QMB134" s="221"/>
      <c r="QMC134" s="258"/>
      <c r="QMD134" s="270"/>
      <c r="QME134" s="271"/>
      <c r="QMF134" s="271"/>
      <c r="QMG134" s="271"/>
      <c r="QMH134" s="221"/>
      <c r="QMI134" s="221"/>
      <c r="QMJ134" s="221"/>
      <c r="QMK134" s="258"/>
      <c r="QML134" s="270"/>
      <c r="QMM134" s="271"/>
      <c r="QMN134" s="271"/>
      <c r="QMO134" s="271"/>
      <c r="QMP134" s="221"/>
      <c r="QMQ134" s="221"/>
      <c r="QMR134" s="221"/>
      <c r="QMS134" s="258"/>
      <c r="QMT134" s="270"/>
      <c r="QMU134" s="271"/>
      <c r="QMV134" s="271"/>
      <c r="QMW134" s="271"/>
      <c r="QMX134" s="221"/>
      <c r="QMY134" s="221"/>
      <c r="QMZ134" s="221"/>
      <c r="QNA134" s="258"/>
      <c r="QNB134" s="270"/>
      <c r="QNC134" s="271"/>
      <c r="QND134" s="271"/>
      <c r="QNE134" s="271"/>
      <c r="QNF134" s="221"/>
      <c r="QNG134" s="221"/>
      <c r="QNH134" s="221"/>
      <c r="QNI134" s="258"/>
      <c r="QNJ134" s="270"/>
      <c r="QNK134" s="271"/>
      <c r="QNL134" s="271"/>
      <c r="QNM134" s="271"/>
      <c r="QNN134" s="221"/>
      <c r="QNO134" s="221"/>
      <c r="QNP134" s="221"/>
      <c r="QNQ134" s="258"/>
      <c r="QNR134" s="270"/>
      <c r="QNS134" s="271"/>
      <c r="QNT134" s="271"/>
      <c r="QNU134" s="271"/>
      <c r="QNV134" s="221"/>
      <c r="QNW134" s="221"/>
      <c r="QNX134" s="221"/>
      <c r="QNY134" s="258"/>
      <c r="QNZ134" s="270"/>
      <c r="QOA134" s="271"/>
      <c r="QOB134" s="271"/>
      <c r="QOC134" s="271"/>
      <c r="QOD134" s="221"/>
      <c r="QOE134" s="221"/>
      <c r="QOF134" s="221"/>
      <c r="QOG134" s="258"/>
      <c r="QOH134" s="270"/>
      <c r="QOI134" s="271"/>
      <c r="QOJ134" s="271"/>
      <c r="QOK134" s="271"/>
      <c r="QOL134" s="221"/>
      <c r="QOM134" s="221"/>
      <c r="QON134" s="221"/>
      <c r="QOO134" s="258"/>
      <c r="QOP134" s="270"/>
      <c r="QOQ134" s="271"/>
      <c r="QOR134" s="271"/>
      <c r="QOS134" s="271"/>
      <c r="QOT134" s="221"/>
      <c r="QOU134" s="221"/>
      <c r="QOV134" s="221"/>
      <c r="QOW134" s="258"/>
      <c r="QOX134" s="270"/>
      <c r="QOY134" s="271"/>
      <c r="QOZ134" s="271"/>
      <c r="QPA134" s="271"/>
      <c r="QPB134" s="221"/>
      <c r="QPC134" s="221"/>
      <c r="QPD134" s="221"/>
      <c r="QPE134" s="258"/>
      <c r="QPF134" s="270"/>
      <c r="QPG134" s="271"/>
      <c r="QPH134" s="271"/>
      <c r="QPI134" s="271"/>
      <c r="QPJ134" s="221"/>
      <c r="QPK134" s="221"/>
      <c r="QPL134" s="221"/>
      <c r="QPM134" s="258"/>
      <c r="QPN134" s="270"/>
      <c r="QPO134" s="271"/>
      <c r="QPP134" s="271"/>
      <c r="QPQ134" s="271"/>
      <c r="QPR134" s="221"/>
      <c r="QPS134" s="221"/>
      <c r="QPT134" s="221"/>
      <c r="QPU134" s="258"/>
      <c r="QPV134" s="270"/>
      <c r="QPW134" s="271"/>
      <c r="QPX134" s="271"/>
      <c r="QPY134" s="271"/>
      <c r="QPZ134" s="221"/>
      <c r="QQA134" s="221"/>
      <c r="QQB134" s="221"/>
      <c r="QQC134" s="258"/>
      <c r="QQD134" s="270"/>
      <c r="QQE134" s="271"/>
      <c r="QQF134" s="271"/>
      <c r="QQG134" s="271"/>
      <c r="QQH134" s="221"/>
      <c r="QQI134" s="221"/>
      <c r="QQJ134" s="221"/>
      <c r="QQK134" s="258"/>
      <c r="QQL134" s="270"/>
      <c r="QQM134" s="271"/>
      <c r="QQN134" s="271"/>
      <c r="QQO134" s="271"/>
      <c r="QQP134" s="221"/>
      <c r="QQQ134" s="221"/>
      <c r="QQR134" s="221"/>
      <c r="QQS134" s="258"/>
      <c r="QQT134" s="270"/>
      <c r="QQU134" s="271"/>
      <c r="QQV134" s="271"/>
      <c r="QQW134" s="271"/>
      <c r="QQX134" s="221"/>
      <c r="QQY134" s="221"/>
      <c r="QQZ134" s="221"/>
      <c r="QRA134" s="258"/>
      <c r="QRB134" s="270"/>
      <c r="QRC134" s="271"/>
      <c r="QRD134" s="271"/>
      <c r="QRE134" s="271"/>
      <c r="QRF134" s="221"/>
      <c r="QRG134" s="221"/>
      <c r="QRH134" s="221"/>
      <c r="QRI134" s="258"/>
      <c r="QRJ134" s="270"/>
      <c r="QRK134" s="271"/>
      <c r="QRL134" s="271"/>
      <c r="QRM134" s="271"/>
      <c r="QRN134" s="221"/>
      <c r="QRO134" s="221"/>
      <c r="QRP134" s="221"/>
      <c r="QRQ134" s="258"/>
      <c r="QRR134" s="270"/>
      <c r="QRS134" s="271"/>
      <c r="QRT134" s="271"/>
      <c r="QRU134" s="271"/>
      <c r="QRV134" s="221"/>
      <c r="QRW134" s="221"/>
      <c r="QRX134" s="221"/>
      <c r="QRY134" s="258"/>
      <c r="QRZ134" s="270"/>
      <c r="QSA134" s="271"/>
      <c r="QSB134" s="271"/>
      <c r="QSC134" s="271"/>
      <c r="QSD134" s="221"/>
      <c r="QSE134" s="221"/>
      <c r="QSF134" s="221"/>
      <c r="QSG134" s="258"/>
      <c r="QSH134" s="270"/>
      <c r="QSI134" s="271"/>
      <c r="QSJ134" s="271"/>
      <c r="QSK134" s="271"/>
      <c r="QSL134" s="221"/>
      <c r="QSM134" s="221"/>
      <c r="QSN134" s="221"/>
      <c r="QSO134" s="258"/>
      <c r="QSP134" s="270"/>
      <c r="QSQ134" s="271"/>
      <c r="QSR134" s="271"/>
      <c r="QSS134" s="271"/>
      <c r="QST134" s="221"/>
      <c r="QSU134" s="221"/>
      <c r="QSV134" s="221"/>
      <c r="QSW134" s="258"/>
      <c r="QSX134" s="270"/>
      <c r="QSY134" s="271"/>
      <c r="QSZ134" s="271"/>
      <c r="QTA134" s="271"/>
      <c r="QTB134" s="221"/>
      <c r="QTC134" s="221"/>
      <c r="QTD134" s="221"/>
      <c r="QTE134" s="258"/>
      <c r="QTF134" s="270"/>
      <c r="QTG134" s="271"/>
      <c r="QTH134" s="271"/>
      <c r="QTI134" s="271"/>
      <c r="QTJ134" s="221"/>
      <c r="QTK134" s="221"/>
      <c r="QTL134" s="221"/>
      <c r="QTM134" s="258"/>
      <c r="QTN134" s="270"/>
      <c r="QTO134" s="271"/>
      <c r="QTP134" s="271"/>
      <c r="QTQ134" s="271"/>
      <c r="QTR134" s="221"/>
      <c r="QTS134" s="221"/>
      <c r="QTT134" s="221"/>
      <c r="QTU134" s="258"/>
      <c r="QTV134" s="270"/>
      <c r="QTW134" s="271"/>
      <c r="QTX134" s="271"/>
      <c r="QTY134" s="271"/>
      <c r="QTZ134" s="221"/>
      <c r="QUA134" s="221"/>
      <c r="QUB134" s="221"/>
      <c r="QUC134" s="258"/>
      <c r="QUD134" s="270"/>
      <c r="QUE134" s="271"/>
      <c r="QUF134" s="271"/>
      <c r="QUG134" s="271"/>
      <c r="QUH134" s="221"/>
      <c r="QUI134" s="221"/>
      <c r="QUJ134" s="221"/>
      <c r="QUK134" s="258"/>
      <c r="QUL134" s="270"/>
      <c r="QUM134" s="271"/>
      <c r="QUN134" s="271"/>
      <c r="QUO134" s="271"/>
      <c r="QUP134" s="221"/>
      <c r="QUQ134" s="221"/>
      <c r="QUR134" s="221"/>
      <c r="QUS134" s="258"/>
      <c r="QUT134" s="270"/>
      <c r="QUU134" s="271"/>
      <c r="QUV134" s="271"/>
      <c r="QUW134" s="271"/>
      <c r="QUX134" s="221"/>
      <c r="QUY134" s="221"/>
      <c r="QUZ134" s="221"/>
      <c r="QVA134" s="258"/>
      <c r="QVB134" s="270"/>
      <c r="QVC134" s="271"/>
      <c r="QVD134" s="271"/>
      <c r="QVE134" s="271"/>
      <c r="QVF134" s="221"/>
      <c r="QVG134" s="221"/>
      <c r="QVH134" s="221"/>
      <c r="QVI134" s="258"/>
      <c r="QVJ134" s="270"/>
      <c r="QVK134" s="271"/>
      <c r="QVL134" s="271"/>
      <c r="QVM134" s="271"/>
      <c r="QVN134" s="221"/>
      <c r="QVO134" s="221"/>
      <c r="QVP134" s="221"/>
      <c r="QVQ134" s="258"/>
      <c r="QVR134" s="270"/>
      <c r="QVS134" s="271"/>
      <c r="QVT134" s="271"/>
      <c r="QVU134" s="271"/>
      <c r="QVV134" s="221"/>
      <c r="QVW134" s="221"/>
      <c r="QVX134" s="221"/>
      <c r="QVY134" s="258"/>
      <c r="QVZ134" s="270"/>
      <c r="QWA134" s="271"/>
      <c r="QWB134" s="271"/>
      <c r="QWC134" s="271"/>
      <c r="QWD134" s="221"/>
      <c r="QWE134" s="221"/>
      <c r="QWF134" s="221"/>
      <c r="QWG134" s="258"/>
      <c r="QWH134" s="270"/>
      <c r="QWI134" s="271"/>
      <c r="QWJ134" s="271"/>
      <c r="QWK134" s="271"/>
      <c r="QWL134" s="221"/>
      <c r="QWM134" s="221"/>
      <c r="QWN134" s="221"/>
      <c r="QWO134" s="258"/>
      <c r="QWP134" s="270"/>
      <c r="QWQ134" s="271"/>
      <c r="QWR134" s="271"/>
      <c r="QWS134" s="271"/>
      <c r="QWT134" s="221"/>
      <c r="QWU134" s="221"/>
      <c r="QWV134" s="221"/>
      <c r="QWW134" s="258"/>
      <c r="QWX134" s="270"/>
      <c r="QWY134" s="271"/>
      <c r="QWZ134" s="271"/>
      <c r="QXA134" s="271"/>
      <c r="QXB134" s="221"/>
      <c r="QXC134" s="221"/>
      <c r="QXD134" s="221"/>
      <c r="QXE134" s="258"/>
      <c r="QXF134" s="270"/>
      <c r="QXG134" s="271"/>
      <c r="QXH134" s="271"/>
      <c r="QXI134" s="271"/>
      <c r="QXJ134" s="221"/>
      <c r="QXK134" s="221"/>
      <c r="QXL134" s="221"/>
      <c r="QXM134" s="258"/>
      <c r="QXN134" s="270"/>
      <c r="QXO134" s="271"/>
      <c r="QXP134" s="271"/>
      <c r="QXQ134" s="271"/>
      <c r="QXR134" s="221"/>
      <c r="QXS134" s="221"/>
      <c r="QXT134" s="221"/>
      <c r="QXU134" s="258"/>
      <c r="QXV134" s="270"/>
      <c r="QXW134" s="271"/>
      <c r="QXX134" s="271"/>
      <c r="QXY134" s="271"/>
      <c r="QXZ134" s="221"/>
      <c r="QYA134" s="221"/>
      <c r="QYB134" s="221"/>
      <c r="QYC134" s="258"/>
      <c r="QYD134" s="270"/>
      <c r="QYE134" s="271"/>
      <c r="QYF134" s="271"/>
      <c r="QYG134" s="271"/>
      <c r="QYH134" s="221"/>
      <c r="QYI134" s="221"/>
      <c r="QYJ134" s="221"/>
      <c r="QYK134" s="258"/>
      <c r="QYL134" s="270"/>
      <c r="QYM134" s="271"/>
      <c r="QYN134" s="271"/>
      <c r="QYO134" s="271"/>
      <c r="QYP134" s="221"/>
      <c r="QYQ134" s="221"/>
      <c r="QYR134" s="221"/>
      <c r="QYS134" s="258"/>
      <c r="QYT134" s="270"/>
      <c r="QYU134" s="271"/>
      <c r="QYV134" s="271"/>
      <c r="QYW134" s="271"/>
      <c r="QYX134" s="221"/>
      <c r="QYY134" s="221"/>
      <c r="QYZ134" s="221"/>
      <c r="QZA134" s="258"/>
      <c r="QZB134" s="270"/>
      <c r="QZC134" s="271"/>
      <c r="QZD134" s="271"/>
      <c r="QZE134" s="271"/>
      <c r="QZF134" s="221"/>
      <c r="QZG134" s="221"/>
      <c r="QZH134" s="221"/>
      <c r="QZI134" s="258"/>
      <c r="QZJ134" s="270"/>
      <c r="QZK134" s="271"/>
      <c r="QZL134" s="271"/>
      <c r="QZM134" s="271"/>
      <c r="QZN134" s="221"/>
      <c r="QZO134" s="221"/>
      <c r="QZP134" s="221"/>
      <c r="QZQ134" s="258"/>
      <c r="QZR134" s="270"/>
      <c r="QZS134" s="271"/>
      <c r="QZT134" s="271"/>
      <c r="QZU134" s="271"/>
      <c r="QZV134" s="221"/>
      <c r="QZW134" s="221"/>
      <c r="QZX134" s="221"/>
      <c r="QZY134" s="258"/>
      <c r="QZZ134" s="270"/>
      <c r="RAA134" s="271"/>
      <c r="RAB134" s="271"/>
      <c r="RAC134" s="271"/>
      <c r="RAD134" s="221"/>
      <c r="RAE134" s="221"/>
      <c r="RAF134" s="221"/>
      <c r="RAG134" s="258"/>
      <c r="RAH134" s="270"/>
      <c r="RAI134" s="271"/>
      <c r="RAJ134" s="271"/>
      <c r="RAK134" s="271"/>
      <c r="RAL134" s="221"/>
      <c r="RAM134" s="221"/>
      <c r="RAN134" s="221"/>
      <c r="RAO134" s="258"/>
      <c r="RAP134" s="270"/>
      <c r="RAQ134" s="271"/>
      <c r="RAR134" s="271"/>
      <c r="RAS134" s="271"/>
      <c r="RAT134" s="221"/>
      <c r="RAU134" s="221"/>
      <c r="RAV134" s="221"/>
      <c r="RAW134" s="258"/>
      <c r="RAX134" s="270"/>
      <c r="RAY134" s="271"/>
      <c r="RAZ134" s="271"/>
      <c r="RBA134" s="271"/>
      <c r="RBB134" s="221"/>
      <c r="RBC134" s="221"/>
      <c r="RBD134" s="221"/>
      <c r="RBE134" s="258"/>
      <c r="RBF134" s="270"/>
      <c r="RBG134" s="271"/>
      <c r="RBH134" s="271"/>
      <c r="RBI134" s="271"/>
      <c r="RBJ134" s="221"/>
      <c r="RBK134" s="221"/>
      <c r="RBL134" s="221"/>
      <c r="RBM134" s="258"/>
      <c r="RBN134" s="270"/>
      <c r="RBO134" s="271"/>
      <c r="RBP134" s="271"/>
      <c r="RBQ134" s="271"/>
      <c r="RBR134" s="221"/>
      <c r="RBS134" s="221"/>
      <c r="RBT134" s="221"/>
      <c r="RBU134" s="258"/>
      <c r="RBV134" s="270"/>
      <c r="RBW134" s="271"/>
      <c r="RBX134" s="271"/>
      <c r="RBY134" s="271"/>
      <c r="RBZ134" s="221"/>
      <c r="RCA134" s="221"/>
      <c r="RCB134" s="221"/>
      <c r="RCC134" s="258"/>
      <c r="RCD134" s="270"/>
      <c r="RCE134" s="271"/>
      <c r="RCF134" s="271"/>
      <c r="RCG134" s="271"/>
      <c r="RCH134" s="221"/>
      <c r="RCI134" s="221"/>
      <c r="RCJ134" s="221"/>
      <c r="RCK134" s="258"/>
      <c r="RCL134" s="270"/>
      <c r="RCM134" s="271"/>
      <c r="RCN134" s="271"/>
      <c r="RCO134" s="271"/>
      <c r="RCP134" s="221"/>
      <c r="RCQ134" s="221"/>
      <c r="RCR134" s="221"/>
      <c r="RCS134" s="258"/>
      <c r="RCT134" s="270"/>
      <c r="RCU134" s="271"/>
      <c r="RCV134" s="271"/>
      <c r="RCW134" s="271"/>
      <c r="RCX134" s="221"/>
      <c r="RCY134" s="221"/>
      <c r="RCZ134" s="221"/>
      <c r="RDA134" s="258"/>
      <c r="RDB134" s="270"/>
      <c r="RDC134" s="271"/>
      <c r="RDD134" s="271"/>
      <c r="RDE134" s="271"/>
      <c r="RDF134" s="221"/>
      <c r="RDG134" s="221"/>
      <c r="RDH134" s="221"/>
      <c r="RDI134" s="258"/>
      <c r="RDJ134" s="270"/>
      <c r="RDK134" s="271"/>
      <c r="RDL134" s="271"/>
      <c r="RDM134" s="271"/>
      <c r="RDN134" s="221"/>
      <c r="RDO134" s="221"/>
      <c r="RDP134" s="221"/>
      <c r="RDQ134" s="258"/>
      <c r="RDR134" s="270"/>
      <c r="RDS134" s="271"/>
      <c r="RDT134" s="271"/>
      <c r="RDU134" s="271"/>
      <c r="RDV134" s="221"/>
      <c r="RDW134" s="221"/>
      <c r="RDX134" s="221"/>
      <c r="RDY134" s="258"/>
      <c r="RDZ134" s="270"/>
      <c r="REA134" s="271"/>
      <c r="REB134" s="271"/>
      <c r="REC134" s="271"/>
      <c r="RED134" s="221"/>
      <c r="REE134" s="221"/>
      <c r="REF134" s="221"/>
      <c r="REG134" s="258"/>
      <c r="REH134" s="270"/>
      <c r="REI134" s="271"/>
      <c r="REJ134" s="271"/>
      <c r="REK134" s="271"/>
      <c r="REL134" s="221"/>
      <c r="REM134" s="221"/>
      <c r="REN134" s="221"/>
      <c r="REO134" s="258"/>
      <c r="REP134" s="270"/>
      <c r="REQ134" s="271"/>
      <c r="RER134" s="271"/>
      <c r="RES134" s="271"/>
      <c r="RET134" s="221"/>
      <c r="REU134" s="221"/>
      <c r="REV134" s="221"/>
      <c r="REW134" s="258"/>
      <c r="REX134" s="270"/>
      <c r="REY134" s="271"/>
      <c r="REZ134" s="271"/>
      <c r="RFA134" s="271"/>
      <c r="RFB134" s="221"/>
      <c r="RFC134" s="221"/>
      <c r="RFD134" s="221"/>
      <c r="RFE134" s="258"/>
      <c r="RFF134" s="270"/>
      <c r="RFG134" s="271"/>
      <c r="RFH134" s="271"/>
      <c r="RFI134" s="271"/>
      <c r="RFJ134" s="221"/>
      <c r="RFK134" s="221"/>
      <c r="RFL134" s="221"/>
      <c r="RFM134" s="258"/>
      <c r="RFN134" s="270"/>
      <c r="RFO134" s="271"/>
      <c r="RFP134" s="271"/>
      <c r="RFQ134" s="271"/>
      <c r="RFR134" s="221"/>
      <c r="RFS134" s="221"/>
      <c r="RFT134" s="221"/>
      <c r="RFU134" s="258"/>
      <c r="RFV134" s="270"/>
      <c r="RFW134" s="271"/>
      <c r="RFX134" s="271"/>
      <c r="RFY134" s="271"/>
      <c r="RFZ134" s="221"/>
      <c r="RGA134" s="221"/>
      <c r="RGB134" s="221"/>
      <c r="RGC134" s="258"/>
      <c r="RGD134" s="270"/>
      <c r="RGE134" s="271"/>
      <c r="RGF134" s="271"/>
      <c r="RGG134" s="271"/>
      <c r="RGH134" s="221"/>
      <c r="RGI134" s="221"/>
      <c r="RGJ134" s="221"/>
      <c r="RGK134" s="258"/>
      <c r="RGL134" s="270"/>
      <c r="RGM134" s="271"/>
      <c r="RGN134" s="271"/>
      <c r="RGO134" s="271"/>
      <c r="RGP134" s="221"/>
      <c r="RGQ134" s="221"/>
      <c r="RGR134" s="221"/>
      <c r="RGS134" s="258"/>
      <c r="RGT134" s="270"/>
      <c r="RGU134" s="271"/>
      <c r="RGV134" s="271"/>
      <c r="RGW134" s="271"/>
      <c r="RGX134" s="221"/>
      <c r="RGY134" s="221"/>
      <c r="RGZ134" s="221"/>
      <c r="RHA134" s="258"/>
      <c r="RHB134" s="270"/>
      <c r="RHC134" s="271"/>
      <c r="RHD134" s="271"/>
      <c r="RHE134" s="271"/>
      <c r="RHF134" s="221"/>
      <c r="RHG134" s="221"/>
      <c r="RHH134" s="221"/>
      <c r="RHI134" s="258"/>
      <c r="RHJ134" s="270"/>
      <c r="RHK134" s="271"/>
      <c r="RHL134" s="271"/>
      <c r="RHM134" s="271"/>
      <c r="RHN134" s="221"/>
      <c r="RHO134" s="221"/>
      <c r="RHP134" s="221"/>
      <c r="RHQ134" s="258"/>
      <c r="RHR134" s="270"/>
      <c r="RHS134" s="271"/>
      <c r="RHT134" s="271"/>
      <c r="RHU134" s="271"/>
      <c r="RHV134" s="221"/>
      <c r="RHW134" s="221"/>
      <c r="RHX134" s="221"/>
      <c r="RHY134" s="258"/>
      <c r="RHZ134" s="270"/>
      <c r="RIA134" s="271"/>
      <c r="RIB134" s="271"/>
      <c r="RIC134" s="271"/>
      <c r="RID134" s="221"/>
      <c r="RIE134" s="221"/>
      <c r="RIF134" s="221"/>
      <c r="RIG134" s="258"/>
      <c r="RIH134" s="270"/>
      <c r="RII134" s="271"/>
      <c r="RIJ134" s="271"/>
      <c r="RIK134" s="271"/>
      <c r="RIL134" s="221"/>
      <c r="RIM134" s="221"/>
      <c r="RIN134" s="221"/>
      <c r="RIO134" s="258"/>
      <c r="RIP134" s="270"/>
      <c r="RIQ134" s="271"/>
      <c r="RIR134" s="271"/>
      <c r="RIS134" s="271"/>
      <c r="RIT134" s="221"/>
      <c r="RIU134" s="221"/>
      <c r="RIV134" s="221"/>
      <c r="RIW134" s="258"/>
      <c r="RIX134" s="270"/>
      <c r="RIY134" s="271"/>
      <c r="RIZ134" s="271"/>
      <c r="RJA134" s="271"/>
      <c r="RJB134" s="221"/>
      <c r="RJC134" s="221"/>
      <c r="RJD134" s="221"/>
      <c r="RJE134" s="258"/>
      <c r="RJF134" s="270"/>
      <c r="RJG134" s="271"/>
      <c r="RJH134" s="271"/>
      <c r="RJI134" s="271"/>
      <c r="RJJ134" s="221"/>
      <c r="RJK134" s="221"/>
      <c r="RJL134" s="221"/>
      <c r="RJM134" s="258"/>
      <c r="RJN134" s="270"/>
      <c r="RJO134" s="271"/>
      <c r="RJP134" s="271"/>
      <c r="RJQ134" s="271"/>
      <c r="RJR134" s="221"/>
      <c r="RJS134" s="221"/>
      <c r="RJT134" s="221"/>
      <c r="RJU134" s="258"/>
      <c r="RJV134" s="270"/>
      <c r="RJW134" s="271"/>
      <c r="RJX134" s="271"/>
      <c r="RJY134" s="271"/>
      <c r="RJZ134" s="221"/>
      <c r="RKA134" s="221"/>
      <c r="RKB134" s="221"/>
      <c r="RKC134" s="258"/>
      <c r="RKD134" s="270"/>
      <c r="RKE134" s="271"/>
      <c r="RKF134" s="271"/>
      <c r="RKG134" s="271"/>
      <c r="RKH134" s="221"/>
      <c r="RKI134" s="221"/>
      <c r="RKJ134" s="221"/>
      <c r="RKK134" s="258"/>
      <c r="RKL134" s="270"/>
      <c r="RKM134" s="271"/>
      <c r="RKN134" s="271"/>
      <c r="RKO134" s="271"/>
      <c r="RKP134" s="221"/>
      <c r="RKQ134" s="221"/>
      <c r="RKR134" s="221"/>
      <c r="RKS134" s="258"/>
      <c r="RKT134" s="270"/>
      <c r="RKU134" s="271"/>
      <c r="RKV134" s="271"/>
      <c r="RKW134" s="271"/>
      <c r="RKX134" s="221"/>
      <c r="RKY134" s="221"/>
      <c r="RKZ134" s="221"/>
      <c r="RLA134" s="258"/>
      <c r="RLB134" s="270"/>
      <c r="RLC134" s="271"/>
      <c r="RLD134" s="271"/>
      <c r="RLE134" s="271"/>
      <c r="RLF134" s="221"/>
      <c r="RLG134" s="221"/>
      <c r="RLH134" s="221"/>
      <c r="RLI134" s="258"/>
      <c r="RLJ134" s="270"/>
      <c r="RLK134" s="271"/>
      <c r="RLL134" s="271"/>
      <c r="RLM134" s="271"/>
      <c r="RLN134" s="221"/>
      <c r="RLO134" s="221"/>
      <c r="RLP134" s="221"/>
      <c r="RLQ134" s="258"/>
      <c r="RLR134" s="270"/>
      <c r="RLS134" s="271"/>
      <c r="RLT134" s="271"/>
      <c r="RLU134" s="271"/>
      <c r="RLV134" s="221"/>
      <c r="RLW134" s="221"/>
      <c r="RLX134" s="221"/>
      <c r="RLY134" s="258"/>
      <c r="RLZ134" s="270"/>
      <c r="RMA134" s="271"/>
      <c r="RMB134" s="271"/>
      <c r="RMC134" s="271"/>
      <c r="RMD134" s="221"/>
      <c r="RME134" s="221"/>
      <c r="RMF134" s="221"/>
      <c r="RMG134" s="258"/>
      <c r="RMH134" s="270"/>
      <c r="RMI134" s="271"/>
      <c r="RMJ134" s="271"/>
      <c r="RMK134" s="271"/>
      <c r="RML134" s="221"/>
      <c r="RMM134" s="221"/>
      <c r="RMN134" s="221"/>
      <c r="RMO134" s="258"/>
      <c r="RMP134" s="270"/>
      <c r="RMQ134" s="271"/>
      <c r="RMR134" s="271"/>
      <c r="RMS134" s="271"/>
      <c r="RMT134" s="221"/>
      <c r="RMU134" s="221"/>
      <c r="RMV134" s="221"/>
      <c r="RMW134" s="258"/>
      <c r="RMX134" s="270"/>
      <c r="RMY134" s="271"/>
      <c r="RMZ134" s="271"/>
      <c r="RNA134" s="271"/>
      <c r="RNB134" s="221"/>
      <c r="RNC134" s="221"/>
      <c r="RND134" s="221"/>
      <c r="RNE134" s="258"/>
      <c r="RNF134" s="270"/>
      <c r="RNG134" s="271"/>
      <c r="RNH134" s="271"/>
      <c r="RNI134" s="271"/>
      <c r="RNJ134" s="221"/>
      <c r="RNK134" s="221"/>
      <c r="RNL134" s="221"/>
      <c r="RNM134" s="258"/>
      <c r="RNN134" s="270"/>
      <c r="RNO134" s="271"/>
      <c r="RNP134" s="271"/>
      <c r="RNQ134" s="271"/>
      <c r="RNR134" s="221"/>
      <c r="RNS134" s="221"/>
      <c r="RNT134" s="221"/>
      <c r="RNU134" s="258"/>
      <c r="RNV134" s="270"/>
      <c r="RNW134" s="271"/>
      <c r="RNX134" s="271"/>
      <c r="RNY134" s="271"/>
      <c r="RNZ134" s="221"/>
      <c r="ROA134" s="221"/>
      <c r="ROB134" s="221"/>
      <c r="ROC134" s="258"/>
      <c r="ROD134" s="270"/>
      <c r="ROE134" s="271"/>
      <c r="ROF134" s="271"/>
      <c r="ROG134" s="271"/>
      <c r="ROH134" s="221"/>
      <c r="ROI134" s="221"/>
      <c r="ROJ134" s="221"/>
      <c r="ROK134" s="258"/>
      <c r="ROL134" s="270"/>
      <c r="ROM134" s="271"/>
      <c r="RON134" s="271"/>
      <c r="ROO134" s="271"/>
      <c r="ROP134" s="221"/>
      <c r="ROQ134" s="221"/>
      <c r="ROR134" s="221"/>
      <c r="ROS134" s="258"/>
      <c r="ROT134" s="270"/>
      <c r="ROU134" s="271"/>
      <c r="ROV134" s="271"/>
      <c r="ROW134" s="271"/>
      <c r="ROX134" s="221"/>
      <c r="ROY134" s="221"/>
      <c r="ROZ134" s="221"/>
      <c r="RPA134" s="258"/>
      <c r="RPB134" s="270"/>
      <c r="RPC134" s="271"/>
      <c r="RPD134" s="271"/>
      <c r="RPE134" s="271"/>
      <c r="RPF134" s="221"/>
      <c r="RPG134" s="221"/>
      <c r="RPH134" s="221"/>
      <c r="RPI134" s="258"/>
      <c r="RPJ134" s="270"/>
      <c r="RPK134" s="271"/>
      <c r="RPL134" s="271"/>
      <c r="RPM134" s="271"/>
      <c r="RPN134" s="221"/>
      <c r="RPO134" s="221"/>
      <c r="RPP134" s="221"/>
      <c r="RPQ134" s="258"/>
      <c r="RPR134" s="270"/>
      <c r="RPS134" s="271"/>
      <c r="RPT134" s="271"/>
      <c r="RPU134" s="271"/>
      <c r="RPV134" s="221"/>
      <c r="RPW134" s="221"/>
      <c r="RPX134" s="221"/>
      <c r="RPY134" s="258"/>
      <c r="RPZ134" s="270"/>
      <c r="RQA134" s="271"/>
      <c r="RQB134" s="271"/>
      <c r="RQC134" s="271"/>
      <c r="RQD134" s="221"/>
      <c r="RQE134" s="221"/>
      <c r="RQF134" s="221"/>
      <c r="RQG134" s="258"/>
      <c r="RQH134" s="270"/>
      <c r="RQI134" s="271"/>
      <c r="RQJ134" s="271"/>
      <c r="RQK134" s="271"/>
      <c r="RQL134" s="221"/>
      <c r="RQM134" s="221"/>
      <c r="RQN134" s="221"/>
      <c r="RQO134" s="258"/>
      <c r="RQP134" s="270"/>
      <c r="RQQ134" s="271"/>
      <c r="RQR134" s="271"/>
      <c r="RQS134" s="271"/>
      <c r="RQT134" s="221"/>
      <c r="RQU134" s="221"/>
      <c r="RQV134" s="221"/>
      <c r="RQW134" s="258"/>
      <c r="RQX134" s="270"/>
      <c r="RQY134" s="271"/>
      <c r="RQZ134" s="271"/>
      <c r="RRA134" s="271"/>
      <c r="RRB134" s="221"/>
      <c r="RRC134" s="221"/>
      <c r="RRD134" s="221"/>
      <c r="RRE134" s="258"/>
      <c r="RRF134" s="270"/>
      <c r="RRG134" s="271"/>
      <c r="RRH134" s="271"/>
      <c r="RRI134" s="271"/>
      <c r="RRJ134" s="221"/>
      <c r="RRK134" s="221"/>
      <c r="RRL134" s="221"/>
      <c r="RRM134" s="258"/>
      <c r="RRN134" s="270"/>
      <c r="RRO134" s="271"/>
      <c r="RRP134" s="271"/>
      <c r="RRQ134" s="271"/>
      <c r="RRR134" s="221"/>
      <c r="RRS134" s="221"/>
      <c r="RRT134" s="221"/>
      <c r="RRU134" s="258"/>
      <c r="RRV134" s="270"/>
      <c r="RRW134" s="271"/>
      <c r="RRX134" s="271"/>
      <c r="RRY134" s="271"/>
      <c r="RRZ134" s="221"/>
      <c r="RSA134" s="221"/>
      <c r="RSB134" s="221"/>
      <c r="RSC134" s="258"/>
      <c r="RSD134" s="270"/>
      <c r="RSE134" s="271"/>
      <c r="RSF134" s="271"/>
      <c r="RSG134" s="271"/>
      <c r="RSH134" s="221"/>
      <c r="RSI134" s="221"/>
      <c r="RSJ134" s="221"/>
      <c r="RSK134" s="258"/>
      <c r="RSL134" s="270"/>
      <c r="RSM134" s="271"/>
      <c r="RSN134" s="271"/>
      <c r="RSO134" s="271"/>
      <c r="RSP134" s="221"/>
      <c r="RSQ134" s="221"/>
      <c r="RSR134" s="221"/>
      <c r="RSS134" s="258"/>
      <c r="RST134" s="270"/>
      <c r="RSU134" s="271"/>
      <c r="RSV134" s="271"/>
      <c r="RSW134" s="271"/>
      <c r="RSX134" s="221"/>
      <c r="RSY134" s="221"/>
      <c r="RSZ134" s="221"/>
      <c r="RTA134" s="258"/>
      <c r="RTB134" s="270"/>
      <c r="RTC134" s="271"/>
      <c r="RTD134" s="271"/>
      <c r="RTE134" s="271"/>
      <c r="RTF134" s="221"/>
      <c r="RTG134" s="221"/>
      <c r="RTH134" s="221"/>
      <c r="RTI134" s="258"/>
      <c r="RTJ134" s="270"/>
      <c r="RTK134" s="271"/>
      <c r="RTL134" s="271"/>
      <c r="RTM134" s="271"/>
      <c r="RTN134" s="221"/>
      <c r="RTO134" s="221"/>
      <c r="RTP134" s="221"/>
      <c r="RTQ134" s="258"/>
      <c r="RTR134" s="270"/>
      <c r="RTS134" s="271"/>
      <c r="RTT134" s="271"/>
      <c r="RTU134" s="271"/>
      <c r="RTV134" s="221"/>
      <c r="RTW134" s="221"/>
      <c r="RTX134" s="221"/>
      <c r="RTY134" s="258"/>
      <c r="RTZ134" s="270"/>
      <c r="RUA134" s="271"/>
      <c r="RUB134" s="271"/>
      <c r="RUC134" s="271"/>
      <c r="RUD134" s="221"/>
      <c r="RUE134" s="221"/>
      <c r="RUF134" s="221"/>
      <c r="RUG134" s="258"/>
      <c r="RUH134" s="270"/>
      <c r="RUI134" s="271"/>
      <c r="RUJ134" s="271"/>
      <c r="RUK134" s="271"/>
      <c r="RUL134" s="221"/>
      <c r="RUM134" s="221"/>
      <c r="RUN134" s="221"/>
      <c r="RUO134" s="258"/>
      <c r="RUP134" s="270"/>
      <c r="RUQ134" s="271"/>
      <c r="RUR134" s="271"/>
      <c r="RUS134" s="271"/>
      <c r="RUT134" s="221"/>
      <c r="RUU134" s="221"/>
      <c r="RUV134" s="221"/>
      <c r="RUW134" s="258"/>
      <c r="RUX134" s="270"/>
      <c r="RUY134" s="271"/>
      <c r="RUZ134" s="271"/>
      <c r="RVA134" s="271"/>
      <c r="RVB134" s="221"/>
      <c r="RVC134" s="221"/>
      <c r="RVD134" s="221"/>
      <c r="RVE134" s="258"/>
      <c r="RVF134" s="270"/>
      <c r="RVG134" s="271"/>
      <c r="RVH134" s="271"/>
      <c r="RVI134" s="271"/>
      <c r="RVJ134" s="221"/>
      <c r="RVK134" s="221"/>
      <c r="RVL134" s="221"/>
      <c r="RVM134" s="258"/>
      <c r="RVN134" s="270"/>
      <c r="RVO134" s="271"/>
      <c r="RVP134" s="271"/>
      <c r="RVQ134" s="271"/>
      <c r="RVR134" s="221"/>
      <c r="RVS134" s="221"/>
      <c r="RVT134" s="221"/>
      <c r="RVU134" s="258"/>
      <c r="RVV134" s="270"/>
      <c r="RVW134" s="271"/>
      <c r="RVX134" s="271"/>
      <c r="RVY134" s="271"/>
      <c r="RVZ134" s="221"/>
      <c r="RWA134" s="221"/>
      <c r="RWB134" s="221"/>
      <c r="RWC134" s="258"/>
      <c r="RWD134" s="270"/>
      <c r="RWE134" s="271"/>
      <c r="RWF134" s="271"/>
      <c r="RWG134" s="271"/>
      <c r="RWH134" s="221"/>
      <c r="RWI134" s="221"/>
      <c r="RWJ134" s="221"/>
      <c r="RWK134" s="258"/>
      <c r="RWL134" s="270"/>
      <c r="RWM134" s="271"/>
      <c r="RWN134" s="271"/>
      <c r="RWO134" s="271"/>
      <c r="RWP134" s="221"/>
      <c r="RWQ134" s="221"/>
      <c r="RWR134" s="221"/>
      <c r="RWS134" s="258"/>
      <c r="RWT134" s="270"/>
      <c r="RWU134" s="271"/>
      <c r="RWV134" s="271"/>
      <c r="RWW134" s="271"/>
      <c r="RWX134" s="221"/>
      <c r="RWY134" s="221"/>
      <c r="RWZ134" s="221"/>
      <c r="RXA134" s="258"/>
      <c r="RXB134" s="270"/>
      <c r="RXC134" s="271"/>
      <c r="RXD134" s="271"/>
      <c r="RXE134" s="271"/>
      <c r="RXF134" s="221"/>
      <c r="RXG134" s="221"/>
      <c r="RXH134" s="221"/>
      <c r="RXI134" s="258"/>
      <c r="RXJ134" s="270"/>
      <c r="RXK134" s="271"/>
      <c r="RXL134" s="271"/>
      <c r="RXM134" s="271"/>
      <c r="RXN134" s="221"/>
      <c r="RXO134" s="221"/>
      <c r="RXP134" s="221"/>
      <c r="RXQ134" s="258"/>
      <c r="RXR134" s="270"/>
      <c r="RXS134" s="271"/>
      <c r="RXT134" s="271"/>
      <c r="RXU134" s="271"/>
      <c r="RXV134" s="221"/>
      <c r="RXW134" s="221"/>
      <c r="RXX134" s="221"/>
      <c r="RXY134" s="258"/>
      <c r="RXZ134" s="270"/>
      <c r="RYA134" s="271"/>
      <c r="RYB134" s="271"/>
      <c r="RYC134" s="271"/>
      <c r="RYD134" s="221"/>
      <c r="RYE134" s="221"/>
      <c r="RYF134" s="221"/>
      <c r="RYG134" s="258"/>
      <c r="RYH134" s="270"/>
      <c r="RYI134" s="271"/>
      <c r="RYJ134" s="271"/>
      <c r="RYK134" s="271"/>
      <c r="RYL134" s="221"/>
      <c r="RYM134" s="221"/>
      <c r="RYN134" s="221"/>
      <c r="RYO134" s="258"/>
      <c r="RYP134" s="270"/>
      <c r="RYQ134" s="271"/>
      <c r="RYR134" s="271"/>
      <c r="RYS134" s="271"/>
      <c r="RYT134" s="221"/>
      <c r="RYU134" s="221"/>
      <c r="RYV134" s="221"/>
      <c r="RYW134" s="258"/>
      <c r="RYX134" s="270"/>
      <c r="RYY134" s="271"/>
      <c r="RYZ134" s="271"/>
      <c r="RZA134" s="271"/>
      <c r="RZB134" s="221"/>
      <c r="RZC134" s="221"/>
      <c r="RZD134" s="221"/>
      <c r="RZE134" s="258"/>
      <c r="RZF134" s="270"/>
      <c r="RZG134" s="271"/>
      <c r="RZH134" s="271"/>
      <c r="RZI134" s="271"/>
      <c r="RZJ134" s="221"/>
      <c r="RZK134" s="221"/>
      <c r="RZL134" s="221"/>
      <c r="RZM134" s="258"/>
      <c r="RZN134" s="270"/>
      <c r="RZO134" s="271"/>
      <c r="RZP134" s="271"/>
      <c r="RZQ134" s="271"/>
      <c r="RZR134" s="221"/>
      <c r="RZS134" s="221"/>
      <c r="RZT134" s="221"/>
      <c r="RZU134" s="258"/>
      <c r="RZV134" s="270"/>
      <c r="RZW134" s="271"/>
      <c r="RZX134" s="271"/>
      <c r="RZY134" s="271"/>
      <c r="RZZ134" s="221"/>
      <c r="SAA134" s="221"/>
      <c r="SAB134" s="221"/>
      <c r="SAC134" s="258"/>
      <c r="SAD134" s="270"/>
      <c r="SAE134" s="271"/>
      <c r="SAF134" s="271"/>
      <c r="SAG134" s="271"/>
      <c r="SAH134" s="221"/>
      <c r="SAI134" s="221"/>
      <c r="SAJ134" s="221"/>
      <c r="SAK134" s="258"/>
      <c r="SAL134" s="270"/>
      <c r="SAM134" s="271"/>
      <c r="SAN134" s="271"/>
      <c r="SAO134" s="271"/>
      <c r="SAP134" s="221"/>
      <c r="SAQ134" s="221"/>
      <c r="SAR134" s="221"/>
      <c r="SAS134" s="258"/>
      <c r="SAT134" s="270"/>
      <c r="SAU134" s="271"/>
      <c r="SAV134" s="271"/>
      <c r="SAW134" s="271"/>
      <c r="SAX134" s="221"/>
      <c r="SAY134" s="221"/>
      <c r="SAZ134" s="221"/>
      <c r="SBA134" s="258"/>
      <c r="SBB134" s="270"/>
      <c r="SBC134" s="271"/>
      <c r="SBD134" s="271"/>
      <c r="SBE134" s="271"/>
      <c r="SBF134" s="221"/>
      <c r="SBG134" s="221"/>
      <c r="SBH134" s="221"/>
      <c r="SBI134" s="258"/>
      <c r="SBJ134" s="270"/>
      <c r="SBK134" s="271"/>
      <c r="SBL134" s="271"/>
      <c r="SBM134" s="271"/>
      <c r="SBN134" s="221"/>
      <c r="SBO134" s="221"/>
      <c r="SBP134" s="221"/>
      <c r="SBQ134" s="258"/>
      <c r="SBR134" s="270"/>
      <c r="SBS134" s="271"/>
      <c r="SBT134" s="271"/>
      <c r="SBU134" s="271"/>
      <c r="SBV134" s="221"/>
      <c r="SBW134" s="221"/>
      <c r="SBX134" s="221"/>
      <c r="SBY134" s="258"/>
      <c r="SBZ134" s="270"/>
      <c r="SCA134" s="271"/>
      <c r="SCB134" s="271"/>
      <c r="SCC134" s="271"/>
      <c r="SCD134" s="221"/>
      <c r="SCE134" s="221"/>
      <c r="SCF134" s="221"/>
      <c r="SCG134" s="258"/>
      <c r="SCH134" s="270"/>
      <c r="SCI134" s="271"/>
      <c r="SCJ134" s="271"/>
      <c r="SCK134" s="271"/>
      <c r="SCL134" s="221"/>
      <c r="SCM134" s="221"/>
      <c r="SCN134" s="221"/>
      <c r="SCO134" s="258"/>
      <c r="SCP134" s="270"/>
      <c r="SCQ134" s="271"/>
      <c r="SCR134" s="271"/>
      <c r="SCS134" s="271"/>
      <c r="SCT134" s="221"/>
      <c r="SCU134" s="221"/>
      <c r="SCV134" s="221"/>
      <c r="SCW134" s="258"/>
      <c r="SCX134" s="270"/>
      <c r="SCY134" s="271"/>
      <c r="SCZ134" s="271"/>
      <c r="SDA134" s="271"/>
      <c r="SDB134" s="221"/>
      <c r="SDC134" s="221"/>
      <c r="SDD134" s="221"/>
      <c r="SDE134" s="258"/>
      <c r="SDF134" s="270"/>
      <c r="SDG134" s="271"/>
      <c r="SDH134" s="271"/>
      <c r="SDI134" s="271"/>
      <c r="SDJ134" s="221"/>
      <c r="SDK134" s="221"/>
      <c r="SDL134" s="221"/>
      <c r="SDM134" s="258"/>
      <c r="SDN134" s="270"/>
      <c r="SDO134" s="271"/>
      <c r="SDP134" s="271"/>
      <c r="SDQ134" s="271"/>
      <c r="SDR134" s="221"/>
      <c r="SDS134" s="221"/>
      <c r="SDT134" s="221"/>
      <c r="SDU134" s="258"/>
      <c r="SDV134" s="270"/>
      <c r="SDW134" s="271"/>
      <c r="SDX134" s="271"/>
      <c r="SDY134" s="271"/>
      <c r="SDZ134" s="221"/>
      <c r="SEA134" s="221"/>
      <c r="SEB134" s="221"/>
      <c r="SEC134" s="258"/>
      <c r="SED134" s="270"/>
      <c r="SEE134" s="271"/>
      <c r="SEF134" s="271"/>
      <c r="SEG134" s="271"/>
      <c r="SEH134" s="221"/>
      <c r="SEI134" s="221"/>
      <c r="SEJ134" s="221"/>
      <c r="SEK134" s="258"/>
      <c r="SEL134" s="270"/>
      <c r="SEM134" s="271"/>
      <c r="SEN134" s="271"/>
      <c r="SEO134" s="271"/>
      <c r="SEP134" s="221"/>
      <c r="SEQ134" s="221"/>
      <c r="SER134" s="221"/>
      <c r="SES134" s="258"/>
      <c r="SET134" s="270"/>
      <c r="SEU134" s="271"/>
      <c r="SEV134" s="271"/>
      <c r="SEW134" s="271"/>
      <c r="SEX134" s="221"/>
      <c r="SEY134" s="221"/>
      <c r="SEZ134" s="221"/>
      <c r="SFA134" s="258"/>
      <c r="SFB134" s="270"/>
      <c r="SFC134" s="271"/>
      <c r="SFD134" s="271"/>
      <c r="SFE134" s="271"/>
      <c r="SFF134" s="221"/>
      <c r="SFG134" s="221"/>
      <c r="SFH134" s="221"/>
      <c r="SFI134" s="258"/>
      <c r="SFJ134" s="270"/>
      <c r="SFK134" s="271"/>
      <c r="SFL134" s="271"/>
      <c r="SFM134" s="271"/>
      <c r="SFN134" s="221"/>
      <c r="SFO134" s="221"/>
      <c r="SFP134" s="221"/>
      <c r="SFQ134" s="258"/>
      <c r="SFR134" s="270"/>
      <c r="SFS134" s="271"/>
      <c r="SFT134" s="271"/>
      <c r="SFU134" s="271"/>
      <c r="SFV134" s="221"/>
      <c r="SFW134" s="221"/>
      <c r="SFX134" s="221"/>
      <c r="SFY134" s="258"/>
      <c r="SFZ134" s="270"/>
      <c r="SGA134" s="271"/>
      <c r="SGB134" s="271"/>
      <c r="SGC134" s="271"/>
      <c r="SGD134" s="221"/>
      <c r="SGE134" s="221"/>
      <c r="SGF134" s="221"/>
      <c r="SGG134" s="258"/>
      <c r="SGH134" s="270"/>
      <c r="SGI134" s="271"/>
      <c r="SGJ134" s="271"/>
      <c r="SGK134" s="271"/>
      <c r="SGL134" s="221"/>
      <c r="SGM134" s="221"/>
      <c r="SGN134" s="221"/>
      <c r="SGO134" s="258"/>
      <c r="SGP134" s="270"/>
      <c r="SGQ134" s="271"/>
      <c r="SGR134" s="271"/>
      <c r="SGS134" s="271"/>
      <c r="SGT134" s="221"/>
      <c r="SGU134" s="221"/>
      <c r="SGV134" s="221"/>
      <c r="SGW134" s="258"/>
      <c r="SGX134" s="270"/>
      <c r="SGY134" s="271"/>
      <c r="SGZ134" s="271"/>
      <c r="SHA134" s="271"/>
      <c r="SHB134" s="221"/>
      <c r="SHC134" s="221"/>
      <c r="SHD134" s="221"/>
      <c r="SHE134" s="258"/>
      <c r="SHF134" s="270"/>
      <c r="SHG134" s="271"/>
      <c r="SHH134" s="271"/>
      <c r="SHI134" s="271"/>
      <c r="SHJ134" s="221"/>
      <c r="SHK134" s="221"/>
      <c r="SHL134" s="221"/>
      <c r="SHM134" s="258"/>
      <c r="SHN134" s="270"/>
      <c r="SHO134" s="271"/>
      <c r="SHP134" s="271"/>
      <c r="SHQ134" s="271"/>
      <c r="SHR134" s="221"/>
      <c r="SHS134" s="221"/>
      <c r="SHT134" s="221"/>
      <c r="SHU134" s="258"/>
      <c r="SHV134" s="270"/>
      <c r="SHW134" s="271"/>
      <c r="SHX134" s="271"/>
      <c r="SHY134" s="271"/>
      <c r="SHZ134" s="221"/>
      <c r="SIA134" s="221"/>
      <c r="SIB134" s="221"/>
      <c r="SIC134" s="258"/>
      <c r="SID134" s="270"/>
      <c r="SIE134" s="271"/>
      <c r="SIF134" s="271"/>
      <c r="SIG134" s="271"/>
      <c r="SIH134" s="221"/>
      <c r="SII134" s="221"/>
      <c r="SIJ134" s="221"/>
      <c r="SIK134" s="258"/>
      <c r="SIL134" s="270"/>
      <c r="SIM134" s="271"/>
      <c r="SIN134" s="271"/>
      <c r="SIO134" s="271"/>
      <c r="SIP134" s="221"/>
      <c r="SIQ134" s="221"/>
      <c r="SIR134" s="221"/>
      <c r="SIS134" s="258"/>
      <c r="SIT134" s="270"/>
      <c r="SIU134" s="271"/>
      <c r="SIV134" s="271"/>
      <c r="SIW134" s="271"/>
      <c r="SIX134" s="221"/>
      <c r="SIY134" s="221"/>
      <c r="SIZ134" s="221"/>
      <c r="SJA134" s="258"/>
      <c r="SJB134" s="270"/>
      <c r="SJC134" s="271"/>
      <c r="SJD134" s="271"/>
      <c r="SJE134" s="271"/>
      <c r="SJF134" s="221"/>
      <c r="SJG134" s="221"/>
      <c r="SJH134" s="221"/>
      <c r="SJI134" s="258"/>
      <c r="SJJ134" s="270"/>
      <c r="SJK134" s="271"/>
      <c r="SJL134" s="271"/>
      <c r="SJM134" s="271"/>
      <c r="SJN134" s="221"/>
      <c r="SJO134" s="221"/>
      <c r="SJP134" s="221"/>
      <c r="SJQ134" s="258"/>
      <c r="SJR134" s="270"/>
      <c r="SJS134" s="271"/>
      <c r="SJT134" s="271"/>
      <c r="SJU134" s="271"/>
      <c r="SJV134" s="221"/>
      <c r="SJW134" s="221"/>
      <c r="SJX134" s="221"/>
      <c r="SJY134" s="258"/>
      <c r="SJZ134" s="270"/>
      <c r="SKA134" s="271"/>
      <c r="SKB134" s="271"/>
      <c r="SKC134" s="271"/>
      <c r="SKD134" s="221"/>
      <c r="SKE134" s="221"/>
      <c r="SKF134" s="221"/>
      <c r="SKG134" s="258"/>
      <c r="SKH134" s="270"/>
      <c r="SKI134" s="271"/>
      <c r="SKJ134" s="271"/>
      <c r="SKK134" s="271"/>
      <c r="SKL134" s="221"/>
      <c r="SKM134" s="221"/>
      <c r="SKN134" s="221"/>
      <c r="SKO134" s="258"/>
      <c r="SKP134" s="270"/>
      <c r="SKQ134" s="271"/>
      <c r="SKR134" s="271"/>
      <c r="SKS134" s="271"/>
      <c r="SKT134" s="221"/>
      <c r="SKU134" s="221"/>
      <c r="SKV134" s="221"/>
      <c r="SKW134" s="258"/>
      <c r="SKX134" s="270"/>
      <c r="SKY134" s="271"/>
      <c r="SKZ134" s="271"/>
      <c r="SLA134" s="271"/>
      <c r="SLB134" s="221"/>
      <c r="SLC134" s="221"/>
      <c r="SLD134" s="221"/>
      <c r="SLE134" s="258"/>
      <c r="SLF134" s="270"/>
      <c r="SLG134" s="271"/>
      <c r="SLH134" s="271"/>
      <c r="SLI134" s="271"/>
      <c r="SLJ134" s="221"/>
      <c r="SLK134" s="221"/>
      <c r="SLL134" s="221"/>
      <c r="SLM134" s="258"/>
      <c r="SLN134" s="270"/>
      <c r="SLO134" s="271"/>
      <c r="SLP134" s="271"/>
      <c r="SLQ134" s="271"/>
      <c r="SLR134" s="221"/>
      <c r="SLS134" s="221"/>
      <c r="SLT134" s="221"/>
      <c r="SLU134" s="258"/>
      <c r="SLV134" s="270"/>
      <c r="SLW134" s="271"/>
      <c r="SLX134" s="271"/>
      <c r="SLY134" s="271"/>
      <c r="SLZ134" s="221"/>
      <c r="SMA134" s="221"/>
      <c r="SMB134" s="221"/>
      <c r="SMC134" s="258"/>
      <c r="SMD134" s="270"/>
      <c r="SME134" s="271"/>
      <c r="SMF134" s="271"/>
      <c r="SMG134" s="271"/>
      <c r="SMH134" s="221"/>
      <c r="SMI134" s="221"/>
      <c r="SMJ134" s="221"/>
      <c r="SMK134" s="258"/>
      <c r="SML134" s="270"/>
      <c r="SMM134" s="271"/>
      <c r="SMN134" s="271"/>
      <c r="SMO134" s="271"/>
      <c r="SMP134" s="221"/>
      <c r="SMQ134" s="221"/>
      <c r="SMR134" s="221"/>
      <c r="SMS134" s="258"/>
      <c r="SMT134" s="270"/>
      <c r="SMU134" s="271"/>
      <c r="SMV134" s="271"/>
      <c r="SMW134" s="271"/>
      <c r="SMX134" s="221"/>
      <c r="SMY134" s="221"/>
      <c r="SMZ134" s="221"/>
      <c r="SNA134" s="258"/>
      <c r="SNB134" s="270"/>
      <c r="SNC134" s="271"/>
      <c r="SND134" s="271"/>
      <c r="SNE134" s="271"/>
      <c r="SNF134" s="221"/>
      <c r="SNG134" s="221"/>
      <c r="SNH134" s="221"/>
      <c r="SNI134" s="258"/>
      <c r="SNJ134" s="270"/>
      <c r="SNK134" s="271"/>
      <c r="SNL134" s="271"/>
      <c r="SNM134" s="271"/>
      <c r="SNN134" s="221"/>
      <c r="SNO134" s="221"/>
      <c r="SNP134" s="221"/>
      <c r="SNQ134" s="258"/>
      <c r="SNR134" s="270"/>
      <c r="SNS134" s="271"/>
      <c r="SNT134" s="271"/>
      <c r="SNU134" s="271"/>
      <c r="SNV134" s="221"/>
      <c r="SNW134" s="221"/>
      <c r="SNX134" s="221"/>
      <c r="SNY134" s="258"/>
      <c r="SNZ134" s="270"/>
      <c r="SOA134" s="271"/>
      <c r="SOB134" s="271"/>
      <c r="SOC134" s="271"/>
      <c r="SOD134" s="221"/>
      <c r="SOE134" s="221"/>
      <c r="SOF134" s="221"/>
      <c r="SOG134" s="258"/>
      <c r="SOH134" s="270"/>
      <c r="SOI134" s="271"/>
      <c r="SOJ134" s="271"/>
      <c r="SOK134" s="271"/>
      <c r="SOL134" s="221"/>
      <c r="SOM134" s="221"/>
      <c r="SON134" s="221"/>
      <c r="SOO134" s="258"/>
      <c r="SOP134" s="270"/>
      <c r="SOQ134" s="271"/>
      <c r="SOR134" s="271"/>
      <c r="SOS134" s="271"/>
      <c r="SOT134" s="221"/>
      <c r="SOU134" s="221"/>
      <c r="SOV134" s="221"/>
      <c r="SOW134" s="258"/>
      <c r="SOX134" s="270"/>
      <c r="SOY134" s="271"/>
      <c r="SOZ134" s="271"/>
      <c r="SPA134" s="271"/>
      <c r="SPB134" s="221"/>
      <c r="SPC134" s="221"/>
      <c r="SPD134" s="221"/>
      <c r="SPE134" s="258"/>
      <c r="SPF134" s="270"/>
      <c r="SPG134" s="271"/>
      <c r="SPH134" s="271"/>
      <c r="SPI134" s="271"/>
      <c r="SPJ134" s="221"/>
      <c r="SPK134" s="221"/>
      <c r="SPL134" s="221"/>
      <c r="SPM134" s="258"/>
      <c r="SPN134" s="270"/>
      <c r="SPO134" s="271"/>
      <c r="SPP134" s="271"/>
      <c r="SPQ134" s="271"/>
      <c r="SPR134" s="221"/>
      <c r="SPS134" s="221"/>
      <c r="SPT134" s="221"/>
      <c r="SPU134" s="258"/>
      <c r="SPV134" s="270"/>
      <c r="SPW134" s="271"/>
      <c r="SPX134" s="271"/>
      <c r="SPY134" s="271"/>
      <c r="SPZ134" s="221"/>
      <c r="SQA134" s="221"/>
      <c r="SQB134" s="221"/>
      <c r="SQC134" s="258"/>
      <c r="SQD134" s="270"/>
      <c r="SQE134" s="271"/>
      <c r="SQF134" s="271"/>
      <c r="SQG134" s="271"/>
      <c r="SQH134" s="221"/>
      <c r="SQI134" s="221"/>
      <c r="SQJ134" s="221"/>
      <c r="SQK134" s="258"/>
      <c r="SQL134" s="270"/>
      <c r="SQM134" s="271"/>
      <c r="SQN134" s="271"/>
      <c r="SQO134" s="271"/>
      <c r="SQP134" s="221"/>
      <c r="SQQ134" s="221"/>
      <c r="SQR134" s="221"/>
      <c r="SQS134" s="258"/>
      <c r="SQT134" s="270"/>
      <c r="SQU134" s="271"/>
      <c r="SQV134" s="271"/>
      <c r="SQW134" s="271"/>
      <c r="SQX134" s="221"/>
      <c r="SQY134" s="221"/>
      <c r="SQZ134" s="221"/>
      <c r="SRA134" s="258"/>
      <c r="SRB134" s="270"/>
      <c r="SRC134" s="271"/>
      <c r="SRD134" s="271"/>
      <c r="SRE134" s="271"/>
      <c r="SRF134" s="221"/>
      <c r="SRG134" s="221"/>
      <c r="SRH134" s="221"/>
      <c r="SRI134" s="258"/>
      <c r="SRJ134" s="270"/>
      <c r="SRK134" s="271"/>
      <c r="SRL134" s="271"/>
      <c r="SRM134" s="271"/>
      <c r="SRN134" s="221"/>
      <c r="SRO134" s="221"/>
      <c r="SRP134" s="221"/>
      <c r="SRQ134" s="258"/>
      <c r="SRR134" s="270"/>
      <c r="SRS134" s="271"/>
      <c r="SRT134" s="271"/>
      <c r="SRU134" s="271"/>
      <c r="SRV134" s="221"/>
      <c r="SRW134" s="221"/>
      <c r="SRX134" s="221"/>
      <c r="SRY134" s="258"/>
      <c r="SRZ134" s="270"/>
      <c r="SSA134" s="271"/>
      <c r="SSB134" s="271"/>
      <c r="SSC134" s="271"/>
      <c r="SSD134" s="221"/>
      <c r="SSE134" s="221"/>
      <c r="SSF134" s="221"/>
      <c r="SSG134" s="258"/>
      <c r="SSH134" s="270"/>
      <c r="SSI134" s="271"/>
      <c r="SSJ134" s="271"/>
      <c r="SSK134" s="271"/>
      <c r="SSL134" s="221"/>
      <c r="SSM134" s="221"/>
      <c r="SSN134" s="221"/>
      <c r="SSO134" s="258"/>
      <c r="SSP134" s="270"/>
      <c r="SSQ134" s="271"/>
      <c r="SSR134" s="271"/>
      <c r="SSS134" s="271"/>
      <c r="SST134" s="221"/>
      <c r="SSU134" s="221"/>
      <c r="SSV134" s="221"/>
      <c r="SSW134" s="258"/>
      <c r="SSX134" s="270"/>
      <c r="SSY134" s="271"/>
      <c r="SSZ134" s="271"/>
      <c r="STA134" s="271"/>
      <c r="STB134" s="221"/>
      <c r="STC134" s="221"/>
      <c r="STD134" s="221"/>
      <c r="STE134" s="258"/>
      <c r="STF134" s="270"/>
      <c r="STG134" s="271"/>
      <c r="STH134" s="271"/>
      <c r="STI134" s="271"/>
      <c r="STJ134" s="221"/>
      <c r="STK134" s="221"/>
      <c r="STL134" s="221"/>
      <c r="STM134" s="258"/>
      <c r="STN134" s="270"/>
      <c r="STO134" s="271"/>
      <c r="STP134" s="271"/>
      <c r="STQ134" s="271"/>
      <c r="STR134" s="221"/>
      <c r="STS134" s="221"/>
      <c r="STT134" s="221"/>
      <c r="STU134" s="258"/>
      <c r="STV134" s="270"/>
      <c r="STW134" s="271"/>
      <c r="STX134" s="271"/>
      <c r="STY134" s="271"/>
      <c r="STZ134" s="221"/>
      <c r="SUA134" s="221"/>
      <c r="SUB134" s="221"/>
      <c r="SUC134" s="258"/>
      <c r="SUD134" s="270"/>
      <c r="SUE134" s="271"/>
      <c r="SUF134" s="271"/>
      <c r="SUG134" s="271"/>
      <c r="SUH134" s="221"/>
      <c r="SUI134" s="221"/>
      <c r="SUJ134" s="221"/>
      <c r="SUK134" s="258"/>
      <c r="SUL134" s="270"/>
      <c r="SUM134" s="271"/>
      <c r="SUN134" s="271"/>
      <c r="SUO134" s="271"/>
      <c r="SUP134" s="221"/>
      <c r="SUQ134" s="221"/>
      <c r="SUR134" s="221"/>
      <c r="SUS134" s="258"/>
      <c r="SUT134" s="270"/>
      <c r="SUU134" s="271"/>
      <c r="SUV134" s="271"/>
      <c r="SUW134" s="271"/>
      <c r="SUX134" s="221"/>
      <c r="SUY134" s="221"/>
      <c r="SUZ134" s="221"/>
      <c r="SVA134" s="258"/>
      <c r="SVB134" s="270"/>
      <c r="SVC134" s="271"/>
      <c r="SVD134" s="271"/>
      <c r="SVE134" s="271"/>
      <c r="SVF134" s="221"/>
      <c r="SVG134" s="221"/>
      <c r="SVH134" s="221"/>
      <c r="SVI134" s="258"/>
      <c r="SVJ134" s="270"/>
      <c r="SVK134" s="271"/>
      <c r="SVL134" s="271"/>
      <c r="SVM134" s="271"/>
      <c r="SVN134" s="221"/>
      <c r="SVO134" s="221"/>
      <c r="SVP134" s="221"/>
      <c r="SVQ134" s="258"/>
      <c r="SVR134" s="270"/>
      <c r="SVS134" s="271"/>
      <c r="SVT134" s="271"/>
      <c r="SVU134" s="271"/>
      <c r="SVV134" s="221"/>
      <c r="SVW134" s="221"/>
      <c r="SVX134" s="221"/>
      <c r="SVY134" s="258"/>
      <c r="SVZ134" s="270"/>
      <c r="SWA134" s="271"/>
      <c r="SWB134" s="271"/>
      <c r="SWC134" s="271"/>
      <c r="SWD134" s="221"/>
      <c r="SWE134" s="221"/>
      <c r="SWF134" s="221"/>
      <c r="SWG134" s="258"/>
      <c r="SWH134" s="270"/>
      <c r="SWI134" s="271"/>
      <c r="SWJ134" s="271"/>
      <c r="SWK134" s="271"/>
      <c r="SWL134" s="221"/>
      <c r="SWM134" s="221"/>
      <c r="SWN134" s="221"/>
      <c r="SWO134" s="258"/>
      <c r="SWP134" s="270"/>
      <c r="SWQ134" s="271"/>
      <c r="SWR134" s="271"/>
      <c r="SWS134" s="271"/>
      <c r="SWT134" s="221"/>
      <c r="SWU134" s="221"/>
      <c r="SWV134" s="221"/>
      <c r="SWW134" s="258"/>
      <c r="SWX134" s="270"/>
      <c r="SWY134" s="271"/>
      <c r="SWZ134" s="271"/>
      <c r="SXA134" s="271"/>
      <c r="SXB134" s="221"/>
      <c r="SXC134" s="221"/>
      <c r="SXD134" s="221"/>
      <c r="SXE134" s="258"/>
      <c r="SXF134" s="270"/>
      <c r="SXG134" s="271"/>
      <c r="SXH134" s="271"/>
      <c r="SXI134" s="271"/>
      <c r="SXJ134" s="221"/>
      <c r="SXK134" s="221"/>
      <c r="SXL134" s="221"/>
      <c r="SXM134" s="258"/>
      <c r="SXN134" s="270"/>
      <c r="SXO134" s="271"/>
      <c r="SXP134" s="271"/>
      <c r="SXQ134" s="271"/>
      <c r="SXR134" s="221"/>
      <c r="SXS134" s="221"/>
      <c r="SXT134" s="221"/>
      <c r="SXU134" s="258"/>
      <c r="SXV134" s="270"/>
      <c r="SXW134" s="271"/>
      <c r="SXX134" s="271"/>
      <c r="SXY134" s="271"/>
      <c r="SXZ134" s="221"/>
      <c r="SYA134" s="221"/>
      <c r="SYB134" s="221"/>
      <c r="SYC134" s="258"/>
      <c r="SYD134" s="270"/>
      <c r="SYE134" s="271"/>
      <c r="SYF134" s="271"/>
      <c r="SYG134" s="271"/>
      <c r="SYH134" s="221"/>
      <c r="SYI134" s="221"/>
      <c r="SYJ134" s="221"/>
      <c r="SYK134" s="258"/>
      <c r="SYL134" s="270"/>
      <c r="SYM134" s="271"/>
      <c r="SYN134" s="271"/>
      <c r="SYO134" s="271"/>
      <c r="SYP134" s="221"/>
      <c r="SYQ134" s="221"/>
      <c r="SYR134" s="221"/>
      <c r="SYS134" s="258"/>
      <c r="SYT134" s="270"/>
      <c r="SYU134" s="271"/>
      <c r="SYV134" s="271"/>
      <c r="SYW134" s="271"/>
      <c r="SYX134" s="221"/>
      <c r="SYY134" s="221"/>
      <c r="SYZ134" s="221"/>
      <c r="SZA134" s="258"/>
      <c r="SZB134" s="270"/>
      <c r="SZC134" s="271"/>
      <c r="SZD134" s="271"/>
      <c r="SZE134" s="271"/>
      <c r="SZF134" s="221"/>
      <c r="SZG134" s="221"/>
      <c r="SZH134" s="221"/>
      <c r="SZI134" s="258"/>
      <c r="SZJ134" s="270"/>
      <c r="SZK134" s="271"/>
      <c r="SZL134" s="271"/>
      <c r="SZM134" s="271"/>
      <c r="SZN134" s="221"/>
      <c r="SZO134" s="221"/>
      <c r="SZP134" s="221"/>
      <c r="SZQ134" s="258"/>
      <c r="SZR134" s="270"/>
      <c r="SZS134" s="271"/>
      <c r="SZT134" s="271"/>
      <c r="SZU134" s="271"/>
      <c r="SZV134" s="221"/>
      <c r="SZW134" s="221"/>
      <c r="SZX134" s="221"/>
      <c r="SZY134" s="258"/>
      <c r="SZZ134" s="270"/>
      <c r="TAA134" s="271"/>
      <c r="TAB134" s="271"/>
      <c r="TAC134" s="271"/>
      <c r="TAD134" s="221"/>
      <c r="TAE134" s="221"/>
      <c r="TAF134" s="221"/>
      <c r="TAG134" s="258"/>
      <c r="TAH134" s="270"/>
      <c r="TAI134" s="271"/>
      <c r="TAJ134" s="271"/>
      <c r="TAK134" s="271"/>
      <c r="TAL134" s="221"/>
      <c r="TAM134" s="221"/>
      <c r="TAN134" s="221"/>
      <c r="TAO134" s="258"/>
      <c r="TAP134" s="270"/>
      <c r="TAQ134" s="271"/>
      <c r="TAR134" s="271"/>
      <c r="TAS134" s="271"/>
      <c r="TAT134" s="221"/>
      <c r="TAU134" s="221"/>
      <c r="TAV134" s="221"/>
      <c r="TAW134" s="258"/>
      <c r="TAX134" s="270"/>
      <c r="TAY134" s="271"/>
      <c r="TAZ134" s="271"/>
      <c r="TBA134" s="271"/>
      <c r="TBB134" s="221"/>
      <c r="TBC134" s="221"/>
      <c r="TBD134" s="221"/>
      <c r="TBE134" s="258"/>
      <c r="TBF134" s="270"/>
      <c r="TBG134" s="271"/>
      <c r="TBH134" s="271"/>
      <c r="TBI134" s="271"/>
      <c r="TBJ134" s="221"/>
      <c r="TBK134" s="221"/>
      <c r="TBL134" s="221"/>
      <c r="TBM134" s="258"/>
      <c r="TBN134" s="270"/>
      <c r="TBO134" s="271"/>
      <c r="TBP134" s="271"/>
      <c r="TBQ134" s="271"/>
      <c r="TBR134" s="221"/>
      <c r="TBS134" s="221"/>
      <c r="TBT134" s="221"/>
      <c r="TBU134" s="258"/>
      <c r="TBV134" s="270"/>
      <c r="TBW134" s="271"/>
      <c r="TBX134" s="271"/>
      <c r="TBY134" s="271"/>
      <c r="TBZ134" s="221"/>
      <c r="TCA134" s="221"/>
      <c r="TCB134" s="221"/>
      <c r="TCC134" s="258"/>
      <c r="TCD134" s="270"/>
      <c r="TCE134" s="271"/>
      <c r="TCF134" s="271"/>
      <c r="TCG134" s="271"/>
      <c r="TCH134" s="221"/>
      <c r="TCI134" s="221"/>
      <c r="TCJ134" s="221"/>
      <c r="TCK134" s="258"/>
      <c r="TCL134" s="270"/>
      <c r="TCM134" s="271"/>
      <c r="TCN134" s="271"/>
      <c r="TCO134" s="271"/>
      <c r="TCP134" s="221"/>
      <c r="TCQ134" s="221"/>
      <c r="TCR134" s="221"/>
      <c r="TCS134" s="258"/>
      <c r="TCT134" s="270"/>
      <c r="TCU134" s="271"/>
      <c r="TCV134" s="271"/>
      <c r="TCW134" s="271"/>
      <c r="TCX134" s="221"/>
      <c r="TCY134" s="221"/>
      <c r="TCZ134" s="221"/>
      <c r="TDA134" s="258"/>
      <c r="TDB134" s="270"/>
      <c r="TDC134" s="271"/>
      <c r="TDD134" s="271"/>
      <c r="TDE134" s="271"/>
      <c r="TDF134" s="221"/>
      <c r="TDG134" s="221"/>
      <c r="TDH134" s="221"/>
      <c r="TDI134" s="258"/>
      <c r="TDJ134" s="270"/>
      <c r="TDK134" s="271"/>
      <c r="TDL134" s="271"/>
      <c r="TDM134" s="271"/>
      <c r="TDN134" s="221"/>
      <c r="TDO134" s="221"/>
      <c r="TDP134" s="221"/>
      <c r="TDQ134" s="258"/>
      <c r="TDR134" s="270"/>
      <c r="TDS134" s="271"/>
      <c r="TDT134" s="271"/>
      <c r="TDU134" s="271"/>
      <c r="TDV134" s="221"/>
      <c r="TDW134" s="221"/>
      <c r="TDX134" s="221"/>
      <c r="TDY134" s="258"/>
      <c r="TDZ134" s="270"/>
      <c r="TEA134" s="271"/>
      <c r="TEB134" s="271"/>
      <c r="TEC134" s="271"/>
      <c r="TED134" s="221"/>
      <c r="TEE134" s="221"/>
      <c r="TEF134" s="221"/>
      <c r="TEG134" s="258"/>
      <c r="TEH134" s="270"/>
      <c r="TEI134" s="271"/>
      <c r="TEJ134" s="271"/>
      <c r="TEK134" s="271"/>
      <c r="TEL134" s="221"/>
      <c r="TEM134" s="221"/>
      <c r="TEN134" s="221"/>
      <c r="TEO134" s="258"/>
      <c r="TEP134" s="270"/>
      <c r="TEQ134" s="271"/>
      <c r="TER134" s="271"/>
      <c r="TES134" s="271"/>
      <c r="TET134" s="221"/>
      <c r="TEU134" s="221"/>
      <c r="TEV134" s="221"/>
      <c r="TEW134" s="258"/>
      <c r="TEX134" s="270"/>
      <c r="TEY134" s="271"/>
      <c r="TEZ134" s="271"/>
      <c r="TFA134" s="271"/>
      <c r="TFB134" s="221"/>
      <c r="TFC134" s="221"/>
      <c r="TFD134" s="221"/>
      <c r="TFE134" s="258"/>
      <c r="TFF134" s="270"/>
      <c r="TFG134" s="271"/>
      <c r="TFH134" s="271"/>
      <c r="TFI134" s="271"/>
      <c r="TFJ134" s="221"/>
      <c r="TFK134" s="221"/>
      <c r="TFL134" s="221"/>
      <c r="TFM134" s="258"/>
      <c r="TFN134" s="270"/>
      <c r="TFO134" s="271"/>
      <c r="TFP134" s="271"/>
      <c r="TFQ134" s="271"/>
      <c r="TFR134" s="221"/>
      <c r="TFS134" s="221"/>
      <c r="TFT134" s="221"/>
      <c r="TFU134" s="258"/>
      <c r="TFV134" s="270"/>
      <c r="TFW134" s="271"/>
      <c r="TFX134" s="271"/>
      <c r="TFY134" s="271"/>
      <c r="TFZ134" s="221"/>
      <c r="TGA134" s="221"/>
      <c r="TGB134" s="221"/>
      <c r="TGC134" s="258"/>
      <c r="TGD134" s="270"/>
      <c r="TGE134" s="271"/>
      <c r="TGF134" s="271"/>
      <c r="TGG134" s="271"/>
      <c r="TGH134" s="221"/>
      <c r="TGI134" s="221"/>
      <c r="TGJ134" s="221"/>
      <c r="TGK134" s="258"/>
      <c r="TGL134" s="270"/>
      <c r="TGM134" s="271"/>
      <c r="TGN134" s="271"/>
      <c r="TGO134" s="271"/>
      <c r="TGP134" s="221"/>
      <c r="TGQ134" s="221"/>
      <c r="TGR134" s="221"/>
      <c r="TGS134" s="258"/>
      <c r="TGT134" s="270"/>
      <c r="TGU134" s="271"/>
      <c r="TGV134" s="271"/>
      <c r="TGW134" s="271"/>
      <c r="TGX134" s="221"/>
      <c r="TGY134" s="221"/>
      <c r="TGZ134" s="221"/>
      <c r="THA134" s="258"/>
      <c r="THB134" s="270"/>
      <c r="THC134" s="271"/>
      <c r="THD134" s="271"/>
      <c r="THE134" s="271"/>
      <c r="THF134" s="221"/>
      <c r="THG134" s="221"/>
      <c r="THH134" s="221"/>
      <c r="THI134" s="258"/>
      <c r="THJ134" s="270"/>
      <c r="THK134" s="271"/>
      <c r="THL134" s="271"/>
      <c r="THM134" s="271"/>
      <c r="THN134" s="221"/>
      <c r="THO134" s="221"/>
      <c r="THP134" s="221"/>
      <c r="THQ134" s="258"/>
      <c r="THR134" s="270"/>
      <c r="THS134" s="271"/>
      <c r="THT134" s="271"/>
      <c r="THU134" s="271"/>
      <c r="THV134" s="221"/>
      <c r="THW134" s="221"/>
      <c r="THX134" s="221"/>
      <c r="THY134" s="258"/>
      <c r="THZ134" s="270"/>
      <c r="TIA134" s="271"/>
      <c r="TIB134" s="271"/>
      <c r="TIC134" s="271"/>
      <c r="TID134" s="221"/>
      <c r="TIE134" s="221"/>
      <c r="TIF134" s="221"/>
      <c r="TIG134" s="258"/>
      <c r="TIH134" s="270"/>
      <c r="TII134" s="271"/>
      <c r="TIJ134" s="271"/>
      <c r="TIK134" s="271"/>
      <c r="TIL134" s="221"/>
      <c r="TIM134" s="221"/>
      <c r="TIN134" s="221"/>
      <c r="TIO134" s="258"/>
      <c r="TIP134" s="270"/>
      <c r="TIQ134" s="271"/>
      <c r="TIR134" s="271"/>
      <c r="TIS134" s="271"/>
      <c r="TIT134" s="221"/>
      <c r="TIU134" s="221"/>
      <c r="TIV134" s="221"/>
      <c r="TIW134" s="258"/>
      <c r="TIX134" s="270"/>
      <c r="TIY134" s="271"/>
      <c r="TIZ134" s="271"/>
      <c r="TJA134" s="271"/>
      <c r="TJB134" s="221"/>
      <c r="TJC134" s="221"/>
      <c r="TJD134" s="221"/>
      <c r="TJE134" s="258"/>
      <c r="TJF134" s="270"/>
      <c r="TJG134" s="271"/>
      <c r="TJH134" s="271"/>
      <c r="TJI134" s="271"/>
      <c r="TJJ134" s="221"/>
      <c r="TJK134" s="221"/>
      <c r="TJL134" s="221"/>
      <c r="TJM134" s="258"/>
      <c r="TJN134" s="270"/>
      <c r="TJO134" s="271"/>
      <c r="TJP134" s="271"/>
      <c r="TJQ134" s="271"/>
      <c r="TJR134" s="221"/>
      <c r="TJS134" s="221"/>
      <c r="TJT134" s="221"/>
      <c r="TJU134" s="258"/>
      <c r="TJV134" s="270"/>
      <c r="TJW134" s="271"/>
      <c r="TJX134" s="271"/>
      <c r="TJY134" s="271"/>
      <c r="TJZ134" s="221"/>
      <c r="TKA134" s="221"/>
      <c r="TKB134" s="221"/>
      <c r="TKC134" s="258"/>
      <c r="TKD134" s="270"/>
      <c r="TKE134" s="271"/>
      <c r="TKF134" s="271"/>
      <c r="TKG134" s="271"/>
      <c r="TKH134" s="221"/>
      <c r="TKI134" s="221"/>
      <c r="TKJ134" s="221"/>
      <c r="TKK134" s="258"/>
      <c r="TKL134" s="270"/>
      <c r="TKM134" s="271"/>
      <c r="TKN134" s="271"/>
      <c r="TKO134" s="271"/>
      <c r="TKP134" s="221"/>
      <c r="TKQ134" s="221"/>
      <c r="TKR134" s="221"/>
      <c r="TKS134" s="258"/>
      <c r="TKT134" s="270"/>
      <c r="TKU134" s="271"/>
      <c r="TKV134" s="271"/>
      <c r="TKW134" s="271"/>
      <c r="TKX134" s="221"/>
      <c r="TKY134" s="221"/>
      <c r="TKZ134" s="221"/>
      <c r="TLA134" s="258"/>
      <c r="TLB134" s="270"/>
      <c r="TLC134" s="271"/>
      <c r="TLD134" s="271"/>
      <c r="TLE134" s="271"/>
      <c r="TLF134" s="221"/>
      <c r="TLG134" s="221"/>
      <c r="TLH134" s="221"/>
      <c r="TLI134" s="258"/>
      <c r="TLJ134" s="270"/>
      <c r="TLK134" s="271"/>
      <c r="TLL134" s="271"/>
      <c r="TLM134" s="271"/>
      <c r="TLN134" s="221"/>
      <c r="TLO134" s="221"/>
      <c r="TLP134" s="221"/>
      <c r="TLQ134" s="258"/>
      <c r="TLR134" s="270"/>
      <c r="TLS134" s="271"/>
      <c r="TLT134" s="271"/>
      <c r="TLU134" s="271"/>
      <c r="TLV134" s="221"/>
      <c r="TLW134" s="221"/>
      <c r="TLX134" s="221"/>
      <c r="TLY134" s="258"/>
      <c r="TLZ134" s="270"/>
      <c r="TMA134" s="271"/>
      <c r="TMB134" s="271"/>
      <c r="TMC134" s="271"/>
      <c r="TMD134" s="221"/>
      <c r="TME134" s="221"/>
      <c r="TMF134" s="221"/>
      <c r="TMG134" s="258"/>
      <c r="TMH134" s="270"/>
      <c r="TMI134" s="271"/>
      <c r="TMJ134" s="271"/>
      <c r="TMK134" s="271"/>
      <c r="TML134" s="221"/>
      <c r="TMM134" s="221"/>
      <c r="TMN134" s="221"/>
      <c r="TMO134" s="258"/>
      <c r="TMP134" s="270"/>
      <c r="TMQ134" s="271"/>
      <c r="TMR134" s="271"/>
      <c r="TMS134" s="271"/>
      <c r="TMT134" s="221"/>
      <c r="TMU134" s="221"/>
      <c r="TMV134" s="221"/>
      <c r="TMW134" s="258"/>
      <c r="TMX134" s="270"/>
      <c r="TMY134" s="271"/>
      <c r="TMZ134" s="271"/>
      <c r="TNA134" s="271"/>
      <c r="TNB134" s="221"/>
      <c r="TNC134" s="221"/>
      <c r="TND134" s="221"/>
      <c r="TNE134" s="258"/>
      <c r="TNF134" s="270"/>
      <c r="TNG134" s="271"/>
      <c r="TNH134" s="271"/>
      <c r="TNI134" s="271"/>
      <c r="TNJ134" s="221"/>
      <c r="TNK134" s="221"/>
      <c r="TNL134" s="221"/>
      <c r="TNM134" s="258"/>
      <c r="TNN134" s="270"/>
      <c r="TNO134" s="271"/>
      <c r="TNP134" s="271"/>
      <c r="TNQ134" s="271"/>
      <c r="TNR134" s="221"/>
      <c r="TNS134" s="221"/>
      <c r="TNT134" s="221"/>
      <c r="TNU134" s="258"/>
      <c r="TNV134" s="270"/>
      <c r="TNW134" s="271"/>
      <c r="TNX134" s="271"/>
      <c r="TNY134" s="271"/>
      <c r="TNZ134" s="221"/>
      <c r="TOA134" s="221"/>
      <c r="TOB134" s="221"/>
      <c r="TOC134" s="258"/>
      <c r="TOD134" s="270"/>
      <c r="TOE134" s="271"/>
      <c r="TOF134" s="271"/>
      <c r="TOG134" s="271"/>
      <c r="TOH134" s="221"/>
      <c r="TOI134" s="221"/>
      <c r="TOJ134" s="221"/>
      <c r="TOK134" s="258"/>
      <c r="TOL134" s="270"/>
      <c r="TOM134" s="271"/>
      <c r="TON134" s="271"/>
      <c r="TOO134" s="271"/>
      <c r="TOP134" s="221"/>
      <c r="TOQ134" s="221"/>
      <c r="TOR134" s="221"/>
      <c r="TOS134" s="258"/>
      <c r="TOT134" s="270"/>
      <c r="TOU134" s="271"/>
      <c r="TOV134" s="271"/>
      <c r="TOW134" s="271"/>
      <c r="TOX134" s="221"/>
      <c r="TOY134" s="221"/>
      <c r="TOZ134" s="221"/>
      <c r="TPA134" s="258"/>
      <c r="TPB134" s="270"/>
      <c r="TPC134" s="271"/>
      <c r="TPD134" s="271"/>
      <c r="TPE134" s="271"/>
      <c r="TPF134" s="221"/>
      <c r="TPG134" s="221"/>
      <c r="TPH134" s="221"/>
      <c r="TPI134" s="258"/>
      <c r="TPJ134" s="270"/>
      <c r="TPK134" s="271"/>
      <c r="TPL134" s="271"/>
      <c r="TPM134" s="271"/>
      <c r="TPN134" s="221"/>
      <c r="TPO134" s="221"/>
      <c r="TPP134" s="221"/>
      <c r="TPQ134" s="258"/>
      <c r="TPR134" s="270"/>
      <c r="TPS134" s="271"/>
      <c r="TPT134" s="271"/>
      <c r="TPU134" s="271"/>
      <c r="TPV134" s="221"/>
      <c r="TPW134" s="221"/>
      <c r="TPX134" s="221"/>
      <c r="TPY134" s="258"/>
      <c r="TPZ134" s="270"/>
      <c r="TQA134" s="271"/>
      <c r="TQB134" s="271"/>
      <c r="TQC134" s="271"/>
      <c r="TQD134" s="221"/>
      <c r="TQE134" s="221"/>
      <c r="TQF134" s="221"/>
      <c r="TQG134" s="258"/>
      <c r="TQH134" s="270"/>
      <c r="TQI134" s="271"/>
      <c r="TQJ134" s="271"/>
      <c r="TQK134" s="271"/>
      <c r="TQL134" s="221"/>
      <c r="TQM134" s="221"/>
      <c r="TQN134" s="221"/>
      <c r="TQO134" s="258"/>
      <c r="TQP134" s="270"/>
      <c r="TQQ134" s="271"/>
      <c r="TQR134" s="271"/>
      <c r="TQS134" s="271"/>
      <c r="TQT134" s="221"/>
      <c r="TQU134" s="221"/>
      <c r="TQV134" s="221"/>
      <c r="TQW134" s="258"/>
      <c r="TQX134" s="270"/>
      <c r="TQY134" s="271"/>
      <c r="TQZ134" s="271"/>
      <c r="TRA134" s="271"/>
      <c r="TRB134" s="221"/>
      <c r="TRC134" s="221"/>
      <c r="TRD134" s="221"/>
      <c r="TRE134" s="258"/>
      <c r="TRF134" s="270"/>
      <c r="TRG134" s="271"/>
      <c r="TRH134" s="271"/>
      <c r="TRI134" s="271"/>
      <c r="TRJ134" s="221"/>
      <c r="TRK134" s="221"/>
      <c r="TRL134" s="221"/>
      <c r="TRM134" s="258"/>
      <c r="TRN134" s="270"/>
      <c r="TRO134" s="271"/>
      <c r="TRP134" s="271"/>
      <c r="TRQ134" s="271"/>
      <c r="TRR134" s="221"/>
      <c r="TRS134" s="221"/>
      <c r="TRT134" s="221"/>
      <c r="TRU134" s="258"/>
      <c r="TRV134" s="270"/>
      <c r="TRW134" s="271"/>
      <c r="TRX134" s="271"/>
      <c r="TRY134" s="271"/>
      <c r="TRZ134" s="221"/>
      <c r="TSA134" s="221"/>
      <c r="TSB134" s="221"/>
      <c r="TSC134" s="258"/>
      <c r="TSD134" s="270"/>
      <c r="TSE134" s="271"/>
      <c r="TSF134" s="271"/>
      <c r="TSG134" s="271"/>
      <c r="TSH134" s="221"/>
      <c r="TSI134" s="221"/>
      <c r="TSJ134" s="221"/>
      <c r="TSK134" s="258"/>
      <c r="TSL134" s="270"/>
      <c r="TSM134" s="271"/>
      <c r="TSN134" s="271"/>
      <c r="TSO134" s="271"/>
      <c r="TSP134" s="221"/>
      <c r="TSQ134" s="221"/>
      <c r="TSR134" s="221"/>
      <c r="TSS134" s="258"/>
      <c r="TST134" s="270"/>
      <c r="TSU134" s="271"/>
      <c r="TSV134" s="271"/>
      <c r="TSW134" s="271"/>
      <c r="TSX134" s="221"/>
      <c r="TSY134" s="221"/>
      <c r="TSZ134" s="221"/>
      <c r="TTA134" s="258"/>
      <c r="TTB134" s="270"/>
      <c r="TTC134" s="271"/>
      <c r="TTD134" s="271"/>
      <c r="TTE134" s="271"/>
      <c r="TTF134" s="221"/>
      <c r="TTG134" s="221"/>
      <c r="TTH134" s="221"/>
      <c r="TTI134" s="258"/>
      <c r="TTJ134" s="270"/>
      <c r="TTK134" s="271"/>
      <c r="TTL134" s="271"/>
      <c r="TTM134" s="271"/>
      <c r="TTN134" s="221"/>
      <c r="TTO134" s="221"/>
      <c r="TTP134" s="221"/>
      <c r="TTQ134" s="258"/>
      <c r="TTR134" s="270"/>
      <c r="TTS134" s="271"/>
      <c r="TTT134" s="271"/>
      <c r="TTU134" s="271"/>
      <c r="TTV134" s="221"/>
      <c r="TTW134" s="221"/>
      <c r="TTX134" s="221"/>
      <c r="TTY134" s="258"/>
      <c r="TTZ134" s="270"/>
      <c r="TUA134" s="271"/>
      <c r="TUB134" s="271"/>
      <c r="TUC134" s="271"/>
      <c r="TUD134" s="221"/>
      <c r="TUE134" s="221"/>
      <c r="TUF134" s="221"/>
      <c r="TUG134" s="258"/>
      <c r="TUH134" s="270"/>
      <c r="TUI134" s="271"/>
      <c r="TUJ134" s="271"/>
      <c r="TUK134" s="271"/>
      <c r="TUL134" s="221"/>
      <c r="TUM134" s="221"/>
      <c r="TUN134" s="221"/>
      <c r="TUO134" s="258"/>
      <c r="TUP134" s="270"/>
      <c r="TUQ134" s="271"/>
      <c r="TUR134" s="271"/>
      <c r="TUS134" s="271"/>
      <c r="TUT134" s="221"/>
      <c r="TUU134" s="221"/>
      <c r="TUV134" s="221"/>
      <c r="TUW134" s="258"/>
      <c r="TUX134" s="270"/>
      <c r="TUY134" s="271"/>
      <c r="TUZ134" s="271"/>
      <c r="TVA134" s="271"/>
      <c r="TVB134" s="221"/>
      <c r="TVC134" s="221"/>
      <c r="TVD134" s="221"/>
      <c r="TVE134" s="258"/>
      <c r="TVF134" s="270"/>
      <c r="TVG134" s="271"/>
      <c r="TVH134" s="271"/>
      <c r="TVI134" s="271"/>
      <c r="TVJ134" s="221"/>
      <c r="TVK134" s="221"/>
      <c r="TVL134" s="221"/>
      <c r="TVM134" s="258"/>
      <c r="TVN134" s="270"/>
      <c r="TVO134" s="271"/>
      <c r="TVP134" s="271"/>
      <c r="TVQ134" s="271"/>
      <c r="TVR134" s="221"/>
      <c r="TVS134" s="221"/>
      <c r="TVT134" s="221"/>
      <c r="TVU134" s="258"/>
      <c r="TVV134" s="270"/>
      <c r="TVW134" s="271"/>
      <c r="TVX134" s="271"/>
      <c r="TVY134" s="271"/>
      <c r="TVZ134" s="221"/>
      <c r="TWA134" s="221"/>
      <c r="TWB134" s="221"/>
      <c r="TWC134" s="258"/>
      <c r="TWD134" s="270"/>
      <c r="TWE134" s="271"/>
      <c r="TWF134" s="271"/>
      <c r="TWG134" s="271"/>
      <c r="TWH134" s="221"/>
      <c r="TWI134" s="221"/>
      <c r="TWJ134" s="221"/>
      <c r="TWK134" s="258"/>
      <c r="TWL134" s="270"/>
      <c r="TWM134" s="271"/>
      <c r="TWN134" s="271"/>
      <c r="TWO134" s="271"/>
      <c r="TWP134" s="221"/>
      <c r="TWQ134" s="221"/>
      <c r="TWR134" s="221"/>
      <c r="TWS134" s="258"/>
      <c r="TWT134" s="270"/>
      <c r="TWU134" s="271"/>
      <c r="TWV134" s="271"/>
      <c r="TWW134" s="271"/>
      <c r="TWX134" s="221"/>
      <c r="TWY134" s="221"/>
      <c r="TWZ134" s="221"/>
      <c r="TXA134" s="258"/>
      <c r="TXB134" s="270"/>
      <c r="TXC134" s="271"/>
      <c r="TXD134" s="271"/>
      <c r="TXE134" s="271"/>
      <c r="TXF134" s="221"/>
      <c r="TXG134" s="221"/>
      <c r="TXH134" s="221"/>
      <c r="TXI134" s="258"/>
      <c r="TXJ134" s="270"/>
      <c r="TXK134" s="271"/>
      <c r="TXL134" s="271"/>
      <c r="TXM134" s="271"/>
      <c r="TXN134" s="221"/>
      <c r="TXO134" s="221"/>
      <c r="TXP134" s="221"/>
      <c r="TXQ134" s="258"/>
      <c r="TXR134" s="270"/>
      <c r="TXS134" s="271"/>
      <c r="TXT134" s="271"/>
      <c r="TXU134" s="271"/>
      <c r="TXV134" s="221"/>
      <c r="TXW134" s="221"/>
      <c r="TXX134" s="221"/>
      <c r="TXY134" s="258"/>
      <c r="TXZ134" s="270"/>
      <c r="TYA134" s="271"/>
      <c r="TYB134" s="271"/>
      <c r="TYC134" s="271"/>
      <c r="TYD134" s="221"/>
      <c r="TYE134" s="221"/>
      <c r="TYF134" s="221"/>
      <c r="TYG134" s="258"/>
      <c r="TYH134" s="270"/>
      <c r="TYI134" s="271"/>
      <c r="TYJ134" s="271"/>
      <c r="TYK134" s="271"/>
      <c r="TYL134" s="221"/>
      <c r="TYM134" s="221"/>
      <c r="TYN134" s="221"/>
      <c r="TYO134" s="258"/>
      <c r="TYP134" s="270"/>
      <c r="TYQ134" s="271"/>
      <c r="TYR134" s="271"/>
      <c r="TYS134" s="271"/>
      <c r="TYT134" s="221"/>
      <c r="TYU134" s="221"/>
      <c r="TYV134" s="221"/>
      <c r="TYW134" s="258"/>
      <c r="TYX134" s="270"/>
      <c r="TYY134" s="271"/>
      <c r="TYZ134" s="271"/>
      <c r="TZA134" s="271"/>
      <c r="TZB134" s="221"/>
      <c r="TZC134" s="221"/>
      <c r="TZD134" s="221"/>
      <c r="TZE134" s="258"/>
      <c r="TZF134" s="270"/>
      <c r="TZG134" s="271"/>
      <c r="TZH134" s="271"/>
      <c r="TZI134" s="271"/>
      <c r="TZJ134" s="221"/>
      <c r="TZK134" s="221"/>
      <c r="TZL134" s="221"/>
      <c r="TZM134" s="258"/>
      <c r="TZN134" s="270"/>
      <c r="TZO134" s="271"/>
      <c r="TZP134" s="271"/>
      <c r="TZQ134" s="271"/>
      <c r="TZR134" s="221"/>
      <c r="TZS134" s="221"/>
      <c r="TZT134" s="221"/>
      <c r="TZU134" s="258"/>
      <c r="TZV134" s="270"/>
      <c r="TZW134" s="271"/>
      <c r="TZX134" s="271"/>
      <c r="TZY134" s="271"/>
      <c r="TZZ134" s="221"/>
      <c r="UAA134" s="221"/>
      <c r="UAB134" s="221"/>
      <c r="UAC134" s="258"/>
      <c r="UAD134" s="270"/>
      <c r="UAE134" s="271"/>
      <c r="UAF134" s="271"/>
      <c r="UAG134" s="271"/>
      <c r="UAH134" s="221"/>
      <c r="UAI134" s="221"/>
      <c r="UAJ134" s="221"/>
      <c r="UAK134" s="258"/>
      <c r="UAL134" s="270"/>
      <c r="UAM134" s="271"/>
      <c r="UAN134" s="271"/>
      <c r="UAO134" s="271"/>
      <c r="UAP134" s="221"/>
      <c r="UAQ134" s="221"/>
      <c r="UAR134" s="221"/>
      <c r="UAS134" s="258"/>
      <c r="UAT134" s="270"/>
      <c r="UAU134" s="271"/>
      <c r="UAV134" s="271"/>
      <c r="UAW134" s="271"/>
      <c r="UAX134" s="221"/>
      <c r="UAY134" s="221"/>
      <c r="UAZ134" s="221"/>
      <c r="UBA134" s="258"/>
      <c r="UBB134" s="270"/>
      <c r="UBC134" s="271"/>
      <c r="UBD134" s="271"/>
      <c r="UBE134" s="271"/>
      <c r="UBF134" s="221"/>
      <c r="UBG134" s="221"/>
      <c r="UBH134" s="221"/>
      <c r="UBI134" s="258"/>
      <c r="UBJ134" s="270"/>
      <c r="UBK134" s="271"/>
      <c r="UBL134" s="271"/>
      <c r="UBM134" s="271"/>
      <c r="UBN134" s="221"/>
      <c r="UBO134" s="221"/>
      <c r="UBP134" s="221"/>
      <c r="UBQ134" s="258"/>
      <c r="UBR134" s="270"/>
      <c r="UBS134" s="271"/>
      <c r="UBT134" s="271"/>
      <c r="UBU134" s="271"/>
      <c r="UBV134" s="221"/>
      <c r="UBW134" s="221"/>
      <c r="UBX134" s="221"/>
      <c r="UBY134" s="258"/>
      <c r="UBZ134" s="270"/>
      <c r="UCA134" s="271"/>
      <c r="UCB134" s="271"/>
      <c r="UCC134" s="271"/>
      <c r="UCD134" s="221"/>
      <c r="UCE134" s="221"/>
      <c r="UCF134" s="221"/>
      <c r="UCG134" s="258"/>
      <c r="UCH134" s="270"/>
      <c r="UCI134" s="271"/>
      <c r="UCJ134" s="271"/>
      <c r="UCK134" s="271"/>
      <c r="UCL134" s="221"/>
      <c r="UCM134" s="221"/>
      <c r="UCN134" s="221"/>
      <c r="UCO134" s="258"/>
      <c r="UCP134" s="270"/>
      <c r="UCQ134" s="271"/>
      <c r="UCR134" s="271"/>
      <c r="UCS134" s="271"/>
      <c r="UCT134" s="221"/>
      <c r="UCU134" s="221"/>
      <c r="UCV134" s="221"/>
      <c r="UCW134" s="258"/>
      <c r="UCX134" s="270"/>
      <c r="UCY134" s="271"/>
      <c r="UCZ134" s="271"/>
      <c r="UDA134" s="271"/>
      <c r="UDB134" s="221"/>
      <c r="UDC134" s="221"/>
      <c r="UDD134" s="221"/>
      <c r="UDE134" s="258"/>
      <c r="UDF134" s="270"/>
      <c r="UDG134" s="271"/>
      <c r="UDH134" s="271"/>
      <c r="UDI134" s="271"/>
      <c r="UDJ134" s="221"/>
      <c r="UDK134" s="221"/>
      <c r="UDL134" s="221"/>
      <c r="UDM134" s="258"/>
      <c r="UDN134" s="270"/>
      <c r="UDO134" s="271"/>
      <c r="UDP134" s="271"/>
      <c r="UDQ134" s="271"/>
      <c r="UDR134" s="221"/>
      <c r="UDS134" s="221"/>
      <c r="UDT134" s="221"/>
      <c r="UDU134" s="258"/>
      <c r="UDV134" s="270"/>
      <c r="UDW134" s="271"/>
      <c r="UDX134" s="271"/>
      <c r="UDY134" s="271"/>
      <c r="UDZ134" s="221"/>
      <c r="UEA134" s="221"/>
      <c r="UEB134" s="221"/>
      <c r="UEC134" s="258"/>
      <c r="UED134" s="270"/>
      <c r="UEE134" s="271"/>
      <c r="UEF134" s="271"/>
      <c r="UEG134" s="271"/>
      <c r="UEH134" s="221"/>
      <c r="UEI134" s="221"/>
      <c r="UEJ134" s="221"/>
      <c r="UEK134" s="258"/>
      <c r="UEL134" s="270"/>
      <c r="UEM134" s="271"/>
      <c r="UEN134" s="271"/>
      <c r="UEO134" s="271"/>
      <c r="UEP134" s="221"/>
      <c r="UEQ134" s="221"/>
      <c r="UER134" s="221"/>
      <c r="UES134" s="258"/>
      <c r="UET134" s="270"/>
      <c r="UEU134" s="271"/>
      <c r="UEV134" s="271"/>
      <c r="UEW134" s="271"/>
      <c r="UEX134" s="221"/>
      <c r="UEY134" s="221"/>
      <c r="UEZ134" s="221"/>
      <c r="UFA134" s="258"/>
      <c r="UFB134" s="270"/>
      <c r="UFC134" s="271"/>
      <c r="UFD134" s="271"/>
      <c r="UFE134" s="271"/>
      <c r="UFF134" s="221"/>
      <c r="UFG134" s="221"/>
      <c r="UFH134" s="221"/>
      <c r="UFI134" s="258"/>
      <c r="UFJ134" s="270"/>
      <c r="UFK134" s="271"/>
      <c r="UFL134" s="271"/>
      <c r="UFM134" s="271"/>
      <c r="UFN134" s="221"/>
      <c r="UFO134" s="221"/>
      <c r="UFP134" s="221"/>
      <c r="UFQ134" s="258"/>
      <c r="UFR134" s="270"/>
      <c r="UFS134" s="271"/>
      <c r="UFT134" s="271"/>
      <c r="UFU134" s="271"/>
      <c r="UFV134" s="221"/>
      <c r="UFW134" s="221"/>
      <c r="UFX134" s="221"/>
      <c r="UFY134" s="258"/>
      <c r="UFZ134" s="270"/>
      <c r="UGA134" s="271"/>
      <c r="UGB134" s="271"/>
      <c r="UGC134" s="271"/>
      <c r="UGD134" s="221"/>
      <c r="UGE134" s="221"/>
      <c r="UGF134" s="221"/>
      <c r="UGG134" s="258"/>
      <c r="UGH134" s="270"/>
      <c r="UGI134" s="271"/>
      <c r="UGJ134" s="271"/>
      <c r="UGK134" s="271"/>
      <c r="UGL134" s="221"/>
      <c r="UGM134" s="221"/>
      <c r="UGN134" s="221"/>
      <c r="UGO134" s="258"/>
      <c r="UGP134" s="270"/>
      <c r="UGQ134" s="271"/>
      <c r="UGR134" s="271"/>
      <c r="UGS134" s="271"/>
      <c r="UGT134" s="221"/>
      <c r="UGU134" s="221"/>
      <c r="UGV134" s="221"/>
      <c r="UGW134" s="258"/>
      <c r="UGX134" s="270"/>
      <c r="UGY134" s="271"/>
      <c r="UGZ134" s="271"/>
      <c r="UHA134" s="271"/>
      <c r="UHB134" s="221"/>
      <c r="UHC134" s="221"/>
      <c r="UHD134" s="221"/>
      <c r="UHE134" s="258"/>
      <c r="UHF134" s="270"/>
      <c r="UHG134" s="271"/>
      <c r="UHH134" s="271"/>
      <c r="UHI134" s="271"/>
      <c r="UHJ134" s="221"/>
      <c r="UHK134" s="221"/>
      <c r="UHL134" s="221"/>
      <c r="UHM134" s="258"/>
      <c r="UHN134" s="270"/>
      <c r="UHO134" s="271"/>
      <c r="UHP134" s="271"/>
      <c r="UHQ134" s="271"/>
      <c r="UHR134" s="221"/>
      <c r="UHS134" s="221"/>
      <c r="UHT134" s="221"/>
      <c r="UHU134" s="258"/>
      <c r="UHV134" s="270"/>
      <c r="UHW134" s="271"/>
      <c r="UHX134" s="271"/>
      <c r="UHY134" s="271"/>
      <c r="UHZ134" s="221"/>
      <c r="UIA134" s="221"/>
      <c r="UIB134" s="221"/>
      <c r="UIC134" s="258"/>
      <c r="UID134" s="270"/>
      <c r="UIE134" s="271"/>
      <c r="UIF134" s="271"/>
      <c r="UIG134" s="271"/>
      <c r="UIH134" s="221"/>
      <c r="UII134" s="221"/>
      <c r="UIJ134" s="221"/>
      <c r="UIK134" s="258"/>
      <c r="UIL134" s="270"/>
      <c r="UIM134" s="271"/>
      <c r="UIN134" s="271"/>
      <c r="UIO134" s="271"/>
      <c r="UIP134" s="221"/>
      <c r="UIQ134" s="221"/>
      <c r="UIR134" s="221"/>
      <c r="UIS134" s="258"/>
      <c r="UIT134" s="270"/>
      <c r="UIU134" s="271"/>
      <c r="UIV134" s="271"/>
      <c r="UIW134" s="271"/>
      <c r="UIX134" s="221"/>
      <c r="UIY134" s="221"/>
      <c r="UIZ134" s="221"/>
      <c r="UJA134" s="258"/>
      <c r="UJB134" s="270"/>
      <c r="UJC134" s="271"/>
      <c r="UJD134" s="271"/>
      <c r="UJE134" s="271"/>
      <c r="UJF134" s="221"/>
      <c r="UJG134" s="221"/>
      <c r="UJH134" s="221"/>
      <c r="UJI134" s="258"/>
      <c r="UJJ134" s="270"/>
      <c r="UJK134" s="271"/>
      <c r="UJL134" s="271"/>
      <c r="UJM134" s="271"/>
      <c r="UJN134" s="221"/>
      <c r="UJO134" s="221"/>
      <c r="UJP134" s="221"/>
      <c r="UJQ134" s="258"/>
      <c r="UJR134" s="270"/>
      <c r="UJS134" s="271"/>
      <c r="UJT134" s="271"/>
      <c r="UJU134" s="271"/>
      <c r="UJV134" s="221"/>
      <c r="UJW134" s="221"/>
      <c r="UJX134" s="221"/>
      <c r="UJY134" s="258"/>
      <c r="UJZ134" s="270"/>
      <c r="UKA134" s="271"/>
      <c r="UKB134" s="271"/>
      <c r="UKC134" s="271"/>
      <c r="UKD134" s="221"/>
      <c r="UKE134" s="221"/>
      <c r="UKF134" s="221"/>
      <c r="UKG134" s="258"/>
      <c r="UKH134" s="270"/>
      <c r="UKI134" s="271"/>
      <c r="UKJ134" s="271"/>
      <c r="UKK134" s="271"/>
      <c r="UKL134" s="221"/>
      <c r="UKM134" s="221"/>
      <c r="UKN134" s="221"/>
      <c r="UKO134" s="258"/>
      <c r="UKP134" s="270"/>
      <c r="UKQ134" s="271"/>
      <c r="UKR134" s="271"/>
      <c r="UKS134" s="271"/>
      <c r="UKT134" s="221"/>
      <c r="UKU134" s="221"/>
      <c r="UKV134" s="221"/>
      <c r="UKW134" s="258"/>
      <c r="UKX134" s="270"/>
      <c r="UKY134" s="271"/>
      <c r="UKZ134" s="271"/>
      <c r="ULA134" s="271"/>
      <c r="ULB134" s="221"/>
      <c r="ULC134" s="221"/>
      <c r="ULD134" s="221"/>
      <c r="ULE134" s="258"/>
      <c r="ULF134" s="270"/>
      <c r="ULG134" s="271"/>
      <c r="ULH134" s="271"/>
      <c r="ULI134" s="271"/>
      <c r="ULJ134" s="221"/>
      <c r="ULK134" s="221"/>
      <c r="ULL134" s="221"/>
      <c r="ULM134" s="258"/>
      <c r="ULN134" s="270"/>
      <c r="ULO134" s="271"/>
      <c r="ULP134" s="271"/>
      <c r="ULQ134" s="271"/>
      <c r="ULR134" s="221"/>
      <c r="ULS134" s="221"/>
      <c r="ULT134" s="221"/>
      <c r="ULU134" s="258"/>
      <c r="ULV134" s="270"/>
      <c r="ULW134" s="271"/>
      <c r="ULX134" s="271"/>
      <c r="ULY134" s="271"/>
      <c r="ULZ134" s="221"/>
      <c r="UMA134" s="221"/>
      <c r="UMB134" s="221"/>
      <c r="UMC134" s="258"/>
      <c r="UMD134" s="270"/>
      <c r="UME134" s="271"/>
      <c r="UMF134" s="271"/>
      <c r="UMG134" s="271"/>
      <c r="UMH134" s="221"/>
      <c r="UMI134" s="221"/>
      <c r="UMJ134" s="221"/>
      <c r="UMK134" s="258"/>
      <c r="UML134" s="270"/>
      <c r="UMM134" s="271"/>
      <c r="UMN134" s="271"/>
      <c r="UMO134" s="271"/>
      <c r="UMP134" s="221"/>
      <c r="UMQ134" s="221"/>
      <c r="UMR134" s="221"/>
      <c r="UMS134" s="258"/>
      <c r="UMT134" s="270"/>
      <c r="UMU134" s="271"/>
      <c r="UMV134" s="271"/>
      <c r="UMW134" s="271"/>
      <c r="UMX134" s="221"/>
      <c r="UMY134" s="221"/>
      <c r="UMZ134" s="221"/>
      <c r="UNA134" s="258"/>
      <c r="UNB134" s="270"/>
      <c r="UNC134" s="271"/>
      <c r="UND134" s="271"/>
      <c r="UNE134" s="271"/>
      <c r="UNF134" s="221"/>
      <c r="UNG134" s="221"/>
      <c r="UNH134" s="221"/>
      <c r="UNI134" s="258"/>
      <c r="UNJ134" s="270"/>
      <c r="UNK134" s="271"/>
      <c r="UNL134" s="271"/>
      <c r="UNM134" s="271"/>
      <c r="UNN134" s="221"/>
      <c r="UNO134" s="221"/>
      <c r="UNP134" s="221"/>
      <c r="UNQ134" s="258"/>
      <c r="UNR134" s="270"/>
      <c r="UNS134" s="271"/>
      <c r="UNT134" s="271"/>
      <c r="UNU134" s="271"/>
      <c r="UNV134" s="221"/>
      <c r="UNW134" s="221"/>
      <c r="UNX134" s="221"/>
      <c r="UNY134" s="258"/>
      <c r="UNZ134" s="270"/>
      <c r="UOA134" s="271"/>
      <c r="UOB134" s="271"/>
      <c r="UOC134" s="271"/>
      <c r="UOD134" s="221"/>
      <c r="UOE134" s="221"/>
      <c r="UOF134" s="221"/>
      <c r="UOG134" s="258"/>
      <c r="UOH134" s="270"/>
      <c r="UOI134" s="271"/>
      <c r="UOJ134" s="271"/>
      <c r="UOK134" s="271"/>
      <c r="UOL134" s="221"/>
      <c r="UOM134" s="221"/>
      <c r="UON134" s="221"/>
      <c r="UOO134" s="258"/>
      <c r="UOP134" s="270"/>
      <c r="UOQ134" s="271"/>
      <c r="UOR134" s="271"/>
      <c r="UOS134" s="271"/>
      <c r="UOT134" s="221"/>
      <c r="UOU134" s="221"/>
      <c r="UOV134" s="221"/>
      <c r="UOW134" s="258"/>
      <c r="UOX134" s="270"/>
      <c r="UOY134" s="271"/>
      <c r="UOZ134" s="271"/>
      <c r="UPA134" s="271"/>
      <c r="UPB134" s="221"/>
      <c r="UPC134" s="221"/>
      <c r="UPD134" s="221"/>
      <c r="UPE134" s="258"/>
      <c r="UPF134" s="270"/>
      <c r="UPG134" s="271"/>
      <c r="UPH134" s="271"/>
      <c r="UPI134" s="271"/>
      <c r="UPJ134" s="221"/>
      <c r="UPK134" s="221"/>
      <c r="UPL134" s="221"/>
      <c r="UPM134" s="258"/>
      <c r="UPN134" s="270"/>
      <c r="UPO134" s="271"/>
      <c r="UPP134" s="271"/>
      <c r="UPQ134" s="271"/>
      <c r="UPR134" s="221"/>
      <c r="UPS134" s="221"/>
      <c r="UPT134" s="221"/>
      <c r="UPU134" s="258"/>
      <c r="UPV134" s="270"/>
      <c r="UPW134" s="271"/>
      <c r="UPX134" s="271"/>
      <c r="UPY134" s="271"/>
      <c r="UPZ134" s="221"/>
      <c r="UQA134" s="221"/>
      <c r="UQB134" s="221"/>
      <c r="UQC134" s="258"/>
      <c r="UQD134" s="270"/>
      <c r="UQE134" s="271"/>
      <c r="UQF134" s="271"/>
      <c r="UQG134" s="271"/>
      <c r="UQH134" s="221"/>
      <c r="UQI134" s="221"/>
      <c r="UQJ134" s="221"/>
      <c r="UQK134" s="258"/>
      <c r="UQL134" s="270"/>
      <c r="UQM134" s="271"/>
      <c r="UQN134" s="271"/>
      <c r="UQO134" s="271"/>
      <c r="UQP134" s="221"/>
      <c r="UQQ134" s="221"/>
      <c r="UQR134" s="221"/>
      <c r="UQS134" s="258"/>
      <c r="UQT134" s="270"/>
      <c r="UQU134" s="271"/>
      <c r="UQV134" s="271"/>
      <c r="UQW134" s="271"/>
      <c r="UQX134" s="221"/>
      <c r="UQY134" s="221"/>
      <c r="UQZ134" s="221"/>
      <c r="URA134" s="258"/>
      <c r="URB134" s="270"/>
      <c r="URC134" s="271"/>
      <c r="URD134" s="271"/>
      <c r="URE134" s="271"/>
      <c r="URF134" s="221"/>
      <c r="URG134" s="221"/>
      <c r="URH134" s="221"/>
      <c r="URI134" s="258"/>
      <c r="URJ134" s="270"/>
      <c r="URK134" s="271"/>
      <c r="URL134" s="271"/>
      <c r="URM134" s="271"/>
      <c r="URN134" s="221"/>
      <c r="URO134" s="221"/>
      <c r="URP134" s="221"/>
      <c r="URQ134" s="258"/>
      <c r="URR134" s="270"/>
      <c r="URS134" s="271"/>
      <c r="URT134" s="271"/>
      <c r="URU134" s="271"/>
      <c r="URV134" s="221"/>
      <c r="URW134" s="221"/>
      <c r="URX134" s="221"/>
      <c r="URY134" s="258"/>
      <c r="URZ134" s="270"/>
      <c r="USA134" s="271"/>
      <c r="USB134" s="271"/>
      <c r="USC134" s="271"/>
      <c r="USD134" s="221"/>
      <c r="USE134" s="221"/>
      <c r="USF134" s="221"/>
      <c r="USG134" s="258"/>
      <c r="USH134" s="270"/>
      <c r="USI134" s="271"/>
      <c r="USJ134" s="271"/>
      <c r="USK134" s="271"/>
      <c r="USL134" s="221"/>
      <c r="USM134" s="221"/>
      <c r="USN134" s="221"/>
      <c r="USO134" s="258"/>
      <c r="USP134" s="270"/>
      <c r="USQ134" s="271"/>
      <c r="USR134" s="271"/>
      <c r="USS134" s="271"/>
      <c r="UST134" s="221"/>
      <c r="USU134" s="221"/>
      <c r="USV134" s="221"/>
      <c r="USW134" s="258"/>
      <c r="USX134" s="270"/>
      <c r="USY134" s="271"/>
      <c r="USZ134" s="271"/>
      <c r="UTA134" s="271"/>
      <c r="UTB134" s="221"/>
      <c r="UTC134" s="221"/>
      <c r="UTD134" s="221"/>
      <c r="UTE134" s="258"/>
      <c r="UTF134" s="270"/>
      <c r="UTG134" s="271"/>
      <c r="UTH134" s="271"/>
      <c r="UTI134" s="271"/>
      <c r="UTJ134" s="221"/>
      <c r="UTK134" s="221"/>
      <c r="UTL134" s="221"/>
      <c r="UTM134" s="258"/>
      <c r="UTN134" s="270"/>
      <c r="UTO134" s="271"/>
      <c r="UTP134" s="271"/>
      <c r="UTQ134" s="271"/>
      <c r="UTR134" s="221"/>
      <c r="UTS134" s="221"/>
      <c r="UTT134" s="221"/>
      <c r="UTU134" s="258"/>
      <c r="UTV134" s="270"/>
      <c r="UTW134" s="271"/>
      <c r="UTX134" s="271"/>
      <c r="UTY134" s="271"/>
      <c r="UTZ134" s="221"/>
      <c r="UUA134" s="221"/>
      <c r="UUB134" s="221"/>
      <c r="UUC134" s="258"/>
      <c r="UUD134" s="270"/>
      <c r="UUE134" s="271"/>
      <c r="UUF134" s="271"/>
      <c r="UUG134" s="271"/>
      <c r="UUH134" s="221"/>
      <c r="UUI134" s="221"/>
      <c r="UUJ134" s="221"/>
      <c r="UUK134" s="258"/>
      <c r="UUL134" s="270"/>
      <c r="UUM134" s="271"/>
      <c r="UUN134" s="271"/>
      <c r="UUO134" s="271"/>
      <c r="UUP134" s="221"/>
      <c r="UUQ134" s="221"/>
      <c r="UUR134" s="221"/>
      <c r="UUS134" s="258"/>
      <c r="UUT134" s="270"/>
      <c r="UUU134" s="271"/>
      <c r="UUV134" s="271"/>
      <c r="UUW134" s="271"/>
      <c r="UUX134" s="221"/>
      <c r="UUY134" s="221"/>
      <c r="UUZ134" s="221"/>
      <c r="UVA134" s="258"/>
      <c r="UVB134" s="270"/>
      <c r="UVC134" s="271"/>
      <c r="UVD134" s="271"/>
      <c r="UVE134" s="271"/>
      <c r="UVF134" s="221"/>
      <c r="UVG134" s="221"/>
      <c r="UVH134" s="221"/>
      <c r="UVI134" s="258"/>
      <c r="UVJ134" s="270"/>
      <c r="UVK134" s="271"/>
      <c r="UVL134" s="271"/>
      <c r="UVM134" s="271"/>
      <c r="UVN134" s="221"/>
      <c r="UVO134" s="221"/>
      <c r="UVP134" s="221"/>
      <c r="UVQ134" s="258"/>
      <c r="UVR134" s="270"/>
      <c r="UVS134" s="271"/>
      <c r="UVT134" s="271"/>
      <c r="UVU134" s="271"/>
      <c r="UVV134" s="221"/>
      <c r="UVW134" s="221"/>
      <c r="UVX134" s="221"/>
      <c r="UVY134" s="258"/>
      <c r="UVZ134" s="270"/>
      <c r="UWA134" s="271"/>
      <c r="UWB134" s="271"/>
      <c r="UWC134" s="271"/>
      <c r="UWD134" s="221"/>
      <c r="UWE134" s="221"/>
      <c r="UWF134" s="221"/>
      <c r="UWG134" s="258"/>
      <c r="UWH134" s="270"/>
      <c r="UWI134" s="271"/>
      <c r="UWJ134" s="271"/>
      <c r="UWK134" s="271"/>
      <c r="UWL134" s="221"/>
      <c r="UWM134" s="221"/>
      <c r="UWN134" s="221"/>
      <c r="UWO134" s="258"/>
      <c r="UWP134" s="270"/>
      <c r="UWQ134" s="271"/>
      <c r="UWR134" s="271"/>
      <c r="UWS134" s="271"/>
      <c r="UWT134" s="221"/>
      <c r="UWU134" s="221"/>
      <c r="UWV134" s="221"/>
      <c r="UWW134" s="258"/>
      <c r="UWX134" s="270"/>
      <c r="UWY134" s="271"/>
      <c r="UWZ134" s="271"/>
      <c r="UXA134" s="271"/>
      <c r="UXB134" s="221"/>
      <c r="UXC134" s="221"/>
      <c r="UXD134" s="221"/>
      <c r="UXE134" s="258"/>
      <c r="UXF134" s="270"/>
      <c r="UXG134" s="271"/>
      <c r="UXH134" s="271"/>
      <c r="UXI134" s="271"/>
      <c r="UXJ134" s="221"/>
      <c r="UXK134" s="221"/>
      <c r="UXL134" s="221"/>
      <c r="UXM134" s="258"/>
      <c r="UXN134" s="270"/>
      <c r="UXO134" s="271"/>
      <c r="UXP134" s="271"/>
      <c r="UXQ134" s="271"/>
      <c r="UXR134" s="221"/>
      <c r="UXS134" s="221"/>
      <c r="UXT134" s="221"/>
      <c r="UXU134" s="258"/>
      <c r="UXV134" s="270"/>
      <c r="UXW134" s="271"/>
      <c r="UXX134" s="271"/>
      <c r="UXY134" s="271"/>
      <c r="UXZ134" s="221"/>
      <c r="UYA134" s="221"/>
      <c r="UYB134" s="221"/>
      <c r="UYC134" s="258"/>
      <c r="UYD134" s="270"/>
      <c r="UYE134" s="271"/>
      <c r="UYF134" s="271"/>
      <c r="UYG134" s="271"/>
      <c r="UYH134" s="221"/>
      <c r="UYI134" s="221"/>
      <c r="UYJ134" s="221"/>
      <c r="UYK134" s="258"/>
      <c r="UYL134" s="270"/>
      <c r="UYM134" s="271"/>
      <c r="UYN134" s="271"/>
      <c r="UYO134" s="271"/>
      <c r="UYP134" s="221"/>
      <c r="UYQ134" s="221"/>
      <c r="UYR134" s="221"/>
      <c r="UYS134" s="258"/>
      <c r="UYT134" s="270"/>
      <c r="UYU134" s="271"/>
      <c r="UYV134" s="271"/>
      <c r="UYW134" s="271"/>
      <c r="UYX134" s="221"/>
      <c r="UYY134" s="221"/>
      <c r="UYZ134" s="221"/>
      <c r="UZA134" s="258"/>
      <c r="UZB134" s="270"/>
      <c r="UZC134" s="271"/>
      <c r="UZD134" s="271"/>
      <c r="UZE134" s="271"/>
      <c r="UZF134" s="221"/>
      <c r="UZG134" s="221"/>
      <c r="UZH134" s="221"/>
      <c r="UZI134" s="258"/>
      <c r="UZJ134" s="270"/>
      <c r="UZK134" s="271"/>
      <c r="UZL134" s="271"/>
      <c r="UZM134" s="271"/>
      <c r="UZN134" s="221"/>
      <c r="UZO134" s="221"/>
      <c r="UZP134" s="221"/>
      <c r="UZQ134" s="258"/>
      <c r="UZR134" s="270"/>
      <c r="UZS134" s="271"/>
      <c r="UZT134" s="271"/>
      <c r="UZU134" s="271"/>
      <c r="UZV134" s="221"/>
      <c r="UZW134" s="221"/>
      <c r="UZX134" s="221"/>
      <c r="UZY134" s="258"/>
      <c r="UZZ134" s="270"/>
      <c r="VAA134" s="271"/>
      <c r="VAB134" s="271"/>
      <c r="VAC134" s="271"/>
      <c r="VAD134" s="221"/>
      <c r="VAE134" s="221"/>
      <c r="VAF134" s="221"/>
      <c r="VAG134" s="258"/>
      <c r="VAH134" s="270"/>
      <c r="VAI134" s="271"/>
      <c r="VAJ134" s="271"/>
      <c r="VAK134" s="271"/>
      <c r="VAL134" s="221"/>
      <c r="VAM134" s="221"/>
      <c r="VAN134" s="221"/>
      <c r="VAO134" s="258"/>
      <c r="VAP134" s="270"/>
      <c r="VAQ134" s="271"/>
      <c r="VAR134" s="271"/>
      <c r="VAS134" s="271"/>
      <c r="VAT134" s="221"/>
      <c r="VAU134" s="221"/>
      <c r="VAV134" s="221"/>
      <c r="VAW134" s="258"/>
      <c r="VAX134" s="270"/>
      <c r="VAY134" s="271"/>
      <c r="VAZ134" s="271"/>
      <c r="VBA134" s="271"/>
      <c r="VBB134" s="221"/>
      <c r="VBC134" s="221"/>
      <c r="VBD134" s="221"/>
      <c r="VBE134" s="258"/>
      <c r="VBF134" s="270"/>
      <c r="VBG134" s="271"/>
      <c r="VBH134" s="271"/>
      <c r="VBI134" s="271"/>
      <c r="VBJ134" s="221"/>
      <c r="VBK134" s="221"/>
      <c r="VBL134" s="221"/>
      <c r="VBM134" s="258"/>
      <c r="VBN134" s="270"/>
      <c r="VBO134" s="271"/>
      <c r="VBP134" s="271"/>
      <c r="VBQ134" s="271"/>
      <c r="VBR134" s="221"/>
      <c r="VBS134" s="221"/>
      <c r="VBT134" s="221"/>
      <c r="VBU134" s="258"/>
      <c r="VBV134" s="270"/>
      <c r="VBW134" s="271"/>
      <c r="VBX134" s="271"/>
      <c r="VBY134" s="271"/>
      <c r="VBZ134" s="221"/>
      <c r="VCA134" s="221"/>
      <c r="VCB134" s="221"/>
      <c r="VCC134" s="258"/>
      <c r="VCD134" s="270"/>
      <c r="VCE134" s="271"/>
      <c r="VCF134" s="271"/>
      <c r="VCG134" s="271"/>
      <c r="VCH134" s="221"/>
      <c r="VCI134" s="221"/>
      <c r="VCJ134" s="221"/>
      <c r="VCK134" s="258"/>
      <c r="VCL134" s="270"/>
      <c r="VCM134" s="271"/>
      <c r="VCN134" s="271"/>
      <c r="VCO134" s="271"/>
      <c r="VCP134" s="221"/>
      <c r="VCQ134" s="221"/>
      <c r="VCR134" s="221"/>
      <c r="VCS134" s="258"/>
      <c r="VCT134" s="270"/>
      <c r="VCU134" s="271"/>
      <c r="VCV134" s="271"/>
      <c r="VCW134" s="271"/>
      <c r="VCX134" s="221"/>
      <c r="VCY134" s="221"/>
      <c r="VCZ134" s="221"/>
      <c r="VDA134" s="258"/>
      <c r="VDB134" s="270"/>
      <c r="VDC134" s="271"/>
      <c r="VDD134" s="271"/>
      <c r="VDE134" s="271"/>
      <c r="VDF134" s="221"/>
      <c r="VDG134" s="221"/>
      <c r="VDH134" s="221"/>
      <c r="VDI134" s="258"/>
      <c r="VDJ134" s="270"/>
      <c r="VDK134" s="271"/>
      <c r="VDL134" s="271"/>
      <c r="VDM134" s="271"/>
      <c r="VDN134" s="221"/>
      <c r="VDO134" s="221"/>
      <c r="VDP134" s="221"/>
      <c r="VDQ134" s="258"/>
      <c r="VDR134" s="270"/>
      <c r="VDS134" s="271"/>
      <c r="VDT134" s="271"/>
      <c r="VDU134" s="271"/>
      <c r="VDV134" s="221"/>
      <c r="VDW134" s="221"/>
      <c r="VDX134" s="221"/>
      <c r="VDY134" s="258"/>
      <c r="VDZ134" s="270"/>
      <c r="VEA134" s="271"/>
      <c r="VEB134" s="271"/>
      <c r="VEC134" s="271"/>
      <c r="VED134" s="221"/>
      <c r="VEE134" s="221"/>
      <c r="VEF134" s="221"/>
      <c r="VEG134" s="258"/>
      <c r="VEH134" s="270"/>
      <c r="VEI134" s="271"/>
      <c r="VEJ134" s="271"/>
      <c r="VEK134" s="271"/>
      <c r="VEL134" s="221"/>
      <c r="VEM134" s="221"/>
      <c r="VEN134" s="221"/>
      <c r="VEO134" s="258"/>
      <c r="VEP134" s="270"/>
      <c r="VEQ134" s="271"/>
      <c r="VER134" s="271"/>
      <c r="VES134" s="271"/>
      <c r="VET134" s="221"/>
      <c r="VEU134" s="221"/>
      <c r="VEV134" s="221"/>
      <c r="VEW134" s="258"/>
      <c r="VEX134" s="270"/>
      <c r="VEY134" s="271"/>
      <c r="VEZ134" s="271"/>
      <c r="VFA134" s="271"/>
      <c r="VFB134" s="221"/>
      <c r="VFC134" s="221"/>
      <c r="VFD134" s="221"/>
      <c r="VFE134" s="258"/>
      <c r="VFF134" s="270"/>
      <c r="VFG134" s="271"/>
      <c r="VFH134" s="271"/>
      <c r="VFI134" s="271"/>
      <c r="VFJ134" s="221"/>
      <c r="VFK134" s="221"/>
      <c r="VFL134" s="221"/>
      <c r="VFM134" s="258"/>
      <c r="VFN134" s="270"/>
      <c r="VFO134" s="271"/>
      <c r="VFP134" s="271"/>
      <c r="VFQ134" s="271"/>
      <c r="VFR134" s="221"/>
      <c r="VFS134" s="221"/>
      <c r="VFT134" s="221"/>
      <c r="VFU134" s="258"/>
      <c r="VFV134" s="270"/>
      <c r="VFW134" s="271"/>
      <c r="VFX134" s="271"/>
      <c r="VFY134" s="271"/>
      <c r="VFZ134" s="221"/>
      <c r="VGA134" s="221"/>
      <c r="VGB134" s="221"/>
      <c r="VGC134" s="258"/>
      <c r="VGD134" s="270"/>
      <c r="VGE134" s="271"/>
      <c r="VGF134" s="271"/>
      <c r="VGG134" s="271"/>
      <c r="VGH134" s="221"/>
      <c r="VGI134" s="221"/>
      <c r="VGJ134" s="221"/>
      <c r="VGK134" s="258"/>
      <c r="VGL134" s="270"/>
      <c r="VGM134" s="271"/>
      <c r="VGN134" s="271"/>
      <c r="VGO134" s="271"/>
      <c r="VGP134" s="221"/>
      <c r="VGQ134" s="221"/>
      <c r="VGR134" s="221"/>
      <c r="VGS134" s="258"/>
      <c r="VGT134" s="270"/>
      <c r="VGU134" s="271"/>
      <c r="VGV134" s="271"/>
      <c r="VGW134" s="271"/>
      <c r="VGX134" s="221"/>
      <c r="VGY134" s="221"/>
      <c r="VGZ134" s="221"/>
      <c r="VHA134" s="258"/>
      <c r="VHB134" s="270"/>
      <c r="VHC134" s="271"/>
      <c r="VHD134" s="271"/>
      <c r="VHE134" s="271"/>
      <c r="VHF134" s="221"/>
      <c r="VHG134" s="221"/>
      <c r="VHH134" s="221"/>
      <c r="VHI134" s="258"/>
      <c r="VHJ134" s="270"/>
      <c r="VHK134" s="271"/>
      <c r="VHL134" s="271"/>
      <c r="VHM134" s="271"/>
      <c r="VHN134" s="221"/>
      <c r="VHO134" s="221"/>
      <c r="VHP134" s="221"/>
      <c r="VHQ134" s="258"/>
      <c r="VHR134" s="270"/>
      <c r="VHS134" s="271"/>
      <c r="VHT134" s="271"/>
      <c r="VHU134" s="271"/>
      <c r="VHV134" s="221"/>
      <c r="VHW134" s="221"/>
      <c r="VHX134" s="221"/>
      <c r="VHY134" s="258"/>
      <c r="VHZ134" s="270"/>
      <c r="VIA134" s="271"/>
      <c r="VIB134" s="271"/>
      <c r="VIC134" s="271"/>
      <c r="VID134" s="221"/>
      <c r="VIE134" s="221"/>
      <c r="VIF134" s="221"/>
      <c r="VIG134" s="258"/>
      <c r="VIH134" s="270"/>
      <c r="VII134" s="271"/>
      <c r="VIJ134" s="271"/>
      <c r="VIK134" s="271"/>
      <c r="VIL134" s="221"/>
      <c r="VIM134" s="221"/>
      <c r="VIN134" s="221"/>
      <c r="VIO134" s="258"/>
      <c r="VIP134" s="270"/>
      <c r="VIQ134" s="271"/>
      <c r="VIR134" s="271"/>
      <c r="VIS134" s="271"/>
      <c r="VIT134" s="221"/>
      <c r="VIU134" s="221"/>
      <c r="VIV134" s="221"/>
      <c r="VIW134" s="258"/>
      <c r="VIX134" s="270"/>
      <c r="VIY134" s="271"/>
      <c r="VIZ134" s="271"/>
      <c r="VJA134" s="271"/>
      <c r="VJB134" s="221"/>
      <c r="VJC134" s="221"/>
      <c r="VJD134" s="221"/>
      <c r="VJE134" s="258"/>
      <c r="VJF134" s="270"/>
      <c r="VJG134" s="271"/>
      <c r="VJH134" s="271"/>
      <c r="VJI134" s="271"/>
      <c r="VJJ134" s="221"/>
      <c r="VJK134" s="221"/>
      <c r="VJL134" s="221"/>
      <c r="VJM134" s="258"/>
      <c r="VJN134" s="270"/>
      <c r="VJO134" s="271"/>
      <c r="VJP134" s="271"/>
      <c r="VJQ134" s="271"/>
      <c r="VJR134" s="221"/>
      <c r="VJS134" s="221"/>
      <c r="VJT134" s="221"/>
      <c r="VJU134" s="258"/>
      <c r="VJV134" s="270"/>
      <c r="VJW134" s="271"/>
      <c r="VJX134" s="271"/>
      <c r="VJY134" s="271"/>
      <c r="VJZ134" s="221"/>
      <c r="VKA134" s="221"/>
      <c r="VKB134" s="221"/>
      <c r="VKC134" s="258"/>
      <c r="VKD134" s="270"/>
      <c r="VKE134" s="271"/>
      <c r="VKF134" s="271"/>
      <c r="VKG134" s="271"/>
      <c r="VKH134" s="221"/>
      <c r="VKI134" s="221"/>
      <c r="VKJ134" s="221"/>
      <c r="VKK134" s="258"/>
      <c r="VKL134" s="270"/>
      <c r="VKM134" s="271"/>
      <c r="VKN134" s="271"/>
      <c r="VKO134" s="271"/>
      <c r="VKP134" s="221"/>
      <c r="VKQ134" s="221"/>
      <c r="VKR134" s="221"/>
      <c r="VKS134" s="258"/>
      <c r="VKT134" s="270"/>
      <c r="VKU134" s="271"/>
      <c r="VKV134" s="271"/>
      <c r="VKW134" s="271"/>
      <c r="VKX134" s="221"/>
      <c r="VKY134" s="221"/>
      <c r="VKZ134" s="221"/>
      <c r="VLA134" s="258"/>
      <c r="VLB134" s="270"/>
      <c r="VLC134" s="271"/>
      <c r="VLD134" s="271"/>
      <c r="VLE134" s="271"/>
      <c r="VLF134" s="221"/>
      <c r="VLG134" s="221"/>
      <c r="VLH134" s="221"/>
      <c r="VLI134" s="258"/>
      <c r="VLJ134" s="270"/>
      <c r="VLK134" s="271"/>
      <c r="VLL134" s="271"/>
      <c r="VLM134" s="271"/>
      <c r="VLN134" s="221"/>
      <c r="VLO134" s="221"/>
      <c r="VLP134" s="221"/>
      <c r="VLQ134" s="258"/>
      <c r="VLR134" s="270"/>
      <c r="VLS134" s="271"/>
      <c r="VLT134" s="271"/>
      <c r="VLU134" s="271"/>
      <c r="VLV134" s="221"/>
      <c r="VLW134" s="221"/>
      <c r="VLX134" s="221"/>
      <c r="VLY134" s="258"/>
      <c r="VLZ134" s="270"/>
      <c r="VMA134" s="271"/>
      <c r="VMB134" s="271"/>
      <c r="VMC134" s="271"/>
      <c r="VMD134" s="221"/>
      <c r="VME134" s="221"/>
      <c r="VMF134" s="221"/>
      <c r="VMG134" s="258"/>
      <c r="VMH134" s="270"/>
      <c r="VMI134" s="271"/>
      <c r="VMJ134" s="271"/>
      <c r="VMK134" s="271"/>
      <c r="VML134" s="221"/>
      <c r="VMM134" s="221"/>
      <c r="VMN134" s="221"/>
      <c r="VMO134" s="258"/>
      <c r="VMP134" s="270"/>
      <c r="VMQ134" s="271"/>
      <c r="VMR134" s="271"/>
      <c r="VMS134" s="271"/>
      <c r="VMT134" s="221"/>
      <c r="VMU134" s="221"/>
      <c r="VMV134" s="221"/>
      <c r="VMW134" s="258"/>
      <c r="VMX134" s="270"/>
      <c r="VMY134" s="271"/>
      <c r="VMZ134" s="271"/>
      <c r="VNA134" s="271"/>
      <c r="VNB134" s="221"/>
      <c r="VNC134" s="221"/>
      <c r="VND134" s="221"/>
      <c r="VNE134" s="258"/>
      <c r="VNF134" s="270"/>
      <c r="VNG134" s="271"/>
      <c r="VNH134" s="271"/>
      <c r="VNI134" s="271"/>
      <c r="VNJ134" s="221"/>
      <c r="VNK134" s="221"/>
      <c r="VNL134" s="221"/>
      <c r="VNM134" s="258"/>
      <c r="VNN134" s="270"/>
      <c r="VNO134" s="271"/>
      <c r="VNP134" s="271"/>
      <c r="VNQ134" s="271"/>
      <c r="VNR134" s="221"/>
      <c r="VNS134" s="221"/>
      <c r="VNT134" s="221"/>
      <c r="VNU134" s="258"/>
      <c r="VNV134" s="270"/>
      <c r="VNW134" s="271"/>
      <c r="VNX134" s="271"/>
      <c r="VNY134" s="271"/>
      <c r="VNZ134" s="221"/>
      <c r="VOA134" s="221"/>
      <c r="VOB134" s="221"/>
      <c r="VOC134" s="258"/>
      <c r="VOD134" s="270"/>
      <c r="VOE134" s="271"/>
      <c r="VOF134" s="271"/>
      <c r="VOG134" s="271"/>
      <c r="VOH134" s="221"/>
      <c r="VOI134" s="221"/>
      <c r="VOJ134" s="221"/>
      <c r="VOK134" s="258"/>
      <c r="VOL134" s="270"/>
      <c r="VOM134" s="271"/>
      <c r="VON134" s="271"/>
      <c r="VOO134" s="271"/>
      <c r="VOP134" s="221"/>
      <c r="VOQ134" s="221"/>
      <c r="VOR134" s="221"/>
      <c r="VOS134" s="258"/>
      <c r="VOT134" s="270"/>
      <c r="VOU134" s="271"/>
      <c r="VOV134" s="271"/>
      <c r="VOW134" s="271"/>
      <c r="VOX134" s="221"/>
      <c r="VOY134" s="221"/>
      <c r="VOZ134" s="221"/>
      <c r="VPA134" s="258"/>
      <c r="VPB134" s="270"/>
      <c r="VPC134" s="271"/>
      <c r="VPD134" s="271"/>
      <c r="VPE134" s="271"/>
      <c r="VPF134" s="221"/>
      <c r="VPG134" s="221"/>
      <c r="VPH134" s="221"/>
      <c r="VPI134" s="258"/>
      <c r="VPJ134" s="270"/>
      <c r="VPK134" s="271"/>
      <c r="VPL134" s="271"/>
      <c r="VPM134" s="271"/>
      <c r="VPN134" s="221"/>
      <c r="VPO134" s="221"/>
      <c r="VPP134" s="221"/>
      <c r="VPQ134" s="258"/>
      <c r="VPR134" s="270"/>
      <c r="VPS134" s="271"/>
      <c r="VPT134" s="271"/>
      <c r="VPU134" s="271"/>
      <c r="VPV134" s="221"/>
      <c r="VPW134" s="221"/>
      <c r="VPX134" s="221"/>
      <c r="VPY134" s="258"/>
      <c r="VPZ134" s="270"/>
      <c r="VQA134" s="271"/>
      <c r="VQB134" s="271"/>
      <c r="VQC134" s="271"/>
      <c r="VQD134" s="221"/>
      <c r="VQE134" s="221"/>
      <c r="VQF134" s="221"/>
      <c r="VQG134" s="258"/>
      <c r="VQH134" s="270"/>
      <c r="VQI134" s="271"/>
      <c r="VQJ134" s="271"/>
      <c r="VQK134" s="271"/>
      <c r="VQL134" s="221"/>
      <c r="VQM134" s="221"/>
      <c r="VQN134" s="221"/>
      <c r="VQO134" s="258"/>
      <c r="VQP134" s="270"/>
      <c r="VQQ134" s="271"/>
      <c r="VQR134" s="271"/>
      <c r="VQS134" s="271"/>
      <c r="VQT134" s="221"/>
      <c r="VQU134" s="221"/>
      <c r="VQV134" s="221"/>
      <c r="VQW134" s="258"/>
      <c r="VQX134" s="270"/>
      <c r="VQY134" s="271"/>
      <c r="VQZ134" s="271"/>
      <c r="VRA134" s="271"/>
      <c r="VRB134" s="221"/>
      <c r="VRC134" s="221"/>
      <c r="VRD134" s="221"/>
      <c r="VRE134" s="258"/>
      <c r="VRF134" s="270"/>
      <c r="VRG134" s="271"/>
      <c r="VRH134" s="271"/>
      <c r="VRI134" s="271"/>
      <c r="VRJ134" s="221"/>
      <c r="VRK134" s="221"/>
      <c r="VRL134" s="221"/>
      <c r="VRM134" s="258"/>
      <c r="VRN134" s="270"/>
      <c r="VRO134" s="271"/>
      <c r="VRP134" s="271"/>
      <c r="VRQ134" s="271"/>
      <c r="VRR134" s="221"/>
      <c r="VRS134" s="221"/>
      <c r="VRT134" s="221"/>
      <c r="VRU134" s="258"/>
      <c r="VRV134" s="270"/>
      <c r="VRW134" s="271"/>
      <c r="VRX134" s="271"/>
      <c r="VRY134" s="271"/>
      <c r="VRZ134" s="221"/>
      <c r="VSA134" s="221"/>
      <c r="VSB134" s="221"/>
      <c r="VSC134" s="258"/>
      <c r="VSD134" s="270"/>
      <c r="VSE134" s="271"/>
      <c r="VSF134" s="271"/>
      <c r="VSG134" s="271"/>
      <c r="VSH134" s="221"/>
      <c r="VSI134" s="221"/>
      <c r="VSJ134" s="221"/>
      <c r="VSK134" s="258"/>
      <c r="VSL134" s="270"/>
      <c r="VSM134" s="271"/>
      <c r="VSN134" s="271"/>
      <c r="VSO134" s="271"/>
      <c r="VSP134" s="221"/>
      <c r="VSQ134" s="221"/>
      <c r="VSR134" s="221"/>
      <c r="VSS134" s="258"/>
      <c r="VST134" s="270"/>
      <c r="VSU134" s="271"/>
      <c r="VSV134" s="271"/>
      <c r="VSW134" s="271"/>
      <c r="VSX134" s="221"/>
      <c r="VSY134" s="221"/>
      <c r="VSZ134" s="221"/>
      <c r="VTA134" s="258"/>
      <c r="VTB134" s="270"/>
      <c r="VTC134" s="271"/>
      <c r="VTD134" s="271"/>
      <c r="VTE134" s="271"/>
      <c r="VTF134" s="221"/>
      <c r="VTG134" s="221"/>
      <c r="VTH134" s="221"/>
      <c r="VTI134" s="258"/>
      <c r="VTJ134" s="270"/>
      <c r="VTK134" s="271"/>
      <c r="VTL134" s="271"/>
      <c r="VTM134" s="271"/>
      <c r="VTN134" s="221"/>
      <c r="VTO134" s="221"/>
      <c r="VTP134" s="221"/>
      <c r="VTQ134" s="258"/>
      <c r="VTR134" s="270"/>
      <c r="VTS134" s="271"/>
      <c r="VTT134" s="271"/>
      <c r="VTU134" s="271"/>
      <c r="VTV134" s="221"/>
      <c r="VTW134" s="221"/>
      <c r="VTX134" s="221"/>
      <c r="VTY134" s="258"/>
      <c r="VTZ134" s="270"/>
      <c r="VUA134" s="271"/>
      <c r="VUB134" s="271"/>
      <c r="VUC134" s="271"/>
      <c r="VUD134" s="221"/>
      <c r="VUE134" s="221"/>
      <c r="VUF134" s="221"/>
      <c r="VUG134" s="258"/>
      <c r="VUH134" s="270"/>
      <c r="VUI134" s="271"/>
      <c r="VUJ134" s="271"/>
      <c r="VUK134" s="271"/>
      <c r="VUL134" s="221"/>
      <c r="VUM134" s="221"/>
      <c r="VUN134" s="221"/>
      <c r="VUO134" s="258"/>
      <c r="VUP134" s="270"/>
      <c r="VUQ134" s="271"/>
      <c r="VUR134" s="271"/>
      <c r="VUS134" s="271"/>
      <c r="VUT134" s="221"/>
      <c r="VUU134" s="221"/>
      <c r="VUV134" s="221"/>
      <c r="VUW134" s="258"/>
      <c r="VUX134" s="270"/>
      <c r="VUY134" s="271"/>
      <c r="VUZ134" s="271"/>
      <c r="VVA134" s="271"/>
      <c r="VVB134" s="221"/>
      <c r="VVC134" s="221"/>
      <c r="VVD134" s="221"/>
      <c r="VVE134" s="258"/>
      <c r="VVF134" s="270"/>
      <c r="VVG134" s="271"/>
      <c r="VVH134" s="271"/>
      <c r="VVI134" s="271"/>
      <c r="VVJ134" s="221"/>
      <c r="VVK134" s="221"/>
      <c r="VVL134" s="221"/>
      <c r="VVM134" s="258"/>
      <c r="VVN134" s="270"/>
      <c r="VVO134" s="271"/>
      <c r="VVP134" s="271"/>
      <c r="VVQ134" s="271"/>
      <c r="VVR134" s="221"/>
      <c r="VVS134" s="221"/>
      <c r="VVT134" s="221"/>
      <c r="VVU134" s="258"/>
      <c r="VVV134" s="270"/>
      <c r="VVW134" s="271"/>
      <c r="VVX134" s="271"/>
      <c r="VVY134" s="271"/>
      <c r="VVZ134" s="221"/>
      <c r="VWA134" s="221"/>
      <c r="VWB134" s="221"/>
      <c r="VWC134" s="258"/>
      <c r="VWD134" s="270"/>
      <c r="VWE134" s="271"/>
      <c r="VWF134" s="271"/>
      <c r="VWG134" s="271"/>
      <c r="VWH134" s="221"/>
      <c r="VWI134" s="221"/>
      <c r="VWJ134" s="221"/>
      <c r="VWK134" s="258"/>
      <c r="VWL134" s="270"/>
      <c r="VWM134" s="271"/>
      <c r="VWN134" s="271"/>
      <c r="VWO134" s="271"/>
      <c r="VWP134" s="221"/>
      <c r="VWQ134" s="221"/>
      <c r="VWR134" s="221"/>
      <c r="VWS134" s="258"/>
      <c r="VWT134" s="270"/>
      <c r="VWU134" s="271"/>
      <c r="VWV134" s="271"/>
      <c r="VWW134" s="271"/>
      <c r="VWX134" s="221"/>
      <c r="VWY134" s="221"/>
      <c r="VWZ134" s="221"/>
      <c r="VXA134" s="258"/>
      <c r="VXB134" s="270"/>
      <c r="VXC134" s="271"/>
      <c r="VXD134" s="271"/>
      <c r="VXE134" s="271"/>
      <c r="VXF134" s="221"/>
      <c r="VXG134" s="221"/>
      <c r="VXH134" s="221"/>
      <c r="VXI134" s="258"/>
      <c r="VXJ134" s="270"/>
      <c r="VXK134" s="271"/>
      <c r="VXL134" s="271"/>
      <c r="VXM134" s="271"/>
      <c r="VXN134" s="221"/>
      <c r="VXO134" s="221"/>
      <c r="VXP134" s="221"/>
      <c r="VXQ134" s="258"/>
      <c r="VXR134" s="270"/>
      <c r="VXS134" s="271"/>
      <c r="VXT134" s="271"/>
      <c r="VXU134" s="271"/>
      <c r="VXV134" s="221"/>
      <c r="VXW134" s="221"/>
      <c r="VXX134" s="221"/>
      <c r="VXY134" s="258"/>
      <c r="VXZ134" s="270"/>
      <c r="VYA134" s="271"/>
      <c r="VYB134" s="271"/>
      <c r="VYC134" s="271"/>
      <c r="VYD134" s="221"/>
      <c r="VYE134" s="221"/>
      <c r="VYF134" s="221"/>
      <c r="VYG134" s="258"/>
      <c r="VYH134" s="270"/>
      <c r="VYI134" s="271"/>
      <c r="VYJ134" s="271"/>
      <c r="VYK134" s="271"/>
      <c r="VYL134" s="221"/>
      <c r="VYM134" s="221"/>
      <c r="VYN134" s="221"/>
      <c r="VYO134" s="258"/>
      <c r="VYP134" s="270"/>
      <c r="VYQ134" s="271"/>
      <c r="VYR134" s="271"/>
      <c r="VYS134" s="271"/>
      <c r="VYT134" s="221"/>
      <c r="VYU134" s="221"/>
      <c r="VYV134" s="221"/>
      <c r="VYW134" s="258"/>
      <c r="VYX134" s="270"/>
      <c r="VYY134" s="271"/>
      <c r="VYZ134" s="271"/>
      <c r="VZA134" s="271"/>
      <c r="VZB134" s="221"/>
      <c r="VZC134" s="221"/>
      <c r="VZD134" s="221"/>
      <c r="VZE134" s="258"/>
      <c r="VZF134" s="270"/>
      <c r="VZG134" s="271"/>
      <c r="VZH134" s="271"/>
      <c r="VZI134" s="271"/>
      <c r="VZJ134" s="221"/>
      <c r="VZK134" s="221"/>
      <c r="VZL134" s="221"/>
      <c r="VZM134" s="258"/>
      <c r="VZN134" s="270"/>
      <c r="VZO134" s="271"/>
      <c r="VZP134" s="271"/>
      <c r="VZQ134" s="271"/>
      <c r="VZR134" s="221"/>
      <c r="VZS134" s="221"/>
      <c r="VZT134" s="221"/>
      <c r="VZU134" s="258"/>
      <c r="VZV134" s="270"/>
      <c r="VZW134" s="271"/>
      <c r="VZX134" s="271"/>
      <c r="VZY134" s="271"/>
      <c r="VZZ134" s="221"/>
      <c r="WAA134" s="221"/>
      <c r="WAB134" s="221"/>
      <c r="WAC134" s="258"/>
      <c r="WAD134" s="270"/>
      <c r="WAE134" s="271"/>
      <c r="WAF134" s="271"/>
      <c r="WAG134" s="271"/>
      <c r="WAH134" s="221"/>
      <c r="WAI134" s="221"/>
      <c r="WAJ134" s="221"/>
      <c r="WAK134" s="258"/>
      <c r="WAL134" s="270"/>
      <c r="WAM134" s="271"/>
      <c r="WAN134" s="271"/>
      <c r="WAO134" s="271"/>
      <c r="WAP134" s="221"/>
      <c r="WAQ134" s="221"/>
      <c r="WAR134" s="221"/>
      <c r="WAS134" s="258"/>
      <c r="WAT134" s="270"/>
      <c r="WAU134" s="271"/>
      <c r="WAV134" s="271"/>
      <c r="WAW134" s="271"/>
      <c r="WAX134" s="221"/>
      <c r="WAY134" s="221"/>
      <c r="WAZ134" s="221"/>
      <c r="WBA134" s="258"/>
      <c r="WBB134" s="270"/>
      <c r="WBC134" s="271"/>
      <c r="WBD134" s="271"/>
      <c r="WBE134" s="271"/>
      <c r="WBF134" s="221"/>
      <c r="WBG134" s="221"/>
      <c r="WBH134" s="221"/>
      <c r="WBI134" s="258"/>
      <c r="WBJ134" s="270"/>
      <c r="WBK134" s="271"/>
      <c r="WBL134" s="271"/>
      <c r="WBM134" s="271"/>
      <c r="WBN134" s="221"/>
      <c r="WBO134" s="221"/>
      <c r="WBP134" s="221"/>
      <c r="WBQ134" s="258"/>
      <c r="WBR134" s="270"/>
      <c r="WBS134" s="271"/>
      <c r="WBT134" s="271"/>
      <c r="WBU134" s="271"/>
      <c r="WBV134" s="221"/>
      <c r="WBW134" s="221"/>
      <c r="WBX134" s="221"/>
      <c r="WBY134" s="258"/>
      <c r="WBZ134" s="270"/>
      <c r="WCA134" s="271"/>
      <c r="WCB134" s="271"/>
      <c r="WCC134" s="271"/>
      <c r="WCD134" s="221"/>
      <c r="WCE134" s="221"/>
      <c r="WCF134" s="221"/>
      <c r="WCG134" s="258"/>
      <c r="WCH134" s="270"/>
      <c r="WCI134" s="271"/>
      <c r="WCJ134" s="271"/>
      <c r="WCK134" s="271"/>
      <c r="WCL134" s="221"/>
      <c r="WCM134" s="221"/>
      <c r="WCN134" s="221"/>
      <c r="WCO134" s="258"/>
      <c r="WCP134" s="270"/>
      <c r="WCQ134" s="271"/>
      <c r="WCR134" s="271"/>
      <c r="WCS134" s="271"/>
      <c r="WCT134" s="221"/>
      <c r="WCU134" s="221"/>
      <c r="WCV134" s="221"/>
      <c r="WCW134" s="258"/>
      <c r="WCX134" s="270"/>
      <c r="WCY134" s="271"/>
      <c r="WCZ134" s="271"/>
      <c r="WDA134" s="271"/>
      <c r="WDB134" s="221"/>
      <c r="WDC134" s="221"/>
      <c r="WDD134" s="221"/>
      <c r="WDE134" s="258"/>
      <c r="WDF134" s="270"/>
      <c r="WDG134" s="271"/>
      <c r="WDH134" s="271"/>
      <c r="WDI134" s="271"/>
      <c r="WDJ134" s="221"/>
      <c r="WDK134" s="221"/>
      <c r="WDL134" s="221"/>
      <c r="WDM134" s="258"/>
      <c r="WDN134" s="270"/>
      <c r="WDO134" s="271"/>
      <c r="WDP134" s="271"/>
      <c r="WDQ134" s="271"/>
      <c r="WDR134" s="221"/>
      <c r="WDS134" s="221"/>
      <c r="WDT134" s="221"/>
      <c r="WDU134" s="258"/>
      <c r="WDV134" s="270"/>
      <c r="WDW134" s="271"/>
      <c r="WDX134" s="271"/>
      <c r="WDY134" s="271"/>
      <c r="WDZ134" s="221"/>
      <c r="WEA134" s="221"/>
      <c r="WEB134" s="221"/>
      <c r="WEC134" s="258"/>
      <c r="WED134" s="270"/>
      <c r="WEE134" s="271"/>
      <c r="WEF134" s="271"/>
      <c r="WEG134" s="271"/>
      <c r="WEH134" s="221"/>
      <c r="WEI134" s="221"/>
      <c r="WEJ134" s="221"/>
      <c r="WEK134" s="258"/>
      <c r="WEL134" s="270"/>
      <c r="WEM134" s="271"/>
      <c r="WEN134" s="271"/>
      <c r="WEO134" s="271"/>
      <c r="WEP134" s="221"/>
      <c r="WEQ134" s="221"/>
      <c r="WER134" s="221"/>
      <c r="WES134" s="258"/>
      <c r="WET134" s="270"/>
      <c r="WEU134" s="271"/>
      <c r="WEV134" s="271"/>
      <c r="WEW134" s="271"/>
      <c r="WEX134" s="221"/>
      <c r="WEY134" s="221"/>
      <c r="WEZ134" s="221"/>
      <c r="WFA134" s="258"/>
      <c r="WFB134" s="270"/>
      <c r="WFC134" s="271"/>
      <c r="WFD134" s="271"/>
      <c r="WFE134" s="271"/>
      <c r="WFF134" s="221"/>
      <c r="WFG134" s="221"/>
      <c r="WFH134" s="221"/>
      <c r="WFI134" s="258"/>
      <c r="WFJ134" s="270"/>
      <c r="WFK134" s="271"/>
      <c r="WFL134" s="271"/>
      <c r="WFM134" s="271"/>
      <c r="WFN134" s="221"/>
      <c r="WFO134" s="221"/>
      <c r="WFP134" s="221"/>
      <c r="WFQ134" s="258"/>
      <c r="WFR134" s="270"/>
      <c r="WFS134" s="271"/>
      <c r="WFT134" s="271"/>
      <c r="WFU134" s="271"/>
      <c r="WFV134" s="221"/>
      <c r="WFW134" s="221"/>
      <c r="WFX134" s="221"/>
      <c r="WFY134" s="258"/>
      <c r="WFZ134" s="270"/>
      <c r="WGA134" s="271"/>
      <c r="WGB134" s="271"/>
      <c r="WGC134" s="271"/>
      <c r="WGD134" s="221"/>
      <c r="WGE134" s="221"/>
      <c r="WGF134" s="221"/>
      <c r="WGG134" s="258"/>
      <c r="WGH134" s="270"/>
      <c r="WGI134" s="271"/>
      <c r="WGJ134" s="271"/>
      <c r="WGK134" s="271"/>
      <c r="WGL134" s="221"/>
      <c r="WGM134" s="221"/>
      <c r="WGN134" s="221"/>
      <c r="WGO134" s="258"/>
      <c r="WGP134" s="270"/>
      <c r="WGQ134" s="271"/>
      <c r="WGR134" s="271"/>
      <c r="WGS134" s="271"/>
      <c r="WGT134" s="221"/>
      <c r="WGU134" s="221"/>
      <c r="WGV134" s="221"/>
      <c r="WGW134" s="258"/>
      <c r="WGX134" s="270"/>
      <c r="WGY134" s="271"/>
      <c r="WGZ134" s="271"/>
      <c r="WHA134" s="271"/>
      <c r="WHB134" s="221"/>
      <c r="WHC134" s="221"/>
      <c r="WHD134" s="221"/>
      <c r="WHE134" s="258"/>
      <c r="WHF134" s="270"/>
      <c r="WHG134" s="271"/>
      <c r="WHH134" s="271"/>
      <c r="WHI134" s="271"/>
      <c r="WHJ134" s="221"/>
      <c r="WHK134" s="221"/>
      <c r="WHL134" s="221"/>
      <c r="WHM134" s="258"/>
      <c r="WHN134" s="270"/>
      <c r="WHO134" s="271"/>
      <c r="WHP134" s="271"/>
      <c r="WHQ134" s="271"/>
      <c r="WHR134" s="221"/>
      <c r="WHS134" s="221"/>
      <c r="WHT134" s="221"/>
      <c r="WHU134" s="258"/>
      <c r="WHV134" s="270"/>
      <c r="WHW134" s="271"/>
      <c r="WHX134" s="271"/>
      <c r="WHY134" s="271"/>
      <c r="WHZ134" s="221"/>
      <c r="WIA134" s="221"/>
      <c r="WIB134" s="221"/>
      <c r="WIC134" s="258"/>
      <c r="WID134" s="270"/>
      <c r="WIE134" s="271"/>
      <c r="WIF134" s="271"/>
      <c r="WIG134" s="271"/>
      <c r="WIH134" s="221"/>
      <c r="WII134" s="221"/>
      <c r="WIJ134" s="221"/>
      <c r="WIK134" s="258"/>
      <c r="WIL134" s="270"/>
      <c r="WIM134" s="271"/>
      <c r="WIN134" s="271"/>
      <c r="WIO134" s="271"/>
      <c r="WIP134" s="221"/>
      <c r="WIQ134" s="221"/>
      <c r="WIR134" s="221"/>
      <c r="WIS134" s="258"/>
      <c r="WIT134" s="270"/>
      <c r="WIU134" s="271"/>
      <c r="WIV134" s="271"/>
      <c r="WIW134" s="271"/>
      <c r="WIX134" s="221"/>
      <c r="WIY134" s="221"/>
      <c r="WIZ134" s="221"/>
      <c r="WJA134" s="258"/>
      <c r="WJB134" s="270"/>
      <c r="WJC134" s="271"/>
      <c r="WJD134" s="271"/>
      <c r="WJE134" s="271"/>
      <c r="WJF134" s="221"/>
      <c r="WJG134" s="221"/>
      <c r="WJH134" s="221"/>
      <c r="WJI134" s="258"/>
      <c r="WJJ134" s="270"/>
      <c r="WJK134" s="271"/>
      <c r="WJL134" s="271"/>
      <c r="WJM134" s="271"/>
      <c r="WJN134" s="221"/>
      <c r="WJO134" s="221"/>
      <c r="WJP134" s="221"/>
      <c r="WJQ134" s="258"/>
      <c r="WJR134" s="270"/>
      <c r="WJS134" s="271"/>
      <c r="WJT134" s="271"/>
      <c r="WJU134" s="271"/>
      <c r="WJV134" s="221"/>
      <c r="WJW134" s="221"/>
      <c r="WJX134" s="221"/>
      <c r="WJY134" s="258"/>
      <c r="WJZ134" s="270"/>
      <c r="WKA134" s="271"/>
      <c r="WKB134" s="271"/>
      <c r="WKC134" s="271"/>
      <c r="WKD134" s="221"/>
      <c r="WKE134" s="221"/>
      <c r="WKF134" s="221"/>
      <c r="WKG134" s="258"/>
      <c r="WKH134" s="270"/>
      <c r="WKI134" s="271"/>
      <c r="WKJ134" s="271"/>
      <c r="WKK134" s="271"/>
      <c r="WKL134" s="221"/>
      <c r="WKM134" s="221"/>
      <c r="WKN134" s="221"/>
      <c r="WKO134" s="258"/>
      <c r="WKP134" s="270"/>
      <c r="WKQ134" s="271"/>
      <c r="WKR134" s="271"/>
      <c r="WKS134" s="271"/>
      <c r="WKT134" s="221"/>
      <c r="WKU134" s="221"/>
      <c r="WKV134" s="221"/>
      <c r="WKW134" s="258"/>
      <c r="WKX134" s="270"/>
      <c r="WKY134" s="271"/>
      <c r="WKZ134" s="271"/>
      <c r="WLA134" s="271"/>
      <c r="WLB134" s="221"/>
      <c r="WLC134" s="221"/>
      <c r="WLD134" s="221"/>
      <c r="WLE134" s="258"/>
      <c r="WLF134" s="270"/>
      <c r="WLG134" s="271"/>
      <c r="WLH134" s="271"/>
      <c r="WLI134" s="271"/>
      <c r="WLJ134" s="221"/>
      <c r="WLK134" s="221"/>
      <c r="WLL134" s="221"/>
      <c r="WLM134" s="258"/>
      <c r="WLN134" s="270"/>
      <c r="WLO134" s="271"/>
      <c r="WLP134" s="271"/>
      <c r="WLQ134" s="271"/>
      <c r="WLR134" s="221"/>
      <c r="WLS134" s="221"/>
      <c r="WLT134" s="221"/>
      <c r="WLU134" s="258"/>
      <c r="WLV134" s="270"/>
      <c r="WLW134" s="271"/>
      <c r="WLX134" s="271"/>
      <c r="WLY134" s="271"/>
      <c r="WLZ134" s="221"/>
      <c r="WMA134" s="221"/>
      <c r="WMB134" s="221"/>
      <c r="WMC134" s="258"/>
      <c r="WMD134" s="270"/>
      <c r="WME134" s="271"/>
      <c r="WMF134" s="271"/>
      <c r="WMG134" s="271"/>
      <c r="WMH134" s="221"/>
      <c r="WMI134" s="221"/>
      <c r="WMJ134" s="221"/>
      <c r="WMK134" s="258"/>
      <c r="WML134" s="270"/>
      <c r="WMM134" s="271"/>
      <c r="WMN134" s="271"/>
      <c r="WMO134" s="271"/>
      <c r="WMP134" s="221"/>
      <c r="WMQ134" s="221"/>
      <c r="WMR134" s="221"/>
      <c r="WMS134" s="258"/>
      <c r="WMT134" s="270"/>
      <c r="WMU134" s="271"/>
      <c r="WMV134" s="271"/>
      <c r="WMW134" s="271"/>
      <c r="WMX134" s="221"/>
      <c r="WMY134" s="221"/>
      <c r="WMZ134" s="221"/>
      <c r="WNA134" s="258"/>
      <c r="WNB134" s="270"/>
      <c r="WNC134" s="271"/>
      <c r="WND134" s="271"/>
      <c r="WNE134" s="271"/>
      <c r="WNF134" s="221"/>
      <c r="WNG134" s="221"/>
      <c r="WNH134" s="221"/>
      <c r="WNI134" s="258"/>
      <c r="WNJ134" s="270"/>
      <c r="WNK134" s="271"/>
      <c r="WNL134" s="271"/>
      <c r="WNM134" s="271"/>
      <c r="WNN134" s="221"/>
      <c r="WNO134" s="221"/>
      <c r="WNP134" s="221"/>
      <c r="WNQ134" s="258"/>
      <c r="WNR134" s="270"/>
      <c r="WNS134" s="271"/>
      <c r="WNT134" s="271"/>
      <c r="WNU134" s="271"/>
      <c r="WNV134" s="221"/>
      <c r="WNW134" s="221"/>
      <c r="WNX134" s="221"/>
      <c r="WNY134" s="258"/>
      <c r="WNZ134" s="270"/>
      <c r="WOA134" s="271"/>
      <c r="WOB134" s="271"/>
      <c r="WOC134" s="271"/>
      <c r="WOD134" s="221"/>
      <c r="WOE134" s="221"/>
      <c r="WOF134" s="221"/>
      <c r="WOG134" s="258"/>
      <c r="WOH134" s="270"/>
      <c r="WOI134" s="271"/>
      <c r="WOJ134" s="271"/>
      <c r="WOK134" s="271"/>
      <c r="WOL134" s="221"/>
      <c r="WOM134" s="221"/>
      <c r="WON134" s="221"/>
      <c r="WOO134" s="258"/>
      <c r="WOP134" s="270"/>
      <c r="WOQ134" s="271"/>
      <c r="WOR134" s="271"/>
      <c r="WOS134" s="271"/>
      <c r="WOT134" s="221"/>
      <c r="WOU134" s="221"/>
      <c r="WOV134" s="221"/>
      <c r="WOW134" s="258"/>
      <c r="WOX134" s="270"/>
      <c r="WOY134" s="271"/>
      <c r="WOZ134" s="271"/>
      <c r="WPA134" s="271"/>
      <c r="WPB134" s="221"/>
      <c r="WPC134" s="221"/>
      <c r="WPD134" s="221"/>
      <c r="WPE134" s="258"/>
      <c r="WPF134" s="270"/>
      <c r="WPG134" s="271"/>
      <c r="WPH134" s="271"/>
      <c r="WPI134" s="271"/>
      <c r="WPJ134" s="221"/>
      <c r="WPK134" s="221"/>
      <c r="WPL134" s="221"/>
      <c r="WPM134" s="258"/>
      <c r="WPN134" s="270"/>
      <c r="WPO134" s="271"/>
      <c r="WPP134" s="271"/>
      <c r="WPQ134" s="271"/>
      <c r="WPR134" s="221"/>
      <c r="WPS134" s="221"/>
      <c r="WPT134" s="221"/>
      <c r="WPU134" s="258"/>
      <c r="WPV134" s="270"/>
      <c r="WPW134" s="271"/>
      <c r="WPX134" s="271"/>
      <c r="WPY134" s="271"/>
      <c r="WPZ134" s="221"/>
      <c r="WQA134" s="221"/>
      <c r="WQB134" s="221"/>
      <c r="WQC134" s="258"/>
      <c r="WQD134" s="270"/>
      <c r="WQE134" s="271"/>
      <c r="WQF134" s="271"/>
      <c r="WQG134" s="271"/>
      <c r="WQH134" s="221"/>
      <c r="WQI134" s="221"/>
      <c r="WQJ134" s="221"/>
      <c r="WQK134" s="258"/>
      <c r="WQL134" s="270"/>
      <c r="WQM134" s="271"/>
      <c r="WQN134" s="271"/>
      <c r="WQO134" s="271"/>
      <c r="WQP134" s="221"/>
      <c r="WQQ134" s="221"/>
      <c r="WQR134" s="221"/>
      <c r="WQS134" s="258"/>
      <c r="WQT134" s="270"/>
      <c r="WQU134" s="271"/>
      <c r="WQV134" s="271"/>
      <c r="WQW134" s="271"/>
      <c r="WQX134" s="221"/>
      <c r="WQY134" s="221"/>
      <c r="WQZ134" s="221"/>
      <c r="WRA134" s="258"/>
      <c r="WRB134" s="270"/>
      <c r="WRC134" s="271"/>
      <c r="WRD134" s="271"/>
      <c r="WRE134" s="271"/>
      <c r="WRF134" s="221"/>
      <c r="WRG134" s="221"/>
      <c r="WRH134" s="221"/>
      <c r="WRI134" s="258"/>
      <c r="WRJ134" s="270"/>
      <c r="WRK134" s="271"/>
      <c r="WRL134" s="271"/>
      <c r="WRM134" s="271"/>
      <c r="WRN134" s="221"/>
      <c r="WRO134" s="221"/>
      <c r="WRP134" s="221"/>
      <c r="WRQ134" s="258"/>
      <c r="WRR134" s="270"/>
      <c r="WRS134" s="271"/>
      <c r="WRT134" s="271"/>
      <c r="WRU134" s="271"/>
      <c r="WRV134" s="221"/>
      <c r="WRW134" s="221"/>
      <c r="WRX134" s="221"/>
      <c r="WRY134" s="258"/>
      <c r="WRZ134" s="270"/>
      <c r="WSA134" s="271"/>
      <c r="WSB134" s="271"/>
      <c r="WSC134" s="271"/>
      <c r="WSD134" s="221"/>
      <c r="WSE134" s="221"/>
      <c r="WSF134" s="221"/>
      <c r="WSG134" s="258"/>
      <c r="WSH134" s="270"/>
      <c r="WSI134" s="271"/>
      <c r="WSJ134" s="271"/>
      <c r="WSK134" s="271"/>
      <c r="WSL134" s="221"/>
      <c r="WSM134" s="221"/>
      <c r="WSN134" s="221"/>
      <c r="WSO134" s="258"/>
      <c r="WSP134" s="270"/>
      <c r="WSQ134" s="271"/>
      <c r="WSR134" s="271"/>
      <c r="WSS134" s="271"/>
      <c r="WST134" s="221"/>
      <c r="WSU134" s="221"/>
      <c r="WSV134" s="221"/>
      <c r="WSW134" s="258"/>
      <c r="WSX134" s="270"/>
      <c r="WSY134" s="271"/>
      <c r="WSZ134" s="271"/>
      <c r="WTA134" s="271"/>
      <c r="WTB134" s="221"/>
      <c r="WTC134" s="221"/>
      <c r="WTD134" s="221"/>
      <c r="WTE134" s="258"/>
      <c r="WTF134" s="270"/>
      <c r="WTG134" s="271"/>
      <c r="WTH134" s="271"/>
      <c r="WTI134" s="271"/>
      <c r="WTJ134" s="221"/>
      <c r="WTK134" s="221"/>
      <c r="WTL134" s="221"/>
      <c r="WTM134" s="258"/>
      <c r="WTN134" s="270"/>
      <c r="WTO134" s="271"/>
      <c r="WTP134" s="271"/>
      <c r="WTQ134" s="271"/>
      <c r="WTR134" s="221"/>
      <c r="WTS134" s="221"/>
      <c r="WTT134" s="221"/>
      <c r="WTU134" s="258"/>
      <c r="WTV134" s="270"/>
      <c r="WTW134" s="271"/>
      <c r="WTX134" s="271"/>
      <c r="WTY134" s="271"/>
      <c r="WTZ134" s="221"/>
      <c r="WUA134" s="221"/>
      <c r="WUB134" s="221"/>
      <c r="WUC134" s="258"/>
      <c r="WUD134" s="270"/>
      <c r="WUE134" s="271"/>
      <c r="WUF134" s="271"/>
      <c r="WUG134" s="271"/>
      <c r="WUH134" s="221"/>
      <c r="WUI134" s="221"/>
      <c r="WUJ134" s="221"/>
      <c r="WUK134" s="258"/>
      <c r="WUL134" s="270"/>
      <c r="WUM134" s="271"/>
      <c r="WUN134" s="271"/>
      <c r="WUO134" s="271"/>
      <c r="WUP134" s="221"/>
      <c r="WUQ134" s="221"/>
      <c r="WUR134" s="221"/>
      <c r="WUS134" s="258"/>
      <c r="WUT134" s="270"/>
      <c r="WUU134" s="271"/>
      <c r="WUV134" s="271"/>
      <c r="WUW134" s="271"/>
      <c r="WUX134" s="221"/>
      <c r="WUY134" s="221"/>
      <c r="WUZ134" s="221"/>
      <c r="WVA134" s="258"/>
      <c r="WVB134" s="270"/>
      <c r="WVC134" s="271"/>
      <c r="WVD134" s="271"/>
      <c r="WVE134" s="271"/>
      <c r="WVF134" s="221"/>
      <c r="WVG134" s="221"/>
      <c r="WVH134" s="221"/>
      <c r="WVI134" s="258"/>
      <c r="WVJ134" s="270"/>
      <c r="WVK134" s="271"/>
      <c r="WVL134" s="271"/>
      <c r="WVM134" s="271"/>
      <c r="WVN134" s="221"/>
      <c r="WVO134" s="221"/>
      <c r="WVP134" s="221"/>
      <c r="WVQ134" s="258"/>
      <c r="WVR134" s="270"/>
      <c r="WVS134" s="271"/>
      <c r="WVT134" s="271"/>
      <c r="WVU134" s="271"/>
      <c r="WVV134" s="221"/>
      <c r="WVW134" s="221"/>
      <c r="WVX134" s="221"/>
      <c r="WVY134" s="258"/>
      <c r="WVZ134" s="270"/>
      <c r="WWA134" s="271"/>
      <c r="WWB134" s="271"/>
      <c r="WWC134" s="271"/>
      <c r="WWD134" s="221"/>
      <c r="WWE134" s="221"/>
      <c r="WWF134" s="221"/>
      <c r="WWG134" s="258"/>
      <c r="WWH134" s="270"/>
      <c r="WWI134" s="271"/>
      <c r="WWJ134" s="271"/>
      <c r="WWK134" s="271"/>
      <c r="WWL134" s="221"/>
      <c r="WWM134" s="221"/>
      <c r="WWN134" s="221"/>
      <c r="WWO134" s="258"/>
      <c r="WWP134" s="270"/>
      <c r="WWQ134" s="271"/>
      <c r="WWR134" s="271"/>
      <c r="WWS134" s="271"/>
      <c r="WWT134" s="221"/>
      <c r="WWU134" s="221"/>
      <c r="WWV134" s="221"/>
      <c r="WWW134" s="258"/>
      <c r="WWX134" s="270"/>
      <c r="WWY134" s="271"/>
      <c r="WWZ134" s="271"/>
      <c r="WXA134" s="271"/>
      <c r="WXB134" s="221"/>
      <c r="WXC134" s="221"/>
      <c r="WXD134" s="221"/>
      <c r="WXE134" s="258"/>
      <c r="WXF134" s="270"/>
      <c r="WXG134" s="271"/>
      <c r="WXH134" s="271"/>
      <c r="WXI134" s="271"/>
      <c r="WXJ134" s="221"/>
      <c r="WXK134" s="221"/>
      <c r="WXL134" s="221"/>
      <c r="WXM134" s="258"/>
      <c r="WXN134" s="270"/>
      <c r="WXO134" s="271"/>
      <c r="WXP134" s="271"/>
      <c r="WXQ134" s="271"/>
      <c r="WXR134" s="221"/>
      <c r="WXS134" s="221"/>
      <c r="WXT134" s="221"/>
      <c r="WXU134" s="258"/>
      <c r="WXV134" s="270"/>
      <c r="WXW134" s="271"/>
      <c r="WXX134" s="271"/>
      <c r="WXY134" s="271"/>
      <c r="WXZ134" s="221"/>
      <c r="WYA134" s="221"/>
      <c r="WYB134" s="221"/>
      <c r="WYC134" s="258"/>
      <c r="WYD134" s="270"/>
      <c r="WYE134" s="271"/>
      <c r="WYF134" s="271"/>
      <c r="WYG134" s="271"/>
      <c r="WYH134" s="221"/>
      <c r="WYI134" s="221"/>
      <c r="WYJ134" s="221"/>
      <c r="WYK134" s="258"/>
      <c r="WYL134" s="270"/>
      <c r="WYM134" s="271"/>
      <c r="WYN134" s="271"/>
      <c r="WYO134" s="271"/>
      <c r="WYP134" s="221"/>
      <c r="WYQ134" s="221"/>
      <c r="WYR134" s="221"/>
      <c r="WYS134" s="258"/>
      <c r="WYT134" s="270"/>
      <c r="WYU134" s="271"/>
      <c r="WYV134" s="271"/>
      <c r="WYW134" s="271"/>
      <c r="WYX134" s="221"/>
      <c r="WYY134" s="221"/>
      <c r="WYZ134" s="221"/>
      <c r="WZA134" s="258"/>
      <c r="WZB134" s="270"/>
      <c r="WZC134" s="271"/>
      <c r="WZD134" s="271"/>
      <c r="WZE134" s="271"/>
      <c r="WZF134" s="221"/>
      <c r="WZG134" s="221"/>
      <c r="WZH134" s="221"/>
      <c r="WZI134" s="258"/>
      <c r="WZJ134" s="270"/>
      <c r="WZK134" s="271"/>
      <c r="WZL134" s="271"/>
      <c r="WZM134" s="271"/>
      <c r="WZN134" s="221"/>
      <c r="WZO134" s="221"/>
      <c r="WZP134" s="221"/>
      <c r="WZQ134" s="258"/>
      <c r="WZR134" s="270"/>
      <c r="WZS134" s="271"/>
      <c r="WZT134" s="271"/>
      <c r="WZU134" s="271"/>
      <c r="WZV134" s="221"/>
      <c r="WZW134" s="221"/>
      <c r="WZX134" s="221"/>
      <c r="WZY134" s="258"/>
      <c r="WZZ134" s="270"/>
      <c r="XAA134" s="271"/>
      <c r="XAB134" s="271"/>
      <c r="XAC134" s="271"/>
      <c r="XAD134" s="221"/>
      <c r="XAE134" s="221"/>
      <c r="XAF134" s="221"/>
      <c r="XAG134" s="258"/>
      <c r="XAH134" s="270"/>
      <c r="XAI134" s="271"/>
      <c r="XAJ134" s="271"/>
      <c r="XAK134" s="271"/>
      <c r="XAL134" s="221"/>
      <c r="XAM134" s="221"/>
      <c r="XAN134" s="221"/>
      <c r="XAO134" s="258"/>
      <c r="XAP134" s="270"/>
      <c r="XAQ134" s="271"/>
      <c r="XAR134" s="271"/>
      <c r="XAS134" s="271"/>
      <c r="XAT134" s="221"/>
      <c r="XAU134" s="221"/>
      <c r="XAV134" s="221"/>
      <c r="XAW134" s="258"/>
      <c r="XAX134" s="270"/>
      <c r="XAY134" s="271"/>
      <c r="XAZ134" s="271"/>
      <c r="XBA134" s="271"/>
      <c r="XBB134" s="221"/>
      <c r="XBC134" s="221"/>
      <c r="XBD134" s="221"/>
      <c r="XBE134" s="258"/>
      <c r="XBF134" s="270"/>
      <c r="XBG134" s="271"/>
      <c r="XBH134" s="271"/>
      <c r="XBI134" s="271"/>
      <c r="XBJ134" s="221"/>
      <c r="XBK134" s="221"/>
      <c r="XBL134" s="221"/>
      <c r="XBM134" s="258"/>
      <c r="XBN134" s="270"/>
      <c r="XBO134" s="271"/>
      <c r="XBP134" s="271"/>
      <c r="XBQ134" s="271"/>
      <c r="XBR134" s="221"/>
      <c r="XBS134" s="221"/>
      <c r="XBT134" s="221"/>
      <c r="XBU134" s="258"/>
      <c r="XBV134" s="270"/>
      <c r="XBW134" s="271"/>
      <c r="XBX134" s="271"/>
      <c r="XBY134" s="271"/>
      <c r="XBZ134" s="221"/>
      <c r="XCA134" s="221"/>
      <c r="XCB134" s="221"/>
      <c r="XCC134" s="258"/>
      <c r="XCD134" s="270"/>
      <c r="XCE134" s="271"/>
      <c r="XCF134" s="271"/>
      <c r="XCG134" s="271"/>
      <c r="XCH134" s="221"/>
      <c r="XCI134" s="221"/>
      <c r="XCJ134" s="221"/>
      <c r="XCK134" s="258"/>
      <c r="XCL134" s="270"/>
      <c r="XCM134" s="271"/>
      <c r="XCN134" s="271"/>
      <c r="XCO134" s="271"/>
      <c r="XCP134" s="221"/>
      <c r="XCQ134" s="221"/>
      <c r="XCR134" s="221"/>
      <c r="XCS134" s="258"/>
      <c r="XCT134" s="270"/>
      <c r="XCU134" s="271"/>
      <c r="XCV134" s="271"/>
      <c r="XCW134" s="271"/>
      <c r="XCX134" s="221"/>
      <c r="XCY134" s="221"/>
      <c r="XCZ134" s="221"/>
      <c r="XDA134" s="258"/>
      <c r="XDB134" s="270"/>
      <c r="XDC134" s="271"/>
      <c r="XDD134" s="271"/>
      <c r="XDE134" s="271"/>
      <c r="XDF134" s="221"/>
      <c r="XDG134" s="221"/>
      <c r="XDH134" s="221"/>
      <c r="XDI134" s="258"/>
      <c r="XDJ134" s="270"/>
      <c r="XDK134" s="271"/>
      <c r="XDL134" s="271"/>
      <c r="XDM134" s="271"/>
      <c r="XDN134" s="221"/>
      <c r="XDO134" s="221"/>
      <c r="XDP134" s="221"/>
      <c r="XDQ134" s="258"/>
      <c r="XDR134" s="270"/>
      <c r="XDS134" s="271"/>
      <c r="XDT134" s="271"/>
      <c r="XDU134" s="271"/>
      <c r="XDV134" s="221"/>
      <c r="XDW134" s="221"/>
      <c r="XDX134" s="221"/>
      <c r="XDY134" s="258"/>
      <c r="XDZ134" s="270"/>
      <c r="XEA134" s="271"/>
      <c r="XEB134" s="271"/>
      <c r="XEC134" s="271"/>
      <c r="XED134" s="221"/>
      <c r="XEE134" s="221"/>
      <c r="XEF134" s="221"/>
      <c r="XEG134" s="258"/>
      <c r="XEH134" s="270"/>
      <c r="XEI134" s="271"/>
      <c r="XEJ134" s="271"/>
      <c r="XEK134" s="271"/>
      <c r="XEL134" s="221"/>
      <c r="XEM134" s="221"/>
      <c r="XEN134" s="221"/>
      <c r="XEO134" s="258"/>
      <c r="XEP134" s="270"/>
      <c r="XEQ134" s="271"/>
      <c r="XER134" s="271"/>
      <c r="XES134" s="271"/>
      <c r="XET134" s="221"/>
      <c r="XEU134" s="221"/>
      <c r="XEV134" s="221"/>
      <c r="XEW134" s="258"/>
      <c r="XEX134" s="270"/>
      <c r="XEY134" s="271"/>
      <c r="XEZ134" s="271"/>
      <c r="XFA134" s="271"/>
      <c r="XFB134" s="221"/>
      <c r="XFC134" s="221"/>
      <c r="XFD134" s="221"/>
    </row>
    <row r="135" spans="1:16384" s="261" customFormat="1" x14ac:dyDescent="0.15">
      <c r="A135" s="262" t="s">
        <v>155</v>
      </c>
      <c r="B135" s="43">
        <f ca="1">IF($C135="","",[1]!BTSP(B$2,$C135))</f>
        <v>1328</v>
      </c>
      <c r="C135" s="46">
        <f ca="1">IF($C135="","",[1]!BTSP(C$2,$C135))</f>
        <v>878.9</v>
      </c>
      <c r="D135" s="46">
        <f ca="1">IF($C135="","",[1]!BTSP(D$2,$C135))</f>
        <v>861.4</v>
      </c>
      <c r="E135" s="46">
        <f ca="1">IF($C135="","",[1]!BTSP(E$2,$C135))</f>
        <v>17.5</v>
      </c>
      <c r="F135" s="25">
        <f ca="1">IF($C135="","",[1]!BTSP(F$2,$C135))</f>
        <v>66.2</v>
      </c>
      <c r="G135" s="25">
        <f ca="1">IF($C135="","",[1]!BTSP(G$2,$C135))</f>
        <v>64.900000000000006</v>
      </c>
      <c r="H135" s="25">
        <f ca="1">IF($C135="","",[1]!BTSP(H$2,$C135))</f>
        <v>2</v>
      </c>
      <c r="I135" s="258"/>
      <c r="J135" s="270"/>
      <c r="K135" s="271"/>
      <c r="L135" s="271"/>
      <c r="M135" s="271"/>
      <c r="N135" s="221"/>
      <c r="O135" s="221"/>
      <c r="P135" s="221"/>
      <c r="Q135" s="258"/>
      <c r="R135" s="270"/>
      <c r="S135" s="271"/>
      <c r="T135" s="271"/>
      <c r="U135" s="271"/>
      <c r="V135" s="221"/>
      <c r="W135" s="221"/>
      <c r="X135" s="221"/>
      <c r="Y135" s="258"/>
      <c r="Z135" s="270"/>
      <c r="AA135" s="271"/>
      <c r="AB135" s="271"/>
      <c r="AC135" s="271"/>
      <c r="AD135" s="221"/>
      <c r="AE135" s="221"/>
      <c r="AF135" s="221"/>
      <c r="AG135" s="258"/>
      <c r="AH135" s="270"/>
      <c r="AI135" s="271"/>
      <c r="AJ135" s="271"/>
      <c r="AK135" s="271"/>
      <c r="AL135" s="221"/>
      <c r="AM135" s="221"/>
      <c r="AN135" s="221"/>
      <c r="AO135" s="258"/>
      <c r="AP135" s="270"/>
      <c r="AQ135" s="271"/>
      <c r="AR135" s="271"/>
      <c r="AS135" s="271"/>
      <c r="AT135" s="221"/>
      <c r="AU135" s="221"/>
      <c r="AV135" s="221"/>
      <c r="AW135" s="258"/>
      <c r="AX135" s="270"/>
      <c r="AY135" s="271"/>
      <c r="AZ135" s="271"/>
      <c r="BA135" s="271"/>
      <c r="BB135" s="221"/>
      <c r="BC135" s="221"/>
      <c r="BD135" s="221"/>
      <c r="BE135" s="258"/>
      <c r="BF135" s="270"/>
      <c r="BG135" s="271"/>
      <c r="BH135" s="271"/>
      <c r="BI135" s="271"/>
      <c r="BJ135" s="221"/>
      <c r="BK135" s="221"/>
      <c r="BL135" s="221"/>
      <c r="BM135" s="258"/>
      <c r="BN135" s="270"/>
      <c r="BO135" s="271"/>
      <c r="BP135" s="271"/>
      <c r="BQ135" s="271"/>
      <c r="BR135" s="221"/>
      <c r="BS135" s="221"/>
      <c r="BT135" s="221"/>
      <c r="BU135" s="258"/>
      <c r="BV135" s="270"/>
      <c r="BW135" s="271"/>
      <c r="BX135" s="271"/>
      <c r="BY135" s="271"/>
      <c r="BZ135" s="221"/>
      <c r="CA135" s="221"/>
      <c r="CB135" s="221"/>
      <c r="CC135" s="258"/>
      <c r="CD135" s="270"/>
      <c r="CE135" s="271"/>
      <c r="CF135" s="271"/>
      <c r="CG135" s="271"/>
      <c r="CH135" s="221"/>
      <c r="CI135" s="221"/>
      <c r="CJ135" s="221"/>
      <c r="CK135" s="258"/>
      <c r="CL135" s="270"/>
      <c r="CM135" s="271"/>
      <c r="CN135" s="271"/>
      <c r="CO135" s="271"/>
      <c r="CP135" s="221"/>
      <c r="CQ135" s="221"/>
      <c r="CR135" s="221"/>
      <c r="CS135" s="258"/>
      <c r="CT135" s="270"/>
      <c r="CU135" s="271"/>
      <c r="CV135" s="271"/>
      <c r="CW135" s="271"/>
      <c r="CX135" s="221"/>
      <c r="CY135" s="221"/>
      <c r="CZ135" s="221"/>
      <c r="DA135" s="258"/>
      <c r="DB135" s="270"/>
      <c r="DC135" s="271"/>
      <c r="DD135" s="271"/>
      <c r="DE135" s="271"/>
      <c r="DF135" s="221"/>
      <c r="DG135" s="221"/>
      <c r="DH135" s="221"/>
      <c r="DI135" s="258"/>
      <c r="DJ135" s="270"/>
      <c r="DK135" s="271"/>
      <c r="DL135" s="271"/>
      <c r="DM135" s="271"/>
      <c r="DN135" s="221"/>
      <c r="DO135" s="221"/>
      <c r="DP135" s="221"/>
      <c r="DQ135" s="258"/>
      <c r="DR135" s="270"/>
      <c r="DS135" s="271"/>
      <c r="DT135" s="271"/>
      <c r="DU135" s="271"/>
      <c r="DV135" s="221"/>
      <c r="DW135" s="221"/>
      <c r="DX135" s="221"/>
      <c r="DY135" s="258"/>
      <c r="DZ135" s="270"/>
      <c r="EA135" s="271"/>
      <c r="EB135" s="271"/>
      <c r="EC135" s="271"/>
      <c r="ED135" s="221"/>
      <c r="EE135" s="221"/>
      <c r="EF135" s="221"/>
      <c r="EG135" s="258"/>
      <c r="EH135" s="270"/>
      <c r="EI135" s="271"/>
      <c r="EJ135" s="271"/>
      <c r="EK135" s="271"/>
      <c r="EL135" s="221"/>
      <c r="EM135" s="221"/>
      <c r="EN135" s="221"/>
      <c r="EO135" s="258"/>
      <c r="EP135" s="270"/>
      <c r="EQ135" s="271"/>
      <c r="ER135" s="271"/>
      <c r="ES135" s="271"/>
      <c r="ET135" s="221"/>
      <c r="EU135" s="221"/>
      <c r="EV135" s="221"/>
      <c r="EW135" s="258"/>
      <c r="EX135" s="270"/>
      <c r="EY135" s="271"/>
      <c r="EZ135" s="271"/>
      <c r="FA135" s="271"/>
      <c r="FB135" s="221"/>
      <c r="FC135" s="221"/>
      <c r="FD135" s="221"/>
      <c r="FE135" s="258"/>
      <c r="FF135" s="270"/>
      <c r="FG135" s="271"/>
      <c r="FH135" s="271"/>
      <c r="FI135" s="271"/>
      <c r="FJ135" s="221"/>
      <c r="FK135" s="221"/>
      <c r="FL135" s="221"/>
      <c r="FM135" s="258"/>
      <c r="FN135" s="270"/>
      <c r="FO135" s="271"/>
      <c r="FP135" s="271"/>
      <c r="FQ135" s="271"/>
      <c r="FR135" s="221"/>
      <c r="FS135" s="221"/>
      <c r="FT135" s="221"/>
      <c r="FU135" s="258"/>
      <c r="FV135" s="270"/>
      <c r="FW135" s="271"/>
      <c r="FX135" s="271"/>
      <c r="FY135" s="271"/>
      <c r="FZ135" s="221"/>
      <c r="GA135" s="221"/>
      <c r="GB135" s="221"/>
      <c r="GC135" s="258"/>
      <c r="GD135" s="270"/>
      <c r="GE135" s="271"/>
      <c r="GF135" s="271"/>
      <c r="GG135" s="271"/>
      <c r="GH135" s="221"/>
      <c r="GI135" s="221"/>
      <c r="GJ135" s="221"/>
      <c r="GK135" s="258"/>
      <c r="GL135" s="270"/>
      <c r="GM135" s="271"/>
      <c r="GN135" s="271"/>
      <c r="GO135" s="271"/>
      <c r="GP135" s="221"/>
      <c r="GQ135" s="221"/>
      <c r="GR135" s="221"/>
      <c r="GS135" s="258"/>
      <c r="GT135" s="270"/>
      <c r="GU135" s="271"/>
      <c r="GV135" s="271"/>
      <c r="GW135" s="271"/>
      <c r="GX135" s="221"/>
      <c r="GY135" s="221"/>
      <c r="GZ135" s="221"/>
      <c r="HA135" s="258"/>
      <c r="HB135" s="270"/>
      <c r="HC135" s="271"/>
      <c r="HD135" s="271"/>
      <c r="HE135" s="271"/>
      <c r="HF135" s="221"/>
      <c r="HG135" s="221"/>
      <c r="HH135" s="221"/>
      <c r="HI135" s="258"/>
      <c r="HJ135" s="270"/>
      <c r="HK135" s="271"/>
      <c r="HL135" s="271"/>
      <c r="HM135" s="271"/>
      <c r="HN135" s="221"/>
      <c r="HO135" s="221"/>
      <c r="HP135" s="221"/>
      <c r="HQ135" s="258"/>
      <c r="HR135" s="270"/>
      <c r="HS135" s="271"/>
      <c r="HT135" s="271"/>
      <c r="HU135" s="271"/>
      <c r="HV135" s="221"/>
      <c r="HW135" s="221"/>
      <c r="HX135" s="221"/>
      <c r="HY135" s="258"/>
      <c r="HZ135" s="270"/>
      <c r="IA135" s="271"/>
      <c r="IB135" s="271"/>
      <c r="IC135" s="271"/>
      <c r="ID135" s="221"/>
      <c r="IE135" s="221"/>
      <c r="IF135" s="221"/>
      <c r="IG135" s="258"/>
      <c r="IH135" s="270"/>
      <c r="II135" s="271"/>
      <c r="IJ135" s="271"/>
      <c r="IK135" s="271"/>
      <c r="IL135" s="221"/>
      <c r="IM135" s="221"/>
      <c r="IN135" s="221"/>
      <c r="IO135" s="258"/>
      <c r="IP135" s="270"/>
      <c r="IQ135" s="271"/>
      <c r="IR135" s="271"/>
      <c r="IS135" s="271"/>
      <c r="IT135" s="221"/>
      <c r="IU135" s="221"/>
      <c r="IV135" s="221"/>
      <c r="IW135" s="258"/>
      <c r="IX135" s="270"/>
      <c r="IY135" s="271"/>
      <c r="IZ135" s="271"/>
      <c r="JA135" s="271"/>
      <c r="JB135" s="221"/>
      <c r="JC135" s="221"/>
      <c r="JD135" s="221"/>
      <c r="JE135" s="258"/>
      <c r="JF135" s="270"/>
      <c r="JG135" s="271"/>
      <c r="JH135" s="271"/>
      <c r="JI135" s="271"/>
      <c r="JJ135" s="221"/>
      <c r="JK135" s="221"/>
      <c r="JL135" s="221"/>
      <c r="JM135" s="258"/>
      <c r="JN135" s="270"/>
      <c r="JO135" s="271"/>
      <c r="JP135" s="271"/>
      <c r="JQ135" s="271"/>
      <c r="JR135" s="221"/>
      <c r="JS135" s="221"/>
      <c r="JT135" s="221"/>
      <c r="JU135" s="258"/>
      <c r="JV135" s="270"/>
      <c r="JW135" s="271"/>
      <c r="JX135" s="271"/>
      <c r="JY135" s="271"/>
      <c r="JZ135" s="221"/>
      <c r="KA135" s="221"/>
      <c r="KB135" s="221"/>
      <c r="KC135" s="258"/>
      <c r="KD135" s="270"/>
      <c r="KE135" s="271"/>
      <c r="KF135" s="271"/>
      <c r="KG135" s="271"/>
      <c r="KH135" s="221"/>
      <c r="KI135" s="221"/>
      <c r="KJ135" s="221"/>
      <c r="KK135" s="258"/>
      <c r="KL135" s="270"/>
      <c r="KM135" s="271"/>
      <c r="KN135" s="271"/>
      <c r="KO135" s="271"/>
      <c r="KP135" s="221"/>
      <c r="KQ135" s="221"/>
      <c r="KR135" s="221"/>
      <c r="KS135" s="258"/>
      <c r="KT135" s="270"/>
      <c r="KU135" s="271"/>
      <c r="KV135" s="271"/>
      <c r="KW135" s="271"/>
      <c r="KX135" s="221"/>
      <c r="KY135" s="221"/>
      <c r="KZ135" s="221"/>
      <c r="LA135" s="258"/>
      <c r="LB135" s="270"/>
      <c r="LC135" s="271"/>
      <c r="LD135" s="271"/>
      <c r="LE135" s="271"/>
      <c r="LF135" s="221"/>
      <c r="LG135" s="221"/>
      <c r="LH135" s="221"/>
      <c r="LI135" s="258"/>
      <c r="LJ135" s="270"/>
      <c r="LK135" s="271"/>
      <c r="LL135" s="271"/>
      <c r="LM135" s="271"/>
      <c r="LN135" s="221"/>
      <c r="LO135" s="221"/>
      <c r="LP135" s="221"/>
      <c r="LQ135" s="258"/>
      <c r="LR135" s="270"/>
      <c r="LS135" s="271"/>
      <c r="LT135" s="271"/>
      <c r="LU135" s="271"/>
      <c r="LV135" s="221"/>
      <c r="LW135" s="221"/>
      <c r="LX135" s="221"/>
      <c r="LY135" s="258"/>
      <c r="LZ135" s="270"/>
      <c r="MA135" s="271"/>
      <c r="MB135" s="271"/>
      <c r="MC135" s="271"/>
      <c r="MD135" s="221"/>
      <c r="ME135" s="221"/>
      <c r="MF135" s="221"/>
      <c r="MG135" s="258"/>
      <c r="MH135" s="270"/>
      <c r="MI135" s="271"/>
      <c r="MJ135" s="271"/>
      <c r="MK135" s="271"/>
      <c r="ML135" s="221"/>
      <c r="MM135" s="221"/>
      <c r="MN135" s="221"/>
      <c r="MO135" s="258"/>
      <c r="MP135" s="270"/>
      <c r="MQ135" s="271"/>
      <c r="MR135" s="271"/>
      <c r="MS135" s="271"/>
      <c r="MT135" s="221"/>
      <c r="MU135" s="221"/>
      <c r="MV135" s="221"/>
      <c r="MW135" s="258"/>
      <c r="MX135" s="270"/>
      <c r="MY135" s="271"/>
      <c r="MZ135" s="271"/>
      <c r="NA135" s="271"/>
      <c r="NB135" s="221"/>
      <c r="NC135" s="221"/>
      <c r="ND135" s="221"/>
      <c r="NE135" s="258"/>
      <c r="NF135" s="270"/>
      <c r="NG135" s="271"/>
      <c r="NH135" s="271"/>
      <c r="NI135" s="271"/>
      <c r="NJ135" s="221"/>
      <c r="NK135" s="221"/>
      <c r="NL135" s="221"/>
      <c r="NM135" s="258"/>
      <c r="NN135" s="270"/>
      <c r="NO135" s="271"/>
      <c r="NP135" s="271"/>
      <c r="NQ135" s="271"/>
      <c r="NR135" s="221"/>
      <c r="NS135" s="221"/>
      <c r="NT135" s="221"/>
      <c r="NU135" s="258"/>
      <c r="NV135" s="270"/>
      <c r="NW135" s="271"/>
      <c r="NX135" s="271"/>
      <c r="NY135" s="271"/>
      <c r="NZ135" s="221"/>
      <c r="OA135" s="221"/>
      <c r="OB135" s="221"/>
      <c r="OC135" s="258"/>
      <c r="OD135" s="270"/>
      <c r="OE135" s="271"/>
      <c r="OF135" s="271"/>
      <c r="OG135" s="271"/>
      <c r="OH135" s="221"/>
      <c r="OI135" s="221"/>
      <c r="OJ135" s="221"/>
      <c r="OK135" s="258"/>
      <c r="OL135" s="270"/>
      <c r="OM135" s="271"/>
      <c r="ON135" s="271"/>
      <c r="OO135" s="271"/>
      <c r="OP135" s="221"/>
      <c r="OQ135" s="221"/>
      <c r="OR135" s="221"/>
      <c r="OS135" s="258"/>
      <c r="OT135" s="270"/>
      <c r="OU135" s="271"/>
      <c r="OV135" s="271"/>
      <c r="OW135" s="271"/>
      <c r="OX135" s="221"/>
      <c r="OY135" s="221"/>
      <c r="OZ135" s="221"/>
      <c r="PA135" s="258"/>
      <c r="PB135" s="270"/>
      <c r="PC135" s="271"/>
      <c r="PD135" s="271"/>
      <c r="PE135" s="271"/>
      <c r="PF135" s="221"/>
      <c r="PG135" s="221"/>
      <c r="PH135" s="221"/>
      <c r="PI135" s="258"/>
      <c r="PJ135" s="270"/>
      <c r="PK135" s="271"/>
      <c r="PL135" s="271"/>
      <c r="PM135" s="271"/>
      <c r="PN135" s="221"/>
      <c r="PO135" s="221"/>
      <c r="PP135" s="221"/>
      <c r="PQ135" s="258"/>
      <c r="PR135" s="270"/>
      <c r="PS135" s="271"/>
      <c r="PT135" s="271"/>
      <c r="PU135" s="271"/>
      <c r="PV135" s="221"/>
      <c r="PW135" s="221"/>
      <c r="PX135" s="221"/>
      <c r="PY135" s="258"/>
      <c r="PZ135" s="270"/>
      <c r="QA135" s="271"/>
      <c r="QB135" s="271"/>
      <c r="QC135" s="271"/>
      <c r="QD135" s="221"/>
      <c r="QE135" s="221"/>
      <c r="QF135" s="221"/>
      <c r="QG135" s="258"/>
      <c r="QH135" s="270"/>
      <c r="QI135" s="271"/>
      <c r="QJ135" s="271"/>
      <c r="QK135" s="271"/>
      <c r="QL135" s="221"/>
      <c r="QM135" s="221"/>
      <c r="QN135" s="221"/>
      <c r="QO135" s="258"/>
      <c r="QP135" s="270"/>
      <c r="QQ135" s="271"/>
      <c r="QR135" s="271"/>
      <c r="QS135" s="271"/>
      <c r="QT135" s="221"/>
      <c r="QU135" s="221"/>
      <c r="QV135" s="221"/>
      <c r="QW135" s="258"/>
      <c r="QX135" s="270"/>
      <c r="QY135" s="271"/>
      <c r="QZ135" s="271"/>
      <c r="RA135" s="271"/>
      <c r="RB135" s="221"/>
      <c r="RC135" s="221"/>
      <c r="RD135" s="221"/>
      <c r="RE135" s="258"/>
      <c r="RF135" s="270"/>
      <c r="RG135" s="271"/>
      <c r="RH135" s="271"/>
      <c r="RI135" s="271"/>
      <c r="RJ135" s="221"/>
      <c r="RK135" s="221"/>
      <c r="RL135" s="221"/>
      <c r="RM135" s="258"/>
      <c r="RN135" s="270"/>
      <c r="RO135" s="271"/>
      <c r="RP135" s="271"/>
      <c r="RQ135" s="271"/>
      <c r="RR135" s="221"/>
      <c r="RS135" s="221"/>
      <c r="RT135" s="221"/>
      <c r="RU135" s="258"/>
      <c r="RV135" s="270"/>
      <c r="RW135" s="271"/>
      <c r="RX135" s="271"/>
      <c r="RY135" s="271"/>
      <c r="RZ135" s="221"/>
      <c r="SA135" s="221"/>
      <c r="SB135" s="221"/>
      <c r="SC135" s="258"/>
      <c r="SD135" s="270"/>
      <c r="SE135" s="271"/>
      <c r="SF135" s="271"/>
      <c r="SG135" s="271"/>
      <c r="SH135" s="221"/>
      <c r="SI135" s="221"/>
      <c r="SJ135" s="221"/>
      <c r="SK135" s="258"/>
      <c r="SL135" s="270"/>
      <c r="SM135" s="271"/>
      <c r="SN135" s="271"/>
      <c r="SO135" s="271"/>
      <c r="SP135" s="221"/>
      <c r="SQ135" s="221"/>
      <c r="SR135" s="221"/>
      <c r="SS135" s="258"/>
      <c r="ST135" s="270"/>
      <c r="SU135" s="271"/>
      <c r="SV135" s="271"/>
      <c r="SW135" s="271"/>
      <c r="SX135" s="221"/>
      <c r="SY135" s="221"/>
      <c r="SZ135" s="221"/>
      <c r="TA135" s="258"/>
      <c r="TB135" s="270"/>
      <c r="TC135" s="271"/>
      <c r="TD135" s="271"/>
      <c r="TE135" s="271"/>
      <c r="TF135" s="221"/>
      <c r="TG135" s="221"/>
      <c r="TH135" s="221"/>
      <c r="TI135" s="258"/>
      <c r="TJ135" s="270"/>
      <c r="TK135" s="271"/>
      <c r="TL135" s="271"/>
      <c r="TM135" s="271"/>
      <c r="TN135" s="221"/>
      <c r="TO135" s="221"/>
      <c r="TP135" s="221"/>
      <c r="TQ135" s="258"/>
      <c r="TR135" s="270"/>
      <c r="TS135" s="271"/>
      <c r="TT135" s="271"/>
      <c r="TU135" s="271"/>
      <c r="TV135" s="221"/>
      <c r="TW135" s="221"/>
      <c r="TX135" s="221"/>
      <c r="TY135" s="258"/>
      <c r="TZ135" s="270"/>
      <c r="UA135" s="271"/>
      <c r="UB135" s="271"/>
      <c r="UC135" s="271"/>
      <c r="UD135" s="221"/>
      <c r="UE135" s="221"/>
      <c r="UF135" s="221"/>
      <c r="UG135" s="258"/>
      <c r="UH135" s="270"/>
      <c r="UI135" s="271"/>
      <c r="UJ135" s="271"/>
      <c r="UK135" s="271"/>
      <c r="UL135" s="221"/>
      <c r="UM135" s="221"/>
      <c r="UN135" s="221"/>
      <c r="UO135" s="258"/>
      <c r="UP135" s="270"/>
      <c r="UQ135" s="271"/>
      <c r="UR135" s="271"/>
      <c r="US135" s="271"/>
      <c r="UT135" s="221"/>
      <c r="UU135" s="221"/>
      <c r="UV135" s="221"/>
      <c r="UW135" s="258"/>
      <c r="UX135" s="270"/>
      <c r="UY135" s="271"/>
      <c r="UZ135" s="271"/>
      <c r="VA135" s="271"/>
      <c r="VB135" s="221"/>
      <c r="VC135" s="221"/>
      <c r="VD135" s="221"/>
      <c r="VE135" s="258"/>
      <c r="VF135" s="270"/>
      <c r="VG135" s="271"/>
      <c r="VH135" s="271"/>
      <c r="VI135" s="271"/>
      <c r="VJ135" s="221"/>
      <c r="VK135" s="221"/>
      <c r="VL135" s="221"/>
      <c r="VM135" s="258"/>
      <c r="VN135" s="270"/>
      <c r="VO135" s="271"/>
      <c r="VP135" s="271"/>
      <c r="VQ135" s="271"/>
      <c r="VR135" s="221"/>
      <c r="VS135" s="221"/>
      <c r="VT135" s="221"/>
      <c r="VU135" s="258"/>
      <c r="VV135" s="270"/>
      <c r="VW135" s="271"/>
      <c r="VX135" s="271"/>
      <c r="VY135" s="271"/>
      <c r="VZ135" s="221"/>
      <c r="WA135" s="221"/>
      <c r="WB135" s="221"/>
      <c r="WC135" s="258"/>
      <c r="WD135" s="270"/>
      <c r="WE135" s="271"/>
      <c r="WF135" s="271"/>
      <c r="WG135" s="271"/>
      <c r="WH135" s="221"/>
      <c r="WI135" s="221"/>
      <c r="WJ135" s="221"/>
      <c r="WK135" s="258"/>
      <c r="WL135" s="270"/>
      <c r="WM135" s="271"/>
      <c r="WN135" s="271"/>
      <c r="WO135" s="271"/>
      <c r="WP135" s="221"/>
      <c r="WQ135" s="221"/>
      <c r="WR135" s="221"/>
      <c r="WS135" s="258"/>
      <c r="WT135" s="270"/>
      <c r="WU135" s="271"/>
      <c r="WV135" s="271"/>
      <c r="WW135" s="271"/>
      <c r="WX135" s="221"/>
      <c r="WY135" s="221"/>
      <c r="WZ135" s="221"/>
      <c r="XA135" s="258"/>
      <c r="XB135" s="270"/>
      <c r="XC135" s="271"/>
      <c r="XD135" s="271"/>
      <c r="XE135" s="271"/>
      <c r="XF135" s="221"/>
      <c r="XG135" s="221"/>
      <c r="XH135" s="221"/>
      <c r="XI135" s="258"/>
      <c r="XJ135" s="270"/>
      <c r="XK135" s="271"/>
      <c r="XL135" s="271"/>
      <c r="XM135" s="271"/>
      <c r="XN135" s="221"/>
      <c r="XO135" s="221"/>
      <c r="XP135" s="221"/>
      <c r="XQ135" s="258"/>
      <c r="XR135" s="270"/>
      <c r="XS135" s="271"/>
      <c r="XT135" s="271"/>
      <c r="XU135" s="271"/>
      <c r="XV135" s="221"/>
      <c r="XW135" s="221"/>
      <c r="XX135" s="221"/>
      <c r="XY135" s="258"/>
      <c r="XZ135" s="270"/>
      <c r="YA135" s="271"/>
      <c r="YB135" s="271"/>
      <c r="YC135" s="271"/>
      <c r="YD135" s="221"/>
      <c r="YE135" s="221"/>
      <c r="YF135" s="221"/>
      <c r="YG135" s="258"/>
      <c r="YH135" s="270"/>
      <c r="YI135" s="271"/>
      <c r="YJ135" s="271"/>
      <c r="YK135" s="271"/>
      <c r="YL135" s="221"/>
      <c r="YM135" s="221"/>
      <c r="YN135" s="221"/>
      <c r="YO135" s="258"/>
      <c r="YP135" s="270"/>
      <c r="YQ135" s="271"/>
      <c r="YR135" s="271"/>
      <c r="YS135" s="271"/>
      <c r="YT135" s="221"/>
      <c r="YU135" s="221"/>
      <c r="YV135" s="221"/>
      <c r="YW135" s="258"/>
      <c r="YX135" s="270"/>
      <c r="YY135" s="271"/>
      <c r="YZ135" s="271"/>
      <c r="ZA135" s="271"/>
      <c r="ZB135" s="221"/>
      <c r="ZC135" s="221"/>
      <c r="ZD135" s="221"/>
      <c r="ZE135" s="258"/>
      <c r="ZF135" s="270"/>
      <c r="ZG135" s="271"/>
      <c r="ZH135" s="271"/>
      <c r="ZI135" s="271"/>
      <c r="ZJ135" s="221"/>
      <c r="ZK135" s="221"/>
      <c r="ZL135" s="221"/>
      <c r="ZM135" s="258"/>
      <c r="ZN135" s="270"/>
      <c r="ZO135" s="271"/>
      <c r="ZP135" s="271"/>
      <c r="ZQ135" s="271"/>
      <c r="ZR135" s="221"/>
      <c r="ZS135" s="221"/>
      <c r="ZT135" s="221"/>
      <c r="ZU135" s="258"/>
      <c r="ZV135" s="270"/>
      <c r="ZW135" s="271"/>
      <c r="ZX135" s="271"/>
      <c r="ZY135" s="271"/>
      <c r="ZZ135" s="221"/>
      <c r="AAA135" s="221"/>
      <c r="AAB135" s="221"/>
      <c r="AAC135" s="258"/>
      <c r="AAD135" s="270"/>
      <c r="AAE135" s="271"/>
      <c r="AAF135" s="271"/>
      <c r="AAG135" s="271"/>
      <c r="AAH135" s="221"/>
      <c r="AAI135" s="221"/>
      <c r="AAJ135" s="221"/>
      <c r="AAK135" s="258"/>
      <c r="AAL135" s="270"/>
      <c r="AAM135" s="271"/>
      <c r="AAN135" s="271"/>
      <c r="AAO135" s="271"/>
      <c r="AAP135" s="221"/>
      <c r="AAQ135" s="221"/>
      <c r="AAR135" s="221"/>
      <c r="AAS135" s="258"/>
      <c r="AAT135" s="270"/>
      <c r="AAU135" s="271"/>
      <c r="AAV135" s="271"/>
      <c r="AAW135" s="271"/>
      <c r="AAX135" s="221"/>
      <c r="AAY135" s="221"/>
      <c r="AAZ135" s="221"/>
      <c r="ABA135" s="258"/>
      <c r="ABB135" s="270"/>
      <c r="ABC135" s="271"/>
      <c r="ABD135" s="271"/>
      <c r="ABE135" s="271"/>
      <c r="ABF135" s="221"/>
      <c r="ABG135" s="221"/>
      <c r="ABH135" s="221"/>
      <c r="ABI135" s="258"/>
      <c r="ABJ135" s="270"/>
      <c r="ABK135" s="271"/>
      <c r="ABL135" s="271"/>
      <c r="ABM135" s="271"/>
      <c r="ABN135" s="221"/>
      <c r="ABO135" s="221"/>
      <c r="ABP135" s="221"/>
      <c r="ABQ135" s="258"/>
      <c r="ABR135" s="270"/>
      <c r="ABS135" s="271"/>
      <c r="ABT135" s="271"/>
      <c r="ABU135" s="271"/>
      <c r="ABV135" s="221"/>
      <c r="ABW135" s="221"/>
      <c r="ABX135" s="221"/>
      <c r="ABY135" s="258"/>
      <c r="ABZ135" s="270"/>
      <c r="ACA135" s="271"/>
      <c r="ACB135" s="271"/>
      <c r="ACC135" s="271"/>
      <c r="ACD135" s="221"/>
      <c r="ACE135" s="221"/>
      <c r="ACF135" s="221"/>
      <c r="ACG135" s="258"/>
      <c r="ACH135" s="270"/>
      <c r="ACI135" s="271"/>
      <c r="ACJ135" s="271"/>
      <c r="ACK135" s="271"/>
      <c r="ACL135" s="221"/>
      <c r="ACM135" s="221"/>
      <c r="ACN135" s="221"/>
      <c r="ACO135" s="258"/>
      <c r="ACP135" s="270"/>
      <c r="ACQ135" s="271"/>
      <c r="ACR135" s="271"/>
      <c r="ACS135" s="271"/>
      <c r="ACT135" s="221"/>
      <c r="ACU135" s="221"/>
      <c r="ACV135" s="221"/>
      <c r="ACW135" s="258"/>
      <c r="ACX135" s="270"/>
      <c r="ACY135" s="271"/>
      <c r="ACZ135" s="271"/>
      <c r="ADA135" s="271"/>
      <c r="ADB135" s="221"/>
      <c r="ADC135" s="221"/>
      <c r="ADD135" s="221"/>
      <c r="ADE135" s="258"/>
      <c r="ADF135" s="270"/>
      <c r="ADG135" s="271"/>
      <c r="ADH135" s="271"/>
      <c r="ADI135" s="271"/>
      <c r="ADJ135" s="221"/>
      <c r="ADK135" s="221"/>
      <c r="ADL135" s="221"/>
      <c r="ADM135" s="258"/>
      <c r="ADN135" s="270"/>
      <c r="ADO135" s="271"/>
      <c r="ADP135" s="271"/>
      <c r="ADQ135" s="271"/>
      <c r="ADR135" s="221"/>
      <c r="ADS135" s="221"/>
      <c r="ADT135" s="221"/>
      <c r="ADU135" s="258"/>
      <c r="ADV135" s="270"/>
      <c r="ADW135" s="271"/>
      <c r="ADX135" s="271"/>
      <c r="ADY135" s="271"/>
      <c r="ADZ135" s="221"/>
      <c r="AEA135" s="221"/>
      <c r="AEB135" s="221"/>
      <c r="AEC135" s="258"/>
      <c r="AED135" s="270"/>
      <c r="AEE135" s="271"/>
      <c r="AEF135" s="271"/>
      <c r="AEG135" s="271"/>
      <c r="AEH135" s="221"/>
      <c r="AEI135" s="221"/>
      <c r="AEJ135" s="221"/>
      <c r="AEK135" s="258"/>
      <c r="AEL135" s="270"/>
      <c r="AEM135" s="271"/>
      <c r="AEN135" s="271"/>
      <c r="AEO135" s="271"/>
      <c r="AEP135" s="221"/>
      <c r="AEQ135" s="221"/>
      <c r="AER135" s="221"/>
      <c r="AES135" s="258"/>
      <c r="AET135" s="270"/>
      <c r="AEU135" s="271"/>
      <c r="AEV135" s="271"/>
      <c r="AEW135" s="271"/>
      <c r="AEX135" s="221"/>
      <c r="AEY135" s="221"/>
      <c r="AEZ135" s="221"/>
      <c r="AFA135" s="258"/>
      <c r="AFB135" s="270"/>
      <c r="AFC135" s="271"/>
      <c r="AFD135" s="271"/>
      <c r="AFE135" s="271"/>
      <c r="AFF135" s="221"/>
      <c r="AFG135" s="221"/>
      <c r="AFH135" s="221"/>
      <c r="AFI135" s="258"/>
      <c r="AFJ135" s="270"/>
      <c r="AFK135" s="271"/>
      <c r="AFL135" s="271"/>
      <c r="AFM135" s="271"/>
      <c r="AFN135" s="221"/>
      <c r="AFO135" s="221"/>
      <c r="AFP135" s="221"/>
      <c r="AFQ135" s="258"/>
      <c r="AFR135" s="270"/>
      <c r="AFS135" s="271"/>
      <c r="AFT135" s="271"/>
      <c r="AFU135" s="271"/>
      <c r="AFV135" s="221"/>
      <c r="AFW135" s="221"/>
      <c r="AFX135" s="221"/>
      <c r="AFY135" s="258"/>
      <c r="AFZ135" s="270"/>
      <c r="AGA135" s="271"/>
      <c r="AGB135" s="271"/>
      <c r="AGC135" s="271"/>
      <c r="AGD135" s="221"/>
      <c r="AGE135" s="221"/>
      <c r="AGF135" s="221"/>
      <c r="AGG135" s="258"/>
      <c r="AGH135" s="270"/>
      <c r="AGI135" s="271"/>
      <c r="AGJ135" s="271"/>
      <c r="AGK135" s="271"/>
      <c r="AGL135" s="221"/>
      <c r="AGM135" s="221"/>
      <c r="AGN135" s="221"/>
      <c r="AGO135" s="258"/>
      <c r="AGP135" s="270"/>
      <c r="AGQ135" s="271"/>
      <c r="AGR135" s="271"/>
      <c r="AGS135" s="271"/>
      <c r="AGT135" s="221"/>
      <c r="AGU135" s="221"/>
      <c r="AGV135" s="221"/>
      <c r="AGW135" s="258"/>
      <c r="AGX135" s="270"/>
      <c r="AGY135" s="271"/>
      <c r="AGZ135" s="271"/>
      <c r="AHA135" s="271"/>
      <c r="AHB135" s="221"/>
      <c r="AHC135" s="221"/>
      <c r="AHD135" s="221"/>
      <c r="AHE135" s="258"/>
      <c r="AHF135" s="270"/>
      <c r="AHG135" s="271"/>
      <c r="AHH135" s="271"/>
      <c r="AHI135" s="271"/>
      <c r="AHJ135" s="221"/>
      <c r="AHK135" s="221"/>
      <c r="AHL135" s="221"/>
      <c r="AHM135" s="258"/>
      <c r="AHN135" s="270"/>
      <c r="AHO135" s="271"/>
      <c r="AHP135" s="271"/>
      <c r="AHQ135" s="271"/>
      <c r="AHR135" s="221"/>
      <c r="AHS135" s="221"/>
      <c r="AHT135" s="221"/>
      <c r="AHU135" s="258"/>
      <c r="AHV135" s="270"/>
      <c r="AHW135" s="271"/>
      <c r="AHX135" s="271"/>
      <c r="AHY135" s="271"/>
      <c r="AHZ135" s="221"/>
      <c r="AIA135" s="221"/>
      <c r="AIB135" s="221"/>
      <c r="AIC135" s="258"/>
      <c r="AID135" s="270"/>
      <c r="AIE135" s="271"/>
      <c r="AIF135" s="271"/>
      <c r="AIG135" s="271"/>
      <c r="AIH135" s="221"/>
      <c r="AII135" s="221"/>
      <c r="AIJ135" s="221"/>
      <c r="AIK135" s="258"/>
      <c r="AIL135" s="270"/>
      <c r="AIM135" s="271"/>
      <c r="AIN135" s="271"/>
      <c r="AIO135" s="271"/>
      <c r="AIP135" s="221"/>
      <c r="AIQ135" s="221"/>
      <c r="AIR135" s="221"/>
      <c r="AIS135" s="258"/>
      <c r="AIT135" s="270"/>
      <c r="AIU135" s="271"/>
      <c r="AIV135" s="271"/>
      <c r="AIW135" s="271"/>
      <c r="AIX135" s="221"/>
      <c r="AIY135" s="221"/>
      <c r="AIZ135" s="221"/>
      <c r="AJA135" s="258"/>
      <c r="AJB135" s="270"/>
      <c r="AJC135" s="271"/>
      <c r="AJD135" s="271"/>
      <c r="AJE135" s="271"/>
      <c r="AJF135" s="221"/>
      <c r="AJG135" s="221"/>
      <c r="AJH135" s="221"/>
      <c r="AJI135" s="258"/>
      <c r="AJJ135" s="270"/>
      <c r="AJK135" s="271"/>
      <c r="AJL135" s="271"/>
      <c r="AJM135" s="271"/>
      <c r="AJN135" s="221"/>
      <c r="AJO135" s="221"/>
      <c r="AJP135" s="221"/>
      <c r="AJQ135" s="258"/>
      <c r="AJR135" s="270"/>
      <c r="AJS135" s="271"/>
      <c r="AJT135" s="271"/>
      <c r="AJU135" s="271"/>
      <c r="AJV135" s="221"/>
      <c r="AJW135" s="221"/>
      <c r="AJX135" s="221"/>
      <c r="AJY135" s="258"/>
      <c r="AJZ135" s="270"/>
      <c r="AKA135" s="271"/>
      <c r="AKB135" s="271"/>
      <c r="AKC135" s="271"/>
      <c r="AKD135" s="221"/>
      <c r="AKE135" s="221"/>
      <c r="AKF135" s="221"/>
      <c r="AKG135" s="258"/>
      <c r="AKH135" s="270"/>
      <c r="AKI135" s="271"/>
      <c r="AKJ135" s="271"/>
      <c r="AKK135" s="271"/>
      <c r="AKL135" s="221"/>
      <c r="AKM135" s="221"/>
      <c r="AKN135" s="221"/>
      <c r="AKO135" s="258"/>
      <c r="AKP135" s="270"/>
      <c r="AKQ135" s="271"/>
      <c r="AKR135" s="271"/>
      <c r="AKS135" s="271"/>
      <c r="AKT135" s="221"/>
      <c r="AKU135" s="221"/>
      <c r="AKV135" s="221"/>
      <c r="AKW135" s="258"/>
      <c r="AKX135" s="270"/>
      <c r="AKY135" s="271"/>
      <c r="AKZ135" s="271"/>
      <c r="ALA135" s="271"/>
      <c r="ALB135" s="221"/>
      <c r="ALC135" s="221"/>
      <c r="ALD135" s="221"/>
      <c r="ALE135" s="258"/>
      <c r="ALF135" s="270"/>
      <c r="ALG135" s="271"/>
      <c r="ALH135" s="271"/>
      <c r="ALI135" s="271"/>
      <c r="ALJ135" s="221"/>
      <c r="ALK135" s="221"/>
      <c r="ALL135" s="221"/>
      <c r="ALM135" s="258"/>
      <c r="ALN135" s="270"/>
      <c r="ALO135" s="271"/>
      <c r="ALP135" s="271"/>
      <c r="ALQ135" s="271"/>
      <c r="ALR135" s="221"/>
      <c r="ALS135" s="221"/>
      <c r="ALT135" s="221"/>
      <c r="ALU135" s="258"/>
      <c r="ALV135" s="270"/>
      <c r="ALW135" s="271"/>
      <c r="ALX135" s="271"/>
      <c r="ALY135" s="271"/>
      <c r="ALZ135" s="221"/>
      <c r="AMA135" s="221"/>
      <c r="AMB135" s="221"/>
      <c r="AMC135" s="258"/>
      <c r="AMD135" s="270"/>
      <c r="AME135" s="271"/>
      <c r="AMF135" s="271"/>
      <c r="AMG135" s="271"/>
      <c r="AMH135" s="221"/>
      <c r="AMI135" s="221"/>
      <c r="AMJ135" s="221"/>
      <c r="AMK135" s="258"/>
      <c r="AML135" s="270"/>
      <c r="AMM135" s="271"/>
      <c r="AMN135" s="271"/>
      <c r="AMO135" s="271"/>
      <c r="AMP135" s="221"/>
      <c r="AMQ135" s="221"/>
      <c r="AMR135" s="221"/>
      <c r="AMS135" s="258"/>
      <c r="AMT135" s="270"/>
      <c r="AMU135" s="271"/>
      <c r="AMV135" s="271"/>
      <c r="AMW135" s="271"/>
      <c r="AMX135" s="221"/>
      <c r="AMY135" s="221"/>
      <c r="AMZ135" s="221"/>
      <c r="ANA135" s="258"/>
      <c r="ANB135" s="270"/>
      <c r="ANC135" s="271"/>
      <c r="AND135" s="271"/>
      <c r="ANE135" s="271"/>
      <c r="ANF135" s="221"/>
      <c r="ANG135" s="221"/>
      <c r="ANH135" s="221"/>
      <c r="ANI135" s="258"/>
      <c r="ANJ135" s="270"/>
      <c r="ANK135" s="271"/>
      <c r="ANL135" s="271"/>
      <c r="ANM135" s="271"/>
      <c r="ANN135" s="221"/>
      <c r="ANO135" s="221"/>
      <c r="ANP135" s="221"/>
      <c r="ANQ135" s="258"/>
      <c r="ANR135" s="270"/>
      <c r="ANS135" s="271"/>
      <c r="ANT135" s="271"/>
      <c r="ANU135" s="271"/>
      <c r="ANV135" s="221"/>
      <c r="ANW135" s="221"/>
      <c r="ANX135" s="221"/>
      <c r="ANY135" s="258"/>
      <c r="ANZ135" s="270"/>
      <c r="AOA135" s="271"/>
      <c r="AOB135" s="271"/>
      <c r="AOC135" s="271"/>
      <c r="AOD135" s="221"/>
      <c r="AOE135" s="221"/>
      <c r="AOF135" s="221"/>
      <c r="AOG135" s="258"/>
      <c r="AOH135" s="270"/>
      <c r="AOI135" s="271"/>
      <c r="AOJ135" s="271"/>
      <c r="AOK135" s="271"/>
      <c r="AOL135" s="221"/>
      <c r="AOM135" s="221"/>
      <c r="AON135" s="221"/>
      <c r="AOO135" s="258"/>
      <c r="AOP135" s="270"/>
      <c r="AOQ135" s="271"/>
      <c r="AOR135" s="271"/>
      <c r="AOS135" s="271"/>
      <c r="AOT135" s="221"/>
      <c r="AOU135" s="221"/>
      <c r="AOV135" s="221"/>
      <c r="AOW135" s="258"/>
      <c r="AOX135" s="270"/>
      <c r="AOY135" s="271"/>
      <c r="AOZ135" s="271"/>
      <c r="APA135" s="271"/>
      <c r="APB135" s="221"/>
      <c r="APC135" s="221"/>
      <c r="APD135" s="221"/>
      <c r="APE135" s="258"/>
      <c r="APF135" s="270"/>
      <c r="APG135" s="271"/>
      <c r="APH135" s="271"/>
      <c r="API135" s="271"/>
      <c r="APJ135" s="221"/>
      <c r="APK135" s="221"/>
      <c r="APL135" s="221"/>
      <c r="APM135" s="258"/>
      <c r="APN135" s="270"/>
      <c r="APO135" s="271"/>
      <c r="APP135" s="271"/>
      <c r="APQ135" s="271"/>
      <c r="APR135" s="221"/>
      <c r="APS135" s="221"/>
      <c r="APT135" s="221"/>
      <c r="APU135" s="258"/>
      <c r="APV135" s="270"/>
      <c r="APW135" s="271"/>
      <c r="APX135" s="271"/>
      <c r="APY135" s="271"/>
      <c r="APZ135" s="221"/>
      <c r="AQA135" s="221"/>
      <c r="AQB135" s="221"/>
      <c r="AQC135" s="258"/>
      <c r="AQD135" s="270"/>
      <c r="AQE135" s="271"/>
      <c r="AQF135" s="271"/>
      <c r="AQG135" s="271"/>
      <c r="AQH135" s="221"/>
      <c r="AQI135" s="221"/>
      <c r="AQJ135" s="221"/>
      <c r="AQK135" s="258"/>
      <c r="AQL135" s="270"/>
      <c r="AQM135" s="271"/>
      <c r="AQN135" s="271"/>
      <c r="AQO135" s="271"/>
      <c r="AQP135" s="221"/>
      <c r="AQQ135" s="221"/>
      <c r="AQR135" s="221"/>
      <c r="AQS135" s="258"/>
      <c r="AQT135" s="270"/>
      <c r="AQU135" s="271"/>
      <c r="AQV135" s="271"/>
      <c r="AQW135" s="271"/>
      <c r="AQX135" s="221"/>
      <c r="AQY135" s="221"/>
      <c r="AQZ135" s="221"/>
      <c r="ARA135" s="258"/>
      <c r="ARB135" s="270"/>
      <c r="ARC135" s="271"/>
      <c r="ARD135" s="271"/>
      <c r="ARE135" s="271"/>
      <c r="ARF135" s="221"/>
      <c r="ARG135" s="221"/>
      <c r="ARH135" s="221"/>
      <c r="ARI135" s="258"/>
      <c r="ARJ135" s="270"/>
      <c r="ARK135" s="271"/>
      <c r="ARL135" s="271"/>
      <c r="ARM135" s="271"/>
      <c r="ARN135" s="221"/>
      <c r="ARO135" s="221"/>
      <c r="ARP135" s="221"/>
      <c r="ARQ135" s="258"/>
      <c r="ARR135" s="270"/>
      <c r="ARS135" s="271"/>
      <c r="ART135" s="271"/>
      <c r="ARU135" s="271"/>
      <c r="ARV135" s="221"/>
      <c r="ARW135" s="221"/>
      <c r="ARX135" s="221"/>
      <c r="ARY135" s="258"/>
      <c r="ARZ135" s="270"/>
      <c r="ASA135" s="271"/>
      <c r="ASB135" s="271"/>
      <c r="ASC135" s="271"/>
      <c r="ASD135" s="221"/>
      <c r="ASE135" s="221"/>
      <c r="ASF135" s="221"/>
      <c r="ASG135" s="258"/>
      <c r="ASH135" s="270"/>
      <c r="ASI135" s="271"/>
      <c r="ASJ135" s="271"/>
      <c r="ASK135" s="271"/>
      <c r="ASL135" s="221"/>
      <c r="ASM135" s="221"/>
      <c r="ASN135" s="221"/>
      <c r="ASO135" s="258"/>
      <c r="ASP135" s="270"/>
      <c r="ASQ135" s="271"/>
      <c r="ASR135" s="271"/>
      <c r="ASS135" s="271"/>
      <c r="AST135" s="221"/>
      <c r="ASU135" s="221"/>
      <c r="ASV135" s="221"/>
      <c r="ASW135" s="258"/>
      <c r="ASX135" s="270"/>
      <c r="ASY135" s="271"/>
      <c r="ASZ135" s="271"/>
      <c r="ATA135" s="271"/>
      <c r="ATB135" s="221"/>
      <c r="ATC135" s="221"/>
      <c r="ATD135" s="221"/>
      <c r="ATE135" s="258"/>
      <c r="ATF135" s="270"/>
      <c r="ATG135" s="271"/>
      <c r="ATH135" s="271"/>
      <c r="ATI135" s="271"/>
      <c r="ATJ135" s="221"/>
      <c r="ATK135" s="221"/>
      <c r="ATL135" s="221"/>
      <c r="ATM135" s="258"/>
      <c r="ATN135" s="270"/>
      <c r="ATO135" s="271"/>
      <c r="ATP135" s="271"/>
      <c r="ATQ135" s="271"/>
      <c r="ATR135" s="221"/>
      <c r="ATS135" s="221"/>
      <c r="ATT135" s="221"/>
      <c r="ATU135" s="258"/>
      <c r="ATV135" s="270"/>
      <c r="ATW135" s="271"/>
      <c r="ATX135" s="271"/>
      <c r="ATY135" s="271"/>
      <c r="ATZ135" s="221"/>
      <c r="AUA135" s="221"/>
      <c r="AUB135" s="221"/>
      <c r="AUC135" s="258"/>
      <c r="AUD135" s="270"/>
      <c r="AUE135" s="271"/>
      <c r="AUF135" s="271"/>
      <c r="AUG135" s="271"/>
      <c r="AUH135" s="221"/>
      <c r="AUI135" s="221"/>
      <c r="AUJ135" s="221"/>
      <c r="AUK135" s="258"/>
      <c r="AUL135" s="270"/>
      <c r="AUM135" s="271"/>
      <c r="AUN135" s="271"/>
      <c r="AUO135" s="271"/>
      <c r="AUP135" s="221"/>
      <c r="AUQ135" s="221"/>
      <c r="AUR135" s="221"/>
      <c r="AUS135" s="258"/>
      <c r="AUT135" s="270"/>
      <c r="AUU135" s="271"/>
      <c r="AUV135" s="271"/>
      <c r="AUW135" s="271"/>
      <c r="AUX135" s="221"/>
      <c r="AUY135" s="221"/>
      <c r="AUZ135" s="221"/>
      <c r="AVA135" s="258"/>
      <c r="AVB135" s="270"/>
      <c r="AVC135" s="271"/>
      <c r="AVD135" s="271"/>
      <c r="AVE135" s="271"/>
      <c r="AVF135" s="221"/>
      <c r="AVG135" s="221"/>
      <c r="AVH135" s="221"/>
      <c r="AVI135" s="258"/>
      <c r="AVJ135" s="270"/>
      <c r="AVK135" s="271"/>
      <c r="AVL135" s="271"/>
      <c r="AVM135" s="271"/>
      <c r="AVN135" s="221"/>
      <c r="AVO135" s="221"/>
      <c r="AVP135" s="221"/>
      <c r="AVQ135" s="258"/>
      <c r="AVR135" s="270"/>
      <c r="AVS135" s="271"/>
      <c r="AVT135" s="271"/>
      <c r="AVU135" s="271"/>
      <c r="AVV135" s="221"/>
      <c r="AVW135" s="221"/>
      <c r="AVX135" s="221"/>
      <c r="AVY135" s="258"/>
      <c r="AVZ135" s="270"/>
      <c r="AWA135" s="271"/>
      <c r="AWB135" s="271"/>
      <c r="AWC135" s="271"/>
      <c r="AWD135" s="221"/>
      <c r="AWE135" s="221"/>
      <c r="AWF135" s="221"/>
      <c r="AWG135" s="258"/>
      <c r="AWH135" s="270"/>
      <c r="AWI135" s="271"/>
      <c r="AWJ135" s="271"/>
      <c r="AWK135" s="271"/>
      <c r="AWL135" s="221"/>
      <c r="AWM135" s="221"/>
      <c r="AWN135" s="221"/>
      <c r="AWO135" s="258"/>
      <c r="AWP135" s="270"/>
      <c r="AWQ135" s="271"/>
      <c r="AWR135" s="271"/>
      <c r="AWS135" s="271"/>
      <c r="AWT135" s="221"/>
      <c r="AWU135" s="221"/>
      <c r="AWV135" s="221"/>
      <c r="AWW135" s="258"/>
      <c r="AWX135" s="270"/>
      <c r="AWY135" s="271"/>
      <c r="AWZ135" s="271"/>
      <c r="AXA135" s="271"/>
      <c r="AXB135" s="221"/>
      <c r="AXC135" s="221"/>
      <c r="AXD135" s="221"/>
      <c r="AXE135" s="258"/>
      <c r="AXF135" s="270"/>
      <c r="AXG135" s="271"/>
      <c r="AXH135" s="271"/>
      <c r="AXI135" s="271"/>
      <c r="AXJ135" s="221"/>
      <c r="AXK135" s="221"/>
      <c r="AXL135" s="221"/>
      <c r="AXM135" s="258"/>
      <c r="AXN135" s="270"/>
      <c r="AXO135" s="271"/>
      <c r="AXP135" s="271"/>
      <c r="AXQ135" s="271"/>
      <c r="AXR135" s="221"/>
      <c r="AXS135" s="221"/>
      <c r="AXT135" s="221"/>
      <c r="AXU135" s="258"/>
      <c r="AXV135" s="270"/>
      <c r="AXW135" s="271"/>
      <c r="AXX135" s="271"/>
      <c r="AXY135" s="271"/>
      <c r="AXZ135" s="221"/>
      <c r="AYA135" s="221"/>
      <c r="AYB135" s="221"/>
      <c r="AYC135" s="258"/>
      <c r="AYD135" s="270"/>
      <c r="AYE135" s="271"/>
      <c r="AYF135" s="271"/>
      <c r="AYG135" s="271"/>
      <c r="AYH135" s="221"/>
      <c r="AYI135" s="221"/>
      <c r="AYJ135" s="221"/>
      <c r="AYK135" s="258"/>
      <c r="AYL135" s="270"/>
      <c r="AYM135" s="271"/>
      <c r="AYN135" s="271"/>
      <c r="AYO135" s="271"/>
      <c r="AYP135" s="221"/>
      <c r="AYQ135" s="221"/>
      <c r="AYR135" s="221"/>
      <c r="AYS135" s="258"/>
      <c r="AYT135" s="270"/>
      <c r="AYU135" s="271"/>
      <c r="AYV135" s="271"/>
      <c r="AYW135" s="271"/>
      <c r="AYX135" s="221"/>
      <c r="AYY135" s="221"/>
      <c r="AYZ135" s="221"/>
      <c r="AZA135" s="258"/>
      <c r="AZB135" s="270"/>
      <c r="AZC135" s="271"/>
      <c r="AZD135" s="271"/>
      <c r="AZE135" s="271"/>
      <c r="AZF135" s="221"/>
      <c r="AZG135" s="221"/>
      <c r="AZH135" s="221"/>
      <c r="AZI135" s="258"/>
      <c r="AZJ135" s="270"/>
      <c r="AZK135" s="271"/>
      <c r="AZL135" s="271"/>
      <c r="AZM135" s="271"/>
      <c r="AZN135" s="221"/>
      <c r="AZO135" s="221"/>
      <c r="AZP135" s="221"/>
      <c r="AZQ135" s="258"/>
      <c r="AZR135" s="270"/>
      <c r="AZS135" s="271"/>
      <c r="AZT135" s="271"/>
      <c r="AZU135" s="271"/>
      <c r="AZV135" s="221"/>
      <c r="AZW135" s="221"/>
      <c r="AZX135" s="221"/>
      <c r="AZY135" s="258"/>
      <c r="AZZ135" s="270"/>
      <c r="BAA135" s="271"/>
      <c r="BAB135" s="271"/>
      <c r="BAC135" s="271"/>
      <c r="BAD135" s="221"/>
      <c r="BAE135" s="221"/>
      <c r="BAF135" s="221"/>
      <c r="BAG135" s="258"/>
      <c r="BAH135" s="270"/>
      <c r="BAI135" s="271"/>
      <c r="BAJ135" s="271"/>
      <c r="BAK135" s="271"/>
      <c r="BAL135" s="221"/>
      <c r="BAM135" s="221"/>
      <c r="BAN135" s="221"/>
      <c r="BAO135" s="258"/>
      <c r="BAP135" s="270"/>
      <c r="BAQ135" s="271"/>
      <c r="BAR135" s="271"/>
      <c r="BAS135" s="271"/>
      <c r="BAT135" s="221"/>
      <c r="BAU135" s="221"/>
      <c r="BAV135" s="221"/>
      <c r="BAW135" s="258"/>
      <c r="BAX135" s="270"/>
      <c r="BAY135" s="271"/>
      <c r="BAZ135" s="271"/>
      <c r="BBA135" s="271"/>
      <c r="BBB135" s="221"/>
      <c r="BBC135" s="221"/>
      <c r="BBD135" s="221"/>
      <c r="BBE135" s="258"/>
      <c r="BBF135" s="270"/>
      <c r="BBG135" s="271"/>
      <c r="BBH135" s="271"/>
      <c r="BBI135" s="271"/>
      <c r="BBJ135" s="221"/>
      <c r="BBK135" s="221"/>
      <c r="BBL135" s="221"/>
      <c r="BBM135" s="258"/>
      <c r="BBN135" s="270"/>
      <c r="BBO135" s="271"/>
      <c r="BBP135" s="271"/>
      <c r="BBQ135" s="271"/>
      <c r="BBR135" s="221"/>
      <c r="BBS135" s="221"/>
      <c r="BBT135" s="221"/>
      <c r="BBU135" s="258"/>
      <c r="BBV135" s="270"/>
      <c r="BBW135" s="271"/>
      <c r="BBX135" s="271"/>
      <c r="BBY135" s="271"/>
      <c r="BBZ135" s="221"/>
      <c r="BCA135" s="221"/>
      <c r="BCB135" s="221"/>
      <c r="BCC135" s="258"/>
      <c r="BCD135" s="270"/>
      <c r="BCE135" s="271"/>
      <c r="BCF135" s="271"/>
      <c r="BCG135" s="271"/>
      <c r="BCH135" s="221"/>
      <c r="BCI135" s="221"/>
      <c r="BCJ135" s="221"/>
      <c r="BCK135" s="258"/>
      <c r="BCL135" s="270"/>
      <c r="BCM135" s="271"/>
      <c r="BCN135" s="271"/>
      <c r="BCO135" s="271"/>
      <c r="BCP135" s="221"/>
      <c r="BCQ135" s="221"/>
      <c r="BCR135" s="221"/>
      <c r="BCS135" s="258"/>
      <c r="BCT135" s="270"/>
      <c r="BCU135" s="271"/>
      <c r="BCV135" s="271"/>
      <c r="BCW135" s="271"/>
      <c r="BCX135" s="221"/>
      <c r="BCY135" s="221"/>
      <c r="BCZ135" s="221"/>
      <c r="BDA135" s="258"/>
      <c r="BDB135" s="270"/>
      <c r="BDC135" s="271"/>
      <c r="BDD135" s="271"/>
      <c r="BDE135" s="271"/>
      <c r="BDF135" s="221"/>
      <c r="BDG135" s="221"/>
      <c r="BDH135" s="221"/>
      <c r="BDI135" s="258"/>
      <c r="BDJ135" s="270"/>
      <c r="BDK135" s="271"/>
      <c r="BDL135" s="271"/>
      <c r="BDM135" s="271"/>
      <c r="BDN135" s="221"/>
      <c r="BDO135" s="221"/>
      <c r="BDP135" s="221"/>
      <c r="BDQ135" s="258"/>
      <c r="BDR135" s="270"/>
      <c r="BDS135" s="271"/>
      <c r="BDT135" s="271"/>
      <c r="BDU135" s="271"/>
      <c r="BDV135" s="221"/>
      <c r="BDW135" s="221"/>
      <c r="BDX135" s="221"/>
      <c r="BDY135" s="258"/>
      <c r="BDZ135" s="270"/>
      <c r="BEA135" s="271"/>
      <c r="BEB135" s="271"/>
      <c r="BEC135" s="271"/>
      <c r="BED135" s="221"/>
      <c r="BEE135" s="221"/>
      <c r="BEF135" s="221"/>
      <c r="BEG135" s="258"/>
      <c r="BEH135" s="270"/>
      <c r="BEI135" s="271"/>
      <c r="BEJ135" s="271"/>
      <c r="BEK135" s="271"/>
      <c r="BEL135" s="221"/>
      <c r="BEM135" s="221"/>
      <c r="BEN135" s="221"/>
      <c r="BEO135" s="258"/>
      <c r="BEP135" s="270"/>
      <c r="BEQ135" s="271"/>
      <c r="BER135" s="271"/>
      <c r="BES135" s="271"/>
      <c r="BET135" s="221"/>
      <c r="BEU135" s="221"/>
      <c r="BEV135" s="221"/>
      <c r="BEW135" s="258"/>
      <c r="BEX135" s="270"/>
      <c r="BEY135" s="271"/>
      <c r="BEZ135" s="271"/>
      <c r="BFA135" s="271"/>
      <c r="BFB135" s="221"/>
      <c r="BFC135" s="221"/>
      <c r="BFD135" s="221"/>
      <c r="BFE135" s="258"/>
      <c r="BFF135" s="270"/>
      <c r="BFG135" s="271"/>
      <c r="BFH135" s="271"/>
      <c r="BFI135" s="271"/>
      <c r="BFJ135" s="221"/>
      <c r="BFK135" s="221"/>
      <c r="BFL135" s="221"/>
      <c r="BFM135" s="258"/>
      <c r="BFN135" s="270"/>
      <c r="BFO135" s="271"/>
      <c r="BFP135" s="271"/>
      <c r="BFQ135" s="271"/>
      <c r="BFR135" s="221"/>
      <c r="BFS135" s="221"/>
      <c r="BFT135" s="221"/>
      <c r="BFU135" s="258"/>
      <c r="BFV135" s="270"/>
      <c r="BFW135" s="271"/>
      <c r="BFX135" s="271"/>
      <c r="BFY135" s="271"/>
      <c r="BFZ135" s="221"/>
      <c r="BGA135" s="221"/>
      <c r="BGB135" s="221"/>
      <c r="BGC135" s="258"/>
      <c r="BGD135" s="270"/>
      <c r="BGE135" s="271"/>
      <c r="BGF135" s="271"/>
      <c r="BGG135" s="271"/>
      <c r="BGH135" s="221"/>
      <c r="BGI135" s="221"/>
      <c r="BGJ135" s="221"/>
      <c r="BGK135" s="258"/>
      <c r="BGL135" s="270"/>
      <c r="BGM135" s="271"/>
      <c r="BGN135" s="271"/>
      <c r="BGO135" s="271"/>
      <c r="BGP135" s="221"/>
      <c r="BGQ135" s="221"/>
      <c r="BGR135" s="221"/>
      <c r="BGS135" s="258"/>
      <c r="BGT135" s="270"/>
      <c r="BGU135" s="271"/>
      <c r="BGV135" s="271"/>
      <c r="BGW135" s="271"/>
      <c r="BGX135" s="221"/>
      <c r="BGY135" s="221"/>
      <c r="BGZ135" s="221"/>
      <c r="BHA135" s="258"/>
      <c r="BHB135" s="270"/>
      <c r="BHC135" s="271"/>
      <c r="BHD135" s="271"/>
      <c r="BHE135" s="271"/>
      <c r="BHF135" s="221"/>
      <c r="BHG135" s="221"/>
      <c r="BHH135" s="221"/>
      <c r="BHI135" s="258"/>
      <c r="BHJ135" s="270"/>
      <c r="BHK135" s="271"/>
      <c r="BHL135" s="271"/>
      <c r="BHM135" s="271"/>
      <c r="BHN135" s="221"/>
      <c r="BHO135" s="221"/>
      <c r="BHP135" s="221"/>
      <c r="BHQ135" s="258"/>
      <c r="BHR135" s="270"/>
      <c r="BHS135" s="271"/>
      <c r="BHT135" s="271"/>
      <c r="BHU135" s="271"/>
      <c r="BHV135" s="221"/>
      <c r="BHW135" s="221"/>
      <c r="BHX135" s="221"/>
      <c r="BHY135" s="258"/>
      <c r="BHZ135" s="270"/>
      <c r="BIA135" s="271"/>
      <c r="BIB135" s="271"/>
      <c r="BIC135" s="271"/>
      <c r="BID135" s="221"/>
      <c r="BIE135" s="221"/>
      <c r="BIF135" s="221"/>
      <c r="BIG135" s="258"/>
      <c r="BIH135" s="270"/>
      <c r="BII135" s="271"/>
      <c r="BIJ135" s="271"/>
      <c r="BIK135" s="271"/>
      <c r="BIL135" s="221"/>
      <c r="BIM135" s="221"/>
      <c r="BIN135" s="221"/>
      <c r="BIO135" s="258"/>
      <c r="BIP135" s="270"/>
      <c r="BIQ135" s="271"/>
      <c r="BIR135" s="271"/>
      <c r="BIS135" s="271"/>
      <c r="BIT135" s="221"/>
      <c r="BIU135" s="221"/>
      <c r="BIV135" s="221"/>
      <c r="BIW135" s="258"/>
      <c r="BIX135" s="270"/>
      <c r="BIY135" s="271"/>
      <c r="BIZ135" s="271"/>
      <c r="BJA135" s="271"/>
      <c r="BJB135" s="221"/>
      <c r="BJC135" s="221"/>
      <c r="BJD135" s="221"/>
      <c r="BJE135" s="258"/>
      <c r="BJF135" s="270"/>
      <c r="BJG135" s="271"/>
      <c r="BJH135" s="271"/>
      <c r="BJI135" s="271"/>
      <c r="BJJ135" s="221"/>
      <c r="BJK135" s="221"/>
      <c r="BJL135" s="221"/>
      <c r="BJM135" s="258"/>
      <c r="BJN135" s="270"/>
      <c r="BJO135" s="271"/>
      <c r="BJP135" s="271"/>
      <c r="BJQ135" s="271"/>
      <c r="BJR135" s="221"/>
      <c r="BJS135" s="221"/>
      <c r="BJT135" s="221"/>
      <c r="BJU135" s="258"/>
      <c r="BJV135" s="270"/>
      <c r="BJW135" s="271"/>
      <c r="BJX135" s="271"/>
      <c r="BJY135" s="271"/>
      <c r="BJZ135" s="221"/>
      <c r="BKA135" s="221"/>
      <c r="BKB135" s="221"/>
      <c r="BKC135" s="258"/>
      <c r="BKD135" s="270"/>
      <c r="BKE135" s="271"/>
      <c r="BKF135" s="271"/>
      <c r="BKG135" s="271"/>
      <c r="BKH135" s="221"/>
      <c r="BKI135" s="221"/>
      <c r="BKJ135" s="221"/>
      <c r="BKK135" s="258"/>
      <c r="BKL135" s="270"/>
      <c r="BKM135" s="271"/>
      <c r="BKN135" s="271"/>
      <c r="BKO135" s="271"/>
      <c r="BKP135" s="221"/>
      <c r="BKQ135" s="221"/>
      <c r="BKR135" s="221"/>
      <c r="BKS135" s="258"/>
      <c r="BKT135" s="270"/>
      <c r="BKU135" s="271"/>
      <c r="BKV135" s="271"/>
      <c r="BKW135" s="271"/>
      <c r="BKX135" s="221"/>
      <c r="BKY135" s="221"/>
      <c r="BKZ135" s="221"/>
      <c r="BLA135" s="258"/>
      <c r="BLB135" s="270"/>
      <c r="BLC135" s="271"/>
      <c r="BLD135" s="271"/>
      <c r="BLE135" s="271"/>
      <c r="BLF135" s="221"/>
      <c r="BLG135" s="221"/>
      <c r="BLH135" s="221"/>
      <c r="BLI135" s="258"/>
      <c r="BLJ135" s="270"/>
      <c r="BLK135" s="271"/>
      <c r="BLL135" s="271"/>
      <c r="BLM135" s="271"/>
      <c r="BLN135" s="221"/>
      <c r="BLO135" s="221"/>
      <c r="BLP135" s="221"/>
      <c r="BLQ135" s="258"/>
      <c r="BLR135" s="270"/>
      <c r="BLS135" s="271"/>
      <c r="BLT135" s="271"/>
      <c r="BLU135" s="271"/>
      <c r="BLV135" s="221"/>
      <c r="BLW135" s="221"/>
      <c r="BLX135" s="221"/>
      <c r="BLY135" s="258"/>
      <c r="BLZ135" s="270"/>
      <c r="BMA135" s="271"/>
      <c r="BMB135" s="271"/>
      <c r="BMC135" s="271"/>
      <c r="BMD135" s="221"/>
      <c r="BME135" s="221"/>
      <c r="BMF135" s="221"/>
      <c r="BMG135" s="258"/>
      <c r="BMH135" s="270"/>
      <c r="BMI135" s="271"/>
      <c r="BMJ135" s="271"/>
      <c r="BMK135" s="271"/>
      <c r="BML135" s="221"/>
      <c r="BMM135" s="221"/>
      <c r="BMN135" s="221"/>
      <c r="BMO135" s="258"/>
      <c r="BMP135" s="270"/>
      <c r="BMQ135" s="271"/>
      <c r="BMR135" s="271"/>
      <c r="BMS135" s="271"/>
      <c r="BMT135" s="221"/>
      <c r="BMU135" s="221"/>
      <c r="BMV135" s="221"/>
      <c r="BMW135" s="258"/>
      <c r="BMX135" s="270"/>
      <c r="BMY135" s="271"/>
      <c r="BMZ135" s="271"/>
      <c r="BNA135" s="271"/>
      <c r="BNB135" s="221"/>
      <c r="BNC135" s="221"/>
      <c r="BND135" s="221"/>
      <c r="BNE135" s="258"/>
      <c r="BNF135" s="270"/>
      <c r="BNG135" s="271"/>
      <c r="BNH135" s="271"/>
      <c r="BNI135" s="271"/>
      <c r="BNJ135" s="221"/>
      <c r="BNK135" s="221"/>
      <c r="BNL135" s="221"/>
      <c r="BNM135" s="258"/>
      <c r="BNN135" s="270"/>
      <c r="BNO135" s="271"/>
      <c r="BNP135" s="271"/>
      <c r="BNQ135" s="271"/>
      <c r="BNR135" s="221"/>
      <c r="BNS135" s="221"/>
      <c r="BNT135" s="221"/>
      <c r="BNU135" s="258"/>
      <c r="BNV135" s="270"/>
      <c r="BNW135" s="271"/>
      <c r="BNX135" s="271"/>
      <c r="BNY135" s="271"/>
      <c r="BNZ135" s="221"/>
      <c r="BOA135" s="221"/>
      <c r="BOB135" s="221"/>
      <c r="BOC135" s="258"/>
      <c r="BOD135" s="270"/>
      <c r="BOE135" s="271"/>
      <c r="BOF135" s="271"/>
      <c r="BOG135" s="271"/>
      <c r="BOH135" s="221"/>
      <c r="BOI135" s="221"/>
      <c r="BOJ135" s="221"/>
      <c r="BOK135" s="258"/>
      <c r="BOL135" s="270"/>
      <c r="BOM135" s="271"/>
      <c r="BON135" s="271"/>
      <c r="BOO135" s="271"/>
      <c r="BOP135" s="221"/>
      <c r="BOQ135" s="221"/>
      <c r="BOR135" s="221"/>
      <c r="BOS135" s="258"/>
      <c r="BOT135" s="270"/>
      <c r="BOU135" s="271"/>
      <c r="BOV135" s="271"/>
      <c r="BOW135" s="271"/>
      <c r="BOX135" s="221"/>
      <c r="BOY135" s="221"/>
      <c r="BOZ135" s="221"/>
      <c r="BPA135" s="258"/>
      <c r="BPB135" s="270"/>
      <c r="BPC135" s="271"/>
      <c r="BPD135" s="271"/>
      <c r="BPE135" s="271"/>
      <c r="BPF135" s="221"/>
      <c r="BPG135" s="221"/>
      <c r="BPH135" s="221"/>
      <c r="BPI135" s="258"/>
      <c r="BPJ135" s="270"/>
      <c r="BPK135" s="271"/>
      <c r="BPL135" s="271"/>
      <c r="BPM135" s="271"/>
      <c r="BPN135" s="221"/>
      <c r="BPO135" s="221"/>
      <c r="BPP135" s="221"/>
      <c r="BPQ135" s="258"/>
      <c r="BPR135" s="270"/>
      <c r="BPS135" s="271"/>
      <c r="BPT135" s="271"/>
      <c r="BPU135" s="271"/>
      <c r="BPV135" s="221"/>
      <c r="BPW135" s="221"/>
      <c r="BPX135" s="221"/>
      <c r="BPY135" s="258"/>
      <c r="BPZ135" s="270"/>
      <c r="BQA135" s="271"/>
      <c r="BQB135" s="271"/>
      <c r="BQC135" s="271"/>
      <c r="BQD135" s="221"/>
      <c r="BQE135" s="221"/>
      <c r="BQF135" s="221"/>
      <c r="BQG135" s="258"/>
      <c r="BQH135" s="270"/>
      <c r="BQI135" s="271"/>
      <c r="BQJ135" s="271"/>
      <c r="BQK135" s="271"/>
      <c r="BQL135" s="221"/>
      <c r="BQM135" s="221"/>
      <c r="BQN135" s="221"/>
      <c r="BQO135" s="258"/>
      <c r="BQP135" s="270"/>
      <c r="BQQ135" s="271"/>
      <c r="BQR135" s="271"/>
      <c r="BQS135" s="271"/>
      <c r="BQT135" s="221"/>
      <c r="BQU135" s="221"/>
      <c r="BQV135" s="221"/>
      <c r="BQW135" s="258"/>
      <c r="BQX135" s="270"/>
      <c r="BQY135" s="271"/>
      <c r="BQZ135" s="271"/>
      <c r="BRA135" s="271"/>
      <c r="BRB135" s="221"/>
      <c r="BRC135" s="221"/>
      <c r="BRD135" s="221"/>
      <c r="BRE135" s="258"/>
      <c r="BRF135" s="270"/>
      <c r="BRG135" s="271"/>
      <c r="BRH135" s="271"/>
      <c r="BRI135" s="271"/>
      <c r="BRJ135" s="221"/>
      <c r="BRK135" s="221"/>
      <c r="BRL135" s="221"/>
      <c r="BRM135" s="258"/>
      <c r="BRN135" s="270"/>
      <c r="BRO135" s="271"/>
      <c r="BRP135" s="271"/>
      <c r="BRQ135" s="271"/>
      <c r="BRR135" s="221"/>
      <c r="BRS135" s="221"/>
      <c r="BRT135" s="221"/>
      <c r="BRU135" s="258"/>
      <c r="BRV135" s="270"/>
      <c r="BRW135" s="271"/>
      <c r="BRX135" s="271"/>
      <c r="BRY135" s="271"/>
      <c r="BRZ135" s="221"/>
      <c r="BSA135" s="221"/>
      <c r="BSB135" s="221"/>
      <c r="BSC135" s="258"/>
      <c r="BSD135" s="270"/>
      <c r="BSE135" s="271"/>
      <c r="BSF135" s="271"/>
      <c r="BSG135" s="271"/>
      <c r="BSH135" s="221"/>
      <c r="BSI135" s="221"/>
      <c r="BSJ135" s="221"/>
      <c r="BSK135" s="258"/>
      <c r="BSL135" s="270"/>
      <c r="BSM135" s="271"/>
      <c r="BSN135" s="271"/>
      <c r="BSO135" s="271"/>
      <c r="BSP135" s="221"/>
      <c r="BSQ135" s="221"/>
      <c r="BSR135" s="221"/>
      <c r="BSS135" s="258"/>
      <c r="BST135" s="270"/>
      <c r="BSU135" s="271"/>
      <c r="BSV135" s="271"/>
      <c r="BSW135" s="271"/>
      <c r="BSX135" s="221"/>
      <c r="BSY135" s="221"/>
      <c r="BSZ135" s="221"/>
      <c r="BTA135" s="258"/>
      <c r="BTB135" s="270"/>
      <c r="BTC135" s="271"/>
      <c r="BTD135" s="271"/>
      <c r="BTE135" s="271"/>
      <c r="BTF135" s="221"/>
      <c r="BTG135" s="221"/>
      <c r="BTH135" s="221"/>
      <c r="BTI135" s="258"/>
      <c r="BTJ135" s="270"/>
      <c r="BTK135" s="271"/>
      <c r="BTL135" s="271"/>
      <c r="BTM135" s="271"/>
      <c r="BTN135" s="221"/>
      <c r="BTO135" s="221"/>
      <c r="BTP135" s="221"/>
      <c r="BTQ135" s="258"/>
      <c r="BTR135" s="270"/>
      <c r="BTS135" s="271"/>
      <c r="BTT135" s="271"/>
      <c r="BTU135" s="271"/>
      <c r="BTV135" s="221"/>
      <c r="BTW135" s="221"/>
      <c r="BTX135" s="221"/>
      <c r="BTY135" s="258"/>
      <c r="BTZ135" s="270"/>
      <c r="BUA135" s="271"/>
      <c r="BUB135" s="271"/>
      <c r="BUC135" s="271"/>
      <c r="BUD135" s="221"/>
      <c r="BUE135" s="221"/>
      <c r="BUF135" s="221"/>
      <c r="BUG135" s="258"/>
      <c r="BUH135" s="270"/>
      <c r="BUI135" s="271"/>
      <c r="BUJ135" s="271"/>
      <c r="BUK135" s="271"/>
      <c r="BUL135" s="221"/>
      <c r="BUM135" s="221"/>
      <c r="BUN135" s="221"/>
      <c r="BUO135" s="258"/>
      <c r="BUP135" s="270"/>
      <c r="BUQ135" s="271"/>
      <c r="BUR135" s="271"/>
      <c r="BUS135" s="271"/>
      <c r="BUT135" s="221"/>
      <c r="BUU135" s="221"/>
      <c r="BUV135" s="221"/>
      <c r="BUW135" s="258"/>
      <c r="BUX135" s="270"/>
      <c r="BUY135" s="271"/>
      <c r="BUZ135" s="271"/>
      <c r="BVA135" s="271"/>
      <c r="BVB135" s="221"/>
      <c r="BVC135" s="221"/>
      <c r="BVD135" s="221"/>
      <c r="BVE135" s="258"/>
      <c r="BVF135" s="270"/>
      <c r="BVG135" s="271"/>
      <c r="BVH135" s="271"/>
      <c r="BVI135" s="271"/>
      <c r="BVJ135" s="221"/>
      <c r="BVK135" s="221"/>
      <c r="BVL135" s="221"/>
      <c r="BVM135" s="258"/>
      <c r="BVN135" s="270"/>
      <c r="BVO135" s="271"/>
      <c r="BVP135" s="271"/>
      <c r="BVQ135" s="271"/>
      <c r="BVR135" s="221"/>
      <c r="BVS135" s="221"/>
      <c r="BVT135" s="221"/>
      <c r="BVU135" s="258"/>
      <c r="BVV135" s="270"/>
      <c r="BVW135" s="271"/>
      <c r="BVX135" s="271"/>
      <c r="BVY135" s="271"/>
      <c r="BVZ135" s="221"/>
      <c r="BWA135" s="221"/>
      <c r="BWB135" s="221"/>
      <c r="BWC135" s="258"/>
      <c r="BWD135" s="270"/>
      <c r="BWE135" s="271"/>
      <c r="BWF135" s="271"/>
      <c r="BWG135" s="271"/>
      <c r="BWH135" s="221"/>
      <c r="BWI135" s="221"/>
      <c r="BWJ135" s="221"/>
      <c r="BWK135" s="258"/>
      <c r="BWL135" s="270"/>
      <c r="BWM135" s="271"/>
      <c r="BWN135" s="271"/>
      <c r="BWO135" s="271"/>
      <c r="BWP135" s="221"/>
      <c r="BWQ135" s="221"/>
      <c r="BWR135" s="221"/>
      <c r="BWS135" s="258"/>
      <c r="BWT135" s="270"/>
      <c r="BWU135" s="271"/>
      <c r="BWV135" s="271"/>
      <c r="BWW135" s="271"/>
      <c r="BWX135" s="221"/>
      <c r="BWY135" s="221"/>
      <c r="BWZ135" s="221"/>
      <c r="BXA135" s="258"/>
      <c r="BXB135" s="270"/>
      <c r="BXC135" s="271"/>
      <c r="BXD135" s="271"/>
      <c r="BXE135" s="271"/>
      <c r="BXF135" s="221"/>
      <c r="BXG135" s="221"/>
      <c r="BXH135" s="221"/>
      <c r="BXI135" s="258"/>
      <c r="BXJ135" s="270"/>
      <c r="BXK135" s="271"/>
      <c r="BXL135" s="271"/>
      <c r="BXM135" s="271"/>
      <c r="BXN135" s="221"/>
      <c r="BXO135" s="221"/>
      <c r="BXP135" s="221"/>
      <c r="BXQ135" s="258"/>
      <c r="BXR135" s="270"/>
      <c r="BXS135" s="271"/>
      <c r="BXT135" s="271"/>
      <c r="BXU135" s="271"/>
      <c r="BXV135" s="221"/>
      <c r="BXW135" s="221"/>
      <c r="BXX135" s="221"/>
      <c r="BXY135" s="258"/>
      <c r="BXZ135" s="270"/>
      <c r="BYA135" s="271"/>
      <c r="BYB135" s="271"/>
      <c r="BYC135" s="271"/>
      <c r="BYD135" s="221"/>
      <c r="BYE135" s="221"/>
      <c r="BYF135" s="221"/>
      <c r="BYG135" s="258"/>
      <c r="BYH135" s="270"/>
      <c r="BYI135" s="271"/>
      <c r="BYJ135" s="271"/>
      <c r="BYK135" s="271"/>
      <c r="BYL135" s="221"/>
      <c r="BYM135" s="221"/>
      <c r="BYN135" s="221"/>
      <c r="BYO135" s="258"/>
      <c r="BYP135" s="270"/>
      <c r="BYQ135" s="271"/>
      <c r="BYR135" s="271"/>
      <c r="BYS135" s="271"/>
      <c r="BYT135" s="221"/>
      <c r="BYU135" s="221"/>
      <c r="BYV135" s="221"/>
      <c r="BYW135" s="258"/>
      <c r="BYX135" s="270"/>
      <c r="BYY135" s="271"/>
      <c r="BYZ135" s="271"/>
      <c r="BZA135" s="271"/>
      <c r="BZB135" s="221"/>
      <c r="BZC135" s="221"/>
      <c r="BZD135" s="221"/>
      <c r="BZE135" s="258"/>
      <c r="BZF135" s="270"/>
      <c r="BZG135" s="271"/>
      <c r="BZH135" s="271"/>
      <c r="BZI135" s="271"/>
      <c r="BZJ135" s="221"/>
      <c r="BZK135" s="221"/>
      <c r="BZL135" s="221"/>
      <c r="BZM135" s="258"/>
      <c r="BZN135" s="270"/>
      <c r="BZO135" s="271"/>
      <c r="BZP135" s="271"/>
      <c r="BZQ135" s="271"/>
      <c r="BZR135" s="221"/>
      <c r="BZS135" s="221"/>
      <c r="BZT135" s="221"/>
      <c r="BZU135" s="258"/>
      <c r="BZV135" s="270"/>
      <c r="BZW135" s="271"/>
      <c r="BZX135" s="271"/>
      <c r="BZY135" s="271"/>
      <c r="BZZ135" s="221"/>
      <c r="CAA135" s="221"/>
      <c r="CAB135" s="221"/>
      <c r="CAC135" s="258"/>
      <c r="CAD135" s="270"/>
      <c r="CAE135" s="271"/>
      <c r="CAF135" s="271"/>
      <c r="CAG135" s="271"/>
      <c r="CAH135" s="221"/>
      <c r="CAI135" s="221"/>
      <c r="CAJ135" s="221"/>
      <c r="CAK135" s="258"/>
      <c r="CAL135" s="270"/>
      <c r="CAM135" s="271"/>
      <c r="CAN135" s="271"/>
      <c r="CAO135" s="271"/>
      <c r="CAP135" s="221"/>
      <c r="CAQ135" s="221"/>
      <c r="CAR135" s="221"/>
      <c r="CAS135" s="258"/>
      <c r="CAT135" s="270"/>
      <c r="CAU135" s="271"/>
      <c r="CAV135" s="271"/>
      <c r="CAW135" s="271"/>
      <c r="CAX135" s="221"/>
      <c r="CAY135" s="221"/>
      <c r="CAZ135" s="221"/>
      <c r="CBA135" s="258"/>
      <c r="CBB135" s="270"/>
      <c r="CBC135" s="271"/>
      <c r="CBD135" s="271"/>
      <c r="CBE135" s="271"/>
      <c r="CBF135" s="221"/>
      <c r="CBG135" s="221"/>
      <c r="CBH135" s="221"/>
      <c r="CBI135" s="258"/>
      <c r="CBJ135" s="270"/>
      <c r="CBK135" s="271"/>
      <c r="CBL135" s="271"/>
      <c r="CBM135" s="271"/>
      <c r="CBN135" s="221"/>
      <c r="CBO135" s="221"/>
      <c r="CBP135" s="221"/>
      <c r="CBQ135" s="258"/>
      <c r="CBR135" s="270"/>
      <c r="CBS135" s="271"/>
      <c r="CBT135" s="271"/>
      <c r="CBU135" s="271"/>
      <c r="CBV135" s="221"/>
      <c r="CBW135" s="221"/>
      <c r="CBX135" s="221"/>
      <c r="CBY135" s="258"/>
      <c r="CBZ135" s="270"/>
      <c r="CCA135" s="271"/>
      <c r="CCB135" s="271"/>
      <c r="CCC135" s="271"/>
      <c r="CCD135" s="221"/>
      <c r="CCE135" s="221"/>
      <c r="CCF135" s="221"/>
      <c r="CCG135" s="258"/>
      <c r="CCH135" s="270"/>
      <c r="CCI135" s="271"/>
      <c r="CCJ135" s="271"/>
      <c r="CCK135" s="271"/>
      <c r="CCL135" s="221"/>
      <c r="CCM135" s="221"/>
      <c r="CCN135" s="221"/>
      <c r="CCO135" s="258"/>
      <c r="CCP135" s="270"/>
      <c r="CCQ135" s="271"/>
      <c r="CCR135" s="271"/>
      <c r="CCS135" s="271"/>
      <c r="CCT135" s="221"/>
      <c r="CCU135" s="221"/>
      <c r="CCV135" s="221"/>
      <c r="CCW135" s="258"/>
      <c r="CCX135" s="270"/>
      <c r="CCY135" s="271"/>
      <c r="CCZ135" s="271"/>
      <c r="CDA135" s="271"/>
      <c r="CDB135" s="221"/>
      <c r="CDC135" s="221"/>
      <c r="CDD135" s="221"/>
      <c r="CDE135" s="258"/>
      <c r="CDF135" s="270"/>
      <c r="CDG135" s="271"/>
      <c r="CDH135" s="271"/>
      <c r="CDI135" s="271"/>
      <c r="CDJ135" s="221"/>
      <c r="CDK135" s="221"/>
      <c r="CDL135" s="221"/>
      <c r="CDM135" s="258"/>
      <c r="CDN135" s="270"/>
      <c r="CDO135" s="271"/>
      <c r="CDP135" s="271"/>
      <c r="CDQ135" s="271"/>
      <c r="CDR135" s="221"/>
      <c r="CDS135" s="221"/>
      <c r="CDT135" s="221"/>
      <c r="CDU135" s="258"/>
      <c r="CDV135" s="270"/>
      <c r="CDW135" s="271"/>
      <c r="CDX135" s="271"/>
      <c r="CDY135" s="271"/>
      <c r="CDZ135" s="221"/>
      <c r="CEA135" s="221"/>
      <c r="CEB135" s="221"/>
      <c r="CEC135" s="258"/>
      <c r="CED135" s="270"/>
      <c r="CEE135" s="271"/>
      <c r="CEF135" s="271"/>
      <c r="CEG135" s="271"/>
      <c r="CEH135" s="221"/>
      <c r="CEI135" s="221"/>
      <c r="CEJ135" s="221"/>
      <c r="CEK135" s="258"/>
      <c r="CEL135" s="270"/>
      <c r="CEM135" s="271"/>
      <c r="CEN135" s="271"/>
      <c r="CEO135" s="271"/>
      <c r="CEP135" s="221"/>
      <c r="CEQ135" s="221"/>
      <c r="CER135" s="221"/>
      <c r="CES135" s="258"/>
      <c r="CET135" s="270"/>
      <c r="CEU135" s="271"/>
      <c r="CEV135" s="271"/>
      <c r="CEW135" s="271"/>
      <c r="CEX135" s="221"/>
      <c r="CEY135" s="221"/>
      <c r="CEZ135" s="221"/>
      <c r="CFA135" s="258"/>
      <c r="CFB135" s="270"/>
      <c r="CFC135" s="271"/>
      <c r="CFD135" s="271"/>
      <c r="CFE135" s="271"/>
      <c r="CFF135" s="221"/>
      <c r="CFG135" s="221"/>
      <c r="CFH135" s="221"/>
      <c r="CFI135" s="258"/>
      <c r="CFJ135" s="270"/>
      <c r="CFK135" s="271"/>
      <c r="CFL135" s="271"/>
      <c r="CFM135" s="271"/>
      <c r="CFN135" s="221"/>
      <c r="CFO135" s="221"/>
      <c r="CFP135" s="221"/>
      <c r="CFQ135" s="258"/>
      <c r="CFR135" s="270"/>
      <c r="CFS135" s="271"/>
      <c r="CFT135" s="271"/>
      <c r="CFU135" s="271"/>
      <c r="CFV135" s="221"/>
      <c r="CFW135" s="221"/>
      <c r="CFX135" s="221"/>
      <c r="CFY135" s="258"/>
      <c r="CFZ135" s="270"/>
      <c r="CGA135" s="271"/>
      <c r="CGB135" s="271"/>
      <c r="CGC135" s="271"/>
      <c r="CGD135" s="221"/>
      <c r="CGE135" s="221"/>
      <c r="CGF135" s="221"/>
      <c r="CGG135" s="258"/>
      <c r="CGH135" s="270"/>
      <c r="CGI135" s="271"/>
      <c r="CGJ135" s="271"/>
      <c r="CGK135" s="271"/>
      <c r="CGL135" s="221"/>
      <c r="CGM135" s="221"/>
      <c r="CGN135" s="221"/>
      <c r="CGO135" s="258"/>
      <c r="CGP135" s="270"/>
      <c r="CGQ135" s="271"/>
      <c r="CGR135" s="271"/>
      <c r="CGS135" s="271"/>
      <c r="CGT135" s="221"/>
      <c r="CGU135" s="221"/>
      <c r="CGV135" s="221"/>
      <c r="CGW135" s="258"/>
      <c r="CGX135" s="270"/>
      <c r="CGY135" s="271"/>
      <c r="CGZ135" s="271"/>
      <c r="CHA135" s="271"/>
      <c r="CHB135" s="221"/>
      <c r="CHC135" s="221"/>
      <c r="CHD135" s="221"/>
      <c r="CHE135" s="258"/>
      <c r="CHF135" s="270"/>
      <c r="CHG135" s="271"/>
      <c r="CHH135" s="271"/>
      <c r="CHI135" s="271"/>
      <c r="CHJ135" s="221"/>
      <c r="CHK135" s="221"/>
      <c r="CHL135" s="221"/>
      <c r="CHM135" s="258"/>
      <c r="CHN135" s="270"/>
      <c r="CHO135" s="271"/>
      <c r="CHP135" s="271"/>
      <c r="CHQ135" s="271"/>
      <c r="CHR135" s="221"/>
      <c r="CHS135" s="221"/>
      <c r="CHT135" s="221"/>
      <c r="CHU135" s="258"/>
      <c r="CHV135" s="270"/>
      <c r="CHW135" s="271"/>
      <c r="CHX135" s="271"/>
      <c r="CHY135" s="271"/>
      <c r="CHZ135" s="221"/>
      <c r="CIA135" s="221"/>
      <c r="CIB135" s="221"/>
      <c r="CIC135" s="258"/>
      <c r="CID135" s="270"/>
      <c r="CIE135" s="271"/>
      <c r="CIF135" s="271"/>
      <c r="CIG135" s="271"/>
      <c r="CIH135" s="221"/>
      <c r="CII135" s="221"/>
      <c r="CIJ135" s="221"/>
      <c r="CIK135" s="258"/>
      <c r="CIL135" s="270"/>
      <c r="CIM135" s="271"/>
      <c r="CIN135" s="271"/>
      <c r="CIO135" s="271"/>
      <c r="CIP135" s="221"/>
      <c r="CIQ135" s="221"/>
      <c r="CIR135" s="221"/>
      <c r="CIS135" s="258"/>
      <c r="CIT135" s="270"/>
      <c r="CIU135" s="271"/>
      <c r="CIV135" s="271"/>
      <c r="CIW135" s="271"/>
      <c r="CIX135" s="221"/>
      <c r="CIY135" s="221"/>
      <c r="CIZ135" s="221"/>
      <c r="CJA135" s="258"/>
      <c r="CJB135" s="270"/>
      <c r="CJC135" s="271"/>
      <c r="CJD135" s="271"/>
      <c r="CJE135" s="271"/>
      <c r="CJF135" s="221"/>
      <c r="CJG135" s="221"/>
      <c r="CJH135" s="221"/>
      <c r="CJI135" s="258"/>
      <c r="CJJ135" s="270"/>
      <c r="CJK135" s="271"/>
      <c r="CJL135" s="271"/>
      <c r="CJM135" s="271"/>
      <c r="CJN135" s="221"/>
      <c r="CJO135" s="221"/>
      <c r="CJP135" s="221"/>
      <c r="CJQ135" s="258"/>
      <c r="CJR135" s="270"/>
      <c r="CJS135" s="271"/>
      <c r="CJT135" s="271"/>
      <c r="CJU135" s="271"/>
      <c r="CJV135" s="221"/>
      <c r="CJW135" s="221"/>
      <c r="CJX135" s="221"/>
      <c r="CJY135" s="258"/>
      <c r="CJZ135" s="270"/>
      <c r="CKA135" s="271"/>
      <c r="CKB135" s="271"/>
      <c r="CKC135" s="271"/>
      <c r="CKD135" s="221"/>
      <c r="CKE135" s="221"/>
      <c r="CKF135" s="221"/>
      <c r="CKG135" s="258"/>
      <c r="CKH135" s="270"/>
      <c r="CKI135" s="271"/>
      <c r="CKJ135" s="271"/>
      <c r="CKK135" s="271"/>
      <c r="CKL135" s="221"/>
      <c r="CKM135" s="221"/>
      <c r="CKN135" s="221"/>
      <c r="CKO135" s="258"/>
      <c r="CKP135" s="270"/>
      <c r="CKQ135" s="271"/>
      <c r="CKR135" s="271"/>
      <c r="CKS135" s="271"/>
      <c r="CKT135" s="221"/>
      <c r="CKU135" s="221"/>
      <c r="CKV135" s="221"/>
      <c r="CKW135" s="258"/>
      <c r="CKX135" s="270"/>
      <c r="CKY135" s="271"/>
      <c r="CKZ135" s="271"/>
      <c r="CLA135" s="271"/>
      <c r="CLB135" s="221"/>
      <c r="CLC135" s="221"/>
      <c r="CLD135" s="221"/>
      <c r="CLE135" s="258"/>
      <c r="CLF135" s="270"/>
      <c r="CLG135" s="271"/>
      <c r="CLH135" s="271"/>
      <c r="CLI135" s="271"/>
      <c r="CLJ135" s="221"/>
      <c r="CLK135" s="221"/>
      <c r="CLL135" s="221"/>
      <c r="CLM135" s="258"/>
      <c r="CLN135" s="270"/>
      <c r="CLO135" s="271"/>
      <c r="CLP135" s="271"/>
      <c r="CLQ135" s="271"/>
      <c r="CLR135" s="221"/>
      <c r="CLS135" s="221"/>
      <c r="CLT135" s="221"/>
      <c r="CLU135" s="258"/>
      <c r="CLV135" s="270"/>
      <c r="CLW135" s="271"/>
      <c r="CLX135" s="271"/>
      <c r="CLY135" s="271"/>
      <c r="CLZ135" s="221"/>
      <c r="CMA135" s="221"/>
      <c r="CMB135" s="221"/>
      <c r="CMC135" s="258"/>
      <c r="CMD135" s="270"/>
      <c r="CME135" s="271"/>
      <c r="CMF135" s="271"/>
      <c r="CMG135" s="271"/>
      <c r="CMH135" s="221"/>
      <c r="CMI135" s="221"/>
      <c r="CMJ135" s="221"/>
      <c r="CMK135" s="258"/>
      <c r="CML135" s="270"/>
      <c r="CMM135" s="271"/>
      <c r="CMN135" s="271"/>
      <c r="CMO135" s="271"/>
      <c r="CMP135" s="221"/>
      <c r="CMQ135" s="221"/>
      <c r="CMR135" s="221"/>
      <c r="CMS135" s="258"/>
      <c r="CMT135" s="270"/>
      <c r="CMU135" s="271"/>
      <c r="CMV135" s="271"/>
      <c r="CMW135" s="271"/>
      <c r="CMX135" s="221"/>
      <c r="CMY135" s="221"/>
      <c r="CMZ135" s="221"/>
      <c r="CNA135" s="258"/>
      <c r="CNB135" s="270"/>
      <c r="CNC135" s="271"/>
      <c r="CND135" s="271"/>
      <c r="CNE135" s="271"/>
      <c r="CNF135" s="221"/>
      <c r="CNG135" s="221"/>
      <c r="CNH135" s="221"/>
      <c r="CNI135" s="258"/>
      <c r="CNJ135" s="270"/>
      <c r="CNK135" s="271"/>
      <c r="CNL135" s="271"/>
      <c r="CNM135" s="271"/>
      <c r="CNN135" s="221"/>
      <c r="CNO135" s="221"/>
      <c r="CNP135" s="221"/>
      <c r="CNQ135" s="258"/>
      <c r="CNR135" s="270"/>
      <c r="CNS135" s="271"/>
      <c r="CNT135" s="271"/>
      <c r="CNU135" s="271"/>
      <c r="CNV135" s="221"/>
      <c r="CNW135" s="221"/>
      <c r="CNX135" s="221"/>
      <c r="CNY135" s="258"/>
      <c r="CNZ135" s="270"/>
      <c r="COA135" s="271"/>
      <c r="COB135" s="271"/>
      <c r="COC135" s="271"/>
      <c r="COD135" s="221"/>
      <c r="COE135" s="221"/>
      <c r="COF135" s="221"/>
      <c r="COG135" s="258"/>
      <c r="COH135" s="270"/>
      <c r="COI135" s="271"/>
      <c r="COJ135" s="271"/>
      <c r="COK135" s="271"/>
      <c r="COL135" s="221"/>
      <c r="COM135" s="221"/>
      <c r="CON135" s="221"/>
      <c r="COO135" s="258"/>
      <c r="COP135" s="270"/>
      <c r="COQ135" s="271"/>
      <c r="COR135" s="271"/>
      <c r="COS135" s="271"/>
      <c r="COT135" s="221"/>
      <c r="COU135" s="221"/>
      <c r="COV135" s="221"/>
      <c r="COW135" s="258"/>
      <c r="COX135" s="270"/>
      <c r="COY135" s="271"/>
      <c r="COZ135" s="271"/>
      <c r="CPA135" s="271"/>
      <c r="CPB135" s="221"/>
      <c r="CPC135" s="221"/>
      <c r="CPD135" s="221"/>
      <c r="CPE135" s="258"/>
      <c r="CPF135" s="270"/>
      <c r="CPG135" s="271"/>
      <c r="CPH135" s="271"/>
      <c r="CPI135" s="271"/>
      <c r="CPJ135" s="221"/>
      <c r="CPK135" s="221"/>
      <c r="CPL135" s="221"/>
      <c r="CPM135" s="258"/>
      <c r="CPN135" s="270"/>
      <c r="CPO135" s="271"/>
      <c r="CPP135" s="271"/>
      <c r="CPQ135" s="271"/>
      <c r="CPR135" s="221"/>
      <c r="CPS135" s="221"/>
      <c r="CPT135" s="221"/>
      <c r="CPU135" s="258"/>
      <c r="CPV135" s="270"/>
      <c r="CPW135" s="271"/>
      <c r="CPX135" s="271"/>
      <c r="CPY135" s="271"/>
      <c r="CPZ135" s="221"/>
      <c r="CQA135" s="221"/>
      <c r="CQB135" s="221"/>
      <c r="CQC135" s="258"/>
      <c r="CQD135" s="270"/>
      <c r="CQE135" s="271"/>
      <c r="CQF135" s="271"/>
      <c r="CQG135" s="271"/>
      <c r="CQH135" s="221"/>
      <c r="CQI135" s="221"/>
      <c r="CQJ135" s="221"/>
      <c r="CQK135" s="258"/>
      <c r="CQL135" s="270"/>
      <c r="CQM135" s="271"/>
      <c r="CQN135" s="271"/>
      <c r="CQO135" s="271"/>
      <c r="CQP135" s="221"/>
      <c r="CQQ135" s="221"/>
      <c r="CQR135" s="221"/>
      <c r="CQS135" s="258"/>
      <c r="CQT135" s="270"/>
      <c r="CQU135" s="271"/>
      <c r="CQV135" s="271"/>
      <c r="CQW135" s="271"/>
      <c r="CQX135" s="221"/>
      <c r="CQY135" s="221"/>
      <c r="CQZ135" s="221"/>
      <c r="CRA135" s="258"/>
      <c r="CRB135" s="270"/>
      <c r="CRC135" s="271"/>
      <c r="CRD135" s="271"/>
      <c r="CRE135" s="271"/>
      <c r="CRF135" s="221"/>
      <c r="CRG135" s="221"/>
      <c r="CRH135" s="221"/>
      <c r="CRI135" s="258"/>
      <c r="CRJ135" s="270"/>
      <c r="CRK135" s="271"/>
      <c r="CRL135" s="271"/>
      <c r="CRM135" s="271"/>
      <c r="CRN135" s="221"/>
      <c r="CRO135" s="221"/>
      <c r="CRP135" s="221"/>
      <c r="CRQ135" s="258"/>
      <c r="CRR135" s="270"/>
      <c r="CRS135" s="271"/>
      <c r="CRT135" s="271"/>
      <c r="CRU135" s="271"/>
      <c r="CRV135" s="221"/>
      <c r="CRW135" s="221"/>
      <c r="CRX135" s="221"/>
      <c r="CRY135" s="258"/>
      <c r="CRZ135" s="270"/>
      <c r="CSA135" s="271"/>
      <c r="CSB135" s="271"/>
      <c r="CSC135" s="271"/>
      <c r="CSD135" s="221"/>
      <c r="CSE135" s="221"/>
      <c r="CSF135" s="221"/>
      <c r="CSG135" s="258"/>
      <c r="CSH135" s="270"/>
      <c r="CSI135" s="271"/>
      <c r="CSJ135" s="271"/>
      <c r="CSK135" s="271"/>
      <c r="CSL135" s="221"/>
      <c r="CSM135" s="221"/>
      <c r="CSN135" s="221"/>
      <c r="CSO135" s="258"/>
      <c r="CSP135" s="270"/>
      <c r="CSQ135" s="271"/>
      <c r="CSR135" s="271"/>
      <c r="CSS135" s="271"/>
      <c r="CST135" s="221"/>
      <c r="CSU135" s="221"/>
      <c r="CSV135" s="221"/>
      <c r="CSW135" s="258"/>
      <c r="CSX135" s="270"/>
      <c r="CSY135" s="271"/>
      <c r="CSZ135" s="271"/>
      <c r="CTA135" s="271"/>
      <c r="CTB135" s="221"/>
      <c r="CTC135" s="221"/>
      <c r="CTD135" s="221"/>
      <c r="CTE135" s="258"/>
      <c r="CTF135" s="270"/>
      <c r="CTG135" s="271"/>
      <c r="CTH135" s="271"/>
      <c r="CTI135" s="271"/>
      <c r="CTJ135" s="221"/>
      <c r="CTK135" s="221"/>
      <c r="CTL135" s="221"/>
      <c r="CTM135" s="258"/>
      <c r="CTN135" s="270"/>
      <c r="CTO135" s="271"/>
      <c r="CTP135" s="271"/>
      <c r="CTQ135" s="271"/>
      <c r="CTR135" s="221"/>
      <c r="CTS135" s="221"/>
      <c r="CTT135" s="221"/>
      <c r="CTU135" s="258"/>
      <c r="CTV135" s="270"/>
      <c r="CTW135" s="271"/>
      <c r="CTX135" s="271"/>
      <c r="CTY135" s="271"/>
      <c r="CTZ135" s="221"/>
      <c r="CUA135" s="221"/>
      <c r="CUB135" s="221"/>
      <c r="CUC135" s="258"/>
      <c r="CUD135" s="270"/>
      <c r="CUE135" s="271"/>
      <c r="CUF135" s="271"/>
      <c r="CUG135" s="271"/>
      <c r="CUH135" s="221"/>
      <c r="CUI135" s="221"/>
      <c r="CUJ135" s="221"/>
      <c r="CUK135" s="258"/>
      <c r="CUL135" s="270"/>
      <c r="CUM135" s="271"/>
      <c r="CUN135" s="271"/>
      <c r="CUO135" s="271"/>
      <c r="CUP135" s="221"/>
      <c r="CUQ135" s="221"/>
      <c r="CUR135" s="221"/>
      <c r="CUS135" s="258"/>
      <c r="CUT135" s="270"/>
      <c r="CUU135" s="271"/>
      <c r="CUV135" s="271"/>
      <c r="CUW135" s="271"/>
      <c r="CUX135" s="221"/>
      <c r="CUY135" s="221"/>
      <c r="CUZ135" s="221"/>
      <c r="CVA135" s="258"/>
      <c r="CVB135" s="270"/>
      <c r="CVC135" s="271"/>
      <c r="CVD135" s="271"/>
      <c r="CVE135" s="271"/>
      <c r="CVF135" s="221"/>
      <c r="CVG135" s="221"/>
      <c r="CVH135" s="221"/>
      <c r="CVI135" s="258"/>
      <c r="CVJ135" s="270"/>
      <c r="CVK135" s="271"/>
      <c r="CVL135" s="271"/>
      <c r="CVM135" s="271"/>
      <c r="CVN135" s="221"/>
      <c r="CVO135" s="221"/>
      <c r="CVP135" s="221"/>
      <c r="CVQ135" s="258"/>
      <c r="CVR135" s="270"/>
      <c r="CVS135" s="271"/>
      <c r="CVT135" s="271"/>
      <c r="CVU135" s="271"/>
      <c r="CVV135" s="221"/>
      <c r="CVW135" s="221"/>
      <c r="CVX135" s="221"/>
      <c r="CVY135" s="258"/>
      <c r="CVZ135" s="270"/>
      <c r="CWA135" s="271"/>
      <c r="CWB135" s="271"/>
      <c r="CWC135" s="271"/>
      <c r="CWD135" s="221"/>
      <c r="CWE135" s="221"/>
      <c r="CWF135" s="221"/>
      <c r="CWG135" s="258"/>
      <c r="CWH135" s="270"/>
      <c r="CWI135" s="271"/>
      <c r="CWJ135" s="271"/>
      <c r="CWK135" s="271"/>
      <c r="CWL135" s="221"/>
      <c r="CWM135" s="221"/>
      <c r="CWN135" s="221"/>
      <c r="CWO135" s="258"/>
      <c r="CWP135" s="270"/>
      <c r="CWQ135" s="271"/>
      <c r="CWR135" s="271"/>
      <c r="CWS135" s="271"/>
      <c r="CWT135" s="221"/>
      <c r="CWU135" s="221"/>
      <c r="CWV135" s="221"/>
      <c r="CWW135" s="258"/>
      <c r="CWX135" s="270"/>
      <c r="CWY135" s="271"/>
      <c r="CWZ135" s="271"/>
      <c r="CXA135" s="271"/>
      <c r="CXB135" s="221"/>
      <c r="CXC135" s="221"/>
      <c r="CXD135" s="221"/>
      <c r="CXE135" s="258"/>
      <c r="CXF135" s="270"/>
      <c r="CXG135" s="271"/>
      <c r="CXH135" s="271"/>
      <c r="CXI135" s="271"/>
      <c r="CXJ135" s="221"/>
      <c r="CXK135" s="221"/>
      <c r="CXL135" s="221"/>
      <c r="CXM135" s="258"/>
      <c r="CXN135" s="270"/>
      <c r="CXO135" s="271"/>
      <c r="CXP135" s="271"/>
      <c r="CXQ135" s="271"/>
      <c r="CXR135" s="221"/>
      <c r="CXS135" s="221"/>
      <c r="CXT135" s="221"/>
      <c r="CXU135" s="258"/>
      <c r="CXV135" s="270"/>
      <c r="CXW135" s="271"/>
      <c r="CXX135" s="271"/>
      <c r="CXY135" s="271"/>
      <c r="CXZ135" s="221"/>
      <c r="CYA135" s="221"/>
      <c r="CYB135" s="221"/>
      <c r="CYC135" s="258"/>
      <c r="CYD135" s="270"/>
      <c r="CYE135" s="271"/>
      <c r="CYF135" s="271"/>
      <c r="CYG135" s="271"/>
      <c r="CYH135" s="221"/>
      <c r="CYI135" s="221"/>
      <c r="CYJ135" s="221"/>
      <c r="CYK135" s="258"/>
      <c r="CYL135" s="270"/>
      <c r="CYM135" s="271"/>
      <c r="CYN135" s="271"/>
      <c r="CYO135" s="271"/>
      <c r="CYP135" s="221"/>
      <c r="CYQ135" s="221"/>
      <c r="CYR135" s="221"/>
      <c r="CYS135" s="258"/>
      <c r="CYT135" s="270"/>
      <c r="CYU135" s="271"/>
      <c r="CYV135" s="271"/>
      <c r="CYW135" s="271"/>
      <c r="CYX135" s="221"/>
      <c r="CYY135" s="221"/>
      <c r="CYZ135" s="221"/>
      <c r="CZA135" s="258"/>
      <c r="CZB135" s="270"/>
      <c r="CZC135" s="271"/>
      <c r="CZD135" s="271"/>
      <c r="CZE135" s="271"/>
      <c r="CZF135" s="221"/>
      <c r="CZG135" s="221"/>
      <c r="CZH135" s="221"/>
      <c r="CZI135" s="258"/>
      <c r="CZJ135" s="270"/>
      <c r="CZK135" s="271"/>
      <c r="CZL135" s="271"/>
      <c r="CZM135" s="271"/>
      <c r="CZN135" s="221"/>
      <c r="CZO135" s="221"/>
      <c r="CZP135" s="221"/>
      <c r="CZQ135" s="258"/>
      <c r="CZR135" s="270"/>
      <c r="CZS135" s="271"/>
      <c r="CZT135" s="271"/>
      <c r="CZU135" s="271"/>
      <c r="CZV135" s="221"/>
      <c r="CZW135" s="221"/>
      <c r="CZX135" s="221"/>
      <c r="CZY135" s="258"/>
      <c r="CZZ135" s="270"/>
      <c r="DAA135" s="271"/>
      <c r="DAB135" s="271"/>
      <c r="DAC135" s="271"/>
      <c r="DAD135" s="221"/>
      <c r="DAE135" s="221"/>
      <c r="DAF135" s="221"/>
      <c r="DAG135" s="258"/>
      <c r="DAH135" s="270"/>
      <c r="DAI135" s="271"/>
      <c r="DAJ135" s="271"/>
      <c r="DAK135" s="271"/>
      <c r="DAL135" s="221"/>
      <c r="DAM135" s="221"/>
      <c r="DAN135" s="221"/>
      <c r="DAO135" s="258"/>
      <c r="DAP135" s="270"/>
      <c r="DAQ135" s="271"/>
      <c r="DAR135" s="271"/>
      <c r="DAS135" s="271"/>
      <c r="DAT135" s="221"/>
      <c r="DAU135" s="221"/>
      <c r="DAV135" s="221"/>
      <c r="DAW135" s="258"/>
      <c r="DAX135" s="270"/>
      <c r="DAY135" s="271"/>
      <c r="DAZ135" s="271"/>
      <c r="DBA135" s="271"/>
      <c r="DBB135" s="221"/>
      <c r="DBC135" s="221"/>
      <c r="DBD135" s="221"/>
      <c r="DBE135" s="258"/>
      <c r="DBF135" s="270"/>
      <c r="DBG135" s="271"/>
      <c r="DBH135" s="271"/>
      <c r="DBI135" s="271"/>
      <c r="DBJ135" s="221"/>
      <c r="DBK135" s="221"/>
      <c r="DBL135" s="221"/>
      <c r="DBM135" s="258"/>
      <c r="DBN135" s="270"/>
      <c r="DBO135" s="271"/>
      <c r="DBP135" s="271"/>
      <c r="DBQ135" s="271"/>
      <c r="DBR135" s="221"/>
      <c r="DBS135" s="221"/>
      <c r="DBT135" s="221"/>
      <c r="DBU135" s="258"/>
      <c r="DBV135" s="270"/>
      <c r="DBW135" s="271"/>
      <c r="DBX135" s="271"/>
      <c r="DBY135" s="271"/>
      <c r="DBZ135" s="221"/>
      <c r="DCA135" s="221"/>
      <c r="DCB135" s="221"/>
      <c r="DCC135" s="258"/>
      <c r="DCD135" s="270"/>
      <c r="DCE135" s="271"/>
      <c r="DCF135" s="271"/>
      <c r="DCG135" s="271"/>
      <c r="DCH135" s="221"/>
      <c r="DCI135" s="221"/>
      <c r="DCJ135" s="221"/>
      <c r="DCK135" s="258"/>
      <c r="DCL135" s="270"/>
      <c r="DCM135" s="271"/>
      <c r="DCN135" s="271"/>
      <c r="DCO135" s="271"/>
      <c r="DCP135" s="221"/>
      <c r="DCQ135" s="221"/>
      <c r="DCR135" s="221"/>
      <c r="DCS135" s="258"/>
      <c r="DCT135" s="270"/>
      <c r="DCU135" s="271"/>
      <c r="DCV135" s="271"/>
      <c r="DCW135" s="271"/>
      <c r="DCX135" s="221"/>
      <c r="DCY135" s="221"/>
      <c r="DCZ135" s="221"/>
      <c r="DDA135" s="258"/>
      <c r="DDB135" s="270"/>
      <c r="DDC135" s="271"/>
      <c r="DDD135" s="271"/>
      <c r="DDE135" s="271"/>
      <c r="DDF135" s="221"/>
      <c r="DDG135" s="221"/>
      <c r="DDH135" s="221"/>
      <c r="DDI135" s="258"/>
      <c r="DDJ135" s="270"/>
      <c r="DDK135" s="271"/>
      <c r="DDL135" s="271"/>
      <c r="DDM135" s="271"/>
      <c r="DDN135" s="221"/>
      <c r="DDO135" s="221"/>
      <c r="DDP135" s="221"/>
      <c r="DDQ135" s="258"/>
      <c r="DDR135" s="270"/>
      <c r="DDS135" s="271"/>
      <c r="DDT135" s="271"/>
      <c r="DDU135" s="271"/>
      <c r="DDV135" s="221"/>
      <c r="DDW135" s="221"/>
      <c r="DDX135" s="221"/>
      <c r="DDY135" s="258"/>
      <c r="DDZ135" s="270"/>
      <c r="DEA135" s="271"/>
      <c r="DEB135" s="271"/>
      <c r="DEC135" s="271"/>
      <c r="DED135" s="221"/>
      <c r="DEE135" s="221"/>
      <c r="DEF135" s="221"/>
      <c r="DEG135" s="258"/>
      <c r="DEH135" s="270"/>
      <c r="DEI135" s="271"/>
      <c r="DEJ135" s="271"/>
      <c r="DEK135" s="271"/>
      <c r="DEL135" s="221"/>
      <c r="DEM135" s="221"/>
      <c r="DEN135" s="221"/>
      <c r="DEO135" s="258"/>
      <c r="DEP135" s="270"/>
      <c r="DEQ135" s="271"/>
      <c r="DER135" s="271"/>
      <c r="DES135" s="271"/>
      <c r="DET135" s="221"/>
      <c r="DEU135" s="221"/>
      <c r="DEV135" s="221"/>
      <c r="DEW135" s="258"/>
      <c r="DEX135" s="270"/>
      <c r="DEY135" s="271"/>
      <c r="DEZ135" s="271"/>
      <c r="DFA135" s="271"/>
      <c r="DFB135" s="221"/>
      <c r="DFC135" s="221"/>
      <c r="DFD135" s="221"/>
      <c r="DFE135" s="258"/>
      <c r="DFF135" s="270"/>
      <c r="DFG135" s="271"/>
      <c r="DFH135" s="271"/>
      <c r="DFI135" s="271"/>
      <c r="DFJ135" s="221"/>
      <c r="DFK135" s="221"/>
      <c r="DFL135" s="221"/>
      <c r="DFM135" s="258"/>
      <c r="DFN135" s="270"/>
      <c r="DFO135" s="271"/>
      <c r="DFP135" s="271"/>
      <c r="DFQ135" s="271"/>
      <c r="DFR135" s="221"/>
      <c r="DFS135" s="221"/>
      <c r="DFT135" s="221"/>
      <c r="DFU135" s="258"/>
      <c r="DFV135" s="270"/>
      <c r="DFW135" s="271"/>
      <c r="DFX135" s="271"/>
      <c r="DFY135" s="271"/>
      <c r="DFZ135" s="221"/>
      <c r="DGA135" s="221"/>
      <c r="DGB135" s="221"/>
      <c r="DGC135" s="258"/>
      <c r="DGD135" s="270"/>
      <c r="DGE135" s="271"/>
      <c r="DGF135" s="271"/>
      <c r="DGG135" s="271"/>
      <c r="DGH135" s="221"/>
      <c r="DGI135" s="221"/>
      <c r="DGJ135" s="221"/>
      <c r="DGK135" s="258"/>
      <c r="DGL135" s="270"/>
      <c r="DGM135" s="271"/>
      <c r="DGN135" s="271"/>
      <c r="DGO135" s="271"/>
      <c r="DGP135" s="221"/>
      <c r="DGQ135" s="221"/>
      <c r="DGR135" s="221"/>
      <c r="DGS135" s="258"/>
      <c r="DGT135" s="270"/>
      <c r="DGU135" s="271"/>
      <c r="DGV135" s="271"/>
      <c r="DGW135" s="271"/>
      <c r="DGX135" s="221"/>
      <c r="DGY135" s="221"/>
      <c r="DGZ135" s="221"/>
      <c r="DHA135" s="258"/>
      <c r="DHB135" s="270"/>
      <c r="DHC135" s="271"/>
      <c r="DHD135" s="271"/>
      <c r="DHE135" s="271"/>
      <c r="DHF135" s="221"/>
      <c r="DHG135" s="221"/>
      <c r="DHH135" s="221"/>
      <c r="DHI135" s="258"/>
      <c r="DHJ135" s="270"/>
      <c r="DHK135" s="271"/>
      <c r="DHL135" s="271"/>
      <c r="DHM135" s="271"/>
      <c r="DHN135" s="221"/>
      <c r="DHO135" s="221"/>
      <c r="DHP135" s="221"/>
      <c r="DHQ135" s="258"/>
      <c r="DHR135" s="270"/>
      <c r="DHS135" s="271"/>
      <c r="DHT135" s="271"/>
      <c r="DHU135" s="271"/>
      <c r="DHV135" s="221"/>
      <c r="DHW135" s="221"/>
      <c r="DHX135" s="221"/>
      <c r="DHY135" s="258"/>
      <c r="DHZ135" s="270"/>
      <c r="DIA135" s="271"/>
      <c r="DIB135" s="271"/>
      <c r="DIC135" s="271"/>
      <c r="DID135" s="221"/>
      <c r="DIE135" s="221"/>
      <c r="DIF135" s="221"/>
      <c r="DIG135" s="258"/>
      <c r="DIH135" s="270"/>
      <c r="DII135" s="271"/>
      <c r="DIJ135" s="271"/>
      <c r="DIK135" s="271"/>
      <c r="DIL135" s="221"/>
      <c r="DIM135" s="221"/>
      <c r="DIN135" s="221"/>
      <c r="DIO135" s="258"/>
      <c r="DIP135" s="270"/>
      <c r="DIQ135" s="271"/>
      <c r="DIR135" s="271"/>
      <c r="DIS135" s="271"/>
      <c r="DIT135" s="221"/>
      <c r="DIU135" s="221"/>
      <c r="DIV135" s="221"/>
      <c r="DIW135" s="258"/>
      <c r="DIX135" s="270"/>
      <c r="DIY135" s="271"/>
      <c r="DIZ135" s="271"/>
      <c r="DJA135" s="271"/>
      <c r="DJB135" s="221"/>
      <c r="DJC135" s="221"/>
      <c r="DJD135" s="221"/>
      <c r="DJE135" s="258"/>
      <c r="DJF135" s="270"/>
      <c r="DJG135" s="271"/>
      <c r="DJH135" s="271"/>
      <c r="DJI135" s="271"/>
      <c r="DJJ135" s="221"/>
      <c r="DJK135" s="221"/>
      <c r="DJL135" s="221"/>
      <c r="DJM135" s="258"/>
      <c r="DJN135" s="270"/>
      <c r="DJO135" s="271"/>
      <c r="DJP135" s="271"/>
      <c r="DJQ135" s="271"/>
      <c r="DJR135" s="221"/>
      <c r="DJS135" s="221"/>
      <c r="DJT135" s="221"/>
      <c r="DJU135" s="258"/>
      <c r="DJV135" s="270"/>
      <c r="DJW135" s="271"/>
      <c r="DJX135" s="271"/>
      <c r="DJY135" s="271"/>
      <c r="DJZ135" s="221"/>
      <c r="DKA135" s="221"/>
      <c r="DKB135" s="221"/>
      <c r="DKC135" s="258"/>
      <c r="DKD135" s="270"/>
      <c r="DKE135" s="271"/>
      <c r="DKF135" s="271"/>
      <c r="DKG135" s="271"/>
      <c r="DKH135" s="221"/>
      <c r="DKI135" s="221"/>
      <c r="DKJ135" s="221"/>
      <c r="DKK135" s="258"/>
      <c r="DKL135" s="270"/>
      <c r="DKM135" s="271"/>
      <c r="DKN135" s="271"/>
      <c r="DKO135" s="271"/>
      <c r="DKP135" s="221"/>
      <c r="DKQ135" s="221"/>
      <c r="DKR135" s="221"/>
      <c r="DKS135" s="258"/>
      <c r="DKT135" s="270"/>
      <c r="DKU135" s="271"/>
      <c r="DKV135" s="271"/>
      <c r="DKW135" s="271"/>
      <c r="DKX135" s="221"/>
      <c r="DKY135" s="221"/>
      <c r="DKZ135" s="221"/>
      <c r="DLA135" s="258"/>
      <c r="DLB135" s="270"/>
      <c r="DLC135" s="271"/>
      <c r="DLD135" s="271"/>
      <c r="DLE135" s="271"/>
      <c r="DLF135" s="221"/>
      <c r="DLG135" s="221"/>
      <c r="DLH135" s="221"/>
      <c r="DLI135" s="258"/>
      <c r="DLJ135" s="270"/>
      <c r="DLK135" s="271"/>
      <c r="DLL135" s="271"/>
      <c r="DLM135" s="271"/>
      <c r="DLN135" s="221"/>
      <c r="DLO135" s="221"/>
      <c r="DLP135" s="221"/>
      <c r="DLQ135" s="258"/>
      <c r="DLR135" s="270"/>
      <c r="DLS135" s="271"/>
      <c r="DLT135" s="271"/>
      <c r="DLU135" s="271"/>
      <c r="DLV135" s="221"/>
      <c r="DLW135" s="221"/>
      <c r="DLX135" s="221"/>
      <c r="DLY135" s="258"/>
      <c r="DLZ135" s="270"/>
      <c r="DMA135" s="271"/>
      <c r="DMB135" s="271"/>
      <c r="DMC135" s="271"/>
      <c r="DMD135" s="221"/>
      <c r="DME135" s="221"/>
      <c r="DMF135" s="221"/>
      <c r="DMG135" s="258"/>
      <c r="DMH135" s="270"/>
      <c r="DMI135" s="271"/>
      <c r="DMJ135" s="271"/>
      <c r="DMK135" s="271"/>
      <c r="DML135" s="221"/>
      <c r="DMM135" s="221"/>
      <c r="DMN135" s="221"/>
      <c r="DMO135" s="258"/>
      <c r="DMP135" s="270"/>
      <c r="DMQ135" s="271"/>
      <c r="DMR135" s="271"/>
      <c r="DMS135" s="271"/>
      <c r="DMT135" s="221"/>
      <c r="DMU135" s="221"/>
      <c r="DMV135" s="221"/>
      <c r="DMW135" s="258"/>
      <c r="DMX135" s="270"/>
      <c r="DMY135" s="271"/>
      <c r="DMZ135" s="271"/>
      <c r="DNA135" s="271"/>
      <c r="DNB135" s="221"/>
      <c r="DNC135" s="221"/>
      <c r="DND135" s="221"/>
      <c r="DNE135" s="258"/>
      <c r="DNF135" s="270"/>
      <c r="DNG135" s="271"/>
      <c r="DNH135" s="271"/>
      <c r="DNI135" s="271"/>
      <c r="DNJ135" s="221"/>
      <c r="DNK135" s="221"/>
      <c r="DNL135" s="221"/>
      <c r="DNM135" s="258"/>
      <c r="DNN135" s="270"/>
      <c r="DNO135" s="271"/>
      <c r="DNP135" s="271"/>
      <c r="DNQ135" s="271"/>
      <c r="DNR135" s="221"/>
      <c r="DNS135" s="221"/>
      <c r="DNT135" s="221"/>
      <c r="DNU135" s="258"/>
      <c r="DNV135" s="270"/>
      <c r="DNW135" s="271"/>
      <c r="DNX135" s="271"/>
      <c r="DNY135" s="271"/>
      <c r="DNZ135" s="221"/>
      <c r="DOA135" s="221"/>
      <c r="DOB135" s="221"/>
      <c r="DOC135" s="258"/>
      <c r="DOD135" s="270"/>
      <c r="DOE135" s="271"/>
      <c r="DOF135" s="271"/>
      <c r="DOG135" s="271"/>
      <c r="DOH135" s="221"/>
      <c r="DOI135" s="221"/>
      <c r="DOJ135" s="221"/>
      <c r="DOK135" s="258"/>
      <c r="DOL135" s="270"/>
      <c r="DOM135" s="271"/>
      <c r="DON135" s="271"/>
      <c r="DOO135" s="271"/>
      <c r="DOP135" s="221"/>
      <c r="DOQ135" s="221"/>
      <c r="DOR135" s="221"/>
      <c r="DOS135" s="258"/>
      <c r="DOT135" s="270"/>
      <c r="DOU135" s="271"/>
      <c r="DOV135" s="271"/>
      <c r="DOW135" s="271"/>
      <c r="DOX135" s="221"/>
      <c r="DOY135" s="221"/>
      <c r="DOZ135" s="221"/>
      <c r="DPA135" s="258"/>
      <c r="DPB135" s="270"/>
      <c r="DPC135" s="271"/>
      <c r="DPD135" s="271"/>
      <c r="DPE135" s="271"/>
      <c r="DPF135" s="221"/>
      <c r="DPG135" s="221"/>
      <c r="DPH135" s="221"/>
      <c r="DPI135" s="258"/>
      <c r="DPJ135" s="270"/>
      <c r="DPK135" s="271"/>
      <c r="DPL135" s="271"/>
      <c r="DPM135" s="271"/>
      <c r="DPN135" s="221"/>
      <c r="DPO135" s="221"/>
      <c r="DPP135" s="221"/>
      <c r="DPQ135" s="258"/>
      <c r="DPR135" s="270"/>
      <c r="DPS135" s="271"/>
      <c r="DPT135" s="271"/>
      <c r="DPU135" s="271"/>
      <c r="DPV135" s="221"/>
      <c r="DPW135" s="221"/>
      <c r="DPX135" s="221"/>
      <c r="DPY135" s="258"/>
      <c r="DPZ135" s="270"/>
      <c r="DQA135" s="271"/>
      <c r="DQB135" s="271"/>
      <c r="DQC135" s="271"/>
      <c r="DQD135" s="221"/>
      <c r="DQE135" s="221"/>
      <c r="DQF135" s="221"/>
      <c r="DQG135" s="258"/>
      <c r="DQH135" s="270"/>
      <c r="DQI135" s="271"/>
      <c r="DQJ135" s="271"/>
      <c r="DQK135" s="271"/>
      <c r="DQL135" s="221"/>
      <c r="DQM135" s="221"/>
      <c r="DQN135" s="221"/>
      <c r="DQO135" s="258"/>
      <c r="DQP135" s="270"/>
      <c r="DQQ135" s="271"/>
      <c r="DQR135" s="271"/>
      <c r="DQS135" s="271"/>
      <c r="DQT135" s="221"/>
      <c r="DQU135" s="221"/>
      <c r="DQV135" s="221"/>
      <c r="DQW135" s="258"/>
      <c r="DQX135" s="270"/>
      <c r="DQY135" s="271"/>
      <c r="DQZ135" s="271"/>
      <c r="DRA135" s="271"/>
      <c r="DRB135" s="221"/>
      <c r="DRC135" s="221"/>
      <c r="DRD135" s="221"/>
      <c r="DRE135" s="258"/>
      <c r="DRF135" s="270"/>
      <c r="DRG135" s="271"/>
      <c r="DRH135" s="271"/>
      <c r="DRI135" s="271"/>
      <c r="DRJ135" s="221"/>
      <c r="DRK135" s="221"/>
      <c r="DRL135" s="221"/>
      <c r="DRM135" s="258"/>
      <c r="DRN135" s="270"/>
      <c r="DRO135" s="271"/>
      <c r="DRP135" s="271"/>
      <c r="DRQ135" s="271"/>
      <c r="DRR135" s="221"/>
      <c r="DRS135" s="221"/>
      <c r="DRT135" s="221"/>
      <c r="DRU135" s="258"/>
      <c r="DRV135" s="270"/>
      <c r="DRW135" s="271"/>
      <c r="DRX135" s="271"/>
      <c r="DRY135" s="271"/>
      <c r="DRZ135" s="221"/>
      <c r="DSA135" s="221"/>
      <c r="DSB135" s="221"/>
      <c r="DSC135" s="258"/>
      <c r="DSD135" s="270"/>
      <c r="DSE135" s="271"/>
      <c r="DSF135" s="271"/>
      <c r="DSG135" s="271"/>
      <c r="DSH135" s="221"/>
      <c r="DSI135" s="221"/>
      <c r="DSJ135" s="221"/>
      <c r="DSK135" s="258"/>
      <c r="DSL135" s="270"/>
      <c r="DSM135" s="271"/>
      <c r="DSN135" s="271"/>
      <c r="DSO135" s="271"/>
      <c r="DSP135" s="221"/>
      <c r="DSQ135" s="221"/>
      <c r="DSR135" s="221"/>
      <c r="DSS135" s="258"/>
      <c r="DST135" s="270"/>
      <c r="DSU135" s="271"/>
      <c r="DSV135" s="271"/>
      <c r="DSW135" s="271"/>
      <c r="DSX135" s="221"/>
      <c r="DSY135" s="221"/>
      <c r="DSZ135" s="221"/>
      <c r="DTA135" s="258"/>
      <c r="DTB135" s="270"/>
      <c r="DTC135" s="271"/>
      <c r="DTD135" s="271"/>
      <c r="DTE135" s="271"/>
      <c r="DTF135" s="221"/>
      <c r="DTG135" s="221"/>
      <c r="DTH135" s="221"/>
      <c r="DTI135" s="258"/>
      <c r="DTJ135" s="270"/>
      <c r="DTK135" s="271"/>
      <c r="DTL135" s="271"/>
      <c r="DTM135" s="271"/>
      <c r="DTN135" s="221"/>
      <c r="DTO135" s="221"/>
      <c r="DTP135" s="221"/>
      <c r="DTQ135" s="258"/>
      <c r="DTR135" s="270"/>
      <c r="DTS135" s="271"/>
      <c r="DTT135" s="271"/>
      <c r="DTU135" s="271"/>
      <c r="DTV135" s="221"/>
      <c r="DTW135" s="221"/>
      <c r="DTX135" s="221"/>
      <c r="DTY135" s="258"/>
      <c r="DTZ135" s="270"/>
      <c r="DUA135" s="271"/>
      <c r="DUB135" s="271"/>
      <c r="DUC135" s="271"/>
      <c r="DUD135" s="221"/>
      <c r="DUE135" s="221"/>
      <c r="DUF135" s="221"/>
      <c r="DUG135" s="258"/>
      <c r="DUH135" s="270"/>
      <c r="DUI135" s="271"/>
      <c r="DUJ135" s="271"/>
      <c r="DUK135" s="271"/>
      <c r="DUL135" s="221"/>
      <c r="DUM135" s="221"/>
      <c r="DUN135" s="221"/>
      <c r="DUO135" s="258"/>
      <c r="DUP135" s="270"/>
      <c r="DUQ135" s="271"/>
      <c r="DUR135" s="271"/>
      <c r="DUS135" s="271"/>
      <c r="DUT135" s="221"/>
      <c r="DUU135" s="221"/>
      <c r="DUV135" s="221"/>
      <c r="DUW135" s="258"/>
      <c r="DUX135" s="270"/>
      <c r="DUY135" s="271"/>
      <c r="DUZ135" s="271"/>
      <c r="DVA135" s="271"/>
      <c r="DVB135" s="221"/>
      <c r="DVC135" s="221"/>
      <c r="DVD135" s="221"/>
      <c r="DVE135" s="258"/>
      <c r="DVF135" s="270"/>
      <c r="DVG135" s="271"/>
      <c r="DVH135" s="271"/>
      <c r="DVI135" s="271"/>
      <c r="DVJ135" s="221"/>
      <c r="DVK135" s="221"/>
      <c r="DVL135" s="221"/>
      <c r="DVM135" s="258"/>
      <c r="DVN135" s="270"/>
      <c r="DVO135" s="271"/>
      <c r="DVP135" s="271"/>
      <c r="DVQ135" s="271"/>
      <c r="DVR135" s="221"/>
      <c r="DVS135" s="221"/>
      <c r="DVT135" s="221"/>
      <c r="DVU135" s="258"/>
      <c r="DVV135" s="270"/>
      <c r="DVW135" s="271"/>
      <c r="DVX135" s="271"/>
      <c r="DVY135" s="271"/>
      <c r="DVZ135" s="221"/>
      <c r="DWA135" s="221"/>
      <c r="DWB135" s="221"/>
      <c r="DWC135" s="258"/>
      <c r="DWD135" s="270"/>
      <c r="DWE135" s="271"/>
      <c r="DWF135" s="271"/>
      <c r="DWG135" s="271"/>
      <c r="DWH135" s="221"/>
      <c r="DWI135" s="221"/>
      <c r="DWJ135" s="221"/>
      <c r="DWK135" s="258"/>
      <c r="DWL135" s="270"/>
      <c r="DWM135" s="271"/>
      <c r="DWN135" s="271"/>
      <c r="DWO135" s="271"/>
      <c r="DWP135" s="221"/>
      <c r="DWQ135" s="221"/>
      <c r="DWR135" s="221"/>
      <c r="DWS135" s="258"/>
      <c r="DWT135" s="270"/>
      <c r="DWU135" s="271"/>
      <c r="DWV135" s="271"/>
      <c r="DWW135" s="271"/>
      <c r="DWX135" s="221"/>
      <c r="DWY135" s="221"/>
      <c r="DWZ135" s="221"/>
      <c r="DXA135" s="258"/>
      <c r="DXB135" s="270"/>
      <c r="DXC135" s="271"/>
      <c r="DXD135" s="271"/>
      <c r="DXE135" s="271"/>
      <c r="DXF135" s="221"/>
      <c r="DXG135" s="221"/>
      <c r="DXH135" s="221"/>
      <c r="DXI135" s="258"/>
      <c r="DXJ135" s="270"/>
      <c r="DXK135" s="271"/>
      <c r="DXL135" s="271"/>
      <c r="DXM135" s="271"/>
      <c r="DXN135" s="221"/>
      <c r="DXO135" s="221"/>
      <c r="DXP135" s="221"/>
      <c r="DXQ135" s="258"/>
      <c r="DXR135" s="270"/>
      <c r="DXS135" s="271"/>
      <c r="DXT135" s="271"/>
      <c r="DXU135" s="271"/>
      <c r="DXV135" s="221"/>
      <c r="DXW135" s="221"/>
      <c r="DXX135" s="221"/>
      <c r="DXY135" s="258"/>
      <c r="DXZ135" s="270"/>
      <c r="DYA135" s="271"/>
      <c r="DYB135" s="271"/>
      <c r="DYC135" s="271"/>
      <c r="DYD135" s="221"/>
      <c r="DYE135" s="221"/>
      <c r="DYF135" s="221"/>
      <c r="DYG135" s="258"/>
      <c r="DYH135" s="270"/>
      <c r="DYI135" s="271"/>
      <c r="DYJ135" s="271"/>
      <c r="DYK135" s="271"/>
      <c r="DYL135" s="221"/>
      <c r="DYM135" s="221"/>
      <c r="DYN135" s="221"/>
      <c r="DYO135" s="258"/>
      <c r="DYP135" s="270"/>
      <c r="DYQ135" s="271"/>
      <c r="DYR135" s="271"/>
      <c r="DYS135" s="271"/>
      <c r="DYT135" s="221"/>
      <c r="DYU135" s="221"/>
      <c r="DYV135" s="221"/>
      <c r="DYW135" s="258"/>
      <c r="DYX135" s="270"/>
      <c r="DYY135" s="271"/>
      <c r="DYZ135" s="271"/>
      <c r="DZA135" s="271"/>
      <c r="DZB135" s="221"/>
      <c r="DZC135" s="221"/>
      <c r="DZD135" s="221"/>
      <c r="DZE135" s="258"/>
      <c r="DZF135" s="270"/>
      <c r="DZG135" s="271"/>
      <c r="DZH135" s="271"/>
      <c r="DZI135" s="271"/>
      <c r="DZJ135" s="221"/>
      <c r="DZK135" s="221"/>
      <c r="DZL135" s="221"/>
      <c r="DZM135" s="258"/>
      <c r="DZN135" s="270"/>
      <c r="DZO135" s="271"/>
      <c r="DZP135" s="271"/>
      <c r="DZQ135" s="271"/>
      <c r="DZR135" s="221"/>
      <c r="DZS135" s="221"/>
      <c r="DZT135" s="221"/>
      <c r="DZU135" s="258"/>
      <c r="DZV135" s="270"/>
      <c r="DZW135" s="271"/>
      <c r="DZX135" s="271"/>
      <c r="DZY135" s="271"/>
      <c r="DZZ135" s="221"/>
      <c r="EAA135" s="221"/>
      <c r="EAB135" s="221"/>
      <c r="EAC135" s="258"/>
      <c r="EAD135" s="270"/>
      <c r="EAE135" s="271"/>
      <c r="EAF135" s="271"/>
      <c r="EAG135" s="271"/>
      <c r="EAH135" s="221"/>
      <c r="EAI135" s="221"/>
      <c r="EAJ135" s="221"/>
      <c r="EAK135" s="258"/>
      <c r="EAL135" s="270"/>
      <c r="EAM135" s="271"/>
      <c r="EAN135" s="271"/>
      <c r="EAO135" s="271"/>
      <c r="EAP135" s="221"/>
      <c r="EAQ135" s="221"/>
      <c r="EAR135" s="221"/>
      <c r="EAS135" s="258"/>
      <c r="EAT135" s="270"/>
      <c r="EAU135" s="271"/>
      <c r="EAV135" s="271"/>
      <c r="EAW135" s="271"/>
      <c r="EAX135" s="221"/>
      <c r="EAY135" s="221"/>
      <c r="EAZ135" s="221"/>
      <c r="EBA135" s="258"/>
      <c r="EBB135" s="270"/>
      <c r="EBC135" s="271"/>
      <c r="EBD135" s="271"/>
      <c r="EBE135" s="271"/>
      <c r="EBF135" s="221"/>
      <c r="EBG135" s="221"/>
      <c r="EBH135" s="221"/>
      <c r="EBI135" s="258"/>
      <c r="EBJ135" s="270"/>
      <c r="EBK135" s="271"/>
      <c r="EBL135" s="271"/>
      <c r="EBM135" s="271"/>
      <c r="EBN135" s="221"/>
      <c r="EBO135" s="221"/>
      <c r="EBP135" s="221"/>
      <c r="EBQ135" s="258"/>
      <c r="EBR135" s="270"/>
      <c r="EBS135" s="271"/>
      <c r="EBT135" s="271"/>
      <c r="EBU135" s="271"/>
      <c r="EBV135" s="221"/>
      <c r="EBW135" s="221"/>
      <c r="EBX135" s="221"/>
      <c r="EBY135" s="258"/>
      <c r="EBZ135" s="270"/>
      <c r="ECA135" s="271"/>
      <c r="ECB135" s="271"/>
      <c r="ECC135" s="271"/>
      <c r="ECD135" s="221"/>
      <c r="ECE135" s="221"/>
      <c r="ECF135" s="221"/>
      <c r="ECG135" s="258"/>
      <c r="ECH135" s="270"/>
      <c r="ECI135" s="271"/>
      <c r="ECJ135" s="271"/>
      <c r="ECK135" s="271"/>
      <c r="ECL135" s="221"/>
      <c r="ECM135" s="221"/>
      <c r="ECN135" s="221"/>
      <c r="ECO135" s="258"/>
      <c r="ECP135" s="270"/>
      <c r="ECQ135" s="271"/>
      <c r="ECR135" s="271"/>
      <c r="ECS135" s="271"/>
      <c r="ECT135" s="221"/>
      <c r="ECU135" s="221"/>
      <c r="ECV135" s="221"/>
      <c r="ECW135" s="258"/>
      <c r="ECX135" s="270"/>
      <c r="ECY135" s="271"/>
      <c r="ECZ135" s="271"/>
      <c r="EDA135" s="271"/>
      <c r="EDB135" s="221"/>
      <c r="EDC135" s="221"/>
      <c r="EDD135" s="221"/>
      <c r="EDE135" s="258"/>
      <c r="EDF135" s="270"/>
      <c r="EDG135" s="271"/>
      <c r="EDH135" s="271"/>
      <c r="EDI135" s="271"/>
      <c r="EDJ135" s="221"/>
      <c r="EDK135" s="221"/>
      <c r="EDL135" s="221"/>
      <c r="EDM135" s="258"/>
      <c r="EDN135" s="270"/>
      <c r="EDO135" s="271"/>
      <c r="EDP135" s="271"/>
      <c r="EDQ135" s="271"/>
      <c r="EDR135" s="221"/>
      <c r="EDS135" s="221"/>
      <c r="EDT135" s="221"/>
      <c r="EDU135" s="258"/>
      <c r="EDV135" s="270"/>
      <c r="EDW135" s="271"/>
      <c r="EDX135" s="271"/>
      <c r="EDY135" s="271"/>
      <c r="EDZ135" s="221"/>
      <c r="EEA135" s="221"/>
      <c r="EEB135" s="221"/>
      <c r="EEC135" s="258"/>
      <c r="EED135" s="270"/>
      <c r="EEE135" s="271"/>
      <c r="EEF135" s="271"/>
      <c r="EEG135" s="271"/>
      <c r="EEH135" s="221"/>
      <c r="EEI135" s="221"/>
      <c r="EEJ135" s="221"/>
      <c r="EEK135" s="258"/>
      <c r="EEL135" s="270"/>
      <c r="EEM135" s="271"/>
      <c r="EEN135" s="271"/>
      <c r="EEO135" s="271"/>
      <c r="EEP135" s="221"/>
      <c r="EEQ135" s="221"/>
      <c r="EER135" s="221"/>
      <c r="EES135" s="258"/>
      <c r="EET135" s="270"/>
      <c r="EEU135" s="271"/>
      <c r="EEV135" s="271"/>
      <c r="EEW135" s="271"/>
      <c r="EEX135" s="221"/>
      <c r="EEY135" s="221"/>
      <c r="EEZ135" s="221"/>
      <c r="EFA135" s="258"/>
      <c r="EFB135" s="270"/>
      <c r="EFC135" s="271"/>
      <c r="EFD135" s="271"/>
      <c r="EFE135" s="271"/>
      <c r="EFF135" s="221"/>
      <c r="EFG135" s="221"/>
      <c r="EFH135" s="221"/>
      <c r="EFI135" s="258"/>
      <c r="EFJ135" s="270"/>
      <c r="EFK135" s="271"/>
      <c r="EFL135" s="271"/>
      <c r="EFM135" s="271"/>
      <c r="EFN135" s="221"/>
      <c r="EFO135" s="221"/>
      <c r="EFP135" s="221"/>
      <c r="EFQ135" s="258"/>
      <c r="EFR135" s="270"/>
      <c r="EFS135" s="271"/>
      <c r="EFT135" s="271"/>
      <c r="EFU135" s="271"/>
      <c r="EFV135" s="221"/>
      <c r="EFW135" s="221"/>
      <c r="EFX135" s="221"/>
      <c r="EFY135" s="258"/>
      <c r="EFZ135" s="270"/>
      <c r="EGA135" s="271"/>
      <c r="EGB135" s="271"/>
      <c r="EGC135" s="271"/>
      <c r="EGD135" s="221"/>
      <c r="EGE135" s="221"/>
      <c r="EGF135" s="221"/>
      <c r="EGG135" s="258"/>
      <c r="EGH135" s="270"/>
      <c r="EGI135" s="271"/>
      <c r="EGJ135" s="271"/>
      <c r="EGK135" s="271"/>
      <c r="EGL135" s="221"/>
      <c r="EGM135" s="221"/>
      <c r="EGN135" s="221"/>
      <c r="EGO135" s="258"/>
      <c r="EGP135" s="270"/>
      <c r="EGQ135" s="271"/>
      <c r="EGR135" s="271"/>
      <c r="EGS135" s="271"/>
      <c r="EGT135" s="221"/>
      <c r="EGU135" s="221"/>
      <c r="EGV135" s="221"/>
      <c r="EGW135" s="258"/>
      <c r="EGX135" s="270"/>
      <c r="EGY135" s="271"/>
      <c r="EGZ135" s="271"/>
      <c r="EHA135" s="271"/>
      <c r="EHB135" s="221"/>
      <c r="EHC135" s="221"/>
      <c r="EHD135" s="221"/>
      <c r="EHE135" s="258"/>
      <c r="EHF135" s="270"/>
      <c r="EHG135" s="271"/>
      <c r="EHH135" s="271"/>
      <c r="EHI135" s="271"/>
      <c r="EHJ135" s="221"/>
      <c r="EHK135" s="221"/>
      <c r="EHL135" s="221"/>
      <c r="EHM135" s="258"/>
      <c r="EHN135" s="270"/>
      <c r="EHO135" s="271"/>
      <c r="EHP135" s="271"/>
      <c r="EHQ135" s="271"/>
      <c r="EHR135" s="221"/>
      <c r="EHS135" s="221"/>
      <c r="EHT135" s="221"/>
      <c r="EHU135" s="258"/>
      <c r="EHV135" s="270"/>
      <c r="EHW135" s="271"/>
      <c r="EHX135" s="271"/>
      <c r="EHY135" s="271"/>
      <c r="EHZ135" s="221"/>
      <c r="EIA135" s="221"/>
      <c r="EIB135" s="221"/>
      <c r="EIC135" s="258"/>
      <c r="EID135" s="270"/>
      <c r="EIE135" s="271"/>
      <c r="EIF135" s="271"/>
      <c r="EIG135" s="271"/>
      <c r="EIH135" s="221"/>
      <c r="EII135" s="221"/>
      <c r="EIJ135" s="221"/>
      <c r="EIK135" s="258"/>
      <c r="EIL135" s="270"/>
      <c r="EIM135" s="271"/>
      <c r="EIN135" s="271"/>
      <c r="EIO135" s="271"/>
      <c r="EIP135" s="221"/>
      <c r="EIQ135" s="221"/>
      <c r="EIR135" s="221"/>
      <c r="EIS135" s="258"/>
      <c r="EIT135" s="270"/>
      <c r="EIU135" s="271"/>
      <c r="EIV135" s="271"/>
      <c r="EIW135" s="271"/>
      <c r="EIX135" s="221"/>
      <c r="EIY135" s="221"/>
      <c r="EIZ135" s="221"/>
      <c r="EJA135" s="258"/>
      <c r="EJB135" s="270"/>
      <c r="EJC135" s="271"/>
      <c r="EJD135" s="271"/>
      <c r="EJE135" s="271"/>
      <c r="EJF135" s="221"/>
      <c r="EJG135" s="221"/>
      <c r="EJH135" s="221"/>
      <c r="EJI135" s="258"/>
      <c r="EJJ135" s="270"/>
      <c r="EJK135" s="271"/>
      <c r="EJL135" s="271"/>
      <c r="EJM135" s="271"/>
      <c r="EJN135" s="221"/>
      <c r="EJO135" s="221"/>
      <c r="EJP135" s="221"/>
      <c r="EJQ135" s="258"/>
      <c r="EJR135" s="270"/>
      <c r="EJS135" s="271"/>
      <c r="EJT135" s="271"/>
      <c r="EJU135" s="271"/>
      <c r="EJV135" s="221"/>
      <c r="EJW135" s="221"/>
      <c r="EJX135" s="221"/>
      <c r="EJY135" s="258"/>
      <c r="EJZ135" s="270"/>
      <c r="EKA135" s="271"/>
      <c r="EKB135" s="271"/>
      <c r="EKC135" s="271"/>
      <c r="EKD135" s="221"/>
      <c r="EKE135" s="221"/>
      <c r="EKF135" s="221"/>
      <c r="EKG135" s="258"/>
      <c r="EKH135" s="270"/>
      <c r="EKI135" s="271"/>
      <c r="EKJ135" s="271"/>
      <c r="EKK135" s="271"/>
      <c r="EKL135" s="221"/>
      <c r="EKM135" s="221"/>
      <c r="EKN135" s="221"/>
      <c r="EKO135" s="258"/>
      <c r="EKP135" s="270"/>
      <c r="EKQ135" s="271"/>
      <c r="EKR135" s="271"/>
      <c r="EKS135" s="271"/>
      <c r="EKT135" s="221"/>
      <c r="EKU135" s="221"/>
      <c r="EKV135" s="221"/>
      <c r="EKW135" s="258"/>
      <c r="EKX135" s="270"/>
      <c r="EKY135" s="271"/>
      <c r="EKZ135" s="271"/>
      <c r="ELA135" s="271"/>
      <c r="ELB135" s="221"/>
      <c r="ELC135" s="221"/>
      <c r="ELD135" s="221"/>
      <c r="ELE135" s="258"/>
      <c r="ELF135" s="270"/>
      <c r="ELG135" s="271"/>
      <c r="ELH135" s="271"/>
      <c r="ELI135" s="271"/>
      <c r="ELJ135" s="221"/>
      <c r="ELK135" s="221"/>
      <c r="ELL135" s="221"/>
      <c r="ELM135" s="258"/>
      <c r="ELN135" s="270"/>
      <c r="ELO135" s="271"/>
      <c r="ELP135" s="271"/>
      <c r="ELQ135" s="271"/>
      <c r="ELR135" s="221"/>
      <c r="ELS135" s="221"/>
      <c r="ELT135" s="221"/>
      <c r="ELU135" s="258"/>
      <c r="ELV135" s="270"/>
      <c r="ELW135" s="271"/>
      <c r="ELX135" s="271"/>
      <c r="ELY135" s="271"/>
      <c r="ELZ135" s="221"/>
      <c r="EMA135" s="221"/>
      <c r="EMB135" s="221"/>
      <c r="EMC135" s="258"/>
      <c r="EMD135" s="270"/>
      <c r="EME135" s="271"/>
      <c r="EMF135" s="271"/>
      <c r="EMG135" s="271"/>
      <c r="EMH135" s="221"/>
      <c r="EMI135" s="221"/>
      <c r="EMJ135" s="221"/>
      <c r="EMK135" s="258"/>
      <c r="EML135" s="270"/>
      <c r="EMM135" s="271"/>
      <c r="EMN135" s="271"/>
      <c r="EMO135" s="271"/>
      <c r="EMP135" s="221"/>
      <c r="EMQ135" s="221"/>
      <c r="EMR135" s="221"/>
      <c r="EMS135" s="258"/>
      <c r="EMT135" s="270"/>
      <c r="EMU135" s="271"/>
      <c r="EMV135" s="271"/>
      <c r="EMW135" s="271"/>
      <c r="EMX135" s="221"/>
      <c r="EMY135" s="221"/>
      <c r="EMZ135" s="221"/>
      <c r="ENA135" s="258"/>
      <c r="ENB135" s="270"/>
      <c r="ENC135" s="271"/>
      <c r="END135" s="271"/>
      <c r="ENE135" s="271"/>
      <c r="ENF135" s="221"/>
      <c r="ENG135" s="221"/>
      <c r="ENH135" s="221"/>
      <c r="ENI135" s="258"/>
      <c r="ENJ135" s="270"/>
      <c r="ENK135" s="271"/>
      <c r="ENL135" s="271"/>
      <c r="ENM135" s="271"/>
      <c r="ENN135" s="221"/>
      <c r="ENO135" s="221"/>
      <c r="ENP135" s="221"/>
      <c r="ENQ135" s="258"/>
      <c r="ENR135" s="270"/>
      <c r="ENS135" s="271"/>
      <c r="ENT135" s="271"/>
      <c r="ENU135" s="271"/>
      <c r="ENV135" s="221"/>
      <c r="ENW135" s="221"/>
      <c r="ENX135" s="221"/>
      <c r="ENY135" s="258"/>
      <c r="ENZ135" s="270"/>
      <c r="EOA135" s="271"/>
      <c r="EOB135" s="271"/>
      <c r="EOC135" s="271"/>
      <c r="EOD135" s="221"/>
      <c r="EOE135" s="221"/>
      <c r="EOF135" s="221"/>
      <c r="EOG135" s="258"/>
      <c r="EOH135" s="270"/>
      <c r="EOI135" s="271"/>
      <c r="EOJ135" s="271"/>
      <c r="EOK135" s="271"/>
      <c r="EOL135" s="221"/>
      <c r="EOM135" s="221"/>
      <c r="EON135" s="221"/>
      <c r="EOO135" s="258"/>
      <c r="EOP135" s="270"/>
      <c r="EOQ135" s="271"/>
      <c r="EOR135" s="271"/>
      <c r="EOS135" s="271"/>
      <c r="EOT135" s="221"/>
      <c r="EOU135" s="221"/>
      <c r="EOV135" s="221"/>
      <c r="EOW135" s="258"/>
      <c r="EOX135" s="270"/>
      <c r="EOY135" s="271"/>
      <c r="EOZ135" s="271"/>
      <c r="EPA135" s="271"/>
      <c r="EPB135" s="221"/>
      <c r="EPC135" s="221"/>
      <c r="EPD135" s="221"/>
      <c r="EPE135" s="258"/>
      <c r="EPF135" s="270"/>
      <c r="EPG135" s="271"/>
      <c r="EPH135" s="271"/>
      <c r="EPI135" s="271"/>
      <c r="EPJ135" s="221"/>
      <c r="EPK135" s="221"/>
      <c r="EPL135" s="221"/>
      <c r="EPM135" s="258"/>
      <c r="EPN135" s="270"/>
      <c r="EPO135" s="271"/>
      <c r="EPP135" s="271"/>
      <c r="EPQ135" s="271"/>
      <c r="EPR135" s="221"/>
      <c r="EPS135" s="221"/>
      <c r="EPT135" s="221"/>
      <c r="EPU135" s="258"/>
      <c r="EPV135" s="270"/>
      <c r="EPW135" s="271"/>
      <c r="EPX135" s="271"/>
      <c r="EPY135" s="271"/>
      <c r="EPZ135" s="221"/>
      <c r="EQA135" s="221"/>
      <c r="EQB135" s="221"/>
      <c r="EQC135" s="258"/>
      <c r="EQD135" s="270"/>
      <c r="EQE135" s="271"/>
      <c r="EQF135" s="271"/>
      <c r="EQG135" s="271"/>
      <c r="EQH135" s="221"/>
      <c r="EQI135" s="221"/>
      <c r="EQJ135" s="221"/>
      <c r="EQK135" s="258"/>
      <c r="EQL135" s="270"/>
      <c r="EQM135" s="271"/>
      <c r="EQN135" s="271"/>
      <c r="EQO135" s="271"/>
      <c r="EQP135" s="221"/>
      <c r="EQQ135" s="221"/>
      <c r="EQR135" s="221"/>
      <c r="EQS135" s="258"/>
      <c r="EQT135" s="270"/>
      <c r="EQU135" s="271"/>
      <c r="EQV135" s="271"/>
      <c r="EQW135" s="271"/>
      <c r="EQX135" s="221"/>
      <c r="EQY135" s="221"/>
      <c r="EQZ135" s="221"/>
      <c r="ERA135" s="258"/>
      <c r="ERB135" s="270"/>
      <c r="ERC135" s="271"/>
      <c r="ERD135" s="271"/>
      <c r="ERE135" s="271"/>
      <c r="ERF135" s="221"/>
      <c r="ERG135" s="221"/>
      <c r="ERH135" s="221"/>
      <c r="ERI135" s="258"/>
      <c r="ERJ135" s="270"/>
      <c r="ERK135" s="271"/>
      <c r="ERL135" s="271"/>
      <c r="ERM135" s="271"/>
      <c r="ERN135" s="221"/>
      <c r="ERO135" s="221"/>
      <c r="ERP135" s="221"/>
      <c r="ERQ135" s="258"/>
      <c r="ERR135" s="270"/>
      <c r="ERS135" s="271"/>
      <c r="ERT135" s="271"/>
      <c r="ERU135" s="271"/>
      <c r="ERV135" s="221"/>
      <c r="ERW135" s="221"/>
      <c r="ERX135" s="221"/>
      <c r="ERY135" s="258"/>
      <c r="ERZ135" s="270"/>
      <c r="ESA135" s="271"/>
      <c r="ESB135" s="271"/>
      <c r="ESC135" s="271"/>
      <c r="ESD135" s="221"/>
      <c r="ESE135" s="221"/>
      <c r="ESF135" s="221"/>
      <c r="ESG135" s="258"/>
      <c r="ESH135" s="270"/>
      <c r="ESI135" s="271"/>
      <c r="ESJ135" s="271"/>
      <c r="ESK135" s="271"/>
      <c r="ESL135" s="221"/>
      <c r="ESM135" s="221"/>
      <c r="ESN135" s="221"/>
      <c r="ESO135" s="258"/>
      <c r="ESP135" s="270"/>
      <c r="ESQ135" s="271"/>
      <c r="ESR135" s="271"/>
      <c r="ESS135" s="271"/>
      <c r="EST135" s="221"/>
      <c r="ESU135" s="221"/>
      <c r="ESV135" s="221"/>
      <c r="ESW135" s="258"/>
      <c r="ESX135" s="270"/>
      <c r="ESY135" s="271"/>
      <c r="ESZ135" s="271"/>
      <c r="ETA135" s="271"/>
      <c r="ETB135" s="221"/>
      <c r="ETC135" s="221"/>
      <c r="ETD135" s="221"/>
      <c r="ETE135" s="258"/>
      <c r="ETF135" s="270"/>
      <c r="ETG135" s="271"/>
      <c r="ETH135" s="271"/>
      <c r="ETI135" s="271"/>
      <c r="ETJ135" s="221"/>
      <c r="ETK135" s="221"/>
      <c r="ETL135" s="221"/>
      <c r="ETM135" s="258"/>
      <c r="ETN135" s="270"/>
      <c r="ETO135" s="271"/>
      <c r="ETP135" s="271"/>
      <c r="ETQ135" s="271"/>
      <c r="ETR135" s="221"/>
      <c r="ETS135" s="221"/>
      <c r="ETT135" s="221"/>
      <c r="ETU135" s="258"/>
      <c r="ETV135" s="270"/>
      <c r="ETW135" s="271"/>
      <c r="ETX135" s="271"/>
      <c r="ETY135" s="271"/>
      <c r="ETZ135" s="221"/>
      <c r="EUA135" s="221"/>
      <c r="EUB135" s="221"/>
      <c r="EUC135" s="258"/>
      <c r="EUD135" s="270"/>
      <c r="EUE135" s="271"/>
      <c r="EUF135" s="271"/>
      <c r="EUG135" s="271"/>
      <c r="EUH135" s="221"/>
      <c r="EUI135" s="221"/>
      <c r="EUJ135" s="221"/>
      <c r="EUK135" s="258"/>
      <c r="EUL135" s="270"/>
      <c r="EUM135" s="271"/>
      <c r="EUN135" s="271"/>
      <c r="EUO135" s="271"/>
      <c r="EUP135" s="221"/>
      <c r="EUQ135" s="221"/>
      <c r="EUR135" s="221"/>
      <c r="EUS135" s="258"/>
      <c r="EUT135" s="270"/>
      <c r="EUU135" s="271"/>
      <c r="EUV135" s="271"/>
      <c r="EUW135" s="271"/>
      <c r="EUX135" s="221"/>
      <c r="EUY135" s="221"/>
      <c r="EUZ135" s="221"/>
      <c r="EVA135" s="258"/>
      <c r="EVB135" s="270"/>
      <c r="EVC135" s="271"/>
      <c r="EVD135" s="271"/>
      <c r="EVE135" s="271"/>
      <c r="EVF135" s="221"/>
      <c r="EVG135" s="221"/>
      <c r="EVH135" s="221"/>
      <c r="EVI135" s="258"/>
      <c r="EVJ135" s="270"/>
      <c r="EVK135" s="271"/>
      <c r="EVL135" s="271"/>
      <c r="EVM135" s="271"/>
      <c r="EVN135" s="221"/>
      <c r="EVO135" s="221"/>
      <c r="EVP135" s="221"/>
      <c r="EVQ135" s="258"/>
      <c r="EVR135" s="270"/>
      <c r="EVS135" s="271"/>
      <c r="EVT135" s="271"/>
      <c r="EVU135" s="271"/>
      <c r="EVV135" s="221"/>
      <c r="EVW135" s="221"/>
      <c r="EVX135" s="221"/>
      <c r="EVY135" s="258"/>
      <c r="EVZ135" s="270"/>
      <c r="EWA135" s="271"/>
      <c r="EWB135" s="271"/>
      <c r="EWC135" s="271"/>
      <c r="EWD135" s="221"/>
      <c r="EWE135" s="221"/>
      <c r="EWF135" s="221"/>
      <c r="EWG135" s="258"/>
      <c r="EWH135" s="270"/>
      <c r="EWI135" s="271"/>
      <c r="EWJ135" s="271"/>
      <c r="EWK135" s="271"/>
      <c r="EWL135" s="221"/>
      <c r="EWM135" s="221"/>
      <c r="EWN135" s="221"/>
      <c r="EWO135" s="258"/>
      <c r="EWP135" s="270"/>
      <c r="EWQ135" s="271"/>
      <c r="EWR135" s="271"/>
      <c r="EWS135" s="271"/>
      <c r="EWT135" s="221"/>
      <c r="EWU135" s="221"/>
      <c r="EWV135" s="221"/>
      <c r="EWW135" s="258"/>
      <c r="EWX135" s="270"/>
      <c r="EWY135" s="271"/>
      <c r="EWZ135" s="271"/>
      <c r="EXA135" s="271"/>
      <c r="EXB135" s="221"/>
      <c r="EXC135" s="221"/>
      <c r="EXD135" s="221"/>
      <c r="EXE135" s="258"/>
      <c r="EXF135" s="270"/>
      <c r="EXG135" s="271"/>
      <c r="EXH135" s="271"/>
      <c r="EXI135" s="271"/>
      <c r="EXJ135" s="221"/>
      <c r="EXK135" s="221"/>
      <c r="EXL135" s="221"/>
      <c r="EXM135" s="258"/>
      <c r="EXN135" s="270"/>
      <c r="EXO135" s="271"/>
      <c r="EXP135" s="271"/>
      <c r="EXQ135" s="271"/>
      <c r="EXR135" s="221"/>
      <c r="EXS135" s="221"/>
      <c r="EXT135" s="221"/>
      <c r="EXU135" s="258"/>
      <c r="EXV135" s="270"/>
      <c r="EXW135" s="271"/>
      <c r="EXX135" s="271"/>
      <c r="EXY135" s="271"/>
      <c r="EXZ135" s="221"/>
      <c r="EYA135" s="221"/>
      <c r="EYB135" s="221"/>
      <c r="EYC135" s="258"/>
      <c r="EYD135" s="270"/>
      <c r="EYE135" s="271"/>
      <c r="EYF135" s="271"/>
      <c r="EYG135" s="271"/>
      <c r="EYH135" s="221"/>
      <c r="EYI135" s="221"/>
      <c r="EYJ135" s="221"/>
      <c r="EYK135" s="258"/>
      <c r="EYL135" s="270"/>
      <c r="EYM135" s="271"/>
      <c r="EYN135" s="271"/>
      <c r="EYO135" s="271"/>
      <c r="EYP135" s="221"/>
      <c r="EYQ135" s="221"/>
      <c r="EYR135" s="221"/>
      <c r="EYS135" s="258"/>
      <c r="EYT135" s="270"/>
      <c r="EYU135" s="271"/>
      <c r="EYV135" s="271"/>
      <c r="EYW135" s="271"/>
      <c r="EYX135" s="221"/>
      <c r="EYY135" s="221"/>
      <c r="EYZ135" s="221"/>
      <c r="EZA135" s="258"/>
      <c r="EZB135" s="270"/>
      <c r="EZC135" s="271"/>
      <c r="EZD135" s="271"/>
      <c r="EZE135" s="271"/>
      <c r="EZF135" s="221"/>
      <c r="EZG135" s="221"/>
      <c r="EZH135" s="221"/>
      <c r="EZI135" s="258"/>
      <c r="EZJ135" s="270"/>
      <c r="EZK135" s="271"/>
      <c r="EZL135" s="271"/>
      <c r="EZM135" s="271"/>
      <c r="EZN135" s="221"/>
      <c r="EZO135" s="221"/>
      <c r="EZP135" s="221"/>
      <c r="EZQ135" s="258"/>
      <c r="EZR135" s="270"/>
      <c r="EZS135" s="271"/>
      <c r="EZT135" s="271"/>
      <c r="EZU135" s="271"/>
      <c r="EZV135" s="221"/>
      <c r="EZW135" s="221"/>
      <c r="EZX135" s="221"/>
      <c r="EZY135" s="258"/>
      <c r="EZZ135" s="270"/>
      <c r="FAA135" s="271"/>
      <c r="FAB135" s="271"/>
      <c r="FAC135" s="271"/>
      <c r="FAD135" s="221"/>
      <c r="FAE135" s="221"/>
      <c r="FAF135" s="221"/>
      <c r="FAG135" s="258"/>
      <c r="FAH135" s="270"/>
      <c r="FAI135" s="271"/>
      <c r="FAJ135" s="271"/>
      <c r="FAK135" s="271"/>
      <c r="FAL135" s="221"/>
      <c r="FAM135" s="221"/>
      <c r="FAN135" s="221"/>
      <c r="FAO135" s="258"/>
      <c r="FAP135" s="270"/>
      <c r="FAQ135" s="271"/>
      <c r="FAR135" s="271"/>
      <c r="FAS135" s="271"/>
      <c r="FAT135" s="221"/>
      <c r="FAU135" s="221"/>
      <c r="FAV135" s="221"/>
      <c r="FAW135" s="258"/>
      <c r="FAX135" s="270"/>
      <c r="FAY135" s="271"/>
      <c r="FAZ135" s="271"/>
      <c r="FBA135" s="271"/>
      <c r="FBB135" s="221"/>
      <c r="FBC135" s="221"/>
      <c r="FBD135" s="221"/>
      <c r="FBE135" s="258"/>
      <c r="FBF135" s="270"/>
      <c r="FBG135" s="271"/>
      <c r="FBH135" s="271"/>
      <c r="FBI135" s="271"/>
      <c r="FBJ135" s="221"/>
      <c r="FBK135" s="221"/>
      <c r="FBL135" s="221"/>
      <c r="FBM135" s="258"/>
      <c r="FBN135" s="270"/>
      <c r="FBO135" s="271"/>
      <c r="FBP135" s="271"/>
      <c r="FBQ135" s="271"/>
      <c r="FBR135" s="221"/>
      <c r="FBS135" s="221"/>
      <c r="FBT135" s="221"/>
      <c r="FBU135" s="258"/>
      <c r="FBV135" s="270"/>
      <c r="FBW135" s="271"/>
      <c r="FBX135" s="271"/>
      <c r="FBY135" s="271"/>
      <c r="FBZ135" s="221"/>
      <c r="FCA135" s="221"/>
      <c r="FCB135" s="221"/>
      <c r="FCC135" s="258"/>
      <c r="FCD135" s="270"/>
      <c r="FCE135" s="271"/>
      <c r="FCF135" s="271"/>
      <c r="FCG135" s="271"/>
      <c r="FCH135" s="221"/>
      <c r="FCI135" s="221"/>
      <c r="FCJ135" s="221"/>
      <c r="FCK135" s="258"/>
      <c r="FCL135" s="270"/>
      <c r="FCM135" s="271"/>
      <c r="FCN135" s="271"/>
      <c r="FCO135" s="271"/>
      <c r="FCP135" s="221"/>
      <c r="FCQ135" s="221"/>
      <c r="FCR135" s="221"/>
      <c r="FCS135" s="258"/>
      <c r="FCT135" s="270"/>
      <c r="FCU135" s="271"/>
      <c r="FCV135" s="271"/>
      <c r="FCW135" s="271"/>
      <c r="FCX135" s="221"/>
      <c r="FCY135" s="221"/>
      <c r="FCZ135" s="221"/>
      <c r="FDA135" s="258"/>
      <c r="FDB135" s="270"/>
      <c r="FDC135" s="271"/>
      <c r="FDD135" s="271"/>
      <c r="FDE135" s="271"/>
      <c r="FDF135" s="221"/>
      <c r="FDG135" s="221"/>
      <c r="FDH135" s="221"/>
      <c r="FDI135" s="258"/>
      <c r="FDJ135" s="270"/>
      <c r="FDK135" s="271"/>
      <c r="FDL135" s="271"/>
      <c r="FDM135" s="271"/>
      <c r="FDN135" s="221"/>
      <c r="FDO135" s="221"/>
      <c r="FDP135" s="221"/>
      <c r="FDQ135" s="258"/>
      <c r="FDR135" s="270"/>
      <c r="FDS135" s="271"/>
      <c r="FDT135" s="271"/>
      <c r="FDU135" s="271"/>
      <c r="FDV135" s="221"/>
      <c r="FDW135" s="221"/>
      <c r="FDX135" s="221"/>
      <c r="FDY135" s="258"/>
      <c r="FDZ135" s="270"/>
      <c r="FEA135" s="271"/>
      <c r="FEB135" s="271"/>
      <c r="FEC135" s="271"/>
      <c r="FED135" s="221"/>
      <c r="FEE135" s="221"/>
      <c r="FEF135" s="221"/>
      <c r="FEG135" s="258"/>
      <c r="FEH135" s="270"/>
      <c r="FEI135" s="271"/>
      <c r="FEJ135" s="271"/>
      <c r="FEK135" s="271"/>
      <c r="FEL135" s="221"/>
      <c r="FEM135" s="221"/>
      <c r="FEN135" s="221"/>
      <c r="FEO135" s="258"/>
      <c r="FEP135" s="270"/>
      <c r="FEQ135" s="271"/>
      <c r="FER135" s="271"/>
      <c r="FES135" s="271"/>
      <c r="FET135" s="221"/>
      <c r="FEU135" s="221"/>
      <c r="FEV135" s="221"/>
      <c r="FEW135" s="258"/>
      <c r="FEX135" s="270"/>
      <c r="FEY135" s="271"/>
      <c r="FEZ135" s="271"/>
      <c r="FFA135" s="271"/>
      <c r="FFB135" s="221"/>
      <c r="FFC135" s="221"/>
      <c r="FFD135" s="221"/>
      <c r="FFE135" s="258"/>
      <c r="FFF135" s="270"/>
      <c r="FFG135" s="271"/>
      <c r="FFH135" s="271"/>
      <c r="FFI135" s="271"/>
      <c r="FFJ135" s="221"/>
      <c r="FFK135" s="221"/>
      <c r="FFL135" s="221"/>
      <c r="FFM135" s="258"/>
      <c r="FFN135" s="270"/>
      <c r="FFO135" s="271"/>
      <c r="FFP135" s="271"/>
      <c r="FFQ135" s="271"/>
      <c r="FFR135" s="221"/>
      <c r="FFS135" s="221"/>
      <c r="FFT135" s="221"/>
      <c r="FFU135" s="258"/>
      <c r="FFV135" s="270"/>
      <c r="FFW135" s="271"/>
      <c r="FFX135" s="271"/>
      <c r="FFY135" s="271"/>
      <c r="FFZ135" s="221"/>
      <c r="FGA135" s="221"/>
      <c r="FGB135" s="221"/>
      <c r="FGC135" s="258"/>
      <c r="FGD135" s="270"/>
      <c r="FGE135" s="271"/>
      <c r="FGF135" s="271"/>
      <c r="FGG135" s="271"/>
      <c r="FGH135" s="221"/>
      <c r="FGI135" s="221"/>
      <c r="FGJ135" s="221"/>
      <c r="FGK135" s="258"/>
      <c r="FGL135" s="270"/>
      <c r="FGM135" s="271"/>
      <c r="FGN135" s="271"/>
      <c r="FGO135" s="271"/>
      <c r="FGP135" s="221"/>
      <c r="FGQ135" s="221"/>
      <c r="FGR135" s="221"/>
      <c r="FGS135" s="258"/>
      <c r="FGT135" s="270"/>
      <c r="FGU135" s="271"/>
      <c r="FGV135" s="271"/>
      <c r="FGW135" s="271"/>
      <c r="FGX135" s="221"/>
      <c r="FGY135" s="221"/>
      <c r="FGZ135" s="221"/>
      <c r="FHA135" s="258"/>
      <c r="FHB135" s="270"/>
      <c r="FHC135" s="271"/>
      <c r="FHD135" s="271"/>
      <c r="FHE135" s="271"/>
      <c r="FHF135" s="221"/>
      <c r="FHG135" s="221"/>
      <c r="FHH135" s="221"/>
      <c r="FHI135" s="258"/>
      <c r="FHJ135" s="270"/>
      <c r="FHK135" s="271"/>
      <c r="FHL135" s="271"/>
      <c r="FHM135" s="271"/>
      <c r="FHN135" s="221"/>
      <c r="FHO135" s="221"/>
      <c r="FHP135" s="221"/>
      <c r="FHQ135" s="258"/>
      <c r="FHR135" s="270"/>
      <c r="FHS135" s="271"/>
      <c r="FHT135" s="271"/>
      <c r="FHU135" s="271"/>
      <c r="FHV135" s="221"/>
      <c r="FHW135" s="221"/>
      <c r="FHX135" s="221"/>
      <c r="FHY135" s="258"/>
      <c r="FHZ135" s="270"/>
      <c r="FIA135" s="271"/>
      <c r="FIB135" s="271"/>
      <c r="FIC135" s="271"/>
      <c r="FID135" s="221"/>
      <c r="FIE135" s="221"/>
      <c r="FIF135" s="221"/>
      <c r="FIG135" s="258"/>
      <c r="FIH135" s="270"/>
      <c r="FII135" s="271"/>
      <c r="FIJ135" s="271"/>
      <c r="FIK135" s="271"/>
      <c r="FIL135" s="221"/>
      <c r="FIM135" s="221"/>
      <c r="FIN135" s="221"/>
      <c r="FIO135" s="258"/>
      <c r="FIP135" s="270"/>
      <c r="FIQ135" s="271"/>
      <c r="FIR135" s="271"/>
      <c r="FIS135" s="271"/>
      <c r="FIT135" s="221"/>
      <c r="FIU135" s="221"/>
      <c r="FIV135" s="221"/>
      <c r="FIW135" s="258"/>
      <c r="FIX135" s="270"/>
      <c r="FIY135" s="271"/>
      <c r="FIZ135" s="271"/>
      <c r="FJA135" s="271"/>
      <c r="FJB135" s="221"/>
      <c r="FJC135" s="221"/>
      <c r="FJD135" s="221"/>
      <c r="FJE135" s="258"/>
      <c r="FJF135" s="270"/>
      <c r="FJG135" s="271"/>
      <c r="FJH135" s="271"/>
      <c r="FJI135" s="271"/>
      <c r="FJJ135" s="221"/>
      <c r="FJK135" s="221"/>
      <c r="FJL135" s="221"/>
      <c r="FJM135" s="258"/>
      <c r="FJN135" s="270"/>
      <c r="FJO135" s="271"/>
      <c r="FJP135" s="271"/>
      <c r="FJQ135" s="271"/>
      <c r="FJR135" s="221"/>
      <c r="FJS135" s="221"/>
      <c r="FJT135" s="221"/>
      <c r="FJU135" s="258"/>
      <c r="FJV135" s="270"/>
      <c r="FJW135" s="271"/>
      <c r="FJX135" s="271"/>
      <c r="FJY135" s="271"/>
      <c r="FJZ135" s="221"/>
      <c r="FKA135" s="221"/>
      <c r="FKB135" s="221"/>
      <c r="FKC135" s="258"/>
      <c r="FKD135" s="270"/>
      <c r="FKE135" s="271"/>
      <c r="FKF135" s="271"/>
      <c r="FKG135" s="271"/>
      <c r="FKH135" s="221"/>
      <c r="FKI135" s="221"/>
      <c r="FKJ135" s="221"/>
      <c r="FKK135" s="258"/>
      <c r="FKL135" s="270"/>
      <c r="FKM135" s="271"/>
      <c r="FKN135" s="271"/>
      <c r="FKO135" s="271"/>
      <c r="FKP135" s="221"/>
      <c r="FKQ135" s="221"/>
      <c r="FKR135" s="221"/>
      <c r="FKS135" s="258"/>
      <c r="FKT135" s="270"/>
      <c r="FKU135" s="271"/>
      <c r="FKV135" s="271"/>
      <c r="FKW135" s="271"/>
      <c r="FKX135" s="221"/>
      <c r="FKY135" s="221"/>
      <c r="FKZ135" s="221"/>
      <c r="FLA135" s="258"/>
      <c r="FLB135" s="270"/>
      <c r="FLC135" s="271"/>
      <c r="FLD135" s="271"/>
      <c r="FLE135" s="271"/>
      <c r="FLF135" s="221"/>
      <c r="FLG135" s="221"/>
      <c r="FLH135" s="221"/>
      <c r="FLI135" s="258"/>
      <c r="FLJ135" s="270"/>
      <c r="FLK135" s="271"/>
      <c r="FLL135" s="271"/>
      <c r="FLM135" s="271"/>
      <c r="FLN135" s="221"/>
      <c r="FLO135" s="221"/>
      <c r="FLP135" s="221"/>
      <c r="FLQ135" s="258"/>
      <c r="FLR135" s="270"/>
      <c r="FLS135" s="271"/>
      <c r="FLT135" s="271"/>
      <c r="FLU135" s="271"/>
      <c r="FLV135" s="221"/>
      <c r="FLW135" s="221"/>
      <c r="FLX135" s="221"/>
      <c r="FLY135" s="258"/>
      <c r="FLZ135" s="270"/>
      <c r="FMA135" s="271"/>
      <c r="FMB135" s="271"/>
      <c r="FMC135" s="271"/>
      <c r="FMD135" s="221"/>
      <c r="FME135" s="221"/>
      <c r="FMF135" s="221"/>
      <c r="FMG135" s="258"/>
      <c r="FMH135" s="270"/>
      <c r="FMI135" s="271"/>
      <c r="FMJ135" s="271"/>
      <c r="FMK135" s="271"/>
      <c r="FML135" s="221"/>
      <c r="FMM135" s="221"/>
      <c r="FMN135" s="221"/>
      <c r="FMO135" s="258"/>
      <c r="FMP135" s="270"/>
      <c r="FMQ135" s="271"/>
      <c r="FMR135" s="271"/>
      <c r="FMS135" s="271"/>
      <c r="FMT135" s="221"/>
      <c r="FMU135" s="221"/>
      <c r="FMV135" s="221"/>
      <c r="FMW135" s="258"/>
      <c r="FMX135" s="270"/>
      <c r="FMY135" s="271"/>
      <c r="FMZ135" s="271"/>
      <c r="FNA135" s="271"/>
      <c r="FNB135" s="221"/>
      <c r="FNC135" s="221"/>
      <c r="FND135" s="221"/>
      <c r="FNE135" s="258"/>
      <c r="FNF135" s="270"/>
      <c r="FNG135" s="271"/>
      <c r="FNH135" s="271"/>
      <c r="FNI135" s="271"/>
      <c r="FNJ135" s="221"/>
      <c r="FNK135" s="221"/>
      <c r="FNL135" s="221"/>
      <c r="FNM135" s="258"/>
      <c r="FNN135" s="270"/>
      <c r="FNO135" s="271"/>
      <c r="FNP135" s="271"/>
      <c r="FNQ135" s="271"/>
      <c r="FNR135" s="221"/>
      <c r="FNS135" s="221"/>
      <c r="FNT135" s="221"/>
      <c r="FNU135" s="258"/>
      <c r="FNV135" s="270"/>
      <c r="FNW135" s="271"/>
      <c r="FNX135" s="271"/>
      <c r="FNY135" s="271"/>
      <c r="FNZ135" s="221"/>
      <c r="FOA135" s="221"/>
      <c r="FOB135" s="221"/>
      <c r="FOC135" s="258"/>
      <c r="FOD135" s="270"/>
      <c r="FOE135" s="271"/>
      <c r="FOF135" s="271"/>
      <c r="FOG135" s="271"/>
      <c r="FOH135" s="221"/>
      <c r="FOI135" s="221"/>
      <c r="FOJ135" s="221"/>
      <c r="FOK135" s="258"/>
      <c r="FOL135" s="270"/>
      <c r="FOM135" s="271"/>
      <c r="FON135" s="271"/>
      <c r="FOO135" s="271"/>
      <c r="FOP135" s="221"/>
      <c r="FOQ135" s="221"/>
      <c r="FOR135" s="221"/>
      <c r="FOS135" s="258"/>
      <c r="FOT135" s="270"/>
      <c r="FOU135" s="271"/>
      <c r="FOV135" s="271"/>
      <c r="FOW135" s="271"/>
      <c r="FOX135" s="221"/>
      <c r="FOY135" s="221"/>
      <c r="FOZ135" s="221"/>
      <c r="FPA135" s="258"/>
      <c r="FPB135" s="270"/>
      <c r="FPC135" s="271"/>
      <c r="FPD135" s="271"/>
      <c r="FPE135" s="271"/>
      <c r="FPF135" s="221"/>
      <c r="FPG135" s="221"/>
      <c r="FPH135" s="221"/>
      <c r="FPI135" s="258"/>
      <c r="FPJ135" s="270"/>
      <c r="FPK135" s="271"/>
      <c r="FPL135" s="271"/>
      <c r="FPM135" s="271"/>
      <c r="FPN135" s="221"/>
      <c r="FPO135" s="221"/>
      <c r="FPP135" s="221"/>
      <c r="FPQ135" s="258"/>
      <c r="FPR135" s="270"/>
      <c r="FPS135" s="271"/>
      <c r="FPT135" s="271"/>
      <c r="FPU135" s="271"/>
      <c r="FPV135" s="221"/>
      <c r="FPW135" s="221"/>
      <c r="FPX135" s="221"/>
      <c r="FPY135" s="258"/>
      <c r="FPZ135" s="270"/>
      <c r="FQA135" s="271"/>
      <c r="FQB135" s="271"/>
      <c r="FQC135" s="271"/>
      <c r="FQD135" s="221"/>
      <c r="FQE135" s="221"/>
      <c r="FQF135" s="221"/>
      <c r="FQG135" s="258"/>
      <c r="FQH135" s="270"/>
      <c r="FQI135" s="271"/>
      <c r="FQJ135" s="271"/>
      <c r="FQK135" s="271"/>
      <c r="FQL135" s="221"/>
      <c r="FQM135" s="221"/>
      <c r="FQN135" s="221"/>
      <c r="FQO135" s="258"/>
      <c r="FQP135" s="270"/>
      <c r="FQQ135" s="271"/>
      <c r="FQR135" s="271"/>
      <c r="FQS135" s="271"/>
      <c r="FQT135" s="221"/>
      <c r="FQU135" s="221"/>
      <c r="FQV135" s="221"/>
      <c r="FQW135" s="258"/>
      <c r="FQX135" s="270"/>
      <c r="FQY135" s="271"/>
      <c r="FQZ135" s="271"/>
      <c r="FRA135" s="271"/>
      <c r="FRB135" s="221"/>
      <c r="FRC135" s="221"/>
      <c r="FRD135" s="221"/>
      <c r="FRE135" s="258"/>
      <c r="FRF135" s="270"/>
      <c r="FRG135" s="271"/>
      <c r="FRH135" s="271"/>
      <c r="FRI135" s="271"/>
      <c r="FRJ135" s="221"/>
      <c r="FRK135" s="221"/>
      <c r="FRL135" s="221"/>
      <c r="FRM135" s="258"/>
      <c r="FRN135" s="270"/>
      <c r="FRO135" s="271"/>
      <c r="FRP135" s="271"/>
      <c r="FRQ135" s="271"/>
      <c r="FRR135" s="221"/>
      <c r="FRS135" s="221"/>
      <c r="FRT135" s="221"/>
      <c r="FRU135" s="258"/>
      <c r="FRV135" s="270"/>
      <c r="FRW135" s="271"/>
      <c r="FRX135" s="271"/>
      <c r="FRY135" s="271"/>
      <c r="FRZ135" s="221"/>
      <c r="FSA135" s="221"/>
      <c r="FSB135" s="221"/>
      <c r="FSC135" s="258"/>
      <c r="FSD135" s="270"/>
      <c r="FSE135" s="271"/>
      <c r="FSF135" s="271"/>
      <c r="FSG135" s="271"/>
      <c r="FSH135" s="221"/>
      <c r="FSI135" s="221"/>
      <c r="FSJ135" s="221"/>
      <c r="FSK135" s="258"/>
      <c r="FSL135" s="270"/>
      <c r="FSM135" s="271"/>
      <c r="FSN135" s="271"/>
      <c r="FSO135" s="271"/>
      <c r="FSP135" s="221"/>
      <c r="FSQ135" s="221"/>
      <c r="FSR135" s="221"/>
      <c r="FSS135" s="258"/>
      <c r="FST135" s="270"/>
      <c r="FSU135" s="271"/>
      <c r="FSV135" s="271"/>
      <c r="FSW135" s="271"/>
      <c r="FSX135" s="221"/>
      <c r="FSY135" s="221"/>
      <c r="FSZ135" s="221"/>
      <c r="FTA135" s="258"/>
      <c r="FTB135" s="270"/>
      <c r="FTC135" s="271"/>
      <c r="FTD135" s="271"/>
      <c r="FTE135" s="271"/>
      <c r="FTF135" s="221"/>
      <c r="FTG135" s="221"/>
      <c r="FTH135" s="221"/>
      <c r="FTI135" s="258"/>
      <c r="FTJ135" s="270"/>
      <c r="FTK135" s="271"/>
      <c r="FTL135" s="271"/>
      <c r="FTM135" s="271"/>
      <c r="FTN135" s="221"/>
      <c r="FTO135" s="221"/>
      <c r="FTP135" s="221"/>
      <c r="FTQ135" s="258"/>
      <c r="FTR135" s="270"/>
      <c r="FTS135" s="271"/>
      <c r="FTT135" s="271"/>
      <c r="FTU135" s="271"/>
      <c r="FTV135" s="221"/>
      <c r="FTW135" s="221"/>
      <c r="FTX135" s="221"/>
      <c r="FTY135" s="258"/>
      <c r="FTZ135" s="270"/>
      <c r="FUA135" s="271"/>
      <c r="FUB135" s="271"/>
      <c r="FUC135" s="271"/>
      <c r="FUD135" s="221"/>
      <c r="FUE135" s="221"/>
      <c r="FUF135" s="221"/>
      <c r="FUG135" s="258"/>
      <c r="FUH135" s="270"/>
      <c r="FUI135" s="271"/>
      <c r="FUJ135" s="271"/>
      <c r="FUK135" s="271"/>
      <c r="FUL135" s="221"/>
      <c r="FUM135" s="221"/>
      <c r="FUN135" s="221"/>
      <c r="FUO135" s="258"/>
      <c r="FUP135" s="270"/>
      <c r="FUQ135" s="271"/>
      <c r="FUR135" s="271"/>
      <c r="FUS135" s="271"/>
      <c r="FUT135" s="221"/>
      <c r="FUU135" s="221"/>
      <c r="FUV135" s="221"/>
      <c r="FUW135" s="258"/>
      <c r="FUX135" s="270"/>
      <c r="FUY135" s="271"/>
      <c r="FUZ135" s="271"/>
      <c r="FVA135" s="271"/>
      <c r="FVB135" s="221"/>
      <c r="FVC135" s="221"/>
      <c r="FVD135" s="221"/>
      <c r="FVE135" s="258"/>
      <c r="FVF135" s="270"/>
      <c r="FVG135" s="271"/>
      <c r="FVH135" s="271"/>
      <c r="FVI135" s="271"/>
      <c r="FVJ135" s="221"/>
      <c r="FVK135" s="221"/>
      <c r="FVL135" s="221"/>
      <c r="FVM135" s="258"/>
      <c r="FVN135" s="270"/>
      <c r="FVO135" s="271"/>
      <c r="FVP135" s="271"/>
      <c r="FVQ135" s="271"/>
      <c r="FVR135" s="221"/>
      <c r="FVS135" s="221"/>
      <c r="FVT135" s="221"/>
      <c r="FVU135" s="258"/>
      <c r="FVV135" s="270"/>
      <c r="FVW135" s="271"/>
      <c r="FVX135" s="271"/>
      <c r="FVY135" s="271"/>
      <c r="FVZ135" s="221"/>
      <c r="FWA135" s="221"/>
      <c r="FWB135" s="221"/>
      <c r="FWC135" s="258"/>
      <c r="FWD135" s="270"/>
      <c r="FWE135" s="271"/>
      <c r="FWF135" s="271"/>
      <c r="FWG135" s="271"/>
      <c r="FWH135" s="221"/>
      <c r="FWI135" s="221"/>
      <c r="FWJ135" s="221"/>
      <c r="FWK135" s="258"/>
      <c r="FWL135" s="270"/>
      <c r="FWM135" s="271"/>
      <c r="FWN135" s="271"/>
      <c r="FWO135" s="271"/>
      <c r="FWP135" s="221"/>
      <c r="FWQ135" s="221"/>
      <c r="FWR135" s="221"/>
      <c r="FWS135" s="258"/>
      <c r="FWT135" s="270"/>
      <c r="FWU135" s="271"/>
      <c r="FWV135" s="271"/>
      <c r="FWW135" s="271"/>
      <c r="FWX135" s="221"/>
      <c r="FWY135" s="221"/>
      <c r="FWZ135" s="221"/>
      <c r="FXA135" s="258"/>
      <c r="FXB135" s="270"/>
      <c r="FXC135" s="271"/>
      <c r="FXD135" s="271"/>
      <c r="FXE135" s="271"/>
      <c r="FXF135" s="221"/>
      <c r="FXG135" s="221"/>
      <c r="FXH135" s="221"/>
      <c r="FXI135" s="258"/>
      <c r="FXJ135" s="270"/>
      <c r="FXK135" s="271"/>
      <c r="FXL135" s="271"/>
      <c r="FXM135" s="271"/>
      <c r="FXN135" s="221"/>
      <c r="FXO135" s="221"/>
      <c r="FXP135" s="221"/>
      <c r="FXQ135" s="258"/>
      <c r="FXR135" s="270"/>
      <c r="FXS135" s="271"/>
      <c r="FXT135" s="271"/>
      <c r="FXU135" s="271"/>
      <c r="FXV135" s="221"/>
      <c r="FXW135" s="221"/>
      <c r="FXX135" s="221"/>
      <c r="FXY135" s="258"/>
      <c r="FXZ135" s="270"/>
      <c r="FYA135" s="271"/>
      <c r="FYB135" s="271"/>
      <c r="FYC135" s="271"/>
      <c r="FYD135" s="221"/>
      <c r="FYE135" s="221"/>
      <c r="FYF135" s="221"/>
      <c r="FYG135" s="258"/>
      <c r="FYH135" s="270"/>
      <c r="FYI135" s="271"/>
      <c r="FYJ135" s="271"/>
      <c r="FYK135" s="271"/>
      <c r="FYL135" s="221"/>
      <c r="FYM135" s="221"/>
      <c r="FYN135" s="221"/>
      <c r="FYO135" s="258"/>
      <c r="FYP135" s="270"/>
      <c r="FYQ135" s="271"/>
      <c r="FYR135" s="271"/>
      <c r="FYS135" s="271"/>
      <c r="FYT135" s="221"/>
      <c r="FYU135" s="221"/>
      <c r="FYV135" s="221"/>
      <c r="FYW135" s="258"/>
      <c r="FYX135" s="270"/>
      <c r="FYY135" s="271"/>
      <c r="FYZ135" s="271"/>
      <c r="FZA135" s="271"/>
      <c r="FZB135" s="221"/>
      <c r="FZC135" s="221"/>
      <c r="FZD135" s="221"/>
      <c r="FZE135" s="258"/>
      <c r="FZF135" s="270"/>
      <c r="FZG135" s="271"/>
      <c r="FZH135" s="271"/>
      <c r="FZI135" s="271"/>
      <c r="FZJ135" s="221"/>
      <c r="FZK135" s="221"/>
      <c r="FZL135" s="221"/>
      <c r="FZM135" s="258"/>
      <c r="FZN135" s="270"/>
      <c r="FZO135" s="271"/>
      <c r="FZP135" s="271"/>
      <c r="FZQ135" s="271"/>
      <c r="FZR135" s="221"/>
      <c r="FZS135" s="221"/>
      <c r="FZT135" s="221"/>
      <c r="FZU135" s="258"/>
      <c r="FZV135" s="270"/>
      <c r="FZW135" s="271"/>
      <c r="FZX135" s="271"/>
      <c r="FZY135" s="271"/>
      <c r="FZZ135" s="221"/>
      <c r="GAA135" s="221"/>
      <c r="GAB135" s="221"/>
      <c r="GAC135" s="258"/>
      <c r="GAD135" s="270"/>
      <c r="GAE135" s="271"/>
      <c r="GAF135" s="271"/>
      <c r="GAG135" s="271"/>
      <c r="GAH135" s="221"/>
      <c r="GAI135" s="221"/>
      <c r="GAJ135" s="221"/>
      <c r="GAK135" s="258"/>
      <c r="GAL135" s="270"/>
      <c r="GAM135" s="271"/>
      <c r="GAN135" s="271"/>
      <c r="GAO135" s="271"/>
      <c r="GAP135" s="221"/>
      <c r="GAQ135" s="221"/>
      <c r="GAR135" s="221"/>
      <c r="GAS135" s="258"/>
      <c r="GAT135" s="270"/>
      <c r="GAU135" s="271"/>
      <c r="GAV135" s="271"/>
      <c r="GAW135" s="271"/>
      <c r="GAX135" s="221"/>
      <c r="GAY135" s="221"/>
      <c r="GAZ135" s="221"/>
      <c r="GBA135" s="258"/>
      <c r="GBB135" s="270"/>
      <c r="GBC135" s="271"/>
      <c r="GBD135" s="271"/>
      <c r="GBE135" s="271"/>
      <c r="GBF135" s="221"/>
      <c r="GBG135" s="221"/>
      <c r="GBH135" s="221"/>
      <c r="GBI135" s="258"/>
      <c r="GBJ135" s="270"/>
      <c r="GBK135" s="271"/>
      <c r="GBL135" s="271"/>
      <c r="GBM135" s="271"/>
      <c r="GBN135" s="221"/>
      <c r="GBO135" s="221"/>
      <c r="GBP135" s="221"/>
      <c r="GBQ135" s="258"/>
      <c r="GBR135" s="270"/>
      <c r="GBS135" s="271"/>
      <c r="GBT135" s="271"/>
      <c r="GBU135" s="271"/>
      <c r="GBV135" s="221"/>
      <c r="GBW135" s="221"/>
      <c r="GBX135" s="221"/>
      <c r="GBY135" s="258"/>
      <c r="GBZ135" s="270"/>
      <c r="GCA135" s="271"/>
      <c r="GCB135" s="271"/>
      <c r="GCC135" s="271"/>
      <c r="GCD135" s="221"/>
      <c r="GCE135" s="221"/>
      <c r="GCF135" s="221"/>
      <c r="GCG135" s="258"/>
      <c r="GCH135" s="270"/>
      <c r="GCI135" s="271"/>
      <c r="GCJ135" s="271"/>
      <c r="GCK135" s="271"/>
      <c r="GCL135" s="221"/>
      <c r="GCM135" s="221"/>
      <c r="GCN135" s="221"/>
      <c r="GCO135" s="258"/>
      <c r="GCP135" s="270"/>
      <c r="GCQ135" s="271"/>
      <c r="GCR135" s="271"/>
      <c r="GCS135" s="271"/>
      <c r="GCT135" s="221"/>
      <c r="GCU135" s="221"/>
      <c r="GCV135" s="221"/>
      <c r="GCW135" s="258"/>
      <c r="GCX135" s="270"/>
      <c r="GCY135" s="271"/>
      <c r="GCZ135" s="271"/>
      <c r="GDA135" s="271"/>
      <c r="GDB135" s="221"/>
      <c r="GDC135" s="221"/>
      <c r="GDD135" s="221"/>
      <c r="GDE135" s="258"/>
      <c r="GDF135" s="270"/>
      <c r="GDG135" s="271"/>
      <c r="GDH135" s="271"/>
      <c r="GDI135" s="271"/>
      <c r="GDJ135" s="221"/>
      <c r="GDK135" s="221"/>
      <c r="GDL135" s="221"/>
      <c r="GDM135" s="258"/>
      <c r="GDN135" s="270"/>
      <c r="GDO135" s="271"/>
      <c r="GDP135" s="271"/>
      <c r="GDQ135" s="271"/>
      <c r="GDR135" s="221"/>
      <c r="GDS135" s="221"/>
      <c r="GDT135" s="221"/>
      <c r="GDU135" s="258"/>
      <c r="GDV135" s="270"/>
      <c r="GDW135" s="271"/>
      <c r="GDX135" s="271"/>
      <c r="GDY135" s="271"/>
      <c r="GDZ135" s="221"/>
      <c r="GEA135" s="221"/>
      <c r="GEB135" s="221"/>
      <c r="GEC135" s="258"/>
      <c r="GED135" s="270"/>
      <c r="GEE135" s="271"/>
      <c r="GEF135" s="271"/>
      <c r="GEG135" s="271"/>
      <c r="GEH135" s="221"/>
      <c r="GEI135" s="221"/>
      <c r="GEJ135" s="221"/>
      <c r="GEK135" s="258"/>
      <c r="GEL135" s="270"/>
      <c r="GEM135" s="271"/>
      <c r="GEN135" s="271"/>
      <c r="GEO135" s="271"/>
      <c r="GEP135" s="221"/>
      <c r="GEQ135" s="221"/>
      <c r="GER135" s="221"/>
      <c r="GES135" s="258"/>
      <c r="GET135" s="270"/>
      <c r="GEU135" s="271"/>
      <c r="GEV135" s="271"/>
      <c r="GEW135" s="271"/>
      <c r="GEX135" s="221"/>
      <c r="GEY135" s="221"/>
      <c r="GEZ135" s="221"/>
      <c r="GFA135" s="258"/>
      <c r="GFB135" s="270"/>
      <c r="GFC135" s="271"/>
      <c r="GFD135" s="271"/>
      <c r="GFE135" s="271"/>
      <c r="GFF135" s="221"/>
      <c r="GFG135" s="221"/>
      <c r="GFH135" s="221"/>
      <c r="GFI135" s="258"/>
      <c r="GFJ135" s="270"/>
      <c r="GFK135" s="271"/>
      <c r="GFL135" s="271"/>
      <c r="GFM135" s="271"/>
      <c r="GFN135" s="221"/>
      <c r="GFO135" s="221"/>
      <c r="GFP135" s="221"/>
      <c r="GFQ135" s="258"/>
      <c r="GFR135" s="270"/>
      <c r="GFS135" s="271"/>
      <c r="GFT135" s="271"/>
      <c r="GFU135" s="271"/>
      <c r="GFV135" s="221"/>
      <c r="GFW135" s="221"/>
      <c r="GFX135" s="221"/>
      <c r="GFY135" s="258"/>
      <c r="GFZ135" s="270"/>
      <c r="GGA135" s="271"/>
      <c r="GGB135" s="271"/>
      <c r="GGC135" s="271"/>
      <c r="GGD135" s="221"/>
      <c r="GGE135" s="221"/>
      <c r="GGF135" s="221"/>
      <c r="GGG135" s="258"/>
      <c r="GGH135" s="270"/>
      <c r="GGI135" s="271"/>
      <c r="GGJ135" s="271"/>
      <c r="GGK135" s="271"/>
      <c r="GGL135" s="221"/>
      <c r="GGM135" s="221"/>
      <c r="GGN135" s="221"/>
      <c r="GGO135" s="258"/>
      <c r="GGP135" s="270"/>
      <c r="GGQ135" s="271"/>
      <c r="GGR135" s="271"/>
      <c r="GGS135" s="271"/>
      <c r="GGT135" s="221"/>
      <c r="GGU135" s="221"/>
      <c r="GGV135" s="221"/>
      <c r="GGW135" s="258"/>
      <c r="GGX135" s="270"/>
      <c r="GGY135" s="271"/>
      <c r="GGZ135" s="271"/>
      <c r="GHA135" s="271"/>
      <c r="GHB135" s="221"/>
      <c r="GHC135" s="221"/>
      <c r="GHD135" s="221"/>
      <c r="GHE135" s="258"/>
      <c r="GHF135" s="270"/>
      <c r="GHG135" s="271"/>
      <c r="GHH135" s="271"/>
      <c r="GHI135" s="271"/>
      <c r="GHJ135" s="221"/>
      <c r="GHK135" s="221"/>
      <c r="GHL135" s="221"/>
      <c r="GHM135" s="258"/>
      <c r="GHN135" s="270"/>
      <c r="GHO135" s="271"/>
      <c r="GHP135" s="271"/>
      <c r="GHQ135" s="271"/>
      <c r="GHR135" s="221"/>
      <c r="GHS135" s="221"/>
      <c r="GHT135" s="221"/>
      <c r="GHU135" s="258"/>
      <c r="GHV135" s="270"/>
      <c r="GHW135" s="271"/>
      <c r="GHX135" s="271"/>
      <c r="GHY135" s="271"/>
      <c r="GHZ135" s="221"/>
      <c r="GIA135" s="221"/>
      <c r="GIB135" s="221"/>
      <c r="GIC135" s="258"/>
      <c r="GID135" s="270"/>
      <c r="GIE135" s="271"/>
      <c r="GIF135" s="271"/>
      <c r="GIG135" s="271"/>
      <c r="GIH135" s="221"/>
      <c r="GII135" s="221"/>
      <c r="GIJ135" s="221"/>
      <c r="GIK135" s="258"/>
      <c r="GIL135" s="270"/>
      <c r="GIM135" s="271"/>
      <c r="GIN135" s="271"/>
      <c r="GIO135" s="271"/>
      <c r="GIP135" s="221"/>
      <c r="GIQ135" s="221"/>
      <c r="GIR135" s="221"/>
      <c r="GIS135" s="258"/>
      <c r="GIT135" s="270"/>
      <c r="GIU135" s="271"/>
      <c r="GIV135" s="271"/>
      <c r="GIW135" s="271"/>
      <c r="GIX135" s="221"/>
      <c r="GIY135" s="221"/>
      <c r="GIZ135" s="221"/>
      <c r="GJA135" s="258"/>
      <c r="GJB135" s="270"/>
      <c r="GJC135" s="271"/>
      <c r="GJD135" s="271"/>
      <c r="GJE135" s="271"/>
      <c r="GJF135" s="221"/>
      <c r="GJG135" s="221"/>
      <c r="GJH135" s="221"/>
      <c r="GJI135" s="258"/>
      <c r="GJJ135" s="270"/>
      <c r="GJK135" s="271"/>
      <c r="GJL135" s="271"/>
      <c r="GJM135" s="271"/>
      <c r="GJN135" s="221"/>
      <c r="GJO135" s="221"/>
      <c r="GJP135" s="221"/>
      <c r="GJQ135" s="258"/>
      <c r="GJR135" s="270"/>
      <c r="GJS135" s="271"/>
      <c r="GJT135" s="271"/>
      <c r="GJU135" s="271"/>
      <c r="GJV135" s="221"/>
      <c r="GJW135" s="221"/>
      <c r="GJX135" s="221"/>
      <c r="GJY135" s="258"/>
      <c r="GJZ135" s="270"/>
      <c r="GKA135" s="271"/>
      <c r="GKB135" s="271"/>
      <c r="GKC135" s="271"/>
      <c r="GKD135" s="221"/>
      <c r="GKE135" s="221"/>
      <c r="GKF135" s="221"/>
      <c r="GKG135" s="258"/>
      <c r="GKH135" s="270"/>
      <c r="GKI135" s="271"/>
      <c r="GKJ135" s="271"/>
      <c r="GKK135" s="271"/>
      <c r="GKL135" s="221"/>
      <c r="GKM135" s="221"/>
      <c r="GKN135" s="221"/>
      <c r="GKO135" s="258"/>
      <c r="GKP135" s="270"/>
      <c r="GKQ135" s="271"/>
      <c r="GKR135" s="271"/>
      <c r="GKS135" s="271"/>
      <c r="GKT135" s="221"/>
      <c r="GKU135" s="221"/>
      <c r="GKV135" s="221"/>
      <c r="GKW135" s="258"/>
      <c r="GKX135" s="270"/>
      <c r="GKY135" s="271"/>
      <c r="GKZ135" s="271"/>
      <c r="GLA135" s="271"/>
      <c r="GLB135" s="221"/>
      <c r="GLC135" s="221"/>
      <c r="GLD135" s="221"/>
      <c r="GLE135" s="258"/>
      <c r="GLF135" s="270"/>
      <c r="GLG135" s="271"/>
      <c r="GLH135" s="271"/>
      <c r="GLI135" s="271"/>
      <c r="GLJ135" s="221"/>
      <c r="GLK135" s="221"/>
      <c r="GLL135" s="221"/>
      <c r="GLM135" s="258"/>
      <c r="GLN135" s="270"/>
      <c r="GLO135" s="271"/>
      <c r="GLP135" s="271"/>
      <c r="GLQ135" s="271"/>
      <c r="GLR135" s="221"/>
      <c r="GLS135" s="221"/>
      <c r="GLT135" s="221"/>
      <c r="GLU135" s="258"/>
      <c r="GLV135" s="270"/>
      <c r="GLW135" s="271"/>
      <c r="GLX135" s="271"/>
      <c r="GLY135" s="271"/>
      <c r="GLZ135" s="221"/>
      <c r="GMA135" s="221"/>
      <c r="GMB135" s="221"/>
      <c r="GMC135" s="258"/>
      <c r="GMD135" s="270"/>
      <c r="GME135" s="271"/>
      <c r="GMF135" s="271"/>
      <c r="GMG135" s="271"/>
      <c r="GMH135" s="221"/>
      <c r="GMI135" s="221"/>
      <c r="GMJ135" s="221"/>
      <c r="GMK135" s="258"/>
      <c r="GML135" s="270"/>
      <c r="GMM135" s="271"/>
      <c r="GMN135" s="271"/>
      <c r="GMO135" s="271"/>
      <c r="GMP135" s="221"/>
      <c r="GMQ135" s="221"/>
      <c r="GMR135" s="221"/>
      <c r="GMS135" s="258"/>
      <c r="GMT135" s="270"/>
      <c r="GMU135" s="271"/>
      <c r="GMV135" s="271"/>
      <c r="GMW135" s="271"/>
      <c r="GMX135" s="221"/>
      <c r="GMY135" s="221"/>
      <c r="GMZ135" s="221"/>
      <c r="GNA135" s="258"/>
      <c r="GNB135" s="270"/>
      <c r="GNC135" s="271"/>
      <c r="GND135" s="271"/>
      <c r="GNE135" s="271"/>
      <c r="GNF135" s="221"/>
      <c r="GNG135" s="221"/>
      <c r="GNH135" s="221"/>
      <c r="GNI135" s="258"/>
      <c r="GNJ135" s="270"/>
      <c r="GNK135" s="271"/>
      <c r="GNL135" s="271"/>
      <c r="GNM135" s="271"/>
      <c r="GNN135" s="221"/>
      <c r="GNO135" s="221"/>
      <c r="GNP135" s="221"/>
      <c r="GNQ135" s="258"/>
      <c r="GNR135" s="270"/>
      <c r="GNS135" s="271"/>
      <c r="GNT135" s="271"/>
      <c r="GNU135" s="271"/>
      <c r="GNV135" s="221"/>
      <c r="GNW135" s="221"/>
      <c r="GNX135" s="221"/>
      <c r="GNY135" s="258"/>
      <c r="GNZ135" s="270"/>
      <c r="GOA135" s="271"/>
      <c r="GOB135" s="271"/>
      <c r="GOC135" s="271"/>
      <c r="GOD135" s="221"/>
      <c r="GOE135" s="221"/>
      <c r="GOF135" s="221"/>
      <c r="GOG135" s="258"/>
      <c r="GOH135" s="270"/>
      <c r="GOI135" s="271"/>
      <c r="GOJ135" s="271"/>
      <c r="GOK135" s="271"/>
      <c r="GOL135" s="221"/>
      <c r="GOM135" s="221"/>
      <c r="GON135" s="221"/>
      <c r="GOO135" s="258"/>
      <c r="GOP135" s="270"/>
      <c r="GOQ135" s="271"/>
      <c r="GOR135" s="271"/>
      <c r="GOS135" s="271"/>
      <c r="GOT135" s="221"/>
      <c r="GOU135" s="221"/>
      <c r="GOV135" s="221"/>
      <c r="GOW135" s="258"/>
      <c r="GOX135" s="270"/>
      <c r="GOY135" s="271"/>
      <c r="GOZ135" s="271"/>
      <c r="GPA135" s="271"/>
      <c r="GPB135" s="221"/>
      <c r="GPC135" s="221"/>
      <c r="GPD135" s="221"/>
      <c r="GPE135" s="258"/>
      <c r="GPF135" s="270"/>
      <c r="GPG135" s="271"/>
      <c r="GPH135" s="271"/>
      <c r="GPI135" s="271"/>
      <c r="GPJ135" s="221"/>
      <c r="GPK135" s="221"/>
      <c r="GPL135" s="221"/>
      <c r="GPM135" s="258"/>
      <c r="GPN135" s="270"/>
      <c r="GPO135" s="271"/>
      <c r="GPP135" s="271"/>
      <c r="GPQ135" s="271"/>
      <c r="GPR135" s="221"/>
      <c r="GPS135" s="221"/>
      <c r="GPT135" s="221"/>
      <c r="GPU135" s="258"/>
      <c r="GPV135" s="270"/>
      <c r="GPW135" s="271"/>
      <c r="GPX135" s="271"/>
      <c r="GPY135" s="271"/>
      <c r="GPZ135" s="221"/>
      <c r="GQA135" s="221"/>
      <c r="GQB135" s="221"/>
      <c r="GQC135" s="258"/>
      <c r="GQD135" s="270"/>
      <c r="GQE135" s="271"/>
      <c r="GQF135" s="271"/>
      <c r="GQG135" s="271"/>
      <c r="GQH135" s="221"/>
      <c r="GQI135" s="221"/>
      <c r="GQJ135" s="221"/>
      <c r="GQK135" s="258"/>
      <c r="GQL135" s="270"/>
      <c r="GQM135" s="271"/>
      <c r="GQN135" s="271"/>
      <c r="GQO135" s="271"/>
      <c r="GQP135" s="221"/>
      <c r="GQQ135" s="221"/>
      <c r="GQR135" s="221"/>
      <c r="GQS135" s="258"/>
      <c r="GQT135" s="270"/>
      <c r="GQU135" s="271"/>
      <c r="GQV135" s="271"/>
      <c r="GQW135" s="271"/>
      <c r="GQX135" s="221"/>
      <c r="GQY135" s="221"/>
      <c r="GQZ135" s="221"/>
      <c r="GRA135" s="258"/>
      <c r="GRB135" s="270"/>
      <c r="GRC135" s="271"/>
      <c r="GRD135" s="271"/>
      <c r="GRE135" s="271"/>
      <c r="GRF135" s="221"/>
      <c r="GRG135" s="221"/>
      <c r="GRH135" s="221"/>
      <c r="GRI135" s="258"/>
      <c r="GRJ135" s="270"/>
      <c r="GRK135" s="271"/>
      <c r="GRL135" s="271"/>
      <c r="GRM135" s="271"/>
      <c r="GRN135" s="221"/>
      <c r="GRO135" s="221"/>
      <c r="GRP135" s="221"/>
      <c r="GRQ135" s="258"/>
      <c r="GRR135" s="270"/>
      <c r="GRS135" s="271"/>
      <c r="GRT135" s="271"/>
      <c r="GRU135" s="271"/>
      <c r="GRV135" s="221"/>
      <c r="GRW135" s="221"/>
      <c r="GRX135" s="221"/>
      <c r="GRY135" s="258"/>
      <c r="GRZ135" s="270"/>
      <c r="GSA135" s="271"/>
      <c r="GSB135" s="271"/>
      <c r="GSC135" s="271"/>
      <c r="GSD135" s="221"/>
      <c r="GSE135" s="221"/>
      <c r="GSF135" s="221"/>
      <c r="GSG135" s="258"/>
      <c r="GSH135" s="270"/>
      <c r="GSI135" s="271"/>
      <c r="GSJ135" s="271"/>
      <c r="GSK135" s="271"/>
      <c r="GSL135" s="221"/>
      <c r="GSM135" s="221"/>
      <c r="GSN135" s="221"/>
      <c r="GSO135" s="258"/>
      <c r="GSP135" s="270"/>
      <c r="GSQ135" s="271"/>
      <c r="GSR135" s="271"/>
      <c r="GSS135" s="271"/>
      <c r="GST135" s="221"/>
      <c r="GSU135" s="221"/>
      <c r="GSV135" s="221"/>
      <c r="GSW135" s="258"/>
      <c r="GSX135" s="270"/>
      <c r="GSY135" s="271"/>
      <c r="GSZ135" s="271"/>
      <c r="GTA135" s="271"/>
      <c r="GTB135" s="221"/>
      <c r="GTC135" s="221"/>
      <c r="GTD135" s="221"/>
      <c r="GTE135" s="258"/>
      <c r="GTF135" s="270"/>
      <c r="GTG135" s="271"/>
      <c r="GTH135" s="271"/>
      <c r="GTI135" s="271"/>
      <c r="GTJ135" s="221"/>
      <c r="GTK135" s="221"/>
      <c r="GTL135" s="221"/>
      <c r="GTM135" s="258"/>
      <c r="GTN135" s="270"/>
      <c r="GTO135" s="271"/>
      <c r="GTP135" s="271"/>
      <c r="GTQ135" s="271"/>
      <c r="GTR135" s="221"/>
      <c r="GTS135" s="221"/>
      <c r="GTT135" s="221"/>
      <c r="GTU135" s="258"/>
      <c r="GTV135" s="270"/>
      <c r="GTW135" s="271"/>
      <c r="GTX135" s="271"/>
      <c r="GTY135" s="271"/>
      <c r="GTZ135" s="221"/>
      <c r="GUA135" s="221"/>
      <c r="GUB135" s="221"/>
      <c r="GUC135" s="258"/>
      <c r="GUD135" s="270"/>
      <c r="GUE135" s="271"/>
      <c r="GUF135" s="271"/>
      <c r="GUG135" s="271"/>
      <c r="GUH135" s="221"/>
      <c r="GUI135" s="221"/>
      <c r="GUJ135" s="221"/>
      <c r="GUK135" s="258"/>
      <c r="GUL135" s="270"/>
      <c r="GUM135" s="271"/>
      <c r="GUN135" s="271"/>
      <c r="GUO135" s="271"/>
      <c r="GUP135" s="221"/>
      <c r="GUQ135" s="221"/>
      <c r="GUR135" s="221"/>
      <c r="GUS135" s="258"/>
      <c r="GUT135" s="270"/>
      <c r="GUU135" s="271"/>
      <c r="GUV135" s="271"/>
      <c r="GUW135" s="271"/>
      <c r="GUX135" s="221"/>
      <c r="GUY135" s="221"/>
      <c r="GUZ135" s="221"/>
      <c r="GVA135" s="258"/>
      <c r="GVB135" s="270"/>
      <c r="GVC135" s="271"/>
      <c r="GVD135" s="271"/>
      <c r="GVE135" s="271"/>
      <c r="GVF135" s="221"/>
      <c r="GVG135" s="221"/>
      <c r="GVH135" s="221"/>
      <c r="GVI135" s="258"/>
      <c r="GVJ135" s="270"/>
      <c r="GVK135" s="271"/>
      <c r="GVL135" s="271"/>
      <c r="GVM135" s="271"/>
      <c r="GVN135" s="221"/>
      <c r="GVO135" s="221"/>
      <c r="GVP135" s="221"/>
      <c r="GVQ135" s="258"/>
      <c r="GVR135" s="270"/>
      <c r="GVS135" s="271"/>
      <c r="GVT135" s="271"/>
      <c r="GVU135" s="271"/>
      <c r="GVV135" s="221"/>
      <c r="GVW135" s="221"/>
      <c r="GVX135" s="221"/>
      <c r="GVY135" s="258"/>
      <c r="GVZ135" s="270"/>
      <c r="GWA135" s="271"/>
      <c r="GWB135" s="271"/>
      <c r="GWC135" s="271"/>
      <c r="GWD135" s="221"/>
      <c r="GWE135" s="221"/>
      <c r="GWF135" s="221"/>
      <c r="GWG135" s="258"/>
      <c r="GWH135" s="270"/>
      <c r="GWI135" s="271"/>
      <c r="GWJ135" s="271"/>
      <c r="GWK135" s="271"/>
      <c r="GWL135" s="221"/>
      <c r="GWM135" s="221"/>
      <c r="GWN135" s="221"/>
      <c r="GWO135" s="258"/>
      <c r="GWP135" s="270"/>
      <c r="GWQ135" s="271"/>
      <c r="GWR135" s="271"/>
      <c r="GWS135" s="271"/>
      <c r="GWT135" s="221"/>
      <c r="GWU135" s="221"/>
      <c r="GWV135" s="221"/>
      <c r="GWW135" s="258"/>
      <c r="GWX135" s="270"/>
      <c r="GWY135" s="271"/>
      <c r="GWZ135" s="271"/>
      <c r="GXA135" s="271"/>
      <c r="GXB135" s="221"/>
      <c r="GXC135" s="221"/>
      <c r="GXD135" s="221"/>
      <c r="GXE135" s="258"/>
      <c r="GXF135" s="270"/>
      <c r="GXG135" s="271"/>
      <c r="GXH135" s="271"/>
      <c r="GXI135" s="271"/>
      <c r="GXJ135" s="221"/>
      <c r="GXK135" s="221"/>
      <c r="GXL135" s="221"/>
      <c r="GXM135" s="258"/>
      <c r="GXN135" s="270"/>
      <c r="GXO135" s="271"/>
      <c r="GXP135" s="271"/>
      <c r="GXQ135" s="271"/>
      <c r="GXR135" s="221"/>
      <c r="GXS135" s="221"/>
      <c r="GXT135" s="221"/>
      <c r="GXU135" s="258"/>
      <c r="GXV135" s="270"/>
      <c r="GXW135" s="271"/>
      <c r="GXX135" s="271"/>
      <c r="GXY135" s="271"/>
      <c r="GXZ135" s="221"/>
      <c r="GYA135" s="221"/>
      <c r="GYB135" s="221"/>
      <c r="GYC135" s="258"/>
      <c r="GYD135" s="270"/>
      <c r="GYE135" s="271"/>
      <c r="GYF135" s="271"/>
      <c r="GYG135" s="271"/>
      <c r="GYH135" s="221"/>
      <c r="GYI135" s="221"/>
      <c r="GYJ135" s="221"/>
      <c r="GYK135" s="258"/>
      <c r="GYL135" s="270"/>
      <c r="GYM135" s="271"/>
      <c r="GYN135" s="271"/>
      <c r="GYO135" s="271"/>
      <c r="GYP135" s="221"/>
      <c r="GYQ135" s="221"/>
      <c r="GYR135" s="221"/>
      <c r="GYS135" s="258"/>
      <c r="GYT135" s="270"/>
      <c r="GYU135" s="271"/>
      <c r="GYV135" s="271"/>
      <c r="GYW135" s="271"/>
      <c r="GYX135" s="221"/>
      <c r="GYY135" s="221"/>
      <c r="GYZ135" s="221"/>
      <c r="GZA135" s="258"/>
      <c r="GZB135" s="270"/>
      <c r="GZC135" s="271"/>
      <c r="GZD135" s="271"/>
      <c r="GZE135" s="271"/>
      <c r="GZF135" s="221"/>
      <c r="GZG135" s="221"/>
      <c r="GZH135" s="221"/>
      <c r="GZI135" s="258"/>
      <c r="GZJ135" s="270"/>
      <c r="GZK135" s="271"/>
      <c r="GZL135" s="271"/>
      <c r="GZM135" s="271"/>
      <c r="GZN135" s="221"/>
      <c r="GZO135" s="221"/>
      <c r="GZP135" s="221"/>
      <c r="GZQ135" s="258"/>
      <c r="GZR135" s="270"/>
      <c r="GZS135" s="271"/>
      <c r="GZT135" s="271"/>
      <c r="GZU135" s="271"/>
      <c r="GZV135" s="221"/>
      <c r="GZW135" s="221"/>
      <c r="GZX135" s="221"/>
      <c r="GZY135" s="258"/>
      <c r="GZZ135" s="270"/>
      <c r="HAA135" s="271"/>
      <c r="HAB135" s="271"/>
      <c r="HAC135" s="271"/>
      <c r="HAD135" s="221"/>
      <c r="HAE135" s="221"/>
      <c r="HAF135" s="221"/>
      <c r="HAG135" s="258"/>
      <c r="HAH135" s="270"/>
      <c r="HAI135" s="271"/>
      <c r="HAJ135" s="271"/>
      <c r="HAK135" s="271"/>
      <c r="HAL135" s="221"/>
      <c r="HAM135" s="221"/>
      <c r="HAN135" s="221"/>
      <c r="HAO135" s="258"/>
      <c r="HAP135" s="270"/>
      <c r="HAQ135" s="271"/>
      <c r="HAR135" s="271"/>
      <c r="HAS135" s="271"/>
      <c r="HAT135" s="221"/>
      <c r="HAU135" s="221"/>
      <c r="HAV135" s="221"/>
      <c r="HAW135" s="258"/>
      <c r="HAX135" s="270"/>
      <c r="HAY135" s="271"/>
      <c r="HAZ135" s="271"/>
      <c r="HBA135" s="271"/>
      <c r="HBB135" s="221"/>
      <c r="HBC135" s="221"/>
      <c r="HBD135" s="221"/>
      <c r="HBE135" s="258"/>
      <c r="HBF135" s="270"/>
      <c r="HBG135" s="271"/>
      <c r="HBH135" s="271"/>
      <c r="HBI135" s="271"/>
      <c r="HBJ135" s="221"/>
      <c r="HBK135" s="221"/>
      <c r="HBL135" s="221"/>
      <c r="HBM135" s="258"/>
      <c r="HBN135" s="270"/>
      <c r="HBO135" s="271"/>
      <c r="HBP135" s="271"/>
      <c r="HBQ135" s="271"/>
      <c r="HBR135" s="221"/>
      <c r="HBS135" s="221"/>
      <c r="HBT135" s="221"/>
      <c r="HBU135" s="258"/>
      <c r="HBV135" s="270"/>
      <c r="HBW135" s="271"/>
      <c r="HBX135" s="271"/>
      <c r="HBY135" s="271"/>
      <c r="HBZ135" s="221"/>
      <c r="HCA135" s="221"/>
      <c r="HCB135" s="221"/>
      <c r="HCC135" s="258"/>
      <c r="HCD135" s="270"/>
      <c r="HCE135" s="271"/>
      <c r="HCF135" s="271"/>
      <c r="HCG135" s="271"/>
      <c r="HCH135" s="221"/>
      <c r="HCI135" s="221"/>
      <c r="HCJ135" s="221"/>
      <c r="HCK135" s="258"/>
      <c r="HCL135" s="270"/>
      <c r="HCM135" s="271"/>
      <c r="HCN135" s="271"/>
      <c r="HCO135" s="271"/>
      <c r="HCP135" s="221"/>
      <c r="HCQ135" s="221"/>
      <c r="HCR135" s="221"/>
      <c r="HCS135" s="258"/>
      <c r="HCT135" s="270"/>
      <c r="HCU135" s="271"/>
      <c r="HCV135" s="271"/>
      <c r="HCW135" s="271"/>
      <c r="HCX135" s="221"/>
      <c r="HCY135" s="221"/>
      <c r="HCZ135" s="221"/>
      <c r="HDA135" s="258"/>
      <c r="HDB135" s="270"/>
      <c r="HDC135" s="271"/>
      <c r="HDD135" s="271"/>
      <c r="HDE135" s="271"/>
      <c r="HDF135" s="221"/>
      <c r="HDG135" s="221"/>
      <c r="HDH135" s="221"/>
      <c r="HDI135" s="258"/>
      <c r="HDJ135" s="270"/>
      <c r="HDK135" s="271"/>
      <c r="HDL135" s="271"/>
      <c r="HDM135" s="271"/>
      <c r="HDN135" s="221"/>
      <c r="HDO135" s="221"/>
      <c r="HDP135" s="221"/>
      <c r="HDQ135" s="258"/>
      <c r="HDR135" s="270"/>
      <c r="HDS135" s="271"/>
      <c r="HDT135" s="271"/>
      <c r="HDU135" s="271"/>
      <c r="HDV135" s="221"/>
      <c r="HDW135" s="221"/>
      <c r="HDX135" s="221"/>
      <c r="HDY135" s="258"/>
      <c r="HDZ135" s="270"/>
      <c r="HEA135" s="271"/>
      <c r="HEB135" s="271"/>
      <c r="HEC135" s="271"/>
      <c r="HED135" s="221"/>
      <c r="HEE135" s="221"/>
      <c r="HEF135" s="221"/>
      <c r="HEG135" s="258"/>
      <c r="HEH135" s="270"/>
      <c r="HEI135" s="271"/>
      <c r="HEJ135" s="271"/>
      <c r="HEK135" s="271"/>
      <c r="HEL135" s="221"/>
      <c r="HEM135" s="221"/>
      <c r="HEN135" s="221"/>
      <c r="HEO135" s="258"/>
      <c r="HEP135" s="270"/>
      <c r="HEQ135" s="271"/>
      <c r="HER135" s="271"/>
      <c r="HES135" s="271"/>
      <c r="HET135" s="221"/>
      <c r="HEU135" s="221"/>
      <c r="HEV135" s="221"/>
      <c r="HEW135" s="258"/>
      <c r="HEX135" s="270"/>
      <c r="HEY135" s="271"/>
      <c r="HEZ135" s="271"/>
      <c r="HFA135" s="271"/>
      <c r="HFB135" s="221"/>
      <c r="HFC135" s="221"/>
      <c r="HFD135" s="221"/>
      <c r="HFE135" s="258"/>
      <c r="HFF135" s="270"/>
      <c r="HFG135" s="271"/>
      <c r="HFH135" s="271"/>
      <c r="HFI135" s="271"/>
      <c r="HFJ135" s="221"/>
      <c r="HFK135" s="221"/>
      <c r="HFL135" s="221"/>
      <c r="HFM135" s="258"/>
      <c r="HFN135" s="270"/>
      <c r="HFO135" s="271"/>
      <c r="HFP135" s="271"/>
      <c r="HFQ135" s="271"/>
      <c r="HFR135" s="221"/>
      <c r="HFS135" s="221"/>
      <c r="HFT135" s="221"/>
      <c r="HFU135" s="258"/>
      <c r="HFV135" s="270"/>
      <c r="HFW135" s="271"/>
      <c r="HFX135" s="271"/>
      <c r="HFY135" s="271"/>
      <c r="HFZ135" s="221"/>
      <c r="HGA135" s="221"/>
      <c r="HGB135" s="221"/>
      <c r="HGC135" s="258"/>
      <c r="HGD135" s="270"/>
      <c r="HGE135" s="271"/>
      <c r="HGF135" s="271"/>
      <c r="HGG135" s="271"/>
      <c r="HGH135" s="221"/>
      <c r="HGI135" s="221"/>
      <c r="HGJ135" s="221"/>
      <c r="HGK135" s="258"/>
      <c r="HGL135" s="270"/>
      <c r="HGM135" s="271"/>
      <c r="HGN135" s="271"/>
      <c r="HGO135" s="271"/>
      <c r="HGP135" s="221"/>
      <c r="HGQ135" s="221"/>
      <c r="HGR135" s="221"/>
      <c r="HGS135" s="258"/>
      <c r="HGT135" s="270"/>
      <c r="HGU135" s="271"/>
      <c r="HGV135" s="271"/>
      <c r="HGW135" s="271"/>
      <c r="HGX135" s="221"/>
      <c r="HGY135" s="221"/>
      <c r="HGZ135" s="221"/>
      <c r="HHA135" s="258"/>
      <c r="HHB135" s="270"/>
      <c r="HHC135" s="271"/>
      <c r="HHD135" s="271"/>
      <c r="HHE135" s="271"/>
      <c r="HHF135" s="221"/>
      <c r="HHG135" s="221"/>
      <c r="HHH135" s="221"/>
      <c r="HHI135" s="258"/>
      <c r="HHJ135" s="270"/>
      <c r="HHK135" s="271"/>
      <c r="HHL135" s="271"/>
      <c r="HHM135" s="271"/>
      <c r="HHN135" s="221"/>
      <c r="HHO135" s="221"/>
      <c r="HHP135" s="221"/>
      <c r="HHQ135" s="258"/>
      <c r="HHR135" s="270"/>
      <c r="HHS135" s="271"/>
      <c r="HHT135" s="271"/>
      <c r="HHU135" s="271"/>
      <c r="HHV135" s="221"/>
      <c r="HHW135" s="221"/>
      <c r="HHX135" s="221"/>
      <c r="HHY135" s="258"/>
      <c r="HHZ135" s="270"/>
      <c r="HIA135" s="271"/>
      <c r="HIB135" s="271"/>
      <c r="HIC135" s="271"/>
      <c r="HID135" s="221"/>
      <c r="HIE135" s="221"/>
      <c r="HIF135" s="221"/>
      <c r="HIG135" s="258"/>
      <c r="HIH135" s="270"/>
      <c r="HII135" s="271"/>
      <c r="HIJ135" s="271"/>
      <c r="HIK135" s="271"/>
      <c r="HIL135" s="221"/>
      <c r="HIM135" s="221"/>
      <c r="HIN135" s="221"/>
      <c r="HIO135" s="258"/>
      <c r="HIP135" s="270"/>
      <c r="HIQ135" s="271"/>
      <c r="HIR135" s="271"/>
      <c r="HIS135" s="271"/>
      <c r="HIT135" s="221"/>
      <c r="HIU135" s="221"/>
      <c r="HIV135" s="221"/>
      <c r="HIW135" s="258"/>
      <c r="HIX135" s="270"/>
      <c r="HIY135" s="271"/>
      <c r="HIZ135" s="271"/>
      <c r="HJA135" s="271"/>
      <c r="HJB135" s="221"/>
      <c r="HJC135" s="221"/>
      <c r="HJD135" s="221"/>
      <c r="HJE135" s="258"/>
      <c r="HJF135" s="270"/>
      <c r="HJG135" s="271"/>
      <c r="HJH135" s="271"/>
      <c r="HJI135" s="271"/>
      <c r="HJJ135" s="221"/>
      <c r="HJK135" s="221"/>
      <c r="HJL135" s="221"/>
      <c r="HJM135" s="258"/>
      <c r="HJN135" s="270"/>
      <c r="HJO135" s="271"/>
      <c r="HJP135" s="271"/>
      <c r="HJQ135" s="271"/>
      <c r="HJR135" s="221"/>
      <c r="HJS135" s="221"/>
      <c r="HJT135" s="221"/>
      <c r="HJU135" s="258"/>
      <c r="HJV135" s="270"/>
      <c r="HJW135" s="271"/>
      <c r="HJX135" s="271"/>
      <c r="HJY135" s="271"/>
      <c r="HJZ135" s="221"/>
      <c r="HKA135" s="221"/>
      <c r="HKB135" s="221"/>
      <c r="HKC135" s="258"/>
      <c r="HKD135" s="270"/>
      <c r="HKE135" s="271"/>
      <c r="HKF135" s="271"/>
      <c r="HKG135" s="271"/>
      <c r="HKH135" s="221"/>
      <c r="HKI135" s="221"/>
      <c r="HKJ135" s="221"/>
      <c r="HKK135" s="258"/>
      <c r="HKL135" s="270"/>
      <c r="HKM135" s="271"/>
      <c r="HKN135" s="271"/>
      <c r="HKO135" s="271"/>
      <c r="HKP135" s="221"/>
      <c r="HKQ135" s="221"/>
      <c r="HKR135" s="221"/>
      <c r="HKS135" s="258"/>
      <c r="HKT135" s="270"/>
      <c r="HKU135" s="271"/>
      <c r="HKV135" s="271"/>
      <c r="HKW135" s="271"/>
      <c r="HKX135" s="221"/>
      <c r="HKY135" s="221"/>
      <c r="HKZ135" s="221"/>
      <c r="HLA135" s="258"/>
      <c r="HLB135" s="270"/>
      <c r="HLC135" s="271"/>
      <c r="HLD135" s="271"/>
      <c r="HLE135" s="271"/>
      <c r="HLF135" s="221"/>
      <c r="HLG135" s="221"/>
      <c r="HLH135" s="221"/>
      <c r="HLI135" s="258"/>
      <c r="HLJ135" s="270"/>
      <c r="HLK135" s="271"/>
      <c r="HLL135" s="271"/>
      <c r="HLM135" s="271"/>
      <c r="HLN135" s="221"/>
      <c r="HLO135" s="221"/>
      <c r="HLP135" s="221"/>
      <c r="HLQ135" s="258"/>
      <c r="HLR135" s="270"/>
      <c r="HLS135" s="271"/>
      <c r="HLT135" s="271"/>
      <c r="HLU135" s="271"/>
      <c r="HLV135" s="221"/>
      <c r="HLW135" s="221"/>
      <c r="HLX135" s="221"/>
      <c r="HLY135" s="258"/>
      <c r="HLZ135" s="270"/>
      <c r="HMA135" s="271"/>
      <c r="HMB135" s="271"/>
      <c r="HMC135" s="271"/>
      <c r="HMD135" s="221"/>
      <c r="HME135" s="221"/>
      <c r="HMF135" s="221"/>
      <c r="HMG135" s="258"/>
      <c r="HMH135" s="270"/>
      <c r="HMI135" s="271"/>
      <c r="HMJ135" s="271"/>
      <c r="HMK135" s="271"/>
      <c r="HML135" s="221"/>
      <c r="HMM135" s="221"/>
      <c r="HMN135" s="221"/>
      <c r="HMO135" s="258"/>
      <c r="HMP135" s="270"/>
      <c r="HMQ135" s="271"/>
      <c r="HMR135" s="271"/>
      <c r="HMS135" s="271"/>
      <c r="HMT135" s="221"/>
      <c r="HMU135" s="221"/>
      <c r="HMV135" s="221"/>
      <c r="HMW135" s="258"/>
      <c r="HMX135" s="270"/>
      <c r="HMY135" s="271"/>
      <c r="HMZ135" s="271"/>
      <c r="HNA135" s="271"/>
      <c r="HNB135" s="221"/>
      <c r="HNC135" s="221"/>
      <c r="HND135" s="221"/>
      <c r="HNE135" s="258"/>
      <c r="HNF135" s="270"/>
      <c r="HNG135" s="271"/>
      <c r="HNH135" s="271"/>
      <c r="HNI135" s="271"/>
      <c r="HNJ135" s="221"/>
      <c r="HNK135" s="221"/>
      <c r="HNL135" s="221"/>
      <c r="HNM135" s="258"/>
      <c r="HNN135" s="270"/>
      <c r="HNO135" s="271"/>
      <c r="HNP135" s="271"/>
      <c r="HNQ135" s="271"/>
      <c r="HNR135" s="221"/>
      <c r="HNS135" s="221"/>
      <c r="HNT135" s="221"/>
      <c r="HNU135" s="258"/>
      <c r="HNV135" s="270"/>
      <c r="HNW135" s="271"/>
      <c r="HNX135" s="271"/>
      <c r="HNY135" s="271"/>
      <c r="HNZ135" s="221"/>
      <c r="HOA135" s="221"/>
      <c r="HOB135" s="221"/>
      <c r="HOC135" s="258"/>
      <c r="HOD135" s="270"/>
      <c r="HOE135" s="271"/>
      <c r="HOF135" s="271"/>
      <c r="HOG135" s="271"/>
      <c r="HOH135" s="221"/>
      <c r="HOI135" s="221"/>
      <c r="HOJ135" s="221"/>
      <c r="HOK135" s="258"/>
      <c r="HOL135" s="270"/>
      <c r="HOM135" s="271"/>
      <c r="HON135" s="271"/>
      <c r="HOO135" s="271"/>
      <c r="HOP135" s="221"/>
      <c r="HOQ135" s="221"/>
      <c r="HOR135" s="221"/>
      <c r="HOS135" s="258"/>
      <c r="HOT135" s="270"/>
      <c r="HOU135" s="271"/>
      <c r="HOV135" s="271"/>
      <c r="HOW135" s="271"/>
      <c r="HOX135" s="221"/>
      <c r="HOY135" s="221"/>
      <c r="HOZ135" s="221"/>
      <c r="HPA135" s="258"/>
      <c r="HPB135" s="270"/>
      <c r="HPC135" s="271"/>
      <c r="HPD135" s="271"/>
      <c r="HPE135" s="271"/>
      <c r="HPF135" s="221"/>
      <c r="HPG135" s="221"/>
      <c r="HPH135" s="221"/>
      <c r="HPI135" s="258"/>
      <c r="HPJ135" s="270"/>
      <c r="HPK135" s="271"/>
      <c r="HPL135" s="271"/>
      <c r="HPM135" s="271"/>
      <c r="HPN135" s="221"/>
      <c r="HPO135" s="221"/>
      <c r="HPP135" s="221"/>
      <c r="HPQ135" s="258"/>
      <c r="HPR135" s="270"/>
      <c r="HPS135" s="271"/>
      <c r="HPT135" s="271"/>
      <c r="HPU135" s="271"/>
      <c r="HPV135" s="221"/>
      <c r="HPW135" s="221"/>
      <c r="HPX135" s="221"/>
      <c r="HPY135" s="258"/>
      <c r="HPZ135" s="270"/>
      <c r="HQA135" s="271"/>
      <c r="HQB135" s="271"/>
      <c r="HQC135" s="271"/>
      <c r="HQD135" s="221"/>
      <c r="HQE135" s="221"/>
      <c r="HQF135" s="221"/>
      <c r="HQG135" s="258"/>
      <c r="HQH135" s="270"/>
      <c r="HQI135" s="271"/>
      <c r="HQJ135" s="271"/>
      <c r="HQK135" s="271"/>
      <c r="HQL135" s="221"/>
      <c r="HQM135" s="221"/>
      <c r="HQN135" s="221"/>
      <c r="HQO135" s="258"/>
      <c r="HQP135" s="270"/>
      <c r="HQQ135" s="271"/>
      <c r="HQR135" s="271"/>
      <c r="HQS135" s="271"/>
      <c r="HQT135" s="221"/>
      <c r="HQU135" s="221"/>
      <c r="HQV135" s="221"/>
      <c r="HQW135" s="258"/>
      <c r="HQX135" s="270"/>
      <c r="HQY135" s="271"/>
      <c r="HQZ135" s="271"/>
      <c r="HRA135" s="271"/>
      <c r="HRB135" s="221"/>
      <c r="HRC135" s="221"/>
      <c r="HRD135" s="221"/>
      <c r="HRE135" s="258"/>
      <c r="HRF135" s="270"/>
      <c r="HRG135" s="271"/>
      <c r="HRH135" s="271"/>
      <c r="HRI135" s="271"/>
      <c r="HRJ135" s="221"/>
      <c r="HRK135" s="221"/>
      <c r="HRL135" s="221"/>
      <c r="HRM135" s="258"/>
      <c r="HRN135" s="270"/>
      <c r="HRO135" s="271"/>
      <c r="HRP135" s="271"/>
      <c r="HRQ135" s="271"/>
      <c r="HRR135" s="221"/>
      <c r="HRS135" s="221"/>
      <c r="HRT135" s="221"/>
      <c r="HRU135" s="258"/>
      <c r="HRV135" s="270"/>
      <c r="HRW135" s="271"/>
      <c r="HRX135" s="271"/>
      <c r="HRY135" s="271"/>
      <c r="HRZ135" s="221"/>
      <c r="HSA135" s="221"/>
      <c r="HSB135" s="221"/>
      <c r="HSC135" s="258"/>
      <c r="HSD135" s="270"/>
      <c r="HSE135" s="271"/>
      <c r="HSF135" s="271"/>
      <c r="HSG135" s="271"/>
      <c r="HSH135" s="221"/>
      <c r="HSI135" s="221"/>
      <c r="HSJ135" s="221"/>
      <c r="HSK135" s="258"/>
      <c r="HSL135" s="270"/>
      <c r="HSM135" s="271"/>
      <c r="HSN135" s="271"/>
      <c r="HSO135" s="271"/>
      <c r="HSP135" s="221"/>
      <c r="HSQ135" s="221"/>
      <c r="HSR135" s="221"/>
      <c r="HSS135" s="258"/>
      <c r="HST135" s="270"/>
      <c r="HSU135" s="271"/>
      <c r="HSV135" s="271"/>
      <c r="HSW135" s="271"/>
      <c r="HSX135" s="221"/>
      <c r="HSY135" s="221"/>
      <c r="HSZ135" s="221"/>
      <c r="HTA135" s="258"/>
      <c r="HTB135" s="270"/>
      <c r="HTC135" s="271"/>
      <c r="HTD135" s="271"/>
      <c r="HTE135" s="271"/>
      <c r="HTF135" s="221"/>
      <c r="HTG135" s="221"/>
      <c r="HTH135" s="221"/>
      <c r="HTI135" s="258"/>
      <c r="HTJ135" s="270"/>
      <c r="HTK135" s="271"/>
      <c r="HTL135" s="271"/>
      <c r="HTM135" s="271"/>
      <c r="HTN135" s="221"/>
      <c r="HTO135" s="221"/>
      <c r="HTP135" s="221"/>
      <c r="HTQ135" s="258"/>
      <c r="HTR135" s="270"/>
      <c r="HTS135" s="271"/>
      <c r="HTT135" s="271"/>
      <c r="HTU135" s="271"/>
      <c r="HTV135" s="221"/>
      <c r="HTW135" s="221"/>
      <c r="HTX135" s="221"/>
      <c r="HTY135" s="258"/>
      <c r="HTZ135" s="270"/>
      <c r="HUA135" s="271"/>
      <c r="HUB135" s="271"/>
      <c r="HUC135" s="271"/>
      <c r="HUD135" s="221"/>
      <c r="HUE135" s="221"/>
      <c r="HUF135" s="221"/>
      <c r="HUG135" s="258"/>
      <c r="HUH135" s="270"/>
      <c r="HUI135" s="271"/>
      <c r="HUJ135" s="271"/>
      <c r="HUK135" s="271"/>
      <c r="HUL135" s="221"/>
      <c r="HUM135" s="221"/>
      <c r="HUN135" s="221"/>
      <c r="HUO135" s="258"/>
      <c r="HUP135" s="270"/>
      <c r="HUQ135" s="271"/>
      <c r="HUR135" s="271"/>
      <c r="HUS135" s="271"/>
      <c r="HUT135" s="221"/>
      <c r="HUU135" s="221"/>
      <c r="HUV135" s="221"/>
      <c r="HUW135" s="258"/>
      <c r="HUX135" s="270"/>
      <c r="HUY135" s="271"/>
      <c r="HUZ135" s="271"/>
      <c r="HVA135" s="271"/>
      <c r="HVB135" s="221"/>
      <c r="HVC135" s="221"/>
      <c r="HVD135" s="221"/>
      <c r="HVE135" s="258"/>
      <c r="HVF135" s="270"/>
      <c r="HVG135" s="271"/>
      <c r="HVH135" s="271"/>
      <c r="HVI135" s="271"/>
      <c r="HVJ135" s="221"/>
      <c r="HVK135" s="221"/>
      <c r="HVL135" s="221"/>
      <c r="HVM135" s="258"/>
      <c r="HVN135" s="270"/>
      <c r="HVO135" s="271"/>
      <c r="HVP135" s="271"/>
      <c r="HVQ135" s="271"/>
      <c r="HVR135" s="221"/>
      <c r="HVS135" s="221"/>
      <c r="HVT135" s="221"/>
      <c r="HVU135" s="258"/>
      <c r="HVV135" s="270"/>
      <c r="HVW135" s="271"/>
      <c r="HVX135" s="271"/>
      <c r="HVY135" s="271"/>
      <c r="HVZ135" s="221"/>
      <c r="HWA135" s="221"/>
      <c r="HWB135" s="221"/>
      <c r="HWC135" s="258"/>
      <c r="HWD135" s="270"/>
      <c r="HWE135" s="271"/>
      <c r="HWF135" s="271"/>
      <c r="HWG135" s="271"/>
      <c r="HWH135" s="221"/>
      <c r="HWI135" s="221"/>
      <c r="HWJ135" s="221"/>
      <c r="HWK135" s="258"/>
      <c r="HWL135" s="270"/>
      <c r="HWM135" s="271"/>
      <c r="HWN135" s="271"/>
      <c r="HWO135" s="271"/>
      <c r="HWP135" s="221"/>
      <c r="HWQ135" s="221"/>
      <c r="HWR135" s="221"/>
      <c r="HWS135" s="258"/>
      <c r="HWT135" s="270"/>
      <c r="HWU135" s="271"/>
      <c r="HWV135" s="271"/>
      <c r="HWW135" s="271"/>
      <c r="HWX135" s="221"/>
      <c r="HWY135" s="221"/>
      <c r="HWZ135" s="221"/>
      <c r="HXA135" s="258"/>
      <c r="HXB135" s="270"/>
      <c r="HXC135" s="271"/>
      <c r="HXD135" s="271"/>
      <c r="HXE135" s="271"/>
      <c r="HXF135" s="221"/>
      <c r="HXG135" s="221"/>
      <c r="HXH135" s="221"/>
      <c r="HXI135" s="258"/>
      <c r="HXJ135" s="270"/>
      <c r="HXK135" s="271"/>
      <c r="HXL135" s="271"/>
      <c r="HXM135" s="271"/>
      <c r="HXN135" s="221"/>
      <c r="HXO135" s="221"/>
      <c r="HXP135" s="221"/>
      <c r="HXQ135" s="258"/>
      <c r="HXR135" s="270"/>
      <c r="HXS135" s="271"/>
      <c r="HXT135" s="271"/>
      <c r="HXU135" s="271"/>
      <c r="HXV135" s="221"/>
      <c r="HXW135" s="221"/>
      <c r="HXX135" s="221"/>
      <c r="HXY135" s="258"/>
      <c r="HXZ135" s="270"/>
      <c r="HYA135" s="271"/>
      <c r="HYB135" s="271"/>
      <c r="HYC135" s="271"/>
      <c r="HYD135" s="221"/>
      <c r="HYE135" s="221"/>
      <c r="HYF135" s="221"/>
      <c r="HYG135" s="258"/>
      <c r="HYH135" s="270"/>
      <c r="HYI135" s="271"/>
      <c r="HYJ135" s="271"/>
      <c r="HYK135" s="271"/>
      <c r="HYL135" s="221"/>
      <c r="HYM135" s="221"/>
      <c r="HYN135" s="221"/>
      <c r="HYO135" s="258"/>
      <c r="HYP135" s="270"/>
      <c r="HYQ135" s="271"/>
      <c r="HYR135" s="271"/>
      <c r="HYS135" s="271"/>
      <c r="HYT135" s="221"/>
      <c r="HYU135" s="221"/>
      <c r="HYV135" s="221"/>
      <c r="HYW135" s="258"/>
      <c r="HYX135" s="270"/>
      <c r="HYY135" s="271"/>
      <c r="HYZ135" s="271"/>
      <c r="HZA135" s="271"/>
      <c r="HZB135" s="221"/>
      <c r="HZC135" s="221"/>
      <c r="HZD135" s="221"/>
      <c r="HZE135" s="258"/>
      <c r="HZF135" s="270"/>
      <c r="HZG135" s="271"/>
      <c r="HZH135" s="271"/>
      <c r="HZI135" s="271"/>
      <c r="HZJ135" s="221"/>
      <c r="HZK135" s="221"/>
      <c r="HZL135" s="221"/>
      <c r="HZM135" s="258"/>
      <c r="HZN135" s="270"/>
      <c r="HZO135" s="271"/>
      <c r="HZP135" s="271"/>
      <c r="HZQ135" s="271"/>
      <c r="HZR135" s="221"/>
      <c r="HZS135" s="221"/>
      <c r="HZT135" s="221"/>
      <c r="HZU135" s="258"/>
      <c r="HZV135" s="270"/>
      <c r="HZW135" s="271"/>
      <c r="HZX135" s="271"/>
      <c r="HZY135" s="271"/>
      <c r="HZZ135" s="221"/>
      <c r="IAA135" s="221"/>
      <c r="IAB135" s="221"/>
      <c r="IAC135" s="258"/>
      <c r="IAD135" s="270"/>
      <c r="IAE135" s="271"/>
      <c r="IAF135" s="271"/>
      <c r="IAG135" s="271"/>
      <c r="IAH135" s="221"/>
      <c r="IAI135" s="221"/>
      <c r="IAJ135" s="221"/>
      <c r="IAK135" s="258"/>
      <c r="IAL135" s="270"/>
      <c r="IAM135" s="271"/>
      <c r="IAN135" s="271"/>
      <c r="IAO135" s="271"/>
      <c r="IAP135" s="221"/>
      <c r="IAQ135" s="221"/>
      <c r="IAR135" s="221"/>
      <c r="IAS135" s="258"/>
      <c r="IAT135" s="270"/>
      <c r="IAU135" s="271"/>
      <c r="IAV135" s="271"/>
      <c r="IAW135" s="271"/>
      <c r="IAX135" s="221"/>
      <c r="IAY135" s="221"/>
      <c r="IAZ135" s="221"/>
      <c r="IBA135" s="258"/>
      <c r="IBB135" s="270"/>
      <c r="IBC135" s="271"/>
      <c r="IBD135" s="271"/>
      <c r="IBE135" s="271"/>
      <c r="IBF135" s="221"/>
      <c r="IBG135" s="221"/>
      <c r="IBH135" s="221"/>
      <c r="IBI135" s="258"/>
      <c r="IBJ135" s="270"/>
      <c r="IBK135" s="271"/>
      <c r="IBL135" s="271"/>
      <c r="IBM135" s="271"/>
      <c r="IBN135" s="221"/>
      <c r="IBO135" s="221"/>
      <c r="IBP135" s="221"/>
      <c r="IBQ135" s="258"/>
      <c r="IBR135" s="270"/>
      <c r="IBS135" s="271"/>
      <c r="IBT135" s="271"/>
      <c r="IBU135" s="271"/>
      <c r="IBV135" s="221"/>
      <c r="IBW135" s="221"/>
      <c r="IBX135" s="221"/>
      <c r="IBY135" s="258"/>
      <c r="IBZ135" s="270"/>
      <c r="ICA135" s="271"/>
      <c r="ICB135" s="271"/>
      <c r="ICC135" s="271"/>
      <c r="ICD135" s="221"/>
      <c r="ICE135" s="221"/>
      <c r="ICF135" s="221"/>
      <c r="ICG135" s="258"/>
      <c r="ICH135" s="270"/>
      <c r="ICI135" s="271"/>
      <c r="ICJ135" s="271"/>
      <c r="ICK135" s="271"/>
      <c r="ICL135" s="221"/>
      <c r="ICM135" s="221"/>
      <c r="ICN135" s="221"/>
      <c r="ICO135" s="258"/>
      <c r="ICP135" s="270"/>
      <c r="ICQ135" s="271"/>
      <c r="ICR135" s="271"/>
      <c r="ICS135" s="271"/>
      <c r="ICT135" s="221"/>
      <c r="ICU135" s="221"/>
      <c r="ICV135" s="221"/>
      <c r="ICW135" s="258"/>
      <c r="ICX135" s="270"/>
      <c r="ICY135" s="271"/>
      <c r="ICZ135" s="271"/>
      <c r="IDA135" s="271"/>
      <c r="IDB135" s="221"/>
      <c r="IDC135" s="221"/>
      <c r="IDD135" s="221"/>
      <c r="IDE135" s="258"/>
      <c r="IDF135" s="270"/>
      <c r="IDG135" s="271"/>
      <c r="IDH135" s="271"/>
      <c r="IDI135" s="271"/>
      <c r="IDJ135" s="221"/>
      <c r="IDK135" s="221"/>
      <c r="IDL135" s="221"/>
      <c r="IDM135" s="258"/>
      <c r="IDN135" s="270"/>
      <c r="IDO135" s="271"/>
      <c r="IDP135" s="271"/>
      <c r="IDQ135" s="271"/>
      <c r="IDR135" s="221"/>
      <c r="IDS135" s="221"/>
      <c r="IDT135" s="221"/>
      <c r="IDU135" s="258"/>
      <c r="IDV135" s="270"/>
      <c r="IDW135" s="271"/>
      <c r="IDX135" s="271"/>
      <c r="IDY135" s="271"/>
      <c r="IDZ135" s="221"/>
      <c r="IEA135" s="221"/>
      <c r="IEB135" s="221"/>
      <c r="IEC135" s="258"/>
      <c r="IED135" s="270"/>
      <c r="IEE135" s="271"/>
      <c r="IEF135" s="271"/>
      <c r="IEG135" s="271"/>
      <c r="IEH135" s="221"/>
      <c r="IEI135" s="221"/>
      <c r="IEJ135" s="221"/>
      <c r="IEK135" s="258"/>
      <c r="IEL135" s="270"/>
      <c r="IEM135" s="271"/>
      <c r="IEN135" s="271"/>
      <c r="IEO135" s="271"/>
      <c r="IEP135" s="221"/>
      <c r="IEQ135" s="221"/>
      <c r="IER135" s="221"/>
      <c r="IES135" s="258"/>
      <c r="IET135" s="270"/>
      <c r="IEU135" s="271"/>
      <c r="IEV135" s="271"/>
      <c r="IEW135" s="271"/>
      <c r="IEX135" s="221"/>
      <c r="IEY135" s="221"/>
      <c r="IEZ135" s="221"/>
      <c r="IFA135" s="258"/>
      <c r="IFB135" s="270"/>
      <c r="IFC135" s="271"/>
      <c r="IFD135" s="271"/>
      <c r="IFE135" s="271"/>
      <c r="IFF135" s="221"/>
      <c r="IFG135" s="221"/>
      <c r="IFH135" s="221"/>
      <c r="IFI135" s="258"/>
      <c r="IFJ135" s="270"/>
      <c r="IFK135" s="271"/>
      <c r="IFL135" s="271"/>
      <c r="IFM135" s="271"/>
      <c r="IFN135" s="221"/>
      <c r="IFO135" s="221"/>
      <c r="IFP135" s="221"/>
      <c r="IFQ135" s="258"/>
      <c r="IFR135" s="270"/>
      <c r="IFS135" s="271"/>
      <c r="IFT135" s="271"/>
      <c r="IFU135" s="271"/>
      <c r="IFV135" s="221"/>
      <c r="IFW135" s="221"/>
      <c r="IFX135" s="221"/>
      <c r="IFY135" s="258"/>
      <c r="IFZ135" s="270"/>
      <c r="IGA135" s="271"/>
      <c r="IGB135" s="271"/>
      <c r="IGC135" s="271"/>
      <c r="IGD135" s="221"/>
      <c r="IGE135" s="221"/>
      <c r="IGF135" s="221"/>
      <c r="IGG135" s="258"/>
      <c r="IGH135" s="270"/>
      <c r="IGI135" s="271"/>
      <c r="IGJ135" s="271"/>
      <c r="IGK135" s="271"/>
      <c r="IGL135" s="221"/>
      <c r="IGM135" s="221"/>
      <c r="IGN135" s="221"/>
      <c r="IGO135" s="258"/>
      <c r="IGP135" s="270"/>
      <c r="IGQ135" s="271"/>
      <c r="IGR135" s="271"/>
      <c r="IGS135" s="271"/>
      <c r="IGT135" s="221"/>
      <c r="IGU135" s="221"/>
      <c r="IGV135" s="221"/>
      <c r="IGW135" s="258"/>
      <c r="IGX135" s="270"/>
      <c r="IGY135" s="271"/>
      <c r="IGZ135" s="271"/>
      <c r="IHA135" s="271"/>
      <c r="IHB135" s="221"/>
      <c r="IHC135" s="221"/>
      <c r="IHD135" s="221"/>
      <c r="IHE135" s="258"/>
      <c r="IHF135" s="270"/>
      <c r="IHG135" s="271"/>
      <c r="IHH135" s="271"/>
      <c r="IHI135" s="271"/>
      <c r="IHJ135" s="221"/>
      <c r="IHK135" s="221"/>
      <c r="IHL135" s="221"/>
      <c r="IHM135" s="258"/>
      <c r="IHN135" s="270"/>
      <c r="IHO135" s="271"/>
      <c r="IHP135" s="271"/>
      <c r="IHQ135" s="271"/>
      <c r="IHR135" s="221"/>
      <c r="IHS135" s="221"/>
      <c r="IHT135" s="221"/>
      <c r="IHU135" s="258"/>
      <c r="IHV135" s="270"/>
      <c r="IHW135" s="271"/>
      <c r="IHX135" s="271"/>
      <c r="IHY135" s="271"/>
      <c r="IHZ135" s="221"/>
      <c r="IIA135" s="221"/>
      <c r="IIB135" s="221"/>
      <c r="IIC135" s="258"/>
      <c r="IID135" s="270"/>
      <c r="IIE135" s="271"/>
      <c r="IIF135" s="271"/>
      <c r="IIG135" s="271"/>
      <c r="IIH135" s="221"/>
      <c r="III135" s="221"/>
      <c r="IIJ135" s="221"/>
      <c r="IIK135" s="258"/>
      <c r="IIL135" s="270"/>
      <c r="IIM135" s="271"/>
      <c r="IIN135" s="271"/>
      <c r="IIO135" s="271"/>
      <c r="IIP135" s="221"/>
      <c r="IIQ135" s="221"/>
      <c r="IIR135" s="221"/>
      <c r="IIS135" s="258"/>
      <c r="IIT135" s="270"/>
      <c r="IIU135" s="271"/>
      <c r="IIV135" s="271"/>
      <c r="IIW135" s="271"/>
      <c r="IIX135" s="221"/>
      <c r="IIY135" s="221"/>
      <c r="IIZ135" s="221"/>
      <c r="IJA135" s="258"/>
      <c r="IJB135" s="270"/>
      <c r="IJC135" s="271"/>
      <c r="IJD135" s="271"/>
      <c r="IJE135" s="271"/>
      <c r="IJF135" s="221"/>
      <c r="IJG135" s="221"/>
      <c r="IJH135" s="221"/>
      <c r="IJI135" s="258"/>
      <c r="IJJ135" s="270"/>
      <c r="IJK135" s="271"/>
      <c r="IJL135" s="271"/>
      <c r="IJM135" s="271"/>
      <c r="IJN135" s="221"/>
      <c r="IJO135" s="221"/>
      <c r="IJP135" s="221"/>
      <c r="IJQ135" s="258"/>
      <c r="IJR135" s="270"/>
      <c r="IJS135" s="271"/>
      <c r="IJT135" s="271"/>
      <c r="IJU135" s="271"/>
      <c r="IJV135" s="221"/>
      <c r="IJW135" s="221"/>
      <c r="IJX135" s="221"/>
      <c r="IJY135" s="258"/>
      <c r="IJZ135" s="270"/>
      <c r="IKA135" s="271"/>
      <c r="IKB135" s="271"/>
      <c r="IKC135" s="271"/>
      <c r="IKD135" s="221"/>
      <c r="IKE135" s="221"/>
      <c r="IKF135" s="221"/>
      <c r="IKG135" s="258"/>
      <c r="IKH135" s="270"/>
      <c r="IKI135" s="271"/>
      <c r="IKJ135" s="271"/>
      <c r="IKK135" s="271"/>
      <c r="IKL135" s="221"/>
      <c r="IKM135" s="221"/>
      <c r="IKN135" s="221"/>
      <c r="IKO135" s="258"/>
      <c r="IKP135" s="270"/>
      <c r="IKQ135" s="271"/>
      <c r="IKR135" s="271"/>
      <c r="IKS135" s="271"/>
      <c r="IKT135" s="221"/>
      <c r="IKU135" s="221"/>
      <c r="IKV135" s="221"/>
      <c r="IKW135" s="258"/>
      <c r="IKX135" s="270"/>
      <c r="IKY135" s="271"/>
      <c r="IKZ135" s="271"/>
      <c r="ILA135" s="271"/>
      <c r="ILB135" s="221"/>
      <c r="ILC135" s="221"/>
      <c r="ILD135" s="221"/>
      <c r="ILE135" s="258"/>
      <c r="ILF135" s="270"/>
      <c r="ILG135" s="271"/>
      <c r="ILH135" s="271"/>
      <c r="ILI135" s="271"/>
      <c r="ILJ135" s="221"/>
      <c r="ILK135" s="221"/>
      <c r="ILL135" s="221"/>
      <c r="ILM135" s="258"/>
      <c r="ILN135" s="270"/>
      <c r="ILO135" s="271"/>
      <c r="ILP135" s="271"/>
      <c r="ILQ135" s="271"/>
      <c r="ILR135" s="221"/>
      <c r="ILS135" s="221"/>
      <c r="ILT135" s="221"/>
      <c r="ILU135" s="258"/>
      <c r="ILV135" s="270"/>
      <c r="ILW135" s="271"/>
      <c r="ILX135" s="271"/>
      <c r="ILY135" s="271"/>
      <c r="ILZ135" s="221"/>
      <c r="IMA135" s="221"/>
      <c r="IMB135" s="221"/>
      <c r="IMC135" s="258"/>
      <c r="IMD135" s="270"/>
      <c r="IME135" s="271"/>
      <c r="IMF135" s="271"/>
      <c r="IMG135" s="271"/>
      <c r="IMH135" s="221"/>
      <c r="IMI135" s="221"/>
      <c r="IMJ135" s="221"/>
      <c r="IMK135" s="258"/>
      <c r="IML135" s="270"/>
      <c r="IMM135" s="271"/>
      <c r="IMN135" s="271"/>
      <c r="IMO135" s="271"/>
      <c r="IMP135" s="221"/>
      <c r="IMQ135" s="221"/>
      <c r="IMR135" s="221"/>
      <c r="IMS135" s="258"/>
      <c r="IMT135" s="270"/>
      <c r="IMU135" s="271"/>
      <c r="IMV135" s="271"/>
      <c r="IMW135" s="271"/>
      <c r="IMX135" s="221"/>
      <c r="IMY135" s="221"/>
      <c r="IMZ135" s="221"/>
      <c r="INA135" s="258"/>
      <c r="INB135" s="270"/>
      <c r="INC135" s="271"/>
      <c r="IND135" s="271"/>
      <c r="INE135" s="271"/>
      <c r="INF135" s="221"/>
      <c r="ING135" s="221"/>
      <c r="INH135" s="221"/>
      <c r="INI135" s="258"/>
      <c r="INJ135" s="270"/>
      <c r="INK135" s="271"/>
      <c r="INL135" s="271"/>
      <c r="INM135" s="271"/>
      <c r="INN135" s="221"/>
      <c r="INO135" s="221"/>
      <c r="INP135" s="221"/>
      <c r="INQ135" s="258"/>
      <c r="INR135" s="270"/>
      <c r="INS135" s="271"/>
      <c r="INT135" s="271"/>
      <c r="INU135" s="271"/>
      <c r="INV135" s="221"/>
      <c r="INW135" s="221"/>
      <c r="INX135" s="221"/>
      <c r="INY135" s="258"/>
      <c r="INZ135" s="270"/>
      <c r="IOA135" s="271"/>
      <c r="IOB135" s="271"/>
      <c r="IOC135" s="271"/>
      <c r="IOD135" s="221"/>
      <c r="IOE135" s="221"/>
      <c r="IOF135" s="221"/>
      <c r="IOG135" s="258"/>
      <c r="IOH135" s="270"/>
      <c r="IOI135" s="271"/>
      <c r="IOJ135" s="271"/>
      <c r="IOK135" s="271"/>
      <c r="IOL135" s="221"/>
      <c r="IOM135" s="221"/>
      <c r="ION135" s="221"/>
      <c r="IOO135" s="258"/>
      <c r="IOP135" s="270"/>
      <c r="IOQ135" s="271"/>
      <c r="IOR135" s="271"/>
      <c r="IOS135" s="271"/>
      <c r="IOT135" s="221"/>
      <c r="IOU135" s="221"/>
      <c r="IOV135" s="221"/>
      <c r="IOW135" s="258"/>
      <c r="IOX135" s="270"/>
      <c r="IOY135" s="271"/>
      <c r="IOZ135" s="271"/>
      <c r="IPA135" s="271"/>
      <c r="IPB135" s="221"/>
      <c r="IPC135" s="221"/>
      <c r="IPD135" s="221"/>
      <c r="IPE135" s="258"/>
      <c r="IPF135" s="270"/>
      <c r="IPG135" s="271"/>
      <c r="IPH135" s="271"/>
      <c r="IPI135" s="271"/>
      <c r="IPJ135" s="221"/>
      <c r="IPK135" s="221"/>
      <c r="IPL135" s="221"/>
      <c r="IPM135" s="258"/>
      <c r="IPN135" s="270"/>
      <c r="IPO135" s="271"/>
      <c r="IPP135" s="271"/>
      <c r="IPQ135" s="271"/>
      <c r="IPR135" s="221"/>
      <c r="IPS135" s="221"/>
      <c r="IPT135" s="221"/>
      <c r="IPU135" s="258"/>
      <c r="IPV135" s="270"/>
      <c r="IPW135" s="271"/>
      <c r="IPX135" s="271"/>
      <c r="IPY135" s="271"/>
      <c r="IPZ135" s="221"/>
      <c r="IQA135" s="221"/>
      <c r="IQB135" s="221"/>
      <c r="IQC135" s="258"/>
      <c r="IQD135" s="270"/>
      <c r="IQE135" s="271"/>
      <c r="IQF135" s="271"/>
      <c r="IQG135" s="271"/>
      <c r="IQH135" s="221"/>
      <c r="IQI135" s="221"/>
      <c r="IQJ135" s="221"/>
      <c r="IQK135" s="258"/>
      <c r="IQL135" s="270"/>
      <c r="IQM135" s="271"/>
      <c r="IQN135" s="271"/>
      <c r="IQO135" s="271"/>
      <c r="IQP135" s="221"/>
      <c r="IQQ135" s="221"/>
      <c r="IQR135" s="221"/>
      <c r="IQS135" s="258"/>
      <c r="IQT135" s="270"/>
      <c r="IQU135" s="271"/>
      <c r="IQV135" s="271"/>
      <c r="IQW135" s="271"/>
      <c r="IQX135" s="221"/>
      <c r="IQY135" s="221"/>
      <c r="IQZ135" s="221"/>
      <c r="IRA135" s="258"/>
      <c r="IRB135" s="270"/>
      <c r="IRC135" s="271"/>
      <c r="IRD135" s="271"/>
      <c r="IRE135" s="271"/>
      <c r="IRF135" s="221"/>
      <c r="IRG135" s="221"/>
      <c r="IRH135" s="221"/>
      <c r="IRI135" s="258"/>
      <c r="IRJ135" s="270"/>
      <c r="IRK135" s="271"/>
      <c r="IRL135" s="271"/>
      <c r="IRM135" s="271"/>
      <c r="IRN135" s="221"/>
      <c r="IRO135" s="221"/>
      <c r="IRP135" s="221"/>
      <c r="IRQ135" s="258"/>
      <c r="IRR135" s="270"/>
      <c r="IRS135" s="271"/>
      <c r="IRT135" s="271"/>
      <c r="IRU135" s="271"/>
      <c r="IRV135" s="221"/>
      <c r="IRW135" s="221"/>
      <c r="IRX135" s="221"/>
      <c r="IRY135" s="258"/>
      <c r="IRZ135" s="270"/>
      <c r="ISA135" s="271"/>
      <c r="ISB135" s="271"/>
      <c r="ISC135" s="271"/>
      <c r="ISD135" s="221"/>
      <c r="ISE135" s="221"/>
      <c r="ISF135" s="221"/>
      <c r="ISG135" s="258"/>
      <c r="ISH135" s="270"/>
      <c r="ISI135" s="271"/>
      <c r="ISJ135" s="271"/>
      <c r="ISK135" s="271"/>
      <c r="ISL135" s="221"/>
      <c r="ISM135" s="221"/>
      <c r="ISN135" s="221"/>
      <c r="ISO135" s="258"/>
      <c r="ISP135" s="270"/>
      <c r="ISQ135" s="271"/>
      <c r="ISR135" s="271"/>
      <c r="ISS135" s="271"/>
      <c r="IST135" s="221"/>
      <c r="ISU135" s="221"/>
      <c r="ISV135" s="221"/>
      <c r="ISW135" s="258"/>
      <c r="ISX135" s="270"/>
      <c r="ISY135" s="271"/>
      <c r="ISZ135" s="271"/>
      <c r="ITA135" s="271"/>
      <c r="ITB135" s="221"/>
      <c r="ITC135" s="221"/>
      <c r="ITD135" s="221"/>
      <c r="ITE135" s="258"/>
      <c r="ITF135" s="270"/>
      <c r="ITG135" s="271"/>
      <c r="ITH135" s="271"/>
      <c r="ITI135" s="271"/>
      <c r="ITJ135" s="221"/>
      <c r="ITK135" s="221"/>
      <c r="ITL135" s="221"/>
      <c r="ITM135" s="258"/>
      <c r="ITN135" s="270"/>
      <c r="ITO135" s="271"/>
      <c r="ITP135" s="271"/>
      <c r="ITQ135" s="271"/>
      <c r="ITR135" s="221"/>
      <c r="ITS135" s="221"/>
      <c r="ITT135" s="221"/>
      <c r="ITU135" s="258"/>
      <c r="ITV135" s="270"/>
      <c r="ITW135" s="271"/>
      <c r="ITX135" s="271"/>
      <c r="ITY135" s="271"/>
      <c r="ITZ135" s="221"/>
      <c r="IUA135" s="221"/>
      <c r="IUB135" s="221"/>
      <c r="IUC135" s="258"/>
      <c r="IUD135" s="270"/>
      <c r="IUE135" s="271"/>
      <c r="IUF135" s="271"/>
      <c r="IUG135" s="271"/>
      <c r="IUH135" s="221"/>
      <c r="IUI135" s="221"/>
      <c r="IUJ135" s="221"/>
      <c r="IUK135" s="258"/>
      <c r="IUL135" s="270"/>
      <c r="IUM135" s="271"/>
      <c r="IUN135" s="271"/>
      <c r="IUO135" s="271"/>
      <c r="IUP135" s="221"/>
      <c r="IUQ135" s="221"/>
      <c r="IUR135" s="221"/>
      <c r="IUS135" s="258"/>
      <c r="IUT135" s="270"/>
      <c r="IUU135" s="271"/>
      <c r="IUV135" s="271"/>
      <c r="IUW135" s="271"/>
      <c r="IUX135" s="221"/>
      <c r="IUY135" s="221"/>
      <c r="IUZ135" s="221"/>
      <c r="IVA135" s="258"/>
      <c r="IVB135" s="270"/>
      <c r="IVC135" s="271"/>
      <c r="IVD135" s="271"/>
      <c r="IVE135" s="271"/>
      <c r="IVF135" s="221"/>
      <c r="IVG135" s="221"/>
      <c r="IVH135" s="221"/>
      <c r="IVI135" s="258"/>
      <c r="IVJ135" s="270"/>
      <c r="IVK135" s="271"/>
      <c r="IVL135" s="271"/>
      <c r="IVM135" s="271"/>
      <c r="IVN135" s="221"/>
      <c r="IVO135" s="221"/>
      <c r="IVP135" s="221"/>
      <c r="IVQ135" s="258"/>
      <c r="IVR135" s="270"/>
      <c r="IVS135" s="271"/>
      <c r="IVT135" s="271"/>
      <c r="IVU135" s="271"/>
      <c r="IVV135" s="221"/>
      <c r="IVW135" s="221"/>
      <c r="IVX135" s="221"/>
      <c r="IVY135" s="258"/>
      <c r="IVZ135" s="270"/>
      <c r="IWA135" s="271"/>
      <c r="IWB135" s="271"/>
      <c r="IWC135" s="271"/>
      <c r="IWD135" s="221"/>
      <c r="IWE135" s="221"/>
      <c r="IWF135" s="221"/>
      <c r="IWG135" s="258"/>
      <c r="IWH135" s="270"/>
      <c r="IWI135" s="271"/>
      <c r="IWJ135" s="271"/>
      <c r="IWK135" s="271"/>
      <c r="IWL135" s="221"/>
      <c r="IWM135" s="221"/>
      <c r="IWN135" s="221"/>
      <c r="IWO135" s="258"/>
      <c r="IWP135" s="270"/>
      <c r="IWQ135" s="271"/>
      <c r="IWR135" s="271"/>
      <c r="IWS135" s="271"/>
      <c r="IWT135" s="221"/>
      <c r="IWU135" s="221"/>
      <c r="IWV135" s="221"/>
      <c r="IWW135" s="258"/>
      <c r="IWX135" s="270"/>
      <c r="IWY135" s="271"/>
      <c r="IWZ135" s="271"/>
      <c r="IXA135" s="271"/>
      <c r="IXB135" s="221"/>
      <c r="IXC135" s="221"/>
      <c r="IXD135" s="221"/>
      <c r="IXE135" s="258"/>
      <c r="IXF135" s="270"/>
      <c r="IXG135" s="271"/>
      <c r="IXH135" s="271"/>
      <c r="IXI135" s="271"/>
      <c r="IXJ135" s="221"/>
      <c r="IXK135" s="221"/>
      <c r="IXL135" s="221"/>
      <c r="IXM135" s="258"/>
      <c r="IXN135" s="270"/>
      <c r="IXO135" s="271"/>
      <c r="IXP135" s="271"/>
      <c r="IXQ135" s="271"/>
      <c r="IXR135" s="221"/>
      <c r="IXS135" s="221"/>
      <c r="IXT135" s="221"/>
      <c r="IXU135" s="258"/>
      <c r="IXV135" s="270"/>
      <c r="IXW135" s="271"/>
      <c r="IXX135" s="271"/>
      <c r="IXY135" s="271"/>
      <c r="IXZ135" s="221"/>
      <c r="IYA135" s="221"/>
      <c r="IYB135" s="221"/>
      <c r="IYC135" s="258"/>
      <c r="IYD135" s="270"/>
      <c r="IYE135" s="271"/>
      <c r="IYF135" s="271"/>
      <c r="IYG135" s="271"/>
      <c r="IYH135" s="221"/>
      <c r="IYI135" s="221"/>
      <c r="IYJ135" s="221"/>
      <c r="IYK135" s="258"/>
      <c r="IYL135" s="270"/>
      <c r="IYM135" s="271"/>
      <c r="IYN135" s="271"/>
      <c r="IYO135" s="271"/>
      <c r="IYP135" s="221"/>
      <c r="IYQ135" s="221"/>
      <c r="IYR135" s="221"/>
      <c r="IYS135" s="258"/>
      <c r="IYT135" s="270"/>
      <c r="IYU135" s="271"/>
      <c r="IYV135" s="271"/>
      <c r="IYW135" s="271"/>
      <c r="IYX135" s="221"/>
      <c r="IYY135" s="221"/>
      <c r="IYZ135" s="221"/>
      <c r="IZA135" s="258"/>
      <c r="IZB135" s="270"/>
      <c r="IZC135" s="271"/>
      <c r="IZD135" s="271"/>
      <c r="IZE135" s="271"/>
      <c r="IZF135" s="221"/>
      <c r="IZG135" s="221"/>
      <c r="IZH135" s="221"/>
      <c r="IZI135" s="258"/>
      <c r="IZJ135" s="270"/>
      <c r="IZK135" s="271"/>
      <c r="IZL135" s="271"/>
      <c r="IZM135" s="271"/>
      <c r="IZN135" s="221"/>
      <c r="IZO135" s="221"/>
      <c r="IZP135" s="221"/>
      <c r="IZQ135" s="258"/>
      <c r="IZR135" s="270"/>
      <c r="IZS135" s="271"/>
      <c r="IZT135" s="271"/>
      <c r="IZU135" s="271"/>
      <c r="IZV135" s="221"/>
      <c r="IZW135" s="221"/>
      <c r="IZX135" s="221"/>
      <c r="IZY135" s="258"/>
      <c r="IZZ135" s="270"/>
      <c r="JAA135" s="271"/>
      <c r="JAB135" s="271"/>
      <c r="JAC135" s="271"/>
      <c r="JAD135" s="221"/>
      <c r="JAE135" s="221"/>
      <c r="JAF135" s="221"/>
      <c r="JAG135" s="258"/>
      <c r="JAH135" s="270"/>
      <c r="JAI135" s="271"/>
      <c r="JAJ135" s="271"/>
      <c r="JAK135" s="271"/>
      <c r="JAL135" s="221"/>
      <c r="JAM135" s="221"/>
      <c r="JAN135" s="221"/>
      <c r="JAO135" s="258"/>
      <c r="JAP135" s="270"/>
      <c r="JAQ135" s="271"/>
      <c r="JAR135" s="271"/>
      <c r="JAS135" s="271"/>
      <c r="JAT135" s="221"/>
      <c r="JAU135" s="221"/>
      <c r="JAV135" s="221"/>
      <c r="JAW135" s="258"/>
      <c r="JAX135" s="270"/>
      <c r="JAY135" s="271"/>
      <c r="JAZ135" s="271"/>
      <c r="JBA135" s="271"/>
      <c r="JBB135" s="221"/>
      <c r="JBC135" s="221"/>
      <c r="JBD135" s="221"/>
      <c r="JBE135" s="258"/>
      <c r="JBF135" s="270"/>
      <c r="JBG135" s="271"/>
      <c r="JBH135" s="271"/>
      <c r="JBI135" s="271"/>
      <c r="JBJ135" s="221"/>
      <c r="JBK135" s="221"/>
      <c r="JBL135" s="221"/>
      <c r="JBM135" s="258"/>
      <c r="JBN135" s="270"/>
      <c r="JBO135" s="271"/>
      <c r="JBP135" s="271"/>
      <c r="JBQ135" s="271"/>
      <c r="JBR135" s="221"/>
      <c r="JBS135" s="221"/>
      <c r="JBT135" s="221"/>
      <c r="JBU135" s="258"/>
      <c r="JBV135" s="270"/>
      <c r="JBW135" s="271"/>
      <c r="JBX135" s="271"/>
      <c r="JBY135" s="271"/>
      <c r="JBZ135" s="221"/>
      <c r="JCA135" s="221"/>
      <c r="JCB135" s="221"/>
      <c r="JCC135" s="258"/>
      <c r="JCD135" s="270"/>
      <c r="JCE135" s="271"/>
      <c r="JCF135" s="271"/>
      <c r="JCG135" s="271"/>
      <c r="JCH135" s="221"/>
      <c r="JCI135" s="221"/>
      <c r="JCJ135" s="221"/>
      <c r="JCK135" s="258"/>
      <c r="JCL135" s="270"/>
      <c r="JCM135" s="271"/>
      <c r="JCN135" s="271"/>
      <c r="JCO135" s="271"/>
      <c r="JCP135" s="221"/>
      <c r="JCQ135" s="221"/>
      <c r="JCR135" s="221"/>
      <c r="JCS135" s="258"/>
      <c r="JCT135" s="270"/>
      <c r="JCU135" s="271"/>
      <c r="JCV135" s="271"/>
      <c r="JCW135" s="271"/>
      <c r="JCX135" s="221"/>
      <c r="JCY135" s="221"/>
      <c r="JCZ135" s="221"/>
      <c r="JDA135" s="258"/>
      <c r="JDB135" s="270"/>
      <c r="JDC135" s="271"/>
      <c r="JDD135" s="271"/>
      <c r="JDE135" s="271"/>
      <c r="JDF135" s="221"/>
      <c r="JDG135" s="221"/>
      <c r="JDH135" s="221"/>
      <c r="JDI135" s="258"/>
      <c r="JDJ135" s="270"/>
      <c r="JDK135" s="271"/>
      <c r="JDL135" s="271"/>
      <c r="JDM135" s="271"/>
      <c r="JDN135" s="221"/>
      <c r="JDO135" s="221"/>
      <c r="JDP135" s="221"/>
      <c r="JDQ135" s="258"/>
      <c r="JDR135" s="270"/>
      <c r="JDS135" s="271"/>
      <c r="JDT135" s="271"/>
      <c r="JDU135" s="271"/>
      <c r="JDV135" s="221"/>
      <c r="JDW135" s="221"/>
      <c r="JDX135" s="221"/>
      <c r="JDY135" s="258"/>
      <c r="JDZ135" s="270"/>
      <c r="JEA135" s="271"/>
      <c r="JEB135" s="271"/>
      <c r="JEC135" s="271"/>
      <c r="JED135" s="221"/>
      <c r="JEE135" s="221"/>
      <c r="JEF135" s="221"/>
      <c r="JEG135" s="258"/>
      <c r="JEH135" s="270"/>
      <c r="JEI135" s="271"/>
      <c r="JEJ135" s="271"/>
      <c r="JEK135" s="271"/>
      <c r="JEL135" s="221"/>
      <c r="JEM135" s="221"/>
      <c r="JEN135" s="221"/>
      <c r="JEO135" s="258"/>
      <c r="JEP135" s="270"/>
      <c r="JEQ135" s="271"/>
      <c r="JER135" s="271"/>
      <c r="JES135" s="271"/>
      <c r="JET135" s="221"/>
      <c r="JEU135" s="221"/>
      <c r="JEV135" s="221"/>
      <c r="JEW135" s="258"/>
      <c r="JEX135" s="270"/>
      <c r="JEY135" s="271"/>
      <c r="JEZ135" s="271"/>
      <c r="JFA135" s="271"/>
      <c r="JFB135" s="221"/>
      <c r="JFC135" s="221"/>
      <c r="JFD135" s="221"/>
      <c r="JFE135" s="258"/>
      <c r="JFF135" s="270"/>
      <c r="JFG135" s="271"/>
      <c r="JFH135" s="271"/>
      <c r="JFI135" s="271"/>
      <c r="JFJ135" s="221"/>
      <c r="JFK135" s="221"/>
      <c r="JFL135" s="221"/>
      <c r="JFM135" s="258"/>
      <c r="JFN135" s="270"/>
      <c r="JFO135" s="271"/>
      <c r="JFP135" s="271"/>
      <c r="JFQ135" s="271"/>
      <c r="JFR135" s="221"/>
      <c r="JFS135" s="221"/>
      <c r="JFT135" s="221"/>
      <c r="JFU135" s="258"/>
      <c r="JFV135" s="270"/>
      <c r="JFW135" s="271"/>
      <c r="JFX135" s="271"/>
      <c r="JFY135" s="271"/>
      <c r="JFZ135" s="221"/>
      <c r="JGA135" s="221"/>
      <c r="JGB135" s="221"/>
      <c r="JGC135" s="258"/>
      <c r="JGD135" s="270"/>
      <c r="JGE135" s="271"/>
      <c r="JGF135" s="271"/>
      <c r="JGG135" s="271"/>
      <c r="JGH135" s="221"/>
      <c r="JGI135" s="221"/>
      <c r="JGJ135" s="221"/>
      <c r="JGK135" s="258"/>
      <c r="JGL135" s="270"/>
      <c r="JGM135" s="271"/>
      <c r="JGN135" s="271"/>
      <c r="JGO135" s="271"/>
      <c r="JGP135" s="221"/>
      <c r="JGQ135" s="221"/>
      <c r="JGR135" s="221"/>
      <c r="JGS135" s="258"/>
      <c r="JGT135" s="270"/>
      <c r="JGU135" s="271"/>
      <c r="JGV135" s="271"/>
      <c r="JGW135" s="271"/>
      <c r="JGX135" s="221"/>
      <c r="JGY135" s="221"/>
      <c r="JGZ135" s="221"/>
      <c r="JHA135" s="258"/>
      <c r="JHB135" s="270"/>
      <c r="JHC135" s="271"/>
      <c r="JHD135" s="271"/>
      <c r="JHE135" s="271"/>
      <c r="JHF135" s="221"/>
      <c r="JHG135" s="221"/>
      <c r="JHH135" s="221"/>
      <c r="JHI135" s="258"/>
      <c r="JHJ135" s="270"/>
      <c r="JHK135" s="271"/>
      <c r="JHL135" s="271"/>
      <c r="JHM135" s="271"/>
      <c r="JHN135" s="221"/>
      <c r="JHO135" s="221"/>
      <c r="JHP135" s="221"/>
      <c r="JHQ135" s="258"/>
      <c r="JHR135" s="270"/>
      <c r="JHS135" s="271"/>
      <c r="JHT135" s="271"/>
      <c r="JHU135" s="271"/>
      <c r="JHV135" s="221"/>
      <c r="JHW135" s="221"/>
      <c r="JHX135" s="221"/>
      <c r="JHY135" s="258"/>
      <c r="JHZ135" s="270"/>
      <c r="JIA135" s="271"/>
      <c r="JIB135" s="271"/>
      <c r="JIC135" s="271"/>
      <c r="JID135" s="221"/>
      <c r="JIE135" s="221"/>
      <c r="JIF135" s="221"/>
      <c r="JIG135" s="258"/>
      <c r="JIH135" s="270"/>
      <c r="JII135" s="271"/>
      <c r="JIJ135" s="271"/>
      <c r="JIK135" s="271"/>
      <c r="JIL135" s="221"/>
      <c r="JIM135" s="221"/>
      <c r="JIN135" s="221"/>
      <c r="JIO135" s="258"/>
      <c r="JIP135" s="270"/>
      <c r="JIQ135" s="271"/>
      <c r="JIR135" s="271"/>
      <c r="JIS135" s="271"/>
      <c r="JIT135" s="221"/>
      <c r="JIU135" s="221"/>
      <c r="JIV135" s="221"/>
      <c r="JIW135" s="258"/>
      <c r="JIX135" s="270"/>
      <c r="JIY135" s="271"/>
      <c r="JIZ135" s="271"/>
      <c r="JJA135" s="271"/>
      <c r="JJB135" s="221"/>
      <c r="JJC135" s="221"/>
      <c r="JJD135" s="221"/>
      <c r="JJE135" s="258"/>
      <c r="JJF135" s="270"/>
      <c r="JJG135" s="271"/>
      <c r="JJH135" s="271"/>
      <c r="JJI135" s="271"/>
      <c r="JJJ135" s="221"/>
      <c r="JJK135" s="221"/>
      <c r="JJL135" s="221"/>
      <c r="JJM135" s="258"/>
      <c r="JJN135" s="270"/>
      <c r="JJO135" s="271"/>
      <c r="JJP135" s="271"/>
      <c r="JJQ135" s="271"/>
      <c r="JJR135" s="221"/>
      <c r="JJS135" s="221"/>
      <c r="JJT135" s="221"/>
      <c r="JJU135" s="258"/>
      <c r="JJV135" s="270"/>
      <c r="JJW135" s="271"/>
      <c r="JJX135" s="271"/>
      <c r="JJY135" s="271"/>
      <c r="JJZ135" s="221"/>
      <c r="JKA135" s="221"/>
      <c r="JKB135" s="221"/>
      <c r="JKC135" s="258"/>
      <c r="JKD135" s="270"/>
      <c r="JKE135" s="271"/>
      <c r="JKF135" s="271"/>
      <c r="JKG135" s="271"/>
      <c r="JKH135" s="221"/>
      <c r="JKI135" s="221"/>
      <c r="JKJ135" s="221"/>
      <c r="JKK135" s="258"/>
      <c r="JKL135" s="270"/>
      <c r="JKM135" s="271"/>
      <c r="JKN135" s="271"/>
      <c r="JKO135" s="271"/>
      <c r="JKP135" s="221"/>
      <c r="JKQ135" s="221"/>
      <c r="JKR135" s="221"/>
      <c r="JKS135" s="258"/>
      <c r="JKT135" s="270"/>
      <c r="JKU135" s="271"/>
      <c r="JKV135" s="271"/>
      <c r="JKW135" s="271"/>
      <c r="JKX135" s="221"/>
      <c r="JKY135" s="221"/>
      <c r="JKZ135" s="221"/>
      <c r="JLA135" s="258"/>
      <c r="JLB135" s="270"/>
      <c r="JLC135" s="271"/>
      <c r="JLD135" s="271"/>
      <c r="JLE135" s="271"/>
      <c r="JLF135" s="221"/>
      <c r="JLG135" s="221"/>
      <c r="JLH135" s="221"/>
      <c r="JLI135" s="258"/>
      <c r="JLJ135" s="270"/>
      <c r="JLK135" s="271"/>
      <c r="JLL135" s="271"/>
      <c r="JLM135" s="271"/>
      <c r="JLN135" s="221"/>
      <c r="JLO135" s="221"/>
      <c r="JLP135" s="221"/>
      <c r="JLQ135" s="258"/>
      <c r="JLR135" s="270"/>
      <c r="JLS135" s="271"/>
      <c r="JLT135" s="271"/>
      <c r="JLU135" s="271"/>
      <c r="JLV135" s="221"/>
      <c r="JLW135" s="221"/>
      <c r="JLX135" s="221"/>
      <c r="JLY135" s="258"/>
      <c r="JLZ135" s="270"/>
      <c r="JMA135" s="271"/>
      <c r="JMB135" s="271"/>
      <c r="JMC135" s="271"/>
      <c r="JMD135" s="221"/>
      <c r="JME135" s="221"/>
      <c r="JMF135" s="221"/>
      <c r="JMG135" s="258"/>
      <c r="JMH135" s="270"/>
      <c r="JMI135" s="271"/>
      <c r="JMJ135" s="271"/>
      <c r="JMK135" s="271"/>
      <c r="JML135" s="221"/>
      <c r="JMM135" s="221"/>
      <c r="JMN135" s="221"/>
      <c r="JMO135" s="258"/>
      <c r="JMP135" s="270"/>
      <c r="JMQ135" s="271"/>
      <c r="JMR135" s="271"/>
      <c r="JMS135" s="271"/>
      <c r="JMT135" s="221"/>
      <c r="JMU135" s="221"/>
      <c r="JMV135" s="221"/>
      <c r="JMW135" s="258"/>
      <c r="JMX135" s="270"/>
      <c r="JMY135" s="271"/>
      <c r="JMZ135" s="271"/>
      <c r="JNA135" s="271"/>
      <c r="JNB135" s="221"/>
      <c r="JNC135" s="221"/>
      <c r="JND135" s="221"/>
      <c r="JNE135" s="258"/>
      <c r="JNF135" s="270"/>
      <c r="JNG135" s="271"/>
      <c r="JNH135" s="271"/>
      <c r="JNI135" s="271"/>
      <c r="JNJ135" s="221"/>
      <c r="JNK135" s="221"/>
      <c r="JNL135" s="221"/>
      <c r="JNM135" s="258"/>
      <c r="JNN135" s="270"/>
      <c r="JNO135" s="271"/>
      <c r="JNP135" s="271"/>
      <c r="JNQ135" s="271"/>
      <c r="JNR135" s="221"/>
      <c r="JNS135" s="221"/>
      <c r="JNT135" s="221"/>
      <c r="JNU135" s="258"/>
      <c r="JNV135" s="270"/>
      <c r="JNW135" s="271"/>
      <c r="JNX135" s="271"/>
      <c r="JNY135" s="271"/>
      <c r="JNZ135" s="221"/>
      <c r="JOA135" s="221"/>
      <c r="JOB135" s="221"/>
      <c r="JOC135" s="258"/>
      <c r="JOD135" s="270"/>
      <c r="JOE135" s="271"/>
      <c r="JOF135" s="271"/>
      <c r="JOG135" s="271"/>
      <c r="JOH135" s="221"/>
      <c r="JOI135" s="221"/>
      <c r="JOJ135" s="221"/>
      <c r="JOK135" s="258"/>
      <c r="JOL135" s="270"/>
      <c r="JOM135" s="271"/>
      <c r="JON135" s="271"/>
      <c r="JOO135" s="271"/>
      <c r="JOP135" s="221"/>
      <c r="JOQ135" s="221"/>
      <c r="JOR135" s="221"/>
      <c r="JOS135" s="258"/>
      <c r="JOT135" s="270"/>
      <c r="JOU135" s="271"/>
      <c r="JOV135" s="271"/>
      <c r="JOW135" s="271"/>
      <c r="JOX135" s="221"/>
      <c r="JOY135" s="221"/>
      <c r="JOZ135" s="221"/>
      <c r="JPA135" s="258"/>
      <c r="JPB135" s="270"/>
      <c r="JPC135" s="271"/>
      <c r="JPD135" s="271"/>
      <c r="JPE135" s="271"/>
      <c r="JPF135" s="221"/>
      <c r="JPG135" s="221"/>
      <c r="JPH135" s="221"/>
      <c r="JPI135" s="258"/>
      <c r="JPJ135" s="270"/>
      <c r="JPK135" s="271"/>
      <c r="JPL135" s="271"/>
      <c r="JPM135" s="271"/>
      <c r="JPN135" s="221"/>
      <c r="JPO135" s="221"/>
      <c r="JPP135" s="221"/>
      <c r="JPQ135" s="258"/>
      <c r="JPR135" s="270"/>
      <c r="JPS135" s="271"/>
      <c r="JPT135" s="271"/>
      <c r="JPU135" s="271"/>
      <c r="JPV135" s="221"/>
      <c r="JPW135" s="221"/>
      <c r="JPX135" s="221"/>
      <c r="JPY135" s="258"/>
      <c r="JPZ135" s="270"/>
      <c r="JQA135" s="271"/>
      <c r="JQB135" s="271"/>
      <c r="JQC135" s="271"/>
      <c r="JQD135" s="221"/>
      <c r="JQE135" s="221"/>
      <c r="JQF135" s="221"/>
      <c r="JQG135" s="258"/>
      <c r="JQH135" s="270"/>
      <c r="JQI135" s="271"/>
      <c r="JQJ135" s="271"/>
      <c r="JQK135" s="271"/>
      <c r="JQL135" s="221"/>
      <c r="JQM135" s="221"/>
      <c r="JQN135" s="221"/>
      <c r="JQO135" s="258"/>
      <c r="JQP135" s="270"/>
      <c r="JQQ135" s="271"/>
      <c r="JQR135" s="271"/>
      <c r="JQS135" s="271"/>
      <c r="JQT135" s="221"/>
      <c r="JQU135" s="221"/>
      <c r="JQV135" s="221"/>
      <c r="JQW135" s="258"/>
      <c r="JQX135" s="270"/>
      <c r="JQY135" s="271"/>
      <c r="JQZ135" s="271"/>
      <c r="JRA135" s="271"/>
      <c r="JRB135" s="221"/>
      <c r="JRC135" s="221"/>
      <c r="JRD135" s="221"/>
      <c r="JRE135" s="258"/>
      <c r="JRF135" s="270"/>
      <c r="JRG135" s="271"/>
      <c r="JRH135" s="271"/>
      <c r="JRI135" s="271"/>
      <c r="JRJ135" s="221"/>
      <c r="JRK135" s="221"/>
      <c r="JRL135" s="221"/>
      <c r="JRM135" s="258"/>
      <c r="JRN135" s="270"/>
      <c r="JRO135" s="271"/>
      <c r="JRP135" s="271"/>
      <c r="JRQ135" s="271"/>
      <c r="JRR135" s="221"/>
      <c r="JRS135" s="221"/>
      <c r="JRT135" s="221"/>
      <c r="JRU135" s="258"/>
      <c r="JRV135" s="270"/>
      <c r="JRW135" s="271"/>
      <c r="JRX135" s="271"/>
      <c r="JRY135" s="271"/>
      <c r="JRZ135" s="221"/>
      <c r="JSA135" s="221"/>
      <c r="JSB135" s="221"/>
      <c r="JSC135" s="258"/>
      <c r="JSD135" s="270"/>
      <c r="JSE135" s="271"/>
      <c r="JSF135" s="271"/>
      <c r="JSG135" s="271"/>
      <c r="JSH135" s="221"/>
      <c r="JSI135" s="221"/>
      <c r="JSJ135" s="221"/>
      <c r="JSK135" s="258"/>
      <c r="JSL135" s="270"/>
      <c r="JSM135" s="271"/>
      <c r="JSN135" s="271"/>
      <c r="JSO135" s="271"/>
      <c r="JSP135" s="221"/>
      <c r="JSQ135" s="221"/>
      <c r="JSR135" s="221"/>
      <c r="JSS135" s="258"/>
      <c r="JST135" s="270"/>
      <c r="JSU135" s="271"/>
      <c r="JSV135" s="271"/>
      <c r="JSW135" s="271"/>
      <c r="JSX135" s="221"/>
      <c r="JSY135" s="221"/>
      <c r="JSZ135" s="221"/>
      <c r="JTA135" s="258"/>
      <c r="JTB135" s="270"/>
      <c r="JTC135" s="271"/>
      <c r="JTD135" s="271"/>
      <c r="JTE135" s="271"/>
      <c r="JTF135" s="221"/>
      <c r="JTG135" s="221"/>
      <c r="JTH135" s="221"/>
      <c r="JTI135" s="258"/>
      <c r="JTJ135" s="270"/>
      <c r="JTK135" s="271"/>
      <c r="JTL135" s="271"/>
      <c r="JTM135" s="271"/>
      <c r="JTN135" s="221"/>
      <c r="JTO135" s="221"/>
      <c r="JTP135" s="221"/>
      <c r="JTQ135" s="258"/>
      <c r="JTR135" s="270"/>
      <c r="JTS135" s="271"/>
      <c r="JTT135" s="271"/>
      <c r="JTU135" s="271"/>
      <c r="JTV135" s="221"/>
      <c r="JTW135" s="221"/>
      <c r="JTX135" s="221"/>
      <c r="JTY135" s="258"/>
      <c r="JTZ135" s="270"/>
      <c r="JUA135" s="271"/>
      <c r="JUB135" s="271"/>
      <c r="JUC135" s="271"/>
      <c r="JUD135" s="221"/>
      <c r="JUE135" s="221"/>
      <c r="JUF135" s="221"/>
      <c r="JUG135" s="258"/>
      <c r="JUH135" s="270"/>
      <c r="JUI135" s="271"/>
      <c r="JUJ135" s="271"/>
      <c r="JUK135" s="271"/>
      <c r="JUL135" s="221"/>
      <c r="JUM135" s="221"/>
      <c r="JUN135" s="221"/>
      <c r="JUO135" s="258"/>
      <c r="JUP135" s="270"/>
      <c r="JUQ135" s="271"/>
      <c r="JUR135" s="271"/>
      <c r="JUS135" s="271"/>
      <c r="JUT135" s="221"/>
      <c r="JUU135" s="221"/>
      <c r="JUV135" s="221"/>
      <c r="JUW135" s="258"/>
      <c r="JUX135" s="270"/>
      <c r="JUY135" s="271"/>
      <c r="JUZ135" s="271"/>
      <c r="JVA135" s="271"/>
      <c r="JVB135" s="221"/>
      <c r="JVC135" s="221"/>
      <c r="JVD135" s="221"/>
      <c r="JVE135" s="258"/>
      <c r="JVF135" s="270"/>
      <c r="JVG135" s="271"/>
      <c r="JVH135" s="271"/>
      <c r="JVI135" s="271"/>
      <c r="JVJ135" s="221"/>
      <c r="JVK135" s="221"/>
      <c r="JVL135" s="221"/>
      <c r="JVM135" s="258"/>
      <c r="JVN135" s="270"/>
      <c r="JVO135" s="271"/>
      <c r="JVP135" s="271"/>
      <c r="JVQ135" s="271"/>
      <c r="JVR135" s="221"/>
      <c r="JVS135" s="221"/>
      <c r="JVT135" s="221"/>
      <c r="JVU135" s="258"/>
      <c r="JVV135" s="270"/>
      <c r="JVW135" s="271"/>
      <c r="JVX135" s="271"/>
      <c r="JVY135" s="271"/>
      <c r="JVZ135" s="221"/>
      <c r="JWA135" s="221"/>
      <c r="JWB135" s="221"/>
      <c r="JWC135" s="258"/>
      <c r="JWD135" s="270"/>
      <c r="JWE135" s="271"/>
      <c r="JWF135" s="271"/>
      <c r="JWG135" s="271"/>
      <c r="JWH135" s="221"/>
      <c r="JWI135" s="221"/>
      <c r="JWJ135" s="221"/>
      <c r="JWK135" s="258"/>
      <c r="JWL135" s="270"/>
      <c r="JWM135" s="271"/>
      <c r="JWN135" s="271"/>
      <c r="JWO135" s="271"/>
      <c r="JWP135" s="221"/>
      <c r="JWQ135" s="221"/>
      <c r="JWR135" s="221"/>
      <c r="JWS135" s="258"/>
      <c r="JWT135" s="270"/>
      <c r="JWU135" s="271"/>
      <c r="JWV135" s="271"/>
      <c r="JWW135" s="271"/>
      <c r="JWX135" s="221"/>
      <c r="JWY135" s="221"/>
      <c r="JWZ135" s="221"/>
      <c r="JXA135" s="258"/>
      <c r="JXB135" s="270"/>
      <c r="JXC135" s="271"/>
      <c r="JXD135" s="271"/>
      <c r="JXE135" s="271"/>
      <c r="JXF135" s="221"/>
      <c r="JXG135" s="221"/>
      <c r="JXH135" s="221"/>
      <c r="JXI135" s="258"/>
      <c r="JXJ135" s="270"/>
      <c r="JXK135" s="271"/>
      <c r="JXL135" s="271"/>
      <c r="JXM135" s="271"/>
      <c r="JXN135" s="221"/>
      <c r="JXO135" s="221"/>
      <c r="JXP135" s="221"/>
      <c r="JXQ135" s="258"/>
      <c r="JXR135" s="270"/>
      <c r="JXS135" s="271"/>
      <c r="JXT135" s="271"/>
      <c r="JXU135" s="271"/>
      <c r="JXV135" s="221"/>
      <c r="JXW135" s="221"/>
      <c r="JXX135" s="221"/>
      <c r="JXY135" s="258"/>
      <c r="JXZ135" s="270"/>
      <c r="JYA135" s="271"/>
      <c r="JYB135" s="271"/>
      <c r="JYC135" s="271"/>
      <c r="JYD135" s="221"/>
      <c r="JYE135" s="221"/>
      <c r="JYF135" s="221"/>
      <c r="JYG135" s="258"/>
      <c r="JYH135" s="270"/>
      <c r="JYI135" s="271"/>
      <c r="JYJ135" s="271"/>
      <c r="JYK135" s="271"/>
      <c r="JYL135" s="221"/>
      <c r="JYM135" s="221"/>
      <c r="JYN135" s="221"/>
      <c r="JYO135" s="258"/>
      <c r="JYP135" s="270"/>
      <c r="JYQ135" s="271"/>
      <c r="JYR135" s="271"/>
      <c r="JYS135" s="271"/>
      <c r="JYT135" s="221"/>
      <c r="JYU135" s="221"/>
      <c r="JYV135" s="221"/>
      <c r="JYW135" s="258"/>
      <c r="JYX135" s="270"/>
      <c r="JYY135" s="271"/>
      <c r="JYZ135" s="271"/>
      <c r="JZA135" s="271"/>
      <c r="JZB135" s="221"/>
      <c r="JZC135" s="221"/>
      <c r="JZD135" s="221"/>
      <c r="JZE135" s="258"/>
      <c r="JZF135" s="270"/>
      <c r="JZG135" s="271"/>
      <c r="JZH135" s="271"/>
      <c r="JZI135" s="271"/>
      <c r="JZJ135" s="221"/>
      <c r="JZK135" s="221"/>
      <c r="JZL135" s="221"/>
      <c r="JZM135" s="258"/>
      <c r="JZN135" s="270"/>
      <c r="JZO135" s="271"/>
      <c r="JZP135" s="271"/>
      <c r="JZQ135" s="271"/>
      <c r="JZR135" s="221"/>
      <c r="JZS135" s="221"/>
      <c r="JZT135" s="221"/>
      <c r="JZU135" s="258"/>
      <c r="JZV135" s="270"/>
      <c r="JZW135" s="271"/>
      <c r="JZX135" s="271"/>
      <c r="JZY135" s="271"/>
      <c r="JZZ135" s="221"/>
      <c r="KAA135" s="221"/>
      <c r="KAB135" s="221"/>
      <c r="KAC135" s="258"/>
      <c r="KAD135" s="270"/>
      <c r="KAE135" s="271"/>
      <c r="KAF135" s="271"/>
      <c r="KAG135" s="271"/>
      <c r="KAH135" s="221"/>
      <c r="KAI135" s="221"/>
      <c r="KAJ135" s="221"/>
      <c r="KAK135" s="258"/>
      <c r="KAL135" s="270"/>
      <c r="KAM135" s="271"/>
      <c r="KAN135" s="271"/>
      <c r="KAO135" s="271"/>
      <c r="KAP135" s="221"/>
      <c r="KAQ135" s="221"/>
      <c r="KAR135" s="221"/>
      <c r="KAS135" s="258"/>
      <c r="KAT135" s="270"/>
      <c r="KAU135" s="271"/>
      <c r="KAV135" s="271"/>
      <c r="KAW135" s="271"/>
      <c r="KAX135" s="221"/>
      <c r="KAY135" s="221"/>
      <c r="KAZ135" s="221"/>
      <c r="KBA135" s="258"/>
      <c r="KBB135" s="270"/>
      <c r="KBC135" s="271"/>
      <c r="KBD135" s="271"/>
      <c r="KBE135" s="271"/>
      <c r="KBF135" s="221"/>
      <c r="KBG135" s="221"/>
      <c r="KBH135" s="221"/>
      <c r="KBI135" s="258"/>
      <c r="KBJ135" s="270"/>
      <c r="KBK135" s="271"/>
      <c r="KBL135" s="271"/>
      <c r="KBM135" s="271"/>
      <c r="KBN135" s="221"/>
      <c r="KBO135" s="221"/>
      <c r="KBP135" s="221"/>
      <c r="KBQ135" s="258"/>
      <c r="KBR135" s="270"/>
      <c r="KBS135" s="271"/>
      <c r="KBT135" s="271"/>
      <c r="KBU135" s="271"/>
      <c r="KBV135" s="221"/>
      <c r="KBW135" s="221"/>
      <c r="KBX135" s="221"/>
      <c r="KBY135" s="258"/>
      <c r="KBZ135" s="270"/>
      <c r="KCA135" s="271"/>
      <c r="KCB135" s="271"/>
      <c r="KCC135" s="271"/>
      <c r="KCD135" s="221"/>
      <c r="KCE135" s="221"/>
      <c r="KCF135" s="221"/>
      <c r="KCG135" s="258"/>
      <c r="KCH135" s="270"/>
      <c r="KCI135" s="271"/>
      <c r="KCJ135" s="271"/>
      <c r="KCK135" s="271"/>
      <c r="KCL135" s="221"/>
      <c r="KCM135" s="221"/>
      <c r="KCN135" s="221"/>
      <c r="KCO135" s="258"/>
      <c r="KCP135" s="270"/>
      <c r="KCQ135" s="271"/>
      <c r="KCR135" s="271"/>
      <c r="KCS135" s="271"/>
      <c r="KCT135" s="221"/>
      <c r="KCU135" s="221"/>
      <c r="KCV135" s="221"/>
      <c r="KCW135" s="258"/>
      <c r="KCX135" s="270"/>
      <c r="KCY135" s="271"/>
      <c r="KCZ135" s="271"/>
      <c r="KDA135" s="271"/>
      <c r="KDB135" s="221"/>
      <c r="KDC135" s="221"/>
      <c r="KDD135" s="221"/>
      <c r="KDE135" s="258"/>
      <c r="KDF135" s="270"/>
      <c r="KDG135" s="271"/>
      <c r="KDH135" s="271"/>
      <c r="KDI135" s="271"/>
      <c r="KDJ135" s="221"/>
      <c r="KDK135" s="221"/>
      <c r="KDL135" s="221"/>
      <c r="KDM135" s="258"/>
      <c r="KDN135" s="270"/>
      <c r="KDO135" s="271"/>
      <c r="KDP135" s="271"/>
      <c r="KDQ135" s="271"/>
      <c r="KDR135" s="221"/>
      <c r="KDS135" s="221"/>
      <c r="KDT135" s="221"/>
      <c r="KDU135" s="258"/>
      <c r="KDV135" s="270"/>
      <c r="KDW135" s="271"/>
      <c r="KDX135" s="271"/>
      <c r="KDY135" s="271"/>
      <c r="KDZ135" s="221"/>
      <c r="KEA135" s="221"/>
      <c r="KEB135" s="221"/>
      <c r="KEC135" s="258"/>
      <c r="KED135" s="270"/>
      <c r="KEE135" s="271"/>
      <c r="KEF135" s="271"/>
      <c r="KEG135" s="271"/>
      <c r="KEH135" s="221"/>
      <c r="KEI135" s="221"/>
      <c r="KEJ135" s="221"/>
      <c r="KEK135" s="258"/>
      <c r="KEL135" s="270"/>
      <c r="KEM135" s="271"/>
      <c r="KEN135" s="271"/>
      <c r="KEO135" s="271"/>
      <c r="KEP135" s="221"/>
      <c r="KEQ135" s="221"/>
      <c r="KER135" s="221"/>
      <c r="KES135" s="258"/>
      <c r="KET135" s="270"/>
      <c r="KEU135" s="271"/>
      <c r="KEV135" s="271"/>
      <c r="KEW135" s="271"/>
      <c r="KEX135" s="221"/>
      <c r="KEY135" s="221"/>
      <c r="KEZ135" s="221"/>
      <c r="KFA135" s="258"/>
      <c r="KFB135" s="270"/>
      <c r="KFC135" s="271"/>
      <c r="KFD135" s="271"/>
      <c r="KFE135" s="271"/>
      <c r="KFF135" s="221"/>
      <c r="KFG135" s="221"/>
      <c r="KFH135" s="221"/>
      <c r="KFI135" s="258"/>
      <c r="KFJ135" s="270"/>
      <c r="KFK135" s="271"/>
      <c r="KFL135" s="271"/>
      <c r="KFM135" s="271"/>
      <c r="KFN135" s="221"/>
      <c r="KFO135" s="221"/>
      <c r="KFP135" s="221"/>
      <c r="KFQ135" s="258"/>
      <c r="KFR135" s="270"/>
      <c r="KFS135" s="271"/>
      <c r="KFT135" s="271"/>
      <c r="KFU135" s="271"/>
      <c r="KFV135" s="221"/>
      <c r="KFW135" s="221"/>
      <c r="KFX135" s="221"/>
      <c r="KFY135" s="258"/>
      <c r="KFZ135" s="270"/>
      <c r="KGA135" s="271"/>
      <c r="KGB135" s="271"/>
      <c r="KGC135" s="271"/>
      <c r="KGD135" s="221"/>
      <c r="KGE135" s="221"/>
      <c r="KGF135" s="221"/>
      <c r="KGG135" s="258"/>
      <c r="KGH135" s="270"/>
      <c r="KGI135" s="271"/>
      <c r="KGJ135" s="271"/>
      <c r="KGK135" s="271"/>
      <c r="KGL135" s="221"/>
      <c r="KGM135" s="221"/>
      <c r="KGN135" s="221"/>
      <c r="KGO135" s="258"/>
      <c r="KGP135" s="270"/>
      <c r="KGQ135" s="271"/>
      <c r="KGR135" s="271"/>
      <c r="KGS135" s="271"/>
      <c r="KGT135" s="221"/>
      <c r="KGU135" s="221"/>
      <c r="KGV135" s="221"/>
      <c r="KGW135" s="258"/>
      <c r="KGX135" s="270"/>
      <c r="KGY135" s="271"/>
      <c r="KGZ135" s="271"/>
      <c r="KHA135" s="271"/>
      <c r="KHB135" s="221"/>
      <c r="KHC135" s="221"/>
      <c r="KHD135" s="221"/>
      <c r="KHE135" s="258"/>
      <c r="KHF135" s="270"/>
      <c r="KHG135" s="271"/>
      <c r="KHH135" s="271"/>
      <c r="KHI135" s="271"/>
      <c r="KHJ135" s="221"/>
      <c r="KHK135" s="221"/>
      <c r="KHL135" s="221"/>
      <c r="KHM135" s="258"/>
      <c r="KHN135" s="270"/>
      <c r="KHO135" s="271"/>
      <c r="KHP135" s="271"/>
      <c r="KHQ135" s="271"/>
      <c r="KHR135" s="221"/>
      <c r="KHS135" s="221"/>
      <c r="KHT135" s="221"/>
      <c r="KHU135" s="258"/>
      <c r="KHV135" s="270"/>
      <c r="KHW135" s="271"/>
      <c r="KHX135" s="271"/>
      <c r="KHY135" s="271"/>
      <c r="KHZ135" s="221"/>
      <c r="KIA135" s="221"/>
      <c r="KIB135" s="221"/>
      <c r="KIC135" s="258"/>
      <c r="KID135" s="270"/>
      <c r="KIE135" s="271"/>
      <c r="KIF135" s="271"/>
      <c r="KIG135" s="271"/>
      <c r="KIH135" s="221"/>
      <c r="KII135" s="221"/>
      <c r="KIJ135" s="221"/>
      <c r="KIK135" s="258"/>
      <c r="KIL135" s="270"/>
      <c r="KIM135" s="271"/>
      <c r="KIN135" s="271"/>
      <c r="KIO135" s="271"/>
      <c r="KIP135" s="221"/>
      <c r="KIQ135" s="221"/>
      <c r="KIR135" s="221"/>
      <c r="KIS135" s="258"/>
      <c r="KIT135" s="270"/>
      <c r="KIU135" s="271"/>
      <c r="KIV135" s="271"/>
      <c r="KIW135" s="271"/>
      <c r="KIX135" s="221"/>
      <c r="KIY135" s="221"/>
      <c r="KIZ135" s="221"/>
      <c r="KJA135" s="258"/>
      <c r="KJB135" s="270"/>
      <c r="KJC135" s="271"/>
      <c r="KJD135" s="271"/>
      <c r="KJE135" s="271"/>
      <c r="KJF135" s="221"/>
      <c r="KJG135" s="221"/>
      <c r="KJH135" s="221"/>
      <c r="KJI135" s="258"/>
      <c r="KJJ135" s="270"/>
      <c r="KJK135" s="271"/>
      <c r="KJL135" s="271"/>
      <c r="KJM135" s="271"/>
      <c r="KJN135" s="221"/>
      <c r="KJO135" s="221"/>
      <c r="KJP135" s="221"/>
      <c r="KJQ135" s="258"/>
      <c r="KJR135" s="270"/>
      <c r="KJS135" s="271"/>
      <c r="KJT135" s="271"/>
      <c r="KJU135" s="271"/>
      <c r="KJV135" s="221"/>
      <c r="KJW135" s="221"/>
      <c r="KJX135" s="221"/>
      <c r="KJY135" s="258"/>
      <c r="KJZ135" s="270"/>
      <c r="KKA135" s="271"/>
      <c r="KKB135" s="271"/>
      <c r="KKC135" s="271"/>
      <c r="KKD135" s="221"/>
      <c r="KKE135" s="221"/>
      <c r="KKF135" s="221"/>
      <c r="KKG135" s="258"/>
      <c r="KKH135" s="270"/>
      <c r="KKI135" s="271"/>
      <c r="KKJ135" s="271"/>
      <c r="KKK135" s="271"/>
      <c r="KKL135" s="221"/>
      <c r="KKM135" s="221"/>
      <c r="KKN135" s="221"/>
      <c r="KKO135" s="258"/>
      <c r="KKP135" s="270"/>
      <c r="KKQ135" s="271"/>
      <c r="KKR135" s="271"/>
      <c r="KKS135" s="271"/>
      <c r="KKT135" s="221"/>
      <c r="KKU135" s="221"/>
      <c r="KKV135" s="221"/>
      <c r="KKW135" s="258"/>
      <c r="KKX135" s="270"/>
      <c r="KKY135" s="271"/>
      <c r="KKZ135" s="271"/>
      <c r="KLA135" s="271"/>
      <c r="KLB135" s="221"/>
      <c r="KLC135" s="221"/>
      <c r="KLD135" s="221"/>
      <c r="KLE135" s="258"/>
      <c r="KLF135" s="270"/>
      <c r="KLG135" s="271"/>
      <c r="KLH135" s="271"/>
      <c r="KLI135" s="271"/>
      <c r="KLJ135" s="221"/>
      <c r="KLK135" s="221"/>
      <c r="KLL135" s="221"/>
      <c r="KLM135" s="258"/>
      <c r="KLN135" s="270"/>
      <c r="KLO135" s="271"/>
      <c r="KLP135" s="271"/>
      <c r="KLQ135" s="271"/>
      <c r="KLR135" s="221"/>
      <c r="KLS135" s="221"/>
      <c r="KLT135" s="221"/>
      <c r="KLU135" s="258"/>
      <c r="KLV135" s="270"/>
      <c r="KLW135" s="271"/>
      <c r="KLX135" s="271"/>
      <c r="KLY135" s="271"/>
      <c r="KLZ135" s="221"/>
      <c r="KMA135" s="221"/>
      <c r="KMB135" s="221"/>
      <c r="KMC135" s="258"/>
      <c r="KMD135" s="270"/>
      <c r="KME135" s="271"/>
      <c r="KMF135" s="271"/>
      <c r="KMG135" s="271"/>
      <c r="KMH135" s="221"/>
      <c r="KMI135" s="221"/>
      <c r="KMJ135" s="221"/>
      <c r="KMK135" s="258"/>
      <c r="KML135" s="270"/>
      <c r="KMM135" s="271"/>
      <c r="KMN135" s="271"/>
      <c r="KMO135" s="271"/>
      <c r="KMP135" s="221"/>
      <c r="KMQ135" s="221"/>
      <c r="KMR135" s="221"/>
      <c r="KMS135" s="258"/>
      <c r="KMT135" s="270"/>
      <c r="KMU135" s="271"/>
      <c r="KMV135" s="271"/>
      <c r="KMW135" s="271"/>
      <c r="KMX135" s="221"/>
      <c r="KMY135" s="221"/>
      <c r="KMZ135" s="221"/>
      <c r="KNA135" s="258"/>
      <c r="KNB135" s="270"/>
      <c r="KNC135" s="271"/>
      <c r="KND135" s="271"/>
      <c r="KNE135" s="271"/>
      <c r="KNF135" s="221"/>
      <c r="KNG135" s="221"/>
      <c r="KNH135" s="221"/>
      <c r="KNI135" s="258"/>
      <c r="KNJ135" s="270"/>
      <c r="KNK135" s="271"/>
      <c r="KNL135" s="271"/>
      <c r="KNM135" s="271"/>
      <c r="KNN135" s="221"/>
      <c r="KNO135" s="221"/>
      <c r="KNP135" s="221"/>
      <c r="KNQ135" s="258"/>
      <c r="KNR135" s="270"/>
      <c r="KNS135" s="271"/>
      <c r="KNT135" s="271"/>
      <c r="KNU135" s="271"/>
      <c r="KNV135" s="221"/>
      <c r="KNW135" s="221"/>
      <c r="KNX135" s="221"/>
      <c r="KNY135" s="258"/>
      <c r="KNZ135" s="270"/>
      <c r="KOA135" s="271"/>
      <c r="KOB135" s="271"/>
      <c r="KOC135" s="271"/>
      <c r="KOD135" s="221"/>
      <c r="KOE135" s="221"/>
      <c r="KOF135" s="221"/>
      <c r="KOG135" s="258"/>
      <c r="KOH135" s="270"/>
      <c r="KOI135" s="271"/>
      <c r="KOJ135" s="271"/>
      <c r="KOK135" s="271"/>
      <c r="KOL135" s="221"/>
      <c r="KOM135" s="221"/>
      <c r="KON135" s="221"/>
      <c r="KOO135" s="258"/>
      <c r="KOP135" s="270"/>
      <c r="KOQ135" s="271"/>
      <c r="KOR135" s="271"/>
      <c r="KOS135" s="271"/>
      <c r="KOT135" s="221"/>
      <c r="KOU135" s="221"/>
      <c r="KOV135" s="221"/>
      <c r="KOW135" s="258"/>
      <c r="KOX135" s="270"/>
      <c r="KOY135" s="271"/>
      <c r="KOZ135" s="271"/>
      <c r="KPA135" s="271"/>
      <c r="KPB135" s="221"/>
      <c r="KPC135" s="221"/>
      <c r="KPD135" s="221"/>
      <c r="KPE135" s="258"/>
      <c r="KPF135" s="270"/>
      <c r="KPG135" s="271"/>
      <c r="KPH135" s="271"/>
      <c r="KPI135" s="271"/>
      <c r="KPJ135" s="221"/>
      <c r="KPK135" s="221"/>
      <c r="KPL135" s="221"/>
      <c r="KPM135" s="258"/>
      <c r="KPN135" s="270"/>
      <c r="KPO135" s="271"/>
      <c r="KPP135" s="271"/>
      <c r="KPQ135" s="271"/>
      <c r="KPR135" s="221"/>
      <c r="KPS135" s="221"/>
      <c r="KPT135" s="221"/>
      <c r="KPU135" s="258"/>
      <c r="KPV135" s="270"/>
      <c r="KPW135" s="271"/>
      <c r="KPX135" s="271"/>
      <c r="KPY135" s="271"/>
      <c r="KPZ135" s="221"/>
      <c r="KQA135" s="221"/>
      <c r="KQB135" s="221"/>
      <c r="KQC135" s="258"/>
      <c r="KQD135" s="270"/>
      <c r="KQE135" s="271"/>
      <c r="KQF135" s="271"/>
      <c r="KQG135" s="271"/>
      <c r="KQH135" s="221"/>
      <c r="KQI135" s="221"/>
      <c r="KQJ135" s="221"/>
      <c r="KQK135" s="258"/>
      <c r="KQL135" s="270"/>
      <c r="KQM135" s="271"/>
      <c r="KQN135" s="271"/>
      <c r="KQO135" s="271"/>
      <c r="KQP135" s="221"/>
      <c r="KQQ135" s="221"/>
      <c r="KQR135" s="221"/>
      <c r="KQS135" s="258"/>
      <c r="KQT135" s="270"/>
      <c r="KQU135" s="271"/>
      <c r="KQV135" s="271"/>
      <c r="KQW135" s="271"/>
      <c r="KQX135" s="221"/>
      <c r="KQY135" s="221"/>
      <c r="KQZ135" s="221"/>
      <c r="KRA135" s="258"/>
      <c r="KRB135" s="270"/>
      <c r="KRC135" s="271"/>
      <c r="KRD135" s="271"/>
      <c r="KRE135" s="271"/>
      <c r="KRF135" s="221"/>
      <c r="KRG135" s="221"/>
      <c r="KRH135" s="221"/>
      <c r="KRI135" s="258"/>
      <c r="KRJ135" s="270"/>
      <c r="KRK135" s="271"/>
      <c r="KRL135" s="271"/>
      <c r="KRM135" s="271"/>
      <c r="KRN135" s="221"/>
      <c r="KRO135" s="221"/>
      <c r="KRP135" s="221"/>
      <c r="KRQ135" s="258"/>
      <c r="KRR135" s="270"/>
      <c r="KRS135" s="271"/>
      <c r="KRT135" s="271"/>
      <c r="KRU135" s="271"/>
      <c r="KRV135" s="221"/>
      <c r="KRW135" s="221"/>
      <c r="KRX135" s="221"/>
      <c r="KRY135" s="258"/>
      <c r="KRZ135" s="270"/>
      <c r="KSA135" s="271"/>
      <c r="KSB135" s="271"/>
      <c r="KSC135" s="271"/>
      <c r="KSD135" s="221"/>
      <c r="KSE135" s="221"/>
      <c r="KSF135" s="221"/>
      <c r="KSG135" s="258"/>
      <c r="KSH135" s="270"/>
      <c r="KSI135" s="271"/>
      <c r="KSJ135" s="271"/>
      <c r="KSK135" s="271"/>
      <c r="KSL135" s="221"/>
      <c r="KSM135" s="221"/>
      <c r="KSN135" s="221"/>
      <c r="KSO135" s="258"/>
      <c r="KSP135" s="270"/>
      <c r="KSQ135" s="271"/>
      <c r="KSR135" s="271"/>
      <c r="KSS135" s="271"/>
      <c r="KST135" s="221"/>
      <c r="KSU135" s="221"/>
      <c r="KSV135" s="221"/>
      <c r="KSW135" s="258"/>
      <c r="KSX135" s="270"/>
      <c r="KSY135" s="271"/>
      <c r="KSZ135" s="271"/>
      <c r="KTA135" s="271"/>
      <c r="KTB135" s="221"/>
      <c r="KTC135" s="221"/>
      <c r="KTD135" s="221"/>
      <c r="KTE135" s="258"/>
      <c r="KTF135" s="270"/>
      <c r="KTG135" s="271"/>
      <c r="KTH135" s="271"/>
      <c r="KTI135" s="271"/>
      <c r="KTJ135" s="221"/>
      <c r="KTK135" s="221"/>
      <c r="KTL135" s="221"/>
      <c r="KTM135" s="258"/>
      <c r="KTN135" s="270"/>
      <c r="KTO135" s="271"/>
      <c r="KTP135" s="271"/>
      <c r="KTQ135" s="271"/>
      <c r="KTR135" s="221"/>
      <c r="KTS135" s="221"/>
      <c r="KTT135" s="221"/>
      <c r="KTU135" s="258"/>
      <c r="KTV135" s="270"/>
      <c r="KTW135" s="271"/>
      <c r="KTX135" s="271"/>
      <c r="KTY135" s="271"/>
      <c r="KTZ135" s="221"/>
      <c r="KUA135" s="221"/>
      <c r="KUB135" s="221"/>
      <c r="KUC135" s="258"/>
      <c r="KUD135" s="270"/>
      <c r="KUE135" s="271"/>
      <c r="KUF135" s="271"/>
      <c r="KUG135" s="271"/>
      <c r="KUH135" s="221"/>
      <c r="KUI135" s="221"/>
      <c r="KUJ135" s="221"/>
      <c r="KUK135" s="258"/>
      <c r="KUL135" s="270"/>
      <c r="KUM135" s="271"/>
      <c r="KUN135" s="271"/>
      <c r="KUO135" s="271"/>
      <c r="KUP135" s="221"/>
      <c r="KUQ135" s="221"/>
      <c r="KUR135" s="221"/>
      <c r="KUS135" s="258"/>
      <c r="KUT135" s="270"/>
      <c r="KUU135" s="271"/>
      <c r="KUV135" s="271"/>
      <c r="KUW135" s="271"/>
      <c r="KUX135" s="221"/>
      <c r="KUY135" s="221"/>
      <c r="KUZ135" s="221"/>
      <c r="KVA135" s="258"/>
      <c r="KVB135" s="270"/>
      <c r="KVC135" s="271"/>
      <c r="KVD135" s="271"/>
      <c r="KVE135" s="271"/>
      <c r="KVF135" s="221"/>
      <c r="KVG135" s="221"/>
      <c r="KVH135" s="221"/>
      <c r="KVI135" s="258"/>
      <c r="KVJ135" s="270"/>
      <c r="KVK135" s="271"/>
      <c r="KVL135" s="271"/>
      <c r="KVM135" s="271"/>
      <c r="KVN135" s="221"/>
      <c r="KVO135" s="221"/>
      <c r="KVP135" s="221"/>
      <c r="KVQ135" s="258"/>
      <c r="KVR135" s="270"/>
      <c r="KVS135" s="271"/>
      <c r="KVT135" s="271"/>
      <c r="KVU135" s="271"/>
      <c r="KVV135" s="221"/>
      <c r="KVW135" s="221"/>
      <c r="KVX135" s="221"/>
      <c r="KVY135" s="258"/>
      <c r="KVZ135" s="270"/>
      <c r="KWA135" s="271"/>
      <c r="KWB135" s="271"/>
      <c r="KWC135" s="271"/>
      <c r="KWD135" s="221"/>
      <c r="KWE135" s="221"/>
      <c r="KWF135" s="221"/>
      <c r="KWG135" s="258"/>
      <c r="KWH135" s="270"/>
      <c r="KWI135" s="271"/>
      <c r="KWJ135" s="271"/>
      <c r="KWK135" s="271"/>
      <c r="KWL135" s="221"/>
      <c r="KWM135" s="221"/>
      <c r="KWN135" s="221"/>
      <c r="KWO135" s="258"/>
      <c r="KWP135" s="270"/>
      <c r="KWQ135" s="271"/>
      <c r="KWR135" s="271"/>
      <c r="KWS135" s="271"/>
      <c r="KWT135" s="221"/>
      <c r="KWU135" s="221"/>
      <c r="KWV135" s="221"/>
      <c r="KWW135" s="258"/>
      <c r="KWX135" s="270"/>
      <c r="KWY135" s="271"/>
      <c r="KWZ135" s="271"/>
      <c r="KXA135" s="271"/>
      <c r="KXB135" s="221"/>
      <c r="KXC135" s="221"/>
      <c r="KXD135" s="221"/>
      <c r="KXE135" s="258"/>
      <c r="KXF135" s="270"/>
      <c r="KXG135" s="271"/>
      <c r="KXH135" s="271"/>
      <c r="KXI135" s="271"/>
      <c r="KXJ135" s="221"/>
      <c r="KXK135" s="221"/>
      <c r="KXL135" s="221"/>
      <c r="KXM135" s="258"/>
      <c r="KXN135" s="270"/>
      <c r="KXO135" s="271"/>
      <c r="KXP135" s="271"/>
      <c r="KXQ135" s="271"/>
      <c r="KXR135" s="221"/>
      <c r="KXS135" s="221"/>
      <c r="KXT135" s="221"/>
      <c r="KXU135" s="258"/>
      <c r="KXV135" s="270"/>
      <c r="KXW135" s="271"/>
      <c r="KXX135" s="271"/>
      <c r="KXY135" s="271"/>
      <c r="KXZ135" s="221"/>
      <c r="KYA135" s="221"/>
      <c r="KYB135" s="221"/>
      <c r="KYC135" s="258"/>
      <c r="KYD135" s="270"/>
      <c r="KYE135" s="271"/>
      <c r="KYF135" s="271"/>
      <c r="KYG135" s="271"/>
      <c r="KYH135" s="221"/>
      <c r="KYI135" s="221"/>
      <c r="KYJ135" s="221"/>
      <c r="KYK135" s="258"/>
      <c r="KYL135" s="270"/>
      <c r="KYM135" s="271"/>
      <c r="KYN135" s="271"/>
      <c r="KYO135" s="271"/>
      <c r="KYP135" s="221"/>
      <c r="KYQ135" s="221"/>
      <c r="KYR135" s="221"/>
      <c r="KYS135" s="258"/>
      <c r="KYT135" s="270"/>
      <c r="KYU135" s="271"/>
      <c r="KYV135" s="271"/>
      <c r="KYW135" s="271"/>
      <c r="KYX135" s="221"/>
      <c r="KYY135" s="221"/>
      <c r="KYZ135" s="221"/>
      <c r="KZA135" s="258"/>
      <c r="KZB135" s="270"/>
      <c r="KZC135" s="271"/>
      <c r="KZD135" s="271"/>
      <c r="KZE135" s="271"/>
      <c r="KZF135" s="221"/>
      <c r="KZG135" s="221"/>
      <c r="KZH135" s="221"/>
      <c r="KZI135" s="258"/>
      <c r="KZJ135" s="270"/>
      <c r="KZK135" s="271"/>
      <c r="KZL135" s="271"/>
      <c r="KZM135" s="271"/>
      <c r="KZN135" s="221"/>
      <c r="KZO135" s="221"/>
      <c r="KZP135" s="221"/>
      <c r="KZQ135" s="258"/>
      <c r="KZR135" s="270"/>
      <c r="KZS135" s="271"/>
      <c r="KZT135" s="271"/>
      <c r="KZU135" s="271"/>
      <c r="KZV135" s="221"/>
      <c r="KZW135" s="221"/>
      <c r="KZX135" s="221"/>
      <c r="KZY135" s="258"/>
      <c r="KZZ135" s="270"/>
      <c r="LAA135" s="271"/>
      <c r="LAB135" s="271"/>
      <c r="LAC135" s="271"/>
      <c r="LAD135" s="221"/>
      <c r="LAE135" s="221"/>
      <c r="LAF135" s="221"/>
      <c r="LAG135" s="258"/>
      <c r="LAH135" s="270"/>
      <c r="LAI135" s="271"/>
      <c r="LAJ135" s="271"/>
      <c r="LAK135" s="271"/>
      <c r="LAL135" s="221"/>
      <c r="LAM135" s="221"/>
      <c r="LAN135" s="221"/>
      <c r="LAO135" s="258"/>
      <c r="LAP135" s="270"/>
      <c r="LAQ135" s="271"/>
      <c r="LAR135" s="271"/>
      <c r="LAS135" s="271"/>
      <c r="LAT135" s="221"/>
      <c r="LAU135" s="221"/>
      <c r="LAV135" s="221"/>
      <c r="LAW135" s="258"/>
      <c r="LAX135" s="270"/>
      <c r="LAY135" s="271"/>
      <c r="LAZ135" s="271"/>
      <c r="LBA135" s="271"/>
      <c r="LBB135" s="221"/>
      <c r="LBC135" s="221"/>
      <c r="LBD135" s="221"/>
      <c r="LBE135" s="258"/>
      <c r="LBF135" s="270"/>
      <c r="LBG135" s="271"/>
      <c r="LBH135" s="271"/>
      <c r="LBI135" s="271"/>
      <c r="LBJ135" s="221"/>
      <c r="LBK135" s="221"/>
      <c r="LBL135" s="221"/>
      <c r="LBM135" s="258"/>
      <c r="LBN135" s="270"/>
      <c r="LBO135" s="271"/>
      <c r="LBP135" s="271"/>
      <c r="LBQ135" s="271"/>
      <c r="LBR135" s="221"/>
      <c r="LBS135" s="221"/>
      <c r="LBT135" s="221"/>
      <c r="LBU135" s="258"/>
      <c r="LBV135" s="270"/>
      <c r="LBW135" s="271"/>
      <c r="LBX135" s="271"/>
      <c r="LBY135" s="271"/>
      <c r="LBZ135" s="221"/>
      <c r="LCA135" s="221"/>
      <c r="LCB135" s="221"/>
      <c r="LCC135" s="258"/>
      <c r="LCD135" s="270"/>
      <c r="LCE135" s="271"/>
      <c r="LCF135" s="271"/>
      <c r="LCG135" s="271"/>
      <c r="LCH135" s="221"/>
      <c r="LCI135" s="221"/>
      <c r="LCJ135" s="221"/>
      <c r="LCK135" s="258"/>
      <c r="LCL135" s="270"/>
      <c r="LCM135" s="271"/>
      <c r="LCN135" s="271"/>
      <c r="LCO135" s="271"/>
      <c r="LCP135" s="221"/>
      <c r="LCQ135" s="221"/>
      <c r="LCR135" s="221"/>
      <c r="LCS135" s="258"/>
      <c r="LCT135" s="270"/>
      <c r="LCU135" s="271"/>
      <c r="LCV135" s="271"/>
      <c r="LCW135" s="271"/>
      <c r="LCX135" s="221"/>
      <c r="LCY135" s="221"/>
      <c r="LCZ135" s="221"/>
      <c r="LDA135" s="258"/>
      <c r="LDB135" s="270"/>
      <c r="LDC135" s="271"/>
      <c r="LDD135" s="271"/>
      <c r="LDE135" s="271"/>
      <c r="LDF135" s="221"/>
      <c r="LDG135" s="221"/>
      <c r="LDH135" s="221"/>
      <c r="LDI135" s="258"/>
      <c r="LDJ135" s="270"/>
      <c r="LDK135" s="271"/>
      <c r="LDL135" s="271"/>
      <c r="LDM135" s="271"/>
      <c r="LDN135" s="221"/>
      <c r="LDO135" s="221"/>
      <c r="LDP135" s="221"/>
      <c r="LDQ135" s="258"/>
      <c r="LDR135" s="270"/>
      <c r="LDS135" s="271"/>
      <c r="LDT135" s="271"/>
      <c r="LDU135" s="271"/>
      <c r="LDV135" s="221"/>
      <c r="LDW135" s="221"/>
      <c r="LDX135" s="221"/>
      <c r="LDY135" s="258"/>
      <c r="LDZ135" s="270"/>
      <c r="LEA135" s="271"/>
      <c r="LEB135" s="271"/>
      <c r="LEC135" s="271"/>
      <c r="LED135" s="221"/>
      <c r="LEE135" s="221"/>
      <c r="LEF135" s="221"/>
      <c r="LEG135" s="258"/>
      <c r="LEH135" s="270"/>
      <c r="LEI135" s="271"/>
      <c r="LEJ135" s="271"/>
      <c r="LEK135" s="271"/>
      <c r="LEL135" s="221"/>
      <c r="LEM135" s="221"/>
      <c r="LEN135" s="221"/>
      <c r="LEO135" s="258"/>
      <c r="LEP135" s="270"/>
      <c r="LEQ135" s="271"/>
      <c r="LER135" s="271"/>
      <c r="LES135" s="271"/>
      <c r="LET135" s="221"/>
      <c r="LEU135" s="221"/>
      <c r="LEV135" s="221"/>
      <c r="LEW135" s="258"/>
      <c r="LEX135" s="270"/>
      <c r="LEY135" s="271"/>
      <c r="LEZ135" s="271"/>
      <c r="LFA135" s="271"/>
      <c r="LFB135" s="221"/>
      <c r="LFC135" s="221"/>
      <c r="LFD135" s="221"/>
      <c r="LFE135" s="258"/>
      <c r="LFF135" s="270"/>
      <c r="LFG135" s="271"/>
      <c r="LFH135" s="271"/>
      <c r="LFI135" s="271"/>
      <c r="LFJ135" s="221"/>
      <c r="LFK135" s="221"/>
      <c r="LFL135" s="221"/>
      <c r="LFM135" s="258"/>
      <c r="LFN135" s="270"/>
      <c r="LFO135" s="271"/>
      <c r="LFP135" s="271"/>
      <c r="LFQ135" s="271"/>
      <c r="LFR135" s="221"/>
      <c r="LFS135" s="221"/>
      <c r="LFT135" s="221"/>
      <c r="LFU135" s="258"/>
      <c r="LFV135" s="270"/>
      <c r="LFW135" s="271"/>
      <c r="LFX135" s="271"/>
      <c r="LFY135" s="271"/>
      <c r="LFZ135" s="221"/>
      <c r="LGA135" s="221"/>
      <c r="LGB135" s="221"/>
      <c r="LGC135" s="258"/>
      <c r="LGD135" s="270"/>
      <c r="LGE135" s="271"/>
      <c r="LGF135" s="271"/>
      <c r="LGG135" s="271"/>
      <c r="LGH135" s="221"/>
      <c r="LGI135" s="221"/>
      <c r="LGJ135" s="221"/>
      <c r="LGK135" s="258"/>
      <c r="LGL135" s="270"/>
      <c r="LGM135" s="271"/>
      <c r="LGN135" s="271"/>
      <c r="LGO135" s="271"/>
      <c r="LGP135" s="221"/>
      <c r="LGQ135" s="221"/>
      <c r="LGR135" s="221"/>
      <c r="LGS135" s="258"/>
      <c r="LGT135" s="270"/>
      <c r="LGU135" s="271"/>
      <c r="LGV135" s="271"/>
      <c r="LGW135" s="271"/>
      <c r="LGX135" s="221"/>
      <c r="LGY135" s="221"/>
      <c r="LGZ135" s="221"/>
      <c r="LHA135" s="258"/>
      <c r="LHB135" s="270"/>
      <c r="LHC135" s="271"/>
      <c r="LHD135" s="271"/>
      <c r="LHE135" s="271"/>
      <c r="LHF135" s="221"/>
      <c r="LHG135" s="221"/>
      <c r="LHH135" s="221"/>
      <c r="LHI135" s="258"/>
      <c r="LHJ135" s="270"/>
      <c r="LHK135" s="271"/>
      <c r="LHL135" s="271"/>
      <c r="LHM135" s="271"/>
      <c r="LHN135" s="221"/>
      <c r="LHO135" s="221"/>
      <c r="LHP135" s="221"/>
      <c r="LHQ135" s="258"/>
      <c r="LHR135" s="270"/>
      <c r="LHS135" s="271"/>
      <c r="LHT135" s="271"/>
      <c r="LHU135" s="271"/>
      <c r="LHV135" s="221"/>
      <c r="LHW135" s="221"/>
      <c r="LHX135" s="221"/>
      <c r="LHY135" s="258"/>
      <c r="LHZ135" s="270"/>
      <c r="LIA135" s="271"/>
      <c r="LIB135" s="271"/>
      <c r="LIC135" s="271"/>
      <c r="LID135" s="221"/>
      <c r="LIE135" s="221"/>
      <c r="LIF135" s="221"/>
      <c r="LIG135" s="258"/>
      <c r="LIH135" s="270"/>
      <c r="LII135" s="271"/>
      <c r="LIJ135" s="271"/>
      <c r="LIK135" s="271"/>
      <c r="LIL135" s="221"/>
      <c r="LIM135" s="221"/>
      <c r="LIN135" s="221"/>
      <c r="LIO135" s="258"/>
      <c r="LIP135" s="270"/>
      <c r="LIQ135" s="271"/>
      <c r="LIR135" s="271"/>
      <c r="LIS135" s="271"/>
      <c r="LIT135" s="221"/>
      <c r="LIU135" s="221"/>
      <c r="LIV135" s="221"/>
      <c r="LIW135" s="258"/>
      <c r="LIX135" s="270"/>
      <c r="LIY135" s="271"/>
      <c r="LIZ135" s="271"/>
      <c r="LJA135" s="271"/>
      <c r="LJB135" s="221"/>
      <c r="LJC135" s="221"/>
      <c r="LJD135" s="221"/>
      <c r="LJE135" s="258"/>
      <c r="LJF135" s="270"/>
      <c r="LJG135" s="271"/>
      <c r="LJH135" s="271"/>
      <c r="LJI135" s="271"/>
      <c r="LJJ135" s="221"/>
      <c r="LJK135" s="221"/>
      <c r="LJL135" s="221"/>
      <c r="LJM135" s="258"/>
      <c r="LJN135" s="270"/>
      <c r="LJO135" s="271"/>
      <c r="LJP135" s="271"/>
      <c r="LJQ135" s="271"/>
      <c r="LJR135" s="221"/>
      <c r="LJS135" s="221"/>
      <c r="LJT135" s="221"/>
      <c r="LJU135" s="258"/>
      <c r="LJV135" s="270"/>
      <c r="LJW135" s="271"/>
      <c r="LJX135" s="271"/>
      <c r="LJY135" s="271"/>
      <c r="LJZ135" s="221"/>
      <c r="LKA135" s="221"/>
      <c r="LKB135" s="221"/>
      <c r="LKC135" s="258"/>
      <c r="LKD135" s="270"/>
      <c r="LKE135" s="271"/>
      <c r="LKF135" s="271"/>
      <c r="LKG135" s="271"/>
      <c r="LKH135" s="221"/>
      <c r="LKI135" s="221"/>
      <c r="LKJ135" s="221"/>
      <c r="LKK135" s="258"/>
      <c r="LKL135" s="270"/>
      <c r="LKM135" s="271"/>
      <c r="LKN135" s="271"/>
      <c r="LKO135" s="271"/>
      <c r="LKP135" s="221"/>
      <c r="LKQ135" s="221"/>
      <c r="LKR135" s="221"/>
      <c r="LKS135" s="258"/>
      <c r="LKT135" s="270"/>
      <c r="LKU135" s="271"/>
      <c r="LKV135" s="271"/>
      <c r="LKW135" s="271"/>
      <c r="LKX135" s="221"/>
      <c r="LKY135" s="221"/>
      <c r="LKZ135" s="221"/>
      <c r="LLA135" s="258"/>
      <c r="LLB135" s="270"/>
      <c r="LLC135" s="271"/>
      <c r="LLD135" s="271"/>
      <c r="LLE135" s="271"/>
      <c r="LLF135" s="221"/>
      <c r="LLG135" s="221"/>
      <c r="LLH135" s="221"/>
      <c r="LLI135" s="258"/>
      <c r="LLJ135" s="270"/>
      <c r="LLK135" s="271"/>
      <c r="LLL135" s="271"/>
      <c r="LLM135" s="271"/>
      <c r="LLN135" s="221"/>
      <c r="LLO135" s="221"/>
      <c r="LLP135" s="221"/>
      <c r="LLQ135" s="258"/>
      <c r="LLR135" s="270"/>
      <c r="LLS135" s="271"/>
      <c r="LLT135" s="271"/>
      <c r="LLU135" s="271"/>
      <c r="LLV135" s="221"/>
      <c r="LLW135" s="221"/>
      <c r="LLX135" s="221"/>
      <c r="LLY135" s="258"/>
      <c r="LLZ135" s="270"/>
      <c r="LMA135" s="271"/>
      <c r="LMB135" s="271"/>
      <c r="LMC135" s="271"/>
      <c r="LMD135" s="221"/>
      <c r="LME135" s="221"/>
      <c r="LMF135" s="221"/>
      <c r="LMG135" s="258"/>
      <c r="LMH135" s="270"/>
      <c r="LMI135" s="271"/>
      <c r="LMJ135" s="271"/>
      <c r="LMK135" s="271"/>
      <c r="LML135" s="221"/>
      <c r="LMM135" s="221"/>
      <c r="LMN135" s="221"/>
      <c r="LMO135" s="258"/>
      <c r="LMP135" s="270"/>
      <c r="LMQ135" s="271"/>
      <c r="LMR135" s="271"/>
      <c r="LMS135" s="271"/>
      <c r="LMT135" s="221"/>
      <c r="LMU135" s="221"/>
      <c r="LMV135" s="221"/>
      <c r="LMW135" s="258"/>
      <c r="LMX135" s="270"/>
      <c r="LMY135" s="271"/>
      <c r="LMZ135" s="271"/>
      <c r="LNA135" s="271"/>
      <c r="LNB135" s="221"/>
      <c r="LNC135" s="221"/>
      <c r="LND135" s="221"/>
      <c r="LNE135" s="258"/>
      <c r="LNF135" s="270"/>
      <c r="LNG135" s="271"/>
      <c r="LNH135" s="271"/>
      <c r="LNI135" s="271"/>
      <c r="LNJ135" s="221"/>
      <c r="LNK135" s="221"/>
      <c r="LNL135" s="221"/>
      <c r="LNM135" s="258"/>
      <c r="LNN135" s="270"/>
      <c r="LNO135" s="271"/>
      <c r="LNP135" s="271"/>
      <c r="LNQ135" s="271"/>
      <c r="LNR135" s="221"/>
      <c r="LNS135" s="221"/>
      <c r="LNT135" s="221"/>
      <c r="LNU135" s="258"/>
      <c r="LNV135" s="270"/>
      <c r="LNW135" s="271"/>
      <c r="LNX135" s="271"/>
      <c r="LNY135" s="271"/>
      <c r="LNZ135" s="221"/>
      <c r="LOA135" s="221"/>
      <c r="LOB135" s="221"/>
      <c r="LOC135" s="258"/>
      <c r="LOD135" s="270"/>
      <c r="LOE135" s="271"/>
      <c r="LOF135" s="271"/>
      <c r="LOG135" s="271"/>
      <c r="LOH135" s="221"/>
      <c r="LOI135" s="221"/>
      <c r="LOJ135" s="221"/>
      <c r="LOK135" s="258"/>
      <c r="LOL135" s="270"/>
      <c r="LOM135" s="271"/>
      <c r="LON135" s="271"/>
      <c r="LOO135" s="271"/>
      <c r="LOP135" s="221"/>
      <c r="LOQ135" s="221"/>
      <c r="LOR135" s="221"/>
      <c r="LOS135" s="258"/>
      <c r="LOT135" s="270"/>
      <c r="LOU135" s="271"/>
      <c r="LOV135" s="271"/>
      <c r="LOW135" s="271"/>
      <c r="LOX135" s="221"/>
      <c r="LOY135" s="221"/>
      <c r="LOZ135" s="221"/>
      <c r="LPA135" s="258"/>
      <c r="LPB135" s="270"/>
      <c r="LPC135" s="271"/>
      <c r="LPD135" s="271"/>
      <c r="LPE135" s="271"/>
      <c r="LPF135" s="221"/>
      <c r="LPG135" s="221"/>
      <c r="LPH135" s="221"/>
      <c r="LPI135" s="258"/>
      <c r="LPJ135" s="270"/>
      <c r="LPK135" s="271"/>
      <c r="LPL135" s="271"/>
      <c r="LPM135" s="271"/>
      <c r="LPN135" s="221"/>
      <c r="LPO135" s="221"/>
      <c r="LPP135" s="221"/>
      <c r="LPQ135" s="258"/>
      <c r="LPR135" s="270"/>
      <c r="LPS135" s="271"/>
      <c r="LPT135" s="271"/>
      <c r="LPU135" s="271"/>
      <c r="LPV135" s="221"/>
      <c r="LPW135" s="221"/>
      <c r="LPX135" s="221"/>
      <c r="LPY135" s="258"/>
      <c r="LPZ135" s="270"/>
      <c r="LQA135" s="271"/>
      <c r="LQB135" s="271"/>
      <c r="LQC135" s="271"/>
      <c r="LQD135" s="221"/>
      <c r="LQE135" s="221"/>
      <c r="LQF135" s="221"/>
      <c r="LQG135" s="258"/>
      <c r="LQH135" s="270"/>
      <c r="LQI135" s="271"/>
      <c r="LQJ135" s="271"/>
      <c r="LQK135" s="271"/>
      <c r="LQL135" s="221"/>
      <c r="LQM135" s="221"/>
      <c r="LQN135" s="221"/>
      <c r="LQO135" s="258"/>
      <c r="LQP135" s="270"/>
      <c r="LQQ135" s="271"/>
      <c r="LQR135" s="271"/>
      <c r="LQS135" s="271"/>
      <c r="LQT135" s="221"/>
      <c r="LQU135" s="221"/>
      <c r="LQV135" s="221"/>
      <c r="LQW135" s="258"/>
      <c r="LQX135" s="270"/>
      <c r="LQY135" s="271"/>
      <c r="LQZ135" s="271"/>
      <c r="LRA135" s="271"/>
      <c r="LRB135" s="221"/>
      <c r="LRC135" s="221"/>
      <c r="LRD135" s="221"/>
      <c r="LRE135" s="258"/>
      <c r="LRF135" s="270"/>
      <c r="LRG135" s="271"/>
      <c r="LRH135" s="271"/>
      <c r="LRI135" s="271"/>
      <c r="LRJ135" s="221"/>
      <c r="LRK135" s="221"/>
      <c r="LRL135" s="221"/>
      <c r="LRM135" s="258"/>
      <c r="LRN135" s="270"/>
      <c r="LRO135" s="271"/>
      <c r="LRP135" s="271"/>
      <c r="LRQ135" s="271"/>
      <c r="LRR135" s="221"/>
      <c r="LRS135" s="221"/>
      <c r="LRT135" s="221"/>
      <c r="LRU135" s="258"/>
      <c r="LRV135" s="270"/>
      <c r="LRW135" s="271"/>
      <c r="LRX135" s="271"/>
      <c r="LRY135" s="271"/>
      <c r="LRZ135" s="221"/>
      <c r="LSA135" s="221"/>
      <c r="LSB135" s="221"/>
      <c r="LSC135" s="258"/>
      <c r="LSD135" s="270"/>
      <c r="LSE135" s="271"/>
      <c r="LSF135" s="271"/>
      <c r="LSG135" s="271"/>
      <c r="LSH135" s="221"/>
      <c r="LSI135" s="221"/>
      <c r="LSJ135" s="221"/>
      <c r="LSK135" s="258"/>
      <c r="LSL135" s="270"/>
      <c r="LSM135" s="271"/>
      <c r="LSN135" s="271"/>
      <c r="LSO135" s="271"/>
      <c r="LSP135" s="221"/>
      <c r="LSQ135" s="221"/>
      <c r="LSR135" s="221"/>
      <c r="LSS135" s="258"/>
      <c r="LST135" s="270"/>
      <c r="LSU135" s="271"/>
      <c r="LSV135" s="271"/>
      <c r="LSW135" s="271"/>
      <c r="LSX135" s="221"/>
      <c r="LSY135" s="221"/>
      <c r="LSZ135" s="221"/>
      <c r="LTA135" s="258"/>
      <c r="LTB135" s="270"/>
      <c r="LTC135" s="271"/>
      <c r="LTD135" s="271"/>
      <c r="LTE135" s="271"/>
      <c r="LTF135" s="221"/>
      <c r="LTG135" s="221"/>
      <c r="LTH135" s="221"/>
      <c r="LTI135" s="258"/>
      <c r="LTJ135" s="270"/>
      <c r="LTK135" s="271"/>
      <c r="LTL135" s="271"/>
      <c r="LTM135" s="271"/>
      <c r="LTN135" s="221"/>
      <c r="LTO135" s="221"/>
      <c r="LTP135" s="221"/>
      <c r="LTQ135" s="258"/>
      <c r="LTR135" s="270"/>
      <c r="LTS135" s="271"/>
      <c r="LTT135" s="271"/>
      <c r="LTU135" s="271"/>
      <c r="LTV135" s="221"/>
      <c r="LTW135" s="221"/>
      <c r="LTX135" s="221"/>
      <c r="LTY135" s="258"/>
      <c r="LTZ135" s="270"/>
      <c r="LUA135" s="271"/>
      <c r="LUB135" s="271"/>
      <c r="LUC135" s="271"/>
      <c r="LUD135" s="221"/>
      <c r="LUE135" s="221"/>
      <c r="LUF135" s="221"/>
      <c r="LUG135" s="258"/>
      <c r="LUH135" s="270"/>
      <c r="LUI135" s="271"/>
      <c r="LUJ135" s="271"/>
      <c r="LUK135" s="271"/>
      <c r="LUL135" s="221"/>
      <c r="LUM135" s="221"/>
      <c r="LUN135" s="221"/>
      <c r="LUO135" s="258"/>
      <c r="LUP135" s="270"/>
      <c r="LUQ135" s="271"/>
      <c r="LUR135" s="271"/>
      <c r="LUS135" s="271"/>
      <c r="LUT135" s="221"/>
      <c r="LUU135" s="221"/>
      <c r="LUV135" s="221"/>
      <c r="LUW135" s="258"/>
      <c r="LUX135" s="270"/>
      <c r="LUY135" s="271"/>
      <c r="LUZ135" s="271"/>
      <c r="LVA135" s="271"/>
      <c r="LVB135" s="221"/>
      <c r="LVC135" s="221"/>
      <c r="LVD135" s="221"/>
      <c r="LVE135" s="258"/>
      <c r="LVF135" s="270"/>
      <c r="LVG135" s="271"/>
      <c r="LVH135" s="271"/>
      <c r="LVI135" s="271"/>
      <c r="LVJ135" s="221"/>
      <c r="LVK135" s="221"/>
      <c r="LVL135" s="221"/>
      <c r="LVM135" s="258"/>
      <c r="LVN135" s="270"/>
      <c r="LVO135" s="271"/>
      <c r="LVP135" s="271"/>
      <c r="LVQ135" s="271"/>
      <c r="LVR135" s="221"/>
      <c r="LVS135" s="221"/>
      <c r="LVT135" s="221"/>
      <c r="LVU135" s="258"/>
      <c r="LVV135" s="270"/>
      <c r="LVW135" s="271"/>
      <c r="LVX135" s="271"/>
      <c r="LVY135" s="271"/>
      <c r="LVZ135" s="221"/>
      <c r="LWA135" s="221"/>
      <c r="LWB135" s="221"/>
      <c r="LWC135" s="258"/>
      <c r="LWD135" s="270"/>
      <c r="LWE135" s="271"/>
      <c r="LWF135" s="271"/>
      <c r="LWG135" s="271"/>
      <c r="LWH135" s="221"/>
      <c r="LWI135" s="221"/>
      <c r="LWJ135" s="221"/>
      <c r="LWK135" s="258"/>
      <c r="LWL135" s="270"/>
      <c r="LWM135" s="271"/>
      <c r="LWN135" s="271"/>
      <c r="LWO135" s="271"/>
      <c r="LWP135" s="221"/>
      <c r="LWQ135" s="221"/>
      <c r="LWR135" s="221"/>
      <c r="LWS135" s="258"/>
      <c r="LWT135" s="270"/>
      <c r="LWU135" s="271"/>
      <c r="LWV135" s="271"/>
      <c r="LWW135" s="271"/>
      <c r="LWX135" s="221"/>
      <c r="LWY135" s="221"/>
      <c r="LWZ135" s="221"/>
      <c r="LXA135" s="258"/>
      <c r="LXB135" s="270"/>
      <c r="LXC135" s="271"/>
      <c r="LXD135" s="271"/>
      <c r="LXE135" s="271"/>
      <c r="LXF135" s="221"/>
      <c r="LXG135" s="221"/>
      <c r="LXH135" s="221"/>
      <c r="LXI135" s="258"/>
      <c r="LXJ135" s="270"/>
      <c r="LXK135" s="271"/>
      <c r="LXL135" s="271"/>
      <c r="LXM135" s="271"/>
      <c r="LXN135" s="221"/>
      <c r="LXO135" s="221"/>
      <c r="LXP135" s="221"/>
      <c r="LXQ135" s="258"/>
      <c r="LXR135" s="270"/>
      <c r="LXS135" s="271"/>
      <c r="LXT135" s="271"/>
      <c r="LXU135" s="271"/>
      <c r="LXV135" s="221"/>
      <c r="LXW135" s="221"/>
      <c r="LXX135" s="221"/>
      <c r="LXY135" s="258"/>
      <c r="LXZ135" s="270"/>
      <c r="LYA135" s="271"/>
      <c r="LYB135" s="271"/>
      <c r="LYC135" s="271"/>
      <c r="LYD135" s="221"/>
      <c r="LYE135" s="221"/>
      <c r="LYF135" s="221"/>
      <c r="LYG135" s="258"/>
      <c r="LYH135" s="270"/>
      <c r="LYI135" s="271"/>
      <c r="LYJ135" s="271"/>
      <c r="LYK135" s="271"/>
      <c r="LYL135" s="221"/>
      <c r="LYM135" s="221"/>
      <c r="LYN135" s="221"/>
      <c r="LYO135" s="258"/>
      <c r="LYP135" s="270"/>
      <c r="LYQ135" s="271"/>
      <c r="LYR135" s="271"/>
      <c r="LYS135" s="271"/>
      <c r="LYT135" s="221"/>
      <c r="LYU135" s="221"/>
      <c r="LYV135" s="221"/>
      <c r="LYW135" s="258"/>
      <c r="LYX135" s="270"/>
      <c r="LYY135" s="271"/>
      <c r="LYZ135" s="271"/>
      <c r="LZA135" s="271"/>
      <c r="LZB135" s="221"/>
      <c r="LZC135" s="221"/>
      <c r="LZD135" s="221"/>
      <c r="LZE135" s="258"/>
      <c r="LZF135" s="270"/>
      <c r="LZG135" s="271"/>
      <c r="LZH135" s="271"/>
      <c r="LZI135" s="271"/>
      <c r="LZJ135" s="221"/>
      <c r="LZK135" s="221"/>
      <c r="LZL135" s="221"/>
      <c r="LZM135" s="258"/>
      <c r="LZN135" s="270"/>
      <c r="LZO135" s="271"/>
      <c r="LZP135" s="271"/>
      <c r="LZQ135" s="271"/>
      <c r="LZR135" s="221"/>
      <c r="LZS135" s="221"/>
      <c r="LZT135" s="221"/>
      <c r="LZU135" s="258"/>
      <c r="LZV135" s="270"/>
      <c r="LZW135" s="271"/>
      <c r="LZX135" s="271"/>
      <c r="LZY135" s="271"/>
      <c r="LZZ135" s="221"/>
      <c r="MAA135" s="221"/>
      <c r="MAB135" s="221"/>
      <c r="MAC135" s="258"/>
      <c r="MAD135" s="270"/>
      <c r="MAE135" s="271"/>
      <c r="MAF135" s="271"/>
      <c r="MAG135" s="271"/>
      <c r="MAH135" s="221"/>
      <c r="MAI135" s="221"/>
      <c r="MAJ135" s="221"/>
      <c r="MAK135" s="258"/>
      <c r="MAL135" s="270"/>
      <c r="MAM135" s="271"/>
      <c r="MAN135" s="271"/>
      <c r="MAO135" s="271"/>
      <c r="MAP135" s="221"/>
      <c r="MAQ135" s="221"/>
      <c r="MAR135" s="221"/>
      <c r="MAS135" s="258"/>
      <c r="MAT135" s="270"/>
      <c r="MAU135" s="271"/>
      <c r="MAV135" s="271"/>
      <c r="MAW135" s="271"/>
      <c r="MAX135" s="221"/>
      <c r="MAY135" s="221"/>
      <c r="MAZ135" s="221"/>
      <c r="MBA135" s="258"/>
      <c r="MBB135" s="270"/>
      <c r="MBC135" s="271"/>
      <c r="MBD135" s="271"/>
      <c r="MBE135" s="271"/>
      <c r="MBF135" s="221"/>
      <c r="MBG135" s="221"/>
      <c r="MBH135" s="221"/>
      <c r="MBI135" s="258"/>
      <c r="MBJ135" s="270"/>
      <c r="MBK135" s="271"/>
      <c r="MBL135" s="271"/>
      <c r="MBM135" s="271"/>
      <c r="MBN135" s="221"/>
      <c r="MBO135" s="221"/>
      <c r="MBP135" s="221"/>
      <c r="MBQ135" s="258"/>
      <c r="MBR135" s="270"/>
      <c r="MBS135" s="271"/>
      <c r="MBT135" s="271"/>
      <c r="MBU135" s="271"/>
      <c r="MBV135" s="221"/>
      <c r="MBW135" s="221"/>
      <c r="MBX135" s="221"/>
      <c r="MBY135" s="258"/>
      <c r="MBZ135" s="270"/>
      <c r="MCA135" s="271"/>
      <c r="MCB135" s="271"/>
      <c r="MCC135" s="271"/>
      <c r="MCD135" s="221"/>
      <c r="MCE135" s="221"/>
      <c r="MCF135" s="221"/>
      <c r="MCG135" s="258"/>
      <c r="MCH135" s="270"/>
      <c r="MCI135" s="271"/>
      <c r="MCJ135" s="271"/>
      <c r="MCK135" s="271"/>
      <c r="MCL135" s="221"/>
      <c r="MCM135" s="221"/>
      <c r="MCN135" s="221"/>
      <c r="MCO135" s="258"/>
      <c r="MCP135" s="270"/>
      <c r="MCQ135" s="271"/>
      <c r="MCR135" s="271"/>
      <c r="MCS135" s="271"/>
      <c r="MCT135" s="221"/>
      <c r="MCU135" s="221"/>
      <c r="MCV135" s="221"/>
      <c r="MCW135" s="258"/>
      <c r="MCX135" s="270"/>
      <c r="MCY135" s="271"/>
      <c r="MCZ135" s="271"/>
      <c r="MDA135" s="271"/>
      <c r="MDB135" s="221"/>
      <c r="MDC135" s="221"/>
      <c r="MDD135" s="221"/>
      <c r="MDE135" s="258"/>
      <c r="MDF135" s="270"/>
      <c r="MDG135" s="271"/>
      <c r="MDH135" s="271"/>
      <c r="MDI135" s="271"/>
      <c r="MDJ135" s="221"/>
      <c r="MDK135" s="221"/>
      <c r="MDL135" s="221"/>
      <c r="MDM135" s="258"/>
      <c r="MDN135" s="270"/>
      <c r="MDO135" s="271"/>
      <c r="MDP135" s="271"/>
      <c r="MDQ135" s="271"/>
      <c r="MDR135" s="221"/>
      <c r="MDS135" s="221"/>
      <c r="MDT135" s="221"/>
      <c r="MDU135" s="258"/>
      <c r="MDV135" s="270"/>
      <c r="MDW135" s="271"/>
      <c r="MDX135" s="271"/>
      <c r="MDY135" s="271"/>
      <c r="MDZ135" s="221"/>
      <c r="MEA135" s="221"/>
      <c r="MEB135" s="221"/>
      <c r="MEC135" s="258"/>
      <c r="MED135" s="270"/>
      <c r="MEE135" s="271"/>
      <c r="MEF135" s="271"/>
      <c r="MEG135" s="271"/>
      <c r="MEH135" s="221"/>
      <c r="MEI135" s="221"/>
      <c r="MEJ135" s="221"/>
      <c r="MEK135" s="258"/>
      <c r="MEL135" s="270"/>
      <c r="MEM135" s="271"/>
      <c r="MEN135" s="271"/>
      <c r="MEO135" s="271"/>
      <c r="MEP135" s="221"/>
      <c r="MEQ135" s="221"/>
      <c r="MER135" s="221"/>
      <c r="MES135" s="258"/>
      <c r="MET135" s="270"/>
      <c r="MEU135" s="271"/>
      <c r="MEV135" s="271"/>
      <c r="MEW135" s="271"/>
      <c r="MEX135" s="221"/>
      <c r="MEY135" s="221"/>
      <c r="MEZ135" s="221"/>
      <c r="MFA135" s="258"/>
      <c r="MFB135" s="270"/>
      <c r="MFC135" s="271"/>
      <c r="MFD135" s="271"/>
      <c r="MFE135" s="271"/>
      <c r="MFF135" s="221"/>
      <c r="MFG135" s="221"/>
      <c r="MFH135" s="221"/>
      <c r="MFI135" s="258"/>
      <c r="MFJ135" s="270"/>
      <c r="MFK135" s="271"/>
      <c r="MFL135" s="271"/>
      <c r="MFM135" s="271"/>
      <c r="MFN135" s="221"/>
      <c r="MFO135" s="221"/>
      <c r="MFP135" s="221"/>
      <c r="MFQ135" s="258"/>
      <c r="MFR135" s="270"/>
      <c r="MFS135" s="271"/>
      <c r="MFT135" s="271"/>
      <c r="MFU135" s="271"/>
      <c r="MFV135" s="221"/>
      <c r="MFW135" s="221"/>
      <c r="MFX135" s="221"/>
      <c r="MFY135" s="258"/>
      <c r="MFZ135" s="270"/>
      <c r="MGA135" s="271"/>
      <c r="MGB135" s="271"/>
      <c r="MGC135" s="271"/>
      <c r="MGD135" s="221"/>
      <c r="MGE135" s="221"/>
      <c r="MGF135" s="221"/>
      <c r="MGG135" s="258"/>
      <c r="MGH135" s="270"/>
      <c r="MGI135" s="271"/>
      <c r="MGJ135" s="271"/>
      <c r="MGK135" s="271"/>
      <c r="MGL135" s="221"/>
      <c r="MGM135" s="221"/>
      <c r="MGN135" s="221"/>
      <c r="MGO135" s="258"/>
      <c r="MGP135" s="270"/>
      <c r="MGQ135" s="271"/>
      <c r="MGR135" s="271"/>
      <c r="MGS135" s="271"/>
      <c r="MGT135" s="221"/>
      <c r="MGU135" s="221"/>
      <c r="MGV135" s="221"/>
      <c r="MGW135" s="258"/>
      <c r="MGX135" s="270"/>
      <c r="MGY135" s="271"/>
      <c r="MGZ135" s="271"/>
      <c r="MHA135" s="271"/>
      <c r="MHB135" s="221"/>
      <c r="MHC135" s="221"/>
      <c r="MHD135" s="221"/>
      <c r="MHE135" s="258"/>
      <c r="MHF135" s="270"/>
      <c r="MHG135" s="271"/>
      <c r="MHH135" s="271"/>
      <c r="MHI135" s="271"/>
      <c r="MHJ135" s="221"/>
      <c r="MHK135" s="221"/>
      <c r="MHL135" s="221"/>
      <c r="MHM135" s="258"/>
      <c r="MHN135" s="270"/>
      <c r="MHO135" s="271"/>
      <c r="MHP135" s="271"/>
      <c r="MHQ135" s="271"/>
      <c r="MHR135" s="221"/>
      <c r="MHS135" s="221"/>
      <c r="MHT135" s="221"/>
      <c r="MHU135" s="258"/>
      <c r="MHV135" s="270"/>
      <c r="MHW135" s="271"/>
      <c r="MHX135" s="271"/>
      <c r="MHY135" s="271"/>
      <c r="MHZ135" s="221"/>
      <c r="MIA135" s="221"/>
      <c r="MIB135" s="221"/>
      <c r="MIC135" s="258"/>
      <c r="MID135" s="270"/>
      <c r="MIE135" s="271"/>
      <c r="MIF135" s="271"/>
      <c r="MIG135" s="271"/>
      <c r="MIH135" s="221"/>
      <c r="MII135" s="221"/>
      <c r="MIJ135" s="221"/>
      <c r="MIK135" s="258"/>
      <c r="MIL135" s="270"/>
      <c r="MIM135" s="271"/>
      <c r="MIN135" s="271"/>
      <c r="MIO135" s="271"/>
      <c r="MIP135" s="221"/>
      <c r="MIQ135" s="221"/>
      <c r="MIR135" s="221"/>
      <c r="MIS135" s="258"/>
      <c r="MIT135" s="270"/>
      <c r="MIU135" s="271"/>
      <c r="MIV135" s="271"/>
      <c r="MIW135" s="271"/>
      <c r="MIX135" s="221"/>
      <c r="MIY135" s="221"/>
      <c r="MIZ135" s="221"/>
      <c r="MJA135" s="258"/>
      <c r="MJB135" s="270"/>
      <c r="MJC135" s="271"/>
      <c r="MJD135" s="271"/>
      <c r="MJE135" s="271"/>
      <c r="MJF135" s="221"/>
      <c r="MJG135" s="221"/>
      <c r="MJH135" s="221"/>
      <c r="MJI135" s="258"/>
      <c r="MJJ135" s="270"/>
      <c r="MJK135" s="271"/>
      <c r="MJL135" s="271"/>
      <c r="MJM135" s="271"/>
      <c r="MJN135" s="221"/>
      <c r="MJO135" s="221"/>
      <c r="MJP135" s="221"/>
      <c r="MJQ135" s="258"/>
      <c r="MJR135" s="270"/>
      <c r="MJS135" s="271"/>
      <c r="MJT135" s="271"/>
      <c r="MJU135" s="271"/>
      <c r="MJV135" s="221"/>
      <c r="MJW135" s="221"/>
      <c r="MJX135" s="221"/>
      <c r="MJY135" s="258"/>
      <c r="MJZ135" s="270"/>
      <c r="MKA135" s="271"/>
      <c r="MKB135" s="271"/>
      <c r="MKC135" s="271"/>
      <c r="MKD135" s="221"/>
      <c r="MKE135" s="221"/>
      <c r="MKF135" s="221"/>
      <c r="MKG135" s="258"/>
      <c r="MKH135" s="270"/>
      <c r="MKI135" s="271"/>
      <c r="MKJ135" s="271"/>
      <c r="MKK135" s="271"/>
      <c r="MKL135" s="221"/>
      <c r="MKM135" s="221"/>
      <c r="MKN135" s="221"/>
      <c r="MKO135" s="258"/>
      <c r="MKP135" s="270"/>
      <c r="MKQ135" s="271"/>
      <c r="MKR135" s="271"/>
      <c r="MKS135" s="271"/>
      <c r="MKT135" s="221"/>
      <c r="MKU135" s="221"/>
      <c r="MKV135" s="221"/>
      <c r="MKW135" s="258"/>
      <c r="MKX135" s="270"/>
      <c r="MKY135" s="271"/>
      <c r="MKZ135" s="271"/>
      <c r="MLA135" s="271"/>
      <c r="MLB135" s="221"/>
      <c r="MLC135" s="221"/>
      <c r="MLD135" s="221"/>
      <c r="MLE135" s="258"/>
      <c r="MLF135" s="270"/>
      <c r="MLG135" s="271"/>
      <c r="MLH135" s="271"/>
      <c r="MLI135" s="271"/>
      <c r="MLJ135" s="221"/>
      <c r="MLK135" s="221"/>
      <c r="MLL135" s="221"/>
      <c r="MLM135" s="258"/>
      <c r="MLN135" s="270"/>
      <c r="MLO135" s="271"/>
      <c r="MLP135" s="271"/>
      <c r="MLQ135" s="271"/>
      <c r="MLR135" s="221"/>
      <c r="MLS135" s="221"/>
      <c r="MLT135" s="221"/>
      <c r="MLU135" s="258"/>
      <c r="MLV135" s="270"/>
      <c r="MLW135" s="271"/>
      <c r="MLX135" s="271"/>
      <c r="MLY135" s="271"/>
      <c r="MLZ135" s="221"/>
      <c r="MMA135" s="221"/>
      <c r="MMB135" s="221"/>
      <c r="MMC135" s="258"/>
      <c r="MMD135" s="270"/>
      <c r="MME135" s="271"/>
      <c r="MMF135" s="271"/>
      <c r="MMG135" s="271"/>
      <c r="MMH135" s="221"/>
      <c r="MMI135" s="221"/>
      <c r="MMJ135" s="221"/>
      <c r="MMK135" s="258"/>
      <c r="MML135" s="270"/>
      <c r="MMM135" s="271"/>
      <c r="MMN135" s="271"/>
      <c r="MMO135" s="271"/>
      <c r="MMP135" s="221"/>
      <c r="MMQ135" s="221"/>
      <c r="MMR135" s="221"/>
      <c r="MMS135" s="258"/>
      <c r="MMT135" s="270"/>
      <c r="MMU135" s="271"/>
      <c r="MMV135" s="271"/>
      <c r="MMW135" s="271"/>
      <c r="MMX135" s="221"/>
      <c r="MMY135" s="221"/>
      <c r="MMZ135" s="221"/>
      <c r="MNA135" s="258"/>
      <c r="MNB135" s="270"/>
      <c r="MNC135" s="271"/>
      <c r="MND135" s="271"/>
      <c r="MNE135" s="271"/>
      <c r="MNF135" s="221"/>
      <c r="MNG135" s="221"/>
      <c r="MNH135" s="221"/>
      <c r="MNI135" s="258"/>
      <c r="MNJ135" s="270"/>
      <c r="MNK135" s="271"/>
      <c r="MNL135" s="271"/>
      <c r="MNM135" s="271"/>
      <c r="MNN135" s="221"/>
      <c r="MNO135" s="221"/>
      <c r="MNP135" s="221"/>
      <c r="MNQ135" s="258"/>
      <c r="MNR135" s="270"/>
      <c r="MNS135" s="271"/>
      <c r="MNT135" s="271"/>
      <c r="MNU135" s="271"/>
      <c r="MNV135" s="221"/>
      <c r="MNW135" s="221"/>
      <c r="MNX135" s="221"/>
      <c r="MNY135" s="258"/>
      <c r="MNZ135" s="270"/>
      <c r="MOA135" s="271"/>
      <c r="MOB135" s="271"/>
      <c r="MOC135" s="271"/>
      <c r="MOD135" s="221"/>
      <c r="MOE135" s="221"/>
      <c r="MOF135" s="221"/>
      <c r="MOG135" s="258"/>
      <c r="MOH135" s="270"/>
      <c r="MOI135" s="271"/>
      <c r="MOJ135" s="271"/>
      <c r="MOK135" s="271"/>
      <c r="MOL135" s="221"/>
      <c r="MOM135" s="221"/>
      <c r="MON135" s="221"/>
      <c r="MOO135" s="258"/>
      <c r="MOP135" s="270"/>
      <c r="MOQ135" s="271"/>
      <c r="MOR135" s="271"/>
      <c r="MOS135" s="271"/>
      <c r="MOT135" s="221"/>
      <c r="MOU135" s="221"/>
      <c r="MOV135" s="221"/>
      <c r="MOW135" s="258"/>
      <c r="MOX135" s="270"/>
      <c r="MOY135" s="271"/>
      <c r="MOZ135" s="271"/>
      <c r="MPA135" s="271"/>
      <c r="MPB135" s="221"/>
      <c r="MPC135" s="221"/>
      <c r="MPD135" s="221"/>
      <c r="MPE135" s="258"/>
      <c r="MPF135" s="270"/>
      <c r="MPG135" s="271"/>
      <c r="MPH135" s="271"/>
      <c r="MPI135" s="271"/>
      <c r="MPJ135" s="221"/>
      <c r="MPK135" s="221"/>
      <c r="MPL135" s="221"/>
      <c r="MPM135" s="258"/>
      <c r="MPN135" s="270"/>
      <c r="MPO135" s="271"/>
      <c r="MPP135" s="271"/>
      <c r="MPQ135" s="271"/>
      <c r="MPR135" s="221"/>
      <c r="MPS135" s="221"/>
      <c r="MPT135" s="221"/>
      <c r="MPU135" s="258"/>
      <c r="MPV135" s="270"/>
      <c r="MPW135" s="271"/>
      <c r="MPX135" s="271"/>
      <c r="MPY135" s="271"/>
      <c r="MPZ135" s="221"/>
      <c r="MQA135" s="221"/>
      <c r="MQB135" s="221"/>
      <c r="MQC135" s="258"/>
      <c r="MQD135" s="270"/>
      <c r="MQE135" s="271"/>
      <c r="MQF135" s="271"/>
      <c r="MQG135" s="271"/>
      <c r="MQH135" s="221"/>
      <c r="MQI135" s="221"/>
      <c r="MQJ135" s="221"/>
      <c r="MQK135" s="258"/>
      <c r="MQL135" s="270"/>
      <c r="MQM135" s="271"/>
      <c r="MQN135" s="271"/>
      <c r="MQO135" s="271"/>
      <c r="MQP135" s="221"/>
      <c r="MQQ135" s="221"/>
      <c r="MQR135" s="221"/>
      <c r="MQS135" s="258"/>
      <c r="MQT135" s="270"/>
      <c r="MQU135" s="271"/>
      <c r="MQV135" s="271"/>
      <c r="MQW135" s="271"/>
      <c r="MQX135" s="221"/>
      <c r="MQY135" s="221"/>
      <c r="MQZ135" s="221"/>
      <c r="MRA135" s="258"/>
      <c r="MRB135" s="270"/>
      <c r="MRC135" s="271"/>
      <c r="MRD135" s="271"/>
      <c r="MRE135" s="271"/>
      <c r="MRF135" s="221"/>
      <c r="MRG135" s="221"/>
      <c r="MRH135" s="221"/>
      <c r="MRI135" s="258"/>
      <c r="MRJ135" s="270"/>
      <c r="MRK135" s="271"/>
      <c r="MRL135" s="271"/>
      <c r="MRM135" s="271"/>
      <c r="MRN135" s="221"/>
      <c r="MRO135" s="221"/>
      <c r="MRP135" s="221"/>
      <c r="MRQ135" s="258"/>
      <c r="MRR135" s="270"/>
      <c r="MRS135" s="271"/>
      <c r="MRT135" s="271"/>
      <c r="MRU135" s="271"/>
      <c r="MRV135" s="221"/>
      <c r="MRW135" s="221"/>
      <c r="MRX135" s="221"/>
      <c r="MRY135" s="258"/>
      <c r="MRZ135" s="270"/>
      <c r="MSA135" s="271"/>
      <c r="MSB135" s="271"/>
      <c r="MSC135" s="271"/>
      <c r="MSD135" s="221"/>
      <c r="MSE135" s="221"/>
      <c r="MSF135" s="221"/>
      <c r="MSG135" s="258"/>
      <c r="MSH135" s="270"/>
      <c r="MSI135" s="271"/>
      <c r="MSJ135" s="271"/>
      <c r="MSK135" s="271"/>
      <c r="MSL135" s="221"/>
      <c r="MSM135" s="221"/>
      <c r="MSN135" s="221"/>
      <c r="MSO135" s="258"/>
      <c r="MSP135" s="270"/>
      <c r="MSQ135" s="271"/>
      <c r="MSR135" s="271"/>
      <c r="MSS135" s="271"/>
      <c r="MST135" s="221"/>
      <c r="MSU135" s="221"/>
      <c r="MSV135" s="221"/>
      <c r="MSW135" s="258"/>
      <c r="MSX135" s="270"/>
      <c r="MSY135" s="271"/>
      <c r="MSZ135" s="271"/>
      <c r="MTA135" s="271"/>
      <c r="MTB135" s="221"/>
      <c r="MTC135" s="221"/>
      <c r="MTD135" s="221"/>
      <c r="MTE135" s="258"/>
      <c r="MTF135" s="270"/>
      <c r="MTG135" s="271"/>
      <c r="MTH135" s="271"/>
      <c r="MTI135" s="271"/>
      <c r="MTJ135" s="221"/>
      <c r="MTK135" s="221"/>
      <c r="MTL135" s="221"/>
      <c r="MTM135" s="258"/>
      <c r="MTN135" s="270"/>
      <c r="MTO135" s="271"/>
      <c r="MTP135" s="271"/>
      <c r="MTQ135" s="271"/>
      <c r="MTR135" s="221"/>
      <c r="MTS135" s="221"/>
      <c r="MTT135" s="221"/>
      <c r="MTU135" s="258"/>
      <c r="MTV135" s="270"/>
      <c r="MTW135" s="271"/>
      <c r="MTX135" s="271"/>
      <c r="MTY135" s="271"/>
      <c r="MTZ135" s="221"/>
      <c r="MUA135" s="221"/>
      <c r="MUB135" s="221"/>
      <c r="MUC135" s="258"/>
      <c r="MUD135" s="270"/>
      <c r="MUE135" s="271"/>
      <c r="MUF135" s="271"/>
      <c r="MUG135" s="271"/>
      <c r="MUH135" s="221"/>
      <c r="MUI135" s="221"/>
      <c r="MUJ135" s="221"/>
      <c r="MUK135" s="258"/>
      <c r="MUL135" s="270"/>
      <c r="MUM135" s="271"/>
      <c r="MUN135" s="271"/>
      <c r="MUO135" s="271"/>
      <c r="MUP135" s="221"/>
      <c r="MUQ135" s="221"/>
      <c r="MUR135" s="221"/>
      <c r="MUS135" s="258"/>
      <c r="MUT135" s="270"/>
      <c r="MUU135" s="271"/>
      <c r="MUV135" s="271"/>
      <c r="MUW135" s="271"/>
      <c r="MUX135" s="221"/>
      <c r="MUY135" s="221"/>
      <c r="MUZ135" s="221"/>
      <c r="MVA135" s="258"/>
      <c r="MVB135" s="270"/>
      <c r="MVC135" s="271"/>
      <c r="MVD135" s="271"/>
      <c r="MVE135" s="271"/>
      <c r="MVF135" s="221"/>
      <c r="MVG135" s="221"/>
      <c r="MVH135" s="221"/>
      <c r="MVI135" s="258"/>
      <c r="MVJ135" s="270"/>
      <c r="MVK135" s="271"/>
      <c r="MVL135" s="271"/>
      <c r="MVM135" s="271"/>
      <c r="MVN135" s="221"/>
      <c r="MVO135" s="221"/>
      <c r="MVP135" s="221"/>
      <c r="MVQ135" s="258"/>
      <c r="MVR135" s="270"/>
      <c r="MVS135" s="271"/>
      <c r="MVT135" s="271"/>
      <c r="MVU135" s="271"/>
      <c r="MVV135" s="221"/>
      <c r="MVW135" s="221"/>
      <c r="MVX135" s="221"/>
      <c r="MVY135" s="258"/>
      <c r="MVZ135" s="270"/>
      <c r="MWA135" s="271"/>
      <c r="MWB135" s="271"/>
      <c r="MWC135" s="271"/>
      <c r="MWD135" s="221"/>
      <c r="MWE135" s="221"/>
      <c r="MWF135" s="221"/>
      <c r="MWG135" s="258"/>
      <c r="MWH135" s="270"/>
      <c r="MWI135" s="271"/>
      <c r="MWJ135" s="271"/>
      <c r="MWK135" s="271"/>
      <c r="MWL135" s="221"/>
      <c r="MWM135" s="221"/>
      <c r="MWN135" s="221"/>
      <c r="MWO135" s="258"/>
      <c r="MWP135" s="270"/>
      <c r="MWQ135" s="271"/>
      <c r="MWR135" s="271"/>
      <c r="MWS135" s="271"/>
      <c r="MWT135" s="221"/>
      <c r="MWU135" s="221"/>
      <c r="MWV135" s="221"/>
      <c r="MWW135" s="258"/>
      <c r="MWX135" s="270"/>
      <c r="MWY135" s="271"/>
      <c r="MWZ135" s="271"/>
      <c r="MXA135" s="271"/>
      <c r="MXB135" s="221"/>
      <c r="MXC135" s="221"/>
      <c r="MXD135" s="221"/>
      <c r="MXE135" s="258"/>
      <c r="MXF135" s="270"/>
      <c r="MXG135" s="271"/>
      <c r="MXH135" s="271"/>
      <c r="MXI135" s="271"/>
      <c r="MXJ135" s="221"/>
      <c r="MXK135" s="221"/>
      <c r="MXL135" s="221"/>
      <c r="MXM135" s="258"/>
      <c r="MXN135" s="270"/>
      <c r="MXO135" s="271"/>
      <c r="MXP135" s="271"/>
      <c r="MXQ135" s="271"/>
      <c r="MXR135" s="221"/>
      <c r="MXS135" s="221"/>
      <c r="MXT135" s="221"/>
      <c r="MXU135" s="258"/>
      <c r="MXV135" s="270"/>
      <c r="MXW135" s="271"/>
      <c r="MXX135" s="271"/>
      <c r="MXY135" s="271"/>
      <c r="MXZ135" s="221"/>
      <c r="MYA135" s="221"/>
      <c r="MYB135" s="221"/>
      <c r="MYC135" s="258"/>
      <c r="MYD135" s="270"/>
      <c r="MYE135" s="271"/>
      <c r="MYF135" s="271"/>
      <c r="MYG135" s="271"/>
      <c r="MYH135" s="221"/>
      <c r="MYI135" s="221"/>
      <c r="MYJ135" s="221"/>
      <c r="MYK135" s="258"/>
      <c r="MYL135" s="270"/>
      <c r="MYM135" s="271"/>
      <c r="MYN135" s="271"/>
      <c r="MYO135" s="271"/>
      <c r="MYP135" s="221"/>
      <c r="MYQ135" s="221"/>
      <c r="MYR135" s="221"/>
      <c r="MYS135" s="258"/>
      <c r="MYT135" s="270"/>
      <c r="MYU135" s="271"/>
      <c r="MYV135" s="271"/>
      <c r="MYW135" s="271"/>
      <c r="MYX135" s="221"/>
      <c r="MYY135" s="221"/>
      <c r="MYZ135" s="221"/>
      <c r="MZA135" s="258"/>
      <c r="MZB135" s="270"/>
      <c r="MZC135" s="271"/>
      <c r="MZD135" s="271"/>
      <c r="MZE135" s="271"/>
      <c r="MZF135" s="221"/>
      <c r="MZG135" s="221"/>
      <c r="MZH135" s="221"/>
      <c r="MZI135" s="258"/>
      <c r="MZJ135" s="270"/>
      <c r="MZK135" s="271"/>
      <c r="MZL135" s="271"/>
      <c r="MZM135" s="271"/>
      <c r="MZN135" s="221"/>
      <c r="MZO135" s="221"/>
      <c r="MZP135" s="221"/>
      <c r="MZQ135" s="258"/>
      <c r="MZR135" s="270"/>
      <c r="MZS135" s="271"/>
      <c r="MZT135" s="271"/>
      <c r="MZU135" s="271"/>
      <c r="MZV135" s="221"/>
      <c r="MZW135" s="221"/>
      <c r="MZX135" s="221"/>
      <c r="MZY135" s="258"/>
      <c r="MZZ135" s="270"/>
      <c r="NAA135" s="271"/>
      <c r="NAB135" s="271"/>
      <c r="NAC135" s="271"/>
      <c r="NAD135" s="221"/>
      <c r="NAE135" s="221"/>
      <c r="NAF135" s="221"/>
      <c r="NAG135" s="258"/>
      <c r="NAH135" s="270"/>
      <c r="NAI135" s="271"/>
      <c r="NAJ135" s="271"/>
      <c r="NAK135" s="271"/>
      <c r="NAL135" s="221"/>
      <c r="NAM135" s="221"/>
      <c r="NAN135" s="221"/>
      <c r="NAO135" s="258"/>
      <c r="NAP135" s="270"/>
      <c r="NAQ135" s="271"/>
      <c r="NAR135" s="271"/>
      <c r="NAS135" s="271"/>
      <c r="NAT135" s="221"/>
      <c r="NAU135" s="221"/>
      <c r="NAV135" s="221"/>
      <c r="NAW135" s="258"/>
      <c r="NAX135" s="270"/>
      <c r="NAY135" s="271"/>
      <c r="NAZ135" s="271"/>
      <c r="NBA135" s="271"/>
      <c r="NBB135" s="221"/>
      <c r="NBC135" s="221"/>
      <c r="NBD135" s="221"/>
      <c r="NBE135" s="258"/>
      <c r="NBF135" s="270"/>
      <c r="NBG135" s="271"/>
      <c r="NBH135" s="271"/>
      <c r="NBI135" s="271"/>
      <c r="NBJ135" s="221"/>
      <c r="NBK135" s="221"/>
      <c r="NBL135" s="221"/>
      <c r="NBM135" s="258"/>
      <c r="NBN135" s="270"/>
      <c r="NBO135" s="271"/>
      <c r="NBP135" s="271"/>
      <c r="NBQ135" s="271"/>
      <c r="NBR135" s="221"/>
      <c r="NBS135" s="221"/>
      <c r="NBT135" s="221"/>
      <c r="NBU135" s="258"/>
      <c r="NBV135" s="270"/>
      <c r="NBW135" s="271"/>
      <c r="NBX135" s="271"/>
      <c r="NBY135" s="271"/>
      <c r="NBZ135" s="221"/>
      <c r="NCA135" s="221"/>
      <c r="NCB135" s="221"/>
      <c r="NCC135" s="258"/>
      <c r="NCD135" s="270"/>
      <c r="NCE135" s="271"/>
      <c r="NCF135" s="271"/>
      <c r="NCG135" s="271"/>
      <c r="NCH135" s="221"/>
      <c r="NCI135" s="221"/>
      <c r="NCJ135" s="221"/>
      <c r="NCK135" s="258"/>
      <c r="NCL135" s="270"/>
      <c r="NCM135" s="271"/>
      <c r="NCN135" s="271"/>
      <c r="NCO135" s="271"/>
      <c r="NCP135" s="221"/>
      <c r="NCQ135" s="221"/>
      <c r="NCR135" s="221"/>
      <c r="NCS135" s="258"/>
      <c r="NCT135" s="270"/>
      <c r="NCU135" s="271"/>
      <c r="NCV135" s="271"/>
      <c r="NCW135" s="271"/>
      <c r="NCX135" s="221"/>
      <c r="NCY135" s="221"/>
      <c r="NCZ135" s="221"/>
      <c r="NDA135" s="258"/>
      <c r="NDB135" s="270"/>
      <c r="NDC135" s="271"/>
      <c r="NDD135" s="271"/>
      <c r="NDE135" s="271"/>
      <c r="NDF135" s="221"/>
      <c r="NDG135" s="221"/>
      <c r="NDH135" s="221"/>
      <c r="NDI135" s="258"/>
      <c r="NDJ135" s="270"/>
      <c r="NDK135" s="271"/>
      <c r="NDL135" s="271"/>
      <c r="NDM135" s="271"/>
      <c r="NDN135" s="221"/>
      <c r="NDO135" s="221"/>
      <c r="NDP135" s="221"/>
      <c r="NDQ135" s="258"/>
      <c r="NDR135" s="270"/>
      <c r="NDS135" s="271"/>
      <c r="NDT135" s="271"/>
      <c r="NDU135" s="271"/>
      <c r="NDV135" s="221"/>
      <c r="NDW135" s="221"/>
      <c r="NDX135" s="221"/>
      <c r="NDY135" s="258"/>
      <c r="NDZ135" s="270"/>
      <c r="NEA135" s="271"/>
      <c r="NEB135" s="271"/>
      <c r="NEC135" s="271"/>
      <c r="NED135" s="221"/>
      <c r="NEE135" s="221"/>
      <c r="NEF135" s="221"/>
      <c r="NEG135" s="258"/>
      <c r="NEH135" s="270"/>
      <c r="NEI135" s="271"/>
      <c r="NEJ135" s="271"/>
      <c r="NEK135" s="271"/>
      <c r="NEL135" s="221"/>
      <c r="NEM135" s="221"/>
      <c r="NEN135" s="221"/>
      <c r="NEO135" s="258"/>
      <c r="NEP135" s="270"/>
      <c r="NEQ135" s="271"/>
      <c r="NER135" s="271"/>
      <c r="NES135" s="271"/>
      <c r="NET135" s="221"/>
      <c r="NEU135" s="221"/>
      <c r="NEV135" s="221"/>
      <c r="NEW135" s="258"/>
      <c r="NEX135" s="270"/>
      <c r="NEY135" s="271"/>
      <c r="NEZ135" s="271"/>
      <c r="NFA135" s="271"/>
      <c r="NFB135" s="221"/>
      <c r="NFC135" s="221"/>
      <c r="NFD135" s="221"/>
      <c r="NFE135" s="258"/>
      <c r="NFF135" s="270"/>
      <c r="NFG135" s="271"/>
      <c r="NFH135" s="271"/>
      <c r="NFI135" s="271"/>
      <c r="NFJ135" s="221"/>
      <c r="NFK135" s="221"/>
      <c r="NFL135" s="221"/>
      <c r="NFM135" s="258"/>
      <c r="NFN135" s="270"/>
      <c r="NFO135" s="271"/>
      <c r="NFP135" s="271"/>
      <c r="NFQ135" s="271"/>
      <c r="NFR135" s="221"/>
      <c r="NFS135" s="221"/>
      <c r="NFT135" s="221"/>
      <c r="NFU135" s="258"/>
      <c r="NFV135" s="270"/>
      <c r="NFW135" s="271"/>
      <c r="NFX135" s="271"/>
      <c r="NFY135" s="271"/>
      <c r="NFZ135" s="221"/>
      <c r="NGA135" s="221"/>
      <c r="NGB135" s="221"/>
      <c r="NGC135" s="258"/>
      <c r="NGD135" s="270"/>
      <c r="NGE135" s="271"/>
      <c r="NGF135" s="271"/>
      <c r="NGG135" s="271"/>
      <c r="NGH135" s="221"/>
      <c r="NGI135" s="221"/>
      <c r="NGJ135" s="221"/>
      <c r="NGK135" s="258"/>
      <c r="NGL135" s="270"/>
      <c r="NGM135" s="271"/>
      <c r="NGN135" s="271"/>
      <c r="NGO135" s="271"/>
      <c r="NGP135" s="221"/>
      <c r="NGQ135" s="221"/>
      <c r="NGR135" s="221"/>
      <c r="NGS135" s="258"/>
      <c r="NGT135" s="270"/>
      <c r="NGU135" s="271"/>
      <c r="NGV135" s="271"/>
      <c r="NGW135" s="271"/>
      <c r="NGX135" s="221"/>
      <c r="NGY135" s="221"/>
      <c r="NGZ135" s="221"/>
      <c r="NHA135" s="258"/>
      <c r="NHB135" s="270"/>
      <c r="NHC135" s="271"/>
      <c r="NHD135" s="271"/>
      <c r="NHE135" s="271"/>
      <c r="NHF135" s="221"/>
      <c r="NHG135" s="221"/>
      <c r="NHH135" s="221"/>
      <c r="NHI135" s="258"/>
      <c r="NHJ135" s="270"/>
      <c r="NHK135" s="271"/>
      <c r="NHL135" s="271"/>
      <c r="NHM135" s="271"/>
      <c r="NHN135" s="221"/>
      <c r="NHO135" s="221"/>
      <c r="NHP135" s="221"/>
      <c r="NHQ135" s="258"/>
      <c r="NHR135" s="270"/>
      <c r="NHS135" s="271"/>
      <c r="NHT135" s="271"/>
      <c r="NHU135" s="271"/>
      <c r="NHV135" s="221"/>
      <c r="NHW135" s="221"/>
      <c r="NHX135" s="221"/>
      <c r="NHY135" s="258"/>
      <c r="NHZ135" s="270"/>
      <c r="NIA135" s="271"/>
      <c r="NIB135" s="271"/>
      <c r="NIC135" s="271"/>
      <c r="NID135" s="221"/>
      <c r="NIE135" s="221"/>
      <c r="NIF135" s="221"/>
      <c r="NIG135" s="258"/>
      <c r="NIH135" s="270"/>
      <c r="NII135" s="271"/>
      <c r="NIJ135" s="271"/>
      <c r="NIK135" s="271"/>
      <c r="NIL135" s="221"/>
      <c r="NIM135" s="221"/>
      <c r="NIN135" s="221"/>
      <c r="NIO135" s="258"/>
      <c r="NIP135" s="270"/>
      <c r="NIQ135" s="271"/>
      <c r="NIR135" s="271"/>
      <c r="NIS135" s="271"/>
      <c r="NIT135" s="221"/>
      <c r="NIU135" s="221"/>
      <c r="NIV135" s="221"/>
      <c r="NIW135" s="258"/>
      <c r="NIX135" s="270"/>
      <c r="NIY135" s="271"/>
      <c r="NIZ135" s="271"/>
      <c r="NJA135" s="271"/>
      <c r="NJB135" s="221"/>
      <c r="NJC135" s="221"/>
      <c r="NJD135" s="221"/>
      <c r="NJE135" s="258"/>
      <c r="NJF135" s="270"/>
      <c r="NJG135" s="271"/>
      <c r="NJH135" s="271"/>
      <c r="NJI135" s="271"/>
      <c r="NJJ135" s="221"/>
      <c r="NJK135" s="221"/>
      <c r="NJL135" s="221"/>
      <c r="NJM135" s="258"/>
      <c r="NJN135" s="270"/>
      <c r="NJO135" s="271"/>
      <c r="NJP135" s="271"/>
      <c r="NJQ135" s="271"/>
      <c r="NJR135" s="221"/>
      <c r="NJS135" s="221"/>
      <c r="NJT135" s="221"/>
      <c r="NJU135" s="258"/>
      <c r="NJV135" s="270"/>
      <c r="NJW135" s="271"/>
      <c r="NJX135" s="271"/>
      <c r="NJY135" s="271"/>
      <c r="NJZ135" s="221"/>
      <c r="NKA135" s="221"/>
      <c r="NKB135" s="221"/>
      <c r="NKC135" s="258"/>
      <c r="NKD135" s="270"/>
      <c r="NKE135" s="271"/>
      <c r="NKF135" s="271"/>
      <c r="NKG135" s="271"/>
      <c r="NKH135" s="221"/>
      <c r="NKI135" s="221"/>
      <c r="NKJ135" s="221"/>
      <c r="NKK135" s="258"/>
      <c r="NKL135" s="270"/>
      <c r="NKM135" s="271"/>
      <c r="NKN135" s="271"/>
      <c r="NKO135" s="271"/>
      <c r="NKP135" s="221"/>
      <c r="NKQ135" s="221"/>
      <c r="NKR135" s="221"/>
      <c r="NKS135" s="258"/>
      <c r="NKT135" s="270"/>
      <c r="NKU135" s="271"/>
      <c r="NKV135" s="271"/>
      <c r="NKW135" s="271"/>
      <c r="NKX135" s="221"/>
      <c r="NKY135" s="221"/>
      <c r="NKZ135" s="221"/>
      <c r="NLA135" s="258"/>
      <c r="NLB135" s="270"/>
      <c r="NLC135" s="271"/>
      <c r="NLD135" s="271"/>
      <c r="NLE135" s="271"/>
      <c r="NLF135" s="221"/>
      <c r="NLG135" s="221"/>
      <c r="NLH135" s="221"/>
      <c r="NLI135" s="258"/>
      <c r="NLJ135" s="270"/>
      <c r="NLK135" s="271"/>
      <c r="NLL135" s="271"/>
      <c r="NLM135" s="271"/>
      <c r="NLN135" s="221"/>
      <c r="NLO135" s="221"/>
      <c r="NLP135" s="221"/>
      <c r="NLQ135" s="258"/>
      <c r="NLR135" s="270"/>
      <c r="NLS135" s="271"/>
      <c r="NLT135" s="271"/>
      <c r="NLU135" s="271"/>
      <c r="NLV135" s="221"/>
      <c r="NLW135" s="221"/>
      <c r="NLX135" s="221"/>
      <c r="NLY135" s="258"/>
      <c r="NLZ135" s="270"/>
      <c r="NMA135" s="271"/>
      <c r="NMB135" s="271"/>
      <c r="NMC135" s="271"/>
      <c r="NMD135" s="221"/>
      <c r="NME135" s="221"/>
      <c r="NMF135" s="221"/>
      <c r="NMG135" s="258"/>
      <c r="NMH135" s="270"/>
      <c r="NMI135" s="271"/>
      <c r="NMJ135" s="271"/>
      <c r="NMK135" s="271"/>
      <c r="NML135" s="221"/>
      <c r="NMM135" s="221"/>
      <c r="NMN135" s="221"/>
      <c r="NMO135" s="258"/>
      <c r="NMP135" s="270"/>
      <c r="NMQ135" s="271"/>
      <c r="NMR135" s="271"/>
      <c r="NMS135" s="271"/>
      <c r="NMT135" s="221"/>
      <c r="NMU135" s="221"/>
      <c r="NMV135" s="221"/>
      <c r="NMW135" s="258"/>
      <c r="NMX135" s="270"/>
      <c r="NMY135" s="271"/>
      <c r="NMZ135" s="271"/>
      <c r="NNA135" s="271"/>
      <c r="NNB135" s="221"/>
      <c r="NNC135" s="221"/>
      <c r="NND135" s="221"/>
      <c r="NNE135" s="258"/>
      <c r="NNF135" s="270"/>
      <c r="NNG135" s="271"/>
      <c r="NNH135" s="271"/>
      <c r="NNI135" s="271"/>
      <c r="NNJ135" s="221"/>
      <c r="NNK135" s="221"/>
      <c r="NNL135" s="221"/>
      <c r="NNM135" s="258"/>
      <c r="NNN135" s="270"/>
      <c r="NNO135" s="271"/>
      <c r="NNP135" s="271"/>
      <c r="NNQ135" s="271"/>
      <c r="NNR135" s="221"/>
      <c r="NNS135" s="221"/>
      <c r="NNT135" s="221"/>
      <c r="NNU135" s="258"/>
      <c r="NNV135" s="270"/>
      <c r="NNW135" s="271"/>
      <c r="NNX135" s="271"/>
      <c r="NNY135" s="271"/>
      <c r="NNZ135" s="221"/>
      <c r="NOA135" s="221"/>
      <c r="NOB135" s="221"/>
      <c r="NOC135" s="258"/>
      <c r="NOD135" s="270"/>
      <c r="NOE135" s="271"/>
      <c r="NOF135" s="271"/>
      <c r="NOG135" s="271"/>
      <c r="NOH135" s="221"/>
      <c r="NOI135" s="221"/>
      <c r="NOJ135" s="221"/>
      <c r="NOK135" s="258"/>
      <c r="NOL135" s="270"/>
      <c r="NOM135" s="271"/>
      <c r="NON135" s="271"/>
      <c r="NOO135" s="271"/>
      <c r="NOP135" s="221"/>
      <c r="NOQ135" s="221"/>
      <c r="NOR135" s="221"/>
      <c r="NOS135" s="258"/>
      <c r="NOT135" s="270"/>
      <c r="NOU135" s="271"/>
      <c r="NOV135" s="271"/>
      <c r="NOW135" s="271"/>
      <c r="NOX135" s="221"/>
      <c r="NOY135" s="221"/>
      <c r="NOZ135" s="221"/>
      <c r="NPA135" s="258"/>
      <c r="NPB135" s="270"/>
      <c r="NPC135" s="271"/>
      <c r="NPD135" s="271"/>
      <c r="NPE135" s="271"/>
      <c r="NPF135" s="221"/>
      <c r="NPG135" s="221"/>
      <c r="NPH135" s="221"/>
      <c r="NPI135" s="258"/>
      <c r="NPJ135" s="270"/>
      <c r="NPK135" s="271"/>
      <c r="NPL135" s="271"/>
      <c r="NPM135" s="271"/>
      <c r="NPN135" s="221"/>
      <c r="NPO135" s="221"/>
      <c r="NPP135" s="221"/>
      <c r="NPQ135" s="258"/>
      <c r="NPR135" s="270"/>
      <c r="NPS135" s="271"/>
      <c r="NPT135" s="271"/>
      <c r="NPU135" s="271"/>
      <c r="NPV135" s="221"/>
      <c r="NPW135" s="221"/>
      <c r="NPX135" s="221"/>
      <c r="NPY135" s="258"/>
      <c r="NPZ135" s="270"/>
      <c r="NQA135" s="271"/>
      <c r="NQB135" s="271"/>
      <c r="NQC135" s="271"/>
      <c r="NQD135" s="221"/>
      <c r="NQE135" s="221"/>
      <c r="NQF135" s="221"/>
      <c r="NQG135" s="258"/>
      <c r="NQH135" s="270"/>
      <c r="NQI135" s="271"/>
      <c r="NQJ135" s="271"/>
      <c r="NQK135" s="271"/>
      <c r="NQL135" s="221"/>
      <c r="NQM135" s="221"/>
      <c r="NQN135" s="221"/>
      <c r="NQO135" s="258"/>
      <c r="NQP135" s="270"/>
      <c r="NQQ135" s="271"/>
      <c r="NQR135" s="271"/>
      <c r="NQS135" s="271"/>
      <c r="NQT135" s="221"/>
      <c r="NQU135" s="221"/>
      <c r="NQV135" s="221"/>
      <c r="NQW135" s="258"/>
      <c r="NQX135" s="270"/>
      <c r="NQY135" s="271"/>
      <c r="NQZ135" s="271"/>
      <c r="NRA135" s="271"/>
      <c r="NRB135" s="221"/>
      <c r="NRC135" s="221"/>
      <c r="NRD135" s="221"/>
      <c r="NRE135" s="258"/>
      <c r="NRF135" s="270"/>
      <c r="NRG135" s="271"/>
      <c r="NRH135" s="271"/>
      <c r="NRI135" s="271"/>
      <c r="NRJ135" s="221"/>
      <c r="NRK135" s="221"/>
      <c r="NRL135" s="221"/>
      <c r="NRM135" s="258"/>
      <c r="NRN135" s="270"/>
      <c r="NRO135" s="271"/>
      <c r="NRP135" s="271"/>
      <c r="NRQ135" s="271"/>
      <c r="NRR135" s="221"/>
      <c r="NRS135" s="221"/>
      <c r="NRT135" s="221"/>
      <c r="NRU135" s="258"/>
      <c r="NRV135" s="270"/>
      <c r="NRW135" s="271"/>
      <c r="NRX135" s="271"/>
      <c r="NRY135" s="271"/>
      <c r="NRZ135" s="221"/>
      <c r="NSA135" s="221"/>
      <c r="NSB135" s="221"/>
      <c r="NSC135" s="258"/>
      <c r="NSD135" s="270"/>
      <c r="NSE135" s="271"/>
      <c r="NSF135" s="271"/>
      <c r="NSG135" s="271"/>
      <c r="NSH135" s="221"/>
      <c r="NSI135" s="221"/>
      <c r="NSJ135" s="221"/>
      <c r="NSK135" s="258"/>
      <c r="NSL135" s="270"/>
      <c r="NSM135" s="271"/>
      <c r="NSN135" s="271"/>
      <c r="NSO135" s="271"/>
      <c r="NSP135" s="221"/>
      <c r="NSQ135" s="221"/>
      <c r="NSR135" s="221"/>
      <c r="NSS135" s="258"/>
      <c r="NST135" s="270"/>
      <c r="NSU135" s="271"/>
      <c r="NSV135" s="271"/>
      <c r="NSW135" s="271"/>
      <c r="NSX135" s="221"/>
      <c r="NSY135" s="221"/>
      <c r="NSZ135" s="221"/>
      <c r="NTA135" s="258"/>
      <c r="NTB135" s="270"/>
      <c r="NTC135" s="271"/>
      <c r="NTD135" s="271"/>
      <c r="NTE135" s="271"/>
      <c r="NTF135" s="221"/>
      <c r="NTG135" s="221"/>
      <c r="NTH135" s="221"/>
      <c r="NTI135" s="258"/>
      <c r="NTJ135" s="270"/>
      <c r="NTK135" s="271"/>
      <c r="NTL135" s="271"/>
      <c r="NTM135" s="271"/>
      <c r="NTN135" s="221"/>
      <c r="NTO135" s="221"/>
      <c r="NTP135" s="221"/>
      <c r="NTQ135" s="258"/>
      <c r="NTR135" s="270"/>
      <c r="NTS135" s="271"/>
      <c r="NTT135" s="271"/>
      <c r="NTU135" s="271"/>
      <c r="NTV135" s="221"/>
      <c r="NTW135" s="221"/>
      <c r="NTX135" s="221"/>
      <c r="NTY135" s="258"/>
      <c r="NTZ135" s="270"/>
      <c r="NUA135" s="271"/>
      <c r="NUB135" s="271"/>
      <c r="NUC135" s="271"/>
      <c r="NUD135" s="221"/>
      <c r="NUE135" s="221"/>
      <c r="NUF135" s="221"/>
      <c r="NUG135" s="258"/>
      <c r="NUH135" s="270"/>
      <c r="NUI135" s="271"/>
      <c r="NUJ135" s="271"/>
      <c r="NUK135" s="271"/>
      <c r="NUL135" s="221"/>
      <c r="NUM135" s="221"/>
      <c r="NUN135" s="221"/>
      <c r="NUO135" s="258"/>
      <c r="NUP135" s="270"/>
      <c r="NUQ135" s="271"/>
      <c r="NUR135" s="271"/>
      <c r="NUS135" s="271"/>
      <c r="NUT135" s="221"/>
      <c r="NUU135" s="221"/>
      <c r="NUV135" s="221"/>
      <c r="NUW135" s="258"/>
      <c r="NUX135" s="270"/>
      <c r="NUY135" s="271"/>
      <c r="NUZ135" s="271"/>
      <c r="NVA135" s="271"/>
      <c r="NVB135" s="221"/>
      <c r="NVC135" s="221"/>
      <c r="NVD135" s="221"/>
      <c r="NVE135" s="258"/>
      <c r="NVF135" s="270"/>
      <c r="NVG135" s="271"/>
      <c r="NVH135" s="271"/>
      <c r="NVI135" s="271"/>
      <c r="NVJ135" s="221"/>
      <c r="NVK135" s="221"/>
      <c r="NVL135" s="221"/>
      <c r="NVM135" s="258"/>
      <c r="NVN135" s="270"/>
      <c r="NVO135" s="271"/>
      <c r="NVP135" s="271"/>
      <c r="NVQ135" s="271"/>
      <c r="NVR135" s="221"/>
      <c r="NVS135" s="221"/>
      <c r="NVT135" s="221"/>
      <c r="NVU135" s="258"/>
      <c r="NVV135" s="270"/>
      <c r="NVW135" s="271"/>
      <c r="NVX135" s="271"/>
      <c r="NVY135" s="271"/>
      <c r="NVZ135" s="221"/>
      <c r="NWA135" s="221"/>
      <c r="NWB135" s="221"/>
      <c r="NWC135" s="258"/>
      <c r="NWD135" s="270"/>
      <c r="NWE135" s="271"/>
      <c r="NWF135" s="271"/>
      <c r="NWG135" s="271"/>
      <c r="NWH135" s="221"/>
      <c r="NWI135" s="221"/>
      <c r="NWJ135" s="221"/>
      <c r="NWK135" s="258"/>
      <c r="NWL135" s="270"/>
      <c r="NWM135" s="271"/>
      <c r="NWN135" s="271"/>
      <c r="NWO135" s="271"/>
      <c r="NWP135" s="221"/>
      <c r="NWQ135" s="221"/>
      <c r="NWR135" s="221"/>
      <c r="NWS135" s="258"/>
      <c r="NWT135" s="270"/>
      <c r="NWU135" s="271"/>
      <c r="NWV135" s="271"/>
      <c r="NWW135" s="271"/>
      <c r="NWX135" s="221"/>
      <c r="NWY135" s="221"/>
      <c r="NWZ135" s="221"/>
      <c r="NXA135" s="258"/>
      <c r="NXB135" s="270"/>
      <c r="NXC135" s="271"/>
      <c r="NXD135" s="271"/>
      <c r="NXE135" s="271"/>
      <c r="NXF135" s="221"/>
      <c r="NXG135" s="221"/>
      <c r="NXH135" s="221"/>
      <c r="NXI135" s="258"/>
      <c r="NXJ135" s="270"/>
      <c r="NXK135" s="271"/>
      <c r="NXL135" s="271"/>
      <c r="NXM135" s="271"/>
      <c r="NXN135" s="221"/>
      <c r="NXO135" s="221"/>
      <c r="NXP135" s="221"/>
      <c r="NXQ135" s="258"/>
      <c r="NXR135" s="270"/>
      <c r="NXS135" s="271"/>
      <c r="NXT135" s="271"/>
      <c r="NXU135" s="271"/>
      <c r="NXV135" s="221"/>
      <c r="NXW135" s="221"/>
      <c r="NXX135" s="221"/>
      <c r="NXY135" s="258"/>
      <c r="NXZ135" s="270"/>
      <c r="NYA135" s="271"/>
      <c r="NYB135" s="271"/>
      <c r="NYC135" s="271"/>
      <c r="NYD135" s="221"/>
      <c r="NYE135" s="221"/>
      <c r="NYF135" s="221"/>
      <c r="NYG135" s="258"/>
      <c r="NYH135" s="270"/>
      <c r="NYI135" s="271"/>
      <c r="NYJ135" s="271"/>
      <c r="NYK135" s="271"/>
      <c r="NYL135" s="221"/>
      <c r="NYM135" s="221"/>
      <c r="NYN135" s="221"/>
      <c r="NYO135" s="258"/>
      <c r="NYP135" s="270"/>
      <c r="NYQ135" s="271"/>
      <c r="NYR135" s="271"/>
      <c r="NYS135" s="271"/>
      <c r="NYT135" s="221"/>
      <c r="NYU135" s="221"/>
      <c r="NYV135" s="221"/>
      <c r="NYW135" s="258"/>
      <c r="NYX135" s="270"/>
      <c r="NYY135" s="271"/>
      <c r="NYZ135" s="271"/>
      <c r="NZA135" s="271"/>
      <c r="NZB135" s="221"/>
      <c r="NZC135" s="221"/>
      <c r="NZD135" s="221"/>
      <c r="NZE135" s="258"/>
      <c r="NZF135" s="270"/>
      <c r="NZG135" s="271"/>
      <c r="NZH135" s="271"/>
      <c r="NZI135" s="271"/>
      <c r="NZJ135" s="221"/>
      <c r="NZK135" s="221"/>
      <c r="NZL135" s="221"/>
      <c r="NZM135" s="258"/>
      <c r="NZN135" s="270"/>
      <c r="NZO135" s="271"/>
      <c r="NZP135" s="271"/>
      <c r="NZQ135" s="271"/>
      <c r="NZR135" s="221"/>
      <c r="NZS135" s="221"/>
      <c r="NZT135" s="221"/>
      <c r="NZU135" s="258"/>
      <c r="NZV135" s="270"/>
      <c r="NZW135" s="271"/>
      <c r="NZX135" s="271"/>
      <c r="NZY135" s="271"/>
      <c r="NZZ135" s="221"/>
      <c r="OAA135" s="221"/>
      <c r="OAB135" s="221"/>
      <c r="OAC135" s="258"/>
      <c r="OAD135" s="270"/>
      <c r="OAE135" s="271"/>
      <c r="OAF135" s="271"/>
      <c r="OAG135" s="271"/>
      <c r="OAH135" s="221"/>
      <c r="OAI135" s="221"/>
      <c r="OAJ135" s="221"/>
      <c r="OAK135" s="258"/>
      <c r="OAL135" s="270"/>
      <c r="OAM135" s="271"/>
      <c r="OAN135" s="271"/>
      <c r="OAO135" s="271"/>
      <c r="OAP135" s="221"/>
      <c r="OAQ135" s="221"/>
      <c r="OAR135" s="221"/>
      <c r="OAS135" s="258"/>
      <c r="OAT135" s="270"/>
      <c r="OAU135" s="271"/>
      <c r="OAV135" s="271"/>
      <c r="OAW135" s="271"/>
      <c r="OAX135" s="221"/>
      <c r="OAY135" s="221"/>
      <c r="OAZ135" s="221"/>
      <c r="OBA135" s="258"/>
      <c r="OBB135" s="270"/>
      <c r="OBC135" s="271"/>
      <c r="OBD135" s="271"/>
      <c r="OBE135" s="271"/>
      <c r="OBF135" s="221"/>
      <c r="OBG135" s="221"/>
      <c r="OBH135" s="221"/>
      <c r="OBI135" s="258"/>
      <c r="OBJ135" s="270"/>
      <c r="OBK135" s="271"/>
      <c r="OBL135" s="271"/>
      <c r="OBM135" s="271"/>
      <c r="OBN135" s="221"/>
      <c r="OBO135" s="221"/>
      <c r="OBP135" s="221"/>
      <c r="OBQ135" s="258"/>
      <c r="OBR135" s="270"/>
      <c r="OBS135" s="271"/>
      <c r="OBT135" s="271"/>
      <c r="OBU135" s="271"/>
      <c r="OBV135" s="221"/>
      <c r="OBW135" s="221"/>
      <c r="OBX135" s="221"/>
      <c r="OBY135" s="258"/>
      <c r="OBZ135" s="270"/>
      <c r="OCA135" s="271"/>
      <c r="OCB135" s="271"/>
      <c r="OCC135" s="271"/>
      <c r="OCD135" s="221"/>
      <c r="OCE135" s="221"/>
      <c r="OCF135" s="221"/>
      <c r="OCG135" s="258"/>
      <c r="OCH135" s="270"/>
      <c r="OCI135" s="271"/>
      <c r="OCJ135" s="271"/>
      <c r="OCK135" s="271"/>
      <c r="OCL135" s="221"/>
      <c r="OCM135" s="221"/>
      <c r="OCN135" s="221"/>
      <c r="OCO135" s="258"/>
      <c r="OCP135" s="270"/>
      <c r="OCQ135" s="271"/>
      <c r="OCR135" s="271"/>
      <c r="OCS135" s="271"/>
      <c r="OCT135" s="221"/>
      <c r="OCU135" s="221"/>
      <c r="OCV135" s="221"/>
      <c r="OCW135" s="258"/>
      <c r="OCX135" s="270"/>
      <c r="OCY135" s="271"/>
      <c r="OCZ135" s="271"/>
      <c r="ODA135" s="271"/>
      <c r="ODB135" s="221"/>
      <c r="ODC135" s="221"/>
      <c r="ODD135" s="221"/>
      <c r="ODE135" s="258"/>
      <c r="ODF135" s="270"/>
      <c r="ODG135" s="271"/>
      <c r="ODH135" s="271"/>
      <c r="ODI135" s="271"/>
      <c r="ODJ135" s="221"/>
      <c r="ODK135" s="221"/>
      <c r="ODL135" s="221"/>
      <c r="ODM135" s="258"/>
      <c r="ODN135" s="270"/>
      <c r="ODO135" s="271"/>
      <c r="ODP135" s="271"/>
      <c r="ODQ135" s="271"/>
      <c r="ODR135" s="221"/>
      <c r="ODS135" s="221"/>
      <c r="ODT135" s="221"/>
      <c r="ODU135" s="258"/>
      <c r="ODV135" s="270"/>
      <c r="ODW135" s="271"/>
      <c r="ODX135" s="271"/>
      <c r="ODY135" s="271"/>
      <c r="ODZ135" s="221"/>
      <c r="OEA135" s="221"/>
      <c r="OEB135" s="221"/>
      <c r="OEC135" s="258"/>
      <c r="OED135" s="270"/>
      <c r="OEE135" s="271"/>
      <c r="OEF135" s="271"/>
      <c r="OEG135" s="271"/>
      <c r="OEH135" s="221"/>
      <c r="OEI135" s="221"/>
      <c r="OEJ135" s="221"/>
      <c r="OEK135" s="258"/>
      <c r="OEL135" s="270"/>
      <c r="OEM135" s="271"/>
      <c r="OEN135" s="271"/>
      <c r="OEO135" s="271"/>
      <c r="OEP135" s="221"/>
      <c r="OEQ135" s="221"/>
      <c r="OER135" s="221"/>
      <c r="OES135" s="258"/>
      <c r="OET135" s="270"/>
      <c r="OEU135" s="271"/>
      <c r="OEV135" s="271"/>
      <c r="OEW135" s="271"/>
      <c r="OEX135" s="221"/>
      <c r="OEY135" s="221"/>
      <c r="OEZ135" s="221"/>
      <c r="OFA135" s="258"/>
      <c r="OFB135" s="270"/>
      <c r="OFC135" s="271"/>
      <c r="OFD135" s="271"/>
      <c r="OFE135" s="271"/>
      <c r="OFF135" s="221"/>
      <c r="OFG135" s="221"/>
      <c r="OFH135" s="221"/>
      <c r="OFI135" s="258"/>
      <c r="OFJ135" s="270"/>
      <c r="OFK135" s="271"/>
      <c r="OFL135" s="271"/>
      <c r="OFM135" s="271"/>
      <c r="OFN135" s="221"/>
      <c r="OFO135" s="221"/>
      <c r="OFP135" s="221"/>
      <c r="OFQ135" s="258"/>
      <c r="OFR135" s="270"/>
      <c r="OFS135" s="271"/>
      <c r="OFT135" s="271"/>
      <c r="OFU135" s="271"/>
      <c r="OFV135" s="221"/>
      <c r="OFW135" s="221"/>
      <c r="OFX135" s="221"/>
      <c r="OFY135" s="258"/>
      <c r="OFZ135" s="270"/>
      <c r="OGA135" s="271"/>
      <c r="OGB135" s="271"/>
      <c r="OGC135" s="271"/>
      <c r="OGD135" s="221"/>
      <c r="OGE135" s="221"/>
      <c r="OGF135" s="221"/>
      <c r="OGG135" s="258"/>
      <c r="OGH135" s="270"/>
      <c r="OGI135" s="271"/>
      <c r="OGJ135" s="271"/>
      <c r="OGK135" s="271"/>
      <c r="OGL135" s="221"/>
      <c r="OGM135" s="221"/>
      <c r="OGN135" s="221"/>
      <c r="OGO135" s="258"/>
      <c r="OGP135" s="270"/>
      <c r="OGQ135" s="271"/>
      <c r="OGR135" s="271"/>
      <c r="OGS135" s="271"/>
      <c r="OGT135" s="221"/>
      <c r="OGU135" s="221"/>
      <c r="OGV135" s="221"/>
      <c r="OGW135" s="258"/>
      <c r="OGX135" s="270"/>
      <c r="OGY135" s="271"/>
      <c r="OGZ135" s="271"/>
      <c r="OHA135" s="271"/>
      <c r="OHB135" s="221"/>
      <c r="OHC135" s="221"/>
      <c r="OHD135" s="221"/>
      <c r="OHE135" s="258"/>
      <c r="OHF135" s="270"/>
      <c r="OHG135" s="271"/>
      <c r="OHH135" s="271"/>
      <c r="OHI135" s="271"/>
      <c r="OHJ135" s="221"/>
      <c r="OHK135" s="221"/>
      <c r="OHL135" s="221"/>
      <c r="OHM135" s="258"/>
      <c r="OHN135" s="270"/>
      <c r="OHO135" s="271"/>
      <c r="OHP135" s="271"/>
      <c r="OHQ135" s="271"/>
      <c r="OHR135" s="221"/>
      <c r="OHS135" s="221"/>
      <c r="OHT135" s="221"/>
      <c r="OHU135" s="258"/>
      <c r="OHV135" s="270"/>
      <c r="OHW135" s="271"/>
      <c r="OHX135" s="271"/>
      <c r="OHY135" s="271"/>
      <c r="OHZ135" s="221"/>
      <c r="OIA135" s="221"/>
      <c r="OIB135" s="221"/>
      <c r="OIC135" s="258"/>
      <c r="OID135" s="270"/>
      <c r="OIE135" s="271"/>
      <c r="OIF135" s="271"/>
      <c r="OIG135" s="271"/>
      <c r="OIH135" s="221"/>
      <c r="OII135" s="221"/>
      <c r="OIJ135" s="221"/>
      <c r="OIK135" s="258"/>
      <c r="OIL135" s="270"/>
      <c r="OIM135" s="271"/>
      <c r="OIN135" s="271"/>
      <c r="OIO135" s="271"/>
      <c r="OIP135" s="221"/>
      <c r="OIQ135" s="221"/>
      <c r="OIR135" s="221"/>
      <c r="OIS135" s="258"/>
      <c r="OIT135" s="270"/>
      <c r="OIU135" s="271"/>
      <c r="OIV135" s="271"/>
      <c r="OIW135" s="271"/>
      <c r="OIX135" s="221"/>
      <c r="OIY135" s="221"/>
      <c r="OIZ135" s="221"/>
      <c r="OJA135" s="258"/>
      <c r="OJB135" s="270"/>
      <c r="OJC135" s="271"/>
      <c r="OJD135" s="271"/>
      <c r="OJE135" s="271"/>
      <c r="OJF135" s="221"/>
      <c r="OJG135" s="221"/>
      <c r="OJH135" s="221"/>
      <c r="OJI135" s="258"/>
      <c r="OJJ135" s="270"/>
      <c r="OJK135" s="271"/>
      <c r="OJL135" s="271"/>
      <c r="OJM135" s="271"/>
      <c r="OJN135" s="221"/>
      <c r="OJO135" s="221"/>
      <c r="OJP135" s="221"/>
      <c r="OJQ135" s="258"/>
      <c r="OJR135" s="270"/>
      <c r="OJS135" s="271"/>
      <c r="OJT135" s="271"/>
      <c r="OJU135" s="271"/>
      <c r="OJV135" s="221"/>
      <c r="OJW135" s="221"/>
      <c r="OJX135" s="221"/>
      <c r="OJY135" s="258"/>
      <c r="OJZ135" s="270"/>
      <c r="OKA135" s="271"/>
      <c r="OKB135" s="271"/>
      <c r="OKC135" s="271"/>
      <c r="OKD135" s="221"/>
      <c r="OKE135" s="221"/>
      <c r="OKF135" s="221"/>
      <c r="OKG135" s="258"/>
      <c r="OKH135" s="270"/>
      <c r="OKI135" s="271"/>
      <c r="OKJ135" s="271"/>
      <c r="OKK135" s="271"/>
      <c r="OKL135" s="221"/>
      <c r="OKM135" s="221"/>
      <c r="OKN135" s="221"/>
      <c r="OKO135" s="258"/>
      <c r="OKP135" s="270"/>
      <c r="OKQ135" s="271"/>
      <c r="OKR135" s="271"/>
      <c r="OKS135" s="271"/>
      <c r="OKT135" s="221"/>
      <c r="OKU135" s="221"/>
      <c r="OKV135" s="221"/>
      <c r="OKW135" s="258"/>
      <c r="OKX135" s="270"/>
      <c r="OKY135" s="271"/>
      <c r="OKZ135" s="271"/>
      <c r="OLA135" s="271"/>
      <c r="OLB135" s="221"/>
      <c r="OLC135" s="221"/>
      <c r="OLD135" s="221"/>
      <c r="OLE135" s="258"/>
      <c r="OLF135" s="270"/>
      <c r="OLG135" s="271"/>
      <c r="OLH135" s="271"/>
      <c r="OLI135" s="271"/>
      <c r="OLJ135" s="221"/>
      <c r="OLK135" s="221"/>
      <c r="OLL135" s="221"/>
      <c r="OLM135" s="258"/>
      <c r="OLN135" s="270"/>
      <c r="OLO135" s="271"/>
      <c r="OLP135" s="271"/>
      <c r="OLQ135" s="271"/>
      <c r="OLR135" s="221"/>
      <c r="OLS135" s="221"/>
      <c r="OLT135" s="221"/>
      <c r="OLU135" s="258"/>
      <c r="OLV135" s="270"/>
      <c r="OLW135" s="271"/>
      <c r="OLX135" s="271"/>
      <c r="OLY135" s="271"/>
      <c r="OLZ135" s="221"/>
      <c r="OMA135" s="221"/>
      <c r="OMB135" s="221"/>
      <c r="OMC135" s="258"/>
      <c r="OMD135" s="270"/>
      <c r="OME135" s="271"/>
      <c r="OMF135" s="271"/>
      <c r="OMG135" s="271"/>
      <c r="OMH135" s="221"/>
      <c r="OMI135" s="221"/>
      <c r="OMJ135" s="221"/>
      <c r="OMK135" s="258"/>
      <c r="OML135" s="270"/>
      <c r="OMM135" s="271"/>
      <c r="OMN135" s="271"/>
      <c r="OMO135" s="271"/>
      <c r="OMP135" s="221"/>
      <c r="OMQ135" s="221"/>
      <c r="OMR135" s="221"/>
      <c r="OMS135" s="258"/>
      <c r="OMT135" s="270"/>
      <c r="OMU135" s="271"/>
      <c r="OMV135" s="271"/>
      <c r="OMW135" s="271"/>
      <c r="OMX135" s="221"/>
      <c r="OMY135" s="221"/>
      <c r="OMZ135" s="221"/>
      <c r="ONA135" s="258"/>
      <c r="ONB135" s="270"/>
      <c r="ONC135" s="271"/>
      <c r="OND135" s="271"/>
      <c r="ONE135" s="271"/>
      <c r="ONF135" s="221"/>
      <c r="ONG135" s="221"/>
      <c r="ONH135" s="221"/>
      <c r="ONI135" s="258"/>
      <c r="ONJ135" s="270"/>
      <c r="ONK135" s="271"/>
      <c r="ONL135" s="271"/>
      <c r="ONM135" s="271"/>
      <c r="ONN135" s="221"/>
      <c r="ONO135" s="221"/>
      <c r="ONP135" s="221"/>
      <c r="ONQ135" s="258"/>
      <c r="ONR135" s="270"/>
      <c r="ONS135" s="271"/>
      <c r="ONT135" s="271"/>
      <c r="ONU135" s="271"/>
      <c r="ONV135" s="221"/>
      <c r="ONW135" s="221"/>
      <c r="ONX135" s="221"/>
      <c r="ONY135" s="258"/>
      <c r="ONZ135" s="270"/>
      <c r="OOA135" s="271"/>
      <c r="OOB135" s="271"/>
      <c r="OOC135" s="271"/>
      <c r="OOD135" s="221"/>
      <c r="OOE135" s="221"/>
      <c r="OOF135" s="221"/>
      <c r="OOG135" s="258"/>
      <c r="OOH135" s="270"/>
      <c r="OOI135" s="271"/>
      <c r="OOJ135" s="271"/>
      <c r="OOK135" s="271"/>
      <c r="OOL135" s="221"/>
      <c r="OOM135" s="221"/>
      <c r="OON135" s="221"/>
      <c r="OOO135" s="258"/>
      <c r="OOP135" s="270"/>
      <c r="OOQ135" s="271"/>
      <c r="OOR135" s="271"/>
      <c r="OOS135" s="271"/>
      <c r="OOT135" s="221"/>
      <c r="OOU135" s="221"/>
      <c r="OOV135" s="221"/>
      <c r="OOW135" s="258"/>
      <c r="OOX135" s="270"/>
      <c r="OOY135" s="271"/>
      <c r="OOZ135" s="271"/>
      <c r="OPA135" s="271"/>
      <c r="OPB135" s="221"/>
      <c r="OPC135" s="221"/>
      <c r="OPD135" s="221"/>
      <c r="OPE135" s="258"/>
      <c r="OPF135" s="270"/>
      <c r="OPG135" s="271"/>
      <c r="OPH135" s="271"/>
      <c r="OPI135" s="271"/>
      <c r="OPJ135" s="221"/>
      <c r="OPK135" s="221"/>
      <c r="OPL135" s="221"/>
      <c r="OPM135" s="258"/>
      <c r="OPN135" s="270"/>
      <c r="OPO135" s="271"/>
      <c r="OPP135" s="271"/>
      <c r="OPQ135" s="271"/>
      <c r="OPR135" s="221"/>
      <c r="OPS135" s="221"/>
      <c r="OPT135" s="221"/>
      <c r="OPU135" s="258"/>
      <c r="OPV135" s="270"/>
      <c r="OPW135" s="271"/>
      <c r="OPX135" s="271"/>
      <c r="OPY135" s="271"/>
      <c r="OPZ135" s="221"/>
      <c r="OQA135" s="221"/>
      <c r="OQB135" s="221"/>
      <c r="OQC135" s="258"/>
      <c r="OQD135" s="270"/>
      <c r="OQE135" s="271"/>
      <c r="OQF135" s="271"/>
      <c r="OQG135" s="271"/>
      <c r="OQH135" s="221"/>
      <c r="OQI135" s="221"/>
      <c r="OQJ135" s="221"/>
      <c r="OQK135" s="258"/>
      <c r="OQL135" s="270"/>
      <c r="OQM135" s="271"/>
      <c r="OQN135" s="271"/>
      <c r="OQO135" s="271"/>
      <c r="OQP135" s="221"/>
      <c r="OQQ135" s="221"/>
      <c r="OQR135" s="221"/>
      <c r="OQS135" s="258"/>
      <c r="OQT135" s="270"/>
      <c r="OQU135" s="271"/>
      <c r="OQV135" s="271"/>
      <c r="OQW135" s="271"/>
      <c r="OQX135" s="221"/>
      <c r="OQY135" s="221"/>
      <c r="OQZ135" s="221"/>
      <c r="ORA135" s="258"/>
      <c r="ORB135" s="270"/>
      <c r="ORC135" s="271"/>
      <c r="ORD135" s="271"/>
      <c r="ORE135" s="271"/>
      <c r="ORF135" s="221"/>
      <c r="ORG135" s="221"/>
      <c r="ORH135" s="221"/>
      <c r="ORI135" s="258"/>
      <c r="ORJ135" s="270"/>
      <c r="ORK135" s="271"/>
      <c r="ORL135" s="271"/>
      <c r="ORM135" s="271"/>
      <c r="ORN135" s="221"/>
      <c r="ORO135" s="221"/>
      <c r="ORP135" s="221"/>
      <c r="ORQ135" s="258"/>
      <c r="ORR135" s="270"/>
      <c r="ORS135" s="271"/>
      <c r="ORT135" s="271"/>
      <c r="ORU135" s="271"/>
      <c r="ORV135" s="221"/>
      <c r="ORW135" s="221"/>
      <c r="ORX135" s="221"/>
      <c r="ORY135" s="258"/>
      <c r="ORZ135" s="270"/>
      <c r="OSA135" s="271"/>
      <c r="OSB135" s="271"/>
      <c r="OSC135" s="271"/>
      <c r="OSD135" s="221"/>
      <c r="OSE135" s="221"/>
      <c r="OSF135" s="221"/>
      <c r="OSG135" s="258"/>
      <c r="OSH135" s="270"/>
      <c r="OSI135" s="271"/>
      <c r="OSJ135" s="271"/>
      <c r="OSK135" s="271"/>
      <c r="OSL135" s="221"/>
      <c r="OSM135" s="221"/>
      <c r="OSN135" s="221"/>
      <c r="OSO135" s="258"/>
      <c r="OSP135" s="270"/>
      <c r="OSQ135" s="271"/>
      <c r="OSR135" s="271"/>
      <c r="OSS135" s="271"/>
      <c r="OST135" s="221"/>
      <c r="OSU135" s="221"/>
      <c r="OSV135" s="221"/>
      <c r="OSW135" s="258"/>
      <c r="OSX135" s="270"/>
      <c r="OSY135" s="271"/>
      <c r="OSZ135" s="271"/>
      <c r="OTA135" s="271"/>
      <c r="OTB135" s="221"/>
      <c r="OTC135" s="221"/>
      <c r="OTD135" s="221"/>
      <c r="OTE135" s="258"/>
      <c r="OTF135" s="270"/>
      <c r="OTG135" s="271"/>
      <c r="OTH135" s="271"/>
      <c r="OTI135" s="271"/>
      <c r="OTJ135" s="221"/>
      <c r="OTK135" s="221"/>
      <c r="OTL135" s="221"/>
      <c r="OTM135" s="258"/>
      <c r="OTN135" s="270"/>
      <c r="OTO135" s="271"/>
      <c r="OTP135" s="271"/>
      <c r="OTQ135" s="271"/>
      <c r="OTR135" s="221"/>
      <c r="OTS135" s="221"/>
      <c r="OTT135" s="221"/>
      <c r="OTU135" s="258"/>
      <c r="OTV135" s="270"/>
      <c r="OTW135" s="271"/>
      <c r="OTX135" s="271"/>
      <c r="OTY135" s="271"/>
      <c r="OTZ135" s="221"/>
      <c r="OUA135" s="221"/>
      <c r="OUB135" s="221"/>
      <c r="OUC135" s="258"/>
      <c r="OUD135" s="270"/>
      <c r="OUE135" s="271"/>
      <c r="OUF135" s="271"/>
      <c r="OUG135" s="271"/>
      <c r="OUH135" s="221"/>
      <c r="OUI135" s="221"/>
      <c r="OUJ135" s="221"/>
      <c r="OUK135" s="258"/>
      <c r="OUL135" s="270"/>
      <c r="OUM135" s="271"/>
      <c r="OUN135" s="271"/>
      <c r="OUO135" s="271"/>
      <c r="OUP135" s="221"/>
      <c r="OUQ135" s="221"/>
      <c r="OUR135" s="221"/>
      <c r="OUS135" s="258"/>
      <c r="OUT135" s="270"/>
      <c r="OUU135" s="271"/>
      <c r="OUV135" s="271"/>
      <c r="OUW135" s="271"/>
      <c r="OUX135" s="221"/>
      <c r="OUY135" s="221"/>
      <c r="OUZ135" s="221"/>
      <c r="OVA135" s="258"/>
      <c r="OVB135" s="270"/>
      <c r="OVC135" s="271"/>
      <c r="OVD135" s="271"/>
      <c r="OVE135" s="271"/>
      <c r="OVF135" s="221"/>
      <c r="OVG135" s="221"/>
      <c r="OVH135" s="221"/>
      <c r="OVI135" s="258"/>
      <c r="OVJ135" s="270"/>
      <c r="OVK135" s="271"/>
      <c r="OVL135" s="271"/>
      <c r="OVM135" s="271"/>
      <c r="OVN135" s="221"/>
      <c r="OVO135" s="221"/>
      <c r="OVP135" s="221"/>
      <c r="OVQ135" s="258"/>
      <c r="OVR135" s="270"/>
      <c r="OVS135" s="271"/>
      <c r="OVT135" s="271"/>
      <c r="OVU135" s="271"/>
      <c r="OVV135" s="221"/>
      <c r="OVW135" s="221"/>
      <c r="OVX135" s="221"/>
      <c r="OVY135" s="258"/>
      <c r="OVZ135" s="270"/>
      <c r="OWA135" s="271"/>
      <c r="OWB135" s="271"/>
      <c r="OWC135" s="271"/>
      <c r="OWD135" s="221"/>
      <c r="OWE135" s="221"/>
      <c r="OWF135" s="221"/>
      <c r="OWG135" s="258"/>
      <c r="OWH135" s="270"/>
      <c r="OWI135" s="271"/>
      <c r="OWJ135" s="271"/>
      <c r="OWK135" s="271"/>
      <c r="OWL135" s="221"/>
      <c r="OWM135" s="221"/>
      <c r="OWN135" s="221"/>
      <c r="OWO135" s="258"/>
      <c r="OWP135" s="270"/>
      <c r="OWQ135" s="271"/>
      <c r="OWR135" s="271"/>
      <c r="OWS135" s="271"/>
      <c r="OWT135" s="221"/>
      <c r="OWU135" s="221"/>
      <c r="OWV135" s="221"/>
      <c r="OWW135" s="258"/>
      <c r="OWX135" s="270"/>
      <c r="OWY135" s="271"/>
      <c r="OWZ135" s="271"/>
      <c r="OXA135" s="271"/>
      <c r="OXB135" s="221"/>
      <c r="OXC135" s="221"/>
      <c r="OXD135" s="221"/>
      <c r="OXE135" s="258"/>
      <c r="OXF135" s="270"/>
      <c r="OXG135" s="271"/>
      <c r="OXH135" s="271"/>
      <c r="OXI135" s="271"/>
      <c r="OXJ135" s="221"/>
      <c r="OXK135" s="221"/>
      <c r="OXL135" s="221"/>
      <c r="OXM135" s="258"/>
      <c r="OXN135" s="270"/>
      <c r="OXO135" s="271"/>
      <c r="OXP135" s="271"/>
      <c r="OXQ135" s="271"/>
      <c r="OXR135" s="221"/>
      <c r="OXS135" s="221"/>
      <c r="OXT135" s="221"/>
      <c r="OXU135" s="258"/>
      <c r="OXV135" s="270"/>
      <c r="OXW135" s="271"/>
      <c r="OXX135" s="271"/>
      <c r="OXY135" s="271"/>
      <c r="OXZ135" s="221"/>
      <c r="OYA135" s="221"/>
      <c r="OYB135" s="221"/>
      <c r="OYC135" s="258"/>
      <c r="OYD135" s="270"/>
      <c r="OYE135" s="271"/>
      <c r="OYF135" s="271"/>
      <c r="OYG135" s="271"/>
      <c r="OYH135" s="221"/>
      <c r="OYI135" s="221"/>
      <c r="OYJ135" s="221"/>
      <c r="OYK135" s="258"/>
      <c r="OYL135" s="270"/>
      <c r="OYM135" s="271"/>
      <c r="OYN135" s="271"/>
      <c r="OYO135" s="271"/>
      <c r="OYP135" s="221"/>
      <c r="OYQ135" s="221"/>
      <c r="OYR135" s="221"/>
      <c r="OYS135" s="258"/>
      <c r="OYT135" s="270"/>
      <c r="OYU135" s="271"/>
      <c r="OYV135" s="271"/>
      <c r="OYW135" s="271"/>
      <c r="OYX135" s="221"/>
      <c r="OYY135" s="221"/>
      <c r="OYZ135" s="221"/>
      <c r="OZA135" s="258"/>
      <c r="OZB135" s="270"/>
      <c r="OZC135" s="271"/>
      <c r="OZD135" s="271"/>
      <c r="OZE135" s="271"/>
      <c r="OZF135" s="221"/>
      <c r="OZG135" s="221"/>
      <c r="OZH135" s="221"/>
      <c r="OZI135" s="258"/>
      <c r="OZJ135" s="270"/>
      <c r="OZK135" s="271"/>
      <c r="OZL135" s="271"/>
      <c r="OZM135" s="271"/>
      <c r="OZN135" s="221"/>
      <c r="OZO135" s="221"/>
      <c r="OZP135" s="221"/>
      <c r="OZQ135" s="258"/>
      <c r="OZR135" s="270"/>
      <c r="OZS135" s="271"/>
      <c r="OZT135" s="271"/>
      <c r="OZU135" s="271"/>
      <c r="OZV135" s="221"/>
      <c r="OZW135" s="221"/>
      <c r="OZX135" s="221"/>
      <c r="OZY135" s="258"/>
      <c r="OZZ135" s="270"/>
      <c r="PAA135" s="271"/>
      <c r="PAB135" s="271"/>
      <c r="PAC135" s="271"/>
      <c r="PAD135" s="221"/>
      <c r="PAE135" s="221"/>
      <c r="PAF135" s="221"/>
      <c r="PAG135" s="258"/>
      <c r="PAH135" s="270"/>
      <c r="PAI135" s="271"/>
      <c r="PAJ135" s="271"/>
      <c r="PAK135" s="271"/>
      <c r="PAL135" s="221"/>
      <c r="PAM135" s="221"/>
      <c r="PAN135" s="221"/>
      <c r="PAO135" s="258"/>
      <c r="PAP135" s="270"/>
      <c r="PAQ135" s="271"/>
      <c r="PAR135" s="271"/>
      <c r="PAS135" s="271"/>
      <c r="PAT135" s="221"/>
      <c r="PAU135" s="221"/>
      <c r="PAV135" s="221"/>
      <c r="PAW135" s="258"/>
      <c r="PAX135" s="270"/>
      <c r="PAY135" s="271"/>
      <c r="PAZ135" s="271"/>
      <c r="PBA135" s="271"/>
      <c r="PBB135" s="221"/>
      <c r="PBC135" s="221"/>
      <c r="PBD135" s="221"/>
      <c r="PBE135" s="258"/>
      <c r="PBF135" s="270"/>
      <c r="PBG135" s="271"/>
      <c r="PBH135" s="271"/>
      <c r="PBI135" s="271"/>
      <c r="PBJ135" s="221"/>
      <c r="PBK135" s="221"/>
      <c r="PBL135" s="221"/>
      <c r="PBM135" s="258"/>
      <c r="PBN135" s="270"/>
      <c r="PBO135" s="271"/>
      <c r="PBP135" s="271"/>
      <c r="PBQ135" s="271"/>
      <c r="PBR135" s="221"/>
      <c r="PBS135" s="221"/>
      <c r="PBT135" s="221"/>
      <c r="PBU135" s="258"/>
      <c r="PBV135" s="270"/>
      <c r="PBW135" s="271"/>
      <c r="PBX135" s="271"/>
      <c r="PBY135" s="271"/>
      <c r="PBZ135" s="221"/>
      <c r="PCA135" s="221"/>
      <c r="PCB135" s="221"/>
      <c r="PCC135" s="258"/>
      <c r="PCD135" s="270"/>
      <c r="PCE135" s="271"/>
      <c r="PCF135" s="271"/>
      <c r="PCG135" s="271"/>
      <c r="PCH135" s="221"/>
      <c r="PCI135" s="221"/>
      <c r="PCJ135" s="221"/>
      <c r="PCK135" s="258"/>
      <c r="PCL135" s="270"/>
      <c r="PCM135" s="271"/>
      <c r="PCN135" s="271"/>
      <c r="PCO135" s="271"/>
      <c r="PCP135" s="221"/>
      <c r="PCQ135" s="221"/>
      <c r="PCR135" s="221"/>
      <c r="PCS135" s="258"/>
      <c r="PCT135" s="270"/>
      <c r="PCU135" s="271"/>
      <c r="PCV135" s="271"/>
      <c r="PCW135" s="271"/>
      <c r="PCX135" s="221"/>
      <c r="PCY135" s="221"/>
      <c r="PCZ135" s="221"/>
      <c r="PDA135" s="258"/>
      <c r="PDB135" s="270"/>
      <c r="PDC135" s="271"/>
      <c r="PDD135" s="271"/>
      <c r="PDE135" s="271"/>
      <c r="PDF135" s="221"/>
      <c r="PDG135" s="221"/>
      <c r="PDH135" s="221"/>
      <c r="PDI135" s="258"/>
      <c r="PDJ135" s="270"/>
      <c r="PDK135" s="271"/>
      <c r="PDL135" s="271"/>
      <c r="PDM135" s="271"/>
      <c r="PDN135" s="221"/>
      <c r="PDO135" s="221"/>
      <c r="PDP135" s="221"/>
      <c r="PDQ135" s="258"/>
      <c r="PDR135" s="270"/>
      <c r="PDS135" s="271"/>
      <c r="PDT135" s="271"/>
      <c r="PDU135" s="271"/>
      <c r="PDV135" s="221"/>
      <c r="PDW135" s="221"/>
      <c r="PDX135" s="221"/>
      <c r="PDY135" s="258"/>
      <c r="PDZ135" s="270"/>
      <c r="PEA135" s="271"/>
      <c r="PEB135" s="271"/>
      <c r="PEC135" s="271"/>
      <c r="PED135" s="221"/>
      <c r="PEE135" s="221"/>
      <c r="PEF135" s="221"/>
      <c r="PEG135" s="258"/>
      <c r="PEH135" s="270"/>
      <c r="PEI135" s="271"/>
      <c r="PEJ135" s="271"/>
      <c r="PEK135" s="271"/>
      <c r="PEL135" s="221"/>
      <c r="PEM135" s="221"/>
      <c r="PEN135" s="221"/>
      <c r="PEO135" s="258"/>
      <c r="PEP135" s="270"/>
      <c r="PEQ135" s="271"/>
      <c r="PER135" s="271"/>
      <c r="PES135" s="271"/>
      <c r="PET135" s="221"/>
      <c r="PEU135" s="221"/>
      <c r="PEV135" s="221"/>
      <c r="PEW135" s="258"/>
      <c r="PEX135" s="270"/>
      <c r="PEY135" s="271"/>
      <c r="PEZ135" s="271"/>
      <c r="PFA135" s="271"/>
      <c r="PFB135" s="221"/>
      <c r="PFC135" s="221"/>
      <c r="PFD135" s="221"/>
      <c r="PFE135" s="258"/>
      <c r="PFF135" s="270"/>
      <c r="PFG135" s="271"/>
      <c r="PFH135" s="271"/>
      <c r="PFI135" s="271"/>
      <c r="PFJ135" s="221"/>
      <c r="PFK135" s="221"/>
      <c r="PFL135" s="221"/>
      <c r="PFM135" s="258"/>
      <c r="PFN135" s="270"/>
      <c r="PFO135" s="271"/>
      <c r="PFP135" s="271"/>
      <c r="PFQ135" s="271"/>
      <c r="PFR135" s="221"/>
      <c r="PFS135" s="221"/>
      <c r="PFT135" s="221"/>
      <c r="PFU135" s="258"/>
      <c r="PFV135" s="270"/>
      <c r="PFW135" s="271"/>
      <c r="PFX135" s="271"/>
      <c r="PFY135" s="271"/>
      <c r="PFZ135" s="221"/>
      <c r="PGA135" s="221"/>
      <c r="PGB135" s="221"/>
      <c r="PGC135" s="258"/>
      <c r="PGD135" s="270"/>
      <c r="PGE135" s="271"/>
      <c r="PGF135" s="271"/>
      <c r="PGG135" s="271"/>
      <c r="PGH135" s="221"/>
      <c r="PGI135" s="221"/>
      <c r="PGJ135" s="221"/>
      <c r="PGK135" s="258"/>
      <c r="PGL135" s="270"/>
      <c r="PGM135" s="271"/>
      <c r="PGN135" s="271"/>
      <c r="PGO135" s="271"/>
      <c r="PGP135" s="221"/>
      <c r="PGQ135" s="221"/>
      <c r="PGR135" s="221"/>
      <c r="PGS135" s="258"/>
      <c r="PGT135" s="270"/>
      <c r="PGU135" s="271"/>
      <c r="PGV135" s="271"/>
      <c r="PGW135" s="271"/>
      <c r="PGX135" s="221"/>
      <c r="PGY135" s="221"/>
      <c r="PGZ135" s="221"/>
      <c r="PHA135" s="258"/>
      <c r="PHB135" s="270"/>
      <c r="PHC135" s="271"/>
      <c r="PHD135" s="271"/>
      <c r="PHE135" s="271"/>
      <c r="PHF135" s="221"/>
      <c r="PHG135" s="221"/>
      <c r="PHH135" s="221"/>
      <c r="PHI135" s="258"/>
      <c r="PHJ135" s="270"/>
      <c r="PHK135" s="271"/>
      <c r="PHL135" s="271"/>
      <c r="PHM135" s="271"/>
      <c r="PHN135" s="221"/>
      <c r="PHO135" s="221"/>
      <c r="PHP135" s="221"/>
      <c r="PHQ135" s="258"/>
      <c r="PHR135" s="270"/>
      <c r="PHS135" s="271"/>
      <c r="PHT135" s="271"/>
      <c r="PHU135" s="271"/>
      <c r="PHV135" s="221"/>
      <c r="PHW135" s="221"/>
      <c r="PHX135" s="221"/>
      <c r="PHY135" s="258"/>
      <c r="PHZ135" s="270"/>
      <c r="PIA135" s="271"/>
      <c r="PIB135" s="271"/>
      <c r="PIC135" s="271"/>
      <c r="PID135" s="221"/>
      <c r="PIE135" s="221"/>
      <c r="PIF135" s="221"/>
      <c r="PIG135" s="258"/>
      <c r="PIH135" s="270"/>
      <c r="PII135" s="271"/>
      <c r="PIJ135" s="271"/>
      <c r="PIK135" s="271"/>
      <c r="PIL135" s="221"/>
      <c r="PIM135" s="221"/>
      <c r="PIN135" s="221"/>
      <c r="PIO135" s="258"/>
      <c r="PIP135" s="270"/>
      <c r="PIQ135" s="271"/>
      <c r="PIR135" s="271"/>
      <c r="PIS135" s="271"/>
      <c r="PIT135" s="221"/>
      <c r="PIU135" s="221"/>
      <c r="PIV135" s="221"/>
      <c r="PIW135" s="258"/>
      <c r="PIX135" s="270"/>
      <c r="PIY135" s="271"/>
      <c r="PIZ135" s="271"/>
      <c r="PJA135" s="271"/>
      <c r="PJB135" s="221"/>
      <c r="PJC135" s="221"/>
      <c r="PJD135" s="221"/>
      <c r="PJE135" s="258"/>
      <c r="PJF135" s="270"/>
      <c r="PJG135" s="271"/>
      <c r="PJH135" s="271"/>
      <c r="PJI135" s="271"/>
      <c r="PJJ135" s="221"/>
      <c r="PJK135" s="221"/>
      <c r="PJL135" s="221"/>
      <c r="PJM135" s="258"/>
      <c r="PJN135" s="270"/>
      <c r="PJO135" s="271"/>
      <c r="PJP135" s="271"/>
      <c r="PJQ135" s="271"/>
      <c r="PJR135" s="221"/>
      <c r="PJS135" s="221"/>
      <c r="PJT135" s="221"/>
      <c r="PJU135" s="258"/>
      <c r="PJV135" s="270"/>
      <c r="PJW135" s="271"/>
      <c r="PJX135" s="271"/>
      <c r="PJY135" s="271"/>
      <c r="PJZ135" s="221"/>
      <c r="PKA135" s="221"/>
      <c r="PKB135" s="221"/>
      <c r="PKC135" s="258"/>
      <c r="PKD135" s="270"/>
      <c r="PKE135" s="271"/>
      <c r="PKF135" s="271"/>
      <c r="PKG135" s="271"/>
      <c r="PKH135" s="221"/>
      <c r="PKI135" s="221"/>
      <c r="PKJ135" s="221"/>
      <c r="PKK135" s="258"/>
      <c r="PKL135" s="270"/>
      <c r="PKM135" s="271"/>
      <c r="PKN135" s="271"/>
      <c r="PKO135" s="271"/>
      <c r="PKP135" s="221"/>
      <c r="PKQ135" s="221"/>
      <c r="PKR135" s="221"/>
      <c r="PKS135" s="258"/>
      <c r="PKT135" s="270"/>
      <c r="PKU135" s="271"/>
      <c r="PKV135" s="271"/>
      <c r="PKW135" s="271"/>
      <c r="PKX135" s="221"/>
      <c r="PKY135" s="221"/>
      <c r="PKZ135" s="221"/>
      <c r="PLA135" s="258"/>
      <c r="PLB135" s="270"/>
      <c r="PLC135" s="271"/>
      <c r="PLD135" s="271"/>
      <c r="PLE135" s="271"/>
      <c r="PLF135" s="221"/>
      <c r="PLG135" s="221"/>
      <c r="PLH135" s="221"/>
      <c r="PLI135" s="258"/>
      <c r="PLJ135" s="270"/>
      <c r="PLK135" s="271"/>
      <c r="PLL135" s="271"/>
      <c r="PLM135" s="271"/>
      <c r="PLN135" s="221"/>
      <c r="PLO135" s="221"/>
      <c r="PLP135" s="221"/>
      <c r="PLQ135" s="258"/>
      <c r="PLR135" s="270"/>
      <c r="PLS135" s="271"/>
      <c r="PLT135" s="271"/>
      <c r="PLU135" s="271"/>
      <c r="PLV135" s="221"/>
      <c r="PLW135" s="221"/>
      <c r="PLX135" s="221"/>
      <c r="PLY135" s="258"/>
      <c r="PLZ135" s="270"/>
      <c r="PMA135" s="271"/>
      <c r="PMB135" s="271"/>
      <c r="PMC135" s="271"/>
      <c r="PMD135" s="221"/>
      <c r="PME135" s="221"/>
      <c r="PMF135" s="221"/>
      <c r="PMG135" s="258"/>
      <c r="PMH135" s="270"/>
      <c r="PMI135" s="271"/>
      <c r="PMJ135" s="271"/>
      <c r="PMK135" s="271"/>
      <c r="PML135" s="221"/>
      <c r="PMM135" s="221"/>
      <c r="PMN135" s="221"/>
      <c r="PMO135" s="258"/>
      <c r="PMP135" s="270"/>
      <c r="PMQ135" s="271"/>
      <c r="PMR135" s="271"/>
      <c r="PMS135" s="271"/>
      <c r="PMT135" s="221"/>
      <c r="PMU135" s="221"/>
      <c r="PMV135" s="221"/>
      <c r="PMW135" s="258"/>
      <c r="PMX135" s="270"/>
      <c r="PMY135" s="271"/>
      <c r="PMZ135" s="271"/>
      <c r="PNA135" s="271"/>
      <c r="PNB135" s="221"/>
      <c r="PNC135" s="221"/>
      <c r="PND135" s="221"/>
      <c r="PNE135" s="258"/>
      <c r="PNF135" s="270"/>
      <c r="PNG135" s="271"/>
      <c r="PNH135" s="271"/>
      <c r="PNI135" s="271"/>
      <c r="PNJ135" s="221"/>
      <c r="PNK135" s="221"/>
      <c r="PNL135" s="221"/>
      <c r="PNM135" s="258"/>
      <c r="PNN135" s="270"/>
      <c r="PNO135" s="271"/>
      <c r="PNP135" s="271"/>
      <c r="PNQ135" s="271"/>
      <c r="PNR135" s="221"/>
      <c r="PNS135" s="221"/>
      <c r="PNT135" s="221"/>
      <c r="PNU135" s="258"/>
      <c r="PNV135" s="270"/>
      <c r="PNW135" s="271"/>
      <c r="PNX135" s="271"/>
      <c r="PNY135" s="271"/>
      <c r="PNZ135" s="221"/>
      <c r="POA135" s="221"/>
      <c r="POB135" s="221"/>
      <c r="POC135" s="258"/>
      <c r="POD135" s="270"/>
      <c r="POE135" s="271"/>
      <c r="POF135" s="271"/>
      <c r="POG135" s="271"/>
      <c r="POH135" s="221"/>
      <c r="POI135" s="221"/>
      <c r="POJ135" s="221"/>
      <c r="POK135" s="258"/>
      <c r="POL135" s="270"/>
      <c r="POM135" s="271"/>
      <c r="PON135" s="271"/>
      <c r="POO135" s="271"/>
      <c r="POP135" s="221"/>
      <c r="POQ135" s="221"/>
      <c r="POR135" s="221"/>
      <c r="POS135" s="258"/>
      <c r="POT135" s="270"/>
      <c r="POU135" s="271"/>
      <c r="POV135" s="271"/>
      <c r="POW135" s="271"/>
      <c r="POX135" s="221"/>
      <c r="POY135" s="221"/>
      <c r="POZ135" s="221"/>
      <c r="PPA135" s="258"/>
      <c r="PPB135" s="270"/>
      <c r="PPC135" s="271"/>
      <c r="PPD135" s="271"/>
      <c r="PPE135" s="271"/>
      <c r="PPF135" s="221"/>
      <c r="PPG135" s="221"/>
      <c r="PPH135" s="221"/>
      <c r="PPI135" s="258"/>
      <c r="PPJ135" s="270"/>
      <c r="PPK135" s="271"/>
      <c r="PPL135" s="271"/>
      <c r="PPM135" s="271"/>
      <c r="PPN135" s="221"/>
      <c r="PPO135" s="221"/>
      <c r="PPP135" s="221"/>
      <c r="PPQ135" s="258"/>
      <c r="PPR135" s="270"/>
      <c r="PPS135" s="271"/>
      <c r="PPT135" s="271"/>
      <c r="PPU135" s="271"/>
      <c r="PPV135" s="221"/>
      <c r="PPW135" s="221"/>
      <c r="PPX135" s="221"/>
      <c r="PPY135" s="258"/>
      <c r="PPZ135" s="270"/>
      <c r="PQA135" s="271"/>
      <c r="PQB135" s="271"/>
      <c r="PQC135" s="271"/>
      <c r="PQD135" s="221"/>
      <c r="PQE135" s="221"/>
      <c r="PQF135" s="221"/>
      <c r="PQG135" s="258"/>
      <c r="PQH135" s="270"/>
      <c r="PQI135" s="271"/>
      <c r="PQJ135" s="271"/>
      <c r="PQK135" s="271"/>
      <c r="PQL135" s="221"/>
      <c r="PQM135" s="221"/>
      <c r="PQN135" s="221"/>
      <c r="PQO135" s="258"/>
      <c r="PQP135" s="270"/>
      <c r="PQQ135" s="271"/>
      <c r="PQR135" s="271"/>
      <c r="PQS135" s="271"/>
      <c r="PQT135" s="221"/>
      <c r="PQU135" s="221"/>
      <c r="PQV135" s="221"/>
      <c r="PQW135" s="258"/>
      <c r="PQX135" s="270"/>
      <c r="PQY135" s="271"/>
      <c r="PQZ135" s="271"/>
      <c r="PRA135" s="271"/>
      <c r="PRB135" s="221"/>
      <c r="PRC135" s="221"/>
      <c r="PRD135" s="221"/>
      <c r="PRE135" s="258"/>
      <c r="PRF135" s="270"/>
      <c r="PRG135" s="271"/>
      <c r="PRH135" s="271"/>
      <c r="PRI135" s="271"/>
      <c r="PRJ135" s="221"/>
      <c r="PRK135" s="221"/>
      <c r="PRL135" s="221"/>
      <c r="PRM135" s="258"/>
      <c r="PRN135" s="270"/>
      <c r="PRO135" s="271"/>
      <c r="PRP135" s="271"/>
      <c r="PRQ135" s="271"/>
      <c r="PRR135" s="221"/>
      <c r="PRS135" s="221"/>
      <c r="PRT135" s="221"/>
      <c r="PRU135" s="258"/>
      <c r="PRV135" s="270"/>
      <c r="PRW135" s="271"/>
      <c r="PRX135" s="271"/>
      <c r="PRY135" s="271"/>
      <c r="PRZ135" s="221"/>
      <c r="PSA135" s="221"/>
      <c r="PSB135" s="221"/>
      <c r="PSC135" s="258"/>
      <c r="PSD135" s="270"/>
      <c r="PSE135" s="271"/>
      <c r="PSF135" s="271"/>
      <c r="PSG135" s="271"/>
      <c r="PSH135" s="221"/>
      <c r="PSI135" s="221"/>
      <c r="PSJ135" s="221"/>
      <c r="PSK135" s="258"/>
      <c r="PSL135" s="270"/>
      <c r="PSM135" s="271"/>
      <c r="PSN135" s="271"/>
      <c r="PSO135" s="271"/>
      <c r="PSP135" s="221"/>
      <c r="PSQ135" s="221"/>
      <c r="PSR135" s="221"/>
      <c r="PSS135" s="258"/>
      <c r="PST135" s="270"/>
      <c r="PSU135" s="271"/>
      <c r="PSV135" s="271"/>
      <c r="PSW135" s="271"/>
      <c r="PSX135" s="221"/>
      <c r="PSY135" s="221"/>
      <c r="PSZ135" s="221"/>
      <c r="PTA135" s="258"/>
      <c r="PTB135" s="270"/>
      <c r="PTC135" s="271"/>
      <c r="PTD135" s="271"/>
      <c r="PTE135" s="271"/>
      <c r="PTF135" s="221"/>
      <c r="PTG135" s="221"/>
      <c r="PTH135" s="221"/>
      <c r="PTI135" s="258"/>
      <c r="PTJ135" s="270"/>
      <c r="PTK135" s="271"/>
      <c r="PTL135" s="271"/>
      <c r="PTM135" s="271"/>
      <c r="PTN135" s="221"/>
      <c r="PTO135" s="221"/>
      <c r="PTP135" s="221"/>
      <c r="PTQ135" s="258"/>
      <c r="PTR135" s="270"/>
      <c r="PTS135" s="271"/>
      <c r="PTT135" s="271"/>
      <c r="PTU135" s="271"/>
      <c r="PTV135" s="221"/>
      <c r="PTW135" s="221"/>
      <c r="PTX135" s="221"/>
      <c r="PTY135" s="258"/>
      <c r="PTZ135" s="270"/>
      <c r="PUA135" s="271"/>
      <c r="PUB135" s="271"/>
      <c r="PUC135" s="271"/>
      <c r="PUD135" s="221"/>
      <c r="PUE135" s="221"/>
      <c r="PUF135" s="221"/>
      <c r="PUG135" s="258"/>
      <c r="PUH135" s="270"/>
      <c r="PUI135" s="271"/>
      <c r="PUJ135" s="271"/>
      <c r="PUK135" s="271"/>
      <c r="PUL135" s="221"/>
      <c r="PUM135" s="221"/>
      <c r="PUN135" s="221"/>
      <c r="PUO135" s="258"/>
      <c r="PUP135" s="270"/>
      <c r="PUQ135" s="271"/>
      <c r="PUR135" s="271"/>
      <c r="PUS135" s="271"/>
      <c r="PUT135" s="221"/>
      <c r="PUU135" s="221"/>
      <c r="PUV135" s="221"/>
      <c r="PUW135" s="258"/>
      <c r="PUX135" s="270"/>
      <c r="PUY135" s="271"/>
      <c r="PUZ135" s="271"/>
      <c r="PVA135" s="271"/>
      <c r="PVB135" s="221"/>
      <c r="PVC135" s="221"/>
      <c r="PVD135" s="221"/>
      <c r="PVE135" s="258"/>
      <c r="PVF135" s="270"/>
      <c r="PVG135" s="271"/>
      <c r="PVH135" s="271"/>
      <c r="PVI135" s="271"/>
      <c r="PVJ135" s="221"/>
      <c r="PVK135" s="221"/>
      <c r="PVL135" s="221"/>
      <c r="PVM135" s="258"/>
      <c r="PVN135" s="270"/>
      <c r="PVO135" s="271"/>
      <c r="PVP135" s="271"/>
      <c r="PVQ135" s="271"/>
      <c r="PVR135" s="221"/>
      <c r="PVS135" s="221"/>
      <c r="PVT135" s="221"/>
      <c r="PVU135" s="258"/>
      <c r="PVV135" s="270"/>
      <c r="PVW135" s="271"/>
      <c r="PVX135" s="271"/>
      <c r="PVY135" s="271"/>
      <c r="PVZ135" s="221"/>
      <c r="PWA135" s="221"/>
      <c r="PWB135" s="221"/>
      <c r="PWC135" s="258"/>
      <c r="PWD135" s="270"/>
      <c r="PWE135" s="271"/>
      <c r="PWF135" s="271"/>
      <c r="PWG135" s="271"/>
      <c r="PWH135" s="221"/>
      <c r="PWI135" s="221"/>
      <c r="PWJ135" s="221"/>
      <c r="PWK135" s="258"/>
      <c r="PWL135" s="270"/>
      <c r="PWM135" s="271"/>
      <c r="PWN135" s="271"/>
      <c r="PWO135" s="271"/>
      <c r="PWP135" s="221"/>
      <c r="PWQ135" s="221"/>
      <c r="PWR135" s="221"/>
      <c r="PWS135" s="258"/>
      <c r="PWT135" s="270"/>
      <c r="PWU135" s="271"/>
      <c r="PWV135" s="271"/>
      <c r="PWW135" s="271"/>
      <c r="PWX135" s="221"/>
      <c r="PWY135" s="221"/>
      <c r="PWZ135" s="221"/>
      <c r="PXA135" s="258"/>
      <c r="PXB135" s="270"/>
      <c r="PXC135" s="271"/>
      <c r="PXD135" s="271"/>
      <c r="PXE135" s="271"/>
      <c r="PXF135" s="221"/>
      <c r="PXG135" s="221"/>
      <c r="PXH135" s="221"/>
      <c r="PXI135" s="258"/>
      <c r="PXJ135" s="270"/>
      <c r="PXK135" s="271"/>
      <c r="PXL135" s="271"/>
      <c r="PXM135" s="271"/>
      <c r="PXN135" s="221"/>
      <c r="PXO135" s="221"/>
      <c r="PXP135" s="221"/>
      <c r="PXQ135" s="258"/>
      <c r="PXR135" s="270"/>
      <c r="PXS135" s="271"/>
      <c r="PXT135" s="271"/>
      <c r="PXU135" s="271"/>
      <c r="PXV135" s="221"/>
      <c r="PXW135" s="221"/>
      <c r="PXX135" s="221"/>
      <c r="PXY135" s="258"/>
      <c r="PXZ135" s="270"/>
      <c r="PYA135" s="271"/>
      <c r="PYB135" s="271"/>
      <c r="PYC135" s="271"/>
      <c r="PYD135" s="221"/>
      <c r="PYE135" s="221"/>
      <c r="PYF135" s="221"/>
      <c r="PYG135" s="258"/>
      <c r="PYH135" s="270"/>
      <c r="PYI135" s="271"/>
      <c r="PYJ135" s="271"/>
      <c r="PYK135" s="271"/>
      <c r="PYL135" s="221"/>
      <c r="PYM135" s="221"/>
      <c r="PYN135" s="221"/>
      <c r="PYO135" s="258"/>
      <c r="PYP135" s="270"/>
      <c r="PYQ135" s="271"/>
      <c r="PYR135" s="271"/>
      <c r="PYS135" s="271"/>
      <c r="PYT135" s="221"/>
      <c r="PYU135" s="221"/>
      <c r="PYV135" s="221"/>
      <c r="PYW135" s="258"/>
      <c r="PYX135" s="270"/>
      <c r="PYY135" s="271"/>
      <c r="PYZ135" s="271"/>
      <c r="PZA135" s="271"/>
      <c r="PZB135" s="221"/>
      <c r="PZC135" s="221"/>
      <c r="PZD135" s="221"/>
      <c r="PZE135" s="258"/>
      <c r="PZF135" s="270"/>
      <c r="PZG135" s="271"/>
      <c r="PZH135" s="271"/>
      <c r="PZI135" s="271"/>
      <c r="PZJ135" s="221"/>
      <c r="PZK135" s="221"/>
      <c r="PZL135" s="221"/>
      <c r="PZM135" s="258"/>
      <c r="PZN135" s="270"/>
      <c r="PZO135" s="271"/>
      <c r="PZP135" s="271"/>
      <c r="PZQ135" s="271"/>
      <c r="PZR135" s="221"/>
      <c r="PZS135" s="221"/>
      <c r="PZT135" s="221"/>
      <c r="PZU135" s="258"/>
      <c r="PZV135" s="270"/>
      <c r="PZW135" s="271"/>
      <c r="PZX135" s="271"/>
      <c r="PZY135" s="271"/>
      <c r="PZZ135" s="221"/>
      <c r="QAA135" s="221"/>
      <c r="QAB135" s="221"/>
      <c r="QAC135" s="258"/>
      <c r="QAD135" s="270"/>
      <c r="QAE135" s="271"/>
      <c r="QAF135" s="271"/>
      <c r="QAG135" s="271"/>
      <c r="QAH135" s="221"/>
      <c r="QAI135" s="221"/>
      <c r="QAJ135" s="221"/>
      <c r="QAK135" s="258"/>
      <c r="QAL135" s="270"/>
      <c r="QAM135" s="271"/>
      <c r="QAN135" s="271"/>
      <c r="QAO135" s="271"/>
      <c r="QAP135" s="221"/>
      <c r="QAQ135" s="221"/>
      <c r="QAR135" s="221"/>
      <c r="QAS135" s="258"/>
      <c r="QAT135" s="270"/>
      <c r="QAU135" s="271"/>
      <c r="QAV135" s="271"/>
      <c r="QAW135" s="271"/>
      <c r="QAX135" s="221"/>
      <c r="QAY135" s="221"/>
      <c r="QAZ135" s="221"/>
      <c r="QBA135" s="258"/>
      <c r="QBB135" s="270"/>
      <c r="QBC135" s="271"/>
      <c r="QBD135" s="271"/>
      <c r="QBE135" s="271"/>
      <c r="QBF135" s="221"/>
      <c r="QBG135" s="221"/>
      <c r="QBH135" s="221"/>
      <c r="QBI135" s="258"/>
      <c r="QBJ135" s="270"/>
      <c r="QBK135" s="271"/>
      <c r="QBL135" s="271"/>
      <c r="QBM135" s="271"/>
      <c r="QBN135" s="221"/>
      <c r="QBO135" s="221"/>
      <c r="QBP135" s="221"/>
      <c r="QBQ135" s="258"/>
      <c r="QBR135" s="270"/>
      <c r="QBS135" s="271"/>
      <c r="QBT135" s="271"/>
      <c r="QBU135" s="271"/>
      <c r="QBV135" s="221"/>
      <c r="QBW135" s="221"/>
      <c r="QBX135" s="221"/>
      <c r="QBY135" s="258"/>
      <c r="QBZ135" s="270"/>
      <c r="QCA135" s="271"/>
      <c r="QCB135" s="271"/>
      <c r="QCC135" s="271"/>
      <c r="QCD135" s="221"/>
      <c r="QCE135" s="221"/>
      <c r="QCF135" s="221"/>
      <c r="QCG135" s="258"/>
      <c r="QCH135" s="270"/>
      <c r="QCI135" s="271"/>
      <c r="QCJ135" s="271"/>
      <c r="QCK135" s="271"/>
      <c r="QCL135" s="221"/>
      <c r="QCM135" s="221"/>
      <c r="QCN135" s="221"/>
      <c r="QCO135" s="258"/>
      <c r="QCP135" s="270"/>
      <c r="QCQ135" s="271"/>
      <c r="QCR135" s="271"/>
      <c r="QCS135" s="271"/>
      <c r="QCT135" s="221"/>
      <c r="QCU135" s="221"/>
      <c r="QCV135" s="221"/>
      <c r="QCW135" s="258"/>
      <c r="QCX135" s="270"/>
      <c r="QCY135" s="271"/>
      <c r="QCZ135" s="271"/>
      <c r="QDA135" s="271"/>
      <c r="QDB135" s="221"/>
      <c r="QDC135" s="221"/>
      <c r="QDD135" s="221"/>
      <c r="QDE135" s="258"/>
      <c r="QDF135" s="270"/>
      <c r="QDG135" s="271"/>
      <c r="QDH135" s="271"/>
      <c r="QDI135" s="271"/>
      <c r="QDJ135" s="221"/>
      <c r="QDK135" s="221"/>
      <c r="QDL135" s="221"/>
      <c r="QDM135" s="258"/>
      <c r="QDN135" s="270"/>
      <c r="QDO135" s="271"/>
      <c r="QDP135" s="271"/>
      <c r="QDQ135" s="271"/>
      <c r="QDR135" s="221"/>
      <c r="QDS135" s="221"/>
      <c r="QDT135" s="221"/>
      <c r="QDU135" s="258"/>
      <c r="QDV135" s="270"/>
      <c r="QDW135" s="271"/>
      <c r="QDX135" s="271"/>
      <c r="QDY135" s="271"/>
      <c r="QDZ135" s="221"/>
      <c r="QEA135" s="221"/>
      <c r="QEB135" s="221"/>
      <c r="QEC135" s="258"/>
      <c r="QED135" s="270"/>
      <c r="QEE135" s="271"/>
      <c r="QEF135" s="271"/>
      <c r="QEG135" s="271"/>
      <c r="QEH135" s="221"/>
      <c r="QEI135" s="221"/>
      <c r="QEJ135" s="221"/>
      <c r="QEK135" s="258"/>
      <c r="QEL135" s="270"/>
      <c r="QEM135" s="271"/>
      <c r="QEN135" s="271"/>
      <c r="QEO135" s="271"/>
      <c r="QEP135" s="221"/>
      <c r="QEQ135" s="221"/>
      <c r="QER135" s="221"/>
      <c r="QES135" s="258"/>
      <c r="QET135" s="270"/>
      <c r="QEU135" s="271"/>
      <c r="QEV135" s="271"/>
      <c r="QEW135" s="271"/>
      <c r="QEX135" s="221"/>
      <c r="QEY135" s="221"/>
      <c r="QEZ135" s="221"/>
      <c r="QFA135" s="258"/>
      <c r="QFB135" s="270"/>
      <c r="QFC135" s="271"/>
      <c r="QFD135" s="271"/>
      <c r="QFE135" s="271"/>
      <c r="QFF135" s="221"/>
      <c r="QFG135" s="221"/>
      <c r="QFH135" s="221"/>
      <c r="QFI135" s="258"/>
      <c r="QFJ135" s="270"/>
      <c r="QFK135" s="271"/>
      <c r="QFL135" s="271"/>
      <c r="QFM135" s="271"/>
      <c r="QFN135" s="221"/>
      <c r="QFO135" s="221"/>
      <c r="QFP135" s="221"/>
      <c r="QFQ135" s="258"/>
      <c r="QFR135" s="270"/>
      <c r="QFS135" s="271"/>
      <c r="QFT135" s="271"/>
      <c r="QFU135" s="271"/>
      <c r="QFV135" s="221"/>
      <c r="QFW135" s="221"/>
      <c r="QFX135" s="221"/>
      <c r="QFY135" s="258"/>
      <c r="QFZ135" s="270"/>
      <c r="QGA135" s="271"/>
      <c r="QGB135" s="271"/>
      <c r="QGC135" s="271"/>
      <c r="QGD135" s="221"/>
      <c r="QGE135" s="221"/>
      <c r="QGF135" s="221"/>
      <c r="QGG135" s="258"/>
      <c r="QGH135" s="270"/>
      <c r="QGI135" s="271"/>
      <c r="QGJ135" s="271"/>
      <c r="QGK135" s="271"/>
      <c r="QGL135" s="221"/>
      <c r="QGM135" s="221"/>
      <c r="QGN135" s="221"/>
      <c r="QGO135" s="258"/>
      <c r="QGP135" s="270"/>
      <c r="QGQ135" s="271"/>
      <c r="QGR135" s="271"/>
      <c r="QGS135" s="271"/>
      <c r="QGT135" s="221"/>
      <c r="QGU135" s="221"/>
      <c r="QGV135" s="221"/>
      <c r="QGW135" s="258"/>
      <c r="QGX135" s="270"/>
      <c r="QGY135" s="271"/>
      <c r="QGZ135" s="271"/>
      <c r="QHA135" s="271"/>
      <c r="QHB135" s="221"/>
      <c r="QHC135" s="221"/>
      <c r="QHD135" s="221"/>
      <c r="QHE135" s="258"/>
      <c r="QHF135" s="270"/>
      <c r="QHG135" s="271"/>
      <c r="QHH135" s="271"/>
      <c r="QHI135" s="271"/>
      <c r="QHJ135" s="221"/>
      <c r="QHK135" s="221"/>
      <c r="QHL135" s="221"/>
      <c r="QHM135" s="258"/>
      <c r="QHN135" s="270"/>
      <c r="QHO135" s="271"/>
      <c r="QHP135" s="271"/>
      <c r="QHQ135" s="271"/>
      <c r="QHR135" s="221"/>
      <c r="QHS135" s="221"/>
      <c r="QHT135" s="221"/>
      <c r="QHU135" s="258"/>
      <c r="QHV135" s="270"/>
      <c r="QHW135" s="271"/>
      <c r="QHX135" s="271"/>
      <c r="QHY135" s="271"/>
      <c r="QHZ135" s="221"/>
      <c r="QIA135" s="221"/>
      <c r="QIB135" s="221"/>
      <c r="QIC135" s="258"/>
      <c r="QID135" s="270"/>
      <c r="QIE135" s="271"/>
      <c r="QIF135" s="271"/>
      <c r="QIG135" s="271"/>
      <c r="QIH135" s="221"/>
      <c r="QII135" s="221"/>
      <c r="QIJ135" s="221"/>
      <c r="QIK135" s="258"/>
      <c r="QIL135" s="270"/>
      <c r="QIM135" s="271"/>
      <c r="QIN135" s="271"/>
      <c r="QIO135" s="271"/>
      <c r="QIP135" s="221"/>
      <c r="QIQ135" s="221"/>
      <c r="QIR135" s="221"/>
      <c r="QIS135" s="258"/>
      <c r="QIT135" s="270"/>
      <c r="QIU135" s="271"/>
      <c r="QIV135" s="271"/>
      <c r="QIW135" s="271"/>
      <c r="QIX135" s="221"/>
      <c r="QIY135" s="221"/>
      <c r="QIZ135" s="221"/>
      <c r="QJA135" s="258"/>
      <c r="QJB135" s="270"/>
      <c r="QJC135" s="271"/>
      <c r="QJD135" s="271"/>
      <c r="QJE135" s="271"/>
      <c r="QJF135" s="221"/>
      <c r="QJG135" s="221"/>
      <c r="QJH135" s="221"/>
      <c r="QJI135" s="258"/>
      <c r="QJJ135" s="270"/>
      <c r="QJK135" s="271"/>
      <c r="QJL135" s="271"/>
      <c r="QJM135" s="271"/>
      <c r="QJN135" s="221"/>
      <c r="QJO135" s="221"/>
      <c r="QJP135" s="221"/>
      <c r="QJQ135" s="258"/>
      <c r="QJR135" s="270"/>
      <c r="QJS135" s="271"/>
      <c r="QJT135" s="271"/>
      <c r="QJU135" s="271"/>
      <c r="QJV135" s="221"/>
      <c r="QJW135" s="221"/>
      <c r="QJX135" s="221"/>
      <c r="QJY135" s="258"/>
      <c r="QJZ135" s="270"/>
      <c r="QKA135" s="271"/>
      <c r="QKB135" s="271"/>
      <c r="QKC135" s="271"/>
      <c r="QKD135" s="221"/>
      <c r="QKE135" s="221"/>
      <c r="QKF135" s="221"/>
      <c r="QKG135" s="258"/>
      <c r="QKH135" s="270"/>
      <c r="QKI135" s="271"/>
      <c r="QKJ135" s="271"/>
      <c r="QKK135" s="271"/>
      <c r="QKL135" s="221"/>
      <c r="QKM135" s="221"/>
      <c r="QKN135" s="221"/>
      <c r="QKO135" s="258"/>
      <c r="QKP135" s="270"/>
      <c r="QKQ135" s="271"/>
      <c r="QKR135" s="271"/>
      <c r="QKS135" s="271"/>
      <c r="QKT135" s="221"/>
      <c r="QKU135" s="221"/>
      <c r="QKV135" s="221"/>
      <c r="QKW135" s="258"/>
      <c r="QKX135" s="270"/>
      <c r="QKY135" s="271"/>
      <c r="QKZ135" s="271"/>
      <c r="QLA135" s="271"/>
      <c r="QLB135" s="221"/>
      <c r="QLC135" s="221"/>
      <c r="QLD135" s="221"/>
      <c r="QLE135" s="258"/>
      <c r="QLF135" s="270"/>
      <c r="QLG135" s="271"/>
      <c r="QLH135" s="271"/>
      <c r="QLI135" s="271"/>
      <c r="QLJ135" s="221"/>
      <c r="QLK135" s="221"/>
      <c r="QLL135" s="221"/>
      <c r="QLM135" s="258"/>
      <c r="QLN135" s="270"/>
      <c r="QLO135" s="271"/>
      <c r="QLP135" s="271"/>
      <c r="QLQ135" s="271"/>
      <c r="QLR135" s="221"/>
      <c r="QLS135" s="221"/>
      <c r="QLT135" s="221"/>
      <c r="QLU135" s="258"/>
      <c r="QLV135" s="270"/>
      <c r="QLW135" s="271"/>
      <c r="QLX135" s="271"/>
      <c r="QLY135" s="271"/>
      <c r="QLZ135" s="221"/>
      <c r="QMA135" s="221"/>
      <c r="QMB135" s="221"/>
      <c r="QMC135" s="258"/>
      <c r="QMD135" s="270"/>
      <c r="QME135" s="271"/>
      <c r="QMF135" s="271"/>
      <c r="QMG135" s="271"/>
      <c r="QMH135" s="221"/>
      <c r="QMI135" s="221"/>
      <c r="QMJ135" s="221"/>
      <c r="QMK135" s="258"/>
      <c r="QML135" s="270"/>
      <c r="QMM135" s="271"/>
      <c r="QMN135" s="271"/>
      <c r="QMO135" s="271"/>
      <c r="QMP135" s="221"/>
      <c r="QMQ135" s="221"/>
      <c r="QMR135" s="221"/>
      <c r="QMS135" s="258"/>
      <c r="QMT135" s="270"/>
      <c r="QMU135" s="271"/>
      <c r="QMV135" s="271"/>
      <c r="QMW135" s="271"/>
      <c r="QMX135" s="221"/>
      <c r="QMY135" s="221"/>
      <c r="QMZ135" s="221"/>
      <c r="QNA135" s="258"/>
      <c r="QNB135" s="270"/>
      <c r="QNC135" s="271"/>
      <c r="QND135" s="271"/>
      <c r="QNE135" s="271"/>
      <c r="QNF135" s="221"/>
      <c r="QNG135" s="221"/>
      <c r="QNH135" s="221"/>
      <c r="QNI135" s="258"/>
      <c r="QNJ135" s="270"/>
      <c r="QNK135" s="271"/>
      <c r="QNL135" s="271"/>
      <c r="QNM135" s="271"/>
      <c r="QNN135" s="221"/>
      <c r="QNO135" s="221"/>
      <c r="QNP135" s="221"/>
      <c r="QNQ135" s="258"/>
      <c r="QNR135" s="270"/>
      <c r="QNS135" s="271"/>
      <c r="QNT135" s="271"/>
      <c r="QNU135" s="271"/>
      <c r="QNV135" s="221"/>
      <c r="QNW135" s="221"/>
      <c r="QNX135" s="221"/>
      <c r="QNY135" s="258"/>
      <c r="QNZ135" s="270"/>
      <c r="QOA135" s="271"/>
      <c r="QOB135" s="271"/>
      <c r="QOC135" s="271"/>
      <c r="QOD135" s="221"/>
      <c r="QOE135" s="221"/>
      <c r="QOF135" s="221"/>
      <c r="QOG135" s="258"/>
      <c r="QOH135" s="270"/>
      <c r="QOI135" s="271"/>
      <c r="QOJ135" s="271"/>
      <c r="QOK135" s="271"/>
      <c r="QOL135" s="221"/>
      <c r="QOM135" s="221"/>
      <c r="QON135" s="221"/>
      <c r="QOO135" s="258"/>
      <c r="QOP135" s="270"/>
      <c r="QOQ135" s="271"/>
      <c r="QOR135" s="271"/>
      <c r="QOS135" s="271"/>
      <c r="QOT135" s="221"/>
      <c r="QOU135" s="221"/>
      <c r="QOV135" s="221"/>
      <c r="QOW135" s="258"/>
      <c r="QOX135" s="270"/>
      <c r="QOY135" s="271"/>
      <c r="QOZ135" s="271"/>
      <c r="QPA135" s="271"/>
      <c r="QPB135" s="221"/>
      <c r="QPC135" s="221"/>
      <c r="QPD135" s="221"/>
      <c r="QPE135" s="258"/>
      <c r="QPF135" s="270"/>
      <c r="QPG135" s="271"/>
      <c r="QPH135" s="271"/>
      <c r="QPI135" s="271"/>
      <c r="QPJ135" s="221"/>
      <c r="QPK135" s="221"/>
      <c r="QPL135" s="221"/>
      <c r="QPM135" s="258"/>
      <c r="QPN135" s="270"/>
      <c r="QPO135" s="271"/>
      <c r="QPP135" s="271"/>
      <c r="QPQ135" s="271"/>
      <c r="QPR135" s="221"/>
      <c r="QPS135" s="221"/>
      <c r="QPT135" s="221"/>
      <c r="QPU135" s="258"/>
      <c r="QPV135" s="270"/>
      <c r="QPW135" s="271"/>
      <c r="QPX135" s="271"/>
      <c r="QPY135" s="271"/>
      <c r="QPZ135" s="221"/>
      <c r="QQA135" s="221"/>
      <c r="QQB135" s="221"/>
      <c r="QQC135" s="258"/>
      <c r="QQD135" s="270"/>
      <c r="QQE135" s="271"/>
      <c r="QQF135" s="271"/>
      <c r="QQG135" s="271"/>
      <c r="QQH135" s="221"/>
      <c r="QQI135" s="221"/>
      <c r="QQJ135" s="221"/>
      <c r="QQK135" s="258"/>
      <c r="QQL135" s="270"/>
      <c r="QQM135" s="271"/>
      <c r="QQN135" s="271"/>
      <c r="QQO135" s="271"/>
      <c r="QQP135" s="221"/>
      <c r="QQQ135" s="221"/>
      <c r="QQR135" s="221"/>
      <c r="QQS135" s="258"/>
      <c r="QQT135" s="270"/>
      <c r="QQU135" s="271"/>
      <c r="QQV135" s="271"/>
      <c r="QQW135" s="271"/>
      <c r="QQX135" s="221"/>
      <c r="QQY135" s="221"/>
      <c r="QQZ135" s="221"/>
      <c r="QRA135" s="258"/>
      <c r="QRB135" s="270"/>
      <c r="QRC135" s="271"/>
      <c r="QRD135" s="271"/>
      <c r="QRE135" s="271"/>
      <c r="QRF135" s="221"/>
      <c r="QRG135" s="221"/>
      <c r="QRH135" s="221"/>
      <c r="QRI135" s="258"/>
      <c r="QRJ135" s="270"/>
      <c r="QRK135" s="271"/>
      <c r="QRL135" s="271"/>
      <c r="QRM135" s="271"/>
      <c r="QRN135" s="221"/>
      <c r="QRO135" s="221"/>
      <c r="QRP135" s="221"/>
      <c r="QRQ135" s="258"/>
      <c r="QRR135" s="270"/>
      <c r="QRS135" s="271"/>
      <c r="QRT135" s="271"/>
      <c r="QRU135" s="271"/>
      <c r="QRV135" s="221"/>
      <c r="QRW135" s="221"/>
      <c r="QRX135" s="221"/>
      <c r="QRY135" s="258"/>
      <c r="QRZ135" s="270"/>
      <c r="QSA135" s="271"/>
      <c r="QSB135" s="271"/>
      <c r="QSC135" s="271"/>
      <c r="QSD135" s="221"/>
      <c r="QSE135" s="221"/>
      <c r="QSF135" s="221"/>
      <c r="QSG135" s="258"/>
      <c r="QSH135" s="270"/>
      <c r="QSI135" s="271"/>
      <c r="QSJ135" s="271"/>
      <c r="QSK135" s="271"/>
      <c r="QSL135" s="221"/>
      <c r="QSM135" s="221"/>
      <c r="QSN135" s="221"/>
      <c r="QSO135" s="258"/>
      <c r="QSP135" s="270"/>
      <c r="QSQ135" s="271"/>
      <c r="QSR135" s="271"/>
      <c r="QSS135" s="271"/>
      <c r="QST135" s="221"/>
      <c r="QSU135" s="221"/>
      <c r="QSV135" s="221"/>
      <c r="QSW135" s="258"/>
      <c r="QSX135" s="270"/>
      <c r="QSY135" s="271"/>
      <c r="QSZ135" s="271"/>
      <c r="QTA135" s="271"/>
      <c r="QTB135" s="221"/>
      <c r="QTC135" s="221"/>
      <c r="QTD135" s="221"/>
      <c r="QTE135" s="258"/>
      <c r="QTF135" s="270"/>
      <c r="QTG135" s="271"/>
      <c r="QTH135" s="271"/>
      <c r="QTI135" s="271"/>
      <c r="QTJ135" s="221"/>
      <c r="QTK135" s="221"/>
      <c r="QTL135" s="221"/>
      <c r="QTM135" s="258"/>
      <c r="QTN135" s="270"/>
      <c r="QTO135" s="271"/>
      <c r="QTP135" s="271"/>
      <c r="QTQ135" s="271"/>
      <c r="QTR135" s="221"/>
      <c r="QTS135" s="221"/>
      <c r="QTT135" s="221"/>
      <c r="QTU135" s="258"/>
      <c r="QTV135" s="270"/>
      <c r="QTW135" s="271"/>
      <c r="QTX135" s="271"/>
      <c r="QTY135" s="271"/>
      <c r="QTZ135" s="221"/>
      <c r="QUA135" s="221"/>
      <c r="QUB135" s="221"/>
      <c r="QUC135" s="258"/>
      <c r="QUD135" s="270"/>
      <c r="QUE135" s="271"/>
      <c r="QUF135" s="271"/>
      <c r="QUG135" s="271"/>
      <c r="QUH135" s="221"/>
      <c r="QUI135" s="221"/>
      <c r="QUJ135" s="221"/>
      <c r="QUK135" s="258"/>
      <c r="QUL135" s="270"/>
      <c r="QUM135" s="271"/>
      <c r="QUN135" s="271"/>
      <c r="QUO135" s="271"/>
      <c r="QUP135" s="221"/>
      <c r="QUQ135" s="221"/>
      <c r="QUR135" s="221"/>
      <c r="QUS135" s="258"/>
      <c r="QUT135" s="270"/>
      <c r="QUU135" s="271"/>
      <c r="QUV135" s="271"/>
      <c r="QUW135" s="271"/>
      <c r="QUX135" s="221"/>
      <c r="QUY135" s="221"/>
      <c r="QUZ135" s="221"/>
      <c r="QVA135" s="258"/>
      <c r="QVB135" s="270"/>
      <c r="QVC135" s="271"/>
      <c r="QVD135" s="271"/>
      <c r="QVE135" s="271"/>
      <c r="QVF135" s="221"/>
      <c r="QVG135" s="221"/>
      <c r="QVH135" s="221"/>
      <c r="QVI135" s="258"/>
      <c r="QVJ135" s="270"/>
      <c r="QVK135" s="271"/>
      <c r="QVL135" s="271"/>
      <c r="QVM135" s="271"/>
      <c r="QVN135" s="221"/>
      <c r="QVO135" s="221"/>
      <c r="QVP135" s="221"/>
      <c r="QVQ135" s="258"/>
      <c r="QVR135" s="270"/>
      <c r="QVS135" s="271"/>
      <c r="QVT135" s="271"/>
      <c r="QVU135" s="271"/>
      <c r="QVV135" s="221"/>
      <c r="QVW135" s="221"/>
      <c r="QVX135" s="221"/>
      <c r="QVY135" s="258"/>
      <c r="QVZ135" s="270"/>
      <c r="QWA135" s="271"/>
      <c r="QWB135" s="271"/>
      <c r="QWC135" s="271"/>
      <c r="QWD135" s="221"/>
      <c r="QWE135" s="221"/>
      <c r="QWF135" s="221"/>
      <c r="QWG135" s="258"/>
      <c r="QWH135" s="270"/>
      <c r="QWI135" s="271"/>
      <c r="QWJ135" s="271"/>
      <c r="QWK135" s="271"/>
      <c r="QWL135" s="221"/>
      <c r="QWM135" s="221"/>
      <c r="QWN135" s="221"/>
      <c r="QWO135" s="258"/>
      <c r="QWP135" s="270"/>
      <c r="QWQ135" s="271"/>
      <c r="QWR135" s="271"/>
      <c r="QWS135" s="271"/>
      <c r="QWT135" s="221"/>
      <c r="QWU135" s="221"/>
      <c r="QWV135" s="221"/>
      <c r="QWW135" s="258"/>
      <c r="QWX135" s="270"/>
      <c r="QWY135" s="271"/>
      <c r="QWZ135" s="271"/>
      <c r="QXA135" s="271"/>
      <c r="QXB135" s="221"/>
      <c r="QXC135" s="221"/>
      <c r="QXD135" s="221"/>
      <c r="QXE135" s="258"/>
      <c r="QXF135" s="270"/>
      <c r="QXG135" s="271"/>
      <c r="QXH135" s="271"/>
      <c r="QXI135" s="271"/>
      <c r="QXJ135" s="221"/>
      <c r="QXK135" s="221"/>
      <c r="QXL135" s="221"/>
      <c r="QXM135" s="258"/>
      <c r="QXN135" s="270"/>
      <c r="QXO135" s="271"/>
      <c r="QXP135" s="271"/>
      <c r="QXQ135" s="271"/>
      <c r="QXR135" s="221"/>
      <c r="QXS135" s="221"/>
      <c r="QXT135" s="221"/>
      <c r="QXU135" s="258"/>
      <c r="QXV135" s="270"/>
      <c r="QXW135" s="271"/>
      <c r="QXX135" s="271"/>
      <c r="QXY135" s="271"/>
      <c r="QXZ135" s="221"/>
      <c r="QYA135" s="221"/>
      <c r="QYB135" s="221"/>
      <c r="QYC135" s="258"/>
      <c r="QYD135" s="270"/>
      <c r="QYE135" s="271"/>
      <c r="QYF135" s="271"/>
      <c r="QYG135" s="271"/>
      <c r="QYH135" s="221"/>
      <c r="QYI135" s="221"/>
      <c r="QYJ135" s="221"/>
      <c r="QYK135" s="258"/>
      <c r="QYL135" s="270"/>
      <c r="QYM135" s="271"/>
      <c r="QYN135" s="271"/>
      <c r="QYO135" s="271"/>
      <c r="QYP135" s="221"/>
      <c r="QYQ135" s="221"/>
      <c r="QYR135" s="221"/>
      <c r="QYS135" s="258"/>
      <c r="QYT135" s="270"/>
      <c r="QYU135" s="271"/>
      <c r="QYV135" s="271"/>
      <c r="QYW135" s="271"/>
      <c r="QYX135" s="221"/>
      <c r="QYY135" s="221"/>
      <c r="QYZ135" s="221"/>
      <c r="QZA135" s="258"/>
      <c r="QZB135" s="270"/>
      <c r="QZC135" s="271"/>
      <c r="QZD135" s="271"/>
      <c r="QZE135" s="271"/>
      <c r="QZF135" s="221"/>
      <c r="QZG135" s="221"/>
      <c r="QZH135" s="221"/>
      <c r="QZI135" s="258"/>
      <c r="QZJ135" s="270"/>
      <c r="QZK135" s="271"/>
      <c r="QZL135" s="271"/>
      <c r="QZM135" s="271"/>
      <c r="QZN135" s="221"/>
      <c r="QZO135" s="221"/>
      <c r="QZP135" s="221"/>
      <c r="QZQ135" s="258"/>
      <c r="QZR135" s="270"/>
      <c r="QZS135" s="271"/>
      <c r="QZT135" s="271"/>
      <c r="QZU135" s="271"/>
      <c r="QZV135" s="221"/>
      <c r="QZW135" s="221"/>
      <c r="QZX135" s="221"/>
      <c r="QZY135" s="258"/>
      <c r="QZZ135" s="270"/>
      <c r="RAA135" s="271"/>
      <c r="RAB135" s="271"/>
      <c r="RAC135" s="271"/>
      <c r="RAD135" s="221"/>
      <c r="RAE135" s="221"/>
      <c r="RAF135" s="221"/>
      <c r="RAG135" s="258"/>
      <c r="RAH135" s="270"/>
      <c r="RAI135" s="271"/>
      <c r="RAJ135" s="271"/>
      <c r="RAK135" s="271"/>
      <c r="RAL135" s="221"/>
      <c r="RAM135" s="221"/>
      <c r="RAN135" s="221"/>
      <c r="RAO135" s="258"/>
      <c r="RAP135" s="270"/>
      <c r="RAQ135" s="271"/>
      <c r="RAR135" s="271"/>
      <c r="RAS135" s="271"/>
      <c r="RAT135" s="221"/>
      <c r="RAU135" s="221"/>
      <c r="RAV135" s="221"/>
      <c r="RAW135" s="258"/>
      <c r="RAX135" s="270"/>
      <c r="RAY135" s="271"/>
      <c r="RAZ135" s="271"/>
      <c r="RBA135" s="271"/>
      <c r="RBB135" s="221"/>
      <c r="RBC135" s="221"/>
      <c r="RBD135" s="221"/>
      <c r="RBE135" s="258"/>
      <c r="RBF135" s="270"/>
      <c r="RBG135" s="271"/>
      <c r="RBH135" s="271"/>
      <c r="RBI135" s="271"/>
      <c r="RBJ135" s="221"/>
      <c r="RBK135" s="221"/>
      <c r="RBL135" s="221"/>
      <c r="RBM135" s="258"/>
      <c r="RBN135" s="270"/>
      <c r="RBO135" s="271"/>
      <c r="RBP135" s="271"/>
      <c r="RBQ135" s="271"/>
      <c r="RBR135" s="221"/>
      <c r="RBS135" s="221"/>
      <c r="RBT135" s="221"/>
      <c r="RBU135" s="258"/>
      <c r="RBV135" s="270"/>
      <c r="RBW135" s="271"/>
      <c r="RBX135" s="271"/>
      <c r="RBY135" s="271"/>
      <c r="RBZ135" s="221"/>
      <c r="RCA135" s="221"/>
      <c r="RCB135" s="221"/>
      <c r="RCC135" s="258"/>
      <c r="RCD135" s="270"/>
      <c r="RCE135" s="271"/>
      <c r="RCF135" s="271"/>
      <c r="RCG135" s="271"/>
      <c r="RCH135" s="221"/>
      <c r="RCI135" s="221"/>
      <c r="RCJ135" s="221"/>
      <c r="RCK135" s="258"/>
      <c r="RCL135" s="270"/>
      <c r="RCM135" s="271"/>
      <c r="RCN135" s="271"/>
      <c r="RCO135" s="271"/>
      <c r="RCP135" s="221"/>
      <c r="RCQ135" s="221"/>
      <c r="RCR135" s="221"/>
      <c r="RCS135" s="258"/>
      <c r="RCT135" s="270"/>
      <c r="RCU135" s="271"/>
      <c r="RCV135" s="271"/>
      <c r="RCW135" s="271"/>
      <c r="RCX135" s="221"/>
      <c r="RCY135" s="221"/>
      <c r="RCZ135" s="221"/>
      <c r="RDA135" s="258"/>
      <c r="RDB135" s="270"/>
      <c r="RDC135" s="271"/>
      <c r="RDD135" s="271"/>
      <c r="RDE135" s="271"/>
      <c r="RDF135" s="221"/>
      <c r="RDG135" s="221"/>
      <c r="RDH135" s="221"/>
      <c r="RDI135" s="258"/>
      <c r="RDJ135" s="270"/>
      <c r="RDK135" s="271"/>
      <c r="RDL135" s="271"/>
      <c r="RDM135" s="271"/>
      <c r="RDN135" s="221"/>
      <c r="RDO135" s="221"/>
      <c r="RDP135" s="221"/>
      <c r="RDQ135" s="258"/>
      <c r="RDR135" s="270"/>
      <c r="RDS135" s="271"/>
      <c r="RDT135" s="271"/>
      <c r="RDU135" s="271"/>
      <c r="RDV135" s="221"/>
      <c r="RDW135" s="221"/>
      <c r="RDX135" s="221"/>
      <c r="RDY135" s="258"/>
      <c r="RDZ135" s="270"/>
      <c r="REA135" s="271"/>
      <c r="REB135" s="271"/>
      <c r="REC135" s="271"/>
      <c r="RED135" s="221"/>
      <c r="REE135" s="221"/>
      <c r="REF135" s="221"/>
      <c r="REG135" s="258"/>
      <c r="REH135" s="270"/>
      <c r="REI135" s="271"/>
      <c r="REJ135" s="271"/>
      <c r="REK135" s="271"/>
      <c r="REL135" s="221"/>
      <c r="REM135" s="221"/>
      <c r="REN135" s="221"/>
      <c r="REO135" s="258"/>
      <c r="REP135" s="270"/>
      <c r="REQ135" s="271"/>
      <c r="RER135" s="271"/>
      <c r="RES135" s="271"/>
      <c r="RET135" s="221"/>
      <c r="REU135" s="221"/>
      <c r="REV135" s="221"/>
      <c r="REW135" s="258"/>
      <c r="REX135" s="270"/>
      <c r="REY135" s="271"/>
      <c r="REZ135" s="271"/>
      <c r="RFA135" s="271"/>
      <c r="RFB135" s="221"/>
      <c r="RFC135" s="221"/>
      <c r="RFD135" s="221"/>
      <c r="RFE135" s="258"/>
      <c r="RFF135" s="270"/>
      <c r="RFG135" s="271"/>
      <c r="RFH135" s="271"/>
      <c r="RFI135" s="271"/>
      <c r="RFJ135" s="221"/>
      <c r="RFK135" s="221"/>
      <c r="RFL135" s="221"/>
      <c r="RFM135" s="258"/>
      <c r="RFN135" s="270"/>
      <c r="RFO135" s="271"/>
      <c r="RFP135" s="271"/>
      <c r="RFQ135" s="271"/>
      <c r="RFR135" s="221"/>
      <c r="RFS135" s="221"/>
      <c r="RFT135" s="221"/>
      <c r="RFU135" s="258"/>
      <c r="RFV135" s="270"/>
      <c r="RFW135" s="271"/>
      <c r="RFX135" s="271"/>
      <c r="RFY135" s="271"/>
      <c r="RFZ135" s="221"/>
      <c r="RGA135" s="221"/>
      <c r="RGB135" s="221"/>
      <c r="RGC135" s="258"/>
      <c r="RGD135" s="270"/>
      <c r="RGE135" s="271"/>
      <c r="RGF135" s="271"/>
      <c r="RGG135" s="271"/>
      <c r="RGH135" s="221"/>
      <c r="RGI135" s="221"/>
      <c r="RGJ135" s="221"/>
      <c r="RGK135" s="258"/>
      <c r="RGL135" s="270"/>
      <c r="RGM135" s="271"/>
      <c r="RGN135" s="271"/>
      <c r="RGO135" s="271"/>
      <c r="RGP135" s="221"/>
      <c r="RGQ135" s="221"/>
      <c r="RGR135" s="221"/>
      <c r="RGS135" s="258"/>
      <c r="RGT135" s="270"/>
      <c r="RGU135" s="271"/>
      <c r="RGV135" s="271"/>
      <c r="RGW135" s="271"/>
      <c r="RGX135" s="221"/>
      <c r="RGY135" s="221"/>
      <c r="RGZ135" s="221"/>
      <c r="RHA135" s="258"/>
      <c r="RHB135" s="270"/>
      <c r="RHC135" s="271"/>
      <c r="RHD135" s="271"/>
      <c r="RHE135" s="271"/>
      <c r="RHF135" s="221"/>
      <c r="RHG135" s="221"/>
      <c r="RHH135" s="221"/>
      <c r="RHI135" s="258"/>
      <c r="RHJ135" s="270"/>
      <c r="RHK135" s="271"/>
      <c r="RHL135" s="271"/>
      <c r="RHM135" s="271"/>
      <c r="RHN135" s="221"/>
      <c r="RHO135" s="221"/>
      <c r="RHP135" s="221"/>
      <c r="RHQ135" s="258"/>
      <c r="RHR135" s="270"/>
      <c r="RHS135" s="271"/>
      <c r="RHT135" s="271"/>
      <c r="RHU135" s="271"/>
      <c r="RHV135" s="221"/>
      <c r="RHW135" s="221"/>
      <c r="RHX135" s="221"/>
      <c r="RHY135" s="258"/>
      <c r="RHZ135" s="270"/>
      <c r="RIA135" s="271"/>
      <c r="RIB135" s="271"/>
      <c r="RIC135" s="271"/>
      <c r="RID135" s="221"/>
      <c r="RIE135" s="221"/>
      <c r="RIF135" s="221"/>
      <c r="RIG135" s="258"/>
      <c r="RIH135" s="270"/>
      <c r="RII135" s="271"/>
      <c r="RIJ135" s="271"/>
      <c r="RIK135" s="271"/>
      <c r="RIL135" s="221"/>
      <c r="RIM135" s="221"/>
      <c r="RIN135" s="221"/>
      <c r="RIO135" s="258"/>
      <c r="RIP135" s="270"/>
      <c r="RIQ135" s="271"/>
      <c r="RIR135" s="271"/>
      <c r="RIS135" s="271"/>
      <c r="RIT135" s="221"/>
      <c r="RIU135" s="221"/>
      <c r="RIV135" s="221"/>
      <c r="RIW135" s="258"/>
      <c r="RIX135" s="270"/>
      <c r="RIY135" s="271"/>
      <c r="RIZ135" s="271"/>
      <c r="RJA135" s="271"/>
      <c r="RJB135" s="221"/>
      <c r="RJC135" s="221"/>
      <c r="RJD135" s="221"/>
      <c r="RJE135" s="258"/>
      <c r="RJF135" s="270"/>
      <c r="RJG135" s="271"/>
      <c r="RJH135" s="271"/>
      <c r="RJI135" s="271"/>
      <c r="RJJ135" s="221"/>
      <c r="RJK135" s="221"/>
      <c r="RJL135" s="221"/>
      <c r="RJM135" s="258"/>
      <c r="RJN135" s="270"/>
      <c r="RJO135" s="271"/>
      <c r="RJP135" s="271"/>
      <c r="RJQ135" s="271"/>
      <c r="RJR135" s="221"/>
      <c r="RJS135" s="221"/>
      <c r="RJT135" s="221"/>
      <c r="RJU135" s="258"/>
      <c r="RJV135" s="270"/>
      <c r="RJW135" s="271"/>
      <c r="RJX135" s="271"/>
      <c r="RJY135" s="271"/>
      <c r="RJZ135" s="221"/>
      <c r="RKA135" s="221"/>
      <c r="RKB135" s="221"/>
      <c r="RKC135" s="258"/>
      <c r="RKD135" s="270"/>
      <c r="RKE135" s="271"/>
      <c r="RKF135" s="271"/>
      <c r="RKG135" s="271"/>
      <c r="RKH135" s="221"/>
      <c r="RKI135" s="221"/>
      <c r="RKJ135" s="221"/>
      <c r="RKK135" s="258"/>
      <c r="RKL135" s="270"/>
      <c r="RKM135" s="271"/>
      <c r="RKN135" s="271"/>
      <c r="RKO135" s="271"/>
      <c r="RKP135" s="221"/>
      <c r="RKQ135" s="221"/>
      <c r="RKR135" s="221"/>
      <c r="RKS135" s="258"/>
      <c r="RKT135" s="270"/>
      <c r="RKU135" s="271"/>
      <c r="RKV135" s="271"/>
      <c r="RKW135" s="271"/>
      <c r="RKX135" s="221"/>
      <c r="RKY135" s="221"/>
      <c r="RKZ135" s="221"/>
      <c r="RLA135" s="258"/>
      <c r="RLB135" s="270"/>
      <c r="RLC135" s="271"/>
      <c r="RLD135" s="271"/>
      <c r="RLE135" s="271"/>
      <c r="RLF135" s="221"/>
      <c r="RLG135" s="221"/>
      <c r="RLH135" s="221"/>
      <c r="RLI135" s="258"/>
      <c r="RLJ135" s="270"/>
      <c r="RLK135" s="271"/>
      <c r="RLL135" s="271"/>
      <c r="RLM135" s="271"/>
      <c r="RLN135" s="221"/>
      <c r="RLO135" s="221"/>
      <c r="RLP135" s="221"/>
      <c r="RLQ135" s="258"/>
      <c r="RLR135" s="270"/>
      <c r="RLS135" s="271"/>
      <c r="RLT135" s="271"/>
      <c r="RLU135" s="271"/>
      <c r="RLV135" s="221"/>
      <c r="RLW135" s="221"/>
      <c r="RLX135" s="221"/>
      <c r="RLY135" s="258"/>
      <c r="RLZ135" s="270"/>
      <c r="RMA135" s="271"/>
      <c r="RMB135" s="271"/>
      <c r="RMC135" s="271"/>
      <c r="RMD135" s="221"/>
      <c r="RME135" s="221"/>
      <c r="RMF135" s="221"/>
      <c r="RMG135" s="258"/>
      <c r="RMH135" s="270"/>
      <c r="RMI135" s="271"/>
      <c r="RMJ135" s="271"/>
      <c r="RMK135" s="271"/>
      <c r="RML135" s="221"/>
      <c r="RMM135" s="221"/>
      <c r="RMN135" s="221"/>
      <c r="RMO135" s="258"/>
      <c r="RMP135" s="270"/>
      <c r="RMQ135" s="271"/>
      <c r="RMR135" s="271"/>
      <c r="RMS135" s="271"/>
      <c r="RMT135" s="221"/>
      <c r="RMU135" s="221"/>
      <c r="RMV135" s="221"/>
      <c r="RMW135" s="258"/>
      <c r="RMX135" s="270"/>
      <c r="RMY135" s="271"/>
      <c r="RMZ135" s="271"/>
      <c r="RNA135" s="271"/>
      <c r="RNB135" s="221"/>
      <c r="RNC135" s="221"/>
      <c r="RND135" s="221"/>
      <c r="RNE135" s="258"/>
      <c r="RNF135" s="270"/>
      <c r="RNG135" s="271"/>
      <c r="RNH135" s="271"/>
      <c r="RNI135" s="271"/>
      <c r="RNJ135" s="221"/>
      <c r="RNK135" s="221"/>
      <c r="RNL135" s="221"/>
      <c r="RNM135" s="258"/>
      <c r="RNN135" s="270"/>
      <c r="RNO135" s="271"/>
      <c r="RNP135" s="271"/>
      <c r="RNQ135" s="271"/>
      <c r="RNR135" s="221"/>
      <c r="RNS135" s="221"/>
      <c r="RNT135" s="221"/>
      <c r="RNU135" s="258"/>
      <c r="RNV135" s="270"/>
      <c r="RNW135" s="271"/>
      <c r="RNX135" s="271"/>
      <c r="RNY135" s="271"/>
      <c r="RNZ135" s="221"/>
      <c r="ROA135" s="221"/>
      <c r="ROB135" s="221"/>
      <c r="ROC135" s="258"/>
      <c r="ROD135" s="270"/>
      <c r="ROE135" s="271"/>
      <c r="ROF135" s="271"/>
      <c r="ROG135" s="271"/>
      <c r="ROH135" s="221"/>
      <c r="ROI135" s="221"/>
      <c r="ROJ135" s="221"/>
      <c r="ROK135" s="258"/>
      <c r="ROL135" s="270"/>
      <c r="ROM135" s="271"/>
      <c r="RON135" s="271"/>
      <c r="ROO135" s="271"/>
      <c r="ROP135" s="221"/>
      <c r="ROQ135" s="221"/>
      <c r="ROR135" s="221"/>
      <c r="ROS135" s="258"/>
      <c r="ROT135" s="270"/>
      <c r="ROU135" s="271"/>
      <c r="ROV135" s="271"/>
      <c r="ROW135" s="271"/>
      <c r="ROX135" s="221"/>
      <c r="ROY135" s="221"/>
      <c r="ROZ135" s="221"/>
      <c r="RPA135" s="258"/>
      <c r="RPB135" s="270"/>
      <c r="RPC135" s="271"/>
      <c r="RPD135" s="271"/>
      <c r="RPE135" s="271"/>
      <c r="RPF135" s="221"/>
      <c r="RPG135" s="221"/>
      <c r="RPH135" s="221"/>
      <c r="RPI135" s="258"/>
      <c r="RPJ135" s="270"/>
      <c r="RPK135" s="271"/>
      <c r="RPL135" s="271"/>
      <c r="RPM135" s="271"/>
      <c r="RPN135" s="221"/>
      <c r="RPO135" s="221"/>
      <c r="RPP135" s="221"/>
      <c r="RPQ135" s="258"/>
      <c r="RPR135" s="270"/>
      <c r="RPS135" s="271"/>
      <c r="RPT135" s="271"/>
      <c r="RPU135" s="271"/>
      <c r="RPV135" s="221"/>
      <c r="RPW135" s="221"/>
      <c r="RPX135" s="221"/>
      <c r="RPY135" s="258"/>
      <c r="RPZ135" s="270"/>
      <c r="RQA135" s="271"/>
      <c r="RQB135" s="271"/>
      <c r="RQC135" s="271"/>
      <c r="RQD135" s="221"/>
      <c r="RQE135" s="221"/>
      <c r="RQF135" s="221"/>
      <c r="RQG135" s="258"/>
      <c r="RQH135" s="270"/>
      <c r="RQI135" s="271"/>
      <c r="RQJ135" s="271"/>
      <c r="RQK135" s="271"/>
      <c r="RQL135" s="221"/>
      <c r="RQM135" s="221"/>
      <c r="RQN135" s="221"/>
      <c r="RQO135" s="258"/>
      <c r="RQP135" s="270"/>
      <c r="RQQ135" s="271"/>
      <c r="RQR135" s="271"/>
      <c r="RQS135" s="271"/>
      <c r="RQT135" s="221"/>
      <c r="RQU135" s="221"/>
      <c r="RQV135" s="221"/>
      <c r="RQW135" s="258"/>
      <c r="RQX135" s="270"/>
      <c r="RQY135" s="271"/>
      <c r="RQZ135" s="271"/>
      <c r="RRA135" s="271"/>
      <c r="RRB135" s="221"/>
      <c r="RRC135" s="221"/>
      <c r="RRD135" s="221"/>
      <c r="RRE135" s="258"/>
      <c r="RRF135" s="270"/>
      <c r="RRG135" s="271"/>
      <c r="RRH135" s="271"/>
      <c r="RRI135" s="271"/>
      <c r="RRJ135" s="221"/>
      <c r="RRK135" s="221"/>
      <c r="RRL135" s="221"/>
      <c r="RRM135" s="258"/>
      <c r="RRN135" s="270"/>
      <c r="RRO135" s="271"/>
      <c r="RRP135" s="271"/>
      <c r="RRQ135" s="271"/>
      <c r="RRR135" s="221"/>
      <c r="RRS135" s="221"/>
      <c r="RRT135" s="221"/>
      <c r="RRU135" s="258"/>
      <c r="RRV135" s="270"/>
      <c r="RRW135" s="271"/>
      <c r="RRX135" s="271"/>
      <c r="RRY135" s="271"/>
      <c r="RRZ135" s="221"/>
      <c r="RSA135" s="221"/>
      <c r="RSB135" s="221"/>
      <c r="RSC135" s="258"/>
      <c r="RSD135" s="270"/>
      <c r="RSE135" s="271"/>
      <c r="RSF135" s="271"/>
      <c r="RSG135" s="271"/>
      <c r="RSH135" s="221"/>
      <c r="RSI135" s="221"/>
      <c r="RSJ135" s="221"/>
      <c r="RSK135" s="258"/>
      <c r="RSL135" s="270"/>
      <c r="RSM135" s="271"/>
      <c r="RSN135" s="271"/>
      <c r="RSO135" s="271"/>
      <c r="RSP135" s="221"/>
      <c r="RSQ135" s="221"/>
      <c r="RSR135" s="221"/>
      <c r="RSS135" s="258"/>
      <c r="RST135" s="270"/>
      <c r="RSU135" s="271"/>
      <c r="RSV135" s="271"/>
      <c r="RSW135" s="271"/>
      <c r="RSX135" s="221"/>
      <c r="RSY135" s="221"/>
      <c r="RSZ135" s="221"/>
      <c r="RTA135" s="258"/>
      <c r="RTB135" s="270"/>
      <c r="RTC135" s="271"/>
      <c r="RTD135" s="271"/>
      <c r="RTE135" s="271"/>
      <c r="RTF135" s="221"/>
      <c r="RTG135" s="221"/>
      <c r="RTH135" s="221"/>
      <c r="RTI135" s="258"/>
      <c r="RTJ135" s="270"/>
      <c r="RTK135" s="271"/>
      <c r="RTL135" s="271"/>
      <c r="RTM135" s="271"/>
      <c r="RTN135" s="221"/>
      <c r="RTO135" s="221"/>
      <c r="RTP135" s="221"/>
      <c r="RTQ135" s="258"/>
      <c r="RTR135" s="270"/>
      <c r="RTS135" s="271"/>
      <c r="RTT135" s="271"/>
      <c r="RTU135" s="271"/>
      <c r="RTV135" s="221"/>
      <c r="RTW135" s="221"/>
      <c r="RTX135" s="221"/>
      <c r="RTY135" s="258"/>
      <c r="RTZ135" s="270"/>
      <c r="RUA135" s="271"/>
      <c r="RUB135" s="271"/>
      <c r="RUC135" s="271"/>
      <c r="RUD135" s="221"/>
      <c r="RUE135" s="221"/>
      <c r="RUF135" s="221"/>
      <c r="RUG135" s="258"/>
      <c r="RUH135" s="270"/>
      <c r="RUI135" s="271"/>
      <c r="RUJ135" s="271"/>
      <c r="RUK135" s="271"/>
      <c r="RUL135" s="221"/>
      <c r="RUM135" s="221"/>
      <c r="RUN135" s="221"/>
      <c r="RUO135" s="258"/>
      <c r="RUP135" s="270"/>
      <c r="RUQ135" s="271"/>
      <c r="RUR135" s="271"/>
      <c r="RUS135" s="271"/>
      <c r="RUT135" s="221"/>
      <c r="RUU135" s="221"/>
      <c r="RUV135" s="221"/>
      <c r="RUW135" s="258"/>
      <c r="RUX135" s="270"/>
      <c r="RUY135" s="271"/>
      <c r="RUZ135" s="271"/>
      <c r="RVA135" s="271"/>
      <c r="RVB135" s="221"/>
      <c r="RVC135" s="221"/>
      <c r="RVD135" s="221"/>
      <c r="RVE135" s="258"/>
      <c r="RVF135" s="270"/>
      <c r="RVG135" s="271"/>
      <c r="RVH135" s="271"/>
      <c r="RVI135" s="271"/>
      <c r="RVJ135" s="221"/>
      <c r="RVK135" s="221"/>
      <c r="RVL135" s="221"/>
      <c r="RVM135" s="258"/>
      <c r="RVN135" s="270"/>
      <c r="RVO135" s="271"/>
      <c r="RVP135" s="271"/>
      <c r="RVQ135" s="271"/>
      <c r="RVR135" s="221"/>
      <c r="RVS135" s="221"/>
      <c r="RVT135" s="221"/>
      <c r="RVU135" s="258"/>
      <c r="RVV135" s="270"/>
      <c r="RVW135" s="271"/>
      <c r="RVX135" s="271"/>
      <c r="RVY135" s="271"/>
      <c r="RVZ135" s="221"/>
      <c r="RWA135" s="221"/>
      <c r="RWB135" s="221"/>
      <c r="RWC135" s="258"/>
      <c r="RWD135" s="270"/>
      <c r="RWE135" s="271"/>
      <c r="RWF135" s="271"/>
      <c r="RWG135" s="271"/>
      <c r="RWH135" s="221"/>
      <c r="RWI135" s="221"/>
      <c r="RWJ135" s="221"/>
      <c r="RWK135" s="258"/>
      <c r="RWL135" s="270"/>
      <c r="RWM135" s="271"/>
      <c r="RWN135" s="271"/>
      <c r="RWO135" s="271"/>
      <c r="RWP135" s="221"/>
      <c r="RWQ135" s="221"/>
      <c r="RWR135" s="221"/>
      <c r="RWS135" s="258"/>
      <c r="RWT135" s="270"/>
      <c r="RWU135" s="271"/>
      <c r="RWV135" s="271"/>
      <c r="RWW135" s="271"/>
      <c r="RWX135" s="221"/>
      <c r="RWY135" s="221"/>
      <c r="RWZ135" s="221"/>
      <c r="RXA135" s="258"/>
      <c r="RXB135" s="270"/>
      <c r="RXC135" s="271"/>
      <c r="RXD135" s="271"/>
      <c r="RXE135" s="271"/>
      <c r="RXF135" s="221"/>
      <c r="RXG135" s="221"/>
      <c r="RXH135" s="221"/>
      <c r="RXI135" s="258"/>
      <c r="RXJ135" s="270"/>
      <c r="RXK135" s="271"/>
      <c r="RXL135" s="271"/>
      <c r="RXM135" s="271"/>
      <c r="RXN135" s="221"/>
      <c r="RXO135" s="221"/>
      <c r="RXP135" s="221"/>
      <c r="RXQ135" s="258"/>
      <c r="RXR135" s="270"/>
      <c r="RXS135" s="271"/>
      <c r="RXT135" s="271"/>
      <c r="RXU135" s="271"/>
      <c r="RXV135" s="221"/>
      <c r="RXW135" s="221"/>
      <c r="RXX135" s="221"/>
      <c r="RXY135" s="258"/>
      <c r="RXZ135" s="270"/>
      <c r="RYA135" s="271"/>
      <c r="RYB135" s="271"/>
      <c r="RYC135" s="271"/>
      <c r="RYD135" s="221"/>
      <c r="RYE135" s="221"/>
      <c r="RYF135" s="221"/>
      <c r="RYG135" s="258"/>
      <c r="RYH135" s="270"/>
      <c r="RYI135" s="271"/>
      <c r="RYJ135" s="271"/>
      <c r="RYK135" s="271"/>
      <c r="RYL135" s="221"/>
      <c r="RYM135" s="221"/>
      <c r="RYN135" s="221"/>
      <c r="RYO135" s="258"/>
      <c r="RYP135" s="270"/>
      <c r="RYQ135" s="271"/>
      <c r="RYR135" s="271"/>
      <c r="RYS135" s="271"/>
      <c r="RYT135" s="221"/>
      <c r="RYU135" s="221"/>
      <c r="RYV135" s="221"/>
      <c r="RYW135" s="258"/>
      <c r="RYX135" s="270"/>
      <c r="RYY135" s="271"/>
      <c r="RYZ135" s="271"/>
      <c r="RZA135" s="271"/>
      <c r="RZB135" s="221"/>
      <c r="RZC135" s="221"/>
      <c r="RZD135" s="221"/>
      <c r="RZE135" s="258"/>
      <c r="RZF135" s="270"/>
      <c r="RZG135" s="271"/>
      <c r="RZH135" s="271"/>
      <c r="RZI135" s="271"/>
      <c r="RZJ135" s="221"/>
      <c r="RZK135" s="221"/>
      <c r="RZL135" s="221"/>
      <c r="RZM135" s="258"/>
      <c r="RZN135" s="270"/>
      <c r="RZO135" s="271"/>
      <c r="RZP135" s="271"/>
      <c r="RZQ135" s="271"/>
      <c r="RZR135" s="221"/>
      <c r="RZS135" s="221"/>
      <c r="RZT135" s="221"/>
      <c r="RZU135" s="258"/>
      <c r="RZV135" s="270"/>
      <c r="RZW135" s="271"/>
      <c r="RZX135" s="271"/>
      <c r="RZY135" s="271"/>
      <c r="RZZ135" s="221"/>
      <c r="SAA135" s="221"/>
      <c r="SAB135" s="221"/>
      <c r="SAC135" s="258"/>
      <c r="SAD135" s="270"/>
      <c r="SAE135" s="271"/>
      <c r="SAF135" s="271"/>
      <c r="SAG135" s="271"/>
      <c r="SAH135" s="221"/>
      <c r="SAI135" s="221"/>
      <c r="SAJ135" s="221"/>
      <c r="SAK135" s="258"/>
      <c r="SAL135" s="270"/>
      <c r="SAM135" s="271"/>
      <c r="SAN135" s="271"/>
      <c r="SAO135" s="271"/>
      <c r="SAP135" s="221"/>
      <c r="SAQ135" s="221"/>
      <c r="SAR135" s="221"/>
      <c r="SAS135" s="258"/>
      <c r="SAT135" s="270"/>
      <c r="SAU135" s="271"/>
      <c r="SAV135" s="271"/>
      <c r="SAW135" s="271"/>
      <c r="SAX135" s="221"/>
      <c r="SAY135" s="221"/>
      <c r="SAZ135" s="221"/>
      <c r="SBA135" s="258"/>
      <c r="SBB135" s="270"/>
      <c r="SBC135" s="271"/>
      <c r="SBD135" s="271"/>
      <c r="SBE135" s="271"/>
      <c r="SBF135" s="221"/>
      <c r="SBG135" s="221"/>
      <c r="SBH135" s="221"/>
      <c r="SBI135" s="258"/>
      <c r="SBJ135" s="270"/>
      <c r="SBK135" s="271"/>
      <c r="SBL135" s="271"/>
      <c r="SBM135" s="271"/>
      <c r="SBN135" s="221"/>
      <c r="SBO135" s="221"/>
      <c r="SBP135" s="221"/>
      <c r="SBQ135" s="258"/>
      <c r="SBR135" s="270"/>
      <c r="SBS135" s="271"/>
      <c r="SBT135" s="271"/>
      <c r="SBU135" s="271"/>
      <c r="SBV135" s="221"/>
      <c r="SBW135" s="221"/>
      <c r="SBX135" s="221"/>
      <c r="SBY135" s="258"/>
      <c r="SBZ135" s="270"/>
      <c r="SCA135" s="271"/>
      <c r="SCB135" s="271"/>
      <c r="SCC135" s="271"/>
      <c r="SCD135" s="221"/>
      <c r="SCE135" s="221"/>
      <c r="SCF135" s="221"/>
      <c r="SCG135" s="258"/>
      <c r="SCH135" s="270"/>
      <c r="SCI135" s="271"/>
      <c r="SCJ135" s="271"/>
      <c r="SCK135" s="271"/>
      <c r="SCL135" s="221"/>
      <c r="SCM135" s="221"/>
      <c r="SCN135" s="221"/>
      <c r="SCO135" s="258"/>
      <c r="SCP135" s="270"/>
      <c r="SCQ135" s="271"/>
      <c r="SCR135" s="271"/>
      <c r="SCS135" s="271"/>
      <c r="SCT135" s="221"/>
      <c r="SCU135" s="221"/>
      <c r="SCV135" s="221"/>
      <c r="SCW135" s="258"/>
      <c r="SCX135" s="270"/>
      <c r="SCY135" s="271"/>
      <c r="SCZ135" s="271"/>
      <c r="SDA135" s="271"/>
      <c r="SDB135" s="221"/>
      <c r="SDC135" s="221"/>
      <c r="SDD135" s="221"/>
      <c r="SDE135" s="258"/>
      <c r="SDF135" s="270"/>
      <c r="SDG135" s="271"/>
      <c r="SDH135" s="271"/>
      <c r="SDI135" s="271"/>
      <c r="SDJ135" s="221"/>
      <c r="SDK135" s="221"/>
      <c r="SDL135" s="221"/>
      <c r="SDM135" s="258"/>
      <c r="SDN135" s="270"/>
      <c r="SDO135" s="271"/>
      <c r="SDP135" s="271"/>
      <c r="SDQ135" s="271"/>
      <c r="SDR135" s="221"/>
      <c r="SDS135" s="221"/>
      <c r="SDT135" s="221"/>
      <c r="SDU135" s="258"/>
      <c r="SDV135" s="270"/>
      <c r="SDW135" s="271"/>
      <c r="SDX135" s="271"/>
      <c r="SDY135" s="271"/>
      <c r="SDZ135" s="221"/>
      <c r="SEA135" s="221"/>
      <c r="SEB135" s="221"/>
      <c r="SEC135" s="258"/>
      <c r="SED135" s="270"/>
      <c r="SEE135" s="271"/>
      <c r="SEF135" s="271"/>
      <c r="SEG135" s="271"/>
      <c r="SEH135" s="221"/>
      <c r="SEI135" s="221"/>
      <c r="SEJ135" s="221"/>
      <c r="SEK135" s="258"/>
      <c r="SEL135" s="270"/>
      <c r="SEM135" s="271"/>
      <c r="SEN135" s="271"/>
      <c r="SEO135" s="271"/>
      <c r="SEP135" s="221"/>
      <c r="SEQ135" s="221"/>
      <c r="SER135" s="221"/>
      <c r="SES135" s="258"/>
      <c r="SET135" s="270"/>
      <c r="SEU135" s="271"/>
      <c r="SEV135" s="271"/>
      <c r="SEW135" s="271"/>
      <c r="SEX135" s="221"/>
      <c r="SEY135" s="221"/>
      <c r="SEZ135" s="221"/>
      <c r="SFA135" s="258"/>
      <c r="SFB135" s="270"/>
      <c r="SFC135" s="271"/>
      <c r="SFD135" s="271"/>
      <c r="SFE135" s="271"/>
      <c r="SFF135" s="221"/>
      <c r="SFG135" s="221"/>
      <c r="SFH135" s="221"/>
      <c r="SFI135" s="258"/>
      <c r="SFJ135" s="270"/>
      <c r="SFK135" s="271"/>
      <c r="SFL135" s="271"/>
      <c r="SFM135" s="271"/>
      <c r="SFN135" s="221"/>
      <c r="SFO135" s="221"/>
      <c r="SFP135" s="221"/>
      <c r="SFQ135" s="258"/>
      <c r="SFR135" s="270"/>
      <c r="SFS135" s="271"/>
      <c r="SFT135" s="271"/>
      <c r="SFU135" s="271"/>
      <c r="SFV135" s="221"/>
      <c r="SFW135" s="221"/>
      <c r="SFX135" s="221"/>
      <c r="SFY135" s="258"/>
      <c r="SFZ135" s="270"/>
      <c r="SGA135" s="271"/>
      <c r="SGB135" s="271"/>
      <c r="SGC135" s="271"/>
      <c r="SGD135" s="221"/>
      <c r="SGE135" s="221"/>
      <c r="SGF135" s="221"/>
      <c r="SGG135" s="258"/>
      <c r="SGH135" s="270"/>
      <c r="SGI135" s="271"/>
      <c r="SGJ135" s="271"/>
      <c r="SGK135" s="271"/>
      <c r="SGL135" s="221"/>
      <c r="SGM135" s="221"/>
      <c r="SGN135" s="221"/>
      <c r="SGO135" s="258"/>
      <c r="SGP135" s="270"/>
      <c r="SGQ135" s="271"/>
      <c r="SGR135" s="271"/>
      <c r="SGS135" s="271"/>
      <c r="SGT135" s="221"/>
      <c r="SGU135" s="221"/>
      <c r="SGV135" s="221"/>
      <c r="SGW135" s="258"/>
      <c r="SGX135" s="270"/>
      <c r="SGY135" s="271"/>
      <c r="SGZ135" s="271"/>
      <c r="SHA135" s="271"/>
      <c r="SHB135" s="221"/>
      <c r="SHC135" s="221"/>
      <c r="SHD135" s="221"/>
      <c r="SHE135" s="258"/>
      <c r="SHF135" s="270"/>
      <c r="SHG135" s="271"/>
      <c r="SHH135" s="271"/>
      <c r="SHI135" s="271"/>
      <c r="SHJ135" s="221"/>
      <c r="SHK135" s="221"/>
      <c r="SHL135" s="221"/>
      <c r="SHM135" s="258"/>
      <c r="SHN135" s="270"/>
      <c r="SHO135" s="271"/>
      <c r="SHP135" s="271"/>
      <c r="SHQ135" s="271"/>
      <c r="SHR135" s="221"/>
      <c r="SHS135" s="221"/>
      <c r="SHT135" s="221"/>
      <c r="SHU135" s="258"/>
      <c r="SHV135" s="270"/>
      <c r="SHW135" s="271"/>
      <c r="SHX135" s="271"/>
      <c r="SHY135" s="271"/>
      <c r="SHZ135" s="221"/>
      <c r="SIA135" s="221"/>
      <c r="SIB135" s="221"/>
      <c r="SIC135" s="258"/>
      <c r="SID135" s="270"/>
      <c r="SIE135" s="271"/>
      <c r="SIF135" s="271"/>
      <c r="SIG135" s="271"/>
      <c r="SIH135" s="221"/>
      <c r="SII135" s="221"/>
      <c r="SIJ135" s="221"/>
      <c r="SIK135" s="258"/>
      <c r="SIL135" s="270"/>
      <c r="SIM135" s="271"/>
      <c r="SIN135" s="271"/>
      <c r="SIO135" s="271"/>
      <c r="SIP135" s="221"/>
      <c r="SIQ135" s="221"/>
      <c r="SIR135" s="221"/>
      <c r="SIS135" s="258"/>
      <c r="SIT135" s="270"/>
      <c r="SIU135" s="271"/>
      <c r="SIV135" s="271"/>
      <c r="SIW135" s="271"/>
      <c r="SIX135" s="221"/>
      <c r="SIY135" s="221"/>
      <c r="SIZ135" s="221"/>
      <c r="SJA135" s="258"/>
      <c r="SJB135" s="270"/>
      <c r="SJC135" s="271"/>
      <c r="SJD135" s="271"/>
      <c r="SJE135" s="271"/>
      <c r="SJF135" s="221"/>
      <c r="SJG135" s="221"/>
      <c r="SJH135" s="221"/>
      <c r="SJI135" s="258"/>
      <c r="SJJ135" s="270"/>
      <c r="SJK135" s="271"/>
      <c r="SJL135" s="271"/>
      <c r="SJM135" s="271"/>
      <c r="SJN135" s="221"/>
      <c r="SJO135" s="221"/>
      <c r="SJP135" s="221"/>
      <c r="SJQ135" s="258"/>
      <c r="SJR135" s="270"/>
      <c r="SJS135" s="271"/>
      <c r="SJT135" s="271"/>
      <c r="SJU135" s="271"/>
      <c r="SJV135" s="221"/>
      <c r="SJW135" s="221"/>
      <c r="SJX135" s="221"/>
      <c r="SJY135" s="258"/>
      <c r="SJZ135" s="270"/>
      <c r="SKA135" s="271"/>
      <c r="SKB135" s="271"/>
      <c r="SKC135" s="271"/>
      <c r="SKD135" s="221"/>
      <c r="SKE135" s="221"/>
      <c r="SKF135" s="221"/>
      <c r="SKG135" s="258"/>
      <c r="SKH135" s="270"/>
      <c r="SKI135" s="271"/>
      <c r="SKJ135" s="271"/>
      <c r="SKK135" s="271"/>
      <c r="SKL135" s="221"/>
      <c r="SKM135" s="221"/>
      <c r="SKN135" s="221"/>
      <c r="SKO135" s="258"/>
      <c r="SKP135" s="270"/>
      <c r="SKQ135" s="271"/>
      <c r="SKR135" s="271"/>
      <c r="SKS135" s="271"/>
      <c r="SKT135" s="221"/>
      <c r="SKU135" s="221"/>
      <c r="SKV135" s="221"/>
      <c r="SKW135" s="258"/>
      <c r="SKX135" s="270"/>
      <c r="SKY135" s="271"/>
      <c r="SKZ135" s="271"/>
      <c r="SLA135" s="271"/>
      <c r="SLB135" s="221"/>
      <c r="SLC135" s="221"/>
      <c r="SLD135" s="221"/>
      <c r="SLE135" s="258"/>
      <c r="SLF135" s="270"/>
      <c r="SLG135" s="271"/>
      <c r="SLH135" s="271"/>
      <c r="SLI135" s="271"/>
      <c r="SLJ135" s="221"/>
      <c r="SLK135" s="221"/>
      <c r="SLL135" s="221"/>
      <c r="SLM135" s="258"/>
      <c r="SLN135" s="270"/>
      <c r="SLO135" s="271"/>
      <c r="SLP135" s="271"/>
      <c r="SLQ135" s="271"/>
      <c r="SLR135" s="221"/>
      <c r="SLS135" s="221"/>
      <c r="SLT135" s="221"/>
      <c r="SLU135" s="258"/>
      <c r="SLV135" s="270"/>
      <c r="SLW135" s="271"/>
      <c r="SLX135" s="271"/>
      <c r="SLY135" s="271"/>
      <c r="SLZ135" s="221"/>
      <c r="SMA135" s="221"/>
      <c r="SMB135" s="221"/>
      <c r="SMC135" s="258"/>
      <c r="SMD135" s="270"/>
      <c r="SME135" s="271"/>
      <c r="SMF135" s="271"/>
      <c r="SMG135" s="271"/>
      <c r="SMH135" s="221"/>
      <c r="SMI135" s="221"/>
      <c r="SMJ135" s="221"/>
      <c r="SMK135" s="258"/>
      <c r="SML135" s="270"/>
      <c r="SMM135" s="271"/>
      <c r="SMN135" s="271"/>
      <c r="SMO135" s="271"/>
      <c r="SMP135" s="221"/>
      <c r="SMQ135" s="221"/>
      <c r="SMR135" s="221"/>
      <c r="SMS135" s="258"/>
      <c r="SMT135" s="270"/>
      <c r="SMU135" s="271"/>
      <c r="SMV135" s="271"/>
      <c r="SMW135" s="271"/>
      <c r="SMX135" s="221"/>
      <c r="SMY135" s="221"/>
      <c r="SMZ135" s="221"/>
      <c r="SNA135" s="258"/>
      <c r="SNB135" s="270"/>
      <c r="SNC135" s="271"/>
      <c r="SND135" s="271"/>
      <c r="SNE135" s="271"/>
      <c r="SNF135" s="221"/>
      <c r="SNG135" s="221"/>
      <c r="SNH135" s="221"/>
      <c r="SNI135" s="258"/>
      <c r="SNJ135" s="270"/>
      <c r="SNK135" s="271"/>
      <c r="SNL135" s="271"/>
      <c r="SNM135" s="271"/>
      <c r="SNN135" s="221"/>
      <c r="SNO135" s="221"/>
      <c r="SNP135" s="221"/>
      <c r="SNQ135" s="258"/>
      <c r="SNR135" s="270"/>
      <c r="SNS135" s="271"/>
      <c r="SNT135" s="271"/>
      <c r="SNU135" s="271"/>
      <c r="SNV135" s="221"/>
      <c r="SNW135" s="221"/>
      <c r="SNX135" s="221"/>
      <c r="SNY135" s="258"/>
      <c r="SNZ135" s="270"/>
      <c r="SOA135" s="271"/>
      <c r="SOB135" s="271"/>
      <c r="SOC135" s="271"/>
      <c r="SOD135" s="221"/>
      <c r="SOE135" s="221"/>
      <c r="SOF135" s="221"/>
      <c r="SOG135" s="258"/>
      <c r="SOH135" s="270"/>
      <c r="SOI135" s="271"/>
      <c r="SOJ135" s="271"/>
      <c r="SOK135" s="271"/>
      <c r="SOL135" s="221"/>
      <c r="SOM135" s="221"/>
      <c r="SON135" s="221"/>
      <c r="SOO135" s="258"/>
      <c r="SOP135" s="270"/>
      <c r="SOQ135" s="271"/>
      <c r="SOR135" s="271"/>
      <c r="SOS135" s="271"/>
      <c r="SOT135" s="221"/>
      <c r="SOU135" s="221"/>
      <c r="SOV135" s="221"/>
      <c r="SOW135" s="258"/>
      <c r="SOX135" s="270"/>
      <c r="SOY135" s="271"/>
      <c r="SOZ135" s="271"/>
      <c r="SPA135" s="271"/>
      <c r="SPB135" s="221"/>
      <c r="SPC135" s="221"/>
      <c r="SPD135" s="221"/>
      <c r="SPE135" s="258"/>
      <c r="SPF135" s="270"/>
      <c r="SPG135" s="271"/>
      <c r="SPH135" s="271"/>
      <c r="SPI135" s="271"/>
      <c r="SPJ135" s="221"/>
      <c r="SPK135" s="221"/>
      <c r="SPL135" s="221"/>
      <c r="SPM135" s="258"/>
      <c r="SPN135" s="270"/>
      <c r="SPO135" s="271"/>
      <c r="SPP135" s="271"/>
      <c r="SPQ135" s="271"/>
      <c r="SPR135" s="221"/>
      <c r="SPS135" s="221"/>
      <c r="SPT135" s="221"/>
      <c r="SPU135" s="258"/>
      <c r="SPV135" s="270"/>
      <c r="SPW135" s="271"/>
      <c r="SPX135" s="271"/>
      <c r="SPY135" s="271"/>
      <c r="SPZ135" s="221"/>
      <c r="SQA135" s="221"/>
      <c r="SQB135" s="221"/>
      <c r="SQC135" s="258"/>
      <c r="SQD135" s="270"/>
      <c r="SQE135" s="271"/>
      <c r="SQF135" s="271"/>
      <c r="SQG135" s="271"/>
      <c r="SQH135" s="221"/>
      <c r="SQI135" s="221"/>
      <c r="SQJ135" s="221"/>
      <c r="SQK135" s="258"/>
      <c r="SQL135" s="270"/>
      <c r="SQM135" s="271"/>
      <c r="SQN135" s="271"/>
      <c r="SQO135" s="271"/>
      <c r="SQP135" s="221"/>
      <c r="SQQ135" s="221"/>
      <c r="SQR135" s="221"/>
      <c r="SQS135" s="258"/>
      <c r="SQT135" s="270"/>
      <c r="SQU135" s="271"/>
      <c r="SQV135" s="271"/>
      <c r="SQW135" s="271"/>
      <c r="SQX135" s="221"/>
      <c r="SQY135" s="221"/>
      <c r="SQZ135" s="221"/>
      <c r="SRA135" s="258"/>
      <c r="SRB135" s="270"/>
      <c r="SRC135" s="271"/>
      <c r="SRD135" s="271"/>
      <c r="SRE135" s="271"/>
      <c r="SRF135" s="221"/>
      <c r="SRG135" s="221"/>
      <c r="SRH135" s="221"/>
      <c r="SRI135" s="258"/>
      <c r="SRJ135" s="270"/>
      <c r="SRK135" s="271"/>
      <c r="SRL135" s="271"/>
      <c r="SRM135" s="271"/>
      <c r="SRN135" s="221"/>
      <c r="SRO135" s="221"/>
      <c r="SRP135" s="221"/>
      <c r="SRQ135" s="258"/>
      <c r="SRR135" s="270"/>
      <c r="SRS135" s="271"/>
      <c r="SRT135" s="271"/>
      <c r="SRU135" s="271"/>
      <c r="SRV135" s="221"/>
      <c r="SRW135" s="221"/>
      <c r="SRX135" s="221"/>
      <c r="SRY135" s="258"/>
      <c r="SRZ135" s="270"/>
      <c r="SSA135" s="271"/>
      <c r="SSB135" s="271"/>
      <c r="SSC135" s="271"/>
      <c r="SSD135" s="221"/>
      <c r="SSE135" s="221"/>
      <c r="SSF135" s="221"/>
      <c r="SSG135" s="258"/>
      <c r="SSH135" s="270"/>
      <c r="SSI135" s="271"/>
      <c r="SSJ135" s="271"/>
      <c r="SSK135" s="271"/>
      <c r="SSL135" s="221"/>
      <c r="SSM135" s="221"/>
      <c r="SSN135" s="221"/>
      <c r="SSO135" s="258"/>
      <c r="SSP135" s="270"/>
      <c r="SSQ135" s="271"/>
      <c r="SSR135" s="271"/>
      <c r="SSS135" s="271"/>
      <c r="SST135" s="221"/>
      <c r="SSU135" s="221"/>
      <c r="SSV135" s="221"/>
      <c r="SSW135" s="258"/>
      <c r="SSX135" s="270"/>
      <c r="SSY135" s="271"/>
      <c r="SSZ135" s="271"/>
      <c r="STA135" s="271"/>
      <c r="STB135" s="221"/>
      <c r="STC135" s="221"/>
      <c r="STD135" s="221"/>
      <c r="STE135" s="258"/>
      <c r="STF135" s="270"/>
      <c r="STG135" s="271"/>
      <c r="STH135" s="271"/>
      <c r="STI135" s="271"/>
      <c r="STJ135" s="221"/>
      <c r="STK135" s="221"/>
      <c r="STL135" s="221"/>
      <c r="STM135" s="258"/>
      <c r="STN135" s="270"/>
      <c r="STO135" s="271"/>
      <c r="STP135" s="271"/>
      <c r="STQ135" s="271"/>
      <c r="STR135" s="221"/>
      <c r="STS135" s="221"/>
      <c r="STT135" s="221"/>
      <c r="STU135" s="258"/>
      <c r="STV135" s="270"/>
      <c r="STW135" s="271"/>
      <c r="STX135" s="271"/>
      <c r="STY135" s="271"/>
      <c r="STZ135" s="221"/>
      <c r="SUA135" s="221"/>
      <c r="SUB135" s="221"/>
      <c r="SUC135" s="258"/>
      <c r="SUD135" s="270"/>
      <c r="SUE135" s="271"/>
      <c r="SUF135" s="271"/>
      <c r="SUG135" s="271"/>
      <c r="SUH135" s="221"/>
      <c r="SUI135" s="221"/>
      <c r="SUJ135" s="221"/>
      <c r="SUK135" s="258"/>
      <c r="SUL135" s="270"/>
      <c r="SUM135" s="271"/>
      <c r="SUN135" s="271"/>
      <c r="SUO135" s="271"/>
      <c r="SUP135" s="221"/>
      <c r="SUQ135" s="221"/>
      <c r="SUR135" s="221"/>
      <c r="SUS135" s="258"/>
      <c r="SUT135" s="270"/>
      <c r="SUU135" s="271"/>
      <c r="SUV135" s="271"/>
      <c r="SUW135" s="271"/>
      <c r="SUX135" s="221"/>
      <c r="SUY135" s="221"/>
      <c r="SUZ135" s="221"/>
      <c r="SVA135" s="258"/>
      <c r="SVB135" s="270"/>
      <c r="SVC135" s="271"/>
      <c r="SVD135" s="271"/>
      <c r="SVE135" s="271"/>
      <c r="SVF135" s="221"/>
      <c r="SVG135" s="221"/>
      <c r="SVH135" s="221"/>
      <c r="SVI135" s="258"/>
      <c r="SVJ135" s="270"/>
      <c r="SVK135" s="271"/>
      <c r="SVL135" s="271"/>
      <c r="SVM135" s="271"/>
      <c r="SVN135" s="221"/>
      <c r="SVO135" s="221"/>
      <c r="SVP135" s="221"/>
      <c r="SVQ135" s="258"/>
      <c r="SVR135" s="270"/>
      <c r="SVS135" s="271"/>
      <c r="SVT135" s="271"/>
      <c r="SVU135" s="271"/>
      <c r="SVV135" s="221"/>
      <c r="SVW135" s="221"/>
      <c r="SVX135" s="221"/>
      <c r="SVY135" s="258"/>
      <c r="SVZ135" s="270"/>
      <c r="SWA135" s="271"/>
      <c r="SWB135" s="271"/>
      <c r="SWC135" s="271"/>
      <c r="SWD135" s="221"/>
      <c r="SWE135" s="221"/>
      <c r="SWF135" s="221"/>
      <c r="SWG135" s="258"/>
      <c r="SWH135" s="270"/>
      <c r="SWI135" s="271"/>
      <c r="SWJ135" s="271"/>
      <c r="SWK135" s="271"/>
      <c r="SWL135" s="221"/>
      <c r="SWM135" s="221"/>
      <c r="SWN135" s="221"/>
      <c r="SWO135" s="258"/>
      <c r="SWP135" s="270"/>
      <c r="SWQ135" s="271"/>
      <c r="SWR135" s="271"/>
      <c r="SWS135" s="271"/>
      <c r="SWT135" s="221"/>
      <c r="SWU135" s="221"/>
      <c r="SWV135" s="221"/>
      <c r="SWW135" s="258"/>
      <c r="SWX135" s="270"/>
      <c r="SWY135" s="271"/>
      <c r="SWZ135" s="271"/>
      <c r="SXA135" s="271"/>
      <c r="SXB135" s="221"/>
      <c r="SXC135" s="221"/>
      <c r="SXD135" s="221"/>
      <c r="SXE135" s="258"/>
      <c r="SXF135" s="270"/>
      <c r="SXG135" s="271"/>
      <c r="SXH135" s="271"/>
      <c r="SXI135" s="271"/>
      <c r="SXJ135" s="221"/>
      <c r="SXK135" s="221"/>
      <c r="SXL135" s="221"/>
      <c r="SXM135" s="258"/>
      <c r="SXN135" s="270"/>
      <c r="SXO135" s="271"/>
      <c r="SXP135" s="271"/>
      <c r="SXQ135" s="271"/>
      <c r="SXR135" s="221"/>
      <c r="SXS135" s="221"/>
      <c r="SXT135" s="221"/>
      <c r="SXU135" s="258"/>
      <c r="SXV135" s="270"/>
      <c r="SXW135" s="271"/>
      <c r="SXX135" s="271"/>
      <c r="SXY135" s="271"/>
      <c r="SXZ135" s="221"/>
      <c r="SYA135" s="221"/>
      <c r="SYB135" s="221"/>
      <c r="SYC135" s="258"/>
      <c r="SYD135" s="270"/>
      <c r="SYE135" s="271"/>
      <c r="SYF135" s="271"/>
      <c r="SYG135" s="271"/>
      <c r="SYH135" s="221"/>
      <c r="SYI135" s="221"/>
      <c r="SYJ135" s="221"/>
      <c r="SYK135" s="258"/>
      <c r="SYL135" s="270"/>
      <c r="SYM135" s="271"/>
      <c r="SYN135" s="271"/>
      <c r="SYO135" s="271"/>
      <c r="SYP135" s="221"/>
      <c r="SYQ135" s="221"/>
      <c r="SYR135" s="221"/>
      <c r="SYS135" s="258"/>
      <c r="SYT135" s="270"/>
      <c r="SYU135" s="271"/>
      <c r="SYV135" s="271"/>
      <c r="SYW135" s="271"/>
      <c r="SYX135" s="221"/>
      <c r="SYY135" s="221"/>
      <c r="SYZ135" s="221"/>
      <c r="SZA135" s="258"/>
      <c r="SZB135" s="270"/>
      <c r="SZC135" s="271"/>
      <c r="SZD135" s="271"/>
      <c r="SZE135" s="271"/>
      <c r="SZF135" s="221"/>
      <c r="SZG135" s="221"/>
      <c r="SZH135" s="221"/>
      <c r="SZI135" s="258"/>
      <c r="SZJ135" s="270"/>
      <c r="SZK135" s="271"/>
      <c r="SZL135" s="271"/>
      <c r="SZM135" s="271"/>
      <c r="SZN135" s="221"/>
      <c r="SZO135" s="221"/>
      <c r="SZP135" s="221"/>
      <c r="SZQ135" s="258"/>
      <c r="SZR135" s="270"/>
      <c r="SZS135" s="271"/>
      <c r="SZT135" s="271"/>
      <c r="SZU135" s="271"/>
      <c r="SZV135" s="221"/>
      <c r="SZW135" s="221"/>
      <c r="SZX135" s="221"/>
      <c r="SZY135" s="258"/>
      <c r="SZZ135" s="270"/>
      <c r="TAA135" s="271"/>
      <c r="TAB135" s="271"/>
      <c r="TAC135" s="271"/>
      <c r="TAD135" s="221"/>
      <c r="TAE135" s="221"/>
      <c r="TAF135" s="221"/>
      <c r="TAG135" s="258"/>
      <c r="TAH135" s="270"/>
      <c r="TAI135" s="271"/>
      <c r="TAJ135" s="271"/>
      <c r="TAK135" s="271"/>
      <c r="TAL135" s="221"/>
      <c r="TAM135" s="221"/>
      <c r="TAN135" s="221"/>
      <c r="TAO135" s="258"/>
      <c r="TAP135" s="270"/>
      <c r="TAQ135" s="271"/>
      <c r="TAR135" s="271"/>
      <c r="TAS135" s="271"/>
      <c r="TAT135" s="221"/>
      <c r="TAU135" s="221"/>
      <c r="TAV135" s="221"/>
      <c r="TAW135" s="258"/>
      <c r="TAX135" s="270"/>
      <c r="TAY135" s="271"/>
      <c r="TAZ135" s="271"/>
      <c r="TBA135" s="271"/>
      <c r="TBB135" s="221"/>
      <c r="TBC135" s="221"/>
      <c r="TBD135" s="221"/>
      <c r="TBE135" s="258"/>
      <c r="TBF135" s="270"/>
      <c r="TBG135" s="271"/>
      <c r="TBH135" s="271"/>
      <c r="TBI135" s="271"/>
      <c r="TBJ135" s="221"/>
      <c r="TBK135" s="221"/>
      <c r="TBL135" s="221"/>
      <c r="TBM135" s="258"/>
      <c r="TBN135" s="270"/>
      <c r="TBO135" s="271"/>
      <c r="TBP135" s="271"/>
      <c r="TBQ135" s="271"/>
      <c r="TBR135" s="221"/>
      <c r="TBS135" s="221"/>
      <c r="TBT135" s="221"/>
      <c r="TBU135" s="258"/>
      <c r="TBV135" s="270"/>
      <c r="TBW135" s="271"/>
      <c r="TBX135" s="271"/>
      <c r="TBY135" s="271"/>
      <c r="TBZ135" s="221"/>
      <c r="TCA135" s="221"/>
      <c r="TCB135" s="221"/>
      <c r="TCC135" s="258"/>
      <c r="TCD135" s="270"/>
      <c r="TCE135" s="271"/>
      <c r="TCF135" s="271"/>
      <c r="TCG135" s="271"/>
      <c r="TCH135" s="221"/>
      <c r="TCI135" s="221"/>
      <c r="TCJ135" s="221"/>
      <c r="TCK135" s="258"/>
      <c r="TCL135" s="270"/>
      <c r="TCM135" s="271"/>
      <c r="TCN135" s="271"/>
      <c r="TCO135" s="271"/>
      <c r="TCP135" s="221"/>
      <c r="TCQ135" s="221"/>
      <c r="TCR135" s="221"/>
      <c r="TCS135" s="258"/>
      <c r="TCT135" s="270"/>
      <c r="TCU135" s="271"/>
      <c r="TCV135" s="271"/>
      <c r="TCW135" s="271"/>
      <c r="TCX135" s="221"/>
      <c r="TCY135" s="221"/>
      <c r="TCZ135" s="221"/>
      <c r="TDA135" s="258"/>
      <c r="TDB135" s="270"/>
      <c r="TDC135" s="271"/>
      <c r="TDD135" s="271"/>
      <c r="TDE135" s="271"/>
      <c r="TDF135" s="221"/>
      <c r="TDG135" s="221"/>
      <c r="TDH135" s="221"/>
      <c r="TDI135" s="258"/>
      <c r="TDJ135" s="270"/>
      <c r="TDK135" s="271"/>
      <c r="TDL135" s="271"/>
      <c r="TDM135" s="271"/>
      <c r="TDN135" s="221"/>
      <c r="TDO135" s="221"/>
      <c r="TDP135" s="221"/>
      <c r="TDQ135" s="258"/>
      <c r="TDR135" s="270"/>
      <c r="TDS135" s="271"/>
      <c r="TDT135" s="271"/>
      <c r="TDU135" s="271"/>
      <c r="TDV135" s="221"/>
      <c r="TDW135" s="221"/>
      <c r="TDX135" s="221"/>
      <c r="TDY135" s="258"/>
      <c r="TDZ135" s="270"/>
      <c r="TEA135" s="271"/>
      <c r="TEB135" s="271"/>
      <c r="TEC135" s="271"/>
      <c r="TED135" s="221"/>
      <c r="TEE135" s="221"/>
      <c r="TEF135" s="221"/>
      <c r="TEG135" s="258"/>
      <c r="TEH135" s="270"/>
      <c r="TEI135" s="271"/>
      <c r="TEJ135" s="271"/>
      <c r="TEK135" s="271"/>
      <c r="TEL135" s="221"/>
      <c r="TEM135" s="221"/>
      <c r="TEN135" s="221"/>
      <c r="TEO135" s="258"/>
      <c r="TEP135" s="270"/>
      <c r="TEQ135" s="271"/>
      <c r="TER135" s="271"/>
      <c r="TES135" s="271"/>
      <c r="TET135" s="221"/>
      <c r="TEU135" s="221"/>
      <c r="TEV135" s="221"/>
      <c r="TEW135" s="258"/>
      <c r="TEX135" s="270"/>
      <c r="TEY135" s="271"/>
      <c r="TEZ135" s="271"/>
      <c r="TFA135" s="271"/>
      <c r="TFB135" s="221"/>
      <c r="TFC135" s="221"/>
      <c r="TFD135" s="221"/>
      <c r="TFE135" s="258"/>
      <c r="TFF135" s="270"/>
      <c r="TFG135" s="271"/>
      <c r="TFH135" s="271"/>
      <c r="TFI135" s="271"/>
      <c r="TFJ135" s="221"/>
      <c r="TFK135" s="221"/>
      <c r="TFL135" s="221"/>
      <c r="TFM135" s="258"/>
      <c r="TFN135" s="270"/>
      <c r="TFO135" s="271"/>
      <c r="TFP135" s="271"/>
      <c r="TFQ135" s="271"/>
      <c r="TFR135" s="221"/>
      <c r="TFS135" s="221"/>
      <c r="TFT135" s="221"/>
      <c r="TFU135" s="258"/>
      <c r="TFV135" s="270"/>
      <c r="TFW135" s="271"/>
      <c r="TFX135" s="271"/>
      <c r="TFY135" s="271"/>
      <c r="TFZ135" s="221"/>
      <c r="TGA135" s="221"/>
      <c r="TGB135" s="221"/>
      <c r="TGC135" s="258"/>
      <c r="TGD135" s="270"/>
      <c r="TGE135" s="271"/>
      <c r="TGF135" s="271"/>
      <c r="TGG135" s="271"/>
      <c r="TGH135" s="221"/>
      <c r="TGI135" s="221"/>
      <c r="TGJ135" s="221"/>
      <c r="TGK135" s="258"/>
      <c r="TGL135" s="270"/>
      <c r="TGM135" s="271"/>
      <c r="TGN135" s="271"/>
      <c r="TGO135" s="271"/>
      <c r="TGP135" s="221"/>
      <c r="TGQ135" s="221"/>
      <c r="TGR135" s="221"/>
      <c r="TGS135" s="258"/>
      <c r="TGT135" s="270"/>
      <c r="TGU135" s="271"/>
      <c r="TGV135" s="271"/>
      <c r="TGW135" s="271"/>
      <c r="TGX135" s="221"/>
      <c r="TGY135" s="221"/>
      <c r="TGZ135" s="221"/>
      <c r="THA135" s="258"/>
      <c r="THB135" s="270"/>
      <c r="THC135" s="271"/>
      <c r="THD135" s="271"/>
      <c r="THE135" s="271"/>
      <c r="THF135" s="221"/>
      <c r="THG135" s="221"/>
      <c r="THH135" s="221"/>
      <c r="THI135" s="258"/>
      <c r="THJ135" s="270"/>
      <c r="THK135" s="271"/>
      <c r="THL135" s="271"/>
      <c r="THM135" s="271"/>
      <c r="THN135" s="221"/>
      <c r="THO135" s="221"/>
      <c r="THP135" s="221"/>
      <c r="THQ135" s="258"/>
      <c r="THR135" s="270"/>
      <c r="THS135" s="271"/>
      <c r="THT135" s="271"/>
      <c r="THU135" s="271"/>
      <c r="THV135" s="221"/>
      <c r="THW135" s="221"/>
      <c r="THX135" s="221"/>
      <c r="THY135" s="258"/>
      <c r="THZ135" s="270"/>
      <c r="TIA135" s="271"/>
      <c r="TIB135" s="271"/>
      <c r="TIC135" s="271"/>
      <c r="TID135" s="221"/>
      <c r="TIE135" s="221"/>
      <c r="TIF135" s="221"/>
      <c r="TIG135" s="258"/>
      <c r="TIH135" s="270"/>
      <c r="TII135" s="271"/>
      <c r="TIJ135" s="271"/>
      <c r="TIK135" s="271"/>
      <c r="TIL135" s="221"/>
      <c r="TIM135" s="221"/>
      <c r="TIN135" s="221"/>
      <c r="TIO135" s="258"/>
      <c r="TIP135" s="270"/>
      <c r="TIQ135" s="271"/>
      <c r="TIR135" s="271"/>
      <c r="TIS135" s="271"/>
      <c r="TIT135" s="221"/>
      <c r="TIU135" s="221"/>
      <c r="TIV135" s="221"/>
      <c r="TIW135" s="258"/>
      <c r="TIX135" s="270"/>
      <c r="TIY135" s="271"/>
      <c r="TIZ135" s="271"/>
      <c r="TJA135" s="271"/>
      <c r="TJB135" s="221"/>
      <c r="TJC135" s="221"/>
      <c r="TJD135" s="221"/>
      <c r="TJE135" s="258"/>
      <c r="TJF135" s="270"/>
      <c r="TJG135" s="271"/>
      <c r="TJH135" s="271"/>
      <c r="TJI135" s="271"/>
      <c r="TJJ135" s="221"/>
      <c r="TJK135" s="221"/>
      <c r="TJL135" s="221"/>
      <c r="TJM135" s="258"/>
      <c r="TJN135" s="270"/>
      <c r="TJO135" s="271"/>
      <c r="TJP135" s="271"/>
      <c r="TJQ135" s="271"/>
      <c r="TJR135" s="221"/>
      <c r="TJS135" s="221"/>
      <c r="TJT135" s="221"/>
      <c r="TJU135" s="258"/>
      <c r="TJV135" s="270"/>
      <c r="TJW135" s="271"/>
      <c r="TJX135" s="271"/>
      <c r="TJY135" s="271"/>
      <c r="TJZ135" s="221"/>
      <c r="TKA135" s="221"/>
      <c r="TKB135" s="221"/>
      <c r="TKC135" s="258"/>
      <c r="TKD135" s="270"/>
      <c r="TKE135" s="271"/>
      <c r="TKF135" s="271"/>
      <c r="TKG135" s="271"/>
      <c r="TKH135" s="221"/>
      <c r="TKI135" s="221"/>
      <c r="TKJ135" s="221"/>
      <c r="TKK135" s="258"/>
      <c r="TKL135" s="270"/>
      <c r="TKM135" s="271"/>
      <c r="TKN135" s="271"/>
      <c r="TKO135" s="271"/>
      <c r="TKP135" s="221"/>
      <c r="TKQ135" s="221"/>
      <c r="TKR135" s="221"/>
      <c r="TKS135" s="258"/>
      <c r="TKT135" s="270"/>
      <c r="TKU135" s="271"/>
      <c r="TKV135" s="271"/>
      <c r="TKW135" s="271"/>
      <c r="TKX135" s="221"/>
      <c r="TKY135" s="221"/>
      <c r="TKZ135" s="221"/>
      <c r="TLA135" s="258"/>
      <c r="TLB135" s="270"/>
      <c r="TLC135" s="271"/>
      <c r="TLD135" s="271"/>
      <c r="TLE135" s="271"/>
      <c r="TLF135" s="221"/>
      <c r="TLG135" s="221"/>
      <c r="TLH135" s="221"/>
      <c r="TLI135" s="258"/>
      <c r="TLJ135" s="270"/>
      <c r="TLK135" s="271"/>
      <c r="TLL135" s="271"/>
      <c r="TLM135" s="271"/>
      <c r="TLN135" s="221"/>
      <c r="TLO135" s="221"/>
      <c r="TLP135" s="221"/>
      <c r="TLQ135" s="258"/>
      <c r="TLR135" s="270"/>
      <c r="TLS135" s="271"/>
      <c r="TLT135" s="271"/>
      <c r="TLU135" s="271"/>
      <c r="TLV135" s="221"/>
      <c r="TLW135" s="221"/>
      <c r="TLX135" s="221"/>
      <c r="TLY135" s="258"/>
      <c r="TLZ135" s="270"/>
      <c r="TMA135" s="271"/>
      <c r="TMB135" s="271"/>
      <c r="TMC135" s="271"/>
      <c r="TMD135" s="221"/>
      <c r="TME135" s="221"/>
      <c r="TMF135" s="221"/>
      <c r="TMG135" s="258"/>
      <c r="TMH135" s="270"/>
      <c r="TMI135" s="271"/>
      <c r="TMJ135" s="271"/>
      <c r="TMK135" s="271"/>
      <c r="TML135" s="221"/>
      <c r="TMM135" s="221"/>
      <c r="TMN135" s="221"/>
      <c r="TMO135" s="258"/>
      <c r="TMP135" s="270"/>
      <c r="TMQ135" s="271"/>
      <c r="TMR135" s="271"/>
      <c r="TMS135" s="271"/>
      <c r="TMT135" s="221"/>
      <c r="TMU135" s="221"/>
      <c r="TMV135" s="221"/>
      <c r="TMW135" s="258"/>
      <c r="TMX135" s="270"/>
      <c r="TMY135" s="271"/>
      <c r="TMZ135" s="271"/>
      <c r="TNA135" s="271"/>
      <c r="TNB135" s="221"/>
      <c r="TNC135" s="221"/>
      <c r="TND135" s="221"/>
      <c r="TNE135" s="258"/>
      <c r="TNF135" s="270"/>
      <c r="TNG135" s="271"/>
      <c r="TNH135" s="271"/>
      <c r="TNI135" s="271"/>
      <c r="TNJ135" s="221"/>
      <c r="TNK135" s="221"/>
      <c r="TNL135" s="221"/>
      <c r="TNM135" s="258"/>
      <c r="TNN135" s="270"/>
      <c r="TNO135" s="271"/>
      <c r="TNP135" s="271"/>
      <c r="TNQ135" s="271"/>
      <c r="TNR135" s="221"/>
      <c r="TNS135" s="221"/>
      <c r="TNT135" s="221"/>
      <c r="TNU135" s="258"/>
      <c r="TNV135" s="270"/>
      <c r="TNW135" s="271"/>
      <c r="TNX135" s="271"/>
      <c r="TNY135" s="271"/>
      <c r="TNZ135" s="221"/>
      <c r="TOA135" s="221"/>
      <c r="TOB135" s="221"/>
      <c r="TOC135" s="258"/>
      <c r="TOD135" s="270"/>
      <c r="TOE135" s="271"/>
      <c r="TOF135" s="271"/>
      <c r="TOG135" s="271"/>
      <c r="TOH135" s="221"/>
      <c r="TOI135" s="221"/>
      <c r="TOJ135" s="221"/>
      <c r="TOK135" s="258"/>
      <c r="TOL135" s="270"/>
      <c r="TOM135" s="271"/>
      <c r="TON135" s="271"/>
      <c r="TOO135" s="271"/>
      <c r="TOP135" s="221"/>
      <c r="TOQ135" s="221"/>
      <c r="TOR135" s="221"/>
      <c r="TOS135" s="258"/>
      <c r="TOT135" s="270"/>
      <c r="TOU135" s="271"/>
      <c r="TOV135" s="271"/>
      <c r="TOW135" s="271"/>
      <c r="TOX135" s="221"/>
      <c r="TOY135" s="221"/>
      <c r="TOZ135" s="221"/>
      <c r="TPA135" s="258"/>
      <c r="TPB135" s="270"/>
      <c r="TPC135" s="271"/>
      <c r="TPD135" s="271"/>
      <c r="TPE135" s="271"/>
      <c r="TPF135" s="221"/>
      <c r="TPG135" s="221"/>
      <c r="TPH135" s="221"/>
      <c r="TPI135" s="258"/>
      <c r="TPJ135" s="270"/>
      <c r="TPK135" s="271"/>
      <c r="TPL135" s="271"/>
      <c r="TPM135" s="271"/>
      <c r="TPN135" s="221"/>
      <c r="TPO135" s="221"/>
      <c r="TPP135" s="221"/>
      <c r="TPQ135" s="258"/>
      <c r="TPR135" s="270"/>
      <c r="TPS135" s="271"/>
      <c r="TPT135" s="271"/>
      <c r="TPU135" s="271"/>
      <c r="TPV135" s="221"/>
      <c r="TPW135" s="221"/>
      <c r="TPX135" s="221"/>
      <c r="TPY135" s="258"/>
      <c r="TPZ135" s="270"/>
      <c r="TQA135" s="271"/>
      <c r="TQB135" s="271"/>
      <c r="TQC135" s="271"/>
      <c r="TQD135" s="221"/>
      <c r="TQE135" s="221"/>
      <c r="TQF135" s="221"/>
      <c r="TQG135" s="258"/>
      <c r="TQH135" s="270"/>
      <c r="TQI135" s="271"/>
      <c r="TQJ135" s="271"/>
      <c r="TQK135" s="271"/>
      <c r="TQL135" s="221"/>
      <c r="TQM135" s="221"/>
      <c r="TQN135" s="221"/>
      <c r="TQO135" s="258"/>
      <c r="TQP135" s="270"/>
      <c r="TQQ135" s="271"/>
      <c r="TQR135" s="271"/>
      <c r="TQS135" s="271"/>
      <c r="TQT135" s="221"/>
      <c r="TQU135" s="221"/>
      <c r="TQV135" s="221"/>
      <c r="TQW135" s="258"/>
      <c r="TQX135" s="270"/>
      <c r="TQY135" s="271"/>
      <c r="TQZ135" s="271"/>
      <c r="TRA135" s="271"/>
      <c r="TRB135" s="221"/>
      <c r="TRC135" s="221"/>
      <c r="TRD135" s="221"/>
      <c r="TRE135" s="258"/>
      <c r="TRF135" s="270"/>
      <c r="TRG135" s="271"/>
      <c r="TRH135" s="271"/>
      <c r="TRI135" s="271"/>
      <c r="TRJ135" s="221"/>
      <c r="TRK135" s="221"/>
      <c r="TRL135" s="221"/>
      <c r="TRM135" s="258"/>
      <c r="TRN135" s="270"/>
      <c r="TRO135" s="271"/>
      <c r="TRP135" s="271"/>
      <c r="TRQ135" s="271"/>
      <c r="TRR135" s="221"/>
      <c r="TRS135" s="221"/>
      <c r="TRT135" s="221"/>
      <c r="TRU135" s="258"/>
      <c r="TRV135" s="270"/>
      <c r="TRW135" s="271"/>
      <c r="TRX135" s="271"/>
      <c r="TRY135" s="271"/>
      <c r="TRZ135" s="221"/>
      <c r="TSA135" s="221"/>
      <c r="TSB135" s="221"/>
      <c r="TSC135" s="258"/>
      <c r="TSD135" s="270"/>
      <c r="TSE135" s="271"/>
      <c r="TSF135" s="271"/>
      <c r="TSG135" s="271"/>
      <c r="TSH135" s="221"/>
      <c r="TSI135" s="221"/>
      <c r="TSJ135" s="221"/>
      <c r="TSK135" s="258"/>
      <c r="TSL135" s="270"/>
      <c r="TSM135" s="271"/>
      <c r="TSN135" s="271"/>
      <c r="TSO135" s="271"/>
      <c r="TSP135" s="221"/>
      <c r="TSQ135" s="221"/>
      <c r="TSR135" s="221"/>
      <c r="TSS135" s="258"/>
      <c r="TST135" s="270"/>
      <c r="TSU135" s="271"/>
      <c r="TSV135" s="271"/>
      <c r="TSW135" s="271"/>
      <c r="TSX135" s="221"/>
      <c r="TSY135" s="221"/>
      <c r="TSZ135" s="221"/>
      <c r="TTA135" s="258"/>
      <c r="TTB135" s="270"/>
      <c r="TTC135" s="271"/>
      <c r="TTD135" s="271"/>
      <c r="TTE135" s="271"/>
      <c r="TTF135" s="221"/>
      <c r="TTG135" s="221"/>
      <c r="TTH135" s="221"/>
      <c r="TTI135" s="258"/>
      <c r="TTJ135" s="270"/>
      <c r="TTK135" s="271"/>
      <c r="TTL135" s="271"/>
      <c r="TTM135" s="271"/>
      <c r="TTN135" s="221"/>
      <c r="TTO135" s="221"/>
      <c r="TTP135" s="221"/>
      <c r="TTQ135" s="258"/>
      <c r="TTR135" s="270"/>
      <c r="TTS135" s="271"/>
      <c r="TTT135" s="271"/>
      <c r="TTU135" s="271"/>
      <c r="TTV135" s="221"/>
      <c r="TTW135" s="221"/>
      <c r="TTX135" s="221"/>
      <c r="TTY135" s="258"/>
      <c r="TTZ135" s="270"/>
      <c r="TUA135" s="271"/>
      <c r="TUB135" s="271"/>
      <c r="TUC135" s="271"/>
      <c r="TUD135" s="221"/>
      <c r="TUE135" s="221"/>
      <c r="TUF135" s="221"/>
      <c r="TUG135" s="258"/>
      <c r="TUH135" s="270"/>
      <c r="TUI135" s="271"/>
      <c r="TUJ135" s="271"/>
      <c r="TUK135" s="271"/>
      <c r="TUL135" s="221"/>
      <c r="TUM135" s="221"/>
      <c r="TUN135" s="221"/>
      <c r="TUO135" s="258"/>
      <c r="TUP135" s="270"/>
      <c r="TUQ135" s="271"/>
      <c r="TUR135" s="271"/>
      <c r="TUS135" s="271"/>
      <c r="TUT135" s="221"/>
      <c r="TUU135" s="221"/>
      <c r="TUV135" s="221"/>
      <c r="TUW135" s="258"/>
      <c r="TUX135" s="270"/>
      <c r="TUY135" s="271"/>
      <c r="TUZ135" s="271"/>
      <c r="TVA135" s="271"/>
      <c r="TVB135" s="221"/>
      <c r="TVC135" s="221"/>
      <c r="TVD135" s="221"/>
      <c r="TVE135" s="258"/>
      <c r="TVF135" s="270"/>
      <c r="TVG135" s="271"/>
      <c r="TVH135" s="271"/>
      <c r="TVI135" s="271"/>
      <c r="TVJ135" s="221"/>
      <c r="TVK135" s="221"/>
      <c r="TVL135" s="221"/>
      <c r="TVM135" s="258"/>
      <c r="TVN135" s="270"/>
      <c r="TVO135" s="271"/>
      <c r="TVP135" s="271"/>
      <c r="TVQ135" s="271"/>
      <c r="TVR135" s="221"/>
      <c r="TVS135" s="221"/>
      <c r="TVT135" s="221"/>
      <c r="TVU135" s="258"/>
      <c r="TVV135" s="270"/>
      <c r="TVW135" s="271"/>
      <c r="TVX135" s="271"/>
      <c r="TVY135" s="271"/>
      <c r="TVZ135" s="221"/>
      <c r="TWA135" s="221"/>
      <c r="TWB135" s="221"/>
      <c r="TWC135" s="258"/>
      <c r="TWD135" s="270"/>
      <c r="TWE135" s="271"/>
      <c r="TWF135" s="271"/>
      <c r="TWG135" s="271"/>
      <c r="TWH135" s="221"/>
      <c r="TWI135" s="221"/>
      <c r="TWJ135" s="221"/>
      <c r="TWK135" s="258"/>
      <c r="TWL135" s="270"/>
      <c r="TWM135" s="271"/>
      <c r="TWN135" s="271"/>
      <c r="TWO135" s="271"/>
      <c r="TWP135" s="221"/>
      <c r="TWQ135" s="221"/>
      <c r="TWR135" s="221"/>
      <c r="TWS135" s="258"/>
      <c r="TWT135" s="270"/>
      <c r="TWU135" s="271"/>
      <c r="TWV135" s="271"/>
      <c r="TWW135" s="271"/>
      <c r="TWX135" s="221"/>
      <c r="TWY135" s="221"/>
      <c r="TWZ135" s="221"/>
      <c r="TXA135" s="258"/>
      <c r="TXB135" s="270"/>
      <c r="TXC135" s="271"/>
      <c r="TXD135" s="271"/>
      <c r="TXE135" s="271"/>
      <c r="TXF135" s="221"/>
      <c r="TXG135" s="221"/>
      <c r="TXH135" s="221"/>
      <c r="TXI135" s="258"/>
      <c r="TXJ135" s="270"/>
      <c r="TXK135" s="271"/>
      <c r="TXL135" s="271"/>
      <c r="TXM135" s="271"/>
      <c r="TXN135" s="221"/>
      <c r="TXO135" s="221"/>
      <c r="TXP135" s="221"/>
      <c r="TXQ135" s="258"/>
      <c r="TXR135" s="270"/>
      <c r="TXS135" s="271"/>
      <c r="TXT135" s="271"/>
      <c r="TXU135" s="271"/>
      <c r="TXV135" s="221"/>
      <c r="TXW135" s="221"/>
      <c r="TXX135" s="221"/>
      <c r="TXY135" s="258"/>
      <c r="TXZ135" s="270"/>
      <c r="TYA135" s="271"/>
      <c r="TYB135" s="271"/>
      <c r="TYC135" s="271"/>
      <c r="TYD135" s="221"/>
      <c r="TYE135" s="221"/>
      <c r="TYF135" s="221"/>
      <c r="TYG135" s="258"/>
      <c r="TYH135" s="270"/>
      <c r="TYI135" s="271"/>
      <c r="TYJ135" s="271"/>
      <c r="TYK135" s="271"/>
      <c r="TYL135" s="221"/>
      <c r="TYM135" s="221"/>
      <c r="TYN135" s="221"/>
      <c r="TYO135" s="258"/>
      <c r="TYP135" s="270"/>
      <c r="TYQ135" s="271"/>
      <c r="TYR135" s="271"/>
      <c r="TYS135" s="271"/>
      <c r="TYT135" s="221"/>
      <c r="TYU135" s="221"/>
      <c r="TYV135" s="221"/>
      <c r="TYW135" s="258"/>
      <c r="TYX135" s="270"/>
      <c r="TYY135" s="271"/>
      <c r="TYZ135" s="271"/>
      <c r="TZA135" s="271"/>
      <c r="TZB135" s="221"/>
      <c r="TZC135" s="221"/>
      <c r="TZD135" s="221"/>
      <c r="TZE135" s="258"/>
      <c r="TZF135" s="270"/>
      <c r="TZG135" s="271"/>
      <c r="TZH135" s="271"/>
      <c r="TZI135" s="271"/>
      <c r="TZJ135" s="221"/>
      <c r="TZK135" s="221"/>
      <c r="TZL135" s="221"/>
      <c r="TZM135" s="258"/>
      <c r="TZN135" s="270"/>
      <c r="TZO135" s="271"/>
      <c r="TZP135" s="271"/>
      <c r="TZQ135" s="271"/>
      <c r="TZR135" s="221"/>
      <c r="TZS135" s="221"/>
      <c r="TZT135" s="221"/>
      <c r="TZU135" s="258"/>
      <c r="TZV135" s="270"/>
      <c r="TZW135" s="271"/>
      <c r="TZX135" s="271"/>
      <c r="TZY135" s="271"/>
      <c r="TZZ135" s="221"/>
      <c r="UAA135" s="221"/>
      <c r="UAB135" s="221"/>
      <c r="UAC135" s="258"/>
      <c r="UAD135" s="270"/>
      <c r="UAE135" s="271"/>
      <c r="UAF135" s="271"/>
      <c r="UAG135" s="271"/>
      <c r="UAH135" s="221"/>
      <c r="UAI135" s="221"/>
      <c r="UAJ135" s="221"/>
      <c r="UAK135" s="258"/>
      <c r="UAL135" s="270"/>
      <c r="UAM135" s="271"/>
      <c r="UAN135" s="271"/>
      <c r="UAO135" s="271"/>
      <c r="UAP135" s="221"/>
      <c r="UAQ135" s="221"/>
      <c r="UAR135" s="221"/>
      <c r="UAS135" s="258"/>
      <c r="UAT135" s="270"/>
      <c r="UAU135" s="271"/>
      <c r="UAV135" s="271"/>
      <c r="UAW135" s="271"/>
      <c r="UAX135" s="221"/>
      <c r="UAY135" s="221"/>
      <c r="UAZ135" s="221"/>
      <c r="UBA135" s="258"/>
      <c r="UBB135" s="270"/>
      <c r="UBC135" s="271"/>
      <c r="UBD135" s="271"/>
      <c r="UBE135" s="271"/>
      <c r="UBF135" s="221"/>
      <c r="UBG135" s="221"/>
      <c r="UBH135" s="221"/>
      <c r="UBI135" s="258"/>
      <c r="UBJ135" s="270"/>
      <c r="UBK135" s="271"/>
      <c r="UBL135" s="271"/>
      <c r="UBM135" s="271"/>
      <c r="UBN135" s="221"/>
      <c r="UBO135" s="221"/>
      <c r="UBP135" s="221"/>
      <c r="UBQ135" s="258"/>
      <c r="UBR135" s="270"/>
      <c r="UBS135" s="271"/>
      <c r="UBT135" s="271"/>
      <c r="UBU135" s="271"/>
      <c r="UBV135" s="221"/>
      <c r="UBW135" s="221"/>
      <c r="UBX135" s="221"/>
      <c r="UBY135" s="258"/>
      <c r="UBZ135" s="270"/>
      <c r="UCA135" s="271"/>
      <c r="UCB135" s="271"/>
      <c r="UCC135" s="271"/>
      <c r="UCD135" s="221"/>
      <c r="UCE135" s="221"/>
      <c r="UCF135" s="221"/>
      <c r="UCG135" s="258"/>
      <c r="UCH135" s="270"/>
      <c r="UCI135" s="271"/>
      <c r="UCJ135" s="271"/>
      <c r="UCK135" s="271"/>
      <c r="UCL135" s="221"/>
      <c r="UCM135" s="221"/>
      <c r="UCN135" s="221"/>
      <c r="UCO135" s="258"/>
      <c r="UCP135" s="270"/>
      <c r="UCQ135" s="271"/>
      <c r="UCR135" s="271"/>
      <c r="UCS135" s="271"/>
      <c r="UCT135" s="221"/>
      <c r="UCU135" s="221"/>
      <c r="UCV135" s="221"/>
      <c r="UCW135" s="258"/>
      <c r="UCX135" s="270"/>
      <c r="UCY135" s="271"/>
      <c r="UCZ135" s="271"/>
      <c r="UDA135" s="271"/>
      <c r="UDB135" s="221"/>
      <c r="UDC135" s="221"/>
      <c r="UDD135" s="221"/>
      <c r="UDE135" s="258"/>
      <c r="UDF135" s="270"/>
      <c r="UDG135" s="271"/>
      <c r="UDH135" s="271"/>
      <c r="UDI135" s="271"/>
      <c r="UDJ135" s="221"/>
      <c r="UDK135" s="221"/>
      <c r="UDL135" s="221"/>
      <c r="UDM135" s="258"/>
      <c r="UDN135" s="270"/>
      <c r="UDO135" s="271"/>
      <c r="UDP135" s="271"/>
      <c r="UDQ135" s="271"/>
      <c r="UDR135" s="221"/>
      <c r="UDS135" s="221"/>
      <c r="UDT135" s="221"/>
      <c r="UDU135" s="258"/>
      <c r="UDV135" s="270"/>
      <c r="UDW135" s="271"/>
      <c r="UDX135" s="271"/>
      <c r="UDY135" s="271"/>
      <c r="UDZ135" s="221"/>
      <c r="UEA135" s="221"/>
      <c r="UEB135" s="221"/>
      <c r="UEC135" s="258"/>
      <c r="UED135" s="270"/>
      <c r="UEE135" s="271"/>
      <c r="UEF135" s="271"/>
      <c r="UEG135" s="271"/>
      <c r="UEH135" s="221"/>
      <c r="UEI135" s="221"/>
      <c r="UEJ135" s="221"/>
      <c r="UEK135" s="258"/>
      <c r="UEL135" s="270"/>
      <c r="UEM135" s="271"/>
      <c r="UEN135" s="271"/>
      <c r="UEO135" s="271"/>
      <c r="UEP135" s="221"/>
      <c r="UEQ135" s="221"/>
      <c r="UER135" s="221"/>
      <c r="UES135" s="258"/>
      <c r="UET135" s="270"/>
      <c r="UEU135" s="271"/>
      <c r="UEV135" s="271"/>
      <c r="UEW135" s="271"/>
      <c r="UEX135" s="221"/>
      <c r="UEY135" s="221"/>
      <c r="UEZ135" s="221"/>
      <c r="UFA135" s="258"/>
      <c r="UFB135" s="270"/>
      <c r="UFC135" s="271"/>
      <c r="UFD135" s="271"/>
      <c r="UFE135" s="271"/>
      <c r="UFF135" s="221"/>
      <c r="UFG135" s="221"/>
      <c r="UFH135" s="221"/>
      <c r="UFI135" s="258"/>
      <c r="UFJ135" s="270"/>
      <c r="UFK135" s="271"/>
      <c r="UFL135" s="271"/>
      <c r="UFM135" s="271"/>
      <c r="UFN135" s="221"/>
      <c r="UFO135" s="221"/>
      <c r="UFP135" s="221"/>
      <c r="UFQ135" s="258"/>
      <c r="UFR135" s="270"/>
      <c r="UFS135" s="271"/>
      <c r="UFT135" s="271"/>
      <c r="UFU135" s="271"/>
      <c r="UFV135" s="221"/>
      <c r="UFW135" s="221"/>
      <c r="UFX135" s="221"/>
      <c r="UFY135" s="258"/>
      <c r="UFZ135" s="270"/>
      <c r="UGA135" s="271"/>
      <c r="UGB135" s="271"/>
      <c r="UGC135" s="271"/>
      <c r="UGD135" s="221"/>
      <c r="UGE135" s="221"/>
      <c r="UGF135" s="221"/>
      <c r="UGG135" s="258"/>
      <c r="UGH135" s="270"/>
      <c r="UGI135" s="271"/>
      <c r="UGJ135" s="271"/>
      <c r="UGK135" s="271"/>
      <c r="UGL135" s="221"/>
      <c r="UGM135" s="221"/>
      <c r="UGN135" s="221"/>
      <c r="UGO135" s="258"/>
      <c r="UGP135" s="270"/>
      <c r="UGQ135" s="271"/>
      <c r="UGR135" s="271"/>
      <c r="UGS135" s="271"/>
      <c r="UGT135" s="221"/>
      <c r="UGU135" s="221"/>
      <c r="UGV135" s="221"/>
      <c r="UGW135" s="258"/>
      <c r="UGX135" s="270"/>
      <c r="UGY135" s="271"/>
      <c r="UGZ135" s="271"/>
      <c r="UHA135" s="271"/>
      <c r="UHB135" s="221"/>
      <c r="UHC135" s="221"/>
      <c r="UHD135" s="221"/>
      <c r="UHE135" s="258"/>
      <c r="UHF135" s="270"/>
      <c r="UHG135" s="271"/>
      <c r="UHH135" s="271"/>
      <c r="UHI135" s="271"/>
      <c r="UHJ135" s="221"/>
      <c r="UHK135" s="221"/>
      <c r="UHL135" s="221"/>
      <c r="UHM135" s="258"/>
      <c r="UHN135" s="270"/>
      <c r="UHO135" s="271"/>
      <c r="UHP135" s="271"/>
      <c r="UHQ135" s="271"/>
      <c r="UHR135" s="221"/>
      <c r="UHS135" s="221"/>
      <c r="UHT135" s="221"/>
      <c r="UHU135" s="258"/>
      <c r="UHV135" s="270"/>
      <c r="UHW135" s="271"/>
      <c r="UHX135" s="271"/>
      <c r="UHY135" s="271"/>
      <c r="UHZ135" s="221"/>
      <c r="UIA135" s="221"/>
      <c r="UIB135" s="221"/>
      <c r="UIC135" s="258"/>
      <c r="UID135" s="270"/>
      <c r="UIE135" s="271"/>
      <c r="UIF135" s="271"/>
      <c r="UIG135" s="271"/>
      <c r="UIH135" s="221"/>
      <c r="UII135" s="221"/>
      <c r="UIJ135" s="221"/>
      <c r="UIK135" s="258"/>
      <c r="UIL135" s="270"/>
      <c r="UIM135" s="271"/>
      <c r="UIN135" s="271"/>
      <c r="UIO135" s="271"/>
      <c r="UIP135" s="221"/>
      <c r="UIQ135" s="221"/>
      <c r="UIR135" s="221"/>
      <c r="UIS135" s="258"/>
      <c r="UIT135" s="270"/>
      <c r="UIU135" s="271"/>
      <c r="UIV135" s="271"/>
      <c r="UIW135" s="271"/>
      <c r="UIX135" s="221"/>
      <c r="UIY135" s="221"/>
      <c r="UIZ135" s="221"/>
      <c r="UJA135" s="258"/>
      <c r="UJB135" s="270"/>
      <c r="UJC135" s="271"/>
      <c r="UJD135" s="271"/>
      <c r="UJE135" s="271"/>
      <c r="UJF135" s="221"/>
      <c r="UJG135" s="221"/>
      <c r="UJH135" s="221"/>
      <c r="UJI135" s="258"/>
      <c r="UJJ135" s="270"/>
      <c r="UJK135" s="271"/>
      <c r="UJL135" s="271"/>
      <c r="UJM135" s="271"/>
      <c r="UJN135" s="221"/>
      <c r="UJO135" s="221"/>
      <c r="UJP135" s="221"/>
      <c r="UJQ135" s="258"/>
      <c r="UJR135" s="270"/>
      <c r="UJS135" s="271"/>
      <c r="UJT135" s="271"/>
      <c r="UJU135" s="271"/>
      <c r="UJV135" s="221"/>
      <c r="UJW135" s="221"/>
      <c r="UJX135" s="221"/>
      <c r="UJY135" s="258"/>
      <c r="UJZ135" s="270"/>
      <c r="UKA135" s="271"/>
      <c r="UKB135" s="271"/>
      <c r="UKC135" s="271"/>
      <c r="UKD135" s="221"/>
      <c r="UKE135" s="221"/>
      <c r="UKF135" s="221"/>
      <c r="UKG135" s="258"/>
      <c r="UKH135" s="270"/>
      <c r="UKI135" s="271"/>
      <c r="UKJ135" s="271"/>
      <c r="UKK135" s="271"/>
      <c r="UKL135" s="221"/>
      <c r="UKM135" s="221"/>
      <c r="UKN135" s="221"/>
      <c r="UKO135" s="258"/>
      <c r="UKP135" s="270"/>
      <c r="UKQ135" s="271"/>
      <c r="UKR135" s="271"/>
      <c r="UKS135" s="271"/>
      <c r="UKT135" s="221"/>
      <c r="UKU135" s="221"/>
      <c r="UKV135" s="221"/>
      <c r="UKW135" s="258"/>
      <c r="UKX135" s="270"/>
      <c r="UKY135" s="271"/>
      <c r="UKZ135" s="271"/>
      <c r="ULA135" s="271"/>
      <c r="ULB135" s="221"/>
      <c r="ULC135" s="221"/>
      <c r="ULD135" s="221"/>
      <c r="ULE135" s="258"/>
      <c r="ULF135" s="270"/>
      <c r="ULG135" s="271"/>
      <c r="ULH135" s="271"/>
      <c r="ULI135" s="271"/>
      <c r="ULJ135" s="221"/>
      <c r="ULK135" s="221"/>
      <c r="ULL135" s="221"/>
      <c r="ULM135" s="258"/>
      <c r="ULN135" s="270"/>
      <c r="ULO135" s="271"/>
      <c r="ULP135" s="271"/>
      <c r="ULQ135" s="271"/>
      <c r="ULR135" s="221"/>
      <c r="ULS135" s="221"/>
      <c r="ULT135" s="221"/>
      <c r="ULU135" s="258"/>
      <c r="ULV135" s="270"/>
      <c r="ULW135" s="271"/>
      <c r="ULX135" s="271"/>
      <c r="ULY135" s="271"/>
      <c r="ULZ135" s="221"/>
      <c r="UMA135" s="221"/>
      <c r="UMB135" s="221"/>
      <c r="UMC135" s="258"/>
      <c r="UMD135" s="270"/>
      <c r="UME135" s="271"/>
      <c r="UMF135" s="271"/>
      <c r="UMG135" s="271"/>
      <c r="UMH135" s="221"/>
      <c r="UMI135" s="221"/>
      <c r="UMJ135" s="221"/>
      <c r="UMK135" s="258"/>
      <c r="UML135" s="270"/>
      <c r="UMM135" s="271"/>
      <c r="UMN135" s="271"/>
      <c r="UMO135" s="271"/>
      <c r="UMP135" s="221"/>
      <c r="UMQ135" s="221"/>
      <c r="UMR135" s="221"/>
      <c r="UMS135" s="258"/>
      <c r="UMT135" s="270"/>
      <c r="UMU135" s="271"/>
      <c r="UMV135" s="271"/>
      <c r="UMW135" s="271"/>
      <c r="UMX135" s="221"/>
      <c r="UMY135" s="221"/>
      <c r="UMZ135" s="221"/>
      <c r="UNA135" s="258"/>
      <c r="UNB135" s="270"/>
      <c r="UNC135" s="271"/>
      <c r="UND135" s="271"/>
      <c r="UNE135" s="271"/>
      <c r="UNF135" s="221"/>
      <c r="UNG135" s="221"/>
      <c r="UNH135" s="221"/>
      <c r="UNI135" s="258"/>
      <c r="UNJ135" s="270"/>
      <c r="UNK135" s="271"/>
      <c r="UNL135" s="271"/>
      <c r="UNM135" s="271"/>
      <c r="UNN135" s="221"/>
      <c r="UNO135" s="221"/>
      <c r="UNP135" s="221"/>
      <c r="UNQ135" s="258"/>
      <c r="UNR135" s="270"/>
      <c r="UNS135" s="271"/>
      <c r="UNT135" s="271"/>
      <c r="UNU135" s="271"/>
      <c r="UNV135" s="221"/>
      <c r="UNW135" s="221"/>
      <c r="UNX135" s="221"/>
      <c r="UNY135" s="258"/>
      <c r="UNZ135" s="270"/>
      <c r="UOA135" s="271"/>
      <c r="UOB135" s="271"/>
      <c r="UOC135" s="271"/>
      <c r="UOD135" s="221"/>
      <c r="UOE135" s="221"/>
      <c r="UOF135" s="221"/>
      <c r="UOG135" s="258"/>
      <c r="UOH135" s="270"/>
      <c r="UOI135" s="271"/>
      <c r="UOJ135" s="271"/>
      <c r="UOK135" s="271"/>
      <c r="UOL135" s="221"/>
      <c r="UOM135" s="221"/>
      <c r="UON135" s="221"/>
      <c r="UOO135" s="258"/>
      <c r="UOP135" s="270"/>
      <c r="UOQ135" s="271"/>
      <c r="UOR135" s="271"/>
      <c r="UOS135" s="271"/>
      <c r="UOT135" s="221"/>
      <c r="UOU135" s="221"/>
      <c r="UOV135" s="221"/>
      <c r="UOW135" s="258"/>
      <c r="UOX135" s="270"/>
      <c r="UOY135" s="271"/>
      <c r="UOZ135" s="271"/>
      <c r="UPA135" s="271"/>
      <c r="UPB135" s="221"/>
      <c r="UPC135" s="221"/>
      <c r="UPD135" s="221"/>
      <c r="UPE135" s="258"/>
      <c r="UPF135" s="270"/>
      <c r="UPG135" s="271"/>
      <c r="UPH135" s="271"/>
      <c r="UPI135" s="271"/>
      <c r="UPJ135" s="221"/>
      <c r="UPK135" s="221"/>
      <c r="UPL135" s="221"/>
      <c r="UPM135" s="258"/>
      <c r="UPN135" s="270"/>
      <c r="UPO135" s="271"/>
      <c r="UPP135" s="271"/>
      <c r="UPQ135" s="271"/>
      <c r="UPR135" s="221"/>
      <c r="UPS135" s="221"/>
      <c r="UPT135" s="221"/>
      <c r="UPU135" s="258"/>
      <c r="UPV135" s="270"/>
      <c r="UPW135" s="271"/>
      <c r="UPX135" s="271"/>
      <c r="UPY135" s="271"/>
      <c r="UPZ135" s="221"/>
      <c r="UQA135" s="221"/>
      <c r="UQB135" s="221"/>
      <c r="UQC135" s="258"/>
      <c r="UQD135" s="270"/>
      <c r="UQE135" s="271"/>
      <c r="UQF135" s="271"/>
      <c r="UQG135" s="271"/>
      <c r="UQH135" s="221"/>
      <c r="UQI135" s="221"/>
      <c r="UQJ135" s="221"/>
      <c r="UQK135" s="258"/>
      <c r="UQL135" s="270"/>
      <c r="UQM135" s="271"/>
      <c r="UQN135" s="271"/>
      <c r="UQO135" s="271"/>
      <c r="UQP135" s="221"/>
      <c r="UQQ135" s="221"/>
      <c r="UQR135" s="221"/>
      <c r="UQS135" s="258"/>
      <c r="UQT135" s="270"/>
      <c r="UQU135" s="271"/>
      <c r="UQV135" s="271"/>
      <c r="UQW135" s="271"/>
      <c r="UQX135" s="221"/>
      <c r="UQY135" s="221"/>
      <c r="UQZ135" s="221"/>
      <c r="URA135" s="258"/>
      <c r="URB135" s="270"/>
      <c r="URC135" s="271"/>
      <c r="URD135" s="271"/>
      <c r="URE135" s="271"/>
      <c r="URF135" s="221"/>
      <c r="URG135" s="221"/>
      <c r="URH135" s="221"/>
      <c r="URI135" s="258"/>
      <c r="URJ135" s="270"/>
      <c r="URK135" s="271"/>
      <c r="URL135" s="271"/>
      <c r="URM135" s="271"/>
      <c r="URN135" s="221"/>
      <c r="URO135" s="221"/>
      <c r="URP135" s="221"/>
      <c r="URQ135" s="258"/>
      <c r="URR135" s="270"/>
      <c r="URS135" s="271"/>
      <c r="URT135" s="271"/>
      <c r="URU135" s="271"/>
      <c r="URV135" s="221"/>
      <c r="URW135" s="221"/>
      <c r="URX135" s="221"/>
      <c r="URY135" s="258"/>
      <c r="URZ135" s="270"/>
      <c r="USA135" s="271"/>
      <c r="USB135" s="271"/>
      <c r="USC135" s="271"/>
      <c r="USD135" s="221"/>
      <c r="USE135" s="221"/>
      <c r="USF135" s="221"/>
      <c r="USG135" s="258"/>
      <c r="USH135" s="270"/>
      <c r="USI135" s="271"/>
      <c r="USJ135" s="271"/>
      <c r="USK135" s="271"/>
      <c r="USL135" s="221"/>
      <c r="USM135" s="221"/>
      <c r="USN135" s="221"/>
      <c r="USO135" s="258"/>
      <c r="USP135" s="270"/>
      <c r="USQ135" s="271"/>
      <c r="USR135" s="271"/>
      <c r="USS135" s="271"/>
      <c r="UST135" s="221"/>
      <c r="USU135" s="221"/>
      <c r="USV135" s="221"/>
      <c r="USW135" s="258"/>
      <c r="USX135" s="270"/>
      <c r="USY135" s="271"/>
      <c r="USZ135" s="271"/>
      <c r="UTA135" s="271"/>
      <c r="UTB135" s="221"/>
      <c r="UTC135" s="221"/>
      <c r="UTD135" s="221"/>
      <c r="UTE135" s="258"/>
      <c r="UTF135" s="270"/>
      <c r="UTG135" s="271"/>
      <c r="UTH135" s="271"/>
      <c r="UTI135" s="271"/>
      <c r="UTJ135" s="221"/>
      <c r="UTK135" s="221"/>
      <c r="UTL135" s="221"/>
      <c r="UTM135" s="258"/>
      <c r="UTN135" s="270"/>
      <c r="UTO135" s="271"/>
      <c r="UTP135" s="271"/>
      <c r="UTQ135" s="271"/>
      <c r="UTR135" s="221"/>
      <c r="UTS135" s="221"/>
      <c r="UTT135" s="221"/>
      <c r="UTU135" s="258"/>
      <c r="UTV135" s="270"/>
      <c r="UTW135" s="271"/>
      <c r="UTX135" s="271"/>
      <c r="UTY135" s="271"/>
      <c r="UTZ135" s="221"/>
      <c r="UUA135" s="221"/>
      <c r="UUB135" s="221"/>
      <c r="UUC135" s="258"/>
      <c r="UUD135" s="270"/>
      <c r="UUE135" s="271"/>
      <c r="UUF135" s="271"/>
      <c r="UUG135" s="271"/>
      <c r="UUH135" s="221"/>
      <c r="UUI135" s="221"/>
      <c r="UUJ135" s="221"/>
      <c r="UUK135" s="258"/>
      <c r="UUL135" s="270"/>
      <c r="UUM135" s="271"/>
      <c r="UUN135" s="271"/>
      <c r="UUO135" s="271"/>
      <c r="UUP135" s="221"/>
      <c r="UUQ135" s="221"/>
      <c r="UUR135" s="221"/>
      <c r="UUS135" s="258"/>
      <c r="UUT135" s="270"/>
      <c r="UUU135" s="271"/>
      <c r="UUV135" s="271"/>
      <c r="UUW135" s="271"/>
      <c r="UUX135" s="221"/>
      <c r="UUY135" s="221"/>
      <c r="UUZ135" s="221"/>
      <c r="UVA135" s="258"/>
      <c r="UVB135" s="270"/>
      <c r="UVC135" s="271"/>
      <c r="UVD135" s="271"/>
      <c r="UVE135" s="271"/>
      <c r="UVF135" s="221"/>
      <c r="UVG135" s="221"/>
      <c r="UVH135" s="221"/>
      <c r="UVI135" s="258"/>
      <c r="UVJ135" s="270"/>
      <c r="UVK135" s="271"/>
      <c r="UVL135" s="271"/>
      <c r="UVM135" s="271"/>
      <c r="UVN135" s="221"/>
      <c r="UVO135" s="221"/>
      <c r="UVP135" s="221"/>
      <c r="UVQ135" s="258"/>
      <c r="UVR135" s="270"/>
      <c r="UVS135" s="271"/>
      <c r="UVT135" s="271"/>
      <c r="UVU135" s="271"/>
      <c r="UVV135" s="221"/>
      <c r="UVW135" s="221"/>
      <c r="UVX135" s="221"/>
      <c r="UVY135" s="258"/>
      <c r="UVZ135" s="270"/>
      <c r="UWA135" s="271"/>
      <c r="UWB135" s="271"/>
      <c r="UWC135" s="271"/>
      <c r="UWD135" s="221"/>
      <c r="UWE135" s="221"/>
      <c r="UWF135" s="221"/>
      <c r="UWG135" s="258"/>
      <c r="UWH135" s="270"/>
      <c r="UWI135" s="271"/>
      <c r="UWJ135" s="271"/>
      <c r="UWK135" s="271"/>
      <c r="UWL135" s="221"/>
      <c r="UWM135" s="221"/>
      <c r="UWN135" s="221"/>
      <c r="UWO135" s="258"/>
      <c r="UWP135" s="270"/>
      <c r="UWQ135" s="271"/>
      <c r="UWR135" s="271"/>
      <c r="UWS135" s="271"/>
      <c r="UWT135" s="221"/>
      <c r="UWU135" s="221"/>
      <c r="UWV135" s="221"/>
      <c r="UWW135" s="258"/>
      <c r="UWX135" s="270"/>
      <c r="UWY135" s="271"/>
      <c r="UWZ135" s="271"/>
      <c r="UXA135" s="271"/>
      <c r="UXB135" s="221"/>
      <c r="UXC135" s="221"/>
      <c r="UXD135" s="221"/>
      <c r="UXE135" s="258"/>
      <c r="UXF135" s="270"/>
      <c r="UXG135" s="271"/>
      <c r="UXH135" s="271"/>
      <c r="UXI135" s="271"/>
      <c r="UXJ135" s="221"/>
      <c r="UXK135" s="221"/>
      <c r="UXL135" s="221"/>
      <c r="UXM135" s="258"/>
      <c r="UXN135" s="270"/>
      <c r="UXO135" s="271"/>
      <c r="UXP135" s="271"/>
      <c r="UXQ135" s="271"/>
      <c r="UXR135" s="221"/>
      <c r="UXS135" s="221"/>
      <c r="UXT135" s="221"/>
      <c r="UXU135" s="258"/>
      <c r="UXV135" s="270"/>
      <c r="UXW135" s="271"/>
      <c r="UXX135" s="271"/>
      <c r="UXY135" s="271"/>
      <c r="UXZ135" s="221"/>
      <c r="UYA135" s="221"/>
      <c r="UYB135" s="221"/>
      <c r="UYC135" s="258"/>
      <c r="UYD135" s="270"/>
      <c r="UYE135" s="271"/>
      <c r="UYF135" s="271"/>
      <c r="UYG135" s="271"/>
      <c r="UYH135" s="221"/>
      <c r="UYI135" s="221"/>
      <c r="UYJ135" s="221"/>
      <c r="UYK135" s="258"/>
      <c r="UYL135" s="270"/>
      <c r="UYM135" s="271"/>
      <c r="UYN135" s="271"/>
      <c r="UYO135" s="271"/>
      <c r="UYP135" s="221"/>
      <c r="UYQ135" s="221"/>
      <c r="UYR135" s="221"/>
      <c r="UYS135" s="258"/>
      <c r="UYT135" s="270"/>
      <c r="UYU135" s="271"/>
      <c r="UYV135" s="271"/>
      <c r="UYW135" s="271"/>
      <c r="UYX135" s="221"/>
      <c r="UYY135" s="221"/>
      <c r="UYZ135" s="221"/>
      <c r="UZA135" s="258"/>
      <c r="UZB135" s="270"/>
      <c r="UZC135" s="271"/>
      <c r="UZD135" s="271"/>
      <c r="UZE135" s="271"/>
      <c r="UZF135" s="221"/>
      <c r="UZG135" s="221"/>
      <c r="UZH135" s="221"/>
      <c r="UZI135" s="258"/>
      <c r="UZJ135" s="270"/>
      <c r="UZK135" s="271"/>
      <c r="UZL135" s="271"/>
      <c r="UZM135" s="271"/>
      <c r="UZN135" s="221"/>
      <c r="UZO135" s="221"/>
      <c r="UZP135" s="221"/>
      <c r="UZQ135" s="258"/>
      <c r="UZR135" s="270"/>
      <c r="UZS135" s="271"/>
      <c r="UZT135" s="271"/>
      <c r="UZU135" s="271"/>
      <c r="UZV135" s="221"/>
      <c r="UZW135" s="221"/>
      <c r="UZX135" s="221"/>
      <c r="UZY135" s="258"/>
      <c r="UZZ135" s="270"/>
      <c r="VAA135" s="271"/>
      <c r="VAB135" s="271"/>
      <c r="VAC135" s="271"/>
      <c r="VAD135" s="221"/>
      <c r="VAE135" s="221"/>
      <c r="VAF135" s="221"/>
      <c r="VAG135" s="258"/>
      <c r="VAH135" s="270"/>
      <c r="VAI135" s="271"/>
      <c r="VAJ135" s="271"/>
      <c r="VAK135" s="271"/>
      <c r="VAL135" s="221"/>
      <c r="VAM135" s="221"/>
      <c r="VAN135" s="221"/>
      <c r="VAO135" s="258"/>
      <c r="VAP135" s="270"/>
      <c r="VAQ135" s="271"/>
      <c r="VAR135" s="271"/>
      <c r="VAS135" s="271"/>
      <c r="VAT135" s="221"/>
      <c r="VAU135" s="221"/>
      <c r="VAV135" s="221"/>
      <c r="VAW135" s="258"/>
      <c r="VAX135" s="270"/>
      <c r="VAY135" s="271"/>
      <c r="VAZ135" s="271"/>
      <c r="VBA135" s="271"/>
      <c r="VBB135" s="221"/>
      <c r="VBC135" s="221"/>
      <c r="VBD135" s="221"/>
      <c r="VBE135" s="258"/>
      <c r="VBF135" s="270"/>
      <c r="VBG135" s="271"/>
      <c r="VBH135" s="271"/>
      <c r="VBI135" s="271"/>
      <c r="VBJ135" s="221"/>
      <c r="VBK135" s="221"/>
      <c r="VBL135" s="221"/>
      <c r="VBM135" s="258"/>
      <c r="VBN135" s="270"/>
      <c r="VBO135" s="271"/>
      <c r="VBP135" s="271"/>
      <c r="VBQ135" s="271"/>
      <c r="VBR135" s="221"/>
      <c r="VBS135" s="221"/>
      <c r="VBT135" s="221"/>
      <c r="VBU135" s="258"/>
      <c r="VBV135" s="270"/>
      <c r="VBW135" s="271"/>
      <c r="VBX135" s="271"/>
      <c r="VBY135" s="271"/>
      <c r="VBZ135" s="221"/>
      <c r="VCA135" s="221"/>
      <c r="VCB135" s="221"/>
      <c r="VCC135" s="258"/>
      <c r="VCD135" s="270"/>
      <c r="VCE135" s="271"/>
      <c r="VCF135" s="271"/>
      <c r="VCG135" s="271"/>
      <c r="VCH135" s="221"/>
      <c r="VCI135" s="221"/>
      <c r="VCJ135" s="221"/>
      <c r="VCK135" s="258"/>
      <c r="VCL135" s="270"/>
      <c r="VCM135" s="271"/>
      <c r="VCN135" s="271"/>
      <c r="VCO135" s="271"/>
      <c r="VCP135" s="221"/>
      <c r="VCQ135" s="221"/>
      <c r="VCR135" s="221"/>
      <c r="VCS135" s="258"/>
      <c r="VCT135" s="270"/>
      <c r="VCU135" s="271"/>
      <c r="VCV135" s="271"/>
      <c r="VCW135" s="271"/>
      <c r="VCX135" s="221"/>
      <c r="VCY135" s="221"/>
      <c r="VCZ135" s="221"/>
      <c r="VDA135" s="258"/>
      <c r="VDB135" s="270"/>
      <c r="VDC135" s="271"/>
      <c r="VDD135" s="271"/>
      <c r="VDE135" s="271"/>
      <c r="VDF135" s="221"/>
      <c r="VDG135" s="221"/>
      <c r="VDH135" s="221"/>
      <c r="VDI135" s="258"/>
      <c r="VDJ135" s="270"/>
      <c r="VDK135" s="271"/>
      <c r="VDL135" s="271"/>
      <c r="VDM135" s="271"/>
      <c r="VDN135" s="221"/>
      <c r="VDO135" s="221"/>
      <c r="VDP135" s="221"/>
      <c r="VDQ135" s="258"/>
      <c r="VDR135" s="270"/>
      <c r="VDS135" s="271"/>
      <c r="VDT135" s="271"/>
      <c r="VDU135" s="271"/>
      <c r="VDV135" s="221"/>
      <c r="VDW135" s="221"/>
      <c r="VDX135" s="221"/>
      <c r="VDY135" s="258"/>
      <c r="VDZ135" s="270"/>
      <c r="VEA135" s="271"/>
      <c r="VEB135" s="271"/>
      <c r="VEC135" s="271"/>
      <c r="VED135" s="221"/>
      <c r="VEE135" s="221"/>
      <c r="VEF135" s="221"/>
      <c r="VEG135" s="258"/>
      <c r="VEH135" s="270"/>
      <c r="VEI135" s="271"/>
      <c r="VEJ135" s="271"/>
      <c r="VEK135" s="271"/>
      <c r="VEL135" s="221"/>
      <c r="VEM135" s="221"/>
      <c r="VEN135" s="221"/>
      <c r="VEO135" s="258"/>
      <c r="VEP135" s="270"/>
      <c r="VEQ135" s="271"/>
      <c r="VER135" s="271"/>
      <c r="VES135" s="271"/>
      <c r="VET135" s="221"/>
      <c r="VEU135" s="221"/>
      <c r="VEV135" s="221"/>
      <c r="VEW135" s="258"/>
      <c r="VEX135" s="270"/>
      <c r="VEY135" s="271"/>
      <c r="VEZ135" s="271"/>
      <c r="VFA135" s="271"/>
      <c r="VFB135" s="221"/>
      <c r="VFC135" s="221"/>
      <c r="VFD135" s="221"/>
      <c r="VFE135" s="258"/>
      <c r="VFF135" s="270"/>
      <c r="VFG135" s="271"/>
      <c r="VFH135" s="271"/>
      <c r="VFI135" s="271"/>
      <c r="VFJ135" s="221"/>
      <c r="VFK135" s="221"/>
      <c r="VFL135" s="221"/>
      <c r="VFM135" s="258"/>
      <c r="VFN135" s="270"/>
      <c r="VFO135" s="271"/>
      <c r="VFP135" s="271"/>
      <c r="VFQ135" s="271"/>
      <c r="VFR135" s="221"/>
      <c r="VFS135" s="221"/>
      <c r="VFT135" s="221"/>
      <c r="VFU135" s="258"/>
      <c r="VFV135" s="270"/>
      <c r="VFW135" s="271"/>
      <c r="VFX135" s="271"/>
      <c r="VFY135" s="271"/>
      <c r="VFZ135" s="221"/>
      <c r="VGA135" s="221"/>
      <c r="VGB135" s="221"/>
      <c r="VGC135" s="258"/>
      <c r="VGD135" s="270"/>
      <c r="VGE135" s="271"/>
      <c r="VGF135" s="271"/>
      <c r="VGG135" s="271"/>
      <c r="VGH135" s="221"/>
      <c r="VGI135" s="221"/>
      <c r="VGJ135" s="221"/>
      <c r="VGK135" s="258"/>
      <c r="VGL135" s="270"/>
      <c r="VGM135" s="271"/>
      <c r="VGN135" s="271"/>
      <c r="VGO135" s="271"/>
      <c r="VGP135" s="221"/>
      <c r="VGQ135" s="221"/>
      <c r="VGR135" s="221"/>
      <c r="VGS135" s="258"/>
      <c r="VGT135" s="270"/>
      <c r="VGU135" s="271"/>
      <c r="VGV135" s="271"/>
      <c r="VGW135" s="271"/>
      <c r="VGX135" s="221"/>
      <c r="VGY135" s="221"/>
      <c r="VGZ135" s="221"/>
      <c r="VHA135" s="258"/>
      <c r="VHB135" s="270"/>
      <c r="VHC135" s="271"/>
      <c r="VHD135" s="271"/>
      <c r="VHE135" s="271"/>
      <c r="VHF135" s="221"/>
      <c r="VHG135" s="221"/>
      <c r="VHH135" s="221"/>
      <c r="VHI135" s="258"/>
      <c r="VHJ135" s="270"/>
      <c r="VHK135" s="271"/>
      <c r="VHL135" s="271"/>
      <c r="VHM135" s="271"/>
      <c r="VHN135" s="221"/>
      <c r="VHO135" s="221"/>
      <c r="VHP135" s="221"/>
      <c r="VHQ135" s="258"/>
      <c r="VHR135" s="270"/>
      <c r="VHS135" s="271"/>
      <c r="VHT135" s="271"/>
      <c r="VHU135" s="271"/>
      <c r="VHV135" s="221"/>
      <c r="VHW135" s="221"/>
      <c r="VHX135" s="221"/>
      <c r="VHY135" s="258"/>
      <c r="VHZ135" s="270"/>
      <c r="VIA135" s="271"/>
      <c r="VIB135" s="271"/>
      <c r="VIC135" s="271"/>
      <c r="VID135" s="221"/>
      <c r="VIE135" s="221"/>
      <c r="VIF135" s="221"/>
      <c r="VIG135" s="258"/>
      <c r="VIH135" s="270"/>
      <c r="VII135" s="271"/>
      <c r="VIJ135" s="271"/>
      <c r="VIK135" s="271"/>
      <c r="VIL135" s="221"/>
      <c r="VIM135" s="221"/>
      <c r="VIN135" s="221"/>
      <c r="VIO135" s="258"/>
      <c r="VIP135" s="270"/>
      <c r="VIQ135" s="271"/>
      <c r="VIR135" s="271"/>
      <c r="VIS135" s="271"/>
      <c r="VIT135" s="221"/>
      <c r="VIU135" s="221"/>
      <c r="VIV135" s="221"/>
      <c r="VIW135" s="258"/>
      <c r="VIX135" s="270"/>
      <c r="VIY135" s="271"/>
      <c r="VIZ135" s="271"/>
      <c r="VJA135" s="271"/>
      <c r="VJB135" s="221"/>
      <c r="VJC135" s="221"/>
      <c r="VJD135" s="221"/>
      <c r="VJE135" s="258"/>
      <c r="VJF135" s="270"/>
      <c r="VJG135" s="271"/>
      <c r="VJH135" s="271"/>
      <c r="VJI135" s="271"/>
      <c r="VJJ135" s="221"/>
      <c r="VJK135" s="221"/>
      <c r="VJL135" s="221"/>
      <c r="VJM135" s="258"/>
      <c r="VJN135" s="270"/>
      <c r="VJO135" s="271"/>
      <c r="VJP135" s="271"/>
      <c r="VJQ135" s="271"/>
      <c r="VJR135" s="221"/>
      <c r="VJS135" s="221"/>
      <c r="VJT135" s="221"/>
      <c r="VJU135" s="258"/>
      <c r="VJV135" s="270"/>
      <c r="VJW135" s="271"/>
      <c r="VJX135" s="271"/>
      <c r="VJY135" s="271"/>
      <c r="VJZ135" s="221"/>
      <c r="VKA135" s="221"/>
      <c r="VKB135" s="221"/>
      <c r="VKC135" s="258"/>
      <c r="VKD135" s="270"/>
      <c r="VKE135" s="271"/>
      <c r="VKF135" s="271"/>
      <c r="VKG135" s="271"/>
      <c r="VKH135" s="221"/>
      <c r="VKI135" s="221"/>
      <c r="VKJ135" s="221"/>
      <c r="VKK135" s="258"/>
      <c r="VKL135" s="270"/>
      <c r="VKM135" s="271"/>
      <c r="VKN135" s="271"/>
      <c r="VKO135" s="271"/>
      <c r="VKP135" s="221"/>
      <c r="VKQ135" s="221"/>
      <c r="VKR135" s="221"/>
      <c r="VKS135" s="258"/>
      <c r="VKT135" s="270"/>
      <c r="VKU135" s="271"/>
      <c r="VKV135" s="271"/>
      <c r="VKW135" s="271"/>
      <c r="VKX135" s="221"/>
      <c r="VKY135" s="221"/>
      <c r="VKZ135" s="221"/>
      <c r="VLA135" s="258"/>
      <c r="VLB135" s="270"/>
      <c r="VLC135" s="271"/>
      <c r="VLD135" s="271"/>
      <c r="VLE135" s="271"/>
      <c r="VLF135" s="221"/>
      <c r="VLG135" s="221"/>
      <c r="VLH135" s="221"/>
      <c r="VLI135" s="258"/>
      <c r="VLJ135" s="270"/>
      <c r="VLK135" s="271"/>
      <c r="VLL135" s="271"/>
      <c r="VLM135" s="271"/>
      <c r="VLN135" s="221"/>
      <c r="VLO135" s="221"/>
      <c r="VLP135" s="221"/>
      <c r="VLQ135" s="258"/>
      <c r="VLR135" s="270"/>
      <c r="VLS135" s="271"/>
      <c r="VLT135" s="271"/>
      <c r="VLU135" s="271"/>
      <c r="VLV135" s="221"/>
      <c r="VLW135" s="221"/>
      <c r="VLX135" s="221"/>
      <c r="VLY135" s="258"/>
      <c r="VLZ135" s="270"/>
      <c r="VMA135" s="271"/>
      <c r="VMB135" s="271"/>
      <c r="VMC135" s="271"/>
      <c r="VMD135" s="221"/>
      <c r="VME135" s="221"/>
      <c r="VMF135" s="221"/>
      <c r="VMG135" s="258"/>
      <c r="VMH135" s="270"/>
      <c r="VMI135" s="271"/>
      <c r="VMJ135" s="271"/>
      <c r="VMK135" s="271"/>
      <c r="VML135" s="221"/>
      <c r="VMM135" s="221"/>
      <c r="VMN135" s="221"/>
      <c r="VMO135" s="258"/>
      <c r="VMP135" s="270"/>
      <c r="VMQ135" s="271"/>
      <c r="VMR135" s="271"/>
      <c r="VMS135" s="271"/>
      <c r="VMT135" s="221"/>
      <c r="VMU135" s="221"/>
      <c r="VMV135" s="221"/>
      <c r="VMW135" s="258"/>
      <c r="VMX135" s="270"/>
      <c r="VMY135" s="271"/>
      <c r="VMZ135" s="271"/>
      <c r="VNA135" s="271"/>
      <c r="VNB135" s="221"/>
      <c r="VNC135" s="221"/>
      <c r="VND135" s="221"/>
      <c r="VNE135" s="258"/>
      <c r="VNF135" s="270"/>
      <c r="VNG135" s="271"/>
      <c r="VNH135" s="271"/>
      <c r="VNI135" s="271"/>
      <c r="VNJ135" s="221"/>
      <c r="VNK135" s="221"/>
      <c r="VNL135" s="221"/>
      <c r="VNM135" s="258"/>
      <c r="VNN135" s="270"/>
      <c r="VNO135" s="271"/>
      <c r="VNP135" s="271"/>
      <c r="VNQ135" s="271"/>
      <c r="VNR135" s="221"/>
      <c r="VNS135" s="221"/>
      <c r="VNT135" s="221"/>
      <c r="VNU135" s="258"/>
      <c r="VNV135" s="270"/>
      <c r="VNW135" s="271"/>
      <c r="VNX135" s="271"/>
      <c r="VNY135" s="271"/>
      <c r="VNZ135" s="221"/>
      <c r="VOA135" s="221"/>
      <c r="VOB135" s="221"/>
      <c r="VOC135" s="258"/>
      <c r="VOD135" s="270"/>
      <c r="VOE135" s="271"/>
      <c r="VOF135" s="271"/>
      <c r="VOG135" s="271"/>
      <c r="VOH135" s="221"/>
      <c r="VOI135" s="221"/>
      <c r="VOJ135" s="221"/>
      <c r="VOK135" s="258"/>
      <c r="VOL135" s="270"/>
      <c r="VOM135" s="271"/>
      <c r="VON135" s="271"/>
      <c r="VOO135" s="271"/>
      <c r="VOP135" s="221"/>
      <c r="VOQ135" s="221"/>
      <c r="VOR135" s="221"/>
      <c r="VOS135" s="258"/>
      <c r="VOT135" s="270"/>
      <c r="VOU135" s="271"/>
      <c r="VOV135" s="271"/>
      <c r="VOW135" s="271"/>
      <c r="VOX135" s="221"/>
      <c r="VOY135" s="221"/>
      <c r="VOZ135" s="221"/>
      <c r="VPA135" s="258"/>
      <c r="VPB135" s="270"/>
      <c r="VPC135" s="271"/>
      <c r="VPD135" s="271"/>
      <c r="VPE135" s="271"/>
      <c r="VPF135" s="221"/>
      <c r="VPG135" s="221"/>
      <c r="VPH135" s="221"/>
      <c r="VPI135" s="258"/>
      <c r="VPJ135" s="270"/>
      <c r="VPK135" s="271"/>
      <c r="VPL135" s="271"/>
      <c r="VPM135" s="271"/>
      <c r="VPN135" s="221"/>
      <c r="VPO135" s="221"/>
      <c r="VPP135" s="221"/>
      <c r="VPQ135" s="258"/>
      <c r="VPR135" s="270"/>
      <c r="VPS135" s="271"/>
      <c r="VPT135" s="271"/>
      <c r="VPU135" s="271"/>
      <c r="VPV135" s="221"/>
      <c r="VPW135" s="221"/>
      <c r="VPX135" s="221"/>
      <c r="VPY135" s="258"/>
      <c r="VPZ135" s="270"/>
      <c r="VQA135" s="271"/>
      <c r="VQB135" s="271"/>
      <c r="VQC135" s="271"/>
      <c r="VQD135" s="221"/>
      <c r="VQE135" s="221"/>
      <c r="VQF135" s="221"/>
      <c r="VQG135" s="258"/>
      <c r="VQH135" s="270"/>
      <c r="VQI135" s="271"/>
      <c r="VQJ135" s="271"/>
      <c r="VQK135" s="271"/>
      <c r="VQL135" s="221"/>
      <c r="VQM135" s="221"/>
      <c r="VQN135" s="221"/>
      <c r="VQO135" s="258"/>
      <c r="VQP135" s="270"/>
      <c r="VQQ135" s="271"/>
      <c r="VQR135" s="271"/>
      <c r="VQS135" s="271"/>
      <c r="VQT135" s="221"/>
      <c r="VQU135" s="221"/>
      <c r="VQV135" s="221"/>
      <c r="VQW135" s="258"/>
      <c r="VQX135" s="270"/>
      <c r="VQY135" s="271"/>
      <c r="VQZ135" s="271"/>
      <c r="VRA135" s="271"/>
      <c r="VRB135" s="221"/>
      <c r="VRC135" s="221"/>
      <c r="VRD135" s="221"/>
      <c r="VRE135" s="258"/>
      <c r="VRF135" s="270"/>
      <c r="VRG135" s="271"/>
      <c r="VRH135" s="271"/>
      <c r="VRI135" s="271"/>
      <c r="VRJ135" s="221"/>
      <c r="VRK135" s="221"/>
      <c r="VRL135" s="221"/>
      <c r="VRM135" s="258"/>
      <c r="VRN135" s="270"/>
      <c r="VRO135" s="271"/>
      <c r="VRP135" s="271"/>
      <c r="VRQ135" s="271"/>
      <c r="VRR135" s="221"/>
      <c r="VRS135" s="221"/>
      <c r="VRT135" s="221"/>
      <c r="VRU135" s="258"/>
      <c r="VRV135" s="270"/>
      <c r="VRW135" s="271"/>
      <c r="VRX135" s="271"/>
      <c r="VRY135" s="271"/>
      <c r="VRZ135" s="221"/>
      <c r="VSA135" s="221"/>
      <c r="VSB135" s="221"/>
      <c r="VSC135" s="258"/>
      <c r="VSD135" s="270"/>
      <c r="VSE135" s="271"/>
      <c r="VSF135" s="271"/>
      <c r="VSG135" s="271"/>
      <c r="VSH135" s="221"/>
      <c r="VSI135" s="221"/>
      <c r="VSJ135" s="221"/>
      <c r="VSK135" s="258"/>
      <c r="VSL135" s="270"/>
      <c r="VSM135" s="271"/>
      <c r="VSN135" s="271"/>
      <c r="VSO135" s="271"/>
      <c r="VSP135" s="221"/>
      <c r="VSQ135" s="221"/>
      <c r="VSR135" s="221"/>
      <c r="VSS135" s="258"/>
      <c r="VST135" s="270"/>
      <c r="VSU135" s="271"/>
      <c r="VSV135" s="271"/>
      <c r="VSW135" s="271"/>
      <c r="VSX135" s="221"/>
      <c r="VSY135" s="221"/>
      <c r="VSZ135" s="221"/>
      <c r="VTA135" s="258"/>
      <c r="VTB135" s="270"/>
      <c r="VTC135" s="271"/>
      <c r="VTD135" s="271"/>
      <c r="VTE135" s="271"/>
      <c r="VTF135" s="221"/>
      <c r="VTG135" s="221"/>
      <c r="VTH135" s="221"/>
      <c r="VTI135" s="258"/>
      <c r="VTJ135" s="270"/>
      <c r="VTK135" s="271"/>
      <c r="VTL135" s="271"/>
      <c r="VTM135" s="271"/>
      <c r="VTN135" s="221"/>
      <c r="VTO135" s="221"/>
      <c r="VTP135" s="221"/>
      <c r="VTQ135" s="258"/>
      <c r="VTR135" s="270"/>
      <c r="VTS135" s="271"/>
      <c r="VTT135" s="271"/>
      <c r="VTU135" s="271"/>
      <c r="VTV135" s="221"/>
      <c r="VTW135" s="221"/>
      <c r="VTX135" s="221"/>
      <c r="VTY135" s="258"/>
      <c r="VTZ135" s="270"/>
      <c r="VUA135" s="271"/>
      <c r="VUB135" s="271"/>
      <c r="VUC135" s="271"/>
      <c r="VUD135" s="221"/>
      <c r="VUE135" s="221"/>
      <c r="VUF135" s="221"/>
      <c r="VUG135" s="258"/>
      <c r="VUH135" s="270"/>
      <c r="VUI135" s="271"/>
      <c r="VUJ135" s="271"/>
      <c r="VUK135" s="271"/>
      <c r="VUL135" s="221"/>
      <c r="VUM135" s="221"/>
      <c r="VUN135" s="221"/>
      <c r="VUO135" s="258"/>
      <c r="VUP135" s="270"/>
      <c r="VUQ135" s="271"/>
      <c r="VUR135" s="271"/>
      <c r="VUS135" s="271"/>
      <c r="VUT135" s="221"/>
      <c r="VUU135" s="221"/>
      <c r="VUV135" s="221"/>
      <c r="VUW135" s="258"/>
      <c r="VUX135" s="270"/>
      <c r="VUY135" s="271"/>
      <c r="VUZ135" s="271"/>
      <c r="VVA135" s="271"/>
      <c r="VVB135" s="221"/>
      <c r="VVC135" s="221"/>
      <c r="VVD135" s="221"/>
      <c r="VVE135" s="258"/>
      <c r="VVF135" s="270"/>
      <c r="VVG135" s="271"/>
      <c r="VVH135" s="271"/>
      <c r="VVI135" s="271"/>
      <c r="VVJ135" s="221"/>
      <c r="VVK135" s="221"/>
      <c r="VVL135" s="221"/>
      <c r="VVM135" s="258"/>
      <c r="VVN135" s="270"/>
      <c r="VVO135" s="271"/>
      <c r="VVP135" s="271"/>
      <c r="VVQ135" s="271"/>
      <c r="VVR135" s="221"/>
      <c r="VVS135" s="221"/>
      <c r="VVT135" s="221"/>
      <c r="VVU135" s="258"/>
      <c r="VVV135" s="270"/>
      <c r="VVW135" s="271"/>
      <c r="VVX135" s="271"/>
      <c r="VVY135" s="271"/>
      <c r="VVZ135" s="221"/>
      <c r="VWA135" s="221"/>
      <c r="VWB135" s="221"/>
      <c r="VWC135" s="258"/>
      <c r="VWD135" s="270"/>
      <c r="VWE135" s="271"/>
      <c r="VWF135" s="271"/>
      <c r="VWG135" s="271"/>
      <c r="VWH135" s="221"/>
      <c r="VWI135" s="221"/>
      <c r="VWJ135" s="221"/>
      <c r="VWK135" s="258"/>
      <c r="VWL135" s="270"/>
      <c r="VWM135" s="271"/>
      <c r="VWN135" s="271"/>
      <c r="VWO135" s="271"/>
      <c r="VWP135" s="221"/>
      <c r="VWQ135" s="221"/>
      <c r="VWR135" s="221"/>
      <c r="VWS135" s="258"/>
      <c r="VWT135" s="270"/>
      <c r="VWU135" s="271"/>
      <c r="VWV135" s="271"/>
      <c r="VWW135" s="271"/>
      <c r="VWX135" s="221"/>
      <c r="VWY135" s="221"/>
      <c r="VWZ135" s="221"/>
      <c r="VXA135" s="258"/>
      <c r="VXB135" s="270"/>
      <c r="VXC135" s="271"/>
      <c r="VXD135" s="271"/>
      <c r="VXE135" s="271"/>
      <c r="VXF135" s="221"/>
      <c r="VXG135" s="221"/>
      <c r="VXH135" s="221"/>
      <c r="VXI135" s="258"/>
      <c r="VXJ135" s="270"/>
      <c r="VXK135" s="271"/>
      <c r="VXL135" s="271"/>
      <c r="VXM135" s="271"/>
      <c r="VXN135" s="221"/>
      <c r="VXO135" s="221"/>
      <c r="VXP135" s="221"/>
      <c r="VXQ135" s="258"/>
      <c r="VXR135" s="270"/>
      <c r="VXS135" s="271"/>
      <c r="VXT135" s="271"/>
      <c r="VXU135" s="271"/>
      <c r="VXV135" s="221"/>
      <c r="VXW135" s="221"/>
      <c r="VXX135" s="221"/>
      <c r="VXY135" s="258"/>
      <c r="VXZ135" s="270"/>
      <c r="VYA135" s="271"/>
      <c r="VYB135" s="271"/>
      <c r="VYC135" s="271"/>
      <c r="VYD135" s="221"/>
      <c r="VYE135" s="221"/>
      <c r="VYF135" s="221"/>
      <c r="VYG135" s="258"/>
      <c r="VYH135" s="270"/>
      <c r="VYI135" s="271"/>
      <c r="VYJ135" s="271"/>
      <c r="VYK135" s="271"/>
      <c r="VYL135" s="221"/>
      <c r="VYM135" s="221"/>
      <c r="VYN135" s="221"/>
      <c r="VYO135" s="258"/>
      <c r="VYP135" s="270"/>
      <c r="VYQ135" s="271"/>
      <c r="VYR135" s="271"/>
      <c r="VYS135" s="271"/>
      <c r="VYT135" s="221"/>
      <c r="VYU135" s="221"/>
      <c r="VYV135" s="221"/>
      <c r="VYW135" s="258"/>
      <c r="VYX135" s="270"/>
      <c r="VYY135" s="271"/>
      <c r="VYZ135" s="271"/>
      <c r="VZA135" s="271"/>
      <c r="VZB135" s="221"/>
      <c r="VZC135" s="221"/>
      <c r="VZD135" s="221"/>
      <c r="VZE135" s="258"/>
      <c r="VZF135" s="270"/>
      <c r="VZG135" s="271"/>
      <c r="VZH135" s="271"/>
      <c r="VZI135" s="271"/>
      <c r="VZJ135" s="221"/>
      <c r="VZK135" s="221"/>
      <c r="VZL135" s="221"/>
      <c r="VZM135" s="258"/>
      <c r="VZN135" s="270"/>
      <c r="VZO135" s="271"/>
      <c r="VZP135" s="271"/>
      <c r="VZQ135" s="271"/>
      <c r="VZR135" s="221"/>
      <c r="VZS135" s="221"/>
      <c r="VZT135" s="221"/>
      <c r="VZU135" s="258"/>
      <c r="VZV135" s="270"/>
      <c r="VZW135" s="271"/>
      <c r="VZX135" s="271"/>
      <c r="VZY135" s="271"/>
      <c r="VZZ135" s="221"/>
      <c r="WAA135" s="221"/>
      <c r="WAB135" s="221"/>
      <c r="WAC135" s="258"/>
      <c r="WAD135" s="270"/>
      <c r="WAE135" s="271"/>
      <c r="WAF135" s="271"/>
      <c r="WAG135" s="271"/>
      <c r="WAH135" s="221"/>
      <c r="WAI135" s="221"/>
      <c r="WAJ135" s="221"/>
      <c r="WAK135" s="258"/>
      <c r="WAL135" s="270"/>
      <c r="WAM135" s="271"/>
      <c r="WAN135" s="271"/>
      <c r="WAO135" s="271"/>
      <c r="WAP135" s="221"/>
      <c r="WAQ135" s="221"/>
      <c r="WAR135" s="221"/>
      <c r="WAS135" s="258"/>
      <c r="WAT135" s="270"/>
      <c r="WAU135" s="271"/>
      <c r="WAV135" s="271"/>
      <c r="WAW135" s="271"/>
      <c r="WAX135" s="221"/>
      <c r="WAY135" s="221"/>
      <c r="WAZ135" s="221"/>
      <c r="WBA135" s="258"/>
      <c r="WBB135" s="270"/>
      <c r="WBC135" s="271"/>
      <c r="WBD135" s="271"/>
      <c r="WBE135" s="271"/>
      <c r="WBF135" s="221"/>
      <c r="WBG135" s="221"/>
      <c r="WBH135" s="221"/>
      <c r="WBI135" s="258"/>
      <c r="WBJ135" s="270"/>
      <c r="WBK135" s="271"/>
      <c r="WBL135" s="271"/>
      <c r="WBM135" s="271"/>
      <c r="WBN135" s="221"/>
      <c r="WBO135" s="221"/>
      <c r="WBP135" s="221"/>
      <c r="WBQ135" s="258"/>
      <c r="WBR135" s="270"/>
      <c r="WBS135" s="271"/>
      <c r="WBT135" s="271"/>
      <c r="WBU135" s="271"/>
      <c r="WBV135" s="221"/>
      <c r="WBW135" s="221"/>
      <c r="WBX135" s="221"/>
      <c r="WBY135" s="258"/>
      <c r="WBZ135" s="270"/>
      <c r="WCA135" s="271"/>
      <c r="WCB135" s="271"/>
      <c r="WCC135" s="271"/>
      <c r="WCD135" s="221"/>
      <c r="WCE135" s="221"/>
      <c r="WCF135" s="221"/>
      <c r="WCG135" s="258"/>
      <c r="WCH135" s="270"/>
      <c r="WCI135" s="271"/>
      <c r="WCJ135" s="271"/>
      <c r="WCK135" s="271"/>
      <c r="WCL135" s="221"/>
      <c r="WCM135" s="221"/>
      <c r="WCN135" s="221"/>
      <c r="WCO135" s="258"/>
      <c r="WCP135" s="270"/>
      <c r="WCQ135" s="271"/>
      <c r="WCR135" s="271"/>
      <c r="WCS135" s="271"/>
      <c r="WCT135" s="221"/>
      <c r="WCU135" s="221"/>
      <c r="WCV135" s="221"/>
      <c r="WCW135" s="258"/>
      <c r="WCX135" s="270"/>
      <c r="WCY135" s="271"/>
      <c r="WCZ135" s="271"/>
      <c r="WDA135" s="271"/>
      <c r="WDB135" s="221"/>
      <c r="WDC135" s="221"/>
      <c r="WDD135" s="221"/>
      <c r="WDE135" s="258"/>
      <c r="WDF135" s="270"/>
      <c r="WDG135" s="271"/>
      <c r="WDH135" s="271"/>
      <c r="WDI135" s="271"/>
      <c r="WDJ135" s="221"/>
      <c r="WDK135" s="221"/>
      <c r="WDL135" s="221"/>
      <c r="WDM135" s="258"/>
      <c r="WDN135" s="270"/>
      <c r="WDO135" s="271"/>
      <c r="WDP135" s="271"/>
      <c r="WDQ135" s="271"/>
      <c r="WDR135" s="221"/>
      <c r="WDS135" s="221"/>
      <c r="WDT135" s="221"/>
      <c r="WDU135" s="258"/>
      <c r="WDV135" s="270"/>
      <c r="WDW135" s="271"/>
      <c r="WDX135" s="271"/>
      <c r="WDY135" s="271"/>
      <c r="WDZ135" s="221"/>
      <c r="WEA135" s="221"/>
      <c r="WEB135" s="221"/>
      <c r="WEC135" s="258"/>
      <c r="WED135" s="270"/>
      <c r="WEE135" s="271"/>
      <c r="WEF135" s="271"/>
      <c r="WEG135" s="271"/>
      <c r="WEH135" s="221"/>
      <c r="WEI135" s="221"/>
      <c r="WEJ135" s="221"/>
      <c r="WEK135" s="258"/>
      <c r="WEL135" s="270"/>
      <c r="WEM135" s="271"/>
      <c r="WEN135" s="271"/>
      <c r="WEO135" s="271"/>
      <c r="WEP135" s="221"/>
      <c r="WEQ135" s="221"/>
      <c r="WER135" s="221"/>
      <c r="WES135" s="258"/>
      <c r="WET135" s="270"/>
      <c r="WEU135" s="271"/>
      <c r="WEV135" s="271"/>
      <c r="WEW135" s="271"/>
      <c r="WEX135" s="221"/>
      <c r="WEY135" s="221"/>
      <c r="WEZ135" s="221"/>
      <c r="WFA135" s="258"/>
      <c r="WFB135" s="270"/>
      <c r="WFC135" s="271"/>
      <c r="WFD135" s="271"/>
      <c r="WFE135" s="271"/>
      <c r="WFF135" s="221"/>
      <c r="WFG135" s="221"/>
      <c r="WFH135" s="221"/>
      <c r="WFI135" s="258"/>
      <c r="WFJ135" s="270"/>
      <c r="WFK135" s="271"/>
      <c r="WFL135" s="271"/>
      <c r="WFM135" s="271"/>
      <c r="WFN135" s="221"/>
      <c r="WFO135" s="221"/>
      <c r="WFP135" s="221"/>
      <c r="WFQ135" s="258"/>
      <c r="WFR135" s="270"/>
      <c r="WFS135" s="271"/>
      <c r="WFT135" s="271"/>
      <c r="WFU135" s="271"/>
      <c r="WFV135" s="221"/>
      <c r="WFW135" s="221"/>
      <c r="WFX135" s="221"/>
      <c r="WFY135" s="258"/>
      <c r="WFZ135" s="270"/>
      <c r="WGA135" s="271"/>
      <c r="WGB135" s="271"/>
      <c r="WGC135" s="271"/>
      <c r="WGD135" s="221"/>
      <c r="WGE135" s="221"/>
      <c r="WGF135" s="221"/>
      <c r="WGG135" s="258"/>
      <c r="WGH135" s="270"/>
      <c r="WGI135" s="271"/>
      <c r="WGJ135" s="271"/>
      <c r="WGK135" s="271"/>
      <c r="WGL135" s="221"/>
      <c r="WGM135" s="221"/>
      <c r="WGN135" s="221"/>
      <c r="WGO135" s="258"/>
      <c r="WGP135" s="270"/>
      <c r="WGQ135" s="271"/>
      <c r="WGR135" s="271"/>
      <c r="WGS135" s="271"/>
      <c r="WGT135" s="221"/>
      <c r="WGU135" s="221"/>
      <c r="WGV135" s="221"/>
      <c r="WGW135" s="258"/>
      <c r="WGX135" s="270"/>
      <c r="WGY135" s="271"/>
      <c r="WGZ135" s="271"/>
      <c r="WHA135" s="271"/>
      <c r="WHB135" s="221"/>
      <c r="WHC135" s="221"/>
      <c r="WHD135" s="221"/>
      <c r="WHE135" s="258"/>
      <c r="WHF135" s="270"/>
      <c r="WHG135" s="271"/>
      <c r="WHH135" s="271"/>
      <c r="WHI135" s="271"/>
      <c r="WHJ135" s="221"/>
      <c r="WHK135" s="221"/>
      <c r="WHL135" s="221"/>
      <c r="WHM135" s="258"/>
      <c r="WHN135" s="270"/>
      <c r="WHO135" s="271"/>
      <c r="WHP135" s="271"/>
      <c r="WHQ135" s="271"/>
      <c r="WHR135" s="221"/>
      <c r="WHS135" s="221"/>
      <c r="WHT135" s="221"/>
      <c r="WHU135" s="258"/>
      <c r="WHV135" s="270"/>
      <c r="WHW135" s="271"/>
      <c r="WHX135" s="271"/>
      <c r="WHY135" s="271"/>
      <c r="WHZ135" s="221"/>
      <c r="WIA135" s="221"/>
      <c r="WIB135" s="221"/>
      <c r="WIC135" s="258"/>
      <c r="WID135" s="270"/>
      <c r="WIE135" s="271"/>
      <c r="WIF135" s="271"/>
      <c r="WIG135" s="271"/>
      <c r="WIH135" s="221"/>
      <c r="WII135" s="221"/>
      <c r="WIJ135" s="221"/>
      <c r="WIK135" s="258"/>
      <c r="WIL135" s="270"/>
      <c r="WIM135" s="271"/>
      <c r="WIN135" s="271"/>
      <c r="WIO135" s="271"/>
      <c r="WIP135" s="221"/>
      <c r="WIQ135" s="221"/>
      <c r="WIR135" s="221"/>
      <c r="WIS135" s="258"/>
      <c r="WIT135" s="270"/>
      <c r="WIU135" s="271"/>
      <c r="WIV135" s="271"/>
      <c r="WIW135" s="271"/>
      <c r="WIX135" s="221"/>
      <c r="WIY135" s="221"/>
      <c r="WIZ135" s="221"/>
      <c r="WJA135" s="258"/>
      <c r="WJB135" s="270"/>
      <c r="WJC135" s="271"/>
      <c r="WJD135" s="271"/>
      <c r="WJE135" s="271"/>
      <c r="WJF135" s="221"/>
      <c r="WJG135" s="221"/>
      <c r="WJH135" s="221"/>
      <c r="WJI135" s="258"/>
      <c r="WJJ135" s="270"/>
      <c r="WJK135" s="271"/>
      <c r="WJL135" s="271"/>
      <c r="WJM135" s="271"/>
      <c r="WJN135" s="221"/>
      <c r="WJO135" s="221"/>
      <c r="WJP135" s="221"/>
      <c r="WJQ135" s="258"/>
      <c r="WJR135" s="270"/>
      <c r="WJS135" s="271"/>
      <c r="WJT135" s="271"/>
      <c r="WJU135" s="271"/>
      <c r="WJV135" s="221"/>
      <c r="WJW135" s="221"/>
      <c r="WJX135" s="221"/>
      <c r="WJY135" s="258"/>
      <c r="WJZ135" s="270"/>
      <c r="WKA135" s="271"/>
      <c r="WKB135" s="271"/>
      <c r="WKC135" s="271"/>
      <c r="WKD135" s="221"/>
      <c r="WKE135" s="221"/>
      <c r="WKF135" s="221"/>
      <c r="WKG135" s="258"/>
      <c r="WKH135" s="270"/>
      <c r="WKI135" s="271"/>
      <c r="WKJ135" s="271"/>
      <c r="WKK135" s="271"/>
      <c r="WKL135" s="221"/>
      <c r="WKM135" s="221"/>
      <c r="WKN135" s="221"/>
      <c r="WKO135" s="258"/>
      <c r="WKP135" s="270"/>
      <c r="WKQ135" s="271"/>
      <c r="WKR135" s="271"/>
      <c r="WKS135" s="271"/>
      <c r="WKT135" s="221"/>
      <c r="WKU135" s="221"/>
      <c r="WKV135" s="221"/>
      <c r="WKW135" s="258"/>
      <c r="WKX135" s="270"/>
      <c r="WKY135" s="271"/>
      <c r="WKZ135" s="271"/>
      <c r="WLA135" s="271"/>
      <c r="WLB135" s="221"/>
      <c r="WLC135" s="221"/>
      <c r="WLD135" s="221"/>
      <c r="WLE135" s="258"/>
      <c r="WLF135" s="270"/>
      <c r="WLG135" s="271"/>
      <c r="WLH135" s="271"/>
      <c r="WLI135" s="271"/>
      <c r="WLJ135" s="221"/>
      <c r="WLK135" s="221"/>
      <c r="WLL135" s="221"/>
      <c r="WLM135" s="258"/>
      <c r="WLN135" s="270"/>
      <c r="WLO135" s="271"/>
      <c r="WLP135" s="271"/>
      <c r="WLQ135" s="271"/>
      <c r="WLR135" s="221"/>
      <c r="WLS135" s="221"/>
      <c r="WLT135" s="221"/>
      <c r="WLU135" s="258"/>
      <c r="WLV135" s="270"/>
      <c r="WLW135" s="271"/>
      <c r="WLX135" s="271"/>
      <c r="WLY135" s="271"/>
      <c r="WLZ135" s="221"/>
      <c r="WMA135" s="221"/>
      <c r="WMB135" s="221"/>
      <c r="WMC135" s="258"/>
      <c r="WMD135" s="270"/>
      <c r="WME135" s="271"/>
      <c r="WMF135" s="271"/>
      <c r="WMG135" s="271"/>
      <c r="WMH135" s="221"/>
      <c r="WMI135" s="221"/>
      <c r="WMJ135" s="221"/>
      <c r="WMK135" s="258"/>
      <c r="WML135" s="270"/>
      <c r="WMM135" s="271"/>
      <c r="WMN135" s="271"/>
      <c r="WMO135" s="271"/>
      <c r="WMP135" s="221"/>
      <c r="WMQ135" s="221"/>
      <c r="WMR135" s="221"/>
      <c r="WMS135" s="258"/>
      <c r="WMT135" s="270"/>
      <c r="WMU135" s="271"/>
      <c r="WMV135" s="271"/>
      <c r="WMW135" s="271"/>
      <c r="WMX135" s="221"/>
      <c r="WMY135" s="221"/>
      <c r="WMZ135" s="221"/>
      <c r="WNA135" s="258"/>
      <c r="WNB135" s="270"/>
      <c r="WNC135" s="271"/>
      <c r="WND135" s="271"/>
      <c r="WNE135" s="271"/>
      <c r="WNF135" s="221"/>
      <c r="WNG135" s="221"/>
      <c r="WNH135" s="221"/>
      <c r="WNI135" s="258"/>
      <c r="WNJ135" s="270"/>
      <c r="WNK135" s="271"/>
      <c r="WNL135" s="271"/>
      <c r="WNM135" s="271"/>
      <c r="WNN135" s="221"/>
      <c r="WNO135" s="221"/>
      <c r="WNP135" s="221"/>
      <c r="WNQ135" s="258"/>
      <c r="WNR135" s="270"/>
      <c r="WNS135" s="271"/>
      <c r="WNT135" s="271"/>
      <c r="WNU135" s="271"/>
      <c r="WNV135" s="221"/>
      <c r="WNW135" s="221"/>
      <c r="WNX135" s="221"/>
      <c r="WNY135" s="258"/>
      <c r="WNZ135" s="270"/>
      <c r="WOA135" s="271"/>
      <c r="WOB135" s="271"/>
      <c r="WOC135" s="271"/>
      <c r="WOD135" s="221"/>
      <c r="WOE135" s="221"/>
      <c r="WOF135" s="221"/>
      <c r="WOG135" s="258"/>
      <c r="WOH135" s="270"/>
      <c r="WOI135" s="271"/>
      <c r="WOJ135" s="271"/>
      <c r="WOK135" s="271"/>
      <c r="WOL135" s="221"/>
      <c r="WOM135" s="221"/>
      <c r="WON135" s="221"/>
      <c r="WOO135" s="258"/>
      <c r="WOP135" s="270"/>
      <c r="WOQ135" s="271"/>
      <c r="WOR135" s="271"/>
      <c r="WOS135" s="271"/>
      <c r="WOT135" s="221"/>
      <c r="WOU135" s="221"/>
      <c r="WOV135" s="221"/>
      <c r="WOW135" s="258"/>
      <c r="WOX135" s="270"/>
      <c r="WOY135" s="271"/>
      <c r="WOZ135" s="271"/>
      <c r="WPA135" s="271"/>
      <c r="WPB135" s="221"/>
      <c r="WPC135" s="221"/>
      <c r="WPD135" s="221"/>
      <c r="WPE135" s="258"/>
      <c r="WPF135" s="270"/>
      <c r="WPG135" s="271"/>
      <c r="WPH135" s="271"/>
      <c r="WPI135" s="271"/>
      <c r="WPJ135" s="221"/>
      <c r="WPK135" s="221"/>
      <c r="WPL135" s="221"/>
      <c r="WPM135" s="258"/>
      <c r="WPN135" s="270"/>
      <c r="WPO135" s="271"/>
      <c r="WPP135" s="271"/>
      <c r="WPQ135" s="271"/>
      <c r="WPR135" s="221"/>
      <c r="WPS135" s="221"/>
      <c r="WPT135" s="221"/>
      <c r="WPU135" s="258"/>
      <c r="WPV135" s="270"/>
      <c r="WPW135" s="271"/>
      <c r="WPX135" s="271"/>
      <c r="WPY135" s="271"/>
      <c r="WPZ135" s="221"/>
      <c r="WQA135" s="221"/>
      <c r="WQB135" s="221"/>
      <c r="WQC135" s="258"/>
      <c r="WQD135" s="270"/>
      <c r="WQE135" s="271"/>
      <c r="WQF135" s="271"/>
      <c r="WQG135" s="271"/>
      <c r="WQH135" s="221"/>
      <c r="WQI135" s="221"/>
      <c r="WQJ135" s="221"/>
      <c r="WQK135" s="258"/>
      <c r="WQL135" s="270"/>
      <c r="WQM135" s="271"/>
      <c r="WQN135" s="271"/>
      <c r="WQO135" s="271"/>
      <c r="WQP135" s="221"/>
      <c r="WQQ135" s="221"/>
      <c r="WQR135" s="221"/>
      <c r="WQS135" s="258"/>
      <c r="WQT135" s="270"/>
      <c r="WQU135" s="271"/>
      <c r="WQV135" s="271"/>
      <c r="WQW135" s="271"/>
      <c r="WQX135" s="221"/>
      <c r="WQY135" s="221"/>
      <c r="WQZ135" s="221"/>
      <c r="WRA135" s="258"/>
      <c r="WRB135" s="270"/>
      <c r="WRC135" s="271"/>
      <c r="WRD135" s="271"/>
      <c r="WRE135" s="271"/>
      <c r="WRF135" s="221"/>
      <c r="WRG135" s="221"/>
      <c r="WRH135" s="221"/>
      <c r="WRI135" s="258"/>
      <c r="WRJ135" s="270"/>
      <c r="WRK135" s="271"/>
      <c r="WRL135" s="271"/>
      <c r="WRM135" s="271"/>
      <c r="WRN135" s="221"/>
      <c r="WRO135" s="221"/>
      <c r="WRP135" s="221"/>
      <c r="WRQ135" s="258"/>
      <c r="WRR135" s="270"/>
      <c r="WRS135" s="271"/>
      <c r="WRT135" s="271"/>
      <c r="WRU135" s="271"/>
      <c r="WRV135" s="221"/>
      <c r="WRW135" s="221"/>
      <c r="WRX135" s="221"/>
      <c r="WRY135" s="258"/>
      <c r="WRZ135" s="270"/>
      <c r="WSA135" s="271"/>
      <c r="WSB135" s="271"/>
      <c r="WSC135" s="271"/>
      <c r="WSD135" s="221"/>
      <c r="WSE135" s="221"/>
      <c r="WSF135" s="221"/>
      <c r="WSG135" s="258"/>
      <c r="WSH135" s="270"/>
      <c r="WSI135" s="271"/>
      <c r="WSJ135" s="271"/>
      <c r="WSK135" s="271"/>
      <c r="WSL135" s="221"/>
      <c r="WSM135" s="221"/>
      <c r="WSN135" s="221"/>
      <c r="WSO135" s="258"/>
      <c r="WSP135" s="270"/>
      <c r="WSQ135" s="271"/>
      <c r="WSR135" s="271"/>
      <c r="WSS135" s="271"/>
      <c r="WST135" s="221"/>
      <c r="WSU135" s="221"/>
      <c r="WSV135" s="221"/>
      <c r="WSW135" s="258"/>
      <c r="WSX135" s="270"/>
      <c r="WSY135" s="271"/>
      <c r="WSZ135" s="271"/>
      <c r="WTA135" s="271"/>
      <c r="WTB135" s="221"/>
      <c r="WTC135" s="221"/>
      <c r="WTD135" s="221"/>
      <c r="WTE135" s="258"/>
      <c r="WTF135" s="270"/>
      <c r="WTG135" s="271"/>
      <c r="WTH135" s="271"/>
      <c r="WTI135" s="271"/>
      <c r="WTJ135" s="221"/>
      <c r="WTK135" s="221"/>
      <c r="WTL135" s="221"/>
      <c r="WTM135" s="258"/>
      <c r="WTN135" s="270"/>
      <c r="WTO135" s="271"/>
      <c r="WTP135" s="271"/>
      <c r="WTQ135" s="271"/>
      <c r="WTR135" s="221"/>
      <c r="WTS135" s="221"/>
      <c r="WTT135" s="221"/>
      <c r="WTU135" s="258"/>
      <c r="WTV135" s="270"/>
      <c r="WTW135" s="271"/>
      <c r="WTX135" s="271"/>
      <c r="WTY135" s="271"/>
      <c r="WTZ135" s="221"/>
      <c r="WUA135" s="221"/>
      <c r="WUB135" s="221"/>
      <c r="WUC135" s="258"/>
      <c r="WUD135" s="270"/>
      <c r="WUE135" s="271"/>
      <c r="WUF135" s="271"/>
      <c r="WUG135" s="271"/>
      <c r="WUH135" s="221"/>
      <c r="WUI135" s="221"/>
      <c r="WUJ135" s="221"/>
      <c r="WUK135" s="258"/>
      <c r="WUL135" s="270"/>
      <c r="WUM135" s="271"/>
      <c r="WUN135" s="271"/>
      <c r="WUO135" s="271"/>
      <c r="WUP135" s="221"/>
      <c r="WUQ135" s="221"/>
      <c r="WUR135" s="221"/>
      <c r="WUS135" s="258"/>
      <c r="WUT135" s="270"/>
      <c r="WUU135" s="271"/>
      <c r="WUV135" s="271"/>
      <c r="WUW135" s="271"/>
      <c r="WUX135" s="221"/>
      <c r="WUY135" s="221"/>
      <c r="WUZ135" s="221"/>
      <c r="WVA135" s="258"/>
      <c r="WVB135" s="270"/>
      <c r="WVC135" s="271"/>
      <c r="WVD135" s="271"/>
      <c r="WVE135" s="271"/>
      <c r="WVF135" s="221"/>
      <c r="WVG135" s="221"/>
      <c r="WVH135" s="221"/>
      <c r="WVI135" s="258"/>
      <c r="WVJ135" s="270"/>
      <c r="WVK135" s="271"/>
      <c r="WVL135" s="271"/>
      <c r="WVM135" s="271"/>
      <c r="WVN135" s="221"/>
      <c r="WVO135" s="221"/>
      <c r="WVP135" s="221"/>
      <c r="WVQ135" s="258"/>
      <c r="WVR135" s="270"/>
      <c r="WVS135" s="271"/>
      <c r="WVT135" s="271"/>
      <c r="WVU135" s="271"/>
      <c r="WVV135" s="221"/>
      <c r="WVW135" s="221"/>
      <c r="WVX135" s="221"/>
      <c r="WVY135" s="258"/>
      <c r="WVZ135" s="270"/>
      <c r="WWA135" s="271"/>
      <c r="WWB135" s="271"/>
      <c r="WWC135" s="271"/>
      <c r="WWD135" s="221"/>
      <c r="WWE135" s="221"/>
      <c r="WWF135" s="221"/>
      <c r="WWG135" s="258"/>
      <c r="WWH135" s="270"/>
      <c r="WWI135" s="271"/>
      <c r="WWJ135" s="271"/>
      <c r="WWK135" s="271"/>
      <c r="WWL135" s="221"/>
      <c r="WWM135" s="221"/>
      <c r="WWN135" s="221"/>
      <c r="WWO135" s="258"/>
      <c r="WWP135" s="270"/>
      <c r="WWQ135" s="271"/>
      <c r="WWR135" s="271"/>
      <c r="WWS135" s="271"/>
      <c r="WWT135" s="221"/>
      <c r="WWU135" s="221"/>
      <c r="WWV135" s="221"/>
      <c r="WWW135" s="258"/>
      <c r="WWX135" s="270"/>
      <c r="WWY135" s="271"/>
      <c r="WWZ135" s="271"/>
      <c r="WXA135" s="271"/>
      <c r="WXB135" s="221"/>
      <c r="WXC135" s="221"/>
      <c r="WXD135" s="221"/>
      <c r="WXE135" s="258"/>
      <c r="WXF135" s="270"/>
      <c r="WXG135" s="271"/>
      <c r="WXH135" s="271"/>
      <c r="WXI135" s="271"/>
      <c r="WXJ135" s="221"/>
      <c r="WXK135" s="221"/>
      <c r="WXL135" s="221"/>
      <c r="WXM135" s="258"/>
      <c r="WXN135" s="270"/>
      <c r="WXO135" s="271"/>
      <c r="WXP135" s="271"/>
      <c r="WXQ135" s="271"/>
      <c r="WXR135" s="221"/>
      <c r="WXS135" s="221"/>
      <c r="WXT135" s="221"/>
      <c r="WXU135" s="258"/>
      <c r="WXV135" s="270"/>
      <c r="WXW135" s="271"/>
      <c r="WXX135" s="271"/>
      <c r="WXY135" s="271"/>
      <c r="WXZ135" s="221"/>
      <c r="WYA135" s="221"/>
      <c r="WYB135" s="221"/>
      <c r="WYC135" s="258"/>
      <c r="WYD135" s="270"/>
      <c r="WYE135" s="271"/>
      <c r="WYF135" s="271"/>
      <c r="WYG135" s="271"/>
      <c r="WYH135" s="221"/>
      <c r="WYI135" s="221"/>
      <c r="WYJ135" s="221"/>
      <c r="WYK135" s="258"/>
      <c r="WYL135" s="270"/>
      <c r="WYM135" s="271"/>
      <c r="WYN135" s="271"/>
      <c r="WYO135" s="271"/>
      <c r="WYP135" s="221"/>
      <c r="WYQ135" s="221"/>
      <c r="WYR135" s="221"/>
      <c r="WYS135" s="258"/>
      <c r="WYT135" s="270"/>
      <c r="WYU135" s="271"/>
      <c r="WYV135" s="271"/>
      <c r="WYW135" s="271"/>
      <c r="WYX135" s="221"/>
      <c r="WYY135" s="221"/>
      <c r="WYZ135" s="221"/>
      <c r="WZA135" s="258"/>
      <c r="WZB135" s="270"/>
      <c r="WZC135" s="271"/>
      <c r="WZD135" s="271"/>
      <c r="WZE135" s="271"/>
      <c r="WZF135" s="221"/>
      <c r="WZG135" s="221"/>
      <c r="WZH135" s="221"/>
      <c r="WZI135" s="258"/>
      <c r="WZJ135" s="270"/>
      <c r="WZK135" s="271"/>
      <c r="WZL135" s="271"/>
      <c r="WZM135" s="271"/>
      <c r="WZN135" s="221"/>
      <c r="WZO135" s="221"/>
      <c r="WZP135" s="221"/>
      <c r="WZQ135" s="258"/>
      <c r="WZR135" s="270"/>
      <c r="WZS135" s="271"/>
      <c r="WZT135" s="271"/>
      <c r="WZU135" s="271"/>
      <c r="WZV135" s="221"/>
      <c r="WZW135" s="221"/>
      <c r="WZX135" s="221"/>
      <c r="WZY135" s="258"/>
      <c r="WZZ135" s="270"/>
      <c r="XAA135" s="271"/>
      <c r="XAB135" s="271"/>
      <c r="XAC135" s="271"/>
      <c r="XAD135" s="221"/>
      <c r="XAE135" s="221"/>
      <c r="XAF135" s="221"/>
      <c r="XAG135" s="258"/>
      <c r="XAH135" s="270"/>
      <c r="XAI135" s="271"/>
      <c r="XAJ135" s="271"/>
      <c r="XAK135" s="271"/>
      <c r="XAL135" s="221"/>
      <c r="XAM135" s="221"/>
      <c r="XAN135" s="221"/>
      <c r="XAO135" s="258"/>
      <c r="XAP135" s="270"/>
      <c r="XAQ135" s="271"/>
      <c r="XAR135" s="271"/>
      <c r="XAS135" s="271"/>
      <c r="XAT135" s="221"/>
      <c r="XAU135" s="221"/>
      <c r="XAV135" s="221"/>
      <c r="XAW135" s="258"/>
      <c r="XAX135" s="270"/>
      <c r="XAY135" s="271"/>
      <c r="XAZ135" s="271"/>
      <c r="XBA135" s="271"/>
      <c r="XBB135" s="221"/>
      <c r="XBC135" s="221"/>
      <c r="XBD135" s="221"/>
      <c r="XBE135" s="258"/>
      <c r="XBF135" s="270"/>
      <c r="XBG135" s="271"/>
      <c r="XBH135" s="271"/>
      <c r="XBI135" s="271"/>
      <c r="XBJ135" s="221"/>
      <c r="XBK135" s="221"/>
      <c r="XBL135" s="221"/>
      <c r="XBM135" s="258"/>
      <c r="XBN135" s="270"/>
      <c r="XBO135" s="271"/>
      <c r="XBP135" s="271"/>
      <c r="XBQ135" s="271"/>
      <c r="XBR135" s="221"/>
      <c r="XBS135" s="221"/>
      <c r="XBT135" s="221"/>
      <c r="XBU135" s="258"/>
      <c r="XBV135" s="270"/>
      <c r="XBW135" s="271"/>
      <c r="XBX135" s="271"/>
      <c r="XBY135" s="271"/>
      <c r="XBZ135" s="221"/>
      <c r="XCA135" s="221"/>
      <c r="XCB135" s="221"/>
      <c r="XCC135" s="258"/>
      <c r="XCD135" s="270"/>
      <c r="XCE135" s="271"/>
      <c r="XCF135" s="271"/>
      <c r="XCG135" s="271"/>
      <c r="XCH135" s="221"/>
      <c r="XCI135" s="221"/>
      <c r="XCJ135" s="221"/>
      <c r="XCK135" s="258"/>
      <c r="XCL135" s="270"/>
      <c r="XCM135" s="271"/>
      <c r="XCN135" s="271"/>
      <c r="XCO135" s="271"/>
      <c r="XCP135" s="221"/>
      <c r="XCQ135" s="221"/>
      <c r="XCR135" s="221"/>
      <c r="XCS135" s="258"/>
      <c r="XCT135" s="270"/>
      <c r="XCU135" s="271"/>
      <c r="XCV135" s="271"/>
      <c r="XCW135" s="271"/>
      <c r="XCX135" s="221"/>
      <c r="XCY135" s="221"/>
      <c r="XCZ135" s="221"/>
      <c r="XDA135" s="258"/>
      <c r="XDB135" s="270"/>
      <c r="XDC135" s="271"/>
      <c r="XDD135" s="271"/>
      <c r="XDE135" s="271"/>
      <c r="XDF135" s="221"/>
      <c r="XDG135" s="221"/>
      <c r="XDH135" s="221"/>
      <c r="XDI135" s="258"/>
      <c r="XDJ135" s="270"/>
      <c r="XDK135" s="271"/>
      <c r="XDL135" s="271"/>
      <c r="XDM135" s="271"/>
      <c r="XDN135" s="221"/>
      <c r="XDO135" s="221"/>
      <c r="XDP135" s="221"/>
      <c r="XDQ135" s="258"/>
      <c r="XDR135" s="270"/>
      <c r="XDS135" s="271"/>
      <c r="XDT135" s="271"/>
      <c r="XDU135" s="271"/>
      <c r="XDV135" s="221"/>
      <c r="XDW135" s="221"/>
      <c r="XDX135" s="221"/>
      <c r="XDY135" s="258"/>
      <c r="XDZ135" s="270"/>
      <c r="XEA135" s="271"/>
      <c r="XEB135" s="271"/>
      <c r="XEC135" s="271"/>
      <c r="XED135" s="221"/>
      <c r="XEE135" s="221"/>
      <c r="XEF135" s="221"/>
      <c r="XEG135" s="258"/>
      <c r="XEH135" s="270"/>
      <c r="XEI135" s="271"/>
      <c r="XEJ135" s="271"/>
      <c r="XEK135" s="271"/>
      <c r="XEL135" s="221"/>
      <c r="XEM135" s="221"/>
      <c r="XEN135" s="221"/>
      <c r="XEO135" s="258"/>
      <c r="XEP135" s="270"/>
      <c r="XEQ135" s="271"/>
      <c r="XER135" s="271"/>
      <c r="XES135" s="271"/>
      <c r="XET135" s="221"/>
      <c r="XEU135" s="221"/>
      <c r="XEV135" s="221"/>
      <c r="XEW135" s="258"/>
      <c r="XEX135" s="270"/>
      <c r="XEY135" s="271"/>
      <c r="XEZ135" s="271"/>
      <c r="XFA135" s="271"/>
      <c r="XFB135" s="221"/>
      <c r="XFC135" s="221"/>
      <c r="XFD135" s="221"/>
    </row>
    <row r="136" spans="1:16384" s="261" customFormat="1" x14ac:dyDescent="0.15">
      <c r="A136" s="262"/>
      <c r="B136" s="222"/>
      <c r="C136" s="222"/>
      <c r="D136" s="222"/>
      <c r="E136" s="222"/>
      <c r="F136" s="243"/>
      <c r="G136" s="243"/>
      <c r="H136" s="243"/>
      <c r="I136" s="258"/>
      <c r="J136" s="270"/>
      <c r="K136" s="271"/>
      <c r="L136" s="271"/>
      <c r="M136" s="271"/>
      <c r="N136" s="221"/>
      <c r="O136" s="221"/>
      <c r="P136" s="221"/>
      <c r="Q136" s="258"/>
      <c r="R136" s="270"/>
      <c r="S136" s="271"/>
      <c r="T136" s="271"/>
      <c r="U136" s="271"/>
      <c r="V136" s="221"/>
      <c r="W136" s="221"/>
      <c r="X136" s="221"/>
      <c r="Y136" s="258"/>
      <c r="Z136" s="270"/>
      <c r="AA136" s="271"/>
      <c r="AB136" s="271"/>
      <c r="AC136" s="271"/>
      <c r="AD136" s="221"/>
      <c r="AE136" s="221"/>
      <c r="AF136" s="221"/>
      <c r="AG136" s="258"/>
      <c r="AH136" s="270"/>
      <c r="AI136" s="271"/>
      <c r="AJ136" s="271"/>
      <c r="AK136" s="271"/>
      <c r="AL136" s="221"/>
      <c r="AM136" s="221"/>
      <c r="AN136" s="221"/>
      <c r="AO136" s="258"/>
      <c r="AP136" s="270"/>
      <c r="AQ136" s="271"/>
      <c r="AR136" s="271"/>
      <c r="AS136" s="271"/>
      <c r="AT136" s="221"/>
      <c r="AU136" s="221"/>
      <c r="AV136" s="221"/>
      <c r="AW136" s="258"/>
      <c r="AX136" s="270"/>
      <c r="AY136" s="271"/>
      <c r="AZ136" s="271"/>
      <c r="BA136" s="271"/>
      <c r="BB136" s="221"/>
      <c r="BC136" s="221"/>
      <c r="BD136" s="221"/>
      <c r="BE136" s="258"/>
      <c r="BF136" s="270"/>
      <c r="BG136" s="271"/>
      <c r="BH136" s="271"/>
      <c r="BI136" s="271"/>
      <c r="BJ136" s="221"/>
      <c r="BK136" s="221"/>
      <c r="BL136" s="221"/>
      <c r="BM136" s="258"/>
      <c r="BN136" s="270"/>
      <c r="BO136" s="271"/>
      <c r="BP136" s="271"/>
      <c r="BQ136" s="271"/>
      <c r="BR136" s="221"/>
      <c r="BS136" s="221"/>
      <c r="BT136" s="221"/>
      <c r="BU136" s="258"/>
      <c r="BV136" s="270"/>
      <c r="BW136" s="271"/>
      <c r="BX136" s="271"/>
      <c r="BY136" s="271"/>
      <c r="BZ136" s="221"/>
      <c r="CA136" s="221"/>
      <c r="CB136" s="221"/>
      <c r="CC136" s="258"/>
      <c r="CD136" s="270"/>
      <c r="CE136" s="271"/>
      <c r="CF136" s="271"/>
      <c r="CG136" s="271"/>
      <c r="CH136" s="221"/>
      <c r="CI136" s="221"/>
      <c r="CJ136" s="221"/>
      <c r="CK136" s="258"/>
      <c r="CL136" s="270"/>
      <c r="CM136" s="271"/>
      <c r="CN136" s="271"/>
      <c r="CO136" s="271"/>
      <c r="CP136" s="221"/>
      <c r="CQ136" s="221"/>
      <c r="CR136" s="221"/>
      <c r="CS136" s="258"/>
      <c r="CT136" s="270"/>
      <c r="CU136" s="271"/>
      <c r="CV136" s="271"/>
      <c r="CW136" s="271"/>
      <c r="CX136" s="221"/>
      <c r="CY136" s="221"/>
      <c r="CZ136" s="221"/>
      <c r="DA136" s="258"/>
      <c r="DB136" s="270"/>
      <c r="DC136" s="271"/>
      <c r="DD136" s="271"/>
      <c r="DE136" s="271"/>
      <c r="DF136" s="221"/>
      <c r="DG136" s="221"/>
      <c r="DH136" s="221"/>
      <c r="DI136" s="258"/>
      <c r="DJ136" s="270"/>
      <c r="DK136" s="271"/>
      <c r="DL136" s="271"/>
      <c r="DM136" s="271"/>
      <c r="DN136" s="221"/>
      <c r="DO136" s="221"/>
      <c r="DP136" s="221"/>
      <c r="DQ136" s="258"/>
      <c r="DR136" s="270"/>
      <c r="DS136" s="271"/>
      <c r="DT136" s="271"/>
      <c r="DU136" s="271"/>
      <c r="DV136" s="221"/>
      <c r="DW136" s="221"/>
      <c r="DX136" s="221"/>
      <c r="DY136" s="258"/>
      <c r="DZ136" s="270"/>
      <c r="EA136" s="271"/>
      <c r="EB136" s="271"/>
      <c r="EC136" s="271"/>
      <c r="ED136" s="221"/>
      <c r="EE136" s="221"/>
      <c r="EF136" s="221"/>
      <c r="EG136" s="258"/>
      <c r="EH136" s="270"/>
      <c r="EI136" s="271"/>
      <c r="EJ136" s="271"/>
      <c r="EK136" s="271"/>
      <c r="EL136" s="221"/>
      <c r="EM136" s="221"/>
      <c r="EN136" s="221"/>
      <c r="EO136" s="258"/>
      <c r="EP136" s="270"/>
      <c r="EQ136" s="271"/>
      <c r="ER136" s="271"/>
      <c r="ES136" s="271"/>
      <c r="ET136" s="221"/>
      <c r="EU136" s="221"/>
      <c r="EV136" s="221"/>
      <c r="EW136" s="258"/>
      <c r="EX136" s="270"/>
      <c r="EY136" s="271"/>
      <c r="EZ136" s="271"/>
      <c r="FA136" s="271"/>
      <c r="FB136" s="221"/>
      <c r="FC136" s="221"/>
      <c r="FD136" s="221"/>
      <c r="FE136" s="258"/>
      <c r="FF136" s="270"/>
      <c r="FG136" s="271"/>
      <c r="FH136" s="271"/>
      <c r="FI136" s="271"/>
      <c r="FJ136" s="221"/>
      <c r="FK136" s="221"/>
      <c r="FL136" s="221"/>
      <c r="FM136" s="258"/>
      <c r="FN136" s="270"/>
      <c r="FO136" s="271"/>
      <c r="FP136" s="271"/>
      <c r="FQ136" s="271"/>
      <c r="FR136" s="221"/>
      <c r="FS136" s="221"/>
      <c r="FT136" s="221"/>
      <c r="FU136" s="258"/>
      <c r="FV136" s="270"/>
      <c r="FW136" s="271"/>
      <c r="FX136" s="271"/>
      <c r="FY136" s="271"/>
      <c r="FZ136" s="221"/>
      <c r="GA136" s="221"/>
      <c r="GB136" s="221"/>
      <c r="GC136" s="258"/>
      <c r="GD136" s="270"/>
      <c r="GE136" s="271"/>
      <c r="GF136" s="271"/>
      <c r="GG136" s="271"/>
      <c r="GH136" s="221"/>
      <c r="GI136" s="221"/>
      <c r="GJ136" s="221"/>
      <c r="GK136" s="258"/>
      <c r="GL136" s="270"/>
      <c r="GM136" s="271"/>
      <c r="GN136" s="271"/>
      <c r="GO136" s="271"/>
      <c r="GP136" s="221"/>
      <c r="GQ136" s="221"/>
      <c r="GR136" s="221"/>
      <c r="GS136" s="258"/>
      <c r="GT136" s="270"/>
      <c r="GU136" s="271"/>
      <c r="GV136" s="271"/>
      <c r="GW136" s="271"/>
      <c r="GX136" s="221"/>
      <c r="GY136" s="221"/>
      <c r="GZ136" s="221"/>
      <c r="HA136" s="258"/>
      <c r="HB136" s="270"/>
      <c r="HC136" s="271"/>
      <c r="HD136" s="271"/>
      <c r="HE136" s="271"/>
      <c r="HF136" s="221"/>
      <c r="HG136" s="221"/>
      <c r="HH136" s="221"/>
      <c r="HI136" s="258"/>
      <c r="HJ136" s="270"/>
      <c r="HK136" s="271"/>
      <c r="HL136" s="271"/>
      <c r="HM136" s="271"/>
      <c r="HN136" s="221"/>
      <c r="HO136" s="221"/>
      <c r="HP136" s="221"/>
      <c r="HQ136" s="258"/>
      <c r="HR136" s="270"/>
      <c r="HS136" s="271"/>
      <c r="HT136" s="271"/>
      <c r="HU136" s="271"/>
      <c r="HV136" s="221"/>
      <c r="HW136" s="221"/>
      <c r="HX136" s="221"/>
      <c r="HY136" s="258"/>
      <c r="HZ136" s="270"/>
      <c r="IA136" s="271"/>
      <c r="IB136" s="271"/>
      <c r="IC136" s="271"/>
      <c r="ID136" s="221"/>
      <c r="IE136" s="221"/>
      <c r="IF136" s="221"/>
      <c r="IG136" s="258"/>
      <c r="IH136" s="270"/>
      <c r="II136" s="271"/>
      <c r="IJ136" s="271"/>
      <c r="IK136" s="271"/>
      <c r="IL136" s="221"/>
      <c r="IM136" s="221"/>
      <c r="IN136" s="221"/>
      <c r="IO136" s="258"/>
      <c r="IP136" s="270"/>
      <c r="IQ136" s="271"/>
      <c r="IR136" s="271"/>
      <c r="IS136" s="271"/>
      <c r="IT136" s="221"/>
      <c r="IU136" s="221"/>
      <c r="IV136" s="221"/>
      <c r="IW136" s="258"/>
      <c r="IX136" s="270"/>
      <c r="IY136" s="271"/>
      <c r="IZ136" s="271"/>
      <c r="JA136" s="271"/>
      <c r="JB136" s="221"/>
      <c r="JC136" s="221"/>
      <c r="JD136" s="221"/>
      <c r="JE136" s="258"/>
      <c r="JF136" s="270"/>
      <c r="JG136" s="271"/>
      <c r="JH136" s="271"/>
      <c r="JI136" s="271"/>
      <c r="JJ136" s="221"/>
      <c r="JK136" s="221"/>
      <c r="JL136" s="221"/>
      <c r="JM136" s="258"/>
      <c r="JN136" s="270"/>
      <c r="JO136" s="271"/>
      <c r="JP136" s="271"/>
      <c r="JQ136" s="271"/>
      <c r="JR136" s="221"/>
      <c r="JS136" s="221"/>
      <c r="JT136" s="221"/>
      <c r="JU136" s="258"/>
      <c r="JV136" s="270"/>
      <c r="JW136" s="271"/>
      <c r="JX136" s="271"/>
      <c r="JY136" s="271"/>
      <c r="JZ136" s="221"/>
      <c r="KA136" s="221"/>
      <c r="KB136" s="221"/>
      <c r="KC136" s="258"/>
      <c r="KD136" s="270"/>
      <c r="KE136" s="271"/>
      <c r="KF136" s="271"/>
      <c r="KG136" s="271"/>
      <c r="KH136" s="221"/>
      <c r="KI136" s="221"/>
      <c r="KJ136" s="221"/>
      <c r="KK136" s="258"/>
      <c r="KL136" s="270"/>
      <c r="KM136" s="271"/>
      <c r="KN136" s="271"/>
      <c r="KO136" s="271"/>
      <c r="KP136" s="221"/>
      <c r="KQ136" s="221"/>
      <c r="KR136" s="221"/>
      <c r="KS136" s="258"/>
      <c r="KT136" s="270"/>
      <c r="KU136" s="271"/>
      <c r="KV136" s="271"/>
      <c r="KW136" s="271"/>
      <c r="KX136" s="221"/>
      <c r="KY136" s="221"/>
      <c r="KZ136" s="221"/>
      <c r="LA136" s="258"/>
      <c r="LB136" s="270"/>
      <c r="LC136" s="271"/>
      <c r="LD136" s="271"/>
      <c r="LE136" s="271"/>
      <c r="LF136" s="221"/>
      <c r="LG136" s="221"/>
      <c r="LH136" s="221"/>
      <c r="LI136" s="258"/>
      <c r="LJ136" s="270"/>
      <c r="LK136" s="271"/>
      <c r="LL136" s="271"/>
      <c r="LM136" s="271"/>
      <c r="LN136" s="221"/>
      <c r="LO136" s="221"/>
      <c r="LP136" s="221"/>
      <c r="LQ136" s="258"/>
      <c r="LR136" s="270"/>
      <c r="LS136" s="271"/>
      <c r="LT136" s="271"/>
      <c r="LU136" s="271"/>
      <c r="LV136" s="221"/>
      <c r="LW136" s="221"/>
      <c r="LX136" s="221"/>
      <c r="LY136" s="258"/>
      <c r="LZ136" s="270"/>
      <c r="MA136" s="271"/>
      <c r="MB136" s="271"/>
      <c r="MC136" s="271"/>
      <c r="MD136" s="221"/>
      <c r="ME136" s="221"/>
      <c r="MF136" s="221"/>
      <c r="MG136" s="258"/>
      <c r="MH136" s="270"/>
      <c r="MI136" s="271"/>
      <c r="MJ136" s="271"/>
      <c r="MK136" s="271"/>
      <c r="ML136" s="221"/>
      <c r="MM136" s="221"/>
      <c r="MN136" s="221"/>
      <c r="MO136" s="258"/>
      <c r="MP136" s="270"/>
      <c r="MQ136" s="271"/>
      <c r="MR136" s="271"/>
      <c r="MS136" s="271"/>
      <c r="MT136" s="221"/>
      <c r="MU136" s="221"/>
      <c r="MV136" s="221"/>
      <c r="MW136" s="258"/>
      <c r="MX136" s="270"/>
      <c r="MY136" s="271"/>
      <c r="MZ136" s="271"/>
      <c r="NA136" s="271"/>
      <c r="NB136" s="221"/>
      <c r="NC136" s="221"/>
      <c r="ND136" s="221"/>
      <c r="NE136" s="258"/>
      <c r="NF136" s="270"/>
      <c r="NG136" s="271"/>
      <c r="NH136" s="271"/>
      <c r="NI136" s="271"/>
      <c r="NJ136" s="221"/>
      <c r="NK136" s="221"/>
      <c r="NL136" s="221"/>
      <c r="NM136" s="258"/>
      <c r="NN136" s="270"/>
      <c r="NO136" s="271"/>
      <c r="NP136" s="271"/>
      <c r="NQ136" s="271"/>
      <c r="NR136" s="221"/>
      <c r="NS136" s="221"/>
      <c r="NT136" s="221"/>
      <c r="NU136" s="258"/>
      <c r="NV136" s="270"/>
      <c r="NW136" s="271"/>
      <c r="NX136" s="271"/>
      <c r="NY136" s="271"/>
      <c r="NZ136" s="221"/>
      <c r="OA136" s="221"/>
      <c r="OB136" s="221"/>
      <c r="OC136" s="258"/>
      <c r="OD136" s="270"/>
      <c r="OE136" s="271"/>
      <c r="OF136" s="271"/>
      <c r="OG136" s="271"/>
      <c r="OH136" s="221"/>
      <c r="OI136" s="221"/>
      <c r="OJ136" s="221"/>
      <c r="OK136" s="258"/>
      <c r="OL136" s="270"/>
      <c r="OM136" s="271"/>
      <c r="ON136" s="271"/>
      <c r="OO136" s="271"/>
      <c r="OP136" s="221"/>
      <c r="OQ136" s="221"/>
      <c r="OR136" s="221"/>
      <c r="OS136" s="258"/>
      <c r="OT136" s="270"/>
      <c r="OU136" s="271"/>
      <c r="OV136" s="271"/>
      <c r="OW136" s="271"/>
      <c r="OX136" s="221"/>
      <c r="OY136" s="221"/>
      <c r="OZ136" s="221"/>
      <c r="PA136" s="258"/>
      <c r="PB136" s="270"/>
      <c r="PC136" s="271"/>
      <c r="PD136" s="271"/>
      <c r="PE136" s="271"/>
      <c r="PF136" s="221"/>
      <c r="PG136" s="221"/>
      <c r="PH136" s="221"/>
      <c r="PI136" s="258"/>
      <c r="PJ136" s="270"/>
      <c r="PK136" s="271"/>
      <c r="PL136" s="271"/>
      <c r="PM136" s="271"/>
      <c r="PN136" s="221"/>
      <c r="PO136" s="221"/>
      <c r="PP136" s="221"/>
      <c r="PQ136" s="258"/>
      <c r="PR136" s="270"/>
      <c r="PS136" s="271"/>
      <c r="PT136" s="271"/>
      <c r="PU136" s="271"/>
      <c r="PV136" s="221"/>
      <c r="PW136" s="221"/>
      <c r="PX136" s="221"/>
      <c r="PY136" s="258"/>
      <c r="PZ136" s="270"/>
      <c r="QA136" s="271"/>
      <c r="QB136" s="271"/>
      <c r="QC136" s="271"/>
      <c r="QD136" s="221"/>
      <c r="QE136" s="221"/>
      <c r="QF136" s="221"/>
      <c r="QG136" s="258"/>
      <c r="QH136" s="270"/>
      <c r="QI136" s="271"/>
      <c r="QJ136" s="271"/>
      <c r="QK136" s="271"/>
      <c r="QL136" s="221"/>
      <c r="QM136" s="221"/>
      <c r="QN136" s="221"/>
      <c r="QO136" s="258"/>
      <c r="QP136" s="270"/>
      <c r="QQ136" s="271"/>
      <c r="QR136" s="271"/>
      <c r="QS136" s="271"/>
      <c r="QT136" s="221"/>
      <c r="QU136" s="221"/>
      <c r="QV136" s="221"/>
      <c r="QW136" s="258"/>
      <c r="QX136" s="270"/>
      <c r="QY136" s="271"/>
      <c r="QZ136" s="271"/>
      <c r="RA136" s="271"/>
      <c r="RB136" s="221"/>
      <c r="RC136" s="221"/>
      <c r="RD136" s="221"/>
      <c r="RE136" s="258"/>
      <c r="RF136" s="270"/>
      <c r="RG136" s="271"/>
      <c r="RH136" s="271"/>
      <c r="RI136" s="271"/>
      <c r="RJ136" s="221"/>
      <c r="RK136" s="221"/>
      <c r="RL136" s="221"/>
      <c r="RM136" s="258"/>
      <c r="RN136" s="270"/>
      <c r="RO136" s="271"/>
      <c r="RP136" s="271"/>
      <c r="RQ136" s="271"/>
      <c r="RR136" s="221"/>
      <c r="RS136" s="221"/>
      <c r="RT136" s="221"/>
      <c r="RU136" s="258"/>
      <c r="RV136" s="270"/>
      <c r="RW136" s="271"/>
      <c r="RX136" s="271"/>
      <c r="RY136" s="271"/>
      <c r="RZ136" s="221"/>
      <c r="SA136" s="221"/>
      <c r="SB136" s="221"/>
      <c r="SC136" s="258"/>
      <c r="SD136" s="270"/>
      <c r="SE136" s="271"/>
      <c r="SF136" s="271"/>
      <c r="SG136" s="271"/>
      <c r="SH136" s="221"/>
      <c r="SI136" s="221"/>
      <c r="SJ136" s="221"/>
      <c r="SK136" s="258"/>
      <c r="SL136" s="270"/>
      <c r="SM136" s="271"/>
      <c r="SN136" s="271"/>
      <c r="SO136" s="271"/>
      <c r="SP136" s="221"/>
      <c r="SQ136" s="221"/>
      <c r="SR136" s="221"/>
      <c r="SS136" s="258"/>
      <c r="ST136" s="270"/>
      <c r="SU136" s="271"/>
      <c r="SV136" s="271"/>
      <c r="SW136" s="271"/>
      <c r="SX136" s="221"/>
      <c r="SY136" s="221"/>
      <c r="SZ136" s="221"/>
      <c r="TA136" s="258"/>
      <c r="TB136" s="270"/>
      <c r="TC136" s="271"/>
      <c r="TD136" s="271"/>
      <c r="TE136" s="271"/>
      <c r="TF136" s="221"/>
      <c r="TG136" s="221"/>
      <c r="TH136" s="221"/>
      <c r="TI136" s="258"/>
      <c r="TJ136" s="270"/>
      <c r="TK136" s="271"/>
      <c r="TL136" s="271"/>
      <c r="TM136" s="271"/>
      <c r="TN136" s="221"/>
      <c r="TO136" s="221"/>
      <c r="TP136" s="221"/>
      <c r="TQ136" s="258"/>
      <c r="TR136" s="270"/>
      <c r="TS136" s="271"/>
      <c r="TT136" s="271"/>
      <c r="TU136" s="271"/>
      <c r="TV136" s="221"/>
      <c r="TW136" s="221"/>
      <c r="TX136" s="221"/>
      <c r="TY136" s="258"/>
      <c r="TZ136" s="270"/>
      <c r="UA136" s="271"/>
      <c r="UB136" s="271"/>
      <c r="UC136" s="271"/>
      <c r="UD136" s="221"/>
      <c r="UE136" s="221"/>
      <c r="UF136" s="221"/>
      <c r="UG136" s="258"/>
      <c r="UH136" s="270"/>
      <c r="UI136" s="271"/>
      <c r="UJ136" s="271"/>
      <c r="UK136" s="271"/>
      <c r="UL136" s="221"/>
      <c r="UM136" s="221"/>
      <c r="UN136" s="221"/>
      <c r="UO136" s="258"/>
      <c r="UP136" s="270"/>
      <c r="UQ136" s="271"/>
      <c r="UR136" s="271"/>
      <c r="US136" s="271"/>
      <c r="UT136" s="221"/>
      <c r="UU136" s="221"/>
      <c r="UV136" s="221"/>
      <c r="UW136" s="258"/>
      <c r="UX136" s="270"/>
      <c r="UY136" s="271"/>
      <c r="UZ136" s="271"/>
      <c r="VA136" s="271"/>
      <c r="VB136" s="221"/>
      <c r="VC136" s="221"/>
      <c r="VD136" s="221"/>
      <c r="VE136" s="258"/>
      <c r="VF136" s="270"/>
      <c r="VG136" s="271"/>
      <c r="VH136" s="271"/>
      <c r="VI136" s="271"/>
      <c r="VJ136" s="221"/>
      <c r="VK136" s="221"/>
      <c r="VL136" s="221"/>
      <c r="VM136" s="258"/>
      <c r="VN136" s="270"/>
      <c r="VO136" s="271"/>
      <c r="VP136" s="271"/>
      <c r="VQ136" s="271"/>
      <c r="VR136" s="221"/>
      <c r="VS136" s="221"/>
      <c r="VT136" s="221"/>
      <c r="VU136" s="258"/>
      <c r="VV136" s="270"/>
      <c r="VW136" s="271"/>
      <c r="VX136" s="271"/>
      <c r="VY136" s="271"/>
      <c r="VZ136" s="221"/>
      <c r="WA136" s="221"/>
      <c r="WB136" s="221"/>
      <c r="WC136" s="258"/>
      <c r="WD136" s="270"/>
      <c r="WE136" s="271"/>
      <c r="WF136" s="271"/>
      <c r="WG136" s="271"/>
      <c r="WH136" s="221"/>
      <c r="WI136" s="221"/>
      <c r="WJ136" s="221"/>
      <c r="WK136" s="258"/>
      <c r="WL136" s="270"/>
      <c r="WM136" s="271"/>
      <c r="WN136" s="271"/>
      <c r="WO136" s="271"/>
      <c r="WP136" s="221"/>
      <c r="WQ136" s="221"/>
      <c r="WR136" s="221"/>
      <c r="WS136" s="258"/>
      <c r="WT136" s="270"/>
      <c r="WU136" s="271"/>
      <c r="WV136" s="271"/>
      <c r="WW136" s="271"/>
      <c r="WX136" s="221"/>
      <c r="WY136" s="221"/>
      <c r="WZ136" s="221"/>
      <c r="XA136" s="258"/>
      <c r="XB136" s="270"/>
      <c r="XC136" s="271"/>
      <c r="XD136" s="271"/>
      <c r="XE136" s="271"/>
      <c r="XF136" s="221"/>
      <c r="XG136" s="221"/>
      <c r="XH136" s="221"/>
      <c r="XI136" s="258"/>
      <c r="XJ136" s="270"/>
      <c r="XK136" s="271"/>
      <c r="XL136" s="271"/>
      <c r="XM136" s="271"/>
      <c r="XN136" s="221"/>
      <c r="XO136" s="221"/>
      <c r="XP136" s="221"/>
      <c r="XQ136" s="258"/>
      <c r="XR136" s="270"/>
      <c r="XS136" s="271"/>
      <c r="XT136" s="271"/>
      <c r="XU136" s="271"/>
      <c r="XV136" s="221"/>
      <c r="XW136" s="221"/>
      <c r="XX136" s="221"/>
      <c r="XY136" s="258"/>
      <c r="XZ136" s="270"/>
      <c r="YA136" s="271"/>
      <c r="YB136" s="271"/>
      <c r="YC136" s="271"/>
      <c r="YD136" s="221"/>
      <c r="YE136" s="221"/>
      <c r="YF136" s="221"/>
      <c r="YG136" s="258"/>
      <c r="YH136" s="270"/>
      <c r="YI136" s="271"/>
      <c r="YJ136" s="271"/>
      <c r="YK136" s="271"/>
      <c r="YL136" s="221"/>
      <c r="YM136" s="221"/>
      <c r="YN136" s="221"/>
      <c r="YO136" s="258"/>
      <c r="YP136" s="270"/>
      <c r="YQ136" s="271"/>
      <c r="YR136" s="271"/>
      <c r="YS136" s="271"/>
      <c r="YT136" s="221"/>
      <c r="YU136" s="221"/>
      <c r="YV136" s="221"/>
      <c r="YW136" s="258"/>
      <c r="YX136" s="270"/>
      <c r="YY136" s="271"/>
      <c r="YZ136" s="271"/>
      <c r="ZA136" s="271"/>
      <c r="ZB136" s="221"/>
      <c r="ZC136" s="221"/>
      <c r="ZD136" s="221"/>
      <c r="ZE136" s="258"/>
      <c r="ZF136" s="270"/>
      <c r="ZG136" s="271"/>
      <c r="ZH136" s="271"/>
      <c r="ZI136" s="271"/>
      <c r="ZJ136" s="221"/>
      <c r="ZK136" s="221"/>
      <c r="ZL136" s="221"/>
      <c r="ZM136" s="258"/>
      <c r="ZN136" s="270"/>
      <c r="ZO136" s="271"/>
      <c r="ZP136" s="271"/>
      <c r="ZQ136" s="271"/>
      <c r="ZR136" s="221"/>
      <c r="ZS136" s="221"/>
      <c r="ZT136" s="221"/>
      <c r="ZU136" s="258"/>
      <c r="ZV136" s="270"/>
      <c r="ZW136" s="271"/>
      <c r="ZX136" s="271"/>
      <c r="ZY136" s="271"/>
      <c r="ZZ136" s="221"/>
      <c r="AAA136" s="221"/>
      <c r="AAB136" s="221"/>
      <c r="AAC136" s="258"/>
      <c r="AAD136" s="270"/>
      <c r="AAE136" s="271"/>
      <c r="AAF136" s="271"/>
      <c r="AAG136" s="271"/>
      <c r="AAH136" s="221"/>
      <c r="AAI136" s="221"/>
      <c r="AAJ136" s="221"/>
      <c r="AAK136" s="258"/>
      <c r="AAL136" s="270"/>
      <c r="AAM136" s="271"/>
      <c r="AAN136" s="271"/>
      <c r="AAO136" s="271"/>
      <c r="AAP136" s="221"/>
      <c r="AAQ136" s="221"/>
      <c r="AAR136" s="221"/>
      <c r="AAS136" s="258"/>
      <c r="AAT136" s="270"/>
      <c r="AAU136" s="271"/>
      <c r="AAV136" s="271"/>
      <c r="AAW136" s="271"/>
      <c r="AAX136" s="221"/>
      <c r="AAY136" s="221"/>
      <c r="AAZ136" s="221"/>
      <c r="ABA136" s="258"/>
      <c r="ABB136" s="270"/>
      <c r="ABC136" s="271"/>
      <c r="ABD136" s="271"/>
      <c r="ABE136" s="271"/>
      <c r="ABF136" s="221"/>
      <c r="ABG136" s="221"/>
      <c r="ABH136" s="221"/>
      <c r="ABI136" s="258"/>
      <c r="ABJ136" s="270"/>
      <c r="ABK136" s="271"/>
      <c r="ABL136" s="271"/>
      <c r="ABM136" s="271"/>
      <c r="ABN136" s="221"/>
      <c r="ABO136" s="221"/>
      <c r="ABP136" s="221"/>
      <c r="ABQ136" s="258"/>
      <c r="ABR136" s="270"/>
      <c r="ABS136" s="271"/>
      <c r="ABT136" s="271"/>
      <c r="ABU136" s="271"/>
      <c r="ABV136" s="221"/>
      <c r="ABW136" s="221"/>
      <c r="ABX136" s="221"/>
      <c r="ABY136" s="258"/>
      <c r="ABZ136" s="270"/>
      <c r="ACA136" s="271"/>
      <c r="ACB136" s="271"/>
      <c r="ACC136" s="271"/>
      <c r="ACD136" s="221"/>
      <c r="ACE136" s="221"/>
      <c r="ACF136" s="221"/>
      <c r="ACG136" s="258"/>
      <c r="ACH136" s="270"/>
      <c r="ACI136" s="271"/>
      <c r="ACJ136" s="271"/>
      <c r="ACK136" s="271"/>
      <c r="ACL136" s="221"/>
      <c r="ACM136" s="221"/>
      <c r="ACN136" s="221"/>
      <c r="ACO136" s="258"/>
      <c r="ACP136" s="270"/>
      <c r="ACQ136" s="271"/>
      <c r="ACR136" s="271"/>
      <c r="ACS136" s="271"/>
      <c r="ACT136" s="221"/>
      <c r="ACU136" s="221"/>
      <c r="ACV136" s="221"/>
      <c r="ACW136" s="258"/>
      <c r="ACX136" s="270"/>
      <c r="ACY136" s="271"/>
      <c r="ACZ136" s="271"/>
      <c r="ADA136" s="271"/>
      <c r="ADB136" s="221"/>
      <c r="ADC136" s="221"/>
      <c r="ADD136" s="221"/>
      <c r="ADE136" s="258"/>
      <c r="ADF136" s="270"/>
      <c r="ADG136" s="271"/>
      <c r="ADH136" s="271"/>
      <c r="ADI136" s="271"/>
      <c r="ADJ136" s="221"/>
      <c r="ADK136" s="221"/>
      <c r="ADL136" s="221"/>
      <c r="ADM136" s="258"/>
      <c r="ADN136" s="270"/>
      <c r="ADO136" s="271"/>
      <c r="ADP136" s="271"/>
      <c r="ADQ136" s="271"/>
      <c r="ADR136" s="221"/>
      <c r="ADS136" s="221"/>
      <c r="ADT136" s="221"/>
      <c r="ADU136" s="258"/>
      <c r="ADV136" s="270"/>
      <c r="ADW136" s="271"/>
      <c r="ADX136" s="271"/>
      <c r="ADY136" s="271"/>
      <c r="ADZ136" s="221"/>
      <c r="AEA136" s="221"/>
      <c r="AEB136" s="221"/>
      <c r="AEC136" s="258"/>
      <c r="AED136" s="270"/>
      <c r="AEE136" s="271"/>
      <c r="AEF136" s="271"/>
      <c r="AEG136" s="271"/>
      <c r="AEH136" s="221"/>
      <c r="AEI136" s="221"/>
      <c r="AEJ136" s="221"/>
      <c r="AEK136" s="258"/>
      <c r="AEL136" s="270"/>
      <c r="AEM136" s="271"/>
      <c r="AEN136" s="271"/>
      <c r="AEO136" s="271"/>
      <c r="AEP136" s="221"/>
      <c r="AEQ136" s="221"/>
      <c r="AER136" s="221"/>
      <c r="AES136" s="258"/>
      <c r="AET136" s="270"/>
      <c r="AEU136" s="271"/>
      <c r="AEV136" s="271"/>
      <c r="AEW136" s="271"/>
      <c r="AEX136" s="221"/>
      <c r="AEY136" s="221"/>
      <c r="AEZ136" s="221"/>
      <c r="AFA136" s="258"/>
      <c r="AFB136" s="270"/>
      <c r="AFC136" s="271"/>
      <c r="AFD136" s="271"/>
      <c r="AFE136" s="271"/>
      <c r="AFF136" s="221"/>
      <c r="AFG136" s="221"/>
      <c r="AFH136" s="221"/>
      <c r="AFI136" s="258"/>
      <c r="AFJ136" s="270"/>
      <c r="AFK136" s="271"/>
      <c r="AFL136" s="271"/>
      <c r="AFM136" s="271"/>
      <c r="AFN136" s="221"/>
      <c r="AFO136" s="221"/>
      <c r="AFP136" s="221"/>
      <c r="AFQ136" s="258"/>
      <c r="AFR136" s="270"/>
      <c r="AFS136" s="271"/>
      <c r="AFT136" s="271"/>
      <c r="AFU136" s="271"/>
      <c r="AFV136" s="221"/>
      <c r="AFW136" s="221"/>
      <c r="AFX136" s="221"/>
      <c r="AFY136" s="258"/>
      <c r="AFZ136" s="270"/>
      <c r="AGA136" s="271"/>
      <c r="AGB136" s="271"/>
      <c r="AGC136" s="271"/>
      <c r="AGD136" s="221"/>
      <c r="AGE136" s="221"/>
      <c r="AGF136" s="221"/>
      <c r="AGG136" s="258"/>
      <c r="AGH136" s="270"/>
      <c r="AGI136" s="271"/>
      <c r="AGJ136" s="271"/>
      <c r="AGK136" s="271"/>
      <c r="AGL136" s="221"/>
      <c r="AGM136" s="221"/>
      <c r="AGN136" s="221"/>
      <c r="AGO136" s="258"/>
      <c r="AGP136" s="270"/>
      <c r="AGQ136" s="271"/>
      <c r="AGR136" s="271"/>
      <c r="AGS136" s="271"/>
      <c r="AGT136" s="221"/>
      <c r="AGU136" s="221"/>
      <c r="AGV136" s="221"/>
      <c r="AGW136" s="258"/>
      <c r="AGX136" s="270"/>
      <c r="AGY136" s="271"/>
      <c r="AGZ136" s="271"/>
      <c r="AHA136" s="271"/>
      <c r="AHB136" s="221"/>
      <c r="AHC136" s="221"/>
      <c r="AHD136" s="221"/>
      <c r="AHE136" s="258"/>
      <c r="AHF136" s="270"/>
      <c r="AHG136" s="271"/>
      <c r="AHH136" s="271"/>
      <c r="AHI136" s="271"/>
      <c r="AHJ136" s="221"/>
      <c r="AHK136" s="221"/>
      <c r="AHL136" s="221"/>
      <c r="AHM136" s="258"/>
      <c r="AHN136" s="270"/>
      <c r="AHO136" s="271"/>
      <c r="AHP136" s="271"/>
      <c r="AHQ136" s="271"/>
      <c r="AHR136" s="221"/>
      <c r="AHS136" s="221"/>
      <c r="AHT136" s="221"/>
      <c r="AHU136" s="258"/>
      <c r="AHV136" s="270"/>
      <c r="AHW136" s="271"/>
      <c r="AHX136" s="271"/>
      <c r="AHY136" s="271"/>
      <c r="AHZ136" s="221"/>
      <c r="AIA136" s="221"/>
      <c r="AIB136" s="221"/>
      <c r="AIC136" s="258"/>
      <c r="AID136" s="270"/>
      <c r="AIE136" s="271"/>
      <c r="AIF136" s="271"/>
      <c r="AIG136" s="271"/>
      <c r="AIH136" s="221"/>
      <c r="AII136" s="221"/>
      <c r="AIJ136" s="221"/>
      <c r="AIK136" s="258"/>
      <c r="AIL136" s="270"/>
      <c r="AIM136" s="271"/>
      <c r="AIN136" s="271"/>
      <c r="AIO136" s="271"/>
      <c r="AIP136" s="221"/>
      <c r="AIQ136" s="221"/>
      <c r="AIR136" s="221"/>
      <c r="AIS136" s="258"/>
      <c r="AIT136" s="270"/>
      <c r="AIU136" s="271"/>
      <c r="AIV136" s="271"/>
      <c r="AIW136" s="271"/>
      <c r="AIX136" s="221"/>
      <c r="AIY136" s="221"/>
      <c r="AIZ136" s="221"/>
      <c r="AJA136" s="258"/>
      <c r="AJB136" s="270"/>
      <c r="AJC136" s="271"/>
      <c r="AJD136" s="271"/>
      <c r="AJE136" s="271"/>
      <c r="AJF136" s="221"/>
      <c r="AJG136" s="221"/>
      <c r="AJH136" s="221"/>
      <c r="AJI136" s="258"/>
      <c r="AJJ136" s="270"/>
      <c r="AJK136" s="271"/>
      <c r="AJL136" s="271"/>
      <c r="AJM136" s="271"/>
      <c r="AJN136" s="221"/>
      <c r="AJO136" s="221"/>
      <c r="AJP136" s="221"/>
      <c r="AJQ136" s="258"/>
      <c r="AJR136" s="270"/>
      <c r="AJS136" s="271"/>
      <c r="AJT136" s="271"/>
      <c r="AJU136" s="271"/>
      <c r="AJV136" s="221"/>
      <c r="AJW136" s="221"/>
      <c r="AJX136" s="221"/>
      <c r="AJY136" s="258"/>
      <c r="AJZ136" s="270"/>
      <c r="AKA136" s="271"/>
      <c r="AKB136" s="271"/>
      <c r="AKC136" s="271"/>
      <c r="AKD136" s="221"/>
      <c r="AKE136" s="221"/>
      <c r="AKF136" s="221"/>
      <c r="AKG136" s="258"/>
      <c r="AKH136" s="270"/>
      <c r="AKI136" s="271"/>
      <c r="AKJ136" s="271"/>
      <c r="AKK136" s="271"/>
      <c r="AKL136" s="221"/>
      <c r="AKM136" s="221"/>
      <c r="AKN136" s="221"/>
      <c r="AKO136" s="258"/>
      <c r="AKP136" s="270"/>
      <c r="AKQ136" s="271"/>
      <c r="AKR136" s="271"/>
      <c r="AKS136" s="271"/>
      <c r="AKT136" s="221"/>
      <c r="AKU136" s="221"/>
      <c r="AKV136" s="221"/>
      <c r="AKW136" s="258"/>
      <c r="AKX136" s="270"/>
      <c r="AKY136" s="271"/>
      <c r="AKZ136" s="271"/>
      <c r="ALA136" s="271"/>
      <c r="ALB136" s="221"/>
      <c r="ALC136" s="221"/>
      <c r="ALD136" s="221"/>
      <c r="ALE136" s="258"/>
      <c r="ALF136" s="270"/>
      <c r="ALG136" s="271"/>
      <c r="ALH136" s="271"/>
      <c r="ALI136" s="271"/>
      <c r="ALJ136" s="221"/>
      <c r="ALK136" s="221"/>
      <c r="ALL136" s="221"/>
      <c r="ALM136" s="258"/>
      <c r="ALN136" s="270"/>
      <c r="ALO136" s="271"/>
      <c r="ALP136" s="271"/>
      <c r="ALQ136" s="271"/>
      <c r="ALR136" s="221"/>
      <c r="ALS136" s="221"/>
      <c r="ALT136" s="221"/>
      <c r="ALU136" s="258"/>
      <c r="ALV136" s="270"/>
      <c r="ALW136" s="271"/>
      <c r="ALX136" s="271"/>
      <c r="ALY136" s="271"/>
      <c r="ALZ136" s="221"/>
      <c r="AMA136" s="221"/>
      <c r="AMB136" s="221"/>
      <c r="AMC136" s="258"/>
      <c r="AMD136" s="270"/>
      <c r="AME136" s="271"/>
      <c r="AMF136" s="271"/>
      <c r="AMG136" s="271"/>
      <c r="AMH136" s="221"/>
      <c r="AMI136" s="221"/>
      <c r="AMJ136" s="221"/>
      <c r="AMK136" s="258"/>
      <c r="AML136" s="270"/>
      <c r="AMM136" s="271"/>
      <c r="AMN136" s="271"/>
      <c r="AMO136" s="271"/>
      <c r="AMP136" s="221"/>
      <c r="AMQ136" s="221"/>
      <c r="AMR136" s="221"/>
      <c r="AMS136" s="258"/>
      <c r="AMT136" s="270"/>
      <c r="AMU136" s="271"/>
      <c r="AMV136" s="271"/>
      <c r="AMW136" s="271"/>
      <c r="AMX136" s="221"/>
      <c r="AMY136" s="221"/>
      <c r="AMZ136" s="221"/>
      <c r="ANA136" s="258"/>
      <c r="ANB136" s="270"/>
      <c r="ANC136" s="271"/>
      <c r="AND136" s="271"/>
      <c r="ANE136" s="271"/>
      <c r="ANF136" s="221"/>
      <c r="ANG136" s="221"/>
      <c r="ANH136" s="221"/>
      <c r="ANI136" s="258"/>
      <c r="ANJ136" s="270"/>
      <c r="ANK136" s="271"/>
      <c r="ANL136" s="271"/>
      <c r="ANM136" s="271"/>
      <c r="ANN136" s="221"/>
      <c r="ANO136" s="221"/>
      <c r="ANP136" s="221"/>
      <c r="ANQ136" s="258"/>
      <c r="ANR136" s="270"/>
      <c r="ANS136" s="271"/>
      <c r="ANT136" s="271"/>
      <c r="ANU136" s="271"/>
      <c r="ANV136" s="221"/>
      <c r="ANW136" s="221"/>
      <c r="ANX136" s="221"/>
      <c r="ANY136" s="258"/>
      <c r="ANZ136" s="270"/>
      <c r="AOA136" s="271"/>
      <c r="AOB136" s="271"/>
      <c r="AOC136" s="271"/>
      <c r="AOD136" s="221"/>
      <c r="AOE136" s="221"/>
      <c r="AOF136" s="221"/>
      <c r="AOG136" s="258"/>
      <c r="AOH136" s="270"/>
      <c r="AOI136" s="271"/>
      <c r="AOJ136" s="271"/>
      <c r="AOK136" s="271"/>
      <c r="AOL136" s="221"/>
      <c r="AOM136" s="221"/>
      <c r="AON136" s="221"/>
      <c r="AOO136" s="258"/>
      <c r="AOP136" s="270"/>
      <c r="AOQ136" s="271"/>
      <c r="AOR136" s="271"/>
      <c r="AOS136" s="271"/>
      <c r="AOT136" s="221"/>
      <c r="AOU136" s="221"/>
      <c r="AOV136" s="221"/>
      <c r="AOW136" s="258"/>
      <c r="AOX136" s="270"/>
      <c r="AOY136" s="271"/>
      <c r="AOZ136" s="271"/>
      <c r="APA136" s="271"/>
      <c r="APB136" s="221"/>
      <c r="APC136" s="221"/>
      <c r="APD136" s="221"/>
      <c r="APE136" s="258"/>
      <c r="APF136" s="270"/>
      <c r="APG136" s="271"/>
      <c r="APH136" s="271"/>
      <c r="API136" s="271"/>
      <c r="APJ136" s="221"/>
      <c r="APK136" s="221"/>
      <c r="APL136" s="221"/>
      <c r="APM136" s="258"/>
      <c r="APN136" s="270"/>
      <c r="APO136" s="271"/>
      <c r="APP136" s="271"/>
      <c r="APQ136" s="271"/>
      <c r="APR136" s="221"/>
      <c r="APS136" s="221"/>
      <c r="APT136" s="221"/>
      <c r="APU136" s="258"/>
      <c r="APV136" s="270"/>
      <c r="APW136" s="271"/>
      <c r="APX136" s="271"/>
      <c r="APY136" s="271"/>
      <c r="APZ136" s="221"/>
      <c r="AQA136" s="221"/>
      <c r="AQB136" s="221"/>
      <c r="AQC136" s="258"/>
      <c r="AQD136" s="270"/>
      <c r="AQE136" s="271"/>
      <c r="AQF136" s="271"/>
      <c r="AQG136" s="271"/>
      <c r="AQH136" s="221"/>
      <c r="AQI136" s="221"/>
      <c r="AQJ136" s="221"/>
      <c r="AQK136" s="258"/>
      <c r="AQL136" s="270"/>
      <c r="AQM136" s="271"/>
      <c r="AQN136" s="271"/>
      <c r="AQO136" s="271"/>
      <c r="AQP136" s="221"/>
      <c r="AQQ136" s="221"/>
      <c r="AQR136" s="221"/>
      <c r="AQS136" s="258"/>
      <c r="AQT136" s="270"/>
      <c r="AQU136" s="271"/>
      <c r="AQV136" s="271"/>
      <c r="AQW136" s="271"/>
      <c r="AQX136" s="221"/>
      <c r="AQY136" s="221"/>
      <c r="AQZ136" s="221"/>
      <c r="ARA136" s="258"/>
      <c r="ARB136" s="270"/>
      <c r="ARC136" s="271"/>
      <c r="ARD136" s="271"/>
      <c r="ARE136" s="271"/>
      <c r="ARF136" s="221"/>
      <c r="ARG136" s="221"/>
      <c r="ARH136" s="221"/>
      <c r="ARI136" s="258"/>
      <c r="ARJ136" s="270"/>
      <c r="ARK136" s="271"/>
      <c r="ARL136" s="271"/>
      <c r="ARM136" s="271"/>
      <c r="ARN136" s="221"/>
      <c r="ARO136" s="221"/>
      <c r="ARP136" s="221"/>
      <c r="ARQ136" s="258"/>
      <c r="ARR136" s="270"/>
      <c r="ARS136" s="271"/>
      <c r="ART136" s="271"/>
      <c r="ARU136" s="271"/>
      <c r="ARV136" s="221"/>
      <c r="ARW136" s="221"/>
      <c r="ARX136" s="221"/>
      <c r="ARY136" s="258"/>
      <c r="ARZ136" s="270"/>
      <c r="ASA136" s="271"/>
      <c r="ASB136" s="271"/>
      <c r="ASC136" s="271"/>
      <c r="ASD136" s="221"/>
      <c r="ASE136" s="221"/>
      <c r="ASF136" s="221"/>
      <c r="ASG136" s="258"/>
      <c r="ASH136" s="270"/>
      <c r="ASI136" s="271"/>
      <c r="ASJ136" s="271"/>
      <c r="ASK136" s="271"/>
      <c r="ASL136" s="221"/>
      <c r="ASM136" s="221"/>
      <c r="ASN136" s="221"/>
      <c r="ASO136" s="258"/>
      <c r="ASP136" s="270"/>
      <c r="ASQ136" s="271"/>
      <c r="ASR136" s="271"/>
      <c r="ASS136" s="271"/>
      <c r="AST136" s="221"/>
      <c r="ASU136" s="221"/>
      <c r="ASV136" s="221"/>
      <c r="ASW136" s="258"/>
      <c r="ASX136" s="270"/>
      <c r="ASY136" s="271"/>
      <c r="ASZ136" s="271"/>
      <c r="ATA136" s="271"/>
      <c r="ATB136" s="221"/>
      <c r="ATC136" s="221"/>
      <c r="ATD136" s="221"/>
      <c r="ATE136" s="258"/>
      <c r="ATF136" s="270"/>
      <c r="ATG136" s="271"/>
      <c r="ATH136" s="271"/>
      <c r="ATI136" s="271"/>
      <c r="ATJ136" s="221"/>
      <c r="ATK136" s="221"/>
      <c r="ATL136" s="221"/>
      <c r="ATM136" s="258"/>
      <c r="ATN136" s="270"/>
      <c r="ATO136" s="271"/>
      <c r="ATP136" s="271"/>
      <c r="ATQ136" s="271"/>
      <c r="ATR136" s="221"/>
      <c r="ATS136" s="221"/>
      <c r="ATT136" s="221"/>
      <c r="ATU136" s="258"/>
      <c r="ATV136" s="270"/>
      <c r="ATW136" s="271"/>
      <c r="ATX136" s="271"/>
      <c r="ATY136" s="271"/>
      <c r="ATZ136" s="221"/>
      <c r="AUA136" s="221"/>
      <c r="AUB136" s="221"/>
      <c r="AUC136" s="258"/>
      <c r="AUD136" s="270"/>
      <c r="AUE136" s="271"/>
      <c r="AUF136" s="271"/>
      <c r="AUG136" s="271"/>
      <c r="AUH136" s="221"/>
      <c r="AUI136" s="221"/>
      <c r="AUJ136" s="221"/>
      <c r="AUK136" s="258"/>
      <c r="AUL136" s="270"/>
      <c r="AUM136" s="271"/>
      <c r="AUN136" s="271"/>
      <c r="AUO136" s="271"/>
      <c r="AUP136" s="221"/>
      <c r="AUQ136" s="221"/>
      <c r="AUR136" s="221"/>
      <c r="AUS136" s="258"/>
      <c r="AUT136" s="270"/>
      <c r="AUU136" s="271"/>
      <c r="AUV136" s="271"/>
      <c r="AUW136" s="271"/>
      <c r="AUX136" s="221"/>
      <c r="AUY136" s="221"/>
      <c r="AUZ136" s="221"/>
      <c r="AVA136" s="258"/>
      <c r="AVB136" s="270"/>
      <c r="AVC136" s="271"/>
      <c r="AVD136" s="271"/>
      <c r="AVE136" s="271"/>
      <c r="AVF136" s="221"/>
      <c r="AVG136" s="221"/>
      <c r="AVH136" s="221"/>
      <c r="AVI136" s="258"/>
      <c r="AVJ136" s="270"/>
      <c r="AVK136" s="271"/>
      <c r="AVL136" s="271"/>
      <c r="AVM136" s="271"/>
      <c r="AVN136" s="221"/>
      <c r="AVO136" s="221"/>
      <c r="AVP136" s="221"/>
      <c r="AVQ136" s="258"/>
      <c r="AVR136" s="270"/>
      <c r="AVS136" s="271"/>
      <c r="AVT136" s="271"/>
      <c r="AVU136" s="271"/>
      <c r="AVV136" s="221"/>
      <c r="AVW136" s="221"/>
      <c r="AVX136" s="221"/>
      <c r="AVY136" s="258"/>
      <c r="AVZ136" s="270"/>
      <c r="AWA136" s="271"/>
      <c r="AWB136" s="271"/>
      <c r="AWC136" s="271"/>
      <c r="AWD136" s="221"/>
      <c r="AWE136" s="221"/>
      <c r="AWF136" s="221"/>
      <c r="AWG136" s="258"/>
      <c r="AWH136" s="270"/>
      <c r="AWI136" s="271"/>
      <c r="AWJ136" s="271"/>
      <c r="AWK136" s="271"/>
      <c r="AWL136" s="221"/>
      <c r="AWM136" s="221"/>
      <c r="AWN136" s="221"/>
      <c r="AWO136" s="258"/>
      <c r="AWP136" s="270"/>
      <c r="AWQ136" s="271"/>
      <c r="AWR136" s="271"/>
      <c r="AWS136" s="271"/>
      <c r="AWT136" s="221"/>
      <c r="AWU136" s="221"/>
      <c r="AWV136" s="221"/>
      <c r="AWW136" s="258"/>
      <c r="AWX136" s="270"/>
      <c r="AWY136" s="271"/>
      <c r="AWZ136" s="271"/>
      <c r="AXA136" s="271"/>
      <c r="AXB136" s="221"/>
      <c r="AXC136" s="221"/>
      <c r="AXD136" s="221"/>
      <c r="AXE136" s="258"/>
      <c r="AXF136" s="270"/>
      <c r="AXG136" s="271"/>
      <c r="AXH136" s="271"/>
      <c r="AXI136" s="271"/>
      <c r="AXJ136" s="221"/>
      <c r="AXK136" s="221"/>
      <c r="AXL136" s="221"/>
      <c r="AXM136" s="258"/>
      <c r="AXN136" s="270"/>
      <c r="AXO136" s="271"/>
      <c r="AXP136" s="271"/>
      <c r="AXQ136" s="271"/>
      <c r="AXR136" s="221"/>
      <c r="AXS136" s="221"/>
      <c r="AXT136" s="221"/>
      <c r="AXU136" s="258"/>
      <c r="AXV136" s="270"/>
      <c r="AXW136" s="271"/>
      <c r="AXX136" s="271"/>
      <c r="AXY136" s="271"/>
      <c r="AXZ136" s="221"/>
      <c r="AYA136" s="221"/>
      <c r="AYB136" s="221"/>
      <c r="AYC136" s="258"/>
      <c r="AYD136" s="270"/>
      <c r="AYE136" s="271"/>
      <c r="AYF136" s="271"/>
      <c r="AYG136" s="271"/>
      <c r="AYH136" s="221"/>
      <c r="AYI136" s="221"/>
      <c r="AYJ136" s="221"/>
      <c r="AYK136" s="258"/>
      <c r="AYL136" s="270"/>
      <c r="AYM136" s="271"/>
      <c r="AYN136" s="271"/>
      <c r="AYO136" s="271"/>
      <c r="AYP136" s="221"/>
      <c r="AYQ136" s="221"/>
      <c r="AYR136" s="221"/>
      <c r="AYS136" s="258"/>
      <c r="AYT136" s="270"/>
      <c r="AYU136" s="271"/>
      <c r="AYV136" s="271"/>
      <c r="AYW136" s="271"/>
      <c r="AYX136" s="221"/>
      <c r="AYY136" s="221"/>
      <c r="AYZ136" s="221"/>
      <c r="AZA136" s="258"/>
      <c r="AZB136" s="270"/>
      <c r="AZC136" s="271"/>
      <c r="AZD136" s="271"/>
      <c r="AZE136" s="271"/>
      <c r="AZF136" s="221"/>
      <c r="AZG136" s="221"/>
      <c r="AZH136" s="221"/>
      <c r="AZI136" s="258"/>
      <c r="AZJ136" s="270"/>
      <c r="AZK136" s="271"/>
      <c r="AZL136" s="271"/>
      <c r="AZM136" s="271"/>
      <c r="AZN136" s="221"/>
      <c r="AZO136" s="221"/>
      <c r="AZP136" s="221"/>
      <c r="AZQ136" s="258"/>
      <c r="AZR136" s="270"/>
      <c r="AZS136" s="271"/>
      <c r="AZT136" s="271"/>
      <c r="AZU136" s="271"/>
      <c r="AZV136" s="221"/>
      <c r="AZW136" s="221"/>
      <c r="AZX136" s="221"/>
      <c r="AZY136" s="258"/>
      <c r="AZZ136" s="270"/>
      <c r="BAA136" s="271"/>
      <c r="BAB136" s="271"/>
      <c r="BAC136" s="271"/>
      <c r="BAD136" s="221"/>
      <c r="BAE136" s="221"/>
      <c r="BAF136" s="221"/>
      <c r="BAG136" s="258"/>
      <c r="BAH136" s="270"/>
      <c r="BAI136" s="271"/>
      <c r="BAJ136" s="271"/>
      <c r="BAK136" s="271"/>
      <c r="BAL136" s="221"/>
      <c r="BAM136" s="221"/>
      <c r="BAN136" s="221"/>
      <c r="BAO136" s="258"/>
      <c r="BAP136" s="270"/>
      <c r="BAQ136" s="271"/>
      <c r="BAR136" s="271"/>
      <c r="BAS136" s="271"/>
      <c r="BAT136" s="221"/>
      <c r="BAU136" s="221"/>
      <c r="BAV136" s="221"/>
      <c r="BAW136" s="258"/>
      <c r="BAX136" s="270"/>
      <c r="BAY136" s="271"/>
      <c r="BAZ136" s="271"/>
      <c r="BBA136" s="271"/>
      <c r="BBB136" s="221"/>
      <c r="BBC136" s="221"/>
      <c r="BBD136" s="221"/>
      <c r="BBE136" s="258"/>
      <c r="BBF136" s="270"/>
      <c r="BBG136" s="271"/>
      <c r="BBH136" s="271"/>
      <c r="BBI136" s="271"/>
      <c r="BBJ136" s="221"/>
      <c r="BBK136" s="221"/>
      <c r="BBL136" s="221"/>
      <c r="BBM136" s="258"/>
      <c r="BBN136" s="270"/>
      <c r="BBO136" s="271"/>
      <c r="BBP136" s="271"/>
      <c r="BBQ136" s="271"/>
      <c r="BBR136" s="221"/>
      <c r="BBS136" s="221"/>
      <c r="BBT136" s="221"/>
      <c r="BBU136" s="258"/>
      <c r="BBV136" s="270"/>
      <c r="BBW136" s="271"/>
      <c r="BBX136" s="271"/>
      <c r="BBY136" s="271"/>
      <c r="BBZ136" s="221"/>
      <c r="BCA136" s="221"/>
      <c r="BCB136" s="221"/>
      <c r="BCC136" s="258"/>
      <c r="BCD136" s="270"/>
      <c r="BCE136" s="271"/>
      <c r="BCF136" s="271"/>
      <c r="BCG136" s="271"/>
      <c r="BCH136" s="221"/>
      <c r="BCI136" s="221"/>
      <c r="BCJ136" s="221"/>
      <c r="BCK136" s="258"/>
      <c r="BCL136" s="270"/>
      <c r="BCM136" s="271"/>
      <c r="BCN136" s="271"/>
      <c r="BCO136" s="271"/>
      <c r="BCP136" s="221"/>
      <c r="BCQ136" s="221"/>
      <c r="BCR136" s="221"/>
      <c r="BCS136" s="258"/>
      <c r="BCT136" s="270"/>
      <c r="BCU136" s="271"/>
      <c r="BCV136" s="271"/>
      <c r="BCW136" s="271"/>
      <c r="BCX136" s="221"/>
      <c r="BCY136" s="221"/>
      <c r="BCZ136" s="221"/>
      <c r="BDA136" s="258"/>
      <c r="BDB136" s="270"/>
      <c r="BDC136" s="271"/>
      <c r="BDD136" s="271"/>
      <c r="BDE136" s="271"/>
      <c r="BDF136" s="221"/>
      <c r="BDG136" s="221"/>
      <c r="BDH136" s="221"/>
      <c r="BDI136" s="258"/>
      <c r="BDJ136" s="270"/>
      <c r="BDK136" s="271"/>
      <c r="BDL136" s="271"/>
      <c r="BDM136" s="271"/>
      <c r="BDN136" s="221"/>
      <c r="BDO136" s="221"/>
      <c r="BDP136" s="221"/>
      <c r="BDQ136" s="258"/>
      <c r="BDR136" s="270"/>
      <c r="BDS136" s="271"/>
      <c r="BDT136" s="271"/>
      <c r="BDU136" s="271"/>
      <c r="BDV136" s="221"/>
      <c r="BDW136" s="221"/>
      <c r="BDX136" s="221"/>
      <c r="BDY136" s="258"/>
      <c r="BDZ136" s="270"/>
      <c r="BEA136" s="271"/>
      <c r="BEB136" s="271"/>
      <c r="BEC136" s="271"/>
      <c r="BED136" s="221"/>
      <c r="BEE136" s="221"/>
      <c r="BEF136" s="221"/>
      <c r="BEG136" s="258"/>
      <c r="BEH136" s="270"/>
      <c r="BEI136" s="271"/>
      <c r="BEJ136" s="271"/>
      <c r="BEK136" s="271"/>
      <c r="BEL136" s="221"/>
      <c r="BEM136" s="221"/>
      <c r="BEN136" s="221"/>
      <c r="BEO136" s="258"/>
      <c r="BEP136" s="270"/>
      <c r="BEQ136" s="271"/>
      <c r="BER136" s="271"/>
      <c r="BES136" s="271"/>
      <c r="BET136" s="221"/>
      <c r="BEU136" s="221"/>
      <c r="BEV136" s="221"/>
      <c r="BEW136" s="258"/>
      <c r="BEX136" s="270"/>
      <c r="BEY136" s="271"/>
      <c r="BEZ136" s="271"/>
      <c r="BFA136" s="271"/>
      <c r="BFB136" s="221"/>
      <c r="BFC136" s="221"/>
      <c r="BFD136" s="221"/>
      <c r="BFE136" s="258"/>
      <c r="BFF136" s="270"/>
      <c r="BFG136" s="271"/>
      <c r="BFH136" s="271"/>
      <c r="BFI136" s="271"/>
      <c r="BFJ136" s="221"/>
      <c r="BFK136" s="221"/>
      <c r="BFL136" s="221"/>
      <c r="BFM136" s="258"/>
      <c r="BFN136" s="270"/>
      <c r="BFO136" s="271"/>
      <c r="BFP136" s="271"/>
      <c r="BFQ136" s="271"/>
      <c r="BFR136" s="221"/>
      <c r="BFS136" s="221"/>
      <c r="BFT136" s="221"/>
      <c r="BFU136" s="258"/>
      <c r="BFV136" s="270"/>
      <c r="BFW136" s="271"/>
      <c r="BFX136" s="271"/>
      <c r="BFY136" s="271"/>
      <c r="BFZ136" s="221"/>
      <c r="BGA136" s="221"/>
      <c r="BGB136" s="221"/>
      <c r="BGC136" s="258"/>
      <c r="BGD136" s="270"/>
      <c r="BGE136" s="271"/>
      <c r="BGF136" s="271"/>
      <c r="BGG136" s="271"/>
      <c r="BGH136" s="221"/>
      <c r="BGI136" s="221"/>
      <c r="BGJ136" s="221"/>
      <c r="BGK136" s="258"/>
      <c r="BGL136" s="270"/>
      <c r="BGM136" s="271"/>
      <c r="BGN136" s="271"/>
      <c r="BGO136" s="271"/>
      <c r="BGP136" s="221"/>
      <c r="BGQ136" s="221"/>
      <c r="BGR136" s="221"/>
      <c r="BGS136" s="258"/>
      <c r="BGT136" s="270"/>
      <c r="BGU136" s="271"/>
      <c r="BGV136" s="271"/>
      <c r="BGW136" s="271"/>
      <c r="BGX136" s="221"/>
      <c r="BGY136" s="221"/>
      <c r="BGZ136" s="221"/>
      <c r="BHA136" s="258"/>
      <c r="BHB136" s="270"/>
      <c r="BHC136" s="271"/>
      <c r="BHD136" s="271"/>
      <c r="BHE136" s="271"/>
      <c r="BHF136" s="221"/>
      <c r="BHG136" s="221"/>
      <c r="BHH136" s="221"/>
      <c r="BHI136" s="258"/>
      <c r="BHJ136" s="270"/>
      <c r="BHK136" s="271"/>
      <c r="BHL136" s="271"/>
      <c r="BHM136" s="271"/>
      <c r="BHN136" s="221"/>
      <c r="BHO136" s="221"/>
      <c r="BHP136" s="221"/>
      <c r="BHQ136" s="258"/>
      <c r="BHR136" s="270"/>
      <c r="BHS136" s="271"/>
      <c r="BHT136" s="271"/>
      <c r="BHU136" s="271"/>
      <c r="BHV136" s="221"/>
      <c r="BHW136" s="221"/>
      <c r="BHX136" s="221"/>
      <c r="BHY136" s="258"/>
      <c r="BHZ136" s="270"/>
      <c r="BIA136" s="271"/>
      <c r="BIB136" s="271"/>
      <c r="BIC136" s="271"/>
      <c r="BID136" s="221"/>
      <c r="BIE136" s="221"/>
      <c r="BIF136" s="221"/>
      <c r="BIG136" s="258"/>
      <c r="BIH136" s="270"/>
      <c r="BII136" s="271"/>
      <c r="BIJ136" s="271"/>
      <c r="BIK136" s="271"/>
      <c r="BIL136" s="221"/>
      <c r="BIM136" s="221"/>
      <c r="BIN136" s="221"/>
      <c r="BIO136" s="258"/>
      <c r="BIP136" s="270"/>
      <c r="BIQ136" s="271"/>
      <c r="BIR136" s="271"/>
      <c r="BIS136" s="271"/>
      <c r="BIT136" s="221"/>
      <c r="BIU136" s="221"/>
      <c r="BIV136" s="221"/>
      <c r="BIW136" s="258"/>
      <c r="BIX136" s="270"/>
      <c r="BIY136" s="271"/>
      <c r="BIZ136" s="271"/>
      <c r="BJA136" s="271"/>
      <c r="BJB136" s="221"/>
      <c r="BJC136" s="221"/>
      <c r="BJD136" s="221"/>
      <c r="BJE136" s="258"/>
      <c r="BJF136" s="270"/>
      <c r="BJG136" s="271"/>
      <c r="BJH136" s="271"/>
      <c r="BJI136" s="271"/>
      <c r="BJJ136" s="221"/>
      <c r="BJK136" s="221"/>
      <c r="BJL136" s="221"/>
      <c r="BJM136" s="258"/>
      <c r="BJN136" s="270"/>
      <c r="BJO136" s="271"/>
      <c r="BJP136" s="271"/>
      <c r="BJQ136" s="271"/>
      <c r="BJR136" s="221"/>
      <c r="BJS136" s="221"/>
      <c r="BJT136" s="221"/>
      <c r="BJU136" s="258"/>
      <c r="BJV136" s="270"/>
      <c r="BJW136" s="271"/>
      <c r="BJX136" s="271"/>
      <c r="BJY136" s="271"/>
      <c r="BJZ136" s="221"/>
      <c r="BKA136" s="221"/>
      <c r="BKB136" s="221"/>
      <c r="BKC136" s="258"/>
      <c r="BKD136" s="270"/>
      <c r="BKE136" s="271"/>
      <c r="BKF136" s="271"/>
      <c r="BKG136" s="271"/>
      <c r="BKH136" s="221"/>
      <c r="BKI136" s="221"/>
      <c r="BKJ136" s="221"/>
      <c r="BKK136" s="258"/>
      <c r="BKL136" s="270"/>
      <c r="BKM136" s="271"/>
      <c r="BKN136" s="271"/>
      <c r="BKO136" s="271"/>
      <c r="BKP136" s="221"/>
      <c r="BKQ136" s="221"/>
      <c r="BKR136" s="221"/>
      <c r="BKS136" s="258"/>
      <c r="BKT136" s="270"/>
      <c r="BKU136" s="271"/>
      <c r="BKV136" s="271"/>
      <c r="BKW136" s="271"/>
      <c r="BKX136" s="221"/>
      <c r="BKY136" s="221"/>
      <c r="BKZ136" s="221"/>
      <c r="BLA136" s="258"/>
      <c r="BLB136" s="270"/>
      <c r="BLC136" s="271"/>
      <c r="BLD136" s="271"/>
      <c r="BLE136" s="271"/>
      <c r="BLF136" s="221"/>
      <c r="BLG136" s="221"/>
      <c r="BLH136" s="221"/>
      <c r="BLI136" s="258"/>
      <c r="BLJ136" s="270"/>
      <c r="BLK136" s="271"/>
      <c r="BLL136" s="271"/>
      <c r="BLM136" s="271"/>
      <c r="BLN136" s="221"/>
      <c r="BLO136" s="221"/>
      <c r="BLP136" s="221"/>
      <c r="BLQ136" s="258"/>
      <c r="BLR136" s="270"/>
      <c r="BLS136" s="271"/>
      <c r="BLT136" s="271"/>
      <c r="BLU136" s="271"/>
      <c r="BLV136" s="221"/>
      <c r="BLW136" s="221"/>
      <c r="BLX136" s="221"/>
      <c r="BLY136" s="258"/>
      <c r="BLZ136" s="270"/>
      <c r="BMA136" s="271"/>
      <c r="BMB136" s="271"/>
      <c r="BMC136" s="271"/>
      <c r="BMD136" s="221"/>
      <c r="BME136" s="221"/>
      <c r="BMF136" s="221"/>
      <c r="BMG136" s="258"/>
      <c r="BMH136" s="270"/>
      <c r="BMI136" s="271"/>
      <c r="BMJ136" s="271"/>
      <c r="BMK136" s="271"/>
      <c r="BML136" s="221"/>
      <c r="BMM136" s="221"/>
      <c r="BMN136" s="221"/>
      <c r="BMO136" s="258"/>
      <c r="BMP136" s="270"/>
      <c r="BMQ136" s="271"/>
      <c r="BMR136" s="271"/>
      <c r="BMS136" s="271"/>
      <c r="BMT136" s="221"/>
      <c r="BMU136" s="221"/>
      <c r="BMV136" s="221"/>
      <c r="BMW136" s="258"/>
      <c r="BMX136" s="270"/>
      <c r="BMY136" s="271"/>
      <c r="BMZ136" s="271"/>
      <c r="BNA136" s="271"/>
      <c r="BNB136" s="221"/>
      <c r="BNC136" s="221"/>
      <c r="BND136" s="221"/>
      <c r="BNE136" s="258"/>
      <c r="BNF136" s="270"/>
      <c r="BNG136" s="271"/>
      <c r="BNH136" s="271"/>
      <c r="BNI136" s="271"/>
      <c r="BNJ136" s="221"/>
      <c r="BNK136" s="221"/>
      <c r="BNL136" s="221"/>
      <c r="BNM136" s="258"/>
      <c r="BNN136" s="270"/>
      <c r="BNO136" s="271"/>
      <c r="BNP136" s="271"/>
      <c r="BNQ136" s="271"/>
      <c r="BNR136" s="221"/>
      <c r="BNS136" s="221"/>
      <c r="BNT136" s="221"/>
      <c r="BNU136" s="258"/>
      <c r="BNV136" s="270"/>
      <c r="BNW136" s="271"/>
      <c r="BNX136" s="271"/>
      <c r="BNY136" s="271"/>
      <c r="BNZ136" s="221"/>
      <c r="BOA136" s="221"/>
      <c r="BOB136" s="221"/>
      <c r="BOC136" s="258"/>
      <c r="BOD136" s="270"/>
      <c r="BOE136" s="271"/>
      <c r="BOF136" s="271"/>
      <c r="BOG136" s="271"/>
      <c r="BOH136" s="221"/>
      <c r="BOI136" s="221"/>
      <c r="BOJ136" s="221"/>
      <c r="BOK136" s="258"/>
      <c r="BOL136" s="270"/>
      <c r="BOM136" s="271"/>
      <c r="BON136" s="271"/>
      <c r="BOO136" s="271"/>
      <c r="BOP136" s="221"/>
      <c r="BOQ136" s="221"/>
      <c r="BOR136" s="221"/>
      <c r="BOS136" s="258"/>
      <c r="BOT136" s="270"/>
      <c r="BOU136" s="271"/>
      <c r="BOV136" s="271"/>
      <c r="BOW136" s="271"/>
      <c r="BOX136" s="221"/>
      <c r="BOY136" s="221"/>
      <c r="BOZ136" s="221"/>
      <c r="BPA136" s="258"/>
      <c r="BPB136" s="270"/>
      <c r="BPC136" s="271"/>
      <c r="BPD136" s="271"/>
      <c r="BPE136" s="271"/>
      <c r="BPF136" s="221"/>
      <c r="BPG136" s="221"/>
      <c r="BPH136" s="221"/>
      <c r="BPI136" s="258"/>
      <c r="BPJ136" s="270"/>
      <c r="BPK136" s="271"/>
      <c r="BPL136" s="271"/>
      <c r="BPM136" s="271"/>
      <c r="BPN136" s="221"/>
      <c r="BPO136" s="221"/>
      <c r="BPP136" s="221"/>
      <c r="BPQ136" s="258"/>
      <c r="BPR136" s="270"/>
      <c r="BPS136" s="271"/>
      <c r="BPT136" s="271"/>
      <c r="BPU136" s="271"/>
      <c r="BPV136" s="221"/>
      <c r="BPW136" s="221"/>
      <c r="BPX136" s="221"/>
      <c r="BPY136" s="258"/>
      <c r="BPZ136" s="270"/>
      <c r="BQA136" s="271"/>
      <c r="BQB136" s="271"/>
      <c r="BQC136" s="271"/>
      <c r="BQD136" s="221"/>
      <c r="BQE136" s="221"/>
      <c r="BQF136" s="221"/>
      <c r="BQG136" s="258"/>
      <c r="BQH136" s="270"/>
      <c r="BQI136" s="271"/>
      <c r="BQJ136" s="271"/>
      <c r="BQK136" s="271"/>
      <c r="BQL136" s="221"/>
      <c r="BQM136" s="221"/>
      <c r="BQN136" s="221"/>
      <c r="BQO136" s="258"/>
      <c r="BQP136" s="270"/>
      <c r="BQQ136" s="271"/>
      <c r="BQR136" s="271"/>
      <c r="BQS136" s="271"/>
      <c r="BQT136" s="221"/>
      <c r="BQU136" s="221"/>
      <c r="BQV136" s="221"/>
      <c r="BQW136" s="258"/>
      <c r="BQX136" s="270"/>
      <c r="BQY136" s="271"/>
      <c r="BQZ136" s="271"/>
      <c r="BRA136" s="271"/>
      <c r="BRB136" s="221"/>
      <c r="BRC136" s="221"/>
      <c r="BRD136" s="221"/>
      <c r="BRE136" s="258"/>
      <c r="BRF136" s="270"/>
      <c r="BRG136" s="271"/>
      <c r="BRH136" s="271"/>
      <c r="BRI136" s="271"/>
      <c r="BRJ136" s="221"/>
      <c r="BRK136" s="221"/>
      <c r="BRL136" s="221"/>
      <c r="BRM136" s="258"/>
      <c r="BRN136" s="270"/>
      <c r="BRO136" s="271"/>
      <c r="BRP136" s="271"/>
      <c r="BRQ136" s="271"/>
      <c r="BRR136" s="221"/>
      <c r="BRS136" s="221"/>
      <c r="BRT136" s="221"/>
      <c r="BRU136" s="258"/>
      <c r="BRV136" s="270"/>
      <c r="BRW136" s="271"/>
      <c r="BRX136" s="271"/>
      <c r="BRY136" s="271"/>
      <c r="BRZ136" s="221"/>
      <c r="BSA136" s="221"/>
      <c r="BSB136" s="221"/>
      <c r="BSC136" s="258"/>
      <c r="BSD136" s="270"/>
      <c r="BSE136" s="271"/>
      <c r="BSF136" s="271"/>
      <c r="BSG136" s="271"/>
      <c r="BSH136" s="221"/>
      <c r="BSI136" s="221"/>
      <c r="BSJ136" s="221"/>
      <c r="BSK136" s="258"/>
      <c r="BSL136" s="270"/>
      <c r="BSM136" s="271"/>
      <c r="BSN136" s="271"/>
      <c r="BSO136" s="271"/>
      <c r="BSP136" s="221"/>
      <c r="BSQ136" s="221"/>
      <c r="BSR136" s="221"/>
      <c r="BSS136" s="258"/>
      <c r="BST136" s="270"/>
      <c r="BSU136" s="271"/>
      <c r="BSV136" s="271"/>
      <c r="BSW136" s="271"/>
      <c r="BSX136" s="221"/>
      <c r="BSY136" s="221"/>
      <c r="BSZ136" s="221"/>
      <c r="BTA136" s="258"/>
      <c r="BTB136" s="270"/>
      <c r="BTC136" s="271"/>
      <c r="BTD136" s="271"/>
      <c r="BTE136" s="271"/>
      <c r="BTF136" s="221"/>
      <c r="BTG136" s="221"/>
      <c r="BTH136" s="221"/>
      <c r="BTI136" s="258"/>
      <c r="BTJ136" s="270"/>
      <c r="BTK136" s="271"/>
      <c r="BTL136" s="271"/>
      <c r="BTM136" s="271"/>
      <c r="BTN136" s="221"/>
      <c r="BTO136" s="221"/>
      <c r="BTP136" s="221"/>
      <c r="BTQ136" s="258"/>
      <c r="BTR136" s="270"/>
      <c r="BTS136" s="271"/>
      <c r="BTT136" s="271"/>
      <c r="BTU136" s="271"/>
      <c r="BTV136" s="221"/>
      <c r="BTW136" s="221"/>
      <c r="BTX136" s="221"/>
      <c r="BTY136" s="258"/>
      <c r="BTZ136" s="270"/>
      <c r="BUA136" s="271"/>
      <c r="BUB136" s="271"/>
      <c r="BUC136" s="271"/>
      <c r="BUD136" s="221"/>
      <c r="BUE136" s="221"/>
      <c r="BUF136" s="221"/>
      <c r="BUG136" s="258"/>
      <c r="BUH136" s="270"/>
      <c r="BUI136" s="271"/>
      <c r="BUJ136" s="271"/>
      <c r="BUK136" s="271"/>
      <c r="BUL136" s="221"/>
      <c r="BUM136" s="221"/>
      <c r="BUN136" s="221"/>
      <c r="BUO136" s="258"/>
      <c r="BUP136" s="270"/>
      <c r="BUQ136" s="271"/>
      <c r="BUR136" s="271"/>
      <c r="BUS136" s="271"/>
      <c r="BUT136" s="221"/>
      <c r="BUU136" s="221"/>
      <c r="BUV136" s="221"/>
      <c r="BUW136" s="258"/>
      <c r="BUX136" s="270"/>
      <c r="BUY136" s="271"/>
      <c r="BUZ136" s="271"/>
      <c r="BVA136" s="271"/>
      <c r="BVB136" s="221"/>
      <c r="BVC136" s="221"/>
      <c r="BVD136" s="221"/>
      <c r="BVE136" s="258"/>
      <c r="BVF136" s="270"/>
      <c r="BVG136" s="271"/>
      <c r="BVH136" s="271"/>
      <c r="BVI136" s="271"/>
      <c r="BVJ136" s="221"/>
      <c r="BVK136" s="221"/>
      <c r="BVL136" s="221"/>
      <c r="BVM136" s="258"/>
      <c r="BVN136" s="270"/>
      <c r="BVO136" s="271"/>
      <c r="BVP136" s="271"/>
      <c r="BVQ136" s="271"/>
      <c r="BVR136" s="221"/>
      <c r="BVS136" s="221"/>
      <c r="BVT136" s="221"/>
      <c r="BVU136" s="258"/>
      <c r="BVV136" s="270"/>
      <c r="BVW136" s="271"/>
      <c r="BVX136" s="271"/>
      <c r="BVY136" s="271"/>
      <c r="BVZ136" s="221"/>
      <c r="BWA136" s="221"/>
      <c r="BWB136" s="221"/>
      <c r="BWC136" s="258"/>
      <c r="BWD136" s="270"/>
      <c r="BWE136" s="271"/>
      <c r="BWF136" s="271"/>
      <c r="BWG136" s="271"/>
      <c r="BWH136" s="221"/>
      <c r="BWI136" s="221"/>
      <c r="BWJ136" s="221"/>
      <c r="BWK136" s="258"/>
      <c r="BWL136" s="270"/>
      <c r="BWM136" s="271"/>
      <c r="BWN136" s="271"/>
      <c r="BWO136" s="271"/>
      <c r="BWP136" s="221"/>
      <c r="BWQ136" s="221"/>
      <c r="BWR136" s="221"/>
      <c r="BWS136" s="258"/>
      <c r="BWT136" s="270"/>
      <c r="BWU136" s="271"/>
      <c r="BWV136" s="271"/>
      <c r="BWW136" s="271"/>
      <c r="BWX136" s="221"/>
      <c r="BWY136" s="221"/>
      <c r="BWZ136" s="221"/>
      <c r="BXA136" s="258"/>
      <c r="BXB136" s="270"/>
      <c r="BXC136" s="271"/>
      <c r="BXD136" s="271"/>
      <c r="BXE136" s="271"/>
      <c r="BXF136" s="221"/>
      <c r="BXG136" s="221"/>
      <c r="BXH136" s="221"/>
      <c r="BXI136" s="258"/>
      <c r="BXJ136" s="270"/>
      <c r="BXK136" s="271"/>
      <c r="BXL136" s="271"/>
      <c r="BXM136" s="271"/>
      <c r="BXN136" s="221"/>
      <c r="BXO136" s="221"/>
      <c r="BXP136" s="221"/>
      <c r="BXQ136" s="258"/>
      <c r="BXR136" s="270"/>
      <c r="BXS136" s="271"/>
      <c r="BXT136" s="271"/>
      <c r="BXU136" s="271"/>
      <c r="BXV136" s="221"/>
      <c r="BXW136" s="221"/>
      <c r="BXX136" s="221"/>
      <c r="BXY136" s="258"/>
      <c r="BXZ136" s="270"/>
      <c r="BYA136" s="271"/>
      <c r="BYB136" s="271"/>
      <c r="BYC136" s="271"/>
      <c r="BYD136" s="221"/>
      <c r="BYE136" s="221"/>
      <c r="BYF136" s="221"/>
      <c r="BYG136" s="258"/>
      <c r="BYH136" s="270"/>
      <c r="BYI136" s="271"/>
      <c r="BYJ136" s="271"/>
      <c r="BYK136" s="271"/>
      <c r="BYL136" s="221"/>
      <c r="BYM136" s="221"/>
      <c r="BYN136" s="221"/>
      <c r="BYO136" s="258"/>
      <c r="BYP136" s="270"/>
      <c r="BYQ136" s="271"/>
      <c r="BYR136" s="271"/>
      <c r="BYS136" s="271"/>
      <c r="BYT136" s="221"/>
      <c r="BYU136" s="221"/>
      <c r="BYV136" s="221"/>
      <c r="BYW136" s="258"/>
      <c r="BYX136" s="270"/>
      <c r="BYY136" s="271"/>
      <c r="BYZ136" s="271"/>
      <c r="BZA136" s="271"/>
      <c r="BZB136" s="221"/>
      <c r="BZC136" s="221"/>
      <c r="BZD136" s="221"/>
      <c r="BZE136" s="258"/>
      <c r="BZF136" s="270"/>
      <c r="BZG136" s="271"/>
      <c r="BZH136" s="271"/>
      <c r="BZI136" s="271"/>
      <c r="BZJ136" s="221"/>
      <c r="BZK136" s="221"/>
      <c r="BZL136" s="221"/>
      <c r="BZM136" s="258"/>
      <c r="BZN136" s="270"/>
      <c r="BZO136" s="271"/>
      <c r="BZP136" s="271"/>
      <c r="BZQ136" s="271"/>
      <c r="BZR136" s="221"/>
      <c r="BZS136" s="221"/>
      <c r="BZT136" s="221"/>
      <c r="BZU136" s="258"/>
      <c r="BZV136" s="270"/>
      <c r="BZW136" s="271"/>
      <c r="BZX136" s="271"/>
      <c r="BZY136" s="271"/>
      <c r="BZZ136" s="221"/>
      <c r="CAA136" s="221"/>
      <c r="CAB136" s="221"/>
      <c r="CAC136" s="258"/>
      <c r="CAD136" s="270"/>
      <c r="CAE136" s="271"/>
      <c r="CAF136" s="271"/>
      <c r="CAG136" s="271"/>
      <c r="CAH136" s="221"/>
      <c r="CAI136" s="221"/>
      <c r="CAJ136" s="221"/>
      <c r="CAK136" s="258"/>
      <c r="CAL136" s="270"/>
      <c r="CAM136" s="271"/>
      <c r="CAN136" s="271"/>
      <c r="CAO136" s="271"/>
      <c r="CAP136" s="221"/>
      <c r="CAQ136" s="221"/>
      <c r="CAR136" s="221"/>
      <c r="CAS136" s="258"/>
      <c r="CAT136" s="270"/>
      <c r="CAU136" s="271"/>
      <c r="CAV136" s="271"/>
      <c r="CAW136" s="271"/>
      <c r="CAX136" s="221"/>
      <c r="CAY136" s="221"/>
      <c r="CAZ136" s="221"/>
      <c r="CBA136" s="258"/>
      <c r="CBB136" s="270"/>
      <c r="CBC136" s="271"/>
      <c r="CBD136" s="271"/>
      <c r="CBE136" s="271"/>
      <c r="CBF136" s="221"/>
      <c r="CBG136" s="221"/>
      <c r="CBH136" s="221"/>
      <c r="CBI136" s="258"/>
      <c r="CBJ136" s="270"/>
      <c r="CBK136" s="271"/>
      <c r="CBL136" s="271"/>
      <c r="CBM136" s="271"/>
      <c r="CBN136" s="221"/>
      <c r="CBO136" s="221"/>
      <c r="CBP136" s="221"/>
      <c r="CBQ136" s="258"/>
      <c r="CBR136" s="270"/>
      <c r="CBS136" s="271"/>
      <c r="CBT136" s="271"/>
      <c r="CBU136" s="271"/>
      <c r="CBV136" s="221"/>
      <c r="CBW136" s="221"/>
      <c r="CBX136" s="221"/>
      <c r="CBY136" s="258"/>
      <c r="CBZ136" s="270"/>
      <c r="CCA136" s="271"/>
      <c r="CCB136" s="271"/>
      <c r="CCC136" s="271"/>
      <c r="CCD136" s="221"/>
      <c r="CCE136" s="221"/>
      <c r="CCF136" s="221"/>
      <c r="CCG136" s="258"/>
      <c r="CCH136" s="270"/>
      <c r="CCI136" s="271"/>
      <c r="CCJ136" s="271"/>
      <c r="CCK136" s="271"/>
      <c r="CCL136" s="221"/>
      <c r="CCM136" s="221"/>
      <c r="CCN136" s="221"/>
      <c r="CCO136" s="258"/>
      <c r="CCP136" s="270"/>
      <c r="CCQ136" s="271"/>
      <c r="CCR136" s="271"/>
      <c r="CCS136" s="271"/>
      <c r="CCT136" s="221"/>
      <c r="CCU136" s="221"/>
      <c r="CCV136" s="221"/>
      <c r="CCW136" s="258"/>
      <c r="CCX136" s="270"/>
      <c r="CCY136" s="271"/>
      <c r="CCZ136" s="271"/>
      <c r="CDA136" s="271"/>
      <c r="CDB136" s="221"/>
      <c r="CDC136" s="221"/>
      <c r="CDD136" s="221"/>
      <c r="CDE136" s="258"/>
      <c r="CDF136" s="270"/>
      <c r="CDG136" s="271"/>
      <c r="CDH136" s="271"/>
      <c r="CDI136" s="271"/>
      <c r="CDJ136" s="221"/>
      <c r="CDK136" s="221"/>
      <c r="CDL136" s="221"/>
      <c r="CDM136" s="258"/>
      <c r="CDN136" s="270"/>
      <c r="CDO136" s="271"/>
      <c r="CDP136" s="271"/>
      <c r="CDQ136" s="271"/>
      <c r="CDR136" s="221"/>
      <c r="CDS136" s="221"/>
      <c r="CDT136" s="221"/>
      <c r="CDU136" s="258"/>
      <c r="CDV136" s="270"/>
      <c r="CDW136" s="271"/>
      <c r="CDX136" s="271"/>
      <c r="CDY136" s="271"/>
      <c r="CDZ136" s="221"/>
      <c r="CEA136" s="221"/>
      <c r="CEB136" s="221"/>
      <c r="CEC136" s="258"/>
      <c r="CED136" s="270"/>
      <c r="CEE136" s="271"/>
      <c r="CEF136" s="271"/>
      <c r="CEG136" s="271"/>
      <c r="CEH136" s="221"/>
      <c r="CEI136" s="221"/>
      <c r="CEJ136" s="221"/>
      <c r="CEK136" s="258"/>
      <c r="CEL136" s="270"/>
      <c r="CEM136" s="271"/>
      <c r="CEN136" s="271"/>
      <c r="CEO136" s="271"/>
      <c r="CEP136" s="221"/>
      <c r="CEQ136" s="221"/>
      <c r="CER136" s="221"/>
      <c r="CES136" s="258"/>
      <c r="CET136" s="270"/>
      <c r="CEU136" s="271"/>
      <c r="CEV136" s="271"/>
      <c r="CEW136" s="271"/>
      <c r="CEX136" s="221"/>
      <c r="CEY136" s="221"/>
      <c r="CEZ136" s="221"/>
      <c r="CFA136" s="258"/>
      <c r="CFB136" s="270"/>
      <c r="CFC136" s="271"/>
      <c r="CFD136" s="271"/>
      <c r="CFE136" s="271"/>
      <c r="CFF136" s="221"/>
      <c r="CFG136" s="221"/>
      <c r="CFH136" s="221"/>
      <c r="CFI136" s="258"/>
      <c r="CFJ136" s="270"/>
      <c r="CFK136" s="271"/>
      <c r="CFL136" s="271"/>
      <c r="CFM136" s="271"/>
      <c r="CFN136" s="221"/>
      <c r="CFO136" s="221"/>
      <c r="CFP136" s="221"/>
      <c r="CFQ136" s="258"/>
      <c r="CFR136" s="270"/>
      <c r="CFS136" s="271"/>
      <c r="CFT136" s="271"/>
      <c r="CFU136" s="271"/>
      <c r="CFV136" s="221"/>
      <c r="CFW136" s="221"/>
      <c r="CFX136" s="221"/>
      <c r="CFY136" s="258"/>
      <c r="CFZ136" s="270"/>
      <c r="CGA136" s="271"/>
      <c r="CGB136" s="271"/>
      <c r="CGC136" s="271"/>
      <c r="CGD136" s="221"/>
      <c r="CGE136" s="221"/>
      <c r="CGF136" s="221"/>
      <c r="CGG136" s="258"/>
      <c r="CGH136" s="270"/>
      <c r="CGI136" s="271"/>
      <c r="CGJ136" s="271"/>
      <c r="CGK136" s="271"/>
      <c r="CGL136" s="221"/>
      <c r="CGM136" s="221"/>
      <c r="CGN136" s="221"/>
      <c r="CGO136" s="258"/>
      <c r="CGP136" s="270"/>
      <c r="CGQ136" s="271"/>
      <c r="CGR136" s="271"/>
      <c r="CGS136" s="271"/>
      <c r="CGT136" s="221"/>
      <c r="CGU136" s="221"/>
      <c r="CGV136" s="221"/>
      <c r="CGW136" s="258"/>
      <c r="CGX136" s="270"/>
      <c r="CGY136" s="271"/>
      <c r="CGZ136" s="271"/>
      <c r="CHA136" s="271"/>
      <c r="CHB136" s="221"/>
      <c r="CHC136" s="221"/>
      <c r="CHD136" s="221"/>
      <c r="CHE136" s="258"/>
      <c r="CHF136" s="270"/>
      <c r="CHG136" s="271"/>
      <c r="CHH136" s="271"/>
      <c r="CHI136" s="271"/>
      <c r="CHJ136" s="221"/>
      <c r="CHK136" s="221"/>
      <c r="CHL136" s="221"/>
      <c r="CHM136" s="258"/>
      <c r="CHN136" s="270"/>
      <c r="CHO136" s="271"/>
      <c r="CHP136" s="271"/>
      <c r="CHQ136" s="271"/>
      <c r="CHR136" s="221"/>
      <c r="CHS136" s="221"/>
      <c r="CHT136" s="221"/>
      <c r="CHU136" s="258"/>
      <c r="CHV136" s="270"/>
      <c r="CHW136" s="271"/>
      <c r="CHX136" s="271"/>
      <c r="CHY136" s="271"/>
      <c r="CHZ136" s="221"/>
      <c r="CIA136" s="221"/>
      <c r="CIB136" s="221"/>
      <c r="CIC136" s="258"/>
      <c r="CID136" s="270"/>
      <c r="CIE136" s="271"/>
      <c r="CIF136" s="271"/>
      <c r="CIG136" s="271"/>
      <c r="CIH136" s="221"/>
      <c r="CII136" s="221"/>
      <c r="CIJ136" s="221"/>
      <c r="CIK136" s="258"/>
      <c r="CIL136" s="270"/>
      <c r="CIM136" s="271"/>
      <c r="CIN136" s="271"/>
      <c r="CIO136" s="271"/>
      <c r="CIP136" s="221"/>
      <c r="CIQ136" s="221"/>
      <c r="CIR136" s="221"/>
      <c r="CIS136" s="258"/>
      <c r="CIT136" s="270"/>
      <c r="CIU136" s="271"/>
      <c r="CIV136" s="271"/>
      <c r="CIW136" s="271"/>
      <c r="CIX136" s="221"/>
      <c r="CIY136" s="221"/>
      <c r="CIZ136" s="221"/>
      <c r="CJA136" s="258"/>
      <c r="CJB136" s="270"/>
      <c r="CJC136" s="271"/>
      <c r="CJD136" s="271"/>
      <c r="CJE136" s="271"/>
      <c r="CJF136" s="221"/>
      <c r="CJG136" s="221"/>
      <c r="CJH136" s="221"/>
      <c r="CJI136" s="258"/>
      <c r="CJJ136" s="270"/>
      <c r="CJK136" s="271"/>
      <c r="CJL136" s="271"/>
      <c r="CJM136" s="271"/>
      <c r="CJN136" s="221"/>
      <c r="CJO136" s="221"/>
      <c r="CJP136" s="221"/>
      <c r="CJQ136" s="258"/>
      <c r="CJR136" s="270"/>
      <c r="CJS136" s="271"/>
      <c r="CJT136" s="271"/>
      <c r="CJU136" s="271"/>
      <c r="CJV136" s="221"/>
      <c r="CJW136" s="221"/>
      <c r="CJX136" s="221"/>
      <c r="CJY136" s="258"/>
      <c r="CJZ136" s="270"/>
      <c r="CKA136" s="271"/>
      <c r="CKB136" s="271"/>
      <c r="CKC136" s="271"/>
      <c r="CKD136" s="221"/>
      <c r="CKE136" s="221"/>
      <c r="CKF136" s="221"/>
      <c r="CKG136" s="258"/>
      <c r="CKH136" s="270"/>
      <c r="CKI136" s="271"/>
      <c r="CKJ136" s="271"/>
      <c r="CKK136" s="271"/>
      <c r="CKL136" s="221"/>
      <c r="CKM136" s="221"/>
      <c r="CKN136" s="221"/>
      <c r="CKO136" s="258"/>
      <c r="CKP136" s="270"/>
      <c r="CKQ136" s="271"/>
      <c r="CKR136" s="271"/>
      <c r="CKS136" s="271"/>
      <c r="CKT136" s="221"/>
      <c r="CKU136" s="221"/>
      <c r="CKV136" s="221"/>
      <c r="CKW136" s="258"/>
      <c r="CKX136" s="270"/>
      <c r="CKY136" s="271"/>
      <c r="CKZ136" s="271"/>
      <c r="CLA136" s="271"/>
      <c r="CLB136" s="221"/>
      <c r="CLC136" s="221"/>
      <c r="CLD136" s="221"/>
      <c r="CLE136" s="258"/>
      <c r="CLF136" s="270"/>
      <c r="CLG136" s="271"/>
      <c r="CLH136" s="271"/>
      <c r="CLI136" s="271"/>
      <c r="CLJ136" s="221"/>
      <c r="CLK136" s="221"/>
      <c r="CLL136" s="221"/>
      <c r="CLM136" s="258"/>
      <c r="CLN136" s="270"/>
      <c r="CLO136" s="271"/>
      <c r="CLP136" s="271"/>
      <c r="CLQ136" s="271"/>
      <c r="CLR136" s="221"/>
      <c r="CLS136" s="221"/>
      <c r="CLT136" s="221"/>
      <c r="CLU136" s="258"/>
      <c r="CLV136" s="270"/>
      <c r="CLW136" s="271"/>
      <c r="CLX136" s="271"/>
      <c r="CLY136" s="271"/>
      <c r="CLZ136" s="221"/>
      <c r="CMA136" s="221"/>
      <c r="CMB136" s="221"/>
      <c r="CMC136" s="258"/>
      <c r="CMD136" s="270"/>
      <c r="CME136" s="271"/>
      <c r="CMF136" s="271"/>
      <c r="CMG136" s="271"/>
      <c r="CMH136" s="221"/>
      <c r="CMI136" s="221"/>
      <c r="CMJ136" s="221"/>
      <c r="CMK136" s="258"/>
      <c r="CML136" s="270"/>
      <c r="CMM136" s="271"/>
      <c r="CMN136" s="271"/>
      <c r="CMO136" s="271"/>
      <c r="CMP136" s="221"/>
      <c r="CMQ136" s="221"/>
      <c r="CMR136" s="221"/>
      <c r="CMS136" s="258"/>
      <c r="CMT136" s="270"/>
      <c r="CMU136" s="271"/>
      <c r="CMV136" s="271"/>
      <c r="CMW136" s="271"/>
      <c r="CMX136" s="221"/>
      <c r="CMY136" s="221"/>
      <c r="CMZ136" s="221"/>
      <c r="CNA136" s="258"/>
      <c r="CNB136" s="270"/>
      <c r="CNC136" s="271"/>
      <c r="CND136" s="271"/>
      <c r="CNE136" s="271"/>
      <c r="CNF136" s="221"/>
      <c r="CNG136" s="221"/>
      <c r="CNH136" s="221"/>
      <c r="CNI136" s="258"/>
      <c r="CNJ136" s="270"/>
      <c r="CNK136" s="271"/>
      <c r="CNL136" s="271"/>
      <c r="CNM136" s="271"/>
      <c r="CNN136" s="221"/>
      <c r="CNO136" s="221"/>
      <c r="CNP136" s="221"/>
      <c r="CNQ136" s="258"/>
      <c r="CNR136" s="270"/>
      <c r="CNS136" s="271"/>
      <c r="CNT136" s="271"/>
      <c r="CNU136" s="271"/>
      <c r="CNV136" s="221"/>
      <c r="CNW136" s="221"/>
      <c r="CNX136" s="221"/>
      <c r="CNY136" s="258"/>
      <c r="CNZ136" s="270"/>
      <c r="COA136" s="271"/>
      <c r="COB136" s="271"/>
      <c r="COC136" s="271"/>
      <c r="COD136" s="221"/>
      <c r="COE136" s="221"/>
      <c r="COF136" s="221"/>
      <c r="COG136" s="258"/>
      <c r="COH136" s="270"/>
      <c r="COI136" s="271"/>
      <c r="COJ136" s="271"/>
      <c r="COK136" s="271"/>
      <c r="COL136" s="221"/>
      <c r="COM136" s="221"/>
      <c r="CON136" s="221"/>
      <c r="COO136" s="258"/>
      <c r="COP136" s="270"/>
      <c r="COQ136" s="271"/>
      <c r="COR136" s="271"/>
      <c r="COS136" s="271"/>
      <c r="COT136" s="221"/>
      <c r="COU136" s="221"/>
      <c r="COV136" s="221"/>
      <c r="COW136" s="258"/>
      <c r="COX136" s="270"/>
      <c r="COY136" s="271"/>
      <c r="COZ136" s="271"/>
      <c r="CPA136" s="271"/>
      <c r="CPB136" s="221"/>
      <c r="CPC136" s="221"/>
      <c r="CPD136" s="221"/>
      <c r="CPE136" s="258"/>
      <c r="CPF136" s="270"/>
      <c r="CPG136" s="271"/>
      <c r="CPH136" s="271"/>
      <c r="CPI136" s="271"/>
      <c r="CPJ136" s="221"/>
      <c r="CPK136" s="221"/>
      <c r="CPL136" s="221"/>
      <c r="CPM136" s="258"/>
      <c r="CPN136" s="270"/>
      <c r="CPO136" s="271"/>
      <c r="CPP136" s="271"/>
      <c r="CPQ136" s="271"/>
      <c r="CPR136" s="221"/>
      <c r="CPS136" s="221"/>
      <c r="CPT136" s="221"/>
      <c r="CPU136" s="258"/>
      <c r="CPV136" s="270"/>
      <c r="CPW136" s="271"/>
      <c r="CPX136" s="271"/>
      <c r="CPY136" s="271"/>
      <c r="CPZ136" s="221"/>
      <c r="CQA136" s="221"/>
      <c r="CQB136" s="221"/>
      <c r="CQC136" s="258"/>
      <c r="CQD136" s="270"/>
      <c r="CQE136" s="271"/>
      <c r="CQF136" s="271"/>
      <c r="CQG136" s="271"/>
      <c r="CQH136" s="221"/>
      <c r="CQI136" s="221"/>
      <c r="CQJ136" s="221"/>
      <c r="CQK136" s="258"/>
      <c r="CQL136" s="270"/>
      <c r="CQM136" s="271"/>
      <c r="CQN136" s="271"/>
      <c r="CQO136" s="271"/>
      <c r="CQP136" s="221"/>
      <c r="CQQ136" s="221"/>
      <c r="CQR136" s="221"/>
      <c r="CQS136" s="258"/>
      <c r="CQT136" s="270"/>
      <c r="CQU136" s="271"/>
      <c r="CQV136" s="271"/>
      <c r="CQW136" s="271"/>
      <c r="CQX136" s="221"/>
      <c r="CQY136" s="221"/>
      <c r="CQZ136" s="221"/>
      <c r="CRA136" s="258"/>
      <c r="CRB136" s="270"/>
      <c r="CRC136" s="271"/>
      <c r="CRD136" s="271"/>
      <c r="CRE136" s="271"/>
      <c r="CRF136" s="221"/>
      <c r="CRG136" s="221"/>
      <c r="CRH136" s="221"/>
      <c r="CRI136" s="258"/>
      <c r="CRJ136" s="270"/>
      <c r="CRK136" s="271"/>
      <c r="CRL136" s="271"/>
      <c r="CRM136" s="271"/>
      <c r="CRN136" s="221"/>
      <c r="CRO136" s="221"/>
      <c r="CRP136" s="221"/>
      <c r="CRQ136" s="258"/>
      <c r="CRR136" s="270"/>
      <c r="CRS136" s="271"/>
      <c r="CRT136" s="271"/>
      <c r="CRU136" s="271"/>
      <c r="CRV136" s="221"/>
      <c r="CRW136" s="221"/>
      <c r="CRX136" s="221"/>
      <c r="CRY136" s="258"/>
      <c r="CRZ136" s="270"/>
      <c r="CSA136" s="271"/>
      <c r="CSB136" s="271"/>
      <c r="CSC136" s="271"/>
      <c r="CSD136" s="221"/>
      <c r="CSE136" s="221"/>
      <c r="CSF136" s="221"/>
      <c r="CSG136" s="258"/>
      <c r="CSH136" s="270"/>
      <c r="CSI136" s="271"/>
      <c r="CSJ136" s="271"/>
      <c r="CSK136" s="271"/>
      <c r="CSL136" s="221"/>
      <c r="CSM136" s="221"/>
      <c r="CSN136" s="221"/>
      <c r="CSO136" s="258"/>
      <c r="CSP136" s="270"/>
      <c r="CSQ136" s="271"/>
      <c r="CSR136" s="271"/>
      <c r="CSS136" s="271"/>
      <c r="CST136" s="221"/>
      <c r="CSU136" s="221"/>
      <c r="CSV136" s="221"/>
      <c r="CSW136" s="258"/>
      <c r="CSX136" s="270"/>
      <c r="CSY136" s="271"/>
      <c r="CSZ136" s="271"/>
      <c r="CTA136" s="271"/>
      <c r="CTB136" s="221"/>
      <c r="CTC136" s="221"/>
      <c r="CTD136" s="221"/>
      <c r="CTE136" s="258"/>
      <c r="CTF136" s="270"/>
      <c r="CTG136" s="271"/>
      <c r="CTH136" s="271"/>
      <c r="CTI136" s="271"/>
      <c r="CTJ136" s="221"/>
      <c r="CTK136" s="221"/>
      <c r="CTL136" s="221"/>
      <c r="CTM136" s="258"/>
      <c r="CTN136" s="270"/>
      <c r="CTO136" s="271"/>
      <c r="CTP136" s="271"/>
      <c r="CTQ136" s="271"/>
      <c r="CTR136" s="221"/>
      <c r="CTS136" s="221"/>
      <c r="CTT136" s="221"/>
      <c r="CTU136" s="258"/>
      <c r="CTV136" s="270"/>
      <c r="CTW136" s="271"/>
      <c r="CTX136" s="271"/>
      <c r="CTY136" s="271"/>
      <c r="CTZ136" s="221"/>
      <c r="CUA136" s="221"/>
      <c r="CUB136" s="221"/>
      <c r="CUC136" s="258"/>
      <c r="CUD136" s="270"/>
      <c r="CUE136" s="271"/>
      <c r="CUF136" s="271"/>
      <c r="CUG136" s="271"/>
      <c r="CUH136" s="221"/>
      <c r="CUI136" s="221"/>
      <c r="CUJ136" s="221"/>
      <c r="CUK136" s="258"/>
      <c r="CUL136" s="270"/>
      <c r="CUM136" s="271"/>
      <c r="CUN136" s="271"/>
      <c r="CUO136" s="271"/>
      <c r="CUP136" s="221"/>
      <c r="CUQ136" s="221"/>
      <c r="CUR136" s="221"/>
      <c r="CUS136" s="258"/>
      <c r="CUT136" s="270"/>
      <c r="CUU136" s="271"/>
      <c r="CUV136" s="271"/>
      <c r="CUW136" s="271"/>
      <c r="CUX136" s="221"/>
      <c r="CUY136" s="221"/>
      <c r="CUZ136" s="221"/>
      <c r="CVA136" s="258"/>
      <c r="CVB136" s="270"/>
      <c r="CVC136" s="271"/>
      <c r="CVD136" s="271"/>
      <c r="CVE136" s="271"/>
      <c r="CVF136" s="221"/>
      <c r="CVG136" s="221"/>
      <c r="CVH136" s="221"/>
      <c r="CVI136" s="258"/>
      <c r="CVJ136" s="270"/>
      <c r="CVK136" s="271"/>
      <c r="CVL136" s="271"/>
      <c r="CVM136" s="271"/>
      <c r="CVN136" s="221"/>
      <c r="CVO136" s="221"/>
      <c r="CVP136" s="221"/>
      <c r="CVQ136" s="258"/>
      <c r="CVR136" s="270"/>
      <c r="CVS136" s="271"/>
      <c r="CVT136" s="271"/>
      <c r="CVU136" s="271"/>
      <c r="CVV136" s="221"/>
      <c r="CVW136" s="221"/>
      <c r="CVX136" s="221"/>
      <c r="CVY136" s="258"/>
      <c r="CVZ136" s="270"/>
      <c r="CWA136" s="271"/>
      <c r="CWB136" s="271"/>
      <c r="CWC136" s="271"/>
      <c r="CWD136" s="221"/>
      <c r="CWE136" s="221"/>
      <c r="CWF136" s="221"/>
      <c r="CWG136" s="258"/>
      <c r="CWH136" s="270"/>
      <c r="CWI136" s="271"/>
      <c r="CWJ136" s="271"/>
      <c r="CWK136" s="271"/>
      <c r="CWL136" s="221"/>
      <c r="CWM136" s="221"/>
      <c r="CWN136" s="221"/>
      <c r="CWO136" s="258"/>
      <c r="CWP136" s="270"/>
      <c r="CWQ136" s="271"/>
      <c r="CWR136" s="271"/>
      <c r="CWS136" s="271"/>
      <c r="CWT136" s="221"/>
      <c r="CWU136" s="221"/>
      <c r="CWV136" s="221"/>
      <c r="CWW136" s="258"/>
      <c r="CWX136" s="270"/>
      <c r="CWY136" s="271"/>
      <c r="CWZ136" s="271"/>
      <c r="CXA136" s="271"/>
      <c r="CXB136" s="221"/>
      <c r="CXC136" s="221"/>
      <c r="CXD136" s="221"/>
      <c r="CXE136" s="258"/>
      <c r="CXF136" s="270"/>
      <c r="CXG136" s="271"/>
      <c r="CXH136" s="271"/>
      <c r="CXI136" s="271"/>
      <c r="CXJ136" s="221"/>
      <c r="CXK136" s="221"/>
      <c r="CXL136" s="221"/>
      <c r="CXM136" s="258"/>
      <c r="CXN136" s="270"/>
      <c r="CXO136" s="271"/>
      <c r="CXP136" s="271"/>
      <c r="CXQ136" s="271"/>
      <c r="CXR136" s="221"/>
      <c r="CXS136" s="221"/>
      <c r="CXT136" s="221"/>
      <c r="CXU136" s="258"/>
      <c r="CXV136" s="270"/>
      <c r="CXW136" s="271"/>
      <c r="CXX136" s="271"/>
      <c r="CXY136" s="271"/>
      <c r="CXZ136" s="221"/>
      <c r="CYA136" s="221"/>
      <c r="CYB136" s="221"/>
      <c r="CYC136" s="258"/>
      <c r="CYD136" s="270"/>
      <c r="CYE136" s="271"/>
      <c r="CYF136" s="271"/>
      <c r="CYG136" s="271"/>
      <c r="CYH136" s="221"/>
      <c r="CYI136" s="221"/>
      <c r="CYJ136" s="221"/>
      <c r="CYK136" s="258"/>
      <c r="CYL136" s="270"/>
      <c r="CYM136" s="271"/>
      <c r="CYN136" s="271"/>
      <c r="CYO136" s="271"/>
      <c r="CYP136" s="221"/>
      <c r="CYQ136" s="221"/>
      <c r="CYR136" s="221"/>
      <c r="CYS136" s="258"/>
      <c r="CYT136" s="270"/>
      <c r="CYU136" s="271"/>
      <c r="CYV136" s="271"/>
      <c r="CYW136" s="271"/>
      <c r="CYX136" s="221"/>
      <c r="CYY136" s="221"/>
      <c r="CYZ136" s="221"/>
      <c r="CZA136" s="258"/>
      <c r="CZB136" s="270"/>
      <c r="CZC136" s="271"/>
      <c r="CZD136" s="271"/>
      <c r="CZE136" s="271"/>
      <c r="CZF136" s="221"/>
      <c r="CZG136" s="221"/>
      <c r="CZH136" s="221"/>
      <c r="CZI136" s="258"/>
      <c r="CZJ136" s="270"/>
      <c r="CZK136" s="271"/>
      <c r="CZL136" s="271"/>
      <c r="CZM136" s="271"/>
      <c r="CZN136" s="221"/>
      <c r="CZO136" s="221"/>
      <c r="CZP136" s="221"/>
      <c r="CZQ136" s="258"/>
      <c r="CZR136" s="270"/>
      <c r="CZS136" s="271"/>
      <c r="CZT136" s="271"/>
      <c r="CZU136" s="271"/>
      <c r="CZV136" s="221"/>
      <c r="CZW136" s="221"/>
      <c r="CZX136" s="221"/>
      <c r="CZY136" s="258"/>
      <c r="CZZ136" s="270"/>
      <c r="DAA136" s="271"/>
      <c r="DAB136" s="271"/>
      <c r="DAC136" s="271"/>
      <c r="DAD136" s="221"/>
      <c r="DAE136" s="221"/>
      <c r="DAF136" s="221"/>
      <c r="DAG136" s="258"/>
      <c r="DAH136" s="270"/>
      <c r="DAI136" s="271"/>
      <c r="DAJ136" s="271"/>
      <c r="DAK136" s="271"/>
      <c r="DAL136" s="221"/>
      <c r="DAM136" s="221"/>
      <c r="DAN136" s="221"/>
      <c r="DAO136" s="258"/>
      <c r="DAP136" s="270"/>
      <c r="DAQ136" s="271"/>
      <c r="DAR136" s="271"/>
      <c r="DAS136" s="271"/>
      <c r="DAT136" s="221"/>
      <c r="DAU136" s="221"/>
      <c r="DAV136" s="221"/>
      <c r="DAW136" s="258"/>
      <c r="DAX136" s="270"/>
      <c r="DAY136" s="271"/>
      <c r="DAZ136" s="271"/>
      <c r="DBA136" s="271"/>
      <c r="DBB136" s="221"/>
      <c r="DBC136" s="221"/>
      <c r="DBD136" s="221"/>
      <c r="DBE136" s="258"/>
      <c r="DBF136" s="270"/>
      <c r="DBG136" s="271"/>
      <c r="DBH136" s="271"/>
      <c r="DBI136" s="271"/>
      <c r="DBJ136" s="221"/>
      <c r="DBK136" s="221"/>
      <c r="DBL136" s="221"/>
      <c r="DBM136" s="258"/>
      <c r="DBN136" s="270"/>
      <c r="DBO136" s="271"/>
      <c r="DBP136" s="271"/>
      <c r="DBQ136" s="271"/>
      <c r="DBR136" s="221"/>
      <c r="DBS136" s="221"/>
      <c r="DBT136" s="221"/>
      <c r="DBU136" s="258"/>
      <c r="DBV136" s="270"/>
      <c r="DBW136" s="271"/>
      <c r="DBX136" s="271"/>
      <c r="DBY136" s="271"/>
      <c r="DBZ136" s="221"/>
      <c r="DCA136" s="221"/>
      <c r="DCB136" s="221"/>
      <c r="DCC136" s="258"/>
      <c r="DCD136" s="270"/>
      <c r="DCE136" s="271"/>
      <c r="DCF136" s="271"/>
      <c r="DCG136" s="271"/>
      <c r="DCH136" s="221"/>
      <c r="DCI136" s="221"/>
      <c r="DCJ136" s="221"/>
      <c r="DCK136" s="258"/>
      <c r="DCL136" s="270"/>
      <c r="DCM136" s="271"/>
      <c r="DCN136" s="271"/>
      <c r="DCO136" s="271"/>
      <c r="DCP136" s="221"/>
      <c r="DCQ136" s="221"/>
      <c r="DCR136" s="221"/>
      <c r="DCS136" s="258"/>
      <c r="DCT136" s="270"/>
      <c r="DCU136" s="271"/>
      <c r="DCV136" s="271"/>
      <c r="DCW136" s="271"/>
      <c r="DCX136" s="221"/>
      <c r="DCY136" s="221"/>
      <c r="DCZ136" s="221"/>
      <c r="DDA136" s="258"/>
      <c r="DDB136" s="270"/>
      <c r="DDC136" s="271"/>
      <c r="DDD136" s="271"/>
      <c r="DDE136" s="271"/>
      <c r="DDF136" s="221"/>
      <c r="DDG136" s="221"/>
      <c r="DDH136" s="221"/>
      <c r="DDI136" s="258"/>
      <c r="DDJ136" s="270"/>
      <c r="DDK136" s="271"/>
      <c r="DDL136" s="271"/>
      <c r="DDM136" s="271"/>
      <c r="DDN136" s="221"/>
      <c r="DDO136" s="221"/>
      <c r="DDP136" s="221"/>
      <c r="DDQ136" s="258"/>
      <c r="DDR136" s="270"/>
      <c r="DDS136" s="271"/>
      <c r="DDT136" s="271"/>
      <c r="DDU136" s="271"/>
      <c r="DDV136" s="221"/>
      <c r="DDW136" s="221"/>
      <c r="DDX136" s="221"/>
      <c r="DDY136" s="258"/>
      <c r="DDZ136" s="270"/>
      <c r="DEA136" s="271"/>
      <c r="DEB136" s="271"/>
      <c r="DEC136" s="271"/>
      <c r="DED136" s="221"/>
      <c r="DEE136" s="221"/>
      <c r="DEF136" s="221"/>
      <c r="DEG136" s="258"/>
      <c r="DEH136" s="270"/>
      <c r="DEI136" s="271"/>
      <c r="DEJ136" s="271"/>
      <c r="DEK136" s="271"/>
      <c r="DEL136" s="221"/>
      <c r="DEM136" s="221"/>
      <c r="DEN136" s="221"/>
      <c r="DEO136" s="258"/>
      <c r="DEP136" s="270"/>
      <c r="DEQ136" s="271"/>
      <c r="DER136" s="271"/>
      <c r="DES136" s="271"/>
      <c r="DET136" s="221"/>
      <c r="DEU136" s="221"/>
      <c r="DEV136" s="221"/>
      <c r="DEW136" s="258"/>
      <c r="DEX136" s="270"/>
      <c r="DEY136" s="271"/>
      <c r="DEZ136" s="271"/>
      <c r="DFA136" s="271"/>
      <c r="DFB136" s="221"/>
      <c r="DFC136" s="221"/>
      <c r="DFD136" s="221"/>
      <c r="DFE136" s="258"/>
      <c r="DFF136" s="270"/>
      <c r="DFG136" s="271"/>
      <c r="DFH136" s="271"/>
      <c r="DFI136" s="271"/>
      <c r="DFJ136" s="221"/>
      <c r="DFK136" s="221"/>
      <c r="DFL136" s="221"/>
      <c r="DFM136" s="258"/>
      <c r="DFN136" s="270"/>
      <c r="DFO136" s="271"/>
      <c r="DFP136" s="271"/>
      <c r="DFQ136" s="271"/>
      <c r="DFR136" s="221"/>
      <c r="DFS136" s="221"/>
      <c r="DFT136" s="221"/>
      <c r="DFU136" s="258"/>
      <c r="DFV136" s="270"/>
      <c r="DFW136" s="271"/>
      <c r="DFX136" s="271"/>
      <c r="DFY136" s="271"/>
      <c r="DFZ136" s="221"/>
      <c r="DGA136" s="221"/>
      <c r="DGB136" s="221"/>
      <c r="DGC136" s="258"/>
      <c r="DGD136" s="270"/>
      <c r="DGE136" s="271"/>
      <c r="DGF136" s="271"/>
      <c r="DGG136" s="271"/>
      <c r="DGH136" s="221"/>
      <c r="DGI136" s="221"/>
      <c r="DGJ136" s="221"/>
      <c r="DGK136" s="258"/>
      <c r="DGL136" s="270"/>
      <c r="DGM136" s="271"/>
      <c r="DGN136" s="271"/>
      <c r="DGO136" s="271"/>
      <c r="DGP136" s="221"/>
      <c r="DGQ136" s="221"/>
      <c r="DGR136" s="221"/>
      <c r="DGS136" s="258"/>
      <c r="DGT136" s="270"/>
      <c r="DGU136" s="271"/>
      <c r="DGV136" s="271"/>
      <c r="DGW136" s="271"/>
      <c r="DGX136" s="221"/>
      <c r="DGY136" s="221"/>
      <c r="DGZ136" s="221"/>
      <c r="DHA136" s="258"/>
      <c r="DHB136" s="270"/>
      <c r="DHC136" s="271"/>
      <c r="DHD136" s="271"/>
      <c r="DHE136" s="271"/>
      <c r="DHF136" s="221"/>
      <c r="DHG136" s="221"/>
      <c r="DHH136" s="221"/>
      <c r="DHI136" s="258"/>
      <c r="DHJ136" s="270"/>
      <c r="DHK136" s="271"/>
      <c r="DHL136" s="271"/>
      <c r="DHM136" s="271"/>
      <c r="DHN136" s="221"/>
      <c r="DHO136" s="221"/>
      <c r="DHP136" s="221"/>
      <c r="DHQ136" s="258"/>
      <c r="DHR136" s="270"/>
      <c r="DHS136" s="271"/>
      <c r="DHT136" s="271"/>
      <c r="DHU136" s="271"/>
      <c r="DHV136" s="221"/>
      <c r="DHW136" s="221"/>
      <c r="DHX136" s="221"/>
      <c r="DHY136" s="258"/>
      <c r="DHZ136" s="270"/>
      <c r="DIA136" s="271"/>
      <c r="DIB136" s="271"/>
      <c r="DIC136" s="271"/>
      <c r="DID136" s="221"/>
      <c r="DIE136" s="221"/>
      <c r="DIF136" s="221"/>
      <c r="DIG136" s="258"/>
      <c r="DIH136" s="270"/>
      <c r="DII136" s="271"/>
      <c r="DIJ136" s="271"/>
      <c r="DIK136" s="271"/>
      <c r="DIL136" s="221"/>
      <c r="DIM136" s="221"/>
      <c r="DIN136" s="221"/>
      <c r="DIO136" s="258"/>
      <c r="DIP136" s="270"/>
      <c r="DIQ136" s="271"/>
      <c r="DIR136" s="271"/>
      <c r="DIS136" s="271"/>
      <c r="DIT136" s="221"/>
      <c r="DIU136" s="221"/>
      <c r="DIV136" s="221"/>
      <c r="DIW136" s="258"/>
      <c r="DIX136" s="270"/>
      <c r="DIY136" s="271"/>
      <c r="DIZ136" s="271"/>
      <c r="DJA136" s="271"/>
      <c r="DJB136" s="221"/>
      <c r="DJC136" s="221"/>
      <c r="DJD136" s="221"/>
      <c r="DJE136" s="258"/>
      <c r="DJF136" s="270"/>
      <c r="DJG136" s="271"/>
      <c r="DJH136" s="271"/>
      <c r="DJI136" s="271"/>
      <c r="DJJ136" s="221"/>
      <c r="DJK136" s="221"/>
      <c r="DJL136" s="221"/>
      <c r="DJM136" s="258"/>
      <c r="DJN136" s="270"/>
      <c r="DJO136" s="271"/>
      <c r="DJP136" s="271"/>
      <c r="DJQ136" s="271"/>
      <c r="DJR136" s="221"/>
      <c r="DJS136" s="221"/>
      <c r="DJT136" s="221"/>
      <c r="DJU136" s="258"/>
      <c r="DJV136" s="270"/>
      <c r="DJW136" s="271"/>
      <c r="DJX136" s="271"/>
      <c r="DJY136" s="271"/>
      <c r="DJZ136" s="221"/>
      <c r="DKA136" s="221"/>
      <c r="DKB136" s="221"/>
      <c r="DKC136" s="258"/>
      <c r="DKD136" s="270"/>
      <c r="DKE136" s="271"/>
      <c r="DKF136" s="271"/>
      <c r="DKG136" s="271"/>
      <c r="DKH136" s="221"/>
      <c r="DKI136" s="221"/>
      <c r="DKJ136" s="221"/>
      <c r="DKK136" s="258"/>
      <c r="DKL136" s="270"/>
      <c r="DKM136" s="271"/>
      <c r="DKN136" s="271"/>
      <c r="DKO136" s="271"/>
      <c r="DKP136" s="221"/>
      <c r="DKQ136" s="221"/>
      <c r="DKR136" s="221"/>
      <c r="DKS136" s="258"/>
      <c r="DKT136" s="270"/>
      <c r="DKU136" s="271"/>
      <c r="DKV136" s="271"/>
      <c r="DKW136" s="271"/>
      <c r="DKX136" s="221"/>
      <c r="DKY136" s="221"/>
      <c r="DKZ136" s="221"/>
      <c r="DLA136" s="258"/>
      <c r="DLB136" s="270"/>
      <c r="DLC136" s="271"/>
      <c r="DLD136" s="271"/>
      <c r="DLE136" s="271"/>
      <c r="DLF136" s="221"/>
      <c r="DLG136" s="221"/>
      <c r="DLH136" s="221"/>
      <c r="DLI136" s="258"/>
      <c r="DLJ136" s="270"/>
      <c r="DLK136" s="271"/>
      <c r="DLL136" s="271"/>
      <c r="DLM136" s="271"/>
      <c r="DLN136" s="221"/>
      <c r="DLO136" s="221"/>
      <c r="DLP136" s="221"/>
      <c r="DLQ136" s="258"/>
      <c r="DLR136" s="270"/>
      <c r="DLS136" s="271"/>
      <c r="DLT136" s="271"/>
      <c r="DLU136" s="271"/>
      <c r="DLV136" s="221"/>
      <c r="DLW136" s="221"/>
      <c r="DLX136" s="221"/>
      <c r="DLY136" s="258"/>
      <c r="DLZ136" s="270"/>
      <c r="DMA136" s="271"/>
      <c r="DMB136" s="271"/>
      <c r="DMC136" s="271"/>
      <c r="DMD136" s="221"/>
      <c r="DME136" s="221"/>
      <c r="DMF136" s="221"/>
      <c r="DMG136" s="258"/>
      <c r="DMH136" s="270"/>
      <c r="DMI136" s="271"/>
      <c r="DMJ136" s="271"/>
      <c r="DMK136" s="271"/>
      <c r="DML136" s="221"/>
      <c r="DMM136" s="221"/>
      <c r="DMN136" s="221"/>
      <c r="DMO136" s="258"/>
      <c r="DMP136" s="270"/>
      <c r="DMQ136" s="271"/>
      <c r="DMR136" s="271"/>
      <c r="DMS136" s="271"/>
      <c r="DMT136" s="221"/>
      <c r="DMU136" s="221"/>
      <c r="DMV136" s="221"/>
      <c r="DMW136" s="258"/>
      <c r="DMX136" s="270"/>
      <c r="DMY136" s="271"/>
      <c r="DMZ136" s="271"/>
      <c r="DNA136" s="271"/>
      <c r="DNB136" s="221"/>
      <c r="DNC136" s="221"/>
      <c r="DND136" s="221"/>
      <c r="DNE136" s="258"/>
      <c r="DNF136" s="270"/>
      <c r="DNG136" s="271"/>
      <c r="DNH136" s="271"/>
      <c r="DNI136" s="271"/>
      <c r="DNJ136" s="221"/>
      <c r="DNK136" s="221"/>
      <c r="DNL136" s="221"/>
      <c r="DNM136" s="258"/>
      <c r="DNN136" s="270"/>
      <c r="DNO136" s="271"/>
      <c r="DNP136" s="271"/>
      <c r="DNQ136" s="271"/>
      <c r="DNR136" s="221"/>
      <c r="DNS136" s="221"/>
      <c r="DNT136" s="221"/>
      <c r="DNU136" s="258"/>
      <c r="DNV136" s="270"/>
      <c r="DNW136" s="271"/>
      <c r="DNX136" s="271"/>
      <c r="DNY136" s="271"/>
      <c r="DNZ136" s="221"/>
      <c r="DOA136" s="221"/>
      <c r="DOB136" s="221"/>
      <c r="DOC136" s="258"/>
      <c r="DOD136" s="270"/>
      <c r="DOE136" s="271"/>
      <c r="DOF136" s="271"/>
      <c r="DOG136" s="271"/>
      <c r="DOH136" s="221"/>
      <c r="DOI136" s="221"/>
      <c r="DOJ136" s="221"/>
      <c r="DOK136" s="258"/>
      <c r="DOL136" s="270"/>
      <c r="DOM136" s="271"/>
      <c r="DON136" s="271"/>
      <c r="DOO136" s="271"/>
      <c r="DOP136" s="221"/>
      <c r="DOQ136" s="221"/>
      <c r="DOR136" s="221"/>
      <c r="DOS136" s="258"/>
      <c r="DOT136" s="270"/>
      <c r="DOU136" s="271"/>
      <c r="DOV136" s="271"/>
      <c r="DOW136" s="271"/>
      <c r="DOX136" s="221"/>
      <c r="DOY136" s="221"/>
      <c r="DOZ136" s="221"/>
      <c r="DPA136" s="258"/>
      <c r="DPB136" s="270"/>
      <c r="DPC136" s="271"/>
      <c r="DPD136" s="271"/>
      <c r="DPE136" s="271"/>
      <c r="DPF136" s="221"/>
      <c r="DPG136" s="221"/>
      <c r="DPH136" s="221"/>
      <c r="DPI136" s="258"/>
      <c r="DPJ136" s="270"/>
      <c r="DPK136" s="271"/>
      <c r="DPL136" s="271"/>
      <c r="DPM136" s="271"/>
      <c r="DPN136" s="221"/>
      <c r="DPO136" s="221"/>
      <c r="DPP136" s="221"/>
      <c r="DPQ136" s="258"/>
      <c r="DPR136" s="270"/>
      <c r="DPS136" s="271"/>
      <c r="DPT136" s="271"/>
      <c r="DPU136" s="271"/>
      <c r="DPV136" s="221"/>
      <c r="DPW136" s="221"/>
      <c r="DPX136" s="221"/>
      <c r="DPY136" s="258"/>
      <c r="DPZ136" s="270"/>
      <c r="DQA136" s="271"/>
      <c r="DQB136" s="271"/>
      <c r="DQC136" s="271"/>
      <c r="DQD136" s="221"/>
      <c r="DQE136" s="221"/>
      <c r="DQF136" s="221"/>
      <c r="DQG136" s="258"/>
      <c r="DQH136" s="270"/>
      <c r="DQI136" s="271"/>
      <c r="DQJ136" s="271"/>
      <c r="DQK136" s="271"/>
      <c r="DQL136" s="221"/>
      <c r="DQM136" s="221"/>
      <c r="DQN136" s="221"/>
      <c r="DQO136" s="258"/>
      <c r="DQP136" s="270"/>
      <c r="DQQ136" s="271"/>
      <c r="DQR136" s="271"/>
      <c r="DQS136" s="271"/>
      <c r="DQT136" s="221"/>
      <c r="DQU136" s="221"/>
      <c r="DQV136" s="221"/>
      <c r="DQW136" s="258"/>
      <c r="DQX136" s="270"/>
      <c r="DQY136" s="271"/>
      <c r="DQZ136" s="271"/>
      <c r="DRA136" s="271"/>
      <c r="DRB136" s="221"/>
      <c r="DRC136" s="221"/>
      <c r="DRD136" s="221"/>
      <c r="DRE136" s="258"/>
      <c r="DRF136" s="270"/>
      <c r="DRG136" s="271"/>
      <c r="DRH136" s="271"/>
      <c r="DRI136" s="271"/>
      <c r="DRJ136" s="221"/>
      <c r="DRK136" s="221"/>
      <c r="DRL136" s="221"/>
      <c r="DRM136" s="258"/>
      <c r="DRN136" s="270"/>
      <c r="DRO136" s="271"/>
      <c r="DRP136" s="271"/>
      <c r="DRQ136" s="271"/>
      <c r="DRR136" s="221"/>
      <c r="DRS136" s="221"/>
      <c r="DRT136" s="221"/>
      <c r="DRU136" s="258"/>
      <c r="DRV136" s="270"/>
      <c r="DRW136" s="271"/>
      <c r="DRX136" s="271"/>
      <c r="DRY136" s="271"/>
      <c r="DRZ136" s="221"/>
      <c r="DSA136" s="221"/>
      <c r="DSB136" s="221"/>
      <c r="DSC136" s="258"/>
      <c r="DSD136" s="270"/>
      <c r="DSE136" s="271"/>
      <c r="DSF136" s="271"/>
      <c r="DSG136" s="271"/>
      <c r="DSH136" s="221"/>
      <c r="DSI136" s="221"/>
      <c r="DSJ136" s="221"/>
      <c r="DSK136" s="258"/>
      <c r="DSL136" s="270"/>
      <c r="DSM136" s="271"/>
      <c r="DSN136" s="271"/>
      <c r="DSO136" s="271"/>
      <c r="DSP136" s="221"/>
      <c r="DSQ136" s="221"/>
      <c r="DSR136" s="221"/>
      <c r="DSS136" s="258"/>
      <c r="DST136" s="270"/>
      <c r="DSU136" s="271"/>
      <c r="DSV136" s="271"/>
      <c r="DSW136" s="271"/>
      <c r="DSX136" s="221"/>
      <c r="DSY136" s="221"/>
      <c r="DSZ136" s="221"/>
      <c r="DTA136" s="258"/>
      <c r="DTB136" s="270"/>
      <c r="DTC136" s="271"/>
      <c r="DTD136" s="271"/>
      <c r="DTE136" s="271"/>
      <c r="DTF136" s="221"/>
      <c r="DTG136" s="221"/>
      <c r="DTH136" s="221"/>
      <c r="DTI136" s="258"/>
      <c r="DTJ136" s="270"/>
      <c r="DTK136" s="271"/>
      <c r="DTL136" s="271"/>
      <c r="DTM136" s="271"/>
      <c r="DTN136" s="221"/>
      <c r="DTO136" s="221"/>
      <c r="DTP136" s="221"/>
      <c r="DTQ136" s="258"/>
      <c r="DTR136" s="270"/>
      <c r="DTS136" s="271"/>
      <c r="DTT136" s="271"/>
      <c r="DTU136" s="271"/>
      <c r="DTV136" s="221"/>
      <c r="DTW136" s="221"/>
      <c r="DTX136" s="221"/>
      <c r="DTY136" s="258"/>
      <c r="DTZ136" s="270"/>
      <c r="DUA136" s="271"/>
      <c r="DUB136" s="271"/>
      <c r="DUC136" s="271"/>
      <c r="DUD136" s="221"/>
      <c r="DUE136" s="221"/>
      <c r="DUF136" s="221"/>
      <c r="DUG136" s="258"/>
      <c r="DUH136" s="270"/>
      <c r="DUI136" s="271"/>
      <c r="DUJ136" s="271"/>
      <c r="DUK136" s="271"/>
      <c r="DUL136" s="221"/>
      <c r="DUM136" s="221"/>
      <c r="DUN136" s="221"/>
      <c r="DUO136" s="258"/>
      <c r="DUP136" s="270"/>
      <c r="DUQ136" s="271"/>
      <c r="DUR136" s="271"/>
      <c r="DUS136" s="271"/>
      <c r="DUT136" s="221"/>
      <c r="DUU136" s="221"/>
      <c r="DUV136" s="221"/>
      <c r="DUW136" s="258"/>
      <c r="DUX136" s="270"/>
      <c r="DUY136" s="271"/>
      <c r="DUZ136" s="271"/>
      <c r="DVA136" s="271"/>
      <c r="DVB136" s="221"/>
      <c r="DVC136" s="221"/>
      <c r="DVD136" s="221"/>
      <c r="DVE136" s="258"/>
      <c r="DVF136" s="270"/>
      <c r="DVG136" s="271"/>
      <c r="DVH136" s="271"/>
      <c r="DVI136" s="271"/>
      <c r="DVJ136" s="221"/>
      <c r="DVK136" s="221"/>
      <c r="DVL136" s="221"/>
      <c r="DVM136" s="258"/>
      <c r="DVN136" s="270"/>
      <c r="DVO136" s="271"/>
      <c r="DVP136" s="271"/>
      <c r="DVQ136" s="271"/>
      <c r="DVR136" s="221"/>
      <c r="DVS136" s="221"/>
      <c r="DVT136" s="221"/>
      <c r="DVU136" s="258"/>
      <c r="DVV136" s="270"/>
      <c r="DVW136" s="271"/>
      <c r="DVX136" s="271"/>
      <c r="DVY136" s="271"/>
      <c r="DVZ136" s="221"/>
      <c r="DWA136" s="221"/>
      <c r="DWB136" s="221"/>
      <c r="DWC136" s="258"/>
      <c r="DWD136" s="270"/>
      <c r="DWE136" s="271"/>
      <c r="DWF136" s="271"/>
      <c r="DWG136" s="271"/>
      <c r="DWH136" s="221"/>
      <c r="DWI136" s="221"/>
      <c r="DWJ136" s="221"/>
      <c r="DWK136" s="258"/>
      <c r="DWL136" s="270"/>
      <c r="DWM136" s="271"/>
      <c r="DWN136" s="271"/>
      <c r="DWO136" s="271"/>
      <c r="DWP136" s="221"/>
      <c r="DWQ136" s="221"/>
      <c r="DWR136" s="221"/>
      <c r="DWS136" s="258"/>
      <c r="DWT136" s="270"/>
      <c r="DWU136" s="271"/>
      <c r="DWV136" s="271"/>
      <c r="DWW136" s="271"/>
      <c r="DWX136" s="221"/>
      <c r="DWY136" s="221"/>
      <c r="DWZ136" s="221"/>
      <c r="DXA136" s="258"/>
      <c r="DXB136" s="270"/>
      <c r="DXC136" s="271"/>
      <c r="DXD136" s="271"/>
      <c r="DXE136" s="271"/>
      <c r="DXF136" s="221"/>
      <c r="DXG136" s="221"/>
      <c r="DXH136" s="221"/>
      <c r="DXI136" s="258"/>
      <c r="DXJ136" s="270"/>
      <c r="DXK136" s="271"/>
      <c r="DXL136" s="271"/>
      <c r="DXM136" s="271"/>
      <c r="DXN136" s="221"/>
      <c r="DXO136" s="221"/>
      <c r="DXP136" s="221"/>
      <c r="DXQ136" s="258"/>
      <c r="DXR136" s="270"/>
      <c r="DXS136" s="271"/>
      <c r="DXT136" s="271"/>
      <c r="DXU136" s="271"/>
      <c r="DXV136" s="221"/>
      <c r="DXW136" s="221"/>
      <c r="DXX136" s="221"/>
      <c r="DXY136" s="258"/>
      <c r="DXZ136" s="270"/>
      <c r="DYA136" s="271"/>
      <c r="DYB136" s="271"/>
      <c r="DYC136" s="271"/>
      <c r="DYD136" s="221"/>
      <c r="DYE136" s="221"/>
      <c r="DYF136" s="221"/>
      <c r="DYG136" s="258"/>
      <c r="DYH136" s="270"/>
      <c r="DYI136" s="271"/>
      <c r="DYJ136" s="271"/>
      <c r="DYK136" s="271"/>
      <c r="DYL136" s="221"/>
      <c r="DYM136" s="221"/>
      <c r="DYN136" s="221"/>
      <c r="DYO136" s="258"/>
      <c r="DYP136" s="270"/>
      <c r="DYQ136" s="271"/>
      <c r="DYR136" s="271"/>
      <c r="DYS136" s="271"/>
      <c r="DYT136" s="221"/>
      <c r="DYU136" s="221"/>
      <c r="DYV136" s="221"/>
      <c r="DYW136" s="258"/>
      <c r="DYX136" s="270"/>
      <c r="DYY136" s="271"/>
      <c r="DYZ136" s="271"/>
      <c r="DZA136" s="271"/>
      <c r="DZB136" s="221"/>
      <c r="DZC136" s="221"/>
      <c r="DZD136" s="221"/>
      <c r="DZE136" s="258"/>
      <c r="DZF136" s="270"/>
      <c r="DZG136" s="271"/>
      <c r="DZH136" s="271"/>
      <c r="DZI136" s="271"/>
      <c r="DZJ136" s="221"/>
      <c r="DZK136" s="221"/>
      <c r="DZL136" s="221"/>
      <c r="DZM136" s="258"/>
      <c r="DZN136" s="270"/>
      <c r="DZO136" s="271"/>
      <c r="DZP136" s="271"/>
      <c r="DZQ136" s="271"/>
      <c r="DZR136" s="221"/>
      <c r="DZS136" s="221"/>
      <c r="DZT136" s="221"/>
      <c r="DZU136" s="258"/>
      <c r="DZV136" s="270"/>
      <c r="DZW136" s="271"/>
      <c r="DZX136" s="271"/>
      <c r="DZY136" s="271"/>
      <c r="DZZ136" s="221"/>
      <c r="EAA136" s="221"/>
      <c r="EAB136" s="221"/>
      <c r="EAC136" s="258"/>
      <c r="EAD136" s="270"/>
      <c r="EAE136" s="271"/>
      <c r="EAF136" s="271"/>
      <c r="EAG136" s="271"/>
      <c r="EAH136" s="221"/>
      <c r="EAI136" s="221"/>
      <c r="EAJ136" s="221"/>
      <c r="EAK136" s="258"/>
      <c r="EAL136" s="270"/>
      <c r="EAM136" s="271"/>
      <c r="EAN136" s="271"/>
      <c r="EAO136" s="271"/>
      <c r="EAP136" s="221"/>
      <c r="EAQ136" s="221"/>
      <c r="EAR136" s="221"/>
      <c r="EAS136" s="258"/>
      <c r="EAT136" s="270"/>
      <c r="EAU136" s="271"/>
      <c r="EAV136" s="271"/>
      <c r="EAW136" s="271"/>
      <c r="EAX136" s="221"/>
      <c r="EAY136" s="221"/>
      <c r="EAZ136" s="221"/>
      <c r="EBA136" s="258"/>
      <c r="EBB136" s="270"/>
      <c r="EBC136" s="271"/>
      <c r="EBD136" s="271"/>
      <c r="EBE136" s="271"/>
      <c r="EBF136" s="221"/>
      <c r="EBG136" s="221"/>
      <c r="EBH136" s="221"/>
      <c r="EBI136" s="258"/>
      <c r="EBJ136" s="270"/>
      <c r="EBK136" s="271"/>
      <c r="EBL136" s="271"/>
      <c r="EBM136" s="271"/>
      <c r="EBN136" s="221"/>
      <c r="EBO136" s="221"/>
      <c r="EBP136" s="221"/>
      <c r="EBQ136" s="258"/>
      <c r="EBR136" s="270"/>
      <c r="EBS136" s="271"/>
      <c r="EBT136" s="271"/>
      <c r="EBU136" s="271"/>
      <c r="EBV136" s="221"/>
      <c r="EBW136" s="221"/>
      <c r="EBX136" s="221"/>
      <c r="EBY136" s="258"/>
      <c r="EBZ136" s="270"/>
      <c r="ECA136" s="271"/>
      <c r="ECB136" s="271"/>
      <c r="ECC136" s="271"/>
      <c r="ECD136" s="221"/>
      <c r="ECE136" s="221"/>
      <c r="ECF136" s="221"/>
      <c r="ECG136" s="258"/>
      <c r="ECH136" s="270"/>
      <c r="ECI136" s="271"/>
      <c r="ECJ136" s="271"/>
      <c r="ECK136" s="271"/>
      <c r="ECL136" s="221"/>
      <c r="ECM136" s="221"/>
      <c r="ECN136" s="221"/>
      <c r="ECO136" s="258"/>
      <c r="ECP136" s="270"/>
      <c r="ECQ136" s="271"/>
      <c r="ECR136" s="271"/>
      <c r="ECS136" s="271"/>
      <c r="ECT136" s="221"/>
      <c r="ECU136" s="221"/>
      <c r="ECV136" s="221"/>
      <c r="ECW136" s="258"/>
      <c r="ECX136" s="270"/>
      <c r="ECY136" s="271"/>
      <c r="ECZ136" s="271"/>
      <c r="EDA136" s="271"/>
      <c r="EDB136" s="221"/>
      <c r="EDC136" s="221"/>
      <c r="EDD136" s="221"/>
      <c r="EDE136" s="258"/>
      <c r="EDF136" s="270"/>
      <c r="EDG136" s="271"/>
      <c r="EDH136" s="271"/>
      <c r="EDI136" s="271"/>
      <c r="EDJ136" s="221"/>
      <c r="EDK136" s="221"/>
      <c r="EDL136" s="221"/>
      <c r="EDM136" s="258"/>
      <c r="EDN136" s="270"/>
      <c r="EDO136" s="271"/>
      <c r="EDP136" s="271"/>
      <c r="EDQ136" s="271"/>
      <c r="EDR136" s="221"/>
      <c r="EDS136" s="221"/>
      <c r="EDT136" s="221"/>
      <c r="EDU136" s="258"/>
      <c r="EDV136" s="270"/>
      <c r="EDW136" s="271"/>
      <c r="EDX136" s="271"/>
      <c r="EDY136" s="271"/>
      <c r="EDZ136" s="221"/>
      <c r="EEA136" s="221"/>
      <c r="EEB136" s="221"/>
      <c r="EEC136" s="258"/>
      <c r="EED136" s="270"/>
      <c r="EEE136" s="271"/>
      <c r="EEF136" s="271"/>
      <c r="EEG136" s="271"/>
      <c r="EEH136" s="221"/>
      <c r="EEI136" s="221"/>
      <c r="EEJ136" s="221"/>
      <c r="EEK136" s="258"/>
      <c r="EEL136" s="270"/>
      <c r="EEM136" s="271"/>
      <c r="EEN136" s="271"/>
      <c r="EEO136" s="271"/>
      <c r="EEP136" s="221"/>
      <c r="EEQ136" s="221"/>
      <c r="EER136" s="221"/>
      <c r="EES136" s="258"/>
      <c r="EET136" s="270"/>
      <c r="EEU136" s="271"/>
      <c r="EEV136" s="271"/>
      <c r="EEW136" s="271"/>
      <c r="EEX136" s="221"/>
      <c r="EEY136" s="221"/>
      <c r="EEZ136" s="221"/>
      <c r="EFA136" s="258"/>
      <c r="EFB136" s="270"/>
      <c r="EFC136" s="271"/>
      <c r="EFD136" s="271"/>
      <c r="EFE136" s="271"/>
      <c r="EFF136" s="221"/>
      <c r="EFG136" s="221"/>
      <c r="EFH136" s="221"/>
      <c r="EFI136" s="258"/>
      <c r="EFJ136" s="270"/>
      <c r="EFK136" s="271"/>
      <c r="EFL136" s="271"/>
      <c r="EFM136" s="271"/>
      <c r="EFN136" s="221"/>
      <c r="EFO136" s="221"/>
      <c r="EFP136" s="221"/>
      <c r="EFQ136" s="258"/>
      <c r="EFR136" s="270"/>
      <c r="EFS136" s="271"/>
      <c r="EFT136" s="271"/>
      <c r="EFU136" s="271"/>
      <c r="EFV136" s="221"/>
      <c r="EFW136" s="221"/>
      <c r="EFX136" s="221"/>
      <c r="EFY136" s="258"/>
      <c r="EFZ136" s="270"/>
      <c r="EGA136" s="271"/>
      <c r="EGB136" s="271"/>
      <c r="EGC136" s="271"/>
      <c r="EGD136" s="221"/>
      <c r="EGE136" s="221"/>
      <c r="EGF136" s="221"/>
      <c r="EGG136" s="258"/>
      <c r="EGH136" s="270"/>
      <c r="EGI136" s="271"/>
      <c r="EGJ136" s="271"/>
      <c r="EGK136" s="271"/>
      <c r="EGL136" s="221"/>
      <c r="EGM136" s="221"/>
      <c r="EGN136" s="221"/>
      <c r="EGO136" s="258"/>
      <c r="EGP136" s="270"/>
      <c r="EGQ136" s="271"/>
      <c r="EGR136" s="271"/>
      <c r="EGS136" s="271"/>
      <c r="EGT136" s="221"/>
      <c r="EGU136" s="221"/>
      <c r="EGV136" s="221"/>
      <c r="EGW136" s="258"/>
      <c r="EGX136" s="270"/>
      <c r="EGY136" s="271"/>
      <c r="EGZ136" s="271"/>
      <c r="EHA136" s="271"/>
      <c r="EHB136" s="221"/>
      <c r="EHC136" s="221"/>
      <c r="EHD136" s="221"/>
      <c r="EHE136" s="258"/>
      <c r="EHF136" s="270"/>
      <c r="EHG136" s="271"/>
      <c r="EHH136" s="271"/>
      <c r="EHI136" s="271"/>
      <c r="EHJ136" s="221"/>
      <c r="EHK136" s="221"/>
      <c r="EHL136" s="221"/>
      <c r="EHM136" s="258"/>
      <c r="EHN136" s="270"/>
      <c r="EHO136" s="271"/>
      <c r="EHP136" s="271"/>
      <c r="EHQ136" s="271"/>
      <c r="EHR136" s="221"/>
      <c r="EHS136" s="221"/>
      <c r="EHT136" s="221"/>
      <c r="EHU136" s="258"/>
      <c r="EHV136" s="270"/>
      <c r="EHW136" s="271"/>
      <c r="EHX136" s="271"/>
      <c r="EHY136" s="271"/>
      <c r="EHZ136" s="221"/>
      <c r="EIA136" s="221"/>
      <c r="EIB136" s="221"/>
      <c r="EIC136" s="258"/>
      <c r="EID136" s="270"/>
      <c r="EIE136" s="271"/>
      <c r="EIF136" s="271"/>
      <c r="EIG136" s="271"/>
      <c r="EIH136" s="221"/>
      <c r="EII136" s="221"/>
      <c r="EIJ136" s="221"/>
      <c r="EIK136" s="258"/>
      <c r="EIL136" s="270"/>
      <c r="EIM136" s="271"/>
      <c r="EIN136" s="271"/>
      <c r="EIO136" s="271"/>
      <c r="EIP136" s="221"/>
      <c r="EIQ136" s="221"/>
      <c r="EIR136" s="221"/>
      <c r="EIS136" s="258"/>
      <c r="EIT136" s="270"/>
      <c r="EIU136" s="271"/>
      <c r="EIV136" s="271"/>
      <c r="EIW136" s="271"/>
      <c r="EIX136" s="221"/>
      <c r="EIY136" s="221"/>
      <c r="EIZ136" s="221"/>
      <c r="EJA136" s="258"/>
      <c r="EJB136" s="270"/>
      <c r="EJC136" s="271"/>
      <c r="EJD136" s="271"/>
      <c r="EJE136" s="271"/>
      <c r="EJF136" s="221"/>
      <c r="EJG136" s="221"/>
      <c r="EJH136" s="221"/>
      <c r="EJI136" s="258"/>
      <c r="EJJ136" s="270"/>
      <c r="EJK136" s="271"/>
      <c r="EJL136" s="271"/>
      <c r="EJM136" s="271"/>
      <c r="EJN136" s="221"/>
      <c r="EJO136" s="221"/>
      <c r="EJP136" s="221"/>
      <c r="EJQ136" s="258"/>
      <c r="EJR136" s="270"/>
      <c r="EJS136" s="271"/>
      <c r="EJT136" s="271"/>
      <c r="EJU136" s="271"/>
      <c r="EJV136" s="221"/>
      <c r="EJW136" s="221"/>
      <c r="EJX136" s="221"/>
      <c r="EJY136" s="258"/>
      <c r="EJZ136" s="270"/>
      <c r="EKA136" s="271"/>
      <c r="EKB136" s="271"/>
      <c r="EKC136" s="271"/>
      <c r="EKD136" s="221"/>
      <c r="EKE136" s="221"/>
      <c r="EKF136" s="221"/>
      <c r="EKG136" s="258"/>
      <c r="EKH136" s="270"/>
      <c r="EKI136" s="271"/>
      <c r="EKJ136" s="271"/>
      <c r="EKK136" s="271"/>
      <c r="EKL136" s="221"/>
      <c r="EKM136" s="221"/>
      <c r="EKN136" s="221"/>
      <c r="EKO136" s="258"/>
      <c r="EKP136" s="270"/>
      <c r="EKQ136" s="271"/>
      <c r="EKR136" s="271"/>
      <c r="EKS136" s="271"/>
      <c r="EKT136" s="221"/>
      <c r="EKU136" s="221"/>
      <c r="EKV136" s="221"/>
      <c r="EKW136" s="258"/>
      <c r="EKX136" s="270"/>
      <c r="EKY136" s="271"/>
      <c r="EKZ136" s="271"/>
      <c r="ELA136" s="271"/>
      <c r="ELB136" s="221"/>
      <c r="ELC136" s="221"/>
      <c r="ELD136" s="221"/>
      <c r="ELE136" s="258"/>
      <c r="ELF136" s="270"/>
      <c r="ELG136" s="271"/>
      <c r="ELH136" s="271"/>
      <c r="ELI136" s="271"/>
      <c r="ELJ136" s="221"/>
      <c r="ELK136" s="221"/>
      <c r="ELL136" s="221"/>
      <c r="ELM136" s="258"/>
      <c r="ELN136" s="270"/>
      <c r="ELO136" s="271"/>
      <c r="ELP136" s="271"/>
      <c r="ELQ136" s="271"/>
      <c r="ELR136" s="221"/>
      <c r="ELS136" s="221"/>
      <c r="ELT136" s="221"/>
      <c r="ELU136" s="258"/>
      <c r="ELV136" s="270"/>
      <c r="ELW136" s="271"/>
      <c r="ELX136" s="271"/>
      <c r="ELY136" s="271"/>
      <c r="ELZ136" s="221"/>
      <c r="EMA136" s="221"/>
      <c r="EMB136" s="221"/>
      <c r="EMC136" s="258"/>
      <c r="EMD136" s="270"/>
      <c r="EME136" s="271"/>
      <c r="EMF136" s="271"/>
      <c r="EMG136" s="271"/>
      <c r="EMH136" s="221"/>
      <c r="EMI136" s="221"/>
      <c r="EMJ136" s="221"/>
      <c r="EMK136" s="258"/>
      <c r="EML136" s="270"/>
      <c r="EMM136" s="271"/>
      <c r="EMN136" s="271"/>
      <c r="EMO136" s="271"/>
      <c r="EMP136" s="221"/>
      <c r="EMQ136" s="221"/>
      <c r="EMR136" s="221"/>
      <c r="EMS136" s="258"/>
      <c r="EMT136" s="270"/>
      <c r="EMU136" s="271"/>
      <c r="EMV136" s="271"/>
      <c r="EMW136" s="271"/>
      <c r="EMX136" s="221"/>
      <c r="EMY136" s="221"/>
      <c r="EMZ136" s="221"/>
      <c r="ENA136" s="258"/>
      <c r="ENB136" s="270"/>
      <c r="ENC136" s="271"/>
      <c r="END136" s="271"/>
      <c r="ENE136" s="271"/>
      <c r="ENF136" s="221"/>
      <c r="ENG136" s="221"/>
      <c r="ENH136" s="221"/>
      <c r="ENI136" s="258"/>
      <c r="ENJ136" s="270"/>
      <c r="ENK136" s="271"/>
      <c r="ENL136" s="271"/>
      <c r="ENM136" s="271"/>
      <c r="ENN136" s="221"/>
      <c r="ENO136" s="221"/>
      <c r="ENP136" s="221"/>
      <c r="ENQ136" s="258"/>
      <c r="ENR136" s="270"/>
      <c r="ENS136" s="271"/>
      <c r="ENT136" s="271"/>
      <c r="ENU136" s="271"/>
      <c r="ENV136" s="221"/>
      <c r="ENW136" s="221"/>
      <c r="ENX136" s="221"/>
      <c r="ENY136" s="258"/>
      <c r="ENZ136" s="270"/>
      <c r="EOA136" s="271"/>
      <c r="EOB136" s="271"/>
      <c r="EOC136" s="271"/>
      <c r="EOD136" s="221"/>
      <c r="EOE136" s="221"/>
      <c r="EOF136" s="221"/>
      <c r="EOG136" s="258"/>
      <c r="EOH136" s="270"/>
      <c r="EOI136" s="271"/>
      <c r="EOJ136" s="271"/>
      <c r="EOK136" s="271"/>
      <c r="EOL136" s="221"/>
      <c r="EOM136" s="221"/>
      <c r="EON136" s="221"/>
      <c r="EOO136" s="258"/>
      <c r="EOP136" s="270"/>
      <c r="EOQ136" s="271"/>
      <c r="EOR136" s="271"/>
      <c r="EOS136" s="271"/>
      <c r="EOT136" s="221"/>
      <c r="EOU136" s="221"/>
      <c r="EOV136" s="221"/>
      <c r="EOW136" s="258"/>
      <c r="EOX136" s="270"/>
      <c r="EOY136" s="271"/>
      <c r="EOZ136" s="271"/>
      <c r="EPA136" s="271"/>
      <c r="EPB136" s="221"/>
      <c r="EPC136" s="221"/>
      <c r="EPD136" s="221"/>
      <c r="EPE136" s="258"/>
      <c r="EPF136" s="270"/>
      <c r="EPG136" s="271"/>
      <c r="EPH136" s="271"/>
      <c r="EPI136" s="271"/>
      <c r="EPJ136" s="221"/>
      <c r="EPK136" s="221"/>
      <c r="EPL136" s="221"/>
      <c r="EPM136" s="258"/>
      <c r="EPN136" s="270"/>
      <c r="EPO136" s="271"/>
      <c r="EPP136" s="271"/>
      <c r="EPQ136" s="271"/>
      <c r="EPR136" s="221"/>
      <c r="EPS136" s="221"/>
      <c r="EPT136" s="221"/>
      <c r="EPU136" s="258"/>
      <c r="EPV136" s="270"/>
      <c r="EPW136" s="271"/>
      <c r="EPX136" s="271"/>
      <c r="EPY136" s="271"/>
      <c r="EPZ136" s="221"/>
      <c r="EQA136" s="221"/>
      <c r="EQB136" s="221"/>
      <c r="EQC136" s="258"/>
      <c r="EQD136" s="270"/>
      <c r="EQE136" s="271"/>
      <c r="EQF136" s="271"/>
      <c r="EQG136" s="271"/>
      <c r="EQH136" s="221"/>
      <c r="EQI136" s="221"/>
      <c r="EQJ136" s="221"/>
      <c r="EQK136" s="258"/>
      <c r="EQL136" s="270"/>
      <c r="EQM136" s="271"/>
      <c r="EQN136" s="271"/>
      <c r="EQO136" s="271"/>
      <c r="EQP136" s="221"/>
      <c r="EQQ136" s="221"/>
      <c r="EQR136" s="221"/>
      <c r="EQS136" s="258"/>
      <c r="EQT136" s="270"/>
      <c r="EQU136" s="271"/>
      <c r="EQV136" s="271"/>
      <c r="EQW136" s="271"/>
      <c r="EQX136" s="221"/>
      <c r="EQY136" s="221"/>
      <c r="EQZ136" s="221"/>
      <c r="ERA136" s="258"/>
      <c r="ERB136" s="270"/>
      <c r="ERC136" s="271"/>
      <c r="ERD136" s="271"/>
      <c r="ERE136" s="271"/>
      <c r="ERF136" s="221"/>
      <c r="ERG136" s="221"/>
      <c r="ERH136" s="221"/>
      <c r="ERI136" s="258"/>
      <c r="ERJ136" s="270"/>
      <c r="ERK136" s="271"/>
      <c r="ERL136" s="271"/>
      <c r="ERM136" s="271"/>
      <c r="ERN136" s="221"/>
      <c r="ERO136" s="221"/>
      <c r="ERP136" s="221"/>
      <c r="ERQ136" s="258"/>
      <c r="ERR136" s="270"/>
      <c r="ERS136" s="271"/>
      <c r="ERT136" s="271"/>
      <c r="ERU136" s="271"/>
      <c r="ERV136" s="221"/>
      <c r="ERW136" s="221"/>
      <c r="ERX136" s="221"/>
      <c r="ERY136" s="258"/>
      <c r="ERZ136" s="270"/>
      <c r="ESA136" s="271"/>
      <c r="ESB136" s="271"/>
      <c r="ESC136" s="271"/>
      <c r="ESD136" s="221"/>
      <c r="ESE136" s="221"/>
      <c r="ESF136" s="221"/>
      <c r="ESG136" s="258"/>
      <c r="ESH136" s="270"/>
      <c r="ESI136" s="271"/>
      <c r="ESJ136" s="271"/>
      <c r="ESK136" s="271"/>
      <c r="ESL136" s="221"/>
      <c r="ESM136" s="221"/>
      <c r="ESN136" s="221"/>
      <c r="ESO136" s="258"/>
      <c r="ESP136" s="270"/>
      <c r="ESQ136" s="271"/>
      <c r="ESR136" s="271"/>
      <c r="ESS136" s="271"/>
      <c r="EST136" s="221"/>
      <c r="ESU136" s="221"/>
      <c r="ESV136" s="221"/>
      <c r="ESW136" s="258"/>
      <c r="ESX136" s="270"/>
      <c r="ESY136" s="271"/>
      <c r="ESZ136" s="271"/>
      <c r="ETA136" s="271"/>
      <c r="ETB136" s="221"/>
      <c r="ETC136" s="221"/>
      <c r="ETD136" s="221"/>
      <c r="ETE136" s="258"/>
      <c r="ETF136" s="270"/>
      <c r="ETG136" s="271"/>
      <c r="ETH136" s="271"/>
      <c r="ETI136" s="271"/>
      <c r="ETJ136" s="221"/>
      <c r="ETK136" s="221"/>
      <c r="ETL136" s="221"/>
      <c r="ETM136" s="258"/>
      <c r="ETN136" s="270"/>
      <c r="ETO136" s="271"/>
      <c r="ETP136" s="271"/>
      <c r="ETQ136" s="271"/>
      <c r="ETR136" s="221"/>
      <c r="ETS136" s="221"/>
      <c r="ETT136" s="221"/>
      <c r="ETU136" s="258"/>
      <c r="ETV136" s="270"/>
      <c r="ETW136" s="271"/>
      <c r="ETX136" s="271"/>
      <c r="ETY136" s="271"/>
      <c r="ETZ136" s="221"/>
      <c r="EUA136" s="221"/>
      <c r="EUB136" s="221"/>
      <c r="EUC136" s="258"/>
      <c r="EUD136" s="270"/>
      <c r="EUE136" s="271"/>
      <c r="EUF136" s="271"/>
      <c r="EUG136" s="271"/>
      <c r="EUH136" s="221"/>
      <c r="EUI136" s="221"/>
      <c r="EUJ136" s="221"/>
      <c r="EUK136" s="258"/>
      <c r="EUL136" s="270"/>
      <c r="EUM136" s="271"/>
      <c r="EUN136" s="271"/>
      <c r="EUO136" s="271"/>
      <c r="EUP136" s="221"/>
      <c r="EUQ136" s="221"/>
      <c r="EUR136" s="221"/>
      <c r="EUS136" s="258"/>
      <c r="EUT136" s="270"/>
      <c r="EUU136" s="271"/>
      <c r="EUV136" s="271"/>
      <c r="EUW136" s="271"/>
      <c r="EUX136" s="221"/>
      <c r="EUY136" s="221"/>
      <c r="EUZ136" s="221"/>
      <c r="EVA136" s="258"/>
      <c r="EVB136" s="270"/>
      <c r="EVC136" s="271"/>
      <c r="EVD136" s="271"/>
      <c r="EVE136" s="271"/>
      <c r="EVF136" s="221"/>
      <c r="EVG136" s="221"/>
      <c r="EVH136" s="221"/>
      <c r="EVI136" s="258"/>
      <c r="EVJ136" s="270"/>
      <c r="EVK136" s="271"/>
      <c r="EVL136" s="271"/>
      <c r="EVM136" s="271"/>
      <c r="EVN136" s="221"/>
      <c r="EVO136" s="221"/>
      <c r="EVP136" s="221"/>
      <c r="EVQ136" s="258"/>
      <c r="EVR136" s="270"/>
      <c r="EVS136" s="271"/>
      <c r="EVT136" s="271"/>
      <c r="EVU136" s="271"/>
      <c r="EVV136" s="221"/>
      <c r="EVW136" s="221"/>
      <c r="EVX136" s="221"/>
      <c r="EVY136" s="258"/>
      <c r="EVZ136" s="270"/>
      <c r="EWA136" s="271"/>
      <c r="EWB136" s="271"/>
      <c r="EWC136" s="271"/>
      <c r="EWD136" s="221"/>
      <c r="EWE136" s="221"/>
      <c r="EWF136" s="221"/>
      <c r="EWG136" s="258"/>
      <c r="EWH136" s="270"/>
      <c r="EWI136" s="271"/>
      <c r="EWJ136" s="271"/>
      <c r="EWK136" s="271"/>
      <c r="EWL136" s="221"/>
      <c r="EWM136" s="221"/>
      <c r="EWN136" s="221"/>
      <c r="EWO136" s="258"/>
      <c r="EWP136" s="270"/>
      <c r="EWQ136" s="271"/>
      <c r="EWR136" s="271"/>
      <c r="EWS136" s="271"/>
      <c r="EWT136" s="221"/>
      <c r="EWU136" s="221"/>
      <c r="EWV136" s="221"/>
      <c r="EWW136" s="258"/>
      <c r="EWX136" s="270"/>
      <c r="EWY136" s="271"/>
      <c r="EWZ136" s="271"/>
      <c r="EXA136" s="271"/>
      <c r="EXB136" s="221"/>
      <c r="EXC136" s="221"/>
      <c r="EXD136" s="221"/>
      <c r="EXE136" s="258"/>
      <c r="EXF136" s="270"/>
      <c r="EXG136" s="271"/>
      <c r="EXH136" s="271"/>
      <c r="EXI136" s="271"/>
      <c r="EXJ136" s="221"/>
      <c r="EXK136" s="221"/>
      <c r="EXL136" s="221"/>
      <c r="EXM136" s="258"/>
      <c r="EXN136" s="270"/>
      <c r="EXO136" s="271"/>
      <c r="EXP136" s="271"/>
      <c r="EXQ136" s="271"/>
      <c r="EXR136" s="221"/>
      <c r="EXS136" s="221"/>
      <c r="EXT136" s="221"/>
      <c r="EXU136" s="258"/>
      <c r="EXV136" s="270"/>
      <c r="EXW136" s="271"/>
      <c r="EXX136" s="271"/>
      <c r="EXY136" s="271"/>
      <c r="EXZ136" s="221"/>
      <c r="EYA136" s="221"/>
      <c r="EYB136" s="221"/>
      <c r="EYC136" s="258"/>
      <c r="EYD136" s="270"/>
      <c r="EYE136" s="271"/>
      <c r="EYF136" s="271"/>
      <c r="EYG136" s="271"/>
      <c r="EYH136" s="221"/>
      <c r="EYI136" s="221"/>
      <c r="EYJ136" s="221"/>
      <c r="EYK136" s="258"/>
      <c r="EYL136" s="270"/>
      <c r="EYM136" s="271"/>
      <c r="EYN136" s="271"/>
      <c r="EYO136" s="271"/>
      <c r="EYP136" s="221"/>
      <c r="EYQ136" s="221"/>
      <c r="EYR136" s="221"/>
      <c r="EYS136" s="258"/>
      <c r="EYT136" s="270"/>
      <c r="EYU136" s="271"/>
      <c r="EYV136" s="271"/>
      <c r="EYW136" s="271"/>
      <c r="EYX136" s="221"/>
      <c r="EYY136" s="221"/>
      <c r="EYZ136" s="221"/>
      <c r="EZA136" s="258"/>
      <c r="EZB136" s="270"/>
      <c r="EZC136" s="271"/>
      <c r="EZD136" s="271"/>
      <c r="EZE136" s="271"/>
      <c r="EZF136" s="221"/>
      <c r="EZG136" s="221"/>
      <c r="EZH136" s="221"/>
      <c r="EZI136" s="258"/>
      <c r="EZJ136" s="270"/>
      <c r="EZK136" s="271"/>
      <c r="EZL136" s="271"/>
      <c r="EZM136" s="271"/>
      <c r="EZN136" s="221"/>
      <c r="EZO136" s="221"/>
      <c r="EZP136" s="221"/>
      <c r="EZQ136" s="258"/>
      <c r="EZR136" s="270"/>
      <c r="EZS136" s="271"/>
      <c r="EZT136" s="271"/>
      <c r="EZU136" s="271"/>
      <c r="EZV136" s="221"/>
      <c r="EZW136" s="221"/>
      <c r="EZX136" s="221"/>
      <c r="EZY136" s="258"/>
      <c r="EZZ136" s="270"/>
      <c r="FAA136" s="271"/>
      <c r="FAB136" s="271"/>
      <c r="FAC136" s="271"/>
      <c r="FAD136" s="221"/>
      <c r="FAE136" s="221"/>
      <c r="FAF136" s="221"/>
      <c r="FAG136" s="258"/>
      <c r="FAH136" s="270"/>
      <c r="FAI136" s="271"/>
      <c r="FAJ136" s="271"/>
      <c r="FAK136" s="271"/>
      <c r="FAL136" s="221"/>
      <c r="FAM136" s="221"/>
      <c r="FAN136" s="221"/>
      <c r="FAO136" s="258"/>
      <c r="FAP136" s="270"/>
      <c r="FAQ136" s="271"/>
      <c r="FAR136" s="271"/>
      <c r="FAS136" s="271"/>
      <c r="FAT136" s="221"/>
      <c r="FAU136" s="221"/>
      <c r="FAV136" s="221"/>
      <c r="FAW136" s="258"/>
      <c r="FAX136" s="270"/>
      <c r="FAY136" s="271"/>
      <c r="FAZ136" s="271"/>
      <c r="FBA136" s="271"/>
      <c r="FBB136" s="221"/>
      <c r="FBC136" s="221"/>
      <c r="FBD136" s="221"/>
      <c r="FBE136" s="258"/>
      <c r="FBF136" s="270"/>
      <c r="FBG136" s="271"/>
      <c r="FBH136" s="271"/>
      <c r="FBI136" s="271"/>
      <c r="FBJ136" s="221"/>
      <c r="FBK136" s="221"/>
      <c r="FBL136" s="221"/>
      <c r="FBM136" s="258"/>
      <c r="FBN136" s="270"/>
      <c r="FBO136" s="271"/>
      <c r="FBP136" s="271"/>
      <c r="FBQ136" s="271"/>
      <c r="FBR136" s="221"/>
      <c r="FBS136" s="221"/>
      <c r="FBT136" s="221"/>
      <c r="FBU136" s="258"/>
      <c r="FBV136" s="270"/>
      <c r="FBW136" s="271"/>
      <c r="FBX136" s="271"/>
      <c r="FBY136" s="271"/>
      <c r="FBZ136" s="221"/>
      <c r="FCA136" s="221"/>
      <c r="FCB136" s="221"/>
      <c r="FCC136" s="258"/>
      <c r="FCD136" s="270"/>
      <c r="FCE136" s="271"/>
      <c r="FCF136" s="271"/>
      <c r="FCG136" s="271"/>
      <c r="FCH136" s="221"/>
      <c r="FCI136" s="221"/>
      <c r="FCJ136" s="221"/>
      <c r="FCK136" s="258"/>
      <c r="FCL136" s="270"/>
      <c r="FCM136" s="271"/>
      <c r="FCN136" s="271"/>
      <c r="FCO136" s="271"/>
      <c r="FCP136" s="221"/>
      <c r="FCQ136" s="221"/>
      <c r="FCR136" s="221"/>
      <c r="FCS136" s="258"/>
      <c r="FCT136" s="270"/>
      <c r="FCU136" s="271"/>
      <c r="FCV136" s="271"/>
      <c r="FCW136" s="271"/>
      <c r="FCX136" s="221"/>
      <c r="FCY136" s="221"/>
      <c r="FCZ136" s="221"/>
      <c r="FDA136" s="258"/>
      <c r="FDB136" s="270"/>
      <c r="FDC136" s="271"/>
      <c r="FDD136" s="271"/>
      <c r="FDE136" s="271"/>
      <c r="FDF136" s="221"/>
      <c r="FDG136" s="221"/>
      <c r="FDH136" s="221"/>
      <c r="FDI136" s="258"/>
      <c r="FDJ136" s="270"/>
      <c r="FDK136" s="271"/>
      <c r="FDL136" s="271"/>
      <c r="FDM136" s="271"/>
      <c r="FDN136" s="221"/>
      <c r="FDO136" s="221"/>
      <c r="FDP136" s="221"/>
      <c r="FDQ136" s="258"/>
      <c r="FDR136" s="270"/>
      <c r="FDS136" s="271"/>
      <c r="FDT136" s="271"/>
      <c r="FDU136" s="271"/>
      <c r="FDV136" s="221"/>
      <c r="FDW136" s="221"/>
      <c r="FDX136" s="221"/>
      <c r="FDY136" s="258"/>
      <c r="FDZ136" s="270"/>
      <c r="FEA136" s="271"/>
      <c r="FEB136" s="271"/>
      <c r="FEC136" s="271"/>
      <c r="FED136" s="221"/>
      <c r="FEE136" s="221"/>
      <c r="FEF136" s="221"/>
      <c r="FEG136" s="258"/>
      <c r="FEH136" s="270"/>
      <c r="FEI136" s="271"/>
      <c r="FEJ136" s="271"/>
      <c r="FEK136" s="271"/>
      <c r="FEL136" s="221"/>
      <c r="FEM136" s="221"/>
      <c r="FEN136" s="221"/>
      <c r="FEO136" s="258"/>
      <c r="FEP136" s="270"/>
      <c r="FEQ136" s="271"/>
      <c r="FER136" s="271"/>
      <c r="FES136" s="271"/>
      <c r="FET136" s="221"/>
      <c r="FEU136" s="221"/>
      <c r="FEV136" s="221"/>
      <c r="FEW136" s="258"/>
      <c r="FEX136" s="270"/>
      <c r="FEY136" s="271"/>
      <c r="FEZ136" s="271"/>
      <c r="FFA136" s="271"/>
      <c r="FFB136" s="221"/>
      <c r="FFC136" s="221"/>
      <c r="FFD136" s="221"/>
      <c r="FFE136" s="258"/>
      <c r="FFF136" s="270"/>
      <c r="FFG136" s="271"/>
      <c r="FFH136" s="271"/>
      <c r="FFI136" s="271"/>
      <c r="FFJ136" s="221"/>
      <c r="FFK136" s="221"/>
      <c r="FFL136" s="221"/>
      <c r="FFM136" s="258"/>
      <c r="FFN136" s="270"/>
      <c r="FFO136" s="271"/>
      <c r="FFP136" s="271"/>
      <c r="FFQ136" s="271"/>
      <c r="FFR136" s="221"/>
      <c r="FFS136" s="221"/>
      <c r="FFT136" s="221"/>
      <c r="FFU136" s="258"/>
      <c r="FFV136" s="270"/>
      <c r="FFW136" s="271"/>
      <c r="FFX136" s="271"/>
      <c r="FFY136" s="271"/>
      <c r="FFZ136" s="221"/>
      <c r="FGA136" s="221"/>
      <c r="FGB136" s="221"/>
      <c r="FGC136" s="258"/>
      <c r="FGD136" s="270"/>
      <c r="FGE136" s="271"/>
      <c r="FGF136" s="271"/>
      <c r="FGG136" s="271"/>
      <c r="FGH136" s="221"/>
      <c r="FGI136" s="221"/>
      <c r="FGJ136" s="221"/>
      <c r="FGK136" s="258"/>
      <c r="FGL136" s="270"/>
      <c r="FGM136" s="271"/>
      <c r="FGN136" s="271"/>
      <c r="FGO136" s="271"/>
      <c r="FGP136" s="221"/>
      <c r="FGQ136" s="221"/>
      <c r="FGR136" s="221"/>
      <c r="FGS136" s="258"/>
      <c r="FGT136" s="270"/>
      <c r="FGU136" s="271"/>
      <c r="FGV136" s="271"/>
      <c r="FGW136" s="271"/>
      <c r="FGX136" s="221"/>
      <c r="FGY136" s="221"/>
      <c r="FGZ136" s="221"/>
      <c r="FHA136" s="258"/>
      <c r="FHB136" s="270"/>
      <c r="FHC136" s="271"/>
      <c r="FHD136" s="271"/>
      <c r="FHE136" s="271"/>
      <c r="FHF136" s="221"/>
      <c r="FHG136" s="221"/>
      <c r="FHH136" s="221"/>
      <c r="FHI136" s="258"/>
      <c r="FHJ136" s="270"/>
      <c r="FHK136" s="271"/>
      <c r="FHL136" s="271"/>
      <c r="FHM136" s="271"/>
      <c r="FHN136" s="221"/>
      <c r="FHO136" s="221"/>
      <c r="FHP136" s="221"/>
      <c r="FHQ136" s="258"/>
      <c r="FHR136" s="270"/>
      <c r="FHS136" s="271"/>
      <c r="FHT136" s="271"/>
      <c r="FHU136" s="271"/>
      <c r="FHV136" s="221"/>
      <c r="FHW136" s="221"/>
      <c r="FHX136" s="221"/>
      <c r="FHY136" s="258"/>
      <c r="FHZ136" s="270"/>
      <c r="FIA136" s="271"/>
      <c r="FIB136" s="271"/>
      <c r="FIC136" s="271"/>
      <c r="FID136" s="221"/>
      <c r="FIE136" s="221"/>
      <c r="FIF136" s="221"/>
      <c r="FIG136" s="258"/>
      <c r="FIH136" s="270"/>
      <c r="FII136" s="271"/>
      <c r="FIJ136" s="271"/>
      <c r="FIK136" s="271"/>
      <c r="FIL136" s="221"/>
      <c r="FIM136" s="221"/>
      <c r="FIN136" s="221"/>
      <c r="FIO136" s="258"/>
      <c r="FIP136" s="270"/>
      <c r="FIQ136" s="271"/>
      <c r="FIR136" s="271"/>
      <c r="FIS136" s="271"/>
      <c r="FIT136" s="221"/>
      <c r="FIU136" s="221"/>
      <c r="FIV136" s="221"/>
      <c r="FIW136" s="258"/>
      <c r="FIX136" s="270"/>
      <c r="FIY136" s="271"/>
      <c r="FIZ136" s="271"/>
      <c r="FJA136" s="271"/>
      <c r="FJB136" s="221"/>
      <c r="FJC136" s="221"/>
      <c r="FJD136" s="221"/>
      <c r="FJE136" s="258"/>
      <c r="FJF136" s="270"/>
      <c r="FJG136" s="271"/>
      <c r="FJH136" s="271"/>
      <c r="FJI136" s="271"/>
      <c r="FJJ136" s="221"/>
      <c r="FJK136" s="221"/>
      <c r="FJL136" s="221"/>
      <c r="FJM136" s="258"/>
      <c r="FJN136" s="270"/>
      <c r="FJO136" s="271"/>
      <c r="FJP136" s="271"/>
      <c r="FJQ136" s="271"/>
      <c r="FJR136" s="221"/>
      <c r="FJS136" s="221"/>
      <c r="FJT136" s="221"/>
      <c r="FJU136" s="258"/>
      <c r="FJV136" s="270"/>
      <c r="FJW136" s="271"/>
      <c r="FJX136" s="271"/>
      <c r="FJY136" s="271"/>
      <c r="FJZ136" s="221"/>
      <c r="FKA136" s="221"/>
      <c r="FKB136" s="221"/>
      <c r="FKC136" s="258"/>
      <c r="FKD136" s="270"/>
      <c r="FKE136" s="271"/>
      <c r="FKF136" s="271"/>
      <c r="FKG136" s="271"/>
      <c r="FKH136" s="221"/>
      <c r="FKI136" s="221"/>
      <c r="FKJ136" s="221"/>
      <c r="FKK136" s="258"/>
      <c r="FKL136" s="270"/>
      <c r="FKM136" s="271"/>
      <c r="FKN136" s="271"/>
      <c r="FKO136" s="271"/>
      <c r="FKP136" s="221"/>
      <c r="FKQ136" s="221"/>
      <c r="FKR136" s="221"/>
      <c r="FKS136" s="258"/>
      <c r="FKT136" s="270"/>
      <c r="FKU136" s="271"/>
      <c r="FKV136" s="271"/>
      <c r="FKW136" s="271"/>
      <c r="FKX136" s="221"/>
      <c r="FKY136" s="221"/>
      <c r="FKZ136" s="221"/>
      <c r="FLA136" s="258"/>
      <c r="FLB136" s="270"/>
      <c r="FLC136" s="271"/>
      <c r="FLD136" s="271"/>
      <c r="FLE136" s="271"/>
      <c r="FLF136" s="221"/>
      <c r="FLG136" s="221"/>
      <c r="FLH136" s="221"/>
      <c r="FLI136" s="258"/>
      <c r="FLJ136" s="270"/>
      <c r="FLK136" s="271"/>
      <c r="FLL136" s="271"/>
      <c r="FLM136" s="271"/>
      <c r="FLN136" s="221"/>
      <c r="FLO136" s="221"/>
      <c r="FLP136" s="221"/>
      <c r="FLQ136" s="258"/>
      <c r="FLR136" s="270"/>
      <c r="FLS136" s="271"/>
      <c r="FLT136" s="271"/>
      <c r="FLU136" s="271"/>
      <c r="FLV136" s="221"/>
      <c r="FLW136" s="221"/>
      <c r="FLX136" s="221"/>
      <c r="FLY136" s="258"/>
      <c r="FLZ136" s="270"/>
      <c r="FMA136" s="271"/>
      <c r="FMB136" s="271"/>
      <c r="FMC136" s="271"/>
      <c r="FMD136" s="221"/>
      <c r="FME136" s="221"/>
      <c r="FMF136" s="221"/>
      <c r="FMG136" s="258"/>
      <c r="FMH136" s="270"/>
      <c r="FMI136" s="271"/>
      <c r="FMJ136" s="271"/>
      <c r="FMK136" s="271"/>
      <c r="FML136" s="221"/>
      <c r="FMM136" s="221"/>
      <c r="FMN136" s="221"/>
      <c r="FMO136" s="258"/>
      <c r="FMP136" s="270"/>
      <c r="FMQ136" s="271"/>
      <c r="FMR136" s="271"/>
      <c r="FMS136" s="271"/>
      <c r="FMT136" s="221"/>
      <c r="FMU136" s="221"/>
      <c r="FMV136" s="221"/>
      <c r="FMW136" s="258"/>
      <c r="FMX136" s="270"/>
      <c r="FMY136" s="271"/>
      <c r="FMZ136" s="271"/>
      <c r="FNA136" s="271"/>
      <c r="FNB136" s="221"/>
      <c r="FNC136" s="221"/>
      <c r="FND136" s="221"/>
      <c r="FNE136" s="258"/>
      <c r="FNF136" s="270"/>
      <c r="FNG136" s="271"/>
      <c r="FNH136" s="271"/>
      <c r="FNI136" s="271"/>
      <c r="FNJ136" s="221"/>
      <c r="FNK136" s="221"/>
      <c r="FNL136" s="221"/>
      <c r="FNM136" s="258"/>
      <c r="FNN136" s="270"/>
      <c r="FNO136" s="271"/>
      <c r="FNP136" s="271"/>
      <c r="FNQ136" s="271"/>
      <c r="FNR136" s="221"/>
      <c r="FNS136" s="221"/>
      <c r="FNT136" s="221"/>
      <c r="FNU136" s="258"/>
      <c r="FNV136" s="270"/>
      <c r="FNW136" s="271"/>
      <c r="FNX136" s="271"/>
      <c r="FNY136" s="271"/>
      <c r="FNZ136" s="221"/>
      <c r="FOA136" s="221"/>
      <c r="FOB136" s="221"/>
      <c r="FOC136" s="258"/>
      <c r="FOD136" s="270"/>
      <c r="FOE136" s="271"/>
      <c r="FOF136" s="271"/>
      <c r="FOG136" s="271"/>
      <c r="FOH136" s="221"/>
      <c r="FOI136" s="221"/>
      <c r="FOJ136" s="221"/>
      <c r="FOK136" s="258"/>
      <c r="FOL136" s="270"/>
      <c r="FOM136" s="271"/>
      <c r="FON136" s="271"/>
      <c r="FOO136" s="271"/>
      <c r="FOP136" s="221"/>
      <c r="FOQ136" s="221"/>
      <c r="FOR136" s="221"/>
      <c r="FOS136" s="258"/>
      <c r="FOT136" s="270"/>
      <c r="FOU136" s="271"/>
      <c r="FOV136" s="271"/>
      <c r="FOW136" s="271"/>
      <c r="FOX136" s="221"/>
      <c r="FOY136" s="221"/>
      <c r="FOZ136" s="221"/>
      <c r="FPA136" s="258"/>
      <c r="FPB136" s="270"/>
      <c r="FPC136" s="271"/>
      <c r="FPD136" s="271"/>
      <c r="FPE136" s="271"/>
      <c r="FPF136" s="221"/>
      <c r="FPG136" s="221"/>
      <c r="FPH136" s="221"/>
      <c r="FPI136" s="258"/>
      <c r="FPJ136" s="270"/>
      <c r="FPK136" s="271"/>
      <c r="FPL136" s="271"/>
      <c r="FPM136" s="271"/>
      <c r="FPN136" s="221"/>
      <c r="FPO136" s="221"/>
      <c r="FPP136" s="221"/>
      <c r="FPQ136" s="258"/>
      <c r="FPR136" s="270"/>
      <c r="FPS136" s="271"/>
      <c r="FPT136" s="271"/>
      <c r="FPU136" s="271"/>
      <c r="FPV136" s="221"/>
      <c r="FPW136" s="221"/>
      <c r="FPX136" s="221"/>
      <c r="FPY136" s="258"/>
      <c r="FPZ136" s="270"/>
      <c r="FQA136" s="271"/>
      <c r="FQB136" s="271"/>
      <c r="FQC136" s="271"/>
      <c r="FQD136" s="221"/>
      <c r="FQE136" s="221"/>
      <c r="FQF136" s="221"/>
      <c r="FQG136" s="258"/>
      <c r="FQH136" s="270"/>
      <c r="FQI136" s="271"/>
      <c r="FQJ136" s="271"/>
      <c r="FQK136" s="271"/>
      <c r="FQL136" s="221"/>
      <c r="FQM136" s="221"/>
      <c r="FQN136" s="221"/>
      <c r="FQO136" s="258"/>
      <c r="FQP136" s="270"/>
      <c r="FQQ136" s="271"/>
      <c r="FQR136" s="271"/>
      <c r="FQS136" s="271"/>
      <c r="FQT136" s="221"/>
      <c r="FQU136" s="221"/>
      <c r="FQV136" s="221"/>
      <c r="FQW136" s="258"/>
      <c r="FQX136" s="270"/>
      <c r="FQY136" s="271"/>
      <c r="FQZ136" s="271"/>
      <c r="FRA136" s="271"/>
      <c r="FRB136" s="221"/>
      <c r="FRC136" s="221"/>
      <c r="FRD136" s="221"/>
      <c r="FRE136" s="258"/>
      <c r="FRF136" s="270"/>
      <c r="FRG136" s="271"/>
      <c r="FRH136" s="271"/>
      <c r="FRI136" s="271"/>
      <c r="FRJ136" s="221"/>
      <c r="FRK136" s="221"/>
      <c r="FRL136" s="221"/>
      <c r="FRM136" s="258"/>
      <c r="FRN136" s="270"/>
      <c r="FRO136" s="271"/>
      <c r="FRP136" s="271"/>
      <c r="FRQ136" s="271"/>
      <c r="FRR136" s="221"/>
      <c r="FRS136" s="221"/>
      <c r="FRT136" s="221"/>
      <c r="FRU136" s="258"/>
      <c r="FRV136" s="270"/>
      <c r="FRW136" s="271"/>
      <c r="FRX136" s="271"/>
      <c r="FRY136" s="271"/>
      <c r="FRZ136" s="221"/>
      <c r="FSA136" s="221"/>
      <c r="FSB136" s="221"/>
      <c r="FSC136" s="258"/>
      <c r="FSD136" s="270"/>
      <c r="FSE136" s="271"/>
      <c r="FSF136" s="271"/>
      <c r="FSG136" s="271"/>
      <c r="FSH136" s="221"/>
      <c r="FSI136" s="221"/>
      <c r="FSJ136" s="221"/>
      <c r="FSK136" s="258"/>
      <c r="FSL136" s="270"/>
      <c r="FSM136" s="271"/>
      <c r="FSN136" s="271"/>
      <c r="FSO136" s="271"/>
      <c r="FSP136" s="221"/>
      <c r="FSQ136" s="221"/>
      <c r="FSR136" s="221"/>
      <c r="FSS136" s="258"/>
      <c r="FST136" s="270"/>
      <c r="FSU136" s="271"/>
      <c r="FSV136" s="271"/>
      <c r="FSW136" s="271"/>
      <c r="FSX136" s="221"/>
      <c r="FSY136" s="221"/>
      <c r="FSZ136" s="221"/>
      <c r="FTA136" s="258"/>
      <c r="FTB136" s="270"/>
      <c r="FTC136" s="271"/>
      <c r="FTD136" s="271"/>
      <c r="FTE136" s="271"/>
      <c r="FTF136" s="221"/>
      <c r="FTG136" s="221"/>
      <c r="FTH136" s="221"/>
      <c r="FTI136" s="258"/>
      <c r="FTJ136" s="270"/>
      <c r="FTK136" s="271"/>
      <c r="FTL136" s="271"/>
      <c r="FTM136" s="271"/>
      <c r="FTN136" s="221"/>
      <c r="FTO136" s="221"/>
      <c r="FTP136" s="221"/>
      <c r="FTQ136" s="258"/>
      <c r="FTR136" s="270"/>
      <c r="FTS136" s="271"/>
      <c r="FTT136" s="271"/>
      <c r="FTU136" s="271"/>
      <c r="FTV136" s="221"/>
      <c r="FTW136" s="221"/>
      <c r="FTX136" s="221"/>
      <c r="FTY136" s="258"/>
      <c r="FTZ136" s="270"/>
      <c r="FUA136" s="271"/>
      <c r="FUB136" s="271"/>
      <c r="FUC136" s="271"/>
      <c r="FUD136" s="221"/>
      <c r="FUE136" s="221"/>
      <c r="FUF136" s="221"/>
      <c r="FUG136" s="258"/>
      <c r="FUH136" s="270"/>
      <c r="FUI136" s="271"/>
      <c r="FUJ136" s="271"/>
      <c r="FUK136" s="271"/>
      <c r="FUL136" s="221"/>
      <c r="FUM136" s="221"/>
      <c r="FUN136" s="221"/>
      <c r="FUO136" s="258"/>
      <c r="FUP136" s="270"/>
      <c r="FUQ136" s="271"/>
      <c r="FUR136" s="271"/>
      <c r="FUS136" s="271"/>
      <c r="FUT136" s="221"/>
      <c r="FUU136" s="221"/>
      <c r="FUV136" s="221"/>
      <c r="FUW136" s="258"/>
      <c r="FUX136" s="270"/>
      <c r="FUY136" s="271"/>
      <c r="FUZ136" s="271"/>
      <c r="FVA136" s="271"/>
      <c r="FVB136" s="221"/>
      <c r="FVC136" s="221"/>
      <c r="FVD136" s="221"/>
      <c r="FVE136" s="258"/>
      <c r="FVF136" s="270"/>
      <c r="FVG136" s="271"/>
      <c r="FVH136" s="271"/>
      <c r="FVI136" s="271"/>
      <c r="FVJ136" s="221"/>
      <c r="FVK136" s="221"/>
      <c r="FVL136" s="221"/>
      <c r="FVM136" s="258"/>
      <c r="FVN136" s="270"/>
      <c r="FVO136" s="271"/>
      <c r="FVP136" s="271"/>
      <c r="FVQ136" s="271"/>
      <c r="FVR136" s="221"/>
      <c r="FVS136" s="221"/>
      <c r="FVT136" s="221"/>
      <c r="FVU136" s="258"/>
      <c r="FVV136" s="270"/>
      <c r="FVW136" s="271"/>
      <c r="FVX136" s="271"/>
      <c r="FVY136" s="271"/>
      <c r="FVZ136" s="221"/>
      <c r="FWA136" s="221"/>
      <c r="FWB136" s="221"/>
      <c r="FWC136" s="258"/>
      <c r="FWD136" s="270"/>
      <c r="FWE136" s="271"/>
      <c r="FWF136" s="271"/>
      <c r="FWG136" s="271"/>
      <c r="FWH136" s="221"/>
      <c r="FWI136" s="221"/>
      <c r="FWJ136" s="221"/>
      <c r="FWK136" s="258"/>
      <c r="FWL136" s="270"/>
      <c r="FWM136" s="271"/>
      <c r="FWN136" s="271"/>
      <c r="FWO136" s="271"/>
      <c r="FWP136" s="221"/>
      <c r="FWQ136" s="221"/>
      <c r="FWR136" s="221"/>
      <c r="FWS136" s="258"/>
      <c r="FWT136" s="270"/>
      <c r="FWU136" s="271"/>
      <c r="FWV136" s="271"/>
      <c r="FWW136" s="271"/>
      <c r="FWX136" s="221"/>
      <c r="FWY136" s="221"/>
      <c r="FWZ136" s="221"/>
      <c r="FXA136" s="258"/>
      <c r="FXB136" s="270"/>
      <c r="FXC136" s="271"/>
      <c r="FXD136" s="271"/>
      <c r="FXE136" s="271"/>
      <c r="FXF136" s="221"/>
      <c r="FXG136" s="221"/>
      <c r="FXH136" s="221"/>
      <c r="FXI136" s="258"/>
      <c r="FXJ136" s="270"/>
      <c r="FXK136" s="271"/>
      <c r="FXL136" s="271"/>
      <c r="FXM136" s="271"/>
      <c r="FXN136" s="221"/>
      <c r="FXO136" s="221"/>
      <c r="FXP136" s="221"/>
      <c r="FXQ136" s="258"/>
      <c r="FXR136" s="270"/>
      <c r="FXS136" s="271"/>
      <c r="FXT136" s="271"/>
      <c r="FXU136" s="271"/>
      <c r="FXV136" s="221"/>
      <c r="FXW136" s="221"/>
      <c r="FXX136" s="221"/>
      <c r="FXY136" s="258"/>
      <c r="FXZ136" s="270"/>
      <c r="FYA136" s="271"/>
      <c r="FYB136" s="271"/>
      <c r="FYC136" s="271"/>
      <c r="FYD136" s="221"/>
      <c r="FYE136" s="221"/>
      <c r="FYF136" s="221"/>
      <c r="FYG136" s="258"/>
      <c r="FYH136" s="270"/>
      <c r="FYI136" s="271"/>
      <c r="FYJ136" s="271"/>
      <c r="FYK136" s="271"/>
      <c r="FYL136" s="221"/>
      <c r="FYM136" s="221"/>
      <c r="FYN136" s="221"/>
      <c r="FYO136" s="258"/>
      <c r="FYP136" s="270"/>
      <c r="FYQ136" s="271"/>
      <c r="FYR136" s="271"/>
      <c r="FYS136" s="271"/>
      <c r="FYT136" s="221"/>
      <c r="FYU136" s="221"/>
      <c r="FYV136" s="221"/>
      <c r="FYW136" s="258"/>
      <c r="FYX136" s="270"/>
      <c r="FYY136" s="271"/>
      <c r="FYZ136" s="271"/>
      <c r="FZA136" s="271"/>
      <c r="FZB136" s="221"/>
      <c r="FZC136" s="221"/>
      <c r="FZD136" s="221"/>
      <c r="FZE136" s="258"/>
      <c r="FZF136" s="270"/>
      <c r="FZG136" s="271"/>
      <c r="FZH136" s="271"/>
      <c r="FZI136" s="271"/>
      <c r="FZJ136" s="221"/>
      <c r="FZK136" s="221"/>
      <c r="FZL136" s="221"/>
      <c r="FZM136" s="258"/>
      <c r="FZN136" s="270"/>
      <c r="FZO136" s="271"/>
      <c r="FZP136" s="271"/>
      <c r="FZQ136" s="271"/>
      <c r="FZR136" s="221"/>
      <c r="FZS136" s="221"/>
      <c r="FZT136" s="221"/>
      <c r="FZU136" s="258"/>
      <c r="FZV136" s="270"/>
      <c r="FZW136" s="271"/>
      <c r="FZX136" s="271"/>
      <c r="FZY136" s="271"/>
      <c r="FZZ136" s="221"/>
      <c r="GAA136" s="221"/>
      <c r="GAB136" s="221"/>
      <c r="GAC136" s="258"/>
      <c r="GAD136" s="270"/>
      <c r="GAE136" s="271"/>
      <c r="GAF136" s="271"/>
      <c r="GAG136" s="271"/>
      <c r="GAH136" s="221"/>
      <c r="GAI136" s="221"/>
      <c r="GAJ136" s="221"/>
      <c r="GAK136" s="258"/>
      <c r="GAL136" s="270"/>
      <c r="GAM136" s="271"/>
      <c r="GAN136" s="271"/>
      <c r="GAO136" s="271"/>
      <c r="GAP136" s="221"/>
      <c r="GAQ136" s="221"/>
      <c r="GAR136" s="221"/>
      <c r="GAS136" s="258"/>
      <c r="GAT136" s="270"/>
      <c r="GAU136" s="271"/>
      <c r="GAV136" s="271"/>
      <c r="GAW136" s="271"/>
      <c r="GAX136" s="221"/>
      <c r="GAY136" s="221"/>
      <c r="GAZ136" s="221"/>
      <c r="GBA136" s="258"/>
      <c r="GBB136" s="270"/>
      <c r="GBC136" s="271"/>
      <c r="GBD136" s="271"/>
      <c r="GBE136" s="271"/>
      <c r="GBF136" s="221"/>
      <c r="GBG136" s="221"/>
      <c r="GBH136" s="221"/>
      <c r="GBI136" s="258"/>
      <c r="GBJ136" s="270"/>
      <c r="GBK136" s="271"/>
      <c r="GBL136" s="271"/>
      <c r="GBM136" s="271"/>
      <c r="GBN136" s="221"/>
      <c r="GBO136" s="221"/>
      <c r="GBP136" s="221"/>
      <c r="GBQ136" s="258"/>
      <c r="GBR136" s="270"/>
      <c r="GBS136" s="271"/>
      <c r="GBT136" s="271"/>
      <c r="GBU136" s="271"/>
      <c r="GBV136" s="221"/>
      <c r="GBW136" s="221"/>
      <c r="GBX136" s="221"/>
      <c r="GBY136" s="258"/>
      <c r="GBZ136" s="270"/>
      <c r="GCA136" s="271"/>
      <c r="GCB136" s="271"/>
      <c r="GCC136" s="271"/>
      <c r="GCD136" s="221"/>
      <c r="GCE136" s="221"/>
      <c r="GCF136" s="221"/>
      <c r="GCG136" s="258"/>
      <c r="GCH136" s="270"/>
      <c r="GCI136" s="271"/>
      <c r="GCJ136" s="271"/>
      <c r="GCK136" s="271"/>
      <c r="GCL136" s="221"/>
      <c r="GCM136" s="221"/>
      <c r="GCN136" s="221"/>
      <c r="GCO136" s="258"/>
      <c r="GCP136" s="270"/>
      <c r="GCQ136" s="271"/>
      <c r="GCR136" s="271"/>
      <c r="GCS136" s="271"/>
      <c r="GCT136" s="221"/>
      <c r="GCU136" s="221"/>
      <c r="GCV136" s="221"/>
      <c r="GCW136" s="258"/>
      <c r="GCX136" s="270"/>
      <c r="GCY136" s="271"/>
      <c r="GCZ136" s="271"/>
      <c r="GDA136" s="271"/>
      <c r="GDB136" s="221"/>
      <c r="GDC136" s="221"/>
      <c r="GDD136" s="221"/>
      <c r="GDE136" s="258"/>
      <c r="GDF136" s="270"/>
      <c r="GDG136" s="271"/>
      <c r="GDH136" s="271"/>
      <c r="GDI136" s="271"/>
      <c r="GDJ136" s="221"/>
      <c r="GDK136" s="221"/>
      <c r="GDL136" s="221"/>
      <c r="GDM136" s="258"/>
      <c r="GDN136" s="270"/>
      <c r="GDO136" s="271"/>
      <c r="GDP136" s="271"/>
      <c r="GDQ136" s="271"/>
      <c r="GDR136" s="221"/>
      <c r="GDS136" s="221"/>
      <c r="GDT136" s="221"/>
      <c r="GDU136" s="258"/>
      <c r="GDV136" s="270"/>
      <c r="GDW136" s="271"/>
      <c r="GDX136" s="271"/>
      <c r="GDY136" s="271"/>
      <c r="GDZ136" s="221"/>
      <c r="GEA136" s="221"/>
      <c r="GEB136" s="221"/>
      <c r="GEC136" s="258"/>
      <c r="GED136" s="270"/>
      <c r="GEE136" s="271"/>
      <c r="GEF136" s="271"/>
      <c r="GEG136" s="271"/>
      <c r="GEH136" s="221"/>
      <c r="GEI136" s="221"/>
      <c r="GEJ136" s="221"/>
      <c r="GEK136" s="258"/>
      <c r="GEL136" s="270"/>
      <c r="GEM136" s="271"/>
      <c r="GEN136" s="271"/>
      <c r="GEO136" s="271"/>
      <c r="GEP136" s="221"/>
      <c r="GEQ136" s="221"/>
      <c r="GER136" s="221"/>
      <c r="GES136" s="258"/>
      <c r="GET136" s="270"/>
      <c r="GEU136" s="271"/>
      <c r="GEV136" s="271"/>
      <c r="GEW136" s="271"/>
      <c r="GEX136" s="221"/>
      <c r="GEY136" s="221"/>
      <c r="GEZ136" s="221"/>
      <c r="GFA136" s="258"/>
      <c r="GFB136" s="270"/>
      <c r="GFC136" s="271"/>
      <c r="GFD136" s="271"/>
      <c r="GFE136" s="271"/>
      <c r="GFF136" s="221"/>
      <c r="GFG136" s="221"/>
      <c r="GFH136" s="221"/>
      <c r="GFI136" s="258"/>
      <c r="GFJ136" s="270"/>
      <c r="GFK136" s="271"/>
      <c r="GFL136" s="271"/>
      <c r="GFM136" s="271"/>
      <c r="GFN136" s="221"/>
      <c r="GFO136" s="221"/>
      <c r="GFP136" s="221"/>
      <c r="GFQ136" s="258"/>
      <c r="GFR136" s="270"/>
      <c r="GFS136" s="271"/>
      <c r="GFT136" s="271"/>
      <c r="GFU136" s="271"/>
      <c r="GFV136" s="221"/>
      <c r="GFW136" s="221"/>
      <c r="GFX136" s="221"/>
      <c r="GFY136" s="258"/>
      <c r="GFZ136" s="270"/>
      <c r="GGA136" s="271"/>
      <c r="GGB136" s="271"/>
      <c r="GGC136" s="271"/>
      <c r="GGD136" s="221"/>
      <c r="GGE136" s="221"/>
      <c r="GGF136" s="221"/>
      <c r="GGG136" s="258"/>
      <c r="GGH136" s="270"/>
      <c r="GGI136" s="271"/>
      <c r="GGJ136" s="271"/>
      <c r="GGK136" s="271"/>
      <c r="GGL136" s="221"/>
      <c r="GGM136" s="221"/>
      <c r="GGN136" s="221"/>
      <c r="GGO136" s="258"/>
      <c r="GGP136" s="270"/>
      <c r="GGQ136" s="271"/>
      <c r="GGR136" s="271"/>
      <c r="GGS136" s="271"/>
      <c r="GGT136" s="221"/>
      <c r="GGU136" s="221"/>
      <c r="GGV136" s="221"/>
      <c r="GGW136" s="258"/>
      <c r="GGX136" s="270"/>
      <c r="GGY136" s="271"/>
      <c r="GGZ136" s="271"/>
      <c r="GHA136" s="271"/>
      <c r="GHB136" s="221"/>
      <c r="GHC136" s="221"/>
      <c r="GHD136" s="221"/>
      <c r="GHE136" s="258"/>
      <c r="GHF136" s="270"/>
      <c r="GHG136" s="271"/>
      <c r="GHH136" s="271"/>
      <c r="GHI136" s="271"/>
      <c r="GHJ136" s="221"/>
      <c r="GHK136" s="221"/>
      <c r="GHL136" s="221"/>
      <c r="GHM136" s="258"/>
      <c r="GHN136" s="270"/>
      <c r="GHO136" s="271"/>
      <c r="GHP136" s="271"/>
      <c r="GHQ136" s="271"/>
      <c r="GHR136" s="221"/>
      <c r="GHS136" s="221"/>
      <c r="GHT136" s="221"/>
      <c r="GHU136" s="258"/>
      <c r="GHV136" s="270"/>
      <c r="GHW136" s="271"/>
      <c r="GHX136" s="271"/>
      <c r="GHY136" s="271"/>
      <c r="GHZ136" s="221"/>
      <c r="GIA136" s="221"/>
      <c r="GIB136" s="221"/>
      <c r="GIC136" s="258"/>
      <c r="GID136" s="270"/>
      <c r="GIE136" s="271"/>
      <c r="GIF136" s="271"/>
      <c r="GIG136" s="271"/>
      <c r="GIH136" s="221"/>
      <c r="GII136" s="221"/>
      <c r="GIJ136" s="221"/>
      <c r="GIK136" s="258"/>
      <c r="GIL136" s="270"/>
      <c r="GIM136" s="271"/>
      <c r="GIN136" s="271"/>
      <c r="GIO136" s="271"/>
      <c r="GIP136" s="221"/>
      <c r="GIQ136" s="221"/>
      <c r="GIR136" s="221"/>
      <c r="GIS136" s="258"/>
      <c r="GIT136" s="270"/>
      <c r="GIU136" s="271"/>
      <c r="GIV136" s="271"/>
      <c r="GIW136" s="271"/>
      <c r="GIX136" s="221"/>
      <c r="GIY136" s="221"/>
      <c r="GIZ136" s="221"/>
      <c r="GJA136" s="258"/>
      <c r="GJB136" s="270"/>
      <c r="GJC136" s="271"/>
      <c r="GJD136" s="271"/>
      <c r="GJE136" s="271"/>
      <c r="GJF136" s="221"/>
      <c r="GJG136" s="221"/>
      <c r="GJH136" s="221"/>
      <c r="GJI136" s="258"/>
      <c r="GJJ136" s="270"/>
      <c r="GJK136" s="271"/>
      <c r="GJL136" s="271"/>
      <c r="GJM136" s="271"/>
      <c r="GJN136" s="221"/>
      <c r="GJO136" s="221"/>
      <c r="GJP136" s="221"/>
      <c r="GJQ136" s="258"/>
      <c r="GJR136" s="270"/>
      <c r="GJS136" s="271"/>
      <c r="GJT136" s="271"/>
      <c r="GJU136" s="271"/>
      <c r="GJV136" s="221"/>
      <c r="GJW136" s="221"/>
      <c r="GJX136" s="221"/>
      <c r="GJY136" s="258"/>
      <c r="GJZ136" s="270"/>
      <c r="GKA136" s="271"/>
      <c r="GKB136" s="271"/>
      <c r="GKC136" s="271"/>
      <c r="GKD136" s="221"/>
      <c r="GKE136" s="221"/>
      <c r="GKF136" s="221"/>
      <c r="GKG136" s="258"/>
      <c r="GKH136" s="270"/>
      <c r="GKI136" s="271"/>
      <c r="GKJ136" s="271"/>
      <c r="GKK136" s="271"/>
      <c r="GKL136" s="221"/>
      <c r="GKM136" s="221"/>
      <c r="GKN136" s="221"/>
      <c r="GKO136" s="258"/>
      <c r="GKP136" s="270"/>
      <c r="GKQ136" s="271"/>
      <c r="GKR136" s="271"/>
      <c r="GKS136" s="271"/>
      <c r="GKT136" s="221"/>
      <c r="GKU136" s="221"/>
      <c r="GKV136" s="221"/>
      <c r="GKW136" s="258"/>
      <c r="GKX136" s="270"/>
      <c r="GKY136" s="271"/>
      <c r="GKZ136" s="271"/>
      <c r="GLA136" s="271"/>
      <c r="GLB136" s="221"/>
      <c r="GLC136" s="221"/>
      <c r="GLD136" s="221"/>
      <c r="GLE136" s="258"/>
      <c r="GLF136" s="270"/>
      <c r="GLG136" s="271"/>
      <c r="GLH136" s="271"/>
      <c r="GLI136" s="271"/>
      <c r="GLJ136" s="221"/>
      <c r="GLK136" s="221"/>
      <c r="GLL136" s="221"/>
      <c r="GLM136" s="258"/>
      <c r="GLN136" s="270"/>
      <c r="GLO136" s="271"/>
      <c r="GLP136" s="271"/>
      <c r="GLQ136" s="271"/>
      <c r="GLR136" s="221"/>
      <c r="GLS136" s="221"/>
      <c r="GLT136" s="221"/>
      <c r="GLU136" s="258"/>
      <c r="GLV136" s="270"/>
      <c r="GLW136" s="271"/>
      <c r="GLX136" s="271"/>
      <c r="GLY136" s="271"/>
      <c r="GLZ136" s="221"/>
      <c r="GMA136" s="221"/>
      <c r="GMB136" s="221"/>
      <c r="GMC136" s="258"/>
      <c r="GMD136" s="270"/>
      <c r="GME136" s="271"/>
      <c r="GMF136" s="271"/>
      <c r="GMG136" s="271"/>
      <c r="GMH136" s="221"/>
      <c r="GMI136" s="221"/>
      <c r="GMJ136" s="221"/>
      <c r="GMK136" s="258"/>
      <c r="GML136" s="270"/>
      <c r="GMM136" s="271"/>
      <c r="GMN136" s="271"/>
      <c r="GMO136" s="271"/>
      <c r="GMP136" s="221"/>
      <c r="GMQ136" s="221"/>
      <c r="GMR136" s="221"/>
      <c r="GMS136" s="258"/>
      <c r="GMT136" s="270"/>
      <c r="GMU136" s="271"/>
      <c r="GMV136" s="271"/>
      <c r="GMW136" s="271"/>
      <c r="GMX136" s="221"/>
      <c r="GMY136" s="221"/>
      <c r="GMZ136" s="221"/>
      <c r="GNA136" s="258"/>
      <c r="GNB136" s="270"/>
      <c r="GNC136" s="271"/>
      <c r="GND136" s="271"/>
      <c r="GNE136" s="271"/>
      <c r="GNF136" s="221"/>
      <c r="GNG136" s="221"/>
      <c r="GNH136" s="221"/>
      <c r="GNI136" s="258"/>
      <c r="GNJ136" s="270"/>
      <c r="GNK136" s="271"/>
      <c r="GNL136" s="271"/>
      <c r="GNM136" s="271"/>
      <c r="GNN136" s="221"/>
      <c r="GNO136" s="221"/>
      <c r="GNP136" s="221"/>
      <c r="GNQ136" s="258"/>
      <c r="GNR136" s="270"/>
      <c r="GNS136" s="271"/>
      <c r="GNT136" s="271"/>
      <c r="GNU136" s="271"/>
      <c r="GNV136" s="221"/>
      <c r="GNW136" s="221"/>
      <c r="GNX136" s="221"/>
      <c r="GNY136" s="258"/>
      <c r="GNZ136" s="270"/>
      <c r="GOA136" s="271"/>
      <c r="GOB136" s="271"/>
      <c r="GOC136" s="271"/>
      <c r="GOD136" s="221"/>
      <c r="GOE136" s="221"/>
      <c r="GOF136" s="221"/>
      <c r="GOG136" s="258"/>
      <c r="GOH136" s="270"/>
      <c r="GOI136" s="271"/>
      <c r="GOJ136" s="271"/>
      <c r="GOK136" s="271"/>
      <c r="GOL136" s="221"/>
      <c r="GOM136" s="221"/>
      <c r="GON136" s="221"/>
      <c r="GOO136" s="258"/>
      <c r="GOP136" s="270"/>
      <c r="GOQ136" s="271"/>
      <c r="GOR136" s="271"/>
      <c r="GOS136" s="271"/>
      <c r="GOT136" s="221"/>
      <c r="GOU136" s="221"/>
      <c r="GOV136" s="221"/>
      <c r="GOW136" s="258"/>
      <c r="GOX136" s="270"/>
      <c r="GOY136" s="271"/>
      <c r="GOZ136" s="271"/>
      <c r="GPA136" s="271"/>
      <c r="GPB136" s="221"/>
      <c r="GPC136" s="221"/>
      <c r="GPD136" s="221"/>
      <c r="GPE136" s="258"/>
      <c r="GPF136" s="270"/>
      <c r="GPG136" s="271"/>
      <c r="GPH136" s="271"/>
      <c r="GPI136" s="271"/>
      <c r="GPJ136" s="221"/>
      <c r="GPK136" s="221"/>
      <c r="GPL136" s="221"/>
      <c r="GPM136" s="258"/>
      <c r="GPN136" s="270"/>
      <c r="GPO136" s="271"/>
      <c r="GPP136" s="271"/>
      <c r="GPQ136" s="271"/>
      <c r="GPR136" s="221"/>
      <c r="GPS136" s="221"/>
      <c r="GPT136" s="221"/>
      <c r="GPU136" s="258"/>
      <c r="GPV136" s="270"/>
      <c r="GPW136" s="271"/>
      <c r="GPX136" s="271"/>
      <c r="GPY136" s="271"/>
      <c r="GPZ136" s="221"/>
      <c r="GQA136" s="221"/>
      <c r="GQB136" s="221"/>
      <c r="GQC136" s="258"/>
      <c r="GQD136" s="270"/>
      <c r="GQE136" s="271"/>
      <c r="GQF136" s="271"/>
      <c r="GQG136" s="271"/>
      <c r="GQH136" s="221"/>
      <c r="GQI136" s="221"/>
      <c r="GQJ136" s="221"/>
      <c r="GQK136" s="258"/>
      <c r="GQL136" s="270"/>
      <c r="GQM136" s="271"/>
      <c r="GQN136" s="271"/>
      <c r="GQO136" s="271"/>
      <c r="GQP136" s="221"/>
      <c r="GQQ136" s="221"/>
      <c r="GQR136" s="221"/>
      <c r="GQS136" s="258"/>
      <c r="GQT136" s="270"/>
      <c r="GQU136" s="271"/>
      <c r="GQV136" s="271"/>
      <c r="GQW136" s="271"/>
      <c r="GQX136" s="221"/>
      <c r="GQY136" s="221"/>
      <c r="GQZ136" s="221"/>
      <c r="GRA136" s="258"/>
      <c r="GRB136" s="270"/>
      <c r="GRC136" s="271"/>
      <c r="GRD136" s="271"/>
      <c r="GRE136" s="271"/>
      <c r="GRF136" s="221"/>
      <c r="GRG136" s="221"/>
      <c r="GRH136" s="221"/>
      <c r="GRI136" s="258"/>
      <c r="GRJ136" s="270"/>
      <c r="GRK136" s="271"/>
      <c r="GRL136" s="271"/>
      <c r="GRM136" s="271"/>
      <c r="GRN136" s="221"/>
      <c r="GRO136" s="221"/>
      <c r="GRP136" s="221"/>
      <c r="GRQ136" s="258"/>
      <c r="GRR136" s="270"/>
      <c r="GRS136" s="271"/>
      <c r="GRT136" s="271"/>
      <c r="GRU136" s="271"/>
      <c r="GRV136" s="221"/>
      <c r="GRW136" s="221"/>
      <c r="GRX136" s="221"/>
      <c r="GRY136" s="258"/>
      <c r="GRZ136" s="270"/>
      <c r="GSA136" s="271"/>
      <c r="GSB136" s="271"/>
      <c r="GSC136" s="271"/>
      <c r="GSD136" s="221"/>
      <c r="GSE136" s="221"/>
      <c r="GSF136" s="221"/>
      <c r="GSG136" s="258"/>
      <c r="GSH136" s="270"/>
      <c r="GSI136" s="271"/>
      <c r="GSJ136" s="271"/>
      <c r="GSK136" s="271"/>
      <c r="GSL136" s="221"/>
      <c r="GSM136" s="221"/>
      <c r="GSN136" s="221"/>
      <c r="GSO136" s="258"/>
      <c r="GSP136" s="270"/>
      <c r="GSQ136" s="271"/>
      <c r="GSR136" s="271"/>
      <c r="GSS136" s="271"/>
      <c r="GST136" s="221"/>
      <c r="GSU136" s="221"/>
      <c r="GSV136" s="221"/>
      <c r="GSW136" s="258"/>
      <c r="GSX136" s="270"/>
      <c r="GSY136" s="271"/>
      <c r="GSZ136" s="271"/>
      <c r="GTA136" s="271"/>
      <c r="GTB136" s="221"/>
      <c r="GTC136" s="221"/>
      <c r="GTD136" s="221"/>
      <c r="GTE136" s="258"/>
      <c r="GTF136" s="270"/>
      <c r="GTG136" s="271"/>
      <c r="GTH136" s="271"/>
      <c r="GTI136" s="271"/>
      <c r="GTJ136" s="221"/>
      <c r="GTK136" s="221"/>
      <c r="GTL136" s="221"/>
      <c r="GTM136" s="258"/>
      <c r="GTN136" s="270"/>
      <c r="GTO136" s="271"/>
      <c r="GTP136" s="271"/>
      <c r="GTQ136" s="271"/>
      <c r="GTR136" s="221"/>
      <c r="GTS136" s="221"/>
      <c r="GTT136" s="221"/>
      <c r="GTU136" s="258"/>
      <c r="GTV136" s="270"/>
      <c r="GTW136" s="271"/>
      <c r="GTX136" s="271"/>
      <c r="GTY136" s="271"/>
      <c r="GTZ136" s="221"/>
      <c r="GUA136" s="221"/>
      <c r="GUB136" s="221"/>
      <c r="GUC136" s="258"/>
      <c r="GUD136" s="270"/>
      <c r="GUE136" s="271"/>
      <c r="GUF136" s="271"/>
      <c r="GUG136" s="271"/>
      <c r="GUH136" s="221"/>
      <c r="GUI136" s="221"/>
      <c r="GUJ136" s="221"/>
      <c r="GUK136" s="258"/>
      <c r="GUL136" s="270"/>
      <c r="GUM136" s="271"/>
      <c r="GUN136" s="271"/>
      <c r="GUO136" s="271"/>
      <c r="GUP136" s="221"/>
      <c r="GUQ136" s="221"/>
      <c r="GUR136" s="221"/>
      <c r="GUS136" s="258"/>
      <c r="GUT136" s="270"/>
      <c r="GUU136" s="271"/>
      <c r="GUV136" s="271"/>
      <c r="GUW136" s="271"/>
      <c r="GUX136" s="221"/>
      <c r="GUY136" s="221"/>
      <c r="GUZ136" s="221"/>
      <c r="GVA136" s="258"/>
      <c r="GVB136" s="270"/>
      <c r="GVC136" s="271"/>
      <c r="GVD136" s="271"/>
      <c r="GVE136" s="271"/>
      <c r="GVF136" s="221"/>
      <c r="GVG136" s="221"/>
      <c r="GVH136" s="221"/>
      <c r="GVI136" s="258"/>
      <c r="GVJ136" s="270"/>
      <c r="GVK136" s="271"/>
      <c r="GVL136" s="271"/>
      <c r="GVM136" s="271"/>
      <c r="GVN136" s="221"/>
      <c r="GVO136" s="221"/>
      <c r="GVP136" s="221"/>
      <c r="GVQ136" s="258"/>
      <c r="GVR136" s="270"/>
      <c r="GVS136" s="271"/>
      <c r="GVT136" s="271"/>
      <c r="GVU136" s="271"/>
      <c r="GVV136" s="221"/>
      <c r="GVW136" s="221"/>
      <c r="GVX136" s="221"/>
      <c r="GVY136" s="258"/>
      <c r="GVZ136" s="270"/>
      <c r="GWA136" s="271"/>
      <c r="GWB136" s="271"/>
      <c r="GWC136" s="271"/>
      <c r="GWD136" s="221"/>
      <c r="GWE136" s="221"/>
      <c r="GWF136" s="221"/>
      <c r="GWG136" s="258"/>
      <c r="GWH136" s="270"/>
      <c r="GWI136" s="271"/>
      <c r="GWJ136" s="271"/>
      <c r="GWK136" s="271"/>
      <c r="GWL136" s="221"/>
      <c r="GWM136" s="221"/>
      <c r="GWN136" s="221"/>
      <c r="GWO136" s="258"/>
      <c r="GWP136" s="270"/>
      <c r="GWQ136" s="271"/>
      <c r="GWR136" s="271"/>
      <c r="GWS136" s="271"/>
      <c r="GWT136" s="221"/>
      <c r="GWU136" s="221"/>
      <c r="GWV136" s="221"/>
      <c r="GWW136" s="258"/>
      <c r="GWX136" s="270"/>
      <c r="GWY136" s="271"/>
      <c r="GWZ136" s="271"/>
      <c r="GXA136" s="271"/>
      <c r="GXB136" s="221"/>
      <c r="GXC136" s="221"/>
      <c r="GXD136" s="221"/>
      <c r="GXE136" s="258"/>
      <c r="GXF136" s="270"/>
      <c r="GXG136" s="271"/>
      <c r="GXH136" s="271"/>
      <c r="GXI136" s="271"/>
      <c r="GXJ136" s="221"/>
      <c r="GXK136" s="221"/>
      <c r="GXL136" s="221"/>
      <c r="GXM136" s="258"/>
      <c r="GXN136" s="270"/>
      <c r="GXO136" s="271"/>
      <c r="GXP136" s="271"/>
      <c r="GXQ136" s="271"/>
      <c r="GXR136" s="221"/>
      <c r="GXS136" s="221"/>
      <c r="GXT136" s="221"/>
      <c r="GXU136" s="258"/>
      <c r="GXV136" s="270"/>
      <c r="GXW136" s="271"/>
      <c r="GXX136" s="271"/>
      <c r="GXY136" s="271"/>
      <c r="GXZ136" s="221"/>
      <c r="GYA136" s="221"/>
      <c r="GYB136" s="221"/>
      <c r="GYC136" s="258"/>
      <c r="GYD136" s="270"/>
      <c r="GYE136" s="271"/>
      <c r="GYF136" s="271"/>
      <c r="GYG136" s="271"/>
      <c r="GYH136" s="221"/>
      <c r="GYI136" s="221"/>
      <c r="GYJ136" s="221"/>
      <c r="GYK136" s="258"/>
      <c r="GYL136" s="270"/>
      <c r="GYM136" s="271"/>
      <c r="GYN136" s="271"/>
      <c r="GYO136" s="271"/>
      <c r="GYP136" s="221"/>
      <c r="GYQ136" s="221"/>
      <c r="GYR136" s="221"/>
      <c r="GYS136" s="258"/>
      <c r="GYT136" s="270"/>
      <c r="GYU136" s="271"/>
      <c r="GYV136" s="271"/>
      <c r="GYW136" s="271"/>
      <c r="GYX136" s="221"/>
      <c r="GYY136" s="221"/>
      <c r="GYZ136" s="221"/>
      <c r="GZA136" s="258"/>
      <c r="GZB136" s="270"/>
      <c r="GZC136" s="271"/>
      <c r="GZD136" s="271"/>
      <c r="GZE136" s="271"/>
      <c r="GZF136" s="221"/>
      <c r="GZG136" s="221"/>
      <c r="GZH136" s="221"/>
      <c r="GZI136" s="258"/>
      <c r="GZJ136" s="270"/>
      <c r="GZK136" s="271"/>
      <c r="GZL136" s="271"/>
      <c r="GZM136" s="271"/>
      <c r="GZN136" s="221"/>
      <c r="GZO136" s="221"/>
      <c r="GZP136" s="221"/>
      <c r="GZQ136" s="258"/>
      <c r="GZR136" s="270"/>
      <c r="GZS136" s="271"/>
      <c r="GZT136" s="271"/>
      <c r="GZU136" s="271"/>
      <c r="GZV136" s="221"/>
      <c r="GZW136" s="221"/>
      <c r="GZX136" s="221"/>
      <c r="GZY136" s="258"/>
      <c r="GZZ136" s="270"/>
      <c r="HAA136" s="271"/>
      <c r="HAB136" s="271"/>
      <c r="HAC136" s="271"/>
      <c r="HAD136" s="221"/>
      <c r="HAE136" s="221"/>
      <c r="HAF136" s="221"/>
      <c r="HAG136" s="258"/>
      <c r="HAH136" s="270"/>
      <c r="HAI136" s="271"/>
      <c r="HAJ136" s="271"/>
      <c r="HAK136" s="271"/>
      <c r="HAL136" s="221"/>
      <c r="HAM136" s="221"/>
      <c r="HAN136" s="221"/>
      <c r="HAO136" s="258"/>
      <c r="HAP136" s="270"/>
      <c r="HAQ136" s="271"/>
      <c r="HAR136" s="271"/>
      <c r="HAS136" s="271"/>
      <c r="HAT136" s="221"/>
      <c r="HAU136" s="221"/>
      <c r="HAV136" s="221"/>
      <c r="HAW136" s="258"/>
      <c r="HAX136" s="270"/>
      <c r="HAY136" s="271"/>
      <c r="HAZ136" s="271"/>
      <c r="HBA136" s="271"/>
      <c r="HBB136" s="221"/>
      <c r="HBC136" s="221"/>
      <c r="HBD136" s="221"/>
      <c r="HBE136" s="258"/>
      <c r="HBF136" s="270"/>
      <c r="HBG136" s="271"/>
      <c r="HBH136" s="271"/>
      <c r="HBI136" s="271"/>
      <c r="HBJ136" s="221"/>
      <c r="HBK136" s="221"/>
      <c r="HBL136" s="221"/>
      <c r="HBM136" s="258"/>
      <c r="HBN136" s="270"/>
      <c r="HBO136" s="271"/>
      <c r="HBP136" s="271"/>
      <c r="HBQ136" s="271"/>
      <c r="HBR136" s="221"/>
      <c r="HBS136" s="221"/>
      <c r="HBT136" s="221"/>
      <c r="HBU136" s="258"/>
      <c r="HBV136" s="270"/>
      <c r="HBW136" s="271"/>
      <c r="HBX136" s="271"/>
      <c r="HBY136" s="271"/>
      <c r="HBZ136" s="221"/>
      <c r="HCA136" s="221"/>
      <c r="HCB136" s="221"/>
      <c r="HCC136" s="258"/>
      <c r="HCD136" s="270"/>
      <c r="HCE136" s="271"/>
      <c r="HCF136" s="271"/>
      <c r="HCG136" s="271"/>
      <c r="HCH136" s="221"/>
      <c r="HCI136" s="221"/>
      <c r="HCJ136" s="221"/>
      <c r="HCK136" s="258"/>
      <c r="HCL136" s="270"/>
      <c r="HCM136" s="271"/>
      <c r="HCN136" s="271"/>
      <c r="HCO136" s="271"/>
      <c r="HCP136" s="221"/>
      <c r="HCQ136" s="221"/>
      <c r="HCR136" s="221"/>
      <c r="HCS136" s="258"/>
      <c r="HCT136" s="270"/>
      <c r="HCU136" s="271"/>
      <c r="HCV136" s="271"/>
      <c r="HCW136" s="271"/>
      <c r="HCX136" s="221"/>
      <c r="HCY136" s="221"/>
      <c r="HCZ136" s="221"/>
      <c r="HDA136" s="258"/>
      <c r="HDB136" s="270"/>
      <c r="HDC136" s="271"/>
      <c r="HDD136" s="271"/>
      <c r="HDE136" s="271"/>
      <c r="HDF136" s="221"/>
      <c r="HDG136" s="221"/>
      <c r="HDH136" s="221"/>
      <c r="HDI136" s="258"/>
      <c r="HDJ136" s="270"/>
      <c r="HDK136" s="271"/>
      <c r="HDL136" s="271"/>
      <c r="HDM136" s="271"/>
      <c r="HDN136" s="221"/>
      <c r="HDO136" s="221"/>
      <c r="HDP136" s="221"/>
      <c r="HDQ136" s="258"/>
      <c r="HDR136" s="270"/>
      <c r="HDS136" s="271"/>
      <c r="HDT136" s="271"/>
      <c r="HDU136" s="271"/>
      <c r="HDV136" s="221"/>
      <c r="HDW136" s="221"/>
      <c r="HDX136" s="221"/>
      <c r="HDY136" s="258"/>
      <c r="HDZ136" s="270"/>
      <c r="HEA136" s="271"/>
      <c r="HEB136" s="271"/>
      <c r="HEC136" s="271"/>
      <c r="HED136" s="221"/>
      <c r="HEE136" s="221"/>
      <c r="HEF136" s="221"/>
      <c r="HEG136" s="258"/>
      <c r="HEH136" s="270"/>
      <c r="HEI136" s="271"/>
      <c r="HEJ136" s="271"/>
      <c r="HEK136" s="271"/>
      <c r="HEL136" s="221"/>
      <c r="HEM136" s="221"/>
      <c r="HEN136" s="221"/>
      <c r="HEO136" s="258"/>
      <c r="HEP136" s="270"/>
      <c r="HEQ136" s="271"/>
      <c r="HER136" s="271"/>
      <c r="HES136" s="271"/>
      <c r="HET136" s="221"/>
      <c r="HEU136" s="221"/>
      <c r="HEV136" s="221"/>
      <c r="HEW136" s="258"/>
      <c r="HEX136" s="270"/>
      <c r="HEY136" s="271"/>
      <c r="HEZ136" s="271"/>
      <c r="HFA136" s="271"/>
      <c r="HFB136" s="221"/>
      <c r="HFC136" s="221"/>
      <c r="HFD136" s="221"/>
      <c r="HFE136" s="258"/>
      <c r="HFF136" s="270"/>
      <c r="HFG136" s="271"/>
      <c r="HFH136" s="271"/>
      <c r="HFI136" s="271"/>
      <c r="HFJ136" s="221"/>
      <c r="HFK136" s="221"/>
      <c r="HFL136" s="221"/>
      <c r="HFM136" s="258"/>
      <c r="HFN136" s="270"/>
      <c r="HFO136" s="271"/>
      <c r="HFP136" s="271"/>
      <c r="HFQ136" s="271"/>
      <c r="HFR136" s="221"/>
      <c r="HFS136" s="221"/>
      <c r="HFT136" s="221"/>
      <c r="HFU136" s="258"/>
      <c r="HFV136" s="270"/>
      <c r="HFW136" s="271"/>
      <c r="HFX136" s="271"/>
      <c r="HFY136" s="271"/>
      <c r="HFZ136" s="221"/>
      <c r="HGA136" s="221"/>
      <c r="HGB136" s="221"/>
      <c r="HGC136" s="258"/>
      <c r="HGD136" s="270"/>
      <c r="HGE136" s="271"/>
      <c r="HGF136" s="271"/>
      <c r="HGG136" s="271"/>
      <c r="HGH136" s="221"/>
      <c r="HGI136" s="221"/>
      <c r="HGJ136" s="221"/>
      <c r="HGK136" s="258"/>
      <c r="HGL136" s="270"/>
      <c r="HGM136" s="271"/>
      <c r="HGN136" s="271"/>
      <c r="HGO136" s="271"/>
      <c r="HGP136" s="221"/>
      <c r="HGQ136" s="221"/>
      <c r="HGR136" s="221"/>
      <c r="HGS136" s="258"/>
      <c r="HGT136" s="270"/>
      <c r="HGU136" s="271"/>
      <c r="HGV136" s="271"/>
      <c r="HGW136" s="271"/>
      <c r="HGX136" s="221"/>
      <c r="HGY136" s="221"/>
      <c r="HGZ136" s="221"/>
      <c r="HHA136" s="258"/>
      <c r="HHB136" s="270"/>
      <c r="HHC136" s="271"/>
      <c r="HHD136" s="271"/>
      <c r="HHE136" s="271"/>
      <c r="HHF136" s="221"/>
      <c r="HHG136" s="221"/>
      <c r="HHH136" s="221"/>
      <c r="HHI136" s="258"/>
      <c r="HHJ136" s="270"/>
      <c r="HHK136" s="271"/>
      <c r="HHL136" s="271"/>
      <c r="HHM136" s="271"/>
      <c r="HHN136" s="221"/>
      <c r="HHO136" s="221"/>
      <c r="HHP136" s="221"/>
      <c r="HHQ136" s="258"/>
      <c r="HHR136" s="270"/>
      <c r="HHS136" s="271"/>
      <c r="HHT136" s="271"/>
      <c r="HHU136" s="271"/>
      <c r="HHV136" s="221"/>
      <c r="HHW136" s="221"/>
      <c r="HHX136" s="221"/>
      <c r="HHY136" s="258"/>
      <c r="HHZ136" s="270"/>
      <c r="HIA136" s="271"/>
      <c r="HIB136" s="271"/>
      <c r="HIC136" s="271"/>
      <c r="HID136" s="221"/>
      <c r="HIE136" s="221"/>
      <c r="HIF136" s="221"/>
      <c r="HIG136" s="258"/>
      <c r="HIH136" s="270"/>
      <c r="HII136" s="271"/>
      <c r="HIJ136" s="271"/>
      <c r="HIK136" s="271"/>
      <c r="HIL136" s="221"/>
      <c r="HIM136" s="221"/>
      <c r="HIN136" s="221"/>
      <c r="HIO136" s="258"/>
      <c r="HIP136" s="270"/>
      <c r="HIQ136" s="271"/>
      <c r="HIR136" s="271"/>
      <c r="HIS136" s="271"/>
      <c r="HIT136" s="221"/>
      <c r="HIU136" s="221"/>
      <c r="HIV136" s="221"/>
      <c r="HIW136" s="258"/>
      <c r="HIX136" s="270"/>
      <c r="HIY136" s="271"/>
      <c r="HIZ136" s="271"/>
      <c r="HJA136" s="271"/>
      <c r="HJB136" s="221"/>
      <c r="HJC136" s="221"/>
      <c r="HJD136" s="221"/>
      <c r="HJE136" s="258"/>
      <c r="HJF136" s="270"/>
      <c r="HJG136" s="271"/>
      <c r="HJH136" s="271"/>
      <c r="HJI136" s="271"/>
      <c r="HJJ136" s="221"/>
      <c r="HJK136" s="221"/>
      <c r="HJL136" s="221"/>
      <c r="HJM136" s="258"/>
      <c r="HJN136" s="270"/>
      <c r="HJO136" s="271"/>
      <c r="HJP136" s="271"/>
      <c r="HJQ136" s="271"/>
      <c r="HJR136" s="221"/>
      <c r="HJS136" s="221"/>
      <c r="HJT136" s="221"/>
      <c r="HJU136" s="258"/>
      <c r="HJV136" s="270"/>
      <c r="HJW136" s="271"/>
      <c r="HJX136" s="271"/>
      <c r="HJY136" s="271"/>
      <c r="HJZ136" s="221"/>
      <c r="HKA136" s="221"/>
      <c r="HKB136" s="221"/>
      <c r="HKC136" s="258"/>
      <c r="HKD136" s="270"/>
      <c r="HKE136" s="271"/>
      <c r="HKF136" s="271"/>
      <c r="HKG136" s="271"/>
      <c r="HKH136" s="221"/>
      <c r="HKI136" s="221"/>
      <c r="HKJ136" s="221"/>
      <c r="HKK136" s="258"/>
      <c r="HKL136" s="270"/>
      <c r="HKM136" s="271"/>
      <c r="HKN136" s="271"/>
      <c r="HKO136" s="271"/>
      <c r="HKP136" s="221"/>
      <c r="HKQ136" s="221"/>
      <c r="HKR136" s="221"/>
      <c r="HKS136" s="258"/>
      <c r="HKT136" s="270"/>
      <c r="HKU136" s="271"/>
      <c r="HKV136" s="271"/>
      <c r="HKW136" s="271"/>
      <c r="HKX136" s="221"/>
      <c r="HKY136" s="221"/>
      <c r="HKZ136" s="221"/>
      <c r="HLA136" s="258"/>
      <c r="HLB136" s="270"/>
      <c r="HLC136" s="271"/>
      <c r="HLD136" s="271"/>
      <c r="HLE136" s="271"/>
      <c r="HLF136" s="221"/>
      <c r="HLG136" s="221"/>
      <c r="HLH136" s="221"/>
      <c r="HLI136" s="258"/>
      <c r="HLJ136" s="270"/>
      <c r="HLK136" s="271"/>
      <c r="HLL136" s="271"/>
      <c r="HLM136" s="271"/>
      <c r="HLN136" s="221"/>
      <c r="HLO136" s="221"/>
      <c r="HLP136" s="221"/>
      <c r="HLQ136" s="258"/>
      <c r="HLR136" s="270"/>
      <c r="HLS136" s="271"/>
      <c r="HLT136" s="271"/>
      <c r="HLU136" s="271"/>
      <c r="HLV136" s="221"/>
      <c r="HLW136" s="221"/>
      <c r="HLX136" s="221"/>
      <c r="HLY136" s="258"/>
      <c r="HLZ136" s="270"/>
      <c r="HMA136" s="271"/>
      <c r="HMB136" s="271"/>
      <c r="HMC136" s="271"/>
      <c r="HMD136" s="221"/>
      <c r="HME136" s="221"/>
      <c r="HMF136" s="221"/>
      <c r="HMG136" s="258"/>
      <c r="HMH136" s="270"/>
      <c r="HMI136" s="271"/>
      <c r="HMJ136" s="271"/>
      <c r="HMK136" s="271"/>
      <c r="HML136" s="221"/>
      <c r="HMM136" s="221"/>
      <c r="HMN136" s="221"/>
      <c r="HMO136" s="258"/>
      <c r="HMP136" s="270"/>
      <c r="HMQ136" s="271"/>
      <c r="HMR136" s="271"/>
      <c r="HMS136" s="271"/>
      <c r="HMT136" s="221"/>
      <c r="HMU136" s="221"/>
      <c r="HMV136" s="221"/>
      <c r="HMW136" s="258"/>
      <c r="HMX136" s="270"/>
      <c r="HMY136" s="271"/>
      <c r="HMZ136" s="271"/>
      <c r="HNA136" s="271"/>
      <c r="HNB136" s="221"/>
      <c r="HNC136" s="221"/>
      <c r="HND136" s="221"/>
      <c r="HNE136" s="258"/>
      <c r="HNF136" s="270"/>
      <c r="HNG136" s="271"/>
      <c r="HNH136" s="271"/>
      <c r="HNI136" s="271"/>
      <c r="HNJ136" s="221"/>
      <c r="HNK136" s="221"/>
      <c r="HNL136" s="221"/>
      <c r="HNM136" s="258"/>
      <c r="HNN136" s="270"/>
      <c r="HNO136" s="271"/>
      <c r="HNP136" s="271"/>
      <c r="HNQ136" s="271"/>
      <c r="HNR136" s="221"/>
      <c r="HNS136" s="221"/>
      <c r="HNT136" s="221"/>
      <c r="HNU136" s="258"/>
      <c r="HNV136" s="270"/>
      <c r="HNW136" s="271"/>
      <c r="HNX136" s="271"/>
      <c r="HNY136" s="271"/>
      <c r="HNZ136" s="221"/>
      <c r="HOA136" s="221"/>
      <c r="HOB136" s="221"/>
      <c r="HOC136" s="258"/>
      <c r="HOD136" s="270"/>
      <c r="HOE136" s="271"/>
      <c r="HOF136" s="271"/>
      <c r="HOG136" s="271"/>
      <c r="HOH136" s="221"/>
      <c r="HOI136" s="221"/>
      <c r="HOJ136" s="221"/>
      <c r="HOK136" s="258"/>
      <c r="HOL136" s="270"/>
      <c r="HOM136" s="271"/>
      <c r="HON136" s="271"/>
      <c r="HOO136" s="271"/>
      <c r="HOP136" s="221"/>
      <c r="HOQ136" s="221"/>
      <c r="HOR136" s="221"/>
      <c r="HOS136" s="258"/>
      <c r="HOT136" s="270"/>
      <c r="HOU136" s="271"/>
      <c r="HOV136" s="271"/>
      <c r="HOW136" s="271"/>
      <c r="HOX136" s="221"/>
      <c r="HOY136" s="221"/>
      <c r="HOZ136" s="221"/>
      <c r="HPA136" s="258"/>
      <c r="HPB136" s="270"/>
      <c r="HPC136" s="271"/>
      <c r="HPD136" s="271"/>
      <c r="HPE136" s="271"/>
      <c r="HPF136" s="221"/>
      <c r="HPG136" s="221"/>
      <c r="HPH136" s="221"/>
      <c r="HPI136" s="258"/>
      <c r="HPJ136" s="270"/>
      <c r="HPK136" s="271"/>
      <c r="HPL136" s="271"/>
      <c r="HPM136" s="271"/>
      <c r="HPN136" s="221"/>
      <c r="HPO136" s="221"/>
      <c r="HPP136" s="221"/>
      <c r="HPQ136" s="258"/>
      <c r="HPR136" s="270"/>
      <c r="HPS136" s="271"/>
      <c r="HPT136" s="271"/>
      <c r="HPU136" s="271"/>
      <c r="HPV136" s="221"/>
      <c r="HPW136" s="221"/>
      <c r="HPX136" s="221"/>
      <c r="HPY136" s="258"/>
      <c r="HPZ136" s="270"/>
      <c r="HQA136" s="271"/>
      <c r="HQB136" s="271"/>
      <c r="HQC136" s="271"/>
      <c r="HQD136" s="221"/>
      <c r="HQE136" s="221"/>
      <c r="HQF136" s="221"/>
      <c r="HQG136" s="258"/>
      <c r="HQH136" s="270"/>
      <c r="HQI136" s="271"/>
      <c r="HQJ136" s="271"/>
      <c r="HQK136" s="271"/>
      <c r="HQL136" s="221"/>
      <c r="HQM136" s="221"/>
      <c r="HQN136" s="221"/>
      <c r="HQO136" s="258"/>
      <c r="HQP136" s="270"/>
      <c r="HQQ136" s="271"/>
      <c r="HQR136" s="271"/>
      <c r="HQS136" s="271"/>
      <c r="HQT136" s="221"/>
      <c r="HQU136" s="221"/>
      <c r="HQV136" s="221"/>
      <c r="HQW136" s="258"/>
      <c r="HQX136" s="270"/>
      <c r="HQY136" s="271"/>
      <c r="HQZ136" s="271"/>
      <c r="HRA136" s="271"/>
      <c r="HRB136" s="221"/>
      <c r="HRC136" s="221"/>
      <c r="HRD136" s="221"/>
      <c r="HRE136" s="258"/>
      <c r="HRF136" s="270"/>
      <c r="HRG136" s="271"/>
      <c r="HRH136" s="271"/>
      <c r="HRI136" s="271"/>
      <c r="HRJ136" s="221"/>
      <c r="HRK136" s="221"/>
      <c r="HRL136" s="221"/>
      <c r="HRM136" s="258"/>
      <c r="HRN136" s="270"/>
      <c r="HRO136" s="271"/>
      <c r="HRP136" s="271"/>
      <c r="HRQ136" s="271"/>
      <c r="HRR136" s="221"/>
      <c r="HRS136" s="221"/>
      <c r="HRT136" s="221"/>
      <c r="HRU136" s="258"/>
      <c r="HRV136" s="270"/>
      <c r="HRW136" s="271"/>
      <c r="HRX136" s="271"/>
      <c r="HRY136" s="271"/>
      <c r="HRZ136" s="221"/>
      <c r="HSA136" s="221"/>
      <c r="HSB136" s="221"/>
      <c r="HSC136" s="258"/>
      <c r="HSD136" s="270"/>
      <c r="HSE136" s="271"/>
      <c r="HSF136" s="271"/>
      <c r="HSG136" s="271"/>
      <c r="HSH136" s="221"/>
      <c r="HSI136" s="221"/>
      <c r="HSJ136" s="221"/>
      <c r="HSK136" s="258"/>
      <c r="HSL136" s="270"/>
      <c r="HSM136" s="271"/>
      <c r="HSN136" s="271"/>
      <c r="HSO136" s="271"/>
      <c r="HSP136" s="221"/>
      <c r="HSQ136" s="221"/>
      <c r="HSR136" s="221"/>
      <c r="HSS136" s="258"/>
      <c r="HST136" s="270"/>
      <c r="HSU136" s="271"/>
      <c r="HSV136" s="271"/>
      <c r="HSW136" s="271"/>
      <c r="HSX136" s="221"/>
      <c r="HSY136" s="221"/>
      <c r="HSZ136" s="221"/>
      <c r="HTA136" s="258"/>
      <c r="HTB136" s="270"/>
      <c r="HTC136" s="271"/>
      <c r="HTD136" s="271"/>
      <c r="HTE136" s="271"/>
      <c r="HTF136" s="221"/>
      <c r="HTG136" s="221"/>
      <c r="HTH136" s="221"/>
      <c r="HTI136" s="258"/>
      <c r="HTJ136" s="270"/>
      <c r="HTK136" s="271"/>
      <c r="HTL136" s="271"/>
      <c r="HTM136" s="271"/>
      <c r="HTN136" s="221"/>
      <c r="HTO136" s="221"/>
      <c r="HTP136" s="221"/>
      <c r="HTQ136" s="258"/>
      <c r="HTR136" s="270"/>
      <c r="HTS136" s="271"/>
      <c r="HTT136" s="271"/>
      <c r="HTU136" s="271"/>
      <c r="HTV136" s="221"/>
      <c r="HTW136" s="221"/>
      <c r="HTX136" s="221"/>
      <c r="HTY136" s="258"/>
      <c r="HTZ136" s="270"/>
      <c r="HUA136" s="271"/>
      <c r="HUB136" s="271"/>
      <c r="HUC136" s="271"/>
      <c r="HUD136" s="221"/>
      <c r="HUE136" s="221"/>
      <c r="HUF136" s="221"/>
      <c r="HUG136" s="258"/>
      <c r="HUH136" s="270"/>
      <c r="HUI136" s="271"/>
      <c r="HUJ136" s="271"/>
      <c r="HUK136" s="271"/>
      <c r="HUL136" s="221"/>
      <c r="HUM136" s="221"/>
      <c r="HUN136" s="221"/>
      <c r="HUO136" s="258"/>
      <c r="HUP136" s="270"/>
      <c r="HUQ136" s="271"/>
      <c r="HUR136" s="271"/>
      <c r="HUS136" s="271"/>
      <c r="HUT136" s="221"/>
      <c r="HUU136" s="221"/>
      <c r="HUV136" s="221"/>
      <c r="HUW136" s="258"/>
      <c r="HUX136" s="270"/>
      <c r="HUY136" s="271"/>
      <c r="HUZ136" s="271"/>
      <c r="HVA136" s="271"/>
      <c r="HVB136" s="221"/>
      <c r="HVC136" s="221"/>
      <c r="HVD136" s="221"/>
      <c r="HVE136" s="258"/>
      <c r="HVF136" s="270"/>
      <c r="HVG136" s="271"/>
      <c r="HVH136" s="271"/>
      <c r="HVI136" s="271"/>
      <c r="HVJ136" s="221"/>
      <c r="HVK136" s="221"/>
      <c r="HVL136" s="221"/>
      <c r="HVM136" s="258"/>
      <c r="HVN136" s="270"/>
      <c r="HVO136" s="271"/>
      <c r="HVP136" s="271"/>
      <c r="HVQ136" s="271"/>
      <c r="HVR136" s="221"/>
      <c r="HVS136" s="221"/>
      <c r="HVT136" s="221"/>
      <c r="HVU136" s="258"/>
      <c r="HVV136" s="270"/>
      <c r="HVW136" s="271"/>
      <c r="HVX136" s="271"/>
      <c r="HVY136" s="271"/>
      <c r="HVZ136" s="221"/>
      <c r="HWA136" s="221"/>
      <c r="HWB136" s="221"/>
      <c r="HWC136" s="258"/>
      <c r="HWD136" s="270"/>
      <c r="HWE136" s="271"/>
      <c r="HWF136" s="271"/>
      <c r="HWG136" s="271"/>
      <c r="HWH136" s="221"/>
      <c r="HWI136" s="221"/>
      <c r="HWJ136" s="221"/>
      <c r="HWK136" s="258"/>
      <c r="HWL136" s="270"/>
      <c r="HWM136" s="271"/>
      <c r="HWN136" s="271"/>
      <c r="HWO136" s="271"/>
      <c r="HWP136" s="221"/>
      <c r="HWQ136" s="221"/>
      <c r="HWR136" s="221"/>
      <c r="HWS136" s="258"/>
      <c r="HWT136" s="270"/>
      <c r="HWU136" s="271"/>
      <c r="HWV136" s="271"/>
      <c r="HWW136" s="271"/>
      <c r="HWX136" s="221"/>
      <c r="HWY136" s="221"/>
      <c r="HWZ136" s="221"/>
      <c r="HXA136" s="258"/>
      <c r="HXB136" s="270"/>
      <c r="HXC136" s="271"/>
      <c r="HXD136" s="271"/>
      <c r="HXE136" s="271"/>
      <c r="HXF136" s="221"/>
      <c r="HXG136" s="221"/>
      <c r="HXH136" s="221"/>
      <c r="HXI136" s="258"/>
      <c r="HXJ136" s="270"/>
      <c r="HXK136" s="271"/>
      <c r="HXL136" s="271"/>
      <c r="HXM136" s="271"/>
      <c r="HXN136" s="221"/>
      <c r="HXO136" s="221"/>
      <c r="HXP136" s="221"/>
      <c r="HXQ136" s="258"/>
      <c r="HXR136" s="270"/>
      <c r="HXS136" s="271"/>
      <c r="HXT136" s="271"/>
      <c r="HXU136" s="271"/>
      <c r="HXV136" s="221"/>
      <c r="HXW136" s="221"/>
      <c r="HXX136" s="221"/>
      <c r="HXY136" s="258"/>
      <c r="HXZ136" s="270"/>
      <c r="HYA136" s="271"/>
      <c r="HYB136" s="271"/>
      <c r="HYC136" s="271"/>
      <c r="HYD136" s="221"/>
      <c r="HYE136" s="221"/>
      <c r="HYF136" s="221"/>
      <c r="HYG136" s="258"/>
      <c r="HYH136" s="270"/>
      <c r="HYI136" s="271"/>
      <c r="HYJ136" s="271"/>
      <c r="HYK136" s="271"/>
      <c r="HYL136" s="221"/>
      <c r="HYM136" s="221"/>
      <c r="HYN136" s="221"/>
      <c r="HYO136" s="258"/>
      <c r="HYP136" s="270"/>
      <c r="HYQ136" s="271"/>
      <c r="HYR136" s="271"/>
      <c r="HYS136" s="271"/>
      <c r="HYT136" s="221"/>
      <c r="HYU136" s="221"/>
      <c r="HYV136" s="221"/>
      <c r="HYW136" s="258"/>
      <c r="HYX136" s="270"/>
      <c r="HYY136" s="271"/>
      <c r="HYZ136" s="271"/>
      <c r="HZA136" s="271"/>
      <c r="HZB136" s="221"/>
      <c r="HZC136" s="221"/>
      <c r="HZD136" s="221"/>
      <c r="HZE136" s="258"/>
      <c r="HZF136" s="270"/>
      <c r="HZG136" s="271"/>
      <c r="HZH136" s="271"/>
      <c r="HZI136" s="271"/>
      <c r="HZJ136" s="221"/>
      <c r="HZK136" s="221"/>
      <c r="HZL136" s="221"/>
      <c r="HZM136" s="258"/>
      <c r="HZN136" s="270"/>
      <c r="HZO136" s="271"/>
      <c r="HZP136" s="271"/>
      <c r="HZQ136" s="271"/>
      <c r="HZR136" s="221"/>
      <c r="HZS136" s="221"/>
      <c r="HZT136" s="221"/>
      <c r="HZU136" s="258"/>
      <c r="HZV136" s="270"/>
      <c r="HZW136" s="271"/>
      <c r="HZX136" s="271"/>
      <c r="HZY136" s="271"/>
      <c r="HZZ136" s="221"/>
      <c r="IAA136" s="221"/>
      <c r="IAB136" s="221"/>
      <c r="IAC136" s="258"/>
      <c r="IAD136" s="270"/>
      <c r="IAE136" s="271"/>
      <c r="IAF136" s="271"/>
      <c r="IAG136" s="271"/>
      <c r="IAH136" s="221"/>
      <c r="IAI136" s="221"/>
      <c r="IAJ136" s="221"/>
      <c r="IAK136" s="258"/>
      <c r="IAL136" s="270"/>
      <c r="IAM136" s="271"/>
      <c r="IAN136" s="271"/>
      <c r="IAO136" s="271"/>
      <c r="IAP136" s="221"/>
      <c r="IAQ136" s="221"/>
      <c r="IAR136" s="221"/>
      <c r="IAS136" s="258"/>
      <c r="IAT136" s="270"/>
      <c r="IAU136" s="271"/>
      <c r="IAV136" s="271"/>
      <c r="IAW136" s="271"/>
      <c r="IAX136" s="221"/>
      <c r="IAY136" s="221"/>
      <c r="IAZ136" s="221"/>
      <c r="IBA136" s="258"/>
      <c r="IBB136" s="270"/>
      <c r="IBC136" s="271"/>
      <c r="IBD136" s="271"/>
      <c r="IBE136" s="271"/>
      <c r="IBF136" s="221"/>
      <c r="IBG136" s="221"/>
      <c r="IBH136" s="221"/>
      <c r="IBI136" s="258"/>
      <c r="IBJ136" s="270"/>
      <c r="IBK136" s="271"/>
      <c r="IBL136" s="271"/>
      <c r="IBM136" s="271"/>
      <c r="IBN136" s="221"/>
      <c r="IBO136" s="221"/>
      <c r="IBP136" s="221"/>
      <c r="IBQ136" s="258"/>
      <c r="IBR136" s="270"/>
      <c r="IBS136" s="271"/>
      <c r="IBT136" s="271"/>
      <c r="IBU136" s="271"/>
      <c r="IBV136" s="221"/>
      <c r="IBW136" s="221"/>
      <c r="IBX136" s="221"/>
      <c r="IBY136" s="258"/>
      <c r="IBZ136" s="270"/>
      <c r="ICA136" s="271"/>
      <c r="ICB136" s="271"/>
      <c r="ICC136" s="271"/>
      <c r="ICD136" s="221"/>
      <c r="ICE136" s="221"/>
      <c r="ICF136" s="221"/>
      <c r="ICG136" s="258"/>
      <c r="ICH136" s="270"/>
      <c r="ICI136" s="271"/>
      <c r="ICJ136" s="271"/>
      <c r="ICK136" s="271"/>
      <c r="ICL136" s="221"/>
      <c r="ICM136" s="221"/>
      <c r="ICN136" s="221"/>
      <c r="ICO136" s="258"/>
      <c r="ICP136" s="270"/>
      <c r="ICQ136" s="271"/>
      <c r="ICR136" s="271"/>
      <c r="ICS136" s="271"/>
      <c r="ICT136" s="221"/>
      <c r="ICU136" s="221"/>
      <c r="ICV136" s="221"/>
      <c r="ICW136" s="258"/>
      <c r="ICX136" s="270"/>
      <c r="ICY136" s="271"/>
      <c r="ICZ136" s="271"/>
      <c r="IDA136" s="271"/>
      <c r="IDB136" s="221"/>
      <c r="IDC136" s="221"/>
      <c r="IDD136" s="221"/>
      <c r="IDE136" s="258"/>
      <c r="IDF136" s="270"/>
      <c r="IDG136" s="271"/>
      <c r="IDH136" s="271"/>
      <c r="IDI136" s="271"/>
      <c r="IDJ136" s="221"/>
      <c r="IDK136" s="221"/>
      <c r="IDL136" s="221"/>
      <c r="IDM136" s="258"/>
      <c r="IDN136" s="270"/>
      <c r="IDO136" s="271"/>
      <c r="IDP136" s="271"/>
      <c r="IDQ136" s="271"/>
      <c r="IDR136" s="221"/>
      <c r="IDS136" s="221"/>
      <c r="IDT136" s="221"/>
      <c r="IDU136" s="258"/>
      <c r="IDV136" s="270"/>
      <c r="IDW136" s="271"/>
      <c r="IDX136" s="271"/>
      <c r="IDY136" s="271"/>
      <c r="IDZ136" s="221"/>
      <c r="IEA136" s="221"/>
      <c r="IEB136" s="221"/>
      <c r="IEC136" s="258"/>
      <c r="IED136" s="270"/>
      <c r="IEE136" s="271"/>
      <c r="IEF136" s="271"/>
      <c r="IEG136" s="271"/>
      <c r="IEH136" s="221"/>
      <c r="IEI136" s="221"/>
      <c r="IEJ136" s="221"/>
      <c r="IEK136" s="258"/>
      <c r="IEL136" s="270"/>
      <c r="IEM136" s="271"/>
      <c r="IEN136" s="271"/>
      <c r="IEO136" s="271"/>
      <c r="IEP136" s="221"/>
      <c r="IEQ136" s="221"/>
      <c r="IER136" s="221"/>
      <c r="IES136" s="258"/>
      <c r="IET136" s="270"/>
      <c r="IEU136" s="271"/>
      <c r="IEV136" s="271"/>
      <c r="IEW136" s="271"/>
      <c r="IEX136" s="221"/>
      <c r="IEY136" s="221"/>
      <c r="IEZ136" s="221"/>
      <c r="IFA136" s="258"/>
      <c r="IFB136" s="270"/>
      <c r="IFC136" s="271"/>
      <c r="IFD136" s="271"/>
      <c r="IFE136" s="271"/>
      <c r="IFF136" s="221"/>
      <c r="IFG136" s="221"/>
      <c r="IFH136" s="221"/>
      <c r="IFI136" s="258"/>
      <c r="IFJ136" s="270"/>
      <c r="IFK136" s="271"/>
      <c r="IFL136" s="271"/>
      <c r="IFM136" s="271"/>
      <c r="IFN136" s="221"/>
      <c r="IFO136" s="221"/>
      <c r="IFP136" s="221"/>
      <c r="IFQ136" s="258"/>
      <c r="IFR136" s="270"/>
      <c r="IFS136" s="271"/>
      <c r="IFT136" s="271"/>
      <c r="IFU136" s="271"/>
      <c r="IFV136" s="221"/>
      <c r="IFW136" s="221"/>
      <c r="IFX136" s="221"/>
      <c r="IFY136" s="258"/>
      <c r="IFZ136" s="270"/>
      <c r="IGA136" s="271"/>
      <c r="IGB136" s="271"/>
      <c r="IGC136" s="271"/>
      <c r="IGD136" s="221"/>
      <c r="IGE136" s="221"/>
      <c r="IGF136" s="221"/>
      <c r="IGG136" s="258"/>
      <c r="IGH136" s="270"/>
      <c r="IGI136" s="271"/>
      <c r="IGJ136" s="271"/>
      <c r="IGK136" s="271"/>
      <c r="IGL136" s="221"/>
      <c r="IGM136" s="221"/>
      <c r="IGN136" s="221"/>
      <c r="IGO136" s="258"/>
      <c r="IGP136" s="270"/>
      <c r="IGQ136" s="271"/>
      <c r="IGR136" s="271"/>
      <c r="IGS136" s="271"/>
      <c r="IGT136" s="221"/>
      <c r="IGU136" s="221"/>
      <c r="IGV136" s="221"/>
      <c r="IGW136" s="258"/>
      <c r="IGX136" s="270"/>
      <c r="IGY136" s="271"/>
      <c r="IGZ136" s="271"/>
      <c r="IHA136" s="271"/>
      <c r="IHB136" s="221"/>
      <c r="IHC136" s="221"/>
      <c r="IHD136" s="221"/>
      <c r="IHE136" s="258"/>
      <c r="IHF136" s="270"/>
      <c r="IHG136" s="271"/>
      <c r="IHH136" s="271"/>
      <c r="IHI136" s="271"/>
      <c r="IHJ136" s="221"/>
      <c r="IHK136" s="221"/>
      <c r="IHL136" s="221"/>
      <c r="IHM136" s="258"/>
      <c r="IHN136" s="270"/>
      <c r="IHO136" s="271"/>
      <c r="IHP136" s="271"/>
      <c r="IHQ136" s="271"/>
      <c r="IHR136" s="221"/>
      <c r="IHS136" s="221"/>
      <c r="IHT136" s="221"/>
      <c r="IHU136" s="258"/>
      <c r="IHV136" s="270"/>
      <c r="IHW136" s="271"/>
      <c r="IHX136" s="271"/>
      <c r="IHY136" s="271"/>
      <c r="IHZ136" s="221"/>
      <c r="IIA136" s="221"/>
      <c r="IIB136" s="221"/>
      <c r="IIC136" s="258"/>
      <c r="IID136" s="270"/>
      <c r="IIE136" s="271"/>
      <c r="IIF136" s="271"/>
      <c r="IIG136" s="271"/>
      <c r="IIH136" s="221"/>
      <c r="III136" s="221"/>
      <c r="IIJ136" s="221"/>
      <c r="IIK136" s="258"/>
      <c r="IIL136" s="270"/>
      <c r="IIM136" s="271"/>
      <c r="IIN136" s="271"/>
      <c r="IIO136" s="271"/>
      <c r="IIP136" s="221"/>
      <c r="IIQ136" s="221"/>
      <c r="IIR136" s="221"/>
      <c r="IIS136" s="258"/>
      <c r="IIT136" s="270"/>
      <c r="IIU136" s="271"/>
      <c r="IIV136" s="271"/>
      <c r="IIW136" s="271"/>
      <c r="IIX136" s="221"/>
      <c r="IIY136" s="221"/>
      <c r="IIZ136" s="221"/>
      <c r="IJA136" s="258"/>
      <c r="IJB136" s="270"/>
      <c r="IJC136" s="271"/>
      <c r="IJD136" s="271"/>
      <c r="IJE136" s="271"/>
      <c r="IJF136" s="221"/>
      <c r="IJG136" s="221"/>
      <c r="IJH136" s="221"/>
      <c r="IJI136" s="258"/>
      <c r="IJJ136" s="270"/>
      <c r="IJK136" s="271"/>
      <c r="IJL136" s="271"/>
      <c r="IJM136" s="271"/>
      <c r="IJN136" s="221"/>
      <c r="IJO136" s="221"/>
      <c r="IJP136" s="221"/>
      <c r="IJQ136" s="258"/>
      <c r="IJR136" s="270"/>
      <c r="IJS136" s="271"/>
      <c r="IJT136" s="271"/>
      <c r="IJU136" s="271"/>
      <c r="IJV136" s="221"/>
      <c r="IJW136" s="221"/>
      <c r="IJX136" s="221"/>
      <c r="IJY136" s="258"/>
      <c r="IJZ136" s="270"/>
      <c r="IKA136" s="271"/>
      <c r="IKB136" s="271"/>
      <c r="IKC136" s="271"/>
      <c r="IKD136" s="221"/>
      <c r="IKE136" s="221"/>
      <c r="IKF136" s="221"/>
      <c r="IKG136" s="258"/>
      <c r="IKH136" s="270"/>
      <c r="IKI136" s="271"/>
      <c r="IKJ136" s="271"/>
      <c r="IKK136" s="271"/>
      <c r="IKL136" s="221"/>
      <c r="IKM136" s="221"/>
      <c r="IKN136" s="221"/>
      <c r="IKO136" s="258"/>
      <c r="IKP136" s="270"/>
      <c r="IKQ136" s="271"/>
      <c r="IKR136" s="271"/>
      <c r="IKS136" s="271"/>
      <c r="IKT136" s="221"/>
      <c r="IKU136" s="221"/>
      <c r="IKV136" s="221"/>
      <c r="IKW136" s="258"/>
      <c r="IKX136" s="270"/>
      <c r="IKY136" s="271"/>
      <c r="IKZ136" s="271"/>
      <c r="ILA136" s="271"/>
      <c r="ILB136" s="221"/>
      <c r="ILC136" s="221"/>
      <c r="ILD136" s="221"/>
      <c r="ILE136" s="258"/>
      <c r="ILF136" s="270"/>
      <c r="ILG136" s="271"/>
      <c r="ILH136" s="271"/>
      <c r="ILI136" s="271"/>
      <c r="ILJ136" s="221"/>
      <c r="ILK136" s="221"/>
      <c r="ILL136" s="221"/>
      <c r="ILM136" s="258"/>
      <c r="ILN136" s="270"/>
      <c r="ILO136" s="271"/>
      <c r="ILP136" s="271"/>
      <c r="ILQ136" s="271"/>
      <c r="ILR136" s="221"/>
      <c r="ILS136" s="221"/>
      <c r="ILT136" s="221"/>
      <c r="ILU136" s="258"/>
      <c r="ILV136" s="270"/>
      <c r="ILW136" s="271"/>
      <c r="ILX136" s="271"/>
      <c r="ILY136" s="271"/>
      <c r="ILZ136" s="221"/>
      <c r="IMA136" s="221"/>
      <c r="IMB136" s="221"/>
      <c r="IMC136" s="258"/>
      <c r="IMD136" s="270"/>
      <c r="IME136" s="271"/>
      <c r="IMF136" s="271"/>
      <c r="IMG136" s="271"/>
      <c r="IMH136" s="221"/>
      <c r="IMI136" s="221"/>
      <c r="IMJ136" s="221"/>
      <c r="IMK136" s="258"/>
      <c r="IML136" s="270"/>
      <c r="IMM136" s="271"/>
      <c r="IMN136" s="271"/>
      <c r="IMO136" s="271"/>
      <c r="IMP136" s="221"/>
      <c r="IMQ136" s="221"/>
      <c r="IMR136" s="221"/>
      <c r="IMS136" s="258"/>
      <c r="IMT136" s="270"/>
      <c r="IMU136" s="271"/>
      <c r="IMV136" s="271"/>
      <c r="IMW136" s="271"/>
      <c r="IMX136" s="221"/>
      <c r="IMY136" s="221"/>
      <c r="IMZ136" s="221"/>
      <c r="INA136" s="258"/>
      <c r="INB136" s="270"/>
      <c r="INC136" s="271"/>
      <c r="IND136" s="271"/>
      <c r="INE136" s="271"/>
      <c r="INF136" s="221"/>
      <c r="ING136" s="221"/>
      <c r="INH136" s="221"/>
      <c r="INI136" s="258"/>
      <c r="INJ136" s="270"/>
      <c r="INK136" s="271"/>
      <c r="INL136" s="271"/>
      <c r="INM136" s="271"/>
      <c r="INN136" s="221"/>
      <c r="INO136" s="221"/>
      <c r="INP136" s="221"/>
      <c r="INQ136" s="258"/>
      <c r="INR136" s="270"/>
      <c r="INS136" s="271"/>
      <c r="INT136" s="271"/>
      <c r="INU136" s="271"/>
      <c r="INV136" s="221"/>
      <c r="INW136" s="221"/>
      <c r="INX136" s="221"/>
      <c r="INY136" s="258"/>
      <c r="INZ136" s="270"/>
      <c r="IOA136" s="271"/>
      <c r="IOB136" s="271"/>
      <c r="IOC136" s="271"/>
      <c r="IOD136" s="221"/>
      <c r="IOE136" s="221"/>
      <c r="IOF136" s="221"/>
      <c r="IOG136" s="258"/>
      <c r="IOH136" s="270"/>
      <c r="IOI136" s="271"/>
      <c r="IOJ136" s="271"/>
      <c r="IOK136" s="271"/>
      <c r="IOL136" s="221"/>
      <c r="IOM136" s="221"/>
      <c r="ION136" s="221"/>
      <c r="IOO136" s="258"/>
      <c r="IOP136" s="270"/>
      <c r="IOQ136" s="271"/>
      <c r="IOR136" s="271"/>
      <c r="IOS136" s="271"/>
      <c r="IOT136" s="221"/>
      <c r="IOU136" s="221"/>
      <c r="IOV136" s="221"/>
      <c r="IOW136" s="258"/>
      <c r="IOX136" s="270"/>
      <c r="IOY136" s="271"/>
      <c r="IOZ136" s="271"/>
      <c r="IPA136" s="271"/>
      <c r="IPB136" s="221"/>
      <c r="IPC136" s="221"/>
      <c r="IPD136" s="221"/>
      <c r="IPE136" s="258"/>
      <c r="IPF136" s="270"/>
      <c r="IPG136" s="271"/>
      <c r="IPH136" s="271"/>
      <c r="IPI136" s="271"/>
      <c r="IPJ136" s="221"/>
      <c r="IPK136" s="221"/>
      <c r="IPL136" s="221"/>
      <c r="IPM136" s="258"/>
      <c r="IPN136" s="270"/>
      <c r="IPO136" s="271"/>
      <c r="IPP136" s="271"/>
      <c r="IPQ136" s="271"/>
      <c r="IPR136" s="221"/>
      <c r="IPS136" s="221"/>
      <c r="IPT136" s="221"/>
      <c r="IPU136" s="258"/>
      <c r="IPV136" s="270"/>
      <c r="IPW136" s="271"/>
      <c r="IPX136" s="271"/>
      <c r="IPY136" s="271"/>
      <c r="IPZ136" s="221"/>
      <c r="IQA136" s="221"/>
      <c r="IQB136" s="221"/>
      <c r="IQC136" s="258"/>
      <c r="IQD136" s="270"/>
      <c r="IQE136" s="271"/>
      <c r="IQF136" s="271"/>
      <c r="IQG136" s="271"/>
      <c r="IQH136" s="221"/>
      <c r="IQI136" s="221"/>
      <c r="IQJ136" s="221"/>
      <c r="IQK136" s="258"/>
      <c r="IQL136" s="270"/>
      <c r="IQM136" s="271"/>
      <c r="IQN136" s="271"/>
      <c r="IQO136" s="271"/>
      <c r="IQP136" s="221"/>
      <c r="IQQ136" s="221"/>
      <c r="IQR136" s="221"/>
      <c r="IQS136" s="258"/>
      <c r="IQT136" s="270"/>
      <c r="IQU136" s="271"/>
      <c r="IQV136" s="271"/>
      <c r="IQW136" s="271"/>
      <c r="IQX136" s="221"/>
      <c r="IQY136" s="221"/>
      <c r="IQZ136" s="221"/>
      <c r="IRA136" s="258"/>
      <c r="IRB136" s="270"/>
      <c r="IRC136" s="271"/>
      <c r="IRD136" s="271"/>
      <c r="IRE136" s="271"/>
      <c r="IRF136" s="221"/>
      <c r="IRG136" s="221"/>
      <c r="IRH136" s="221"/>
      <c r="IRI136" s="258"/>
      <c r="IRJ136" s="270"/>
      <c r="IRK136" s="271"/>
      <c r="IRL136" s="271"/>
      <c r="IRM136" s="271"/>
      <c r="IRN136" s="221"/>
      <c r="IRO136" s="221"/>
      <c r="IRP136" s="221"/>
      <c r="IRQ136" s="258"/>
      <c r="IRR136" s="270"/>
      <c r="IRS136" s="271"/>
      <c r="IRT136" s="271"/>
      <c r="IRU136" s="271"/>
      <c r="IRV136" s="221"/>
      <c r="IRW136" s="221"/>
      <c r="IRX136" s="221"/>
      <c r="IRY136" s="258"/>
      <c r="IRZ136" s="270"/>
      <c r="ISA136" s="271"/>
      <c r="ISB136" s="271"/>
      <c r="ISC136" s="271"/>
      <c r="ISD136" s="221"/>
      <c r="ISE136" s="221"/>
      <c r="ISF136" s="221"/>
      <c r="ISG136" s="258"/>
      <c r="ISH136" s="270"/>
      <c r="ISI136" s="271"/>
      <c r="ISJ136" s="271"/>
      <c r="ISK136" s="271"/>
      <c r="ISL136" s="221"/>
      <c r="ISM136" s="221"/>
      <c r="ISN136" s="221"/>
      <c r="ISO136" s="258"/>
      <c r="ISP136" s="270"/>
      <c r="ISQ136" s="271"/>
      <c r="ISR136" s="271"/>
      <c r="ISS136" s="271"/>
      <c r="IST136" s="221"/>
      <c r="ISU136" s="221"/>
      <c r="ISV136" s="221"/>
      <c r="ISW136" s="258"/>
      <c r="ISX136" s="270"/>
      <c r="ISY136" s="271"/>
      <c r="ISZ136" s="271"/>
      <c r="ITA136" s="271"/>
      <c r="ITB136" s="221"/>
      <c r="ITC136" s="221"/>
      <c r="ITD136" s="221"/>
      <c r="ITE136" s="258"/>
      <c r="ITF136" s="270"/>
      <c r="ITG136" s="271"/>
      <c r="ITH136" s="271"/>
      <c r="ITI136" s="271"/>
      <c r="ITJ136" s="221"/>
      <c r="ITK136" s="221"/>
      <c r="ITL136" s="221"/>
      <c r="ITM136" s="258"/>
      <c r="ITN136" s="270"/>
      <c r="ITO136" s="271"/>
      <c r="ITP136" s="271"/>
      <c r="ITQ136" s="271"/>
      <c r="ITR136" s="221"/>
      <c r="ITS136" s="221"/>
      <c r="ITT136" s="221"/>
      <c r="ITU136" s="258"/>
      <c r="ITV136" s="270"/>
      <c r="ITW136" s="271"/>
      <c r="ITX136" s="271"/>
      <c r="ITY136" s="271"/>
      <c r="ITZ136" s="221"/>
      <c r="IUA136" s="221"/>
      <c r="IUB136" s="221"/>
      <c r="IUC136" s="258"/>
      <c r="IUD136" s="270"/>
      <c r="IUE136" s="271"/>
      <c r="IUF136" s="271"/>
      <c r="IUG136" s="271"/>
      <c r="IUH136" s="221"/>
      <c r="IUI136" s="221"/>
      <c r="IUJ136" s="221"/>
      <c r="IUK136" s="258"/>
      <c r="IUL136" s="270"/>
      <c r="IUM136" s="271"/>
      <c r="IUN136" s="271"/>
      <c r="IUO136" s="271"/>
      <c r="IUP136" s="221"/>
      <c r="IUQ136" s="221"/>
      <c r="IUR136" s="221"/>
      <c r="IUS136" s="258"/>
      <c r="IUT136" s="270"/>
      <c r="IUU136" s="271"/>
      <c r="IUV136" s="271"/>
      <c r="IUW136" s="271"/>
      <c r="IUX136" s="221"/>
      <c r="IUY136" s="221"/>
      <c r="IUZ136" s="221"/>
      <c r="IVA136" s="258"/>
      <c r="IVB136" s="270"/>
      <c r="IVC136" s="271"/>
      <c r="IVD136" s="271"/>
      <c r="IVE136" s="271"/>
      <c r="IVF136" s="221"/>
      <c r="IVG136" s="221"/>
      <c r="IVH136" s="221"/>
      <c r="IVI136" s="258"/>
      <c r="IVJ136" s="270"/>
      <c r="IVK136" s="271"/>
      <c r="IVL136" s="271"/>
      <c r="IVM136" s="271"/>
      <c r="IVN136" s="221"/>
      <c r="IVO136" s="221"/>
      <c r="IVP136" s="221"/>
      <c r="IVQ136" s="258"/>
      <c r="IVR136" s="270"/>
      <c r="IVS136" s="271"/>
      <c r="IVT136" s="271"/>
      <c r="IVU136" s="271"/>
      <c r="IVV136" s="221"/>
      <c r="IVW136" s="221"/>
      <c r="IVX136" s="221"/>
      <c r="IVY136" s="258"/>
      <c r="IVZ136" s="270"/>
      <c r="IWA136" s="271"/>
      <c r="IWB136" s="271"/>
      <c r="IWC136" s="271"/>
      <c r="IWD136" s="221"/>
      <c r="IWE136" s="221"/>
      <c r="IWF136" s="221"/>
      <c r="IWG136" s="258"/>
      <c r="IWH136" s="270"/>
      <c r="IWI136" s="271"/>
      <c r="IWJ136" s="271"/>
      <c r="IWK136" s="271"/>
      <c r="IWL136" s="221"/>
      <c r="IWM136" s="221"/>
      <c r="IWN136" s="221"/>
      <c r="IWO136" s="258"/>
      <c r="IWP136" s="270"/>
      <c r="IWQ136" s="271"/>
      <c r="IWR136" s="271"/>
      <c r="IWS136" s="271"/>
      <c r="IWT136" s="221"/>
      <c r="IWU136" s="221"/>
      <c r="IWV136" s="221"/>
      <c r="IWW136" s="258"/>
      <c r="IWX136" s="270"/>
      <c r="IWY136" s="271"/>
      <c r="IWZ136" s="271"/>
      <c r="IXA136" s="271"/>
      <c r="IXB136" s="221"/>
      <c r="IXC136" s="221"/>
      <c r="IXD136" s="221"/>
      <c r="IXE136" s="258"/>
      <c r="IXF136" s="270"/>
      <c r="IXG136" s="271"/>
      <c r="IXH136" s="271"/>
      <c r="IXI136" s="271"/>
      <c r="IXJ136" s="221"/>
      <c r="IXK136" s="221"/>
      <c r="IXL136" s="221"/>
      <c r="IXM136" s="258"/>
      <c r="IXN136" s="270"/>
      <c r="IXO136" s="271"/>
      <c r="IXP136" s="271"/>
      <c r="IXQ136" s="271"/>
      <c r="IXR136" s="221"/>
      <c r="IXS136" s="221"/>
      <c r="IXT136" s="221"/>
      <c r="IXU136" s="258"/>
      <c r="IXV136" s="270"/>
      <c r="IXW136" s="271"/>
      <c r="IXX136" s="271"/>
      <c r="IXY136" s="271"/>
      <c r="IXZ136" s="221"/>
      <c r="IYA136" s="221"/>
      <c r="IYB136" s="221"/>
      <c r="IYC136" s="258"/>
      <c r="IYD136" s="270"/>
      <c r="IYE136" s="271"/>
      <c r="IYF136" s="271"/>
      <c r="IYG136" s="271"/>
      <c r="IYH136" s="221"/>
      <c r="IYI136" s="221"/>
      <c r="IYJ136" s="221"/>
      <c r="IYK136" s="258"/>
      <c r="IYL136" s="270"/>
      <c r="IYM136" s="271"/>
      <c r="IYN136" s="271"/>
      <c r="IYO136" s="271"/>
      <c r="IYP136" s="221"/>
      <c r="IYQ136" s="221"/>
      <c r="IYR136" s="221"/>
      <c r="IYS136" s="258"/>
      <c r="IYT136" s="270"/>
      <c r="IYU136" s="271"/>
      <c r="IYV136" s="271"/>
      <c r="IYW136" s="271"/>
      <c r="IYX136" s="221"/>
      <c r="IYY136" s="221"/>
      <c r="IYZ136" s="221"/>
      <c r="IZA136" s="258"/>
      <c r="IZB136" s="270"/>
      <c r="IZC136" s="271"/>
      <c r="IZD136" s="271"/>
      <c r="IZE136" s="271"/>
      <c r="IZF136" s="221"/>
      <c r="IZG136" s="221"/>
      <c r="IZH136" s="221"/>
      <c r="IZI136" s="258"/>
      <c r="IZJ136" s="270"/>
      <c r="IZK136" s="271"/>
      <c r="IZL136" s="271"/>
      <c r="IZM136" s="271"/>
      <c r="IZN136" s="221"/>
      <c r="IZO136" s="221"/>
      <c r="IZP136" s="221"/>
      <c r="IZQ136" s="258"/>
      <c r="IZR136" s="270"/>
      <c r="IZS136" s="271"/>
      <c r="IZT136" s="271"/>
      <c r="IZU136" s="271"/>
      <c r="IZV136" s="221"/>
      <c r="IZW136" s="221"/>
      <c r="IZX136" s="221"/>
      <c r="IZY136" s="258"/>
      <c r="IZZ136" s="270"/>
      <c r="JAA136" s="271"/>
      <c r="JAB136" s="271"/>
      <c r="JAC136" s="271"/>
      <c r="JAD136" s="221"/>
      <c r="JAE136" s="221"/>
      <c r="JAF136" s="221"/>
      <c r="JAG136" s="258"/>
      <c r="JAH136" s="270"/>
      <c r="JAI136" s="271"/>
      <c r="JAJ136" s="271"/>
      <c r="JAK136" s="271"/>
      <c r="JAL136" s="221"/>
      <c r="JAM136" s="221"/>
      <c r="JAN136" s="221"/>
      <c r="JAO136" s="258"/>
      <c r="JAP136" s="270"/>
      <c r="JAQ136" s="271"/>
      <c r="JAR136" s="271"/>
      <c r="JAS136" s="271"/>
      <c r="JAT136" s="221"/>
      <c r="JAU136" s="221"/>
      <c r="JAV136" s="221"/>
      <c r="JAW136" s="258"/>
      <c r="JAX136" s="270"/>
      <c r="JAY136" s="271"/>
      <c r="JAZ136" s="271"/>
      <c r="JBA136" s="271"/>
      <c r="JBB136" s="221"/>
      <c r="JBC136" s="221"/>
      <c r="JBD136" s="221"/>
      <c r="JBE136" s="258"/>
      <c r="JBF136" s="270"/>
      <c r="JBG136" s="271"/>
      <c r="JBH136" s="271"/>
      <c r="JBI136" s="271"/>
      <c r="JBJ136" s="221"/>
      <c r="JBK136" s="221"/>
      <c r="JBL136" s="221"/>
      <c r="JBM136" s="258"/>
      <c r="JBN136" s="270"/>
      <c r="JBO136" s="271"/>
      <c r="JBP136" s="271"/>
      <c r="JBQ136" s="271"/>
      <c r="JBR136" s="221"/>
      <c r="JBS136" s="221"/>
      <c r="JBT136" s="221"/>
      <c r="JBU136" s="258"/>
      <c r="JBV136" s="270"/>
      <c r="JBW136" s="271"/>
      <c r="JBX136" s="271"/>
      <c r="JBY136" s="271"/>
      <c r="JBZ136" s="221"/>
      <c r="JCA136" s="221"/>
      <c r="JCB136" s="221"/>
      <c r="JCC136" s="258"/>
      <c r="JCD136" s="270"/>
      <c r="JCE136" s="271"/>
      <c r="JCF136" s="271"/>
      <c r="JCG136" s="271"/>
      <c r="JCH136" s="221"/>
      <c r="JCI136" s="221"/>
      <c r="JCJ136" s="221"/>
      <c r="JCK136" s="258"/>
      <c r="JCL136" s="270"/>
      <c r="JCM136" s="271"/>
      <c r="JCN136" s="271"/>
      <c r="JCO136" s="271"/>
      <c r="JCP136" s="221"/>
      <c r="JCQ136" s="221"/>
      <c r="JCR136" s="221"/>
      <c r="JCS136" s="258"/>
      <c r="JCT136" s="270"/>
      <c r="JCU136" s="271"/>
      <c r="JCV136" s="271"/>
      <c r="JCW136" s="271"/>
      <c r="JCX136" s="221"/>
      <c r="JCY136" s="221"/>
      <c r="JCZ136" s="221"/>
      <c r="JDA136" s="258"/>
      <c r="JDB136" s="270"/>
      <c r="JDC136" s="271"/>
      <c r="JDD136" s="271"/>
      <c r="JDE136" s="271"/>
      <c r="JDF136" s="221"/>
      <c r="JDG136" s="221"/>
      <c r="JDH136" s="221"/>
      <c r="JDI136" s="258"/>
      <c r="JDJ136" s="270"/>
      <c r="JDK136" s="271"/>
      <c r="JDL136" s="271"/>
      <c r="JDM136" s="271"/>
      <c r="JDN136" s="221"/>
      <c r="JDO136" s="221"/>
      <c r="JDP136" s="221"/>
      <c r="JDQ136" s="258"/>
      <c r="JDR136" s="270"/>
      <c r="JDS136" s="271"/>
      <c r="JDT136" s="271"/>
      <c r="JDU136" s="271"/>
      <c r="JDV136" s="221"/>
      <c r="JDW136" s="221"/>
      <c r="JDX136" s="221"/>
      <c r="JDY136" s="258"/>
      <c r="JDZ136" s="270"/>
      <c r="JEA136" s="271"/>
      <c r="JEB136" s="271"/>
      <c r="JEC136" s="271"/>
      <c r="JED136" s="221"/>
      <c r="JEE136" s="221"/>
      <c r="JEF136" s="221"/>
      <c r="JEG136" s="258"/>
      <c r="JEH136" s="270"/>
      <c r="JEI136" s="271"/>
      <c r="JEJ136" s="271"/>
      <c r="JEK136" s="271"/>
      <c r="JEL136" s="221"/>
      <c r="JEM136" s="221"/>
      <c r="JEN136" s="221"/>
      <c r="JEO136" s="258"/>
      <c r="JEP136" s="270"/>
      <c r="JEQ136" s="271"/>
      <c r="JER136" s="271"/>
      <c r="JES136" s="271"/>
      <c r="JET136" s="221"/>
      <c r="JEU136" s="221"/>
      <c r="JEV136" s="221"/>
      <c r="JEW136" s="258"/>
      <c r="JEX136" s="270"/>
      <c r="JEY136" s="271"/>
      <c r="JEZ136" s="271"/>
      <c r="JFA136" s="271"/>
      <c r="JFB136" s="221"/>
      <c r="JFC136" s="221"/>
      <c r="JFD136" s="221"/>
      <c r="JFE136" s="258"/>
      <c r="JFF136" s="270"/>
      <c r="JFG136" s="271"/>
      <c r="JFH136" s="271"/>
      <c r="JFI136" s="271"/>
      <c r="JFJ136" s="221"/>
      <c r="JFK136" s="221"/>
      <c r="JFL136" s="221"/>
      <c r="JFM136" s="258"/>
      <c r="JFN136" s="270"/>
      <c r="JFO136" s="271"/>
      <c r="JFP136" s="271"/>
      <c r="JFQ136" s="271"/>
      <c r="JFR136" s="221"/>
      <c r="JFS136" s="221"/>
      <c r="JFT136" s="221"/>
      <c r="JFU136" s="258"/>
      <c r="JFV136" s="270"/>
      <c r="JFW136" s="271"/>
      <c r="JFX136" s="271"/>
      <c r="JFY136" s="271"/>
      <c r="JFZ136" s="221"/>
      <c r="JGA136" s="221"/>
      <c r="JGB136" s="221"/>
      <c r="JGC136" s="258"/>
      <c r="JGD136" s="270"/>
      <c r="JGE136" s="271"/>
      <c r="JGF136" s="271"/>
      <c r="JGG136" s="271"/>
      <c r="JGH136" s="221"/>
      <c r="JGI136" s="221"/>
      <c r="JGJ136" s="221"/>
      <c r="JGK136" s="258"/>
      <c r="JGL136" s="270"/>
      <c r="JGM136" s="271"/>
      <c r="JGN136" s="271"/>
      <c r="JGO136" s="271"/>
      <c r="JGP136" s="221"/>
      <c r="JGQ136" s="221"/>
      <c r="JGR136" s="221"/>
      <c r="JGS136" s="258"/>
      <c r="JGT136" s="270"/>
      <c r="JGU136" s="271"/>
      <c r="JGV136" s="271"/>
      <c r="JGW136" s="271"/>
      <c r="JGX136" s="221"/>
      <c r="JGY136" s="221"/>
      <c r="JGZ136" s="221"/>
      <c r="JHA136" s="258"/>
      <c r="JHB136" s="270"/>
      <c r="JHC136" s="271"/>
      <c r="JHD136" s="271"/>
      <c r="JHE136" s="271"/>
      <c r="JHF136" s="221"/>
      <c r="JHG136" s="221"/>
      <c r="JHH136" s="221"/>
      <c r="JHI136" s="258"/>
      <c r="JHJ136" s="270"/>
      <c r="JHK136" s="271"/>
      <c r="JHL136" s="271"/>
      <c r="JHM136" s="271"/>
      <c r="JHN136" s="221"/>
      <c r="JHO136" s="221"/>
      <c r="JHP136" s="221"/>
      <c r="JHQ136" s="258"/>
      <c r="JHR136" s="270"/>
      <c r="JHS136" s="271"/>
      <c r="JHT136" s="271"/>
      <c r="JHU136" s="271"/>
      <c r="JHV136" s="221"/>
      <c r="JHW136" s="221"/>
      <c r="JHX136" s="221"/>
      <c r="JHY136" s="258"/>
      <c r="JHZ136" s="270"/>
      <c r="JIA136" s="271"/>
      <c r="JIB136" s="271"/>
      <c r="JIC136" s="271"/>
      <c r="JID136" s="221"/>
      <c r="JIE136" s="221"/>
      <c r="JIF136" s="221"/>
      <c r="JIG136" s="258"/>
      <c r="JIH136" s="270"/>
      <c r="JII136" s="271"/>
      <c r="JIJ136" s="271"/>
      <c r="JIK136" s="271"/>
      <c r="JIL136" s="221"/>
      <c r="JIM136" s="221"/>
      <c r="JIN136" s="221"/>
      <c r="JIO136" s="258"/>
      <c r="JIP136" s="270"/>
      <c r="JIQ136" s="271"/>
      <c r="JIR136" s="271"/>
      <c r="JIS136" s="271"/>
      <c r="JIT136" s="221"/>
      <c r="JIU136" s="221"/>
      <c r="JIV136" s="221"/>
      <c r="JIW136" s="258"/>
      <c r="JIX136" s="270"/>
      <c r="JIY136" s="271"/>
      <c r="JIZ136" s="271"/>
      <c r="JJA136" s="271"/>
      <c r="JJB136" s="221"/>
      <c r="JJC136" s="221"/>
      <c r="JJD136" s="221"/>
      <c r="JJE136" s="258"/>
      <c r="JJF136" s="270"/>
      <c r="JJG136" s="271"/>
      <c r="JJH136" s="271"/>
      <c r="JJI136" s="271"/>
      <c r="JJJ136" s="221"/>
      <c r="JJK136" s="221"/>
      <c r="JJL136" s="221"/>
      <c r="JJM136" s="258"/>
      <c r="JJN136" s="270"/>
      <c r="JJO136" s="271"/>
      <c r="JJP136" s="271"/>
      <c r="JJQ136" s="271"/>
      <c r="JJR136" s="221"/>
      <c r="JJS136" s="221"/>
      <c r="JJT136" s="221"/>
      <c r="JJU136" s="258"/>
      <c r="JJV136" s="270"/>
      <c r="JJW136" s="271"/>
      <c r="JJX136" s="271"/>
      <c r="JJY136" s="271"/>
      <c r="JJZ136" s="221"/>
      <c r="JKA136" s="221"/>
      <c r="JKB136" s="221"/>
      <c r="JKC136" s="258"/>
      <c r="JKD136" s="270"/>
      <c r="JKE136" s="271"/>
      <c r="JKF136" s="271"/>
      <c r="JKG136" s="271"/>
      <c r="JKH136" s="221"/>
      <c r="JKI136" s="221"/>
      <c r="JKJ136" s="221"/>
      <c r="JKK136" s="258"/>
      <c r="JKL136" s="270"/>
      <c r="JKM136" s="271"/>
      <c r="JKN136" s="271"/>
      <c r="JKO136" s="271"/>
      <c r="JKP136" s="221"/>
      <c r="JKQ136" s="221"/>
      <c r="JKR136" s="221"/>
      <c r="JKS136" s="258"/>
      <c r="JKT136" s="270"/>
      <c r="JKU136" s="271"/>
      <c r="JKV136" s="271"/>
      <c r="JKW136" s="271"/>
      <c r="JKX136" s="221"/>
      <c r="JKY136" s="221"/>
      <c r="JKZ136" s="221"/>
      <c r="JLA136" s="258"/>
      <c r="JLB136" s="270"/>
      <c r="JLC136" s="271"/>
      <c r="JLD136" s="271"/>
      <c r="JLE136" s="271"/>
      <c r="JLF136" s="221"/>
      <c r="JLG136" s="221"/>
      <c r="JLH136" s="221"/>
      <c r="JLI136" s="258"/>
      <c r="JLJ136" s="270"/>
      <c r="JLK136" s="271"/>
      <c r="JLL136" s="271"/>
      <c r="JLM136" s="271"/>
      <c r="JLN136" s="221"/>
      <c r="JLO136" s="221"/>
      <c r="JLP136" s="221"/>
      <c r="JLQ136" s="258"/>
      <c r="JLR136" s="270"/>
      <c r="JLS136" s="271"/>
      <c r="JLT136" s="271"/>
      <c r="JLU136" s="271"/>
      <c r="JLV136" s="221"/>
      <c r="JLW136" s="221"/>
      <c r="JLX136" s="221"/>
      <c r="JLY136" s="258"/>
      <c r="JLZ136" s="270"/>
      <c r="JMA136" s="271"/>
      <c r="JMB136" s="271"/>
      <c r="JMC136" s="271"/>
      <c r="JMD136" s="221"/>
      <c r="JME136" s="221"/>
      <c r="JMF136" s="221"/>
      <c r="JMG136" s="258"/>
      <c r="JMH136" s="270"/>
      <c r="JMI136" s="271"/>
      <c r="JMJ136" s="271"/>
      <c r="JMK136" s="271"/>
      <c r="JML136" s="221"/>
      <c r="JMM136" s="221"/>
      <c r="JMN136" s="221"/>
      <c r="JMO136" s="258"/>
      <c r="JMP136" s="270"/>
      <c r="JMQ136" s="271"/>
      <c r="JMR136" s="271"/>
      <c r="JMS136" s="271"/>
      <c r="JMT136" s="221"/>
      <c r="JMU136" s="221"/>
      <c r="JMV136" s="221"/>
      <c r="JMW136" s="258"/>
      <c r="JMX136" s="270"/>
      <c r="JMY136" s="271"/>
      <c r="JMZ136" s="271"/>
      <c r="JNA136" s="271"/>
      <c r="JNB136" s="221"/>
      <c r="JNC136" s="221"/>
      <c r="JND136" s="221"/>
      <c r="JNE136" s="258"/>
      <c r="JNF136" s="270"/>
      <c r="JNG136" s="271"/>
      <c r="JNH136" s="271"/>
      <c r="JNI136" s="271"/>
      <c r="JNJ136" s="221"/>
      <c r="JNK136" s="221"/>
      <c r="JNL136" s="221"/>
      <c r="JNM136" s="258"/>
      <c r="JNN136" s="270"/>
      <c r="JNO136" s="271"/>
      <c r="JNP136" s="271"/>
      <c r="JNQ136" s="271"/>
      <c r="JNR136" s="221"/>
      <c r="JNS136" s="221"/>
      <c r="JNT136" s="221"/>
      <c r="JNU136" s="258"/>
      <c r="JNV136" s="270"/>
      <c r="JNW136" s="271"/>
      <c r="JNX136" s="271"/>
      <c r="JNY136" s="271"/>
      <c r="JNZ136" s="221"/>
      <c r="JOA136" s="221"/>
      <c r="JOB136" s="221"/>
      <c r="JOC136" s="258"/>
      <c r="JOD136" s="270"/>
      <c r="JOE136" s="271"/>
      <c r="JOF136" s="271"/>
      <c r="JOG136" s="271"/>
      <c r="JOH136" s="221"/>
      <c r="JOI136" s="221"/>
      <c r="JOJ136" s="221"/>
      <c r="JOK136" s="258"/>
      <c r="JOL136" s="270"/>
      <c r="JOM136" s="271"/>
      <c r="JON136" s="271"/>
      <c r="JOO136" s="271"/>
      <c r="JOP136" s="221"/>
      <c r="JOQ136" s="221"/>
      <c r="JOR136" s="221"/>
      <c r="JOS136" s="258"/>
      <c r="JOT136" s="270"/>
      <c r="JOU136" s="271"/>
      <c r="JOV136" s="271"/>
      <c r="JOW136" s="271"/>
      <c r="JOX136" s="221"/>
      <c r="JOY136" s="221"/>
      <c r="JOZ136" s="221"/>
      <c r="JPA136" s="258"/>
      <c r="JPB136" s="270"/>
      <c r="JPC136" s="271"/>
      <c r="JPD136" s="271"/>
      <c r="JPE136" s="271"/>
      <c r="JPF136" s="221"/>
      <c r="JPG136" s="221"/>
      <c r="JPH136" s="221"/>
      <c r="JPI136" s="258"/>
      <c r="JPJ136" s="270"/>
      <c r="JPK136" s="271"/>
      <c r="JPL136" s="271"/>
      <c r="JPM136" s="271"/>
      <c r="JPN136" s="221"/>
      <c r="JPO136" s="221"/>
      <c r="JPP136" s="221"/>
      <c r="JPQ136" s="258"/>
      <c r="JPR136" s="270"/>
      <c r="JPS136" s="271"/>
      <c r="JPT136" s="271"/>
      <c r="JPU136" s="271"/>
      <c r="JPV136" s="221"/>
      <c r="JPW136" s="221"/>
      <c r="JPX136" s="221"/>
      <c r="JPY136" s="258"/>
      <c r="JPZ136" s="270"/>
      <c r="JQA136" s="271"/>
      <c r="JQB136" s="271"/>
      <c r="JQC136" s="271"/>
      <c r="JQD136" s="221"/>
      <c r="JQE136" s="221"/>
      <c r="JQF136" s="221"/>
      <c r="JQG136" s="258"/>
      <c r="JQH136" s="270"/>
      <c r="JQI136" s="271"/>
      <c r="JQJ136" s="271"/>
      <c r="JQK136" s="271"/>
      <c r="JQL136" s="221"/>
      <c r="JQM136" s="221"/>
      <c r="JQN136" s="221"/>
      <c r="JQO136" s="258"/>
      <c r="JQP136" s="270"/>
      <c r="JQQ136" s="271"/>
      <c r="JQR136" s="271"/>
      <c r="JQS136" s="271"/>
      <c r="JQT136" s="221"/>
      <c r="JQU136" s="221"/>
      <c r="JQV136" s="221"/>
      <c r="JQW136" s="258"/>
      <c r="JQX136" s="270"/>
      <c r="JQY136" s="271"/>
      <c r="JQZ136" s="271"/>
      <c r="JRA136" s="271"/>
      <c r="JRB136" s="221"/>
      <c r="JRC136" s="221"/>
      <c r="JRD136" s="221"/>
      <c r="JRE136" s="258"/>
      <c r="JRF136" s="270"/>
      <c r="JRG136" s="271"/>
      <c r="JRH136" s="271"/>
      <c r="JRI136" s="271"/>
      <c r="JRJ136" s="221"/>
      <c r="JRK136" s="221"/>
      <c r="JRL136" s="221"/>
      <c r="JRM136" s="258"/>
      <c r="JRN136" s="270"/>
      <c r="JRO136" s="271"/>
      <c r="JRP136" s="271"/>
      <c r="JRQ136" s="271"/>
      <c r="JRR136" s="221"/>
      <c r="JRS136" s="221"/>
      <c r="JRT136" s="221"/>
      <c r="JRU136" s="258"/>
      <c r="JRV136" s="270"/>
      <c r="JRW136" s="271"/>
      <c r="JRX136" s="271"/>
      <c r="JRY136" s="271"/>
      <c r="JRZ136" s="221"/>
      <c r="JSA136" s="221"/>
      <c r="JSB136" s="221"/>
      <c r="JSC136" s="258"/>
      <c r="JSD136" s="270"/>
      <c r="JSE136" s="271"/>
      <c r="JSF136" s="271"/>
      <c r="JSG136" s="271"/>
      <c r="JSH136" s="221"/>
      <c r="JSI136" s="221"/>
      <c r="JSJ136" s="221"/>
      <c r="JSK136" s="258"/>
      <c r="JSL136" s="270"/>
      <c r="JSM136" s="271"/>
      <c r="JSN136" s="271"/>
      <c r="JSO136" s="271"/>
      <c r="JSP136" s="221"/>
      <c r="JSQ136" s="221"/>
      <c r="JSR136" s="221"/>
      <c r="JSS136" s="258"/>
      <c r="JST136" s="270"/>
      <c r="JSU136" s="271"/>
      <c r="JSV136" s="271"/>
      <c r="JSW136" s="271"/>
      <c r="JSX136" s="221"/>
      <c r="JSY136" s="221"/>
      <c r="JSZ136" s="221"/>
      <c r="JTA136" s="258"/>
      <c r="JTB136" s="270"/>
      <c r="JTC136" s="271"/>
      <c r="JTD136" s="271"/>
      <c r="JTE136" s="271"/>
      <c r="JTF136" s="221"/>
      <c r="JTG136" s="221"/>
      <c r="JTH136" s="221"/>
      <c r="JTI136" s="258"/>
      <c r="JTJ136" s="270"/>
      <c r="JTK136" s="271"/>
      <c r="JTL136" s="271"/>
      <c r="JTM136" s="271"/>
      <c r="JTN136" s="221"/>
      <c r="JTO136" s="221"/>
      <c r="JTP136" s="221"/>
      <c r="JTQ136" s="258"/>
      <c r="JTR136" s="270"/>
      <c r="JTS136" s="271"/>
      <c r="JTT136" s="271"/>
      <c r="JTU136" s="271"/>
      <c r="JTV136" s="221"/>
      <c r="JTW136" s="221"/>
      <c r="JTX136" s="221"/>
      <c r="JTY136" s="258"/>
      <c r="JTZ136" s="270"/>
      <c r="JUA136" s="271"/>
      <c r="JUB136" s="271"/>
      <c r="JUC136" s="271"/>
      <c r="JUD136" s="221"/>
      <c r="JUE136" s="221"/>
      <c r="JUF136" s="221"/>
      <c r="JUG136" s="258"/>
      <c r="JUH136" s="270"/>
      <c r="JUI136" s="271"/>
      <c r="JUJ136" s="271"/>
      <c r="JUK136" s="271"/>
      <c r="JUL136" s="221"/>
      <c r="JUM136" s="221"/>
      <c r="JUN136" s="221"/>
      <c r="JUO136" s="258"/>
      <c r="JUP136" s="270"/>
      <c r="JUQ136" s="271"/>
      <c r="JUR136" s="271"/>
      <c r="JUS136" s="271"/>
      <c r="JUT136" s="221"/>
      <c r="JUU136" s="221"/>
      <c r="JUV136" s="221"/>
      <c r="JUW136" s="258"/>
      <c r="JUX136" s="270"/>
      <c r="JUY136" s="271"/>
      <c r="JUZ136" s="271"/>
      <c r="JVA136" s="271"/>
      <c r="JVB136" s="221"/>
      <c r="JVC136" s="221"/>
      <c r="JVD136" s="221"/>
      <c r="JVE136" s="258"/>
      <c r="JVF136" s="270"/>
      <c r="JVG136" s="271"/>
      <c r="JVH136" s="271"/>
      <c r="JVI136" s="271"/>
      <c r="JVJ136" s="221"/>
      <c r="JVK136" s="221"/>
      <c r="JVL136" s="221"/>
      <c r="JVM136" s="258"/>
      <c r="JVN136" s="270"/>
      <c r="JVO136" s="271"/>
      <c r="JVP136" s="271"/>
      <c r="JVQ136" s="271"/>
      <c r="JVR136" s="221"/>
      <c r="JVS136" s="221"/>
      <c r="JVT136" s="221"/>
      <c r="JVU136" s="258"/>
      <c r="JVV136" s="270"/>
      <c r="JVW136" s="271"/>
      <c r="JVX136" s="271"/>
      <c r="JVY136" s="271"/>
      <c r="JVZ136" s="221"/>
      <c r="JWA136" s="221"/>
      <c r="JWB136" s="221"/>
      <c r="JWC136" s="258"/>
      <c r="JWD136" s="270"/>
      <c r="JWE136" s="271"/>
      <c r="JWF136" s="271"/>
      <c r="JWG136" s="271"/>
      <c r="JWH136" s="221"/>
      <c r="JWI136" s="221"/>
      <c r="JWJ136" s="221"/>
      <c r="JWK136" s="258"/>
      <c r="JWL136" s="270"/>
      <c r="JWM136" s="271"/>
      <c r="JWN136" s="271"/>
      <c r="JWO136" s="271"/>
      <c r="JWP136" s="221"/>
      <c r="JWQ136" s="221"/>
      <c r="JWR136" s="221"/>
      <c r="JWS136" s="258"/>
      <c r="JWT136" s="270"/>
      <c r="JWU136" s="271"/>
      <c r="JWV136" s="271"/>
      <c r="JWW136" s="271"/>
      <c r="JWX136" s="221"/>
      <c r="JWY136" s="221"/>
      <c r="JWZ136" s="221"/>
      <c r="JXA136" s="258"/>
      <c r="JXB136" s="270"/>
      <c r="JXC136" s="271"/>
      <c r="JXD136" s="271"/>
      <c r="JXE136" s="271"/>
      <c r="JXF136" s="221"/>
      <c r="JXG136" s="221"/>
      <c r="JXH136" s="221"/>
      <c r="JXI136" s="258"/>
      <c r="JXJ136" s="270"/>
      <c r="JXK136" s="271"/>
      <c r="JXL136" s="271"/>
      <c r="JXM136" s="271"/>
      <c r="JXN136" s="221"/>
      <c r="JXO136" s="221"/>
      <c r="JXP136" s="221"/>
      <c r="JXQ136" s="258"/>
      <c r="JXR136" s="270"/>
      <c r="JXS136" s="271"/>
      <c r="JXT136" s="271"/>
      <c r="JXU136" s="271"/>
      <c r="JXV136" s="221"/>
      <c r="JXW136" s="221"/>
      <c r="JXX136" s="221"/>
      <c r="JXY136" s="258"/>
      <c r="JXZ136" s="270"/>
      <c r="JYA136" s="271"/>
      <c r="JYB136" s="271"/>
      <c r="JYC136" s="271"/>
      <c r="JYD136" s="221"/>
      <c r="JYE136" s="221"/>
      <c r="JYF136" s="221"/>
      <c r="JYG136" s="258"/>
      <c r="JYH136" s="270"/>
      <c r="JYI136" s="271"/>
      <c r="JYJ136" s="271"/>
      <c r="JYK136" s="271"/>
      <c r="JYL136" s="221"/>
      <c r="JYM136" s="221"/>
      <c r="JYN136" s="221"/>
      <c r="JYO136" s="258"/>
      <c r="JYP136" s="270"/>
      <c r="JYQ136" s="271"/>
      <c r="JYR136" s="271"/>
      <c r="JYS136" s="271"/>
      <c r="JYT136" s="221"/>
      <c r="JYU136" s="221"/>
      <c r="JYV136" s="221"/>
      <c r="JYW136" s="258"/>
      <c r="JYX136" s="270"/>
      <c r="JYY136" s="271"/>
      <c r="JYZ136" s="271"/>
      <c r="JZA136" s="271"/>
      <c r="JZB136" s="221"/>
      <c r="JZC136" s="221"/>
      <c r="JZD136" s="221"/>
      <c r="JZE136" s="258"/>
      <c r="JZF136" s="270"/>
      <c r="JZG136" s="271"/>
      <c r="JZH136" s="271"/>
      <c r="JZI136" s="271"/>
      <c r="JZJ136" s="221"/>
      <c r="JZK136" s="221"/>
      <c r="JZL136" s="221"/>
      <c r="JZM136" s="258"/>
      <c r="JZN136" s="270"/>
      <c r="JZO136" s="271"/>
      <c r="JZP136" s="271"/>
      <c r="JZQ136" s="271"/>
      <c r="JZR136" s="221"/>
      <c r="JZS136" s="221"/>
      <c r="JZT136" s="221"/>
      <c r="JZU136" s="258"/>
      <c r="JZV136" s="270"/>
      <c r="JZW136" s="271"/>
      <c r="JZX136" s="271"/>
      <c r="JZY136" s="271"/>
      <c r="JZZ136" s="221"/>
      <c r="KAA136" s="221"/>
      <c r="KAB136" s="221"/>
      <c r="KAC136" s="258"/>
      <c r="KAD136" s="270"/>
      <c r="KAE136" s="271"/>
      <c r="KAF136" s="271"/>
      <c r="KAG136" s="271"/>
      <c r="KAH136" s="221"/>
      <c r="KAI136" s="221"/>
      <c r="KAJ136" s="221"/>
      <c r="KAK136" s="258"/>
      <c r="KAL136" s="270"/>
      <c r="KAM136" s="271"/>
      <c r="KAN136" s="271"/>
      <c r="KAO136" s="271"/>
      <c r="KAP136" s="221"/>
      <c r="KAQ136" s="221"/>
      <c r="KAR136" s="221"/>
      <c r="KAS136" s="258"/>
      <c r="KAT136" s="270"/>
      <c r="KAU136" s="271"/>
      <c r="KAV136" s="271"/>
      <c r="KAW136" s="271"/>
      <c r="KAX136" s="221"/>
      <c r="KAY136" s="221"/>
      <c r="KAZ136" s="221"/>
      <c r="KBA136" s="258"/>
      <c r="KBB136" s="270"/>
      <c r="KBC136" s="271"/>
      <c r="KBD136" s="271"/>
      <c r="KBE136" s="271"/>
      <c r="KBF136" s="221"/>
      <c r="KBG136" s="221"/>
      <c r="KBH136" s="221"/>
      <c r="KBI136" s="258"/>
      <c r="KBJ136" s="270"/>
      <c r="KBK136" s="271"/>
      <c r="KBL136" s="271"/>
      <c r="KBM136" s="271"/>
      <c r="KBN136" s="221"/>
      <c r="KBO136" s="221"/>
      <c r="KBP136" s="221"/>
      <c r="KBQ136" s="258"/>
      <c r="KBR136" s="270"/>
      <c r="KBS136" s="271"/>
      <c r="KBT136" s="271"/>
      <c r="KBU136" s="271"/>
      <c r="KBV136" s="221"/>
      <c r="KBW136" s="221"/>
      <c r="KBX136" s="221"/>
      <c r="KBY136" s="258"/>
      <c r="KBZ136" s="270"/>
      <c r="KCA136" s="271"/>
      <c r="KCB136" s="271"/>
      <c r="KCC136" s="271"/>
      <c r="KCD136" s="221"/>
      <c r="KCE136" s="221"/>
      <c r="KCF136" s="221"/>
      <c r="KCG136" s="258"/>
      <c r="KCH136" s="270"/>
      <c r="KCI136" s="271"/>
      <c r="KCJ136" s="271"/>
      <c r="KCK136" s="271"/>
      <c r="KCL136" s="221"/>
      <c r="KCM136" s="221"/>
      <c r="KCN136" s="221"/>
      <c r="KCO136" s="258"/>
      <c r="KCP136" s="270"/>
      <c r="KCQ136" s="271"/>
      <c r="KCR136" s="271"/>
      <c r="KCS136" s="271"/>
      <c r="KCT136" s="221"/>
      <c r="KCU136" s="221"/>
      <c r="KCV136" s="221"/>
      <c r="KCW136" s="258"/>
      <c r="KCX136" s="270"/>
      <c r="KCY136" s="271"/>
      <c r="KCZ136" s="271"/>
      <c r="KDA136" s="271"/>
      <c r="KDB136" s="221"/>
      <c r="KDC136" s="221"/>
      <c r="KDD136" s="221"/>
      <c r="KDE136" s="258"/>
      <c r="KDF136" s="270"/>
      <c r="KDG136" s="271"/>
      <c r="KDH136" s="271"/>
      <c r="KDI136" s="271"/>
      <c r="KDJ136" s="221"/>
      <c r="KDK136" s="221"/>
      <c r="KDL136" s="221"/>
      <c r="KDM136" s="258"/>
      <c r="KDN136" s="270"/>
      <c r="KDO136" s="271"/>
      <c r="KDP136" s="271"/>
      <c r="KDQ136" s="271"/>
      <c r="KDR136" s="221"/>
      <c r="KDS136" s="221"/>
      <c r="KDT136" s="221"/>
      <c r="KDU136" s="258"/>
      <c r="KDV136" s="270"/>
      <c r="KDW136" s="271"/>
      <c r="KDX136" s="271"/>
      <c r="KDY136" s="271"/>
      <c r="KDZ136" s="221"/>
      <c r="KEA136" s="221"/>
      <c r="KEB136" s="221"/>
      <c r="KEC136" s="258"/>
      <c r="KED136" s="270"/>
      <c r="KEE136" s="271"/>
      <c r="KEF136" s="271"/>
      <c r="KEG136" s="271"/>
      <c r="KEH136" s="221"/>
      <c r="KEI136" s="221"/>
      <c r="KEJ136" s="221"/>
      <c r="KEK136" s="258"/>
      <c r="KEL136" s="270"/>
      <c r="KEM136" s="271"/>
      <c r="KEN136" s="271"/>
      <c r="KEO136" s="271"/>
      <c r="KEP136" s="221"/>
      <c r="KEQ136" s="221"/>
      <c r="KER136" s="221"/>
      <c r="KES136" s="258"/>
      <c r="KET136" s="270"/>
      <c r="KEU136" s="271"/>
      <c r="KEV136" s="271"/>
      <c r="KEW136" s="271"/>
      <c r="KEX136" s="221"/>
      <c r="KEY136" s="221"/>
      <c r="KEZ136" s="221"/>
      <c r="KFA136" s="258"/>
      <c r="KFB136" s="270"/>
      <c r="KFC136" s="271"/>
      <c r="KFD136" s="271"/>
      <c r="KFE136" s="271"/>
      <c r="KFF136" s="221"/>
      <c r="KFG136" s="221"/>
      <c r="KFH136" s="221"/>
      <c r="KFI136" s="258"/>
      <c r="KFJ136" s="270"/>
      <c r="KFK136" s="271"/>
      <c r="KFL136" s="271"/>
      <c r="KFM136" s="271"/>
      <c r="KFN136" s="221"/>
      <c r="KFO136" s="221"/>
      <c r="KFP136" s="221"/>
      <c r="KFQ136" s="258"/>
      <c r="KFR136" s="270"/>
      <c r="KFS136" s="271"/>
      <c r="KFT136" s="271"/>
      <c r="KFU136" s="271"/>
      <c r="KFV136" s="221"/>
      <c r="KFW136" s="221"/>
      <c r="KFX136" s="221"/>
      <c r="KFY136" s="258"/>
      <c r="KFZ136" s="270"/>
      <c r="KGA136" s="271"/>
      <c r="KGB136" s="271"/>
      <c r="KGC136" s="271"/>
      <c r="KGD136" s="221"/>
      <c r="KGE136" s="221"/>
      <c r="KGF136" s="221"/>
      <c r="KGG136" s="258"/>
      <c r="KGH136" s="270"/>
      <c r="KGI136" s="271"/>
      <c r="KGJ136" s="271"/>
      <c r="KGK136" s="271"/>
      <c r="KGL136" s="221"/>
      <c r="KGM136" s="221"/>
      <c r="KGN136" s="221"/>
      <c r="KGO136" s="258"/>
      <c r="KGP136" s="270"/>
      <c r="KGQ136" s="271"/>
      <c r="KGR136" s="271"/>
      <c r="KGS136" s="271"/>
      <c r="KGT136" s="221"/>
      <c r="KGU136" s="221"/>
      <c r="KGV136" s="221"/>
      <c r="KGW136" s="258"/>
      <c r="KGX136" s="270"/>
      <c r="KGY136" s="271"/>
      <c r="KGZ136" s="271"/>
      <c r="KHA136" s="271"/>
      <c r="KHB136" s="221"/>
      <c r="KHC136" s="221"/>
      <c r="KHD136" s="221"/>
      <c r="KHE136" s="258"/>
      <c r="KHF136" s="270"/>
      <c r="KHG136" s="271"/>
      <c r="KHH136" s="271"/>
      <c r="KHI136" s="271"/>
      <c r="KHJ136" s="221"/>
      <c r="KHK136" s="221"/>
      <c r="KHL136" s="221"/>
      <c r="KHM136" s="258"/>
      <c r="KHN136" s="270"/>
      <c r="KHO136" s="271"/>
      <c r="KHP136" s="271"/>
      <c r="KHQ136" s="271"/>
      <c r="KHR136" s="221"/>
      <c r="KHS136" s="221"/>
      <c r="KHT136" s="221"/>
      <c r="KHU136" s="258"/>
      <c r="KHV136" s="270"/>
      <c r="KHW136" s="271"/>
      <c r="KHX136" s="271"/>
      <c r="KHY136" s="271"/>
      <c r="KHZ136" s="221"/>
      <c r="KIA136" s="221"/>
      <c r="KIB136" s="221"/>
      <c r="KIC136" s="258"/>
      <c r="KID136" s="270"/>
      <c r="KIE136" s="271"/>
      <c r="KIF136" s="271"/>
      <c r="KIG136" s="271"/>
      <c r="KIH136" s="221"/>
      <c r="KII136" s="221"/>
      <c r="KIJ136" s="221"/>
      <c r="KIK136" s="258"/>
      <c r="KIL136" s="270"/>
      <c r="KIM136" s="271"/>
      <c r="KIN136" s="271"/>
      <c r="KIO136" s="271"/>
      <c r="KIP136" s="221"/>
      <c r="KIQ136" s="221"/>
      <c r="KIR136" s="221"/>
      <c r="KIS136" s="258"/>
      <c r="KIT136" s="270"/>
      <c r="KIU136" s="271"/>
      <c r="KIV136" s="271"/>
      <c r="KIW136" s="271"/>
      <c r="KIX136" s="221"/>
      <c r="KIY136" s="221"/>
      <c r="KIZ136" s="221"/>
      <c r="KJA136" s="258"/>
      <c r="KJB136" s="270"/>
      <c r="KJC136" s="271"/>
      <c r="KJD136" s="271"/>
      <c r="KJE136" s="271"/>
      <c r="KJF136" s="221"/>
      <c r="KJG136" s="221"/>
      <c r="KJH136" s="221"/>
      <c r="KJI136" s="258"/>
      <c r="KJJ136" s="270"/>
      <c r="KJK136" s="271"/>
      <c r="KJL136" s="271"/>
      <c r="KJM136" s="271"/>
      <c r="KJN136" s="221"/>
      <c r="KJO136" s="221"/>
      <c r="KJP136" s="221"/>
      <c r="KJQ136" s="258"/>
      <c r="KJR136" s="270"/>
      <c r="KJS136" s="271"/>
      <c r="KJT136" s="271"/>
      <c r="KJU136" s="271"/>
      <c r="KJV136" s="221"/>
      <c r="KJW136" s="221"/>
      <c r="KJX136" s="221"/>
      <c r="KJY136" s="258"/>
      <c r="KJZ136" s="270"/>
      <c r="KKA136" s="271"/>
      <c r="KKB136" s="271"/>
      <c r="KKC136" s="271"/>
      <c r="KKD136" s="221"/>
      <c r="KKE136" s="221"/>
      <c r="KKF136" s="221"/>
      <c r="KKG136" s="258"/>
      <c r="KKH136" s="270"/>
      <c r="KKI136" s="271"/>
      <c r="KKJ136" s="271"/>
      <c r="KKK136" s="271"/>
      <c r="KKL136" s="221"/>
      <c r="KKM136" s="221"/>
      <c r="KKN136" s="221"/>
      <c r="KKO136" s="258"/>
      <c r="KKP136" s="270"/>
      <c r="KKQ136" s="271"/>
      <c r="KKR136" s="271"/>
      <c r="KKS136" s="271"/>
      <c r="KKT136" s="221"/>
      <c r="KKU136" s="221"/>
      <c r="KKV136" s="221"/>
      <c r="KKW136" s="258"/>
      <c r="KKX136" s="270"/>
      <c r="KKY136" s="271"/>
      <c r="KKZ136" s="271"/>
      <c r="KLA136" s="271"/>
      <c r="KLB136" s="221"/>
      <c r="KLC136" s="221"/>
      <c r="KLD136" s="221"/>
      <c r="KLE136" s="258"/>
      <c r="KLF136" s="270"/>
      <c r="KLG136" s="271"/>
      <c r="KLH136" s="271"/>
      <c r="KLI136" s="271"/>
      <c r="KLJ136" s="221"/>
      <c r="KLK136" s="221"/>
      <c r="KLL136" s="221"/>
      <c r="KLM136" s="258"/>
      <c r="KLN136" s="270"/>
      <c r="KLO136" s="271"/>
      <c r="KLP136" s="271"/>
      <c r="KLQ136" s="271"/>
      <c r="KLR136" s="221"/>
      <c r="KLS136" s="221"/>
      <c r="KLT136" s="221"/>
      <c r="KLU136" s="258"/>
      <c r="KLV136" s="270"/>
      <c r="KLW136" s="271"/>
      <c r="KLX136" s="271"/>
      <c r="KLY136" s="271"/>
      <c r="KLZ136" s="221"/>
      <c r="KMA136" s="221"/>
      <c r="KMB136" s="221"/>
      <c r="KMC136" s="258"/>
      <c r="KMD136" s="270"/>
      <c r="KME136" s="271"/>
      <c r="KMF136" s="271"/>
      <c r="KMG136" s="271"/>
      <c r="KMH136" s="221"/>
      <c r="KMI136" s="221"/>
      <c r="KMJ136" s="221"/>
      <c r="KMK136" s="258"/>
      <c r="KML136" s="270"/>
      <c r="KMM136" s="271"/>
      <c r="KMN136" s="271"/>
      <c r="KMO136" s="271"/>
      <c r="KMP136" s="221"/>
      <c r="KMQ136" s="221"/>
      <c r="KMR136" s="221"/>
      <c r="KMS136" s="258"/>
      <c r="KMT136" s="270"/>
      <c r="KMU136" s="271"/>
      <c r="KMV136" s="271"/>
      <c r="KMW136" s="271"/>
      <c r="KMX136" s="221"/>
      <c r="KMY136" s="221"/>
      <c r="KMZ136" s="221"/>
      <c r="KNA136" s="258"/>
      <c r="KNB136" s="270"/>
      <c r="KNC136" s="271"/>
      <c r="KND136" s="271"/>
      <c r="KNE136" s="271"/>
      <c r="KNF136" s="221"/>
      <c r="KNG136" s="221"/>
      <c r="KNH136" s="221"/>
      <c r="KNI136" s="258"/>
      <c r="KNJ136" s="270"/>
      <c r="KNK136" s="271"/>
      <c r="KNL136" s="271"/>
      <c r="KNM136" s="271"/>
      <c r="KNN136" s="221"/>
      <c r="KNO136" s="221"/>
      <c r="KNP136" s="221"/>
      <c r="KNQ136" s="258"/>
      <c r="KNR136" s="270"/>
      <c r="KNS136" s="271"/>
      <c r="KNT136" s="271"/>
      <c r="KNU136" s="271"/>
      <c r="KNV136" s="221"/>
      <c r="KNW136" s="221"/>
      <c r="KNX136" s="221"/>
      <c r="KNY136" s="258"/>
      <c r="KNZ136" s="270"/>
      <c r="KOA136" s="271"/>
      <c r="KOB136" s="271"/>
      <c r="KOC136" s="271"/>
      <c r="KOD136" s="221"/>
      <c r="KOE136" s="221"/>
      <c r="KOF136" s="221"/>
      <c r="KOG136" s="258"/>
      <c r="KOH136" s="270"/>
      <c r="KOI136" s="271"/>
      <c r="KOJ136" s="271"/>
      <c r="KOK136" s="271"/>
      <c r="KOL136" s="221"/>
      <c r="KOM136" s="221"/>
      <c r="KON136" s="221"/>
      <c r="KOO136" s="258"/>
      <c r="KOP136" s="270"/>
      <c r="KOQ136" s="271"/>
      <c r="KOR136" s="271"/>
      <c r="KOS136" s="271"/>
      <c r="KOT136" s="221"/>
      <c r="KOU136" s="221"/>
      <c r="KOV136" s="221"/>
      <c r="KOW136" s="258"/>
      <c r="KOX136" s="270"/>
      <c r="KOY136" s="271"/>
      <c r="KOZ136" s="271"/>
      <c r="KPA136" s="271"/>
      <c r="KPB136" s="221"/>
      <c r="KPC136" s="221"/>
      <c r="KPD136" s="221"/>
      <c r="KPE136" s="258"/>
      <c r="KPF136" s="270"/>
      <c r="KPG136" s="271"/>
      <c r="KPH136" s="271"/>
      <c r="KPI136" s="271"/>
      <c r="KPJ136" s="221"/>
      <c r="KPK136" s="221"/>
      <c r="KPL136" s="221"/>
      <c r="KPM136" s="258"/>
      <c r="KPN136" s="270"/>
      <c r="KPO136" s="271"/>
      <c r="KPP136" s="271"/>
      <c r="KPQ136" s="271"/>
      <c r="KPR136" s="221"/>
      <c r="KPS136" s="221"/>
      <c r="KPT136" s="221"/>
      <c r="KPU136" s="258"/>
      <c r="KPV136" s="270"/>
      <c r="KPW136" s="271"/>
      <c r="KPX136" s="271"/>
      <c r="KPY136" s="271"/>
      <c r="KPZ136" s="221"/>
      <c r="KQA136" s="221"/>
      <c r="KQB136" s="221"/>
      <c r="KQC136" s="258"/>
      <c r="KQD136" s="270"/>
      <c r="KQE136" s="271"/>
      <c r="KQF136" s="271"/>
      <c r="KQG136" s="271"/>
      <c r="KQH136" s="221"/>
      <c r="KQI136" s="221"/>
      <c r="KQJ136" s="221"/>
      <c r="KQK136" s="258"/>
      <c r="KQL136" s="270"/>
      <c r="KQM136" s="271"/>
      <c r="KQN136" s="271"/>
      <c r="KQO136" s="271"/>
      <c r="KQP136" s="221"/>
      <c r="KQQ136" s="221"/>
      <c r="KQR136" s="221"/>
      <c r="KQS136" s="258"/>
      <c r="KQT136" s="270"/>
      <c r="KQU136" s="271"/>
      <c r="KQV136" s="271"/>
      <c r="KQW136" s="271"/>
      <c r="KQX136" s="221"/>
      <c r="KQY136" s="221"/>
      <c r="KQZ136" s="221"/>
      <c r="KRA136" s="258"/>
      <c r="KRB136" s="270"/>
      <c r="KRC136" s="271"/>
      <c r="KRD136" s="271"/>
      <c r="KRE136" s="271"/>
      <c r="KRF136" s="221"/>
      <c r="KRG136" s="221"/>
      <c r="KRH136" s="221"/>
      <c r="KRI136" s="258"/>
      <c r="KRJ136" s="270"/>
      <c r="KRK136" s="271"/>
      <c r="KRL136" s="271"/>
      <c r="KRM136" s="271"/>
      <c r="KRN136" s="221"/>
      <c r="KRO136" s="221"/>
      <c r="KRP136" s="221"/>
      <c r="KRQ136" s="258"/>
      <c r="KRR136" s="270"/>
      <c r="KRS136" s="271"/>
      <c r="KRT136" s="271"/>
      <c r="KRU136" s="271"/>
      <c r="KRV136" s="221"/>
      <c r="KRW136" s="221"/>
      <c r="KRX136" s="221"/>
      <c r="KRY136" s="258"/>
      <c r="KRZ136" s="270"/>
      <c r="KSA136" s="271"/>
      <c r="KSB136" s="271"/>
      <c r="KSC136" s="271"/>
      <c r="KSD136" s="221"/>
      <c r="KSE136" s="221"/>
      <c r="KSF136" s="221"/>
      <c r="KSG136" s="258"/>
      <c r="KSH136" s="270"/>
      <c r="KSI136" s="271"/>
      <c r="KSJ136" s="271"/>
      <c r="KSK136" s="271"/>
      <c r="KSL136" s="221"/>
      <c r="KSM136" s="221"/>
      <c r="KSN136" s="221"/>
      <c r="KSO136" s="258"/>
      <c r="KSP136" s="270"/>
      <c r="KSQ136" s="271"/>
      <c r="KSR136" s="271"/>
      <c r="KSS136" s="271"/>
      <c r="KST136" s="221"/>
      <c r="KSU136" s="221"/>
      <c r="KSV136" s="221"/>
      <c r="KSW136" s="258"/>
      <c r="KSX136" s="270"/>
      <c r="KSY136" s="271"/>
      <c r="KSZ136" s="271"/>
      <c r="KTA136" s="271"/>
      <c r="KTB136" s="221"/>
      <c r="KTC136" s="221"/>
      <c r="KTD136" s="221"/>
      <c r="KTE136" s="258"/>
      <c r="KTF136" s="270"/>
      <c r="KTG136" s="271"/>
      <c r="KTH136" s="271"/>
      <c r="KTI136" s="271"/>
      <c r="KTJ136" s="221"/>
      <c r="KTK136" s="221"/>
      <c r="KTL136" s="221"/>
      <c r="KTM136" s="258"/>
      <c r="KTN136" s="270"/>
      <c r="KTO136" s="271"/>
      <c r="KTP136" s="271"/>
      <c r="KTQ136" s="271"/>
      <c r="KTR136" s="221"/>
      <c r="KTS136" s="221"/>
      <c r="KTT136" s="221"/>
      <c r="KTU136" s="258"/>
      <c r="KTV136" s="270"/>
      <c r="KTW136" s="271"/>
      <c r="KTX136" s="271"/>
      <c r="KTY136" s="271"/>
      <c r="KTZ136" s="221"/>
      <c r="KUA136" s="221"/>
      <c r="KUB136" s="221"/>
      <c r="KUC136" s="258"/>
      <c r="KUD136" s="270"/>
      <c r="KUE136" s="271"/>
      <c r="KUF136" s="271"/>
      <c r="KUG136" s="271"/>
      <c r="KUH136" s="221"/>
      <c r="KUI136" s="221"/>
      <c r="KUJ136" s="221"/>
      <c r="KUK136" s="258"/>
      <c r="KUL136" s="270"/>
      <c r="KUM136" s="271"/>
      <c r="KUN136" s="271"/>
      <c r="KUO136" s="271"/>
      <c r="KUP136" s="221"/>
      <c r="KUQ136" s="221"/>
      <c r="KUR136" s="221"/>
      <c r="KUS136" s="258"/>
      <c r="KUT136" s="270"/>
      <c r="KUU136" s="271"/>
      <c r="KUV136" s="271"/>
      <c r="KUW136" s="271"/>
      <c r="KUX136" s="221"/>
      <c r="KUY136" s="221"/>
      <c r="KUZ136" s="221"/>
      <c r="KVA136" s="258"/>
      <c r="KVB136" s="270"/>
      <c r="KVC136" s="271"/>
      <c r="KVD136" s="271"/>
      <c r="KVE136" s="271"/>
      <c r="KVF136" s="221"/>
      <c r="KVG136" s="221"/>
      <c r="KVH136" s="221"/>
      <c r="KVI136" s="258"/>
      <c r="KVJ136" s="270"/>
      <c r="KVK136" s="271"/>
      <c r="KVL136" s="271"/>
      <c r="KVM136" s="271"/>
      <c r="KVN136" s="221"/>
      <c r="KVO136" s="221"/>
      <c r="KVP136" s="221"/>
      <c r="KVQ136" s="258"/>
      <c r="KVR136" s="270"/>
      <c r="KVS136" s="271"/>
      <c r="KVT136" s="271"/>
      <c r="KVU136" s="271"/>
      <c r="KVV136" s="221"/>
      <c r="KVW136" s="221"/>
      <c r="KVX136" s="221"/>
      <c r="KVY136" s="258"/>
      <c r="KVZ136" s="270"/>
      <c r="KWA136" s="271"/>
      <c r="KWB136" s="271"/>
      <c r="KWC136" s="271"/>
      <c r="KWD136" s="221"/>
      <c r="KWE136" s="221"/>
      <c r="KWF136" s="221"/>
      <c r="KWG136" s="258"/>
      <c r="KWH136" s="270"/>
      <c r="KWI136" s="271"/>
      <c r="KWJ136" s="271"/>
      <c r="KWK136" s="271"/>
      <c r="KWL136" s="221"/>
      <c r="KWM136" s="221"/>
      <c r="KWN136" s="221"/>
      <c r="KWO136" s="258"/>
      <c r="KWP136" s="270"/>
      <c r="KWQ136" s="271"/>
      <c r="KWR136" s="271"/>
      <c r="KWS136" s="271"/>
      <c r="KWT136" s="221"/>
      <c r="KWU136" s="221"/>
      <c r="KWV136" s="221"/>
      <c r="KWW136" s="258"/>
      <c r="KWX136" s="270"/>
      <c r="KWY136" s="271"/>
      <c r="KWZ136" s="271"/>
      <c r="KXA136" s="271"/>
      <c r="KXB136" s="221"/>
      <c r="KXC136" s="221"/>
      <c r="KXD136" s="221"/>
      <c r="KXE136" s="258"/>
      <c r="KXF136" s="270"/>
      <c r="KXG136" s="271"/>
      <c r="KXH136" s="271"/>
      <c r="KXI136" s="271"/>
      <c r="KXJ136" s="221"/>
      <c r="KXK136" s="221"/>
      <c r="KXL136" s="221"/>
      <c r="KXM136" s="258"/>
      <c r="KXN136" s="270"/>
      <c r="KXO136" s="271"/>
      <c r="KXP136" s="271"/>
      <c r="KXQ136" s="271"/>
      <c r="KXR136" s="221"/>
      <c r="KXS136" s="221"/>
      <c r="KXT136" s="221"/>
      <c r="KXU136" s="258"/>
      <c r="KXV136" s="270"/>
      <c r="KXW136" s="271"/>
      <c r="KXX136" s="271"/>
      <c r="KXY136" s="271"/>
      <c r="KXZ136" s="221"/>
      <c r="KYA136" s="221"/>
      <c r="KYB136" s="221"/>
      <c r="KYC136" s="258"/>
      <c r="KYD136" s="270"/>
      <c r="KYE136" s="271"/>
      <c r="KYF136" s="271"/>
      <c r="KYG136" s="271"/>
      <c r="KYH136" s="221"/>
      <c r="KYI136" s="221"/>
      <c r="KYJ136" s="221"/>
      <c r="KYK136" s="258"/>
      <c r="KYL136" s="270"/>
      <c r="KYM136" s="271"/>
      <c r="KYN136" s="271"/>
      <c r="KYO136" s="271"/>
      <c r="KYP136" s="221"/>
      <c r="KYQ136" s="221"/>
      <c r="KYR136" s="221"/>
      <c r="KYS136" s="258"/>
      <c r="KYT136" s="270"/>
      <c r="KYU136" s="271"/>
      <c r="KYV136" s="271"/>
      <c r="KYW136" s="271"/>
      <c r="KYX136" s="221"/>
      <c r="KYY136" s="221"/>
      <c r="KYZ136" s="221"/>
      <c r="KZA136" s="258"/>
      <c r="KZB136" s="270"/>
      <c r="KZC136" s="271"/>
      <c r="KZD136" s="271"/>
      <c r="KZE136" s="271"/>
      <c r="KZF136" s="221"/>
      <c r="KZG136" s="221"/>
      <c r="KZH136" s="221"/>
      <c r="KZI136" s="258"/>
      <c r="KZJ136" s="270"/>
      <c r="KZK136" s="271"/>
      <c r="KZL136" s="271"/>
      <c r="KZM136" s="271"/>
      <c r="KZN136" s="221"/>
      <c r="KZO136" s="221"/>
      <c r="KZP136" s="221"/>
      <c r="KZQ136" s="258"/>
      <c r="KZR136" s="270"/>
      <c r="KZS136" s="271"/>
      <c r="KZT136" s="271"/>
      <c r="KZU136" s="271"/>
      <c r="KZV136" s="221"/>
      <c r="KZW136" s="221"/>
      <c r="KZX136" s="221"/>
      <c r="KZY136" s="258"/>
      <c r="KZZ136" s="270"/>
      <c r="LAA136" s="271"/>
      <c r="LAB136" s="271"/>
      <c r="LAC136" s="271"/>
      <c r="LAD136" s="221"/>
      <c r="LAE136" s="221"/>
      <c r="LAF136" s="221"/>
      <c r="LAG136" s="258"/>
      <c r="LAH136" s="270"/>
      <c r="LAI136" s="271"/>
      <c r="LAJ136" s="271"/>
      <c r="LAK136" s="271"/>
      <c r="LAL136" s="221"/>
      <c r="LAM136" s="221"/>
      <c r="LAN136" s="221"/>
      <c r="LAO136" s="258"/>
      <c r="LAP136" s="270"/>
      <c r="LAQ136" s="271"/>
      <c r="LAR136" s="271"/>
      <c r="LAS136" s="271"/>
      <c r="LAT136" s="221"/>
      <c r="LAU136" s="221"/>
      <c r="LAV136" s="221"/>
      <c r="LAW136" s="258"/>
      <c r="LAX136" s="270"/>
      <c r="LAY136" s="271"/>
      <c r="LAZ136" s="271"/>
      <c r="LBA136" s="271"/>
      <c r="LBB136" s="221"/>
      <c r="LBC136" s="221"/>
      <c r="LBD136" s="221"/>
      <c r="LBE136" s="258"/>
      <c r="LBF136" s="270"/>
      <c r="LBG136" s="271"/>
      <c r="LBH136" s="271"/>
      <c r="LBI136" s="271"/>
      <c r="LBJ136" s="221"/>
      <c r="LBK136" s="221"/>
      <c r="LBL136" s="221"/>
      <c r="LBM136" s="258"/>
      <c r="LBN136" s="270"/>
      <c r="LBO136" s="271"/>
      <c r="LBP136" s="271"/>
      <c r="LBQ136" s="271"/>
      <c r="LBR136" s="221"/>
      <c r="LBS136" s="221"/>
      <c r="LBT136" s="221"/>
      <c r="LBU136" s="258"/>
      <c r="LBV136" s="270"/>
      <c r="LBW136" s="271"/>
      <c r="LBX136" s="271"/>
      <c r="LBY136" s="271"/>
      <c r="LBZ136" s="221"/>
      <c r="LCA136" s="221"/>
      <c r="LCB136" s="221"/>
      <c r="LCC136" s="258"/>
      <c r="LCD136" s="270"/>
      <c r="LCE136" s="271"/>
      <c r="LCF136" s="271"/>
      <c r="LCG136" s="271"/>
      <c r="LCH136" s="221"/>
      <c r="LCI136" s="221"/>
      <c r="LCJ136" s="221"/>
      <c r="LCK136" s="258"/>
      <c r="LCL136" s="270"/>
      <c r="LCM136" s="271"/>
      <c r="LCN136" s="271"/>
      <c r="LCO136" s="271"/>
      <c r="LCP136" s="221"/>
      <c r="LCQ136" s="221"/>
      <c r="LCR136" s="221"/>
      <c r="LCS136" s="258"/>
      <c r="LCT136" s="270"/>
      <c r="LCU136" s="271"/>
      <c r="LCV136" s="271"/>
      <c r="LCW136" s="271"/>
      <c r="LCX136" s="221"/>
      <c r="LCY136" s="221"/>
      <c r="LCZ136" s="221"/>
      <c r="LDA136" s="258"/>
      <c r="LDB136" s="270"/>
      <c r="LDC136" s="271"/>
      <c r="LDD136" s="271"/>
      <c r="LDE136" s="271"/>
      <c r="LDF136" s="221"/>
      <c r="LDG136" s="221"/>
      <c r="LDH136" s="221"/>
      <c r="LDI136" s="258"/>
      <c r="LDJ136" s="270"/>
      <c r="LDK136" s="271"/>
      <c r="LDL136" s="271"/>
      <c r="LDM136" s="271"/>
      <c r="LDN136" s="221"/>
      <c r="LDO136" s="221"/>
      <c r="LDP136" s="221"/>
      <c r="LDQ136" s="258"/>
      <c r="LDR136" s="270"/>
      <c r="LDS136" s="271"/>
      <c r="LDT136" s="271"/>
      <c r="LDU136" s="271"/>
      <c r="LDV136" s="221"/>
      <c r="LDW136" s="221"/>
      <c r="LDX136" s="221"/>
      <c r="LDY136" s="258"/>
      <c r="LDZ136" s="270"/>
      <c r="LEA136" s="271"/>
      <c r="LEB136" s="271"/>
      <c r="LEC136" s="271"/>
      <c r="LED136" s="221"/>
      <c r="LEE136" s="221"/>
      <c r="LEF136" s="221"/>
      <c r="LEG136" s="258"/>
      <c r="LEH136" s="270"/>
      <c r="LEI136" s="271"/>
      <c r="LEJ136" s="271"/>
      <c r="LEK136" s="271"/>
      <c r="LEL136" s="221"/>
      <c r="LEM136" s="221"/>
      <c r="LEN136" s="221"/>
      <c r="LEO136" s="258"/>
      <c r="LEP136" s="270"/>
      <c r="LEQ136" s="271"/>
      <c r="LER136" s="271"/>
      <c r="LES136" s="271"/>
      <c r="LET136" s="221"/>
      <c r="LEU136" s="221"/>
      <c r="LEV136" s="221"/>
      <c r="LEW136" s="258"/>
      <c r="LEX136" s="270"/>
      <c r="LEY136" s="271"/>
      <c r="LEZ136" s="271"/>
      <c r="LFA136" s="271"/>
      <c r="LFB136" s="221"/>
      <c r="LFC136" s="221"/>
      <c r="LFD136" s="221"/>
      <c r="LFE136" s="258"/>
      <c r="LFF136" s="270"/>
      <c r="LFG136" s="271"/>
      <c r="LFH136" s="271"/>
      <c r="LFI136" s="271"/>
      <c r="LFJ136" s="221"/>
      <c r="LFK136" s="221"/>
      <c r="LFL136" s="221"/>
      <c r="LFM136" s="258"/>
      <c r="LFN136" s="270"/>
      <c r="LFO136" s="271"/>
      <c r="LFP136" s="271"/>
      <c r="LFQ136" s="271"/>
      <c r="LFR136" s="221"/>
      <c r="LFS136" s="221"/>
      <c r="LFT136" s="221"/>
      <c r="LFU136" s="258"/>
      <c r="LFV136" s="270"/>
      <c r="LFW136" s="271"/>
      <c r="LFX136" s="271"/>
      <c r="LFY136" s="271"/>
      <c r="LFZ136" s="221"/>
      <c r="LGA136" s="221"/>
      <c r="LGB136" s="221"/>
      <c r="LGC136" s="258"/>
      <c r="LGD136" s="270"/>
      <c r="LGE136" s="271"/>
      <c r="LGF136" s="271"/>
      <c r="LGG136" s="271"/>
      <c r="LGH136" s="221"/>
      <c r="LGI136" s="221"/>
      <c r="LGJ136" s="221"/>
      <c r="LGK136" s="258"/>
      <c r="LGL136" s="270"/>
      <c r="LGM136" s="271"/>
      <c r="LGN136" s="271"/>
      <c r="LGO136" s="271"/>
      <c r="LGP136" s="221"/>
      <c r="LGQ136" s="221"/>
      <c r="LGR136" s="221"/>
      <c r="LGS136" s="258"/>
      <c r="LGT136" s="270"/>
      <c r="LGU136" s="271"/>
      <c r="LGV136" s="271"/>
      <c r="LGW136" s="271"/>
      <c r="LGX136" s="221"/>
      <c r="LGY136" s="221"/>
      <c r="LGZ136" s="221"/>
      <c r="LHA136" s="258"/>
      <c r="LHB136" s="270"/>
      <c r="LHC136" s="271"/>
      <c r="LHD136" s="271"/>
      <c r="LHE136" s="271"/>
      <c r="LHF136" s="221"/>
      <c r="LHG136" s="221"/>
      <c r="LHH136" s="221"/>
      <c r="LHI136" s="258"/>
      <c r="LHJ136" s="270"/>
      <c r="LHK136" s="271"/>
      <c r="LHL136" s="271"/>
      <c r="LHM136" s="271"/>
      <c r="LHN136" s="221"/>
      <c r="LHO136" s="221"/>
      <c r="LHP136" s="221"/>
      <c r="LHQ136" s="258"/>
      <c r="LHR136" s="270"/>
      <c r="LHS136" s="271"/>
      <c r="LHT136" s="271"/>
      <c r="LHU136" s="271"/>
      <c r="LHV136" s="221"/>
      <c r="LHW136" s="221"/>
      <c r="LHX136" s="221"/>
      <c r="LHY136" s="258"/>
      <c r="LHZ136" s="270"/>
      <c r="LIA136" s="271"/>
      <c r="LIB136" s="271"/>
      <c r="LIC136" s="271"/>
      <c r="LID136" s="221"/>
      <c r="LIE136" s="221"/>
      <c r="LIF136" s="221"/>
      <c r="LIG136" s="258"/>
      <c r="LIH136" s="270"/>
      <c r="LII136" s="271"/>
      <c r="LIJ136" s="271"/>
      <c r="LIK136" s="271"/>
      <c r="LIL136" s="221"/>
      <c r="LIM136" s="221"/>
      <c r="LIN136" s="221"/>
      <c r="LIO136" s="258"/>
      <c r="LIP136" s="270"/>
      <c r="LIQ136" s="271"/>
      <c r="LIR136" s="271"/>
      <c r="LIS136" s="271"/>
      <c r="LIT136" s="221"/>
      <c r="LIU136" s="221"/>
      <c r="LIV136" s="221"/>
      <c r="LIW136" s="258"/>
      <c r="LIX136" s="270"/>
      <c r="LIY136" s="271"/>
      <c r="LIZ136" s="271"/>
      <c r="LJA136" s="271"/>
      <c r="LJB136" s="221"/>
      <c r="LJC136" s="221"/>
      <c r="LJD136" s="221"/>
      <c r="LJE136" s="258"/>
      <c r="LJF136" s="270"/>
      <c r="LJG136" s="271"/>
      <c r="LJH136" s="271"/>
      <c r="LJI136" s="271"/>
      <c r="LJJ136" s="221"/>
      <c r="LJK136" s="221"/>
      <c r="LJL136" s="221"/>
      <c r="LJM136" s="258"/>
      <c r="LJN136" s="270"/>
      <c r="LJO136" s="271"/>
      <c r="LJP136" s="271"/>
      <c r="LJQ136" s="271"/>
      <c r="LJR136" s="221"/>
      <c r="LJS136" s="221"/>
      <c r="LJT136" s="221"/>
      <c r="LJU136" s="258"/>
      <c r="LJV136" s="270"/>
      <c r="LJW136" s="271"/>
      <c r="LJX136" s="271"/>
      <c r="LJY136" s="271"/>
      <c r="LJZ136" s="221"/>
      <c r="LKA136" s="221"/>
      <c r="LKB136" s="221"/>
      <c r="LKC136" s="258"/>
      <c r="LKD136" s="270"/>
      <c r="LKE136" s="271"/>
      <c r="LKF136" s="271"/>
      <c r="LKG136" s="271"/>
      <c r="LKH136" s="221"/>
      <c r="LKI136" s="221"/>
      <c r="LKJ136" s="221"/>
      <c r="LKK136" s="258"/>
      <c r="LKL136" s="270"/>
      <c r="LKM136" s="271"/>
      <c r="LKN136" s="271"/>
      <c r="LKO136" s="271"/>
      <c r="LKP136" s="221"/>
      <c r="LKQ136" s="221"/>
      <c r="LKR136" s="221"/>
      <c r="LKS136" s="258"/>
      <c r="LKT136" s="270"/>
      <c r="LKU136" s="271"/>
      <c r="LKV136" s="271"/>
      <c r="LKW136" s="271"/>
      <c r="LKX136" s="221"/>
      <c r="LKY136" s="221"/>
      <c r="LKZ136" s="221"/>
      <c r="LLA136" s="258"/>
      <c r="LLB136" s="270"/>
      <c r="LLC136" s="271"/>
      <c r="LLD136" s="271"/>
      <c r="LLE136" s="271"/>
      <c r="LLF136" s="221"/>
      <c r="LLG136" s="221"/>
      <c r="LLH136" s="221"/>
      <c r="LLI136" s="258"/>
      <c r="LLJ136" s="270"/>
      <c r="LLK136" s="271"/>
      <c r="LLL136" s="271"/>
      <c r="LLM136" s="271"/>
      <c r="LLN136" s="221"/>
      <c r="LLO136" s="221"/>
      <c r="LLP136" s="221"/>
      <c r="LLQ136" s="258"/>
      <c r="LLR136" s="270"/>
      <c r="LLS136" s="271"/>
      <c r="LLT136" s="271"/>
      <c r="LLU136" s="271"/>
      <c r="LLV136" s="221"/>
      <c r="LLW136" s="221"/>
      <c r="LLX136" s="221"/>
      <c r="LLY136" s="258"/>
      <c r="LLZ136" s="270"/>
      <c r="LMA136" s="271"/>
      <c r="LMB136" s="271"/>
      <c r="LMC136" s="271"/>
      <c r="LMD136" s="221"/>
      <c r="LME136" s="221"/>
      <c r="LMF136" s="221"/>
      <c r="LMG136" s="258"/>
      <c r="LMH136" s="270"/>
      <c r="LMI136" s="271"/>
      <c r="LMJ136" s="271"/>
      <c r="LMK136" s="271"/>
      <c r="LML136" s="221"/>
      <c r="LMM136" s="221"/>
      <c r="LMN136" s="221"/>
      <c r="LMO136" s="258"/>
      <c r="LMP136" s="270"/>
      <c r="LMQ136" s="271"/>
      <c r="LMR136" s="271"/>
      <c r="LMS136" s="271"/>
      <c r="LMT136" s="221"/>
      <c r="LMU136" s="221"/>
      <c r="LMV136" s="221"/>
      <c r="LMW136" s="258"/>
      <c r="LMX136" s="270"/>
      <c r="LMY136" s="271"/>
      <c r="LMZ136" s="271"/>
      <c r="LNA136" s="271"/>
      <c r="LNB136" s="221"/>
      <c r="LNC136" s="221"/>
      <c r="LND136" s="221"/>
      <c r="LNE136" s="258"/>
      <c r="LNF136" s="270"/>
      <c r="LNG136" s="271"/>
      <c r="LNH136" s="271"/>
      <c r="LNI136" s="271"/>
      <c r="LNJ136" s="221"/>
      <c r="LNK136" s="221"/>
      <c r="LNL136" s="221"/>
      <c r="LNM136" s="258"/>
      <c r="LNN136" s="270"/>
      <c r="LNO136" s="271"/>
      <c r="LNP136" s="271"/>
      <c r="LNQ136" s="271"/>
      <c r="LNR136" s="221"/>
      <c r="LNS136" s="221"/>
      <c r="LNT136" s="221"/>
      <c r="LNU136" s="258"/>
      <c r="LNV136" s="270"/>
      <c r="LNW136" s="271"/>
      <c r="LNX136" s="271"/>
      <c r="LNY136" s="271"/>
      <c r="LNZ136" s="221"/>
      <c r="LOA136" s="221"/>
      <c r="LOB136" s="221"/>
      <c r="LOC136" s="258"/>
      <c r="LOD136" s="270"/>
      <c r="LOE136" s="271"/>
      <c r="LOF136" s="271"/>
      <c r="LOG136" s="271"/>
      <c r="LOH136" s="221"/>
      <c r="LOI136" s="221"/>
      <c r="LOJ136" s="221"/>
      <c r="LOK136" s="258"/>
      <c r="LOL136" s="270"/>
      <c r="LOM136" s="271"/>
      <c r="LON136" s="271"/>
      <c r="LOO136" s="271"/>
      <c r="LOP136" s="221"/>
      <c r="LOQ136" s="221"/>
      <c r="LOR136" s="221"/>
      <c r="LOS136" s="258"/>
      <c r="LOT136" s="270"/>
      <c r="LOU136" s="271"/>
      <c r="LOV136" s="271"/>
      <c r="LOW136" s="271"/>
      <c r="LOX136" s="221"/>
      <c r="LOY136" s="221"/>
      <c r="LOZ136" s="221"/>
      <c r="LPA136" s="258"/>
      <c r="LPB136" s="270"/>
      <c r="LPC136" s="271"/>
      <c r="LPD136" s="271"/>
      <c r="LPE136" s="271"/>
      <c r="LPF136" s="221"/>
      <c r="LPG136" s="221"/>
      <c r="LPH136" s="221"/>
      <c r="LPI136" s="258"/>
      <c r="LPJ136" s="270"/>
      <c r="LPK136" s="271"/>
      <c r="LPL136" s="271"/>
      <c r="LPM136" s="271"/>
      <c r="LPN136" s="221"/>
      <c r="LPO136" s="221"/>
      <c r="LPP136" s="221"/>
      <c r="LPQ136" s="258"/>
      <c r="LPR136" s="270"/>
      <c r="LPS136" s="271"/>
      <c r="LPT136" s="271"/>
      <c r="LPU136" s="271"/>
      <c r="LPV136" s="221"/>
      <c r="LPW136" s="221"/>
      <c r="LPX136" s="221"/>
      <c r="LPY136" s="258"/>
      <c r="LPZ136" s="270"/>
      <c r="LQA136" s="271"/>
      <c r="LQB136" s="271"/>
      <c r="LQC136" s="271"/>
      <c r="LQD136" s="221"/>
      <c r="LQE136" s="221"/>
      <c r="LQF136" s="221"/>
      <c r="LQG136" s="258"/>
      <c r="LQH136" s="270"/>
      <c r="LQI136" s="271"/>
      <c r="LQJ136" s="271"/>
      <c r="LQK136" s="271"/>
      <c r="LQL136" s="221"/>
      <c r="LQM136" s="221"/>
      <c r="LQN136" s="221"/>
      <c r="LQO136" s="258"/>
      <c r="LQP136" s="270"/>
      <c r="LQQ136" s="271"/>
      <c r="LQR136" s="271"/>
      <c r="LQS136" s="271"/>
      <c r="LQT136" s="221"/>
      <c r="LQU136" s="221"/>
      <c r="LQV136" s="221"/>
      <c r="LQW136" s="258"/>
      <c r="LQX136" s="270"/>
      <c r="LQY136" s="271"/>
      <c r="LQZ136" s="271"/>
      <c r="LRA136" s="271"/>
      <c r="LRB136" s="221"/>
      <c r="LRC136" s="221"/>
      <c r="LRD136" s="221"/>
      <c r="LRE136" s="258"/>
      <c r="LRF136" s="270"/>
      <c r="LRG136" s="271"/>
      <c r="LRH136" s="271"/>
      <c r="LRI136" s="271"/>
      <c r="LRJ136" s="221"/>
      <c r="LRK136" s="221"/>
      <c r="LRL136" s="221"/>
      <c r="LRM136" s="258"/>
      <c r="LRN136" s="270"/>
      <c r="LRO136" s="271"/>
      <c r="LRP136" s="271"/>
      <c r="LRQ136" s="271"/>
      <c r="LRR136" s="221"/>
      <c r="LRS136" s="221"/>
      <c r="LRT136" s="221"/>
      <c r="LRU136" s="258"/>
      <c r="LRV136" s="270"/>
      <c r="LRW136" s="271"/>
      <c r="LRX136" s="271"/>
      <c r="LRY136" s="271"/>
      <c r="LRZ136" s="221"/>
      <c r="LSA136" s="221"/>
      <c r="LSB136" s="221"/>
      <c r="LSC136" s="258"/>
      <c r="LSD136" s="270"/>
      <c r="LSE136" s="271"/>
      <c r="LSF136" s="271"/>
      <c r="LSG136" s="271"/>
      <c r="LSH136" s="221"/>
      <c r="LSI136" s="221"/>
      <c r="LSJ136" s="221"/>
      <c r="LSK136" s="258"/>
      <c r="LSL136" s="270"/>
      <c r="LSM136" s="271"/>
      <c r="LSN136" s="271"/>
      <c r="LSO136" s="271"/>
      <c r="LSP136" s="221"/>
      <c r="LSQ136" s="221"/>
      <c r="LSR136" s="221"/>
      <c r="LSS136" s="258"/>
      <c r="LST136" s="270"/>
      <c r="LSU136" s="271"/>
      <c r="LSV136" s="271"/>
      <c r="LSW136" s="271"/>
      <c r="LSX136" s="221"/>
      <c r="LSY136" s="221"/>
      <c r="LSZ136" s="221"/>
      <c r="LTA136" s="258"/>
      <c r="LTB136" s="270"/>
      <c r="LTC136" s="271"/>
      <c r="LTD136" s="271"/>
      <c r="LTE136" s="271"/>
      <c r="LTF136" s="221"/>
      <c r="LTG136" s="221"/>
      <c r="LTH136" s="221"/>
      <c r="LTI136" s="258"/>
      <c r="LTJ136" s="270"/>
      <c r="LTK136" s="271"/>
      <c r="LTL136" s="271"/>
      <c r="LTM136" s="271"/>
      <c r="LTN136" s="221"/>
      <c r="LTO136" s="221"/>
      <c r="LTP136" s="221"/>
      <c r="LTQ136" s="258"/>
      <c r="LTR136" s="270"/>
      <c r="LTS136" s="271"/>
      <c r="LTT136" s="271"/>
      <c r="LTU136" s="271"/>
      <c r="LTV136" s="221"/>
      <c r="LTW136" s="221"/>
      <c r="LTX136" s="221"/>
      <c r="LTY136" s="258"/>
      <c r="LTZ136" s="270"/>
      <c r="LUA136" s="271"/>
      <c r="LUB136" s="271"/>
      <c r="LUC136" s="271"/>
      <c r="LUD136" s="221"/>
      <c r="LUE136" s="221"/>
      <c r="LUF136" s="221"/>
      <c r="LUG136" s="258"/>
      <c r="LUH136" s="270"/>
      <c r="LUI136" s="271"/>
      <c r="LUJ136" s="271"/>
      <c r="LUK136" s="271"/>
      <c r="LUL136" s="221"/>
      <c r="LUM136" s="221"/>
      <c r="LUN136" s="221"/>
      <c r="LUO136" s="258"/>
      <c r="LUP136" s="270"/>
      <c r="LUQ136" s="271"/>
      <c r="LUR136" s="271"/>
      <c r="LUS136" s="271"/>
      <c r="LUT136" s="221"/>
      <c r="LUU136" s="221"/>
      <c r="LUV136" s="221"/>
      <c r="LUW136" s="258"/>
      <c r="LUX136" s="270"/>
      <c r="LUY136" s="271"/>
      <c r="LUZ136" s="271"/>
      <c r="LVA136" s="271"/>
      <c r="LVB136" s="221"/>
      <c r="LVC136" s="221"/>
      <c r="LVD136" s="221"/>
      <c r="LVE136" s="258"/>
      <c r="LVF136" s="270"/>
      <c r="LVG136" s="271"/>
      <c r="LVH136" s="271"/>
      <c r="LVI136" s="271"/>
      <c r="LVJ136" s="221"/>
      <c r="LVK136" s="221"/>
      <c r="LVL136" s="221"/>
      <c r="LVM136" s="258"/>
      <c r="LVN136" s="270"/>
      <c r="LVO136" s="271"/>
      <c r="LVP136" s="271"/>
      <c r="LVQ136" s="271"/>
      <c r="LVR136" s="221"/>
      <c r="LVS136" s="221"/>
      <c r="LVT136" s="221"/>
      <c r="LVU136" s="258"/>
      <c r="LVV136" s="270"/>
      <c r="LVW136" s="271"/>
      <c r="LVX136" s="271"/>
      <c r="LVY136" s="271"/>
      <c r="LVZ136" s="221"/>
      <c r="LWA136" s="221"/>
      <c r="LWB136" s="221"/>
      <c r="LWC136" s="258"/>
      <c r="LWD136" s="270"/>
      <c r="LWE136" s="271"/>
      <c r="LWF136" s="271"/>
      <c r="LWG136" s="271"/>
      <c r="LWH136" s="221"/>
      <c r="LWI136" s="221"/>
      <c r="LWJ136" s="221"/>
      <c r="LWK136" s="258"/>
      <c r="LWL136" s="270"/>
      <c r="LWM136" s="271"/>
      <c r="LWN136" s="271"/>
      <c r="LWO136" s="271"/>
      <c r="LWP136" s="221"/>
      <c r="LWQ136" s="221"/>
      <c r="LWR136" s="221"/>
      <c r="LWS136" s="258"/>
      <c r="LWT136" s="270"/>
      <c r="LWU136" s="271"/>
      <c r="LWV136" s="271"/>
      <c r="LWW136" s="271"/>
      <c r="LWX136" s="221"/>
      <c r="LWY136" s="221"/>
      <c r="LWZ136" s="221"/>
      <c r="LXA136" s="258"/>
      <c r="LXB136" s="270"/>
      <c r="LXC136" s="271"/>
      <c r="LXD136" s="271"/>
      <c r="LXE136" s="271"/>
      <c r="LXF136" s="221"/>
      <c r="LXG136" s="221"/>
      <c r="LXH136" s="221"/>
      <c r="LXI136" s="258"/>
      <c r="LXJ136" s="270"/>
      <c r="LXK136" s="271"/>
      <c r="LXL136" s="271"/>
      <c r="LXM136" s="271"/>
      <c r="LXN136" s="221"/>
      <c r="LXO136" s="221"/>
      <c r="LXP136" s="221"/>
      <c r="LXQ136" s="258"/>
      <c r="LXR136" s="270"/>
      <c r="LXS136" s="271"/>
      <c r="LXT136" s="271"/>
      <c r="LXU136" s="271"/>
      <c r="LXV136" s="221"/>
      <c r="LXW136" s="221"/>
      <c r="LXX136" s="221"/>
      <c r="LXY136" s="258"/>
      <c r="LXZ136" s="270"/>
      <c r="LYA136" s="271"/>
      <c r="LYB136" s="271"/>
      <c r="LYC136" s="271"/>
      <c r="LYD136" s="221"/>
      <c r="LYE136" s="221"/>
      <c r="LYF136" s="221"/>
      <c r="LYG136" s="258"/>
      <c r="LYH136" s="270"/>
      <c r="LYI136" s="271"/>
      <c r="LYJ136" s="271"/>
      <c r="LYK136" s="271"/>
      <c r="LYL136" s="221"/>
      <c r="LYM136" s="221"/>
      <c r="LYN136" s="221"/>
      <c r="LYO136" s="258"/>
      <c r="LYP136" s="270"/>
      <c r="LYQ136" s="271"/>
      <c r="LYR136" s="271"/>
      <c r="LYS136" s="271"/>
      <c r="LYT136" s="221"/>
      <c r="LYU136" s="221"/>
      <c r="LYV136" s="221"/>
      <c r="LYW136" s="258"/>
      <c r="LYX136" s="270"/>
      <c r="LYY136" s="271"/>
      <c r="LYZ136" s="271"/>
      <c r="LZA136" s="271"/>
      <c r="LZB136" s="221"/>
      <c r="LZC136" s="221"/>
      <c r="LZD136" s="221"/>
      <c r="LZE136" s="258"/>
      <c r="LZF136" s="270"/>
      <c r="LZG136" s="271"/>
      <c r="LZH136" s="271"/>
      <c r="LZI136" s="271"/>
      <c r="LZJ136" s="221"/>
      <c r="LZK136" s="221"/>
      <c r="LZL136" s="221"/>
      <c r="LZM136" s="258"/>
      <c r="LZN136" s="270"/>
      <c r="LZO136" s="271"/>
      <c r="LZP136" s="271"/>
      <c r="LZQ136" s="271"/>
      <c r="LZR136" s="221"/>
      <c r="LZS136" s="221"/>
      <c r="LZT136" s="221"/>
      <c r="LZU136" s="258"/>
      <c r="LZV136" s="270"/>
      <c r="LZW136" s="271"/>
      <c r="LZX136" s="271"/>
      <c r="LZY136" s="271"/>
      <c r="LZZ136" s="221"/>
      <c r="MAA136" s="221"/>
      <c r="MAB136" s="221"/>
      <c r="MAC136" s="258"/>
      <c r="MAD136" s="270"/>
      <c r="MAE136" s="271"/>
      <c r="MAF136" s="271"/>
      <c r="MAG136" s="271"/>
      <c r="MAH136" s="221"/>
      <c r="MAI136" s="221"/>
      <c r="MAJ136" s="221"/>
      <c r="MAK136" s="258"/>
      <c r="MAL136" s="270"/>
      <c r="MAM136" s="271"/>
      <c r="MAN136" s="271"/>
      <c r="MAO136" s="271"/>
      <c r="MAP136" s="221"/>
      <c r="MAQ136" s="221"/>
      <c r="MAR136" s="221"/>
      <c r="MAS136" s="258"/>
      <c r="MAT136" s="270"/>
      <c r="MAU136" s="271"/>
      <c r="MAV136" s="271"/>
      <c r="MAW136" s="271"/>
      <c r="MAX136" s="221"/>
      <c r="MAY136" s="221"/>
      <c r="MAZ136" s="221"/>
      <c r="MBA136" s="258"/>
      <c r="MBB136" s="270"/>
      <c r="MBC136" s="271"/>
      <c r="MBD136" s="271"/>
      <c r="MBE136" s="271"/>
      <c r="MBF136" s="221"/>
      <c r="MBG136" s="221"/>
      <c r="MBH136" s="221"/>
      <c r="MBI136" s="258"/>
      <c r="MBJ136" s="270"/>
      <c r="MBK136" s="271"/>
      <c r="MBL136" s="271"/>
      <c r="MBM136" s="271"/>
      <c r="MBN136" s="221"/>
      <c r="MBO136" s="221"/>
      <c r="MBP136" s="221"/>
      <c r="MBQ136" s="258"/>
      <c r="MBR136" s="270"/>
      <c r="MBS136" s="271"/>
      <c r="MBT136" s="271"/>
      <c r="MBU136" s="271"/>
      <c r="MBV136" s="221"/>
      <c r="MBW136" s="221"/>
      <c r="MBX136" s="221"/>
      <c r="MBY136" s="258"/>
      <c r="MBZ136" s="270"/>
      <c r="MCA136" s="271"/>
      <c r="MCB136" s="271"/>
      <c r="MCC136" s="271"/>
      <c r="MCD136" s="221"/>
      <c r="MCE136" s="221"/>
      <c r="MCF136" s="221"/>
      <c r="MCG136" s="258"/>
      <c r="MCH136" s="270"/>
      <c r="MCI136" s="271"/>
      <c r="MCJ136" s="271"/>
      <c r="MCK136" s="271"/>
      <c r="MCL136" s="221"/>
      <c r="MCM136" s="221"/>
      <c r="MCN136" s="221"/>
      <c r="MCO136" s="258"/>
      <c r="MCP136" s="270"/>
      <c r="MCQ136" s="271"/>
      <c r="MCR136" s="271"/>
      <c r="MCS136" s="271"/>
      <c r="MCT136" s="221"/>
      <c r="MCU136" s="221"/>
      <c r="MCV136" s="221"/>
      <c r="MCW136" s="258"/>
      <c r="MCX136" s="270"/>
      <c r="MCY136" s="271"/>
      <c r="MCZ136" s="271"/>
      <c r="MDA136" s="271"/>
      <c r="MDB136" s="221"/>
      <c r="MDC136" s="221"/>
      <c r="MDD136" s="221"/>
      <c r="MDE136" s="258"/>
      <c r="MDF136" s="270"/>
      <c r="MDG136" s="271"/>
      <c r="MDH136" s="271"/>
      <c r="MDI136" s="271"/>
      <c r="MDJ136" s="221"/>
      <c r="MDK136" s="221"/>
      <c r="MDL136" s="221"/>
      <c r="MDM136" s="258"/>
      <c r="MDN136" s="270"/>
      <c r="MDO136" s="271"/>
      <c r="MDP136" s="271"/>
      <c r="MDQ136" s="271"/>
      <c r="MDR136" s="221"/>
      <c r="MDS136" s="221"/>
      <c r="MDT136" s="221"/>
      <c r="MDU136" s="258"/>
      <c r="MDV136" s="270"/>
      <c r="MDW136" s="271"/>
      <c r="MDX136" s="271"/>
      <c r="MDY136" s="271"/>
      <c r="MDZ136" s="221"/>
      <c r="MEA136" s="221"/>
      <c r="MEB136" s="221"/>
      <c r="MEC136" s="258"/>
      <c r="MED136" s="270"/>
      <c r="MEE136" s="271"/>
      <c r="MEF136" s="271"/>
      <c r="MEG136" s="271"/>
      <c r="MEH136" s="221"/>
      <c r="MEI136" s="221"/>
      <c r="MEJ136" s="221"/>
      <c r="MEK136" s="258"/>
      <c r="MEL136" s="270"/>
      <c r="MEM136" s="271"/>
      <c r="MEN136" s="271"/>
      <c r="MEO136" s="271"/>
      <c r="MEP136" s="221"/>
      <c r="MEQ136" s="221"/>
      <c r="MER136" s="221"/>
      <c r="MES136" s="258"/>
      <c r="MET136" s="270"/>
      <c r="MEU136" s="271"/>
      <c r="MEV136" s="271"/>
      <c r="MEW136" s="271"/>
      <c r="MEX136" s="221"/>
      <c r="MEY136" s="221"/>
      <c r="MEZ136" s="221"/>
      <c r="MFA136" s="258"/>
      <c r="MFB136" s="270"/>
      <c r="MFC136" s="271"/>
      <c r="MFD136" s="271"/>
      <c r="MFE136" s="271"/>
      <c r="MFF136" s="221"/>
      <c r="MFG136" s="221"/>
      <c r="MFH136" s="221"/>
      <c r="MFI136" s="258"/>
      <c r="MFJ136" s="270"/>
      <c r="MFK136" s="271"/>
      <c r="MFL136" s="271"/>
      <c r="MFM136" s="271"/>
      <c r="MFN136" s="221"/>
      <c r="MFO136" s="221"/>
      <c r="MFP136" s="221"/>
      <c r="MFQ136" s="258"/>
      <c r="MFR136" s="270"/>
      <c r="MFS136" s="271"/>
      <c r="MFT136" s="271"/>
      <c r="MFU136" s="271"/>
      <c r="MFV136" s="221"/>
      <c r="MFW136" s="221"/>
      <c r="MFX136" s="221"/>
      <c r="MFY136" s="258"/>
      <c r="MFZ136" s="270"/>
      <c r="MGA136" s="271"/>
      <c r="MGB136" s="271"/>
      <c r="MGC136" s="271"/>
      <c r="MGD136" s="221"/>
      <c r="MGE136" s="221"/>
      <c r="MGF136" s="221"/>
      <c r="MGG136" s="258"/>
      <c r="MGH136" s="270"/>
      <c r="MGI136" s="271"/>
      <c r="MGJ136" s="271"/>
      <c r="MGK136" s="271"/>
      <c r="MGL136" s="221"/>
      <c r="MGM136" s="221"/>
      <c r="MGN136" s="221"/>
      <c r="MGO136" s="258"/>
      <c r="MGP136" s="270"/>
      <c r="MGQ136" s="271"/>
      <c r="MGR136" s="271"/>
      <c r="MGS136" s="271"/>
      <c r="MGT136" s="221"/>
      <c r="MGU136" s="221"/>
      <c r="MGV136" s="221"/>
      <c r="MGW136" s="258"/>
      <c r="MGX136" s="270"/>
      <c r="MGY136" s="271"/>
      <c r="MGZ136" s="271"/>
      <c r="MHA136" s="271"/>
      <c r="MHB136" s="221"/>
      <c r="MHC136" s="221"/>
      <c r="MHD136" s="221"/>
      <c r="MHE136" s="258"/>
      <c r="MHF136" s="270"/>
      <c r="MHG136" s="271"/>
      <c r="MHH136" s="271"/>
      <c r="MHI136" s="271"/>
      <c r="MHJ136" s="221"/>
      <c r="MHK136" s="221"/>
      <c r="MHL136" s="221"/>
      <c r="MHM136" s="258"/>
      <c r="MHN136" s="270"/>
      <c r="MHO136" s="271"/>
      <c r="MHP136" s="271"/>
      <c r="MHQ136" s="271"/>
      <c r="MHR136" s="221"/>
      <c r="MHS136" s="221"/>
      <c r="MHT136" s="221"/>
      <c r="MHU136" s="258"/>
      <c r="MHV136" s="270"/>
      <c r="MHW136" s="271"/>
      <c r="MHX136" s="271"/>
      <c r="MHY136" s="271"/>
      <c r="MHZ136" s="221"/>
      <c r="MIA136" s="221"/>
      <c r="MIB136" s="221"/>
      <c r="MIC136" s="258"/>
      <c r="MID136" s="270"/>
      <c r="MIE136" s="271"/>
      <c r="MIF136" s="271"/>
      <c r="MIG136" s="271"/>
      <c r="MIH136" s="221"/>
      <c r="MII136" s="221"/>
      <c r="MIJ136" s="221"/>
      <c r="MIK136" s="258"/>
      <c r="MIL136" s="270"/>
      <c r="MIM136" s="271"/>
      <c r="MIN136" s="271"/>
      <c r="MIO136" s="271"/>
      <c r="MIP136" s="221"/>
      <c r="MIQ136" s="221"/>
      <c r="MIR136" s="221"/>
      <c r="MIS136" s="258"/>
      <c r="MIT136" s="270"/>
      <c r="MIU136" s="271"/>
      <c r="MIV136" s="271"/>
      <c r="MIW136" s="271"/>
      <c r="MIX136" s="221"/>
      <c r="MIY136" s="221"/>
      <c r="MIZ136" s="221"/>
      <c r="MJA136" s="258"/>
      <c r="MJB136" s="270"/>
      <c r="MJC136" s="271"/>
      <c r="MJD136" s="271"/>
      <c r="MJE136" s="271"/>
      <c r="MJF136" s="221"/>
      <c r="MJG136" s="221"/>
      <c r="MJH136" s="221"/>
      <c r="MJI136" s="258"/>
      <c r="MJJ136" s="270"/>
      <c r="MJK136" s="271"/>
      <c r="MJL136" s="271"/>
      <c r="MJM136" s="271"/>
      <c r="MJN136" s="221"/>
      <c r="MJO136" s="221"/>
      <c r="MJP136" s="221"/>
      <c r="MJQ136" s="258"/>
      <c r="MJR136" s="270"/>
      <c r="MJS136" s="271"/>
      <c r="MJT136" s="271"/>
      <c r="MJU136" s="271"/>
      <c r="MJV136" s="221"/>
      <c r="MJW136" s="221"/>
      <c r="MJX136" s="221"/>
      <c r="MJY136" s="258"/>
      <c r="MJZ136" s="270"/>
      <c r="MKA136" s="271"/>
      <c r="MKB136" s="271"/>
      <c r="MKC136" s="271"/>
      <c r="MKD136" s="221"/>
      <c r="MKE136" s="221"/>
      <c r="MKF136" s="221"/>
      <c r="MKG136" s="258"/>
      <c r="MKH136" s="270"/>
      <c r="MKI136" s="271"/>
      <c r="MKJ136" s="271"/>
      <c r="MKK136" s="271"/>
      <c r="MKL136" s="221"/>
      <c r="MKM136" s="221"/>
      <c r="MKN136" s="221"/>
      <c r="MKO136" s="258"/>
      <c r="MKP136" s="270"/>
      <c r="MKQ136" s="271"/>
      <c r="MKR136" s="271"/>
      <c r="MKS136" s="271"/>
      <c r="MKT136" s="221"/>
      <c r="MKU136" s="221"/>
      <c r="MKV136" s="221"/>
      <c r="MKW136" s="258"/>
      <c r="MKX136" s="270"/>
      <c r="MKY136" s="271"/>
      <c r="MKZ136" s="271"/>
      <c r="MLA136" s="271"/>
      <c r="MLB136" s="221"/>
      <c r="MLC136" s="221"/>
      <c r="MLD136" s="221"/>
      <c r="MLE136" s="258"/>
      <c r="MLF136" s="270"/>
      <c r="MLG136" s="271"/>
      <c r="MLH136" s="271"/>
      <c r="MLI136" s="271"/>
      <c r="MLJ136" s="221"/>
      <c r="MLK136" s="221"/>
      <c r="MLL136" s="221"/>
      <c r="MLM136" s="258"/>
      <c r="MLN136" s="270"/>
      <c r="MLO136" s="271"/>
      <c r="MLP136" s="271"/>
      <c r="MLQ136" s="271"/>
      <c r="MLR136" s="221"/>
      <c r="MLS136" s="221"/>
      <c r="MLT136" s="221"/>
      <c r="MLU136" s="258"/>
      <c r="MLV136" s="270"/>
      <c r="MLW136" s="271"/>
      <c r="MLX136" s="271"/>
      <c r="MLY136" s="271"/>
      <c r="MLZ136" s="221"/>
      <c r="MMA136" s="221"/>
      <c r="MMB136" s="221"/>
      <c r="MMC136" s="258"/>
      <c r="MMD136" s="270"/>
      <c r="MME136" s="271"/>
      <c r="MMF136" s="271"/>
      <c r="MMG136" s="271"/>
      <c r="MMH136" s="221"/>
      <c r="MMI136" s="221"/>
      <c r="MMJ136" s="221"/>
      <c r="MMK136" s="258"/>
      <c r="MML136" s="270"/>
      <c r="MMM136" s="271"/>
      <c r="MMN136" s="271"/>
      <c r="MMO136" s="271"/>
      <c r="MMP136" s="221"/>
      <c r="MMQ136" s="221"/>
      <c r="MMR136" s="221"/>
      <c r="MMS136" s="258"/>
      <c r="MMT136" s="270"/>
      <c r="MMU136" s="271"/>
      <c r="MMV136" s="271"/>
      <c r="MMW136" s="271"/>
      <c r="MMX136" s="221"/>
      <c r="MMY136" s="221"/>
      <c r="MMZ136" s="221"/>
      <c r="MNA136" s="258"/>
      <c r="MNB136" s="270"/>
      <c r="MNC136" s="271"/>
      <c r="MND136" s="271"/>
      <c r="MNE136" s="271"/>
      <c r="MNF136" s="221"/>
      <c r="MNG136" s="221"/>
      <c r="MNH136" s="221"/>
      <c r="MNI136" s="258"/>
      <c r="MNJ136" s="270"/>
      <c r="MNK136" s="271"/>
      <c r="MNL136" s="271"/>
      <c r="MNM136" s="271"/>
      <c r="MNN136" s="221"/>
      <c r="MNO136" s="221"/>
      <c r="MNP136" s="221"/>
      <c r="MNQ136" s="258"/>
      <c r="MNR136" s="270"/>
      <c r="MNS136" s="271"/>
      <c r="MNT136" s="271"/>
      <c r="MNU136" s="271"/>
      <c r="MNV136" s="221"/>
      <c r="MNW136" s="221"/>
      <c r="MNX136" s="221"/>
      <c r="MNY136" s="258"/>
      <c r="MNZ136" s="270"/>
      <c r="MOA136" s="271"/>
      <c r="MOB136" s="271"/>
      <c r="MOC136" s="271"/>
      <c r="MOD136" s="221"/>
      <c r="MOE136" s="221"/>
      <c r="MOF136" s="221"/>
      <c r="MOG136" s="258"/>
      <c r="MOH136" s="270"/>
      <c r="MOI136" s="271"/>
      <c r="MOJ136" s="271"/>
      <c r="MOK136" s="271"/>
      <c r="MOL136" s="221"/>
      <c r="MOM136" s="221"/>
      <c r="MON136" s="221"/>
      <c r="MOO136" s="258"/>
      <c r="MOP136" s="270"/>
      <c r="MOQ136" s="271"/>
      <c r="MOR136" s="271"/>
      <c r="MOS136" s="271"/>
      <c r="MOT136" s="221"/>
      <c r="MOU136" s="221"/>
      <c r="MOV136" s="221"/>
      <c r="MOW136" s="258"/>
      <c r="MOX136" s="270"/>
      <c r="MOY136" s="271"/>
      <c r="MOZ136" s="271"/>
      <c r="MPA136" s="271"/>
      <c r="MPB136" s="221"/>
      <c r="MPC136" s="221"/>
      <c r="MPD136" s="221"/>
      <c r="MPE136" s="258"/>
      <c r="MPF136" s="270"/>
      <c r="MPG136" s="271"/>
      <c r="MPH136" s="271"/>
      <c r="MPI136" s="271"/>
      <c r="MPJ136" s="221"/>
      <c r="MPK136" s="221"/>
      <c r="MPL136" s="221"/>
      <c r="MPM136" s="258"/>
      <c r="MPN136" s="270"/>
      <c r="MPO136" s="271"/>
      <c r="MPP136" s="271"/>
      <c r="MPQ136" s="271"/>
      <c r="MPR136" s="221"/>
      <c r="MPS136" s="221"/>
      <c r="MPT136" s="221"/>
      <c r="MPU136" s="258"/>
      <c r="MPV136" s="270"/>
      <c r="MPW136" s="271"/>
      <c r="MPX136" s="271"/>
      <c r="MPY136" s="271"/>
      <c r="MPZ136" s="221"/>
      <c r="MQA136" s="221"/>
      <c r="MQB136" s="221"/>
      <c r="MQC136" s="258"/>
      <c r="MQD136" s="270"/>
      <c r="MQE136" s="271"/>
      <c r="MQF136" s="271"/>
      <c r="MQG136" s="271"/>
      <c r="MQH136" s="221"/>
      <c r="MQI136" s="221"/>
      <c r="MQJ136" s="221"/>
      <c r="MQK136" s="258"/>
      <c r="MQL136" s="270"/>
      <c r="MQM136" s="271"/>
      <c r="MQN136" s="271"/>
      <c r="MQO136" s="271"/>
      <c r="MQP136" s="221"/>
      <c r="MQQ136" s="221"/>
      <c r="MQR136" s="221"/>
      <c r="MQS136" s="258"/>
      <c r="MQT136" s="270"/>
      <c r="MQU136" s="271"/>
      <c r="MQV136" s="271"/>
      <c r="MQW136" s="271"/>
      <c r="MQX136" s="221"/>
      <c r="MQY136" s="221"/>
      <c r="MQZ136" s="221"/>
      <c r="MRA136" s="258"/>
      <c r="MRB136" s="270"/>
      <c r="MRC136" s="271"/>
      <c r="MRD136" s="271"/>
      <c r="MRE136" s="271"/>
      <c r="MRF136" s="221"/>
      <c r="MRG136" s="221"/>
      <c r="MRH136" s="221"/>
      <c r="MRI136" s="258"/>
      <c r="MRJ136" s="270"/>
      <c r="MRK136" s="271"/>
      <c r="MRL136" s="271"/>
      <c r="MRM136" s="271"/>
      <c r="MRN136" s="221"/>
      <c r="MRO136" s="221"/>
      <c r="MRP136" s="221"/>
      <c r="MRQ136" s="258"/>
      <c r="MRR136" s="270"/>
      <c r="MRS136" s="271"/>
      <c r="MRT136" s="271"/>
      <c r="MRU136" s="271"/>
      <c r="MRV136" s="221"/>
      <c r="MRW136" s="221"/>
      <c r="MRX136" s="221"/>
      <c r="MRY136" s="258"/>
      <c r="MRZ136" s="270"/>
      <c r="MSA136" s="271"/>
      <c r="MSB136" s="271"/>
      <c r="MSC136" s="271"/>
      <c r="MSD136" s="221"/>
      <c r="MSE136" s="221"/>
      <c r="MSF136" s="221"/>
      <c r="MSG136" s="258"/>
      <c r="MSH136" s="270"/>
      <c r="MSI136" s="271"/>
      <c r="MSJ136" s="271"/>
      <c r="MSK136" s="271"/>
      <c r="MSL136" s="221"/>
      <c r="MSM136" s="221"/>
      <c r="MSN136" s="221"/>
      <c r="MSO136" s="258"/>
      <c r="MSP136" s="270"/>
      <c r="MSQ136" s="271"/>
      <c r="MSR136" s="271"/>
      <c r="MSS136" s="271"/>
      <c r="MST136" s="221"/>
      <c r="MSU136" s="221"/>
      <c r="MSV136" s="221"/>
      <c r="MSW136" s="258"/>
      <c r="MSX136" s="270"/>
      <c r="MSY136" s="271"/>
      <c r="MSZ136" s="271"/>
      <c r="MTA136" s="271"/>
      <c r="MTB136" s="221"/>
      <c r="MTC136" s="221"/>
      <c r="MTD136" s="221"/>
      <c r="MTE136" s="258"/>
      <c r="MTF136" s="270"/>
      <c r="MTG136" s="271"/>
      <c r="MTH136" s="271"/>
      <c r="MTI136" s="271"/>
      <c r="MTJ136" s="221"/>
      <c r="MTK136" s="221"/>
      <c r="MTL136" s="221"/>
      <c r="MTM136" s="258"/>
      <c r="MTN136" s="270"/>
      <c r="MTO136" s="271"/>
      <c r="MTP136" s="271"/>
      <c r="MTQ136" s="271"/>
      <c r="MTR136" s="221"/>
      <c r="MTS136" s="221"/>
      <c r="MTT136" s="221"/>
      <c r="MTU136" s="258"/>
      <c r="MTV136" s="270"/>
      <c r="MTW136" s="271"/>
      <c r="MTX136" s="271"/>
      <c r="MTY136" s="271"/>
      <c r="MTZ136" s="221"/>
      <c r="MUA136" s="221"/>
      <c r="MUB136" s="221"/>
      <c r="MUC136" s="258"/>
      <c r="MUD136" s="270"/>
      <c r="MUE136" s="271"/>
      <c r="MUF136" s="271"/>
      <c r="MUG136" s="271"/>
      <c r="MUH136" s="221"/>
      <c r="MUI136" s="221"/>
      <c r="MUJ136" s="221"/>
      <c r="MUK136" s="258"/>
      <c r="MUL136" s="270"/>
      <c r="MUM136" s="271"/>
      <c r="MUN136" s="271"/>
      <c r="MUO136" s="271"/>
      <c r="MUP136" s="221"/>
      <c r="MUQ136" s="221"/>
      <c r="MUR136" s="221"/>
      <c r="MUS136" s="258"/>
      <c r="MUT136" s="270"/>
      <c r="MUU136" s="271"/>
      <c r="MUV136" s="271"/>
      <c r="MUW136" s="271"/>
      <c r="MUX136" s="221"/>
      <c r="MUY136" s="221"/>
      <c r="MUZ136" s="221"/>
      <c r="MVA136" s="258"/>
      <c r="MVB136" s="270"/>
      <c r="MVC136" s="271"/>
      <c r="MVD136" s="271"/>
      <c r="MVE136" s="271"/>
      <c r="MVF136" s="221"/>
      <c r="MVG136" s="221"/>
      <c r="MVH136" s="221"/>
      <c r="MVI136" s="258"/>
      <c r="MVJ136" s="270"/>
      <c r="MVK136" s="271"/>
      <c r="MVL136" s="271"/>
      <c r="MVM136" s="271"/>
      <c r="MVN136" s="221"/>
      <c r="MVO136" s="221"/>
      <c r="MVP136" s="221"/>
      <c r="MVQ136" s="258"/>
      <c r="MVR136" s="270"/>
      <c r="MVS136" s="271"/>
      <c r="MVT136" s="271"/>
      <c r="MVU136" s="271"/>
      <c r="MVV136" s="221"/>
      <c r="MVW136" s="221"/>
      <c r="MVX136" s="221"/>
      <c r="MVY136" s="258"/>
      <c r="MVZ136" s="270"/>
      <c r="MWA136" s="271"/>
      <c r="MWB136" s="271"/>
      <c r="MWC136" s="271"/>
      <c r="MWD136" s="221"/>
      <c r="MWE136" s="221"/>
      <c r="MWF136" s="221"/>
      <c r="MWG136" s="258"/>
      <c r="MWH136" s="270"/>
      <c r="MWI136" s="271"/>
      <c r="MWJ136" s="271"/>
      <c r="MWK136" s="271"/>
      <c r="MWL136" s="221"/>
      <c r="MWM136" s="221"/>
      <c r="MWN136" s="221"/>
      <c r="MWO136" s="258"/>
      <c r="MWP136" s="270"/>
      <c r="MWQ136" s="271"/>
      <c r="MWR136" s="271"/>
      <c r="MWS136" s="271"/>
      <c r="MWT136" s="221"/>
      <c r="MWU136" s="221"/>
      <c r="MWV136" s="221"/>
      <c r="MWW136" s="258"/>
      <c r="MWX136" s="270"/>
      <c r="MWY136" s="271"/>
      <c r="MWZ136" s="271"/>
      <c r="MXA136" s="271"/>
      <c r="MXB136" s="221"/>
      <c r="MXC136" s="221"/>
      <c r="MXD136" s="221"/>
      <c r="MXE136" s="258"/>
      <c r="MXF136" s="270"/>
      <c r="MXG136" s="271"/>
      <c r="MXH136" s="271"/>
      <c r="MXI136" s="271"/>
      <c r="MXJ136" s="221"/>
      <c r="MXK136" s="221"/>
      <c r="MXL136" s="221"/>
      <c r="MXM136" s="258"/>
      <c r="MXN136" s="270"/>
      <c r="MXO136" s="271"/>
      <c r="MXP136" s="271"/>
      <c r="MXQ136" s="271"/>
      <c r="MXR136" s="221"/>
      <c r="MXS136" s="221"/>
      <c r="MXT136" s="221"/>
      <c r="MXU136" s="258"/>
      <c r="MXV136" s="270"/>
      <c r="MXW136" s="271"/>
      <c r="MXX136" s="271"/>
      <c r="MXY136" s="271"/>
      <c r="MXZ136" s="221"/>
      <c r="MYA136" s="221"/>
      <c r="MYB136" s="221"/>
      <c r="MYC136" s="258"/>
      <c r="MYD136" s="270"/>
      <c r="MYE136" s="271"/>
      <c r="MYF136" s="271"/>
      <c r="MYG136" s="271"/>
      <c r="MYH136" s="221"/>
      <c r="MYI136" s="221"/>
      <c r="MYJ136" s="221"/>
      <c r="MYK136" s="258"/>
      <c r="MYL136" s="270"/>
      <c r="MYM136" s="271"/>
      <c r="MYN136" s="271"/>
      <c r="MYO136" s="271"/>
      <c r="MYP136" s="221"/>
      <c r="MYQ136" s="221"/>
      <c r="MYR136" s="221"/>
      <c r="MYS136" s="258"/>
      <c r="MYT136" s="270"/>
      <c r="MYU136" s="271"/>
      <c r="MYV136" s="271"/>
      <c r="MYW136" s="271"/>
      <c r="MYX136" s="221"/>
      <c r="MYY136" s="221"/>
      <c r="MYZ136" s="221"/>
      <c r="MZA136" s="258"/>
      <c r="MZB136" s="270"/>
      <c r="MZC136" s="271"/>
      <c r="MZD136" s="271"/>
      <c r="MZE136" s="271"/>
      <c r="MZF136" s="221"/>
      <c r="MZG136" s="221"/>
      <c r="MZH136" s="221"/>
      <c r="MZI136" s="258"/>
      <c r="MZJ136" s="270"/>
      <c r="MZK136" s="271"/>
      <c r="MZL136" s="271"/>
      <c r="MZM136" s="271"/>
      <c r="MZN136" s="221"/>
      <c r="MZO136" s="221"/>
      <c r="MZP136" s="221"/>
      <c r="MZQ136" s="258"/>
      <c r="MZR136" s="270"/>
      <c r="MZS136" s="271"/>
      <c r="MZT136" s="271"/>
      <c r="MZU136" s="271"/>
      <c r="MZV136" s="221"/>
      <c r="MZW136" s="221"/>
      <c r="MZX136" s="221"/>
      <c r="MZY136" s="258"/>
      <c r="MZZ136" s="270"/>
      <c r="NAA136" s="271"/>
      <c r="NAB136" s="271"/>
      <c r="NAC136" s="271"/>
      <c r="NAD136" s="221"/>
      <c r="NAE136" s="221"/>
      <c r="NAF136" s="221"/>
      <c r="NAG136" s="258"/>
      <c r="NAH136" s="270"/>
      <c r="NAI136" s="271"/>
      <c r="NAJ136" s="271"/>
      <c r="NAK136" s="271"/>
      <c r="NAL136" s="221"/>
      <c r="NAM136" s="221"/>
      <c r="NAN136" s="221"/>
      <c r="NAO136" s="258"/>
      <c r="NAP136" s="270"/>
      <c r="NAQ136" s="271"/>
      <c r="NAR136" s="271"/>
      <c r="NAS136" s="271"/>
      <c r="NAT136" s="221"/>
      <c r="NAU136" s="221"/>
      <c r="NAV136" s="221"/>
      <c r="NAW136" s="258"/>
      <c r="NAX136" s="270"/>
      <c r="NAY136" s="271"/>
      <c r="NAZ136" s="271"/>
      <c r="NBA136" s="271"/>
      <c r="NBB136" s="221"/>
      <c r="NBC136" s="221"/>
      <c r="NBD136" s="221"/>
      <c r="NBE136" s="258"/>
      <c r="NBF136" s="270"/>
      <c r="NBG136" s="271"/>
      <c r="NBH136" s="271"/>
      <c r="NBI136" s="271"/>
      <c r="NBJ136" s="221"/>
      <c r="NBK136" s="221"/>
      <c r="NBL136" s="221"/>
      <c r="NBM136" s="258"/>
      <c r="NBN136" s="270"/>
      <c r="NBO136" s="271"/>
      <c r="NBP136" s="271"/>
      <c r="NBQ136" s="271"/>
      <c r="NBR136" s="221"/>
      <c r="NBS136" s="221"/>
      <c r="NBT136" s="221"/>
      <c r="NBU136" s="258"/>
      <c r="NBV136" s="270"/>
      <c r="NBW136" s="271"/>
      <c r="NBX136" s="271"/>
      <c r="NBY136" s="271"/>
      <c r="NBZ136" s="221"/>
      <c r="NCA136" s="221"/>
      <c r="NCB136" s="221"/>
      <c r="NCC136" s="258"/>
      <c r="NCD136" s="270"/>
      <c r="NCE136" s="271"/>
      <c r="NCF136" s="271"/>
      <c r="NCG136" s="271"/>
      <c r="NCH136" s="221"/>
      <c r="NCI136" s="221"/>
      <c r="NCJ136" s="221"/>
      <c r="NCK136" s="258"/>
      <c r="NCL136" s="270"/>
      <c r="NCM136" s="271"/>
      <c r="NCN136" s="271"/>
      <c r="NCO136" s="271"/>
      <c r="NCP136" s="221"/>
      <c r="NCQ136" s="221"/>
      <c r="NCR136" s="221"/>
      <c r="NCS136" s="258"/>
      <c r="NCT136" s="270"/>
      <c r="NCU136" s="271"/>
      <c r="NCV136" s="271"/>
      <c r="NCW136" s="271"/>
      <c r="NCX136" s="221"/>
      <c r="NCY136" s="221"/>
      <c r="NCZ136" s="221"/>
      <c r="NDA136" s="258"/>
      <c r="NDB136" s="270"/>
      <c r="NDC136" s="271"/>
      <c r="NDD136" s="271"/>
      <c r="NDE136" s="271"/>
      <c r="NDF136" s="221"/>
      <c r="NDG136" s="221"/>
      <c r="NDH136" s="221"/>
      <c r="NDI136" s="258"/>
      <c r="NDJ136" s="270"/>
      <c r="NDK136" s="271"/>
      <c r="NDL136" s="271"/>
      <c r="NDM136" s="271"/>
      <c r="NDN136" s="221"/>
      <c r="NDO136" s="221"/>
      <c r="NDP136" s="221"/>
      <c r="NDQ136" s="258"/>
      <c r="NDR136" s="270"/>
      <c r="NDS136" s="271"/>
      <c r="NDT136" s="271"/>
      <c r="NDU136" s="271"/>
      <c r="NDV136" s="221"/>
      <c r="NDW136" s="221"/>
      <c r="NDX136" s="221"/>
      <c r="NDY136" s="258"/>
      <c r="NDZ136" s="270"/>
      <c r="NEA136" s="271"/>
      <c r="NEB136" s="271"/>
      <c r="NEC136" s="271"/>
      <c r="NED136" s="221"/>
      <c r="NEE136" s="221"/>
      <c r="NEF136" s="221"/>
      <c r="NEG136" s="258"/>
      <c r="NEH136" s="270"/>
      <c r="NEI136" s="271"/>
      <c r="NEJ136" s="271"/>
      <c r="NEK136" s="271"/>
      <c r="NEL136" s="221"/>
      <c r="NEM136" s="221"/>
      <c r="NEN136" s="221"/>
      <c r="NEO136" s="258"/>
      <c r="NEP136" s="270"/>
      <c r="NEQ136" s="271"/>
      <c r="NER136" s="271"/>
      <c r="NES136" s="271"/>
      <c r="NET136" s="221"/>
      <c r="NEU136" s="221"/>
      <c r="NEV136" s="221"/>
      <c r="NEW136" s="258"/>
      <c r="NEX136" s="270"/>
      <c r="NEY136" s="271"/>
      <c r="NEZ136" s="271"/>
      <c r="NFA136" s="271"/>
      <c r="NFB136" s="221"/>
      <c r="NFC136" s="221"/>
      <c r="NFD136" s="221"/>
      <c r="NFE136" s="258"/>
      <c r="NFF136" s="270"/>
      <c r="NFG136" s="271"/>
      <c r="NFH136" s="271"/>
      <c r="NFI136" s="271"/>
      <c r="NFJ136" s="221"/>
      <c r="NFK136" s="221"/>
      <c r="NFL136" s="221"/>
      <c r="NFM136" s="258"/>
      <c r="NFN136" s="270"/>
      <c r="NFO136" s="271"/>
      <c r="NFP136" s="271"/>
      <c r="NFQ136" s="271"/>
      <c r="NFR136" s="221"/>
      <c r="NFS136" s="221"/>
      <c r="NFT136" s="221"/>
      <c r="NFU136" s="258"/>
      <c r="NFV136" s="270"/>
      <c r="NFW136" s="271"/>
      <c r="NFX136" s="271"/>
      <c r="NFY136" s="271"/>
      <c r="NFZ136" s="221"/>
      <c r="NGA136" s="221"/>
      <c r="NGB136" s="221"/>
      <c r="NGC136" s="258"/>
      <c r="NGD136" s="270"/>
      <c r="NGE136" s="271"/>
      <c r="NGF136" s="271"/>
      <c r="NGG136" s="271"/>
      <c r="NGH136" s="221"/>
      <c r="NGI136" s="221"/>
      <c r="NGJ136" s="221"/>
      <c r="NGK136" s="258"/>
      <c r="NGL136" s="270"/>
      <c r="NGM136" s="271"/>
      <c r="NGN136" s="271"/>
      <c r="NGO136" s="271"/>
      <c r="NGP136" s="221"/>
      <c r="NGQ136" s="221"/>
      <c r="NGR136" s="221"/>
      <c r="NGS136" s="258"/>
      <c r="NGT136" s="270"/>
      <c r="NGU136" s="271"/>
      <c r="NGV136" s="271"/>
      <c r="NGW136" s="271"/>
      <c r="NGX136" s="221"/>
      <c r="NGY136" s="221"/>
      <c r="NGZ136" s="221"/>
      <c r="NHA136" s="258"/>
      <c r="NHB136" s="270"/>
      <c r="NHC136" s="271"/>
      <c r="NHD136" s="271"/>
      <c r="NHE136" s="271"/>
      <c r="NHF136" s="221"/>
      <c r="NHG136" s="221"/>
      <c r="NHH136" s="221"/>
      <c r="NHI136" s="258"/>
      <c r="NHJ136" s="270"/>
      <c r="NHK136" s="271"/>
      <c r="NHL136" s="271"/>
      <c r="NHM136" s="271"/>
      <c r="NHN136" s="221"/>
      <c r="NHO136" s="221"/>
      <c r="NHP136" s="221"/>
      <c r="NHQ136" s="258"/>
      <c r="NHR136" s="270"/>
      <c r="NHS136" s="271"/>
      <c r="NHT136" s="271"/>
      <c r="NHU136" s="271"/>
      <c r="NHV136" s="221"/>
      <c r="NHW136" s="221"/>
      <c r="NHX136" s="221"/>
      <c r="NHY136" s="258"/>
      <c r="NHZ136" s="270"/>
      <c r="NIA136" s="271"/>
      <c r="NIB136" s="271"/>
      <c r="NIC136" s="271"/>
      <c r="NID136" s="221"/>
      <c r="NIE136" s="221"/>
      <c r="NIF136" s="221"/>
      <c r="NIG136" s="258"/>
      <c r="NIH136" s="270"/>
      <c r="NII136" s="271"/>
      <c r="NIJ136" s="271"/>
      <c r="NIK136" s="271"/>
      <c r="NIL136" s="221"/>
      <c r="NIM136" s="221"/>
      <c r="NIN136" s="221"/>
      <c r="NIO136" s="258"/>
      <c r="NIP136" s="270"/>
      <c r="NIQ136" s="271"/>
      <c r="NIR136" s="271"/>
      <c r="NIS136" s="271"/>
      <c r="NIT136" s="221"/>
      <c r="NIU136" s="221"/>
      <c r="NIV136" s="221"/>
      <c r="NIW136" s="258"/>
      <c r="NIX136" s="270"/>
      <c r="NIY136" s="271"/>
      <c r="NIZ136" s="271"/>
      <c r="NJA136" s="271"/>
      <c r="NJB136" s="221"/>
      <c r="NJC136" s="221"/>
      <c r="NJD136" s="221"/>
      <c r="NJE136" s="258"/>
      <c r="NJF136" s="270"/>
      <c r="NJG136" s="271"/>
      <c r="NJH136" s="271"/>
      <c r="NJI136" s="271"/>
      <c r="NJJ136" s="221"/>
      <c r="NJK136" s="221"/>
      <c r="NJL136" s="221"/>
      <c r="NJM136" s="258"/>
      <c r="NJN136" s="270"/>
      <c r="NJO136" s="271"/>
      <c r="NJP136" s="271"/>
      <c r="NJQ136" s="271"/>
      <c r="NJR136" s="221"/>
      <c r="NJS136" s="221"/>
      <c r="NJT136" s="221"/>
      <c r="NJU136" s="258"/>
      <c r="NJV136" s="270"/>
      <c r="NJW136" s="271"/>
      <c r="NJX136" s="271"/>
      <c r="NJY136" s="271"/>
      <c r="NJZ136" s="221"/>
      <c r="NKA136" s="221"/>
      <c r="NKB136" s="221"/>
      <c r="NKC136" s="258"/>
      <c r="NKD136" s="270"/>
      <c r="NKE136" s="271"/>
      <c r="NKF136" s="271"/>
      <c r="NKG136" s="271"/>
      <c r="NKH136" s="221"/>
      <c r="NKI136" s="221"/>
      <c r="NKJ136" s="221"/>
      <c r="NKK136" s="258"/>
      <c r="NKL136" s="270"/>
      <c r="NKM136" s="271"/>
      <c r="NKN136" s="271"/>
      <c r="NKO136" s="271"/>
      <c r="NKP136" s="221"/>
      <c r="NKQ136" s="221"/>
      <c r="NKR136" s="221"/>
      <c r="NKS136" s="258"/>
      <c r="NKT136" s="270"/>
      <c r="NKU136" s="271"/>
      <c r="NKV136" s="271"/>
      <c r="NKW136" s="271"/>
      <c r="NKX136" s="221"/>
      <c r="NKY136" s="221"/>
      <c r="NKZ136" s="221"/>
      <c r="NLA136" s="258"/>
      <c r="NLB136" s="270"/>
      <c r="NLC136" s="271"/>
      <c r="NLD136" s="271"/>
      <c r="NLE136" s="271"/>
      <c r="NLF136" s="221"/>
      <c r="NLG136" s="221"/>
      <c r="NLH136" s="221"/>
      <c r="NLI136" s="258"/>
      <c r="NLJ136" s="270"/>
      <c r="NLK136" s="271"/>
      <c r="NLL136" s="271"/>
      <c r="NLM136" s="271"/>
      <c r="NLN136" s="221"/>
      <c r="NLO136" s="221"/>
      <c r="NLP136" s="221"/>
      <c r="NLQ136" s="258"/>
      <c r="NLR136" s="270"/>
      <c r="NLS136" s="271"/>
      <c r="NLT136" s="271"/>
      <c r="NLU136" s="271"/>
      <c r="NLV136" s="221"/>
      <c r="NLW136" s="221"/>
      <c r="NLX136" s="221"/>
      <c r="NLY136" s="258"/>
      <c r="NLZ136" s="270"/>
      <c r="NMA136" s="271"/>
      <c r="NMB136" s="271"/>
      <c r="NMC136" s="271"/>
      <c r="NMD136" s="221"/>
      <c r="NME136" s="221"/>
      <c r="NMF136" s="221"/>
      <c r="NMG136" s="258"/>
      <c r="NMH136" s="270"/>
      <c r="NMI136" s="271"/>
      <c r="NMJ136" s="271"/>
      <c r="NMK136" s="271"/>
      <c r="NML136" s="221"/>
      <c r="NMM136" s="221"/>
      <c r="NMN136" s="221"/>
      <c r="NMO136" s="258"/>
      <c r="NMP136" s="270"/>
      <c r="NMQ136" s="271"/>
      <c r="NMR136" s="271"/>
      <c r="NMS136" s="271"/>
      <c r="NMT136" s="221"/>
      <c r="NMU136" s="221"/>
      <c r="NMV136" s="221"/>
      <c r="NMW136" s="258"/>
      <c r="NMX136" s="270"/>
      <c r="NMY136" s="271"/>
      <c r="NMZ136" s="271"/>
      <c r="NNA136" s="271"/>
      <c r="NNB136" s="221"/>
      <c r="NNC136" s="221"/>
      <c r="NND136" s="221"/>
      <c r="NNE136" s="258"/>
      <c r="NNF136" s="270"/>
      <c r="NNG136" s="271"/>
      <c r="NNH136" s="271"/>
      <c r="NNI136" s="271"/>
      <c r="NNJ136" s="221"/>
      <c r="NNK136" s="221"/>
      <c r="NNL136" s="221"/>
      <c r="NNM136" s="258"/>
      <c r="NNN136" s="270"/>
      <c r="NNO136" s="271"/>
      <c r="NNP136" s="271"/>
      <c r="NNQ136" s="271"/>
      <c r="NNR136" s="221"/>
      <c r="NNS136" s="221"/>
      <c r="NNT136" s="221"/>
      <c r="NNU136" s="258"/>
      <c r="NNV136" s="270"/>
      <c r="NNW136" s="271"/>
      <c r="NNX136" s="271"/>
      <c r="NNY136" s="271"/>
      <c r="NNZ136" s="221"/>
      <c r="NOA136" s="221"/>
      <c r="NOB136" s="221"/>
      <c r="NOC136" s="258"/>
      <c r="NOD136" s="270"/>
      <c r="NOE136" s="271"/>
      <c r="NOF136" s="271"/>
      <c r="NOG136" s="271"/>
      <c r="NOH136" s="221"/>
      <c r="NOI136" s="221"/>
      <c r="NOJ136" s="221"/>
      <c r="NOK136" s="258"/>
      <c r="NOL136" s="270"/>
      <c r="NOM136" s="271"/>
      <c r="NON136" s="271"/>
      <c r="NOO136" s="271"/>
      <c r="NOP136" s="221"/>
      <c r="NOQ136" s="221"/>
      <c r="NOR136" s="221"/>
      <c r="NOS136" s="258"/>
      <c r="NOT136" s="270"/>
      <c r="NOU136" s="271"/>
      <c r="NOV136" s="271"/>
      <c r="NOW136" s="271"/>
      <c r="NOX136" s="221"/>
      <c r="NOY136" s="221"/>
      <c r="NOZ136" s="221"/>
      <c r="NPA136" s="258"/>
      <c r="NPB136" s="270"/>
      <c r="NPC136" s="271"/>
      <c r="NPD136" s="271"/>
      <c r="NPE136" s="271"/>
      <c r="NPF136" s="221"/>
      <c r="NPG136" s="221"/>
      <c r="NPH136" s="221"/>
      <c r="NPI136" s="258"/>
      <c r="NPJ136" s="270"/>
      <c r="NPK136" s="271"/>
      <c r="NPL136" s="271"/>
      <c r="NPM136" s="271"/>
      <c r="NPN136" s="221"/>
      <c r="NPO136" s="221"/>
      <c r="NPP136" s="221"/>
      <c r="NPQ136" s="258"/>
      <c r="NPR136" s="270"/>
      <c r="NPS136" s="271"/>
      <c r="NPT136" s="271"/>
      <c r="NPU136" s="271"/>
      <c r="NPV136" s="221"/>
      <c r="NPW136" s="221"/>
      <c r="NPX136" s="221"/>
      <c r="NPY136" s="258"/>
      <c r="NPZ136" s="270"/>
      <c r="NQA136" s="271"/>
      <c r="NQB136" s="271"/>
      <c r="NQC136" s="271"/>
      <c r="NQD136" s="221"/>
      <c r="NQE136" s="221"/>
      <c r="NQF136" s="221"/>
      <c r="NQG136" s="258"/>
      <c r="NQH136" s="270"/>
      <c r="NQI136" s="271"/>
      <c r="NQJ136" s="271"/>
      <c r="NQK136" s="271"/>
      <c r="NQL136" s="221"/>
      <c r="NQM136" s="221"/>
      <c r="NQN136" s="221"/>
      <c r="NQO136" s="258"/>
      <c r="NQP136" s="270"/>
      <c r="NQQ136" s="271"/>
      <c r="NQR136" s="271"/>
      <c r="NQS136" s="271"/>
      <c r="NQT136" s="221"/>
      <c r="NQU136" s="221"/>
      <c r="NQV136" s="221"/>
      <c r="NQW136" s="258"/>
      <c r="NQX136" s="270"/>
      <c r="NQY136" s="271"/>
      <c r="NQZ136" s="271"/>
      <c r="NRA136" s="271"/>
      <c r="NRB136" s="221"/>
      <c r="NRC136" s="221"/>
      <c r="NRD136" s="221"/>
      <c r="NRE136" s="258"/>
      <c r="NRF136" s="270"/>
      <c r="NRG136" s="271"/>
      <c r="NRH136" s="271"/>
      <c r="NRI136" s="271"/>
      <c r="NRJ136" s="221"/>
      <c r="NRK136" s="221"/>
      <c r="NRL136" s="221"/>
      <c r="NRM136" s="258"/>
      <c r="NRN136" s="270"/>
      <c r="NRO136" s="271"/>
      <c r="NRP136" s="271"/>
      <c r="NRQ136" s="271"/>
      <c r="NRR136" s="221"/>
      <c r="NRS136" s="221"/>
      <c r="NRT136" s="221"/>
      <c r="NRU136" s="258"/>
      <c r="NRV136" s="270"/>
      <c r="NRW136" s="271"/>
      <c r="NRX136" s="271"/>
      <c r="NRY136" s="271"/>
      <c r="NRZ136" s="221"/>
      <c r="NSA136" s="221"/>
      <c r="NSB136" s="221"/>
      <c r="NSC136" s="258"/>
      <c r="NSD136" s="270"/>
      <c r="NSE136" s="271"/>
      <c r="NSF136" s="271"/>
      <c r="NSG136" s="271"/>
      <c r="NSH136" s="221"/>
      <c r="NSI136" s="221"/>
      <c r="NSJ136" s="221"/>
      <c r="NSK136" s="258"/>
      <c r="NSL136" s="270"/>
      <c r="NSM136" s="271"/>
      <c r="NSN136" s="271"/>
      <c r="NSO136" s="271"/>
      <c r="NSP136" s="221"/>
      <c r="NSQ136" s="221"/>
      <c r="NSR136" s="221"/>
      <c r="NSS136" s="258"/>
      <c r="NST136" s="270"/>
      <c r="NSU136" s="271"/>
      <c r="NSV136" s="271"/>
      <c r="NSW136" s="271"/>
      <c r="NSX136" s="221"/>
      <c r="NSY136" s="221"/>
      <c r="NSZ136" s="221"/>
      <c r="NTA136" s="258"/>
      <c r="NTB136" s="270"/>
      <c r="NTC136" s="271"/>
      <c r="NTD136" s="271"/>
      <c r="NTE136" s="271"/>
      <c r="NTF136" s="221"/>
      <c r="NTG136" s="221"/>
      <c r="NTH136" s="221"/>
      <c r="NTI136" s="258"/>
      <c r="NTJ136" s="270"/>
      <c r="NTK136" s="271"/>
      <c r="NTL136" s="271"/>
      <c r="NTM136" s="271"/>
      <c r="NTN136" s="221"/>
      <c r="NTO136" s="221"/>
      <c r="NTP136" s="221"/>
      <c r="NTQ136" s="258"/>
      <c r="NTR136" s="270"/>
      <c r="NTS136" s="271"/>
      <c r="NTT136" s="271"/>
      <c r="NTU136" s="271"/>
      <c r="NTV136" s="221"/>
      <c r="NTW136" s="221"/>
      <c r="NTX136" s="221"/>
      <c r="NTY136" s="258"/>
      <c r="NTZ136" s="270"/>
      <c r="NUA136" s="271"/>
      <c r="NUB136" s="271"/>
      <c r="NUC136" s="271"/>
      <c r="NUD136" s="221"/>
      <c r="NUE136" s="221"/>
      <c r="NUF136" s="221"/>
      <c r="NUG136" s="258"/>
      <c r="NUH136" s="270"/>
      <c r="NUI136" s="271"/>
      <c r="NUJ136" s="271"/>
      <c r="NUK136" s="271"/>
      <c r="NUL136" s="221"/>
      <c r="NUM136" s="221"/>
      <c r="NUN136" s="221"/>
      <c r="NUO136" s="258"/>
      <c r="NUP136" s="270"/>
      <c r="NUQ136" s="271"/>
      <c r="NUR136" s="271"/>
      <c r="NUS136" s="271"/>
      <c r="NUT136" s="221"/>
      <c r="NUU136" s="221"/>
      <c r="NUV136" s="221"/>
      <c r="NUW136" s="258"/>
      <c r="NUX136" s="270"/>
      <c r="NUY136" s="271"/>
      <c r="NUZ136" s="271"/>
      <c r="NVA136" s="271"/>
      <c r="NVB136" s="221"/>
      <c r="NVC136" s="221"/>
      <c r="NVD136" s="221"/>
      <c r="NVE136" s="258"/>
      <c r="NVF136" s="270"/>
      <c r="NVG136" s="271"/>
      <c r="NVH136" s="271"/>
      <c r="NVI136" s="271"/>
      <c r="NVJ136" s="221"/>
      <c r="NVK136" s="221"/>
      <c r="NVL136" s="221"/>
      <c r="NVM136" s="258"/>
      <c r="NVN136" s="270"/>
      <c r="NVO136" s="271"/>
      <c r="NVP136" s="271"/>
      <c r="NVQ136" s="271"/>
      <c r="NVR136" s="221"/>
      <c r="NVS136" s="221"/>
      <c r="NVT136" s="221"/>
      <c r="NVU136" s="258"/>
      <c r="NVV136" s="270"/>
      <c r="NVW136" s="271"/>
      <c r="NVX136" s="271"/>
      <c r="NVY136" s="271"/>
      <c r="NVZ136" s="221"/>
      <c r="NWA136" s="221"/>
      <c r="NWB136" s="221"/>
      <c r="NWC136" s="258"/>
      <c r="NWD136" s="270"/>
      <c r="NWE136" s="271"/>
      <c r="NWF136" s="271"/>
      <c r="NWG136" s="271"/>
      <c r="NWH136" s="221"/>
      <c r="NWI136" s="221"/>
      <c r="NWJ136" s="221"/>
      <c r="NWK136" s="258"/>
      <c r="NWL136" s="270"/>
      <c r="NWM136" s="271"/>
      <c r="NWN136" s="271"/>
      <c r="NWO136" s="271"/>
      <c r="NWP136" s="221"/>
      <c r="NWQ136" s="221"/>
      <c r="NWR136" s="221"/>
      <c r="NWS136" s="258"/>
      <c r="NWT136" s="270"/>
      <c r="NWU136" s="271"/>
      <c r="NWV136" s="271"/>
      <c r="NWW136" s="271"/>
      <c r="NWX136" s="221"/>
      <c r="NWY136" s="221"/>
      <c r="NWZ136" s="221"/>
      <c r="NXA136" s="258"/>
      <c r="NXB136" s="270"/>
      <c r="NXC136" s="271"/>
      <c r="NXD136" s="271"/>
      <c r="NXE136" s="271"/>
      <c r="NXF136" s="221"/>
      <c r="NXG136" s="221"/>
      <c r="NXH136" s="221"/>
      <c r="NXI136" s="258"/>
      <c r="NXJ136" s="270"/>
      <c r="NXK136" s="271"/>
      <c r="NXL136" s="271"/>
      <c r="NXM136" s="271"/>
      <c r="NXN136" s="221"/>
      <c r="NXO136" s="221"/>
      <c r="NXP136" s="221"/>
      <c r="NXQ136" s="258"/>
      <c r="NXR136" s="270"/>
      <c r="NXS136" s="271"/>
      <c r="NXT136" s="271"/>
      <c r="NXU136" s="271"/>
      <c r="NXV136" s="221"/>
      <c r="NXW136" s="221"/>
      <c r="NXX136" s="221"/>
      <c r="NXY136" s="258"/>
      <c r="NXZ136" s="270"/>
      <c r="NYA136" s="271"/>
      <c r="NYB136" s="271"/>
      <c r="NYC136" s="271"/>
      <c r="NYD136" s="221"/>
      <c r="NYE136" s="221"/>
      <c r="NYF136" s="221"/>
      <c r="NYG136" s="258"/>
      <c r="NYH136" s="270"/>
      <c r="NYI136" s="271"/>
      <c r="NYJ136" s="271"/>
      <c r="NYK136" s="271"/>
      <c r="NYL136" s="221"/>
      <c r="NYM136" s="221"/>
      <c r="NYN136" s="221"/>
      <c r="NYO136" s="258"/>
      <c r="NYP136" s="270"/>
      <c r="NYQ136" s="271"/>
      <c r="NYR136" s="271"/>
      <c r="NYS136" s="271"/>
      <c r="NYT136" s="221"/>
      <c r="NYU136" s="221"/>
      <c r="NYV136" s="221"/>
      <c r="NYW136" s="258"/>
      <c r="NYX136" s="270"/>
      <c r="NYY136" s="271"/>
      <c r="NYZ136" s="271"/>
      <c r="NZA136" s="271"/>
      <c r="NZB136" s="221"/>
      <c r="NZC136" s="221"/>
      <c r="NZD136" s="221"/>
      <c r="NZE136" s="258"/>
      <c r="NZF136" s="270"/>
      <c r="NZG136" s="271"/>
      <c r="NZH136" s="271"/>
      <c r="NZI136" s="271"/>
      <c r="NZJ136" s="221"/>
      <c r="NZK136" s="221"/>
      <c r="NZL136" s="221"/>
      <c r="NZM136" s="258"/>
      <c r="NZN136" s="270"/>
      <c r="NZO136" s="271"/>
      <c r="NZP136" s="271"/>
      <c r="NZQ136" s="271"/>
      <c r="NZR136" s="221"/>
      <c r="NZS136" s="221"/>
      <c r="NZT136" s="221"/>
      <c r="NZU136" s="258"/>
      <c r="NZV136" s="270"/>
      <c r="NZW136" s="271"/>
      <c r="NZX136" s="271"/>
      <c r="NZY136" s="271"/>
      <c r="NZZ136" s="221"/>
      <c r="OAA136" s="221"/>
      <c r="OAB136" s="221"/>
      <c r="OAC136" s="258"/>
      <c r="OAD136" s="270"/>
      <c r="OAE136" s="271"/>
      <c r="OAF136" s="271"/>
      <c r="OAG136" s="271"/>
      <c r="OAH136" s="221"/>
      <c r="OAI136" s="221"/>
      <c r="OAJ136" s="221"/>
      <c r="OAK136" s="258"/>
      <c r="OAL136" s="270"/>
      <c r="OAM136" s="271"/>
      <c r="OAN136" s="271"/>
      <c r="OAO136" s="271"/>
      <c r="OAP136" s="221"/>
      <c r="OAQ136" s="221"/>
      <c r="OAR136" s="221"/>
      <c r="OAS136" s="258"/>
      <c r="OAT136" s="270"/>
      <c r="OAU136" s="271"/>
      <c r="OAV136" s="271"/>
      <c r="OAW136" s="271"/>
      <c r="OAX136" s="221"/>
      <c r="OAY136" s="221"/>
      <c r="OAZ136" s="221"/>
      <c r="OBA136" s="258"/>
      <c r="OBB136" s="270"/>
      <c r="OBC136" s="271"/>
      <c r="OBD136" s="271"/>
      <c r="OBE136" s="271"/>
      <c r="OBF136" s="221"/>
      <c r="OBG136" s="221"/>
      <c r="OBH136" s="221"/>
      <c r="OBI136" s="258"/>
      <c r="OBJ136" s="270"/>
      <c r="OBK136" s="271"/>
      <c r="OBL136" s="271"/>
      <c r="OBM136" s="271"/>
      <c r="OBN136" s="221"/>
      <c r="OBO136" s="221"/>
      <c r="OBP136" s="221"/>
      <c r="OBQ136" s="258"/>
      <c r="OBR136" s="270"/>
      <c r="OBS136" s="271"/>
      <c r="OBT136" s="271"/>
      <c r="OBU136" s="271"/>
      <c r="OBV136" s="221"/>
      <c r="OBW136" s="221"/>
      <c r="OBX136" s="221"/>
      <c r="OBY136" s="258"/>
      <c r="OBZ136" s="270"/>
      <c r="OCA136" s="271"/>
      <c r="OCB136" s="271"/>
      <c r="OCC136" s="271"/>
      <c r="OCD136" s="221"/>
      <c r="OCE136" s="221"/>
      <c r="OCF136" s="221"/>
      <c r="OCG136" s="258"/>
      <c r="OCH136" s="270"/>
      <c r="OCI136" s="271"/>
      <c r="OCJ136" s="271"/>
      <c r="OCK136" s="271"/>
      <c r="OCL136" s="221"/>
      <c r="OCM136" s="221"/>
      <c r="OCN136" s="221"/>
      <c r="OCO136" s="258"/>
      <c r="OCP136" s="270"/>
      <c r="OCQ136" s="271"/>
      <c r="OCR136" s="271"/>
      <c r="OCS136" s="271"/>
      <c r="OCT136" s="221"/>
      <c r="OCU136" s="221"/>
      <c r="OCV136" s="221"/>
      <c r="OCW136" s="258"/>
      <c r="OCX136" s="270"/>
      <c r="OCY136" s="271"/>
      <c r="OCZ136" s="271"/>
      <c r="ODA136" s="271"/>
      <c r="ODB136" s="221"/>
      <c r="ODC136" s="221"/>
      <c r="ODD136" s="221"/>
      <c r="ODE136" s="258"/>
      <c r="ODF136" s="270"/>
      <c r="ODG136" s="271"/>
      <c r="ODH136" s="271"/>
      <c r="ODI136" s="271"/>
      <c r="ODJ136" s="221"/>
      <c r="ODK136" s="221"/>
      <c r="ODL136" s="221"/>
      <c r="ODM136" s="258"/>
      <c r="ODN136" s="270"/>
      <c r="ODO136" s="271"/>
      <c r="ODP136" s="271"/>
      <c r="ODQ136" s="271"/>
      <c r="ODR136" s="221"/>
      <c r="ODS136" s="221"/>
      <c r="ODT136" s="221"/>
      <c r="ODU136" s="258"/>
      <c r="ODV136" s="270"/>
      <c r="ODW136" s="271"/>
      <c r="ODX136" s="271"/>
      <c r="ODY136" s="271"/>
      <c r="ODZ136" s="221"/>
      <c r="OEA136" s="221"/>
      <c r="OEB136" s="221"/>
      <c r="OEC136" s="258"/>
      <c r="OED136" s="270"/>
      <c r="OEE136" s="271"/>
      <c r="OEF136" s="271"/>
      <c r="OEG136" s="271"/>
      <c r="OEH136" s="221"/>
      <c r="OEI136" s="221"/>
      <c r="OEJ136" s="221"/>
      <c r="OEK136" s="258"/>
      <c r="OEL136" s="270"/>
      <c r="OEM136" s="271"/>
      <c r="OEN136" s="271"/>
      <c r="OEO136" s="271"/>
      <c r="OEP136" s="221"/>
      <c r="OEQ136" s="221"/>
      <c r="OER136" s="221"/>
      <c r="OES136" s="258"/>
      <c r="OET136" s="270"/>
      <c r="OEU136" s="271"/>
      <c r="OEV136" s="271"/>
      <c r="OEW136" s="271"/>
      <c r="OEX136" s="221"/>
      <c r="OEY136" s="221"/>
      <c r="OEZ136" s="221"/>
      <c r="OFA136" s="258"/>
      <c r="OFB136" s="270"/>
      <c r="OFC136" s="271"/>
      <c r="OFD136" s="271"/>
      <c r="OFE136" s="271"/>
      <c r="OFF136" s="221"/>
      <c r="OFG136" s="221"/>
      <c r="OFH136" s="221"/>
      <c r="OFI136" s="258"/>
      <c r="OFJ136" s="270"/>
      <c r="OFK136" s="271"/>
      <c r="OFL136" s="271"/>
      <c r="OFM136" s="271"/>
      <c r="OFN136" s="221"/>
      <c r="OFO136" s="221"/>
      <c r="OFP136" s="221"/>
      <c r="OFQ136" s="258"/>
      <c r="OFR136" s="270"/>
      <c r="OFS136" s="271"/>
      <c r="OFT136" s="271"/>
      <c r="OFU136" s="271"/>
      <c r="OFV136" s="221"/>
      <c r="OFW136" s="221"/>
      <c r="OFX136" s="221"/>
      <c r="OFY136" s="258"/>
      <c r="OFZ136" s="270"/>
      <c r="OGA136" s="271"/>
      <c r="OGB136" s="271"/>
      <c r="OGC136" s="271"/>
      <c r="OGD136" s="221"/>
      <c r="OGE136" s="221"/>
      <c r="OGF136" s="221"/>
      <c r="OGG136" s="258"/>
      <c r="OGH136" s="270"/>
      <c r="OGI136" s="271"/>
      <c r="OGJ136" s="271"/>
      <c r="OGK136" s="271"/>
      <c r="OGL136" s="221"/>
      <c r="OGM136" s="221"/>
      <c r="OGN136" s="221"/>
      <c r="OGO136" s="258"/>
      <c r="OGP136" s="270"/>
      <c r="OGQ136" s="271"/>
      <c r="OGR136" s="271"/>
      <c r="OGS136" s="271"/>
      <c r="OGT136" s="221"/>
      <c r="OGU136" s="221"/>
      <c r="OGV136" s="221"/>
      <c r="OGW136" s="258"/>
      <c r="OGX136" s="270"/>
      <c r="OGY136" s="271"/>
      <c r="OGZ136" s="271"/>
      <c r="OHA136" s="271"/>
      <c r="OHB136" s="221"/>
      <c r="OHC136" s="221"/>
      <c r="OHD136" s="221"/>
      <c r="OHE136" s="258"/>
      <c r="OHF136" s="270"/>
      <c r="OHG136" s="271"/>
      <c r="OHH136" s="271"/>
      <c r="OHI136" s="271"/>
      <c r="OHJ136" s="221"/>
      <c r="OHK136" s="221"/>
      <c r="OHL136" s="221"/>
      <c r="OHM136" s="258"/>
      <c r="OHN136" s="270"/>
      <c r="OHO136" s="271"/>
      <c r="OHP136" s="271"/>
      <c r="OHQ136" s="271"/>
      <c r="OHR136" s="221"/>
      <c r="OHS136" s="221"/>
      <c r="OHT136" s="221"/>
      <c r="OHU136" s="258"/>
      <c r="OHV136" s="270"/>
      <c r="OHW136" s="271"/>
      <c r="OHX136" s="271"/>
      <c r="OHY136" s="271"/>
      <c r="OHZ136" s="221"/>
      <c r="OIA136" s="221"/>
      <c r="OIB136" s="221"/>
      <c r="OIC136" s="258"/>
      <c r="OID136" s="270"/>
      <c r="OIE136" s="271"/>
      <c r="OIF136" s="271"/>
      <c r="OIG136" s="271"/>
      <c r="OIH136" s="221"/>
      <c r="OII136" s="221"/>
      <c r="OIJ136" s="221"/>
      <c r="OIK136" s="258"/>
      <c r="OIL136" s="270"/>
      <c r="OIM136" s="271"/>
      <c r="OIN136" s="271"/>
      <c r="OIO136" s="271"/>
      <c r="OIP136" s="221"/>
      <c r="OIQ136" s="221"/>
      <c r="OIR136" s="221"/>
      <c r="OIS136" s="258"/>
      <c r="OIT136" s="270"/>
      <c r="OIU136" s="271"/>
      <c r="OIV136" s="271"/>
      <c r="OIW136" s="271"/>
      <c r="OIX136" s="221"/>
      <c r="OIY136" s="221"/>
      <c r="OIZ136" s="221"/>
      <c r="OJA136" s="258"/>
      <c r="OJB136" s="270"/>
      <c r="OJC136" s="271"/>
      <c r="OJD136" s="271"/>
      <c r="OJE136" s="271"/>
      <c r="OJF136" s="221"/>
      <c r="OJG136" s="221"/>
      <c r="OJH136" s="221"/>
      <c r="OJI136" s="258"/>
      <c r="OJJ136" s="270"/>
      <c r="OJK136" s="271"/>
      <c r="OJL136" s="271"/>
      <c r="OJM136" s="271"/>
      <c r="OJN136" s="221"/>
      <c r="OJO136" s="221"/>
      <c r="OJP136" s="221"/>
      <c r="OJQ136" s="258"/>
      <c r="OJR136" s="270"/>
      <c r="OJS136" s="271"/>
      <c r="OJT136" s="271"/>
      <c r="OJU136" s="271"/>
      <c r="OJV136" s="221"/>
      <c r="OJW136" s="221"/>
      <c r="OJX136" s="221"/>
      <c r="OJY136" s="258"/>
      <c r="OJZ136" s="270"/>
      <c r="OKA136" s="271"/>
      <c r="OKB136" s="271"/>
      <c r="OKC136" s="271"/>
      <c r="OKD136" s="221"/>
      <c r="OKE136" s="221"/>
      <c r="OKF136" s="221"/>
      <c r="OKG136" s="258"/>
      <c r="OKH136" s="270"/>
      <c r="OKI136" s="271"/>
      <c r="OKJ136" s="271"/>
      <c r="OKK136" s="271"/>
      <c r="OKL136" s="221"/>
      <c r="OKM136" s="221"/>
      <c r="OKN136" s="221"/>
      <c r="OKO136" s="258"/>
      <c r="OKP136" s="270"/>
      <c r="OKQ136" s="271"/>
      <c r="OKR136" s="271"/>
      <c r="OKS136" s="271"/>
      <c r="OKT136" s="221"/>
      <c r="OKU136" s="221"/>
      <c r="OKV136" s="221"/>
      <c r="OKW136" s="258"/>
      <c r="OKX136" s="270"/>
      <c r="OKY136" s="271"/>
      <c r="OKZ136" s="271"/>
      <c r="OLA136" s="271"/>
      <c r="OLB136" s="221"/>
      <c r="OLC136" s="221"/>
      <c r="OLD136" s="221"/>
      <c r="OLE136" s="258"/>
      <c r="OLF136" s="270"/>
      <c r="OLG136" s="271"/>
      <c r="OLH136" s="271"/>
      <c r="OLI136" s="271"/>
      <c r="OLJ136" s="221"/>
      <c r="OLK136" s="221"/>
      <c r="OLL136" s="221"/>
      <c r="OLM136" s="258"/>
      <c r="OLN136" s="270"/>
      <c r="OLO136" s="271"/>
      <c r="OLP136" s="271"/>
      <c r="OLQ136" s="271"/>
      <c r="OLR136" s="221"/>
      <c r="OLS136" s="221"/>
      <c r="OLT136" s="221"/>
      <c r="OLU136" s="258"/>
      <c r="OLV136" s="270"/>
      <c r="OLW136" s="271"/>
      <c r="OLX136" s="271"/>
      <c r="OLY136" s="271"/>
      <c r="OLZ136" s="221"/>
      <c r="OMA136" s="221"/>
      <c r="OMB136" s="221"/>
      <c r="OMC136" s="258"/>
      <c r="OMD136" s="270"/>
      <c r="OME136" s="271"/>
      <c r="OMF136" s="271"/>
      <c r="OMG136" s="271"/>
      <c r="OMH136" s="221"/>
      <c r="OMI136" s="221"/>
      <c r="OMJ136" s="221"/>
      <c r="OMK136" s="258"/>
      <c r="OML136" s="270"/>
      <c r="OMM136" s="271"/>
      <c r="OMN136" s="271"/>
      <c r="OMO136" s="271"/>
      <c r="OMP136" s="221"/>
      <c r="OMQ136" s="221"/>
      <c r="OMR136" s="221"/>
      <c r="OMS136" s="258"/>
      <c r="OMT136" s="270"/>
      <c r="OMU136" s="271"/>
      <c r="OMV136" s="271"/>
      <c r="OMW136" s="271"/>
      <c r="OMX136" s="221"/>
      <c r="OMY136" s="221"/>
      <c r="OMZ136" s="221"/>
      <c r="ONA136" s="258"/>
      <c r="ONB136" s="270"/>
      <c r="ONC136" s="271"/>
      <c r="OND136" s="271"/>
      <c r="ONE136" s="271"/>
      <c r="ONF136" s="221"/>
      <c r="ONG136" s="221"/>
      <c r="ONH136" s="221"/>
      <c r="ONI136" s="258"/>
      <c r="ONJ136" s="270"/>
      <c r="ONK136" s="271"/>
      <c r="ONL136" s="271"/>
      <c r="ONM136" s="271"/>
      <c r="ONN136" s="221"/>
      <c r="ONO136" s="221"/>
      <c r="ONP136" s="221"/>
      <c r="ONQ136" s="258"/>
      <c r="ONR136" s="270"/>
      <c r="ONS136" s="271"/>
      <c r="ONT136" s="271"/>
      <c r="ONU136" s="271"/>
      <c r="ONV136" s="221"/>
      <c r="ONW136" s="221"/>
      <c r="ONX136" s="221"/>
      <c r="ONY136" s="258"/>
      <c r="ONZ136" s="270"/>
      <c r="OOA136" s="271"/>
      <c r="OOB136" s="271"/>
      <c r="OOC136" s="271"/>
      <c r="OOD136" s="221"/>
      <c r="OOE136" s="221"/>
      <c r="OOF136" s="221"/>
      <c r="OOG136" s="258"/>
      <c r="OOH136" s="270"/>
      <c r="OOI136" s="271"/>
      <c r="OOJ136" s="271"/>
      <c r="OOK136" s="271"/>
      <c r="OOL136" s="221"/>
      <c r="OOM136" s="221"/>
      <c r="OON136" s="221"/>
      <c r="OOO136" s="258"/>
      <c r="OOP136" s="270"/>
      <c r="OOQ136" s="271"/>
      <c r="OOR136" s="271"/>
      <c r="OOS136" s="271"/>
      <c r="OOT136" s="221"/>
      <c r="OOU136" s="221"/>
      <c r="OOV136" s="221"/>
      <c r="OOW136" s="258"/>
      <c r="OOX136" s="270"/>
      <c r="OOY136" s="271"/>
      <c r="OOZ136" s="271"/>
      <c r="OPA136" s="271"/>
      <c r="OPB136" s="221"/>
      <c r="OPC136" s="221"/>
      <c r="OPD136" s="221"/>
      <c r="OPE136" s="258"/>
      <c r="OPF136" s="270"/>
      <c r="OPG136" s="271"/>
      <c r="OPH136" s="271"/>
      <c r="OPI136" s="271"/>
      <c r="OPJ136" s="221"/>
      <c r="OPK136" s="221"/>
      <c r="OPL136" s="221"/>
      <c r="OPM136" s="258"/>
      <c r="OPN136" s="270"/>
      <c r="OPO136" s="271"/>
      <c r="OPP136" s="271"/>
      <c r="OPQ136" s="271"/>
      <c r="OPR136" s="221"/>
      <c r="OPS136" s="221"/>
      <c r="OPT136" s="221"/>
      <c r="OPU136" s="258"/>
      <c r="OPV136" s="270"/>
      <c r="OPW136" s="271"/>
      <c r="OPX136" s="271"/>
      <c r="OPY136" s="271"/>
      <c r="OPZ136" s="221"/>
      <c r="OQA136" s="221"/>
      <c r="OQB136" s="221"/>
      <c r="OQC136" s="258"/>
      <c r="OQD136" s="270"/>
      <c r="OQE136" s="271"/>
      <c r="OQF136" s="271"/>
      <c r="OQG136" s="271"/>
      <c r="OQH136" s="221"/>
      <c r="OQI136" s="221"/>
      <c r="OQJ136" s="221"/>
      <c r="OQK136" s="258"/>
      <c r="OQL136" s="270"/>
      <c r="OQM136" s="271"/>
      <c r="OQN136" s="271"/>
      <c r="OQO136" s="271"/>
      <c r="OQP136" s="221"/>
      <c r="OQQ136" s="221"/>
      <c r="OQR136" s="221"/>
      <c r="OQS136" s="258"/>
      <c r="OQT136" s="270"/>
      <c r="OQU136" s="271"/>
      <c r="OQV136" s="271"/>
      <c r="OQW136" s="271"/>
      <c r="OQX136" s="221"/>
      <c r="OQY136" s="221"/>
      <c r="OQZ136" s="221"/>
      <c r="ORA136" s="258"/>
      <c r="ORB136" s="270"/>
      <c r="ORC136" s="271"/>
      <c r="ORD136" s="271"/>
      <c r="ORE136" s="271"/>
      <c r="ORF136" s="221"/>
      <c r="ORG136" s="221"/>
      <c r="ORH136" s="221"/>
      <c r="ORI136" s="258"/>
      <c r="ORJ136" s="270"/>
      <c r="ORK136" s="271"/>
      <c r="ORL136" s="271"/>
      <c r="ORM136" s="271"/>
      <c r="ORN136" s="221"/>
      <c r="ORO136" s="221"/>
      <c r="ORP136" s="221"/>
      <c r="ORQ136" s="258"/>
      <c r="ORR136" s="270"/>
      <c r="ORS136" s="271"/>
      <c r="ORT136" s="271"/>
      <c r="ORU136" s="271"/>
      <c r="ORV136" s="221"/>
      <c r="ORW136" s="221"/>
      <c r="ORX136" s="221"/>
      <c r="ORY136" s="258"/>
      <c r="ORZ136" s="270"/>
      <c r="OSA136" s="271"/>
      <c r="OSB136" s="271"/>
      <c r="OSC136" s="271"/>
      <c r="OSD136" s="221"/>
      <c r="OSE136" s="221"/>
      <c r="OSF136" s="221"/>
      <c r="OSG136" s="258"/>
      <c r="OSH136" s="270"/>
      <c r="OSI136" s="271"/>
      <c r="OSJ136" s="271"/>
      <c r="OSK136" s="271"/>
      <c r="OSL136" s="221"/>
      <c r="OSM136" s="221"/>
      <c r="OSN136" s="221"/>
      <c r="OSO136" s="258"/>
      <c r="OSP136" s="270"/>
      <c r="OSQ136" s="271"/>
      <c r="OSR136" s="271"/>
      <c r="OSS136" s="271"/>
      <c r="OST136" s="221"/>
      <c r="OSU136" s="221"/>
      <c r="OSV136" s="221"/>
      <c r="OSW136" s="258"/>
      <c r="OSX136" s="270"/>
      <c r="OSY136" s="271"/>
      <c r="OSZ136" s="271"/>
      <c r="OTA136" s="271"/>
      <c r="OTB136" s="221"/>
      <c r="OTC136" s="221"/>
      <c r="OTD136" s="221"/>
      <c r="OTE136" s="258"/>
      <c r="OTF136" s="270"/>
      <c r="OTG136" s="271"/>
      <c r="OTH136" s="271"/>
      <c r="OTI136" s="271"/>
      <c r="OTJ136" s="221"/>
      <c r="OTK136" s="221"/>
      <c r="OTL136" s="221"/>
      <c r="OTM136" s="258"/>
      <c r="OTN136" s="270"/>
      <c r="OTO136" s="271"/>
      <c r="OTP136" s="271"/>
      <c r="OTQ136" s="271"/>
      <c r="OTR136" s="221"/>
      <c r="OTS136" s="221"/>
      <c r="OTT136" s="221"/>
      <c r="OTU136" s="258"/>
      <c r="OTV136" s="270"/>
      <c r="OTW136" s="271"/>
      <c r="OTX136" s="271"/>
      <c r="OTY136" s="271"/>
      <c r="OTZ136" s="221"/>
      <c r="OUA136" s="221"/>
      <c r="OUB136" s="221"/>
      <c r="OUC136" s="258"/>
      <c r="OUD136" s="270"/>
      <c r="OUE136" s="271"/>
      <c r="OUF136" s="271"/>
      <c r="OUG136" s="271"/>
      <c r="OUH136" s="221"/>
      <c r="OUI136" s="221"/>
      <c r="OUJ136" s="221"/>
      <c r="OUK136" s="258"/>
      <c r="OUL136" s="270"/>
      <c r="OUM136" s="271"/>
      <c r="OUN136" s="271"/>
      <c r="OUO136" s="271"/>
      <c r="OUP136" s="221"/>
      <c r="OUQ136" s="221"/>
      <c r="OUR136" s="221"/>
      <c r="OUS136" s="258"/>
      <c r="OUT136" s="270"/>
      <c r="OUU136" s="271"/>
      <c r="OUV136" s="271"/>
      <c r="OUW136" s="271"/>
      <c r="OUX136" s="221"/>
      <c r="OUY136" s="221"/>
      <c r="OUZ136" s="221"/>
      <c r="OVA136" s="258"/>
      <c r="OVB136" s="270"/>
      <c r="OVC136" s="271"/>
      <c r="OVD136" s="271"/>
      <c r="OVE136" s="271"/>
      <c r="OVF136" s="221"/>
      <c r="OVG136" s="221"/>
      <c r="OVH136" s="221"/>
      <c r="OVI136" s="258"/>
      <c r="OVJ136" s="270"/>
      <c r="OVK136" s="271"/>
      <c r="OVL136" s="271"/>
      <c r="OVM136" s="271"/>
      <c r="OVN136" s="221"/>
      <c r="OVO136" s="221"/>
      <c r="OVP136" s="221"/>
      <c r="OVQ136" s="258"/>
      <c r="OVR136" s="270"/>
      <c r="OVS136" s="271"/>
      <c r="OVT136" s="271"/>
      <c r="OVU136" s="271"/>
      <c r="OVV136" s="221"/>
      <c r="OVW136" s="221"/>
      <c r="OVX136" s="221"/>
      <c r="OVY136" s="258"/>
      <c r="OVZ136" s="270"/>
      <c r="OWA136" s="271"/>
      <c r="OWB136" s="271"/>
      <c r="OWC136" s="271"/>
      <c r="OWD136" s="221"/>
      <c r="OWE136" s="221"/>
      <c r="OWF136" s="221"/>
      <c r="OWG136" s="258"/>
      <c r="OWH136" s="270"/>
      <c r="OWI136" s="271"/>
      <c r="OWJ136" s="271"/>
      <c r="OWK136" s="271"/>
      <c r="OWL136" s="221"/>
      <c r="OWM136" s="221"/>
      <c r="OWN136" s="221"/>
      <c r="OWO136" s="258"/>
      <c r="OWP136" s="270"/>
      <c r="OWQ136" s="271"/>
      <c r="OWR136" s="271"/>
      <c r="OWS136" s="271"/>
      <c r="OWT136" s="221"/>
      <c r="OWU136" s="221"/>
      <c r="OWV136" s="221"/>
      <c r="OWW136" s="258"/>
      <c r="OWX136" s="270"/>
      <c r="OWY136" s="271"/>
      <c r="OWZ136" s="271"/>
      <c r="OXA136" s="271"/>
      <c r="OXB136" s="221"/>
      <c r="OXC136" s="221"/>
      <c r="OXD136" s="221"/>
      <c r="OXE136" s="258"/>
      <c r="OXF136" s="270"/>
      <c r="OXG136" s="271"/>
      <c r="OXH136" s="271"/>
      <c r="OXI136" s="271"/>
      <c r="OXJ136" s="221"/>
      <c r="OXK136" s="221"/>
      <c r="OXL136" s="221"/>
      <c r="OXM136" s="258"/>
      <c r="OXN136" s="270"/>
      <c r="OXO136" s="271"/>
      <c r="OXP136" s="271"/>
      <c r="OXQ136" s="271"/>
      <c r="OXR136" s="221"/>
      <c r="OXS136" s="221"/>
      <c r="OXT136" s="221"/>
      <c r="OXU136" s="258"/>
      <c r="OXV136" s="270"/>
      <c r="OXW136" s="271"/>
      <c r="OXX136" s="271"/>
      <c r="OXY136" s="271"/>
      <c r="OXZ136" s="221"/>
      <c r="OYA136" s="221"/>
      <c r="OYB136" s="221"/>
      <c r="OYC136" s="258"/>
      <c r="OYD136" s="270"/>
      <c r="OYE136" s="271"/>
      <c r="OYF136" s="271"/>
      <c r="OYG136" s="271"/>
      <c r="OYH136" s="221"/>
      <c r="OYI136" s="221"/>
      <c r="OYJ136" s="221"/>
      <c r="OYK136" s="258"/>
      <c r="OYL136" s="270"/>
      <c r="OYM136" s="271"/>
      <c r="OYN136" s="271"/>
      <c r="OYO136" s="271"/>
      <c r="OYP136" s="221"/>
      <c r="OYQ136" s="221"/>
      <c r="OYR136" s="221"/>
      <c r="OYS136" s="258"/>
      <c r="OYT136" s="270"/>
      <c r="OYU136" s="271"/>
      <c r="OYV136" s="271"/>
      <c r="OYW136" s="271"/>
      <c r="OYX136" s="221"/>
      <c r="OYY136" s="221"/>
      <c r="OYZ136" s="221"/>
      <c r="OZA136" s="258"/>
      <c r="OZB136" s="270"/>
      <c r="OZC136" s="271"/>
      <c r="OZD136" s="271"/>
      <c r="OZE136" s="271"/>
      <c r="OZF136" s="221"/>
      <c r="OZG136" s="221"/>
      <c r="OZH136" s="221"/>
      <c r="OZI136" s="258"/>
      <c r="OZJ136" s="270"/>
      <c r="OZK136" s="271"/>
      <c r="OZL136" s="271"/>
      <c r="OZM136" s="271"/>
      <c r="OZN136" s="221"/>
      <c r="OZO136" s="221"/>
      <c r="OZP136" s="221"/>
      <c r="OZQ136" s="258"/>
      <c r="OZR136" s="270"/>
      <c r="OZS136" s="271"/>
      <c r="OZT136" s="271"/>
      <c r="OZU136" s="271"/>
      <c r="OZV136" s="221"/>
      <c r="OZW136" s="221"/>
      <c r="OZX136" s="221"/>
      <c r="OZY136" s="258"/>
      <c r="OZZ136" s="270"/>
      <c r="PAA136" s="271"/>
      <c r="PAB136" s="271"/>
      <c r="PAC136" s="271"/>
      <c r="PAD136" s="221"/>
      <c r="PAE136" s="221"/>
      <c r="PAF136" s="221"/>
      <c r="PAG136" s="258"/>
      <c r="PAH136" s="270"/>
      <c r="PAI136" s="271"/>
      <c r="PAJ136" s="271"/>
      <c r="PAK136" s="271"/>
      <c r="PAL136" s="221"/>
      <c r="PAM136" s="221"/>
      <c r="PAN136" s="221"/>
      <c r="PAO136" s="258"/>
      <c r="PAP136" s="270"/>
      <c r="PAQ136" s="271"/>
      <c r="PAR136" s="271"/>
      <c r="PAS136" s="271"/>
      <c r="PAT136" s="221"/>
      <c r="PAU136" s="221"/>
      <c r="PAV136" s="221"/>
      <c r="PAW136" s="258"/>
      <c r="PAX136" s="270"/>
      <c r="PAY136" s="271"/>
      <c r="PAZ136" s="271"/>
      <c r="PBA136" s="271"/>
      <c r="PBB136" s="221"/>
      <c r="PBC136" s="221"/>
      <c r="PBD136" s="221"/>
      <c r="PBE136" s="258"/>
      <c r="PBF136" s="270"/>
      <c r="PBG136" s="271"/>
      <c r="PBH136" s="271"/>
      <c r="PBI136" s="271"/>
      <c r="PBJ136" s="221"/>
      <c r="PBK136" s="221"/>
      <c r="PBL136" s="221"/>
      <c r="PBM136" s="258"/>
      <c r="PBN136" s="270"/>
      <c r="PBO136" s="271"/>
      <c r="PBP136" s="271"/>
      <c r="PBQ136" s="271"/>
      <c r="PBR136" s="221"/>
      <c r="PBS136" s="221"/>
      <c r="PBT136" s="221"/>
      <c r="PBU136" s="258"/>
      <c r="PBV136" s="270"/>
      <c r="PBW136" s="271"/>
      <c r="PBX136" s="271"/>
      <c r="PBY136" s="271"/>
      <c r="PBZ136" s="221"/>
      <c r="PCA136" s="221"/>
      <c r="PCB136" s="221"/>
      <c r="PCC136" s="258"/>
      <c r="PCD136" s="270"/>
      <c r="PCE136" s="271"/>
      <c r="PCF136" s="271"/>
      <c r="PCG136" s="271"/>
      <c r="PCH136" s="221"/>
      <c r="PCI136" s="221"/>
      <c r="PCJ136" s="221"/>
      <c r="PCK136" s="258"/>
      <c r="PCL136" s="270"/>
      <c r="PCM136" s="271"/>
      <c r="PCN136" s="271"/>
      <c r="PCO136" s="271"/>
      <c r="PCP136" s="221"/>
      <c r="PCQ136" s="221"/>
      <c r="PCR136" s="221"/>
      <c r="PCS136" s="258"/>
      <c r="PCT136" s="270"/>
      <c r="PCU136" s="271"/>
      <c r="PCV136" s="271"/>
      <c r="PCW136" s="271"/>
      <c r="PCX136" s="221"/>
      <c r="PCY136" s="221"/>
      <c r="PCZ136" s="221"/>
      <c r="PDA136" s="258"/>
      <c r="PDB136" s="270"/>
      <c r="PDC136" s="271"/>
      <c r="PDD136" s="271"/>
      <c r="PDE136" s="271"/>
      <c r="PDF136" s="221"/>
      <c r="PDG136" s="221"/>
      <c r="PDH136" s="221"/>
      <c r="PDI136" s="258"/>
      <c r="PDJ136" s="270"/>
      <c r="PDK136" s="271"/>
      <c r="PDL136" s="271"/>
      <c r="PDM136" s="271"/>
      <c r="PDN136" s="221"/>
      <c r="PDO136" s="221"/>
      <c r="PDP136" s="221"/>
      <c r="PDQ136" s="258"/>
      <c r="PDR136" s="270"/>
      <c r="PDS136" s="271"/>
      <c r="PDT136" s="271"/>
      <c r="PDU136" s="271"/>
      <c r="PDV136" s="221"/>
      <c r="PDW136" s="221"/>
      <c r="PDX136" s="221"/>
      <c r="PDY136" s="258"/>
      <c r="PDZ136" s="270"/>
      <c r="PEA136" s="271"/>
      <c r="PEB136" s="271"/>
      <c r="PEC136" s="271"/>
      <c r="PED136" s="221"/>
      <c r="PEE136" s="221"/>
      <c r="PEF136" s="221"/>
      <c r="PEG136" s="258"/>
      <c r="PEH136" s="270"/>
      <c r="PEI136" s="271"/>
      <c r="PEJ136" s="271"/>
      <c r="PEK136" s="271"/>
      <c r="PEL136" s="221"/>
      <c r="PEM136" s="221"/>
      <c r="PEN136" s="221"/>
      <c r="PEO136" s="258"/>
      <c r="PEP136" s="270"/>
      <c r="PEQ136" s="271"/>
      <c r="PER136" s="271"/>
      <c r="PES136" s="271"/>
      <c r="PET136" s="221"/>
      <c r="PEU136" s="221"/>
      <c r="PEV136" s="221"/>
      <c r="PEW136" s="258"/>
      <c r="PEX136" s="270"/>
      <c r="PEY136" s="271"/>
      <c r="PEZ136" s="271"/>
      <c r="PFA136" s="271"/>
      <c r="PFB136" s="221"/>
      <c r="PFC136" s="221"/>
      <c r="PFD136" s="221"/>
      <c r="PFE136" s="258"/>
      <c r="PFF136" s="270"/>
      <c r="PFG136" s="271"/>
      <c r="PFH136" s="271"/>
      <c r="PFI136" s="271"/>
      <c r="PFJ136" s="221"/>
      <c r="PFK136" s="221"/>
      <c r="PFL136" s="221"/>
      <c r="PFM136" s="258"/>
      <c r="PFN136" s="270"/>
      <c r="PFO136" s="271"/>
      <c r="PFP136" s="271"/>
      <c r="PFQ136" s="271"/>
      <c r="PFR136" s="221"/>
      <c r="PFS136" s="221"/>
      <c r="PFT136" s="221"/>
      <c r="PFU136" s="258"/>
      <c r="PFV136" s="270"/>
      <c r="PFW136" s="271"/>
      <c r="PFX136" s="271"/>
      <c r="PFY136" s="271"/>
      <c r="PFZ136" s="221"/>
      <c r="PGA136" s="221"/>
      <c r="PGB136" s="221"/>
      <c r="PGC136" s="258"/>
      <c r="PGD136" s="270"/>
      <c r="PGE136" s="271"/>
      <c r="PGF136" s="271"/>
      <c r="PGG136" s="271"/>
      <c r="PGH136" s="221"/>
      <c r="PGI136" s="221"/>
      <c r="PGJ136" s="221"/>
      <c r="PGK136" s="258"/>
      <c r="PGL136" s="270"/>
      <c r="PGM136" s="271"/>
      <c r="PGN136" s="271"/>
      <c r="PGO136" s="271"/>
      <c r="PGP136" s="221"/>
      <c r="PGQ136" s="221"/>
      <c r="PGR136" s="221"/>
      <c r="PGS136" s="258"/>
      <c r="PGT136" s="270"/>
      <c r="PGU136" s="271"/>
      <c r="PGV136" s="271"/>
      <c r="PGW136" s="271"/>
      <c r="PGX136" s="221"/>
      <c r="PGY136" s="221"/>
      <c r="PGZ136" s="221"/>
      <c r="PHA136" s="258"/>
      <c r="PHB136" s="270"/>
      <c r="PHC136" s="271"/>
      <c r="PHD136" s="271"/>
      <c r="PHE136" s="271"/>
      <c r="PHF136" s="221"/>
      <c r="PHG136" s="221"/>
      <c r="PHH136" s="221"/>
      <c r="PHI136" s="258"/>
      <c r="PHJ136" s="270"/>
      <c r="PHK136" s="271"/>
      <c r="PHL136" s="271"/>
      <c r="PHM136" s="271"/>
      <c r="PHN136" s="221"/>
      <c r="PHO136" s="221"/>
      <c r="PHP136" s="221"/>
      <c r="PHQ136" s="258"/>
      <c r="PHR136" s="270"/>
      <c r="PHS136" s="271"/>
      <c r="PHT136" s="271"/>
      <c r="PHU136" s="271"/>
      <c r="PHV136" s="221"/>
      <c r="PHW136" s="221"/>
      <c r="PHX136" s="221"/>
      <c r="PHY136" s="258"/>
      <c r="PHZ136" s="270"/>
      <c r="PIA136" s="271"/>
      <c r="PIB136" s="271"/>
      <c r="PIC136" s="271"/>
      <c r="PID136" s="221"/>
      <c r="PIE136" s="221"/>
      <c r="PIF136" s="221"/>
      <c r="PIG136" s="258"/>
      <c r="PIH136" s="270"/>
      <c r="PII136" s="271"/>
      <c r="PIJ136" s="271"/>
      <c r="PIK136" s="271"/>
      <c r="PIL136" s="221"/>
      <c r="PIM136" s="221"/>
      <c r="PIN136" s="221"/>
      <c r="PIO136" s="258"/>
      <c r="PIP136" s="270"/>
      <c r="PIQ136" s="271"/>
      <c r="PIR136" s="271"/>
      <c r="PIS136" s="271"/>
      <c r="PIT136" s="221"/>
      <c r="PIU136" s="221"/>
      <c r="PIV136" s="221"/>
      <c r="PIW136" s="258"/>
      <c r="PIX136" s="270"/>
      <c r="PIY136" s="271"/>
      <c r="PIZ136" s="271"/>
      <c r="PJA136" s="271"/>
      <c r="PJB136" s="221"/>
      <c r="PJC136" s="221"/>
      <c r="PJD136" s="221"/>
      <c r="PJE136" s="258"/>
      <c r="PJF136" s="270"/>
      <c r="PJG136" s="271"/>
      <c r="PJH136" s="271"/>
      <c r="PJI136" s="271"/>
      <c r="PJJ136" s="221"/>
      <c r="PJK136" s="221"/>
      <c r="PJL136" s="221"/>
      <c r="PJM136" s="258"/>
      <c r="PJN136" s="270"/>
      <c r="PJO136" s="271"/>
      <c r="PJP136" s="271"/>
      <c r="PJQ136" s="271"/>
      <c r="PJR136" s="221"/>
      <c r="PJS136" s="221"/>
      <c r="PJT136" s="221"/>
      <c r="PJU136" s="258"/>
      <c r="PJV136" s="270"/>
      <c r="PJW136" s="271"/>
      <c r="PJX136" s="271"/>
      <c r="PJY136" s="271"/>
      <c r="PJZ136" s="221"/>
      <c r="PKA136" s="221"/>
      <c r="PKB136" s="221"/>
      <c r="PKC136" s="258"/>
      <c r="PKD136" s="270"/>
      <c r="PKE136" s="271"/>
      <c r="PKF136" s="271"/>
      <c r="PKG136" s="271"/>
      <c r="PKH136" s="221"/>
      <c r="PKI136" s="221"/>
      <c r="PKJ136" s="221"/>
      <c r="PKK136" s="258"/>
      <c r="PKL136" s="270"/>
      <c r="PKM136" s="271"/>
      <c r="PKN136" s="271"/>
      <c r="PKO136" s="271"/>
      <c r="PKP136" s="221"/>
      <c r="PKQ136" s="221"/>
      <c r="PKR136" s="221"/>
      <c r="PKS136" s="258"/>
      <c r="PKT136" s="270"/>
      <c r="PKU136" s="271"/>
      <c r="PKV136" s="271"/>
      <c r="PKW136" s="271"/>
      <c r="PKX136" s="221"/>
      <c r="PKY136" s="221"/>
      <c r="PKZ136" s="221"/>
      <c r="PLA136" s="258"/>
      <c r="PLB136" s="270"/>
      <c r="PLC136" s="271"/>
      <c r="PLD136" s="271"/>
      <c r="PLE136" s="271"/>
      <c r="PLF136" s="221"/>
      <c r="PLG136" s="221"/>
      <c r="PLH136" s="221"/>
      <c r="PLI136" s="258"/>
      <c r="PLJ136" s="270"/>
      <c r="PLK136" s="271"/>
      <c r="PLL136" s="271"/>
      <c r="PLM136" s="271"/>
      <c r="PLN136" s="221"/>
      <c r="PLO136" s="221"/>
      <c r="PLP136" s="221"/>
      <c r="PLQ136" s="258"/>
      <c r="PLR136" s="270"/>
      <c r="PLS136" s="271"/>
      <c r="PLT136" s="271"/>
      <c r="PLU136" s="271"/>
      <c r="PLV136" s="221"/>
      <c r="PLW136" s="221"/>
      <c r="PLX136" s="221"/>
      <c r="PLY136" s="258"/>
      <c r="PLZ136" s="270"/>
      <c r="PMA136" s="271"/>
      <c r="PMB136" s="271"/>
      <c r="PMC136" s="271"/>
      <c r="PMD136" s="221"/>
      <c r="PME136" s="221"/>
      <c r="PMF136" s="221"/>
      <c r="PMG136" s="258"/>
      <c r="PMH136" s="270"/>
      <c r="PMI136" s="271"/>
      <c r="PMJ136" s="271"/>
      <c r="PMK136" s="271"/>
      <c r="PML136" s="221"/>
      <c r="PMM136" s="221"/>
      <c r="PMN136" s="221"/>
      <c r="PMO136" s="258"/>
      <c r="PMP136" s="270"/>
      <c r="PMQ136" s="271"/>
      <c r="PMR136" s="271"/>
      <c r="PMS136" s="271"/>
      <c r="PMT136" s="221"/>
      <c r="PMU136" s="221"/>
      <c r="PMV136" s="221"/>
      <c r="PMW136" s="258"/>
      <c r="PMX136" s="270"/>
      <c r="PMY136" s="271"/>
      <c r="PMZ136" s="271"/>
      <c r="PNA136" s="271"/>
      <c r="PNB136" s="221"/>
      <c r="PNC136" s="221"/>
      <c r="PND136" s="221"/>
      <c r="PNE136" s="258"/>
      <c r="PNF136" s="270"/>
      <c r="PNG136" s="271"/>
      <c r="PNH136" s="271"/>
      <c r="PNI136" s="271"/>
      <c r="PNJ136" s="221"/>
      <c r="PNK136" s="221"/>
      <c r="PNL136" s="221"/>
      <c r="PNM136" s="258"/>
      <c r="PNN136" s="270"/>
      <c r="PNO136" s="271"/>
      <c r="PNP136" s="271"/>
      <c r="PNQ136" s="271"/>
      <c r="PNR136" s="221"/>
      <c r="PNS136" s="221"/>
      <c r="PNT136" s="221"/>
      <c r="PNU136" s="258"/>
      <c r="PNV136" s="270"/>
      <c r="PNW136" s="271"/>
      <c r="PNX136" s="271"/>
      <c r="PNY136" s="271"/>
      <c r="PNZ136" s="221"/>
      <c r="POA136" s="221"/>
      <c r="POB136" s="221"/>
      <c r="POC136" s="258"/>
      <c r="POD136" s="270"/>
      <c r="POE136" s="271"/>
      <c r="POF136" s="271"/>
      <c r="POG136" s="271"/>
      <c r="POH136" s="221"/>
      <c r="POI136" s="221"/>
      <c r="POJ136" s="221"/>
      <c r="POK136" s="258"/>
      <c r="POL136" s="270"/>
      <c r="POM136" s="271"/>
      <c r="PON136" s="271"/>
      <c r="POO136" s="271"/>
      <c r="POP136" s="221"/>
      <c r="POQ136" s="221"/>
      <c r="POR136" s="221"/>
      <c r="POS136" s="258"/>
      <c r="POT136" s="270"/>
      <c r="POU136" s="271"/>
      <c r="POV136" s="271"/>
      <c r="POW136" s="271"/>
      <c r="POX136" s="221"/>
      <c r="POY136" s="221"/>
      <c r="POZ136" s="221"/>
      <c r="PPA136" s="258"/>
      <c r="PPB136" s="270"/>
      <c r="PPC136" s="271"/>
      <c r="PPD136" s="271"/>
      <c r="PPE136" s="271"/>
      <c r="PPF136" s="221"/>
      <c r="PPG136" s="221"/>
      <c r="PPH136" s="221"/>
      <c r="PPI136" s="258"/>
      <c r="PPJ136" s="270"/>
      <c r="PPK136" s="271"/>
      <c r="PPL136" s="271"/>
      <c r="PPM136" s="271"/>
      <c r="PPN136" s="221"/>
      <c r="PPO136" s="221"/>
      <c r="PPP136" s="221"/>
      <c r="PPQ136" s="258"/>
      <c r="PPR136" s="270"/>
      <c r="PPS136" s="271"/>
      <c r="PPT136" s="271"/>
      <c r="PPU136" s="271"/>
      <c r="PPV136" s="221"/>
      <c r="PPW136" s="221"/>
      <c r="PPX136" s="221"/>
      <c r="PPY136" s="258"/>
      <c r="PPZ136" s="270"/>
      <c r="PQA136" s="271"/>
      <c r="PQB136" s="271"/>
      <c r="PQC136" s="271"/>
      <c r="PQD136" s="221"/>
      <c r="PQE136" s="221"/>
      <c r="PQF136" s="221"/>
      <c r="PQG136" s="258"/>
      <c r="PQH136" s="270"/>
      <c r="PQI136" s="271"/>
      <c r="PQJ136" s="271"/>
      <c r="PQK136" s="271"/>
      <c r="PQL136" s="221"/>
      <c r="PQM136" s="221"/>
      <c r="PQN136" s="221"/>
      <c r="PQO136" s="258"/>
      <c r="PQP136" s="270"/>
      <c r="PQQ136" s="271"/>
      <c r="PQR136" s="271"/>
      <c r="PQS136" s="271"/>
      <c r="PQT136" s="221"/>
      <c r="PQU136" s="221"/>
      <c r="PQV136" s="221"/>
      <c r="PQW136" s="258"/>
      <c r="PQX136" s="270"/>
      <c r="PQY136" s="271"/>
      <c r="PQZ136" s="271"/>
      <c r="PRA136" s="271"/>
      <c r="PRB136" s="221"/>
      <c r="PRC136" s="221"/>
      <c r="PRD136" s="221"/>
      <c r="PRE136" s="258"/>
      <c r="PRF136" s="270"/>
      <c r="PRG136" s="271"/>
      <c r="PRH136" s="271"/>
      <c r="PRI136" s="271"/>
      <c r="PRJ136" s="221"/>
      <c r="PRK136" s="221"/>
      <c r="PRL136" s="221"/>
      <c r="PRM136" s="258"/>
      <c r="PRN136" s="270"/>
      <c r="PRO136" s="271"/>
      <c r="PRP136" s="271"/>
      <c r="PRQ136" s="271"/>
      <c r="PRR136" s="221"/>
      <c r="PRS136" s="221"/>
      <c r="PRT136" s="221"/>
      <c r="PRU136" s="258"/>
      <c r="PRV136" s="270"/>
      <c r="PRW136" s="271"/>
      <c r="PRX136" s="271"/>
      <c r="PRY136" s="271"/>
      <c r="PRZ136" s="221"/>
      <c r="PSA136" s="221"/>
      <c r="PSB136" s="221"/>
      <c r="PSC136" s="258"/>
      <c r="PSD136" s="270"/>
      <c r="PSE136" s="271"/>
      <c r="PSF136" s="271"/>
      <c r="PSG136" s="271"/>
      <c r="PSH136" s="221"/>
      <c r="PSI136" s="221"/>
      <c r="PSJ136" s="221"/>
      <c r="PSK136" s="258"/>
      <c r="PSL136" s="270"/>
      <c r="PSM136" s="271"/>
      <c r="PSN136" s="271"/>
      <c r="PSO136" s="271"/>
      <c r="PSP136" s="221"/>
      <c r="PSQ136" s="221"/>
      <c r="PSR136" s="221"/>
      <c r="PSS136" s="258"/>
      <c r="PST136" s="270"/>
      <c r="PSU136" s="271"/>
      <c r="PSV136" s="271"/>
      <c r="PSW136" s="271"/>
      <c r="PSX136" s="221"/>
      <c r="PSY136" s="221"/>
      <c r="PSZ136" s="221"/>
      <c r="PTA136" s="258"/>
      <c r="PTB136" s="270"/>
      <c r="PTC136" s="271"/>
      <c r="PTD136" s="271"/>
      <c r="PTE136" s="271"/>
      <c r="PTF136" s="221"/>
      <c r="PTG136" s="221"/>
      <c r="PTH136" s="221"/>
      <c r="PTI136" s="258"/>
      <c r="PTJ136" s="270"/>
      <c r="PTK136" s="271"/>
      <c r="PTL136" s="271"/>
      <c r="PTM136" s="271"/>
      <c r="PTN136" s="221"/>
      <c r="PTO136" s="221"/>
      <c r="PTP136" s="221"/>
      <c r="PTQ136" s="258"/>
      <c r="PTR136" s="270"/>
      <c r="PTS136" s="271"/>
      <c r="PTT136" s="271"/>
      <c r="PTU136" s="271"/>
      <c r="PTV136" s="221"/>
      <c r="PTW136" s="221"/>
      <c r="PTX136" s="221"/>
      <c r="PTY136" s="258"/>
      <c r="PTZ136" s="270"/>
      <c r="PUA136" s="271"/>
      <c r="PUB136" s="271"/>
      <c r="PUC136" s="271"/>
      <c r="PUD136" s="221"/>
      <c r="PUE136" s="221"/>
      <c r="PUF136" s="221"/>
      <c r="PUG136" s="258"/>
      <c r="PUH136" s="270"/>
      <c r="PUI136" s="271"/>
      <c r="PUJ136" s="271"/>
      <c r="PUK136" s="271"/>
      <c r="PUL136" s="221"/>
      <c r="PUM136" s="221"/>
      <c r="PUN136" s="221"/>
      <c r="PUO136" s="258"/>
      <c r="PUP136" s="270"/>
      <c r="PUQ136" s="271"/>
      <c r="PUR136" s="271"/>
      <c r="PUS136" s="271"/>
      <c r="PUT136" s="221"/>
      <c r="PUU136" s="221"/>
      <c r="PUV136" s="221"/>
      <c r="PUW136" s="258"/>
      <c r="PUX136" s="270"/>
      <c r="PUY136" s="271"/>
      <c r="PUZ136" s="271"/>
      <c r="PVA136" s="271"/>
      <c r="PVB136" s="221"/>
      <c r="PVC136" s="221"/>
      <c r="PVD136" s="221"/>
      <c r="PVE136" s="258"/>
      <c r="PVF136" s="270"/>
      <c r="PVG136" s="271"/>
      <c r="PVH136" s="271"/>
      <c r="PVI136" s="271"/>
      <c r="PVJ136" s="221"/>
      <c r="PVK136" s="221"/>
      <c r="PVL136" s="221"/>
      <c r="PVM136" s="258"/>
      <c r="PVN136" s="270"/>
      <c r="PVO136" s="271"/>
      <c r="PVP136" s="271"/>
      <c r="PVQ136" s="271"/>
      <c r="PVR136" s="221"/>
      <c r="PVS136" s="221"/>
      <c r="PVT136" s="221"/>
      <c r="PVU136" s="258"/>
      <c r="PVV136" s="270"/>
      <c r="PVW136" s="271"/>
      <c r="PVX136" s="271"/>
      <c r="PVY136" s="271"/>
      <c r="PVZ136" s="221"/>
      <c r="PWA136" s="221"/>
      <c r="PWB136" s="221"/>
      <c r="PWC136" s="258"/>
      <c r="PWD136" s="270"/>
      <c r="PWE136" s="271"/>
      <c r="PWF136" s="271"/>
      <c r="PWG136" s="271"/>
      <c r="PWH136" s="221"/>
      <c r="PWI136" s="221"/>
      <c r="PWJ136" s="221"/>
      <c r="PWK136" s="258"/>
      <c r="PWL136" s="270"/>
      <c r="PWM136" s="271"/>
      <c r="PWN136" s="271"/>
      <c r="PWO136" s="271"/>
      <c r="PWP136" s="221"/>
      <c r="PWQ136" s="221"/>
      <c r="PWR136" s="221"/>
      <c r="PWS136" s="258"/>
      <c r="PWT136" s="270"/>
      <c r="PWU136" s="271"/>
      <c r="PWV136" s="271"/>
      <c r="PWW136" s="271"/>
      <c r="PWX136" s="221"/>
      <c r="PWY136" s="221"/>
      <c r="PWZ136" s="221"/>
      <c r="PXA136" s="258"/>
      <c r="PXB136" s="270"/>
      <c r="PXC136" s="271"/>
      <c r="PXD136" s="271"/>
      <c r="PXE136" s="271"/>
      <c r="PXF136" s="221"/>
      <c r="PXG136" s="221"/>
      <c r="PXH136" s="221"/>
      <c r="PXI136" s="258"/>
      <c r="PXJ136" s="270"/>
      <c r="PXK136" s="271"/>
      <c r="PXL136" s="271"/>
      <c r="PXM136" s="271"/>
      <c r="PXN136" s="221"/>
      <c r="PXO136" s="221"/>
      <c r="PXP136" s="221"/>
      <c r="PXQ136" s="258"/>
      <c r="PXR136" s="270"/>
      <c r="PXS136" s="271"/>
      <c r="PXT136" s="271"/>
      <c r="PXU136" s="271"/>
      <c r="PXV136" s="221"/>
      <c r="PXW136" s="221"/>
      <c r="PXX136" s="221"/>
      <c r="PXY136" s="258"/>
      <c r="PXZ136" s="270"/>
      <c r="PYA136" s="271"/>
      <c r="PYB136" s="271"/>
      <c r="PYC136" s="271"/>
      <c r="PYD136" s="221"/>
      <c r="PYE136" s="221"/>
      <c r="PYF136" s="221"/>
      <c r="PYG136" s="258"/>
      <c r="PYH136" s="270"/>
      <c r="PYI136" s="271"/>
      <c r="PYJ136" s="271"/>
      <c r="PYK136" s="271"/>
      <c r="PYL136" s="221"/>
      <c r="PYM136" s="221"/>
      <c r="PYN136" s="221"/>
      <c r="PYO136" s="258"/>
      <c r="PYP136" s="270"/>
      <c r="PYQ136" s="271"/>
      <c r="PYR136" s="271"/>
      <c r="PYS136" s="271"/>
      <c r="PYT136" s="221"/>
      <c r="PYU136" s="221"/>
      <c r="PYV136" s="221"/>
      <c r="PYW136" s="258"/>
      <c r="PYX136" s="270"/>
      <c r="PYY136" s="271"/>
      <c r="PYZ136" s="271"/>
      <c r="PZA136" s="271"/>
      <c r="PZB136" s="221"/>
      <c r="PZC136" s="221"/>
      <c r="PZD136" s="221"/>
      <c r="PZE136" s="258"/>
      <c r="PZF136" s="270"/>
      <c r="PZG136" s="271"/>
      <c r="PZH136" s="271"/>
      <c r="PZI136" s="271"/>
      <c r="PZJ136" s="221"/>
      <c r="PZK136" s="221"/>
      <c r="PZL136" s="221"/>
      <c r="PZM136" s="258"/>
      <c r="PZN136" s="270"/>
      <c r="PZO136" s="271"/>
      <c r="PZP136" s="271"/>
      <c r="PZQ136" s="271"/>
      <c r="PZR136" s="221"/>
      <c r="PZS136" s="221"/>
      <c r="PZT136" s="221"/>
      <c r="PZU136" s="258"/>
      <c r="PZV136" s="270"/>
      <c r="PZW136" s="271"/>
      <c r="PZX136" s="271"/>
      <c r="PZY136" s="271"/>
      <c r="PZZ136" s="221"/>
      <c r="QAA136" s="221"/>
      <c r="QAB136" s="221"/>
      <c r="QAC136" s="258"/>
      <c r="QAD136" s="270"/>
      <c r="QAE136" s="271"/>
      <c r="QAF136" s="271"/>
      <c r="QAG136" s="271"/>
      <c r="QAH136" s="221"/>
      <c r="QAI136" s="221"/>
      <c r="QAJ136" s="221"/>
      <c r="QAK136" s="258"/>
      <c r="QAL136" s="270"/>
      <c r="QAM136" s="271"/>
      <c r="QAN136" s="271"/>
      <c r="QAO136" s="271"/>
      <c r="QAP136" s="221"/>
      <c r="QAQ136" s="221"/>
      <c r="QAR136" s="221"/>
      <c r="QAS136" s="258"/>
      <c r="QAT136" s="270"/>
      <c r="QAU136" s="271"/>
      <c r="QAV136" s="271"/>
      <c r="QAW136" s="271"/>
      <c r="QAX136" s="221"/>
      <c r="QAY136" s="221"/>
      <c r="QAZ136" s="221"/>
      <c r="QBA136" s="258"/>
      <c r="QBB136" s="270"/>
      <c r="QBC136" s="271"/>
      <c r="QBD136" s="271"/>
      <c r="QBE136" s="271"/>
      <c r="QBF136" s="221"/>
      <c r="QBG136" s="221"/>
      <c r="QBH136" s="221"/>
      <c r="QBI136" s="258"/>
      <c r="QBJ136" s="270"/>
      <c r="QBK136" s="271"/>
      <c r="QBL136" s="271"/>
      <c r="QBM136" s="271"/>
      <c r="QBN136" s="221"/>
      <c r="QBO136" s="221"/>
      <c r="QBP136" s="221"/>
      <c r="QBQ136" s="258"/>
      <c r="QBR136" s="270"/>
      <c r="QBS136" s="271"/>
      <c r="QBT136" s="271"/>
      <c r="QBU136" s="271"/>
      <c r="QBV136" s="221"/>
      <c r="QBW136" s="221"/>
      <c r="QBX136" s="221"/>
      <c r="QBY136" s="258"/>
      <c r="QBZ136" s="270"/>
      <c r="QCA136" s="271"/>
      <c r="QCB136" s="271"/>
      <c r="QCC136" s="271"/>
      <c r="QCD136" s="221"/>
      <c r="QCE136" s="221"/>
      <c r="QCF136" s="221"/>
      <c r="QCG136" s="258"/>
      <c r="QCH136" s="270"/>
      <c r="QCI136" s="271"/>
      <c r="QCJ136" s="271"/>
      <c r="QCK136" s="271"/>
      <c r="QCL136" s="221"/>
      <c r="QCM136" s="221"/>
      <c r="QCN136" s="221"/>
      <c r="QCO136" s="258"/>
      <c r="QCP136" s="270"/>
      <c r="QCQ136" s="271"/>
      <c r="QCR136" s="271"/>
      <c r="QCS136" s="271"/>
      <c r="QCT136" s="221"/>
      <c r="QCU136" s="221"/>
      <c r="QCV136" s="221"/>
      <c r="QCW136" s="258"/>
      <c r="QCX136" s="270"/>
      <c r="QCY136" s="271"/>
      <c r="QCZ136" s="271"/>
      <c r="QDA136" s="271"/>
      <c r="QDB136" s="221"/>
      <c r="QDC136" s="221"/>
      <c r="QDD136" s="221"/>
      <c r="QDE136" s="258"/>
      <c r="QDF136" s="270"/>
      <c r="QDG136" s="271"/>
      <c r="QDH136" s="271"/>
      <c r="QDI136" s="271"/>
      <c r="QDJ136" s="221"/>
      <c r="QDK136" s="221"/>
      <c r="QDL136" s="221"/>
      <c r="QDM136" s="258"/>
      <c r="QDN136" s="270"/>
      <c r="QDO136" s="271"/>
      <c r="QDP136" s="271"/>
      <c r="QDQ136" s="271"/>
      <c r="QDR136" s="221"/>
      <c r="QDS136" s="221"/>
      <c r="QDT136" s="221"/>
      <c r="QDU136" s="258"/>
      <c r="QDV136" s="270"/>
      <c r="QDW136" s="271"/>
      <c r="QDX136" s="271"/>
      <c r="QDY136" s="271"/>
      <c r="QDZ136" s="221"/>
      <c r="QEA136" s="221"/>
      <c r="QEB136" s="221"/>
      <c r="QEC136" s="258"/>
      <c r="QED136" s="270"/>
      <c r="QEE136" s="271"/>
      <c r="QEF136" s="271"/>
      <c r="QEG136" s="271"/>
      <c r="QEH136" s="221"/>
      <c r="QEI136" s="221"/>
      <c r="QEJ136" s="221"/>
      <c r="QEK136" s="258"/>
      <c r="QEL136" s="270"/>
      <c r="QEM136" s="271"/>
      <c r="QEN136" s="271"/>
      <c r="QEO136" s="271"/>
      <c r="QEP136" s="221"/>
      <c r="QEQ136" s="221"/>
      <c r="QER136" s="221"/>
      <c r="QES136" s="258"/>
      <c r="QET136" s="270"/>
      <c r="QEU136" s="271"/>
      <c r="QEV136" s="271"/>
      <c r="QEW136" s="271"/>
      <c r="QEX136" s="221"/>
      <c r="QEY136" s="221"/>
      <c r="QEZ136" s="221"/>
      <c r="QFA136" s="258"/>
      <c r="QFB136" s="270"/>
      <c r="QFC136" s="271"/>
      <c r="QFD136" s="271"/>
      <c r="QFE136" s="271"/>
      <c r="QFF136" s="221"/>
      <c r="QFG136" s="221"/>
      <c r="QFH136" s="221"/>
      <c r="QFI136" s="258"/>
      <c r="QFJ136" s="270"/>
      <c r="QFK136" s="271"/>
      <c r="QFL136" s="271"/>
      <c r="QFM136" s="271"/>
      <c r="QFN136" s="221"/>
      <c r="QFO136" s="221"/>
      <c r="QFP136" s="221"/>
      <c r="QFQ136" s="258"/>
      <c r="QFR136" s="270"/>
      <c r="QFS136" s="271"/>
      <c r="QFT136" s="271"/>
      <c r="QFU136" s="271"/>
      <c r="QFV136" s="221"/>
      <c r="QFW136" s="221"/>
      <c r="QFX136" s="221"/>
      <c r="QFY136" s="258"/>
      <c r="QFZ136" s="270"/>
      <c r="QGA136" s="271"/>
      <c r="QGB136" s="271"/>
      <c r="QGC136" s="271"/>
      <c r="QGD136" s="221"/>
      <c r="QGE136" s="221"/>
      <c r="QGF136" s="221"/>
      <c r="QGG136" s="258"/>
      <c r="QGH136" s="270"/>
      <c r="QGI136" s="271"/>
      <c r="QGJ136" s="271"/>
      <c r="QGK136" s="271"/>
      <c r="QGL136" s="221"/>
      <c r="QGM136" s="221"/>
      <c r="QGN136" s="221"/>
      <c r="QGO136" s="258"/>
      <c r="QGP136" s="270"/>
      <c r="QGQ136" s="271"/>
      <c r="QGR136" s="271"/>
      <c r="QGS136" s="271"/>
      <c r="QGT136" s="221"/>
      <c r="QGU136" s="221"/>
      <c r="QGV136" s="221"/>
      <c r="QGW136" s="258"/>
      <c r="QGX136" s="270"/>
      <c r="QGY136" s="271"/>
      <c r="QGZ136" s="271"/>
      <c r="QHA136" s="271"/>
      <c r="QHB136" s="221"/>
      <c r="QHC136" s="221"/>
      <c r="QHD136" s="221"/>
      <c r="QHE136" s="258"/>
      <c r="QHF136" s="270"/>
      <c r="QHG136" s="271"/>
      <c r="QHH136" s="271"/>
      <c r="QHI136" s="271"/>
      <c r="QHJ136" s="221"/>
      <c r="QHK136" s="221"/>
      <c r="QHL136" s="221"/>
      <c r="QHM136" s="258"/>
      <c r="QHN136" s="270"/>
      <c r="QHO136" s="271"/>
      <c r="QHP136" s="271"/>
      <c r="QHQ136" s="271"/>
      <c r="QHR136" s="221"/>
      <c r="QHS136" s="221"/>
      <c r="QHT136" s="221"/>
      <c r="QHU136" s="258"/>
      <c r="QHV136" s="270"/>
      <c r="QHW136" s="271"/>
      <c r="QHX136" s="271"/>
      <c r="QHY136" s="271"/>
      <c r="QHZ136" s="221"/>
      <c r="QIA136" s="221"/>
      <c r="QIB136" s="221"/>
      <c r="QIC136" s="258"/>
      <c r="QID136" s="270"/>
      <c r="QIE136" s="271"/>
      <c r="QIF136" s="271"/>
      <c r="QIG136" s="271"/>
      <c r="QIH136" s="221"/>
      <c r="QII136" s="221"/>
      <c r="QIJ136" s="221"/>
      <c r="QIK136" s="258"/>
      <c r="QIL136" s="270"/>
      <c r="QIM136" s="271"/>
      <c r="QIN136" s="271"/>
      <c r="QIO136" s="271"/>
      <c r="QIP136" s="221"/>
      <c r="QIQ136" s="221"/>
      <c r="QIR136" s="221"/>
      <c r="QIS136" s="258"/>
      <c r="QIT136" s="270"/>
      <c r="QIU136" s="271"/>
      <c r="QIV136" s="271"/>
      <c r="QIW136" s="271"/>
      <c r="QIX136" s="221"/>
      <c r="QIY136" s="221"/>
      <c r="QIZ136" s="221"/>
      <c r="QJA136" s="258"/>
      <c r="QJB136" s="270"/>
      <c r="QJC136" s="271"/>
      <c r="QJD136" s="271"/>
      <c r="QJE136" s="271"/>
      <c r="QJF136" s="221"/>
      <c r="QJG136" s="221"/>
      <c r="QJH136" s="221"/>
      <c r="QJI136" s="258"/>
      <c r="QJJ136" s="270"/>
      <c r="QJK136" s="271"/>
      <c r="QJL136" s="271"/>
      <c r="QJM136" s="271"/>
      <c r="QJN136" s="221"/>
      <c r="QJO136" s="221"/>
      <c r="QJP136" s="221"/>
      <c r="QJQ136" s="258"/>
      <c r="QJR136" s="270"/>
      <c r="QJS136" s="271"/>
      <c r="QJT136" s="271"/>
      <c r="QJU136" s="271"/>
      <c r="QJV136" s="221"/>
      <c r="QJW136" s="221"/>
      <c r="QJX136" s="221"/>
      <c r="QJY136" s="258"/>
      <c r="QJZ136" s="270"/>
      <c r="QKA136" s="271"/>
      <c r="QKB136" s="271"/>
      <c r="QKC136" s="271"/>
      <c r="QKD136" s="221"/>
      <c r="QKE136" s="221"/>
      <c r="QKF136" s="221"/>
      <c r="QKG136" s="258"/>
      <c r="QKH136" s="270"/>
      <c r="QKI136" s="271"/>
      <c r="QKJ136" s="271"/>
      <c r="QKK136" s="271"/>
      <c r="QKL136" s="221"/>
      <c r="QKM136" s="221"/>
      <c r="QKN136" s="221"/>
      <c r="QKO136" s="258"/>
      <c r="QKP136" s="270"/>
      <c r="QKQ136" s="271"/>
      <c r="QKR136" s="271"/>
      <c r="QKS136" s="271"/>
      <c r="QKT136" s="221"/>
      <c r="QKU136" s="221"/>
      <c r="QKV136" s="221"/>
      <c r="QKW136" s="258"/>
      <c r="QKX136" s="270"/>
      <c r="QKY136" s="271"/>
      <c r="QKZ136" s="271"/>
      <c r="QLA136" s="271"/>
      <c r="QLB136" s="221"/>
      <c r="QLC136" s="221"/>
      <c r="QLD136" s="221"/>
      <c r="QLE136" s="258"/>
      <c r="QLF136" s="270"/>
      <c r="QLG136" s="271"/>
      <c r="QLH136" s="271"/>
      <c r="QLI136" s="271"/>
      <c r="QLJ136" s="221"/>
      <c r="QLK136" s="221"/>
      <c r="QLL136" s="221"/>
      <c r="QLM136" s="258"/>
      <c r="QLN136" s="270"/>
      <c r="QLO136" s="271"/>
      <c r="QLP136" s="271"/>
      <c r="QLQ136" s="271"/>
      <c r="QLR136" s="221"/>
      <c r="QLS136" s="221"/>
      <c r="QLT136" s="221"/>
      <c r="QLU136" s="258"/>
      <c r="QLV136" s="270"/>
      <c r="QLW136" s="271"/>
      <c r="QLX136" s="271"/>
      <c r="QLY136" s="271"/>
      <c r="QLZ136" s="221"/>
      <c r="QMA136" s="221"/>
      <c r="QMB136" s="221"/>
      <c r="QMC136" s="258"/>
      <c r="QMD136" s="270"/>
      <c r="QME136" s="271"/>
      <c r="QMF136" s="271"/>
      <c r="QMG136" s="271"/>
      <c r="QMH136" s="221"/>
      <c r="QMI136" s="221"/>
      <c r="QMJ136" s="221"/>
      <c r="QMK136" s="258"/>
      <c r="QML136" s="270"/>
      <c r="QMM136" s="271"/>
      <c r="QMN136" s="271"/>
      <c r="QMO136" s="271"/>
      <c r="QMP136" s="221"/>
      <c r="QMQ136" s="221"/>
      <c r="QMR136" s="221"/>
      <c r="QMS136" s="258"/>
      <c r="QMT136" s="270"/>
      <c r="QMU136" s="271"/>
      <c r="QMV136" s="271"/>
      <c r="QMW136" s="271"/>
      <c r="QMX136" s="221"/>
      <c r="QMY136" s="221"/>
      <c r="QMZ136" s="221"/>
      <c r="QNA136" s="258"/>
      <c r="QNB136" s="270"/>
      <c r="QNC136" s="271"/>
      <c r="QND136" s="271"/>
      <c r="QNE136" s="271"/>
      <c r="QNF136" s="221"/>
      <c r="QNG136" s="221"/>
      <c r="QNH136" s="221"/>
      <c r="QNI136" s="258"/>
      <c r="QNJ136" s="270"/>
      <c r="QNK136" s="271"/>
      <c r="QNL136" s="271"/>
      <c r="QNM136" s="271"/>
      <c r="QNN136" s="221"/>
      <c r="QNO136" s="221"/>
      <c r="QNP136" s="221"/>
      <c r="QNQ136" s="258"/>
      <c r="QNR136" s="270"/>
      <c r="QNS136" s="271"/>
      <c r="QNT136" s="271"/>
      <c r="QNU136" s="271"/>
      <c r="QNV136" s="221"/>
      <c r="QNW136" s="221"/>
      <c r="QNX136" s="221"/>
      <c r="QNY136" s="258"/>
      <c r="QNZ136" s="270"/>
      <c r="QOA136" s="271"/>
      <c r="QOB136" s="271"/>
      <c r="QOC136" s="271"/>
      <c r="QOD136" s="221"/>
      <c r="QOE136" s="221"/>
      <c r="QOF136" s="221"/>
      <c r="QOG136" s="258"/>
      <c r="QOH136" s="270"/>
      <c r="QOI136" s="271"/>
      <c r="QOJ136" s="271"/>
      <c r="QOK136" s="271"/>
      <c r="QOL136" s="221"/>
      <c r="QOM136" s="221"/>
      <c r="QON136" s="221"/>
      <c r="QOO136" s="258"/>
      <c r="QOP136" s="270"/>
      <c r="QOQ136" s="271"/>
      <c r="QOR136" s="271"/>
      <c r="QOS136" s="271"/>
      <c r="QOT136" s="221"/>
      <c r="QOU136" s="221"/>
      <c r="QOV136" s="221"/>
      <c r="QOW136" s="258"/>
      <c r="QOX136" s="270"/>
      <c r="QOY136" s="271"/>
      <c r="QOZ136" s="271"/>
      <c r="QPA136" s="271"/>
      <c r="QPB136" s="221"/>
      <c r="QPC136" s="221"/>
      <c r="QPD136" s="221"/>
      <c r="QPE136" s="258"/>
      <c r="QPF136" s="270"/>
      <c r="QPG136" s="271"/>
      <c r="QPH136" s="271"/>
      <c r="QPI136" s="271"/>
      <c r="QPJ136" s="221"/>
      <c r="QPK136" s="221"/>
      <c r="QPL136" s="221"/>
      <c r="QPM136" s="258"/>
      <c r="QPN136" s="270"/>
      <c r="QPO136" s="271"/>
      <c r="QPP136" s="271"/>
      <c r="QPQ136" s="271"/>
      <c r="QPR136" s="221"/>
      <c r="QPS136" s="221"/>
      <c r="QPT136" s="221"/>
      <c r="QPU136" s="258"/>
      <c r="QPV136" s="270"/>
      <c r="QPW136" s="271"/>
      <c r="QPX136" s="271"/>
      <c r="QPY136" s="271"/>
      <c r="QPZ136" s="221"/>
      <c r="QQA136" s="221"/>
      <c r="QQB136" s="221"/>
      <c r="QQC136" s="258"/>
      <c r="QQD136" s="270"/>
      <c r="QQE136" s="271"/>
      <c r="QQF136" s="271"/>
      <c r="QQG136" s="271"/>
      <c r="QQH136" s="221"/>
      <c r="QQI136" s="221"/>
      <c r="QQJ136" s="221"/>
      <c r="QQK136" s="258"/>
      <c r="QQL136" s="270"/>
      <c r="QQM136" s="271"/>
      <c r="QQN136" s="271"/>
      <c r="QQO136" s="271"/>
      <c r="QQP136" s="221"/>
      <c r="QQQ136" s="221"/>
      <c r="QQR136" s="221"/>
      <c r="QQS136" s="258"/>
      <c r="QQT136" s="270"/>
      <c r="QQU136" s="271"/>
      <c r="QQV136" s="271"/>
      <c r="QQW136" s="271"/>
      <c r="QQX136" s="221"/>
      <c r="QQY136" s="221"/>
      <c r="QQZ136" s="221"/>
      <c r="QRA136" s="258"/>
      <c r="QRB136" s="270"/>
      <c r="QRC136" s="271"/>
      <c r="QRD136" s="271"/>
      <c r="QRE136" s="271"/>
      <c r="QRF136" s="221"/>
      <c r="QRG136" s="221"/>
      <c r="QRH136" s="221"/>
      <c r="QRI136" s="258"/>
      <c r="QRJ136" s="270"/>
      <c r="QRK136" s="271"/>
      <c r="QRL136" s="271"/>
      <c r="QRM136" s="271"/>
      <c r="QRN136" s="221"/>
      <c r="QRO136" s="221"/>
      <c r="QRP136" s="221"/>
      <c r="QRQ136" s="258"/>
      <c r="QRR136" s="270"/>
      <c r="QRS136" s="271"/>
      <c r="QRT136" s="271"/>
      <c r="QRU136" s="271"/>
      <c r="QRV136" s="221"/>
      <c r="QRW136" s="221"/>
      <c r="QRX136" s="221"/>
      <c r="QRY136" s="258"/>
      <c r="QRZ136" s="270"/>
      <c r="QSA136" s="271"/>
      <c r="QSB136" s="271"/>
      <c r="QSC136" s="271"/>
      <c r="QSD136" s="221"/>
      <c r="QSE136" s="221"/>
      <c r="QSF136" s="221"/>
      <c r="QSG136" s="258"/>
      <c r="QSH136" s="270"/>
      <c r="QSI136" s="271"/>
      <c r="QSJ136" s="271"/>
      <c r="QSK136" s="271"/>
      <c r="QSL136" s="221"/>
      <c r="QSM136" s="221"/>
      <c r="QSN136" s="221"/>
      <c r="QSO136" s="258"/>
      <c r="QSP136" s="270"/>
      <c r="QSQ136" s="271"/>
      <c r="QSR136" s="271"/>
      <c r="QSS136" s="271"/>
      <c r="QST136" s="221"/>
      <c r="QSU136" s="221"/>
      <c r="QSV136" s="221"/>
      <c r="QSW136" s="258"/>
      <c r="QSX136" s="270"/>
      <c r="QSY136" s="271"/>
      <c r="QSZ136" s="271"/>
      <c r="QTA136" s="271"/>
      <c r="QTB136" s="221"/>
      <c r="QTC136" s="221"/>
      <c r="QTD136" s="221"/>
      <c r="QTE136" s="258"/>
      <c r="QTF136" s="270"/>
      <c r="QTG136" s="271"/>
      <c r="QTH136" s="271"/>
      <c r="QTI136" s="271"/>
      <c r="QTJ136" s="221"/>
      <c r="QTK136" s="221"/>
      <c r="QTL136" s="221"/>
      <c r="QTM136" s="258"/>
      <c r="QTN136" s="270"/>
      <c r="QTO136" s="271"/>
      <c r="QTP136" s="271"/>
      <c r="QTQ136" s="271"/>
      <c r="QTR136" s="221"/>
      <c r="QTS136" s="221"/>
      <c r="QTT136" s="221"/>
      <c r="QTU136" s="258"/>
      <c r="QTV136" s="270"/>
      <c r="QTW136" s="271"/>
      <c r="QTX136" s="271"/>
      <c r="QTY136" s="271"/>
      <c r="QTZ136" s="221"/>
      <c r="QUA136" s="221"/>
      <c r="QUB136" s="221"/>
      <c r="QUC136" s="258"/>
      <c r="QUD136" s="270"/>
      <c r="QUE136" s="271"/>
      <c r="QUF136" s="271"/>
      <c r="QUG136" s="271"/>
      <c r="QUH136" s="221"/>
      <c r="QUI136" s="221"/>
      <c r="QUJ136" s="221"/>
      <c r="QUK136" s="258"/>
      <c r="QUL136" s="270"/>
      <c r="QUM136" s="271"/>
      <c r="QUN136" s="271"/>
      <c r="QUO136" s="271"/>
      <c r="QUP136" s="221"/>
      <c r="QUQ136" s="221"/>
      <c r="QUR136" s="221"/>
      <c r="QUS136" s="258"/>
      <c r="QUT136" s="270"/>
      <c r="QUU136" s="271"/>
      <c r="QUV136" s="271"/>
      <c r="QUW136" s="271"/>
      <c r="QUX136" s="221"/>
      <c r="QUY136" s="221"/>
      <c r="QUZ136" s="221"/>
      <c r="QVA136" s="258"/>
      <c r="QVB136" s="270"/>
      <c r="QVC136" s="271"/>
      <c r="QVD136" s="271"/>
      <c r="QVE136" s="271"/>
      <c r="QVF136" s="221"/>
      <c r="QVG136" s="221"/>
      <c r="QVH136" s="221"/>
      <c r="QVI136" s="258"/>
      <c r="QVJ136" s="270"/>
      <c r="QVK136" s="271"/>
      <c r="QVL136" s="271"/>
      <c r="QVM136" s="271"/>
      <c r="QVN136" s="221"/>
      <c r="QVO136" s="221"/>
      <c r="QVP136" s="221"/>
      <c r="QVQ136" s="258"/>
      <c r="QVR136" s="270"/>
      <c r="QVS136" s="271"/>
      <c r="QVT136" s="271"/>
      <c r="QVU136" s="271"/>
      <c r="QVV136" s="221"/>
      <c r="QVW136" s="221"/>
      <c r="QVX136" s="221"/>
      <c r="QVY136" s="258"/>
      <c r="QVZ136" s="270"/>
      <c r="QWA136" s="271"/>
      <c r="QWB136" s="271"/>
      <c r="QWC136" s="271"/>
      <c r="QWD136" s="221"/>
      <c r="QWE136" s="221"/>
      <c r="QWF136" s="221"/>
      <c r="QWG136" s="258"/>
      <c r="QWH136" s="270"/>
      <c r="QWI136" s="271"/>
      <c r="QWJ136" s="271"/>
      <c r="QWK136" s="271"/>
      <c r="QWL136" s="221"/>
      <c r="QWM136" s="221"/>
      <c r="QWN136" s="221"/>
      <c r="QWO136" s="258"/>
      <c r="QWP136" s="270"/>
      <c r="QWQ136" s="271"/>
      <c r="QWR136" s="271"/>
      <c r="QWS136" s="271"/>
      <c r="QWT136" s="221"/>
      <c r="QWU136" s="221"/>
      <c r="QWV136" s="221"/>
      <c r="QWW136" s="258"/>
      <c r="QWX136" s="270"/>
      <c r="QWY136" s="271"/>
      <c r="QWZ136" s="271"/>
      <c r="QXA136" s="271"/>
      <c r="QXB136" s="221"/>
      <c r="QXC136" s="221"/>
      <c r="QXD136" s="221"/>
      <c r="QXE136" s="258"/>
      <c r="QXF136" s="270"/>
      <c r="QXG136" s="271"/>
      <c r="QXH136" s="271"/>
      <c r="QXI136" s="271"/>
      <c r="QXJ136" s="221"/>
      <c r="QXK136" s="221"/>
      <c r="QXL136" s="221"/>
      <c r="QXM136" s="258"/>
      <c r="QXN136" s="270"/>
      <c r="QXO136" s="271"/>
      <c r="QXP136" s="271"/>
      <c r="QXQ136" s="271"/>
      <c r="QXR136" s="221"/>
      <c r="QXS136" s="221"/>
      <c r="QXT136" s="221"/>
      <c r="QXU136" s="258"/>
      <c r="QXV136" s="270"/>
      <c r="QXW136" s="271"/>
      <c r="QXX136" s="271"/>
      <c r="QXY136" s="271"/>
      <c r="QXZ136" s="221"/>
      <c r="QYA136" s="221"/>
      <c r="QYB136" s="221"/>
      <c r="QYC136" s="258"/>
      <c r="QYD136" s="270"/>
      <c r="QYE136" s="271"/>
      <c r="QYF136" s="271"/>
      <c r="QYG136" s="271"/>
      <c r="QYH136" s="221"/>
      <c r="QYI136" s="221"/>
      <c r="QYJ136" s="221"/>
      <c r="QYK136" s="258"/>
      <c r="QYL136" s="270"/>
      <c r="QYM136" s="271"/>
      <c r="QYN136" s="271"/>
      <c r="QYO136" s="271"/>
      <c r="QYP136" s="221"/>
      <c r="QYQ136" s="221"/>
      <c r="QYR136" s="221"/>
      <c r="QYS136" s="258"/>
      <c r="QYT136" s="270"/>
      <c r="QYU136" s="271"/>
      <c r="QYV136" s="271"/>
      <c r="QYW136" s="271"/>
      <c r="QYX136" s="221"/>
      <c r="QYY136" s="221"/>
      <c r="QYZ136" s="221"/>
      <c r="QZA136" s="258"/>
      <c r="QZB136" s="270"/>
      <c r="QZC136" s="271"/>
      <c r="QZD136" s="271"/>
      <c r="QZE136" s="271"/>
      <c r="QZF136" s="221"/>
      <c r="QZG136" s="221"/>
      <c r="QZH136" s="221"/>
      <c r="QZI136" s="258"/>
      <c r="QZJ136" s="270"/>
      <c r="QZK136" s="271"/>
      <c r="QZL136" s="271"/>
      <c r="QZM136" s="271"/>
      <c r="QZN136" s="221"/>
      <c r="QZO136" s="221"/>
      <c r="QZP136" s="221"/>
      <c r="QZQ136" s="258"/>
      <c r="QZR136" s="270"/>
      <c r="QZS136" s="271"/>
      <c r="QZT136" s="271"/>
      <c r="QZU136" s="271"/>
      <c r="QZV136" s="221"/>
      <c r="QZW136" s="221"/>
      <c r="QZX136" s="221"/>
      <c r="QZY136" s="258"/>
      <c r="QZZ136" s="270"/>
      <c r="RAA136" s="271"/>
      <c r="RAB136" s="271"/>
      <c r="RAC136" s="271"/>
      <c r="RAD136" s="221"/>
      <c r="RAE136" s="221"/>
      <c r="RAF136" s="221"/>
      <c r="RAG136" s="258"/>
      <c r="RAH136" s="270"/>
      <c r="RAI136" s="271"/>
      <c r="RAJ136" s="271"/>
      <c r="RAK136" s="271"/>
      <c r="RAL136" s="221"/>
      <c r="RAM136" s="221"/>
      <c r="RAN136" s="221"/>
      <c r="RAO136" s="258"/>
      <c r="RAP136" s="270"/>
      <c r="RAQ136" s="271"/>
      <c r="RAR136" s="271"/>
      <c r="RAS136" s="271"/>
      <c r="RAT136" s="221"/>
      <c r="RAU136" s="221"/>
      <c r="RAV136" s="221"/>
      <c r="RAW136" s="258"/>
      <c r="RAX136" s="270"/>
      <c r="RAY136" s="271"/>
      <c r="RAZ136" s="271"/>
      <c r="RBA136" s="271"/>
      <c r="RBB136" s="221"/>
      <c r="RBC136" s="221"/>
      <c r="RBD136" s="221"/>
      <c r="RBE136" s="258"/>
      <c r="RBF136" s="270"/>
      <c r="RBG136" s="271"/>
      <c r="RBH136" s="271"/>
      <c r="RBI136" s="271"/>
      <c r="RBJ136" s="221"/>
      <c r="RBK136" s="221"/>
      <c r="RBL136" s="221"/>
      <c r="RBM136" s="258"/>
      <c r="RBN136" s="270"/>
      <c r="RBO136" s="271"/>
      <c r="RBP136" s="271"/>
      <c r="RBQ136" s="271"/>
      <c r="RBR136" s="221"/>
      <c r="RBS136" s="221"/>
      <c r="RBT136" s="221"/>
      <c r="RBU136" s="258"/>
      <c r="RBV136" s="270"/>
      <c r="RBW136" s="271"/>
      <c r="RBX136" s="271"/>
      <c r="RBY136" s="271"/>
      <c r="RBZ136" s="221"/>
      <c r="RCA136" s="221"/>
      <c r="RCB136" s="221"/>
      <c r="RCC136" s="258"/>
      <c r="RCD136" s="270"/>
      <c r="RCE136" s="271"/>
      <c r="RCF136" s="271"/>
      <c r="RCG136" s="271"/>
      <c r="RCH136" s="221"/>
      <c r="RCI136" s="221"/>
      <c r="RCJ136" s="221"/>
      <c r="RCK136" s="258"/>
      <c r="RCL136" s="270"/>
      <c r="RCM136" s="271"/>
      <c r="RCN136" s="271"/>
      <c r="RCO136" s="271"/>
      <c r="RCP136" s="221"/>
      <c r="RCQ136" s="221"/>
      <c r="RCR136" s="221"/>
      <c r="RCS136" s="258"/>
      <c r="RCT136" s="270"/>
      <c r="RCU136" s="271"/>
      <c r="RCV136" s="271"/>
      <c r="RCW136" s="271"/>
      <c r="RCX136" s="221"/>
      <c r="RCY136" s="221"/>
      <c r="RCZ136" s="221"/>
      <c r="RDA136" s="258"/>
      <c r="RDB136" s="270"/>
      <c r="RDC136" s="271"/>
      <c r="RDD136" s="271"/>
      <c r="RDE136" s="271"/>
      <c r="RDF136" s="221"/>
      <c r="RDG136" s="221"/>
      <c r="RDH136" s="221"/>
      <c r="RDI136" s="258"/>
      <c r="RDJ136" s="270"/>
      <c r="RDK136" s="271"/>
      <c r="RDL136" s="271"/>
      <c r="RDM136" s="271"/>
      <c r="RDN136" s="221"/>
      <c r="RDO136" s="221"/>
      <c r="RDP136" s="221"/>
      <c r="RDQ136" s="258"/>
      <c r="RDR136" s="270"/>
      <c r="RDS136" s="271"/>
      <c r="RDT136" s="271"/>
      <c r="RDU136" s="271"/>
      <c r="RDV136" s="221"/>
      <c r="RDW136" s="221"/>
      <c r="RDX136" s="221"/>
      <c r="RDY136" s="258"/>
      <c r="RDZ136" s="270"/>
      <c r="REA136" s="271"/>
      <c r="REB136" s="271"/>
      <c r="REC136" s="271"/>
      <c r="RED136" s="221"/>
      <c r="REE136" s="221"/>
      <c r="REF136" s="221"/>
      <c r="REG136" s="258"/>
      <c r="REH136" s="270"/>
      <c r="REI136" s="271"/>
      <c r="REJ136" s="271"/>
      <c r="REK136" s="271"/>
      <c r="REL136" s="221"/>
      <c r="REM136" s="221"/>
      <c r="REN136" s="221"/>
      <c r="REO136" s="258"/>
      <c r="REP136" s="270"/>
      <c r="REQ136" s="271"/>
      <c r="RER136" s="271"/>
      <c r="RES136" s="271"/>
      <c r="RET136" s="221"/>
      <c r="REU136" s="221"/>
      <c r="REV136" s="221"/>
      <c r="REW136" s="258"/>
      <c r="REX136" s="270"/>
      <c r="REY136" s="271"/>
      <c r="REZ136" s="271"/>
      <c r="RFA136" s="271"/>
      <c r="RFB136" s="221"/>
      <c r="RFC136" s="221"/>
      <c r="RFD136" s="221"/>
      <c r="RFE136" s="258"/>
      <c r="RFF136" s="270"/>
      <c r="RFG136" s="271"/>
      <c r="RFH136" s="271"/>
      <c r="RFI136" s="271"/>
      <c r="RFJ136" s="221"/>
      <c r="RFK136" s="221"/>
      <c r="RFL136" s="221"/>
      <c r="RFM136" s="258"/>
      <c r="RFN136" s="270"/>
      <c r="RFO136" s="271"/>
      <c r="RFP136" s="271"/>
      <c r="RFQ136" s="271"/>
      <c r="RFR136" s="221"/>
      <c r="RFS136" s="221"/>
      <c r="RFT136" s="221"/>
      <c r="RFU136" s="258"/>
      <c r="RFV136" s="270"/>
      <c r="RFW136" s="271"/>
      <c r="RFX136" s="271"/>
      <c r="RFY136" s="271"/>
      <c r="RFZ136" s="221"/>
      <c r="RGA136" s="221"/>
      <c r="RGB136" s="221"/>
      <c r="RGC136" s="258"/>
      <c r="RGD136" s="270"/>
      <c r="RGE136" s="271"/>
      <c r="RGF136" s="271"/>
      <c r="RGG136" s="271"/>
      <c r="RGH136" s="221"/>
      <c r="RGI136" s="221"/>
      <c r="RGJ136" s="221"/>
      <c r="RGK136" s="258"/>
      <c r="RGL136" s="270"/>
      <c r="RGM136" s="271"/>
      <c r="RGN136" s="271"/>
      <c r="RGO136" s="271"/>
      <c r="RGP136" s="221"/>
      <c r="RGQ136" s="221"/>
      <c r="RGR136" s="221"/>
      <c r="RGS136" s="258"/>
      <c r="RGT136" s="270"/>
      <c r="RGU136" s="271"/>
      <c r="RGV136" s="271"/>
      <c r="RGW136" s="271"/>
      <c r="RGX136" s="221"/>
      <c r="RGY136" s="221"/>
      <c r="RGZ136" s="221"/>
      <c r="RHA136" s="258"/>
      <c r="RHB136" s="270"/>
      <c r="RHC136" s="271"/>
      <c r="RHD136" s="271"/>
      <c r="RHE136" s="271"/>
      <c r="RHF136" s="221"/>
      <c r="RHG136" s="221"/>
      <c r="RHH136" s="221"/>
      <c r="RHI136" s="258"/>
      <c r="RHJ136" s="270"/>
      <c r="RHK136" s="271"/>
      <c r="RHL136" s="271"/>
      <c r="RHM136" s="271"/>
      <c r="RHN136" s="221"/>
      <c r="RHO136" s="221"/>
      <c r="RHP136" s="221"/>
      <c r="RHQ136" s="258"/>
      <c r="RHR136" s="270"/>
      <c r="RHS136" s="271"/>
      <c r="RHT136" s="271"/>
      <c r="RHU136" s="271"/>
      <c r="RHV136" s="221"/>
      <c r="RHW136" s="221"/>
      <c r="RHX136" s="221"/>
      <c r="RHY136" s="258"/>
      <c r="RHZ136" s="270"/>
      <c r="RIA136" s="271"/>
      <c r="RIB136" s="271"/>
      <c r="RIC136" s="271"/>
      <c r="RID136" s="221"/>
      <c r="RIE136" s="221"/>
      <c r="RIF136" s="221"/>
      <c r="RIG136" s="258"/>
      <c r="RIH136" s="270"/>
      <c r="RII136" s="271"/>
      <c r="RIJ136" s="271"/>
      <c r="RIK136" s="271"/>
      <c r="RIL136" s="221"/>
      <c r="RIM136" s="221"/>
      <c r="RIN136" s="221"/>
      <c r="RIO136" s="258"/>
      <c r="RIP136" s="270"/>
      <c r="RIQ136" s="271"/>
      <c r="RIR136" s="271"/>
      <c r="RIS136" s="271"/>
      <c r="RIT136" s="221"/>
      <c r="RIU136" s="221"/>
      <c r="RIV136" s="221"/>
      <c r="RIW136" s="258"/>
      <c r="RIX136" s="270"/>
      <c r="RIY136" s="271"/>
      <c r="RIZ136" s="271"/>
      <c r="RJA136" s="271"/>
      <c r="RJB136" s="221"/>
      <c r="RJC136" s="221"/>
      <c r="RJD136" s="221"/>
      <c r="RJE136" s="258"/>
      <c r="RJF136" s="270"/>
      <c r="RJG136" s="271"/>
      <c r="RJH136" s="271"/>
      <c r="RJI136" s="271"/>
      <c r="RJJ136" s="221"/>
      <c r="RJK136" s="221"/>
      <c r="RJL136" s="221"/>
      <c r="RJM136" s="258"/>
      <c r="RJN136" s="270"/>
      <c r="RJO136" s="271"/>
      <c r="RJP136" s="271"/>
      <c r="RJQ136" s="271"/>
      <c r="RJR136" s="221"/>
      <c r="RJS136" s="221"/>
      <c r="RJT136" s="221"/>
      <c r="RJU136" s="258"/>
      <c r="RJV136" s="270"/>
      <c r="RJW136" s="271"/>
      <c r="RJX136" s="271"/>
      <c r="RJY136" s="271"/>
      <c r="RJZ136" s="221"/>
      <c r="RKA136" s="221"/>
      <c r="RKB136" s="221"/>
      <c r="RKC136" s="258"/>
      <c r="RKD136" s="270"/>
      <c r="RKE136" s="271"/>
      <c r="RKF136" s="271"/>
      <c r="RKG136" s="271"/>
      <c r="RKH136" s="221"/>
      <c r="RKI136" s="221"/>
      <c r="RKJ136" s="221"/>
      <c r="RKK136" s="258"/>
      <c r="RKL136" s="270"/>
      <c r="RKM136" s="271"/>
      <c r="RKN136" s="271"/>
      <c r="RKO136" s="271"/>
      <c r="RKP136" s="221"/>
      <c r="RKQ136" s="221"/>
      <c r="RKR136" s="221"/>
      <c r="RKS136" s="258"/>
      <c r="RKT136" s="270"/>
      <c r="RKU136" s="271"/>
      <c r="RKV136" s="271"/>
      <c r="RKW136" s="271"/>
      <c r="RKX136" s="221"/>
      <c r="RKY136" s="221"/>
      <c r="RKZ136" s="221"/>
      <c r="RLA136" s="258"/>
      <c r="RLB136" s="270"/>
      <c r="RLC136" s="271"/>
      <c r="RLD136" s="271"/>
      <c r="RLE136" s="271"/>
      <c r="RLF136" s="221"/>
      <c r="RLG136" s="221"/>
      <c r="RLH136" s="221"/>
      <c r="RLI136" s="258"/>
      <c r="RLJ136" s="270"/>
      <c r="RLK136" s="271"/>
      <c r="RLL136" s="271"/>
      <c r="RLM136" s="271"/>
      <c r="RLN136" s="221"/>
      <c r="RLO136" s="221"/>
      <c r="RLP136" s="221"/>
      <c r="RLQ136" s="258"/>
      <c r="RLR136" s="270"/>
      <c r="RLS136" s="271"/>
      <c r="RLT136" s="271"/>
      <c r="RLU136" s="271"/>
      <c r="RLV136" s="221"/>
      <c r="RLW136" s="221"/>
      <c r="RLX136" s="221"/>
      <c r="RLY136" s="258"/>
      <c r="RLZ136" s="270"/>
      <c r="RMA136" s="271"/>
      <c r="RMB136" s="271"/>
      <c r="RMC136" s="271"/>
      <c r="RMD136" s="221"/>
      <c r="RME136" s="221"/>
      <c r="RMF136" s="221"/>
      <c r="RMG136" s="258"/>
      <c r="RMH136" s="270"/>
      <c r="RMI136" s="271"/>
      <c r="RMJ136" s="271"/>
      <c r="RMK136" s="271"/>
      <c r="RML136" s="221"/>
      <c r="RMM136" s="221"/>
      <c r="RMN136" s="221"/>
      <c r="RMO136" s="258"/>
      <c r="RMP136" s="270"/>
      <c r="RMQ136" s="271"/>
      <c r="RMR136" s="271"/>
      <c r="RMS136" s="271"/>
      <c r="RMT136" s="221"/>
      <c r="RMU136" s="221"/>
      <c r="RMV136" s="221"/>
      <c r="RMW136" s="258"/>
      <c r="RMX136" s="270"/>
      <c r="RMY136" s="271"/>
      <c r="RMZ136" s="271"/>
      <c r="RNA136" s="271"/>
      <c r="RNB136" s="221"/>
      <c r="RNC136" s="221"/>
      <c r="RND136" s="221"/>
      <c r="RNE136" s="258"/>
      <c r="RNF136" s="270"/>
      <c r="RNG136" s="271"/>
      <c r="RNH136" s="271"/>
      <c r="RNI136" s="271"/>
      <c r="RNJ136" s="221"/>
      <c r="RNK136" s="221"/>
      <c r="RNL136" s="221"/>
      <c r="RNM136" s="258"/>
      <c r="RNN136" s="270"/>
      <c r="RNO136" s="271"/>
      <c r="RNP136" s="271"/>
      <c r="RNQ136" s="271"/>
      <c r="RNR136" s="221"/>
      <c r="RNS136" s="221"/>
      <c r="RNT136" s="221"/>
      <c r="RNU136" s="258"/>
      <c r="RNV136" s="270"/>
      <c r="RNW136" s="271"/>
      <c r="RNX136" s="271"/>
      <c r="RNY136" s="271"/>
      <c r="RNZ136" s="221"/>
      <c r="ROA136" s="221"/>
      <c r="ROB136" s="221"/>
      <c r="ROC136" s="258"/>
      <c r="ROD136" s="270"/>
      <c r="ROE136" s="271"/>
      <c r="ROF136" s="271"/>
      <c r="ROG136" s="271"/>
      <c r="ROH136" s="221"/>
      <c r="ROI136" s="221"/>
      <c r="ROJ136" s="221"/>
      <c r="ROK136" s="258"/>
      <c r="ROL136" s="270"/>
      <c r="ROM136" s="271"/>
      <c r="RON136" s="271"/>
      <c r="ROO136" s="271"/>
      <c r="ROP136" s="221"/>
      <c r="ROQ136" s="221"/>
      <c r="ROR136" s="221"/>
      <c r="ROS136" s="258"/>
      <c r="ROT136" s="270"/>
      <c r="ROU136" s="271"/>
      <c r="ROV136" s="271"/>
      <c r="ROW136" s="271"/>
      <c r="ROX136" s="221"/>
      <c r="ROY136" s="221"/>
      <c r="ROZ136" s="221"/>
      <c r="RPA136" s="258"/>
      <c r="RPB136" s="270"/>
      <c r="RPC136" s="271"/>
      <c r="RPD136" s="271"/>
      <c r="RPE136" s="271"/>
      <c r="RPF136" s="221"/>
      <c r="RPG136" s="221"/>
      <c r="RPH136" s="221"/>
      <c r="RPI136" s="258"/>
      <c r="RPJ136" s="270"/>
      <c r="RPK136" s="271"/>
      <c r="RPL136" s="271"/>
      <c r="RPM136" s="271"/>
      <c r="RPN136" s="221"/>
      <c r="RPO136" s="221"/>
      <c r="RPP136" s="221"/>
      <c r="RPQ136" s="258"/>
      <c r="RPR136" s="270"/>
      <c r="RPS136" s="271"/>
      <c r="RPT136" s="271"/>
      <c r="RPU136" s="271"/>
      <c r="RPV136" s="221"/>
      <c r="RPW136" s="221"/>
      <c r="RPX136" s="221"/>
      <c r="RPY136" s="258"/>
      <c r="RPZ136" s="270"/>
      <c r="RQA136" s="271"/>
      <c r="RQB136" s="271"/>
      <c r="RQC136" s="271"/>
      <c r="RQD136" s="221"/>
      <c r="RQE136" s="221"/>
      <c r="RQF136" s="221"/>
      <c r="RQG136" s="258"/>
      <c r="RQH136" s="270"/>
      <c r="RQI136" s="271"/>
      <c r="RQJ136" s="271"/>
      <c r="RQK136" s="271"/>
      <c r="RQL136" s="221"/>
      <c r="RQM136" s="221"/>
      <c r="RQN136" s="221"/>
      <c r="RQO136" s="258"/>
      <c r="RQP136" s="270"/>
      <c r="RQQ136" s="271"/>
      <c r="RQR136" s="271"/>
      <c r="RQS136" s="271"/>
      <c r="RQT136" s="221"/>
      <c r="RQU136" s="221"/>
      <c r="RQV136" s="221"/>
      <c r="RQW136" s="258"/>
      <c r="RQX136" s="270"/>
      <c r="RQY136" s="271"/>
      <c r="RQZ136" s="271"/>
      <c r="RRA136" s="271"/>
      <c r="RRB136" s="221"/>
      <c r="RRC136" s="221"/>
      <c r="RRD136" s="221"/>
      <c r="RRE136" s="258"/>
      <c r="RRF136" s="270"/>
      <c r="RRG136" s="271"/>
      <c r="RRH136" s="271"/>
      <c r="RRI136" s="271"/>
      <c r="RRJ136" s="221"/>
      <c r="RRK136" s="221"/>
      <c r="RRL136" s="221"/>
      <c r="RRM136" s="258"/>
      <c r="RRN136" s="270"/>
      <c r="RRO136" s="271"/>
      <c r="RRP136" s="271"/>
      <c r="RRQ136" s="271"/>
      <c r="RRR136" s="221"/>
      <c r="RRS136" s="221"/>
      <c r="RRT136" s="221"/>
      <c r="RRU136" s="258"/>
      <c r="RRV136" s="270"/>
      <c r="RRW136" s="271"/>
      <c r="RRX136" s="271"/>
      <c r="RRY136" s="271"/>
      <c r="RRZ136" s="221"/>
      <c r="RSA136" s="221"/>
      <c r="RSB136" s="221"/>
      <c r="RSC136" s="258"/>
      <c r="RSD136" s="270"/>
      <c r="RSE136" s="271"/>
      <c r="RSF136" s="271"/>
      <c r="RSG136" s="271"/>
      <c r="RSH136" s="221"/>
      <c r="RSI136" s="221"/>
      <c r="RSJ136" s="221"/>
      <c r="RSK136" s="258"/>
      <c r="RSL136" s="270"/>
      <c r="RSM136" s="271"/>
      <c r="RSN136" s="271"/>
      <c r="RSO136" s="271"/>
      <c r="RSP136" s="221"/>
      <c r="RSQ136" s="221"/>
      <c r="RSR136" s="221"/>
      <c r="RSS136" s="258"/>
      <c r="RST136" s="270"/>
      <c r="RSU136" s="271"/>
      <c r="RSV136" s="271"/>
      <c r="RSW136" s="271"/>
      <c r="RSX136" s="221"/>
      <c r="RSY136" s="221"/>
      <c r="RSZ136" s="221"/>
      <c r="RTA136" s="258"/>
      <c r="RTB136" s="270"/>
      <c r="RTC136" s="271"/>
      <c r="RTD136" s="271"/>
      <c r="RTE136" s="271"/>
      <c r="RTF136" s="221"/>
      <c r="RTG136" s="221"/>
      <c r="RTH136" s="221"/>
      <c r="RTI136" s="258"/>
      <c r="RTJ136" s="270"/>
      <c r="RTK136" s="271"/>
      <c r="RTL136" s="271"/>
      <c r="RTM136" s="271"/>
      <c r="RTN136" s="221"/>
      <c r="RTO136" s="221"/>
      <c r="RTP136" s="221"/>
      <c r="RTQ136" s="258"/>
      <c r="RTR136" s="270"/>
      <c r="RTS136" s="271"/>
      <c r="RTT136" s="271"/>
      <c r="RTU136" s="271"/>
      <c r="RTV136" s="221"/>
      <c r="RTW136" s="221"/>
      <c r="RTX136" s="221"/>
      <c r="RTY136" s="258"/>
      <c r="RTZ136" s="270"/>
      <c r="RUA136" s="271"/>
      <c r="RUB136" s="271"/>
      <c r="RUC136" s="271"/>
      <c r="RUD136" s="221"/>
      <c r="RUE136" s="221"/>
      <c r="RUF136" s="221"/>
      <c r="RUG136" s="258"/>
      <c r="RUH136" s="270"/>
      <c r="RUI136" s="271"/>
      <c r="RUJ136" s="271"/>
      <c r="RUK136" s="271"/>
      <c r="RUL136" s="221"/>
      <c r="RUM136" s="221"/>
      <c r="RUN136" s="221"/>
      <c r="RUO136" s="258"/>
      <c r="RUP136" s="270"/>
      <c r="RUQ136" s="271"/>
      <c r="RUR136" s="271"/>
      <c r="RUS136" s="271"/>
      <c r="RUT136" s="221"/>
      <c r="RUU136" s="221"/>
      <c r="RUV136" s="221"/>
      <c r="RUW136" s="258"/>
      <c r="RUX136" s="270"/>
      <c r="RUY136" s="271"/>
      <c r="RUZ136" s="271"/>
      <c r="RVA136" s="271"/>
      <c r="RVB136" s="221"/>
      <c r="RVC136" s="221"/>
      <c r="RVD136" s="221"/>
      <c r="RVE136" s="258"/>
      <c r="RVF136" s="270"/>
      <c r="RVG136" s="271"/>
      <c r="RVH136" s="271"/>
      <c r="RVI136" s="271"/>
      <c r="RVJ136" s="221"/>
      <c r="RVK136" s="221"/>
      <c r="RVL136" s="221"/>
      <c r="RVM136" s="258"/>
      <c r="RVN136" s="270"/>
      <c r="RVO136" s="271"/>
      <c r="RVP136" s="271"/>
      <c r="RVQ136" s="271"/>
      <c r="RVR136" s="221"/>
      <c r="RVS136" s="221"/>
      <c r="RVT136" s="221"/>
      <c r="RVU136" s="258"/>
      <c r="RVV136" s="270"/>
      <c r="RVW136" s="271"/>
      <c r="RVX136" s="271"/>
      <c r="RVY136" s="271"/>
      <c r="RVZ136" s="221"/>
      <c r="RWA136" s="221"/>
      <c r="RWB136" s="221"/>
      <c r="RWC136" s="258"/>
      <c r="RWD136" s="270"/>
      <c r="RWE136" s="271"/>
      <c r="RWF136" s="271"/>
      <c r="RWG136" s="271"/>
      <c r="RWH136" s="221"/>
      <c r="RWI136" s="221"/>
      <c r="RWJ136" s="221"/>
      <c r="RWK136" s="258"/>
      <c r="RWL136" s="270"/>
      <c r="RWM136" s="271"/>
      <c r="RWN136" s="271"/>
      <c r="RWO136" s="271"/>
      <c r="RWP136" s="221"/>
      <c r="RWQ136" s="221"/>
      <c r="RWR136" s="221"/>
      <c r="RWS136" s="258"/>
      <c r="RWT136" s="270"/>
      <c r="RWU136" s="271"/>
      <c r="RWV136" s="271"/>
      <c r="RWW136" s="271"/>
      <c r="RWX136" s="221"/>
      <c r="RWY136" s="221"/>
      <c r="RWZ136" s="221"/>
      <c r="RXA136" s="258"/>
      <c r="RXB136" s="270"/>
      <c r="RXC136" s="271"/>
      <c r="RXD136" s="271"/>
      <c r="RXE136" s="271"/>
      <c r="RXF136" s="221"/>
      <c r="RXG136" s="221"/>
      <c r="RXH136" s="221"/>
      <c r="RXI136" s="258"/>
      <c r="RXJ136" s="270"/>
      <c r="RXK136" s="271"/>
      <c r="RXL136" s="271"/>
      <c r="RXM136" s="271"/>
      <c r="RXN136" s="221"/>
      <c r="RXO136" s="221"/>
      <c r="RXP136" s="221"/>
      <c r="RXQ136" s="258"/>
      <c r="RXR136" s="270"/>
      <c r="RXS136" s="271"/>
      <c r="RXT136" s="271"/>
      <c r="RXU136" s="271"/>
      <c r="RXV136" s="221"/>
      <c r="RXW136" s="221"/>
      <c r="RXX136" s="221"/>
      <c r="RXY136" s="258"/>
      <c r="RXZ136" s="270"/>
      <c r="RYA136" s="271"/>
      <c r="RYB136" s="271"/>
      <c r="RYC136" s="271"/>
      <c r="RYD136" s="221"/>
      <c r="RYE136" s="221"/>
      <c r="RYF136" s="221"/>
      <c r="RYG136" s="258"/>
      <c r="RYH136" s="270"/>
      <c r="RYI136" s="271"/>
      <c r="RYJ136" s="271"/>
      <c r="RYK136" s="271"/>
      <c r="RYL136" s="221"/>
      <c r="RYM136" s="221"/>
      <c r="RYN136" s="221"/>
      <c r="RYO136" s="258"/>
      <c r="RYP136" s="270"/>
      <c r="RYQ136" s="271"/>
      <c r="RYR136" s="271"/>
      <c r="RYS136" s="271"/>
      <c r="RYT136" s="221"/>
      <c r="RYU136" s="221"/>
      <c r="RYV136" s="221"/>
      <c r="RYW136" s="258"/>
      <c r="RYX136" s="270"/>
      <c r="RYY136" s="271"/>
      <c r="RYZ136" s="271"/>
      <c r="RZA136" s="271"/>
      <c r="RZB136" s="221"/>
      <c r="RZC136" s="221"/>
      <c r="RZD136" s="221"/>
      <c r="RZE136" s="258"/>
      <c r="RZF136" s="270"/>
      <c r="RZG136" s="271"/>
      <c r="RZH136" s="271"/>
      <c r="RZI136" s="271"/>
      <c r="RZJ136" s="221"/>
      <c r="RZK136" s="221"/>
      <c r="RZL136" s="221"/>
      <c r="RZM136" s="258"/>
      <c r="RZN136" s="270"/>
      <c r="RZO136" s="271"/>
      <c r="RZP136" s="271"/>
      <c r="RZQ136" s="271"/>
      <c r="RZR136" s="221"/>
      <c r="RZS136" s="221"/>
      <c r="RZT136" s="221"/>
      <c r="RZU136" s="258"/>
      <c r="RZV136" s="270"/>
      <c r="RZW136" s="271"/>
      <c r="RZX136" s="271"/>
      <c r="RZY136" s="271"/>
      <c r="RZZ136" s="221"/>
      <c r="SAA136" s="221"/>
      <c r="SAB136" s="221"/>
      <c r="SAC136" s="258"/>
      <c r="SAD136" s="270"/>
      <c r="SAE136" s="271"/>
      <c r="SAF136" s="271"/>
      <c r="SAG136" s="271"/>
      <c r="SAH136" s="221"/>
      <c r="SAI136" s="221"/>
      <c r="SAJ136" s="221"/>
      <c r="SAK136" s="258"/>
      <c r="SAL136" s="270"/>
      <c r="SAM136" s="271"/>
      <c r="SAN136" s="271"/>
      <c r="SAO136" s="271"/>
      <c r="SAP136" s="221"/>
      <c r="SAQ136" s="221"/>
      <c r="SAR136" s="221"/>
      <c r="SAS136" s="258"/>
      <c r="SAT136" s="270"/>
      <c r="SAU136" s="271"/>
      <c r="SAV136" s="271"/>
      <c r="SAW136" s="271"/>
      <c r="SAX136" s="221"/>
      <c r="SAY136" s="221"/>
      <c r="SAZ136" s="221"/>
      <c r="SBA136" s="258"/>
      <c r="SBB136" s="270"/>
      <c r="SBC136" s="271"/>
      <c r="SBD136" s="271"/>
      <c r="SBE136" s="271"/>
      <c r="SBF136" s="221"/>
      <c r="SBG136" s="221"/>
      <c r="SBH136" s="221"/>
      <c r="SBI136" s="258"/>
      <c r="SBJ136" s="270"/>
      <c r="SBK136" s="271"/>
      <c r="SBL136" s="271"/>
      <c r="SBM136" s="271"/>
      <c r="SBN136" s="221"/>
      <c r="SBO136" s="221"/>
      <c r="SBP136" s="221"/>
      <c r="SBQ136" s="258"/>
      <c r="SBR136" s="270"/>
      <c r="SBS136" s="271"/>
      <c r="SBT136" s="271"/>
      <c r="SBU136" s="271"/>
      <c r="SBV136" s="221"/>
      <c r="SBW136" s="221"/>
      <c r="SBX136" s="221"/>
      <c r="SBY136" s="258"/>
      <c r="SBZ136" s="270"/>
      <c r="SCA136" s="271"/>
      <c r="SCB136" s="271"/>
      <c r="SCC136" s="271"/>
      <c r="SCD136" s="221"/>
      <c r="SCE136" s="221"/>
      <c r="SCF136" s="221"/>
      <c r="SCG136" s="258"/>
      <c r="SCH136" s="270"/>
      <c r="SCI136" s="271"/>
      <c r="SCJ136" s="271"/>
      <c r="SCK136" s="271"/>
      <c r="SCL136" s="221"/>
      <c r="SCM136" s="221"/>
      <c r="SCN136" s="221"/>
      <c r="SCO136" s="258"/>
      <c r="SCP136" s="270"/>
      <c r="SCQ136" s="271"/>
      <c r="SCR136" s="271"/>
      <c r="SCS136" s="271"/>
      <c r="SCT136" s="221"/>
      <c r="SCU136" s="221"/>
      <c r="SCV136" s="221"/>
      <c r="SCW136" s="258"/>
      <c r="SCX136" s="270"/>
      <c r="SCY136" s="271"/>
      <c r="SCZ136" s="271"/>
      <c r="SDA136" s="271"/>
      <c r="SDB136" s="221"/>
      <c r="SDC136" s="221"/>
      <c r="SDD136" s="221"/>
      <c r="SDE136" s="258"/>
      <c r="SDF136" s="270"/>
      <c r="SDG136" s="271"/>
      <c r="SDH136" s="271"/>
      <c r="SDI136" s="271"/>
      <c r="SDJ136" s="221"/>
      <c r="SDK136" s="221"/>
      <c r="SDL136" s="221"/>
      <c r="SDM136" s="258"/>
      <c r="SDN136" s="270"/>
      <c r="SDO136" s="271"/>
      <c r="SDP136" s="271"/>
      <c r="SDQ136" s="271"/>
      <c r="SDR136" s="221"/>
      <c r="SDS136" s="221"/>
      <c r="SDT136" s="221"/>
      <c r="SDU136" s="258"/>
      <c r="SDV136" s="270"/>
      <c r="SDW136" s="271"/>
      <c r="SDX136" s="271"/>
      <c r="SDY136" s="271"/>
      <c r="SDZ136" s="221"/>
      <c r="SEA136" s="221"/>
      <c r="SEB136" s="221"/>
      <c r="SEC136" s="258"/>
      <c r="SED136" s="270"/>
      <c r="SEE136" s="271"/>
      <c r="SEF136" s="271"/>
      <c r="SEG136" s="271"/>
      <c r="SEH136" s="221"/>
      <c r="SEI136" s="221"/>
      <c r="SEJ136" s="221"/>
      <c r="SEK136" s="258"/>
      <c r="SEL136" s="270"/>
      <c r="SEM136" s="271"/>
      <c r="SEN136" s="271"/>
      <c r="SEO136" s="271"/>
      <c r="SEP136" s="221"/>
      <c r="SEQ136" s="221"/>
      <c r="SER136" s="221"/>
      <c r="SES136" s="258"/>
      <c r="SET136" s="270"/>
      <c r="SEU136" s="271"/>
      <c r="SEV136" s="271"/>
      <c r="SEW136" s="271"/>
      <c r="SEX136" s="221"/>
      <c r="SEY136" s="221"/>
      <c r="SEZ136" s="221"/>
      <c r="SFA136" s="258"/>
      <c r="SFB136" s="270"/>
      <c r="SFC136" s="271"/>
      <c r="SFD136" s="271"/>
      <c r="SFE136" s="271"/>
      <c r="SFF136" s="221"/>
      <c r="SFG136" s="221"/>
      <c r="SFH136" s="221"/>
      <c r="SFI136" s="258"/>
      <c r="SFJ136" s="270"/>
      <c r="SFK136" s="271"/>
      <c r="SFL136" s="271"/>
      <c r="SFM136" s="271"/>
      <c r="SFN136" s="221"/>
      <c r="SFO136" s="221"/>
      <c r="SFP136" s="221"/>
      <c r="SFQ136" s="258"/>
      <c r="SFR136" s="270"/>
      <c r="SFS136" s="271"/>
      <c r="SFT136" s="271"/>
      <c r="SFU136" s="271"/>
      <c r="SFV136" s="221"/>
      <c r="SFW136" s="221"/>
      <c r="SFX136" s="221"/>
      <c r="SFY136" s="258"/>
      <c r="SFZ136" s="270"/>
      <c r="SGA136" s="271"/>
      <c r="SGB136" s="271"/>
      <c r="SGC136" s="271"/>
      <c r="SGD136" s="221"/>
      <c r="SGE136" s="221"/>
      <c r="SGF136" s="221"/>
      <c r="SGG136" s="258"/>
      <c r="SGH136" s="270"/>
      <c r="SGI136" s="271"/>
      <c r="SGJ136" s="271"/>
      <c r="SGK136" s="271"/>
      <c r="SGL136" s="221"/>
      <c r="SGM136" s="221"/>
      <c r="SGN136" s="221"/>
      <c r="SGO136" s="258"/>
      <c r="SGP136" s="270"/>
      <c r="SGQ136" s="271"/>
      <c r="SGR136" s="271"/>
      <c r="SGS136" s="271"/>
      <c r="SGT136" s="221"/>
      <c r="SGU136" s="221"/>
      <c r="SGV136" s="221"/>
      <c r="SGW136" s="258"/>
      <c r="SGX136" s="270"/>
      <c r="SGY136" s="271"/>
      <c r="SGZ136" s="271"/>
      <c r="SHA136" s="271"/>
      <c r="SHB136" s="221"/>
      <c r="SHC136" s="221"/>
      <c r="SHD136" s="221"/>
      <c r="SHE136" s="258"/>
      <c r="SHF136" s="270"/>
      <c r="SHG136" s="271"/>
      <c r="SHH136" s="271"/>
      <c r="SHI136" s="271"/>
      <c r="SHJ136" s="221"/>
      <c r="SHK136" s="221"/>
      <c r="SHL136" s="221"/>
      <c r="SHM136" s="258"/>
      <c r="SHN136" s="270"/>
      <c r="SHO136" s="271"/>
      <c r="SHP136" s="271"/>
      <c r="SHQ136" s="271"/>
      <c r="SHR136" s="221"/>
      <c r="SHS136" s="221"/>
      <c r="SHT136" s="221"/>
      <c r="SHU136" s="258"/>
      <c r="SHV136" s="270"/>
      <c r="SHW136" s="271"/>
      <c r="SHX136" s="271"/>
      <c r="SHY136" s="271"/>
      <c r="SHZ136" s="221"/>
      <c r="SIA136" s="221"/>
      <c r="SIB136" s="221"/>
      <c r="SIC136" s="258"/>
      <c r="SID136" s="270"/>
      <c r="SIE136" s="271"/>
      <c r="SIF136" s="271"/>
      <c r="SIG136" s="271"/>
      <c r="SIH136" s="221"/>
      <c r="SII136" s="221"/>
      <c r="SIJ136" s="221"/>
      <c r="SIK136" s="258"/>
      <c r="SIL136" s="270"/>
      <c r="SIM136" s="271"/>
      <c r="SIN136" s="271"/>
      <c r="SIO136" s="271"/>
      <c r="SIP136" s="221"/>
      <c r="SIQ136" s="221"/>
      <c r="SIR136" s="221"/>
      <c r="SIS136" s="258"/>
      <c r="SIT136" s="270"/>
      <c r="SIU136" s="271"/>
      <c r="SIV136" s="271"/>
      <c r="SIW136" s="271"/>
      <c r="SIX136" s="221"/>
      <c r="SIY136" s="221"/>
      <c r="SIZ136" s="221"/>
      <c r="SJA136" s="258"/>
      <c r="SJB136" s="270"/>
      <c r="SJC136" s="271"/>
      <c r="SJD136" s="271"/>
      <c r="SJE136" s="271"/>
      <c r="SJF136" s="221"/>
      <c r="SJG136" s="221"/>
      <c r="SJH136" s="221"/>
      <c r="SJI136" s="258"/>
      <c r="SJJ136" s="270"/>
      <c r="SJK136" s="271"/>
      <c r="SJL136" s="271"/>
      <c r="SJM136" s="271"/>
      <c r="SJN136" s="221"/>
      <c r="SJO136" s="221"/>
      <c r="SJP136" s="221"/>
      <c r="SJQ136" s="258"/>
      <c r="SJR136" s="270"/>
      <c r="SJS136" s="271"/>
      <c r="SJT136" s="271"/>
      <c r="SJU136" s="271"/>
      <c r="SJV136" s="221"/>
      <c r="SJW136" s="221"/>
      <c r="SJX136" s="221"/>
      <c r="SJY136" s="258"/>
      <c r="SJZ136" s="270"/>
      <c r="SKA136" s="271"/>
      <c r="SKB136" s="271"/>
      <c r="SKC136" s="271"/>
      <c r="SKD136" s="221"/>
      <c r="SKE136" s="221"/>
      <c r="SKF136" s="221"/>
      <c r="SKG136" s="258"/>
      <c r="SKH136" s="270"/>
      <c r="SKI136" s="271"/>
      <c r="SKJ136" s="271"/>
      <c r="SKK136" s="271"/>
      <c r="SKL136" s="221"/>
      <c r="SKM136" s="221"/>
      <c r="SKN136" s="221"/>
      <c r="SKO136" s="258"/>
      <c r="SKP136" s="270"/>
      <c r="SKQ136" s="271"/>
      <c r="SKR136" s="271"/>
      <c r="SKS136" s="271"/>
      <c r="SKT136" s="221"/>
      <c r="SKU136" s="221"/>
      <c r="SKV136" s="221"/>
      <c r="SKW136" s="258"/>
      <c r="SKX136" s="270"/>
      <c r="SKY136" s="271"/>
      <c r="SKZ136" s="271"/>
      <c r="SLA136" s="271"/>
      <c r="SLB136" s="221"/>
      <c r="SLC136" s="221"/>
      <c r="SLD136" s="221"/>
      <c r="SLE136" s="258"/>
      <c r="SLF136" s="270"/>
      <c r="SLG136" s="271"/>
      <c r="SLH136" s="271"/>
      <c r="SLI136" s="271"/>
      <c r="SLJ136" s="221"/>
      <c r="SLK136" s="221"/>
      <c r="SLL136" s="221"/>
      <c r="SLM136" s="258"/>
      <c r="SLN136" s="270"/>
      <c r="SLO136" s="271"/>
      <c r="SLP136" s="271"/>
      <c r="SLQ136" s="271"/>
      <c r="SLR136" s="221"/>
      <c r="SLS136" s="221"/>
      <c r="SLT136" s="221"/>
      <c r="SLU136" s="258"/>
      <c r="SLV136" s="270"/>
      <c r="SLW136" s="271"/>
      <c r="SLX136" s="271"/>
      <c r="SLY136" s="271"/>
      <c r="SLZ136" s="221"/>
      <c r="SMA136" s="221"/>
      <c r="SMB136" s="221"/>
      <c r="SMC136" s="258"/>
      <c r="SMD136" s="270"/>
      <c r="SME136" s="271"/>
      <c r="SMF136" s="271"/>
      <c r="SMG136" s="271"/>
      <c r="SMH136" s="221"/>
      <c r="SMI136" s="221"/>
      <c r="SMJ136" s="221"/>
      <c r="SMK136" s="258"/>
      <c r="SML136" s="270"/>
      <c r="SMM136" s="271"/>
      <c r="SMN136" s="271"/>
      <c r="SMO136" s="271"/>
      <c r="SMP136" s="221"/>
      <c r="SMQ136" s="221"/>
      <c r="SMR136" s="221"/>
      <c r="SMS136" s="258"/>
      <c r="SMT136" s="270"/>
      <c r="SMU136" s="271"/>
      <c r="SMV136" s="271"/>
      <c r="SMW136" s="271"/>
      <c r="SMX136" s="221"/>
      <c r="SMY136" s="221"/>
      <c r="SMZ136" s="221"/>
      <c r="SNA136" s="258"/>
      <c r="SNB136" s="270"/>
      <c r="SNC136" s="271"/>
      <c r="SND136" s="271"/>
      <c r="SNE136" s="271"/>
      <c r="SNF136" s="221"/>
      <c r="SNG136" s="221"/>
      <c r="SNH136" s="221"/>
      <c r="SNI136" s="258"/>
      <c r="SNJ136" s="270"/>
      <c r="SNK136" s="271"/>
      <c r="SNL136" s="271"/>
      <c r="SNM136" s="271"/>
      <c r="SNN136" s="221"/>
      <c r="SNO136" s="221"/>
      <c r="SNP136" s="221"/>
      <c r="SNQ136" s="258"/>
      <c r="SNR136" s="270"/>
      <c r="SNS136" s="271"/>
      <c r="SNT136" s="271"/>
      <c r="SNU136" s="271"/>
      <c r="SNV136" s="221"/>
      <c r="SNW136" s="221"/>
      <c r="SNX136" s="221"/>
      <c r="SNY136" s="258"/>
      <c r="SNZ136" s="270"/>
      <c r="SOA136" s="271"/>
      <c r="SOB136" s="271"/>
      <c r="SOC136" s="271"/>
      <c r="SOD136" s="221"/>
      <c r="SOE136" s="221"/>
      <c r="SOF136" s="221"/>
      <c r="SOG136" s="258"/>
      <c r="SOH136" s="270"/>
      <c r="SOI136" s="271"/>
      <c r="SOJ136" s="271"/>
      <c r="SOK136" s="271"/>
      <c r="SOL136" s="221"/>
      <c r="SOM136" s="221"/>
      <c r="SON136" s="221"/>
      <c r="SOO136" s="258"/>
      <c r="SOP136" s="270"/>
      <c r="SOQ136" s="271"/>
      <c r="SOR136" s="271"/>
      <c r="SOS136" s="271"/>
      <c r="SOT136" s="221"/>
      <c r="SOU136" s="221"/>
      <c r="SOV136" s="221"/>
      <c r="SOW136" s="258"/>
      <c r="SOX136" s="270"/>
      <c r="SOY136" s="271"/>
      <c r="SOZ136" s="271"/>
      <c r="SPA136" s="271"/>
      <c r="SPB136" s="221"/>
      <c r="SPC136" s="221"/>
      <c r="SPD136" s="221"/>
      <c r="SPE136" s="258"/>
      <c r="SPF136" s="270"/>
      <c r="SPG136" s="271"/>
      <c r="SPH136" s="271"/>
      <c r="SPI136" s="271"/>
      <c r="SPJ136" s="221"/>
      <c r="SPK136" s="221"/>
      <c r="SPL136" s="221"/>
      <c r="SPM136" s="258"/>
      <c r="SPN136" s="270"/>
      <c r="SPO136" s="271"/>
      <c r="SPP136" s="271"/>
      <c r="SPQ136" s="271"/>
      <c r="SPR136" s="221"/>
      <c r="SPS136" s="221"/>
      <c r="SPT136" s="221"/>
      <c r="SPU136" s="258"/>
      <c r="SPV136" s="270"/>
      <c r="SPW136" s="271"/>
      <c r="SPX136" s="271"/>
      <c r="SPY136" s="271"/>
      <c r="SPZ136" s="221"/>
      <c r="SQA136" s="221"/>
      <c r="SQB136" s="221"/>
      <c r="SQC136" s="258"/>
      <c r="SQD136" s="270"/>
      <c r="SQE136" s="271"/>
      <c r="SQF136" s="271"/>
      <c r="SQG136" s="271"/>
      <c r="SQH136" s="221"/>
      <c r="SQI136" s="221"/>
      <c r="SQJ136" s="221"/>
      <c r="SQK136" s="258"/>
      <c r="SQL136" s="270"/>
      <c r="SQM136" s="271"/>
      <c r="SQN136" s="271"/>
      <c r="SQO136" s="271"/>
      <c r="SQP136" s="221"/>
      <c r="SQQ136" s="221"/>
      <c r="SQR136" s="221"/>
      <c r="SQS136" s="258"/>
      <c r="SQT136" s="270"/>
      <c r="SQU136" s="271"/>
      <c r="SQV136" s="271"/>
      <c r="SQW136" s="271"/>
      <c r="SQX136" s="221"/>
      <c r="SQY136" s="221"/>
      <c r="SQZ136" s="221"/>
      <c r="SRA136" s="258"/>
      <c r="SRB136" s="270"/>
      <c r="SRC136" s="271"/>
      <c r="SRD136" s="271"/>
      <c r="SRE136" s="271"/>
      <c r="SRF136" s="221"/>
      <c r="SRG136" s="221"/>
      <c r="SRH136" s="221"/>
      <c r="SRI136" s="258"/>
      <c r="SRJ136" s="270"/>
      <c r="SRK136" s="271"/>
      <c r="SRL136" s="271"/>
      <c r="SRM136" s="271"/>
      <c r="SRN136" s="221"/>
      <c r="SRO136" s="221"/>
      <c r="SRP136" s="221"/>
      <c r="SRQ136" s="258"/>
      <c r="SRR136" s="270"/>
      <c r="SRS136" s="271"/>
      <c r="SRT136" s="271"/>
      <c r="SRU136" s="271"/>
      <c r="SRV136" s="221"/>
      <c r="SRW136" s="221"/>
      <c r="SRX136" s="221"/>
      <c r="SRY136" s="258"/>
      <c r="SRZ136" s="270"/>
      <c r="SSA136" s="271"/>
      <c r="SSB136" s="271"/>
      <c r="SSC136" s="271"/>
      <c r="SSD136" s="221"/>
      <c r="SSE136" s="221"/>
      <c r="SSF136" s="221"/>
      <c r="SSG136" s="258"/>
      <c r="SSH136" s="270"/>
      <c r="SSI136" s="271"/>
      <c r="SSJ136" s="271"/>
      <c r="SSK136" s="271"/>
      <c r="SSL136" s="221"/>
      <c r="SSM136" s="221"/>
      <c r="SSN136" s="221"/>
      <c r="SSO136" s="258"/>
      <c r="SSP136" s="270"/>
      <c r="SSQ136" s="271"/>
      <c r="SSR136" s="271"/>
      <c r="SSS136" s="271"/>
      <c r="SST136" s="221"/>
      <c r="SSU136" s="221"/>
      <c r="SSV136" s="221"/>
      <c r="SSW136" s="258"/>
      <c r="SSX136" s="270"/>
      <c r="SSY136" s="271"/>
      <c r="SSZ136" s="271"/>
      <c r="STA136" s="271"/>
      <c r="STB136" s="221"/>
      <c r="STC136" s="221"/>
      <c r="STD136" s="221"/>
      <c r="STE136" s="258"/>
      <c r="STF136" s="270"/>
      <c r="STG136" s="271"/>
      <c r="STH136" s="271"/>
      <c r="STI136" s="271"/>
      <c r="STJ136" s="221"/>
      <c r="STK136" s="221"/>
      <c r="STL136" s="221"/>
      <c r="STM136" s="258"/>
      <c r="STN136" s="270"/>
      <c r="STO136" s="271"/>
      <c r="STP136" s="271"/>
      <c r="STQ136" s="271"/>
      <c r="STR136" s="221"/>
      <c r="STS136" s="221"/>
      <c r="STT136" s="221"/>
      <c r="STU136" s="258"/>
      <c r="STV136" s="270"/>
      <c r="STW136" s="271"/>
      <c r="STX136" s="271"/>
      <c r="STY136" s="271"/>
      <c r="STZ136" s="221"/>
      <c r="SUA136" s="221"/>
      <c r="SUB136" s="221"/>
      <c r="SUC136" s="258"/>
      <c r="SUD136" s="270"/>
      <c r="SUE136" s="271"/>
      <c r="SUF136" s="271"/>
      <c r="SUG136" s="271"/>
      <c r="SUH136" s="221"/>
      <c r="SUI136" s="221"/>
      <c r="SUJ136" s="221"/>
      <c r="SUK136" s="258"/>
      <c r="SUL136" s="270"/>
      <c r="SUM136" s="271"/>
      <c r="SUN136" s="271"/>
      <c r="SUO136" s="271"/>
      <c r="SUP136" s="221"/>
      <c r="SUQ136" s="221"/>
      <c r="SUR136" s="221"/>
      <c r="SUS136" s="258"/>
      <c r="SUT136" s="270"/>
      <c r="SUU136" s="271"/>
      <c r="SUV136" s="271"/>
      <c r="SUW136" s="271"/>
      <c r="SUX136" s="221"/>
      <c r="SUY136" s="221"/>
      <c r="SUZ136" s="221"/>
      <c r="SVA136" s="258"/>
      <c r="SVB136" s="270"/>
      <c r="SVC136" s="271"/>
      <c r="SVD136" s="271"/>
      <c r="SVE136" s="271"/>
      <c r="SVF136" s="221"/>
      <c r="SVG136" s="221"/>
      <c r="SVH136" s="221"/>
      <c r="SVI136" s="258"/>
      <c r="SVJ136" s="270"/>
      <c r="SVK136" s="271"/>
      <c r="SVL136" s="271"/>
      <c r="SVM136" s="271"/>
      <c r="SVN136" s="221"/>
      <c r="SVO136" s="221"/>
      <c r="SVP136" s="221"/>
      <c r="SVQ136" s="258"/>
      <c r="SVR136" s="270"/>
      <c r="SVS136" s="271"/>
      <c r="SVT136" s="271"/>
      <c r="SVU136" s="271"/>
      <c r="SVV136" s="221"/>
      <c r="SVW136" s="221"/>
      <c r="SVX136" s="221"/>
      <c r="SVY136" s="258"/>
      <c r="SVZ136" s="270"/>
      <c r="SWA136" s="271"/>
      <c r="SWB136" s="271"/>
      <c r="SWC136" s="271"/>
      <c r="SWD136" s="221"/>
      <c r="SWE136" s="221"/>
      <c r="SWF136" s="221"/>
      <c r="SWG136" s="258"/>
      <c r="SWH136" s="270"/>
      <c r="SWI136" s="271"/>
      <c r="SWJ136" s="271"/>
      <c r="SWK136" s="271"/>
      <c r="SWL136" s="221"/>
      <c r="SWM136" s="221"/>
      <c r="SWN136" s="221"/>
      <c r="SWO136" s="258"/>
      <c r="SWP136" s="270"/>
      <c r="SWQ136" s="271"/>
      <c r="SWR136" s="271"/>
      <c r="SWS136" s="271"/>
      <c r="SWT136" s="221"/>
      <c r="SWU136" s="221"/>
      <c r="SWV136" s="221"/>
      <c r="SWW136" s="258"/>
      <c r="SWX136" s="270"/>
      <c r="SWY136" s="271"/>
      <c r="SWZ136" s="271"/>
      <c r="SXA136" s="271"/>
      <c r="SXB136" s="221"/>
      <c r="SXC136" s="221"/>
      <c r="SXD136" s="221"/>
      <c r="SXE136" s="258"/>
      <c r="SXF136" s="270"/>
      <c r="SXG136" s="271"/>
      <c r="SXH136" s="271"/>
      <c r="SXI136" s="271"/>
      <c r="SXJ136" s="221"/>
      <c r="SXK136" s="221"/>
      <c r="SXL136" s="221"/>
      <c r="SXM136" s="258"/>
      <c r="SXN136" s="270"/>
      <c r="SXO136" s="271"/>
      <c r="SXP136" s="271"/>
      <c r="SXQ136" s="271"/>
      <c r="SXR136" s="221"/>
      <c r="SXS136" s="221"/>
      <c r="SXT136" s="221"/>
      <c r="SXU136" s="258"/>
      <c r="SXV136" s="270"/>
      <c r="SXW136" s="271"/>
      <c r="SXX136" s="271"/>
      <c r="SXY136" s="271"/>
      <c r="SXZ136" s="221"/>
      <c r="SYA136" s="221"/>
      <c r="SYB136" s="221"/>
      <c r="SYC136" s="258"/>
      <c r="SYD136" s="270"/>
      <c r="SYE136" s="271"/>
      <c r="SYF136" s="271"/>
      <c r="SYG136" s="271"/>
      <c r="SYH136" s="221"/>
      <c r="SYI136" s="221"/>
      <c r="SYJ136" s="221"/>
      <c r="SYK136" s="258"/>
      <c r="SYL136" s="270"/>
      <c r="SYM136" s="271"/>
      <c r="SYN136" s="271"/>
      <c r="SYO136" s="271"/>
      <c r="SYP136" s="221"/>
      <c r="SYQ136" s="221"/>
      <c r="SYR136" s="221"/>
      <c r="SYS136" s="258"/>
      <c r="SYT136" s="270"/>
      <c r="SYU136" s="271"/>
      <c r="SYV136" s="271"/>
      <c r="SYW136" s="271"/>
      <c r="SYX136" s="221"/>
      <c r="SYY136" s="221"/>
      <c r="SYZ136" s="221"/>
      <c r="SZA136" s="258"/>
      <c r="SZB136" s="270"/>
      <c r="SZC136" s="271"/>
      <c r="SZD136" s="271"/>
      <c r="SZE136" s="271"/>
      <c r="SZF136" s="221"/>
      <c r="SZG136" s="221"/>
      <c r="SZH136" s="221"/>
      <c r="SZI136" s="258"/>
      <c r="SZJ136" s="270"/>
      <c r="SZK136" s="271"/>
      <c r="SZL136" s="271"/>
      <c r="SZM136" s="271"/>
      <c r="SZN136" s="221"/>
      <c r="SZO136" s="221"/>
      <c r="SZP136" s="221"/>
      <c r="SZQ136" s="258"/>
      <c r="SZR136" s="270"/>
      <c r="SZS136" s="271"/>
      <c r="SZT136" s="271"/>
      <c r="SZU136" s="271"/>
      <c r="SZV136" s="221"/>
      <c r="SZW136" s="221"/>
      <c r="SZX136" s="221"/>
      <c r="SZY136" s="258"/>
      <c r="SZZ136" s="270"/>
      <c r="TAA136" s="271"/>
      <c r="TAB136" s="271"/>
      <c r="TAC136" s="271"/>
      <c r="TAD136" s="221"/>
      <c r="TAE136" s="221"/>
      <c r="TAF136" s="221"/>
      <c r="TAG136" s="258"/>
      <c r="TAH136" s="270"/>
      <c r="TAI136" s="271"/>
      <c r="TAJ136" s="271"/>
      <c r="TAK136" s="271"/>
      <c r="TAL136" s="221"/>
      <c r="TAM136" s="221"/>
      <c r="TAN136" s="221"/>
      <c r="TAO136" s="258"/>
      <c r="TAP136" s="270"/>
      <c r="TAQ136" s="271"/>
      <c r="TAR136" s="271"/>
      <c r="TAS136" s="271"/>
      <c r="TAT136" s="221"/>
      <c r="TAU136" s="221"/>
      <c r="TAV136" s="221"/>
      <c r="TAW136" s="258"/>
      <c r="TAX136" s="270"/>
      <c r="TAY136" s="271"/>
      <c r="TAZ136" s="271"/>
      <c r="TBA136" s="271"/>
      <c r="TBB136" s="221"/>
      <c r="TBC136" s="221"/>
      <c r="TBD136" s="221"/>
      <c r="TBE136" s="258"/>
      <c r="TBF136" s="270"/>
      <c r="TBG136" s="271"/>
      <c r="TBH136" s="271"/>
      <c r="TBI136" s="271"/>
      <c r="TBJ136" s="221"/>
      <c r="TBK136" s="221"/>
      <c r="TBL136" s="221"/>
      <c r="TBM136" s="258"/>
      <c r="TBN136" s="270"/>
      <c r="TBO136" s="271"/>
      <c r="TBP136" s="271"/>
      <c r="TBQ136" s="271"/>
      <c r="TBR136" s="221"/>
      <c r="TBS136" s="221"/>
      <c r="TBT136" s="221"/>
      <c r="TBU136" s="258"/>
      <c r="TBV136" s="270"/>
      <c r="TBW136" s="271"/>
      <c r="TBX136" s="271"/>
      <c r="TBY136" s="271"/>
      <c r="TBZ136" s="221"/>
      <c r="TCA136" s="221"/>
      <c r="TCB136" s="221"/>
      <c r="TCC136" s="258"/>
      <c r="TCD136" s="270"/>
      <c r="TCE136" s="271"/>
      <c r="TCF136" s="271"/>
      <c r="TCG136" s="271"/>
      <c r="TCH136" s="221"/>
      <c r="TCI136" s="221"/>
      <c r="TCJ136" s="221"/>
      <c r="TCK136" s="258"/>
      <c r="TCL136" s="270"/>
      <c r="TCM136" s="271"/>
      <c r="TCN136" s="271"/>
      <c r="TCO136" s="271"/>
      <c r="TCP136" s="221"/>
      <c r="TCQ136" s="221"/>
      <c r="TCR136" s="221"/>
      <c r="TCS136" s="258"/>
      <c r="TCT136" s="270"/>
      <c r="TCU136" s="271"/>
      <c r="TCV136" s="271"/>
      <c r="TCW136" s="271"/>
      <c r="TCX136" s="221"/>
      <c r="TCY136" s="221"/>
      <c r="TCZ136" s="221"/>
      <c r="TDA136" s="258"/>
      <c r="TDB136" s="270"/>
      <c r="TDC136" s="271"/>
      <c r="TDD136" s="271"/>
      <c r="TDE136" s="271"/>
      <c r="TDF136" s="221"/>
      <c r="TDG136" s="221"/>
      <c r="TDH136" s="221"/>
      <c r="TDI136" s="258"/>
      <c r="TDJ136" s="270"/>
      <c r="TDK136" s="271"/>
      <c r="TDL136" s="271"/>
      <c r="TDM136" s="271"/>
      <c r="TDN136" s="221"/>
      <c r="TDO136" s="221"/>
      <c r="TDP136" s="221"/>
      <c r="TDQ136" s="258"/>
      <c r="TDR136" s="270"/>
      <c r="TDS136" s="271"/>
      <c r="TDT136" s="271"/>
      <c r="TDU136" s="271"/>
      <c r="TDV136" s="221"/>
      <c r="TDW136" s="221"/>
      <c r="TDX136" s="221"/>
      <c r="TDY136" s="258"/>
      <c r="TDZ136" s="270"/>
      <c r="TEA136" s="271"/>
      <c r="TEB136" s="271"/>
      <c r="TEC136" s="271"/>
      <c r="TED136" s="221"/>
      <c r="TEE136" s="221"/>
      <c r="TEF136" s="221"/>
      <c r="TEG136" s="258"/>
      <c r="TEH136" s="270"/>
      <c r="TEI136" s="271"/>
      <c r="TEJ136" s="271"/>
      <c r="TEK136" s="271"/>
      <c r="TEL136" s="221"/>
      <c r="TEM136" s="221"/>
      <c r="TEN136" s="221"/>
      <c r="TEO136" s="258"/>
      <c r="TEP136" s="270"/>
      <c r="TEQ136" s="271"/>
      <c r="TER136" s="271"/>
      <c r="TES136" s="271"/>
      <c r="TET136" s="221"/>
      <c r="TEU136" s="221"/>
      <c r="TEV136" s="221"/>
      <c r="TEW136" s="258"/>
      <c r="TEX136" s="270"/>
      <c r="TEY136" s="271"/>
      <c r="TEZ136" s="271"/>
      <c r="TFA136" s="271"/>
      <c r="TFB136" s="221"/>
      <c r="TFC136" s="221"/>
      <c r="TFD136" s="221"/>
      <c r="TFE136" s="258"/>
      <c r="TFF136" s="270"/>
      <c r="TFG136" s="271"/>
      <c r="TFH136" s="271"/>
      <c r="TFI136" s="271"/>
      <c r="TFJ136" s="221"/>
      <c r="TFK136" s="221"/>
      <c r="TFL136" s="221"/>
      <c r="TFM136" s="258"/>
      <c r="TFN136" s="270"/>
      <c r="TFO136" s="271"/>
      <c r="TFP136" s="271"/>
      <c r="TFQ136" s="271"/>
      <c r="TFR136" s="221"/>
      <c r="TFS136" s="221"/>
      <c r="TFT136" s="221"/>
      <c r="TFU136" s="258"/>
      <c r="TFV136" s="270"/>
      <c r="TFW136" s="271"/>
      <c r="TFX136" s="271"/>
      <c r="TFY136" s="271"/>
      <c r="TFZ136" s="221"/>
      <c r="TGA136" s="221"/>
      <c r="TGB136" s="221"/>
      <c r="TGC136" s="258"/>
      <c r="TGD136" s="270"/>
      <c r="TGE136" s="271"/>
      <c r="TGF136" s="271"/>
      <c r="TGG136" s="271"/>
      <c r="TGH136" s="221"/>
      <c r="TGI136" s="221"/>
      <c r="TGJ136" s="221"/>
      <c r="TGK136" s="258"/>
      <c r="TGL136" s="270"/>
      <c r="TGM136" s="271"/>
      <c r="TGN136" s="271"/>
      <c r="TGO136" s="271"/>
      <c r="TGP136" s="221"/>
      <c r="TGQ136" s="221"/>
      <c r="TGR136" s="221"/>
      <c r="TGS136" s="258"/>
      <c r="TGT136" s="270"/>
      <c r="TGU136" s="271"/>
      <c r="TGV136" s="271"/>
      <c r="TGW136" s="271"/>
      <c r="TGX136" s="221"/>
      <c r="TGY136" s="221"/>
      <c r="TGZ136" s="221"/>
      <c r="THA136" s="258"/>
      <c r="THB136" s="270"/>
      <c r="THC136" s="271"/>
      <c r="THD136" s="271"/>
      <c r="THE136" s="271"/>
      <c r="THF136" s="221"/>
      <c r="THG136" s="221"/>
      <c r="THH136" s="221"/>
      <c r="THI136" s="258"/>
      <c r="THJ136" s="270"/>
      <c r="THK136" s="271"/>
      <c r="THL136" s="271"/>
      <c r="THM136" s="271"/>
      <c r="THN136" s="221"/>
      <c r="THO136" s="221"/>
      <c r="THP136" s="221"/>
      <c r="THQ136" s="258"/>
      <c r="THR136" s="270"/>
      <c r="THS136" s="271"/>
      <c r="THT136" s="271"/>
      <c r="THU136" s="271"/>
      <c r="THV136" s="221"/>
      <c r="THW136" s="221"/>
      <c r="THX136" s="221"/>
      <c r="THY136" s="258"/>
      <c r="THZ136" s="270"/>
      <c r="TIA136" s="271"/>
      <c r="TIB136" s="271"/>
      <c r="TIC136" s="271"/>
      <c r="TID136" s="221"/>
      <c r="TIE136" s="221"/>
      <c r="TIF136" s="221"/>
      <c r="TIG136" s="258"/>
      <c r="TIH136" s="270"/>
      <c r="TII136" s="271"/>
      <c r="TIJ136" s="271"/>
      <c r="TIK136" s="271"/>
      <c r="TIL136" s="221"/>
      <c r="TIM136" s="221"/>
      <c r="TIN136" s="221"/>
      <c r="TIO136" s="258"/>
      <c r="TIP136" s="270"/>
      <c r="TIQ136" s="271"/>
      <c r="TIR136" s="271"/>
      <c r="TIS136" s="271"/>
      <c r="TIT136" s="221"/>
      <c r="TIU136" s="221"/>
      <c r="TIV136" s="221"/>
      <c r="TIW136" s="258"/>
      <c r="TIX136" s="270"/>
      <c r="TIY136" s="271"/>
      <c r="TIZ136" s="271"/>
      <c r="TJA136" s="271"/>
      <c r="TJB136" s="221"/>
      <c r="TJC136" s="221"/>
      <c r="TJD136" s="221"/>
      <c r="TJE136" s="258"/>
      <c r="TJF136" s="270"/>
      <c r="TJG136" s="271"/>
      <c r="TJH136" s="271"/>
      <c r="TJI136" s="271"/>
      <c r="TJJ136" s="221"/>
      <c r="TJK136" s="221"/>
      <c r="TJL136" s="221"/>
      <c r="TJM136" s="258"/>
      <c r="TJN136" s="270"/>
      <c r="TJO136" s="271"/>
      <c r="TJP136" s="271"/>
      <c r="TJQ136" s="271"/>
      <c r="TJR136" s="221"/>
      <c r="TJS136" s="221"/>
      <c r="TJT136" s="221"/>
      <c r="TJU136" s="258"/>
      <c r="TJV136" s="270"/>
      <c r="TJW136" s="271"/>
      <c r="TJX136" s="271"/>
      <c r="TJY136" s="271"/>
      <c r="TJZ136" s="221"/>
      <c r="TKA136" s="221"/>
      <c r="TKB136" s="221"/>
      <c r="TKC136" s="258"/>
      <c r="TKD136" s="270"/>
      <c r="TKE136" s="271"/>
      <c r="TKF136" s="271"/>
      <c r="TKG136" s="271"/>
      <c r="TKH136" s="221"/>
      <c r="TKI136" s="221"/>
      <c r="TKJ136" s="221"/>
      <c r="TKK136" s="258"/>
      <c r="TKL136" s="270"/>
      <c r="TKM136" s="271"/>
      <c r="TKN136" s="271"/>
      <c r="TKO136" s="271"/>
      <c r="TKP136" s="221"/>
      <c r="TKQ136" s="221"/>
      <c r="TKR136" s="221"/>
      <c r="TKS136" s="258"/>
      <c r="TKT136" s="270"/>
      <c r="TKU136" s="271"/>
      <c r="TKV136" s="271"/>
      <c r="TKW136" s="271"/>
      <c r="TKX136" s="221"/>
      <c r="TKY136" s="221"/>
      <c r="TKZ136" s="221"/>
      <c r="TLA136" s="258"/>
      <c r="TLB136" s="270"/>
      <c r="TLC136" s="271"/>
      <c r="TLD136" s="271"/>
      <c r="TLE136" s="271"/>
      <c r="TLF136" s="221"/>
      <c r="TLG136" s="221"/>
      <c r="TLH136" s="221"/>
      <c r="TLI136" s="258"/>
      <c r="TLJ136" s="270"/>
      <c r="TLK136" s="271"/>
      <c r="TLL136" s="271"/>
      <c r="TLM136" s="271"/>
      <c r="TLN136" s="221"/>
      <c r="TLO136" s="221"/>
      <c r="TLP136" s="221"/>
      <c r="TLQ136" s="258"/>
      <c r="TLR136" s="270"/>
      <c r="TLS136" s="271"/>
      <c r="TLT136" s="271"/>
      <c r="TLU136" s="271"/>
      <c r="TLV136" s="221"/>
      <c r="TLW136" s="221"/>
      <c r="TLX136" s="221"/>
      <c r="TLY136" s="258"/>
      <c r="TLZ136" s="270"/>
      <c r="TMA136" s="271"/>
      <c r="TMB136" s="271"/>
      <c r="TMC136" s="271"/>
      <c r="TMD136" s="221"/>
      <c r="TME136" s="221"/>
      <c r="TMF136" s="221"/>
      <c r="TMG136" s="258"/>
      <c r="TMH136" s="270"/>
      <c r="TMI136" s="271"/>
      <c r="TMJ136" s="271"/>
      <c r="TMK136" s="271"/>
      <c r="TML136" s="221"/>
      <c r="TMM136" s="221"/>
      <c r="TMN136" s="221"/>
      <c r="TMO136" s="258"/>
      <c r="TMP136" s="270"/>
      <c r="TMQ136" s="271"/>
      <c r="TMR136" s="271"/>
      <c r="TMS136" s="271"/>
      <c r="TMT136" s="221"/>
      <c r="TMU136" s="221"/>
      <c r="TMV136" s="221"/>
      <c r="TMW136" s="258"/>
      <c r="TMX136" s="270"/>
      <c r="TMY136" s="271"/>
      <c r="TMZ136" s="271"/>
      <c r="TNA136" s="271"/>
      <c r="TNB136" s="221"/>
      <c r="TNC136" s="221"/>
      <c r="TND136" s="221"/>
      <c r="TNE136" s="258"/>
      <c r="TNF136" s="270"/>
      <c r="TNG136" s="271"/>
      <c r="TNH136" s="271"/>
      <c r="TNI136" s="271"/>
      <c r="TNJ136" s="221"/>
      <c r="TNK136" s="221"/>
      <c r="TNL136" s="221"/>
      <c r="TNM136" s="258"/>
      <c r="TNN136" s="270"/>
      <c r="TNO136" s="271"/>
      <c r="TNP136" s="271"/>
      <c r="TNQ136" s="271"/>
      <c r="TNR136" s="221"/>
      <c r="TNS136" s="221"/>
      <c r="TNT136" s="221"/>
      <c r="TNU136" s="258"/>
      <c r="TNV136" s="270"/>
      <c r="TNW136" s="271"/>
      <c r="TNX136" s="271"/>
      <c r="TNY136" s="271"/>
      <c r="TNZ136" s="221"/>
      <c r="TOA136" s="221"/>
      <c r="TOB136" s="221"/>
      <c r="TOC136" s="258"/>
      <c r="TOD136" s="270"/>
      <c r="TOE136" s="271"/>
      <c r="TOF136" s="271"/>
      <c r="TOG136" s="271"/>
      <c r="TOH136" s="221"/>
      <c r="TOI136" s="221"/>
      <c r="TOJ136" s="221"/>
      <c r="TOK136" s="258"/>
      <c r="TOL136" s="270"/>
      <c r="TOM136" s="271"/>
      <c r="TON136" s="271"/>
      <c r="TOO136" s="271"/>
      <c r="TOP136" s="221"/>
      <c r="TOQ136" s="221"/>
      <c r="TOR136" s="221"/>
      <c r="TOS136" s="258"/>
      <c r="TOT136" s="270"/>
      <c r="TOU136" s="271"/>
      <c r="TOV136" s="271"/>
      <c r="TOW136" s="271"/>
      <c r="TOX136" s="221"/>
      <c r="TOY136" s="221"/>
      <c r="TOZ136" s="221"/>
      <c r="TPA136" s="258"/>
      <c r="TPB136" s="270"/>
      <c r="TPC136" s="271"/>
      <c r="TPD136" s="271"/>
      <c r="TPE136" s="271"/>
      <c r="TPF136" s="221"/>
      <c r="TPG136" s="221"/>
      <c r="TPH136" s="221"/>
      <c r="TPI136" s="258"/>
      <c r="TPJ136" s="270"/>
      <c r="TPK136" s="271"/>
      <c r="TPL136" s="271"/>
      <c r="TPM136" s="271"/>
      <c r="TPN136" s="221"/>
      <c r="TPO136" s="221"/>
      <c r="TPP136" s="221"/>
      <c r="TPQ136" s="258"/>
      <c r="TPR136" s="270"/>
      <c r="TPS136" s="271"/>
      <c r="TPT136" s="271"/>
      <c r="TPU136" s="271"/>
      <c r="TPV136" s="221"/>
      <c r="TPW136" s="221"/>
      <c r="TPX136" s="221"/>
      <c r="TPY136" s="258"/>
      <c r="TPZ136" s="270"/>
      <c r="TQA136" s="271"/>
      <c r="TQB136" s="271"/>
      <c r="TQC136" s="271"/>
      <c r="TQD136" s="221"/>
      <c r="TQE136" s="221"/>
      <c r="TQF136" s="221"/>
      <c r="TQG136" s="258"/>
      <c r="TQH136" s="270"/>
      <c r="TQI136" s="271"/>
      <c r="TQJ136" s="271"/>
      <c r="TQK136" s="271"/>
      <c r="TQL136" s="221"/>
      <c r="TQM136" s="221"/>
      <c r="TQN136" s="221"/>
      <c r="TQO136" s="258"/>
      <c r="TQP136" s="270"/>
      <c r="TQQ136" s="271"/>
      <c r="TQR136" s="271"/>
      <c r="TQS136" s="271"/>
      <c r="TQT136" s="221"/>
      <c r="TQU136" s="221"/>
      <c r="TQV136" s="221"/>
      <c r="TQW136" s="258"/>
      <c r="TQX136" s="270"/>
      <c r="TQY136" s="271"/>
      <c r="TQZ136" s="271"/>
      <c r="TRA136" s="271"/>
      <c r="TRB136" s="221"/>
      <c r="TRC136" s="221"/>
      <c r="TRD136" s="221"/>
      <c r="TRE136" s="258"/>
      <c r="TRF136" s="270"/>
      <c r="TRG136" s="271"/>
      <c r="TRH136" s="271"/>
      <c r="TRI136" s="271"/>
      <c r="TRJ136" s="221"/>
      <c r="TRK136" s="221"/>
      <c r="TRL136" s="221"/>
      <c r="TRM136" s="258"/>
      <c r="TRN136" s="270"/>
      <c r="TRO136" s="271"/>
      <c r="TRP136" s="271"/>
      <c r="TRQ136" s="271"/>
      <c r="TRR136" s="221"/>
      <c r="TRS136" s="221"/>
      <c r="TRT136" s="221"/>
      <c r="TRU136" s="258"/>
      <c r="TRV136" s="270"/>
      <c r="TRW136" s="271"/>
      <c r="TRX136" s="271"/>
      <c r="TRY136" s="271"/>
      <c r="TRZ136" s="221"/>
      <c r="TSA136" s="221"/>
      <c r="TSB136" s="221"/>
      <c r="TSC136" s="258"/>
      <c r="TSD136" s="270"/>
      <c r="TSE136" s="271"/>
      <c r="TSF136" s="271"/>
      <c r="TSG136" s="271"/>
      <c r="TSH136" s="221"/>
      <c r="TSI136" s="221"/>
      <c r="TSJ136" s="221"/>
      <c r="TSK136" s="258"/>
      <c r="TSL136" s="270"/>
      <c r="TSM136" s="271"/>
      <c r="TSN136" s="271"/>
      <c r="TSO136" s="271"/>
      <c r="TSP136" s="221"/>
      <c r="TSQ136" s="221"/>
      <c r="TSR136" s="221"/>
      <c r="TSS136" s="258"/>
      <c r="TST136" s="270"/>
      <c r="TSU136" s="271"/>
      <c r="TSV136" s="271"/>
      <c r="TSW136" s="271"/>
      <c r="TSX136" s="221"/>
      <c r="TSY136" s="221"/>
      <c r="TSZ136" s="221"/>
      <c r="TTA136" s="258"/>
      <c r="TTB136" s="270"/>
      <c r="TTC136" s="271"/>
      <c r="TTD136" s="271"/>
      <c r="TTE136" s="271"/>
      <c r="TTF136" s="221"/>
      <c r="TTG136" s="221"/>
      <c r="TTH136" s="221"/>
      <c r="TTI136" s="258"/>
      <c r="TTJ136" s="270"/>
      <c r="TTK136" s="271"/>
      <c r="TTL136" s="271"/>
      <c r="TTM136" s="271"/>
      <c r="TTN136" s="221"/>
      <c r="TTO136" s="221"/>
      <c r="TTP136" s="221"/>
      <c r="TTQ136" s="258"/>
      <c r="TTR136" s="270"/>
      <c r="TTS136" s="271"/>
      <c r="TTT136" s="271"/>
      <c r="TTU136" s="271"/>
      <c r="TTV136" s="221"/>
      <c r="TTW136" s="221"/>
      <c r="TTX136" s="221"/>
      <c r="TTY136" s="258"/>
      <c r="TTZ136" s="270"/>
      <c r="TUA136" s="271"/>
      <c r="TUB136" s="271"/>
      <c r="TUC136" s="271"/>
      <c r="TUD136" s="221"/>
      <c r="TUE136" s="221"/>
      <c r="TUF136" s="221"/>
      <c r="TUG136" s="258"/>
      <c r="TUH136" s="270"/>
      <c r="TUI136" s="271"/>
      <c r="TUJ136" s="271"/>
      <c r="TUK136" s="271"/>
      <c r="TUL136" s="221"/>
      <c r="TUM136" s="221"/>
      <c r="TUN136" s="221"/>
      <c r="TUO136" s="258"/>
      <c r="TUP136" s="270"/>
      <c r="TUQ136" s="271"/>
      <c r="TUR136" s="271"/>
      <c r="TUS136" s="271"/>
      <c r="TUT136" s="221"/>
      <c r="TUU136" s="221"/>
      <c r="TUV136" s="221"/>
      <c r="TUW136" s="258"/>
      <c r="TUX136" s="270"/>
      <c r="TUY136" s="271"/>
      <c r="TUZ136" s="271"/>
      <c r="TVA136" s="271"/>
      <c r="TVB136" s="221"/>
      <c r="TVC136" s="221"/>
      <c r="TVD136" s="221"/>
      <c r="TVE136" s="258"/>
      <c r="TVF136" s="270"/>
      <c r="TVG136" s="271"/>
      <c r="TVH136" s="271"/>
      <c r="TVI136" s="271"/>
      <c r="TVJ136" s="221"/>
      <c r="TVK136" s="221"/>
      <c r="TVL136" s="221"/>
      <c r="TVM136" s="258"/>
      <c r="TVN136" s="270"/>
      <c r="TVO136" s="271"/>
      <c r="TVP136" s="271"/>
      <c r="TVQ136" s="271"/>
      <c r="TVR136" s="221"/>
      <c r="TVS136" s="221"/>
      <c r="TVT136" s="221"/>
      <c r="TVU136" s="258"/>
      <c r="TVV136" s="270"/>
      <c r="TVW136" s="271"/>
      <c r="TVX136" s="271"/>
      <c r="TVY136" s="271"/>
      <c r="TVZ136" s="221"/>
      <c r="TWA136" s="221"/>
      <c r="TWB136" s="221"/>
      <c r="TWC136" s="258"/>
      <c r="TWD136" s="270"/>
      <c r="TWE136" s="271"/>
      <c r="TWF136" s="271"/>
      <c r="TWG136" s="271"/>
      <c r="TWH136" s="221"/>
      <c r="TWI136" s="221"/>
      <c r="TWJ136" s="221"/>
      <c r="TWK136" s="258"/>
      <c r="TWL136" s="270"/>
      <c r="TWM136" s="271"/>
      <c r="TWN136" s="271"/>
      <c r="TWO136" s="271"/>
      <c r="TWP136" s="221"/>
      <c r="TWQ136" s="221"/>
      <c r="TWR136" s="221"/>
      <c r="TWS136" s="258"/>
      <c r="TWT136" s="270"/>
      <c r="TWU136" s="271"/>
      <c r="TWV136" s="271"/>
      <c r="TWW136" s="271"/>
      <c r="TWX136" s="221"/>
      <c r="TWY136" s="221"/>
      <c r="TWZ136" s="221"/>
      <c r="TXA136" s="258"/>
      <c r="TXB136" s="270"/>
      <c r="TXC136" s="271"/>
      <c r="TXD136" s="271"/>
      <c r="TXE136" s="271"/>
      <c r="TXF136" s="221"/>
      <c r="TXG136" s="221"/>
      <c r="TXH136" s="221"/>
      <c r="TXI136" s="258"/>
      <c r="TXJ136" s="270"/>
      <c r="TXK136" s="271"/>
      <c r="TXL136" s="271"/>
      <c r="TXM136" s="271"/>
      <c r="TXN136" s="221"/>
      <c r="TXO136" s="221"/>
      <c r="TXP136" s="221"/>
      <c r="TXQ136" s="258"/>
      <c r="TXR136" s="270"/>
      <c r="TXS136" s="271"/>
      <c r="TXT136" s="271"/>
      <c r="TXU136" s="271"/>
      <c r="TXV136" s="221"/>
      <c r="TXW136" s="221"/>
      <c r="TXX136" s="221"/>
      <c r="TXY136" s="258"/>
      <c r="TXZ136" s="270"/>
      <c r="TYA136" s="271"/>
      <c r="TYB136" s="271"/>
      <c r="TYC136" s="271"/>
      <c r="TYD136" s="221"/>
      <c r="TYE136" s="221"/>
      <c r="TYF136" s="221"/>
      <c r="TYG136" s="258"/>
      <c r="TYH136" s="270"/>
      <c r="TYI136" s="271"/>
      <c r="TYJ136" s="271"/>
      <c r="TYK136" s="271"/>
      <c r="TYL136" s="221"/>
      <c r="TYM136" s="221"/>
      <c r="TYN136" s="221"/>
      <c r="TYO136" s="258"/>
      <c r="TYP136" s="270"/>
      <c r="TYQ136" s="271"/>
      <c r="TYR136" s="271"/>
      <c r="TYS136" s="271"/>
      <c r="TYT136" s="221"/>
      <c r="TYU136" s="221"/>
      <c r="TYV136" s="221"/>
      <c r="TYW136" s="258"/>
      <c r="TYX136" s="270"/>
      <c r="TYY136" s="271"/>
      <c r="TYZ136" s="271"/>
      <c r="TZA136" s="271"/>
      <c r="TZB136" s="221"/>
      <c r="TZC136" s="221"/>
      <c r="TZD136" s="221"/>
      <c r="TZE136" s="258"/>
      <c r="TZF136" s="270"/>
      <c r="TZG136" s="271"/>
      <c r="TZH136" s="271"/>
      <c r="TZI136" s="271"/>
      <c r="TZJ136" s="221"/>
      <c r="TZK136" s="221"/>
      <c r="TZL136" s="221"/>
      <c r="TZM136" s="258"/>
      <c r="TZN136" s="270"/>
      <c r="TZO136" s="271"/>
      <c r="TZP136" s="271"/>
      <c r="TZQ136" s="271"/>
      <c r="TZR136" s="221"/>
      <c r="TZS136" s="221"/>
      <c r="TZT136" s="221"/>
      <c r="TZU136" s="258"/>
      <c r="TZV136" s="270"/>
      <c r="TZW136" s="271"/>
      <c r="TZX136" s="271"/>
      <c r="TZY136" s="271"/>
      <c r="TZZ136" s="221"/>
      <c r="UAA136" s="221"/>
      <c r="UAB136" s="221"/>
      <c r="UAC136" s="258"/>
      <c r="UAD136" s="270"/>
      <c r="UAE136" s="271"/>
      <c r="UAF136" s="271"/>
      <c r="UAG136" s="271"/>
      <c r="UAH136" s="221"/>
      <c r="UAI136" s="221"/>
      <c r="UAJ136" s="221"/>
      <c r="UAK136" s="258"/>
      <c r="UAL136" s="270"/>
      <c r="UAM136" s="271"/>
      <c r="UAN136" s="271"/>
      <c r="UAO136" s="271"/>
      <c r="UAP136" s="221"/>
      <c r="UAQ136" s="221"/>
      <c r="UAR136" s="221"/>
      <c r="UAS136" s="258"/>
      <c r="UAT136" s="270"/>
      <c r="UAU136" s="271"/>
      <c r="UAV136" s="271"/>
      <c r="UAW136" s="271"/>
      <c r="UAX136" s="221"/>
      <c r="UAY136" s="221"/>
      <c r="UAZ136" s="221"/>
      <c r="UBA136" s="258"/>
      <c r="UBB136" s="270"/>
      <c r="UBC136" s="271"/>
      <c r="UBD136" s="271"/>
      <c r="UBE136" s="271"/>
      <c r="UBF136" s="221"/>
      <c r="UBG136" s="221"/>
      <c r="UBH136" s="221"/>
      <c r="UBI136" s="258"/>
      <c r="UBJ136" s="270"/>
      <c r="UBK136" s="271"/>
      <c r="UBL136" s="271"/>
      <c r="UBM136" s="271"/>
      <c r="UBN136" s="221"/>
      <c r="UBO136" s="221"/>
      <c r="UBP136" s="221"/>
      <c r="UBQ136" s="258"/>
      <c r="UBR136" s="270"/>
      <c r="UBS136" s="271"/>
      <c r="UBT136" s="271"/>
      <c r="UBU136" s="271"/>
      <c r="UBV136" s="221"/>
      <c r="UBW136" s="221"/>
      <c r="UBX136" s="221"/>
      <c r="UBY136" s="258"/>
      <c r="UBZ136" s="270"/>
      <c r="UCA136" s="271"/>
      <c r="UCB136" s="271"/>
      <c r="UCC136" s="271"/>
      <c r="UCD136" s="221"/>
      <c r="UCE136" s="221"/>
      <c r="UCF136" s="221"/>
      <c r="UCG136" s="258"/>
      <c r="UCH136" s="270"/>
      <c r="UCI136" s="271"/>
      <c r="UCJ136" s="271"/>
      <c r="UCK136" s="271"/>
      <c r="UCL136" s="221"/>
      <c r="UCM136" s="221"/>
      <c r="UCN136" s="221"/>
      <c r="UCO136" s="258"/>
      <c r="UCP136" s="270"/>
      <c r="UCQ136" s="271"/>
      <c r="UCR136" s="271"/>
      <c r="UCS136" s="271"/>
      <c r="UCT136" s="221"/>
      <c r="UCU136" s="221"/>
      <c r="UCV136" s="221"/>
      <c r="UCW136" s="258"/>
      <c r="UCX136" s="270"/>
      <c r="UCY136" s="271"/>
      <c r="UCZ136" s="271"/>
      <c r="UDA136" s="271"/>
      <c r="UDB136" s="221"/>
      <c r="UDC136" s="221"/>
      <c r="UDD136" s="221"/>
      <c r="UDE136" s="258"/>
      <c r="UDF136" s="270"/>
      <c r="UDG136" s="271"/>
      <c r="UDH136" s="271"/>
      <c r="UDI136" s="271"/>
      <c r="UDJ136" s="221"/>
      <c r="UDK136" s="221"/>
      <c r="UDL136" s="221"/>
      <c r="UDM136" s="258"/>
      <c r="UDN136" s="270"/>
      <c r="UDO136" s="271"/>
      <c r="UDP136" s="271"/>
      <c r="UDQ136" s="271"/>
      <c r="UDR136" s="221"/>
      <c r="UDS136" s="221"/>
      <c r="UDT136" s="221"/>
      <c r="UDU136" s="258"/>
      <c r="UDV136" s="270"/>
      <c r="UDW136" s="271"/>
      <c r="UDX136" s="271"/>
      <c r="UDY136" s="271"/>
      <c r="UDZ136" s="221"/>
      <c r="UEA136" s="221"/>
      <c r="UEB136" s="221"/>
      <c r="UEC136" s="258"/>
      <c r="UED136" s="270"/>
      <c r="UEE136" s="271"/>
      <c r="UEF136" s="271"/>
      <c r="UEG136" s="271"/>
      <c r="UEH136" s="221"/>
      <c r="UEI136" s="221"/>
      <c r="UEJ136" s="221"/>
      <c r="UEK136" s="258"/>
      <c r="UEL136" s="270"/>
      <c r="UEM136" s="271"/>
      <c r="UEN136" s="271"/>
      <c r="UEO136" s="271"/>
      <c r="UEP136" s="221"/>
      <c r="UEQ136" s="221"/>
      <c r="UER136" s="221"/>
      <c r="UES136" s="258"/>
      <c r="UET136" s="270"/>
      <c r="UEU136" s="271"/>
      <c r="UEV136" s="271"/>
      <c r="UEW136" s="271"/>
      <c r="UEX136" s="221"/>
      <c r="UEY136" s="221"/>
      <c r="UEZ136" s="221"/>
      <c r="UFA136" s="258"/>
      <c r="UFB136" s="270"/>
      <c r="UFC136" s="271"/>
      <c r="UFD136" s="271"/>
      <c r="UFE136" s="271"/>
      <c r="UFF136" s="221"/>
      <c r="UFG136" s="221"/>
      <c r="UFH136" s="221"/>
      <c r="UFI136" s="258"/>
      <c r="UFJ136" s="270"/>
      <c r="UFK136" s="271"/>
      <c r="UFL136" s="271"/>
      <c r="UFM136" s="271"/>
      <c r="UFN136" s="221"/>
      <c r="UFO136" s="221"/>
      <c r="UFP136" s="221"/>
      <c r="UFQ136" s="258"/>
      <c r="UFR136" s="270"/>
      <c r="UFS136" s="271"/>
      <c r="UFT136" s="271"/>
      <c r="UFU136" s="271"/>
      <c r="UFV136" s="221"/>
      <c r="UFW136" s="221"/>
      <c r="UFX136" s="221"/>
      <c r="UFY136" s="258"/>
      <c r="UFZ136" s="270"/>
      <c r="UGA136" s="271"/>
      <c r="UGB136" s="271"/>
      <c r="UGC136" s="271"/>
      <c r="UGD136" s="221"/>
      <c r="UGE136" s="221"/>
      <c r="UGF136" s="221"/>
      <c r="UGG136" s="258"/>
      <c r="UGH136" s="270"/>
      <c r="UGI136" s="271"/>
      <c r="UGJ136" s="271"/>
      <c r="UGK136" s="271"/>
      <c r="UGL136" s="221"/>
      <c r="UGM136" s="221"/>
      <c r="UGN136" s="221"/>
      <c r="UGO136" s="258"/>
      <c r="UGP136" s="270"/>
      <c r="UGQ136" s="271"/>
      <c r="UGR136" s="271"/>
      <c r="UGS136" s="271"/>
      <c r="UGT136" s="221"/>
      <c r="UGU136" s="221"/>
      <c r="UGV136" s="221"/>
      <c r="UGW136" s="258"/>
      <c r="UGX136" s="270"/>
      <c r="UGY136" s="271"/>
      <c r="UGZ136" s="271"/>
      <c r="UHA136" s="271"/>
      <c r="UHB136" s="221"/>
      <c r="UHC136" s="221"/>
      <c r="UHD136" s="221"/>
      <c r="UHE136" s="258"/>
      <c r="UHF136" s="270"/>
      <c r="UHG136" s="271"/>
      <c r="UHH136" s="271"/>
      <c r="UHI136" s="271"/>
      <c r="UHJ136" s="221"/>
      <c r="UHK136" s="221"/>
      <c r="UHL136" s="221"/>
      <c r="UHM136" s="258"/>
      <c r="UHN136" s="270"/>
      <c r="UHO136" s="271"/>
      <c r="UHP136" s="271"/>
      <c r="UHQ136" s="271"/>
      <c r="UHR136" s="221"/>
      <c r="UHS136" s="221"/>
      <c r="UHT136" s="221"/>
      <c r="UHU136" s="258"/>
      <c r="UHV136" s="270"/>
      <c r="UHW136" s="271"/>
      <c r="UHX136" s="271"/>
      <c r="UHY136" s="271"/>
      <c r="UHZ136" s="221"/>
      <c r="UIA136" s="221"/>
      <c r="UIB136" s="221"/>
      <c r="UIC136" s="258"/>
      <c r="UID136" s="270"/>
      <c r="UIE136" s="271"/>
      <c r="UIF136" s="271"/>
      <c r="UIG136" s="271"/>
      <c r="UIH136" s="221"/>
      <c r="UII136" s="221"/>
      <c r="UIJ136" s="221"/>
      <c r="UIK136" s="258"/>
      <c r="UIL136" s="270"/>
      <c r="UIM136" s="271"/>
      <c r="UIN136" s="271"/>
      <c r="UIO136" s="271"/>
      <c r="UIP136" s="221"/>
      <c r="UIQ136" s="221"/>
      <c r="UIR136" s="221"/>
      <c r="UIS136" s="258"/>
      <c r="UIT136" s="270"/>
      <c r="UIU136" s="271"/>
      <c r="UIV136" s="271"/>
      <c r="UIW136" s="271"/>
      <c r="UIX136" s="221"/>
      <c r="UIY136" s="221"/>
      <c r="UIZ136" s="221"/>
      <c r="UJA136" s="258"/>
      <c r="UJB136" s="270"/>
      <c r="UJC136" s="271"/>
      <c r="UJD136" s="271"/>
      <c r="UJE136" s="271"/>
      <c r="UJF136" s="221"/>
      <c r="UJG136" s="221"/>
      <c r="UJH136" s="221"/>
      <c r="UJI136" s="258"/>
      <c r="UJJ136" s="270"/>
      <c r="UJK136" s="271"/>
      <c r="UJL136" s="271"/>
      <c r="UJM136" s="271"/>
      <c r="UJN136" s="221"/>
      <c r="UJO136" s="221"/>
      <c r="UJP136" s="221"/>
      <c r="UJQ136" s="258"/>
      <c r="UJR136" s="270"/>
      <c r="UJS136" s="271"/>
      <c r="UJT136" s="271"/>
      <c r="UJU136" s="271"/>
      <c r="UJV136" s="221"/>
      <c r="UJW136" s="221"/>
      <c r="UJX136" s="221"/>
      <c r="UJY136" s="258"/>
      <c r="UJZ136" s="270"/>
      <c r="UKA136" s="271"/>
      <c r="UKB136" s="271"/>
      <c r="UKC136" s="271"/>
      <c r="UKD136" s="221"/>
      <c r="UKE136" s="221"/>
      <c r="UKF136" s="221"/>
      <c r="UKG136" s="258"/>
      <c r="UKH136" s="270"/>
      <c r="UKI136" s="271"/>
      <c r="UKJ136" s="271"/>
      <c r="UKK136" s="271"/>
      <c r="UKL136" s="221"/>
      <c r="UKM136" s="221"/>
      <c r="UKN136" s="221"/>
      <c r="UKO136" s="258"/>
      <c r="UKP136" s="270"/>
      <c r="UKQ136" s="271"/>
      <c r="UKR136" s="271"/>
      <c r="UKS136" s="271"/>
      <c r="UKT136" s="221"/>
      <c r="UKU136" s="221"/>
      <c r="UKV136" s="221"/>
      <c r="UKW136" s="258"/>
      <c r="UKX136" s="270"/>
      <c r="UKY136" s="271"/>
      <c r="UKZ136" s="271"/>
      <c r="ULA136" s="271"/>
      <c r="ULB136" s="221"/>
      <c r="ULC136" s="221"/>
      <c r="ULD136" s="221"/>
      <c r="ULE136" s="258"/>
      <c r="ULF136" s="270"/>
      <c r="ULG136" s="271"/>
      <c r="ULH136" s="271"/>
      <c r="ULI136" s="271"/>
      <c r="ULJ136" s="221"/>
      <c r="ULK136" s="221"/>
      <c r="ULL136" s="221"/>
      <c r="ULM136" s="258"/>
      <c r="ULN136" s="270"/>
      <c r="ULO136" s="271"/>
      <c r="ULP136" s="271"/>
      <c r="ULQ136" s="271"/>
      <c r="ULR136" s="221"/>
      <c r="ULS136" s="221"/>
      <c r="ULT136" s="221"/>
      <c r="ULU136" s="258"/>
      <c r="ULV136" s="270"/>
      <c r="ULW136" s="271"/>
      <c r="ULX136" s="271"/>
      <c r="ULY136" s="271"/>
      <c r="ULZ136" s="221"/>
      <c r="UMA136" s="221"/>
      <c r="UMB136" s="221"/>
      <c r="UMC136" s="258"/>
      <c r="UMD136" s="270"/>
      <c r="UME136" s="271"/>
      <c r="UMF136" s="271"/>
      <c r="UMG136" s="271"/>
      <c r="UMH136" s="221"/>
      <c r="UMI136" s="221"/>
      <c r="UMJ136" s="221"/>
      <c r="UMK136" s="258"/>
      <c r="UML136" s="270"/>
      <c r="UMM136" s="271"/>
      <c r="UMN136" s="271"/>
      <c r="UMO136" s="271"/>
      <c r="UMP136" s="221"/>
      <c r="UMQ136" s="221"/>
      <c r="UMR136" s="221"/>
      <c r="UMS136" s="258"/>
      <c r="UMT136" s="270"/>
      <c r="UMU136" s="271"/>
      <c r="UMV136" s="271"/>
      <c r="UMW136" s="271"/>
      <c r="UMX136" s="221"/>
      <c r="UMY136" s="221"/>
      <c r="UMZ136" s="221"/>
      <c r="UNA136" s="258"/>
      <c r="UNB136" s="270"/>
      <c r="UNC136" s="271"/>
      <c r="UND136" s="271"/>
      <c r="UNE136" s="271"/>
      <c r="UNF136" s="221"/>
      <c r="UNG136" s="221"/>
      <c r="UNH136" s="221"/>
      <c r="UNI136" s="258"/>
      <c r="UNJ136" s="270"/>
      <c r="UNK136" s="271"/>
      <c r="UNL136" s="271"/>
      <c r="UNM136" s="271"/>
      <c r="UNN136" s="221"/>
      <c r="UNO136" s="221"/>
      <c r="UNP136" s="221"/>
      <c r="UNQ136" s="258"/>
      <c r="UNR136" s="270"/>
      <c r="UNS136" s="271"/>
      <c r="UNT136" s="271"/>
      <c r="UNU136" s="271"/>
      <c r="UNV136" s="221"/>
      <c r="UNW136" s="221"/>
      <c r="UNX136" s="221"/>
      <c r="UNY136" s="258"/>
      <c r="UNZ136" s="270"/>
      <c r="UOA136" s="271"/>
      <c r="UOB136" s="271"/>
      <c r="UOC136" s="271"/>
      <c r="UOD136" s="221"/>
      <c r="UOE136" s="221"/>
      <c r="UOF136" s="221"/>
      <c r="UOG136" s="258"/>
      <c r="UOH136" s="270"/>
      <c r="UOI136" s="271"/>
      <c r="UOJ136" s="271"/>
      <c r="UOK136" s="271"/>
      <c r="UOL136" s="221"/>
      <c r="UOM136" s="221"/>
      <c r="UON136" s="221"/>
      <c r="UOO136" s="258"/>
      <c r="UOP136" s="270"/>
      <c r="UOQ136" s="271"/>
      <c r="UOR136" s="271"/>
      <c r="UOS136" s="271"/>
      <c r="UOT136" s="221"/>
      <c r="UOU136" s="221"/>
      <c r="UOV136" s="221"/>
      <c r="UOW136" s="258"/>
      <c r="UOX136" s="270"/>
      <c r="UOY136" s="271"/>
      <c r="UOZ136" s="271"/>
      <c r="UPA136" s="271"/>
      <c r="UPB136" s="221"/>
      <c r="UPC136" s="221"/>
      <c r="UPD136" s="221"/>
      <c r="UPE136" s="258"/>
      <c r="UPF136" s="270"/>
      <c r="UPG136" s="271"/>
      <c r="UPH136" s="271"/>
      <c r="UPI136" s="271"/>
      <c r="UPJ136" s="221"/>
      <c r="UPK136" s="221"/>
      <c r="UPL136" s="221"/>
      <c r="UPM136" s="258"/>
      <c r="UPN136" s="270"/>
      <c r="UPO136" s="271"/>
      <c r="UPP136" s="271"/>
      <c r="UPQ136" s="271"/>
      <c r="UPR136" s="221"/>
      <c r="UPS136" s="221"/>
      <c r="UPT136" s="221"/>
      <c r="UPU136" s="258"/>
      <c r="UPV136" s="270"/>
      <c r="UPW136" s="271"/>
      <c r="UPX136" s="271"/>
      <c r="UPY136" s="271"/>
      <c r="UPZ136" s="221"/>
      <c r="UQA136" s="221"/>
      <c r="UQB136" s="221"/>
      <c r="UQC136" s="258"/>
      <c r="UQD136" s="270"/>
      <c r="UQE136" s="271"/>
      <c r="UQF136" s="271"/>
      <c r="UQG136" s="271"/>
      <c r="UQH136" s="221"/>
      <c r="UQI136" s="221"/>
      <c r="UQJ136" s="221"/>
      <c r="UQK136" s="258"/>
      <c r="UQL136" s="270"/>
      <c r="UQM136" s="271"/>
      <c r="UQN136" s="271"/>
      <c r="UQO136" s="271"/>
      <c r="UQP136" s="221"/>
      <c r="UQQ136" s="221"/>
      <c r="UQR136" s="221"/>
      <c r="UQS136" s="258"/>
      <c r="UQT136" s="270"/>
      <c r="UQU136" s="271"/>
      <c r="UQV136" s="271"/>
      <c r="UQW136" s="271"/>
      <c r="UQX136" s="221"/>
      <c r="UQY136" s="221"/>
      <c r="UQZ136" s="221"/>
      <c r="URA136" s="258"/>
      <c r="URB136" s="270"/>
      <c r="URC136" s="271"/>
      <c r="URD136" s="271"/>
      <c r="URE136" s="271"/>
      <c r="URF136" s="221"/>
      <c r="URG136" s="221"/>
      <c r="URH136" s="221"/>
      <c r="URI136" s="258"/>
      <c r="URJ136" s="270"/>
      <c r="URK136" s="271"/>
      <c r="URL136" s="271"/>
      <c r="URM136" s="271"/>
      <c r="URN136" s="221"/>
      <c r="URO136" s="221"/>
      <c r="URP136" s="221"/>
      <c r="URQ136" s="258"/>
      <c r="URR136" s="270"/>
      <c r="URS136" s="271"/>
      <c r="URT136" s="271"/>
      <c r="URU136" s="271"/>
      <c r="URV136" s="221"/>
      <c r="URW136" s="221"/>
      <c r="URX136" s="221"/>
      <c r="URY136" s="258"/>
      <c r="URZ136" s="270"/>
      <c r="USA136" s="271"/>
      <c r="USB136" s="271"/>
      <c r="USC136" s="271"/>
      <c r="USD136" s="221"/>
      <c r="USE136" s="221"/>
      <c r="USF136" s="221"/>
      <c r="USG136" s="258"/>
      <c r="USH136" s="270"/>
      <c r="USI136" s="271"/>
      <c r="USJ136" s="271"/>
      <c r="USK136" s="271"/>
      <c r="USL136" s="221"/>
      <c r="USM136" s="221"/>
      <c r="USN136" s="221"/>
      <c r="USO136" s="258"/>
      <c r="USP136" s="270"/>
      <c r="USQ136" s="271"/>
      <c r="USR136" s="271"/>
      <c r="USS136" s="271"/>
      <c r="UST136" s="221"/>
      <c r="USU136" s="221"/>
      <c r="USV136" s="221"/>
      <c r="USW136" s="258"/>
      <c r="USX136" s="270"/>
      <c r="USY136" s="271"/>
      <c r="USZ136" s="271"/>
      <c r="UTA136" s="271"/>
      <c r="UTB136" s="221"/>
      <c r="UTC136" s="221"/>
      <c r="UTD136" s="221"/>
      <c r="UTE136" s="258"/>
      <c r="UTF136" s="270"/>
      <c r="UTG136" s="271"/>
      <c r="UTH136" s="271"/>
      <c r="UTI136" s="271"/>
      <c r="UTJ136" s="221"/>
      <c r="UTK136" s="221"/>
      <c r="UTL136" s="221"/>
      <c r="UTM136" s="258"/>
      <c r="UTN136" s="270"/>
      <c r="UTO136" s="271"/>
      <c r="UTP136" s="271"/>
      <c r="UTQ136" s="271"/>
      <c r="UTR136" s="221"/>
      <c r="UTS136" s="221"/>
      <c r="UTT136" s="221"/>
      <c r="UTU136" s="258"/>
      <c r="UTV136" s="270"/>
      <c r="UTW136" s="271"/>
      <c r="UTX136" s="271"/>
      <c r="UTY136" s="271"/>
      <c r="UTZ136" s="221"/>
      <c r="UUA136" s="221"/>
      <c r="UUB136" s="221"/>
      <c r="UUC136" s="258"/>
      <c r="UUD136" s="270"/>
      <c r="UUE136" s="271"/>
      <c r="UUF136" s="271"/>
      <c r="UUG136" s="271"/>
      <c r="UUH136" s="221"/>
      <c r="UUI136" s="221"/>
      <c r="UUJ136" s="221"/>
      <c r="UUK136" s="258"/>
      <c r="UUL136" s="270"/>
      <c r="UUM136" s="271"/>
      <c r="UUN136" s="271"/>
      <c r="UUO136" s="271"/>
      <c r="UUP136" s="221"/>
      <c r="UUQ136" s="221"/>
      <c r="UUR136" s="221"/>
      <c r="UUS136" s="258"/>
      <c r="UUT136" s="270"/>
      <c r="UUU136" s="271"/>
      <c r="UUV136" s="271"/>
      <c r="UUW136" s="271"/>
      <c r="UUX136" s="221"/>
      <c r="UUY136" s="221"/>
      <c r="UUZ136" s="221"/>
      <c r="UVA136" s="258"/>
      <c r="UVB136" s="270"/>
      <c r="UVC136" s="271"/>
      <c r="UVD136" s="271"/>
      <c r="UVE136" s="271"/>
      <c r="UVF136" s="221"/>
      <c r="UVG136" s="221"/>
      <c r="UVH136" s="221"/>
      <c r="UVI136" s="258"/>
      <c r="UVJ136" s="270"/>
      <c r="UVK136" s="271"/>
      <c r="UVL136" s="271"/>
      <c r="UVM136" s="271"/>
      <c r="UVN136" s="221"/>
      <c r="UVO136" s="221"/>
      <c r="UVP136" s="221"/>
      <c r="UVQ136" s="258"/>
      <c r="UVR136" s="270"/>
      <c r="UVS136" s="271"/>
      <c r="UVT136" s="271"/>
      <c r="UVU136" s="271"/>
      <c r="UVV136" s="221"/>
      <c r="UVW136" s="221"/>
      <c r="UVX136" s="221"/>
      <c r="UVY136" s="258"/>
      <c r="UVZ136" s="270"/>
      <c r="UWA136" s="271"/>
      <c r="UWB136" s="271"/>
      <c r="UWC136" s="271"/>
      <c r="UWD136" s="221"/>
      <c r="UWE136" s="221"/>
      <c r="UWF136" s="221"/>
      <c r="UWG136" s="258"/>
      <c r="UWH136" s="270"/>
      <c r="UWI136" s="271"/>
      <c r="UWJ136" s="271"/>
      <c r="UWK136" s="271"/>
      <c r="UWL136" s="221"/>
      <c r="UWM136" s="221"/>
      <c r="UWN136" s="221"/>
      <c r="UWO136" s="258"/>
      <c r="UWP136" s="270"/>
      <c r="UWQ136" s="271"/>
      <c r="UWR136" s="271"/>
      <c r="UWS136" s="271"/>
      <c r="UWT136" s="221"/>
      <c r="UWU136" s="221"/>
      <c r="UWV136" s="221"/>
      <c r="UWW136" s="258"/>
      <c r="UWX136" s="270"/>
      <c r="UWY136" s="271"/>
      <c r="UWZ136" s="271"/>
      <c r="UXA136" s="271"/>
      <c r="UXB136" s="221"/>
      <c r="UXC136" s="221"/>
      <c r="UXD136" s="221"/>
      <c r="UXE136" s="258"/>
      <c r="UXF136" s="270"/>
      <c r="UXG136" s="271"/>
      <c r="UXH136" s="271"/>
      <c r="UXI136" s="271"/>
      <c r="UXJ136" s="221"/>
      <c r="UXK136" s="221"/>
      <c r="UXL136" s="221"/>
      <c r="UXM136" s="258"/>
      <c r="UXN136" s="270"/>
      <c r="UXO136" s="271"/>
      <c r="UXP136" s="271"/>
      <c r="UXQ136" s="271"/>
      <c r="UXR136" s="221"/>
      <c r="UXS136" s="221"/>
      <c r="UXT136" s="221"/>
      <c r="UXU136" s="258"/>
      <c r="UXV136" s="270"/>
      <c r="UXW136" s="271"/>
      <c r="UXX136" s="271"/>
      <c r="UXY136" s="271"/>
      <c r="UXZ136" s="221"/>
      <c r="UYA136" s="221"/>
      <c r="UYB136" s="221"/>
      <c r="UYC136" s="258"/>
      <c r="UYD136" s="270"/>
      <c r="UYE136" s="271"/>
      <c r="UYF136" s="271"/>
      <c r="UYG136" s="271"/>
      <c r="UYH136" s="221"/>
      <c r="UYI136" s="221"/>
      <c r="UYJ136" s="221"/>
      <c r="UYK136" s="258"/>
      <c r="UYL136" s="270"/>
      <c r="UYM136" s="271"/>
      <c r="UYN136" s="271"/>
      <c r="UYO136" s="271"/>
      <c r="UYP136" s="221"/>
      <c r="UYQ136" s="221"/>
      <c r="UYR136" s="221"/>
      <c r="UYS136" s="258"/>
      <c r="UYT136" s="270"/>
      <c r="UYU136" s="271"/>
      <c r="UYV136" s="271"/>
      <c r="UYW136" s="271"/>
      <c r="UYX136" s="221"/>
      <c r="UYY136" s="221"/>
      <c r="UYZ136" s="221"/>
      <c r="UZA136" s="258"/>
      <c r="UZB136" s="270"/>
      <c r="UZC136" s="271"/>
      <c r="UZD136" s="271"/>
      <c r="UZE136" s="271"/>
      <c r="UZF136" s="221"/>
      <c r="UZG136" s="221"/>
      <c r="UZH136" s="221"/>
      <c r="UZI136" s="258"/>
      <c r="UZJ136" s="270"/>
      <c r="UZK136" s="271"/>
      <c r="UZL136" s="271"/>
      <c r="UZM136" s="271"/>
      <c r="UZN136" s="221"/>
      <c r="UZO136" s="221"/>
      <c r="UZP136" s="221"/>
      <c r="UZQ136" s="258"/>
      <c r="UZR136" s="270"/>
      <c r="UZS136" s="271"/>
      <c r="UZT136" s="271"/>
      <c r="UZU136" s="271"/>
      <c r="UZV136" s="221"/>
      <c r="UZW136" s="221"/>
      <c r="UZX136" s="221"/>
      <c r="UZY136" s="258"/>
      <c r="UZZ136" s="270"/>
      <c r="VAA136" s="271"/>
      <c r="VAB136" s="271"/>
      <c r="VAC136" s="271"/>
      <c r="VAD136" s="221"/>
      <c r="VAE136" s="221"/>
      <c r="VAF136" s="221"/>
      <c r="VAG136" s="258"/>
      <c r="VAH136" s="270"/>
      <c r="VAI136" s="271"/>
      <c r="VAJ136" s="271"/>
      <c r="VAK136" s="271"/>
      <c r="VAL136" s="221"/>
      <c r="VAM136" s="221"/>
      <c r="VAN136" s="221"/>
      <c r="VAO136" s="258"/>
      <c r="VAP136" s="270"/>
      <c r="VAQ136" s="271"/>
      <c r="VAR136" s="271"/>
      <c r="VAS136" s="271"/>
      <c r="VAT136" s="221"/>
      <c r="VAU136" s="221"/>
      <c r="VAV136" s="221"/>
      <c r="VAW136" s="258"/>
      <c r="VAX136" s="270"/>
      <c r="VAY136" s="271"/>
      <c r="VAZ136" s="271"/>
      <c r="VBA136" s="271"/>
      <c r="VBB136" s="221"/>
      <c r="VBC136" s="221"/>
      <c r="VBD136" s="221"/>
      <c r="VBE136" s="258"/>
      <c r="VBF136" s="270"/>
      <c r="VBG136" s="271"/>
      <c r="VBH136" s="271"/>
      <c r="VBI136" s="271"/>
      <c r="VBJ136" s="221"/>
      <c r="VBK136" s="221"/>
      <c r="VBL136" s="221"/>
      <c r="VBM136" s="258"/>
      <c r="VBN136" s="270"/>
      <c r="VBO136" s="271"/>
      <c r="VBP136" s="271"/>
      <c r="VBQ136" s="271"/>
      <c r="VBR136" s="221"/>
      <c r="VBS136" s="221"/>
      <c r="VBT136" s="221"/>
      <c r="VBU136" s="258"/>
      <c r="VBV136" s="270"/>
      <c r="VBW136" s="271"/>
      <c r="VBX136" s="271"/>
      <c r="VBY136" s="271"/>
      <c r="VBZ136" s="221"/>
      <c r="VCA136" s="221"/>
      <c r="VCB136" s="221"/>
      <c r="VCC136" s="258"/>
      <c r="VCD136" s="270"/>
      <c r="VCE136" s="271"/>
      <c r="VCF136" s="271"/>
      <c r="VCG136" s="271"/>
      <c r="VCH136" s="221"/>
      <c r="VCI136" s="221"/>
      <c r="VCJ136" s="221"/>
      <c r="VCK136" s="258"/>
      <c r="VCL136" s="270"/>
      <c r="VCM136" s="271"/>
      <c r="VCN136" s="271"/>
      <c r="VCO136" s="271"/>
      <c r="VCP136" s="221"/>
      <c r="VCQ136" s="221"/>
      <c r="VCR136" s="221"/>
      <c r="VCS136" s="258"/>
      <c r="VCT136" s="270"/>
      <c r="VCU136" s="271"/>
      <c r="VCV136" s="271"/>
      <c r="VCW136" s="271"/>
      <c r="VCX136" s="221"/>
      <c r="VCY136" s="221"/>
      <c r="VCZ136" s="221"/>
      <c r="VDA136" s="258"/>
      <c r="VDB136" s="270"/>
      <c r="VDC136" s="271"/>
      <c r="VDD136" s="271"/>
      <c r="VDE136" s="271"/>
      <c r="VDF136" s="221"/>
      <c r="VDG136" s="221"/>
      <c r="VDH136" s="221"/>
      <c r="VDI136" s="258"/>
      <c r="VDJ136" s="270"/>
      <c r="VDK136" s="271"/>
      <c r="VDL136" s="271"/>
      <c r="VDM136" s="271"/>
      <c r="VDN136" s="221"/>
      <c r="VDO136" s="221"/>
      <c r="VDP136" s="221"/>
      <c r="VDQ136" s="258"/>
      <c r="VDR136" s="270"/>
      <c r="VDS136" s="271"/>
      <c r="VDT136" s="271"/>
      <c r="VDU136" s="271"/>
      <c r="VDV136" s="221"/>
      <c r="VDW136" s="221"/>
      <c r="VDX136" s="221"/>
      <c r="VDY136" s="258"/>
      <c r="VDZ136" s="270"/>
      <c r="VEA136" s="271"/>
      <c r="VEB136" s="271"/>
      <c r="VEC136" s="271"/>
      <c r="VED136" s="221"/>
      <c r="VEE136" s="221"/>
      <c r="VEF136" s="221"/>
      <c r="VEG136" s="258"/>
      <c r="VEH136" s="270"/>
      <c r="VEI136" s="271"/>
      <c r="VEJ136" s="271"/>
      <c r="VEK136" s="271"/>
      <c r="VEL136" s="221"/>
      <c r="VEM136" s="221"/>
      <c r="VEN136" s="221"/>
      <c r="VEO136" s="258"/>
      <c r="VEP136" s="270"/>
      <c r="VEQ136" s="271"/>
      <c r="VER136" s="271"/>
      <c r="VES136" s="271"/>
      <c r="VET136" s="221"/>
      <c r="VEU136" s="221"/>
      <c r="VEV136" s="221"/>
      <c r="VEW136" s="258"/>
      <c r="VEX136" s="270"/>
      <c r="VEY136" s="271"/>
      <c r="VEZ136" s="271"/>
      <c r="VFA136" s="271"/>
      <c r="VFB136" s="221"/>
      <c r="VFC136" s="221"/>
      <c r="VFD136" s="221"/>
      <c r="VFE136" s="258"/>
      <c r="VFF136" s="270"/>
      <c r="VFG136" s="271"/>
      <c r="VFH136" s="271"/>
      <c r="VFI136" s="271"/>
      <c r="VFJ136" s="221"/>
      <c r="VFK136" s="221"/>
      <c r="VFL136" s="221"/>
      <c r="VFM136" s="258"/>
      <c r="VFN136" s="270"/>
      <c r="VFO136" s="271"/>
      <c r="VFP136" s="271"/>
      <c r="VFQ136" s="271"/>
      <c r="VFR136" s="221"/>
      <c r="VFS136" s="221"/>
      <c r="VFT136" s="221"/>
      <c r="VFU136" s="258"/>
      <c r="VFV136" s="270"/>
      <c r="VFW136" s="271"/>
      <c r="VFX136" s="271"/>
      <c r="VFY136" s="271"/>
      <c r="VFZ136" s="221"/>
      <c r="VGA136" s="221"/>
      <c r="VGB136" s="221"/>
      <c r="VGC136" s="258"/>
      <c r="VGD136" s="270"/>
      <c r="VGE136" s="271"/>
      <c r="VGF136" s="271"/>
      <c r="VGG136" s="271"/>
      <c r="VGH136" s="221"/>
      <c r="VGI136" s="221"/>
      <c r="VGJ136" s="221"/>
      <c r="VGK136" s="258"/>
      <c r="VGL136" s="270"/>
      <c r="VGM136" s="271"/>
      <c r="VGN136" s="271"/>
      <c r="VGO136" s="271"/>
      <c r="VGP136" s="221"/>
      <c r="VGQ136" s="221"/>
      <c r="VGR136" s="221"/>
      <c r="VGS136" s="258"/>
      <c r="VGT136" s="270"/>
      <c r="VGU136" s="271"/>
      <c r="VGV136" s="271"/>
      <c r="VGW136" s="271"/>
      <c r="VGX136" s="221"/>
      <c r="VGY136" s="221"/>
      <c r="VGZ136" s="221"/>
      <c r="VHA136" s="258"/>
      <c r="VHB136" s="270"/>
      <c r="VHC136" s="271"/>
      <c r="VHD136" s="271"/>
      <c r="VHE136" s="271"/>
      <c r="VHF136" s="221"/>
      <c r="VHG136" s="221"/>
      <c r="VHH136" s="221"/>
      <c r="VHI136" s="258"/>
      <c r="VHJ136" s="270"/>
      <c r="VHK136" s="271"/>
      <c r="VHL136" s="271"/>
      <c r="VHM136" s="271"/>
      <c r="VHN136" s="221"/>
      <c r="VHO136" s="221"/>
      <c r="VHP136" s="221"/>
      <c r="VHQ136" s="258"/>
      <c r="VHR136" s="270"/>
      <c r="VHS136" s="271"/>
      <c r="VHT136" s="271"/>
      <c r="VHU136" s="271"/>
      <c r="VHV136" s="221"/>
      <c r="VHW136" s="221"/>
      <c r="VHX136" s="221"/>
      <c r="VHY136" s="258"/>
      <c r="VHZ136" s="270"/>
      <c r="VIA136" s="271"/>
      <c r="VIB136" s="271"/>
      <c r="VIC136" s="271"/>
      <c r="VID136" s="221"/>
      <c r="VIE136" s="221"/>
      <c r="VIF136" s="221"/>
      <c r="VIG136" s="258"/>
      <c r="VIH136" s="270"/>
      <c r="VII136" s="271"/>
      <c r="VIJ136" s="271"/>
      <c r="VIK136" s="271"/>
      <c r="VIL136" s="221"/>
      <c r="VIM136" s="221"/>
      <c r="VIN136" s="221"/>
      <c r="VIO136" s="258"/>
      <c r="VIP136" s="270"/>
      <c r="VIQ136" s="271"/>
      <c r="VIR136" s="271"/>
      <c r="VIS136" s="271"/>
      <c r="VIT136" s="221"/>
      <c r="VIU136" s="221"/>
      <c r="VIV136" s="221"/>
      <c r="VIW136" s="258"/>
      <c r="VIX136" s="270"/>
      <c r="VIY136" s="271"/>
      <c r="VIZ136" s="271"/>
      <c r="VJA136" s="271"/>
      <c r="VJB136" s="221"/>
      <c r="VJC136" s="221"/>
      <c r="VJD136" s="221"/>
      <c r="VJE136" s="258"/>
      <c r="VJF136" s="270"/>
      <c r="VJG136" s="271"/>
      <c r="VJH136" s="271"/>
      <c r="VJI136" s="271"/>
      <c r="VJJ136" s="221"/>
      <c r="VJK136" s="221"/>
      <c r="VJL136" s="221"/>
      <c r="VJM136" s="258"/>
      <c r="VJN136" s="270"/>
      <c r="VJO136" s="271"/>
      <c r="VJP136" s="271"/>
      <c r="VJQ136" s="271"/>
      <c r="VJR136" s="221"/>
      <c r="VJS136" s="221"/>
      <c r="VJT136" s="221"/>
      <c r="VJU136" s="258"/>
      <c r="VJV136" s="270"/>
      <c r="VJW136" s="271"/>
      <c r="VJX136" s="271"/>
      <c r="VJY136" s="271"/>
      <c r="VJZ136" s="221"/>
      <c r="VKA136" s="221"/>
      <c r="VKB136" s="221"/>
      <c r="VKC136" s="258"/>
      <c r="VKD136" s="270"/>
      <c r="VKE136" s="271"/>
      <c r="VKF136" s="271"/>
      <c r="VKG136" s="271"/>
      <c r="VKH136" s="221"/>
      <c r="VKI136" s="221"/>
      <c r="VKJ136" s="221"/>
      <c r="VKK136" s="258"/>
      <c r="VKL136" s="270"/>
      <c r="VKM136" s="271"/>
      <c r="VKN136" s="271"/>
      <c r="VKO136" s="271"/>
      <c r="VKP136" s="221"/>
      <c r="VKQ136" s="221"/>
      <c r="VKR136" s="221"/>
      <c r="VKS136" s="258"/>
      <c r="VKT136" s="270"/>
      <c r="VKU136" s="271"/>
      <c r="VKV136" s="271"/>
      <c r="VKW136" s="271"/>
      <c r="VKX136" s="221"/>
      <c r="VKY136" s="221"/>
      <c r="VKZ136" s="221"/>
      <c r="VLA136" s="258"/>
      <c r="VLB136" s="270"/>
      <c r="VLC136" s="271"/>
      <c r="VLD136" s="271"/>
      <c r="VLE136" s="271"/>
      <c r="VLF136" s="221"/>
      <c r="VLG136" s="221"/>
      <c r="VLH136" s="221"/>
      <c r="VLI136" s="258"/>
      <c r="VLJ136" s="270"/>
      <c r="VLK136" s="271"/>
      <c r="VLL136" s="271"/>
      <c r="VLM136" s="271"/>
      <c r="VLN136" s="221"/>
      <c r="VLO136" s="221"/>
      <c r="VLP136" s="221"/>
      <c r="VLQ136" s="258"/>
      <c r="VLR136" s="270"/>
      <c r="VLS136" s="271"/>
      <c r="VLT136" s="271"/>
      <c r="VLU136" s="271"/>
      <c r="VLV136" s="221"/>
      <c r="VLW136" s="221"/>
      <c r="VLX136" s="221"/>
      <c r="VLY136" s="258"/>
      <c r="VLZ136" s="270"/>
      <c r="VMA136" s="271"/>
      <c r="VMB136" s="271"/>
      <c r="VMC136" s="271"/>
      <c r="VMD136" s="221"/>
      <c r="VME136" s="221"/>
      <c r="VMF136" s="221"/>
      <c r="VMG136" s="258"/>
      <c r="VMH136" s="270"/>
      <c r="VMI136" s="271"/>
      <c r="VMJ136" s="271"/>
      <c r="VMK136" s="271"/>
      <c r="VML136" s="221"/>
      <c r="VMM136" s="221"/>
      <c r="VMN136" s="221"/>
      <c r="VMO136" s="258"/>
      <c r="VMP136" s="270"/>
      <c r="VMQ136" s="271"/>
      <c r="VMR136" s="271"/>
      <c r="VMS136" s="271"/>
      <c r="VMT136" s="221"/>
      <c r="VMU136" s="221"/>
      <c r="VMV136" s="221"/>
      <c r="VMW136" s="258"/>
      <c r="VMX136" s="270"/>
      <c r="VMY136" s="271"/>
      <c r="VMZ136" s="271"/>
      <c r="VNA136" s="271"/>
      <c r="VNB136" s="221"/>
      <c r="VNC136" s="221"/>
      <c r="VND136" s="221"/>
      <c r="VNE136" s="258"/>
      <c r="VNF136" s="270"/>
      <c r="VNG136" s="271"/>
      <c r="VNH136" s="271"/>
      <c r="VNI136" s="271"/>
      <c r="VNJ136" s="221"/>
      <c r="VNK136" s="221"/>
      <c r="VNL136" s="221"/>
      <c r="VNM136" s="258"/>
      <c r="VNN136" s="270"/>
      <c r="VNO136" s="271"/>
      <c r="VNP136" s="271"/>
      <c r="VNQ136" s="271"/>
      <c r="VNR136" s="221"/>
      <c r="VNS136" s="221"/>
      <c r="VNT136" s="221"/>
      <c r="VNU136" s="258"/>
      <c r="VNV136" s="270"/>
      <c r="VNW136" s="271"/>
      <c r="VNX136" s="271"/>
      <c r="VNY136" s="271"/>
      <c r="VNZ136" s="221"/>
      <c r="VOA136" s="221"/>
      <c r="VOB136" s="221"/>
      <c r="VOC136" s="258"/>
      <c r="VOD136" s="270"/>
      <c r="VOE136" s="271"/>
      <c r="VOF136" s="271"/>
      <c r="VOG136" s="271"/>
      <c r="VOH136" s="221"/>
      <c r="VOI136" s="221"/>
      <c r="VOJ136" s="221"/>
      <c r="VOK136" s="258"/>
      <c r="VOL136" s="270"/>
      <c r="VOM136" s="271"/>
      <c r="VON136" s="271"/>
      <c r="VOO136" s="271"/>
      <c r="VOP136" s="221"/>
      <c r="VOQ136" s="221"/>
      <c r="VOR136" s="221"/>
      <c r="VOS136" s="258"/>
      <c r="VOT136" s="270"/>
      <c r="VOU136" s="271"/>
      <c r="VOV136" s="271"/>
      <c r="VOW136" s="271"/>
      <c r="VOX136" s="221"/>
      <c r="VOY136" s="221"/>
      <c r="VOZ136" s="221"/>
      <c r="VPA136" s="258"/>
      <c r="VPB136" s="270"/>
      <c r="VPC136" s="271"/>
      <c r="VPD136" s="271"/>
      <c r="VPE136" s="271"/>
      <c r="VPF136" s="221"/>
      <c r="VPG136" s="221"/>
      <c r="VPH136" s="221"/>
      <c r="VPI136" s="258"/>
      <c r="VPJ136" s="270"/>
      <c r="VPK136" s="271"/>
      <c r="VPL136" s="271"/>
      <c r="VPM136" s="271"/>
      <c r="VPN136" s="221"/>
      <c r="VPO136" s="221"/>
      <c r="VPP136" s="221"/>
      <c r="VPQ136" s="258"/>
      <c r="VPR136" s="270"/>
      <c r="VPS136" s="271"/>
      <c r="VPT136" s="271"/>
      <c r="VPU136" s="271"/>
      <c r="VPV136" s="221"/>
      <c r="VPW136" s="221"/>
      <c r="VPX136" s="221"/>
      <c r="VPY136" s="258"/>
      <c r="VPZ136" s="270"/>
      <c r="VQA136" s="271"/>
      <c r="VQB136" s="271"/>
      <c r="VQC136" s="271"/>
      <c r="VQD136" s="221"/>
      <c r="VQE136" s="221"/>
      <c r="VQF136" s="221"/>
      <c r="VQG136" s="258"/>
      <c r="VQH136" s="270"/>
      <c r="VQI136" s="271"/>
      <c r="VQJ136" s="271"/>
      <c r="VQK136" s="271"/>
      <c r="VQL136" s="221"/>
      <c r="VQM136" s="221"/>
      <c r="VQN136" s="221"/>
      <c r="VQO136" s="258"/>
      <c r="VQP136" s="270"/>
      <c r="VQQ136" s="271"/>
      <c r="VQR136" s="271"/>
      <c r="VQS136" s="271"/>
      <c r="VQT136" s="221"/>
      <c r="VQU136" s="221"/>
      <c r="VQV136" s="221"/>
      <c r="VQW136" s="258"/>
      <c r="VQX136" s="270"/>
      <c r="VQY136" s="271"/>
      <c r="VQZ136" s="271"/>
      <c r="VRA136" s="271"/>
      <c r="VRB136" s="221"/>
      <c r="VRC136" s="221"/>
      <c r="VRD136" s="221"/>
      <c r="VRE136" s="258"/>
      <c r="VRF136" s="270"/>
      <c r="VRG136" s="271"/>
      <c r="VRH136" s="271"/>
      <c r="VRI136" s="271"/>
      <c r="VRJ136" s="221"/>
      <c r="VRK136" s="221"/>
      <c r="VRL136" s="221"/>
      <c r="VRM136" s="258"/>
      <c r="VRN136" s="270"/>
      <c r="VRO136" s="271"/>
      <c r="VRP136" s="271"/>
      <c r="VRQ136" s="271"/>
      <c r="VRR136" s="221"/>
      <c r="VRS136" s="221"/>
      <c r="VRT136" s="221"/>
      <c r="VRU136" s="258"/>
      <c r="VRV136" s="270"/>
      <c r="VRW136" s="271"/>
      <c r="VRX136" s="271"/>
      <c r="VRY136" s="271"/>
      <c r="VRZ136" s="221"/>
      <c r="VSA136" s="221"/>
      <c r="VSB136" s="221"/>
      <c r="VSC136" s="258"/>
      <c r="VSD136" s="270"/>
      <c r="VSE136" s="271"/>
      <c r="VSF136" s="271"/>
      <c r="VSG136" s="271"/>
      <c r="VSH136" s="221"/>
      <c r="VSI136" s="221"/>
      <c r="VSJ136" s="221"/>
      <c r="VSK136" s="258"/>
      <c r="VSL136" s="270"/>
      <c r="VSM136" s="271"/>
      <c r="VSN136" s="271"/>
      <c r="VSO136" s="271"/>
      <c r="VSP136" s="221"/>
      <c r="VSQ136" s="221"/>
      <c r="VSR136" s="221"/>
      <c r="VSS136" s="258"/>
      <c r="VST136" s="270"/>
      <c r="VSU136" s="271"/>
      <c r="VSV136" s="271"/>
      <c r="VSW136" s="271"/>
      <c r="VSX136" s="221"/>
      <c r="VSY136" s="221"/>
      <c r="VSZ136" s="221"/>
      <c r="VTA136" s="258"/>
      <c r="VTB136" s="270"/>
      <c r="VTC136" s="271"/>
      <c r="VTD136" s="271"/>
      <c r="VTE136" s="271"/>
      <c r="VTF136" s="221"/>
      <c r="VTG136" s="221"/>
      <c r="VTH136" s="221"/>
      <c r="VTI136" s="258"/>
      <c r="VTJ136" s="270"/>
      <c r="VTK136" s="271"/>
      <c r="VTL136" s="271"/>
      <c r="VTM136" s="271"/>
      <c r="VTN136" s="221"/>
      <c r="VTO136" s="221"/>
      <c r="VTP136" s="221"/>
      <c r="VTQ136" s="258"/>
      <c r="VTR136" s="270"/>
      <c r="VTS136" s="271"/>
      <c r="VTT136" s="271"/>
      <c r="VTU136" s="271"/>
      <c r="VTV136" s="221"/>
      <c r="VTW136" s="221"/>
      <c r="VTX136" s="221"/>
      <c r="VTY136" s="258"/>
      <c r="VTZ136" s="270"/>
      <c r="VUA136" s="271"/>
      <c r="VUB136" s="271"/>
      <c r="VUC136" s="271"/>
      <c r="VUD136" s="221"/>
      <c r="VUE136" s="221"/>
      <c r="VUF136" s="221"/>
      <c r="VUG136" s="258"/>
      <c r="VUH136" s="270"/>
      <c r="VUI136" s="271"/>
      <c r="VUJ136" s="271"/>
      <c r="VUK136" s="271"/>
      <c r="VUL136" s="221"/>
      <c r="VUM136" s="221"/>
      <c r="VUN136" s="221"/>
      <c r="VUO136" s="258"/>
      <c r="VUP136" s="270"/>
      <c r="VUQ136" s="271"/>
      <c r="VUR136" s="271"/>
      <c r="VUS136" s="271"/>
      <c r="VUT136" s="221"/>
      <c r="VUU136" s="221"/>
      <c r="VUV136" s="221"/>
      <c r="VUW136" s="258"/>
      <c r="VUX136" s="270"/>
      <c r="VUY136" s="271"/>
      <c r="VUZ136" s="271"/>
      <c r="VVA136" s="271"/>
      <c r="VVB136" s="221"/>
      <c r="VVC136" s="221"/>
      <c r="VVD136" s="221"/>
      <c r="VVE136" s="258"/>
      <c r="VVF136" s="270"/>
      <c r="VVG136" s="271"/>
      <c r="VVH136" s="271"/>
      <c r="VVI136" s="271"/>
      <c r="VVJ136" s="221"/>
      <c r="VVK136" s="221"/>
      <c r="VVL136" s="221"/>
      <c r="VVM136" s="258"/>
      <c r="VVN136" s="270"/>
      <c r="VVO136" s="271"/>
      <c r="VVP136" s="271"/>
      <c r="VVQ136" s="271"/>
      <c r="VVR136" s="221"/>
      <c r="VVS136" s="221"/>
      <c r="VVT136" s="221"/>
      <c r="VVU136" s="258"/>
      <c r="VVV136" s="270"/>
      <c r="VVW136" s="271"/>
      <c r="VVX136" s="271"/>
      <c r="VVY136" s="271"/>
      <c r="VVZ136" s="221"/>
      <c r="VWA136" s="221"/>
      <c r="VWB136" s="221"/>
      <c r="VWC136" s="258"/>
      <c r="VWD136" s="270"/>
      <c r="VWE136" s="271"/>
      <c r="VWF136" s="271"/>
      <c r="VWG136" s="271"/>
      <c r="VWH136" s="221"/>
      <c r="VWI136" s="221"/>
      <c r="VWJ136" s="221"/>
      <c r="VWK136" s="258"/>
      <c r="VWL136" s="270"/>
      <c r="VWM136" s="271"/>
      <c r="VWN136" s="271"/>
      <c r="VWO136" s="271"/>
      <c r="VWP136" s="221"/>
      <c r="VWQ136" s="221"/>
      <c r="VWR136" s="221"/>
      <c r="VWS136" s="258"/>
      <c r="VWT136" s="270"/>
      <c r="VWU136" s="271"/>
      <c r="VWV136" s="271"/>
      <c r="VWW136" s="271"/>
      <c r="VWX136" s="221"/>
      <c r="VWY136" s="221"/>
      <c r="VWZ136" s="221"/>
      <c r="VXA136" s="258"/>
      <c r="VXB136" s="270"/>
      <c r="VXC136" s="271"/>
      <c r="VXD136" s="271"/>
      <c r="VXE136" s="271"/>
      <c r="VXF136" s="221"/>
      <c r="VXG136" s="221"/>
      <c r="VXH136" s="221"/>
      <c r="VXI136" s="258"/>
      <c r="VXJ136" s="270"/>
      <c r="VXK136" s="271"/>
      <c r="VXL136" s="271"/>
      <c r="VXM136" s="271"/>
      <c r="VXN136" s="221"/>
      <c r="VXO136" s="221"/>
      <c r="VXP136" s="221"/>
      <c r="VXQ136" s="258"/>
      <c r="VXR136" s="270"/>
      <c r="VXS136" s="271"/>
      <c r="VXT136" s="271"/>
      <c r="VXU136" s="271"/>
      <c r="VXV136" s="221"/>
      <c r="VXW136" s="221"/>
      <c r="VXX136" s="221"/>
      <c r="VXY136" s="258"/>
      <c r="VXZ136" s="270"/>
      <c r="VYA136" s="271"/>
      <c r="VYB136" s="271"/>
      <c r="VYC136" s="271"/>
      <c r="VYD136" s="221"/>
      <c r="VYE136" s="221"/>
      <c r="VYF136" s="221"/>
      <c r="VYG136" s="258"/>
      <c r="VYH136" s="270"/>
      <c r="VYI136" s="271"/>
      <c r="VYJ136" s="271"/>
      <c r="VYK136" s="271"/>
      <c r="VYL136" s="221"/>
      <c r="VYM136" s="221"/>
      <c r="VYN136" s="221"/>
      <c r="VYO136" s="258"/>
      <c r="VYP136" s="270"/>
      <c r="VYQ136" s="271"/>
      <c r="VYR136" s="271"/>
      <c r="VYS136" s="271"/>
      <c r="VYT136" s="221"/>
      <c r="VYU136" s="221"/>
      <c r="VYV136" s="221"/>
      <c r="VYW136" s="258"/>
      <c r="VYX136" s="270"/>
      <c r="VYY136" s="271"/>
      <c r="VYZ136" s="271"/>
      <c r="VZA136" s="271"/>
      <c r="VZB136" s="221"/>
      <c r="VZC136" s="221"/>
      <c r="VZD136" s="221"/>
      <c r="VZE136" s="258"/>
      <c r="VZF136" s="270"/>
      <c r="VZG136" s="271"/>
      <c r="VZH136" s="271"/>
      <c r="VZI136" s="271"/>
      <c r="VZJ136" s="221"/>
      <c r="VZK136" s="221"/>
      <c r="VZL136" s="221"/>
      <c r="VZM136" s="258"/>
      <c r="VZN136" s="270"/>
      <c r="VZO136" s="271"/>
      <c r="VZP136" s="271"/>
      <c r="VZQ136" s="271"/>
      <c r="VZR136" s="221"/>
      <c r="VZS136" s="221"/>
      <c r="VZT136" s="221"/>
      <c r="VZU136" s="258"/>
      <c r="VZV136" s="270"/>
      <c r="VZW136" s="271"/>
      <c r="VZX136" s="271"/>
      <c r="VZY136" s="271"/>
      <c r="VZZ136" s="221"/>
      <c r="WAA136" s="221"/>
      <c r="WAB136" s="221"/>
      <c r="WAC136" s="258"/>
      <c r="WAD136" s="270"/>
      <c r="WAE136" s="271"/>
      <c r="WAF136" s="271"/>
      <c r="WAG136" s="271"/>
      <c r="WAH136" s="221"/>
      <c r="WAI136" s="221"/>
      <c r="WAJ136" s="221"/>
      <c r="WAK136" s="258"/>
      <c r="WAL136" s="270"/>
      <c r="WAM136" s="271"/>
      <c r="WAN136" s="271"/>
      <c r="WAO136" s="271"/>
      <c r="WAP136" s="221"/>
      <c r="WAQ136" s="221"/>
      <c r="WAR136" s="221"/>
      <c r="WAS136" s="258"/>
      <c r="WAT136" s="270"/>
      <c r="WAU136" s="271"/>
      <c r="WAV136" s="271"/>
      <c r="WAW136" s="271"/>
      <c r="WAX136" s="221"/>
      <c r="WAY136" s="221"/>
      <c r="WAZ136" s="221"/>
      <c r="WBA136" s="258"/>
      <c r="WBB136" s="270"/>
      <c r="WBC136" s="271"/>
      <c r="WBD136" s="271"/>
      <c r="WBE136" s="271"/>
      <c r="WBF136" s="221"/>
      <c r="WBG136" s="221"/>
      <c r="WBH136" s="221"/>
      <c r="WBI136" s="258"/>
      <c r="WBJ136" s="270"/>
      <c r="WBK136" s="271"/>
      <c r="WBL136" s="271"/>
      <c r="WBM136" s="271"/>
      <c r="WBN136" s="221"/>
      <c r="WBO136" s="221"/>
      <c r="WBP136" s="221"/>
      <c r="WBQ136" s="258"/>
      <c r="WBR136" s="270"/>
      <c r="WBS136" s="271"/>
      <c r="WBT136" s="271"/>
      <c r="WBU136" s="271"/>
      <c r="WBV136" s="221"/>
      <c r="WBW136" s="221"/>
      <c r="WBX136" s="221"/>
      <c r="WBY136" s="258"/>
      <c r="WBZ136" s="270"/>
      <c r="WCA136" s="271"/>
      <c r="WCB136" s="271"/>
      <c r="WCC136" s="271"/>
      <c r="WCD136" s="221"/>
      <c r="WCE136" s="221"/>
      <c r="WCF136" s="221"/>
      <c r="WCG136" s="258"/>
      <c r="WCH136" s="270"/>
      <c r="WCI136" s="271"/>
      <c r="WCJ136" s="271"/>
      <c r="WCK136" s="271"/>
      <c r="WCL136" s="221"/>
      <c r="WCM136" s="221"/>
      <c r="WCN136" s="221"/>
      <c r="WCO136" s="258"/>
      <c r="WCP136" s="270"/>
      <c r="WCQ136" s="271"/>
      <c r="WCR136" s="271"/>
      <c r="WCS136" s="271"/>
      <c r="WCT136" s="221"/>
      <c r="WCU136" s="221"/>
      <c r="WCV136" s="221"/>
      <c r="WCW136" s="258"/>
      <c r="WCX136" s="270"/>
      <c r="WCY136" s="271"/>
      <c r="WCZ136" s="271"/>
      <c r="WDA136" s="271"/>
      <c r="WDB136" s="221"/>
      <c r="WDC136" s="221"/>
      <c r="WDD136" s="221"/>
      <c r="WDE136" s="258"/>
      <c r="WDF136" s="270"/>
      <c r="WDG136" s="271"/>
      <c r="WDH136" s="271"/>
      <c r="WDI136" s="271"/>
      <c r="WDJ136" s="221"/>
      <c r="WDK136" s="221"/>
      <c r="WDL136" s="221"/>
      <c r="WDM136" s="258"/>
      <c r="WDN136" s="270"/>
      <c r="WDO136" s="271"/>
      <c r="WDP136" s="271"/>
      <c r="WDQ136" s="271"/>
      <c r="WDR136" s="221"/>
      <c r="WDS136" s="221"/>
      <c r="WDT136" s="221"/>
      <c r="WDU136" s="258"/>
      <c r="WDV136" s="270"/>
      <c r="WDW136" s="271"/>
      <c r="WDX136" s="271"/>
      <c r="WDY136" s="271"/>
      <c r="WDZ136" s="221"/>
      <c r="WEA136" s="221"/>
      <c r="WEB136" s="221"/>
      <c r="WEC136" s="258"/>
      <c r="WED136" s="270"/>
      <c r="WEE136" s="271"/>
      <c r="WEF136" s="271"/>
      <c r="WEG136" s="271"/>
      <c r="WEH136" s="221"/>
      <c r="WEI136" s="221"/>
      <c r="WEJ136" s="221"/>
      <c r="WEK136" s="258"/>
      <c r="WEL136" s="270"/>
      <c r="WEM136" s="271"/>
      <c r="WEN136" s="271"/>
      <c r="WEO136" s="271"/>
      <c r="WEP136" s="221"/>
      <c r="WEQ136" s="221"/>
      <c r="WER136" s="221"/>
      <c r="WES136" s="258"/>
      <c r="WET136" s="270"/>
      <c r="WEU136" s="271"/>
      <c r="WEV136" s="271"/>
      <c r="WEW136" s="271"/>
      <c r="WEX136" s="221"/>
      <c r="WEY136" s="221"/>
      <c r="WEZ136" s="221"/>
      <c r="WFA136" s="258"/>
      <c r="WFB136" s="270"/>
      <c r="WFC136" s="271"/>
      <c r="WFD136" s="271"/>
      <c r="WFE136" s="271"/>
      <c r="WFF136" s="221"/>
      <c r="WFG136" s="221"/>
      <c r="WFH136" s="221"/>
      <c r="WFI136" s="258"/>
      <c r="WFJ136" s="270"/>
      <c r="WFK136" s="271"/>
      <c r="WFL136" s="271"/>
      <c r="WFM136" s="271"/>
      <c r="WFN136" s="221"/>
      <c r="WFO136" s="221"/>
      <c r="WFP136" s="221"/>
      <c r="WFQ136" s="258"/>
      <c r="WFR136" s="270"/>
      <c r="WFS136" s="271"/>
      <c r="WFT136" s="271"/>
      <c r="WFU136" s="271"/>
      <c r="WFV136" s="221"/>
      <c r="WFW136" s="221"/>
      <c r="WFX136" s="221"/>
      <c r="WFY136" s="258"/>
      <c r="WFZ136" s="270"/>
      <c r="WGA136" s="271"/>
      <c r="WGB136" s="271"/>
      <c r="WGC136" s="271"/>
      <c r="WGD136" s="221"/>
      <c r="WGE136" s="221"/>
      <c r="WGF136" s="221"/>
      <c r="WGG136" s="258"/>
      <c r="WGH136" s="270"/>
      <c r="WGI136" s="271"/>
      <c r="WGJ136" s="271"/>
      <c r="WGK136" s="271"/>
      <c r="WGL136" s="221"/>
      <c r="WGM136" s="221"/>
      <c r="WGN136" s="221"/>
      <c r="WGO136" s="258"/>
      <c r="WGP136" s="270"/>
      <c r="WGQ136" s="271"/>
      <c r="WGR136" s="271"/>
      <c r="WGS136" s="271"/>
      <c r="WGT136" s="221"/>
      <c r="WGU136" s="221"/>
      <c r="WGV136" s="221"/>
      <c r="WGW136" s="258"/>
      <c r="WGX136" s="270"/>
      <c r="WGY136" s="271"/>
      <c r="WGZ136" s="271"/>
      <c r="WHA136" s="271"/>
      <c r="WHB136" s="221"/>
      <c r="WHC136" s="221"/>
      <c r="WHD136" s="221"/>
      <c r="WHE136" s="258"/>
      <c r="WHF136" s="270"/>
      <c r="WHG136" s="271"/>
      <c r="WHH136" s="271"/>
      <c r="WHI136" s="271"/>
      <c r="WHJ136" s="221"/>
      <c r="WHK136" s="221"/>
      <c r="WHL136" s="221"/>
      <c r="WHM136" s="258"/>
      <c r="WHN136" s="270"/>
      <c r="WHO136" s="271"/>
      <c r="WHP136" s="271"/>
      <c r="WHQ136" s="271"/>
      <c r="WHR136" s="221"/>
      <c r="WHS136" s="221"/>
      <c r="WHT136" s="221"/>
      <c r="WHU136" s="258"/>
      <c r="WHV136" s="270"/>
      <c r="WHW136" s="271"/>
      <c r="WHX136" s="271"/>
      <c r="WHY136" s="271"/>
      <c r="WHZ136" s="221"/>
      <c r="WIA136" s="221"/>
      <c r="WIB136" s="221"/>
      <c r="WIC136" s="258"/>
      <c r="WID136" s="270"/>
      <c r="WIE136" s="271"/>
      <c r="WIF136" s="271"/>
      <c r="WIG136" s="271"/>
      <c r="WIH136" s="221"/>
      <c r="WII136" s="221"/>
      <c r="WIJ136" s="221"/>
      <c r="WIK136" s="258"/>
      <c r="WIL136" s="270"/>
      <c r="WIM136" s="271"/>
      <c r="WIN136" s="271"/>
      <c r="WIO136" s="271"/>
      <c r="WIP136" s="221"/>
      <c r="WIQ136" s="221"/>
      <c r="WIR136" s="221"/>
      <c r="WIS136" s="258"/>
      <c r="WIT136" s="270"/>
      <c r="WIU136" s="271"/>
      <c r="WIV136" s="271"/>
      <c r="WIW136" s="271"/>
      <c r="WIX136" s="221"/>
      <c r="WIY136" s="221"/>
      <c r="WIZ136" s="221"/>
      <c r="WJA136" s="258"/>
      <c r="WJB136" s="270"/>
      <c r="WJC136" s="271"/>
      <c r="WJD136" s="271"/>
      <c r="WJE136" s="271"/>
      <c r="WJF136" s="221"/>
      <c r="WJG136" s="221"/>
      <c r="WJH136" s="221"/>
      <c r="WJI136" s="258"/>
      <c r="WJJ136" s="270"/>
      <c r="WJK136" s="271"/>
      <c r="WJL136" s="271"/>
      <c r="WJM136" s="271"/>
      <c r="WJN136" s="221"/>
      <c r="WJO136" s="221"/>
      <c r="WJP136" s="221"/>
      <c r="WJQ136" s="258"/>
      <c r="WJR136" s="270"/>
      <c r="WJS136" s="271"/>
      <c r="WJT136" s="271"/>
      <c r="WJU136" s="271"/>
      <c r="WJV136" s="221"/>
      <c r="WJW136" s="221"/>
      <c r="WJX136" s="221"/>
      <c r="WJY136" s="258"/>
      <c r="WJZ136" s="270"/>
      <c r="WKA136" s="271"/>
      <c r="WKB136" s="271"/>
      <c r="WKC136" s="271"/>
      <c r="WKD136" s="221"/>
      <c r="WKE136" s="221"/>
      <c r="WKF136" s="221"/>
      <c r="WKG136" s="258"/>
      <c r="WKH136" s="270"/>
      <c r="WKI136" s="271"/>
      <c r="WKJ136" s="271"/>
      <c r="WKK136" s="271"/>
      <c r="WKL136" s="221"/>
      <c r="WKM136" s="221"/>
      <c r="WKN136" s="221"/>
      <c r="WKO136" s="258"/>
      <c r="WKP136" s="270"/>
      <c r="WKQ136" s="271"/>
      <c r="WKR136" s="271"/>
      <c r="WKS136" s="271"/>
      <c r="WKT136" s="221"/>
      <c r="WKU136" s="221"/>
      <c r="WKV136" s="221"/>
      <c r="WKW136" s="258"/>
      <c r="WKX136" s="270"/>
      <c r="WKY136" s="271"/>
      <c r="WKZ136" s="271"/>
      <c r="WLA136" s="271"/>
      <c r="WLB136" s="221"/>
      <c r="WLC136" s="221"/>
      <c r="WLD136" s="221"/>
      <c r="WLE136" s="258"/>
      <c r="WLF136" s="270"/>
      <c r="WLG136" s="271"/>
      <c r="WLH136" s="271"/>
      <c r="WLI136" s="271"/>
      <c r="WLJ136" s="221"/>
      <c r="WLK136" s="221"/>
      <c r="WLL136" s="221"/>
      <c r="WLM136" s="258"/>
      <c r="WLN136" s="270"/>
      <c r="WLO136" s="271"/>
      <c r="WLP136" s="271"/>
      <c r="WLQ136" s="271"/>
      <c r="WLR136" s="221"/>
      <c r="WLS136" s="221"/>
      <c r="WLT136" s="221"/>
      <c r="WLU136" s="258"/>
      <c r="WLV136" s="270"/>
      <c r="WLW136" s="271"/>
      <c r="WLX136" s="271"/>
      <c r="WLY136" s="271"/>
      <c r="WLZ136" s="221"/>
      <c r="WMA136" s="221"/>
      <c r="WMB136" s="221"/>
      <c r="WMC136" s="258"/>
      <c r="WMD136" s="270"/>
      <c r="WME136" s="271"/>
      <c r="WMF136" s="271"/>
      <c r="WMG136" s="271"/>
      <c r="WMH136" s="221"/>
      <c r="WMI136" s="221"/>
      <c r="WMJ136" s="221"/>
      <c r="WMK136" s="258"/>
      <c r="WML136" s="270"/>
      <c r="WMM136" s="271"/>
      <c r="WMN136" s="271"/>
      <c r="WMO136" s="271"/>
      <c r="WMP136" s="221"/>
      <c r="WMQ136" s="221"/>
      <c r="WMR136" s="221"/>
      <c r="WMS136" s="258"/>
      <c r="WMT136" s="270"/>
      <c r="WMU136" s="271"/>
      <c r="WMV136" s="271"/>
      <c r="WMW136" s="271"/>
      <c r="WMX136" s="221"/>
      <c r="WMY136" s="221"/>
      <c r="WMZ136" s="221"/>
      <c r="WNA136" s="258"/>
      <c r="WNB136" s="270"/>
      <c r="WNC136" s="271"/>
      <c r="WND136" s="271"/>
      <c r="WNE136" s="271"/>
      <c r="WNF136" s="221"/>
      <c r="WNG136" s="221"/>
      <c r="WNH136" s="221"/>
      <c r="WNI136" s="258"/>
      <c r="WNJ136" s="270"/>
      <c r="WNK136" s="271"/>
      <c r="WNL136" s="271"/>
      <c r="WNM136" s="271"/>
      <c r="WNN136" s="221"/>
      <c r="WNO136" s="221"/>
      <c r="WNP136" s="221"/>
      <c r="WNQ136" s="258"/>
      <c r="WNR136" s="270"/>
      <c r="WNS136" s="271"/>
      <c r="WNT136" s="271"/>
      <c r="WNU136" s="271"/>
      <c r="WNV136" s="221"/>
      <c r="WNW136" s="221"/>
      <c r="WNX136" s="221"/>
      <c r="WNY136" s="258"/>
      <c r="WNZ136" s="270"/>
      <c r="WOA136" s="271"/>
      <c r="WOB136" s="271"/>
      <c r="WOC136" s="271"/>
      <c r="WOD136" s="221"/>
      <c r="WOE136" s="221"/>
      <c r="WOF136" s="221"/>
      <c r="WOG136" s="258"/>
      <c r="WOH136" s="270"/>
      <c r="WOI136" s="271"/>
      <c r="WOJ136" s="271"/>
      <c r="WOK136" s="271"/>
      <c r="WOL136" s="221"/>
      <c r="WOM136" s="221"/>
      <c r="WON136" s="221"/>
      <c r="WOO136" s="258"/>
      <c r="WOP136" s="270"/>
      <c r="WOQ136" s="271"/>
      <c r="WOR136" s="271"/>
      <c r="WOS136" s="271"/>
      <c r="WOT136" s="221"/>
      <c r="WOU136" s="221"/>
      <c r="WOV136" s="221"/>
      <c r="WOW136" s="258"/>
      <c r="WOX136" s="270"/>
      <c r="WOY136" s="271"/>
      <c r="WOZ136" s="271"/>
      <c r="WPA136" s="271"/>
      <c r="WPB136" s="221"/>
      <c r="WPC136" s="221"/>
      <c r="WPD136" s="221"/>
      <c r="WPE136" s="258"/>
      <c r="WPF136" s="270"/>
      <c r="WPG136" s="271"/>
      <c r="WPH136" s="271"/>
      <c r="WPI136" s="271"/>
      <c r="WPJ136" s="221"/>
      <c r="WPK136" s="221"/>
      <c r="WPL136" s="221"/>
      <c r="WPM136" s="258"/>
      <c r="WPN136" s="270"/>
      <c r="WPO136" s="271"/>
      <c r="WPP136" s="271"/>
      <c r="WPQ136" s="271"/>
      <c r="WPR136" s="221"/>
      <c r="WPS136" s="221"/>
      <c r="WPT136" s="221"/>
      <c r="WPU136" s="258"/>
      <c r="WPV136" s="270"/>
      <c r="WPW136" s="271"/>
      <c r="WPX136" s="271"/>
      <c r="WPY136" s="271"/>
      <c r="WPZ136" s="221"/>
      <c r="WQA136" s="221"/>
      <c r="WQB136" s="221"/>
      <c r="WQC136" s="258"/>
      <c r="WQD136" s="270"/>
      <c r="WQE136" s="271"/>
      <c r="WQF136" s="271"/>
      <c r="WQG136" s="271"/>
      <c r="WQH136" s="221"/>
      <c r="WQI136" s="221"/>
      <c r="WQJ136" s="221"/>
      <c r="WQK136" s="258"/>
      <c r="WQL136" s="270"/>
      <c r="WQM136" s="271"/>
      <c r="WQN136" s="271"/>
      <c r="WQO136" s="271"/>
      <c r="WQP136" s="221"/>
      <c r="WQQ136" s="221"/>
      <c r="WQR136" s="221"/>
      <c r="WQS136" s="258"/>
      <c r="WQT136" s="270"/>
      <c r="WQU136" s="271"/>
      <c r="WQV136" s="271"/>
      <c r="WQW136" s="271"/>
      <c r="WQX136" s="221"/>
      <c r="WQY136" s="221"/>
      <c r="WQZ136" s="221"/>
      <c r="WRA136" s="258"/>
      <c r="WRB136" s="270"/>
      <c r="WRC136" s="271"/>
      <c r="WRD136" s="271"/>
      <c r="WRE136" s="271"/>
      <c r="WRF136" s="221"/>
      <c r="WRG136" s="221"/>
      <c r="WRH136" s="221"/>
      <c r="WRI136" s="258"/>
      <c r="WRJ136" s="270"/>
      <c r="WRK136" s="271"/>
      <c r="WRL136" s="271"/>
      <c r="WRM136" s="271"/>
      <c r="WRN136" s="221"/>
      <c r="WRO136" s="221"/>
      <c r="WRP136" s="221"/>
      <c r="WRQ136" s="258"/>
      <c r="WRR136" s="270"/>
      <c r="WRS136" s="271"/>
      <c r="WRT136" s="271"/>
      <c r="WRU136" s="271"/>
      <c r="WRV136" s="221"/>
      <c r="WRW136" s="221"/>
      <c r="WRX136" s="221"/>
      <c r="WRY136" s="258"/>
      <c r="WRZ136" s="270"/>
      <c r="WSA136" s="271"/>
      <c r="WSB136" s="271"/>
      <c r="WSC136" s="271"/>
      <c r="WSD136" s="221"/>
      <c r="WSE136" s="221"/>
      <c r="WSF136" s="221"/>
      <c r="WSG136" s="258"/>
      <c r="WSH136" s="270"/>
      <c r="WSI136" s="271"/>
      <c r="WSJ136" s="271"/>
      <c r="WSK136" s="271"/>
      <c r="WSL136" s="221"/>
      <c r="WSM136" s="221"/>
      <c r="WSN136" s="221"/>
      <c r="WSO136" s="258"/>
      <c r="WSP136" s="270"/>
      <c r="WSQ136" s="271"/>
      <c r="WSR136" s="271"/>
      <c r="WSS136" s="271"/>
      <c r="WST136" s="221"/>
      <c r="WSU136" s="221"/>
      <c r="WSV136" s="221"/>
      <c r="WSW136" s="258"/>
      <c r="WSX136" s="270"/>
      <c r="WSY136" s="271"/>
      <c r="WSZ136" s="271"/>
      <c r="WTA136" s="271"/>
      <c r="WTB136" s="221"/>
      <c r="WTC136" s="221"/>
      <c r="WTD136" s="221"/>
      <c r="WTE136" s="258"/>
      <c r="WTF136" s="270"/>
      <c r="WTG136" s="271"/>
      <c r="WTH136" s="271"/>
      <c r="WTI136" s="271"/>
      <c r="WTJ136" s="221"/>
      <c r="WTK136" s="221"/>
      <c r="WTL136" s="221"/>
      <c r="WTM136" s="258"/>
      <c r="WTN136" s="270"/>
      <c r="WTO136" s="271"/>
      <c r="WTP136" s="271"/>
      <c r="WTQ136" s="271"/>
      <c r="WTR136" s="221"/>
      <c r="WTS136" s="221"/>
      <c r="WTT136" s="221"/>
      <c r="WTU136" s="258"/>
      <c r="WTV136" s="270"/>
      <c r="WTW136" s="271"/>
      <c r="WTX136" s="271"/>
      <c r="WTY136" s="271"/>
      <c r="WTZ136" s="221"/>
      <c r="WUA136" s="221"/>
      <c r="WUB136" s="221"/>
      <c r="WUC136" s="258"/>
      <c r="WUD136" s="270"/>
      <c r="WUE136" s="271"/>
      <c r="WUF136" s="271"/>
      <c r="WUG136" s="271"/>
      <c r="WUH136" s="221"/>
      <c r="WUI136" s="221"/>
      <c r="WUJ136" s="221"/>
      <c r="WUK136" s="258"/>
      <c r="WUL136" s="270"/>
      <c r="WUM136" s="271"/>
      <c r="WUN136" s="271"/>
      <c r="WUO136" s="271"/>
      <c r="WUP136" s="221"/>
      <c r="WUQ136" s="221"/>
      <c r="WUR136" s="221"/>
      <c r="WUS136" s="258"/>
      <c r="WUT136" s="270"/>
      <c r="WUU136" s="271"/>
      <c r="WUV136" s="271"/>
      <c r="WUW136" s="271"/>
      <c r="WUX136" s="221"/>
      <c r="WUY136" s="221"/>
      <c r="WUZ136" s="221"/>
      <c r="WVA136" s="258"/>
      <c r="WVB136" s="270"/>
      <c r="WVC136" s="271"/>
      <c r="WVD136" s="271"/>
      <c r="WVE136" s="271"/>
      <c r="WVF136" s="221"/>
      <c r="WVG136" s="221"/>
      <c r="WVH136" s="221"/>
      <c r="WVI136" s="258"/>
      <c r="WVJ136" s="270"/>
      <c r="WVK136" s="271"/>
      <c r="WVL136" s="271"/>
      <c r="WVM136" s="271"/>
      <c r="WVN136" s="221"/>
      <c r="WVO136" s="221"/>
      <c r="WVP136" s="221"/>
      <c r="WVQ136" s="258"/>
      <c r="WVR136" s="270"/>
      <c r="WVS136" s="271"/>
      <c r="WVT136" s="271"/>
      <c r="WVU136" s="271"/>
      <c r="WVV136" s="221"/>
      <c r="WVW136" s="221"/>
      <c r="WVX136" s="221"/>
      <c r="WVY136" s="258"/>
      <c r="WVZ136" s="270"/>
      <c r="WWA136" s="271"/>
      <c r="WWB136" s="271"/>
      <c r="WWC136" s="271"/>
      <c r="WWD136" s="221"/>
      <c r="WWE136" s="221"/>
      <c r="WWF136" s="221"/>
      <c r="WWG136" s="258"/>
      <c r="WWH136" s="270"/>
      <c r="WWI136" s="271"/>
      <c r="WWJ136" s="271"/>
      <c r="WWK136" s="271"/>
      <c r="WWL136" s="221"/>
      <c r="WWM136" s="221"/>
      <c r="WWN136" s="221"/>
      <c r="WWO136" s="258"/>
      <c r="WWP136" s="270"/>
      <c r="WWQ136" s="271"/>
      <c r="WWR136" s="271"/>
      <c r="WWS136" s="271"/>
      <c r="WWT136" s="221"/>
      <c r="WWU136" s="221"/>
      <c r="WWV136" s="221"/>
      <c r="WWW136" s="258"/>
      <c r="WWX136" s="270"/>
      <c r="WWY136" s="271"/>
      <c r="WWZ136" s="271"/>
      <c r="WXA136" s="271"/>
      <c r="WXB136" s="221"/>
      <c r="WXC136" s="221"/>
      <c r="WXD136" s="221"/>
      <c r="WXE136" s="258"/>
      <c r="WXF136" s="270"/>
      <c r="WXG136" s="271"/>
      <c r="WXH136" s="271"/>
      <c r="WXI136" s="271"/>
      <c r="WXJ136" s="221"/>
      <c r="WXK136" s="221"/>
      <c r="WXL136" s="221"/>
      <c r="WXM136" s="258"/>
      <c r="WXN136" s="270"/>
      <c r="WXO136" s="271"/>
      <c r="WXP136" s="271"/>
      <c r="WXQ136" s="271"/>
      <c r="WXR136" s="221"/>
      <c r="WXS136" s="221"/>
      <c r="WXT136" s="221"/>
      <c r="WXU136" s="258"/>
      <c r="WXV136" s="270"/>
      <c r="WXW136" s="271"/>
      <c r="WXX136" s="271"/>
      <c r="WXY136" s="271"/>
      <c r="WXZ136" s="221"/>
      <c r="WYA136" s="221"/>
      <c r="WYB136" s="221"/>
      <c r="WYC136" s="258"/>
      <c r="WYD136" s="270"/>
      <c r="WYE136" s="271"/>
      <c r="WYF136" s="271"/>
      <c r="WYG136" s="271"/>
      <c r="WYH136" s="221"/>
      <c r="WYI136" s="221"/>
      <c r="WYJ136" s="221"/>
      <c r="WYK136" s="258"/>
      <c r="WYL136" s="270"/>
      <c r="WYM136" s="271"/>
      <c r="WYN136" s="271"/>
      <c r="WYO136" s="271"/>
      <c r="WYP136" s="221"/>
      <c r="WYQ136" s="221"/>
      <c r="WYR136" s="221"/>
      <c r="WYS136" s="258"/>
      <c r="WYT136" s="270"/>
      <c r="WYU136" s="271"/>
      <c r="WYV136" s="271"/>
      <c r="WYW136" s="271"/>
      <c r="WYX136" s="221"/>
      <c r="WYY136" s="221"/>
      <c r="WYZ136" s="221"/>
      <c r="WZA136" s="258"/>
      <c r="WZB136" s="270"/>
      <c r="WZC136" s="271"/>
      <c r="WZD136" s="271"/>
      <c r="WZE136" s="271"/>
      <c r="WZF136" s="221"/>
      <c r="WZG136" s="221"/>
      <c r="WZH136" s="221"/>
      <c r="WZI136" s="258"/>
      <c r="WZJ136" s="270"/>
      <c r="WZK136" s="271"/>
      <c r="WZL136" s="271"/>
      <c r="WZM136" s="271"/>
      <c r="WZN136" s="221"/>
      <c r="WZO136" s="221"/>
      <c r="WZP136" s="221"/>
      <c r="WZQ136" s="258"/>
      <c r="WZR136" s="270"/>
      <c r="WZS136" s="271"/>
      <c r="WZT136" s="271"/>
      <c r="WZU136" s="271"/>
      <c r="WZV136" s="221"/>
      <c r="WZW136" s="221"/>
      <c r="WZX136" s="221"/>
      <c r="WZY136" s="258"/>
      <c r="WZZ136" s="270"/>
      <c r="XAA136" s="271"/>
      <c r="XAB136" s="271"/>
      <c r="XAC136" s="271"/>
      <c r="XAD136" s="221"/>
      <c r="XAE136" s="221"/>
      <c r="XAF136" s="221"/>
      <c r="XAG136" s="258"/>
      <c r="XAH136" s="270"/>
      <c r="XAI136" s="271"/>
      <c r="XAJ136" s="271"/>
      <c r="XAK136" s="271"/>
      <c r="XAL136" s="221"/>
      <c r="XAM136" s="221"/>
      <c r="XAN136" s="221"/>
      <c r="XAO136" s="258"/>
      <c r="XAP136" s="270"/>
      <c r="XAQ136" s="271"/>
      <c r="XAR136" s="271"/>
      <c r="XAS136" s="271"/>
      <c r="XAT136" s="221"/>
      <c r="XAU136" s="221"/>
      <c r="XAV136" s="221"/>
      <c r="XAW136" s="258"/>
      <c r="XAX136" s="270"/>
      <c r="XAY136" s="271"/>
      <c r="XAZ136" s="271"/>
      <c r="XBA136" s="271"/>
      <c r="XBB136" s="221"/>
      <c r="XBC136" s="221"/>
      <c r="XBD136" s="221"/>
      <c r="XBE136" s="258"/>
      <c r="XBF136" s="270"/>
      <c r="XBG136" s="271"/>
      <c r="XBH136" s="271"/>
      <c r="XBI136" s="271"/>
      <c r="XBJ136" s="221"/>
      <c r="XBK136" s="221"/>
      <c r="XBL136" s="221"/>
      <c r="XBM136" s="258"/>
      <c r="XBN136" s="270"/>
      <c r="XBO136" s="271"/>
      <c r="XBP136" s="271"/>
      <c r="XBQ136" s="271"/>
      <c r="XBR136" s="221"/>
      <c r="XBS136" s="221"/>
      <c r="XBT136" s="221"/>
      <c r="XBU136" s="258"/>
      <c r="XBV136" s="270"/>
      <c r="XBW136" s="271"/>
      <c r="XBX136" s="271"/>
      <c r="XBY136" s="271"/>
      <c r="XBZ136" s="221"/>
      <c r="XCA136" s="221"/>
      <c r="XCB136" s="221"/>
      <c r="XCC136" s="258"/>
      <c r="XCD136" s="270"/>
      <c r="XCE136" s="271"/>
      <c r="XCF136" s="271"/>
      <c r="XCG136" s="271"/>
      <c r="XCH136" s="221"/>
      <c r="XCI136" s="221"/>
      <c r="XCJ136" s="221"/>
      <c r="XCK136" s="258"/>
      <c r="XCL136" s="270"/>
      <c r="XCM136" s="271"/>
      <c r="XCN136" s="271"/>
      <c r="XCO136" s="271"/>
      <c r="XCP136" s="221"/>
      <c r="XCQ136" s="221"/>
      <c r="XCR136" s="221"/>
      <c r="XCS136" s="258"/>
      <c r="XCT136" s="270"/>
      <c r="XCU136" s="271"/>
      <c r="XCV136" s="271"/>
      <c r="XCW136" s="271"/>
      <c r="XCX136" s="221"/>
      <c r="XCY136" s="221"/>
      <c r="XCZ136" s="221"/>
      <c r="XDA136" s="258"/>
      <c r="XDB136" s="270"/>
      <c r="XDC136" s="271"/>
      <c r="XDD136" s="271"/>
      <c r="XDE136" s="271"/>
      <c r="XDF136" s="221"/>
      <c r="XDG136" s="221"/>
      <c r="XDH136" s="221"/>
      <c r="XDI136" s="258"/>
      <c r="XDJ136" s="270"/>
      <c r="XDK136" s="271"/>
      <c r="XDL136" s="271"/>
      <c r="XDM136" s="271"/>
      <c r="XDN136" s="221"/>
      <c r="XDO136" s="221"/>
      <c r="XDP136" s="221"/>
      <c r="XDQ136" s="258"/>
      <c r="XDR136" s="270"/>
      <c r="XDS136" s="271"/>
      <c r="XDT136" s="271"/>
      <c r="XDU136" s="271"/>
      <c r="XDV136" s="221"/>
      <c r="XDW136" s="221"/>
      <c r="XDX136" s="221"/>
      <c r="XDY136" s="258"/>
      <c r="XDZ136" s="270"/>
      <c r="XEA136" s="271"/>
      <c r="XEB136" s="271"/>
      <c r="XEC136" s="271"/>
      <c r="XED136" s="221"/>
      <c r="XEE136" s="221"/>
      <c r="XEF136" s="221"/>
      <c r="XEG136" s="258"/>
      <c r="XEH136" s="270"/>
      <c r="XEI136" s="271"/>
      <c r="XEJ136" s="271"/>
      <c r="XEK136" s="271"/>
      <c r="XEL136" s="221"/>
      <c r="XEM136" s="221"/>
      <c r="XEN136" s="221"/>
      <c r="XEO136" s="258"/>
      <c r="XEP136" s="270"/>
      <c r="XEQ136" s="271"/>
      <c r="XER136" s="271"/>
      <c r="XES136" s="271"/>
      <c r="XET136" s="221"/>
      <c r="XEU136" s="221"/>
      <c r="XEV136" s="221"/>
      <c r="XEW136" s="258"/>
      <c r="XEX136" s="270"/>
      <c r="XEY136" s="271"/>
      <c r="XEZ136" s="271"/>
      <c r="XFA136" s="271"/>
      <c r="XFB136" s="221"/>
      <c r="XFC136" s="221"/>
      <c r="XFD136" s="221"/>
    </row>
    <row r="137" spans="1:16384" s="261" customFormat="1" x14ac:dyDescent="0.15">
      <c r="A137" s="262" t="s">
        <v>123</v>
      </c>
      <c r="B137" s="43">
        <f ca="1">IF($C137="","",[1]!BTSP(B$2,$C137))</f>
        <v>1327.9</v>
      </c>
      <c r="C137" s="46">
        <f ca="1">IF($C137="","",[1]!BTSP(C$2,$C137))</f>
        <v>899.1</v>
      </c>
      <c r="D137" s="46">
        <f ca="1">IF($C137="","",[1]!BTSP(D$2,$C137))</f>
        <v>882.3</v>
      </c>
      <c r="E137" s="46">
        <f ca="1">IF($C137="","",[1]!BTSP(E$2,$C137))</f>
        <v>16.7</v>
      </c>
      <c r="F137" s="25">
        <f ca="1">IF($C137="","",[1]!BTSP(F$2,$C137))</f>
        <v>67.7</v>
      </c>
      <c r="G137" s="25">
        <f ca="1">IF($C137="","",[1]!BTSP(G$2,$C137))</f>
        <v>66.400000000000006</v>
      </c>
      <c r="H137" s="25">
        <f ca="1">IF($C137="","",[1]!BTSP(H$2,$C137))</f>
        <v>1.9</v>
      </c>
      <c r="I137" s="258"/>
      <c r="J137" s="270"/>
      <c r="K137" s="271"/>
      <c r="L137" s="271"/>
      <c r="M137" s="271"/>
      <c r="N137" s="221"/>
      <c r="O137" s="221"/>
      <c r="P137" s="221"/>
      <c r="Q137" s="258"/>
      <c r="R137" s="270"/>
      <c r="S137" s="271"/>
      <c r="T137" s="271"/>
      <c r="U137" s="271"/>
      <c r="V137" s="221"/>
      <c r="W137" s="221"/>
      <c r="X137" s="221"/>
      <c r="Y137" s="258"/>
      <c r="Z137" s="270"/>
      <c r="AA137" s="271"/>
      <c r="AB137" s="271"/>
      <c r="AC137" s="271"/>
      <c r="AD137" s="221"/>
      <c r="AE137" s="221"/>
      <c r="AF137" s="221"/>
      <c r="AG137" s="258"/>
      <c r="AH137" s="270"/>
      <c r="AI137" s="271"/>
      <c r="AJ137" s="271"/>
      <c r="AK137" s="271"/>
      <c r="AL137" s="221"/>
      <c r="AM137" s="221"/>
      <c r="AN137" s="221"/>
      <c r="AO137" s="258"/>
      <c r="AP137" s="270"/>
      <c r="AQ137" s="271"/>
      <c r="AR137" s="271"/>
      <c r="AS137" s="271"/>
      <c r="AT137" s="221"/>
      <c r="AU137" s="221"/>
      <c r="AV137" s="221"/>
      <c r="AW137" s="258"/>
      <c r="AX137" s="270"/>
      <c r="AY137" s="271"/>
      <c r="AZ137" s="271"/>
      <c r="BA137" s="271"/>
      <c r="BB137" s="221"/>
      <c r="BC137" s="221"/>
      <c r="BD137" s="221"/>
      <c r="BE137" s="258"/>
      <c r="BF137" s="270"/>
      <c r="BG137" s="271"/>
      <c r="BH137" s="271"/>
      <c r="BI137" s="271"/>
      <c r="BJ137" s="221"/>
      <c r="BK137" s="221"/>
      <c r="BL137" s="221"/>
      <c r="BM137" s="258"/>
      <c r="BN137" s="270"/>
      <c r="BO137" s="271"/>
      <c r="BP137" s="271"/>
      <c r="BQ137" s="271"/>
      <c r="BR137" s="221"/>
      <c r="BS137" s="221"/>
      <c r="BT137" s="221"/>
      <c r="BU137" s="258"/>
      <c r="BV137" s="270"/>
      <c r="BW137" s="271"/>
      <c r="BX137" s="271"/>
      <c r="BY137" s="271"/>
      <c r="BZ137" s="221"/>
      <c r="CA137" s="221"/>
      <c r="CB137" s="221"/>
      <c r="CC137" s="258"/>
      <c r="CD137" s="270"/>
      <c r="CE137" s="271"/>
      <c r="CF137" s="271"/>
      <c r="CG137" s="271"/>
      <c r="CH137" s="221"/>
      <c r="CI137" s="221"/>
      <c r="CJ137" s="221"/>
      <c r="CK137" s="258"/>
      <c r="CL137" s="270"/>
      <c r="CM137" s="271"/>
      <c r="CN137" s="271"/>
      <c r="CO137" s="271"/>
      <c r="CP137" s="221"/>
      <c r="CQ137" s="221"/>
      <c r="CR137" s="221"/>
      <c r="CS137" s="258"/>
      <c r="CT137" s="270"/>
      <c r="CU137" s="271"/>
      <c r="CV137" s="271"/>
      <c r="CW137" s="271"/>
      <c r="CX137" s="221"/>
      <c r="CY137" s="221"/>
      <c r="CZ137" s="221"/>
      <c r="DA137" s="258"/>
      <c r="DB137" s="270"/>
      <c r="DC137" s="271"/>
      <c r="DD137" s="271"/>
      <c r="DE137" s="271"/>
      <c r="DF137" s="221"/>
      <c r="DG137" s="221"/>
      <c r="DH137" s="221"/>
      <c r="DI137" s="258"/>
      <c r="DJ137" s="270"/>
      <c r="DK137" s="271"/>
      <c r="DL137" s="271"/>
      <c r="DM137" s="271"/>
      <c r="DN137" s="221"/>
      <c r="DO137" s="221"/>
      <c r="DP137" s="221"/>
      <c r="DQ137" s="258"/>
      <c r="DR137" s="270"/>
      <c r="DS137" s="271"/>
      <c r="DT137" s="271"/>
      <c r="DU137" s="271"/>
      <c r="DV137" s="221"/>
      <c r="DW137" s="221"/>
      <c r="DX137" s="221"/>
      <c r="DY137" s="258"/>
      <c r="DZ137" s="270"/>
      <c r="EA137" s="271"/>
      <c r="EB137" s="271"/>
      <c r="EC137" s="271"/>
      <c r="ED137" s="221"/>
      <c r="EE137" s="221"/>
      <c r="EF137" s="221"/>
      <c r="EG137" s="258"/>
      <c r="EH137" s="270"/>
      <c r="EI137" s="271"/>
      <c r="EJ137" s="271"/>
      <c r="EK137" s="271"/>
      <c r="EL137" s="221"/>
      <c r="EM137" s="221"/>
      <c r="EN137" s="221"/>
      <c r="EO137" s="258"/>
      <c r="EP137" s="270"/>
      <c r="EQ137" s="271"/>
      <c r="ER137" s="271"/>
      <c r="ES137" s="271"/>
      <c r="ET137" s="221"/>
      <c r="EU137" s="221"/>
      <c r="EV137" s="221"/>
      <c r="EW137" s="258"/>
      <c r="EX137" s="270"/>
      <c r="EY137" s="271"/>
      <c r="EZ137" s="271"/>
      <c r="FA137" s="271"/>
      <c r="FB137" s="221"/>
      <c r="FC137" s="221"/>
      <c r="FD137" s="221"/>
      <c r="FE137" s="258"/>
      <c r="FF137" s="270"/>
      <c r="FG137" s="271"/>
      <c r="FH137" s="271"/>
      <c r="FI137" s="271"/>
      <c r="FJ137" s="221"/>
      <c r="FK137" s="221"/>
      <c r="FL137" s="221"/>
      <c r="FM137" s="258"/>
      <c r="FN137" s="270"/>
      <c r="FO137" s="271"/>
      <c r="FP137" s="271"/>
      <c r="FQ137" s="271"/>
      <c r="FR137" s="221"/>
      <c r="FS137" s="221"/>
      <c r="FT137" s="221"/>
      <c r="FU137" s="258"/>
      <c r="FV137" s="270"/>
      <c r="FW137" s="271"/>
      <c r="FX137" s="271"/>
      <c r="FY137" s="271"/>
      <c r="FZ137" s="221"/>
      <c r="GA137" s="221"/>
      <c r="GB137" s="221"/>
      <c r="GC137" s="258"/>
      <c r="GD137" s="270"/>
      <c r="GE137" s="271"/>
      <c r="GF137" s="271"/>
      <c r="GG137" s="271"/>
      <c r="GH137" s="221"/>
      <c r="GI137" s="221"/>
      <c r="GJ137" s="221"/>
      <c r="GK137" s="258"/>
      <c r="GL137" s="270"/>
      <c r="GM137" s="271"/>
      <c r="GN137" s="271"/>
      <c r="GO137" s="271"/>
      <c r="GP137" s="221"/>
      <c r="GQ137" s="221"/>
      <c r="GR137" s="221"/>
      <c r="GS137" s="258"/>
      <c r="GT137" s="270"/>
      <c r="GU137" s="271"/>
      <c r="GV137" s="271"/>
      <c r="GW137" s="271"/>
      <c r="GX137" s="221"/>
      <c r="GY137" s="221"/>
      <c r="GZ137" s="221"/>
      <c r="HA137" s="258"/>
      <c r="HB137" s="270"/>
      <c r="HC137" s="271"/>
      <c r="HD137" s="271"/>
      <c r="HE137" s="271"/>
      <c r="HF137" s="221"/>
      <c r="HG137" s="221"/>
      <c r="HH137" s="221"/>
      <c r="HI137" s="258"/>
      <c r="HJ137" s="270"/>
      <c r="HK137" s="271"/>
      <c r="HL137" s="271"/>
      <c r="HM137" s="271"/>
      <c r="HN137" s="221"/>
      <c r="HO137" s="221"/>
      <c r="HP137" s="221"/>
      <c r="HQ137" s="258"/>
      <c r="HR137" s="270"/>
      <c r="HS137" s="271"/>
      <c r="HT137" s="271"/>
      <c r="HU137" s="271"/>
      <c r="HV137" s="221"/>
      <c r="HW137" s="221"/>
      <c r="HX137" s="221"/>
      <c r="HY137" s="258"/>
      <c r="HZ137" s="270"/>
      <c r="IA137" s="271"/>
      <c r="IB137" s="271"/>
      <c r="IC137" s="271"/>
      <c r="ID137" s="221"/>
      <c r="IE137" s="221"/>
      <c r="IF137" s="221"/>
      <c r="IG137" s="258"/>
      <c r="IH137" s="270"/>
      <c r="II137" s="271"/>
      <c r="IJ137" s="271"/>
      <c r="IK137" s="271"/>
      <c r="IL137" s="221"/>
      <c r="IM137" s="221"/>
      <c r="IN137" s="221"/>
      <c r="IO137" s="258"/>
      <c r="IP137" s="270"/>
      <c r="IQ137" s="271"/>
      <c r="IR137" s="271"/>
      <c r="IS137" s="271"/>
      <c r="IT137" s="221"/>
      <c r="IU137" s="221"/>
      <c r="IV137" s="221"/>
      <c r="IW137" s="258"/>
      <c r="IX137" s="270"/>
      <c r="IY137" s="271"/>
      <c r="IZ137" s="271"/>
      <c r="JA137" s="271"/>
      <c r="JB137" s="221"/>
      <c r="JC137" s="221"/>
      <c r="JD137" s="221"/>
      <c r="JE137" s="258"/>
      <c r="JF137" s="270"/>
      <c r="JG137" s="271"/>
      <c r="JH137" s="271"/>
      <c r="JI137" s="271"/>
      <c r="JJ137" s="221"/>
      <c r="JK137" s="221"/>
      <c r="JL137" s="221"/>
      <c r="JM137" s="258"/>
      <c r="JN137" s="270"/>
      <c r="JO137" s="271"/>
      <c r="JP137" s="271"/>
      <c r="JQ137" s="271"/>
      <c r="JR137" s="221"/>
      <c r="JS137" s="221"/>
      <c r="JT137" s="221"/>
      <c r="JU137" s="258"/>
      <c r="JV137" s="270"/>
      <c r="JW137" s="271"/>
      <c r="JX137" s="271"/>
      <c r="JY137" s="271"/>
      <c r="JZ137" s="221"/>
      <c r="KA137" s="221"/>
      <c r="KB137" s="221"/>
      <c r="KC137" s="258"/>
      <c r="KD137" s="270"/>
      <c r="KE137" s="271"/>
      <c r="KF137" s="271"/>
      <c r="KG137" s="271"/>
      <c r="KH137" s="221"/>
      <c r="KI137" s="221"/>
      <c r="KJ137" s="221"/>
      <c r="KK137" s="258"/>
      <c r="KL137" s="270"/>
      <c r="KM137" s="271"/>
      <c r="KN137" s="271"/>
      <c r="KO137" s="271"/>
      <c r="KP137" s="221"/>
      <c r="KQ137" s="221"/>
      <c r="KR137" s="221"/>
      <c r="KS137" s="258"/>
      <c r="KT137" s="270"/>
      <c r="KU137" s="271"/>
      <c r="KV137" s="271"/>
      <c r="KW137" s="271"/>
      <c r="KX137" s="221"/>
      <c r="KY137" s="221"/>
      <c r="KZ137" s="221"/>
      <c r="LA137" s="258"/>
      <c r="LB137" s="270"/>
      <c r="LC137" s="271"/>
      <c r="LD137" s="271"/>
      <c r="LE137" s="271"/>
      <c r="LF137" s="221"/>
      <c r="LG137" s="221"/>
      <c r="LH137" s="221"/>
      <c r="LI137" s="258"/>
      <c r="LJ137" s="270"/>
      <c r="LK137" s="271"/>
      <c r="LL137" s="271"/>
      <c r="LM137" s="271"/>
      <c r="LN137" s="221"/>
      <c r="LO137" s="221"/>
      <c r="LP137" s="221"/>
      <c r="LQ137" s="258"/>
      <c r="LR137" s="270"/>
      <c r="LS137" s="271"/>
      <c r="LT137" s="271"/>
      <c r="LU137" s="271"/>
      <c r="LV137" s="221"/>
      <c r="LW137" s="221"/>
      <c r="LX137" s="221"/>
      <c r="LY137" s="258"/>
      <c r="LZ137" s="270"/>
      <c r="MA137" s="271"/>
      <c r="MB137" s="271"/>
      <c r="MC137" s="271"/>
      <c r="MD137" s="221"/>
      <c r="ME137" s="221"/>
      <c r="MF137" s="221"/>
      <c r="MG137" s="258"/>
      <c r="MH137" s="270"/>
      <c r="MI137" s="271"/>
      <c r="MJ137" s="271"/>
      <c r="MK137" s="271"/>
      <c r="ML137" s="221"/>
      <c r="MM137" s="221"/>
      <c r="MN137" s="221"/>
      <c r="MO137" s="258"/>
      <c r="MP137" s="270"/>
      <c r="MQ137" s="271"/>
      <c r="MR137" s="271"/>
      <c r="MS137" s="271"/>
      <c r="MT137" s="221"/>
      <c r="MU137" s="221"/>
      <c r="MV137" s="221"/>
      <c r="MW137" s="258"/>
      <c r="MX137" s="270"/>
      <c r="MY137" s="271"/>
      <c r="MZ137" s="271"/>
      <c r="NA137" s="271"/>
      <c r="NB137" s="221"/>
      <c r="NC137" s="221"/>
      <c r="ND137" s="221"/>
      <c r="NE137" s="258"/>
      <c r="NF137" s="270"/>
      <c r="NG137" s="271"/>
      <c r="NH137" s="271"/>
      <c r="NI137" s="271"/>
      <c r="NJ137" s="221"/>
      <c r="NK137" s="221"/>
      <c r="NL137" s="221"/>
      <c r="NM137" s="258"/>
      <c r="NN137" s="270"/>
      <c r="NO137" s="271"/>
      <c r="NP137" s="271"/>
      <c r="NQ137" s="271"/>
      <c r="NR137" s="221"/>
      <c r="NS137" s="221"/>
      <c r="NT137" s="221"/>
      <c r="NU137" s="258"/>
      <c r="NV137" s="270"/>
      <c r="NW137" s="271"/>
      <c r="NX137" s="271"/>
      <c r="NY137" s="271"/>
      <c r="NZ137" s="221"/>
      <c r="OA137" s="221"/>
      <c r="OB137" s="221"/>
      <c r="OC137" s="258"/>
      <c r="OD137" s="270"/>
      <c r="OE137" s="271"/>
      <c r="OF137" s="271"/>
      <c r="OG137" s="271"/>
      <c r="OH137" s="221"/>
      <c r="OI137" s="221"/>
      <c r="OJ137" s="221"/>
      <c r="OK137" s="258"/>
      <c r="OL137" s="270"/>
      <c r="OM137" s="271"/>
      <c r="ON137" s="271"/>
      <c r="OO137" s="271"/>
      <c r="OP137" s="221"/>
      <c r="OQ137" s="221"/>
      <c r="OR137" s="221"/>
      <c r="OS137" s="258"/>
      <c r="OT137" s="270"/>
      <c r="OU137" s="271"/>
      <c r="OV137" s="271"/>
      <c r="OW137" s="271"/>
      <c r="OX137" s="221"/>
      <c r="OY137" s="221"/>
      <c r="OZ137" s="221"/>
      <c r="PA137" s="258"/>
      <c r="PB137" s="270"/>
      <c r="PC137" s="271"/>
      <c r="PD137" s="271"/>
      <c r="PE137" s="271"/>
      <c r="PF137" s="221"/>
      <c r="PG137" s="221"/>
      <c r="PH137" s="221"/>
      <c r="PI137" s="258"/>
      <c r="PJ137" s="270"/>
      <c r="PK137" s="271"/>
      <c r="PL137" s="271"/>
      <c r="PM137" s="271"/>
      <c r="PN137" s="221"/>
      <c r="PO137" s="221"/>
      <c r="PP137" s="221"/>
      <c r="PQ137" s="258"/>
      <c r="PR137" s="270"/>
      <c r="PS137" s="271"/>
      <c r="PT137" s="271"/>
      <c r="PU137" s="271"/>
      <c r="PV137" s="221"/>
      <c r="PW137" s="221"/>
      <c r="PX137" s="221"/>
      <c r="PY137" s="258"/>
      <c r="PZ137" s="270"/>
      <c r="QA137" s="271"/>
      <c r="QB137" s="271"/>
      <c r="QC137" s="271"/>
      <c r="QD137" s="221"/>
      <c r="QE137" s="221"/>
      <c r="QF137" s="221"/>
      <c r="QG137" s="258"/>
      <c r="QH137" s="270"/>
      <c r="QI137" s="271"/>
      <c r="QJ137" s="271"/>
      <c r="QK137" s="271"/>
      <c r="QL137" s="221"/>
      <c r="QM137" s="221"/>
      <c r="QN137" s="221"/>
      <c r="QO137" s="258"/>
      <c r="QP137" s="270"/>
      <c r="QQ137" s="271"/>
      <c r="QR137" s="271"/>
      <c r="QS137" s="271"/>
      <c r="QT137" s="221"/>
      <c r="QU137" s="221"/>
      <c r="QV137" s="221"/>
      <c r="QW137" s="258"/>
      <c r="QX137" s="270"/>
      <c r="QY137" s="271"/>
      <c r="QZ137" s="271"/>
      <c r="RA137" s="271"/>
      <c r="RB137" s="221"/>
      <c r="RC137" s="221"/>
      <c r="RD137" s="221"/>
      <c r="RE137" s="258"/>
      <c r="RF137" s="270"/>
      <c r="RG137" s="271"/>
      <c r="RH137" s="271"/>
      <c r="RI137" s="271"/>
      <c r="RJ137" s="221"/>
      <c r="RK137" s="221"/>
      <c r="RL137" s="221"/>
      <c r="RM137" s="258"/>
      <c r="RN137" s="270"/>
      <c r="RO137" s="271"/>
      <c r="RP137" s="271"/>
      <c r="RQ137" s="271"/>
      <c r="RR137" s="221"/>
      <c r="RS137" s="221"/>
      <c r="RT137" s="221"/>
      <c r="RU137" s="258"/>
      <c r="RV137" s="270"/>
      <c r="RW137" s="271"/>
      <c r="RX137" s="271"/>
      <c r="RY137" s="271"/>
      <c r="RZ137" s="221"/>
      <c r="SA137" s="221"/>
      <c r="SB137" s="221"/>
      <c r="SC137" s="258"/>
      <c r="SD137" s="270"/>
      <c r="SE137" s="271"/>
      <c r="SF137" s="271"/>
      <c r="SG137" s="271"/>
      <c r="SH137" s="221"/>
      <c r="SI137" s="221"/>
      <c r="SJ137" s="221"/>
      <c r="SK137" s="258"/>
      <c r="SL137" s="270"/>
      <c r="SM137" s="271"/>
      <c r="SN137" s="271"/>
      <c r="SO137" s="271"/>
      <c r="SP137" s="221"/>
      <c r="SQ137" s="221"/>
      <c r="SR137" s="221"/>
      <c r="SS137" s="258"/>
      <c r="ST137" s="270"/>
      <c r="SU137" s="271"/>
      <c r="SV137" s="271"/>
      <c r="SW137" s="271"/>
      <c r="SX137" s="221"/>
      <c r="SY137" s="221"/>
      <c r="SZ137" s="221"/>
      <c r="TA137" s="258"/>
      <c r="TB137" s="270"/>
      <c r="TC137" s="271"/>
      <c r="TD137" s="271"/>
      <c r="TE137" s="271"/>
      <c r="TF137" s="221"/>
      <c r="TG137" s="221"/>
      <c r="TH137" s="221"/>
      <c r="TI137" s="258"/>
      <c r="TJ137" s="270"/>
      <c r="TK137" s="271"/>
      <c r="TL137" s="271"/>
      <c r="TM137" s="271"/>
      <c r="TN137" s="221"/>
      <c r="TO137" s="221"/>
      <c r="TP137" s="221"/>
      <c r="TQ137" s="258"/>
      <c r="TR137" s="270"/>
      <c r="TS137" s="271"/>
      <c r="TT137" s="271"/>
      <c r="TU137" s="271"/>
      <c r="TV137" s="221"/>
      <c r="TW137" s="221"/>
      <c r="TX137" s="221"/>
      <c r="TY137" s="258"/>
      <c r="TZ137" s="270"/>
      <c r="UA137" s="271"/>
      <c r="UB137" s="271"/>
      <c r="UC137" s="271"/>
      <c r="UD137" s="221"/>
      <c r="UE137" s="221"/>
      <c r="UF137" s="221"/>
      <c r="UG137" s="258"/>
      <c r="UH137" s="270"/>
      <c r="UI137" s="271"/>
      <c r="UJ137" s="271"/>
      <c r="UK137" s="271"/>
      <c r="UL137" s="221"/>
      <c r="UM137" s="221"/>
      <c r="UN137" s="221"/>
      <c r="UO137" s="258"/>
      <c r="UP137" s="270"/>
      <c r="UQ137" s="271"/>
      <c r="UR137" s="271"/>
      <c r="US137" s="271"/>
      <c r="UT137" s="221"/>
      <c r="UU137" s="221"/>
      <c r="UV137" s="221"/>
      <c r="UW137" s="258"/>
      <c r="UX137" s="270"/>
      <c r="UY137" s="271"/>
      <c r="UZ137" s="271"/>
      <c r="VA137" s="271"/>
      <c r="VB137" s="221"/>
      <c r="VC137" s="221"/>
      <c r="VD137" s="221"/>
      <c r="VE137" s="258"/>
      <c r="VF137" s="270"/>
      <c r="VG137" s="271"/>
      <c r="VH137" s="271"/>
      <c r="VI137" s="271"/>
      <c r="VJ137" s="221"/>
      <c r="VK137" s="221"/>
      <c r="VL137" s="221"/>
      <c r="VM137" s="258"/>
      <c r="VN137" s="270"/>
      <c r="VO137" s="271"/>
      <c r="VP137" s="271"/>
      <c r="VQ137" s="271"/>
      <c r="VR137" s="221"/>
      <c r="VS137" s="221"/>
      <c r="VT137" s="221"/>
      <c r="VU137" s="258"/>
      <c r="VV137" s="270"/>
      <c r="VW137" s="271"/>
      <c r="VX137" s="271"/>
      <c r="VY137" s="271"/>
      <c r="VZ137" s="221"/>
      <c r="WA137" s="221"/>
      <c r="WB137" s="221"/>
      <c r="WC137" s="258"/>
      <c r="WD137" s="270"/>
      <c r="WE137" s="271"/>
      <c r="WF137" s="271"/>
      <c r="WG137" s="271"/>
      <c r="WH137" s="221"/>
      <c r="WI137" s="221"/>
      <c r="WJ137" s="221"/>
      <c r="WK137" s="258"/>
      <c r="WL137" s="270"/>
      <c r="WM137" s="271"/>
      <c r="WN137" s="271"/>
      <c r="WO137" s="271"/>
      <c r="WP137" s="221"/>
      <c r="WQ137" s="221"/>
      <c r="WR137" s="221"/>
      <c r="WS137" s="258"/>
      <c r="WT137" s="270"/>
      <c r="WU137" s="271"/>
      <c r="WV137" s="271"/>
      <c r="WW137" s="271"/>
      <c r="WX137" s="221"/>
      <c r="WY137" s="221"/>
      <c r="WZ137" s="221"/>
      <c r="XA137" s="258"/>
      <c r="XB137" s="270"/>
      <c r="XC137" s="271"/>
      <c r="XD137" s="271"/>
      <c r="XE137" s="271"/>
      <c r="XF137" s="221"/>
      <c r="XG137" s="221"/>
      <c r="XH137" s="221"/>
      <c r="XI137" s="258"/>
      <c r="XJ137" s="270"/>
      <c r="XK137" s="271"/>
      <c r="XL137" s="271"/>
      <c r="XM137" s="271"/>
      <c r="XN137" s="221"/>
      <c r="XO137" s="221"/>
      <c r="XP137" s="221"/>
      <c r="XQ137" s="258"/>
      <c r="XR137" s="270"/>
      <c r="XS137" s="271"/>
      <c r="XT137" s="271"/>
      <c r="XU137" s="271"/>
      <c r="XV137" s="221"/>
      <c r="XW137" s="221"/>
      <c r="XX137" s="221"/>
      <c r="XY137" s="258"/>
      <c r="XZ137" s="270"/>
      <c r="YA137" s="271"/>
      <c r="YB137" s="271"/>
      <c r="YC137" s="271"/>
      <c r="YD137" s="221"/>
      <c r="YE137" s="221"/>
      <c r="YF137" s="221"/>
      <c r="YG137" s="258"/>
      <c r="YH137" s="270"/>
      <c r="YI137" s="271"/>
      <c r="YJ137" s="271"/>
      <c r="YK137" s="271"/>
      <c r="YL137" s="221"/>
      <c r="YM137" s="221"/>
      <c r="YN137" s="221"/>
      <c r="YO137" s="258"/>
      <c r="YP137" s="270"/>
      <c r="YQ137" s="271"/>
      <c r="YR137" s="271"/>
      <c r="YS137" s="271"/>
      <c r="YT137" s="221"/>
      <c r="YU137" s="221"/>
      <c r="YV137" s="221"/>
      <c r="YW137" s="258"/>
      <c r="YX137" s="270"/>
      <c r="YY137" s="271"/>
      <c r="YZ137" s="271"/>
      <c r="ZA137" s="271"/>
      <c r="ZB137" s="221"/>
      <c r="ZC137" s="221"/>
      <c r="ZD137" s="221"/>
      <c r="ZE137" s="258"/>
      <c r="ZF137" s="270"/>
      <c r="ZG137" s="271"/>
      <c r="ZH137" s="271"/>
      <c r="ZI137" s="271"/>
      <c r="ZJ137" s="221"/>
      <c r="ZK137" s="221"/>
      <c r="ZL137" s="221"/>
      <c r="ZM137" s="258"/>
      <c r="ZN137" s="270"/>
      <c r="ZO137" s="271"/>
      <c r="ZP137" s="271"/>
      <c r="ZQ137" s="271"/>
      <c r="ZR137" s="221"/>
      <c r="ZS137" s="221"/>
      <c r="ZT137" s="221"/>
      <c r="ZU137" s="258"/>
      <c r="ZV137" s="270"/>
      <c r="ZW137" s="271"/>
      <c r="ZX137" s="271"/>
      <c r="ZY137" s="271"/>
      <c r="ZZ137" s="221"/>
      <c r="AAA137" s="221"/>
      <c r="AAB137" s="221"/>
      <c r="AAC137" s="258"/>
      <c r="AAD137" s="270"/>
      <c r="AAE137" s="271"/>
      <c r="AAF137" s="271"/>
      <c r="AAG137" s="271"/>
      <c r="AAH137" s="221"/>
      <c r="AAI137" s="221"/>
      <c r="AAJ137" s="221"/>
      <c r="AAK137" s="258"/>
      <c r="AAL137" s="270"/>
      <c r="AAM137" s="271"/>
      <c r="AAN137" s="271"/>
      <c r="AAO137" s="271"/>
      <c r="AAP137" s="221"/>
      <c r="AAQ137" s="221"/>
      <c r="AAR137" s="221"/>
      <c r="AAS137" s="258"/>
      <c r="AAT137" s="270"/>
      <c r="AAU137" s="271"/>
      <c r="AAV137" s="271"/>
      <c r="AAW137" s="271"/>
      <c r="AAX137" s="221"/>
      <c r="AAY137" s="221"/>
      <c r="AAZ137" s="221"/>
      <c r="ABA137" s="258"/>
      <c r="ABB137" s="270"/>
      <c r="ABC137" s="271"/>
      <c r="ABD137" s="271"/>
      <c r="ABE137" s="271"/>
      <c r="ABF137" s="221"/>
      <c r="ABG137" s="221"/>
      <c r="ABH137" s="221"/>
      <c r="ABI137" s="258"/>
      <c r="ABJ137" s="270"/>
      <c r="ABK137" s="271"/>
      <c r="ABL137" s="271"/>
      <c r="ABM137" s="271"/>
      <c r="ABN137" s="221"/>
      <c r="ABO137" s="221"/>
      <c r="ABP137" s="221"/>
      <c r="ABQ137" s="258"/>
      <c r="ABR137" s="270"/>
      <c r="ABS137" s="271"/>
      <c r="ABT137" s="271"/>
      <c r="ABU137" s="271"/>
      <c r="ABV137" s="221"/>
      <c r="ABW137" s="221"/>
      <c r="ABX137" s="221"/>
      <c r="ABY137" s="258"/>
      <c r="ABZ137" s="270"/>
      <c r="ACA137" s="271"/>
      <c r="ACB137" s="271"/>
      <c r="ACC137" s="271"/>
      <c r="ACD137" s="221"/>
      <c r="ACE137" s="221"/>
      <c r="ACF137" s="221"/>
      <c r="ACG137" s="258"/>
      <c r="ACH137" s="270"/>
      <c r="ACI137" s="271"/>
      <c r="ACJ137" s="271"/>
      <c r="ACK137" s="271"/>
      <c r="ACL137" s="221"/>
      <c r="ACM137" s="221"/>
      <c r="ACN137" s="221"/>
      <c r="ACO137" s="258"/>
      <c r="ACP137" s="270"/>
      <c r="ACQ137" s="271"/>
      <c r="ACR137" s="271"/>
      <c r="ACS137" s="271"/>
      <c r="ACT137" s="221"/>
      <c r="ACU137" s="221"/>
      <c r="ACV137" s="221"/>
      <c r="ACW137" s="258"/>
      <c r="ACX137" s="270"/>
      <c r="ACY137" s="271"/>
      <c r="ACZ137" s="271"/>
      <c r="ADA137" s="271"/>
      <c r="ADB137" s="221"/>
      <c r="ADC137" s="221"/>
      <c r="ADD137" s="221"/>
      <c r="ADE137" s="258"/>
      <c r="ADF137" s="270"/>
      <c r="ADG137" s="271"/>
      <c r="ADH137" s="271"/>
      <c r="ADI137" s="271"/>
      <c r="ADJ137" s="221"/>
      <c r="ADK137" s="221"/>
      <c r="ADL137" s="221"/>
      <c r="ADM137" s="258"/>
      <c r="ADN137" s="270"/>
      <c r="ADO137" s="271"/>
      <c r="ADP137" s="271"/>
      <c r="ADQ137" s="271"/>
      <c r="ADR137" s="221"/>
      <c r="ADS137" s="221"/>
      <c r="ADT137" s="221"/>
      <c r="ADU137" s="258"/>
      <c r="ADV137" s="270"/>
      <c r="ADW137" s="271"/>
      <c r="ADX137" s="271"/>
      <c r="ADY137" s="271"/>
      <c r="ADZ137" s="221"/>
      <c r="AEA137" s="221"/>
      <c r="AEB137" s="221"/>
      <c r="AEC137" s="258"/>
      <c r="AED137" s="270"/>
      <c r="AEE137" s="271"/>
      <c r="AEF137" s="271"/>
      <c r="AEG137" s="271"/>
      <c r="AEH137" s="221"/>
      <c r="AEI137" s="221"/>
      <c r="AEJ137" s="221"/>
      <c r="AEK137" s="258"/>
      <c r="AEL137" s="270"/>
      <c r="AEM137" s="271"/>
      <c r="AEN137" s="271"/>
      <c r="AEO137" s="271"/>
      <c r="AEP137" s="221"/>
      <c r="AEQ137" s="221"/>
      <c r="AER137" s="221"/>
      <c r="AES137" s="258"/>
      <c r="AET137" s="270"/>
      <c r="AEU137" s="271"/>
      <c r="AEV137" s="271"/>
      <c r="AEW137" s="271"/>
      <c r="AEX137" s="221"/>
      <c r="AEY137" s="221"/>
      <c r="AEZ137" s="221"/>
      <c r="AFA137" s="258"/>
      <c r="AFB137" s="270"/>
      <c r="AFC137" s="271"/>
      <c r="AFD137" s="271"/>
      <c r="AFE137" s="271"/>
      <c r="AFF137" s="221"/>
      <c r="AFG137" s="221"/>
      <c r="AFH137" s="221"/>
      <c r="AFI137" s="258"/>
      <c r="AFJ137" s="270"/>
      <c r="AFK137" s="271"/>
      <c r="AFL137" s="271"/>
      <c r="AFM137" s="271"/>
      <c r="AFN137" s="221"/>
      <c r="AFO137" s="221"/>
      <c r="AFP137" s="221"/>
      <c r="AFQ137" s="258"/>
      <c r="AFR137" s="270"/>
      <c r="AFS137" s="271"/>
      <c r="AFT137" s="271"/>
      <c r="AFU137" s="271"/>
      <c r="AFV137" s="221"/>
      <c r="AFW137" s="221"/>
      <c r="AFX137" s="221"/>
      <c r="AFY137" s="258"/>
      <c r="AFZ137" s="270"/>
      <c r="AGA137" s="271"/>
      <c r="AGB137" s="271"/>
      <c r="AGC137" s="271"/>
      <c r="AGD137" s="221"/>
      <c r="AGE137" s="221"/>
      <c r="AGF137" s="221"/>
      <c r="AGG137" s="258"/>
      <c r="AGH137" s="270"/>
      <c r="AGI137" s="271"/>
      <c r="AGJ137" s="271"/>
      <c r="AGK137" s="271"/>
      <c r="AGL137" s="221"/>
      <c r="AGM137" s="221"/>
      <c r="AGN137" s="221"/>
      <c r="AGO137" s="258"/>
      <c r="AGP137" s="270"/>
      <c r="AGQ137" s="271"/>
      <c r="AGR137" s="271"/>
      <c r="AGS137" s="271"/>
      <c r="AGT137" s="221"/>
      <c r="AGU137" s="221"/>
      <c r="AGV137" s="221"/>
      <c r="AGW137" s="258"/>
      <c r="AGX137" s="270"/>
      <c r="AGY137" s="271"/>
      <c r="AGZ137" s="271"/>
      <c r="AHA137" s="271"/>
      <c r="AHB137" s="221"/>
      <c r="AHC137" s="221"/>
      <c r="AHD137" s="221"/>
      <c r="AHE137" s="258"/>
      <c r="AHF137" s="270"/>
      <c r="AHG137" s="271"/>
      <c r="AHH137" s="271"/>
      <c r="AHI137" s="271"/>
      <c r="AHJ137" s="221"/>
      <c r="AHK137" s="221"/>
      <c r="AHL137" s="221"/>
      <c r="AHM137" s="258"/>
      <c r="AHN137" s="270"/>
      <c r="AHO137" s="271"/>
      <c r="AHP137" s="271"/>
      <c r="AHQ137" s="271"/>
      <c r="AHR137" s="221"/>
      <c r="AHS137" s="221"/>
      <c r="AHT137" s="221"/>
      <c r="AHU137" s="258"/>
      <c r="AHV137" s="270"/>
      <c r="AHW137" s="271"/>
      <c r="AHX137" s="271"/>
      <c r="AHY137" s="271"/>
      <c r="AHZ137" s="221"/>
      <c r="AIA137" s="221"/>
      <c r="AIB137" s="221"/>
      <c r="AIC137" s="258"/>
      <c r="AID137" s="270"/>
      <c r="AIE137" s="271"/>
      <c r="AIF137" s="271"/>
      <c r="AIG137" s="271"/>
      <c r="AIH137" s="221"/>
      <c r="AII137" s="221"/>
      <c r="AIJ137" s="221"/>
      <c r="AIK137" s="258"/>
      <c r="AIL137" s="270"/>
      <c r="AIM137" s="271"/>
      <c r="AIN137" s="271"/>
      <c r="AIO137" s="271"/>
      <c r="AIP137" s="221"/>
      <c r="AIQ137" s="221"/>
      <c r="AIR137" s="221"/>
      <c r="AIS137" s="258"/>
      <c r="AIT137" s="270"/>
      <c r="AIU137" s="271"/>
      <c r="AIV137" s="271"/>
      <c r="AIW137" s="271"/>
      <c r="AIX137" s="221"/>
      <c r="AIY137" s="221"/>
      <c r="AIZ137" s="221"/>
      <c r="AJA137" s="258"/>
      <c r="AJB137" s="270"/>
      <c r="AJC137" s="271"/>
      <c r="AJD137" s="271"/>
      <c r="AJE137" s="271"/>
      <c r="AJF137" s="221"/>
      <c r="AJG137" s="221"/>
      <c r="AJH137" s="221"/>
      <c r="AJI137" s="258"/>
      <c r="AJJ137" s="270"/>
      <c r="AJK137" s="271"/>
      <c r="AJL137" s="271"/>
      <c r="AJM137" s="271"/>
      <c r="AJN137" s="221"/>
      <c r="AJO137" s="221"/>
      <c r="AJP137" s="221"/>
      <c r="AJQ137" s="258"/>
      <c r="AJR137" s="270"/>
      <c r="AJS137" s="271"/>
      <c r="AJT137" s="271"/>
      <c r="AJU137" s="271"/>
      <c r="AJV137" s="221"/>
      <c r="AJW137" s="221"/>
      <c r="AJX137" s="221"/>
      <c r="AJY137" s="258"/>
      <c r="AJZ137" s="270"/>
      <c r="AKA137" s="271"/>
      <c r="AKB137" s="271"/>
      <c r="AKC137" s="271"/>
      <c r="AKD137" s="221"/>
      <c r="AKE137" s="221"/>
      <c r="AKF137" s="221"/>
      <c r="AKG137" s="258"/>
      <c r="AKH137" s="270"/>
      <c r="AKI137" s="271"/>
      <c r="AKJ137" s="271"/>
      <c r="AKK137" s="271"/>
      <c r="AKL137" s="221"/>
      <c r="AKM137" s="221"/>
      <c r="AKN137" s="221"/>
      <c r="AKO137" s="258"/>
      <c r="AKP137" s="270"/>
      <c r="AKQ137" s="271"/>
      <c r="AKR137" s="271"/>
      <c r="AKS137" s="271"/>
      <c r="AKT137" s="221"/>
      <c r="AKU137" s="221"/>
      <c r="AKV137" s="221"/>
      <c r="AKW137" s="258"/>
      <c r="AKX137" s="270"/>
      <c r="AKY137" s="271"/>
      <c r="AKZ137" s="271"/>
      <c r="ALA137" s="271"/>
      <c r="ALB137" s="221"/>
      <c r="ALC137" s="221"/>
      <c r="ALD137" s="221"/>
      <c r="ALE137" s="258"/>
      <c r="ALF137" s="270"/>
      <c r="ALG137" s="271"/>
      <c r="ALH137" s="271"/>
      <c r="ALI137" s="271"/>
      <c r="ALJ137" s="221"/>
      <c r="ALK137" s="221"/>
      <c r="ALL137" s="221"/>
      <c r="ALM137" s="258"/>
      <c r="ALN137" s="270"/>
      <c r="ALO137" s="271"/>
      <c r="ALP137" s="271"/>
      <c r="ALQ137" s="271"/>
      <c r="ALR137" s="221"/>
      <c r="ALS137" s="221"/>
      <c r="ALT137" s="221"/>
      <c r="ALU137" s="258"/>
      <c r="ALV137" s="270"/>
      <c r="ALW137" s="271"/>
      <c r="ALX137" s="271"/>
      <c r="ALY137" s="271"/>
      <c r="ALZ137" s="221"/>
      <c r="AMA137" s="221"/>
      <c r="AMB137" s="221"/>
      <c r="AMC137" s="258"/>
      <c r="AMD137" s="270"/>
      <c r="AME137" s="271"/>
      <c r="AMF137" s="271"/>
      <c r="AMG137" s="271"/>
      <c r="AMH137" s="221"/>
      <c r="AMI137" s="221"/>
      <c r="AMJ137" s="221"/>
      <c r="AMK137" s="258"/>
      <c r="AML137" s="270"/>
      <c r="AMM137" s="271"/>
      <c r="AMN137" s="271"/>
      <c r="AMO137" s="271"/>
      <c r="AMP137" s="221"/>
      <c r="AMQ137" s="221"/>
      <c r="AMR137" s="221"/>
      <c r="AMS137" s="258"/>
      <c r="AMT137" s="270"/>
      <c r="AMU137" s="271"/>
      <c r="AMV137" s="271"/>
      <c r="AMW137" s="271"/>
      <c r="AMX137" s="221"/>
      <c r="AMY137" s="221"/>
      <c r="AMZ137" s="221"/>
      <c r="ANA137" s="258"/>
      <c r="ANB137" s="270"/>
      <c r="ANC137" s="271"/>
      <c r="AND137" s="271"/>
      <c r="ANE137" s="271"/>
      <c r="ANF137" s="221"/>
      <c r="ANG137" s="221"/>
      <c r="ANH137" s="221"/>
      <c r="ANI137" s="258"/>
      <c r="ANJ137" s="270"/>
      <c r="ANK137" s="271"/>
      <c r="ANL137" s="271"/>
      <c r="ANM137" s="271"/>
      <c r="ANN137" s="221"/>
      <c r="ANO137" s="221"/>
      <c r="ANP137" s="221"/>
      <c r="ANQ137" s="258"/>
      <c r="ANR137" s="270"/>
      <c r="ANS137" s="271"/>
      <c r="ANT137" s="271"/>
      <c r="ANU137" s="271"/>
      <c r="ANV137" s="221"/>
      <c r="ANW137" s="221"/>
      <c r="ANX137" s="221"/>
      <c r="ANY137" s="258"/>
      <c r="ANZ137" s="270"/>
      <c r="AOA137" s="271"/>
      <c r="AOB137" s="271"/>
      <c r="AOC137" s="271"/>
      <c r="AOD137" s="221"/>
      <c r="AOE137" s="221"/>
      <c r="AOF137" s="221"/>
      <c r="AOG137" s="258"/>
      <c r="AOH137" s="270"/>
      <c r="AOI137" s="271"/>
      <c r="AOJ137" s="271"/>
      <c r="AOK137" s="271"/>
      <c r="AOL137" s="221"/>
      <c r="AOM137" s="221"/>
      <c r="AON137" s="221"/>
      <c r="AOO137" s="258"/>
      <c r="AOP137" s="270"/>
      <c r="AOQ137" s="271"/>
      <c r="AOR137" s="271"/>
      <c r="AOS137" s="271"/>
      <c r="AOT137" s="221"/>
      <c r="AOU137" s="221"/>
      <c r="AOV137" s="221"/>
      <c r="AOW137" s="258"/>
      <c r="AOX137" s="270"/>
      <c r="AOY137" s="271"/>
      <c r="AOZ137" s="271"/>
      <c r="APA137" s="271"/>
      <c r="APB137" s="221"/>
      <c r="APC137" s="221"/>
      <c r="APD137" s="221"/>
      <c r="APE137" s="258"/>
      <c r="APF137" s="270"/>
      <c r="APG137" s="271"/>
      <c r="APH137" s="271"/>
      <c r="API137" s="271"/>
      <c r="APJ137" s="221"/>
      <c r="APK137" s="221"/>
      <c r="APL137" s="221"/>
      <c r="APM137" s="258"/>
      <c r="APN137" s="270"/>
      <c r="APO137" s="271"/>
      <c r="APP137" s="271"/>
      <c r="APQ137" s="271"/>
      <c r="APR137" s="221"/>
      <c r="APS137" s="221"/>
      <c r="APT137" s="221"/>
      <c r="APU137" s="258"/>
      <c r="APV137" s="270"/>
      <c r="APW137" s="271"/>
      <c r="APX137" s="271"/>
      <c r="APY137" s="271"/>
      <c r="APZ137" s="221"/>
      <c r="AQA137" s="221"/>
      <c r="AQB137" s="221"/>
      <c r="AQC137" s="258"/>
      <c r="AQD137" s="270"/>
      <c r="AQE137" s="271"/>
      <c r="AQF137" s="271"/>
      <c r="AQG137" s="271"/>
      <c r="AQH137" s="221"/>
      <c r="AQI137" s="221"/>
      <c r="AQJ137" s="221"/>
      <c r="AQK137" s="258"/>
      <c r="AQL137" s="270"/>
      <c r="AQM137" s="271"/>
      <c r="AQN137" s="271"/>
      <c r="AQO137" s="271"/>
      <c r="AQP137" s="221"/>
      <c r="AQQ137" s="221"/>
      <c r="AQR137" s="221"/>
      <c r="AQS137" s="258"/>
      <c r="AQT137" s="270"/>
      <c r="AQU137" s="271"/>
      <c r="AQV137" s="271"/>
      <c r="AQW137" s="271"/>
      <c r="AQX137" s="221"/>
      <c r="AQY137" s="221"/>
      <c r="AQZ137" s="221"/>
      <c r="ARA137" s="258"/>
      <c r="ARB137" s="270"/>
      <c r="ARC137" s="271"/>
      <c r="ARD137" s="271"/>
      <c r="ARE137" s="271"/>
      <c r="ARF137" s="221"/>
      <c r="ARG137" s="221"/>
      <c r="ARH137" s="221"/>
      <c r="ARI137" s="258"/>
      <c r="ARJ137" s="270"/>
      <c r="ARK137" s="271"/>
      <c r="ARL137" s="271"/>
      <c r="ARM137" s="271"/>
      <c r="ARN137" s="221"/>
      <c r="ARO137" s="221"/>
      <c r="ARP137" s="221"/>
      <c r="ARQ137" s="258"/>
      <c r="ARR137" s="270"/>
      <c r="ARS137" s="271"/>
      <c r="ART137" s="271"/>
      <c r="ARU137" s="271"/>
      <c r="ARV137" s="221"/>
      <c r="ARW137" s="221"/>
      <c r="ARX137" s="221"/>
      <c r="ARY137" s="258"/>
      <c r="ARZ137" s="270"/>
      <c r="ASA137" s="271"/>
      <c r="ASB137" s="271"/>
      <c r="ASC137" s="271"/>
      <c r="ASD137" s="221"/>
      <c r="ASE137" s="221"/>
      <c r="ASF137" s="221"/>
      <c r="ASG137" s="258"/>
      <c r="ASH137" s="270"/>
      <c r="ASI137" s="271"/>
      <c r="ASJ137" s="271"/>
      <c r="ASK137" s="271"/>
      <c r="ASL137" s="221"/>
      <c r="ASM137" s="221"/>
      <c r="ASN137" s="221"/>
      <c r="ASO137" s="258"/>
      <c r="ASP137" s="270"/>
      <c r="ASQ137" s="271"/>
      <c r="ASR137" s="271"/>
      <c r="ASS137" s="271"/>
      <c r="AST137" s="221"/>
      <c r="ASU137" s="221"/>
      <c r="ASV137" s="221"/>
      <c r="ASW137" s="258"/>
      <c r="ASX137" s="270"/>
      <c r="ASY137" s="271"/>
      <c r="ASZ137" s="271"/>
      <c r="ATA137" s="271"/>
      <c r="ATB137" s="221"/>
      <c r="ATC137" s="221"/>
      <c r="ATD137" s="221"/>
      <c r="ATE137" s="258"/>
      <c r="ATF137" s="270"/>
      <c r="ATG137" s="271"/>
      <c r="ATH137" s="271"/>
      <c r="ATI137" s="271"/>
      <c r="ATJ137" s="221"/>
      <c r="ATK137" s="221"/>
      <c r="ATL137" s="221"/>
      <c r="ATM137" s="258"/>
      <c r="ATN137" s="270"/>
      <c r="ATO137" s="271"/>
      <c r="ATP137" s="271"/>
      <c r="ATQ137" s="271"/>
      <c r="ATR137" s="221"/>
      <c r="ATS137" s="221"/>
      <c r="ATT137" s="221"/>
      <c r="ATU137" s="258"/>
      <c r="ATV137" s="270"/>
      <c r="ATW137" s="271"/>
      <c r="ATX137" s="271"/>
      <c r="ATY137" s="271"/>
      <c r="ATZ137" s="221"/>
      <c r="AUA137" s="221"/>
      <c r="AUB137" s="221"/>
      <c r="AUC137" s="258"/>
      <c r="AUD137" s="270"/>
      <c r="AUE137" s="271"/>
      <c r="AUF137" s="271"/>
      <c r="AUG137" s="271"/>
      <c r="AUH137" s="221"/>
      <c r="AUI137" s="221"/>
      <c r="AUJ137" s="221"/>
      <c r="AUK137" s="258"/>
      <c r="AUL137" s="270"/>
      <c r="AUM137" s="271"/>
      <c r="AUN137" s="271"/>
      <c r="AUO137" s="271"/>
      <c r="AUP137" s="221"/>
      <c r="AUQ137" s="221"/>
      <c r="AUR137" s="221"/>
      <c r="AUS137" s="258"/>
      <c r="AUT137" s="270"/>
      <c r="AUU137" s="271"/>
      <c r="AUV137" s="271"/>
      <c r="AUW137" s="271"/>
      <c r="AUX137" s="221"/>
      <c r="AUY137" s="221"/>
      <c r="AUZ137" s="221"/>
      <c r="AVA137" s="258"/>
      <c r="AVB137" s="270"/>
      <c r="AVC137" s="271"/>
      <c r="AVD137" s="271"/>
      <c r="AVE137" s="271"/>
      <c r="AVF137" s="221"/>
      <c r="AVG137" s="221"/>
      <c r="AVH137" s="221"/>
      <c r="AVI137" s="258"/>
      <c r="AVJ137" s="270"/>
      <c r="AVK137" s="271"/>
      <c r="AVL137" s="271"/>
      <c r="AVM137" s="271"/>
      <c r="AVN137" s="221"/>
      <c r="AVO137" s="221"/>
      <c r="AVP137" s="221"/>
      <c r="AVQ137" s="258"/>
      <c r="AVR137" s="270"/>
      <c r="AVS137" s="271"/>
      <c r="AVT137" s="271"/>
      <c r="AVU137" s="271"/>
      <c r="AVV137" s="221"/>
      <c r="AVW137" s="221"/>
      <c r="AVX137" s="221"/>
      <c r="AVY137" s="258"/>
      <c r="AVZ137" s="270"/>
      <c r="AWA137" s="271"/>
      <c r="AWB137" s="271"/>
      <c r="AWC137" s="271"/>
      <c r="AWD137" s="221"/>
      <c r="AWE137" s="221"/>
      <c r="AWF137" s="221"/>
      <c r="AWG137" s="258"/>
      <c r="AWH137" s="270"/>
      <c r="AWI137" s="271"/>
      <c r="AWJ137" s="271"/>
      <c r="AWK137" s="271"/>
      <c r="AWL137" s="221"/>
      <c r="AWM137" s="221"/>
      <c r="AWN137" s="221"/>
      <c r="AWO137" s="258"/>
      <c r="AWP137" s="270"/>
      <c r="AWQ137" s="271"/>
      <c r="AWR137" s="271"/>
      <c r="AWS137" s="271"/>
      <c r="AWT137" s="221"/>
      <c r="AWU137" s="221"/>
      <c r="AWV137" s="221"/>
      <c r="AWW137" s="258"/>
      <c r="AWX137" s="270"/>
      <c r="AWY137" s="271"/>
      <c r="AWZ137" s="271"/>
      <c r="AXA137" s="271"/>
      <c r="AXB137" s="221"/>
      <c r="AXC137" s="221"/>
      <c r="AXD137" s="221"/>
      <c r="AXE137" s="258"/>
      <c r="AXF137" s="270"/>
      <c r="AXG137" s="271"/>
      <c r="AXH137" s="271"/>
      <c r="AXI137" s="271"/>
      <c r="AXJ137" s="221"/>
      <c r="AXK137" s="221"/>
      <c r="AXL137" s="221"/>
      <c r="AXM137" s="258"/>
      <c r="AXN137" s="270"/>
      <c r="AXO137" s="271"/>
      <c r="AXP137" s="271"/>
      <c r="AXQ137" s="271"/>
      <c r="AXR137" s="221"/>
      <c r="AXS137" s="221"/>
      <c r="AXT137" s="221"/>
      <c r="AXU137" s="258"/>
      <c r="AXV137" s="270"/>
      <c r="AXW137" s="271"/>
      <c r="AXX137" s="271"/>
      <c r="AXY137" s="271"/>
      <c r="AXZ137" s="221"/>
      <c r="AYA137" s="221"/>
      <c r="AYB137" s="221"/>
      <c r="AYC137" s="258"/>
      <c r="AYD137" s="270"/>
      <c r="AYE137" s="271"/>
      <c r="AYF137" s="271"/>
      <c r="AYG137" s="271"/>
      <c r="AYH137" s="221"/>
      <c r="AYI137" s="221"/>
      <c r="AYJ137" s="221"/>
      <c r="AYK137" s="258"/>
      <c r="AYL137" s="270"/>
      <c r="AYM137" s="271"/>
      <c r="AYN137" s="271"/>
      <c r="AYO137" s="271"/>
      <c r="AYP137" s="221"/>
      <c r="AYQ137" s="221"/>
      <c r="AYR137" s="221"/>
      <c r="AYS137" s="258"/>
      <c r="AYT137" s="270"/>
      <c r="AYU137" s="271"/>
      <c r="AYV137" s="271"/>
      <c r="AYW137" s="271"/>
      <c r="AYX137" s="221"/>
      <c r="AYY137" s="221"/>
      <c r="AYZ137" s="221"/>
      <c r="AZA137" s="258"/>
      <c r="AZB137" s="270"/>
      <c r="AZC137" s="271"/>
      <c r="AZD137" s="271"/>
      <c r="AZE137" s="271"/>
      <c r="AZF137" s="221"/>
      <c r="AZG137" s="221"/>
      <c r="AZH137" s="221"/>
      <c r="AZI137" s="258"/>
      <c r="AZJ137" s="270"/>
      <c r="AZK137" s="271"/>
      <c r="AZL137" s="271"/>
      <c r="AZM137" s="271"/>
      <c r="AZN137" s="221"/>
      <c r="AZO137" s="221"/>
      <c r="AZP137" s="221"/>
      <c r="AZQ137" s="258"/>
      <c r="AZR137" s="270"/>
      <c r="AZS137" s="271"/>
      <c r="AZT137" s="271"/>
      <c r="AZU137" s="271"/>
      <c r="AZV137" s="221"/>
      <c r="AZW137" s="221"/>
      <c r="AZX137" s="221"/>
      <c r="AZY137" s="258"/>
      <c r="AZZ137" s="270"/>
      <c r="BAA137" s="271"/>
      <c r="BAB137" s="271"/>
      <c r="BAC137" s="271"/>
      <c r="BAD137" s="221"/>
      <c r="BAE137" s="221"/>
      <c r="BAF137" s="221"/>
      <c r="BAG137" s="258"/>
      <c r="BAH137" s="270"/>
      <c r="BAI137" s="271"/>
      <c r="BAJ137" s="271"/>
      <c r="BAK137" s="271"/>
      <c r="BAL137" s="221"/>
      <c r="BAM137" s="221"/>
      <c r="BAN137" s="221"/>
      <c r="BAO137" s="258"/>
      <c r="BAP137" s="270"/>
      <c r="BAQ137" s="271"/>
      <c r="BAR137" s="271"/>
      <c r="BAS137" s="271"/>
      <c r="BAT137" s="221"/>
      <c r="BAU137" s="221"/>
      <c r="BAV137" s="221"/>
      <c r="BAW137" s="258"/>
      <c r="BAX137" s="270"/>
      <c r="BAY137" s="271"/>
      <c r="BAZ137" s="271"/>
      <c r="BBA137" s="271"/>
      <c r="BBB137" s="221"/>
      <c r="BBC137" s="221"/>
      <c r="BBD137" s="221"/>
      <c r="BBE137" s="258"/>
      <c r="BBF137" s="270"/>
      <c r="BBG137" s="271"/>
      <c r="BBH137" s="271"/>
      <c r="BBI137" s="271"/>
      <c r="BBJ137" s="221"/>
      <c r="BBK137" s="221"/>
      <c r="BBL137" s="221"/>
      <c r="BBM137" s="258"/>
      <c r="BBN137" s="270"/>
      <c r="BBO137" s="271"/>
      <c r="BBP137" s="271"/>
      <c r="BBQ137" s="271"/>
      <c r="BBR137" s="221"/>
      <c r="BBS137" s="221"/>
      <c r="BBT137" s="221"/>
      <c r="BBU137" s="258"/>
      <c r="BBV137" s="270"/>
      <c r="BBW137" s="271"/>
      <c r="BBX137" s="271"/>
      <c r="BBY137" s="271"/>
      <c r="BBZ137" s="221"/>
      <c r="BCA137" s="221"/>
      <c r="BCB137" s="221"/>
      <c r="BCC137" s="258"/>
      <c r="BCD137" s="270"/>
      <c r="BCE137" s="271"/>
      <c r="BCF137" s="271"/>
      <c r="BCG137" s="271"/>
      <c r="BCH137" s="221"/>
      <c r="BCI137" s="221"/>
      <c r="BCJ137" s="221"/>
      <c r="BCK137" s="258"/>
      <c r="BCL137" s="270"/>
      <c r="BCM137" s="271"/>
      <c r="BCN137" s="271"/>
      <c r="BCO137" s="271"/>
      <c r="BCP137" s="221"/>
      <c r="BCQ137" s="221"/>
      <c r="BCR137" s="221"/>
      <c r="BCS137" s="258"/>
      <c r="BCT137" s="270"/>
      <c r="BCU137" s="271"/>
      <c r="BCV137" s="271"/>
      <c r="BCW137" s="271"/>
      <c r="BCX137" s="221"/>
      <c r="BCY137" s="221"/>
      <c r="BCZ137" s="221"/>
      <c r="BDA137" s="258"/>
      <c r="BDB137" s="270"/>
      <c r="BDC137" s="271"/>
      <c r="BDD137" s="271"/>
      <c r="BDE137" s="271"/>
      <c r="BDF137" s="221"/>
      <c r="BDG137" s="221"/>
      <c r="BDH137" s="221"/>
      <c r="BDI137" s="258"/>
      <c r="BDJ137" s="270"/>
      <c r="BDK137" s="271"/>
      <c r="BDL137" s="271"/>
      <c r="BDM137" s="271"/>
      <c r="BDN137" s="221"/>
      <c r="BDO137" s="221"/>
      <c r="BDP137" s="221"/>
      <c r="BDQ137" s="258"/>
      <c r="BDR137" s="270"/>
      <c r="BDS137" s="271"/>
      <c r="BDT137" s="271"/>
      <c r="BDU137" s="271"/>
      <c r="BDV137" s="221"/>
      <c r="BDW137" s="221"/>
      <c r="BDX137" s="221"/>
      <c r="BDY137" s="258"/>
      <c r="BDZ137" s="270"/>
      <c r="BEA137" s="271"/>
      <c r="BEB137" s="271"/>
      <c r="BEC137" s="271"/>
      <c r="BED137" s="221"/>
      <c r="BEE137" s="221"/>
      <c r="BEF137" s="221"/>
      <c r="BEG137" s="258"/>
      <c r="BEH137" s="270"/>
      <c r="BEI137" s="271"/>
      <c r="BEJ137" s="271"/>
      <c r="BEK137" s="271"/>
      <c r="BEL137" s="221"/>
      <c r="BEM137" s="221"/>
      <c r="BEN137" s="221"/>
      <c r="BEO137" s="258"/>
      <c r="BEP137" s="270"/>
      <c r="BEQ137" s="271"/>
      <c r="BER137" s="271"/>
      <c r="BES137" s="271"/>
      <c r="BET137" s="221"/>
      <c r="BEU137" s="221"/>
      <c r="BEV137" s="221"/>
      <c r="BEW137" s="258"/>
      <c r="BEX137" s="270"/>
      <c r="BEY137" s="271"/>
      <c r="BEZ137" s="271"/>
      <c r="BFA137" s="271"/>
      <c r="BFB137" s="221"/>
      <c r="BFC137" s="221"/>
      <c r="BFD137" s="221"/>
      <c r="BFE137" s="258"/>
      <c r="BFF137" s="270"/>
      <c r="BFG137" s="271"/>
      <c r="BFH137" s="271"/>
      <c r="BFI137" s="271"/>
      <c r="BFJ137" s="221"/>
      <c r="BFK137" s="221"/>
      <c r="BFL137" s="221"/>
      <c r="BFM137" s="258"/>
      <c r="BFN137" s="270"/>
      <c r="BFO137" s="271"/>
      <c r="BFP137" s="271"/>
      <c r="BFQ137" s="271"/>
      <c r="BFR137" s="221"/>
      <c r="BFS137" s="221"/>
      <c r="BFT137" s="221"/>
      <c r="BFU137" s="258"/>
      <c r="BFV137" s="270"/>
      <c r="BFW137" s="271"/>
      <c r="BFX137" s="271"/>
      <c r="BFY137" s="271"/>
      <c r="BFZ137" s="221"/>
      <c r="BGA137" s="221"/>
      <c r="BGB137" s="221"/>
      <c r="BGC137" s="258"/>
      <c r="BGD137" s="270"/>
      <c r="BGE137" s="271"/>
      <c r="BGF137" s="271"/>
      <c r="BGG137" s="271"/>
      <c r="BGH137" s="221"/>
      <c r="BGI137" s="221"/>
      <c r="BGJ137" s="221"/>
      <c r="BGK137" s="258"/>
      <c r="BGL137" s="270"/>
      <c r="BGM137" s="271"/>
      <c r="BGN137" s="271"/>
      <c r="BGO137" s="271"/>
      <c r="BGP137" s="221"/>
      <c r="BGQ137" s="221"/>
      <c r="BGR137" s="221"/>
      <c r="BGS137" s="258"/>
      <c r="BGT137" s="270"/>
      <c r="BGU137" s="271"/>
      <c r="BGV137" s="271"/>
      <c r="BGW137" s="271"/>
      <c r="BGX137" s="221"/>
      <c r="BGY137" s="221"/>
      <c r="BGZ137" s="221"/>
      <c r="BHA137" s="258"/>
      <c r="BHB137" s="270"/>
      <c r="BHC137" s="271"/>
      <c r="BHD137" s="271"/>
      <c r="BHE137" s="271"/>
      <c r="BHF137" s="221"/>
      <c r="BHG137" s="221"/>
      <c r="BHH137" s="221"/>
      <c r="BHI137" s="258"/>
      <c r="BHJ137" s="270"/>
      <c r="BHK137" s="271"/>
      <c r="BHL137" s="271"/>
      <c r="BHM137" s="271"/>
      <c r="BHN137" s="221"/>
      <c r="BHO137" s="221"/>
      <c r="BHP137" s="221"/>
      <c r="BHQ137" s="258"/>
      <c r="BHR137" s="270"/>
      <c r="BHS137" s="271"/>
      <c r="BHT137" s="271"/>
      <c r="BHU137" s="271"/>
      <c r="BHV137" s="221"/>
      <c r="BHW137" s="221"/>
      <c r="BHX137" s="221"/>
      <c r="BHY137" s="258"/>
      <c r="BHZ137" s="270"/>
      <c r="BIA137" s="271"/>
      <c r="BIB137" s="271"/>
      <c r="BIC137" s="271"/>
      <c r="BID137" s="221"/>
      <c r="BIE137" s="221"/>
      <c r="BIF137" s="221"/>
      <c r="BIG137" s="258"/>
      <c r="BIH137" s="270"/>
      <c r="BII137" s="271"/>
      <c r="BIJ137" s="271"/>
      <c r="BIK137" s="271"/>
      <c r="BIL137" s="221"/>
      <c r="BIM137" s="221"/>
      <c r="BIN137" s="221"/>
      <c r="BIO137" s="258"/>
      <c r="BIP137" s="270"/>
      <c r="BIQ137" s="271"/>
      <c r="BIR137" s="271"/>
      <c r="BIS137" s="271"/>
      <c r="BIT137" s="221"/>
      <c r="BIU137" s="221"/>
      <c r="BIV137" s="221"/>
      <c r="BIW137" s="258"/>
      <c r="BIX137" s="270"/>
      <c r="BIY137" s="271"/>
      <c r="BIZ137" s="271"/>
      <c r="BJA137" s="271"/>
      <c r="BJB137" s="221"/>
      <c r="BJC137" s="221"/>
      <c r="BJD137" s="221"/>
      <c r="BJE137" s="258"/>
      <c r="BJF137" s="270"/>
      <c r="BJG137" s="271"/>
      <c r="BJH137" s="271"/>
      <c r="BJI137" s="271"/>
      <c r="BJJ137" s="221"/>
      <c r="BJK137" s="221"/>
      <c r="BJL137" s="221"/>
      <c r="BJM137" s="258"/>
      <c r="BJN137" s="270"/>
      <c r="BJO137" s="271"/>
      <c r="BJP137" s="271"/>
      <c r="BJQ137" s="271"/>
      <c r="BJR137" s="221"/>
      <c r="BJS137" s="221"/>
      <c r="BJT137" s="221"/>
      <c r="BJU137" s="258"/>
      <c r="BJV137" s="270"/>
      <c r="BJW137" s="271"/>
      <c r="BJX137" s="271"/>
      <c r="BJY137" s="271"/>
      <c r="BJZ137" s="221"/>
      <c r="BKA137" s="221"/>
      <c r="BKB137" s="221"/>
      <c r="BKC137" s="258"/>
      <c r="BKD137" s="270"/>
      <c r="BKE137" s="271"/>
      <c r="BKF137" s="271"/>
      <c r="BKG137" s="271"/>
      <c r="BKH137" s="221"/>
      <c r="BKI137" s="221"/>
      <c r="BKJ137" s="221"/>
      <c r="BKK137" s="258"/>
      <c r="BKL137" s="270"/>
      <c r="BKM137" s="271"/>
      <c r="BKN137" s="271"/>
      <c r="BKO137" s="271"/>
      <c r="BKP137" s="221"/>
      <c r="BKQ137" s="221"/>
      <c r="BKR137" s="221"/>
      <c r="BKS137" s="258"/>
      <c r="BKT137" s="270"/>
      <c r="BKU137" s="271"/>
      <c r="BKV137" s="271"/>
      <c r="BKW137" s="271"/>
      <c r="BKX137" s="221"/>
      <c r="BKY137" s="221"/>
      <c r="BKZ137" s="221"/>
      <c r="BLA137" s="258"/>
      <c r="BLB137" s="270"/>
      <c r="BLC137" s="271"/>
      <c r="BLD137" s="271"/>
      <c r="BLE137" s="271"/>
      <c r="BLF137" s="221"/>
      <c r="BLG137" s="221"/>
      <c r="BLH137" s="221"/>
      <c r="BLI137" s="258"/>
      <c r="BLJ137" s="270"/>
      <c r="BLK137" s="271"/>
      <c r="BLL137" s="271"/>
      <c r="BLM137" s="271"/>
      <c r="BLN137" s="221"/>
      <c r="BLO137" s="221"/>
      <c r="BLP137" s="221"/>
      <c r="BLQ137" s="258"/>
      <c r="BLR137" s="270"/>
      <c r="BLS137" s="271"/>
      <c r="BLT137" s="271"/>
      <c r="BLU137" s="271"/>
      <c r="BLV137" s="221"/>
      <c r="BLW137" s="221"/>
      <c r="BLX137" s="221"/>
      <c r="BLY137" s="258"/>
      <c r="BLZ137" s="270"/>
      <c r="BMA137" s="271"/>
      <c r="BMB137" s="271"/>
      <c r="BMC137" s="271"/>
      <c r="BMD137" s="221"/>
      <c r="BME137" s="221"/>
      <c r="BMF137" s="221"/>
      <c r="BMG137" s="258"/>
      <c r="BMH137" s="270"/>
      <c r="BMI137" s="271"/>
      <c r="BMJ137" s="271"/>
      <c r="BMK137" s="271"/>
      <c r="BML137" s="221"/>
      <c r="BMM137" s="221"/>
      <c r="BMN137" s="221"/>
      <c r="BMO137" s="258"/>
      <c r="BMP137" s="270"/>
      <c r="BMQ137" s="271"/>
      <c r="BMR137" s="271"/>
      <c r="BMS137" s="271"/>
      <c r="BMT137" s="221"/>
      <c r="BMU137" s="221"/>
      <c r="BMV137" s="221"/>
      <c r="BMW137" s="258"/>
      <c r="BMX137" s="270"/>
      <c r="BMY137" s="271"/>
      <c r="BMZ137" s="271"/>
      <c r="BNA137" s="271"/>
      <c r="BNB137" s="221"/>
      <c r="BNC137" s="221"/>
      <c r="BND137" s="221"/>
      <c r="BNE137" s="258"/>
      <c r="BNF137" s="270"/>
      <c r="BNG137" s="271"/>
      <c r="BNH137" s="271"/>
      <c r="BNI137" s="271"/>
      <c r="BNJ137" s="221"/>
      <c r="BNK137" s="221"/>
      <c r="BNL137" s="221"/>
      <c r="BNM137" s="258"/>
      <c r="BNN137" s="270"/>
      <c r="BNO137" s="271"/>
      <c r="BNP137" s="271"/>
      <c r="BNQ137" s="271"/>
      <c r="BNR137" s="221"/>
      <c r="BNS137" s="221"/>
      <c r="BNT137" s="221"/>
      <c r="BNU137" s="258"/>
      <c r="BNV137" s="270"/>
      <c r="BNW137" s="271"/>
      <c r="BNX137" s="271"/>
      <c r="BNY137" s="271"/>
      <c r="BNZ137" s="221"/>
      <c r="BOA137" s="221"/>
      <c r="BOB137" s="221"/>
      <c r="BOC137" s="258"/>
      <c r="BOD137" s="270"/>
      <c r="BOE137" s="271"/>
      <c r="BOF137" s="271"/>
      <c r="BOG137" s="271"/>
      <c r="BOH137" s="221"/>
      <c r="BOI137" s="221"/>
      <c r="BOJ137" s="221"/>
      <c r="BOK137" s="258"/>
      <c r="BOL137" s="270"/>
      <c r="BOM137" s="271"/>
      <c r="BON137" s="271"/>
      <c r="BOO137" s="271"/>
      <c r="BOP137" s="221"/>
      <c r="BOQ137" s="221"/>
      <c r="BOR137" s="221"/>
      <c r="BOS137" s="258"/>
      <c r="BOT137" s="270"/>
      <c r="BOU137" s="271"/>
      <c r="BOV137" s="271"/>
      <c r="BOW137" s="271"/>
      <c r="BOX137" s="221"/>
      <c r="BOY137" s="221"/>
      <c r="BOZ137" s="221"/>
      <c r="BPA137" s="258"/>
      <c r="BPB137" s="270"/>
      <c r="BPC137" s="271"/>
      <c r="BPD137" s="271"/>
      <c r="BPE137" s="271"/>
      <c r="BPF137" s="221"/>
      <c r="BPG137" s="221"/>
      <c r="BPH137" s="221"/>
      <c r="BPI137" s="258"/>
      <c r="BPJ137" s="270"/>
      <c r="BPK137" s="271"/>
      <c r="BPL137" s="271"/>
      <c r="BPM137" s="271"/>
      <c r="BPN137" s="221"/>
      <c r="BPO137" s="221"/>
      <c r="BPP137" s="221"/>
      <c r="BPQ137" s="258"/>
      <c r="BPR137" s="270"/>
      <c r="BPS137" s="271"/>
      <c r="BPT137" s="271"/>
      <c r="BPU137" s="271"/>
      <c r="BPV137" s="221"/>
      <c r="BPW137" s="221"/>
      <c r="BPX137" s="221"/>
      <c r="BPY137" s="258"/>
      <c r="BPZ137" s="270"/>
      <c r="BQA137" s="271"/>
      <c r="BQB137" s="271"/>
      <c r="BQC137" s="271"/>
      <c r="BQD137" s="221"/>
      <c r="BQE137" s="221"/>
      <c r="BQF137" s="221"/>
      <c r="BQG137" s="258"/>
      <c r="BQH137" s="270"/>
      <c r="BQI137" s="271"/>
      <c r="BQJ137" s="271"/>
      <c r="BQK137" s="271"/>
      <c r="BQL137" s="221"/>
      <c r="BQM137" s="221"/>
      <c r="BQN137" s="221"/>
      <c r="BQO137" s="258"/>
      <c r="BQP137" s="270"/>
      <c r="BQQ137" s="271"/>
      <c r="BQR137" s="271"/>
      <c r="BQS137" s="271"/>
      <c r="BQT137" s="221"/>
      <c r="BQU137" s="221"/>
      <c r="BQV137" s="221"/>
      <c r="BQW137" s="258"/>
      <c r="BQX137" s="270"/>
      <c r="BQY137" s="271"/>
      <c r="BQZ137" s="271"/>
      <c r="BRA137" s="271"/>
      <c r="BRB137" s="221"/>
      <c r="BRC137" s="221"/>
      <c r="BRD137" s="221"/>
      <c r="BRE137" s="258"/>
      <c r="BRF137" s="270"/>
      <c r="BRG137" s="271"/>
      <c r="BRH137" s="271"/>
      <c r="BRI137" s="271"/>
      <c r="BRJ137" s="221"/>
      <c r="BRK137" s="221"/>
      <c r="BRL137" s="221"/>
      <c r="BRM137" s="258"/>
      <c r="BRN137" s="270"/>
      <c r="BRO137" s="271"/>
      <c r="BRP137" s="271"/>
      <c r="BRQ137" s="271"/>
      <c r="BRR137" s="221"/>
      <c r="BRS137" s="221"/>
      <c r="BRT137" s="221"/>
      <c r="BRU137" s="258"/>
      <c r="BRV137" s="270"/>
      <c r="BRW137" s="271"/>
      <c r="BRX137" s="271"/>
      <c r="BRY137" s="271"/>
      <c r="BRZ137" s="221"/>
      <c r="BSA137" s="221"/>
      <c r="BSB137" s="221"/>
      <c r="BSC137" s="258"/>
      <c r="BSD137" s="270"/>
      <c r="BSE137" s="271"/>
      <c r="BSF137" s="271"/>
      <c r="BSG137" s="271"/>
      <c r="BSH137" s="221"/>
      <c r="BSI137" s="221"/>
      <c r="BSJ137" s="221"/>
      <c r="BSK137" s="258"/>
      <c r="BSL137" s="270"/>
      <c r="BSM137" s="271"/>
      <c r="BSN137" s="271"/>
      <c r="BSO137" s="271"/>
      <c r="BSP137" s="221"/>
      <c r="BSQ137" s="221"/>
      <c r="BSR137" s="221"/>
      <c r="BSS137" s="258"/>
      <c r="BST137" s="270"/>
      <c r="BSU137" s="271"/>
      <c r="BSV137" s="271"/>
      <c r="BSW137" s="271"/>
      <c r="BSX137" s="221"/>
      <c r="BSY137" s="221"/>
      <c r="BSZ137" s="221"/>
      <c r="BTA137" s="258"/>
      <c r="BTB137" s="270"/>
      <c r="BTC137" s="271"/>
      <c r="BTD137" s="271"/>
      <c r="BTE137" s="271"/>
      <c r="BTF137" s="221"/>
      <c r="BTG137" s="221"/>
      <c r="BTH137" s="221"/>
      <c r="BTI137" s="258"/>
      <c r="BTJ137" s="270"/>
      <c r="BTK137" s="271"/>
      <c r="BTL137" s="271"/>
      <c r="BTM137" s="271"/>
      <c r="BTN137" s="221"/>
      <c r="BTO137" s="221"/>
      <c r="BTP137" s="221"/>
      <c r="BTQ137" s="258"/>
      <c r="BTR137" s="270"/>
      <c r="BTS137" s="271"/>
      <c r="BTT137" s="271"/>
      <c r="BTU137" s="271"/>
      <c r="BTV137" s="221"/>
      <c r="BTW137" s="221"/>
      <c r="BTX137" s="221"/>
      <c r="BTY137" s="258"/>
      <c r="BTZ137" s="270"/>
      <c r="BUA137" s="271"/>
      <c r="BUB137" s="271"/>
      <c r="BUC137" s="271"/>
      <c r="BUD137" s="221"/>
      <c r="BUE137" s="221"/>
      <c r="BUF137" s="221"/>
      <c r="BUG137" s="258"/>
      <c r="BUH137" s="270"/>
      <c r="BUI137" s="271"/>
      <c r="BUJ137" s="271"/>
      <c r="BUK137" s="271"/>
      <c r="BUL137" s="221"/>
      <c r="BUM137" s="221"/>
      <c r="BUN137" s="221"/>
      <c r="BUO137" s="258"/>
      <c r="BUP137" s="270"/>
      <c r="BUQ137" s="271"/>
      <c r="BUR137" s="271"/>
      <c r="BUS137" s="271"/>
      <c r="BUT137" s="221"/>
      <c r="BUU137" s="221"/>
      <c r="BUV137" s="221"/>
      <c r="BUW137" s="258"/>
      <c r="BUX137" s="270"/>
      <c r="BUY137" s="271"/>
      <c r="BUZ137" s="271"/>
      <c r="BVA137" s="271"/>
      <c r="BVB137" s="221"/>
      <c r="BVC137" s="221"/>
      <c r="BVD137" s="221"/>
      <c r="BVE137" s="258"/>
      <c r="BVF137" s="270"/>
      <c r="BVG137" s="271"/>
      <c r="BVH137" s="271"/>
      <c r="BVI137" s="271"/>
      <c r="BVJ137" s="221"/>
      <c r="BVK137" s="221"/>
      <c r="BVL137" s="221"/>
      <c r="BVM137" s="258"/>
      <c r="BVN137" s="270"/>
      <c r="BVO137" s="271"/>
      <c r="BVP137" s="271"/>
      <c r="BVQ137" s="271"/>
      <c r="BVR137" s="221"/>
      <c r="BVS137" s="221"/>
      <c r="BVT137" s="221"/>
      <c r="BVU137" s="258"/>
      <c r="BVV137" s="270"/>
      <c r="BVW137" s="271"/>
      <c r="BVX137" s="271"/>
      <c r="BVY137" s="271"/>
      <c r="BVZ137" s="221"/>
      <c r="BWA137" s="221"/>
      <c r="BWB137" s="221"/>
      <c r="BWC137" s="258"/>
      <c r="BWD137" s="270"/>
      <c r="BWE137" s="271"/>
      <c r="BWF137" s="271"/>
      <c r="BWG137" s="271"/>
      <c r="BWH137" s="221"/>
      <c r="BWI137" s="221"/>
      <c r="BWJ137" s="221"/>
      <c r="BWK137" s="258"/>
      <c r="BWL137" s="270"/>
      <c r="BWM137" s="271"/>
      <c r="BWN137" s="271"/>
      <c r="BWO137" s="271"/>
      <c r="BWP137" s="221"/>
      <c r="BWQ137" s="221"/>
      <c r="BWR137" s="221"/>
      <c r="BWS137" s="258"/>
      <c r="BWT137" s="270"/>
      <c r="BWU137" s="271"/>
      <c r="BWV137" s="271"/>
      <c r="BWW137" s="271"/>
      <c r="BWX137" s="221"/>
      <c r="BWY137" s="221"/>
      <c r="BWZ137" s="221"/>
      <c r="BXA137" s="258"/>
      <c r="BXB137" s="270"/>
      <c r="BXC137" s="271"/>
      <c r="BXD137" s="271"/>
      <c r="BXE137" s="271"/>
      <c r="BXF137" s="221"/>
      <c r="BXG137" s="221"/>
      <c r="BXH137" s="221"/>
      <c r="BXI137" s="258"/>
      <c r="BXJ137" s="270"/>
      <c r="BXK137" s="271"/>
      <c r="BXL137" s="271"/>
      <c r="BXM137" s="271"/>
      <c r="BXN137" s="221"/>
      <c r="BXO137" s="221"/>
      <c r="BXP137" s="221"/>
      <c r="BXQ137" s="258"/>
      <c r="BXR137" s="270"/>
      <c r="BXS137" s="271"/>
      <c r="BXT137" s="271"/>
      <c r="BXU137" s="271"/>
      <c r="BXV137" s="221"/>
      <c r="BXW137" s="221"/>
      <c r="BXX137" s="221"/>
      <c r="BXY137" s="258"/>
      <c r="BXZ137" s="270"/>
      <c r="BYA137" s="271"/>
      <c r="BYB137" s="271"/>
      <c r="BYC137" s="271"/>
      <c r="BYD137" s="221"/>
      <c r="BYE137" s="221"/>
      <c r="BYF137" s="221"/>
      <c r="BYG137" s="258"/>
      <c r="BYH137" s="270"/>
      <c r="BYI137" s="271"/>
      <c r="BYJ137" s="271"/>
      <c r="BYK137" s="271"/>
      <c r="BYL137" s="221"/>
      <c r="BYM137" s="221"/>
      <c r="BYN137" s="221"/>
      <c r="BYO137" s="258"/>
      <c r="BYP137" s="270"/>
      <c r="BYQ137" s="271"/>
      <c r="BYR137" s="271"/>
      <c r="BYS137" s="271"/>
      <c r="BYT137" s="221"/>
      <c r="BYU137" s="221"/>
      <c r="BYV137" s="221"/>
      <c r="BYW137" s="258"/>
      <c r="BYX137" s="270"/>
      <c r="BYY137" s="271"/>
      <c r="BYZ137" s="271"/>
      <c r="BZA137" s="271"/>
      <c r="BZB137" s="221"/>
      <c r="BZC137" s="221"/>
      <c r="BZD137" s="221"/>
      <c r="BZE137" s="258"/>
      <c r="BZF137" s="270"/>
      <c r="BZG137" s="271"/>
      <c r="BZH137" s="271"/>
      <c r="BZI137" s="271"/>
      <c r="BZJ137" s="221"/>
      <c r="BZK137" s="221"/>
      <c r="BZL137" s="221"/>
      <c r="BZM137" s="258"/>
      <c r="BZN137" s="270"/>
      <c r="BZO137" s="271"/>
      <c r="BZP137" s="271"/>
      <c r="BZQ137" s="271"/>
      <c r="BZR137" s="221"/>
      <c r="BZS137" s="221"/>
      <c r="BZT137" s="221"/>
      <c r="BZU137" s="258"/>
      <c r="BZV137" s="270"/>
      <c r="BZW137" s="271"/>
      <c r="BZX137" s="271"/>
      <c r="BZY137" s="271"/>
      <c r="BZZ137" s="221"/>
      <c r="CAA137" s="221"/>
      <c r="CAB137" s="221"/>
      <c r="CAC137" s="258"/>
      <c r="CAD137" s="270"/>
      <c r="CAE137" s="271"/>
      <c r="CAF137" s="271"/>
      <c r="CAG137" s="271"/>
      <c r="CAH137" s="221"/>
      <c r="CAI137" s="221"/>
      <c r="CAJ137" s="221"/>
      <c r="CAK137" s="258"/>
      <c r="CAL137" s="270"/>
      <c r="CAM137" s="271"/>
      <c r="CAN137" s="271"/>
      <c r="CAO137" s="271"/>
      <c r="CAP137" s="221"/>
      <c r="CAQ137" s="221"/>
      <c r="CAR137" s="221"/>
      <c r="CAS137" s="258"/>
      <c r="CAT137" s="270"/>
      <c r="CAU137" s="271"/>
      <c r="CAV137" s="271"/>
      <c r="CAW137" s="271"/>
      <c r="CAX137" s="221"/>
      <c r="CAY137" s="221"/>
      <c r="CAZ137" s="221"/>
      <c r="CBA137" s="258"/>
      <c r="CBB137" s="270"/>
      <c r="CBC137" s="271"/>
      <c r="CBD137" s="271"/>
      <c r="CBE137" s="271"/>
      <c r="CBF137" s="221"/>
      <c r="CBG137" s="221"/>
      <c r="CBH137" s="221"/>
      <c r="CBI137" s="258"/>
      <c r="CBJ137" s="270"/>
      <c r="CBK137" s="271"/>
      <c r="CBL137" s="271"/>
      <c r="CBM137" s="271"/>
      <c r="CBN137" s="221"/>
      <c r="CBO137" s="221"/>
      <c r="CBP137" s="221"/>
      <c r="CBQ137" s="258"/>
      <c r="CBR137" s="270"/>
      <c r="CBS137" s="271"/>
      <c r="CBT137" s="271"/>
      <c r="CBU137" s="271"/>
      <c r="CBV137" s="221"/>
      <c r="CBW137" s="221"/>
      <c r="CBX137" s="221"/>
      <c r="CBY137" s="258"/>
      <c r="CBZ137" s="270"/>
      <c r="CCA137" s="271"/>
      <c r="CCB137" s="271"/>
      <c r="CCC137" s="271"/>
      <c r="CCD137" s="221"/>
      <c r="CCE137" s="221"/>
      <c r="CCF137" s="221"/>
      <c r="CCG137" s="258"/>
      <c r="CCH137" s="270"/>
      <c r="CCI137" s="271"/>
      <c r="CCJ137" s="271"/>
      <c r="CCK137" s="271"/>
      <c r="CCL137" s="221"/>
      <c r="CCM137" s="221"/>
      <c r="CCN137" s="221"/>
      <c r="CCO137" s="258"/>
      <c r="CCP137" s="270"/>
      <c r="CCQ137" s="271"/>
      <c r="CCR137" s="271"/>
      <c r="CCS137" s="271"/>
      <c r="CCT137" s="221"/>
      <c r="CCU137" s="221"/>
      <c r="CCV137" s="221"/>
      <c r="CCW137" s="258"/>
      <c r="CCX137" s="270"/>
      <c r="CCY137" s="271"/>
      <c r="CCZ137" s="271"/>
      <c r="CDA137" s="271"/>
      <c r="CDB137" s="221"/>
      <c r="CDC137" s="221"/>
      <c r="CDD137" s="221"/>
      <c r="CDE137" s="258"/>
      <c r="CDF137" s="270"/>
      <c r="CDG137" s="271"/>
      <c r="CDH137" s="271"/>
      <c r="CDI137" s="271"/>
      <c r="CDJ137" s="221"/>
      <c r="CDK137" s="221"/>
      <c r="CDL137" s="221"/>
      <c r="CDM137" s="258"/>
      <c r="CDN137" s="270"/>
      <c r="CDO137" s="271"/>
      <c r="CDP137" s="271"/>
      <c r="CDQ137" s="271"/>
      <c r="CDR137" s="221"/>
      <c r="CDS137" s="221"/>
      <c r="CDT137" s="221"/>
      <c r="CDU137" s="258"/>
      <c r="CDV137" s="270"/>
      <c r="CDW137" s="271"/>
      <c r="CDX137" s="271"/>
      <c r="CDY137" s="271"/>
      <c r="CDZ137" s="221"/>
      <c r="CEA137" s="221"/>
      <c r="CEB137" s="221"/>
      <c r="CEC137" s="258"/>
      <c r="CED137" s="270"/>
      <c r="CEE137" s="271"/>
      <c r="CEF137" s="271"/>
      <c r="CEG137" s="271"/>
      <c r="CEH137" s="221"/>
      <c r="CEI137" s="221"/>
      <c r="CEJ137" s="221"/>
      <c r="CEK137" s="258"/>
      <c r="CEL137" s="270"/>
      <c r="CEM137" s="271"/>
      <c r="CEN137" s="271"/>
      <c r="CEO137" s="271"/>
      <c r="CEP137" s="221"/>
      <c r="CEQ137" s="221"/>
      <c r="CER137" s="221"/>
      <c r="CES137" s="258"/>
      <c r="CET137" s="270"/>
      <c r="CEU137" s="271"/>
      <c r="CEV137" s="271"/>
      <c r="CEW137" s="271"/>
      <c r="CEX137" s="221"/>
      <c r="CEY137" s="221"/>
      <c r="CEZ137" s="221"/>
      <c r="CFA137" s="258"/>
      <c r="CFB137" s="270"/>
      <c r="CFC137" s="271"/>
      <c r="CFD137" s="271"/>
      <c r="CFE137" s="271"/>
      <c r="CFF137" s="221"/>
      <c r="CFG137" s="221"/>
      <c r="CFH137" s="221"/>
      <c r="CFI137" s="258"/>
      <c r="CFJ137" s="270"/>
      <c r="CFK137" s="271"/>
      <c r="CFL137" s="271"/>
      <c r="CFM137" s="271"/>
      <c r="CFN137" s="221"/>
      <c r="CFO137" s="221"/>
      <c r="CFP137" s="221"/>
      <c r="CFQ137" s="258"/>
      <c r="CFR137" s="270"/>
      <c r="CFS137" s="271"/>
      <c r="CFT137" s="271"/>
      <c r="CFU137" s="271"/>
      <c r="CFV137" s="221"/>
      <c r="CFW137" s="221"/>
      <c r="CFX137" s="221"/>
      <c r="CFY137" s="258"/>
      <c r="CFZ137" s="270"/>
      <c r="CGA137" s="271"/>
      <c r="CGB137" s="271"/>
      <c r="CGC137" s="271"/>
      <c r="CGD137" s="221"/>
      <c r="CGE137" s="221"/>
      <c r="CGF137" s="221"/>
      <c r="CGG137" s="258"/>
      <c r="CGH137" s="270"/>
      <c r="CGI137" s="271"/>
      <c r="CGJ137" s="271"/>
      <c r="CGK137" s="271"/>
      <c r="CGL137" s="221"/>
      <c r="CGM137" s="221"/>
      <c r="CGN137" s="221"/>
      <c r="CGO137" s="258"/>
      <c r="CGP137" s="270"/>
      <c r="CGQ137" s="271"/>
      <c r="CGR137" s="271"/>
      <c r="CGS137" s="271"/>
      <c r="CGT137" s="221"/>
      <c r="CGU137" s="221"/>
      <c r="CGV137" s="221"/>
      <c r="CGW137" s="258"/>
      <c r="CGX137" s="270"/>
      <c r="CGY137" s="271"/>
      <c r="CGZ137" s="271"/>
      <c r="CHA137" s="271"/>
      <c r="CHB137" s="221"/>
      <c r="CHC137" s="221"/>
      <c r="CHD137" s="221"/>
      <c r="CHE137" s="258"/>
      <c r="CHF137" s="270"/>
      <c r="CHG137" s="271"/>
      <c r="CHH137" s="271"/>
      <c r="CHI137" s="271"/>
      <c r="CHJ137" s="221"/>
      <c r="CHK137" s="221"/>
      <c r="CHL137" s="221"/>
      <c r="CHM137" s="258"/>
      <c r="CHN137" s="270"/>
      <c r="CHO137" s="271"/>
      <c r="CHP137" s="271"/>
      <c r="CHQ137" s="271"/>
      <c r="CHR137" s="221"/>
      <c r="CHS137" s="221"/>
      <c r="CHT137" s="221"/>
      <c r="CHU137" s="258"/>
      <c r="CHV137" s="270"/>
      <c r="CHW137" s="271"/>
      <c r="CHX137" s="271"/>
      <c r="CHY137" s="271"/>
      <c r="CHZ137" s="221"/>
      <c r="CIA137" s="221"/>
      <c r="CIB137" s="221"/>
      <c r="CIC137" s="258"/>
      <c r="CID137" s="270"/>
      <c r="CIE137" s="271"/>
      <c r="CIF137" s="271"/>
      <c r="CIG137" s="271"/>
      <c r="CIH137" s="221"/>
      <c r="CII137" s="221"/>
      <c r="CIJ137" s="221"/>
      <c r="CIK137" s="258"/>
      <c r="CIL137" s="270"/>
      <c r="CIM137" s="271"/>
      <c r="CIN137" s="271"/>
      <c r="CIO137" s="271"/>
      <c r="CIP137" s="221"/>
      <c r="CIQ137" s="221"/>
      <c r="CIR137" s="221"/>
      <c r="CIS137" s="258"/>
      <c r="CIT137" s="270"/>
      <c r="CIU137" s="271"/>
      <c r="CIV137" s="271"/>
      <c r="CIW137" s="271"/>
      <c r="CIX137" s="221"/>
      <c r="CIY137" s="221"/>
      <c r="CIZ137" s="221"/>
      <c r="CJA137" s="258"/>
      <c r="CJB137" s="270"/>
      <c r="CJC137" s="271"/>
      <c r="CJD137" s="271"/>
      <c r="CJE137" s="271"/>
      <c r="CJF137" s="221"/>
      <c r="CJG137" s="221"/>
      <c r="CJH137" s="221"/>
      <c r="CJI137" s="258"/>
      <c r="CJJ137" s="270"/>
      <c r="CJK137" s="271"/>
      <c r="CJL137" s="271"/>
      <c r="CJM137" s="271"/>
      <c r="CJN137" s="221"/>
      <c r="CJO137" s="221"/>
      <c r="CJP137" s="221"/>
      <c r="CJQ137" s="258"/>
      <c r="CJR137" s="270"/>
      <c r="CJS137" s="271"/>
      <c r="CJT137" s="271"/>
      <c r="CJU137" s="271"/>
      <c r="CJV137" s="221"/>
      <c r="CJW137" s="221"/>
      <c r="CJX137" s="221"/>
      <c r="CJY137" s="258"/>
      <c r="CJZ137" s="270"/>
      <c r="CKA137" s="271"/>
      <c r="CKB137" s="271"/>
      <c r="CKC137" s="271"/>
      <c r="CKD137" s="221"/>
      <c r="CKE137" s="221"/>
      <c r="CKF137" s="221"/>
      <c r="CKG137" s="258"/>
      <c r="CKH137" s="270"/>
      <c r="CKI137" s="271"/>
      <c r="CKJ137" s="271"/>
      <c r="CKK137" s="271"/>
      <c r="CKL137" s="221"/>
      <c r="CKM137" s="221"/>
      <c r="CKN137" s="221"/>
      <c r="CKO137" s="258"/>
      <c r="CKP137" s="270"/>
      <c r="CKQ137" s="271"/>
      <c r="CKR137" s="271"/>
      <c r="CKS137" s="271"/>
      <c r="CKT137" s="221"/>
      <c r="CKU137" s="221"/>
      <c r="CKV137" s="221"/>
      <c r="CKW137" s="258"/>
      <c r="CKX137" s="270"/>
      <c r="CKY137" s="271"/>
      <c r="CKZ137" s="271"/>
      <c r="CLA137" s="271"/>
      <c r="CLB137" s="221"/>
      <c r="CLC137" s="221"/>
      <c r="CLD137" s="221"/>
      <c r="CLE137" s="258"/>
      <c r="CLF137" s="270"/>
      <c r="CLG137" s="271"/>
      <c r="CLH137" s="271"/>
      <c r="CLI137" s="271"/>
      <c r="CLJ137" s="221"/>
      <c r="CLK137" s="221"/>
      <c r="CLL137" s="221"/>
      <c r="CLM137" s="258"/>
      <c r="CLN137" s="270"/>
      <c r="CLO137" s="271"/>
      <c r="CLP137" s="271"/>
      <c r="CLQ137" s="271"/>
      <c r="CLR137" s="221"/>
      <c r="CLS137" s="221"/>
      <c r="CLT137" s="221"/>
      <c r="CLU137" s="258"/>
      <c r="CLV137" s="270"/>
      <c r="CLW137" s="271"/>
      <c r="CLX137" s="271"/>
      <c r="CLY137" s="271"/>
      <c r="CLZ137" s="221"/>
      <c r="CMA137" s="221"/>
      <c r="CMB137" s="221"/>
      <c r="CMC137" s="258"/>
      <c r="CMD137" s="270"/>
      <c r="CME137" s="271"/>
      <c r="CMF137" s="271"/>
      <c r="CMG137" s="271"/>
      <c r="CMH137" s="221"/>
      <c r="CMI137" s="221"/>
      <c r="CMJ137" s="221"/>
      <c r="CMK137" s="258"/>
      <c r="CML137" s="270"/>
      <c r="CMM137" s="271"/>
      <c r="CMN137" s="271"/>
      <c r="CMO137" s="271"/>
      <c r="CMP137" s="221"/>
      <c r="CMQ137" s="221"/>
      <c r="CMR137" s="221"/>
      <c r="CMS137" s="258"/>
      <c r="CMT137" s="270"/>
      <c r="CMU137" s="271"/>
      <c r="CMV137" s="271"/>
      <c r="CMW137" s="271"/>
      <c r="CMX137" s="221"/>
      <c r="CMY137" s="221"/>
      <c r="CMZ137" s="221"/>
      <c r="CNA137" s="258"/>
      <c r="CNB137" s="270"/>
      <c r="CNC137" s="271"/>
      <c r="CND137" s="271"/>
      <c r="CNE137" s="271"/>
      <c r="CNF137" s="221"/>
      <c r="CNG137" s="221"/>
      <c r="CNH137" s="221"/>
      <c r="CNI137" s="258"/>
      <c r="CNJ137" s="270"/>
      <c r="CNK137" s="271"/>
      <c r="CNL137" s="271"/>
      <c r="CNM137" s="271"/>
      <c r="CNN137" s="221"/>
      <c r="CNO137" s="221"/>
      <c r="CNP137" s="221"/>
      <c r="CNQ137" s="258"/>
      <c r="CNR137" s="270"/>
      <c r="CNS137" s="271"/>
      <c r="CNT137" s="271"/>
      <c r="CNU137" s="271"/>
      <c r="CNV137" s="221"/>
      <c r="CNW137" s="221"/>
      <c r="CNX137" s="221"/>
      <c r="CNY137" s="258"/>
      <c r="CNZ137" s="270"/>
      <c r="COA137" s="271"/>
      <c r="COB137" s="271"/>
      <c r="COC137" s="271"/>
      <c r="COD137" s="221"/>
      <c r="COE137" s="221"/>
      <c r="COF137" s="221"/>
      <c r="COG137" s="258"/>
      <c r="COH137" s="270"/>
      <c r="COI137" s="271"/>
      <c r="COJ137" s="271"/>
      <c r="COK137" s="271"/>
      <c r="COL137" s="221"/>
      <c r="COM137" s="221"/>
      <c r="CON137" s="221"/>
      <c r="COO137" s="258"/>
      <c r="COP137" s="270"/>
      <c r="COQ137" s="271"/>
      <c r="COR137" s="271"/>
      <c r="COS137" s="271"/>
      <c r="COT137" s="221"/>
      <c r="COU137" s="221"/>
      <c r="COV137" s="221"/>
      <c r="COW137" s="258"/>
      <c r="COX137" s="270"/>
      <c r="COY137" s="271"/>
      <c r="COZ137" s="271"/>
      <c r="CPA137" s="271"/>
      <c r="CPB137" s="221"/>
      <c r="CPC137" s="221"/>
      <c r="CPD137" s="221"/>
      <c r="CPE137" s="258"/>
      <c r="CPF137" s="270"/>
      <c r="CPG137" s="271"/>
      <c r="CPH137" s="271"/>
      <c r="CPI137" s="271"/>
      <c r="CPJ137" s="221"/>
      <c r="CPK137" s="221"/>
      <c r="CPL137" s="221"/>
      <c r="CPM137" s="258"/>
      <c r="CPN137" s="270"/>
      <c r="CPO137" s="271"/>
      <c r="CPP137" s="271"/>
      <c r="CPQ137" s="271"/>
      <c r="CPR137" s="221"/>
      <c r="CPS137" s="221"/>
      <c r="CPT137" s="221"/>
      <c r="CPU137" s="258"/>
      <c r="CPV137" s="270"/>
      <c r="CPW137" s="271"/>
      <c r="CPX137" s="271"/>
      <c r="CPY137" s="271"/>
      <c r="CPZ137" s="221"/>
      <c r="CQA137" s="221"/>
      <c r="CQB137" s="221"/>
      <c r="CQC137" s="258"/>
      <c r="CQD137" s="270"/>
      <c r="CQE137" s="271"/>
      <c r="CQF137" s="271"/>
      <c r="CQG137" s="271"/>
      <c r="CQH137" s="221"/>
      <c r="CQI137" s="221"/>
      <c r="CQJ137" s="221"/>
      <c r="CQK137" s="258"/>
      <c r="CQL137" s="270"/>
      <c r="CQM137" s="271"/>
      <c r="CQN137" s="271"/>
      <c r="CQO137" s="271"/>
      <c r="CQP137" s="221"/>
      <c r="CQQ137" s="221"/>
      <c r="CQR137" s="221"/>
      <c r="CQS137" s="258"/>
      <c r="CQT137" s="270"/>
      <c r="CQU137" s="271"/>
      <c r="CQV137" s="271"/>
      <c r="CQW137" s="271"/>
      <c r="CQX137" s="221"/>
      <c r="CQY137" s="221"/>
      <c r="CQZ137" s="221"/>
      <c r="CRA137" s="258"/>
      <c r="CRB137" s="270"/>
      <c r="CRC137" s="271"/>
      <c r="CRD137" s="271"/>
      <c r="CRE137" s="271"/>
      <c r="CRF137" s="221"/>
      <c r="CRG137" s="221"/>
      <c r="CRH137" s="221"/>
      <c r="CRI137" s="258"/>
      <c r="CRJ137" s="270"/>
      <c r="CRK137" s="271"/>
      <c r="CRL137" s="271"/>
      <c r="CRM137" s="271"/>
      <c r="CRN137" s="221"/>
      <c r="CRO137" s="221"/>
      <c r="CRP137" s="221"/>
      <c r="CRQ137" s="258"/>
      <c r="CRR137" s="270"/>
      <c r="CRS137" s="271"/>
      <c r="CRT137" s="271"/>
      <c r="CRU137" s="271"/>
      <c r="CRV137" s="221"/>
      <c r="CRW137" s="221"/>
      <c r="CRX137" s="221"/>
      <c r="CRY137" s="258"/>
      <c r="CRZ137" s="270"/>
      <c r="CSA137" s="271"/>
      <c r="CSB137" s="271"/>
      <c r="CSC137" s="271"/>
      <c r="CSD137" s="221"/>
      <c r="CSE137" s="221"/>
      <c r="CSF137" s="221"/>
      <c r="CSG137" s="258"/>
      <c r="CSH137" s="270"/>
      <c r="CSI137" s="271"/>
      <c r="CSJ137" s="271"/>
      <c r="CSK137" s="271"/>
      <c r="CSL137" s="221"/>
      <c r="CSM137" s="221"/>
      <c r="CSN137" s="221"/>
      <c r="CSO137" s="258"/>
      <c r="CSP137" s="270"/>
      <c r="CSQ137" s="271"/>
      <c r="CSR137" s="271"/>
      <c r="CSS137" s="271"/>
      <c r="CST137" s="221"/>
      <c r="CSU137" s="221"/>
      <c r="CSV137" s="221"/>
      <c r="CSW137" s="258"/>
      <c r="CSX137" s="270"/>
      <c r="CSY137" s="271"/>
      <c r="CSZ137" s="271"/>
      <c r="CTA137" s="271"/>
      <c r="CTB137" s="221"/>
      <c r="CTC137" s="221"/>
      <c r="CTD137" s="221"/>
      <c r="CTE137" s="258"/>
      <c r="CTF137" s="270"/>
      <c r="CTG137" s="271"/>
      <c r="CTH137" s="271"/>
      <c r="CTI137" s="271"/>
      <c r="CTJ137" s="221"/>
      <c r="CTK137" s="221"/>
      <c r="CTL137" s="221"/>
      <c r="CTM137" s="258"/>
      <c r="CTN137" s="270"/>
      <c r="CTO137" s="271"/>
      <c r="CTP137" s="271"/>
      <c r="CTQ137" s="271"/>
      <c r="CTR137" s="221"/>
      <c r="CTS137" s="221"/>
      <c r="CTT137" s="221"/>
      <c r="CTU137" s="258"/>
      <c r="CTV137" s="270"/>
      <c r="CTW137" s="271"/>
      <c r="CTX137" s="271"/>
      <c r="CTY137" s="271"/>
      <c r="CTZ137" s="221"/>
      <c r="CUA137" s="221"/>
      <c r="CUB137" s="221"/>
      <c r="CUC137" s="258"/>
      <c r="CUD137" s="270"/>
      <c r="CUE137" s="271"/>
      <c r="CUF137" s="271"/>
      <c r="CUG137" s="271"/>
      <c r="CUH137" s="221"/>
      <c r="CUI137" s="221"/>
      <c r="CUJ137" s="221"/>
      <c r="CUK137" s="258"/>
      <c r="CUL137" s="270"/>
      <c r="CUM137" s="271"/>
      <c r="CUN137" s="271"/>
      <c r="CUO137" s="271"/>
      <c r="CUP137" s="221"/>
      <c r="CUQ137" s="221"/>
      <c r="CUR137" s="221"/>
      <c r="CUS137" s="258"/>
      <c r="CUT137" s="270"/>
      <c r="CUU137" s="271"/>
      <c r="CUV137" s="271"/>
      <c r="CUW137" s="271"/>
      <c r="CUX137" s="221"/>
      <c r="CUY137" s="221"/>
      <c r="CUZ137" s="221"/>
      <c r="CVA137" s="258"/>
      <c r="CVB137" s="270"/>
      <c r="CVC137" s="271"/>
      <c r="CVD137" s="271"/>
      <c r="CVE137" s="271"/>
      <c r="CVF137" s="221"/>
      <c r="CVG137" s="221"/>
      <c r="CVH137" s="221"/>
      <c r="CVI137" s="258"/>
      <c r="CVJ137" s="270"/>
      <c r="CVK137" s="271"/>
      <c r="CVL137" s="271"/>
      <c r="CVM137" s="271"/>
      <c r="CVN137" s="221"/>
      <c r="CVO137" s="221"/>
      <c r="CVP137" s="221"/>
      <c r="CVQ137" s="258"/>
      <c r="CVR137" s="270"/>
      <c r="CVS137" s="271"/>
      <c r="CVT137" s="271"/>
      <c r="CVU137" s="271"/>
      <c r="CVV137" s="221"/>
      <c r="CVW137" s="221"/>
      <c r="CVX137" s="221"/>
      <c r="CVY137" s="258"/>
      <c r="CVZ137" s="270"/>
      <c r="CWA137" s="271"/>
      <c r="CWB137" s="271"/>
      <c r="CWC137" s="271"/>
      <c r="CWD137" s="221"/>
      <c r="CWE137" s="221"/>
      <c r="CWF137" s="221"/>
      <c r="CWG137" s="258"/>
      <c r="CWH137" s="270"/>
      <c r="CWI137" s="271"/>
      <c r="CWJ137" s="271"/>
      <c r="CWK137" s="271"/>
      <c r="CWL137" s="221"/>
      <c r="CWM137" s="221"/>
      <c r="CWN137" s="221"/>
      <c r="CWO137" s="258"/>
      <c r="CWP137" s="270"/>
      <c r="CWQ137" s="271"/>
      <c r="CWR137" s="271"/>
      <c r="CWS137" s="271"/>
      <c r="CWT137" s="221"/>
      <c r="CWU137" s="221"/>
      <c r="CWV137" s="221"/>
      <c r="CWW137" s="258"/>
      <c r="CWX137" s="270"/>
      <c r="CWY137" s="271"/>
      <c r="CWZ137" s="271"/>
      <c r="CXA137" s="271"/>
      <c r="CXB137" s="221"/>
      <c r="CXC137" s="221"/>
      <c r="CXD137" s="221"/>
      <c r="CXE137" s="258"/>
      <c r="CXF137" s="270"/>
      <c r="CXG137" s="271"/>
      <c r="CXH137" s="271"/>
      <c r="CXI137" s="271"/>
      <c r="CXJ137" s="221"/>
      <c r="CXK137" s="221"/>
      <c r="CXL137" s="221"/>
      <c r="CXM137" s="258"/>
      <c r="CXN137" s="270"/>
      <c r="CXO137" s="271"/>
      <c r="CXP137" s="271"/>
      <c r="CXQ137" s="271"/>
      <c r="CXR137" s="221"/>
      <c r="CXS137" s="221"/>
      <c r="CXT137" s="221"/>
      <c r="CXU137" s="258"/>
      <c r="CXV137" s="270"/>
      <c r="CXW137" s="271"/>
      <c r="CXX137" s="271"/>
      <c r="CXY137" s="271"/>
      <c r="CXZ137" s="221"/>
      <c r="CYA137" s="221"/>
      <c r="CYB137" s="221"/>
      <c r="CYC137" s="258"/>
      <c r="CYD137" s="270"/>
      <c r="CYE137" s="271"/>
      <c r="CYF137" s="271"/>
      <c r="CYG137" s="271"/>
      <c r="CYH137" s="221"/>
      <c r="CYI137" s="221"/>
      <c r="CYJ137" s="221"/>
      <c r="CYK137" s="258"/>
      <c r="CYL137" s="270"/>
      <c r="CYM137" s="271"/>
      <c r="CYN137" s="271"/>
      <c r="CYO137" s="271"/>
      <c r="CYP137" s="221"/>
      <c r="CYQ137" s="221"/>
      <c r="CYR137" s="221"/>
      <c r="CYS137" s="258"/>
      <c r="CYT137" s="270"/>
      <c r="CYU137" s="271"/>
      <c r="CYV137" s="271"/>
      <c r="CYW137" s="271"/>
      <c r="CYX137" s="221"/>
      <c r="CYY137" s="221"/>
      <c r="CYZ137" s="221"/>
      <c r="CZA137" s="258"/>
      <c r="CZB137" s="270"/>
      <c r="CZC137" s="271"/>
      <c r="CZD137" s="271"/>
      <c r="CZE137" s="271"/>
      <c r="CZF137" s="221"/>
      <c r="CZG137" s="221"/>
      <c r="CZH137" s="221"/>
      <c r="CZI137" s="258"/>
      <c r="CZJ137" s="270"/>
      <c r="CZK137" s="271"/>
      <c r="CZL137" s="271"/>
      <c r="CZM137" s="271"/>
      <c r="CZN137" s="221"/>
      <c r="CZO137" s="221"/>
      <c r="CZP137" s="221"/>
      <c r="CZQ137" s="258"/>
      <c r="CZR137" s="270"/>
      <c r="CZS137" s="271"/>
      <c r="CZT137" s="271"/>
      <c r="CZU137" s="271"/>
      <c r="CZV137" s="221"/>
      <c r="CZW137" s="221"/>
      <c r="CZX137" s="221"/>
      <c r="CZY137" s="258"/>
      <c r="CZZ137" s="270"/>
      <c r="DAA137" s="271"/>
      <c r="DAB137" s="271"/>
      <c r="DAC137" s="271"/>
      <c r="DAD137" s="221"/>
      <c r="DAE137" s="221"/>
      <c r="DAF137" s="221"/>
      <c r="DAG137" s="258"/>
      <c r="DAH137" s="270"/>
      <c r="DAI137" s="271"/>
      <c r="DAJ137" s="271"/>
      <c r="DAK137" s="271"/>
      <c r="DAL137" s="221"/>
      <c r="DAM137" s="221"/>
      <c r="DAN137" s="221"/>
      <c r="DAO137" s="258"/>
      <c r="DAP137" s="270"/>
      <c r="DAQ137" s="271"/>
      <c r="DAR137" s="271"/>
      <c r="DAS137" s="271"/>
      <c r="DAT137" s="221"/>
      <c r="DAU137" s="221"/>
      <c r="DAV137" s="221"/>
      <c r="DAW137" s="258"/>
      <c r="DAX137" s="270"/>
      <c r="DAY137" s="271"/>
      <c r="DAZ137" s="271"/>
      <c r="DBA137" s="271"/>
      <c r="DBB137" s="221"/>
      <c r="DBC137" s="221"/>
      <c r="DBD137" s="221"/>
      <c r="DBE137" s="258"/>
      <c r="DBF137" s="270"/>
      <c r="DBG137" s="271"/>
      <c r="DBH137" s="271"/>
      <c r="DBI137" s="271"/>
      <c r="DBJ137" s="221"/>
      <c r="DBK137" s="221"/>
      <c r="DBL137" s="221"/>
      <c r="DBM137" s="258"/>
      <c r="DBN137" s="270"/>
      <c r="DBO137" s="271"/>
      <c r="DBP137" s="271"/>
      <c r="DBQ137" s="271"/>
      <c r="DBR137" s="221"/>
      <c r="DBS137" s="221"/>
      <c r="DBT137" s="221"/>
      <c r="DBU137" s="258"/>
      <c r="DBV137" s="270"/>
      <c r="DBW137" s="271"/>
      <c r="DBX137" s="271"/>
      <c r="DBY137" s="271"/>
      <c r="DBZ137" s="221"/>
      <c r="DCA137" s="221"/>
      <c r="DCB137" s="221"/>
      <c r="DCC137" s="258"/>
      <c r="DCD137" s="270"/>
      <c r="DCE137" s="271"/>
      <c r="DCF137" s="271"/>
      <c r="DCG137" s="271"/>
      <c r="DCH137" s="221"/>
      <c r="DCI137" s="221"/>
      <c r="DCJ137" s="221"/>
      <c r="DCK137" s="258"/>
      <c r="DCL137" s="270"/>
      <c r="DCM137" s="271"/>
      <c r="DCN137" s="271"/>
      <c r="DCO137" s="271"/>
      <c r="DCP137" s="221"/>
      <c r="DCQ137" s="221"/>
      <c r="DCR137" s="221"/>
      <c r="DCS137" s="258"/>
      <c r="DCT137" s="270"/>
      <c r="DCU137" s="271"/>
      <c r="DCV137" s="271"/>
      <c r="DCW137" s="271"/>
      <c r="DCX137" s="221"/>
      <c r="DCY137" s="221"/>
      <c r="DCZ137" s="221"/>
      <c r="DDA137" s="258"/>
      <c r="DDB137" s="270"/>
      <c r="DDC137" s="271"/>
      <c r="DDD137" s="271"/>
      <c r="DDE137" s="271"/>
      <c r="DDF137" s="221"/>
      <c r="DDG137" s="221"/>
      <c r="DDH137" s="221"/>
      <c r="DDI137" s="258"/>
      <c r="DDJ137" s="270"/>
      <c r="DDK137" s="271"/>
      <c r="DDL137" s="271"/>
      <c r="DDM137" s="271"/>
      <c r="DDN137" s="221"/>
      <c r="DDO137" s="221"/>
      <c r="DDP137" s="221"/>
      <c r="DDQ137" s="258"/>
      <c r="DDR137" s="270"/>
      <c r="DDS137" s="271"/>
      <c r="DDT137" s="271"/>
      <c r="DDU137" s="271"/>
      <c r="DDV137" s="221"/>
      <c r="DDW137" s="221"/>
      <c r="DDX137" s="221"/>
      <c r="DDY137" s="258"/>
      <c r="DDZ137" s="270"/>
      <c r="DEA137" s="271"/>
      <c r="DEB137" s="271"/>
      <c r="DEC137" s="271"/>
      <c r="DED137" s="221"/>
      <c r="DEE137" s="221"/>
      <c r="DEF137" s="221"/>
      <c r="DEG137" s="258"/>
      <c r="DEH137" s="270"/>
      <c r="DEI137" s="271"/>
      <c r="DEJ137" s="271"/>
      <c r="DEK137" s="271"/>
      <c r="DEL137" s="221"/>
      <c r="DEM137" s="221"/>
      <c r="DEN137" s="221"/>
      <c r="DEO137" s="258"/>
      <c r="DEP137" s="270"/>
      <c r="DEQ137" s="271"/>
      <c r="DER137" s="271"/>
      <c r="DES137" s="271"/>
      <c r="DET137" s="221"/>
      <c r="DEU137" s="221"/>
      <c r="DEV137" s="221"/>
      <c r="DEW137" s="258"/>
      <c r="DEX137" s="270"/>
      <c r="DEY137" s="271"/>
      <c r="DEZ137" s="271"/>
      <c r="DFA137" s="271"/>
      <c r="DFB137" s="221"/>
      <c r="DFC137" s="221"/>
      <c r="DFD137" s="221"/>
      <c r="DFE137" s="258"/>
      <c r="DFF137" s="270"/>
      <c r="DFG137" s="271"/>
      <c r="DFH137" s="271"/>
      <c r="DFI137" s="271"/>
      <c r="DFJ137" s="221"/>
      <c r="DFK137" s="221"/>
      <c r="DFL137" s="221"/>
      <c r="DFM137" s="258"/>
      <c r="DFN137" s="270"/>
      <c r="DFO137" s="271"/>
      <c r="DFP137" s="271"/>
      <c r="DFQ137" s="271"/>
      <c r="DFR137" s="221"/>
      <c r="DFS137" s="221"/>
      <c r="DFT137" s="221"/>
      <c r="DFU137" s="258"/>
      <c r="DFV137" s="270"/>
      <c r="DFW137" s="271"/>
      <c r="DFX137" s="271"/>
      <c r="DFY137" s="271"/>
      <c r="DFZ137" s="221"/>
      <c r="DGA137" s="221"/>
      <c r="DGB137" s="221"/>
      <c r="DGC137" s="258"/>
      <c r="DGD137" s="270"/>
      <c r="DGE137" s="271"/>
      <c r="DGF137" s="271"/>
      <c r="DGG137" s="271"/>
      <c r="DGH137" s="221"/>
      <c r="DGI137" s="221"/>
      <c r="DGJ137" s="221"/>
      <c r="DGK137" s="258"/>
      <c r="DGL137" s="270"/>
      <c r="DGM137" s="271"/>
      <c r="DGN137" s="271"/>
      <c r="DGO137" s="271"/>
      <c r="DGP137" s="221"/>
      <c r="DGQ137" s="221"/>
      <c r="DGR137" s="221"/>
      <c r="DGS137" s="258"/>
      <c r="DGT137" s="270"/>
      <c r="DGU137" s="271"/>
      <c r="DGV137" s="271"/>
      <c r="DGW137" s="271"/>
      <c r="DGX137" s="221"/>
      <c r="DGY137" s="221"/>
      <c r="DGZ137" s="221"/>
      <c r="DHA137" s="258"/>
      <c r="DHB137" s="270"/>
      <c r="DHC137" s="271"/>
      <c r="DHD137" s="271"/>
      <c r="DHE137" s="271"/>
      <c r="DHF137" s="221"/>
      <c r="DHG137" s="221"/>
      <c r="DHH137" s="221"/>
      <c r="DHI137" s="258"/>
      <c r="DHJ137" s="270"/>
      <c r="DHK137" s="271"/>
      <c r="DHL137" s="271"/>
      <c r="DHM137" s="271"/>
      <c r="DHN137" s="221"/>
      <c r="DHO137" s="221"/>
      <c r="DHP137" s="221"/>
      <c r="DHQ137" s="258"/>
      <c r="DHR137" s="270"/>
      <c r="DHS137" s="271"/>
      <c r="DHT137" s="271"/>
      <c r="DHU137" s="271"/>
      <c r="DHV137" s="221"/>
      <c r="DHW137" s="221"/>
      <c r="DHX137" s="221"/>
      <c r="DHY137" s="258"/>
      <c r="DHZ137" s="270"/>
      <c r="DIA137" s="271"/>
      <c r="DIB137" s="271"/>
      <c r="DIC137" s="271"/>
      <c r="DID137" s="221"/>
      <c r="DIE137" s="221"/>
      <c r="DIF137" s="221"/>
      <c r="DIG137" s="258"/>
      <c r="DIH137" s="270"/>
      <c r="DII137" s="271"/>
      <c r="DIJ137" s="271"/>
      <c r="DIK137" s="271"/>
      <c r="DIL137" s="221"/>
      <c r="DIM137" s="221"/>
      <c r="DIN137" s="221"/>
      <c r="DIO137" s="258"/>
      <c r="DIP137" s="270"/>
      <c r="DIQ137" s="271"/>
      <c r="DIR137" s="271"/>
      <c r="DIS137" s="271"/>
      <c r="DIT137" s="221"/>
      <c r="DIU137" s="221"/>
      <c r="DIV137" s="221"/>
      <c r="DIW137" s="258"/>
      <c r="DIX137" s="270"/>
      <c r="DIY137" s="271"/>
      <c r="DIZ137" s="271"/>
      <c r="DJA137" s="271"/>
      <c r="DJB137" s="221"/>
      <c r="DJC137" s="221"/>
      <c r="DJD137" s="221"/>
      <c r="DJE137" s="258"/>
      <c r="DJF137" s="270"/>
      <c r="DJG137" s="271"/>
      <c r="DJH137" s="271"/>
      <c r="DJI137" s="271"/>
      <c r="DJJ137" s="221"/>
      <c r="DJK137" s="221"/>
      <c r="DJL137" s="221"/>
      <c r="DJM137" s="258"/>
      <c r="DJN137" s="270"/>
      <c r="DJO137" s="271"/>
      <c r="DJP137" s="271"/>
      <c r="DJQ137" s="271"/>
      <c r="DJR137" s="221"/>
      <c r="DJS137" s="221"/>
      <c r="DJT137" s="221"/>
      <c r="DJU137" s="258"/>
      <c r="DJV137" s="270"/>
      <c r="DJW137" s="271"/>
      <c r="DJX137" s="271"/>
      <c r="DJY137" s="271"/>
      <c r="DJZ137" s="221"/>
      <c r="DKA137" s="221"/>
      <c r="DKB137" s="221"/>
      <c r="DKC137" s="258"/>
      <c r="DKD137" s="270"/>
      <c r="DKE137" s="271"/>
      <c r="DKF137" s="271"/>
      <c r="DKG137" s="271"/>
      <c r="DKH137" s="221"/>
      <c r="DKI137" s="221"/>
      <c r="DKJ137" s="221"/>
      <c r="DKK137" s="258"/>
      <c r="DKL137" s="270"/>
      <c r="DKM137" s="271"/>
      <c r="DKN137" s="271"/>
      <c r="DKO137" s="271"/>
      <c r="DKP137" s="221"/>
      <c r="DKQ137" s="221"/>
      <c r="DKR137" s="221"/>
      <c r="DKS137" s="258"/>
      <c r="DKT137" s="270"/>
      <c r="DKU137" s="271"/>
      <c r="DKV137" s="271"/>
      <c r="DKW137" s="271"/>
      <c r="DKX137" s="221"/>
      <c r="DKY137" s="221"/>
      <c r="DKZ137" s="221"/>
      <c r="DLA137" s="258"/>
      <c r="DLB137" s="270"/>
      <c r="DLC137" s="271"/>
      <c r="DLD137" s="271"/>
      <c r="DLE137" s="271"/>
      <c r="DLF137" s="221"/>
      <c r="DLG137" s="221"/>
      <c r="DLH137" s="221"/>
      <c r="DLI137" s="258"/>
      <c r="DLJ137" s="270"/>
      <c r="DLK137" s="271"/>
      <c r="DLL137" s="271"/>
      <c r="DLM137" s="271"/>
      <c r="DLN137" s="221"/>
      <c r="DLO137" s="221"/>
      <c r="DLP137" s="221"/>
      <c r="DLQ137" s="258"/>
      <c r="DLR137" s="270"/>
      <c r="DLS137" s="271"/>
      <c r="DLT137" s="271"/>
      <c r="DLU137" s="271"/>
      <c r="DLV137" s="221"/>
      <c r="DLW137" s="221"/>
      <c r="DLX137" s="221"/>
      <c r="DLY137" s="258"/>
      <c r="DLZ137" s="270"/>
      <c r="DMA137" s="271"/>
      <c r="DMB137" s="271"/>
      <c r="DMC137" s="271"/>
      <c r="DMD137" s="221"/>
      <c r="DME137" s="221"/>
      <c r="DMF137" s="221"/>
      <c r="DMG137" s="258"/>
      <c r="DMH137" s="270"/>
      <c r="DMI137" s="271"/>
      <c r="DMJ137" s="271"/>
      <c r="DMK137" s="271"/>
      <c r="DML137" s="221"/>
      <c r="DMM137" s="221"/>
      <c r="DMN137" s="221"/>
      <c r="DMO137" s="258"/>
      <c r="DMP137" s="270"/>
      <c r="DMQ137" s="271"/>
      <c r="DMR137" s="271"/>
      <c r="DMS137" s="271"/>
      <c r="DMT137" s="221"/>
      <c r="DMU137" s="221"/>
      <c r="DMV137" s="221"/>
      <c r="DMW137" s="258"/>
      <c r="DMX137" s="270"/>
      <c r="DMY137" s="271"/>
      <c r="DMZ137" s="271"/>
      <c r="DNA137" s="271"/>
      <c r="DNB137" s="221"/>
      <c r="DNC137" s="221"/>
      <c r="DND137" s="221"/>
      <c r="DNE137" s="258"/>
      <c r="DNF137" s="270"/>
      <c r="DNG137" s="271"/>
      <c r="DNH137" s="271"/>
      <c r="DNI137" s="271"/>
      <c r="DNJ137" s="221"/>
      <c r="DNK137" s="221"/>
      <c r="DNL137" s="221"/>
      <c r="DNM137" s="258"/>
      <c r="DNN137" s="270"/>
      <c r="DNO137" s="271"/>
      <c r="DNP137" s="271"/>
      <c r="DNQ137" s="271"/>
      <c r="DNR137" s="221"/>
      <c r="DNS137" s="221"/>
      <c r="DNT137" s="221"/>
      <c r="DNU137" s="258"/>
      <c r="DNV137" s="270"/>
      <c r="DNW137" s="271"/>
      <c r="DNX137" s="271"/>
      <c r="DNY137" s="271"/>
      <c r="DNZ137" s="221"/>
      <c r="DOA137" s="221"/>
      <c r="DOB137" s="221"/>
      <c r="DOC137" s="258"/>
      <c r="DOD137" s="270"/>
      <c r="DOE137" s="271"/>
      <c r="DOF137" s="271"/>
      <c r="DOG137" s="271"/>
      <c r="DOH137" s="221"/>
      <c r="DOI137" s="221"/>
      <c r="DOJ137" s="221"/>
      <c r="DOK137" s="258"/>
      <c r="DOL137" s="270"/>
      <c r="DOM137" s="271"/>
      <c r="DON137" s="271"/>
      <c r="DOO137" s="271"/>
      <c r="DOP137" s="221"/>
      <c r="DOQ137" s="221"/>
      <c r="DOR137" s="221"/>
      <c r="DOS137" s="258"/>
      <c r="DOT137" s="270"/>
      <c r="DOU137" s="271"/>
      <c r="DOV137" s="271"/>
      <c r="DOW137" s="271"/>
      <c r="DOX137" s="221"/>
      <c r="DOY137" s="221"/>
      <c r="DOZ137" s="221"/>
      <c r="DPA137" s="258"/>
      <c r="DPB137" s="270"/>
      <c r="DPC137" s="271"/>
      <c r="DPD137" s="271"/>
      <c r="DPE137" s="271"/>
      <c r="DPF137" s="221"/>
      <c r="DPG137" s="221"/>
      <c r="DPH137" s="221"/>
      <c r="DPI137" s="258"/>
      <c r="DPJ137" s="270"/>
      <c r="DPK137" s="271"/>
      <c r="DPL137" s="271"/>
      <c r="DPM137" s="271"/>
      <c r="DPN137" s="221"/>
      <c r="DPO137" s="221"/>
      <c r="DPP137" s="221"/>
      <c r="DPQ137" s="258"/>
      <c r="DPR137" s="270"/>
      <c r="DPS137" s="271"/>
      <c r="DPT137" s="271"/>
      <c r="DPU137" s="271"/>
      <c r="DPV137" s="221"/>
      <c r="DPW137" s="221"/>
      <c r="DPX137" s="221"/>
      <c r="DPY137" s="258"/>
      <c r="DPZ137" s="270"/>
      <c r="DQA137" s="271"/>
      <c r="DQB137" s="271"/>
      <c r="DQC137" s="271"/>
      <c r="DQD137" s="221"/>
      <c r="DQE137" s="221"/>
      <c r="DQF137" s="221"/>
      <c r="DQG137" s="258"/>
      <c r="DQH137" s="270"/>
      <c r="DQI137" s="271"/>
      <c r="DQJ137" s="271"/>
      <c r="DQK137" s="271"/>
      <c r="DQL137" s="221"/>
      <c r="DQM137" s="221"/>
      <c r="DQN137" s="221"/>
      <c r="DQO137" s="258"/>
      <c r="DQP137" s="270"/>
      <c r="DQQ137" s="271"/>
      <c r="DQR137" s="271"/>
      <c r="DQS137" s="271"/>
      <c r="DQT137" s="221"/>
      <c r="DQU137" s="221"/>
      <c r="DQV137" s="221"/>
      <c r="DQW137" s="258"/>
      <c r="DQX137" s="270"/>
      <c r="DQY137" s="271"/>
      <c r="DQZ137" s="271"/>
      <c r="DRA137" s="271"/>
      <c r="DRB137" s="221"/>
      <c r="DRC137" s="221"/>
      <c r="DRD137" s="221"/>
      <c r="DRE137" s="258"/>
      <c r="DRF137" s="270"/>
      <c r="DRG137" s="271"/>
      <c r="DRH137" s="271"/>
      <c r="DRI137" s="271"/>
      <c r="DRJ137" s="221"/>
      <c r="DRK137" s="221"/>
      <c r="DRL137" s="221"/>
      <c r="DRM137" s="258"/>
      <c r="DRN137" s="270"/>
      <c r="DRO137" s="271"/>
      <c r="DRP137" s="271"/>
      <c r="DRQ137" s="271"/>
      <c r="DRR137" s="221"/>
      <c r="DRS137" s="221"/>
      <c r="DRT137" s="221"/>
      <c r="DRU137" s="258"/>
      <c r="DRV137" s="270"/>
      <c r="DRW137" s="271"/>
      <c r="DRX137" s="271"/>
      <c r="DRY137" s="271"/>
      <c r="DRZ137" s="221"/>
      <c r="DSA137" s="221"/>
      <c r="DSB137" s="221"/>
      <c r="DSC137" s="258"/>
      <c r="DSD137" s="270"/>
      <c r="DSE137" s="271"/>
      <c r="DSF137" s="271"/>
      <c r="DSG137" s="271"/>
      <c r="DSH137" s="221"/>
      <c r="DSI137" s="221"/>
      <c r="DSJ137" s="221"/>
      <c r="DSK137" s="258"/>
      <c r="DSL137" s="270"/>
      <c r="DSM137" s="271"/>
      <c r="DSN137" s="271"/>
      <c r="DSO137" s="271"/>
      <c r="DSP137" s="221"/>
      <c r="DSQ137" s="221"/>
      <c r="DSR137" s="221"/>
      <c r="DSS137" s="258"/>
      <c r="DST137" s="270"/>
      <c r="DSU137" s="271"/>
      <c r="DSV137" s="271"/>
      <c r="DSW137" s="271"/>
      <c r="DSX137" s="221"/>
      <c r="DSY137" s="221"/>
      <c r="DSZ137" s="221"/>
      <c r="DTA137" s="258"/>
      <c r="DTB137" s="270"/>
      <c r="DTC137" s="271"/>
      <c r="DTD137" s="271"/>
      <c r="DTE137" s="271"/>
      <c r="DTF137" s="221"/>
      <c r="DTG137" s="221"/>
      <c r="DTH137" s="221"/>
      <c r="DTI137" s="258"/>
      <c r="DTJ137" s="270"/>
      <c r="DTK137" s="271"/>
      <c r="DTL137" s="271"/>
      <c r="DTM137" s="271"/>
      <c r="DTN137" s="221"/>
      <c r="DTO137" s="221"/>
      <c r="DTP137" s="221"/>
      <c r="DTQ137" s="258"/>
      <c r="DTR137" s="270"/>
      <c r="DTS137" s="271"/>
      <c r="DTT137" s="271"/>
      <c r="DTU137" s="271"/>
      <c r="DTV137" s="221"/>
      <c r="DTW137" s="221"/>
      <c r="DTX137" s="221"/>
      <c r="DTY137" s="258"/>
      <c r="DTZ137" s="270"/>
      <c r="DUA137" s="271"/>
      <c r="DUB137" s="271"/>
      <c r="DUC137" s="271"/>
      <c r="DUD137" s="221"/>
      <c r="DUE137" s="221"/>
      <c r="DUF137" s="221"/>
      <c r="DUG137" s="258"/>
      <c r="DUH137" s="270"/>
      <c r="DUI137" s="271"/>
      <c r="DUJ137" s="271"/>
      <c r="DUK137" s="271"/>
      <c r="DUL137" s="221"/>
      <c r="DUM137" s="221"/>
      <c r="DUN137" s="221"/>
      <c r="DUO137" s="258"/>
      <c r="DUP137" s="270"/>
      <c r="DUQ137" s="271"/>
      <c r="DUR137" s="271"/>
      <c r="DUS137" s="271"/>
      <c r="DUT137" s="221"/>
      <c r="DUU137" s="221"/>
      <c r="DUV137" s="221"/>
      <c r="DUW137" s="258"/>
      <c r="DUX137" s="270"/>
      <c r="DUY137" s="271"/>
      <c r="DUZ137" s="271"/>
      <c r="DVA137" s="271"/>
      <c r="DVB137" s="221"/>
      <c r="DVC137" s="221"/>
      <c r="DVD137" s="221"/>
      <c r="DVE137" s="258"/>
      <c r="DVF137" s="270"/>
      <c r="DVG137" s="271"/>
      <c r="DVH137" s="271"/>
      <c r="DVI137" s="271"/>
      <c r="DVJ137" s="221"/>
      <c r="DVK137" s="221"/>
      <c r="DVL137" s="221"/>
      <c r="DVM137" s="258"/>
      <c r="DVN137" s="270"/>
      <c r="DVO137" s="271"/>
      <c r="DVP137" s="271"/>
      <c r="DVQ137" s="271"/>
      <c r="DVR137" s="221"/>
      <c r="DVS137" s="221"/>
      <c r="DVT137" s="221"/>
      <c r="DVU137" s="258"/>
      <c r="DVV137" s="270"/>
      <c r="DVW137" s="271"/>
      <c r="DVX137" s="271"/>
      <c r="DVY137" s="271"/>
      <c r="DVZ137" s="221"/>
      <c r="DWA137" s="221"/>
      <c r="DWB137" s="221"/>
      <c r="DWC137" s="258"/>
      <c r="DWD137" s="270"/>
      <c r="DWE137" s="271"/>
      <c r="DWF137" s="271"/>
      <c r="DWG137" s="271"/>
      <c r="DWH137" s="221"/>
      <c r="DWI137" s="221"/>
      <c r="DWJ137" s="221"/>
      <c r="DWK137" s="258"/>
      <c r="DWL137" s="270"/>
      <c r="DWM137" s="271"/>
      <c r="DWN137" s="271"/>
      <c r="DWO137" s="271"/>
      <c r="DWP137" s="221"/>
      <c r="DWQ137" s="221"/>
      <c r="DWR137" s="221"/>
      <c r="DWS137" s="258"/>
      <c r="DWT137" s="270"/>
      <c r="DWU137" s="271"/>
      <c r="DWV137" s="271"/>
      <c r="DWW137" s="271"/>
      <c r="DWX137" s="221"/>
      <c r="DWY137" s="221"/>
      <c r="DWZ137" s="221"/>
      <c r="DXA137" s="258"/>
      <c r="DXB137" s="270"/>
      <c r="DXC137" s="271"/>
      <c r="DXD137" s="271"/>
      <c r="DXE137" s="271"/>
      <c r="DXF137" s="221"/>
      <c r="DXG137" s="221"/>
      <c r="DXH137" s="221"/>
      <c r="DXI137" s="258"/>
      <c r="DXJ137" s="270"/>
      <c r="DXK137" s="271"/>
      <c r="DXL137" s="271"/>
      <c r="DXM137" s="271"/>
      <c r="DXN137" s="221"/>
      <c r="DXO137" s="221"/>
      <c r="DXP137" s="221"/>
      <c r="DXQ137" s="258"/>
      <c r="DXR137" s="270"/>
      <c r="DXS137" s="271"/>
      <c r="DXT137" s="271"/>
      <c r="DXU137" s="271"/>
      <c r="DXV137" s="221"/>
      <c r="DXW137" s="221"/>
      <c r="DXX137" s="221"/>
      <c r="DXY137" s="258"/>
      <c r="DXZ137" s="270"/>
      <c r="DYA137" s="271"/>
      <c r="DYB137" s="271"/>
      <c r="DYC137" s="271"/>
      <c r="DYD137" s="221"/>
      <c r="DYE137" s="221"/>
      <c r="DYF137" s="221"/>
      <c r="DYG137" s="258"/>
      <c r="DYH137" s="270"/>
      <c r="DYI137" s="271"/>
      <c r="DYJ137" s="271"/>
      <c r="DYK137" s="271"/>
      <c r="DYL137" s="221"/>
      <c r="DYM137" s="221"/>
      <c r="DYN137" s="221"/>
      <c r="DYO137" s="258"/>
      <c r="DYP137" s="270"/>
      <c r="DYQ137" s="271"/>
      <c r="DYR137" s="271"/>
      <c r="DYS137" s="271"/>
      <c r="DYT137" s="221"/>
      <c r="DYU137" s="221"/>
      <c r="DYV137" s="221"/>
      <c r="DYW137" s="258"/>
      <c r="DYX137" s="270"/>
      <c r="DYY137" s="271"/>
      <c r="DYZ137" s="271"/>
      <c r="DZA137" s="271"/>
      <c r="DZB137" s="221"/>
      <c r="DZC137" s="221"/>
      <c r="DZD137" s="221"/>
      <c r="DZE137" s="258"/>
      <c r="DZF137" s="270"/>
      <c r="DZG137" s="271"/>
      <c r="DZH137" s="271"/>
      <c r="DZI137" s="271"/>
      <c r="DZJ137" s="221"/>
      <c r="DZK137" s="221"/>
      <c r="DZL137" s="221"/>
      <c r="DZM137" s="258"/>
      <c r="DZN137" s="270"/>
      <c r="DZO137" s="271"/>
      <c r="DZP137" s="271"/>
      <c r="DZQ137" s="271"/>
      <c r="DZR137" s="221"/>
      <c r="DZS137" s="221"/>
      <c r="DZT137" s="221"/>
      <c r="DZU137" s="258"/>
      <c r="DZV137" s="270"/>
      <c r="DZW137" s="271"/>
      <c r="DZX137" s="271"/>
      <c r="DZY137" s="271"/>
      <c r="DZZ137" s="221"/>
      <c r="EAA137" s="221"/>
      <c r="EAB137" s="221"/>
      <c r="EAC137" s="258"/>
      <c r="EAD137" s="270"/>
      <c r="EAE137" s="271"/>
      <c r="EAF137" s="271"/>
      <c r="EAG137" s="271"/>
      <c r="EAH137" s="221"/>
      <c r="EAI137" s="221"/>
      <c r="EAJ137" s="221"/>
      <c r="EAK137" s="258"/>
      <c r="EAL137" s="270"/>
      <c r="EAM137" s="271"/>
      <c r="EAN137" s="271"/>
      <c r="EAO137" s="271"/>
      <c r="EAP137" s="221"/>
      <c r="EAQ137" s="221"/>
      <c r="EAR137" s="221"/>
      <c r="EAS137" s="258"/>
      <c r="EAT137" s="270"/>
      <c r="EAU137" s="271"/>
      <c r="EAV137" s="271"/>
      <c r="EAW137" s="271"/>
      <c r="EAX137" s="221"/>
      <c r="EAY137" s="221"/>
      <c r="EAZ137" s="221"/>
      <c r="EBA137" s="258"/>
      <c r="EBB137" s="270"/>
      <c r="EBC137" s="271"/>
      <c r="EBD137" s="271"/>
      <c r="EBE137" s="271"/>
      <c r="EBF137" s="221"/>
      <c r="EBG137" s="221"/>
      <c r="EBH137" s="221"/>
      <c r="EBI137" s="258"/>
      <c r="EBJ137" s="270"/>
      <c r="EBK137" s="271"/>
      <c r="EBL137" s="271"/>
      <c r="EBM137" s="271"/>
      <c r="EBN137" s="221"/>
      <c r="EBO137" s="221"/>
      <c r="EBP137" s="221"/>
      <c r="EBQ137" s="258"/>
      <c r="EBR137" s="270"/>
      <c r="EBS137" s="271"/>
      <c r="EBT137" s="271"/>
      <c r="EBU137" s="271"/>
      <c r="EBV137" s="221"/>
      <c r="EBW137" s="221"/>
      <c r="EBX137" s="221"/>
      <c r="EBY137" s="258"/>
      <c r="EBZ137" s="270"/>
      <c r="ECA137" s="271"/>
      <c r="ECB137" s="271"/>
      <c r="ECC137" s="271"/>
      <c r="ECD137" s="221"/>
      <c r="ECE137" s="221"/>
      <c r="ECF137" s="221"/>
      <c r="ECG137" s="258"/>
      <c r="ECH137" s="270"/>
      <c r="ECI137" s="271"/>
      <c r="ECJ137" s="271"/>
      <c r="ECK137" s="271"/>
      <c r="ECL137" s="221"/>
      <c r="ECM137" s="221"/>
      <c r="ECN137" s="221"/>
      <c r="ECO137" s="258"/>
      <c r="ECP137" s="270"/>
      <c r="ECQ137" s="271"/>
      <c r="ECR137" s="271"/>
      <c r="ECS137" s="271"/>
      <c r="ECT137" s="221"/>
      <c r="ECU137" s="221"/>
      <c r="ECV137" s="221"/>
      <c r="ECW137" s="258"/>
      <c r="ECX137" s="270"/>
      <c r="ECY137" s="271"/>
      <c r="ECZ137" s="271"/>
      <c r="EDA137" s="271"/>
      <c r="EDB137" s="221"/>
      <c r="EDC137" s="221"/>
      <c r="EDD137" s="221"/>
      <c r="EDE137" s="258"/>
      <c r="EDF137" s="270"/>
      <c r="EDG137" s="271"/>
      <c r="EDH137" s="271"/>
      <c r="EDI137" s="271"/>
      <c r="EDJ137" s="221"/>
      <c r="EDK137" s="221"/>
      <c r="EDL137" s="221"/>
      <c r="EDM137" s="258"/>
      <c r="EDN137" s="270"/>
      <c r="EDO137" s="271"/>
      <c r="EDP137" s="271"/>
      <c r="EDQ137" s="271"/>
      <c r="EDR137" s="221"/>
      <c r="EDS137" s="221"/>
      <c r="EDT137" s="221"/>
      <c r="EDU137" s="258"/>
      <c r="EDV137" s="270"/>
      <c r="EDW137" s="271"/>
      <c r="EDX137" s="271"/>
      <c r="EDY137" s="271"/>
      <c r="EDZ137" s="221"/>
      <c r="EEA137" s="221"/>
      <c r="EEB137" s="221"/>
      <c r="EEC137" s="258"/>
      <c r="EED137" s="270"/>
      <c r="EEE137" s="271"/>
      <c r="EEF137" s="271"/>
      <c r="EEG137" s="271"/>
      <c r="EEH137" s="221"/>
      <c r="EEI137" s="221"/>
      <c r="EEJ137" s="221"/>
      <c r="EEK137" s="258"/>
      <c r="EEL137" s="270"/>
      <c r="EEM137" s="271"/>
      <c r="EEN137" s="271"/>
      <c r="EEO137" s="271"/>
      <c r="EEP137" s="221"/>
      <c r="EEQ137" s="221"/>
      <c r="EER137" s="221"/>
      <c r="EES137" s="258"/>
      <c r="EET137" s="270"/>
      <c r="EEU137" s="271"/>
      <c r="EEV137" s="271"/>
      <c r="EEW137" s="271"/>
      <c r="EEX137" s="221"/>
      <c r="EEY137" s="221"/>
      <c r="EEZ137" s="221"/>
      <c r="EFA137" s="258"/>
      <c r="EFB137" s="270"/>
      <c r="EFC137" s="271"/>
      <c r="EFD137" s="271"/>
      <c r="EFE137" s="271"/>
      <c r="EFF137" s="221"/>
      <c r="EFG137" s="221"/>
      <c r="EFH137" s="221"/>
      <c r="EFI137" s="258"/>
      <c r="EFJ137" s="270"/>
      <c r="EFK137" s="271"/>
      <c r="EFL137" s="271"/>
      <c r="EFM137" s="271"/>
      <c r="EFN137" s="221"/>
      <c r="EFO137" s="221"/>
      <c r="EFP137" s="221"/>
      <c r="EFQ137" s="258"/>
      <c r="EFR137" s="270"/>
      <c r="EFS137" s="271"/>
      <c r="EFT137" s="271"/>
      <c r="EFU137" s="271"/>
      <c r="EFV137" s="221"/>
      <c r="EFW137" s="221"/>
      <c r="EFX137" s="221"/>
      <c r="EFY137" s="258"/>
      <c r="EFZ137" s="270"/>
      <c r="EGA137" s="271"/>
      <c r="EGB137" s="271"/>
      <c r="EGC137" s="271"/>
      <c r="EGD137" s="221"/>
      <c r="EGE137" s="221"/>
      <c r="EGF137" s="221"/>
      <c r="EGG137" s="258"/>
      <c r="EGH137" s="270"/>
      <c r="EGI137" s="271"/>
      <c r="EGJ137" s="271"/>
      <c r="EGK137" s="271"/>
      <c r="EGL137" s="221"/>
      <c r="EGM137" s="221"/>
      <c r="EGN137" s="221"/>
      <c r="EGO137" s="258"/>
      <c r="EGP137" s="270"/>
      <c r="EGQ137" s="271"/>
      <c r="EGR137" s="271"/>
      <c r="EGS137" s="271"/>
      <c r="EGT137" s="221"/>
      <c r="EGU137" s="221"/>
      <c r="EGV137" s="221"/>
      <c r="EGW137" s="258"/>
      <c r="EGX137" s="270"/>
      <c r="EGY137" s="271"/>
      <c r="EGZ137" s="271"/>
      <c r="EHA137" s="271"/>
      <c r="EHB137" s="221"/>
      <c r="EHC137" s="221"/>
      <c r="EHD137" s="221"/>
      <c r="EHE137" s="258"/>
      <c r="EHF137" s="270"/>
      <c r="EHG137" s="271"/>
      <c r="EHH137" s="271"/>
      <c r="EHI137" s="271"/>
      <c r="EHJ137" s="221"/>
      <c r="EHK137" s="221"/>
      <c r="EHL137" s="221"/>
      <c r="EHM137" s="258"/>
      <c r="EHN137" s="270"/>
      <c r="EHO137" s="271"/>
      <c r="EHP137" s="271"/>
      <c r="EHQ137" s="271"/>
      <c r="EHR137" s="221"/>
      <c r="EHS137" s="221"/>
      <c r="EHT137" s="221"/>
      <c r="EHU137" s="258"/>
      <c r="EHV137" s="270"/>
      <c r="EHW137" s="271"/>
      <c r="EHX137" s="271"/>
      <c r="EHY137" s="271"/>
      <c r="EHZ137" s="221"/>
      <c r="EIA137" s="221"/>
      <c r="EIB137" s="221"/>
      <c r="EIC137" s="258"/>
      <c r="EID137" s="270"/>
      <c r="EIE137" s="271"/>
      <c r="EIF137" s="271"/>
      <c r="EIG137" s="271"/>
      <c r="EIH137" s="221"/>
      <c r="EII137" s="221"/>
      <c r="EIJ137" s="221"/>
      <c r="EIK137" s="258"/>
      <c r="EIL137" s="270"/>
      <c r="EIM137" s="271"/>
      <c r="EIN137" s="271"/>
      <c r="EIO137" s="271"/>
      <c r="EIP137" s="221"/>
      <c r="EIQ137" s="221"/>
      <c r="EIR137" s="221"/>
      <c r="EIS137" s="258"/>
      <c r="EIT137" s="270"/>
      <c r="EIU137" s="271"/>
      <c r="EIV137" s="271"/>
      <c r="EIW137" s="271"/>
      <c r="EIX137" s="221"/>
      <c r="EIY137" s="221"/>
      <c r="EIZ137" s="221"/>
      <c r="EJA137" s="258"/>
      <c r="EJB137" s="270"/>
      <c r="EJC137" s="271"/>
      <c r="EJD137" s="271"/>
      <c r="EJE137" s="271"/>
      <c r="EJF137" s="221"/>
      <c r="EJG137" s="221"/>
      <c r="EJH137" s="221"/>
      <c r="EJI137" s="258"/>
      <c r="EJJ137" s="270"/>
      <c r="EJK137" s="271"/>
      <c r="EJL137" s="271"/>
      <c r="EJM137" s="271"/>
      <c r="EJN137" s="221"/>
      <c r="EJO137" s="221"/>
      <c r="EJP137" s="221"/>
      <c r="EJQ137" s="258"/>
      <c r="EJR137" s="270"/>
      <c r="EJS137" s="271"/>
      <c r="EJT137" s="271"/>
      <c r="EJU137" s="271"/>
      <c r="EJV137" s="221"/>
      <c r="EJW137" s="221"/>
      <c r="EJX137" s="221"/>
      <c r="EJY137" s="258"/>
      <c r="EJZ137" s="270"/>
      <c r="EKA137" s="271"/>
      <c r="EKB137" s="271"/>
      <c r="EKC137" s="271"/>
      <c r="EKD137" s="221"/>
      <c r="EKE137" s="221"/>
      <c r="EKF137" s="221"/>
      <c r="EKG137" s="258"/>
      <c r="EKH137" s="270"/>
      <c r="EKI137" s="271"/>
      <c r="EKJ137" s="271"/>
      <c r="EKK137" s="271"/>
      <c r="EKL137" s="221"/>
      <c r="EKM137" s="221"/>
      <c r="EKN137" s="221"/>
      <c r="EKO137" s="258"/>
      <c r="EKP137" s="270"/>
      <c r="EKQ137" s="271"/>
      <c r="EKR137" s="271"/>
      <c r="EKS137" s="271"/>
      <c r="EKT137" s="221"/>
      <c r="EKU137" s="221"/>
      <c r="EKV137" s="221"/>
      <c r="EKW137" s="258"/>
      <c r="EKX137" s="270"/>
      <c r="EKY137" s="271"/>
      <c r="EKZ137" s="271"/>
      <c r="ELA137" s="271"/>
      <c r="ELB137" s="221"/>
      <c r="ELC137" s="221"/>
      <c r="ELD137" s="221"/>
      <c r="ELE137" s="258"/>
      <c r="ELF137" s="270"/>
      <c r="ELG137" s="271"/>
      <c r="ELH137" s="271"/>
      <c r="ELI137" s="271"/>
      <c r="ELJ137" s="221"/>
      <c r="ELK137" s="221"/>
      <c r="ELL137" s="221"/>
      <c r="ELM137" s="258"/>
      <c r="ELN137" s="270"/>
      <c r="ELO137" s="271"/>
      <c r="ELP137" s="271"/>
      <c r="ELQ137" s="271"/>
      <c r="ELR137" s="221"/>
      <c r="ELS137" s="221"/>
      <c r="ELT137" s="221"/>
      <c r="ELU137" s="258"/>
      <c r="ELV137" s="270"/>
      <c r="ELW137" s="271"/>
      <c r="ELX137" s="271"/>
      <c r="ELY137" s="271"/>
      <c r="ELZ137" s="221"/>
      <c r="EMA137" s="221"/>
      <c r="EMB137" s="221"/>
      <c r="EMC137" s="258"/>
      <c r="EMD137" s="270"/>
      <c r="EME137" s="271"/>
      <c r="EMF137" s="271"/>
      <c r="EMG137" s="271"/>
      <c r="EMH137" s="221"/>
      <c r="EMI137" s="221"/>
      <c r="EMJ137" s="221"/>
      <c r="EMK137" s="258"/>
      <c r="EML137" s="270"/>
      <c r="EMM137" s="271"/>
      <c r="EMN137" s="271"/>
      <c r="EMO137" s="271"/>
      <c r="EMP137" s="221"/>
      <c r="EMQ137" s="221"/>
      <c r="EMR137" s="221"/>
      <c r="EMS137" s="258"/>
      <c r="EMT137" s="270"/>
      <c r="EMU137" s="271"/>
      <c r="EMV137" s="271"/>
      <c r="EMW137" s="271"/>
      <c r="EMX137" s="221"/>
      <c r="EMY137" s="221"/>
      <c r="EMZ137" s="221"/>
      <c r="ENA137" s="258"/>
      <c r="ENB137" s="270"/>
      <c r="ENC137" s="271"/>
      <c r="END137" s="271"/>
      <c r="ENE137" s="271"/>
      <c r="ENF137" s="221"/>
      <c r="ENG137" s="221"/>
      <c r="ENH137" s="221"/>
      <c r="ENI137" s="258"/>
      <c r="ENJ137" s="270"/>
      <c r="ENK137" s="271"/>
      <c r="ENL137" s="271"/>
      <c r="ENM137" s="271"/>
      <c r="ENN137" s="221"/>
      <c r="ENO137" s="221"/>
      <c r="ENP137" s="221"/>
      <c r="ENQ137" s="258"/>
      <c r="ENR137" s="270"/>
      <c r="ENS137" s="271"/>
      <c r="ENT137" s="271"/>
      <c r="ENU137" s="271"/>
      <c r="ENV137" s="221"/>
      <c r="ENW137" s="221"/>
      <c r="ENX137" s="221"/>
      <c r="ENY137" s="258"/>
      <c r="ENZ137" s="270"/>
      <c r="EOA137" s="271"/>
      <c r="EOB137" s="271"/>
      <c r="EOC137" s="271"/>
      <c r="EOD137" s="221"/>
      <c r="EOE137" s="221"/>
      <c r="EOF137" s="221"/>
      <c r="EOG137" s="258"/>
      <c r="EOH137" s="270"/>
      <c r="EOI137" s="271"/>
      <c r="EOJ137" s="271"/>
      <c r="EOK137" s="271"/>
      <c r="EOL137" s="221"/>
      <c r="EOM137" s="221"/>
      <c r="EON137" s="221"/>
      <c r="EOO137" s="258"/>
      <c r="EOP137" s="270"/>
      <c r="EOQ137" s="271"/>
      <c r="EOR137" s="271"/>
      <c r="EOS137" s="271"/>
      <c r="EOT137" s="221"/>
      <c r="EOU137" s="221"/>
      <c r="EOV137" s="221"/>
      <c r="EOW137" s="258"/>
      <c r="EOX137" s="270"/>
      <c r="EOY137" s="271"/>
      <c r="EOZ137" s="271"/>
      <c r="EPA137" s="271"/>
      <c r="EPB137" s="221"/>
      <c r="EPC137" s="221"/>
      <c r="EPD137" s="221"/>
      <c r="EPE137" s="258"/>
      <c r="EPF137" s="270"/>
      <c r="EPG137" s="271"/>
      <c r="EPH137" s="271"/>
      <c r="EPI137" s="271"/>
      <c r="EPJ137" s="221"/>
      <c r="EPK137" s="221"/>
      <c r="EPL137" s="221"/>
      <c r="EPM137" s="258"/>
      <c r="EPN137" s="270"/>
      <c r="EPO137" s="271"/>
      <c r="EPP137" s="271"/>
      <c r="EPQ137" s="271"/>
      <c r="EPR137" s="221"/>
      <c r="EPS137" s="221"/>
      <c r="EPT137" s="221"/>
      <c r="EPU137" s="258"/>
      <c r="EPV137" s="270"/>
      <c r="EPW137" s="271"/>
      <c r="EPX137" s="271"/>
      <c r="EPY137" s="271"/>
      <c r="EPZ137" s="221"/>
      <c r="EQA137" s="221"/>
      <c r="EQB137" s="221"/>
      <c r="EQC137" s="258"/>
      <c r="EQD137" s="270"/>
      <c r="EQE137" s="271"/>
      <c r="EQF137" s="271"/>
      <c r="EQG137" s="271"/>
      <c r="EQH137" s="221"/>
      <c r="EQI137" s="221"/>
      <c r="EQJ137" s="221"/>
      <c r="EQK137" s="258"/>
      <c r="EQL137" s="270"/>
      <c r="EQM137" s="271"/>
      <c r="EQN137" s="271"/>
      <c r="EQO137" s="271"/>
      <c r="EQP137" s="221"/>
      <c r="EQQ137" s="221"/>
      <c r="EQR137" s="221"/>
      <c r="EQS137" s="258"/>
      <c r="EQT137" s="270"/>
      <c r="EQU137" s="271"/>
      <c r="EQV137" s="271"/>
      <c r="EQW137" s="271"/>
      <c r="EQX137" s="221"/>
      <c r="EQY137" s="221"/>
      <c r="EQZ137" s="221"/>
      <c r="ERA137" s="258"/>
      <c r="ERB137" s="270"/>
      <c r="ERC137" s="271"/>
      <c r="ERD137" s="271"/>
      <c r="ERE137" s="271"/>
      <c r="ERF137" s="221"/>
      <c r="ERG137" s="221"/>
      <c r="ERH137" s="221"/>
      <c r="ERI137" s="258"/>
      <c r="ERJ137" s="270"/>
      <c r="ERK137" s="271"/>
      <c r="ERL137" s="271"/>
      <c r="ERM137" s="271"/>
      <c r="ERN137" s="221"/>
      <c r="ERO137" s="221"/>
      <c r="ERP137" s="221"/>
      <c r="ERQ137" s="258"/>
      <c r="ERR137" s="270"/>
      <c r="ERS137" s="271"/>
      <c r="ERT137" s="271"/>
      <c r="ERU137" s="271"/>
      <c r="ERV137" s="221"/>
      <c r="ERW137" s="221"/>
      <c r="ERX137" s="221"/>
      <c r="ERY137" s="258"/>
      <c r="ERZ137" s="270"/>
      <c r="ESA137" s="271"/>
      <c r="ESB137" s="271"/>
      <c r="ESC137" s="271"/>
      <c r="ESD137" s="221"/>
      <c r="ESE137" s="221"/>
      <c r="ESF137" s="221"/>
      <c r="ESG137" s="258"/>
      <c r="ESH137" s="270"/>
      <c r="ESI137" s="271"/>
      <c r="ESJ137" s="271"/>
      <c r="ESK137" s="271"/>
      <c r="ESL137" s="221"/>
      <c r="ESM137" s="221"/>
      <c r="ESN137" s="221"/>
      <c r="ESO137" s="258"/>
      <c r="ESP137" s="270"/>
      <c r="ESQ137" s="271"/>
      <c r="ESR137" s="271"/>
      <c r="ESS137" s="271"/>
      <c r="EST137" s="221"/>
      <c r="ESU137" s="221"/>
      <c r="ESV137" s="221"/>
      <c r="ESW137" s="258"/>
      <c r="ESX137" s="270"/>
      <c r="ESY137" s="271"/>
      <c r="ESZ137" s="271"/>
      <c r="ETA137" s="271"/>
      <c r="ETB137" s="221"/>
      <c r="ETC137" s="221"/>
      <c r="ETD137" s="221"/>
      <c r="ETE137" s="258"/>
      <c r="ETF137" s="270"/>
      <c r="ETG137" s="271"/>
      <c r="ETH137" s="271"/>
      <c r="ETI137" s="271"/>
      <c r="ETJ137" s="221"/>
      <c r="ETK137" s="221"/>
      <c r="ETL137" s="221"/>
      <c r="ETM137" s="258"/>
      <c r="ETN137" s="270"/>
      <c r="ETO137" s="271"/>
      <c r="ETP137" s="271"/>
      <c r="ETQ137" s="271"/>
      <c r="ETR137" s="221"/>
      <c r="ETS137" s="221"/>
      <c r="ETT137" s="221"/>
      <c r="ETU137" s="258"/>
      <c r="ETV137" s="270"/>
      <c r="ETW137" s="271"/>
      <c r="ETX137" s="271"/>
      <c r="ETY137" s="271"/>
      <c r="ETZ137" s="221"/>
      <c r="EUA137" s="221"/>
      <c r="EUB137" s="221"/>
      <c r="EUC137" s="258"/>
      <c r="EUD137" s="270"/>
      <c r="EUE137" s="271"/>
      <c r="EUF137" s="271"/>
      <c r="EUG137" s="271"/>
      <c r="EUH137" s="221"/>
      <c r="EUI137" s="221"/>
      <c r="EUJ137" s="221"/>
      <c r="EUK137" s="258"/>
      <c r="EUL137" s="270"/>
      <c r="EUM137" s="271"/>
      <c r="EUN137" s="271"/>
      <c r="EUO137" s="271"/>
      <c r="EUP137" s="221"/>
      <c r="EUQ137" s="221"/>
      <c r="EUR137" s="221"/>
      <c r="EUS137" s="258"/>
      <c r="EUT137" s="270"/>
      <c r="EUU137" s="271"/>
      <c r="EUV137" s="271"/>
      <c r="EUW137" s="271"/>
      <c r="EUX137" s="221"/>
      <c r="EUY137" s="221"/>
      <c r="EUZ137" s="221"/>
      <c r="EVA137" s="258"/>
      <c r="EVB137" s="270"/>
      <c r="EVC137" s="271"/>
      <c r="EVD137" s="271"/>
      <c r="EVE137" s="271"/>
      <c r="EVF137" s="221"/>
      <c r="EVG137" s="221"/>
      <c r="EVH137" s="221"/>
      <c r="EVI137" s="258"/>
      <c r="EVJ137" s="270"/>
      <c r="EVK137" s="271"/>
      <c r="EVL137" s="271"/>
      <c r="EVM137" s="271"/>
      <c r="EVN137" s="221"/>
      <c r="EVO137" s="221"/>
      <c r="EVP137" s="221"/>
      <c r="EVQ137" s="258"/>
      <c r="EVR137" s="270"/>
      <c r="EVS137" s="271"/>
      <c r="EVT137" s="271"/>
      <c r="EVU137" s="271"/>
      <c r="EVV137" s="221"/>
      <c r="EVW137" s="221"/>
      <c r="EVX137" s="221"/>
      <c r="EVY137" s="258"/>
      <c r="EVZ137" s="270"/>
      <c r="EWA137" s="271"/>
      <c r="EWB137" s="271"/>
      <c r="EWC137" s="271"/>
      <c r="EWD137" s="221"/>
      <c r="EWE137" s="221"/>
      <c r="EWF137" s="221"/>
      <c r="EWG137" s="258"/>
      <c r="EWH137" s="270"/>
      <c r="EWI137" s="271"/>
      <c r="EWJ137" s="271"/>
      <c r="EWK137" s="271"/>
      <c r="EWL137" s="221"/>
      <c r="EWM137" s="221"/>
      <c r="EWN137" s="221"/>
      <c r="EWO137" s="258"/>
      <c r="EWP137" s="270"/>
      <c r="EWQ137" s="271"/>
      <c r="EWR137" s="271"/>
      <c r="EWS137" s="271"/>
      <c r="EWT137" s="221"/>
      <c r="EWU137" s="221"/>
      <c r="EWV137" s="221"/>
      <c r="EWW137" s="258"/>
      <c r="EWX137" s="270"/>
      <c r="EWY137" s="271"/>
      <c r="EWZ137" s="271"/>
      <c r="EXA137" s="271"/>
      <c r="EXB137" s="221"/>
      <c r="EXC137" s="221"/>
      <c r="EXD137" s="221"/>
      <c r="EXE137" s="258"/>
      <c r="EXF137" s="270"/>
      <c r="EXG137" s="271"/>
      <c r="EXH137" s="271"/>
      <c r="EXI137" s="271"/>
      <c r="EXJ137" s="221"/>
      <c r="EXK137" s="221"/>
      <c r="EXL137" s="221"/>
      <c r="EXM137" s="258"/>
      <c r="EXN137" s="270"/>
      <c r="EXO137" s="271"/>
      <c r="EXP137" s="271"/>
      <c r="EXQ137" s="271"/>
      <c r="EXR137" s="221"/>
      <c r="EXS137" s="221"/>
      <c r="EXT137" s="221"/>
      <c r="EXU137" s="258"/>
      <c r="EXV137" s="270"/>
      <c r="EXW137" s="271"/>
      <c r="EXX137" s="271"/>
      <c r="EXY137" s="271"/>
      <c r="EXZ137" s="221"/>
      <c r="EYA137" s="221"/>
      <c r="EYB137" s="221"/>
      <c r="EYC137" s="258"/>
      <c r="EYD137" s="270"/>
      <c r="EYE137" s="271"/>
      <c r="EYF137" s="271"/>
      <c r="EYG137" s="271"/>
      <c r="EYH137" s="221"/>
      <c r="EYI137" s="221"/>
      <c r="EYJ137" s="221"/>
      <c r="EYK137" s="258"/>
      <c r="EYL137" s="270"/>
      <c r="EYM137" s="271"/>
      <c r="EYN137" s="271"/>
      <c r="EYO137" s="271"/>
      <c r="EYP137" s="221"/>
      <c r="EYQ137" s="221"/>
      <c r="EYR137" s="221"/>
      <c r="EYS137" s="258"/>
      <c r="EYT137" s="270"/>
      <c r="EYU137" s="271"/>
      <c r="EYV137" s="271"/>
      <c r="EYW137" s="271"/>
      <c r="EYX137" s="221"/>
      <c r="EYY137" s="221"/>
      <c r="EYZ137" s="221"/>
      <c r="EZA137" s="258"/>
      <c r="EZB137" s="270"/>
      <c r="EZC137" s="271"/>
      <c r="EZD137" s="271"/>
      <c r="EZE137" s="271"/>
      <c r="EZF137" s="221"/>
      <c r="EZG137" s="221"/>
      <c r="EZH137" s="221"/>
      <c r="EZI137" s="258"/>
      <c r="EZJ137" s="270"/>
      <c r="EZK137" s="271"/>
      <c r="EZL137" s="271"/>
      <c r="EZM137" s="271"/>
      <c r="EZN137" s="221"/>
      <c r="EZO137" s="221"/>
      <c r="EZP137" s="221"/>
      <c r="EZQ137" s="258"/>
      <c r="EZR137" s="270"/>
      <c r="EZS137" s="271"/>
      <c r="EZT137" s="271"/>
      <c r="EZU137" s="271"/>
      <c r="EZV137" s="221"/>
      <c r="EZW137" s="221"/>
      <c r="EZX137" s="221"/>
      <c r="EZY137" s="258"/>
      <c r="EZZ137" s="270"/>
      <c r="FAA137" s="271"/>
      <c r="FAB137" s="271"/>
      <c r="FAC137" s="271"/>
      <c r="FAD137" s="221"/>
      <c r="FAE137" s="221"/>
      <c r="FAF137" s="221"/>
      <c r="FAG137" s="258"/>
      <c r="FAH137" s="270"/>
      <c r="FAI137" s="271"/>
      <c r="FAJ137" s="271"/>
      <c r="FAK137" s="271"/>
      <c r="FAL137" s="221"/>
      <c r="FAM137" s="221"/>
      <c r="FAN137" s="221"/>
      <c r="FAO137" s="258"/>
      <c r="FAP137" s="270"/>
      <c r="FAQ137" s="271"/>
      <c r="FAR137" s="271"/>
      <c r="FAS137" s="271"/>
      <c r="FAT137" s="221"/>
      <c r="FAU137" s="221"/>
      <c r="FAV137" s="221"/>
      <c r="FAW137" s="258"/>
      <c r="FAX137" s="270"/>
      <c r="FAY137" s="271"/>
      <c r="FAZ137" s="271"/>
      <c r="FBA137" s="271"/>
      <c r="FBB137" s="221"/>
      <c r="FBC137" s="221"/>
      <c r="FBD137" s="221"/>
      <c r="FBE137" s="258"/>
      <c r="FBF137" s="270"/>
      <c r="FBG137" s="271"/>
      <c r="FBH137" s="271"/>
      <c r="FBI137" s="271"/>
      <c r="FBJ137" s="221"/>
      <c r="FBK137" s="221"/>
      <c r="FBL137" s="221"/>
      <c r="FBM137" s="258"/>
      <c r="FBN137" s="270"/>
      <c r="FBO137" s="271"/>
      <c r="FBP137" s="271"/>
      <c r="FBQ137" s="271"/>
      <c r="FBR137" s="221"/>
      <c r="FBS137" s="221"/>
      <c r="FBT137" s="221"/>
      <c r="FBU137" s="258"/>
      <c r="FBV137" s="270"/>
      <c r="FBW137" s="271"/>
      <c r="FBX137" s="271"/>
      <c r="FBY137" s="271"/>
      <c r="FBZ137" s="221"/>
      <c r="FCA137" s="221"/>
      <c r="FCB137" s="221"/>
      <c r="FCC137" s="258"/>
      <c r="FCD137" s="270"/>
      <c r="FCE137" s="271"/>
      <c r="FCF137" s="271"/>
      <c r="FCG137" s="271"/>
      <c r="FCH137" s="221"/>
      <c r="FCI137" s="221"/>
      <c r="FCJ137" s="221"/>
      <c r="FCK137" s="258"/>
      <c r="FCL137" s="270"/>
      <c r="FCM137" s="271"/>
      <c r="FCN137" s="271"/>
      <c r="FCO137" s="271"/>
      <c r="FCP137" s="221"/>
      <c r="FCQ137" s="221"/>
      <c r="FCR137" s="221"/>
      <c r="FCS137" s="258"/>
      <c r="FCT137" s="270"/>
      <c r="FCU137" s="271"/>
      <c r="FCV137" s="271"/>
      <c r="FCW137" s="271"/>
      <c r="FCX137" s="221"/>
      <c r="FCY137" s="221"/>
      <c r="FCZ137" s="221"/>
      <c r="FDA137" s="258"/>
      <c r="FDB137" s="270"/>
      <c r="FDC137" s="271"/>
      <c r="FDD137" s="271"/>
      <c r="FDE137" s="271"/>
      <c r="FDF137" s="221"/>
      <c r="FDG137" s="221"/>
      <c r="FDH137" s="221"/>
      <c r="FDI137" s="258"/>
      <c r="FDJ137" s="270"/>
      <c r="FDK137" s="271"/>
      <c r="FDL137" s="271"/>
      <c r="FDM137" s="271"/>
      <c r="FDN137" s="221"/>
      <c r="FDO137" s="221"/>
      <c r="FDP137" s="221"/>
      <c r="FDQ137" s="258"/>
      <c r="FDR137" s="270"/>
      <c r="FDS137" s="271"/>
      <c r="FDT137" s="271"/>
      <c r="FDU137" s="271"/>
      <c r="FDV137" s="221"/>
      <c r="FDW137" s="221"/>
      <c r="FDX137" s="221"/>
      <c r="FDY137" s="258"/>
      <c r="FDZ137" s="270"/>
      <c r="FEA137" s="271"/>
      <c r="FEB137" s="271"/>
      <c r="FEC137" s="271"/>
      <c r="FED137" s="221"/>
      <c r="FEE137" s="221"/>
      <c r="FEF137" s="221"/>
      <c r="FEG137" s="258"/>
      <c r="FEH137" s="270"/>
      <c r="FEI137" s="271"/>
      <c r="FEJ137" s="271"/>
      <c r="FEK137" s="271"/>
      <c r="FEL137" s="221"/>
      <c r="FEM137" s="221"/>
      <c r="FEN137" s="221"/>
      <c r="FEO137" s="258"/>
      <c r="FEP137" s="270"/>
      <c r="FEQ137" s="271"/>
      <c r="FER137" s="271"/>
      <c r="FES137" s="271"/>
      <c r="FET137" s="221"/>
      <c r="FEU137" s="221"/>
      <c r="FEV137" s="221"/>
      <c r="FEW137" s="258"/>
      <c r="FEX137" s="270"/>
      <c r="FEY137" s="271"/>
      <c r="FEZ137" s="271"/>
      <c r="FFA137" s="271"/>
      <c r="FFB137" s="221"/>
      <c r="FFC137" s="221"/>
      <c r="FFD137" s="221"/>
      <c r="FFE137" s="258"/>
      <c r="FFF137" s="270"/>
      <c r="FFG137" s="271"/>
      <c r="FFH137" s="271"/>
      <c r="FFI137" s="271"/>
      <c r="FFJ137" s="221"/>
      <c r="FFK137" s="221"/>
      <c r="FFL137" s="221"/>
      <c r="FFM137" s="258"/>
      <c r="FFN137" s="270"/>
      <c r="FFO137" s="271"/>
      <c r="FFP137" s="271"/>
      <c r="FFQ137" s="271"/>
      <c r="FFR137" s="221"/>
      <c r="FFS137" s="221"/>
      <c r="FFT137" s="221"/>
      <c r="FFU137" s="258"/>
      <c r="FFV137" s="270"/>
      <c r="FFW137" s="271"/>
      <c r="FFX137" s="271"/>
      <c r="FFY137" s="271"/>
      <c r="FFZ137" s="221"/>
      <c r="FGA137" s="221"/>
      <c r="FGB137" s="221"/>
      <c r="FGC137" s="258"/>
      <c r="FGD137" s="270"/>
      <c r="FGE137" s="271"/>
      <c r="FGF137" s="271"/>
      <c r="FGG137" s="271"/>
      <c r="FGH137" s="221"/>
      <c r="FGI137" s="221"/>
      <c r="FGJ137" s="221"/>
      <c r="FGK137" s="258"/>
      <c r="FGL137" s="270"/>
      <c r="FGM137" s="271"/>
      <c r="FGN137" s="271"/>
      <c r="FGO137" s="271"/>
      <c r="FGP137" s="221"/>
      <c r="FGQ137" s="221"/>
      <c r="FGR137" s="221"/>
      <c r="FGS137" s="258"/>
      <c r="FGT137" s="270"/>
      <c r="FGU137" s="271"/>
      <c r="FGV137" s="271"/>
      <c r="FGW137" s="271"/>
      <c r="FGX137" s="221"/>
      <c r="FGY137" s="221"/>
      <c r="FGZ137" s="221"/>
      <c r="FHA137" s="258"/>
      <c r="FHB137" s="270"/>
      <c r="FHC137" s="271"/>
      <c r="FHD137" s="271"/>
      <c r="FHE137" s="271"/>
      <c r="FHF137" s="221"/>
      <c r="FHG137" s="221"/>
      <c r="FHH137" s="221"/>
      <c r="FHI137" s="258"/>
      <c r="FHJ137" s="270"/>
      <c r="FHK137" s="271"/>
      <c r="FHL137" s="271"/>
      <c r="FHM137" s="271"/>
      <c r="FHN137" s="221"/>
      <c r="FHO137" s="221"/>
      <c r="FHP137" s="221"/>
      <c r="FHQ137" s="258"/>
      <c r="FHR137" s="270"/>
      <c r="FHS137" s="271"/>
      <c r="FHT137" s="271"/>
      <c r="FHU137" s="271"/>
      <c r="FHV137" s="221"/>
      <c r="FHW137" s="221"/>
      <c r="FHX137" s="221"/>
      <c r="FHY137" s="258"/>
      <c r="FHZ137" s="270"/>
      <c r="FIA137" s="271"/>
      <c r="FIB137" s="271"/>
      <c r="FIC137" s="271"/>
      <c r="FID137" s="221"/>
      <c r="FIE137" s="221"/>
      <c r="FIF137" s="221"/>
      <c r="FIG137" s="258"/>
      <c r="FIH137" s="270"/>
      <c r="FII137" s="271"/>
      <c r="FIJ137" s="271"/>
      <c r="FIK137" s="271"/>
      <c r="FIL137" s="221"/>
      <c r="FIM137" s="221"/>
      <c r="FIN137" s="221"/>
      <c r="FIO137" s="258"/>
      <c r="FIP137" s="270"/>
      <c r="FIQ137" s="271"/>
      <c r="FIR137" s="271"/>
      <c r="FIS137" s="271"/>
      <c r="FIT137" s="221"/>
      <c r="FIU137" s="221"/>
      <c r="FIV137" s="221"/>
      <c r="FIW137" s="258"/>
      <c r="FIX137" s="270"/>
      <c r="FIY137" s="271"/>
      <c r="FIZ137" s="271"/>
      <c r="FJA137" s="271"/>
      <c r="FJB137" s="221"/>
      <c r="FJC137" s="221"/>
      <c r="FJD137" s="221"/>
      <c r="FJE137" s="258"/>
      <c r="FJF137" s="270"/>
      <c r="FJG137" s="271"/>
      <c r="FJH137" s="271"/>
      <c r="FJI137" s="271"/>
      <c r="FJJ137" s="221"/>
      <c r="FJK137" s="221"/>
      <c r="FJL137" s="221"/>
      <c r="FJM137" s="258"/>
      <c r="FJN137" s="270"/>
      <c r="FJO137" s="271"/>
      <c r="FJP137" s="271"/>
      <c r="FJQ137" s="271"/>
      <c r="FJR137" s="221"/>
      <c r="FJS137" s="221"/>
      <c r="FJT137" s="221"/>
      <c r="FJU137" s="258"/>
      <c r="FJV137" s="270"/>
      <c r="FJW137" s="271"/>
      <c r="FJX137" s="271"/>
      <c r="FJY137" s="271"/>
      <c r="FJZ137" s="221"/>
      <c r="FKA137" s="221"/>
      <c r="FKB137" s="221"/>
      <c r="FKC137" s="258"/>
      <c r="FKD137" s="270"/>
      <c r="FKE137" s="271"/>
      <c r="FKF137" s="271"/>
      <c r="FKG137" s="271"/>
      <c r="FKH137" s="221"/>
      <c r="FKI137" s="221"/>
      <c r="FKJ137" s="221"/>
      <c r="FKK137" s="258"/>
      <c r="FKL137" s="270"/>
      <c r="FKM137" s="271"/>
      <c r="FKN137" s="271"/>
      <c r="FKO137" s="271"/>
      <c r="FKP137" s="221"/>
      <c r="FKQ137" s="221"/>
      <c r="FKR137" s="221"/>
      <c r="FKS137" s="258"/>
      <c r="FKT137" s="270"/>
      <c r="FKU137" s="271"/>
      <c r="FKV137" s="271"/>
      <c r="FKW137" s="271"/>
      <c r="FKX137" s="221"/>
      <c r="FKY137" s="221"/>
      <c r="FKZ137" s="221"/>
      <c r="FLA137" s="258"/>
      <c r="FLB137" s="270"/>
      <c r="FLC137" s="271"/>
      <c r="FLD137" s="271"/>
      <c r="FLE137" s="271"/>
      <c r="FLF137" s="221"/>
      <c r="FLG137" s="221"/>
      <c r="FLH137" s="221"/>
      <c r="FLI137" s="258"/>
      <c r="FLJ137" s="270"/>
      <c r="FLK137" s="271"/>
      <c r="FLL137" s="271"/>
      <c r="FLM137" s="271"/>
      <c r="FLN137" s="221"/>
      <c r="FLO137" s="221"/>
      <c r="FLP137" s="221"/>
      <c r="FLQ137" s="258"/>
      <c r="FLR137" s="270"/>
      <c r="FLS137" s="271"/>
      <c r="FLT137" s="271"/>
      <c r="FLU137" s="271"/>
      <c r="FLV137" s="221"/>
      <c r="FLW137" s="221"/>
      <c r="FLX137" s="221"/>
      <c r="FLY137" s="258"/>
      <c r="FLZ137" s="270"/>
      <c r="FMA137" s="271"/>
      <c r="FMB137" s="271"/>
      <c r="FMC137" s="271"/>
      <c r="FMD137" s="221"/>
      <c r="FME137" s="221"/>
      <c r="FMF137" s="221"/>
      <c r="FMG137" s="258"/>
      <c r="FMH137" s="270"/>
      <c r="FMI137" s="271"/>
      <c r="FMJ137" s="271"/>
      <c r="FMK137" s="271"/>
      <c r="FML137" s="221"/>
      <c r="FMM137" s="221"/>
      <c r="FMN137" s="221"/>
      <c r="FMO137" s="258"/>
      <c r="FMP137" s="270"/>
      <c r="FMQ137" s="271"/>
      <c r="FMR137" s="271"/>
      <c r="FMS137" s="271"/>
      <c r="FMT137" s="221"/>
      <c r="FMU137" s="221"/>
      <c r="FMV137" s="221"/>
      <c r="FMW137" s="258"/>
      <c r="FMX137" s="270"/>
      <c r="FMY137" s="271"/>
      <c r="FMZ137" s="271"/>
      <c r="FNA137" s="271"/>
      <c r="FNB137" s="221"/>
      <c r="FNC137" s="221"/>
      <c r="FND137" s="221"/>
      <c r="FNE137" s="258"/>
      <c r="FNF137" s="270"/>
      <c r="FNG137" s="271"/>
      <c r="FNH137" s="271"/>
      <c r="FNI137" s="271"/>
      <c r="FNJ137" s="221"/>
      <c r="FNK137" s="221"/>
      <c r="FNL137" s="221"/>
      <c r="FNM137" s="258"/>
      <c r="FNN137" s="270"/>
      <c r="FNO137" s="271"/>
      <c r="FNP137" s="271"/>
      <c r="FNQ137" s="271"/>
      <c r="FNR137" s="221"/>
      <c r="FNS137" s="221"/>
      <c r="FNT137" s="221"/>
      <c r="FNU137" s="258"/>
      <c r="FNV137" s="270"/>
      <c r="FNW137" s="271"/>
      <c r="FNX137" s="271"/>
      <c r="FNY137" s="271"/>
      <c r="FNZ137" s="221"/>
      <c r="FOA137" s="221"/>
      <c r="FOB137" s="221"/>
      <c r="FOC137" s="258"/>
      <c r="FOD137" s="270"/>
      <c r="FOE137" s="271"/>
      <c r="FOF137" s="271"/>
      <c r="FOG137" s="271"/>
      <c r="FOH137" s="221"/>
      <c r="FOI137" s="221"/>
      <c r="FOJ137" s="221"/>
      <c r="FOK137" s="258"/>
      <c r="FOL137" s="270"/>
      <c r="FOM137" s="271"/>
      <c r="FON137" s="271"/>
      <c r="FOO137" s="271"/>
      <c r="FOP137" s="221"/>
      <c r="FOQ137" s="221"/>
      <c r="FOR137" s="221"/>
      <c r="FOS137" s="258"/>
      <c r="FOT137" s="270"/>
      <c r="FOU137" s="271"/>
      <c r="FOV137" s="271"/>
      <c r="FOW137" s="271"/>
      <c r="FOX137" s="221"/>
      <c r="FOY137" s="221"/>
      <c r="FOZ137" s="221"/>
      <c r="FPA137" s="258"/>
      <c r="FPB137" s="270"/>
      <c r="FPC137" s="271"/>
      <c r="FPD137" s="271"/>
      <c r="FPE137" s="271"/>
      <c r="FPF137" s="221"/>
      <c r="FPG137" s="221"/>
      <c r="FPH137" s="221"/>
      <c r="FPI137" s="258"/>
      <c r="FPJ137" s="270"/>
      <c r="FPK137" s="271"/>
      <c r="FPL137" s="271"/>
      <c r="FPM137" s="271"/>
      <c r="FPN137" s="221"/>
      <c r="FPO137" s="221"/>
      <c r="FPP137" s="221"/>
      <c r="FPQ137" s="258"/>
      <c r="FPR137" s="270"/>
      <c r="FPS137" s="271"/>
      <c r="FPT137" s="271"/>
      <c r="FPU137" s="271"/>
      <c r="FPV137" s="221"/>
      <c r="FPW137" s="221"/>
      <c r="FPX137" s="221"/>
      <c r="FPY137" s="258"/>
      <c r="FPZ137" s="270"/>
      <c r="FQA137" s="271"/>
      <c r="FQB137" s="271"/>
      <c r="FQC137" s="271"/>
      <c r="FQD137" s="221"/>
      <c r="FQE137" s="221"/>
      <c r="FQF137" s="221"/>
      <c r="FQG137" s="258"/>
      <c r="FQH137" s="270"/>
      <c r="FQI137" s="271"/>
      <c r="FQJ137" s="271"/>
      <c r="FQK137" s="271"/>
      <c r="FQL137" s="221"/>
      <c r="FQM137" s="221"/>
      <c r="FQN137" s="221"/>
      <c r="FQO137" s="258"/>
      <c r="FQP137" s="270"/>
      <c r="FQQ137" s="271"/>
      <c r="FQR137" s="271"/>
      <c r="FQS137" s="271"/>
      <c r="FQT137" s="221"/>
      <c r="FQU137" s="221"/>
      <c r="FQV137" s="221"/>
      <c r="FQW137" s="258"/>
      <c r="FQX137" s="270"/>
      <c r="FQY137" s="271"/>
      <c r="FQZ137" s="271"/>
      <c r="FRA137" s="271"/>
      <c r="FRB137" s="221"/>
      <c r="FRC137" s="221"/>
      <c r="FRD137" s="221"/>
      <c r="FRE137" s="258"/>
      <c r="FRF137" s="270"/>
      <c r="FRG137" s="271"/>
      <c r="FRH137" s="271"/>
      <c r="FRI137" s="271"/>
      <c r="FRJ137" s="221"/>
      <c r="FRK137" s="221"/>
      <c r="FRL137" s="221"/>
      <c r="FRM137" s="258"/>
      <c r="FRN137" s="270"/>
      <c r="FRO137" s="271"/>
      <c r="FRP137" s="271"/>
      <c r="FRQ137" s="271"/>
      <c r="FRR137" s="221"/>
      <c r="FRS137" s="221"/>
      <c r="FRT137" s="221"/>
      <c r="FRU137" s="258"/>
      <c r="FRV137" s="270"/>
      <c r="FRW137" s="271"/>
      <c r="FRX137" s="271"/>
      <c r="FRY137" s="271"/>
      <c r="FRZ137" s="221"/>
      <c r="FSA137" s="221"/>
      <c r="FSB137" s="221"/>
      <c r="FSC137" s="258"/>
      <c r="FSD137" s="270"/>
      <c r="FSE137" s="271"/>
      <c r="FSF137" s="271"/>
      <c r="FSG137" s="271"/>
      <c r="FSH137" s="221"/>
      <c r="FSI137" s="221"/>
      <c r="FSJ137" s="221"/>
      <c r="FSK137" s="258"/>
      <c r="FSL137" s="270"/>
      <c r="FSM137" s="271"/>
      <c r="FSN137" s="271"/>
      <c r="FSO137" s="271"/>
      <c r="FSP137" s="221"/>
      <c r="FSQ137" s="221"/>
      <c r="FSR137" s="221"/>
      <c r="FSS137" s="258"/>
      <c r="FST137" s="270"/>
      <c r="FSU137" s="271"/>
      <c r="FSV137" s="271"/>
      <c r="FSW137" s="271"/>
      <c r="FSX137" s="221"/>
      <c r="FSY137" s="221"/>
      <c r="FSZ137" s="221"/>
      <c r="FTA137" s="258"/>
      <c r="FTB137" s="270"/>
      <c r="FTC137" s="271"/>
      <c r="FTD137" s="271"/>
      <c r="FTE137" s="271"/>
      <c r="FTF137" s="221"/>
      <c r="FTG137" s="221"/>
      <c r="FTH137" s="221"/>
      <c r="FTI137" s="258"/>
      <c r="FTJ137" s="270"/>
      <c r="FTK137" s="271"/>
      <c r="FTL137" s="271"/>
      <c r="FTM137" s="271"/>
      <c r="FTN137" s="221"/>
      <c r="FTO137" s="221"/>
      <c r="FTP137" s="221"/>
      <c r="FTQ137" s="258"/>
      <c r="FTR137" s="270"/>
      <c r="FTS137" s="271"/>
      <c r="FTT137" s="271"/>
      <c r="FTU137" s="271"/>
      <c r="FTV137" s="221"/>
      <c r="FTW137" s="221"/>
      <c r="FTX137" s="221"/>
      <c r="FTY137" s="258"/>
      <c r="FTZ137" s="270"/>
      <c r="FUA137" s="271"/>
      <c r="FUB137" s="271"/>
      <c r="FUC137" s="271"/>
      <c r="FUD137" s="221"/>
      <c r="FUE137" s="221"/>
      <c r="FUF137" s="221"/>
      <c r="FUG137" s="258"/>
      <c r="FUH137" s="270"/>
      <c r="FUI137" s="271"/>
      <c r="FUJ137" s="271"/>
      <c r="FUK137" s="271"/>
      <c r="FUL137" s="221"/>
      <c r="FUM137" s="221"/>
      <c r="FUN137" s="221"/>
      <c r="FUO137" s="258"/>
      <c r="FUP137" s="270"/>
      <c r="FUQ137" s="271"/>
      <c r="FUR137" s="271"/>
      <c r="FUS137" s="271"/>
      <c r="FUT137" s="221"/>
      <c r="FUU137" s="221"/>
      <c r="FUV137" s="221"/>
      <c r="FUW137" s="258"/>
      <c r="FUX137" s="270"/>
      <c r="FUY137" s="271"/>
      <c r="FUZ137" s="271"/>
      <c r="FVA137" s="271"/>
      <c r="FVB137" s="221"/>
      <c r="FVC137" s="221"/>
      <c r="FVD137" s="221"/>
      <c r="FVE137" s="258"/>
      <c r="FVF137" s="270"/>
      <c r="FVG137" s="271"/>
      <c r="FVH137" s="271"/>
      <c r="FVI137" s="271"/>
      <c r="FVJ137" s="221"/>
      <c r="FVK137" s="221"/>
      <c r="FVL137" s="221"/>
      <c r="FVM137" s="258"/>
      <c r="FVN137" s="270"/>
      <c r="FVO137" s="271"/>
      <c r="FVP137" s="271"/>
      <c r="FVQ137" s="271"/>
      <c r="FVR137" s="221"/>
      <c r="FVS137" s="221"/>
      <c r="FVT137" s="221"/>
      <c r="FVU137" s="258"/>
      <c r="FVV137" s="270"/>
      <c r="FVW137" s="271"/>
      <c r="FVX137" s="271"/>
      <c r="FVY137" s="271"/>
      <c r="FVZ137" s="221"/>
      <c r="FWA137" s="221"/>
      <c r="FWB137" s="221"/>
      <c r="FWC137" s="258"/>
      <c r="FWD137" s="270"/>
      <c r="FWE137" s="271"/>
      <c r="FWF137" s="271"/>
      <c r="FWG137" s="271"/>
      <c r="FWH137" s="221"/>
      <c r="FWI137" s="221"/>
      <c r="FWJ137" s="221"/>
      <c r="FWK137" s="258"/>
      <c r="FWL137" s="270"/>
      <c r="FWM137" s="271"/>
      <c r="FWN137" s="271"/>
      <c r="FWO137" s="271"/>
      <c r="FWP137" s="221"/>
      <c r="FWQ137" s="221"/>
      <c r="FWR137" s="221"/>
      <c r="FWS137" s="258"/>
      <c r="FWT137" s="270"/>
      <c r="FWU137" s="271"/>
      <c r="FWV137" s="271"/>
      <c r="FWW137" s="271"/>
      <c r="FWX137" s="221"/>
      <c r="FWY137" s="221"/>
      <c r="FWZ137" s="221"/>
      <c r="FXA137" s="258"/>
      <c r="FXB137" s="270"/>
      <c r="FXC137" s="271"/>
      <c r="FXD137" s="271"/>
      <c r="FXE137" s="271"/>
      <c r="FXF137" s="221"/>
      <c r="FXG137" s="221"/>
      <c r="FXH137" s="221"/>
      <c r="FXI137" s="258"/>
      <c r="FXJ137" s="270"/>
      <c r="FXK137" s="271"/>
      <c r="FXL137" s="271"/>
      <c r="FXM137" s="271"/>
      <c r="FXN137" s="221"/>
      <c r="FXO137" s="221"/>
      <c r="FXP137" s="221"/>
      <c r="FXQ137" s="258"/>
      <c r="FXR137" s="270"/>
      <c r="FXS137" s="271"/>
      <c r="FXT137" s="271"/>
      <c r="FXU137" s="271"/>
      <c r="FXV137" s="221"/>
      <c r="FXW137" s="221"/>
      <c r="FXX137" s="221"/>
      <c r="FXY137" s="258"/>
      <c r="FXZ137" s="270"/>
      <c r="FYA137" s="271"/>
      <c r="FYB137" s="271"/>
      <c r="FYC137" s="271"/>
      <c r="FYD137" s="221"/>
      <c r="FYE137" s="221"/>
      <c r="FYF137" s="221"/>
      <c r="FYG137" s="258"/>
      <c r="FYH137" s="270"/>
      <c r="FYI137" s="271"/>
      <c r="FYJ137" s="271"/>
      <c r="FYK137" s="271"/>
      <c r="FYL137" s="221"/>
      <c r="FYM137" s="221"/>
      <c r="FYN137" s="221"/>
      <c r="FYO137" s="258"/>
      <c r="FYP137" s="270"/>
      <c r="FYQ137" s="271"/>
      <c r="FYR137" s="271"/>
      <c r="FYS137" s="271"/>
      <c r="FYT137" s="221"/>
      <c r="FYU137" s="221"/>
      <c r="FYV137" s="221"/>
      <c r="FYW137" s="258"/>
      <c r="FYX137" s="270"/>
      <c r="FYY137" s="271"/>
      <c r="FYZ137" s="271"/>
      <c r="FZA137" s="271"/>
      <c r="FZB137" s="221"/>
      <c r="FZC137" s="221"/>
      <c r="FZD137" s="221"/>
      <c r="FZE137" s="258"/>
      <c r="FZF137" s="270"/>
      <c r="FZG137" s="271"/>
      <c r="FZH137" s="271"/>
      <c r="FZI137" s="271"/>
      <c r="FZJ137" s="221"/>
      <c r="FZK137" s="221"/>
      <c r="FZL137" s="221"/>
      <c r="FZM137" s="258"/>
      <c r="FZN137" s="270"/>
      <c r="FZO137" s="271"/>
      <c r="FZP137" s="271"/>
      <c r="FZQ137" s="271"/>
      <c r="FZR137" s="221"/>
      <c r="FZS137" s="221"/>
      <c r="FZT137" s="221"/>
      <c r="FZU137" s="258"/>
      <c r="FZV137" s="270"/>
      <c r="FZW137" s="271"/>
      <c r="FZX137" s="271"/>
      <c r="FZY137" s="271"/>
      <c r="FZZ137" s="221"/>
      <c r="GAA137" s="221"/>
      <c r="GAB137" s="221"/>
      <c r="GAC137" s="258"/>
      <c r="GAD137" s="270"/>
      <c r="GAE137" s="271"/>
      <c r="GAF137" s="271"/>
      <c r="GAG137" s="271"/>
      <c r="GAH137" s="221"/>
      <c r="GAI137" s="221"/>
      <c r="GAJ137" s="221"/>
      <c r="GAK137" s="258"/>
      <c r="GAL137" s="270"/>
      <c r="GAM137" s="271"/>
      <c r="GAN137" s="271"/>
      <c r="GAO137" s="271"/>
      <c r="GAP137" s="221"/>
      <c r="GAQ137" s="221"/>
      <c r="GAR137" s="221"/>
      <c r="GAS137" s="258"/>
      <c r="GAT137" s="270"/>
      <c r="GAU137" s="271"/>
      <c r="GAV137" s="271"/>
      <c r="GAW137" s="271"/>
      <c r="GAX137" s="221"/>
      <c r="GAY137" s="221"/>
      <c r="GAZ137" s="221"/>
      <c r="GBA137" s="258"/>
      <c r="GBB137" s="270"/>
      <c r="GBC137" s="271"/>
      <c r="GBD137" s="271"/>
      <c r="GBE137" s="271"/>
      <c r="GBF137" s="221"/>
      <c r="GBG137" s="221"/>
      <c r="GBH137" s="221"/>
      <c r="GBI137" s="258"/>
      <c r="GBJ137" s="270"/>
      <c r="GBK137" s="271"/>
      <c r="GBL137" s="271"/>
      <c r="GBM137" s="271"/>
      <c r="GBN137" s="221"/>
      <c r="GBO137" s="221"/>
      <c r="GBP137" s="221"/>
      <c r="GBQ137" s="258"/>
      <c r="GBR137" s="270"/>
      <c r="GBS137" s="271"/>
      <c r="GBT137" s="271"/>
      <c r="GBU137" s="271"/>
      <c r="GBV137" s="221"/>
      <c r="GBW137" s="221"/>
      <c r="GBX137" s="221"/>
      <c r="GBY137" s="258"/>
      <c r="GBZ137" s="270"/>
      <c r="GCA137" s="271"/>
      <c r="GCB137" s="271"/>
      <c r="GCC137" s="271"/>
      <c r="GCD137" s="221"/>
      <c r="GCE137" s="221"/>
      <c r="GCF137" s="221"/>
      <c r="GCG137" s="258"/>
      <c r="GCH137" s="270"/>
      <c r="GCI137" s="271"/>
      <c r="GCJ137" s="271"/>
      <c r="GCK137" s="271"/>
      <c r="GCL137" s="221"/>
      <c r="GCM137" s="221"/>
      <c r="GCN137" s="221"/>
      <c r="GCO137" s="258"/>
      <c r="GCP137" s="270"/>
      <c r="GCQ137" s="271"/>
      <c r="GCR137" s="271"/>
      <c r="GCS137" s="271"/>
      <c r="GCT137" s="221"/>
      <c r="GCU137" s="221"/>
      <c r="GCV137" s="221"/>
      <c r="GCW137" s="258"/>
      <c r="GCX137" s="270"/>
      <c r="GCY137" s="271"/>
      <c r="GCZ137" s="271"/>
      <c r="GDA137" s="271"/>
      <c r="GDB137" s="221"/>
      <c r="GDC137" s="221"/>
      <c r="GDD137" s="221"/>
      <c r="GDE137" s="258"/>
      <c r="GDF137" s="270"/>
      <c r="GDG137" s="271"/>
      <c r="GDH137" s="271"/>
      <c r="GDI137" s="271"/>
      <c r="GDJ137" s="221"/>
      <c r="GDK137" s="221"/>
      <c r="GDL137" s="221"/>
      <c r="GDM137" s="258"/>
      <c r="GDN137" s="270"/>
      <c r="GDO137" s="271"/>
      <c r="GDP137" s="271"/>
      <c r="GDQ137" s="271"/>
      <c r="GDR137" s="221"/>
      <c r="GDS137" s="221"/>
      <c r="GDT137" s="221"/>
      <c r="GDU137" s="258"/>
      <c r="GDV137" s="270"/>
      <c r="GDW137" s="271"/>
      <c r="GDX137" s="271"/>
      <c r="GDY137" s="271"/>
      <c r="GDZ137" s="221"/>
      <c r="GEA137" s="221"/>
      <c r="GEB137" s="221"/>
      <c r="GEC137" s="258"/>
      <c r="GED137" s="270"/>
      <c r="GEE137" s="271"/>
      <c r="GEF137" s="271"/>
      <c r="GEG137" s="271"/>
      <c r="GEH137" s="221"/>
      <c r="GEI137" s="221"/>
      <c r="GEJ137" s="221"/>
      <c r="GEK137" s="258"/>
      <c r="GEL137" s="270"/>
      <c r="GEM137" s="271"/>
      <c r="GEN137" s="271"/>
      <c r="GEO137" s="271"/>
      <c r="GEP137" s="221"/>
      <c r="GEQ137" s="221"/>
      <c r="GER137" s="221"/>
      <c r="GES137" s="258"/>
      <c r="GET137" s="270"/>
      <c r="GEU137" s="271"/>
      <c r="GEV137" s="271"/>
      <c r="GEW137" s="271"/>
      <c r="GEX137" s="221"/>
      <c r="GEY137" s="221"/>
      <c r="GEZ137" s="221"/>
      <c r="GFA137" s="258"/>
      <c r="GFB137" s="270"/>
      <c r="GFC137" s="271"/>
      <c r="GFD137" s="271"/>
      <c r="GFE137" s="271"/>
      <c r="GFF137" s="221"/>
      <c r="GFG137" s="221"/>
      <c r="GFH137" s="221"/>
      <c r="GFI137" s="258"/>
      <c r="GFJ137" s="270"/>
      <c r="GFK137" s="271"/>
      <c r="GFL137" s="271"/>
      <c r="GFM137" s="271"/>
      <c r="GFN137" s="221"/>
      <c r="GFO137" s="221"/>
      <c r="GFP137" s="221"/>
      <c r="GFQ137" s="258"/>
      <c r="GFR137" s="270"/>
      <c r="GFS137" s="271"/>
      <c r="GFT137" s="271"/>
      <c r="GFU137" s="271"/>
      <c r="GFV137" s="221"/>
      <c r="GFW137" s="221"/>
      <c r="GFX137" s="221"/>
      <c r="GFY137" s="258"/>
      <c r="GFZ137" s="270"/>
      <c r="GGA137" s="271"/>
      <c r="GGB137" s="271"/>
      <c r="GGC137" s="271"/>
      <c r="GGD137" s="221"/>
      <c r="GGE137" s="221"/>
      <c r="GGF137" s="221"/>
      <c r="GGG137" s="258"/>
      <c r="GGH137" s="270"/>
      <c r="GGI137" s="271"/>
      <c r="GGJ137" s="271"/>
      <c r="GGK137" s="271"/>
      <c r="GGL137" s="221"/>
      <c r="GGM137" s="221"/>
      <c r="GGN137" s="221"/>
      <c r="GGO137" s="258"/>
      <c r="GGP137" s="270"/>
      <c r="GGQ137" s="271"/>
      <c r="GGR137" s="271"/>
      <c r="GGS137" s="271"/>
      <c r="GGT137" s="221"/>
      <c r="GGU137" s="221"/>
      <c r="GGV137" s="221"/>
      <c r="GGW137" s="258"/>
      <c r="GGX137" s="270"/>
      <c r="GGY137" s="271"/>
      <c r="GGZ137" s="271"/>
      <c r="GHA137" s="271"/>
      <c r="GHB137" s="221"/>
      <c r="GHC137" s="221"/>
      <c r="GHD137" s="221"/>
      <c r="GHE137" s="258"/>
      <c r="GHF137" s="270"/>
      <c r="GHG137" s="271"/>
      <c r="GHH137" s="271"/>
      <c r="GHI137" s="271"/>
      <c r="GHJ137" s="221"/>
      <c r="GHK137" s="221"/>
      <c r="GHL137" s="221"/>
      <c r="GHM137" s="258"/>
      <c r="GHN137" s="270"/>
      <c r="GHO137" s="271"/>
      <c r="GHP137" s="271"/>
      <c r="GHQ137" s="271"/>
      <c r="GHR137" s="221"/>
      <c r="GHS137" s="221"/>
      <c r="GHT137" s="221"/>
      <c r="GHU137" s="258"/>
      <c r="GHV137" s="270"/>
      <c r="GHW137" s="271"/>
      <c r="GHX137" s="271"/>
      <c r="GHY137" s="271"/>
      <c r="GHZ137" s="221"/>
      <c r="GIA137" s="221"/>
      <c r="GIB137" s="221"/>
      <c r="GIC137" s="258"/>
      <c r="GID137" s="270"/>
      <c r="GIE137" s="271"/>
      <c r="GIF137" s="271"/>
      <c r="GIG137" s="271"/>
      <c r="GIH137" s="221"/>
      <c r="GII137" s="221"/>
      <c r="GIJ137" s="221"/>
      <c r="GIK137" s="258"/>
      <c r="GIL137" s="270"/>
      <c r="GIM137" s="271"/>
      <c r="GIN137" s="271"/>
      <c r="GIO137" s="271"/>
      <c r="GIP137" s="221"/>
      <c r="GIQ137" s="221"/>
      <c r="GIR137" s="221"/>
      <c r="GIS137" s="258"/>
      <c r="GIT137" s="270"/>
      <c r="GIU137" s="271"/>
      <c r="GIV137" s="271"/>
      <c r="GIW137" s="271"/>
      <c r="GIX137" s="221"/>
      <c r="GIY137" s="221"/>
      <c r="GIZ137" s="221"/>
      <c r="GJA137" s="258"/>
      <c r="GJB137" s="270"/>
      <c r="GJC137" s="271"/>
      <c r="GJD137" s="271"/>
      <c r="GJE137" s="271"/>
      <c r="GJF137" s="221"/>
      <c r="GJG137" s="221"/>
      <c r="GJH137" s="221"/>
      <c r="GJI137" s="258"/>
      <c r="GJJ137" s="270"/>
      <c r="GJK137" s="271"/>
      <c r="GJL137" s="271"/>
      <c r="GJM137" s="271"/>
      <c r="GJN137" s="221"/>
      <c r="GJO137" s="221"/>
      <c r="GJP137" s="221"/>
      <c r="GJQ137" s="258"/>
      <c r="GJR137" s="270"/>
      <c r="GJS137" s="271"/>
      <c r="GJT137" s="271"/>
      <c r="GJU137" s="271"/>
      <c r="GJV137" s="221"/>
      <c r="GJW137" s="221"/>
      <c r="GJX137" s="221"/>
      <c r="GJY137" s="258"/>
      <c r="GJZ137" s="270"/>
      <c r="GKA137" s="271"/>
      <c r="GKB137" s="271"/>
      <c r="GKC137" s="271"/>
      <c r="GKD137" s="221"/>
      <c r="GKE137" s="221"/>
      <c r="GKF137" s="221"/>
      <c r="GKG137" s="258"/>
      <c r="GKH137" s="270"/>
      <c r="GKI137" s="271"/>
      <c r="GKJ137" s="271"/>
      <c r="GKK137" s="271"/>
      <c r="GKL137" s="221"/>
      <c r="GKM137" s="221"/>
      <c r="GKN137" s="221"/>
      <c r="GKO137" s="258"/>
      <c r="GKP137" s="270"/>
      <c r="GKQ137" s="271"/>
      <c r="GKR137" s="271"/>
      <c r="GKS137" s="271"/>
      <c r="GKT137" s="221"/>
      <c r="GKU137" s="221"/>
      <c r="GKV137" s="221"/>
      <c r="GKW137" s="258"/>
      <c r="GKX137" s="270"/>
      <c r="GKY137" s="271"/>
      <c r="GKZ137" s="271"/>
      <c r="GLA137" s="271"/>
      <c r="GLB137" s="221"/>
      <c r="GLC137" s="221"/>
      <c r="GLD137" s="221"/>
      <c r="GLE137" s="258"/>
      <c r="GLF137" s="270"/>
      <c r="GLG137" s="271"/>
      <c r="GLH137" s="271"/>
      <c r="GLI137" s="271"/>
      <c r="GLJ137" s="221"/>
      <c r="GLK137" s="221"/>
      <c r="GLL137" s="221"/>
      <c r="GLM137" s="258"/>
      <c r="GLN137" s="270"/>
      <c r="GLO137" s="271"/>
      <c r="GLP137" s="271"/>
      <c r="GLQ137" s="271"/>
      <c r="GLR137" s="221"/>
      <c r="GLS137" s="221"/>
      <c r="GLT137" s="221"/>
      <c r="GLU137" s="258"/>
      <c r="GLV137" s="270"/>
      <c r="GLW137" s="271"/>
      <c r="GLX137" s="271"/>
      <c r="GLY137" s="271"/>
      <c r="GLZ137" s="221"/>
      <c r="GMA137" s="221"/>
      <c r="GMB137" s="221"/>
      <c r="GMC137" s="258"/>
      <c r="GMD137" s="270"/>
      <c r="GME137" s="271"/>
      <c r="GMF137" s="271"/>
      <c r="GMG137" s="271"/>
      <c r="GMH137" s="221"/>
      <c r="GMI137" s="221"/>
      <c r="GMJ137" s="221"/>
      <c r="GMK137" s="258"/>
      <c r="GML137" s="270"/>
      <c r="GMM137" s="271"/>
      <c r="GMN137" s="271"/>
      <c r="GMO137" s="271"/>
      <c r="GMP137" s="221"/>
      <c r="GMQ137" s="221"/>
      <c r="GMR137" s="221"/>
      <c r="GMS137" s="258"/>
      <c r="GMT137" s="270"/>
      <c r="GMU137" s="271"/>
      <c r="GMV137" s="271"/>
      <c r="GMW137" s="271"/>
      <c r="GMX137" s="221"/>
      <c r="GMY137" s="221"/>
      <c r="GMZ137" s="221"/>
      <c r="GNA137" s="258"/>
      <c r="GNB137" s="270"/>
      <c r="GNC137" s="271"/>
      <c r="GND137" s="271"/>
      <c r="GNE137" s="271"/>
      <c r="GNF137" s="221"/>
      <c r="GNG137" s="221"/>
      <c r="GNH137" s="221"/>
      <c r="GNI137" s="258"/>
      <c r="GNJ137" s="270"/>
      <c r="GNK137" s="271"/>
      <c r="GNL137" s="271"/>
      <c r="GNM137" s="271"/>
      <c r="GNN137" s="221"/>
      <c r="GNO137" s="221"/>
      <c r="GNP137" s="221"/>
      <c r="GNQ137" s="258"/>
      <c r="GNR137" s="270"/>
      <c r="GNS137" s="271"/>
      <c r="GNT137" s="271"/>
      <c r="GNU137" s="271"/>
      <c r="GNV137" s="221"/>
      <c r="GNW137" s="221"/>
      <c r="GNX137" s="221"/>
      <c r="GNY137" s="258"/>
      <c r="GNZ137" s="270"/>
      <c r="GOA137" s="271"/>
      <c r="GOB137" s="271"/>
      <c r="GOC137" s="271"/>
      <c r="GOD137" s="221"/>
      <c r="GOE137" s="221"/>
      <c r="GOF137" s="221"/>
      <c r="GOG137" s="258"/>
      <c r="GOH137" s="270"/>
      <c r="GOI137" s="271"/>
      <c r="GOJ137" s="271"/>
      <c r="GOK137" s="271"/>
      <c r="GOL137" s="221"/>
      <c r="GOM137" s="221"/>
      <c r="GON137" s="221"/>
      <c r="GOO137" s="258"/>
      <c r="GOP137" s="270"/>
      <c r="GOQ137" s="271"/>
      <c r="GOR137" s="271"/>
      <c r="GOS137" s="271"/>
      <c r="GOT137" s="221"/>
      <c r="GOU137" s="221"/>
      <c r="GOV137" s="221"/>
      <c r="GOW137" s="258"/>
      <c r="GOX137" s="270"/>
      <c r="GOY137" s="271"/>
      <c r="GOZ137" s="271"/>
      <c r="GPA137" s="271"/>
      <c r="GPB137" s="221"/>
      <c r="GPC137" s="221"/>
      <c r="GPD137" s="221"/>
      <c r="GPE137" s="258"/>
      <c r="GPF137" s="270"/>
      <c r="GPG137" s="271"/>
      <c r="GPH137" s="271"/>
      <c r="GPI137" s="271"/>
      <c r="GPJ137" s="221"/>
      <c r="GPK137" s="221"/>
      <c r="GPL137" s="221"/>
      <c r="GPM137" s="258"/>
      <c r="GPN137" s="270"/>
      <c r="GPO137" s="271"/>
      <c r="GPP137" s="271"/>
      <c r="GPQ137" s="271"/>
      <c r="GPR137" s="221"/>
      <c r="GPS137" s="221"/>
      <c r="GPT137" s="221"/>
      <c r="GPU137" s="258"/>
      <c r="GPV137" s="270"/>
      <c r="GPW137" s="271"/>
      <c r="GPX137" s="271"/>
      <c r="GPY137" s="271"/>
      <c r="GPZ137" s="221"/>
      <c r="GQA137" s="221"/>
      <c r="GQB137" s="221"/>
      <c r="GQC137" s="258"/>
      <c r="GQD137" s="270"/>
      <c r="GQE137" s="271"/>
      <c r="GQF137" s="271"/>
      <c r="GQG137" s="271"/>
      <c r="GQH137" s="221"/>
      <c r="GQI137" s="221"/>
      <c r="GQJ137" s="221"/>
      <c r="GQK137" s="258"/>
      <c r="GQL137" s="270"/>
      <c r="GQM137" s="271"/>
      <c r="GQN137" s="271"/>
      <c r="GQO137" s="271"/>
      <c r="GQP137" s="221"/>
      <c r="GQQ137" s="221"/>
      <c r="GQR137" s="221"/>
      <c r="GQS137" s="258"/>
      <c r="GQT137" s="270"/>
      <c r="GQU137" s="271"/>
      <c r="GQV137" s="271"/>
      <c r="GQW137" s="271"/>
      <c r="GQX137" s="221"/>
      <c r="GQY137" s="221"/>
      <c r="GQZ137" s="221"/>
      <c r="GRA137" s="258"/>
      <c r="GRB137" s="270"/>
      <c r="GRC137" s="271"/>
      <c r="GRD137" s="271"/>
      <c r="GRE137" s="271"/>
      <c r="GRF137" s="221"/>
      <c r="GRG137" s="221"/>
      <c r="GRH137" s="221"/>
      <c r="GRI137" s="258"/>
      <c r="GRJ137" s="270"/>
      <c r="GRK137" s="271"/>
      <c r="GRL137" s="271"/>
      <c r="GRM137" s="271"/>
      <c r="GRN137" s="221"/>
      <c r="GRO137" s="221"/>
      <c r="GRP137" s="221"/>
      <c r="GRQ137" s="258"/>
      <c r="GRR137" s="270"/>
      <c r="GRS137" s="271"/>
      <c r="GRT137" s="271"/>
      <c r="GRU137" s="271"/>
      <c r="GRV137" s="221"/>
      <c r="GRW137" s="221"/>
      <c r="GRX137" s="221"/>
      <c r="GRY137" s="258"/>
      <c r="GRZ137" s="270"/>
      <c r="GSA137" s="271"/>
      <c r="GSB137" s="271"/>
      <c r="GSC137" s="271"/>
      <c r="GSD137" s="221"/>
      <c r="GSE137" s="221"/>
      <c r="GSF137" s="221"/>
      <c r="GSG137" s="258"/>
      <c r="GSH137" s="270"/>
      <c r="GSI137" s="271"/>
      <c r="GSJ137" s="271"/>
      <c r="GSK137" s="271"/>
      <c r="GSL137" s="221"/>
      <c r="GSM137" s="221"/>
      <c r="GSN137" s="221"/>
      <c r="GSO137" s="258"/>
      <c r="GSP137" s="270"/>
      <c r="GSQ137" s="271"/>
      <c r="GSR137" s="271"/>
      <c r="GSS137" s="271"/>
      <c r="GST137" s="221"/>
      <c r="GSU137" s="221"/>
      <c r="GSV137" s="221"/>
      <c r="GSW137" s="258"/>
      <c r="GSX137" s="270"/>
      <c r="GSY137" s="271"/>
      <c r="GSZ137" s="271"/>
      <c r="GTA137" s="271"/>
      <c r="GTB137" s="221"/>
      <c r="GTC137" s="221"/>
      <c r="GTD137" s="221"/>
      <c r="GTE137" s="258"/>
      <c r="GTF137" s="270"/>
      <c r="GTG137" s="271"/>
      <c r="GTH137" s="271"/>
      <c r="GTI137" s="271"/>
      <c r="GTJ137" s="221"/>
      <c r="GTK137" s="221"/>
      <c r="GTL137" s="221"/>
      <c r="GTM137" s="258"/>
      <c r="GTN137" s="270"/>
      <c r="GTO137" s="271"/>
      <c r="GTP137" s="271"/>
      <c r="GTQ137" s="271"/>
      <c r="GTR137" s="221"/>
      <c r="GTS137" s="221"/>
      <c r="GTT137" s="221"/>
      <c r="GTU137" s="258"/>
      <c r="GTV137" s="270"/>
      <c r="GTW137" s="271"/>
      <c r="GTX137" s="271"/>
      <c r="GTY137" s="271"/>
      <c r="GTZ137" s="221"/>
      <c r="GUA137" s="221"/>
      <c r="GUB137" s="221"/>
      <c r="GUC137" s="258"/>
      <c r="GUD137" s="270"/>
      <c r="GUE137" s="271"/>
      <c r="GUF137" s="271"/>
      <c r="GUG137" s="271"/>
      <c r="GUH137" s="221"/>
      <c r="GUI137" s="221"/>
      <c r="GUJ137" s="221"/>
      <c r="GUK137" s="258"/>
      <c r="GUL137" s="270"/>
      <c r="GUM137" s="271"/>
      <c r="GUN137" s="271"/>
      <c r="GUO137" s="271"/>
      <c r="GUP137" s="221"/>
      <c r="GUQ137" s="221"/>
      <c r="GUR137" s="221"/>
      <c r="GUS137" s="258"/>
      <c r="GUT137" s="270"/>
      <c r="GUU137" s="271"/>
      <c r="GUV137" s="271"/>
      <c r="GUW137" s="271"/>
      <c r="GUX137" s="221"/>
      <c r="GUY137" s="221"/>
      <c r="GUZ137" s="221"/>
      <c r="GVA137" s="258"/>
      <c r="GVB137" s="270"/>
      <c r="GVC137" s="271"/>
      <c r="GVD137" s="271"/>
      <c r="GVE137" s="271"/>
      <c r="GVF137" s="221"/>
      <c r="GVG137" s="221"/>
      <c r="GVH137" s="221"/>
      <c r="GVI137" s="258"/>
      <c r="GVJ137" s="270"/>
      <c r="GVK137" s="271"/>
      <c r="GVL137" s="271"/>
      <c r="GVM137" s="271"/>
      <c r="GVN137" s="221"/>
      <c r="GVO137" s="221"/>
      <c r="GVP137" s="221"/>
      <c r="GVQ137" s="258"/>
      <c r="GVR137" s="270"/>
      <c r="GVS137" s="271"/>
      <c r="GVT137" s="271"/>
      <c r="GVU137" s="271"/>
      <c r="GVV137" s="221"/>
      <c r="GVW137" s="221"/>
      <c r="GVX137" s="221"/>
      <c r="GVY137" s="258"/>
      <c r="GVZ137" s="270"/>
      <c r="GWA137" s="271"/>
      <c r="GWB137" s="271"/>
      <c r="GWC137" s="271"/>
      <c r="GWD137" s="221"/>
      <c r="GWE137" s="221"/>
      <c r="GWF137" s="221"/>
      <c r="GWG137" s="258"/>
      <c r="GWH137" s="270"/>
      <c r="GWI137" s="271"/>
      <c r="GWJ137" s="271"/>
      <c r="GWK137" s="271"/>
      <c r="GWL137" s="221"/>
      <c r="GWM137" s="221"/>
      <c r="GWN137" s="221"/>
      <c r="GWO137" s="258"/>
      <c r="GWP137" s="270"/>
      <c r="GWQ137" s="271"/>
      <c r="GWR137" s="271"/>
      <c r="GWS137" s="271"/>
      <c r="GWT137" s="221"/>
      <c r="GWU137" s="221"/>
      <c r="GWV137" s="221"/>
      <c r="GWW137" s="258"/>
      <c r="GWX137" s="270"/>
      <c r="GWY137" s="271"/>
      <c r="GWZ137" s="271"/>
      <c r="GXA137" s="271"/>
      <c r="GXB137" s="221"/>
      <c r="GXC137" s="221"/>
      <c r="GXD137" s="221"/>
      <c r="GXE137" s="258"/>
      <c r="GXF137" s="270"/>
      <c r="GXG137" s="271"/>
      <c r="GXH137" s="271"/>
      <c r="GXI137" s="271"/>
      <c r="GXJ137" s="221"/>
      <c r="GXK137" s="221"/>
      <c r="GXL137" s="221"/>
      <c r="GXM137" s="258"/>
      <c r="GXN137" s="270"/>
      <c r="GXO137" s="271"/>
      <c r="GXP137" s="271"/>
      <c r="GXQ137" s="271"/>
      <c r="GXR137" s="221"/>
      <c r="GXS137" s="221"/>
      <c r="GXT137" s="221"/>
      <c r="GXU137" s="258"/>
      <c r="GXV137" s="270"/>
      <c r="GXW137" s="271"/>
      <c r="GXX137" s="271"/>
      <c r="GXY137" s="271"/>
      <c r="GXZ137" s="221"/>
      <c r="GYA137" s="221"/>
      <c r="GYB137" s="221"/>
      <c r="GYC137" s="258"/>
      <c r="GYD137" s="270"/>
      <c r="GYE137" s="271"/>
      <c r="GYF137" s="271"/>
      <c r="GYG137" s="271"/>
      <c r="GYH137" s="221"/>
      <c r="GYI137" s="221"/>
      <c r="GYJ137" s="221"/>
      <c r="GYK137" s="258"/>
      <c r="GYL137" s="270"/>
      <c r="GYM137" s="271"/>
      <c r="GYN137" s="271"/>
      <c r="GYO137" s="271"/>
      <c r="GYP137" s="221"/>
      <c r="GYQ137" s="221"/>
      <c r="GYR137" s="221"/>
      <c r="GYS137" s="258"/>
      <c r="GYT137" s="270"/>
      <c r="GYU137" s="271"/>
      <c r="GYV137" s="271"/>
      <c r="GYW137" s="271"/>
      <c r="GYX137" s="221"/>
      <c r="GYY137" s="221"/>
      <c r="GYZ137" s="221"/>
      <c r="GZA137" s="258"/>
      <c r="GZB137" s="270"/>
      <c r="GZC137" s="271"/>
      <c r="GZD137" s="271"/>
      <c r="GZE137" s="271"/>
      <c r="GZF137" s="221"/>
      <c r="GZG137" s="221"/>
      <c r="GZH137" s="221"/>
      <c r="GZI137" s="258"/>
      <c r="GZJ137" s="270"/>
      <c r="GZK137" s="271"/>
      <c r="GZL137" s="271"/>
      <c r="GZM137" s="271"/>
      <c r="GZN137" s="221"/>
      <c r="GZO137" s="221"/>
      <c r="GZP137" s="221"/>
      <c r="GZQ137" s="258"/>
      <c r="GZR137" s="270"/>
      <c r="GZS137" s="271"/>
      <c r="GZT137" s="271"/>
      <c r="GZU137" s="271"/>
      <c r="GZV137" s="221"/>
      <c r="GZW137" s="221"/>
      <c r="GZX137" s="221"/>
      <c r="GZY137" s="258"/>
      <c r="GZZ137" s="270"/>
      <c r="HAA137" s="271"/>
      <c r="HAB137" s="271"/>
      <c r="HAC137" s="271"/>
      <c r="HAD137" s="221"/>
      <c r="HAE137" s="221"/>
      <c r="HAF137" s="221"/>
      <c r="HAG137" s="258"/>
      <c r="HAH137" s="270"/>
      <c r="HAI137" s="271"/>
      <c r="HAJ137" s="271"/>
      <c r="HAK137" s="271"/>
      <c r="HAL137" s="221"/>
      <c r="HAM137" s="221"/>
      <c r="HAN137" s="221"/>
      <c r="HAO137" s="258"/>
      <c r="HAP137" s="270"/>
      <c r="HAQ137" s="271"/>
      <c r="HAR137" s="271"/>
      <c r="HAS137" s="271"/>
      <c r="HAT137" s="221"/>
      <c r="HAU137" s="221"/>
      <c r="HAV137" s="221"/>
      <c r="HAW137" s="258"/>
      <c r="HAX137" s="270"/>
      <c r="HAY137" s="271"/>
      <c r="HAZ137" s="271"/>
      <c r="HBA137" s="271"/>
      <c r="HBB137" s="221"/>
      <c r="HBC137" s="221"/>
      <c r="HBD137" s="221"/>
      <c r="HBE137" s="258"/>
      <c r="HBF137" s="270"/>
      <c r="HBG137" s="271"/>
      <c r="HBH137" s="271"/>
      <c r="HBI137" s="271"/>
      <c r="HBJ137" s="221"/>
      <c r="HBK137" s="221"/>
      <c r="HBL137" s="221"/>
      <c r="HBM137" s="258"/>
      <c r="HBN137" s="270"/>
      <c r="HBO137" s="271"/>
      <c r="HBP137" s="271"/>
      <c r="HBQ137" s="271"/>
      <c r="HBR137" s="221"/>
      <c r="HBS137" s="221"/>
      <c r="HBT137" s="221"/>
      <c r="HBU137" s="258"/>
      <c r="HBV137" s="270"/>
      <c r="HBW137" s="271"/>
      <c r="HBX137" s="271"/>
      <c r="HBY137" s="271"/>
      <c r="HBZ137" s="221"/>
      <c r="HCA137" s="221"/>
      <c r="HCB137" s="221"/>
      <c r="HCC137" s="258"/>
      <c r="HCD137" s="270"/>
      <c r="HCE137" s="271"/>
      <c r="HCF137" s="271"/>
      <c r="HCG137" s="271"/>
      <c r="HCH137" s="221"/>
      <c r="HCI137" s="221"/>
      <c r="HCJ137" s="221"/>
      <c r="HCK137" s="258"/>
      <c r="HCL137" s="270"/>
      <c r="HCM137" s="271"/>
      <c r="HCN137" s="271"/>
      <c r="HCO137" s="271"/>
      <c r="HCP137" s="221"/>
      <c r="HCQ137" s="221"/>
      <c r="HCR137" s="221"/>
      <c r="HCS137" s="258"/>
      <c r="HCT137" s="270"/>
      <c r="HCU137" s="271"/>
      <c r="HCV137" s="271"/>
      <c r="HCW137" s="271"/>
      <c r="HCX137" s="221"/>
      <c r="HCY137" s="221"/>
      <c r="HCZ137" s="221"/>
      <c r="HDA137" s="258"/>
      <c r="HDB137" s="270"/>
      <c r="HDC137" s="271"/>
      <c r="HDD137" s="271"/>
      <c r="HDE137" s="271"/>
      <c r="HDF137" s="221"/>
      <c r="HDG137" s="221"/>
      <c r="HDH137" s="221"/>
      <c r="HDI137" s="258"/>
      <c r="HDJ137" s="270"/>
      <c r="HDK137" s="271"/>
      <c r="HDL137" s="271"/>
      <c r="HDM137" s="271"/>
      <c r="HDN137" s="221"/>
      <c r="HDO137" s="221"/>
      <c r="HDP137" s="221"/>
      <c r="HDQ137" s="258"/>
      <c r="HDR137" s="270"/>
      <c r="HDS137" s="271"/>
      <c r="HDT137" s="271"/>
      <c r="HDU137" s="271"/>
      <c r="HDV137" s="221"/>
      <c r="HDW137" s="221"/>
      <c r="HDX137" s="221"/>
      <c r="HDY137" s="258"/>
      <c r="HDZ137" s="270"/>
      <c r="HEA137" s="271"/>
      <c r="HEB137" s="271"/>
      <c r="HEC137" s="271"/>
      <c r="HED137" s="221"/>
      <c r="HEE137" s="221"/>
      <c r="HEF137" s="221"/>
      <c r="HEG137" s="258"/>
      <c r="HEH137" s="270"/>
      <c r="HEI137" s="271"/>
      <c r="HEJ137" s="271"/>
      <c r="HEK137" s="271"/>
      <c r="HEL137" s="221"/>
      <c r="HEM137" s="221"/>
      <c r="HEN137" s="221"/>
      <c r="HEO137" s="258"/>
      <c r="HEP137" s="270"/>
      <c r="HEQ137" s="271"/>
      <c r="HER137" s="271"/>
      <c r="HES137" s="271"/>
      <c r="HET137" s="221"/>
      <c r="HEU137" s="221"/>
      <c r="HEV137" s="221"/>
      <c r="HEW137" s="258"/>
      <c r="HEX137" s="270"/>
      <c r="HEY137" s="271"/>
      <c r="HEZ137" s="271"/>
      <c r="HFA137" s="271"/>
      <c r="HFB137" s="221"/>
      <c r="HFC137" s="221"/>
      <c r="HFD137" s="221"/>
      <c r="HFE137" s="258"/>
      <c r="HFF137" s="270"/>
      <c r="HFG137" s="271"/>
      <c r="HFH137" s="271"/>
      <c r="HFI137" s="271"/>
      <c r="HFJ137" s="221"/>
      <c r="HFK137" s="221"/>
      <c r="HFL137" s="221"/>
      <c r="HFM137" s="258"/>
      <c r="HFN137" s="270"/>
      <c r="HFO137" s="271"/>
      <c r="HFP137" s="271"/>
      <c r="HFQ137" s="271"/>
      <c r="HFR137" s="221"/>
      <c r="HFS137" s="221"/>
      <c r="HFT137" s="221"/>
      <c r="HFU137" s="258"/>
      <c r="HFV137" s="270"/>
      <c r="HFW137" s="271"/>
      <c r="HFX137" s="271"/>
      <c r="HFY137" s="271"/>
      <c r="HFZ137" s="221"/>
      <c r="HGA137" s="221"/>
      <c r="HGB137" s="221"/>
      <c r="HGC137" s="258"/>
      <c r="HGD137" s="270"/>
      <c r="HGE137" s="271"/>
      <c r="HGF137" s="271"/>
      <c r="HGG137" s="271"/>
      <c r="HGH137" s="221"/>
      <c r="HGI137" s="221"/>
      <c r="HGJ137" s="221"/>
      <c r="HGK137" s="258"/>
      <c r="HGL137" s="270"/>
      <c r="HGM137" s="271"/>
      <c r="HGN137" s="271"/>
      <c r="HGO137" s="271"/>
      <c r="HGP137" s="221"/>
      <c r="HGQ137" s="221"/>
      <c r="HGR137" s="221"/>
      <c r="HGS137" s="258"/>
      <c r="HGT137" s="270"/>
      <c r="HGU137" s="271"/>
      <c r="HGV137" s="271"/>
      <c r="HGW137" s="271"/>
      <c r="HGX137" s="221"/>
      <c r="HGY137" s="221"/>
      <c r="HGZ137" s="221"/>
      <c r="HHA137" s="258"/>
      <c r="HHB137" s="270"/>
      <c r="HHC137" s="271"/>
      <c r="HHD137" s="271"/>
      <c r="HHE137" s="271"/>
      <c r="HHF137" s="221"/>
      <c r="HHG137" s="221"/>
      <c r="HHH137" s="221"/>
      <c r="HHI137" s="258"/>
      <c r="HHJ137" s="270"/>
      <c r="HHK137" s="271"/>
      <c r="HHL137" s="271"/>
      <c r="HHM137" s="271"/>
      <c r="HHN137" s="221"/>
      <c r="HHO137" s="221"/>
      <c r="HHP137" s="221"/>
      <c r="HHQ137" s="258"/>
      <c r="HHR137" s="270"/>
      <c r="HHS137" s="271"/>
      <c r="HHT137" s="271"/>
      <c r="HHU137" s="271"/>
      <c r="HHV137" s="221"/>
      <c r="HHW137" s="221"/>
      <c r="HHX137" s="221"/>
      <c r="HHY137" s="258"/>
      <c r="HHZ137" s="270"/>
      <c r="HIA137" s="271"/>
      <c r="HIB137" s="271"/>
      <c r="HIC137" s="271"/>
      <c r="HID137" s="221"/>
      <c r="HIE137" s="221"/>
      <c r="HIF137" s="221"/>
      <c r="HIG137" s="258"/>
      <c r="HIH137" s="270"/>
      <c r="HII137" s="271"/>
      <c r="HIJ137" s="271"/>
      <c r="HIK137" s="271"/>
      <c r="HIL137" s="221"/>
      <c r="HIM137" s="221"/>
      <c r="HIN137" s="221"/>
      <c r="HIO137" s="258"/>
      <c r="HIP137" s="270"/>
      <c r="HIQ137" s="271"/>
      <c r="HIR137" s="271"/>
      <c r="HIS137" s="271"/>
      <c r="HIT137" s="221"/>
      <c r="HIU137" s="221"/>
      <c r="HIV137" s="221"/>
      <c r="HIW137" s="258"/>
      <c r="HIX137" s="270"/>
      <c r="HIY137" s="271"/>
      <c r="HIZ137" s="271"/>
      <c r="HJA137" s="271"/>
      <c r="HJB137" s="221"/>
      <c r="HJC137" s="221"/>
      <c r="HJD137" s="221"/>
      <c r="HJE137" s="258"/>
      <c r="HJF137" s="270"/>
      <c r="HJG137" s="271"/>
      <c r="HJH137" s="271"/>
      <c r="HJI137" s="271"/>
      <c r="HJJ137" s="221"/>
      <c r="HJK137" s="221"/>
      <c r="HJL137" s="221"/>
      <c r="HJM137" s="258"/>
      <c r="HJN137" s="270"/>
      <c r="HJO137" s="271"/>
      <c r="HJP137" s="271"/>
      <c r="HJQ137" s="271"/>
      <c r="HJR137" s="221"/>
      <c r="HJS137" s="221"/>
      <c r="HJT137" s="221"/>
      <c r="HJU137" s="258"/>
      <c r="HJV137" s="270"/>
      <c r="HJW137" s="271"/>
      <c r="HJX137" s="271"/>
      <c r="HJY137" s="271"/>
      <c r="HJZ137" s="221"/>
      <c r="HKA137" s="221"/>
      <c r="HKB137" s="221"/>
      <c r="HKC137" s="258"/>
      <c r="HKD137" s="270"/>
      <c r="HKE137" s="271"/>
      <c r="HKF137" s="271"/>
      <c r="HKG137" s="271"/>
      <c r="HKH137" s="221"/>
      <c r="HKI137" s="221"/>
      <c r="HKJ137" s="221"/>
      <c r="HKK137" s="258"/>
      <c r="HKL137" s="270"/>
      <c r="HKM137" s="271"/>
      <c r="HKN137" s="271"/>
      <c r="HKO137" s="271"/>
      <c r="HKP137" s="221"/>
      <c r="HKQ137" s="221"/>
      <c r="HKR137" s="221"/>
      <c r="HKS137" s="258"/>
      <c r="HKT137" s="270"/>
      <c r="HKU137" s="271"/>
      <c r="HKV137" s="271"/>
      <c r="HKW137" s="271"/>
      <c r="HKX137" s="221"/>
      <c r="HKY137" s="221"/>
      <c r="HKZ137" s="221"/>
      <c r="HLA137" s="258"/>
      <c r="HLB137" s="270"/>
      <c r="HLC137" s="271"/>
      <c r="HLD137" s="271"/>
      <c r="HLE137" s="271"/>
      <c r="HLF137" s="221"/>
      <c r="HLG137" s="221"/>
      <c r="HLH137" s="221"/>
      <c r="HLI137" s="258"/>
      <c r="HLJ137" s="270"/>
      <c r="HLK137" s="271"/>
      <c r="HLL137" s="271"/>
      <c r="HLM137" s="271"/>
      <c r="HLN137" s="221"/>
      <c r="HLO137" s="221"/>
      <c r="HLP137" s="221"/>
      <c r="HLQ137" s="258"/>
      <c r="HLR137" s="270"/>
      <c r="HLS137" s="271"/>
      <c r="HLT137" s="271"/>
      <c r="HLU137" s="271"/>
      <c r="HLV137" s="221"/>
      <c r="HLW137" s="221"/>
      <c r="HLX137" s="221"/>
      <c r="HLY137" s="258"/>
      <c r="HLZ137" s="270"/>
      <c r="HMA137" s="271"/>
      <c r="HMB137" s="271"/>
      <c r="HMC137" s="271"/>
      <c r="HMD137" s="221"/>
      <c r="HME137" s="221"/>
      <c r="HMF137" s="221"/>
      <c r="HMG137" s="258"/>
      <c r="HMH137" s="270"/>
      <c r="HMI137" s="271"/>
      <c r="HMJ137" s="271"/>
      <c r="HMK137" s="271"/>
      <c r="HML137" s="221"/>
      <c r="HMM137" s="221"/>
      <c r="HMN137" s="221"/>
      <c r="HMO137" s="258"/>
      <c r="HMP137" s="270"/>
      <c r="HMQ137" s="271"/>
      <c r="HMR137" s="271"/>
      <c r="HMS137" s="271"/>
      <c r="HMT137" s="221"/>
      <c r="HMU137" s="221"/>
      <c r="HMV137" s="221"/>
      <c r="HMW137" s="258"/>
      <c r="HMX137" s="270"/>
      <c r="HMY137" s="271"/>
      <c r="HMZ137" s="271"/>
      <c r="HNA137" s="271"/>
      <c r="HNB137" s="221"/>
      <c r="HNC137" s="221"/>
      <c r="HND137" s="221"/>
      <c r="HNE137" s="258"/>
      <c r="HNF137" s="270"/>
      <c r="HNG137" s="271"/>
      <c r="HNH137" s="271"/>
      <c r="HNI137" s="271"/>
      <c r="HNJ137" s="221"/>
      <c r="HNK137" s="221"/>
      <c r="HNL137" s="221"/>
      <c r="HNM137" s="258"/>
      <c r="HNN137" s="270"/>
      <c r="HNO137" s="271"/>
      <c r="HNP137" s="271"/>
      <c r="HNQ137" s="271"/>
      <c r="HNR137" s="221"/>
      <c r="HNS137" s="221"/>
      <c r="HNT137" s="221"/>
      <c r="HNU137" s="258"/>
      <c r="HNV137" s="270"/>
      <c r="HNW137" s="271"/>
      <c r="HNX137" s="271"/>
      <c r="HNY137" s="271"/>
      <c r="HNZ137" s="221"/>
      <c r="HOA137" s="221"/>
      <c r="HOB137" s="221"/>
      <c r="HOC137" s="258"/>
      <c r="HOD137" s="270"/>
      <c r="HOE137" s="271"/>
      <c r="HOF137" s="271"/>
      <c r="HOG137" s="271"/>
      <c r="HOH137" s="221"/>
      <c r="HOI137" s="221"/>
      <c r="HOJ137" s="221"/>
      <c r="HOK137" s="258"/>
      <c r="HOL137" s="270"/>
      <c r="HOM137" s="271"/>
      <c r="HON137" s="271"/>
      <c r="HOO137" s="271"/>
      <c r="HOP137" s="221"/>
      <c r="HOQ137" s="221"/>
      <c r="HOR137" s="221"/>
      <c r="HOS137" s="258"/>
      <c r="HOT137" s="270"/>
      <c r="HOU137" s="271"/>
      <c r="HOV137" s="271"/>
      <c r="HOW137" s="271"/>
      <c r="HOX137" s="221"/>
      <c r="HOY137" s="221"/>
      <c r="HOZ137" s="221"/>
      <c r="HPA137" s="258"/>
      <c r="HPB137" s="270"/>
      <c r="HPC137" s="271"/>
      <c r="HPD137" s="271"/>
      <c r="HPE137" s="271"/>
      <c r="HPF137" s="221"/>
      <c r="HPG137" s="221"/>
      <c r="HPH137" s="221"/>
      <c r="HPI137" s="258"/>
      <c r="HPJ137" s="270"/>
      <c r="HPK137" s="271"/>
      <c r="HPL137" s="271"/>
      <c r="HPM137" s="271"/>
      <c r="HPN137" s="221"/>
      <c r="HPO137" s="221"/>
      <c r="HPP137" s="221"/>
      <c r="HPQ137" s="258"/>
      <c r="HPR137" s="270"/>
      <c r="HPS137" s="271"/>
      <c r="HPT137" s="271"/>
      <c r="HPU137" s="271"/>
      <c r="HPV137" s="221"/>
      <c r="HPW137" s="221"/>
      <c r="HPX137" s="221"/>
      <c r="HPY137" s="258"/>
      <c r="HPZ137" s="270"/>
      <c r="HQA137" s="271"/>
      <c r="HQB137" s="271"/>
      <c r="HQC137" s="271"/>
      <c r="HQD137" s="221"/>
      <c r="HQE137" s="221"/>
      <c r="HQF137" s="221"/>
      <c r="HQG137" s="258"/>
      <c r="HQH137" s="270"/>
      <c r="HQI137" s="271"/>
      <c r="HQJ137" s="271"/>
      <c r="HQK137" s="271"/>
      <c r="HQL137" s="221"/>
      <c r="HQM137" s="221"/>
      <c r="HQN137" s="221"/>
      <c r="HQO137" s="258"/>
      <c r="HQP137" s="270"/>
      <c r="HQQ137" s="271"/>
      <c r="HQR137" s="271"/>
      <c r="HQS137" s="271"/>
      <c r="HQT137" s="221"/>
      <c r="HQU137" s="221"/>
      <c r="HQV137" s="221"/>
      <c r="HQW137" s="258"/>
      <c r="HQX137" s="270"/>
      <c r="HQY137" s="271"/>
      <c r="HQZ137" s="271"/>
      <c r="HRA137" s="271"/>
      <c r="HRB137" s="221"/>
      <c r="HRC137" s="221"/>
      <c r="HRD137" s="221"/>
      <c r="HRE137" s="258"/>
      <c r="HRF137" s="270"/>
      <c r="HRG137" s="271"/>
      <c r="HRH137" s="271"/>
      <c r="HRI137" s="271"/>
      <c r="HRJ137" s="221"/>
      <c r="HRK137" s="221"/>
      <c r="HRL137" s="221"/>
      <c r="HRM137" s="258"/>
      <c r="HRN137" s="270"/>
      <c r="HRO137" s="271"/>
      <c r="HRP137" s="271"/>
      <c r="HRQ137" s="271"/>
      <c r="HRR137" s="221"/>
      <c r="HRS137" s="221"/>
      <c r="HRT137" s="221"/>
      <c r="HRU137" s="258"/>
      <c r="HRV137" s="270"/>
      <c r="HRW137" s="271"/>
      <c r="HRX137" s="271"/>
      <c r="HRY137" s="271"/>
      <c r="HRZ137" s="221"/>
      <c r="HSA137" s="221"/>
      <c r="HSB137" s="221"/>
      <c r="HSC137" s="258"/>
      <c r="HSD137" s="270"/>
      <c r="HSE137" s="271"/>
      <c r="HSF137" s="271"/>
      <c r="HSG137" s="271"/>
      <c r="HSH137" s="221"/>
      <c r="HSI137" s="221"/>
      <c r="HSJ137" s="221"/>
      <c r="HSK137" s="258"/>
      <c r="HSL137" s="270"/>
      <c r="HSM137" s="271"/>
      <c r="HSN137" s="271"/>
      <c r="HSO137" s="271"/>
      <c r="HSP137" s="221"/>
      <c r="HSQ137" s="221"/>
      <c r="HSR137" s="221"/>
      <c r="HSS137" s="258"/>
      <c r="HST137" s="270"/>
      <c r="HSU137" s="271"/>
      <c r="HSV137" s="271"/>
      <c r="HSW137" s="271"/>
      <c r="HSX137" s="221"/>
      <c r="HSY137" s="221"/>
      <c r="HSZ137" s="221"/>
      <c r="HTA137" s="258"/>
      <c r="HTB137" s="270"/>
      <c r="HTC137" s="271"/>
      <c r="HTD137" s="271"/>
      <c r="HTE137" s="271"/>
      <c r="HTF137" s="221"/>
      <c r="HTG137" s="221"/>
      <c r="HTH137" s="221"/>
      <c r="HTI137" s="258"/>
      <c r="HTJ137" s="270"/>
      <c r="HTK137" s="271"/>
      <c r="HTL137" s="271"/>
      <c r="HTM137" s="271"/>
      <c r="HTN137" s="221"/>
      <c r="HTO137" s="221"/>
      <c r="HTP137" s="221"/>
      <c r="HTQ137" s="258"/>
      <c r="HTR137" s="270"/>
      <c r="HTS137" s="271"/>
      <c r="HTT137" s="271"/>
      <c r="HTU137" s="271"/>
      <c r="HTV137" s="221"/>
      <c r="HTW137" s="221"/>
      <c r="HTX137" s="221"/>
      <c r="HTY137" s="258"/>
      <c r="HTZ137" s="270"/>
      <c r="HUA137" s="271"/>
      <c r="HUB137" s="271"/>
      <c r="HUC137" s="271"/>
      <c r="HUD137" s="221"/>
      <c r="HUE137" s="221"/>
      <c r="HUF137" s="221"/>
      <c r="HUG137" s="258"/>
      <c r="HUH137" s="270"/>
      <c r="HUI137" s="271"/>
      <c r="HUJ137" s="271"/>
      <c r="HUK137" s="271"/>
      <c r="HUL137" s="221"/>
      <c r="HUM137" s="221"/>
      <c r="HUN137" s="221"/>
      <c r="HUO137" s="258"/>
      <c r="HUP137" s="270"/>
      <c r="HUQ137" s="271"/>
      <c r="HUR137" s="271"/>
      <c r="HUS137" s="271"/>
      <c r="HUT137" s="221"/>
      <c r="HUU137" s="221"/>
      <c r="HUV137" s="221"/>
      <c r="HUW137" s="258"/>
      <c r="HUX137" s="270"/>
      <c r="HUY137" s="271"/>
      <c r="HUZ137" s="271"/>
      <c r="HVA137" s="271"/>
      <c r="HVB137" s="221"/>
      <c r="HVC137" s="221"/>
      <c r="HVD137" s="221"/>
      <c r="HVE137" s="258"/>
      <c r="HVF137" s="270"/>
      <c r="HVG137" s="271"/>
      <c r="HVH137" s="271"/>
      <c r="HVI137" s="271"/>
      <c r="HVJ137" s="221"/>
      <c r="HVK137" s="221"/>
      <c r="HVL137" s="221"/>
      <c r="HVM137" s="258"/>
      <c r="HVN137" s="270"/>
      <c r="HVO137" s="271"/>
      <c r="HVP137" s="271"/>
      <c r="HVQ137" s="271"/>
      <c r="HVR137" s="221"/>
      <c r="HVS137" s="221"/>
      <c r="HVT137" s="221"/>
      <c r="HVU137" s="258"/>
      <c r="HVV137" s="270"/>
      <c r="HVW137" s="271"/>
      <c r="HVX137" s="271"/>
      <c r="HVY137" s="271"/>
      <c r="HVZ137" s="221"/>
      <c r="HWA137" s="221"/>
      <c r="HWB137" s="221"/>
      <c r="HWC137" s="258"/>
      <c r="HWD137" s="270"/>
      <c r="HWE137" s="271"/>
      <c r="HWF137" s="271"/>
      <c r="HWG137" s="271"/>
      <c r="HWH137" s="221"/>
      <c r="HWI137" s="221"/>
      <c r="HWJ137" s="221"/>
      <c r="HWK137" s="258"/>
      <c r="HWL137" s="270"/>
      <c r="HWM137" s="271"/>
      <c r="HWN137" s="271"/>
      <c r="HWO137" s="271"/>
      <c r="HWP137" s="221"/>
      <c r="HWQ137" s="221"/>
      <c r="HWR137" s="221"/>
      <c r="HWS137" s="258"/>
      <c r="HWT137" s="270"/>
      <c r="HWU137" s="271"/>
      <c r="HWV137" s="271"/>
      <c r="HWW137" s="271"/>
      <c r="HWX137" s="221"/>
      <c r="HWY137" s="221"/>
      <c r="HWZ137" s="221"/>
      <c r="HXA137" s="258"/>
      <c r="HXB137" s="270"/>
      <c r="HXC137" s="271"/>
      <c r="HXD137" s="271"/>
      <c r="HXE137" s="271"/>
      <c r="HXF137" s="221"/>
      <c r="HXG137" s="221"/>
      <c r="HXH137" s="221"/>
      <c r="HXI137" s="258"/>
      <c r="HXJ137" s="270"/>
      <c r="HXK137" s="271"/>
      <c r="HXL137" s="271"/>
      <c r="HXM137" s="271"/>
      <c r="HXN137" s="221"/>
      <c r="HXO137" s="221"/>
      <c r="HXP137" s="221"/>
      <c r="HXQ137" s="258"/>
      <c r="HXR137" s="270"/>
      <c r="HXS137" s="271"/>
      <c r="HXT137" s="271"/>
      <c r="HXU137" s="271"/>
      <c r="HXV137" s="221"/>
      <c r="HXW137" s="221"/>
      <c r="HXX137" s="221"/>
      <c r="HXY137" s="258"/>
      <c r="HXZ137" s="270"/>
      <c r="HYA137" s="271"/>
      <c r="HYB137" s="271"/>
      <c r="HYC137" s="271"/>
      <c r="HYD137" s="221"/>
      <c r="HYE137" s="221"/>
      <c r="HYF137" s="221"/>
      <c r="HYG137" s="258"/>
      <c r="HYH137" s="270"/>
      <c r="HYI137" s="271"/>
      <c r="HYJ137" s="271"/>
      <c r="HYK137" s="271"/>
      <c r="HYL137" s="221"/>
      <c r="HYM137" s="221"/>
      <c r="HYN137" s="221"/>
      <c r="HYO137" s="258"/>
      <c r="HYP137" s="270"/>
      <c r="HYQ137" s="271"/>
      <c r="HYR137" s="271"/>
      <c r="HYS137" s="271"/>
      <c r="HYT137" s="221"/>
      <c r="HYU137" s="221"/>
      <c r="HYV137" s="221"/>
      <c r="HYW137" s="258"/>
      <c r="HYX137" s="270"/>
      <c r="HYY137" s="271"/>
      <c r="HYZ137" s="271"/>
      <c r="HZA137" s="271"/>
      <c r="HZB137" s="221"/>
      <c r="HZC137" s="221"/>
      <c r="HZD137" s="221"/>
      <c r="HZE137" s="258"/>
      <c r="HZF137" s="270"/>
      <c r="HZG137" s="271"/>
      <c r="HZH137" s="271"/>
      <c r="HZI137" s="271"/>
      <c r="HZJ137" s="221"/>
      <c r="HZK137" s="221"/>
      <c r="HZL137" s="221"/>
      <c r="HZM137" s="258"/>
      <c r="HZN137" s="270"/>
      <c r="HZO137" s="271"/>
      <c r="HZP137" s="271"/>
      <c r="HZQ137" s="271"/>
      <c r="HZR137" s="221"/>
      <c r="HZS137" s="221"/>
      <c r="HZT137" s="221"/>
      <c r="HZU137" s="258"/>
      <c r="HZV137" s="270"/>
      <c r="HZW137" s="271"/>
      <c r="HZX137" s="271"/>
      <c r="HZY137" s="271"/>
      <c r="HZZ137" s="221"/>
      <c r="IAA137" s="221"/>
      <c r="IAB137" s="221"/>
      <c r="IAC137" s="258"/>
      <c r="IAD137" s="270"/>
      <c r="IAE137" s="271"/>
      <c r="IAF137" s="271"/>
      <c r="IAG137" s="271"/>
      <c r="IAH137" s="221"/>
      <c r="IAI137" s="221"/>
      <c r="IAJ137" s="221"/>
      <c r="IAK137" s="258"/>
      <c r="IAL137" s="270"/>
      <c r="IAM137" s="271"/>
      <c r="IAN137" s="271"/>
      <c r="IAO137" s="271"/>
      <c r="IAP137" s="221"/>
      <c r="IAQ137" s="221"/>
      <c r="IAR137" s="221"/>
      <c r="IAS137" s="258"/>
      <c r="IAT137" s="270"/>
      <c r="IAU137" s="271"/>
      <c r="IAV137" s="271"/>
      <c r="IAW137" s="271"/>
      <c r="IAX137" s="221"/>
      <c r="IAY137" s="221"/>
      <c r="IAZ137" s="221"/>
      <c r="IBA137" s="258"/>
      <c r="IBB137" s="270"/>
      <c r="IBC137" s="271"/>
      <c r="IBD137" s="271"/>
      <c r="IBE137" s="271"/>
      <c r="IBF137" s="221"/>
      <c r="IBG137" s="221"/>
      <c r="IBH137" s="221"/>
      <c r="IBI137" s="258"/>
      <c r="IBJ137" s="270"/>
      <c r="IBK137" s="271"/>
      <c r="IBL137" s="271"/>
      <c r="IBM137" s="271"/>
      <c r="IBN137" s="221"/>
      <c r="IBO137" s="221"/>
      <c r="IBP137" s="221"/>
      <c r="IBQ137" s="258"/>
      <c r="IBR137" s="270"/>
      <c r="IBS137" s="271"/>
      <c r="IBT137" s="271"/>
      <c r="IBU137" s="271"/>
      <c r="IBV137" s="221"/>
      <c r="IBW137" s="221"/>
      <c r="IBX137" s="221"/>
      <c r="IBY137" s="258"/>
      <c r="IBZ137" s="270"/>
      <c r="ICA137" s="271"/>
      <c r="ICB137" s="271"/>
      <c r="ICC137" s="271"/>
      <c r="ICD137" s="221"/>
      <c r="ICE137" s="221"/>
      <c r="ICF137" s="221"/>
      <c r="ICG137" s="258"/>
      <c r="ICH137" s="270"/>
      <c r="ICI137" s="271"/>
      <c r="ICJ137" s="271"/>
      <c r="ICK137" s="271"/>
      <c r="ICL137" s="221"/>
      <c r="ICM137" s="221"/>
      <c r="ICN137" s="221"/>
      <c r="ICO137" s="258"/>
      <c r="ICP137" s="270"/>
      <c r="ICQ137" s="271"/>
      <c r="ICR137" s="271"/>
      <c r="ICS137" s="271"/>
      <c r="ICT137" s="221"/>
      <c r="ICU137" s="221"/>
      <c r="ICV137" s="221"/>
      <c r="ICW137" s="258"/>
      <c r="ICX137" s="270"/>
      <c r="ICY137" s="271"/>
      <c r="ICZ137" s="271"/>
      <c r="IDA137" s="271"/>
      <c r="IDB137" s="221"/>
      <c r="IDC137" s="221"/>
      <c r="IDD137" s="221"/>
      <c r="IDE137" s="258"/>
      <c r="IDF137" s="270"/>
      <c r="IDG137" s="271"/>
      <c r="IDH137" s="271"/>
      <c r="IDI137" s="271"/>
      <c r="IDJ137" s="221"/>
      <c r="IDK137" s="221"/>
      <c r="IDL137" s="221"/>
      <c r="IDM137" s="258"/>
      <c r="IDN137" s="270"/>
      <c r="IDO137" s="271"/>
      <c r="IDP137" s="271"/>
      <c r="IDQ137" s="271"/>
      <c r="IDR137" s="221"/>
      <c r="IDS137" s="221"/>
      <c r="IDT137" s="221"/>
      <c r="IDU137" s="258"/>
      <c r="IDV137" s="270"/>
      <c r="IDW137" s="271"/>
      <c r="IDX137" s="271"/>
      <c r="IDY137" s="271"/>
      <c r="IDZ137" s="221"/>
      <c r="IEA137" s="221"/>
      <c r="IEB137" s="221"/>
      <c r="IEC137" s="258"/>
      <c r="IED137" s="270"/>
      <c r="IEE137" s="271"/>
      <c r="IEF137" s="271"/>
      <c r="IEG137" s="271"/>
      <c r="IEH137" s="221"/>
      <c r="IEI137" s="221"/>
      <c r="IEJ137" s="221"/>
      <c r="IEK137" s="258"/>
      <c r="IEL137" s="270"/>
      <c r="IEM137" s="271"/>
      <c r="IEN137" s="271"/>
      <c r="IEO137" s="271"/>
      <c r="IEP137" s="221"/>
      <c r="IEQ137" s="221"/>
      <c r="IER137" s="221"/>
      <c r="IES137" s="258"/>
      <c r="IET137" s="270"/>
      <c r="IEU137" s="271"/>
      <c r="IEV137" s="271"/>
      <c r="IEW137" s="271"/>
      <c r="IEX137" s="221"/>
      <c r="IEY137" s="221"/>
      <c r="IEZ137" s="221"/>
      <c r="IFA137" s="258"/>
      <c r="IFB137" s="270"/>
      <c r="IFC137" s="271"/>
      <c r="IFD137" s="271"/>
      <c r="IFE137" s="271"/>
      <c r="IFF137" s="221"/>
      <c r="IFG137" s="221"/>
      <c r="IFH137" s="221"/>
      <c r="IFI137" s="258"/>
      <c r="IFJ137" s="270"/>
      <c r="IFK137" s="271"/>
      <c r="IFL137" s="271"/>
      <c r="IFM137" s="271"/>
      <c r="IFN137" s="221"/>
      <c r="IFO137" s="221"/>
      <c r="IFP137" s="221"/>
      <c r="IFQ137" s="258"/>
      <c r="IFR137" s="270"/>
      <c r="IFS137" s="271"/>
      <c r="IFT137" s="271"/>
      <c r="IFU137" s="271"/>
      <c r="IFV137" s="221"/>
      <c r="IFW137" s="221"/>
      <c r="IFX137" s="221"/>
      <c r="IFY137" s="258"/>
      <c r="IFZ137" s="270"/>
      <c r="IGA137" s="271"/>
      <c r="IGB137" s="271"/>
      <c r="IGC137" s="271"/>
      <c r="IGD137" s="221"/>
      <c r="IGE137" s="221"/>
      <c r="IGF137" s="221"/>
      <c r="IGG137" s="258"/>
      <c r="IGH137" s="270"/>
      <c r="IGI137" s="271"/>
      <c r="IGJ137" s="271"/>
      <c r="IGK137" s="271"/>
      <c r="IGL137" s="221"/>
      <c r="IGM137" s="221"/>
      <c r="IGN137" s="221"/>
      <c r="IGO137" s="258"/>
      <c r="IGP137" s="270"/>
      <c r="IGQ137" s="271"/>
      <c r="IGR137" s="271"/>
      <c r="IGS137" s="271"/>
      <c r="IGT137" s="221"/>
      <c r="IGU137" s="221"/>
      <c r="IGV137" s="221"/>
      <c r="IGW137" s="258"/>
      <c r="IGX137" s="270"/>
      <c r="IGY137" s="271"/>
      <c r="IGZ137" s="271"/>
      <c r="IHA137" s="271"/>
      <c r="IHB137" s="221"/>
      <c r="IHC137" s="221"/>
      <c r="IHD137" s="221"/>
      <c r="IHE137" s="258"/>
      <c r="IHF137" s="270"/>
      <c r="IHG137" s="271"/>
      <c r="IHH137" s="271"/>
      <c r="IHI137" s="271"/>
      <c r="IHJ137" s="221"/>
      <c r="IHK137" s="221"/>
      <c r="IHL137" s="221"/>
      <c r="IHM137" s="258"/>
      <c r="IHN137" s="270"/>
      <c r="IHO137" s="271"/>
      <c r="IHP137" s="271"/>
      <c r="IHQ137" s="271"/>
      <c r="IHR137" s="221"/>
      <c r="IHS137" s="221"/>
      <c r="IHT137" s="221"/>
      <c r="IHU137" s="258"/>
      <c r="IHV137" s="270"/>
      <c r="IHW137" s="271"/>
      <c r="IHX137" s="271"/>
      <c r="IHY137" s="271"/>
      <c r="IHZ137" s="221"/>
      <c r="IIA137" s="221"/>
      <c r="IIB137" s="221"/>
      <c r="IIC137" s="258"/>
      <c r="IID137" s="270"/>
      <c r="IIE137" s="271"/>
      <c r="IIF137" s="271"/>
      <c r="IIG137" s="271"/>
      <c r="IIH137" s="221"/>
      <c r="III137" s="221"/>
      <c r="IIJ137" s="221"/>
      <c r="IIK137" s="258"/>
      <c r="IIL137" s="270"/>
      <c r="IIM137" s="271"/>
      <c r="IIN137" s="271"/>
      <c r="IIO137" s="271"/>
      <c r="IIP137" s="221"/>
      <c r="IIQ137" s="221"/>
      <c r="IIR137" s="221"/>
      <c r="IIS137" s="258"/>
      <c r="IIT137" s="270"/>
      <c r="IIU137" s="271"/>
      <c r="IIV137" s="271"/>
      <c r="IIW137" s="271"/>
      <c r="IIX137" s="221"/>
      <c r="IIY137" s="221"/>
      <c r="IIZ137" s="221"/>
      <c r="IJA137" s="258"/>
      <c r="IJB137" s="270"/>
      <c r="IJC137" s="271"/>
      <c r="IJD137" s="271"/>
      <c r="IJE137" s="271"/>
      <c r="IJF137" s="221"/>
      <c r="IJG137" s="221"/>
      <c r="IJH137" s="221"/>
      <c r="IJI137" s="258"/>
      <c r="IJJ137" s="270"/>
      <c r="IJK137" s="271"/>
      <c r="IJL137" s="271"/>
      <c r="IJM137" s="271"/>
      <c r="IJN137" s="221"/>
      <c r="IJO137" s="221"/>
      <c r="IJP137" s="221"/>
      <c r="IJQ137" s="258"/>
      <c r="IJR137" s="270"/>
      <c r="IJS137" s="271"/>
      <c r="IJT137" s="271"/>
      <c r="IJU137" s="271"/>
      <c r="IJV137" s="221"/>
      <c r="IJW137" s="221"/>
      <c r="IJX137" s="221"/>
      <c r="IJY137" s="258"/>
      <c r="IJZ137" s="270"/>
      <c r="IKA137" s="271"/>
      <c r="IKB137" s="271"/>
      <c r="IKC137" s="271"/>
      <c r="IKD137" s="221"/>
      <c r="IKE137" s="221"/>
      <c r="IKF137" s="221"/>
      <c r="IKG137" s="258"/>
      <c r="IKH137" s="270"/>
      <c r="IKI137" s="271"/>
      <c r="IKJ137" s="271"/>
      <c r="IKK137" s="271"/>
      <c r="IKL137" s="221"/>
      <c r="IKM137" s="221"/>
      <c r="IKN137" s="221"/>
      <c r="IKO137" s="258"/>
      <c r="IKP137" s="270"/>
      <c r="IKQ137" s="271"/>
      <c r="IKR137" s="271"/>
      <c r="IKS137" s="271"/>
      <c r="IKT137" s="221"/>
      <c r="IKU137" s="221"/>
      <c r="IKV137" s="221"/>
      <c r="IKW137" s="258"/>
      <c r="IKX137" s="270"/>
      <c r="IKY137" s="271"/>
      <c r="IKZ137" s="271"/>
      <c r="ILA137" s="271"/>
      <c r="ILB137" s="221"/>
      <c r="ILC137" s="221"/>
      <c r="ILD137" s="221"/>
      <c r="ILE137" s="258"/>
      <c r="ILF137" s="270"/>
      <c r="ILG137" s="271"/>
      <c r="ILH137" s="271"/>
      <c r="ILI137" s="271"/>
      <c r="ILJ137" s="221"/>
      <c r="ILK137" s="221"/>
      <c r="ILL137" s="221"/>
      <c r="ILM137" s="258"/>
      <c r="ILN137" s="270"/>
      <c r="ILO137" s="271"/>
      <c r="ILP137" s="271"/>
      <c r="ILQ137" s="271"/>
      <c r="ILR137" s="221"/>
      <c r="ILS137" s="221"/>
      <c r="ILT137" s="221"/>
      <c r="ILU137" s="258"/>
      <c r="ILV137" s="270"/>
      <c r="ILW137" s="271"/>
      <c r="ILX137" s="271"/>
      <c r="ILY137" s="271"/>
      <c r="ILZ137" s="221"/>
      <c r="IMA137" s="221"/>
      <c r="IMB137" s="221"/>
      <c r="IMC137" s="258"/>
      <c r="IMD137" s="270"/>
      <c r="IME137" s="271"/>
      <c r="IMF137" s="271"/>
      <c r="IMG137" s="271"/>
      <c r="IMH137" s="221"/>
      <c r="IMI137" s="221"/>
      <c r="IMJ137" s="221"/>
      <c r="IMK137" s="258"/>
      <c r="IML137" s="270"/>
      <c r="IMM137" s="271"/>
      <c r="IMN137" s="271"/>
      <c r="IMO137" s="271"/>
      <c r="IMP137" s="221"/>
      <c r="IMQ137" s="221"/>
      <c r="IMR137" s="221"/>
      <c r="IMS137" s="258"/>
      <c r="IMT137" s="270"/>
      <c r="IMU137" s="271"/>
      <c r="IMV137" s="271"/>
      <c r="IMW137" s="271"/>
      <c r="IMX137" s="221"/>
      <c r="IMY137" s="221"/>
      <c r="IMZ137" s="221"/>
      <c r="INA137" s="258"/>
      <c r="INB137" s="270"/>
      <c r="INC137" s="271"/>
      <c r="IND137" s="271"/>
      <c r="INE137" s="271"/>
      <c r="INF137" s="221"/>
      <c r="ING137" s="221"/>
      <c r="INH137" s="221"/>
      <c r="INI137" s="258"/>
      <c r="INJ137" s="270"/>
      <c r="INK137" s="271"/>
      <c r="INL137" s="271"/>
      <c r="INM137" s="271"/>
      <c r="INN137" s="221"/>
      <c r="INO137" s="221"/>
      <c r="INP137" s="221"/>
      <c r="INQ137" s="258"/>
      <c r="INR137" s="270"/>
      <c r="INS137" s="271"/>
      <c r="INT137" s="271"/>
      <c r="INU137" s="271"/>
      <c r="INV137" s="221"/>
      <c r="INW137" s="221"/>
      <c r="INX137" s="221"/>
      <c r="INY137" s="258"/>
      <c r="INZ137" s="270"/>
      <c r="IOA137" s="271"/>
      <c r="IOB137" s="271"/>
      <c r="IOC137" s="271"/>
      <c r="IOD137" s="221"/>
      <c r="IOE137" s="221"/>
      <c r="IOF137" s="221"/>
      <c r="IOG137" s="258"/>
      <c r="IOH137" s="270"/>
      <c r="IOI137" s="271"/>
      <c r="IOJ137" s="271"/>
      <c r="IOK137" s="271"/>
      <c r="IOL137" s="221"/>
      <c r="IOM137" s="221"/>
      <c r="ION137" s="221"/>
      <c r="IOO137" s="258"/>
      <c r="IOP137" s="270"/>
      <c r="IOQ137" s="271"/>
      <c r="IOR137" s="271"/>
      <c r="IOS137" s="271"/>
      <c r="IOT137" s="221"/>
      <c r="IOU137" s="221"/>
      <c r="IOV137" s="221"/>
      <c r="IOW137" s="258"/>
      <c r="IOX137" s="270"/>
      <c r="IOY137" s="271"/>
      <c r="IOZ137" s="271"/>
      <c r="IPA137" s="271"/>
      <c r="IPB137" s="221"/>
      <c r="IPC137" s="221"/>
      <c r="IPD137" s="221"/>
      <c r="IPE137" s="258"/>
      <c r="IPF137" s="270"/>
      <c r="IPG137" s="271"/>
      <c r="IPH137" s="271"/>
      <c r="IPI137" s="271"/>
      <c r="IPJ137" s="221"/>
      <c r="IPK137" s="221"/>
      <c r="IPL137" s="221"/>
      <c r="IPM137" s="258"/>
      <c r="IPN137" s="270"/>
      <c r="IPO137" s="271"/>
      <c r="IPP137" s="271"/>
      <c r="IPQ137" s="271"/>
      <c r="IPR137" s="221"/>
      <c r="IPS137" s="221"/>
      <c r="IPT137" s="221"/>
      <c r="IPU137" s="258"/>
      <c r="IPV137" s="270"/>
      <c r="IPW137" s="271"/>
      <c r="IPX137" s="271"/>
      <c r="IPY137" s="271"/>
      <c r="IPZ137" s="221"/>
      <c r="IQA137" s="221"/>
      <c r="IQB137" s="221"/>
      <c r="IQC137" s="258"/>
      <c r="IQD137" s="270"/>
      <c r="IQE137" s="271"/>
      <c r="IQF137" s="271"/>
      <c r="IQG137" s="271"/>
      <c r="IQH137" s="221"/>
      <c r="IQI137" s="221"/>
      <c r="IQJ137" s="221"/>
      <c r="IQK137" s="258"/>
      <c r="IQL137" s="270"/>
      <c r="IQM137" s="271"/>
      <c r="IQN137" s="271"/>
      <c r="IQO137" s="271"/>
      <c r="IQP137" s="221"/>
      <c r="IQQ137" s="221"/>
      <c r="IQR137" s="221"/>
      <c r="IQS137" s="258"/>
      <c r="IQT137" s="270"/>
      <c r="IQU137" s="271"/>
      <c r="IQV137" s="271"/>
      <c r="IQW137" s="271"/>
      <c r="IQX137" s="221"/>
      <c r="IQY137" s="221"/>
      <c r="IQZ137" s="221"/>
      <c r="IRA137" s="258"/>
      <c r="IRB137" s="270"/>
      <c r="IRC137" s="271"/>
      <c r="IRD137" s="271"/>
      <c r="IRE137" s="271"/>
      <c r="IRF137" s="221"/>
      <c r="IRG137" s="221"/>
      <c r="IRH137" s="221"/>
      <c r="IRI137" s="258"/>
      <c r="IRJ137" s="270"/>
      <c r="IRK137" s="271"/>
      <c r="IRL137" s="271"/>
      <c r="IRM137" s="271"/>
      <c r="IRN137" s="221"/>
      <c r="IRO137" s="221"/>
      <c r="IRP137" s="221"/>
      <c r="IRQ137" s="258"/>
      <c r="IRR137" s="270"/>
      <c r="IRS137" s="271"/>
      <c r="IRT137" s="271"/>
      <c r="IRU137" s="271"/>
      <c r="IRV137" s="221"/>
      <c r="IRW137" s="221"/>
      <c r="IRX137" s="221"/>
      <c r="IRY137" s="258"/>
      <c r="IRZ137" s="270"/>
      <c r="ISA137" s="271"/>
      <c r="ISB137" s="271"/>
      <c r="ISC137" s="271"/>
      <c r="ISD137" s="221"/>
      <c r="ISE137" s="221"/>
      <c r="ISF137" s="221"/>
      <c r="ISG137" s="258"/>
      <c r="ISH137" s="270"/>
      <c r="ISI137" s="271"/>
      <c r="ISJ137" s="271"/>
      <c r="ISK137" s="271"/>
      <c r="ISL137" s="221"/>
      <c r="ISM137" s="221"/>
      <c r="ISN137" s="221"/>
      <c r="ISO137" s="258"/>
      <c r="ISP137" s="270"/>
      <c r="ISQ137" s="271"/>
      <c r="ISR137" s="271"/>
      <c r="ISS137" s="271"/>
      <c r="IST137" s="221"/>
      <c r="ISU137" s="221"/>
      <c r="ISV137" s="221"/>
      <c r="ISW137" s="258"/>
      <c r="ISX137" s="270"/>
      <c r="ISY137" s="271"/>
      <c r="ISZ137" s="271"/>
      <c r="ITA137" s="271"/>
      <c r="ITB137" s="221"/>
      <c r="ITC137" s="221"/>
      <c r="ITD137" s="221"/>
      <c r="ITE137" s="258"/>
      <c r="ITF137" s="270"/>
      <c r="ITG137" s="271"/>
      <c r="ITH137" s="271"/>
      <c r="ITI137" s="271"/>
      <c r="ITJ137" s="221"/>
      <c r="ITK137" s="221"/>
      <c r="ITL137" s="221"/>
      <c r="ITM137" s="258"/>
      <c r="ITN137" s="270"/>
      <c r="ITO137" s="271"/>
      <c r="ITP137" s="271"/>
      <c r="ITQ137" s="271"/>
      <c r="ITR137" s="221"/>
      <c r="ITS137" s="221"/>
      <c r="ITT137" s="221"/>
      <c r="ITU137" s="258"/>
      <c r="ITV137" s="270"/>
      <c r="ITW137" s="271"/>
      <c r="ITX137" s="271"/>
      <c r="ITY137" s="271"/>
      <c r="ITZ137" s="221"/>
      <c r="IUA137" s="221"/>
      <c r="IUB137" s="221"/>
      <c r="IUC137" s="258"/>
      <c r="IUD137" s="270"/>
      <c r="IUE137" s="271"/>
      <c r="IUF137" s="271"/>
      <c r="IUG137" s="271"/>
      <c r="IUH137" s="221"/>
      <c r="IUI137" s="221"/>
      <c r="IUJ137" s="221"/>
      <c r="IUK137" s="258"/>
      <c r="IUL137" s="270"/>
      <c r="IUM137" s="271"/>
      <c r="IUN137" s="271"/>
      <c r="IUO137" s="271"/>
      <c r="IUP137" s="221"/>
      <c r="IUQ137" s="221"/>
      <c r="IUR137" s="221"/>
      <c r="IUS137" s="258"/>
      <c r="IUT137" s="270"/>
      <c r="IUU137" s="271"/>
      <c r="IUV137" s="271"/>
      <c r="IUW137" s="271"/>
      <c r="IUX137" s="221"/>
      <c r="IUY137" s="221"/>
      <c r="IUZ137" s="221"/>
      <c r="IVA137" s="258"/>
      <c r="IVB137" s="270"/>
      <c r="IVC137" s="271"/>
      <c r="IVD137" s="271"/>
      <c r="IVE137" s="271"/>
      <c r="IVF137" s="221"/>
      <c r="IVG137" s="221"/>
      <c r="IVH137" s="221"/>
      <c r="IVI137" s="258"/>
      <c r="IVJ137" s="270"/>
      <c r="IVK137" s="271"/>
      <c r="IVL137" s="271"/>
      <c r="IVM137" s="271"/>
      <c r="IVN137" s="221"/>
      <c r="IVO137" s="221"/>
      <c r="IVP137" s="221"/>
      <c r="IVQ137" s="258"/>
      <c r="IVR137" s="270"/>
      <c r="IVS137" s="271"/>
      <c r="IVT137" s="271"/>
      <c r="IVU137" s="271"/>
      <c r="IVV137" s="221"/>
      <c r="IVW137" s="221"/>
      <c r="IVX137" s="221"/>
      <c r="IVY137" s="258"/>
      <c r="IVZ137" s="270"/>
      <c r="IWA137" s="271"/>
      <c r="IWB137" s="271"/>
      <c r="IWC137" s="271"/>
      <c r="IWD137" s="221"/>
      <c r="IWE137" s="221"/>
      <c r="IWF137" s="221"/>
      <c r="IWG137" s="258"/>
      <c r="IWH137" s="270"/>
      <c r="IWI137" s="271"/>
      <c r="IWJ137" s="271"/>
      <c r="IWK137" s="271"/>
      <c r="IWL137" s="221"/>
      <c r="IWM137" s="221"/>
      <c r="IWN137" s="221"/>
      <c r="IWO137" s="258"/>
      <c r="IWP137" s="270"/>
      <c r="IWQ137" s="271"/>
      <c r="IWR137" s="271"/>
      <c r="IWS137" s="271"/>
      <c r="IWT137" s="221"/>
      <c r="IWU137" s="221"/>
      <c r="IWV137" s="221"/>
      <c r="IWW137" s="258"/>
      <c r="IWX137" s="270"/>
      <c r="IWY137" s="271"/>
      <c r="IWZ137" s="271"/>
      <c r="IXA137" s="271"/>
      <c r="IXB137" s="221"/>
      <c r="IXC137" s="221"/>
      <c r="IXD137" s="221"/>
      <c r="IXE137" s="258"/>
      <c r="IXF137" s="270"/>
      <c r="IXG137" s="271"/>
      <c r="IXH137" s="271"/>
      <c r="IXI137" s="271"/>
      <c r="IXJ137" s="221"/>
      <c r="IXK137" s="221"/>
      <c r="IXL137" s="221"/>
      <c r="IXM137" s="258"/>
      <c r="IXN137" s="270"/>
      <c r="IXO137" s="271"/>
      <c r="IXP137" s="271"/>
      <c r="IXQ137" s="271"/>
      <c r="IXR137" s="221"/>
      <c r="IXS137" s="221"/>
      <c r="IXT137" s="221"/>
      <c r="IXU137" s="258"/>
      <c r="IXV137" s="270"/>
      <c r="IXW137" s="271"/>
      <c r="IXX137" s="271"/>
      <c r="IXY137" s="271"/>
      <c r="IXZ137" s="221"/>
      <c r="IYA137" s="221"/>
      <c r="IYB137" s="221"/>
      <c r="IYC137" s="258"/>
      <c r="IYD137" s="270"/>
      <c r="IYE137" s="271"/>
      <c r="IYF137" s="271"/>
      <c r="IYG137" s="271"/>
      <c r="IYH137" s="221"/>
      <c r="IYI137" s="221"/>
      <c r="IYJ137" s="221"/>
      <c r="IYK137" s="258"/>
      <c r="IYL137" s="270"/>
      <c r="IYM137" s="271"/>
      <c r="IYN137" s="271"/>
      <c r="IYO137" s="271"/>
      <c r="IYP137" s="221"/>
      <c r="IYQ137" s="221"/>
      <c r="IYR137" s="221"/>
      <c r="IYS137" s="258"/>
      <c r="IYT137" s="270"/>
      <c r="IYU137" s="271"/>
      <c r="IYV137" s="271"/>
      <c r="IYW137" s="271"/>
      <c r="IYX137" s="221"/>
      <c r="IYY137" s="221"/>
      <c r="IYZ137" s="221"/>
      <c r="IZA137" s="258"/>
      <c r="IZB137" s="270"/>
      <c r="IZC137" s="271"/>
      <c r="IZD137" s="271"/>
      <c r="IZE137" s="271"/>
      <c r="IZF137" s="221"/>
      <c r="IZG137" s="221"/>
      <c r="IZH137" s="221"/>
      <c r="IZI137" s="258"/>
      <c r="IZJ137" s="270"/>
      <c r="IZK137" s="271"/>
      <c r="IZL137" s="271"/>
      <c r="IZM137" s="271"/>
      <c r="IZN137" s="221"/>
      <c r="IZO137" s="221"/>
      <c r="IZP137" s="221"/>
      <c r="IZQ137" s="258"/>
      <c r="IZR137" s="270"/>
      <c r="IZS137" s="271"/>
      <c r="IZT137" s="271"/>
      <c r="IZU137" s="271"/>
      <c r="IZV137" s="221"/>
      <c r="IZW137" s="221"/>
      <c r="IZX137" s="221"/>
      <c r="IZY137" s="258"/>
      <c r="IZZ137" s="270"/>
      <c r="JAA137" s="271"/>
      <c r="JAB137" s="271"/>
      <c r="JAC137" s="271"/>
      <c r="JAD137" s="221"/>
      <c r="JAE137" s="221"/>
      <c r="JAF137" s="221"/>
      <c r="JAG137" s="258"/>
      <c r="JAH137" s="270"/>
      <c r="JAI137" s="271"/>
      <c r="JAJ137" s="271"/>
      <c r="JAK137" s="271"/>
      <c r="JAL137" s="221"/>
      <c r="JAM137" s="221"/>
      <c r="JAN137" s="221"/>
      <c r="JAO137" s="258"/>
      <c r="JAP137" s="270"/>
      <c r="JAQ137" s="271"/>
      <c r="JAR137" s="271"/>
      <c r="JAS137" s="271"/>
      <c r="JAT137" s="221"/>
      <c r="JAU137" s="221"/>
      <c r="JAV137" s="221"/>
      <c r="JAW137" s="258"/>
      <c r="JAX137" s="270"/>
      <c r="JAY137" s="271"/>
      <c r="JAZ137" s="271"/>
      <c r="JBA137" s="271"/>
      <c r="JBB137" s="221"/>
      <c r="JBC137" s="221"/>
      <c r="JBD137" s="221"/>
      <c r="JBE137" s="258"/>
      <c r="JBF137" s="270"/>
      <c r="JBG137" s="271"/>
      <c r="JBH137" s="271"/>
      <c r="JBI137" s="271"/>
      <c r="JBJ137" s="221"/>
      <c r="JBK137" s="221"/>
      <c r="JBL137" s="221"/>
      <c r="JBM137" s="258"/>
      <c r="JBN137" s="270"/>
      <c r="JBO137" s="271"/>
      <c r="JBP137" s="271"/>
      <c r="JBQ137" s="271"/>
      <c r="JBR137" s="221"/>
      <c r="JBS137" s="221"/>
      <c r="JBT137" s="221"/>
      <c r="JBU137" s="258"/>
      <c r="JBV137" s="270"/>
      <c r="JBW137" s="271"/>
      <c r="JBX137" s="271"/>
      <c r="JBY137" s="271"/>
      <c r="JBZ137" s="221"/>
      <c r="JCA137" s="221"/>
      <c r="JCB137" s="221"/>
      <c r="JCC137" s="258"/>
      <c r="JCD137" s="270"/>
      <c r="JCE137" s="271"/>
      <c r="JCF137" s="271"/>
      <c r="JCG137" s="271"/>
      <c r="JCH137" s="221"/>
      <c r="JCI137" s="221"/>
      <c r="JCJ137" s="221"/>
      <c r="JCK137" s="258"/>
      <c r="JCL137" s="270"/>
      <c r="JCM137" s="271"/>
      <c r="JCN137" s="271"/>
      <c r="JCO137" s="271"/>
      <c r="JCP137" s="221"/>
      <c r="JCQ137" s="221"/>
      <c r="JCR137" s="221"/>
      <c r="JCS137" s="258"/>
      <c r="JCT137" s="270"/>
      <c r="JCU137" s="271"/>
      <c r="JCV137" s="271"/>
      <c r="JCW137" s="271"/>
      <c r="JCX137" s="221"/>
      <c r="JCY137" s="221"/>
      <c r="JCZ137" s="221"/>
      <c r="JDA137" s="258"/>
      <c r="JDB137" s="270"/>
      <c r="JDC137" s="271"/>
      <c r="JDD137" s="271"/>
      <c r="JDE137" s="271"/>
      <c r="JDF137" s="221"/>
      <c r="JDG137" s="221"/>
      <c r="JDH137" s="221"/>
      <c r="JDI137" s="258"/>
      <c r="JDJ137" s="270"/>
      <c r="JDK137" s="271"/>
      <c r="JDL137" s="271"/>
      <c r="JDM137" s="271"/>
      <c r="JDN137" s="221"/>
      <c r="JDO137" s="221"/>
      <c r="JDP137" s="221"/>
      <c r="JDQ137" s="258"/>
      <c r="JDR137" s="270"/>
      <c r="JDS137" s="271"/>
      <c r="JDT137" s="271"/>
      <c r="JDU137" s="271"/>
      <c r="JDV137" s="221"/>
      <c r="JDW137" s="221"/>
      <c r="JDX137" s="221"/>
      <c r="JDY137" s="258"/>
      <c r="JDZ137" s="270"/>
      <c r="JEA137" s="271"/>
      <c r="JEB137" s="271"/>
      <c r="JEC137" s="271"/>
      <c r="JED137" s="221"/>
      <c r="JEE137" s="221"/>
      <c r="JEF137" s="221"/>
      <c r="JEG137" s="258"/>
      <c r="JEH137" s="270"/>
      <c r="JEI137" s="271"/>
      <c r="JEJ137" s="271"/>
      <c r="JEK137" s="271"/>
      <c r="JEL137" s="221"/>
      <c r="JEM137" s="221"/>
      <c r="JEN137" s="221"/>
      <c r="JEO137" s="258"/>
      <c r="JEP137" s="270"/>
      <c r="JEQ137" s="271"/>
      <c r="JER137" s="271"/>
      <c r="JES137" s="271"/>
      <c r="JET137" s="221"/>
      <c r="JEU137" s="221"/>
      <c r="JEV137" s="221"/>
      <c r="JEW137" s="258"/>
      <c r="JEX137" s="270"/>
      <c r="JEY137" s="271"/>
      <c r="JEZ137" s="271"/>
      <c r="JFA137" s="271"/>
      <c r="JFB137" s="221"/>
      <c r="JFC137" s="221"/>
      <c r="JFD137" s="221"/>
      <c r="JFE137" s="258"/>
      <c r="JFF137" s="270"/>
      <c r="JFG137" s="271"/>
      <c r="JFH137" s="271"/>
      <c r="JFI137" s="271"/>
      <c r="JFJ137" s="221"/>
      <c r="JFK137" s="221"/>
      <c r="JFL137" s="221"/>
      <c r="JFM137" s="258"/>
      <c r="JFN137" s="270"/>
      <c r="JFO137" s="271"/>
      <c r="JFP137" s="271"/>
      <c r="JFQ137" s="271"/>
      <c r="JFR137" s="221"/>
      <c r="JFS137" s="221"/>
      <c r="JFT137" s="221"/>
      <c r="JFU137" s="258"/>
      <c r="JFV137" s="270"/>
      <c r="JFW137" s="271"/>
      <c r="JFX137" s="271"/>
      <c r="JFY137" s="271"/>
      <c r="JFZ137" s="221"/>
      <c r="JGA137" s="221"/>
      <c r="JGB137" s="221"/>
      <c r="JGC137" s="258"/>
      <c r="JGD137" s="270"/>
      <c r="JGE137" s="271"/>
      <c r="JGF137" s="271"/>
      <c r="JGG137" s="271"/>
      <c r="JGH137" s="221"/>
      <c r="JGI137" s="221"/>
      <c r="JGJ137" s="221"/>
      <c r="JGK137" s="258"/>
      <c r="JGL137" s="270"/>
      <c r="JGM137" s="271"/>
      <c r="JGN137" s="271"/>
      <c r="JGO137" s="271"/>
      <c r="JGP137" s="221"/>
      <c r="JGQ137" s="221"/>
      <c r="JGR137" s="221"/>
      <c r="JGS137" s="258"/>
      <c r="JGT137" s="270"/>
      <c r="JGU137" s="271"/>
      <c r="JGV137" s="271"/>
      <c r="JGW137" s="271"/>
      <c r="JGX137" s="221"/>
      <c r="JGY137" s="221"/>
      <c r="JGZ137" s="221"/>
      <c r="JHA137" s="258"/>
      <c r="JHB137" s="270"/>
      <c r="JHC137" s="271"/>
      <c r="JHD137" s="271"/>
      <c r="JHE137" s="271"/>
      <c r="JHF137" s="221"/>
      <c r="JHG137" s="221"/>
      <c r="JHH137" s="221"/>
      <c r="JHI137" s="258"/>
      <c r="JHJ137" s="270"/>
      <c r="JHK137" s="271"/>
      <c r="JHL137" s="271"/>
      <c r="JHM137" s="271"/>
      <c r="JHN137" s="221"/>
      <c r="JHO137" s="221"/>
      <c r="JHP137" s="221"/>
      <c r="JHQ137" s="258"/>
      <c r="JHR137" s="270"/>
      <c r="JHS137" s="271"/>
      <c r="JHT137" s="271"/>
      <c r="JHU137" s="271"/>
      <c r="JHV137" s="221"/>
      <c r="JHW137" s="221"/>
      <c r="JHX137" s="221"/>
      <c r="JHY137" s="258"/>
      <c r="JHZ137" s="270"/>
      <c r="JIA137" s="271"/>
      <c r="JIB137" s="271"/>
      <c r="JIC137" s="271"/>
      <c r="JID137" s="221"/>
      <c r="JIE137" s="221"/>
      <c r="JIF137" s="221"/>
      <c r="JIG137" s="258"/>
      <c r="JIH137" s="270"/>
      <c r="JII137" s="271"/>
      <c r="JIJ137" s="271"/>
      <c r="JIK137" s="271"/>
      <c r="JIL137" s="221"/>
      <c r="JIM137" s="221"/>
      <c r="JIN137" s="221"/>
      <c r="JIO137" s="258"/>
      <c r="JIP137" s="270"/>
      <c r="JIQ137" s="271"/>
      <c r="JIR137" s="271"/>
      <c r="JIS137" s="271"/>
      <c r="JIT137" s="221"/>
      <c r="JIU137" s="221"/>
      <c r="JIV137" s="221"/>
      <c r="JIW137" s="258"/>
      <c r="JIX137" s="270"/>
      <c r="JIY137" s="271"/>
      <c r="JIZ137" s="271"/>
      <c r="JJA137" s="271"/>
      <c r="JJB137" s="221"/>
      <c r="JJC137" s="221"/>
      <c r="JJD137" s="221"/>
      <c r="JJE137" s="258"/>
      <c r="JJF137" s="270"/>
      <c r="JJG137" s="271"/>
      <c r="JJH137" s="271"/>
      <c r="JJI137" s="271"/>
      <c r="JJJ137" s="221"/>
      <c r="JJK137" s="221"/>
      <c r="JJL137" s="221"/>
      <c r="JJM137" s="258"/>
      <c r="JJN137" s="270"/>
      <c r="JJO137" s="271"/>
      <c r="JJP137" s="271"/>
      <c r="JJQ137" s="271"/>
      <c r="JJR137" s="221"/>
      <c r="JJS137" s="221"/>
      <c r="JJT137" s="221"/>
      <c r="JJU137" s="258"/>
      <c r="JJV137" s="270"/>
      <c r="JJW137" s="271"/>
      <c r="JJX137" s="271"/>
      <c r="JJY137" s="271"/>
      <c r="JJZ137" s="221"/>
      <c r="JKA137" s="221"/>
      <c r="JKB137" s="221"/>
      <c r="JKC137" s="258"/>
      <c r="JKD137" s="270"/>
      <c r="JKE137" s="271"/>
      <c r="JKF137" s="271"/>
      <c r="JKG137" s="271"/>
      <c r="JKH137" s="221"/>
      <c r="JKI137" s="221"/>
      <c r="JKJ137" s="221"/>
      <c r="JKK137" s="258"/>
      <c r="JKL137" s="270"/>
      <c r="JKM137" s="271"/>
      <c r="JKN137" s="271"/>
      <c r="JKO137" s="271"/>
      <c r="JKP137" s="221"/>
      <c r="JKQ137" s="221"/>
      <c r="JKR137" s="221"/>
      <c r="JKS137" s="258"/>
      <c r="JKT137" s="270"/>
      <c r="JKU137" s="271"/>
      <c r="JKV137" s="271"/>
      <c r="JKW137" s="271"/>
      <c r="JKX137" s="221"/>
      <c r="JKY137" s="221"/>
      <c r="JKZ137" s="221"/>
      <c r="JLA137" s="258"/>
      <c r="JLB137" s="270"/>
      <c r="JLC137" s="271"/>
      <c r="JLD137" s="271"/>
      <c r="JLE137" s="271"/>
      <c r="JLF137" s="221"/>
      <c r="JLG137" s="221"/>
      <c r="JLH137" s="221"/>
      <c r="JLI137" s="258"/>
      <c r="JLJ137" s="270"/>
      <c r="JLK137" s="271"/>
      <c r="JLL137" s="271"/>
      <c r="JLM137" s="271"/>
      <c r="JLN137" s="221"/>
      <c r="JLO137" s="221"/>
      <c r="JLP137" s="221"/>
      <c r="JLQ137" s="258"/>
      <c r="JLR137" s="270"/>
      <c r="JLS137" s="271"/>
      <c r="JLT137" s="271"/>
      <c r="JLU137" s="271"/>
      <c r="JLV137" s="221"/>
      <c r="JLW137" s="221"/>
      <c r="JLX137" s="221"/>
      <c r="JLY137" s="258"/>
      <c r="JLZ137" s="270"/>
      <c r="JMA137" s="271"/>
      <c r="JMB137" s="271"/>
      <c r="JMC137" s="271"/>
      <c r="JMD137" s="221"/>
      <c r="JME137" s="221"/>
      <c r="JMF137" s="221"/>
      <c r="JMG137" s="258"/>
      <c r="JMH137" s="270"/>
      <c r="JMI137" s="271"/>
      <c r="JMJ137" s="271"/>
      <c r="JMK137" s="271"/>
      <c r="JML137" s="221"/>
      <c r="JMM137" s="221"/>
      <c r="JMN137" s="221"/>
      <c r="JMO137" s="258"/>
      <c r="JMP137" s="270"/>
      <c r="JMQ137" s="271"/>
      <c r="JMR137" s="271"/>
      <c r="JMS137" s="271"/>
      <c r="JMT137" s="221"/>
      <c r="JMU137" s="221"/>
      <c r="JMV137" s="221"/>
      <c r="JMW137" s="258"/>
      <c r="JMX137" s="270"/>
      <c r="JMY137" s="271"/>
      <c r="JMZ137" s="271"/>
      <c r="JNA137" s="271"/>
      <c r="JNB137" s="221"/>
      <c r="JNC137" s="221"/>
      <c r="JND137" s="221"/>
      <c r="JNE137" s="258"/>
      <c r="JNF137" s="270"/>
      <c r="JNG137" s="271"/>
      <c r="JNH137" s="271"/>
      <c r="JNI137" s="271"/>
      <c r="JNJ137" s="221"/>
      <c r="JNK137" s="221"/>
      <c r="JNL137" s="221"/>
      <c r="JNM137" s="258"/>
      <c r="JNN137" s="270"/>
      <c r="JNO137" s="271"/>
      <c r="JNP137" s="271"/>
      <c r="JNQ137" s="271"/>
      <c r="JNR137" s="221"/>
      <c r="JNS137" s="221"/>
      <c r="JNT137" s="221"/>
      <c r="JNU137" s="258"/>
      <c r="JNV137" s="270"/>
      <c r="JNW137" s="271"/>
      <c r="JNX137" s="271"/>
      <c r="JNY137" s="271"/>
      <c r="JNZ137" s="221"/>
      <c r="JOA137" s="221"/>
      <c r="JOB137" s="221"/>
      <c r="JOC137" s="258"/>
      <c r="JOD137" s="270"/>
      <c r="JOE137" s="271"/>
      <c r="JOF137" s="271"/>
      <c r="JOG137" s="271"/>
      <c r="JOH137" s="221"/>
      <c r="JOI137" s="221"/>
      <c r="JOJ137" s="221"/>
      <c r="JOK137" s="258"/>
      <c r="JOL137" s="270"/>
      <c r="JOM137" s="271"/>
      <c r="JON137" s="271"/>
      <c r="JOO137" s="271"/>
      <c r="JOP137" s="221"/>
      <c r="JOQ137" s="221"/>
      <c r="JOR137" s="221"/>
      <c r="JOS137" s="258"/>
      <c r="JOT137" s="270"/>
      <c r="JOU137" s="271"/>
      <c r="JOV137" s="271"/>
      <c r="JOW137" s="271"/>
      <c r="JOX137" s="221"/>
      <c r="JOY137" s="221"/>
      <c r="JOZ137" s="221"/>
      <c r="JPA137" s="258"/>
      <c r="JPB137" s="270"/>
      <c r="JPC137" s="271"/>
      <c r="JPD137" s="271"/>
      <c r="JPE137" s="271"/>
      <c r="JPF137" s="221"/>
      <c r="JPG137" s="221"/>
      <c r="JPH137" s="221"/>
      <c r="JPI137" s="258"/>
      <c r="JPJ137" s="270"/>
      <c r="JPK137" s="271"/>
      <c r="JPL137" s="271"/>
      <c r="JPM137" s="271"/>
      <c r="JPN137" s="221"/>
      <c r="JPO137" s="221"/>
      <c r="JPP137" s="221"/>
      <c r="JPQ137" s="258"/>
      <c r="JPR137" s="270"/>
      <c r="JPS137" s="271"/>
      <c r="JPT137" s="271"/>
      <c r="JPU137" s="271"/>
      <c r="JPV137" s="221"/>
      <c r="JPW137" s="221"/>
      <c r="JPX137" s="221"/>
      <c r="JPY137" s="258"/>
      <c r="JPZ137" s="270"/>
      <c r="JQA137" s="271"/>
      <c r="JQB137" s="271"/>
      <c r="JQC137" s="271"/>
      <c r="JQD137" s="221"/>
      <c r="JQE137" s="221"/>
      <c r="JQF137" s="221"/>
      <c r="JQG137" s="258"/>
      <c r="JQH137" s="270"/>
      <c r="JQI137" s="271"/>
      <c r="JQJ137" s="271"/>
      <c r="JQK137" s="271"/>
      <c r="JQL137" s="221"/>
      <c r="JQM137" s="221"/>
      <c r="JQN137" s="221"/>
      <c r="JQO137" s="258"/>
      <c r="JQP137" s="270"/>
      <c r="JQQ137" s="271"/>
      <c r="JQR137" s="271"/>
      <c r="JQS137" s="271"/>
      <c r="JQT137" s="221"/>
      <c r="JQU137" s="221"/>
      <c r="JQV137" s="221"/>
      <c r="JQW137" s="258"/>
      <c r="JQX137" s="270"/>
      <c r="JQY137" s="271"/>
      <c r="JQZ137" s="271"/>
      <c r="JRA137" s="271"/>
      <c r="JRB137" s="221"/>
      <c r="JRC137" s="221"/>
      <c r="JRD137" s="221"/>
      <c r="JRE137" s="258"/>
      <c r="JRF137" s="270"/>
      <c r="JRG137" s="271"/>
      <c r="JRH137" s="271"/>
      <c r="JRI137" s="271"/>
      <c r="JRJ137" s="221"/>
      <c r="JRK137" s="221"/>
      <c r="JRL137" s="221"/>
      <c r="JRM137" s="258"/>
      <c r="JRN137" s="270"/>
      <c r="JRO137" s="271"/>
      <c r="JRP137" s="271"/>
      <c r="JRQ137" s="271"/>
      <c r="JRR137" s="221"/>
      <c r="JRS137" s="221"/>
      <c r="JRT137" s="221"/>
      <c r="JRU137" s="258"/>
      <c r="JRV137" s="270"/>
      <c r="JRW137" s="271"/>
      <c r="JRX137" s="271"/>
      <c r="JRY137" s="271"/>
      <c r="JRZ137" s="221"/>
      <c r="JSA137" s="221"/>
      <c r="JSB137" s="221"/>
      <c r="JSC137" s="258"/>
      <c r="JSD137" s="270"/>
      <c r="JSE137" s="271"/>
      <c r="JSF137" s="271"/>
      <c r="JSG137" s="271"/>
      <c r="JSH137" s="221"/>
      <c r="JSI137" s="221"/>
      <c r="JSJ137" s="221"/>
      <c r="JSK137" s="258"/>
      <c r="JSL137" s="270"/>
      <c r="JSM137" s="271"/>
      <c r="JSN137" s="271"/>
      <c r="JSO137" s="271"/>
      <c r="JSP137" s="221"/>
      <c r="JSQ137" s="221"/>
      <c r="JSR137" s="221"/>
      <c r="JSS137" s="258"/>
      <c r="JST137" s="270"/>
      <c r="JSU137" s="271"/>
      <c r="JSV137" s="271"/>
      <c r="JSW137" s="271"/>
      <c r="JSX137" s="221"/>
      <c r="JSY137" s="221"/>
      <c r="JSZ137" s="221"/>
      <c r="JTA137" s="258"/>
      <c r="JTB137" s="270"/>
      <c r="JTC137" s="271"/>
      <c r="JTD137" s="271"/>
      <c r="JTE137" s="271"/>
      <c r="JTF137" s="221"/>
      <c r="JTG137" s="221"/>
      <c r="JTH137" s="221"/>
      <c r="JTI137" s="258"/>
      <c r="JTJ137" s="270"/>
      <c r="JTK137" s="271"/>
      <c r="JTL137" s="271"/>
      <c r="JTM137" s="271"/>
      <c r="JTN137" s="221"/>
      <c r="JTO137" s="221"/>
      <c r="JTP137" s="221"/>
      <c r="JTQ137" s="258"/>
      <c r="JTR137" s="270"/>
      <c r="JTS137" s="271"/>
      <c r="JTT137" s="271"/>
      <c r="JTU137" s="271"/>
      <c r="JTV137" s="221"/>
      <c r="JTW137" s="221"/>
      <c r="JTX137" s="221"/>
      <c r="JTY137" s="258"/>
      <c r="JTZ137" s="270"/>
      <c r="JUA137" s="271"/>
      <c r="JUB137" s="271"/>
      <c r="JUC137" s="271"/>
      <c r="JUD137" s="221"/>
      <c r="JUE137" s="221"/>
      <c r="JUF137" s="221"/>
      <c r="JUG137" s="258"/>
      <c r="JUH137" s="270"/>
      <c r="JUI137" s="271"/>
      <c r="JUJ137" s="271"/>
      <c r="JUK137" s="271"/>
      <c r="JUL137" s="221"/>
      <c r="JUM137" s="221"/>
      <c r="JUN137" s="221"/>
      <c r="JUO137" s="258"/>
      <c r="JUP137" s="270"/>
      <c r="JUQ137" s="271"/>
      <c r="JUR137" s="271"/>
      <c r="JUS137" s="271"/>
      <c r="JUT137" s="221"/>
      <c r="JUU137" s="221"/>
      <c r="JUV137" s="221"/>
      <c r="JUW137" s="258"/>
      <c r="JUX137" s="270"/>
      <c r="JUY137" s="271"/>
      <c r="JUZ137" s="271"/>
      <c r="JVA137" s="271"/>
      <c r="JVB137" s="221"/>
      <c r="JVC137" s="221"/>
      <c r="JVD137" s="221"/>
      <c r="JVE137" s="258"/>
      <c r="JVF137" s="270"/>
      <c r="JVG137" s="271"/>
      <c r="JVH137" s="271"/>
      <c r="JVI137" s="271"/>
      <c r="JVJ137" s="221"/>
      <c r="JVK137" s="221"/>
      <c r="JVL137" s="221"/>
      <c r="JVM137" s="258"/>
      <c r="JVN137" s="270"/>
      <c r="JVO137" s="271"/>
      <c r="JVP137" s="271"/>
      <c r="JVQ137" s="271"/>
      <c r="JVR137" s="221"/>
      <c r="JVS137" s="221"/>
      <c r="JVT137" s="221"/>
      <c r="JVU137" s="258"/>
      <c r="JVV137" s="270"/>
      <c r="JVW137" s="271"/>
      <c r="JVX137" s="271"/>
      <c r="JVY137" s="271"/>
      <c r="JVZ137" s="221"/>
      <c r="JWA137" s="221"/>
      <c r="JWB137" s="221"/>
      <c r="JWC137" s="258"/>
      <c r="JWD137" s="270"/>
      <c r="JWE137" s="271"/>
      <c r="JWF137" s="271"/>
      <c r="JWG137" s="271"/>
      <c r="JWH137" s="221"/>
      <c r="JWI137" s="221"/>
      <c r="JWJ137" s="221"/>
      <c r="JWK137" s="258"/>
      <c r="JWL137" s="270"/>
      <c r="JWM137" s="271"/>
      <c r="JWN137" s="271"/>
      <c r="JWO137" s="271"/>
      <c r="JWP137" s="221"/>
      <c r="JWQ137" s="221"/>
      <c r="JWR137" s="221"/>
      <c r="JWS137" s="258"/>
      <c r="JWT137" s="270"/>
      <c r="JWU137" s="271"/>
      <c r="JWV137" s="271"/>
      <c r="JWW137" s="271"/>
      <c r="JWX137" s="221"/>
      <c r="JWY137" s="221"/>
      <c r="JWZ137" s="221"/>
      <c r="JXA137" s="258"/>
      <c r="JXB137" s="270"/>
      <c r="JXC137" s="271"/>
      <c r="JXD137" s="271"/>
      <c r="JXE137" s="271"/>
      <c r="JXF137" s="221"/>
      <c r="JXG137" s="221"/>
      <c r="JXH137" s="221"/>
      <c r="JXI137" s="258"/>
      <c r="JXJ137" s="270"/>
      <c r="JXK137" s="271"/>
      <c r="JXL137" s="271"/>
      <c r="JXM137" s="271"/>
      <c r="JXN137" s="221"/>
      <c r="JXO137" s="221"/>
      <c r="JXP137" s="221"/>
      <c r="JXQ137" s="258"/>
      <c r="JXR137" s="270"/>
      <c r="JXS137" s="271"/>
      <c r="JXT137" s="271"/>
      <c r="JXU137" s="271"/>
      <c r="JXV137" s="221"/>
      <c r="JXW137" s="221"/>
      <c r="JXX137" s="221"/>
      <c r="JXY137" s="258"/>
      <c r="JXZ137" s="270"/>
      <c r="JYA137" s="271"/>
      <c r="JYB137" s="271"/>
      <c r="JYC137" s="271"/>
      <c r="JYD137" s="221"/>
      <c r="JYE137" s="221"/>
      <c r="JYF137" s="221"/>
      <c r="JYG137" s="258"/>
      <c r="JYH137" s="270"/>
      <c r="JYI137" s="271"/>
      <c r="JYJ137" s="271"/>
      <c r="JYK137" s="271"/>
      <c r="JYL137" s="221"/>
      <c r="JYM137" s="221"/>
      <c r="JYN137" s="221"/>
      <c r="JYO137" s="258"/>
      <c r="JYP137" s="270"/>
      <c r="JYQ137" s="271"/>
      <c r="JYR137" s="271"/>
      <c r="JYS137" s="271"/>
      <c r="JYT137" s="221"/>
      <c r="JYU137" s="221"/>
      <c r="JYV137" s="221"/>
      <c r="JYW137" s="258"/>
      <c r="JYX137" s="270"/>
      <c r="JYY137" s="271"/>
      <c r="JYZ137" s="271"/>
      <c r="JZA137" s="271"/>
      <c r="JZB137" s="221"/>
      <c r="JZC137" s="221"/>
      <c r="JZD137" s="221"/>
      <c r="JZE137" s="258"/>
      <c r="JZF137" s="270"/>
      <c r="JZG137" s="271"/>
      <c r="JZH137" s="271"/>
      <c r="JZI137" s="271"/>
      <c r="JZJ137" s="221"/>
      <c r="JZK137" s="221"/>
      <c r="JZL137" s="221"/>
      <c r="JZM137" s="258"/>
      <c r="JZN137" s="270"/>
      <c r="JZO137" s="271"/>
      <c r="JZP137" s="271"/>
      <c r="JZQ137" s="271"/>
      <c r="JZR137" s="221"/>
      <c r="JZS137" s="221"/>
      <c r="JZT137" s="221"/>
      <c r="JZU137" s="258"/>
      <c r="JZV137" s="270"/>
      <c r="JZW137" s="271"/>
      <c r="JZX137" s="271"/>
      <c r="JZY137" s="271"/>
      <c r="JZZ137" s="221"/>
      <c r="KAA137" s="221"/>
      <c r="KAB137" s="221"/>
      <c r="KAC137" s="258"/>
      <c r="KAD137" s="270"/>
      <c r="KAE137" s="271"/>
      <c r="KAF137" s="271"/>
      <c r="KAG137" s="271"/>
      <c r="KAH137" s="221"/>
      <c r="KAI137" s="221"/>
      <c r="KAJ137" s="221"/>
      <c r="KAK137" s="258"/>
      <c r="KAL137" s="270"/>
      <c r="KAM137" s="271"/>
      <c r="KAN137" s="271"/>
      <c r="KAO137" s="271"/>
      <c r="KAP137" s="221"/>
      <c r="KAQ137" s="221"/>
      <c r="KAR137" s="221"/>
      <c r="KAS137" s="258"/>
      <c r="KAT137" s="270"/>
      <c r="KAU137" s="271"/>
      <c r="KAV137" s="271"/>
      <c r="KAW137" s="271"/>
      <c r="KAX137" s="221"/>
      <c r="KAY137" s="221"/>
      <c r="KAZ137" s="221"/>
      <c r="KBA137" s="258"/>
      <c r="KBB137" s="270"/>
      <c r="KBC137" s="271"/>
      <c r="KBD137" s="271"/>
      <c r="KBE137" s="271"/>
      <c r="KBF137" s="221"/>
      <c r="KBG137" s="221"/>
      <c r="KBH137" s="221"/>
      <c r="KBI137" s="258"/>
      <c r="KBJ137" s="270"/>
      <c r="KBK137" s="271"/>
      <c r="KBL137" s="271"/>
      <c r="KBM137" s="271"/>
      <c r="KBN137" s="221"/>
      <c r="KBO137" s="221"/>
      <c r="KBP137" s="221"/>
      <c r="KBQ137" s="258"/>
      <c r="KBR137" s="270"/>
      <c r="KBS137" s="271"/>
      <c r="KBT137" s="271"/>
      <c r="KBU137" s="271"/>
      <c r="KBV137" s="221"/>
      <c r="KBW137" s="221"/>
      <c r="KBX137" s="221"/>
      <c r="KBY137" s="258"/>
      <c r="KBZ137" s="270"/>
      <c r="KCA137" s="271"/>
      <c r="KCB137" s="271"/>
      <c r="KCC137" s="271"/>
      <c r="KCD137" s="221"/>
      <c r="KCE137" s="221"/>
      <c r="KCF137" s="221"/>
      <c r="KCG137" s="258"/>
      <c r="KCH137" s="270"/>
      <c r="KCI137" s="271"/>
      <c r="KCJ137" s="271"/>
      <c r="KCK137" s="271"/>
      <c r="KCL137" s="221"/>
      <c r="KCM137" s="221"/>
      <c r="KCN137" s="221"/>
      <c r="KCO137" s="258"/>
      <c r="KCP137" s="270"/>
      <c r="KCQ137" s="271"/>
      <c r="KCR137" s="271"/>
      <c r="KCS137" s="271"/>
      <c r="KCT137" s="221"/>
      <c r="KCU137" s="221"/>
      <c r="KCV137" s="221"/>
      <c r="KCW137" s="258"/>
      <c r="KCX137" s="270"/>
      <c r="KCY137" s="271"/>
      <c r="KCZ137" s="271"/>
      <c r="KDA137" s="271"/>
      <c r="KDB137" s="221"/>
      <c r="KDC137" s="221"/>
      <c r="KDD137" s="221"/>
      <c r="KDE137" s="258"/>
      <c r="KDF137" s="270"/>
      <c r="KDG137" s="271"/>
      <c r="KDH137" s="271"/>
      <c r="KDI137" s="271"/>
      <c r="KDJ137" s="221"/>
      <c r="KDK137" s="221"/>
      <c r="KDL137" s="221"/>
      <c r="KDM137" s="258"/>
      <c r="KDN137" s="270"/>
      <c r="KDO137" s="271"/>
      <c r="KDP137" s="271"/>
      <c r="KDQ137" s="271"/>
      <c r="KDR137" s="221"/>
      <c r="KDS137" s="221"/>
      <c r="KDT137" s="221"/>
      <c r="KDU137" s="258"/>
      <c r="KDV137" s="270"/>
      <c r="KDW137" s="271"/>
      <c r="KDX137" s="271"/>
      <c r="KDY137" s="271"/>
      <c r="KDZ137" s="221"/>
      <c r="KEA137" s="221"/>
      <c r="KEB137" s="221"/>
      <c r="KEC137" s="258"/>
      <c r="KED137" s="270"/>
      <c r="KEE137" s="271"/>
      <c r="KEF137" s="271"/>
      <c r="KEG137" s="271"/>
      <c r="KEH137" s="221"/>
      <c r="KEI137" s="221"/>
      <c r="KEJ137" s="221"/>
      <c r="KEK137" s="258"/>
      <c r="KEL137" s="270"/>
      <c r="KEM137" s="271"/>
      <c r="KEN137" s="271"/>
      <c r="KEO137" s="271"/>
      <c r="KEP137" s="221"/>
      <c r="KEQ137" s="221"/>
      <c r="KER137" s="221"/>
      <c r="KES137" s="258"/>
      <c r="KET137" s="270"/>
      <c r="KEU137" s="271"/>
      <c r="KEV137" s="271"/>
      <c r="KEW137" s="271"/>
      <c r="KEX137" s="221"/>
      <c r="KEY137" s="221"/>
      <c r="KEZ137" s="221"/>
      <c r="KFA137" s="258"/>
      <c r="KFB137" s="270"/>
      <c r="KFC137" s="271"/>
      <c r="KFD137" s="271"/>
      <c r="KFE137" s="271"/>
      <c r="KFF137" s="221"/>
      <c r="KFG137" s="221"/>
      <c r="KFH137" s="221"/>
      <c r="KFI137" s="258"/>
      <c r="KFJ137" s="270"/>
      <c r="KFK137" s="271"/>
      <c r="KFL137" s="271"/>
      <c r="KFM137" s="271"/>
      <c r="KFN137" s="221"/>
      <c r="KFO137" s="221"/>
      <c r="KFP137" s="221"/>
      <c r="KFQ137" s="258"/>
      <c r="KFR137" s="270"/>
      <c r="KFS137" s="271"/>
      <c r="KFT137" s="271"/>
      <c r="KFU137" s="271"/>
      <c r="KFV137" s="221"/>
      <c r="KFW137" s="221"/>
      <c r="KFX137" s="221"/>
      <c r="KFY137" s="258"/>
      <c r="KFZ137" s="270"/>
      <c r="KGA137" s="271"/>
      <c r="KGB137" s="271"/>
      <c r="KGC137" s="271"/>
      <c r="KGD137" s="221"/>
      <c r="KGE137" s="221"/>
      <c r="KGF137" s="221"/>
      <c r="KGG137" s="258"/>
      <c r="KGH137" s="270"/>
      <c r="KGI137" s="271"/>
      <c r="KGJ137" s="271"/>
      <c r="KGK137" s="271"/>
      <c r="KGL137" s="221"/>
      <c r="KGM137" s="221"/>
      <c r="KGN137" s="221"/>
      <c r="KGO137" s="258"/>
      <c r="KGP137" s="270"/>
      <c r="KGQ137" s="271"/>
      <c r="KGR137" s="271"/>
      <c r="KGS137" s="271"/>
      <c r="KGT137" s="221"/>
      <c r="KGU137" s="221"/>
      <c r="KGV137" s="221"/>
      <c r="KGW137" s="258"/>
      <c r="KGX137" s="270"/>
      <c r="KGY137" s="271"/>
      <c r="KGZ137" s="271"/>
      <c r="KHA137" s="271"/>
      <c r="KHB137" s="221"/>
      <c r="KHC137" s="221"/>
      <c r="KHD137" s="221"/>
      <c r="KHE137" s="258"/>
      <c r="KHF137" s="270"/>
      <c r="KHG137" s="271"/>
      <c r="KHH137" s="271"/>
      <c r="KHI137" s="271"/>
      <c r="KHJ137" s="221"/>
      <c r="KHK137" s="221"/>
      <c r="KHL137" s="221"/>
      <c r="KHM137" s="258"/>
      <c r="KHN137" s="270"/>
      <c r="KHO137" s="271"/>
      <c r="KHP137" s="271"/>
      <c r="KHQ137" s="271"/>
      <c r="KHR137" s="221"/>
      <c r="KHS137" s="221"/>
      <c r="KHT137" s="221"/>
      <c r="KHU137" s="258"/>
      <c r="KHV137" s="270"/>
      <c r="KHW137" s="271"/>
      <c r="KHX137" s="271"/>
      <c r="KHY137" s="271"/>
      <c r="KHZ137" s="221"/>
      <c r="KIA137" s="221"/>
      <c r="KIB137" s="221"/>
      <c r="KIC137" s="258"/>
      <c r="KID137" s="270"/>
      <c r="KIE137" s="271"/>
      <c r="KIF137" s="271"/>
      <c r="KIG137" s="271"/>
      <c r="KIH137" s="221"/>
      <c r="KII137" s="221"/>
      <c r="KIJ137" s="221"/>
      <c r="KIK137" s="258"/>
      <c r="KIL137" s="270"/>
      <c r="KIM137" s="271"/>
      <c r="KIN137" s="271"/>
      <c r="KIO137" s="271"/>
      <c r="KIP137" s="221"/>
      <c r="KIQ137" s="221"/>
      <c r="KIR137" s="221"/>
      <c r="KIS137" s="258"/>
      <c r="KIT137" s="270"/>
      <c r="KIU137" s="271"/>
      <c r="KIV137" s="271"/>
      <c r="KIW137" s="271"/>
      <c r="KIX137" s="221"/>
      <c r="KIY137" s="221"/>
      <c r="KIZ137" s="221"/>
      <c r="KJA137" s="258"/>
      <c r="KJB137" s="270"/>
      <c r="KJC137" s="271"/>
      <c r="KJD137" s="271"/>
      <c r="KJE137" s="271"/>
      <c r="KJF137" s="221"/>
      <c r="KJG137" s="221"/>
      <c r="KJH137" s="221"/>
      <c r="KJI137" s="258"/>
      <c r="KJJ137" s="270"/>
      <c r="KJK137" s="271"/>
      <c r="KJL137" s="271"/>
      <c r="KJM137" s="271"/>
      <c r="KJN137" s="221"/>
      <c r="KJO137" s="221"/>
      <c r="KJP137" s="221"/>
      <c r="KJQ137" s="258"/>
      <c r="KJR137" s="270"/>
      <c r="KJS137" s="271"/>
      <c r="KJT137" s="271"/>
      <c r="KJU137" s="271"/>
      <c r="KJV137" s="221"/>
      <c r="KJW137" s="221"/>
      <c r="KJX137" s="221"/>
      <c r="KJY137" s="258"/>
      <c r="KJZ137" s="270"/>
      <c r="KKA137" s="271"/>
      <c r="KKB137" s="271"/>
      <c r="KKC137" s="271"/>
      <c r="KKD137" s="221"/>
      <c r="KKE137" s="221"/>
      <c r="KKF137" s="221"/>
      <c r="KKG137" s="258"/>
      <c r="KKH137" s="270"/>
      <c r="KKI137" s="271"/>
      <c r="KKJ137" s="271"/>
      <c r="KKK137" s="271"/>
      <c r="KKL137" s="221"/>
      <c r="KKM137" s="221"/>
      <c r="KKN137" s="221"/>
      <c r="KKO137" s="258"/>
      <c r="KKP137" s="270"/>
      <c r="KKQ137" s="271"/>
      <c r="KKR137" s="271"/>
      <c r="KKS137" s="271"/>
      <c r="KKT137" s="221"/>
      <c r="KKU137" s="221"/>
      <c r="KKV137" s="221"/>
      <c r="KKW137" s="258"/>
      <c r="KKX137" s="270"/>
      <c r="KKY137" s="271"/>
      <c r="KKZ137" s="271"/>
      <c r="KLA137" s="271"/>
      <c r="KLB137" s="221"/>
      <c r="KLC137" s="221"/>
      <c r="KLD137" s="221"/>
      <c r="KLE137" s="258"/>
      <c r="KLF137" s="270"/>
      <c r="KLG137" s="271"/>
      <c r="KLH137" s="271"/>
      <c r="KLI137" s="271"/>
      <c r="KLJ137" s="221"/>
      <c r="KLK137" s="221"/>
      <c r="KLL137" s="221"/>
      <c r="KLM137" s="258"/>
      <c r="KLN137" s="270"/>
      <c r="KLO137" s="271"/>
      <c r="KLP137" s="271"/>
      <c r="KLQ137" s="271"/>
      <c r="KLR137" s="221"/>
      <c r="KLS137" s="221"/>
      <c r="KLT137" s="221"/>
      <c r="KLU137" s="258"/>
      <c r="KLV137" s="270"/>
      <c r="KLW137" s="271"/>
      <c r="KLX137" s="271"/>
      <c r="KLY137" s="271"/>
      <c r="KLZ137" s="221"/>
      <c r="KMA137" s="221"/>
      <c r="KMB137" s="221"/>
      <c r="KMC137" s="258"/>
      <c r="KMD137" s="270"/>
      <c r="KME137" s="271"/>
      <c r="KMF137" s="271"/>
      <c r="KMG137" s="271"/>
      <c r="KMH137" s="221"/>
      <c r="KMI137" s="221"/>
      <c r="KMJ137" s="221"/>
      <c r="KMK137" s="258"/>
      <c r="KML137" s="270"/>
      <c r="KMM137" s="271"/>
      <c r="KMN137" s="271"/>
      <c r="KMO137" s="271"/>
      <c r="KMP137" s="221"/>
      <c r="KMQ137" s="221"/>
      <c r="KMR137" s="221"/>
      <c r="KMS137" s="258"/>
      <c r="KMT137" s="270"/>
      <c r="KMU137" s="271"/>
      <c r="KMV137" s="271"/>
      <c r="KMW137" s="271"/>
      <c r="KMX137" s="221"/>
      <c r="KMY137" s="221"/>
      <c r="KMZ137" s="221"/>
      <c r="KNA137" s="258"/>
      <c r="KNB137" s="270"/>
      <c r="KNC137" s="271"/>
      <c r="KND137" s="271"/>
      <c r="KNE137" s="271"/>
      <c r="KNF137" s="221"/>
      <c r="KNG137" s="221"/>
      <c r="KNH137" s="221"/>
      <c r="KNI137" s="258"/>
      <c r="KNJ137" s="270"/>
      <c r="KNK137" s="271"/>
      <c r="KNL137" s="271"/>
      <c r="KNM137" s="271"/>
      <c r="KNN137" s="221"/>
      <c r="KNO137" s="221"/>
      <c r="KNP137" s="221"/>
      <c r="KNQ137" s="258"/>
      <c r="KNR137" s="270"/>
      <c r="KNS137" s="271"/>
      <c r="KNT137" s="271"/>
      <c r="KNU137" s="271"/>
      <c r="KNV137" s="221"/>
      <c r="KNW137" s="221"/>
      <c r="KNX137" s="221"/>
      <c r="KNY137" s="258"/>
      <c r="KNZ137" s="270"/>
      <c r="KOA137" s="271"/>
      <c r="KOB137" s="271"/>
      <c r="KOC137" s="271"/>
      <c r="KOD137" s="221"/>
      <c r="KOE137" s="221"/>
      <c r="KOF137" s="221"/>
      <c r="KOG137" s="258"/>
      <c r="KOH137" s="270"/>
      <c r="KOI137" s="271"/>
      <c r="KOJ137" s="271"/>
      <c r="KOK137" s="271"/>
      <c r="KOL137" s="221"/>
      <c r="KOM137" s="221"/>
      <c r="KON137" s="221"/>
      <c r="KOO137" s="258"/>
      <c r="KOP137" s="270"/>
      <c r="KOQ137" s="271"/>
      <c r="KOR137" s="271"/>
      <c r="KOS137" s="271"/>
      <c r="KOT137" s="221"/>
      <c r="KOU137" s="221"/>
      <c r="KOV137" s="221"/>
      <c r="KOW137" s="258"/>
      <c r="KOX137" s="270"/>
      <c r="KOY137" s="271"/>
      <c r="KOZ137" s="271"/>
      <c r="KPA137" s="271"/>
      <c r="KPB137" s="221"/>
      <c r="KPC137" s="221"/>
      <c r="KPD137" s="221"/>
      <c r="KPE137" s="258"/>
      <c r="KPF137" s="270"/>
      <c r="KPG137" s="271"/>
      <c r="KPH137" s="271"/>
      <c r="KPI137" s="271"/>
      <c r="KPJ137" s="221"/>
      <c r="KPK137" s="221"/>
      <c r="KPL137" s="221"/>
      <c r="KPM137" s="258"/>
      <c r="KPN137" s="270"/>
      <c r="KPO137" s="271"/>
      <c r="KPP137" s="271"/>
      <c r="KPQ137" s="271"/>
      <c r="KPR137" s="221"/>
      <c r="KPS137" s="221"/>
      <c r="KPT137" s="221"/>
      <c r="KPU137" s="258"/>
      <c r="KPV137" s="270"/>
      <c r="KPW137" s="271"/>
      <c r="KPX137" s="271"/>
      <c r="KPY137" s="271"/>
      <c r="KPZ137" s="221"/>
      <c r="KQA137" s="221"/>
      <c r="KQB137" s="221"/>
      <c r="KQC137" s="258"/>
      <c r="KQD137" s="270"/>
      <c r="KQE137" s="271"/>
      <c r="KQF137" s="271"/>
      <c r="KQG137" s="271"/>
      <c r="KQH137" s="221"/>
      <c r="KQI137" s="221"/>
      <c r="KQJ137" s="221"/>
      <c r="KQK137" s="258"/>
      <c r="KQL137" s="270"/>
      <c r="KQM137" s="271"/>
      <c r="KQN137" s="271"/>
      <c r="KQO137" s="271"/>
      <c r="KQP137" s="221"/>
      <c r="KQQ137" s="221"/>
      <c r="KQR137" s="221"/>
      <c r="KQS137" s="258"/>
      <c r="KQT137" s="270"/>
      <c r="KQU137" s="271"/>
      <c r="KQV137" s="271"/>
      <c r="KQW137" s="271"/>
      <c r="KQX137" s="221"/>
      <c r="KQY137" s="221"/>
      <c r="KQZ137" s="221"/>
      <c r="KRA137" s="258"/>
      <c r="KRB137" s="270"/>
      <c r="KRC137" s="271"/>
      <c r="KRD137" s="271"/>
      <c r="KRE137" s="271"/>
      <c r="KRF137" s="221"/>
      <c r="KRG137" s="221"/>
      <c r="KRH137" s="221"/>
      <c r="KRI137" s="258"/>
      <c r="KRJ137" s="270"/>
      <c r="KRK137" s="271"/>
      <c r="KRL137" s="271"/>
      <c r="KRM137" s="271"/>
      <c r="KRN137" s="221"/>
      <c r="KRO137" s="221"/>
      <c r="KRP137" s="221"/>
      <c r="KRQ137" s="258"/>
      <c r="KRR137" s="270"/>
      <c r="KRS137" s="271"/>
      <c r="KRT137" s="271"/>
      <c r="KRU137" s="271"/>
      <c r="KRV137" s="221"/>
      <c r="KRW137" s="221"/>
      <c r="KRX137" s="221"/>
      <c r="KRY137" s="258"/>
      <c r="KRZ137" s="270"/>
      <c r="KSA137" s="271"/>
      <c r="KSB137" s="271"/>
      <c r="KSC137" s="271"/>
      <c r="KSD137" s="221"/>
      <c r="KSE137" s="221"/>
      <c r="KSF137" s="221"/>
      <c r="KSG137" s="258"/>
      <c r="KSH137" s="270"/>
      <c r="KSI137" s="271"/>
      <c r="KSJ137" s="271"/>
      <c r="KSK137" s="271"/>
      <c r="KSL137" s="221"/>
      <c r="KSM137" s="221"/>
      <c r="KSN137" s="221"/>
      <c r="KSO137" s="258"/>
      <c r="KSP137" s="270"/>
      <c r="KSQ137" s="271"/>
      <c r="KSR137" s="271"/>
      <c r="KSS137" s="271"/>
      <c r="KST137" s="221"/>
      <c r="KSU137" s="221"/>
      <c r="KSV137" s="221"/>
      <c r="KSW137" s="258"/>
      <c r="KSX137" s="270"/>
      <c r="KSY137" s="271"/>
      <c r="KSZ137" s="271"/>
      <c r="KTA137" s="271"/>
      <c r="KTB137" s="221"/>
      <c r="KTC137" s="221"/>
      <c r="KTD137" s="221"/>
      <c r="KTE137" s="258"/>
      <c r="KTF137" s="270"/>
      <c r="KTG137" s="271"/>
      <c r="KTH137" s="271"/>
      <c r="KTI137" s="271"/>
      <c r="KTJ137" s="221"/>
      <c r="KTK137" s="221"/>
      <c r="KTL137" s="221"/>
      <c r="KTM137" s="258"/>
      <c r="KTN137" s="270"/>
      <c r="KTO137" s="271"/>
      <c r="KTP137" s="271"/>
      <c r="KTQ137" s="271"/>
      <c r="KTR137" s="221"/>
      <c r="KTS137" s="221"/>
      <c r="KTT137" s="221"/>
      <c r="KTU137" s="258"/>
      <c r="KTV137" s="270"/>
      <c r="KTW137" s="271"/>
      <c r="KTX137" s="271"/>
      <c r="KTY137" s="271"/>
      <c r="KTZ137" s="221"/>
      <c r="KUA137" s="221"/>
      <c r="KUB137" s="221"/>
      <c r="KUC137" s="258"/>
      <c r="KUD137" s="270"/>
      <c r="KUE137" s="271"/>
      <c r="KUF137" s="271"/>
      <c r="KUG137" s="271"/>
      <c r="KUH137" s="221"/>
      <c r="KUI137" s="221"/>
      <c r="KUJ137" s="221"/>
      <c r="KUK137" s="258"/>
      <c r="KUL137" s="270"/>
      <c r="KUM137" s="271"/>
      <c r="KUN137" s="271"/>
      <c r="KUO137" s="271"/>
      <c r="KUP137" s="221"/>
      <c r="KUQ137" s="221"/>
      <c r="KUR137" s="221"/>
      <c r="KUS137" s="258"/>
      <c r="KUT137" s="270"/>
      <c r="KUU137" s="271"/>
      <c r="KUV137" s="271"/>
      <c r="KUW137" s="271"/>
      <c r="KUX137" s="221"/>
      <c r="KUY137" s="221"/>
      <c r="KUZ137" s="221"/>
      <c r="KVA137" s="258"/>
      <c r="KVB137" s="270"/>
      <c r="KVC137" s="271"/>
      <c r="KVD137" s="271"/>
      <c r="KVE137" s="271"/>
      <c r="KVF137" s="221"/>
      <c r="KVG137" s="221"/>
      <c r="KVH137" s="221"/>
      <c r="KVI137" s="258"/>
      <c r="KVJ137" s="270"/>
      <c r="KVK137" s="271"/>
      <c r="KVL137" s="271"/>
      <c r="KVM137" s="271"/>
      <c r="KVN137" s="221"/>
      <c r="KVO137" s="221"/>
      <c r="KVP137" s="221"/>
      <c r="KVQ137" s="258"/>
      <c r="KVR137" s="270"/>
      <c r="KVS137" s="271"/>
      <c r="KVT137" s="271"/>
      <c r="KVU137" s="271"/>
      <c r="KVV137" s="221"/>
      <c r="KVW137" s="221"/>
      <c r="KVX137" s="221"/>
      <c r="KVY137" s="258"/>
      <c r="KVZ137" s="270"/>
      <c r="KWA137" s="271"/>
      <c r="KWB137" s="271"/>
      <c r="KWC137" s="271"/>
      <c r="KWD137" s="221"/>
      <c r="KWE137" s="221"/>
      <c r="KWF137" s="221"/>
      <c r="KWG137" s="258"/>
      <c r="KWH137" s="270"/>
      <c r="KWI137" s="271"/>
      <c r="KWJ137" s="271"/>
      <c r="KWK137" s="271"/>
      <c r="KWL137" s="221"/>
      <c r="KWM137" s="221"/>
      <c r="KWN137" s="221"/>
      <c r="KWO137" s="258"/>
      <c r="KWP137" s="270"/>
      <c r="KWQ137" s="271"/>
      <c r="KWR137" s="271"/>
      <c r="KWS137" s="271"/>
      <c r="KWT137" s="221"/>
      <c r="KWU137" s="221"/>
      <c r="KWV137" s="221"/>
      <c r="KWW137" s="258"/>
      <c r="KWX137" s="270"/>
      <c r="KWY137" s="271"/>
      <c r="KWZ137" s="271"/>
      <c r="KXA137" s="271"/>
      <c r="KXB137" s="221"/>
      <c r="KXC137" s="221"/>
      <c r="KXD137" s="221"/>
      <c r="KXE137" s="258"/>
      <c r="KXF137" s="270"/>
      <c r="KXG137" s="271"/>
      <c r="KXH137" s="271"/>
      <c r="KXI137" s="271"/>
      <c r="KXJ137" s="221"/>
      <c r="KXK137" s="221"/>
      <c r="KXL137" s="221"/>
      <c r="KXM137" s="258"/>
      <c r="KXN137" s="270"/>
      <c r="KXO137" s="271"/>
      <c r="KXP137" s="271"/>
      <c r="KXQ137" s="271"/>
      <c r="KXR137" s="221"/>
      <c r="KXS137" s="221"/>
      <c r="KXT137" s="221"/>
      <c r="KXU137" s="258"/>
      <c r="KXV137" s="270"/>
      <c r="KXW137" s="271"/>
      <c r="KXX137" s="271"/>
      <c r="KXY137" s="271"/>
      <c r="KXZ137" s="221"/>
      <c r="KYA137" s="221"/>
      <c r="KYB137" s="221"/>
      <c r="KYC137" s="258"/>
      <c r="KYD137" s="270"/>
      <c r="KYE137" s="271"/>
      <c r="KYF137" s="271"/>
      <c r="KYG137" s="271"/>
      <c r="KYH137" s="221"/>
      <c r="KYI137" s="221"/>
      <c r="KYJ137" s="221"/>
      <c r="KYK137" s="258"/>
      <c r="KYL137" s="270"/>
      <c r="KYM137" s="271"/>
      <c r="KYN137" s="271"/>
      <c r="KYO137" s="271"/>
      <c r="KYP137" s="221"/>
      <c r="KYQ137" s="221"/>
      <c r="KYR137" s="221"/>
      <c r="KYS137" s="258"/>
      <c r="KYT137" s="270"/>
      <c r="KYU137" s="271"/>
      <c r="KYV137" s="271"/>
      <c r="KYW137" s="271"/>
      <c r="KYX137" s="221"/>
      <c r="KYY137" s="221"/>
      <c r="KYZ137" s="221"/>
      <c r="KZA137" s="258"/>
      <c r="KZB137" s="270"/>
      <c r="KZC137" s="271"/>
      <c r="KZD137" s="271"/>
      <c r="KZE137" s="271"/>
      <c r="KZF137" s="221"/>
      <c r="KZG137" s="221"/>
      <c r="KZH137" s="221"/>
      <c r="KZI137" s="258"/>
      <c r="KZJ137" s="270"/>
      <c r="KZK137" s="271"/>
      <c r="KZL137" s="271"/>
      <c r="KZM137" s="271"/>
      <c r="KZN137" s="221"/>
      <c r="KZO137" s="221"/>
      <c r="KZP137" s="221"/>
      <c r="KZQ137" s="258"/>
      <c r="KZR137" s="270"/>
      <c r="KZS137" s="271"/>
      <c r="KZT137" s="271"/>
      <c r="KZU137" s="271"/>
      <c r="KZV137" s="221"/>
      <c r="KZW137" s="221"/>
      <c r="KZX137" s="221"/>
      <c r="KZY137" s="258"/>
      <c r="KZZ137" s="270"/>
      <c r="LAA137" s="271"/>
      <c r="LAB137" s="271"/>
      <c r="LAC137" s="271"/>
      <c r="LAD137" s="221"/>
      <c r="LAE137" s="221"/>
      <c r="LAF137" s="221"/>
      <c r="LAG137" s="258"/>
      <c r="LAH137" s="270"/>
      <c r="LAI137" s="271"/>
      <c r="LAJ137" s="271"/>
      <c r="LAK137" s="271"/>
      <c r="LAL137" s="221"/>
      <c r="LAM137" s="221"/>
      <c r="LAN137" s="221"/>
      <c r="LAO137" s="258"/>
      <c r="LAP137" s="270"/>
      <c r="LAQ137" s="271"/>
      <c r="LAR137" s="271"/>
      <c r="LAS137" s="271"/>
      <c r="LAT137" s="221"/>
      <c r="LAU137" s="221"/>
      <c r="LAV137" s="221"/>
      <c r="LAW137" s="258"/>
      <c r="LAX137" s="270"/>
      <c r="LAY137" s="271"/>
      <c r="LAZ137" s="271"/>
      <c r="LBA137" s="271"/>
      <c r="LBB137" s="221"/>
      <c r="LBC137" s="221"/>
      <c r="LBD137" s="221"/>
      <c r="LBE137" s="258"/>
      <c r="LBF137" s="270"/>
      <c r="LBG137" s="271"/>
      <c r="LBH137" s="271"/>
      <c r="LBI137" s="271"/>
      <c r="LBJ137" s="221"/>
      <c r="LBK137" s="221"/>
      <c r="LBL137" s="221"/>
      <c r="LBM137" s="258"/>
      <c r="LBN137" s="270"/>
      <c r="LBO137" s="271"/>
      <c r="LBP137" s="271"/>
      <c r="LBQ137" s="271"/>
      <c r="LBR137" s="221"/>
      <c r="LBS137" s="221"/>
      <c r="LBT137" s="221"/>
      <c r="LBU137" s="258"/>
      <c r="LBV137" s="270"/>
      <c r="LBW137" s="271"/>
      <c r="LBX137" s="271"/>
      <c r="LBY137" s="271"/>
      <c r="LBZ137" s="221"/>
      <c r="LCA137" s="221"/>
      <c r="LCB137" s="221"/>
      <c r="LCC137" s="258"/>
      <c r="LCD137" s="270"/>
      <c r="LCE137" s="271"/>
      <c r="LCF137" s="271"/>
      <c r="LCG137" s="271"/>
      <c r="LCH137" s="221"/>
      <c r="LCI137" s="221"/>
      <c r="LCJ137" s="221"/>
      <c r="LCK137" s="258"/>
      <c r="LCL137" s="270"/>
      <c r="LCM137" s="271"/>
      <c r="LCN137" s="271"/>
      <c r="LCO137" s="271"/>
      <c r="LCP137" s="221"/>
      <c r="LCQ137" s="221"/>
      <c r="LCR137" s="221"/>
      <c r="LCS137" s="258"/>
      <c r="LCT137" s="270"/>
      <c r="LCU137" s="271"/>
      <c r="LCV137" s="271"/>
      <c r="LCW137" s="271"/>
      <c r="LCX137" s="221"/>
      <c r="LCY137" s="221"/>
      <c r="LCZ137" s="221"/>
      <c r="LDA137" s="258"/>
      <c r="LDB137" s="270"/>
      <c r="LDC137" s="271"/>
      <c r="LDD137" s="271"/>
      <c r="LDE137" s="271"/>
      <c r="LDF137" s="221"/>
      <c r="LDG137" s="221"/>
      <c r="LDH137" s="221"/>
      <c r="LDI137" s="258"/>
      <c r="LDJ137" s="270"/>
      <c r="LDK137" s="271"/>
      <c r="LDL137" s="271"/>
      <c r="LDM137" s="271"/>
      <c r="LDN137" s="221"/>
      <c r="LDO137" s="221"/>
      <c r="LDP137" s="221"/>
      <c r="LDQ137" s="258"/>
      <c r="LDR137" s="270"/>
      <c r="LDS137" s="271"/>
      <c r="LDT137" s="271"/>
      <c r="LDU137" s="271"/>
      <c r="LDV137" s="221"/>
      <c r="LDW137" s="221"/>
      <c r="LDX137" s="221"/>
      <c r="LDY137" s="258"/>
      <c r="LDZ137" s="270"/>
      <c r="LEA137" s="271"/>
      <c r="LEB137" s="271"/>
      <c r="LEC137" s="271"/>
      <c r="LED137" s="221"/>
      <c r="LEE137" s="221"/>
      <c r="LEF137" s="221"/>
      <c r="LEG137" s="258"/>
      <c r="LEH137" s="270"/>
      <c r="LEI137" s="271"/>
      <c r="LEJ137" s="271"/>
      <c r="LEK137" s="271"/>
      <c r="LEL137" s="221"/>
      <c r="LEM137" s="221"/>
      <c r="LEN137" s="221"/>
      <c r="LEO137" s="258"/>
      <c r="LEP137" s="270"/>
      <c r="LEQ137" s="271"/>
      <c r="LER137" s="271"/>
      <c r="LES137" s="271"/>
      <c r="LET137" s="221"/>
      <c r="LEU137" s="221"/>
      <c r="LEV137" s="221"/>
      <c r="LEW137" s="258"/>
      <c r="LEX137" s="270"/>
      <c r="LEY137" s="271"/>
      <c r="LEZ137" s="271"/>
      <c r="LFA137" s="271"/>
      <c r="LFB137" s="221"/>
      <c r="LFC137" s="221"/>
      <c r="LFD137" s="221"/>
      <c r="LFE137" s="258"/>
      <c r="LFF137" s="270"/>
      <c r="LFG137" s="271"/>
      <c r="LFH137" s="271"/>
      <c r="LFI137" s="271"/>
      <c r="LFJ137" s="221"/>
      <c r="LFK137" s="221"/>
      <c r="LFL137" s="221"/>
      <c r="LFM137" s="258"/>
      <c r="LFN137" s="270"/>
      <c r="LFO137" s="271"/>
      <c r="LFP137" s="271"/>
      <c r="LFQ137" s="271"/>
      <c r="LFR137" s="221"/>
      <c r="LFS137" s="221"/>
      <c r="LFT137" s="221"/>
      <c r="LFU137" s="258"/>
      <c r="LFV137" s="270"/>
      <c r="LFW137" s="271"/>
      <c r="LFX137" s="271"/>
      <c r="LFY137" s="271"/>
      <c r="LFZ137" s="221"/>
      <c r="LGA137" s="221"/>
      <c r="LGB137" s="221"/>
      <c r="LGC137" s="258"/>
      <c r="LGD137" s="270"/>
      <c r="LGE137" s="271"/>
      <c r="LGF137" s="271"/>
      <c r="LGG137" s="271"/>
      <c r="LGH137" s="221"/>
      <c r="LGI137" s="221"/>
      <c r="LGJ137" s="221"/>
      <c r="LGK137" s="258"/>
      <c r="LGL137" s="270"/>
      <c r="LGM137" s="271"/>
      <c r="LGN137" s="271"/>
      <c r="LGO137" s="271"/>
      <c r="LGP137" s="221"/>
      <c r="LGQ137" s="221"/>
      <c r="LGR137" s="221"/>
      <c r="LGS137" s="258"/>
      <c r="LGT137" s="270"/>
      <c r="LGU137" s="271"/>
      <c r="LGV137" s="271"/>
      <c r="LGW137" s="271"/>
      <c r="LGX137" s="221"/>
      <c r="LGY137" s="221"/>
      <c r="LGZ137" s="221"/>
      <c r="LHA137" s="258"/>
      <c r="LHB137" s="270"/>
      <c r="LHC137" s="271"/>
      <c r="LHD137" s="271"/>
      <c r="LHE137" s="271"/>
      <c r="LHF137" s="221"/>
      <c r="LHG137" s="221"/>
      <c r="LHH137" s="221"/>
      <c r="LHI137" s="258"/>
      <c r="LHJ137" s="270"/>
      <c r="LHK137" s="271"/>
      <c r="LHL137" s="271"/>
      <c r="LHM137" s="271"/>
      <c r="LHN137" s="221"/>
      <c r="LHO137" s="221"/>
      <c r="LHP137" s="221"/>
      <c r="LHQ137" s="258"/>
      <c r="LHR137" s="270"/>
      <c r="LHS137" s="271"/>
      <c r="LHT137" s="271"/>
      <c r="LHU137" s="271"/>
      <c r="LHV137" s="221"/>
      <c r="LHW137" s="221"/>
      <c r="LHX137" s="221"/>
      <c r="LHY137" s="258"/>
      <c r="LHZ137" s="270"/>
      <c r="LIA137" s="271"/>
      <c r="LIB137" s="271"/>
      <c r="LIC137" s="271"/>
      <c r="LID137" s="221"/>
      <c r="LIE137" s="221"/>
      <c r="LIF137" s="221"/>
      <c r="LIG137" s="258"/>
      <c r="LIH137" s="270"/>
      <c r="LII137" s="271"/>
      <c r="LIJ137" s="271"/>
      <c r="LIK137" s="271"/>
      <c r="LIL137" s="221"/>
      <c r="LIM137" s="221"/>
      <c r="LIN137" s="221"/>
      <c r="LIO137" s="258"/>
      <c r="LIP137" s="270"/>
      <c r="LIQ137" s="271"/>
      <c r="LIR137" s="271"/>
      <c r="LIS137" s="271"/>
      <c r="LIT137" s="221"/>
      <c r="LIU137" s="221"/>
      <c r="LIV137" s="221"/>
      <c r="LIW137" s="258"/>
      <c r="LIX137" s="270"/>
      <c r="LIY137" s="271"/>
      <c r="LIZ137" s="271"/>
      <c r="LJA137" s="271"/>
      <c r="LJB137" s="221"/>
      <c r="LJC137" s="221"/>
      <c r="LJD137" s="221"/>
      <c r="LJE137" s="258"/>
      <c r="LJF137" s="270"/>
      <c r="LJG137" s="271"/>
      <c r="LJH137" s="271"/>
      <c r="LJI137" s="271"/>
      <c r="LJJ137" s="221"/>
      <c r="LJK137" s="221"/>
      <c r="LJL137" s="221"/>
      <c r="LJM137" s="258"/>
      <c r="LJN137" s="270"/>
      <c r="LJO137" s="271"/>
      <c r="LJP137" s="271"/>
      <c r="LJQ137" s="271"/>
      <c r="LJR137" s="221"/>
      <c r="LJS137" s="221"/>
      <c r="LJT137" s="221"/>
      <c r="LJU137" s="258"/>
      <c r="LJV137" s="270"/>
      <c r="LJW137" s="271"/>
      <c r="LJX137" s="271"/>
      <c r="LJY137" s="271"/>
      <c r="LJZ137" s="221"/>
      <c r="LKA137" s="221"/>
      <c r="LKB137" s="221"/>
      <c r="LKC137" s="258"/>
      <c r="LKD137" s="270"/>
      <c r="LKE137" s="271"/>
      <c r="LKF137" s="271"/>
      <c r="LKG137" s="271"/>
      <c r="LKH137" s="221"/>
      <c r="LKI137" s="221"/>
      <c r="LKJ137" s="221"/>
      <c r="LKK137" s="258"/>
      <c r="LKL137" s="270"/>
      <c r="LKM137" s="271"/>
      <c r="LKN137" s="271"/>
      <c r="LKO137" s="271"/>
      <c r="LKP137" s="221"/>
      <c r="LKQ137" s="221"/>
      <c r="LKR137" s="221"/>
      <c r="LKS137" s="258"/>
      <c r="LKT137" s="270"/>
      <c r="LKU137" s="271"/>
      <c r="LKV137" s="271"/>
      <c r="LKW137" s="271"/>
      <c r="LKX137" s="221"/>
      <c r="LKY137" s="221"/>
      <c r="LKZ137" s="221"/>
      <c r="LLA137" s="258"/>
      <c r="LLB137" s="270"/>
      <c r="LLC137" s="271"/>
      <c r="LLD137" s="271"/>
      <c r="LLE137" s="271"/>
      <c r="LLF137" s="221"/>
      <c r="LLG137" s="221"/>
      <c r="LLH137" s="221"/>
      <c r="LLI137" s="258"/>
      <c r="LLJ137" s="270"/>
      <c r="LLK137" s="271"/>
      <c r="LLL137" s="271"/>
      <c r="LLM137" s="271"/>
      <c r="LLN137" s="221"/>
      <c r="LLO137" s="221"/>
      <c r="LLP137" s="221"/>
      <c r="LLQ137" s="258"/>
      <c r="LLR137" s="270"/>
      <c r="LLS137" s="271"/>
      <c r="LLT137" s="271"/>
      <c r="LLU137" s="271"/>
      <c r="LLV137" s="221"/>
      <c r="LLW137" s="221"/>
      <c r="LLX137" s="221"/>
      <c r="LLY137" s="258"/>
      <c r="LLZ137" s="270"/>
      <c r="LMA137" s="271"/>
      <c r="LMB137" s="271"/>
      <c r="LMC137" s="271"/>
      <c r="LMD137" s="221"/>
      <c r="LME137" s="221"/>
      <c r="LMF137" s="221"/>
      <c r="LMG137" s="258"/>
      <c r="LMH137" s="270"/>
      <c r="LMI137" s="271"/>
      <c r="LMJ137" s="271"/>
      <c r="LMK137" s="271"/>
      <c r="LML137" s="221"/>
      <c r="LMM137" s="221"/>
      <c r="LMN137" s="221"/>
      <c r="LMO137" s="258"/>
      <c r="LMP137" s="270"/>
      <c r="LMQ137" s="271"/>
      <c r="LMR137" s="271"/>
      <c r="LMS137" s="271"/>
      <c r="LMT137" s="221"/>
      <c r="LMU137" s="221"/>
      <c r="LMV137" s="221"/>
      <c r="LMW137" s="258"/>
      <c r="LMX137" s="270"/>
      <c r="LMY137" s="271"/>
      <c r="LMZ137" s="271"/>
      <c r="LNA137" s="271"/>
      <c r="LNB137" s="221"/>
      <c r="LNC137" s="221"/>
      <c r="LND137" s="221"/>
      <c r="LNE137" s="258"/>
      <c r="LNF137" s="270"/>
      <c r="LNG137" s="271"/>
      <c r="LNH137" s="271"/>
      <c r="LNI137" s="271"/>
      <c r="LNJ137" s="221"/>
      <c r="LNK137" s="221"/>
      <c r="LNL137" s="221"/>
      <c r="LNM137" s="258"/>
      <c r="LNN137" s="270"/>
      <c r="LNO137" s="271"/>
      <c r="LNP137" s="271"/>
      <c r="LNQ137" s="271"/>
      <c r="LNR137" s="221"/>
      <c r="LNS137" s="221"/>
      <c r="LNT137" s="221"/>
      <c r="LNU137" s="258"/>
      <c r="LNV137" s="270"/>
      <c r="LNW137" s="271"/>
      <c r="LNX137" s="271"/>
      <c r="LNY137" s="271"/>
      <c r="LNZ137" s="221"/>
      <c r="LOA137" s="221"/>
      <c r="LOB137" s="221"/>
      <c r="LOC137" s="258"/>
      <c r="LOD137" s="270"/>
      <c r="LOE137" s="271"/>
      <c r="LOF137" s="271"/>
      <c r="LOG137" s="271"/>
      <c r="LOH137" s="221"/>
      <c r="LOI137" s="221"/>
      <c r="LOJ137" s="221"/>
      <c r="LOK137" s="258"/>
      <c r="LOL137" s="270"/>
      <c r="LOM137" s="271"/>
      <c r="LON137" s="271"/>
      <c r="LOO137" s="271"/>
      <c r="LOP137" s="221"/>
      <c r="LOQ137" s="221"/>
      <c r="LOR137" s="221"/>
      <c r="LOS137" s="258"/>
      <c r="LOT137" s="270"/>
      <c r="LOU137" s="271"/>
      <c r="LOV137" s="271"/>
      <c r="LOW137" s="271"/>
      <c r="LOX137" s="221"/>
      <c r="LOY137" s="221"/>
      <c r="LOZ137" s="221"/>
      <c r="LPA137" s="258"/>
      <c r="LPB137" s="270"/>
      <c r="LPC137" s="271"/>
      <c r="LPD137" s="271"/>
      <c r="LPE137" s="271"/>
      <c r="LPF137" s="221"/>
      <c r="LPG137" s="221"/>
      <c r="LPH137" s="221"/>
      <c r="LPI137" s="258"/>
      <c r="LPJ137" s="270"/>
      <c r="LPK137" s="271"/>
      <c r="LPL137" s="271"/>
      <c r="LPM137" s="271"/>
      <c r="LPN137" s="221"/>
      <c r="LPO137" s="221"/>
      <c r="LPP137" s="221"/>
      <c r="LPQ137" s="258"/>
      <c r="LPR137" s="270"/>
      <c r="LPS137" s="271"/>
      <c r="LPT137" s="271"/>
      <c r="LPU137" s="271"/>
      <c r="LPV137" s="221"/>
      <c r="LPW137" s="221"/>
      <c r="LPX137" s="221"/>
      <c r="LPY137" s="258"/>
      <c r="LPZ137" s="270"/>
      <c r="LQA137" s="271"/>
      <c r="LQB137" s="271"/>
      <c r="LQC137" s="271"/>
      <c r="LQD137" s="221"/>
      <c r="LQE137" s="221"/>
      <c r="LQF137" s="221"/>
      <c r="LQG137" s="258"/>
      <c r="LQH137" s="270"/>
      <c r="LQI137" s="271"/>
      <c r="LQJ137" s="271"/>
      <c r="LQK137" s="271"/>
      <c r="LQL137" s="221"/>
      <c r="LQM137" s="221"/>
      <c r="LQN137" s="221"/>
      <c r="LQO137" s="258"/>
      <c r="LQP137" s="270"/>
      <c r="LQQ137" s="271"/>
      <c r="LQR137" s="271"/>
      <c r="LQS137" s="271"/>
      <c r="LQT137" s="221"/>
      <c r="LQU137" s="221"/>
      <c r="LQV137" s="221"/>
      <c r="LQW137" s="258"/>
      <c r="LQX137" s="270"/>
      <c r="LQY137" s="271"/>
      <c r="LQZ137" s="271"/>
      <c r="LRA137" s="271"/>
      <c r="LRB137" s="221"/>
      <c r="LRC137" s="221"/>
      <c r="LRD137" s="221"/>
      <c r="LRE137" s="258"/>
      <c r="LRF137" s="270"/>
      <c r="LRG137" s="271"/>
      <c r="LRH137" s="271"/>
      <c r="LRI137" s="271"/>
      <c r="LRJ137" s="221"/>
      <c r="LRK137" s="221"/>
      <c r="LRL137" s="221"/>
      <c r="LRM137" s="258"/>
      <c r="LRN137" s="270"/>
      <c r="LRO137" s="271"/>
      <c r="LRP137" s="271"/>
      <c r="LRQ137" s="271"/>
      <c r="LRR137" s="221"/>
      <c r="LRS137" s="221"/>
      <c r="LRT137" s="221"/>
      <c r="LRU137" s="258"/>
      <c r="LRV137" s="270"/>
      <c r="LRW137" s="271"/>
      <c r="LRX137" s="271"/>
      <c r="LRY137" s="271"/>
      <c r="LRZ137" s="221"/>
      <c r="LSA137" s="221"/>
      <c r="LSB137" s="221"/>
      <c r="LSC137" s="258"/>
      <c r="LSD137" s="270"/>
      <c r="LSE137" s="271"/>
      <c r="LSF137" s="271"/>
      <c r="LSG137" s="271"/>
      <c r="LSH137" s="221"/>
      <c r="LSI137" s="221"/>
      <c r="LSJ137" s="221"/>
      <c r="LSK137" s="258"/>
      <c r="LSL137" s="270"/>
      <c r="LSM137" s="271"/>
      <c r="LSN137" s="271"/>
      <c r="LSO137" s="271"/>
      <c r="LSP137" s="221"/>
      <c r="LSQ137" s="221"/>
      <c r="LSR137" s="221"/>
      <c r="LSS137" s="258"/>
      <c r="LST137" s="270"/>
      <c r="LSU137" s="271"/>
      <c r="LSV137" s="271"/>
      <c r="LSW137" s="271"/>
      <c r="LSX137" s="221"/>
      <c r="LSY137" s="221"/>
      <c r="LSZ137" s="221"/>
      <c r="LTA137" s="258"/>
      <c r="LTB137" s="270"/>
      <c r="LTC137" s="271"/>
      <c r="LTD137" s="271"/>
      <c r="LTE137" s="271"/>
      <c r="LTF137" s="221"/>
      <c r="LTG137" s="221"/>
      <c r="LTH137" s="221"/>
      <c r="LTI137" s="258"/>
      <c r="LTJ137" s="270"/>
      <c r="LTK137" s="271"/>
      <c r="LTL137" s="271"/>
      <c r="LTM137" s="271"/>
      <c r="LTN137" s="221"/>
      <c r="LTO137" s="221"/>
      <c r="LTP137" s="221"/>
      <c r="LTQ137" s="258"/>
      <c r="LTR137" s="270"/>
      <c r="LTS137" s="271"/>
      <c r="LTT137" s="271"/>
      <c r="LTU137" s="271"/>
      <c r="LTV137" s="221"/>
      <c r="LTW137" s="221"/>
      <c r="LTX137" s="221"/>
      <c r="LTY137" s="258"/>
      <c r="LTZ137" s="270"/>
      <c r="LUA137" s="271"/>
      <c r="LUB137" s="271"/>
      <c r="LUC137" s="271"/>
      <c r="LUD137" s="221"/>
      <c r="LUE137" s="221"/>
      <c r="LUF137" s="221"/>
      <c r="LUG137" s="258"/>
      <c r="LUH137" s="270"/>
      <c r="LUI137" s="271"/>
      <c r="LUJ137" s="271"/>
      <c r="LUK137" s="271"/>
      <c r="LUL137" s="221"/>
      <c r="LUM137" s="221"/>
      <c r="LUN137" s="221"/>
      <c r="LUO137" s="258"/>
      <c r="LUP137" s="270"/>
      <c r="LUQ137" s="271"/>
      <c r="LUR137" s="271"/>
      <c r="LUS137" s="271"/>
      <c r="LUT137" s="221"/>
      <c r="LUU137" s="221"/>
      <c r="LUV137" s="221"/>
      <c r="LUW137" s="258"/>
      <c r="LUX137" s="270"/>
      <c r="LUY137" s="271"/>
      <c r="LUZ137" s="271"/>
      <c r="LVA137" s="271"/>
      <c r="LVB137" s="221"/>
      <c r="LVC137" s="221"/>
      <c r="LVD137" s="221"/>
      <c r="LVE137" s="258"/>
      <c r="LVF137" s="270"/>
      <c r="LVG137" s="271"/>
      <c r="LVH137" s="271"/>
      <c r="LVI137" s="271"/>
      <c r="LVJ137" s="221"/>
      <c r="LVK137" s="221"/>
      <c r="LVL137" s="221"/>
      <c r="LVM137" s="258"/>
      <c r="LVN137" s="270"/>
      <c r="LVO137" s="271"/>
      <c r="LVP137" s="271"/>
      <c r="LVQ137" s="271"/>
      <c r="LVR137" s="221"/>
      <c r="LVS137" s="221"/>
      <c r="LVT137" s="221"/>
      <c r="LVU137" s="258"/>
      <c r="LVV137" s="270"/>
      <c r="LVW137" s="271"/>
      <c r="LVX137" s="271"/>
      <c r="LVY137" s="271"/>
      <c r="LVZ137" s="221"/>
      <c r="LWA137" s="221"/>
      <c r="LWB137" s="221"/>
      <c r="LWC137" s="258"/>
      <c r="LWD137" s="270"/>
      <c r="LWE137" s="271"/>
      <c r="LWF137" s="271"/>
      <c r="LWG137" s="271"/>
      <c r="LWH137" s="221"/>
      <c r="LWI137" s="221"/>
      <c r="LWJ137" s="221"/>
      <c r="LWK137" s="258"/>
      <c r="LWL137" s="270"/>
      <c r="LWM137" s="271"/>
      <c r="LWN137" s="271"/>
      <c r="LWO137" s="271"/>
      <c r="LWP137" s="221"/>
      <c r="LWQ137" s="221"/>
      <c r="LWR137" s="221"/>
      <c r="LWS137" s="258"/>
      <c r="LWT137" s="270"/>
      <c r="LWU137" s="271"/>
      <c r="LWV137" s="271"/>
      <c r="LWW137" s="271"/>
      <c r="LWX137" s="221"/>
      <c r="LWY137" s="221"/>
      <c r="LWZ137" s="221"/>
      <c r="LXA137" s="258"/>
      <c r="LXB137" s="270"/>
      <c r="LXC137" s="271"/>
      <c r="LXD137" s="271"/>
      <c r="LXE137" s="271"/>
      <c r="LXF137" s="221"/>
      <c r="LXG137" s="221"/>
      <c r="LXH137" s="221"/>
      <c r="LXI137" s="258"/>
      <c r="LXJ137" s="270"/>
      <c r="LXK137" s="271"/>
      <c r="LXL137" s="271"/>
      <c r="LXM137" s="271"/>
      <c r="LXN137" s="221"/>
      <c r="LXO137" s="221"/>
      <c r="LXP137" s="221"/>
      <c r="LXQ137" s="258"/>
      <c r="LXR137" s="270"/>
      <c r="LXS137" s="271"/>
      <c r="LXT137" s="271"/>
      <c r="LXU137" s="271"/>
      <c r="LXV137" s="221"/>
      <c r="LXW137" s="221"/>
      <c r="LXX137" s="221"/>
      <c r="LXY137" s="258"/>
      <c r="LXZ137" s="270"/>
      <c r="LYA137" s="271"/>
      <c r="LYB137" s="271"/>
      <c r="LYC137" s="271"/>
      <c r="LYD137" s="221"/>
      <c r="LYE137" s="221"/>
      <c r="LYF137" s="221"/>
      <c r="LYG137" s="258"/>
      <c r="LYH137" s="270"/>
      <c r="LYI137" s="271"/>
      <c r="LYJ137" s="271"/>
      <c r="LYK137" s="271"/>
      <c r="LYL137" s="221"/>
      <c r="LYM137" s="221"/>
      <c r="LYN137" s="221"/>
      <c r="LYO137" s="258"/>
      <c r="LYP137" s="270"/>
      <c r="LYQ137" s="271"/>
      <c r="LYR137" s="271"/>
      <c r="LYS137" s="271"/>
      <c r="LYT137" s="221"/>
      <c r="LYU137" s="221"/>
      <c r="LYV137" s="221"/>
      <c r="LYW137" s="258"/>
      <c r="LYX137" s="270"/>
      <c r="LYY137" s="271"/>
      <c r="LYZ137" s="271"/>
      <c r="LZA137" s="271"/>
      <c r="LZB137" s="221"/>
      <c r="LZC137" s="221"/>
      <c r="LZD137" s="221"/>
      <c r="LZE137" s="258"/>
      <c r="LZF137" s="270"/>
      <c r="LZG137" s="271"/>
      <c r="LZH137" s="271"/>
      <c r="LZI137" s="271"/>
      <c r="LZJ137" s="221"/>
      <c r="LZK137" s="221"/>
      <c r="LZL137" s="221"/>
      <c r="LZM137" s="258"/>
      <c r="LZN137" s="270"/>
      <c r="LZO137" s="271"/>
      <c r="LZP137" s="271"/>
      <c r="LZQ137" s="271"/>
      <c r="LZR137" s="221"/>
      <c r="LZS137" s="221"/>
      <c r="LZT137" s="221"/>
      <c r="LZU137" s="258"/>
      <c r="LZV137" s="270"/>
      <c r="LZW137" s="271"/>
      <c r="LZX137" s="271"/>
      <c r="LZY137" s="271"/>
      <c r="LZZ137" s="221"/>
      <c r="MAA137" s="221"/>
      <c r="MAB137" s="221"/>
      <c r="MAC137" s="258"/>
      <c r="MAD137" s="270"/>
      <c r="MAE137" s="271"/>
      <c r="MAF137" s="271"/>
      <c r="MAG137" s="271"/>
      <c r="MAH137" s="221"/>
      <c r="MAI137" s="221"/>
      <c r="MAJ137" s="221"/>
      <c r="MAK137" s="258"/>
      <c r="MAL137" s="270"/>
      <c r="MAM137" s="271"/>
      <c r="MAN137" s="271"/>
      <c r="MAO137" s="271"/>
      <c r="MAP137" s="221"/>
      <c r="MAQ137" s="221"/>
      <c r="MAR137" s="221"/>
      <c r="MAS137" s="258"/>
      <c r="MAT137" s="270"/>
      <c r="MAU137" s="271"/>
      <c r="MAV137" s="271"/>
      <c r="MAW137" s="271"/>
      <c r="MAX137" s="221"/>
      <c r="MAY137" s="221"/>
      <c r="MAZ137" s="221"/>
      <c r="MBA137" s="258"/>
      <c r="MBB137" s="270"/>
      <c r="MBC137" s="271"/>
      <c r="MBD137" s="271"/>
      <c r="MBE137" s="271"/>
      <c r="MBF137" s="221"/>
      <c r="MBG137" s="221"/>
      <c r="MBH137" s="221"/>
      <c r="MBI137" s="258"/>
      <c r="MBJ137" s="270"/>
      <c r="MBK137" s="271"/>
      <c r="MBL137" s="271"/>
      <c r="MBM137" s="271"/>
      <c r="MBN137" s="221"/>
      <c r="MBO137" s="221"/>
      <c r="MBP137" s="221"/>
      <c r="MBQ137" s="258"/>
      <c r="MBR137" s="270"/>
      <c r="MBS137" s="271"/>
      <c r="MBT137" s="271"/>
      <c r="MBU137" s="271"/>
      <c r="MBV137" s="221"/>
      <c r="MBW137" s="221"/>
      <c r="MBX137" s="221"/>
      <c r="MBY137" s="258"/>
      <c r="MBZ137" s="270"/>
      <c r="MCA137" s="271"/>
      <c r="MCB137" s="271"/>
      <c r="MCC137" s="271"/>
      <c r="MCD137" s="221"/>
      <c r="MCE137" s="221"/>
      <c r="MCF137" s="221"/>
      <c r="MCG137" s="258"/>
      <c r="MCH137" s="270"/>
      <c r="MCI137" s="271"/>
      <c r="MCJ137" s="271"/>
      <c r="MCK137" s="271"/>
      <c r="MCL137" s="221"/>
      <c r="MCM137" s="221"/>
      <c r="MCN137" s="221"/>
      <c r="MCO137" s="258"/>
      <c r="MCP137" s="270"/>
      <c r="MCQ137" s="271"/>
      <c r="MCR137" s="271"/>
      <c r="MCS137" s="271"/>
      <c r="MCT137" s="221"/>
      <c r="MCU137" s="221"/>
      <c r="MCV137" s="221"/>
      <c r="MCW137" s="258"/>
      <c r="MCX137" s="270"/>
      <c r="MCY137" s="271"/>
      <c r="MCZ137" s="271"/>
      <c r="MDA137" s="271"/>
      <c r="MDB137" s="221"/>
      <c r="MDC137" s="221"/>
      <c r="MDD137" s="221"/>
      <c r="MDE137" s="258"/>
      <c r="MDF137" s="270"/>
      <c r="MDG137" s="271"/>
      <c r="MDH137" s="271"/>
      <c r="MDI137" s="271"/>
      <c r="MDJ137" s="221"/>
      <c r="MDK137" s="221"/>
      <c r="MDL137" s="221"/>
      <c r="MDM137" s="258"/>
      <c r="MDN137" s="270"/>
      <c r="MDO137" s="271"/>
      <c r="MDP137" s="271"/>
      <c r="MDQ137" s="271"/>
      <c r="MDR137" s="221"/>
      <c r="MDS137" s="221"/>
      <c r="MDT137" s="221"/>
      <c r="MDU137" s="258"/>
      <c r="MDV137" s="270"/>
      <c r="MDW137" s="271"/>
      <c r="MDX137" s="271"/>
      <c r="MDY137" s="271"/>
      <c r="MDZ137" s="221"/>
      <c r="MEA137" s="221"/>
      <c r="MEB137" s="221"/>
      <c r="MEC137" s="258"/>
      <c r="MED137" s="270"/>
      <c r="MEE137" s="271"/>
      <c r="MEF137" s="271"/>
      <c r="MEG137" s="271"/>
      <c r="MEH137" s="221"/>
      <c r="MEI137" s="221"/>
      <c r="MEJ137" s="221"/>
      <c r="MEK137" s="258"/>
      <c r="MEL137" s="270"/>
      <c r="MEM137" s="271"/>
      <c r="MEN137" s="271"/>
      <c r="MEO137" s="271"/>
      <c r="MEP137" s="221"/>
      <c r="MEQ137" s="221"/>
      <c r="MER137" s="221"/>
      <c r="MES137" s="258"/>
      <c r="MET137" s="270"/>
      <c r="MEU137" s="271"/>
      <c r="MEV137" s="271"/>
      <c r="MEW137" s="271"/>
      <c r="MEX137" s="221"/>
      <c r="MEY137" s="221"/>
      <c r="MEZ137" s="221"/>
      <c r="MFA137" s="258"/>
      <c r="MFB137" s="270"/>
      <c r="MFC137" s="271"/>
      <c r="MFD137" s="271"/>
      <c r="MFE137" s="271"/>
      <c r="MFF137" s="221"/>
      <c r="MFG137" s="221"/>
      <c r="MFH137" s="221"/>
      <c r="MFI137" s="258"/>
      <c r="MFJ137" s="270"/>
      <c r="MFK137" s="271"/>
      <c r="MFL137" s="271"/>
      <c r="MFM137" s="271"/>
      <c r="MFN137" s="221"/>
      <c r="MFO137" s="221"/>
      <c r="MFP137" s="221"/>
      <c r="MFQ137" s="258"/>
      <c r="MFR137" s="270"/>
      <c r="MFS137" s="271"/>
      <c r="MFT137" s="271"/>
      <c r="MFU137" s="271"/>
      <c r="MFV137" s="221"/>
      <c r="MFW137" s="221"/>
      <c r="MFX137" s="221"/>
      <c r="MFY137" s="258"/>
      <c r="MFZ137" s="270"/>
      <c r="MGA137" s="271"/>
      <c r="MGB137" s="271"/>
      <c r="MGC137" s="271"/>
      <c r="MGD137" s="221"/>
      <c r="MGE137" s="221"/>
      <c r="MGF137" s="221"/>
      <c r="MGG137" s="258"/>
      <c r="MGH137" s="270"/>
      <c r="MGI137" s="271"/>
      <c r="MGJ137" s="271"/>
      <c r="MGK137" s="271"/>
      <c r="MGL137" s="221"/>
      <c r="MGM137" s="221"/>
      <c r="MGN137" s="221"/>
      <c r="MGO137" s="258"/>
      <c r="MGP137" s="270"/>
      <c r="MGQ137" s="271"/>
      <c r="MGR137" s="271"/>
      <c r="MGS137" s="271"/>
      <c r="MGT137" s="221"/>
      <c r="MGU137" s="221"/>
      <c r="MGV137" s="221"/>
      <c r="MGW137" s="258"/>
      <c r="MGX137" s="270"/>
      <c r="MGY137" s="271"/>
      <c r="MGZ137" s="271"/>
      <c r="MHA137" s="271"/>
      <c r="MHB137" s="221"/>
      <c r="MHC137" s="221"/>
      <c r="MHD137" s="221"/>
      <c r="MHE137" s="258"/>
      <c r="MHF137" s="270"/>
      <c r="MHG137" s="271"/>
      <c r="MHH137" s="271"/>
      <c r="MHI137" s="271"/>
      <c r="MHJ137" s="221"/>
      <c r="MHK137" s="221"/>
      <c r="MHL137" s="221"/>
      <c r="MHM137" s="258"/>
      <c r="MHN137" s="270"/>
      <c r="MHO137" s="271"/>
      <c r="MHP137" s="271"/>
      <c r="MHQ137" s="271"/>
      <c r="MHR137" s="221"/>
      <c r="MHS137" s="221"/>
      <c r="MHT137" s="221"/>
      <c r="MHU137" s="258"/>
      <c r="MHV137" s="270"/>
      <c r="MHW137" s="271"/>
      <c r="MHX137" s="271"/>
      <c r="MHY137" s="271"/>
      <c r="MHZ137" s="221"/>
      <c r="MIA137" s="221"/>
      <c r="MIB137" s="221"/>
      <c r="MIC137" s="258"/>
      <c r="MID137" s="270"/>
      <c r="MIE137" s="271"/>
      <c r="MIF137" s="271"/>
      <c r="MIG137" s="271"/>
      <c r="MIH137" s="221"/>
      <c r="MII137" s="221"/>
      <c r="MIJ137" s="221"/>
      <c r="MIK137" s="258"/>
      <c r="MIL137" s="270"/>
      <c r="MIM137" s="271"/>
      <c r="MIN137" s="271"/>
      <c r="MIO137" s="271"/>
      <c r="MIP137" s="221"/>
      <c r="MIQ137" s="221"/>
      <c r="MIR137" s="221"/>
      <c r="MIS137" s="258"/>
      <c r="MIT137" s="270"/>
      <c r="MIU137" s="271"/>
      <c r="MIV137" s="271"/>
      <c r="MIW137" s="271"/>
      <c r="MIX137" s="221"/>
      <c r="MIY137" s="221"/>
      <c r="MIZ137" s="221"/>
      <c r="MJA137" s="258"/>
      <c r="MJB137" s="270"/>
      <c r="MJC137" s="271"/>
      <c r="MJD137" s="271"/>
      <c r="MJE137" s="271"/>
      <c r="MJF137" s="221"/>
      <c r="MJG137" s="221"/>
      <c r="MJH137" s="221"/>
      <c r="MJI137" s="258"/>
      <c r="MJJ137" s="270"/>
      <c r="MJK137" s="271"/>
      <c r="MJL137" s="271"/>
      <c r="MJM137" s="271"/>
      <c r="MJN137" s="221"/>
      <c r="MJO137" s="221"/>
      <c r="MJP137" s="221"/>
      <c r="MJQ137" s="258"/>
      <c r="MJR137" s="270"/>
      <c r="MJS137" s="271"/>
      <c r="MJT137" s="271"/>
      <c r="MJU137" s="271"/>
      <c r="MJV137" s="221"/>
      <c r="MJW137" s="221"/>
      <c r="MJX137" s="221"/>
      <c r="MJY137" s="258"/>
      <c r="MJZ137" s="270"/>
      <c r="MKA137" s="271"/>
      <c r="MKB137" s="271"/>
      <c r="MKC137" s="271"/>
      <c r="MKD137" s="221"/>
      <c r="MKE137" s="221"/>
      <c r="MKF137" s="221"/>
      <c r="MKG137" s="258"/>
      <c r="MKH137" s="270"/>
      <c r="MKI137" s="271"/>
      <c r="MKJ137" s="271"/>
      <c r="MKK137" s="271"/>
      <c r="MKL137" s="221"/>
      <c r="MKM137" s="221"/>
      <c r="MKN137" s="221"/>
      <c r="MKO137" s="258"/>
      <c r="MKP137" s="270"/>
      <c r="MKQ137" s="271"/>
      <c r="MKR137" s="271"/>
      <c r="MKS137" s="271"/>
      <c r="MKT137" s="221"/>
      <c r="MKU137" s="221"/>
      <c r="MKV137" s="221"/>
      <c r="MKW137" s="258"/>
      <c r="MKX137" s="270"/>
      <c r="MKY137" s="271"/>
      <c r="MKZ137" s="271"/>
      <c r="MLA137" s="271"/>
      <c r="MLB137" s="221"/>
      <c r="MLC137" s="221"/>
      <c r="MLD137" s="221"/>
      <c r="MLE137" s="258"/>
      <c r="MLF137" s="270"/>
      <c r="MLG137" s="271"/>
      <c r="MLH137" s="271"/>
      <c r="MLI137" s="271"/>
      <c r="MLJ137" s="221"/>
      <c r="MLK137" s="221"/>
      <c r="MLL137" s="221"/>
      <c r="MLM137" s="258"/>
      <c r="MLN137" s="270"/>
      <c r="MLO137" s="271"/>
      <c r="MLP137" s="271"/>
      <c r="MLQ137" s="271"/>
      <c r="MLR137" s="221"/>
      <c r="MLS137" s="221"/>
      <c r="MLT137" s="221"/>
      <c r="MLU137" s="258"/>
      <c r="MLV137" s="270"/>
      <c r="MLW137" s="271"/>
      <c r="MLX137" s="271"/>
      <c r="MLY137" s="271"/>
      <c r="MLZ137" s="221"/>
      <c r="MMA137" s="221"/>
      <c r="MMB137" s="221"/>
      <c r="MMC137" s="258"/>
      <c r="MMD137" s="270"/>
      <c r="MME137" s="271"/>
      <c r="MMF137" s="271"/>
      <c r="MMG137" s="271"/>
      <c r="MMH137" s="221"/>
      <c r="MMI137" s="221"/>
      <c r="MMJ137" s="221"/>
      <c r="MMK137" s="258"/>
      <c r="MML137" s="270"/>
      <c r="MMM137" s="271"/>
      <c r="MMN137" s="271"/>
      <c r="MMO137" s="271"/>
      <c r="MMP137" s="221"/>
      <c r="MMQ137" s="221"/>
      <c r="MMR137" s="221"/>
      <c r="MMS137" s="258"/>
      <c r="MMT137" s="270"/>
      <c r="MMU137" s="271"/>
      <c r="MMV137" s="271"/>
      <c r="MMW137" s="271"/>
      <c r="MMX137" s="221"/>
      <c r="MMY137" s="221"/>
      <c r="MMZ137" s="221"/>
      <c r="MNA137" s="258"/>
      <c r="MNB137" s="270"/>
      <c r="MNC137" s="271"/>
      <c r="MND137" s="271"/>
      <c r="MNE137" s="271"/>
      <c r="MNF137" s="221"/>
      <c r="MNG137" s="221"/>
      <c r="MNH137" s="221"/>
      <c r="MNI137" s="258"/>
      <c r="MNJ137" s="270"/>
      <c r="MNK137" s="271"/>
      <c r="MNL137" s="271"/>
      <c r="MNM137" s="271"/>
      <c r="MNN137" s="221"/>
      <c r="MNO137" s="221"/>
      <c r="MNP137" s="221"/>
      <c r="MNQ137" s="258"/>
      <c r="MNR137" s="270"/>
      <c r="MNS137" s="271"/>
      <c r="MNT137" s="271"/>
      <c r="MNU137" s="271"/>
      <c r="MNV137" s="221"/>
      <c r="MNW137" s="221"/>
      <c r="MNX137" s="221"/>
      <c r="MNY137" s="258"/>
      <c r="MNZ137" s="270"/>
      <c r="MOA137" s="271"/>
      <c r="MOB137" s="271"/>
      <c r="MOC137" s="271"/>
      <c r="MOD137" s="221"/>
      <c r="MOE137" s="221"/>
      <c r="MOF137" s="221"/>
      <c r="MOG137" s="258"/>
      <c r="MOH137" s="270"/>
      <c r="MOI137" s="271"/>
      <c r="MOJ137" s="271"/>
      <c r="MOK137" s="271"/>
      <c r="MOL137" s="221"/>
      <c r="MOM137" s="221"/>
      <c r="MON137" s="221"/>
      <c r="MOO137" s="258"/>
      <c r="MOP137" s="270"/>
      <c r="MOQ137" s="271"/>
      <c r="MOR137" s="271"/>
      <c r="MOS137" s="271"/>
      <c r="MOT137" s="221"/>
      <c r="MOU137" s="221"/>
      <c r="MOV137" s="221"/>
      <c r="MOW137" s="258"/>
      <c r="MOX137" s="270"/>
      <c r="MOY137" s="271"/>
      <c r="MOZ137" s="271"/>
      <c r="MPA137" s="271"/>
      <c r="MPB137" s="221"/>
      <c r="MPC137" s="221"/>
      <c r="MPD137" s="221"/>
      <c r="MPE137" s="258"/>
      <c r="MPF137" s="270"/>
      <c r="MPG137" s="271"/>
      <c r="MPH137" s="271"/>
      <c r="MPI137" s="271"/>
      <c r="MPJ137" s="221"/>
      <c r="MPK137" s="221"/>
      <c r="MPL137" s="221"/>
      <c r="MPM137" s="258"/>
      <c r="MPN137" s="270"/>
      <c r="MPO137" s="271"/>
      <c r="MPP137" s="271"/>
      <c r="MPQ137" s="271"/>
      <c r="MPR137" s="221"/>
      <c r="MPS137" s="221"/>
      <c r="MPT137" s="221"/>
      <c r="MPU137" s="258"/>
      <c r="MPV137" s="270"/>
      <c r="MPW137" s="271"/>
      <c r="MPX137" s="271"/>
      <c r="MPY137" s="271"/>
      <c r="MPZ137" s="221"/>
      <c r="MQA137" s="221"/>
      <c r="MQB137" s="221"/>
      <c r="MQC137" s="258"/>
      <c r="MQD137" s="270"/>
      <c r="MQE137" s="271"/>
      <c r="MQF137" s="271"/>
      <c r="MQG137" s="271"/>
      <c r="MQH137" s="221"/>
      <c r="MQI137" s="221"/>
      <c r="MQJ137" s="221"/>
      <c r="MQK137" s="258"/>
      <c r="MQL137" s="270"/>
      <c r="MQM137" s="271"/>
      <c r="MQN137" s="271"/>
      <c r="MQO137" s="271"/>
      <c r="MQP137" s="221"/>
      <c r="MQQ137" s="221"/>
      <c r="MQR137" s="221"/>
      <c r="MQS137" s="258"/>
      <c r="MQT137" s="270"/>
      <c r="MQU137" s="271"/>
      <c r="MQV137" s="271"/>
      <c r="MQW137" s="271"/>
      <c r="MQX137" s="221"/>
      <c r="MQY137" s="221"/>
      <c r="MQZ137" s="221"/>
      <c r="MRA137" s="258"/>
      <c r="MRB137" s="270"/>
      <c r="MRC137" s="271"/>
      <c r="MRD137" s="271"/>
      <c r="MRE137" s="271"/>
      <c r="MRF137" s="221"/>
      <c r="MRG137" s="221"/>
      <c r="MRH137" s="221"/>
      <c r="MRI137" s="258"/>
      <c r="MRJ137" s="270"/>
      <c r="MRK137" s="271"/>
      <c r="MRL137" s="271"/>
      <c r="MRM137" s="271"/>
      <c r="MRN137" s="221"/>
      <c r="MRO137" s="221"/>
      <c r="MRP137" s="221"/>
      <c r="MRQ137" s="258"/>
      <c r="MRR137" s="270"/>
      <c r="MRS137" s="271"/>
      <c r="MRT137" s="271"/>
      <c r="MRU137" s="271"/>
      <c r="MRV137" s="221"/>
      <c r="MRW137" s="221"/>
      <c r="MRX137" s="221"/>
      <c r="MRY137" s="258"/>
      <c r="MRZ137" s="270"/>
      <c r="MSA137" s="271"/>
      <c r="MSB137" s="271"/>
      <c r="MSC137" s="271"/>
      <c r="MSD137" s="221"/>
      <c r="MSE137" s="221"/>
      <c r="MSF137" s="221"/>
      <c r="MSG137" s="258"/>
      <c r="MSH137" s="270"/>
      <c r="MSI137" s="271"/>
      <c r="MSJ137" s="271"/>
      <c r="MSK137" s="271"/>
      <c r="MSL137" s="221"/>
      <c r="MSM137" s="221"/>
      <c r="MSN137" s="221"/>
      <c r="MSO137" s="258"/>
      <c r="MSP137" s="270"/>
      <c r="MSQ137" s="271"/>
      <c r="MSR137" s="271"/>
      <c r="MSS137" s="271"/>
      <c r="MST137" s="221"/>
      <c r="MSU137" s="221"/>
      <c r="MSV137" s="221"/>
      <c r="MSW137" s="258"/>
      <c r="MSX137" s="270"/>
      <c r="MSY137" s="271"/>
      <c r="MSZ137" s="271"/>
      <c r="MTA137" s="271"/>
      <c r="MTB137" s="221"/>
      <c r="MTC137" s="221"/>
      <c r="MTD137" s="221"/>
      <c r="MTE137" s="258"/>
      <c r="MTF137" s="270"/>
      <c r="MTG137" s="271"/>
      <c r="MTH137" s="271"/>
      <c r="MTI137" s="271"/>
      <c r="MTJ137" s="221"/>
      <c r="MTK137" s="221"/>
      <c r="MTL137" s="221"/>
      <c r="MTM137" s="258"/>
      <c r="MTN137" s="270"/>
      <c r="MTO137" s="271"/>
      <c r="MTP137" s="271"/>
      <c r="MTQ137" s="271"/>
      <c r="MTR137" s="221"/>
      <c r="MTS137" s="221"/>
      <c r="MTT137" s="221"/>
      <c r="MTU137" s="258"/>
      <c r="MTV137" s="270"/>
      <c r="MTW137" s="271"/>
      <c r="MTX137" s="271"/>
      <c r="MTY137" s="271"/>
      <c r="MTZ137" s="221"/>
      <c r="MUA137" s="221"/>
      <c r="MUB137" s="221"/>
      <c r="MUC137" s="258"/>
      <c r="MUD137" s="270"/>
      <c r="MUE137" s="271"/>
      <c r="MUF137" s="271"/>
      <c r="MUG137" s="271"/>
      <c r="MUH137" s="221"/>
      <c r="MUI137" s="221"/>
      <c r="MUJ137" s="221"/>
      <c r="MUK137" s="258"/>
      <c r="MUL137" s="270"/>
      <c r="MUM137" s="271"/>
      <c r="MUN137" s="271"/>
      <c r="MUO137" s="271"/>
      <c r="MUP137" s="221"/>
      <c r="MUQ137" s="221"/>
      <c r="MUR137" s="221"/>
      <c r="MUS137" s="258"/>
      <c r="MUT137" s="270"/>
      <c r="MUU137" s="271"/>
      <c r="MUV137" s="271"/>
      <c r="MUW137" s="271"/>
      <c r="MUX137" s="221"/>
      <c r="MUY137" s="221"/>
      <c r="MUZ137" s="221"/>
      <c r="MVA137" s="258"/>
      <c r="MVB137" s="270"/>
      <c r="MVC137" s="271"/>
      <c r="MVD137" s="271"/>
      <c r="MVE137" s="271"/>
      <c r="MVF137" s="221"/>
      <c r="MVG137" s="221"/>
      <c r="MVH137" s="221"/>
      <c r="MVI137" s="258"/>
      <c r="MVJ137" s="270"/>
      <c r="MVK137" s="271"/>
      <c r="MVL137" s="271"/>
      <c r="MVM137" s="271"/>
      <c r="MVN137" s="221"/>
      <c r="MVO137" s="221"/>
      <c r="MVP137" s="221"/>
      <c r="MVQ137" s="258"/>
      <c r="MVR137" s="270"/>
      <c r="MVS137" s="271"/>
      <c r="MVT137" s="271"/>
      <c r="MVU137" s="271"/>
      <c r="MVV137" s="221"/>
      <c r="MVW137" s="221"/>
      <c r="MVX137" s="221"/>
      <c r="MVY137" s="258"/>
      <c r="MVZ137" s="270"/>
      <c r="MWA137" s="271"/>
      <c r="MWB137" s="271"/>
      <c r="MWC137" s="271"/>
      <c r="MWD137" s="221"/>
      <c r="MWE137" s="221"/>
      <c r="MWF137" s="221"/>
      <c r="MWG137" s="258"/>
      <c r="MWH137" s="270"/>
      <c r="MWI137" s="271"/>
      <c r="MWJ137" s="271"/>
      <c r="MWK137" s="271"/>
      <c r="MWL137" s="221"/>
      <c r="MWM137" s="221"/>
      <c r="MWN137" s="221"/>
      <c r="MWO137" s="258"/>
      <c r="MWP137" s="270"/>
      <c r="MWQ137" s="271"/>
      <c r="MWR137" s="271"/>
      <c r="MWS137" s="271"/>
      <c r="MWT137" s="221"/>
      <c r="MWU137" s="221"/>
      <c r="MWV137" s="221"/>
      <c r="MWW137" s="258"/>
      <c r="MWX137" s="270"/>
      <c r="MWY137" s="271"/>
      <c r="MWZ137" s="271"/>
      <c r="MXA137" s="271"/>
      <c r="MXB137" s="221"/>
      <c r="MXC137" s="221"/>
      <c r="MXD137" s="221"/>
      <c r="MXE137" s="258"/>
      <c r="MXF137" s="270"/>
      <c r="MXG137" s="271"/>
      <c r="MXH137" s="271"/>
      <c r="MXI137" s="271"/>
      <c r="MXJ137" s="221"/>
      <c r="MXK137" s="221"/>
      <c r="MXL137" s="221"/>
      <c r="MXM137" s="258"/>
      <c r="MXN137" s="270"/>
      <c r="MXO137" s="271"/>
      <c r="MXP137" s="271"/>
      <c r="MXQ137" s="271"/>
      <c r="MXR137" s="221"/>
      <c r="MXS137" s="221"/>
      <c r="MXT137" s="221"/>
      <c r="MXU137" s="258"/>
      <c r="MXV137" s="270"/>
      <c r="MXW137" s="271"/>
      <c r="MXX137" s="271"/>
      <c r="MXY137" s="271"/>
      <c r="MXZ137" s="221"/>
      <c r="MYA137" s="221"/>
      <c r="MYB137" s="221"/>
      <c r="MYC137" s="258"/>
      <c r="MYD137" s="270"/>
      <c r="MYE137" s="271"/>
      <c r="MYF137" s="271"/>
      <c r="MYG137" s="271"/>
      <c r="MYH137" s="221"/>
      <c r="MYI137" s="221"/>
      <c r="MYJ137" s="221"/>
      <c r="MYK137" s="258"/>
      <c r="MYL137" s="270"/>
      <c r="MYM137" s="271"/>
      <c r="MYN137" s="271"/>
      <c r="MYO137" s="271"/>
      <c r="MYP137" s="221"/>
      <c r="MYQ137" s="221"/>
      <c r="MYR137" s="221"/>
      <c r="MYS137" s="258"/>
      <c r="MYT137" s="270"/>
      <c r="MYU137" s="271"/>
      <c r="MYV137" s="271"/>
      <c r="MYW137" s="271"/>
      <c r="MYX137" s="221"/>
      <c r="MYY137" s="221"/>
      <c r="MYZ137" s="221"/>
      <c r="MZA137" s="258"/>
      <c r="MZB137" s="270"/>
      <c r="MZC137" s="271"/>
      <c r="MZD137" s="271"/>
      <c r="MZE137" s="271"/>
      <c r="MZF137" s="221"/>
      <c r="MZG137" s="221"/>
      <c r="MZH137" s="221"/>
      <c r="MZI137" s="258"/>
      <c r="MZJ137" s="270"/>
      <c r="MZK137" s="271"/>
      <c r="MZL137" s="271"/>
      <c r="MZM137" s="271"/>
      <c r="MZN137" s="221"/>
      <c r="MZO137" s="221"/>
      <c r="MZP137" s="221"/>
      <c r="MZQ137" s="258"/>
      <c r="MZR137" s="270"/>
      <c r="MZS137" s="271"/>
      <c r="MZT137" s="271"/>
      <c r="MZU137" s="271"/>
      <c r="MZV137" s="221"/>
      <c r="MZW137" s="221"/>
      <c r="MZX137" s="221"/>
      <c r="MZY137" s="258"/>
      <c r="MZZ137" s="270"/>
      <c r="NAA137" s="271"/>
      <c r="NAB137" s="271"/>
      <c r="NAC137" s="271"/>
      <c r="NAD137" s="221"/>
      <c r="NAE137" s="221"/>
      <c r="NAF137" s="221"/>
      <c r="NAG137" s="258"/>
      <c r="NAH137" s="270"/>
      <c r="NAI137" s="271"/>
      <c r="NAJ137" s="271"/>
      <c r="NAK137" s="271"/>
      <c r="NAL137" s="221"/>
      <c r="NAM137" s="221"/>
      <c r="NAN137" s="221"/>
      <c r="NAO137" s="258"/>
      <c r="NAP137" s="270"/>
      <c r="NAQ137" s="271"/>
      <c r="NAR137" s="271"/>
      <c r="NAS137" s="271"/>
      <c r="NAT137" s="221"/>
      <c r="NAU137" s="221"/>
      <c r="NAV137" s="221"/>
      <c r="NAW137" s="258"/>
      <c r="NAX137" s="270"/>
      <c r="NAY137" s="271"/>
      <c r="NAZ137" s="271"/>
      <c r="NBA137" s="271"/>
      <c r="NBB137" s="221"/>
      <c r="NBC137" s="221"/>
      <c r="NBD137" s="221"/>
      <c r="NBE137" s="258"/>
      <c r="NBF137" s="270"/>
      <c r="NBG137" s="271"/>
      <c r="NBH137" s="271"/>
      <c r="NBI137" s="271"/>
      <c r="NBJ137" s="221"/>
      <c r="NBK137" s="221"/>
      <c r="NBL137" s="221"/>
      <c r="NBM137" s="258"/>
      <c r="NBN137" s="270"/>
      <c r="NBO137" s="271"/>
      <c r="NBP137" s="271"/>
      <c r="NBQ137" s="271"/>
      <c r="NBR137" s="221"/>
      <c r="NBS137" s="221"/>
      <c r="NBT137" s="221"/>
      <c r="NBU137" s="258"/>
      <c r="NBV137" s="270"/>
      <c r="NBW137" s="271"/>
      <c r="NBX137" s="271"/>
      <c r="NBY137" s="271"/>
      <c r="NBZ137" s="221"/>
      <c r="NCA137" s="221"/>
      <c r="NCB137" s="221"/>
      <c r="NCC137" s="258"/>
      <c r="NCD137" s="270"/>
      <c r="NCE137" s="271"/>
      <c r="NCF137" s="271"/>
      <c r="NCG137" s="271"/>
      <c r="NCH137" s="221"/>
      <c r="NCI137" s="221"/>
      <c r="NCJ137" s="221"/>
      <c r="NCK137" s="258"/>
      <c r="NCL137" s="270"/>
      <c r="NCM137" s="271"/>
      <c r="NCN137" s="271"/>
      <c r="NCO137" s="271"/>
      <c r="NCP137" s="221"/>
      <c r="NCQ137" s="221"/>
      <c r="NCR137" s="221"/>
      <c r="NCS137" s="258"/>
      <c r="NCT137" s="270"/>
      <c r="NCU137" s="271"/>
      <c r="NCV137" s="271"/>
      <c r="NCW137" s="271"/>
      <c r="NCX137" s="221"/>
      <c r="NCY137" s="221"/>
      <c r="NCZ137" s="221"/>
      <c r="NDA137" s="258"/>
      <c r="NDB137" s="270"/>
      <c r="NDC137" s="271"/>
      <c r="NDD137" s="271"/>
      <c r="NDE137" s="271"/>
      <c r="NDF137" s="221"/>
      <c r="NDG137" s="221"/>
      <c r="NDH137" s="221"/>
      <c r="NDI137" s="258"/>
      <c r="NDJ137" s="270"/>
      <c r="NDK137" s="271"/>
      <c r="NDL137" s="271"/>
      <c r="NDM137" s="271"/>
      <c r="NDN137" s="221"/>
      <c r="NDO137" s="221"/>
      <c r="NDP137" s="221"/>
      <c r="NDQ137" s="258"/>
      <c r="NDR137" s="270"/>
      <c r="NDS137" s="271"/>
      <c r="NDT137" s="271"/>
      <c r="NDU137" s="271"/>
      <c r="NDV137" s="221"/>
      <c r="NDW137" s="221"/>
      <c r="NDX137" s="221"/>
      <c r="NDY137" s="258"/>
      <c r="NDZ137" s="270"/>
      <c r="NEA137" s="271"/>
      <c r="NEB137" s="271"/>
      <c r="NEC137" s="271"/>
      <c r="NED137" s="221"/>
      <c r="NEE137" s="221"/>
      <c r="NEF137" s="221"/>
      <c r="NEG137" s="258"/>
      <c r="NEH137" s="270"/>
      <c r="NEI137" s="271"/>
      <c r="NEJ137" s="271"/>
      <c r="NEK137" s="271"/>
      <c r="NEL137" s="221"/>
      <c r="NEM137" s="221"/>
      <c r="NEN137" s="221"/>
      <c r="NEO137" s="258"/>
      <c r="NEP137" s="270"/>
      <c r="NEQ137" s="271"/>
      <c r="NER137" s="271"/>
      <c r="NES137" s="271"/>
      <c r="NET137" s="221"/>
      <c r="NEU137" s="221"/>
      <c r="NEV137" s="221"/>
      <c r="NEW137" s="258"/>
      <c r="NEX137" s="270"/>
      <c r="NEY137" s="271"/>
      <c r="NEZ137" s="271"/>
      <c r="NFA137" s="271"/>
      <c r="NFB137" s="221"/>
      <c r="NFC137" s="221"/>
      <c r="NFD137" s="221"/>
      <c r="NFE137" s="258"/>
      <c r="NFF137" s="270"/>
      <c r="NFG137" s="271"/>
      <c r="NFH137" s="271"/>
      <c r="NFI137" s="271"/>
      <c r="NFJ137" s="221"/>
      <c r="NFK137" s="221"/>
      <c r="NFL137" s="221"/>
      <c r="NFM137" s="258"/>
      <c r="NFN137" s="270"/>
      <c r="NFO137" s="271"/>
      <c r="NFP137" s="271"/>
      <c r="NFQ137" s="271"/>
      <c r="NFR137" s="221"/>
      <c r="NFS137" s="221"/>
      <c r="NFT137" s="221"/>
      <c r="NFU137" s="258"/>
      <c r="NFV137" s="270"/>
      <c r="NFW137" s="271"/>
      <c r="NFX137" s="271"/>
      <c r="NFY137" s="271"/>
      <c r="NFZ137" s="221"/>
      <c r="NGA137" s="221"/>
      <c r="NGB137" s="221"/>
      <c r="NGC137" s="258"/>
      <c r="NGD137" s="270"/>
      <c r="NGE137" s="271"/>
      <c r="NGF137" s="271"/>
      <c r="NGG137" s="271"/>
      <c r="NGH137" s="221"/>
      <c r="NGI137" s="221"/>
      <c r="NGJ137" s="221"/>
      <c r="NGK137" s="258"/>
      <c r="NGL137" s="270"/>
      <c r="NGM137" s="271"/>
      <c r="NGN137" s="271"/>
      <c r="NGO137" s="271"/>
      <c r="NGP137" s="221"/>
      <c r="NGQ137" s="221"/>
      <c r="NGR137" s="221"/>
      <c r="NGS137" s="258"/>
      <c r="NGT137" s="270"/>
      <c r="NGU137" s="271"/>
      <c r="NGV137" s="271"/>
      <c r="NGW137" s="271"/>
      <c r="NGX137" s="221"/>
      <c r="NGY137" s="221"/>
      <c r="NGZ137" s="221"/>
      <c r="NHA137" s="258"/>
      <c r="NHB137" s="270"/>
      <c r="NHC137" s="271"/>
      <c r="NHD137" s="271"/>
      <c r="NHE137" s="271"/>
      <c r="NHF137" s="221"/>
      <c r="NHG137" s="221"/>
      <c r="NHH137" s="221"/>
      <c r="NHI137" s="258"/>
      <c r="NHJ137" s="270"/>
      <c r="NHK137" s="271"/>
      <c r="NHL137" s="271"/>
      <c r="NHM137" s="271"/>
      <c r="NHN137" s="221"/>
      <c r="NHO137" s="221"/>
      <c r="NHP137" s="221"/>
      <c r="NHQ137" s="258"/>
      <c r="NHR137" s="270"/>
      <c r="NHS137" s="271"/>
      <c r="NHT137" s="271"/>
      <c r="NHU137" s="271"/>
      <c r="NHV137" s="221"/>
      <c r="NHW137" s="221"/>
      <c r="NHX137" s="221"/>
      <c r="NHY137" s="258"/>
      <c r="NHZ137" s="270"/>
      <c r="NIA137" s="271"/>
      <c r="NIB137" s="271"/>
      <c r="NIC137" s="271"/>
      <c r="NID137" s="221"/>
      <c r="NIE137" s="221"/>
      <c r="NIF137" s="221"/>
      <c r="NIG137" s="258"/>
      <c r="NIH137" s="270"/>
      <c r="NII137" s="271"/>
      <c r="NIJ137" s="271"/>
      <c r="NIK137" s="271"/>
      <c r="NIL137" s="221"/>
      <c r="NIM137" s="221"/>
      <c r="NIN137" s="221"/>
      <c r="NIO137" s="258"/>
      <c r="NIP137" s="270"/>
      <c r="NIQ137" s="271"/>
      <c r="NIR137" s="271"/>
      <c r="NIS137" s="271"/>
      <c r="NIT137" s="221"/>
      <c r="NIU137" s="221"/>
      <c r="NIV137" s="221"/>
      <c r="NIW137" s="258"/>
      <c r="NIX137" s="270"/>
      <c r="NIY137" s="271"/>
      <c r="NIZ137" s="271"/>
      <c r="NJA137" s="271"/>
      <c r="NJB137" s="221"/>
      <c r="NJC137" s="221"/>
      <c r="NJD137" s="221"/>
      <c r="NJE137" s="258"/>
      <c r="NJF137" s="270"/>
      <c r="NJG137" s="271"/>
      <c r="NJH137" s="271"/>
      <c r="NJI137" s="271"/>
      <c r="NJJ137" s="221"/>
      <c r="NJK137" s="221"/>
      <c r="NJL137" s="221"/>
      <c r="NJM137" s="258"/>
      <c r="NJN137" s="270"/>
      <c r="NJO137" s="271"/>
      <c r="NJP137" s="271"/>
      <c r="NJQ137" s="271"/>
      <c r="NJR137" s="221"/>
      <c r="NJS137" s="221"/>
      <c r="NJT137" s="221"/>
      <c r="NJU137" s="258"/>
      <c r="NJV137" s="270"/>
      <c r="NJW137" s="271"/>
      <c r="NJX137" s="271"/>
      <c r="NJY137" s="271"/>
      <c r="NJZ137" s="221"/>
      <c r="NKA137" s="221"/>
      <c r="NKB137" s="221"/>
      <c r="NKC137" s="258"/>
      <c r="NKD137" s="270"/>
      <c r="NKE137" s="271"/>
      <c r="NKF137" s="271"/>
      <c r="NKG137" s="271"/>
      <c r="NKH137" s="221"/>
      <c r="NKI137" s="221"/>
      <c r="NKJ137" s="221"/>
      <c r="NKK137" s="258"/>
      <c r="NKL137" s="270"/>
      <c r="NKM137" s="271"/>
      <c r="NKN137" s="271"/>
      <c r="NKO137" s="271"/>
      <c r="NKP137" s="221"/>
      <c r="NKQ137" s="221"/>
      <c r="NKR137" s="221"/>
      <c r="NKS137" s="258"/>
      <c r="NKT137" s="270"/>
      <c r="NKU137" s="271"/>
      <c r="NKV137" s="271"/>
      <c r="NKW137" s="271"/>
      <c r="NKX137" s="221"/>
      <c r="NKY137" s="221"/>
      <c r="NKZ137" s="221"/>
      <c r="NLA137" s="258"/>
      <c r="NLB137" s="270"/>
      <c r="NLC137" s="271"/>
      <c r="NLD137" s="271"/>
      <c r="NLE137" s="271"/>
      <c r="NLF137" s="221"/>
      <c r="NLG137" s="221"/>
      <c r="NLH137" s="221"/>
      <c r="NLI137" s="258"/>
      <c r="NLJ137" s="270"/>
      <c r="NLK137" s="271"/>
      <c r="NLL137" s="271"/>
      <c r="NLM137" s="271"/>
      <c r="NLN137" s="221"/>
      <c r="NLO137" s="221"/>
      <c r="NLP137" s="221"/>
      <c r="NLQ137" s="258"/>
      <c r="NLR137" s="270"/>
      <c r="NLS137" s="271"/>
      <c r="NLT137" s="271"/>
      <c r="NLU137" s="271"/>
      <c r="NLV137" s="221"/>
      <c r="NLW137" s="221"/>
      <c r="NLX137" s="221"/>
      <c r="NLY137" s="258"/>
      <c r="NLZ137" s="270"/>
      <c r="NMA137" s="271"/>
      <c r="NMB137" s="271"/>
      <c r="NMC137" s="271"/>
      <c r="NMD137" s="221"/>
      <c r="NME137" s="221"/>
      <c r="NMF137" s="221"/>
      <c r="NMG137" s="258"/>
      <c r="NMH137" s="270"/>
      <c r="NMI137" s="271"/>
      <c r="NMJ137" s="271"/>
      <c r="NMK137" s="271"/>
      <c r="NML137" s="221"/>
      <c r="NMM137" s="221"/>
      <c r="NMN137" s="221"/>
      <c r="NMO137" s="258"/>
      <c r="NMP137" s="270"/>
      <c r="NMQ137" s="271"/>
      <c r="NMR137" s="271"/>
      <c r="NMS137" s="271"/>
      <c r="NMT137" s="221"/>
      <c r="NMU137" s="221"/>
      <c r="NMV137" s="221"/>
      <c r="NMW137" s="258"/>
      <c r="NMX137" s="270"/>
      <c r="NMY137" s="271"/>
      <c r="NMZ137" s="271"/>
      <c r="NNA137" s="271"/>
      <c r="NNB137" s="221"/>
      <c r="NNC137" s="221"/>
      <c r="NND137" s="221"/>
      <c r="NNE137" s="258"/>
      <c r="NNF137" s="270"/>
      <c r="NNG137" s="271"/>
      <c r="NNH137" s="271"/>
      <c r="NNI137" s="271"/>
      <c r="NNJ137" s="221"/>
      <c r="NNK137" s="221"/>
      <c r="NNL137" s="221"/>
      <c r="NNM137" s="258"/>
      <c r="NNN137" s="270"/>
      <c r="NNO137" s="271"/>
      <c r="NNP137" s="271"/>
      <c r="NNQ137" s="271"/>
      <c r="NNR137" s="221"/>
      <c r="NNS137" s="221"/>
      <c r="NNT137" s="221"/>
      <c r="NNU137" s="258"/>
      <c r="NNV137" s="270"/>
      <c r="NNW137" s="271"/>
      <c r="NNX137" s="271"/>
      <c r="NNY137" s="271"/>
      <c r="NNZ137" s="221"/>
      <c r="NOA137" s="221"/>
      <c r="NOB137" s="221"/>
      <c r="NOC137" s="258"/>
      <c r="NOD137" s="270"/>
      <c r="NOE137" s="271"/>
      <c r="NOF137" s="271"/>
      <c r="NOG137" s="271"/>
      <c r="NOH137" s="221"/>
      <c r="NOI137" s="221"/>
      <c r="NOJ137" s="221"/>
      <c r="NOK137" s="258"/>
      <c r="NOL137" s="270"/>
      <c r="NOM137" s="271"/>
      <c r="NON137" s="271"/>
      <c r="NOO137" s="271"/>
      <c r="NOP137" s="221"/>
      <c r="NOQ137" s="221"/>
      <c r="NOR137" s="221"/>
      <c r="NOS137" s="258"/>
      <c r="NOT137" s="270"/>
      <c r="NOU137" s="271"/>
      <c r="NOV137" s="271"/>
      <c r="NOW137" s="271"/>
      <c r="NOX137" s="221"/>
      <c r="NOY137" s="221"/>
      <c r="NOZ137" s="221"/>
      <c r="NPA137" s="258"/>
      <c r="NPB137" s="270"/>
      <c r="NPC137" s="271"/>
      <c r="NPD137" s="271"/>
      <c r="NPE137" s="271"/>
      <c r="NPF137" s="221"/>
      <c r="NPG137" s="221"/>
      <c r="NPH137" s="221"/>
      <c r="NPI137" s="258"/>
      <c r="NPJ137" s="270"/>
      <c r="NPK137" s="271"/>
      <c r="NPL137" s="271"/>
      <c r="NPM137" s="271"/>
      <c r="NPN137" s="221"/>
      <c r="NPO137" s="221"/>
      <c r="NPP137" s="221"/>
      <c r="NPQ137" s="258"/>
      <c r="NPR137" s="270"/>
      <c r="NPS137" s="271"/>
      <c r="NPT137" s="271"/>
      <c r="NPU137" s="271"/>
      <c r="NPV137" s="221"/>
      <c r="NPW137" s="221"/>
      <c r="NPX137" s="221"/>
      <c r="NPY137" s="258"/>
      <c r="NPZ137" s="270"/>
      <c r="NQA137" s="271"/>
      <c r="NQB137" s="271"/>
      <c r="NQC137" s="271"/>
      <c r="NQD137" s="221"/>
      <c r="NQE137" s="221"/>
      <c r="NQF137" s="221"/>
      <c r="NQG137" s="258"/>
      <c r="NQH137" s="270"/>
      <c r="NQI137" s="271"/>
      <c r="NQJ137" s="271"/>
      <c r="NQK137" s="271"/>
      <c r="NQL137" s="221"/>
      <c r="NQM137" s="221"/>
      <c r="NQN137" s="221"/>
      <c r="NQO137" s="258"/>
      <c r="NQP137" s="270"/>
      <c r="NQQ137" s="271"/>
      <c r="NQR137" s="271"/>
      <c r="NQS137" s="271"/>
      <c r="NQT137" s="221"/>
      <c r="NQU137" s="221"/>
      <c r="NQV137" s="221"/>
      <c r="NQW137" s="258"/>
      <c r="NQX137" s="270"/>
      <c r="NQY137" s="271"/>
      <c r="NQZ137" s="271"/>
      <c r="NRA137" s="271"/>
      <c r="NRB137" s="221"/>
      <c r="NRC137" s="221"/>
      <c r="NRD137" s="221"/>
      <c r="NRE137" s="258"/>
      <c r="NRF137" s="270"/>
      <c r="NRG137" s="271"/>
      <c r="NRH137" s="271"/>
      <c r="NRI137" s="271"/>
      <c r="NRJ137" s="221"/>
      <c r="NRK137" s="221"/>
      <c r="NRL137" s="221"/>
      <c r="NRM137" s="258"/>
      <c r="NRN137" s="270"/>
      <c r="NRO137" s="271"/>
      <c r="NRP137" s="271"/>
      <c r="NRQ137" s="271"/>
      <c r="NRR137" s="221"/>
      <c r="NRS137" s="221"/>
      <c r="NRT137" s="221"/>
      <c r="NRU137" s="258"/>
      <c r="NRV137" s="270"/>
      <c r="NRW137" s="271"/>
      <c r="NRX137" s="271"/>
      <c r="NRY137" s="271"/>
      <c r="NRZ137" s="221"/>
      <c r="NSA137" s="221"/>
      <c r="NSB137" s="221"/>
      <c r="NSC137" s="258"/>
      <c r="NSD137" s="270"/>
      <c r="NSE137" s="271"/>
      <c r="NSF137" s="271"/>
      <c r="NSG137" s="271"/>
      <c r="NSH137" s="221"/>
      <c r="NSI137" s="221"/>
      <c r="NSJ137" s="221"/>
      <c r="NSK137" s="258"/>
      <c r="NSL137" s="270"/>
      <c r="NSM137" s="271"/>
      <c r="NSN137" s="271"/>
      <c r="NSO137" s="271"/>
      <c r="NSP137" s="221"/>
      <c r="NSQ137" s="221"/>
      <c r="NSR137" s="221"/>
      <c r="NSS137" s="258"/>
      <c r="NST137" s="270"/>
      <c r="NSU137" s="271"/>
      <c r="NSV137" s="271"/>
      <c r="NSW137" s="271"/>
      <c r="NSX137" s="221"/>
      <c r="NSY137" s="221"/>
      <c r="NSZ137" s="221"/>
      <c r="NTA137" s="258"/>
      <c r="NTB137" s="270"/>
      <c r="NTC137" s="271"/>
      <c r="NTD137" s="271"/>
      <c r="NTE137" s="271"/>
      <c r="NTF137" s="221"/>
      <c r="NTG137" s="221"/>
      <c r="NTH137" s="221"/>
      <c r="NTI137" s="258"/>
      <c r="NTJ137" s="270"/>
      <c r="NTK137" s="271"/>
      <c r="NTL137" s="271"/>
      <c r="NTM137" s="271"/>
      <c r="NTN137" s="221"/>
      <c r="NTO137" s="221"/>
      <c r="NTP137" s="221"/>
      <c r="NTQ137" s="258"/>
      <c r="NTR137" s="270"/>
      <c r="NTS137" s="271"/>
      <c r="NTT137" s="271"/>
      <c r="NTU137" s="271"/>
      <c r="NTV137" s="221"/>
      <c r="NTW137" s="221"/>
      <c r="NTX137" s="221"/>
      <c r="NTY137" s="258"/>
      <c r="NTZ137" s="270"/>
      <c r="NUA137" s="271"/>
      <c r="NUB137" s="271"/>
      <c r="NUC137" s="271"/>
      <c r="NUD137" s="221"/>
      <c r="NUE137" s="221"/>
      <c r="NUF137" s="221"/>
      <c r="NUG137" s="258"/>
      <c r="NUH137" s="270"/>
      <c r="NUI137" s="271"/>
      <c r="NUJ137" s="271"/>
      <c r="NUK137" s="271"/>
      <c r="NUL137" s="221"/>
      <c r="NUM137" s="221"/>
      <c r="NUN137" s="221"/>
      <c r="NUO137" s="258"/>
      <c r="NUP137" s="270"/>
      <c r="NUQ137" s="271"/>
      <c r="NUR137" s="271"/>
      <c r="NUS137" s="271"/>
      <c r="NUT137" s="221"/>
      <c r="NUU137" s="221"/>
      <c r="NUV137" s="221"/>
      <c r="NUW137" s="258"/>
      <c r="NUX137" s="270"/>
      <c r="NUY137" s="271"/>
      <c r="NUZ137" s="271"/>
      <c r="NVA137" s="271"/>
      <c r="NVB137" s="221"/>
      <c r="NVC137" s="221"/>
      <c r="NVD137" s="221"/>
      <c r="NVE137" s="258"/>
      <c r="NVF137" s="270"/>
      <c r="NVG137" s="271"/>
      <c r="NVH137" s="271"/>
      <c r="NVI137" s="271"/>
      <c r="NVJ137" s="221"/>
      <c r="NVK137" s="221"/>
      <c r="NVL137" s="221"/>
      <c r="NVM137" s="258"/>
      <c r="NVN137" s="270"/>
      <c r="NVO137" s="271"/>
      <c r="NVP137" s="271"/>
      <c r="NVQ137" s="271"/>
      <c r="NVR137" s="221"/>
      <c r="NVS137" s="221"/>
      <c r="NVT137" s="221"/>
      <c r="NVU137" s="258"/>
      <c r="NVV137" s="270"/>
      <c r="NVW137" s="271"/>
      <c r="NVX137" s="271"/>
      <c r="NVY137" s="271"/>
      <c r="NVZ137" s="221"/>
      <c r="NWA137" s="221"/>
      <c r="NWB137" s="221"/>
      <c r="NWC137" s="258"/>
      <c r="NWD137" s="270"/>
      <c r="NWE137" s="271"/>
      <c r="NWF137" s="271"/>
      <c r="NWG137" s="271"/>
      <c r="NWH137" s="221"/>
      <c r="NWI137" s="221"/>
      <c r="NWJ137" s="221"/>
      <c r="NWK137" s="258"/>
      <c r="NWL137" s="270"/>
      <c r="NWM137" s="271"/>
      <c r="NWN137" s="271"/>
      <c r="NWO137" s="271"/>
      <c r="NWP137" s="221"/>
      <c r="NWQ137" s="221"/>
      <c r="NWR137" s="221"/>
      <c r="NWS137" s="258"/>
      <c r="NWT137" s="270"/>
      <c r="NWU137" s="271"/>
      <c r="NWV137" s="271"/>
      <c r="NWW137" s="271"/>
      <c r="NWX137" s="221"/>
      <c r="NWY137" s="221"/>
      <c r="NWZ137" s="221"/>
      <c r="NXA137" s="258"/>
      <c r="NXB137" s="270"/>
      <c r="NXC137" s="271"/>
      <c r="NXD137" s="271"/>
      <c r="NXE137" s="271"/>
      <c r="NXF137" s="221"/>
      <c r="NXG137" s="221"/>
      <c r="NXH137" s="221"/>
      <c r="NXI137" s="258"/>
      <c r="NXJ137" s="270"/>
      <c r="NXK137" s="271"/>
      <c r="NXL137" s="271"/>
      <c r="NXM137" s="271"/>
      <c r="NXN137" s="221"/>
      <c r="NXO137" s="221"/>
      <c r="NXP137" s="221"/>
      <c r="NXQ137" s="258"/>
      <c r="NXR137" s="270"/>
      <c r="NXS137" s="271"/>
      <c r="NXT137" s="271"/>
      <c r="NXU137" s="271"/>
      <c r="NXV137" s="221"/>
      <c r="NXW137" s="221"/>
      <c r="NXX137" s="221"/>
      <c r="NXY137" s="258"/>
      <c r="NXZ137" s="270"/>
      <c r="NYA137" s="271"/>
      <c r="NYB137" s="271"/>
      <c r="NYC137" s="271"/>
      <c r="NYD137" s="221"/>
      <c r="NYE137" s="221"/>
      <c r="NYF137" s="221"/>
      <c r="NYG137" s="258"/>
      <c r="NYH137" s="270"/>
      <c r="NYI137" s="271"/>
      <c r="NYJ137" s="271"/>
      <c r="NYK137" s="271"/>
      <c r="NYL137" s="221"/>
      <c r="NYM137" s="221"/>
      <c r="NYN137" s="221"/>
      <c r="NYO137" s="258"/>
      <c r="NYP137" s="270"/>
      <c r="NYQ137" s="271"/>
      <c r="NYR137" s="271"/>
      <c r="NYS137" s="271"/>
      <c r="NYT137" s="221"/>
      <c r="NYU137" s="221"/>
      <c r="NYV137" s="221"/>
      <c r="NYW137" s="258"/>
      <c r="NYX137" s="270"/>
      <c r="NYY137" s="271"/>
      <c r="NYZ137" s="271"/>
      <c r="NZA137" s="271"/>
      <c r="NZB137" s="221"/>
      <c r="NZC137" s="221"/>
      <c r="NZD137" s="221"/>
      <c r="NZE137" s="258"/>
      <c r="NZF137" s="270"/>
      <c r="NZG137" s="271"/>
      <c r="NZH137" s="271"/>
      <c r="NZI137" s="271"/>
      <c r="NZJ137" s="221"/>
      <c r="NZK137" s="221"/>
      <c r="NZL137" s="221"/>
      <c r="NZM137" s="258"/>
      <c r="NZN137" s="270"/>
      <c r="NZO137" s="271"/>
      <c r="NZP137" s="271"/>
      <c r="NZQ137" s="271"/>
      <c r="NZR137" s="221"/>
      <c r="NZS137" s="221"/>
      <c r="NZT137" s="221"/>
      <c r="NZU137" s="258"/>
      <c r="NZV137" s="270"/>
      <c r="NZW137" s="271"/>
      <c r="NZX137" s="271"/>
      <c r="NZY137" s="271"/>
      <c r="NZZ137" s="221"/>
      <c r="OAA137" s="221"/>
      <c r="OAB137" s="221"/>
      <c r="OAC137" s="258"/>
      <c r="OAD137" s="270"/>
      <c r="OAE137" s="271"/>
      <c r="OAF137" s="271"/>
      <c r="OAG137" s="271"/>
      <c r="OAH137" s="221"/>
      <c r="OAI137" s="221"/>
      <c r="OAJ137" s="221"/>
      <c r="OAK137" s="258"/>
      <c r="OAL137" s="270"/>
      <c r="OAM137" s="271"/>
      <c r="OAN137" s="271"/>
      <c r="OAO137" s="271"/>
      <c r="OAP137" s="221"/>
      <c r="OAQ137" s="221"/>
      <c r="OAR137" s="221"/>
      <c r="OAS137" s="258"/>
      <c r="OAT137" s="270"/>
      <c r="OAU137" s="271"/>
      <c r="OAV137" s="271"/>
      <c r="OAW137" s="271"/>
      <c r="OAX137" s="221"/>
      <c r="OAY137" s="221"/>
      <c r="OAZ137" s="221"/>
      <c r="OBA137" s="258"/>
      <c r="OBB137" s="270"/>
      <c r="OBC137" s="271"/>
      <c r="OBD137" s="271"/>
      <c r="OBE137" s="271"/>
      <c r="OBF137" s="221"/>
      <c r="OBG137" s="221"/>
      <c r="OBH137" s="221"/>
      <c r="OBI137" s="258"/>
      <c r="OBJ137" s="270"/>
      <c r="OBK137" s="271"/>
      <c r="OBL137" s="271"/>
      <c r="OBM137" s="271"/>
      <c r="OBN137" s="221"/>
      <c r="OBO137" s="221"/>
      <c r="OBP137" s="221"/>
      <c r="OBQ137" s="258"/>
      <c r="OBR137" s="270"/>
      <c r="OBS137" s="271"/>
      <c r="OBT137" s="271"/>
      <c r="OBU137" s="271"/>
      <c r="OBV137" s="221"/>
      <c r="OBW137" s="221"/>
      <c r="OBX137" s="221"/>
      <c r="OBY137" s="258"/>
      <c r="OBZ137" s="270"/>
      <c r="OCA137" s="271"/>
      <c r="OCB137" s="271"/>
      <c r="OCC137" s="271"/>
      <c r="OCD137" s="221"/>
      <c r="OCE137" s="221"/>
      <c r="OCF137" s="221"/>
      <c r="OCG137" s="258"/>
      <c r="OCH137" s="270"/>
      <c r="OCI137" s="271"/>
      <c r="OCJ137" s="271"/>
      <c r="OCK137" s="271"/>
      <c r="OCL137" s="221"/>
      <c r="OCM137" s="221"/>
      <c r="OCN137" s="221"/>
      <c r="OCO137" s="258"/>
      <c r="OCP137" s="270"/>
      <c r="OCQ137" s="271"/>
      <c r="OCR137" s="271"/>
      <c r="OCS137" s="271"/>
      <c r="OCT137" s="221"/>
      <c r="OCU137" s="221"/>
      <c r="OCV137" s="221"/>
      <c r="OCW137" s="258"/>
      <c r="OCX137" s="270"/>
      <c r="OCY137" s="271"/>
      <c r="OCZ137" s="271"/>
      <c r="ODA137" s="271"/>
      <c r="ODB137" s="221"/>
      <c r="ODC137" s="221"/>
      <c r="ODD137" s="221"/>
      <c r="ODE137" s="258"/>
      <c r="ODF137" s="270"/>
      <c r="ODG137" s="271"/>
      <c r="ODH137" s="271"/>
      <c r="ODI137" s="271"/>
      <c r="ODJ137" s="221"/>
      <c r="ODK137" s="221"/>
      <c r="ODL137" s="221"/>
      <c r="ODM137" s="258"/>
      <c r="ODN137" s="270"/>
      <c r="ODO137" s="271"/>
      <c r="ODP137" s="271"/>
      <c r="ODQ137" s="271"/>
      <c r="ODR137" s="221"/>
      <c r="ODS137" s="221"/>
      <c r="ODT137" s="221"/>
      <c r="ODU137" s="258"/>
      <c r="ODV137" s="270"/>
      <c r="ODW137" s="271"/>
      <c r="ODX137" s="271"/>
      <c r="ODY137" s="271"/>
      <c r="ODZ137" s="221"/>
      <c r="OEA137" s="221"/>
      <c r="OEB137" s="221"/>
      <c r="OEC137" s="258"/>
      <c r="OED137" s="270"/>
      <c r="OEE137" s="271"/>
      <c r="OEF137" s="271"/>
      <c r="OEG137" s="271"/>
      <c r="OEH137" s="221"/>
      <c r="OEI137" s="221"/>
      <c r="OEJ137" s="221"/>
      <c r="OEK137" s="258"/>
      <c r="OEL137" s="270"/>
      <c r="OEM137" s="271"/>
      <c r="OEN137" s="271"/>
      <c r="OEO137" s="271"/>
      <c r="OEP137" s="221"/>
      <c r="OEQ137" s="221"/>
      <c r="OER137" s="221"/>
      <c r="OES137" s="258"/>
      <c r="OET137" s="270"/>
      <c r="OEU137" s="271"/>
      <c r="OEV137" s="271"/>
      <c r="OEW137" s="271"/>
      <c r="OEX137" s="221"/>
      <c r="OEY137" s="221"/>
      <c r="OEZ137" s="221"/>
      <c r="OFA137" s="258"/>
      <c r="OFB137" s="270"/>
      <c r="OFC137" s="271"/>
      <c r="OFD137" s="271"/>
      <c r="OFE137" s="271"/>
      <c r="OFF137" s="221"/>
      <c r="OFG137" s="221"/>
      <c r="OFH137" s="221"/>
      <c r="OFI137" s="258"/>
      <c r="OFJ137" s="270"/>
      <c r="OFK137" s="271"/>
      <c r="OFL137" s="271"/>
      <c r="OFM137" s="271"/>
      <c r="OFN137" s="221"/>
      <c r="OFO137" s="221"/>
      <c r="OFP137" s="221"/>
      <c r="OFQ137" s="258"/>
      <c r="OFR137" s="270"/>
      <c r="OFS137" s="271"/>
      <c r="OFT137" s="271"/>
      <c r="OFU137" s="271"/>
      <c r="OFV137" s="221"/>
      <c r="OFW137" s="221"/>
      <c r="OFX137" s="221"/>
      <c r="OFY137" s="258"/>
      <c r="OFZ137" s="270"/>
      <c r="OGA137" s="271"/>
      <c r="OGB137" s="271"/>
      <c r="OGC137" s="271"/>
      <c r="OGD137" s="221"/>
      <c r="OGE137" s="221"/>
      <c r="OGF137" s="221"/>
      <c r="OGG137" s="258"/>
      <c r="OGH137" s="270"/>
      <c r="OGI137" s="271"/>
      <c r="OGJ137" s="271"/>
      <c r="OGK137" s="271"/>
      <c r="OGL137" s="221"/>
      <c r="OGM137" s="221"/>
      <c r="OGN137" s="221"/>
      <c r="OGO137" s="258"/>
      <c r="OGP137" s="270"/>
      <c r="OGQ137" s="271"/>
      <c r="OGR137" s="271"/>
      <c r="OGS137" s="271"/>
      <c r="OGT137" s="221"/>
      <c r="OGU137" s="221"/>
      <c r="OGV137" s="221"/>
      <c r="OGW137" s="258"/>
      <c r="OGX137" s="270"/>
      <c r="OGY137" s="271"/>
      <c r="OGZ137" s="271"/>
      <c r="OHA137" s="271"/>
      <c r="OHB137" s="221"/>
      <c r="OHC137" s="221"/>
      <c r="OHD137" s="221"/>
      <c r="OHE137" s="258"/>
      <c r="OHF137" s="270"/>
      <c r="OHG137" s="271"/>
      <c r="OHH137" s="271"/>
      <c r="OHI137" s="271"/>
      <c r="OHJ137" s="221"/>
      <c r="OHK137" s="221"/>
      <c r="OHL137" s="221"/>
      <c r="OHM137" s="258"/>
      <c r="OHN137" s="270"/>
      <c r="OHO137" s="271"/>
      <c r="OHP137" s="271"/>
      <c r="OHQ137" s="271"/>
      <c r="OHR137" s="221"/>
      <c r="OHS137" s="221"/>
      <c r="OHT137" s="221"/>
      <c r="OHU137" s="258"/>
      <c r="OHV137" s="270"/>
      <c r="OHW137" s="271"/>
      <c r="OHX137" s="271"/>
      <c r="OHY137" s="271"/>
      <c r="OHZ137" s="221"/>
      <c r="OIA137" s="221"/>
      <c r="OIB137" s="221"/>
      <c r="OIC137" s="258"/>
      <c r="OID137" s="270"/>
      <c r="OIE137" s="271"/>
      <c r="OIF137" s="271"/>
      <c r="OIG137" s="271"/>
      <c r="OIH137" s="221"/>
      <c r="OII137" s="221"/>
      <c r="OIJ137" s="221"/>
      <c r="OIK137" s="258"/>
      <c r="OIL137" s="270"/>
      <c r="OIM137" s="271"/>
      <c r="OIN137" s="271"/>
      <c r="OIO137" s="271"/>
      <c r="OIP137" s="221"/>
      <c r="OIQ137" s="221"/>
      <c r="OIR137" s="221"/>
      <c r="OIS137" s="258"/>
      <c r="OIT137" s="270"/>
      <c r="OIU137" s="271"/>
      <c r="OIV137" s="271"/>
      <c r="OIW137" s="271"/>
      <c r="OIX137" s="221"/>
      <c r="OIY137" s="221"/>
      <c r="OIZ137" s="221"/>
      <c r="OJA137" s="258"/>
      <c r="OJB137" s="270"/>
      <c r="OJC137" s="271"/>
      <c r="OJD137" s="271"/>
      <c r="OJE137" s="271"/>
      <c r="OJF137" s="221"/>
      <c r="OJG137" s="221"/>
      <c r="OJH137" s="221"/>
      <c r="OJI137" s="258"/>
      <c r="OJJ137" s="270"/>
      <c r="OJK137" s="271"/>
      <c r="OJL137" s="271"/>
      <c r="OJM137" s="271"/>
      <c r="OJN137" s="221"/>
      <c r="OJO137" s="221"/>
      <c r="OJP137" s="221"/>
      <c r="OJQ137" s="258"/>
      <c r="OJR137" s="270"/>
      <c r="OJS137" s="271"/>
      <c r="OJT137" s="271"/>
      <c r="OJU137" s="271"/>
      <c r="OJV137" s="221"/>
      <c r="OJW137" s="221"/>
      <c r="OJX137" s="221"/>
      <c r="OJY137" s="258"/>
      <c r="OJZ137" s="270"/>
      <c r="OKA137" s="271"/>
      <c r="OKB137" s="271"/>
      <c r="OKC137" s="271"/>
      <c r="OKD137" s="221"/>
      <c r="OKE137" s="221"/>
      <c r="OKF137" s="221"/>
      <c r="OKG137" s="258"/>
      <c r="OKH137" s="270"/>
      <c r="OKI137" s="271"/>
      <c r="OKJ137" s="271"/>
      <c r="OKK137" s="271"/>
      <c r="OKL137" s="221"/>
      <c r="OKM137" s="221"/>
      <c r="OKN137" s="221"/>
      <c r="OKO137" s="258"/>
      <c r="OKP137" s="270"/>
      <c r="OKQ137" s="271"/>
      <c r="OKR137" s="271"/>
      <c r="OKS137" s="271"/>
      <c r="OKT137" s="221"/>
      <c r="OKU137" s="221"/>
      <c r="OKV137" s="221"/>
      <c r="OKW137" s="258"/>
      <c r="OKX137" s="270"/>
      <c r="OKY137" s="271"/>
      <c r="OKZ137" s="271"/>
      <c r="OLA137" s="271"/>
      <c r="OLB137" s="221"/>
      <c r="OLC137" s="221"/>
      <c r="OLD137" s="221"/>
      <c r="OLE137" s="258"/>
      <c r="OLF137" s="270"/>
      <c r="OLG137" s="271"/>
      <c r="OLH137" s="271"/>
      <c r="OLI137" s="271"/>
      <c r="OLJ137" s="221"/>
      <c r="OLK137" s="221"/>
      <c r="OLL137" s="221"/>
      <c r="OLM137" s="258"/>
      <c r="OLN137" s="270"/>
      <c r="OLO137" s="271"/>
      <c r="OLP137" s="271"/>
      <c r="OLQ137" s="271"/>
      <c r="OLR137" s="221"/>
      <c r="OLS137" s="221"/>
      <c r="OLT137" s="221"/>
      <c r="OLU137" s="258"/>
      <c r="OLV137" s="270"/>
      <c r="OLW137" s="271"/>
      <c r="OLX137" s="271"/>
      <c r="OLY137" s="271"/>
      <c r="OLZ137" s="221"/>
      <c r="OMA137" s="221"/>
      <c r="OMB137" s="221"/>
      <c r="OMC137" s="258"/>
      <c r="OMD137" s="270"/>
      <c r="OME137" s="271"/>
      <c r="OMF137" s="271"/>
      <c r="OMG137" s="271"/>
      <c r="OMH137" s="221"/>
      <c r="OMI137" s="221"/>
      <c r="OMJ137" s="221"/>
      <c r="OMK137" s="258"/>
      <c r="OML137" s="270"/>
      <c r="OMM137" s="271"/>
      <c r="OMN137" s="271"/>
      <c r="OMO137" s="271"/>
      <c r="OMP137" s="221"/>
      <c r="OMQ137" s="221"/>
      <c r="OMR137" s="221"/>
      <c r="OMS137" s="258"/>
      <c r="OMT137" s="270"/>
      <c r="OMU137" s="271"/>
      <c r="OMV137" s="271"/>
      <c r="OMW137" s="271"/>
      <c r="OMX137" s="221"/>
      <c r="OMY137" s="221"/>
      <c r="OMZ137" s="221"/>
      <c r="ONA137" s="258"/>
      <c r="ONB137" s="270"/>
      <c r="ONC137" s="271"/>
      <c r="OND137" s="271"/>
      <c r="ONE137" s="271"/>
      <c r="ONF137" s="221"/>
      <c r="ONG137" s="221"/>
      <c r="ONH137" s="221"/>
      <c r="ONI137" s="258"/>
      <c r="ONJ137" s="270"/>
      <c r="ONK137" s="271"/>
      <c r="ONL137" s="271"/>
      <c r="ONM137" s="271"/>
      <c r="ONN137" s="221"/>
      <c r="ONO137" s="221"/>
      <c r="ONP137" s="221"/>
      <c r="ONQ137" s="258"/>
      <c r="ONR137" s="270"/>
      <c r="ONS137" s="271"/>
      <c r="ONT137" s="271"/>
      <c r="ONU137" s="271"/>
      <c r="ONV137" s="221"/>
      <c r="ONW137" s="221"/>
      <c r="ONX137" s="221"/>
      <c r="ONY137" s="258"/>
      <c r="ONZ137" s="270"/>
      <c r="OOA137" s="271"/>
      <c r="OOB137" s="271"/>
      <c r="OOC137" s="271"/>
      <c r="OOD137" s="221"/>
      <c r="OOE137" s="221"/>
      <c r="OOF137" s="221"/>
      <c r="OOG137" s="258"/>
      <c r="OOH137" s="270"/>
      <c r="OOI137" s="271"/>
      <c r="OOJ137" s="271"/>
      <c r="OOK137" s="271"/>
      <c r="OOL137" s="221"/>
      <c r="OOM137" s="221"/>
      <c r="OON137" s="221"/>
      <c r="OOO137" s="258"/>
      <c r="OOP137" s="270"/>
      <c r="OOQ137" s="271"/>
      <c r="OOR137" s="271"/>
      <c r="OOS137" s="271"/>
      <c r="OOT137" s="221"/>
      <c r="OOU137" s="221"/>
      <c r="OOV137" s="221"/>
      <c r="OOW137" s="258"/>
      <c r="OOX137" s="270"/>
      <c r="OOY137" s="271"/>
      <c r="OOZ137" s="271"/>
      <c r="OPA137" s="271"/>
      <c r="OPB137" s="221"/>
      <c r="OPC137" s="221"/>
      <c r="OPD137" s="221"/>
      <c r="OPE137" s="258"/>
      <c r="OPF137" s="270"/>
      <c r="OPG137" s="271"/>
      <c r="OPH137" s="271"/>
      <c r="OPI137" s="271"/>
      <c r="OPJ137" s="221"/>
      <c r="OPK137" s="221"/>
      <c r="OPL137" s="221"/>
      <c r="OPM137" s="258"/>
      <c r="OPN137" s="270"/>
      <c r="OPO137" s="271"/>
      <c r="OPP137" s="271"/>
      <c r="OPQ137" s="271"/>
      <c r="OPR137" s="221"/>
      <c r="OPS137" s="221"/>
      <c r="OPT137" s="221"/>
      <c r="OPU137" s="258"/>
      <c r="OPV137" s="270"/>
      <c r="OPW137" s="271"/>
      <c r="OPX137" s="271"/>
      <c r="OPY137" s="271"/>
      <c r="OPZ137" s="221"/>
      <c r="OQA137" s="221"/>
      <c r="OQB137" s="221"/>
      <c r="OQC137" s="258"/>
      <c r="OQD137" s="270"/>
      <c r="OQE137" s="271"/>
      <c r="OQF137" s="271"/>
      <c r="OQG137" s="271"/>
      <c r="OQH137" s="221"/>
      <c r="OQI137" s="221"/>
      <c r="OQJ137" s="221"/>
      <c r="OQK137" s="258"/>
      <c r="OQL137" s="270"/>
      <c r="OQM137" s="271"/>
      <c r="OQN137" s="271"/>
      <c r="OQO137" s="271"/>
      <c r="OQP137" s="221"/>
      <c r="OQQ137" s="221"/>
      <c r="OQR137" s="221"/>
      <c r="OQS137" s="258"/>
      <c r="OQT137" s="270"/>
      <c r="OQU137" s="271"/>
      <c r="OQV137" s="271"/>
      <c r="OQW137" s="271"/>
      <c r="OQX137" s="221"/>
      <c r="OQY137" s="221"/>
      <c r="OQZ137" s="221"/>
      <c r="ORA137" s="258"/>
      <c r="ORB137" s="270"/>
      <c r="ORC137" s="271"/>
      <c r="ORD137" s="271"/>
      <c r="ORE137" s="271"/>
      <c r="ORF137" s="221"/>
      <c r="ORG137" s="221"/>
      <c r="ORH137" s="221"/>
      <c r="ORI137" s="258"/>
      <c r="ORJ137" s="270"/>
      <c r="ORK137" s="271"/>
      <c r="ORL137" s="271"/>
      <c r="ORM137" s="271"/>
      <c r="ORN137" s="221"/>
      <c r="ORO137" s="221"/>
      <c r="ORP137" s="221"/>
      <c r="ORQ137" s="258"/>
      <c r="ORR137" s="270"/>
      <c r="ORS137" s="271"/>
      <c r="ORT137" s="271"/>
      <c r="ORU137" s="271"/>
      <c r="ORV137" s="221"/>
      <c r="ORW137" s="221"/>
      <c r="ORX137" s="221"/>
      <c r="ORY137" s="258"/>
      <c r="ORZ137" s="270"/>
      <c r="OSA137" s="271"/>
      <c r="OSB137" s="271"/>
      <c r="OSC137" s="271"/>
      <c r="OSD137" s="221"/>
      <c r="OSE137" s="221"/>
      <c r="OSF137" s="221"/>
      <c r="OSG137" s="258"/>
      <c r="OSH137" s="270"/>
      <c r="OSI137" s="271"/>
      <c r="OSJ137" s="271"/>
      <c r="OSK137" s="271"/>
      <c r="OSL137" s="221"/>
      <c r="OSM137" s="221"/>
      <c r="OSN137" s="221"/>
      <c r="OSO137" s="258"/>
      <c r="OSP137" s="270"/>
      <c r="OSQ137" s="271"/>
      <c r="OSR137" s="271"/>
      <c r="OSS137" s="271"/>
      <c r="OST137" s="221"/>
      <c r="OSU137" s="221"/>
      <c r="OSV137" s="221"/>
      <c r="OSW137" s="258"/>
      <c r="OSX137" s="270"/>
      <c r="OSY137" s="271"/>
      <c r="OSZ137" s="271"/>
      <c r="OTA137" s="271"/>
      <c r="OTB137" s="221"/>
      <c r="OTC137" s="221"/>
      <c r="OTD137" s="221"/>
      <c r="OTE137" s="258"/>
      <c r="OTF137" s="270"/>
      <c r="OTG137" s="271"/>
      <c r="OTH137" s="271"/>
      <c r="OTI137" s="271"/>
      <c r="OTJ137" s="221"/>
      <c r="OTK137" s="221"/>
      <c r="OTL137" s="221"/>
      <c r="OTM137" s="258"/>
      <c r="OTN137" s="270"/>
      <c r="OTO137" s="271"/>
      <c r="OTP137" s="271"/>
      <c r="OTQ137" s="271"/>
      <c r="OTR137" s="221"/>
      <c r="OTS137" s="221"/>
      <c r="OTT137" s="221"/>
      <c r="OTU137" s="258"/>
      <c r="OTV137" s="270"/>
      <c r="OTW137" s="271"/>
      <c r="OTX137" s="271"/>
      <c r="OTY137" s="271"/>
      <c r="OTZ137" s="221"/>
      <c r="OUA137" s="221"/>
      <c r="OUB137" s="221"/>
      <c r="OUC137" s="258"/>
      <c r="OUD137" s="270"/>
      <c r="OUE137" s="271"/>
      <c r="OUF137" s="271"/>
      <c r="OUG137" s="271"/>
      <c r="OUH137" s="221"/>
      <c r="OUI137" s="221"/>
      <c r="OUJ137" s="221"/>
      <c r="OUK137" s="258"/>
      <c r="OUL137" s="270"/>
      <c r="OUM137" s="271"/>
      <c r="OUN137" s="271"/>
      <c r="OUO137" s="271"/>
      <c r="OUP137" s="221"/>
      <c r="OUQ137" s="221"/>
      <c r="OUR137" s="221"/>
      <c r="OUS137" s="258"/>
      <c r="OUT137" s="270"/>
      <c r="OUU137" s="271"/>
      <c r="OUV137" s="271"/>
      <c r="OUW137" s="271"/>
      <c r="OUX137" s="221"/>
      <c r="OUY137" s="221"/>
      <c r="OUZ137" s="221"/>
      <c r="OVA137" s="258"/>
      <c r="OVB137" s="270"/>
      <c r="OVC137" s="271"/>
      <c r="OVD137" s="271"/>
      <c r="OVE137" s="271"/>
      <c r="OVF137" s="221"/>
      <c r="OVG137" s="221"/>
      <c r="OVH137" s="221"/>
      <c r="OVI137" s="258"/>
      <c r="OVJ137" s="270"/>
      <c r="OVK137" s="271"/>
      <c r="OVL137" s="271"/>
      <c r="OVM137" s="271"/>
      <c r="OVN137" s="221"/>
      <c r="OVO137" s="221"/>
      <c r="OVP137" s="221"/>
      <c r="OVQ137" s="258"/>
      <c r="OVR137" s="270"/>
      <c r="OVS137" s="271"/>
      <c r="OVT137" s="271"/>
      <c r="OVU137" s="271"/>
      <c r="OVV137" s="221"/>
      <c r="OVW137" s="221"/>
      <c r="OVX137" s="221"/>
      <c r="OVY137" s="258"/>
      <c r="OVZ137" s="270"/>
      <c r="OWA137" s="271"/>
      <c r="OWB137" s="271"/>
      <c r="OWC137" s="271"/>
      <c r="OWD137" s="221"/>
      <c r="OWE137" s="221"/>
      <c r="OWF137" s="221"/>
      <c r="OWG137" s="258"/>
      <c r="OWH137" s="270"/>
      <c r="OWI137" s="271"/>
      <c r="OWJ137" s="271"/>
      <c r="OWK137" s="271"/>
      <c r="OWL137" s="221"/>
      <c r="OWM137" s="221"/>
      <c r="OWN137" s="221"/>
      <c r="OWO137" s="258"/>
      <c r="OWP137" s="270"/>
      <c r="OWQ137" s="271"/>
      <c r="OWR137" s="271"/>
      <c r="OWS137" s="271"/>
      <c r="OWT137" s="221"/>
      <c r="OWU137" s="221"/>
      <c r="OWV137" s="221"/>
      <c r="OWW137" s="258"/>
      <c r="OWX137" s="270"/>
      <c r="OWY137" s="271"/>
      <c r="OWZ137" s="271"/>
      <c r="OXA137" s="271"/>
      <c r="OXB137" s="221"/>
      <c r="OXC137" s="221"/>
      <c r="OXD137" s="221"/>
      <c r="OXE137" s="258"/>
      <c r="OXF137" s="270"/>
      <c r="OXG137" s="271"/>
      <c r="OXH137" s="271"/>
      <c r="OXI137" s="271"/>
      <c r="OXJ137" s="221"/>
      <c r="OXK137" s="221"/>
      <c r="OXL137" s="221"/>
      <c r="OXM137" s="258"/>
      <c r="OXN137" s="270"/>
      <c r="OXO137" s="271"/>
      <c r="OXP137" s="271"/>
      <c r="OXQ137" s="271"/>
      <c r="OXR137" s="221"/>
      <c r="OXS137" s="221"/>
      <c r="OXT137" s="221"/>
      <c r="OXU137" s="258"/>
      <c r="OXV137" s="270"/>
      <c r="OXW137" s="271"/>
      <c r="OXX137" s="271"/>
      <c r="OXY137" s="271"/>
      <c r="OXZ137" s="221"/>
      <c r="OYA137" s="221"/>
      <c r="OYB137" s="221"/>
      <c r="OYC137" s="258"/>
      <c r="OYD137" s="270"/>
      <c r="OYE137" s="271"/>
      <c r="OYF137" s="271"/>
      <c r="OYG137" s="271"/>
      <c r="OYH137" s="221"/>
      <c r="OYI137" s="221"/>
      <c r="OYJ137" s="221"/>
      <c r="OYK137" s="258"/>
      <c r="OYL137" s="270"/>
      <c r="OYM137" s="271"/>
      <c r="OYN137" s="271"/>
      <c r="OYO137" s="271"/>
      <c r="OYP137" s="221"/>
      <c r="OYQ137" s="221"/>
      <c r="OYR137" s="221"/>
      <c r="OYS137" s="258"/>
      <c r="OYT137" s="270"/>
      <c r="OYU137" s="271"/>
      <c r="OYV137" s="271"/>
      <c r="OYW137" s="271"/>
      <c r="OYX137" s="221"/>
      <c r="OYY137" s="221"/>
      <c r="OYZ137" s="221"/>
      <c r="OZA137" s="258"/>
      <c r="OZB137" s="270"/>
      <c r="OZC137" s="271"/>
      <c r="OZD137" s="271"/>
      <c r="OZE137" s="271"/>
      <c r="OZF137" s="221"/>
      <c r="OZG137" s="221"/>
      <c r="OZH137" s="221"/>
      <c r="OZI137" s="258"/>
      <c r="OZJ137" s="270"/>
      <c r="OZK137" s="271"/>
      <c r="OZL137" s="271"/>
      <c r="OZM137" s="271"/>
      <c r="OZN137" s="221"/>
      <c r="OZO137" s="221"/>
      <c r="OZP137" s="221"/>
      <c r="OZQ137" s="258"/>
      <c r="OZR137" s="270"/>
      <c r="OZS137" s="271"/>
      <c r="OZT137" s="271"/>
      <c r="OZU137" s="271"/>
      <c r="OZV137" s="221"/>
      <c r="OZW137" s="221"/>
      <c r="OZX137" s="221"/>
      <c r="OZY137" s="258"/>
      <c r="OZZ137" s="270"/>
      <c r="PAA137" s="271"/>
      <c r="PAB137" s="271"/>
      <c r="PAC137" s="271"/>
      <c r="PAD137" s="221"/>
      <c r="PAE137" s="221"/>
      <c r="PAF137" s="221"/>
      <c r="PAG137" s="258"/>
      <c r="PAH137" s="270"/>
      <c r="PAI137" s="271"/>
      <c r="PAJ137" s="271"/>
      <c r="PAK137" s="271"/>
      <c r="PAL137" s="221"/>
      <c r="PAM137" s="221"/>
      <c r="PAN137" s="221"/>
      <c r="PAO137" s="258"/>
      <c r="PAP137" s="270"/>
      <c r="PAQ137" s="271"/>
      <c r="PAR137" s="271"/>
      <c r="PAS137" s="271"/>
      <c r="PAT137" s="221"/>
      <c r="PAU137" s="221"/>
      <c r="PAV137" s="221"/>
      <c r="PAW137" s="258"/>
      <c r="PAX137" s="270"/>
      <c r="PAY137" s="271"/>
      <c r="PAZ137" s="271"/>
      <c r="PBA137" s="271"/>
      <c r="PBB137" s="221"/>
      <c r="PBC137" s="221"/>
      <c r="PBD137" s="221"/>
      <c r="PBE137" s="258"/>
      <c r="PBF137" s="270"/>
      <c r="PBG137" s="271"/>
      <c r="PBH137" s="271"/>
      <c r="PBI137" s="271"/>
      <c r="PBJ137" s="221"/>
      <c r="PBK137" s="221"/>
      <c r="PBL137" s="221"/>
      <c r="PBM137" s="258"/>
      <c r="PBN137" s="270"/>
      <c r="PBO137" s="271"/>
      <c r="PBP137" s="271"/>
      <c r="PBQ137" s="271"/>
      <c r="PBR137" s="221"/>
      <c r="PBS137" s="221"/>
      <c r="PBT137" s="221"/>
      <c r="PBU137" s="258"/>
      <c r="PBV137" s="270"/>
      <c r="PBW137" s="271"/>
      <c r="PBX137" s="271"/>
      <c r="PBY137" s="271"/>
      <c r="PBZ137" s="221"/>
      <c r="PCA137" s="221"/>
      <c r="PCB137" s="221"/>
      <c r="PCC137" s="258"/>
      <c r="PCD137" s="270"/>
      <c r="PCE137" s="271"/>
      <c r="PCF137" s="271"/>
      <c r="PCG137" s="271"/>
      <c r="PCH137" s="221"/>
      <c r="PCI137" s="221"/>
      <c r="PCJ137" s="221"/>
      <c r="PCK137" s="258"/>
      <c r="PCL137" s="270"/>
      <c r="PCM137" s="271"/>
      <c r="PCN137" s="271"/>
      <c r="PCO137" s="271"/>
      <c r="PCP137" s="221"/>
      <c r="PCQ137" s="221"/>
      <c r="PCR137" s="221"/>
      <c r="PCS137" s="258"/>
      <c r="PCT137" s="270"/>
      <c r="PCU137" s="271"/>
      <c r="PCV137" s="271"/>
      <c r="PCW137" s="271"/>
      <c r="PCX137" s="221"/>
      <c r="PCY137" s="221"/>
      <c r="PCZ137" s="221"/>
      <c r="PDA137" s="258"/>
      <c r="PDB137" s="270"/>
      <c r="PDC137" s="271"/>
      <c r="PDD137" s="271"/>
      <c r="PDE137" s="271"/>
      <c r="PDF137" s="221"/>
      <c r="PDG137" s="221"/>
      <c r="PDH137" s="221"/>
      <c r="PDI137" s="258"/>
      <c r="PDJ137" s="270"/>
      <c r="PDK137" s="271"/>
      <c r="PDL137" s="271"/>
      <c r="PDM137" s="271"/>
      <c r="PDN137" s="221"/>
      <c r="PDO137" s="221"/>
      <c r="PDP137" s="221"/>
      <c r="PDQ137" s="258"/>
      <c r="PDR137" s="270"/>
      <c r="PDS137" s="271"/>
      <c r="PDT137" s="271"/>
      <c r="PDU137" s="271"/>
      <c r="PDV137" s="221"/>
      <c r="PDW137" s="221"/>
      <c r="PDX137" s="221"/>
      <c r="PDY137" s="258"/>
      <c r="PDZ137" s="270"/>
      <c r="PEA137" s="271"/>
      <c r="PEB137" s="271"/>
      <c r="PEC137" s="271"/>
      <c r="PED137" s="221"/>
      <c r="PEE137" s="221"/>
      <c r="PEF137" s="221"/>
      <c r="PEG137" s="258"/>
      <c r="PEH137" s="270"/>
      <c r="PEI137" s="271"/>
      <c r="PEJ137" s="271"/>
      <c r="PEK137" s="271"/>
      <c r="PEL137" s="221"/>
      <c r="PEM137" s="221"/>
      <c r="PEN137" s="221"/>
      <c r="PEO137" s="258"/>
      <c r="PEP137" s="270"/>
      <c r="PEQ137" s="271"/>
      <c r="PER137" s="271"/>
      <c r="PES137" s="271"/>
      <c r="PET137" s="221"/>
      <c r="PEU137" s="221"/>
      <c r="PEV137" s="221"/>
      <c r="PEW137" s="258"/>
      <c r="PEX137" s="270"/>
      <c r="PEY137" s="271"/>
      <c r="PEZ137" s="271"/>
      <c r="PFA137" s="271"/>
      <c r="PFB137" s="221"/>
      <c r="PFC137" s="221"/>
      <c r="PFD137" s="221"/>
      <c r="PFE137" s="258"/>
      <c r="PFF137" s="270"/>
      <c r="PFG137" s="271"/>
      <c r="PFH137" s="271"/>
      <c r="PFI137" s="271"/>
      <c r="PFJ137" s="221"/>
      <c r="PFK137" s="221"/>
      <c r="PFL137" s="221"/>
      <c r="PFM137" s="258"/>
      <c r="PFN137" s="270"/>
      <c r="PFO137" s="271"/>
      <c r="PFP137" s="271"/>
      <c r="PFQ137" s="271"/>
      <c r="PFR137" s="221"/>
      <c r="PFS137" s="221"/>
      <c r="PFT137" s="221"/>
      <c r="PFU137" s="258"/>
      <c r="PFV137" s="270"/>
      <c r="PFW137" s="271"/>
      <c r="PFX137" s="271"/>
      <c r="PFY137" s="271"/>
      <c r="PFZ137" s="221"/>
      <c r="PGA137" s="221"/>
      <c r="PGB137" s="221"/>
      <c r="PGC137" s="258"/>
      <c r="PGD137" s="270"/>
      <c r="PGE137" s="271"/>
      <c r="PGF137" s="271"/>
      <c r="PGG137" s="271"/>
      <c r="PGH137" s="221"/>
      <c r="PGI137" s="221"/>
      <c r="PGJ137" s="221"/>
      <c r="PGK137" s="258"/>
      <c r="PGL137" s="270"/>
      <c r="PGM137" s="271"/>
      <c r="PGN137" s="271"/>
      <c r="PGO137" s="271"/>
      <c r="PGP137" s="221"/>
      <c r="PGQ137" s="221"/>
      <c r="PGR137" s="221"/>
      <c r="PGS137" s="258"/>
      <c r="PGT137" s="270"/>
      <c r="PGU137" s="271"/>
      <c r="PGV137" s="271"/>
      <c r="PGW137" s="271"/>
      <c r="PGX137" s="221"/>
      <c r="PGY137" s="221"/>
      <c r="PGZ137" s="221"/>
      <c r="PHA137" s="258"/>
      <c r="PHB137" s="270"/>
      <c r="PHC137" s="271"/>
      <c r="PHD137" s="271"/>
      <c r="PHE137" s="271"/>
      <c r="PHF137" s="221"/>
      <c r="PHG137" s="221"/>
      <c r="PHH137" s="221"/>
      <c r="PHI137" s="258"/>
      <c r="PHJ137" s="270"/>
      <c r="PHK137" s="271"/>
      <c r="PHL137" s="271"/>
      <c r="PHM137" s="271"/>
      <c r="PHN137" s="221"/>
      <c r="PHO137" s="221"/>
      <c r="PHP137" s="221"/>
      <c r="PHQ137" s="258"/>
      <c r="PHR137" s="270"/>
      <c r="PHS137" s="271"/>
      <c r="PHT137" s="271"/>
      <c r="PHU137" s="271"/>
      <c r="PHV137" s="221"/>
      <c r="PHW137" s="221"/>
      <c r="PHX137" s="221"/>
      <c r="PHY137" s="258"/>
      <c r="PHZ137" s="270"/>
      <c r="PIA137" s="271"/>
      <c r="PIB137" s="271"/>
      <c r="PIC137" s="271"/>
      <c r="PID137" s="221"/>
      <c r="PIE137" s="221"/>
      <c r="PIF137" s="221"/>
      <c r="PIG137" s="258"/>
      <c r="PIH137" s="270"/>
      <c r="PII137" s="271"/>
      <c r="PIJ137" s="271"/>
      <c r="PIK137" s="271"/>
      <c r="PIL137" s="221"/>
      <c r="PIM137" s="221"/>
      <c r="PIN137" s="221"/>
      <c r="PIO137" s="258"/>
      <c r="PIP137" s="270"/>
      <c r="PIQ137" s="271"/>
      <c r="PIR137" s="271"/>
      <c r="PIS137" s="271"/>
      <c r="PIT137" s="221"/>
      <c r="PIU137" s="221"/>
      <c r="PIV137" s="221"/>
      <c r="PIW137" s="258"/>
      <c r="PIX137" s="270"/>
      <c r="PIY137" s="271"/>
      <c r="PIZ137" s="271"/>
      <c r="PJA137" s="271"/>
      <c r="PJB137" s="221"/>
      <c r="PJC137" s="221"/>
      <c r="PJD137" s="221"/>
      <c r="PJE137" s="258"/>
      <c r="PJF137" s="270"/>
      <c r="PJG137" s="271"/>
      <c r="PJH137" s="271"/>
      <c r="PJI137" s="271"/>
      <c r="PJJ137" s="221"/>
      <c r="PJK137" s="221"/>
      <c r="PJL137" s="221"/>
      <c r="PJM137" s="258"/>
      <c r="PJN137" s="270"/>
      <c r="PJO137" s="271"/>
      <c r="PJP137" s="271"/>
      <c r="PJQ137" s="271"/>
      <c r="PJR137" s="221"/>
      <c r="PJS137" s="221"/>
      <c r="PJT137" s="221"/>
      <c r="PJU137" s="258"/>
      <c r="PJV137" s="270"/>
      <c r="PJW137" s="271"/>
      <c r="PJX137" s="271"/>
      <c r="PJY137" s="271"/>
      <c r="PJZ137" s="221"/>
      <c r="PKA137" s="221"/>
      <c r="PKB137" s="221"/>
      <c r="PKC137" s="258"/>
      <c r="PKD137" s="270"/>
      <c r="PKE137" s="271"/>
      <c r="PKF137" s="271"/>
      <c r="PKG137" s="271"/>
      <c r="PKH137" s="221"/>
      <c r="PKI137" s="221"/>
      <c r="PKJ137" s="221"/>
      <c r="PKK137" s="258"/>
      <c r="PKL137" s="270"/>
      <c r="PKM137" s="271"/>
      <c r="PKN137" s="271"/>
      <c r="PKO137" s="271"/>
      <c r="PKP137" s="221"/>
      <c r="PKQ137" s="221"/>
      <c r="PKR137" s="221"/>
      <c r="PKS137" s="258"/>
      <c r="PKT137" s="270"/>
      <c r="PKU137" s="271"/>
      <c r="PKV137" s="271"/>
      <c r="PKW137" s="271"/>
      <c r="PKX137" s="221"/>
      <c r="PKY137" s="221"/>
      <c r="PKZ137" s="221"/>
      <c r="PLA137" s="258"/>
      <c r="PLB137" s="270"/>
      <c r="PLC137" s="271"/>
      <c r="PLD137" s="271"/>
      <c r="PLE137" s="271"/>
      <c r="PLF137" s="221"/>
      <c r="PLG137" s="221"/>
      <c r="PLH137" s="221"/>
      <c r="PLI137" s="258"/>
      <c r="PLJ137" s="270"/>
      <c r="PLK137" s="271"/>
      <c r="PLL137" s="271"/>
      <c r="PLM137" s="271"/>
      <c r="PLN137" s="221"/>
      <c r="PLO137" s="221"/>
      <c r="PLP137" s="221"/>
      <c r="PLQ137" s="258"/>
      <c r="PLR137" s="270"/>
      <c r="PLS137" s="271"/>
      <c r="PLT137" s="271"/>
      <c r="PLU137" s="271"/>
      <c r="PLV137" s="221"/>
      <c r="PLW137" s="221"/>
      <c r="PLX137" s="221"/>
      <c r="PLY137" s="258"/>
      <c r="PLZ137" s="270"/>
      <c r="PMA137" s="271"/>
      <c r="PMB137" s="271"/>
      <c r="PMC137" s="271"/>
      <c r="PMD137" s="221"/>
      <c r="PME137" s="221"/>
      <c r="PMF137" s="221"/>
      <c r="PMG137" s="258"/>
      <c r="PMH137" s="270"/>
      <c r="PMI137" s="271"/>
      <c r="PMJ137" s="271"/>
      <c r="PMK137" s="271"/>
      <c r="PML137" s="221"/>
      <c r="PMM137" s="221"/>
      <c r="PMN137" s="221"/>
      <c r="PMO137" s="258"/>
      <c r="PMP137" s="270"/>
      <c r="PMQ137" s="271"/>
      <c r="PMR137" s="271"/>
      <c r="PMS137" s="271"/>
      <c r="PMT137" s="221"/>
      <c r="PMU137" s="221"/>
      <c r="PMV137" s="221"/>
      <c r="PMW137" s="258"/>
      <c r="PMX137" s="270"/>
      <c r="PMY137" s="271"/>
      <c r="PMZ137" s="271"/>
      <c r="PNA137" s="271"/>
      <c r="PNB137" s="221"/>
      <c r="PNC137" s="221"/>
      <c r="PND137" s="221"/>
      <c r="PNE137" s="258"/>
      <c r="PNF137" s="270"/>
      <c r="PNG137" s="271"/>
      <c r="PNH137" s="271"/>
      <c r="PNI137" s="271"/>
      <c r="PNJ137" s="221"/>
      <c r="PNK137" s="221"/>
      <c r="PNL137" s="221"/>
      <c r="PNM137" s="258"/>
      <c r="PNN137" s="270"/>
      <c r="PNO137" s="271"/>
      <c r="PNP137" s="271"/>
      <c r="PNQ137" s="271"/>
      <c r="PNR137" s="221"/>
      <c r="PNS137" s="221"/>
      <c r="PNT137" s="221"/>
      <c r="PNU137" s="258"/>
      <c r="PNV137" s="270"/>
      <c r="PNW137" s="271"/>
      <c r="PNX137" s="271"/>
      <c r="PNY137" s="271"/>
      <c r="PNZ137" s="221"/>
      <c r="POA137" s="221"/>
      <c r="POB137" s="221"/>
      <c r="POC137" s="258"/>
      <c r="POD137" s="270"/>
      <c r="POE137" s="271"/>
      <c r="POF137" s="271"/>
      <c r="POG137" s="271"/>
      <c r="POH137" s="221"/>
      <c r="POI137" s="221"/>
      <c r="POJ137" s="221"/>
      <c r="POK137" s="258"/>
      <c r="POL137" s="270"/>
      <c r="POM137" s="271"/>
      <c r="PON137" s="271"/>
      <c r="POO137" s="271"/>
      <c r="POP137" s="221"/>
      <c r="POQ137" s="221"/>
      <c r="POR137" s="221"/>
      <c r="POS137" s="258"/>
      <c r="POT137" s="270"/>
      <c r="POU137" s="271"/>
      <c r="POV137" s="271"/>
      <c r="POW137" s="271"/>
      <c r="POX137" s="221"/>
      <c r="POY137" s="221"/>
      <c r="POZ137" s="221"/>
      <c r="PPA137" s="258"/>
      <c r="PPB137" s="270"/>
      <c r="PPC137" s="271"/>
      <c r="PPD137" s="271"/>
      <c r="PPE137" s="271"/>
      <c r="PPF137" s="221"/>
      <c r="PPG137" s="221"/>
      <c r="PPH137" s="221"/>
      <c r="PPI137" s="258"/>
      <c r="PPJ137" s="270"/>
      <c r="PPK137" s="271"/>
      <c r="PPL137" s="271"/>
      <c r="PPM137" s="271"/>
      <c r="PPN137" s="221"/>
      <c r="PPO137" s="221"/>
      <c r="PPP137" s="221"/>
      <c r="PPQ137" s="258"/>
      <c r="PPR137" s="270"/>
      <c r="PPS137" s="271"/>
      <c r="PPT137" s="271"/>
      <c r="PPU137" s="271"/>
      <c r="PPV137" s="221"/>
      <c r="PPW137" s="221"/>
      <c r="PPX137" s="221"/>
      <c r="PPY137" s="258"/>
      <c r="PPZ137" s="270"/>
      <c r="PQA137" s="271"/>
      <c r="PQB137" s="271"/>
      <c r="PQC137" s="271"/>
      <c r="PQD137" s="221"/>
      <c r="PQE137" s="221"/>
      <c r="PQF137" s="221"/>
      <c r="PQG137" s="258"/>
      <c r="PQH137" s="270"/>
      <c r="PQI137" s="271"/>
      <c r="PQJ137" s="271"/>
      <c r="PQK137" s="271"/>
      <c r="PQL137" s="221"/>
      <c r="PQM137" s="221"/>
      <c r="PQN137" s="221"/>
      <c r="PQO137" s="258"/>
      <c r="PQP137" s="270"/>
      <c r="PQQ137" s="271"/>
      <c r="PQR137" s="271"/>
      <c r="PQS137" s="271"/>
      <c r="PQT137" s="221"/>
      <c r="PQU137" s="221"/>
      <c r="PQV137" s="221"/>
      <c r="PQW137" s="258"/>
      <c r="PQX137" s="270"/>
      <c r="PQY137" s="271"/>
      <c r="PQZ137" s="271"/>
      <c r="PRA137" s="271"/>
      <c r="PRB137" s="221"/>
      <c r="PRC137" s="221"/>
      <c r="PRD137" s="221"/>
      <c r="PRE137" s="258"/>
      <c r="PRF137" s="270"/>
      <c r="PRG137" s="271"/>
      <c r="PRH137" s="271"/>
      <c r="PRI137" s="271"/>
      <c r="PRJ137" s="221"/>
      <c r="PRK137" s="221"/>
      <c r="PRL137" s="221"/>
      <c r="PRM137" s="258"/>
      <c r="PRN137" s="270"/>
      <c r="PRO137" s="271"/>
      <c r="PRP137" s="271"/>
      <c r="PRQ137" s="271"/>
      <c r="PRR137" s="221"/>
      <c r="PRS137" s="221"/>
      <c r="PRT137" s="221"/>
      <c r="PRU137" s="258"/>
      <c r="PRV137" s="270"/>
      <c r="PRW137" s="271"/>
      <c r="PRX137" s="271"/>
      <c r="PRY137" s="271"/>
      <c r="PRZ137" s="221"/>
      <c r="PSA137" s="221"/>
      <c r="PSB137" s="221"/>
      <c r="PSC137" s="258"/>
      <c r="PSD137" s="270"/>
      <c r="PSE137" s="271"/>
      <c r="PSF137" s="271"/>
      <c r="PSG137" s="271"/>
      <c r="PSH137" s="221"/>
      <c r="PSI137" s="221"/>
      <c r="PSJ137" s="221"/>
      <c r="PSK137" s="258"/>
      <c r="PSL137" s="270"/>
      <c r="PSM137" s="271"/>
      <c r="PSN137" s="271"/>
      <c r="PSO137" s="271"/>
      <c r="PSP137" s="221"/>
      <c r="PSQ137" s="221"/>
      <c r="PSR137" s="221"/>
      <c r="PSS137" s="258"/>
      <c r="PST137" s="270"/>
      <c r="PSU137" s="271"/>
      <c r="PSV137" s="271"/>
      <c r="PSW137" s="271"/>
      <c r="PSX137" s="221"/>
      <c r="PSY137" s="221"/>
      <c r="PSZ137" s="221"/>
      <c r="PTA137" s="258"/>
      <c r="PTB137" s="270"/>
      <c r="PTC137" s="271"/>
      <c r="PTD137" s="271"/>
      <c r="PTE137" s="271"/>
      <c r="PTF137" s="221"/>
      <c r="PTG137" s="221"/>
      <c r="PTH137" s="221"/>
      <c r="PTI137" s="258"/>
      <c r="PTJ137" s="270"/>
      <c r="PTK137" s="271"/>
      <c r="PTL137" s="271"/>
      <c r="PTM137" s="271"/>
      <c r="PTN137" s="221"/>
      <c r="PTO137" s="221"/>
      <c r="PTP137" s="221"/>
      <c r="PTQ137" s="258"/>
      <c r="PTR137" s="270"/>
      <c r="PTS137" s="271"/>
      <c r="PTT137" s="271"/>
      <c r="PTU137" s="271"/>
      <c r="PTV137" s="221"/>
      <c r="PTW137" s="221"/>
      <c r="PTX137" s="221"/>
      <c r="PTY137" s="258"/>
      <c r="PTZ137" s="270"/>
      <c r="PUA137" s="271"/>
      <c r="PUB137" s="271"/>
      <c r="PUC137" s="271"/>
      <c r="PUD137" s="221"/>
      <c r="PUE137" s="221"/>
      <c r="PUF137" s="221"/>
      <c r="PUG137" s="258"/>
      <c r="PUH137" s="270"/>
      <c r="PUI137" s="271"/>
      <c r="PUJ137" s="271"/>
      <c r="PUK137" s="271"/>
      <c r="PUL137" s="221"/>
      <c r="PUM137" s="221"/>
      <c r="PUN137" s="221"/>
      <c r="PUO137" s="258"/>
      <c r="PUP137" s="270"/>
      <c r="PUQ137" s="271"/>
      <c r="PUR137" s="271"/>
      <c r="PUS137" s="271"/>
      <c r="PUT137" s="221"/>
      <c r="PUU137" s="221"/>
      <c r="PUV137" s="221"/>
      <c r="PUW137" s="258"/>
      <c r="PUX137" s="270"/>
      <c r="PUY137" s="271"/>
      <c r="PUZ137" s="271"/>
      <c r="PVA137" s="271"/>
      <c r="PVB137" s="221"/>
      <c r="PVC137" s="221"/>
      <c r="PVD137" s="221"/>
      <c r="PVE137" s="258"/>
      <c r="PVF137" s="270"/>
      <c r="PVG137" s="271"/>
      <c r="PVH137" s="271"/>
      <c r="PVI137" s="271"/>
      <c r="PVJ137" s="221"/>
      <c r="PVK137" s="221"/>
      <c r="PVL137" s="221"/>
      <c r="PVM137" s="258"/>
      <c r="PVN137" s="270"/>
      <c r="PVO137" s="271"/>
      <c r="PVP137" s="271"/>
      <c r="PVQ137" s="271"/>
      <c r="PVR137" s="221"/>
      <c r="PVS137" s="221"/>
      <c r="PVT137" s="221"/>
      <c r="PVU137" s="258"/>
      <c r="PVV137" s="270"/>
      <c r="PVW137" s="271"/>
      <c r="PVX137" s="271"/>
      <c r="PVY137" s="271"/>
      <c r="PVZ137" s="221"/>
      <c r="PWA137" s="221"/>
      <c r="PWB137" s="221"/>
      <c r="PWC137" s="258"/>
      <c r="PWD137" s="270"/>
      <c r="PWE137" s="271"/>
      <c r="PWF137" s="271"/>
      <c r="PWG137" s="271"/>
      <c r="PWH137" s="221"/>
      <c r="PWI137" s="221"/>
      <c r="PWJ137" s="221"/>
      <c r="PWK137" s="258"/>
      <c r="PWL137" s="270"/>
      <c r="PWM137" s="271"/>
      <c r="PWN137" s="271"/>
      <c r="PWO137" s="271"/>
      <c r="PWP137" s="221"/>
      <c r="PWQ137" s="221"/>
      <c r="PWR137" s="221"/>
      <c r="PWS137" s="258"/>
      <c r="PWT137" s="270"/>
      <c r="PWU137" s="271"/>
      <c r="PWV137" s="271"/>
      <c r="PWW137" s="271"/>
      <c r="PWX137" s="221"/>
      <c r="PWY137" s="221"/>
      <c r="PWZ137" s="221"/>
      <c r="PXA137" s="258"/>
      <c r="PXB137" s="270"/>
      <c r="PXC137" s="271"/>
      <c r="PXD137" s="271"/>
      <c r="PXE137" s="271"/>
      <c r="PXF137" s="221"/>
      <c r="PXG137" s="221"/>
      <c r="PXH137" s="221"/>
      <c r="PXI137" s="258"/>
      <c r="PXJ137" s="270"/>
      <c r="PXK137" s="271"/>
      <c r="PXL137" s="271"/>
      <c r="PXM137" s="271"/>
      <c r="PXN137" s="221"/>
      <c r="PXO137" s="221"/>
      <c r="PXP137" s="221"/>
      <c r="PXQ137" s="258"/>
      <c r="PXR137" s="270"/>
      <c r="PXS137" s="271"/>
      <c r="PXT137" s="271"/>
      <c r="PXU137" s="271"/>
      <c r="PXV137" s="221"/>
      <c r="PXW137" s="221"/>
      <c r="PXX137" s="221"/>
      <c r="PXY137" s="258"/>
      <c r="PXZ137" s="270"/>
      <c r="PYA137" s="271"/>
      <c r="PYB137" s="271"/>
      <c r="PYC137" s="271"/>
      <c r="PYD137" s="221"/>
      <c r="PYE137" s="221"/>
      <c r="PYF137" s="221"/>
      <c r="PYG137" s="258"/>
      <c r="PYH137" s="270"/>
      <c r="PYI137" s="271"/>
      <c r="PYJ137" s="271"/>
      <c r="PYK137" s="271"/>
      <c r="PYL137" s="221"/>
      <c r="PYM137" s="221"/>
      <c r="PYN137" s="221"/>
      <c r="PYO137" s="258"/>
      <c r="PYP137" s="270"/>
      <c r="PYQ137" s="271"/>
      <c r="PYR137" s="271"/>
      <c r="PYS137" s="271"/>
      <c r="PYT137" s="221"/>
      <c r="PYU137" s="221"/>
      <c r="PYV137" s="221"/>
      <c r="PYW137" s="258"/>
      <c r="PYX137" s="270"/>
      <c r="PYY137" s="271"/>
      <c r="PYZ137" s="271"/>
      <c r="PZA137" s="271"/>
      <c r="PZB137" s="221"/>
      <c r="PZC137" s="221"/>
      <c r="PZD137" s="221"/>
      <c r="PZE137" s="258"/>
      <c r="PZF137" s="270"/>
      <c r="PZG137" s="271"/>
      <c r="PZH137" s="271"/>
      <c r="PZI137" s="271"/>
      <c r="PZJ137" s="221"/>
      <c r="PZK137" s="221"/>
      <c r="PZL137" s="221"/>
      <c r="PZM137" s="258"/>
      <c r="PZN137" s="270"/>
      <c r="PZO137" s="271"/>
      <c r="PZP137" s="271"/>
      <c r="PZQ137" s="271"/>
      <c r="PZR137" s="221"/>
      <c r="PZS137" s="221"/>
      <c r="PZT137" s="221"/>
      <c r="PZU137" s="258"/>
      <c r="PZV137" s="270"/>
      <c r="PZW137" s="271"/>
      <c r="PZX137" s="271"/>
      <c r="PZY137" s="271"/>
      <c r="PZZ137" s="221"/>
      <c r="QAA137" s="221"/>
      <c r="QAB137" s="221"/>
      <c r="QAC137" s="258"/>
      <c r="QAD137" s="270"/>
      <c r="QAE137" s="271"/>
      <c r="QAF137" s="271"/>
      <c r="QAG137" s="271"/>
      <c r="QAH137" s="221"/>
      <c r="QAI137" s="221"/>
      <c r="QAJ137" s="221"/>
      <c r="QAK137" s="258"/>
      <c r="QAL137" s="270"/>
      <c r="QAM137" s="271"/>
      <c r="QAN137" s="271"/>
      <c r="QAO137" s="271"/>
      <c r="QAP137" s="221"/>
      <c r="QAQ137" s="221"/>
      <c r="QAR137" s="221"/>
      <c r="QAS137" s="258"/>
      <c r="QAT137" s="270"/>
      <c r="QAU137" s="271"/>
      <c r="QAV137" s="271"/>
      <c r="QAW137" s="271"/>
      <c r="QAX137" s="221"/>
      <c r="QAY137" s="221"/>
      <c r="QAZ137" s="221"/>
      <c r="QBA137" s="258"/>
      <c r="QBB137" s="270"/>
      <c r="QBC137" s="271"/>
      <c r="QBD137" s="271"/>
      <c r="QBE137" s="271"/>
      <c r="QBF137" s="221"/>
      <c r="QBG137" s="221"/>
      <c r="QBH137" s="221"/>
      <c r="QBI137" s="258"/>
      <c r="QBJ137" s="270"/>
      <c r="QBK137" s="271"/>
      <c r="QBL137" s="271"/>
      <c r="QBM137" s="271"/>
      <c r="QBN137" s="221"/>
      <c r="QBO137" s="221"/>
      <c r="QBP137" s="221"/>
      <c r="QBQ137" s="258"/>
      <c r="QBR137" s="270"/>
      <c r="QBS137" s="271"/>
      <c r="QBT137" s="271"/>
      <c r="QBU137" s="271"/>
      <c r="QBV137" s="221"/>
      <c r="QBW137" s="221"/>
      <c r="QBX137" s="221"/>
      <c r="QBY137" s="258"/>
      <c r="QBZ137" s="270"/>
      <c r="QCA137" s="271"/>
      <c r="QCB137" s="271"/>
      <c r="QCC137" s="271"/>
      <c r="QCD137" s="221"/>
      <c r="QCE137" s="221"/>
      <c r="QCF137" s="221"/>
      <c r="QCG137" s="258"/>
      <c r="QCH137" s="270"/>
      <c r="QCI137" s="271"/>
      <c r="QCJ137" s="271"/>
      <c r="QCK137" s="271"/>
      <c r="QCL137" s="221"/>
      <c r="QCM137" s="221"/>
      <c r="QCN137" s="221"/>
      <c r="QCO137" s="258"/>
      <c r="QCP137" s="270"/>
      <c r="QCQ137" s="271"/>
      <c r="QCR137" s="271"/>
      <c r="QCS137" s="271"/>
      <c r="QCT137" s="221"/>
      <c r="QCU137" s="221"/>
      <c r="QCV137" s="221"/>
      <c r="QCW137" s="258"/>
      <c r="QCX137" s="270"/>
      <c r="QCY137" s="271"/>
      <c r="QCZ137" s="271"/>
      <c r="QDA137" s="271"/>
      <c r="QDB137" s="221"/>
      <c r="QDC137" s="221"/>
      <c r="QDD137" s="221"/>
      <c r="QDE137" s="258"/>
      <c r="QDF137" s="270"/>
      <c r="QDG137" s="271"/>
      <c r="QDH137" s="271"/>
      <c r="QDI137" s="271"/>
      <c r="QDJ137" s="221"/>
      <c r="QDK137" s="221"/>
      <c r="QDL137" s="221"/>
      <c r="QDM137" s="258"/>
      <c r="QDN137" s="270"/>
      <c r="QDO137" s="271"/>
      <c r="QDP137" s="271"/>
      <c r="QDQ137" s="271"/>
      <c r="QDR137" s="221"/>
      <c r="QDS137" s="221"/>
      <c r="QDT137" s="221"/>
      <c r="QDU137" s="258"/>
      <c r="QDV137" s="270"/>
      <c r="QDW137" s="271"/>
      <c r="QDX137" s="271"/>
      <c r="QDY137" s="271"/>
      <c r="QDZ137" s="221"/>
      <c r="QEA137" s="221"/>
      <c r="QEB137" s="221"/>
      <c r="QEC137" s="258"/>
      <c r="QED137" s="270"/>
      <c r="QEE137" s="271"/>
      <c r="QEF137" s="271"/>
      <c r="QEG137" s="271"/>
      <c r="QEH137" s="221"/>
      <c r="QEI137" s="221"/>
      <c r="QEJ137" s="221"/>
      <c r="QEK137" s="258"/>
      <c r="QEL137" s="270"/>
      <c r="QEM137" s="271"/>
      <c r="QEN137" s="271"/>
      <c r="QEO137" s="271"/>
      <c r="QEP137" s="221"/>
      <c r="QEQ137" s="221"/>
      <c r="QER137" s="221"/>
      <c r="QES137" s="258"/>
      <c r="QET137" s="270"/>
      <c r="QEU137" s="271"/>
      <c r="QEV137" s="271"/>
      <c r="QEW137" s="271"/>
      <c r="QEX137" s="221"/>
      <c r="QEY137" s="221"/>
      <c r="QEZ137" s="221"/>
      <c r="QFA137" s="258"/>
      <c r="QFB137" s="270"/>
      <c r="QFC137" s="271"/>
      <c r="QFD137" s="271"/>
      <c r="QFE137" s="271"/>
      <c r="QFF137" s="221"/>
      <c r="QFG137" s="221"/>
      <c r="QFH137" s="221"/>
      <c r="QFI137" s="258"/>
      <c r="QFJ137" s="270"/>
      <c r="QFK137" s="271"/>
      <c r="QFL137" s="271"/>
      <c r="QFM137" s="271"/>
      <c r="QFN137" s="221"/>
      <c r="QFO137" s="221"/>
      <c r="QFP137" s="221"/>
      <c r="QFQ137" s="258"/>
      <c r="QFR137" s="270"/>
      <c r="QFS137" s="271"/>
      <c r="QFT137" s="271"/>
      <c r="QFU137" s="271"/>
      <c r="QFV137" s="221"/>
      <c r="QFW137" s="221"/>
      <c r="QFX137" s="221"/>
      <c r="QFY137" s="258"/>
      <c r="QFZ137" s="270"/>
      <c r="QGA137" s="271"/>
      <c r="QGB137" s="271"/>
      <c r="QGC137" s="271"/>
      <c r="QGD137" s="221"/>
      <c r="QGE137" s="221"/>
      <c r="QGF137" s="221"/>
      <c r="QGG137" s="258"/>
      <c r="QGH137" s="270"/>
      <c r="QGI137" s="271"/>
      <c r="QGJ137" s="271"/>
      <c r="QGK137" s="271"/>
      <c r="QGL137" s="221"/>
      <c r="QGM137" s="221"/>
      <c r="QGN137" s="221"/>
      <c r="QGO137" s="258"/>
      <c r="QGP137" s="270"/>
      <c r="QGQ137" s="271"/>
      <c r="QGR137" s="271"/>
      <c r="QGS137" s="271"/>
      <c r="QGT137" s="221"/>
      <c r="QGU137" s="221"/>
      <c r="QGV137" s="221"/>
      <c r="QGW137" s="258"/>
      <c r="QGX137" s="270"/>
      <c r="QGY137" s="271"/>
      <c r="QGZ137" s="271"/>
      <c r="QHA137" s="271"/>
      <c r="QHB137" s="221"/>
      <c r="QHC137" s="221"/>
      <c r="QHD137" s="221"/>
      <c r="QHE137" s="258"/>
      <c r="QHF137" s="270"/>
      <c r="QHG137" s="271"/>
      <c r="QHH137" s="271"/>
      <c r="QHI137" s="271"/>
      <c r="QHJ137" s="221"/>
      <c r="QHK137" s="221"/>
      <c r="QHL137" s="221"/>
      <c r="QHM137" s="258"/>
      <c r="QHN137" s="270"/>
      <c r="QHO137" s="271"/>
      <c r="QHP137" s="271"/>
      <c r="QHQ137" s="271"/>
      <c r="QHR137" s="221"/>
      <c r="QHS137" s="221"/>
      <c r="QHT137" s="221"/>
      <c r="QHU137" s="258"/>
      <c r="QHV137" s="270"/>
      <c r="QHW137" s="271"/>
      <c r="QHX137" s="271"/>
      <c r="QHY137" s="271"/>
      <c r="QHZ137" s="221"/>
      <c r="QIA137" s="221"/>
      <c r="QIB137" s="221"/>
      <c r="QIC137" s="258"/>
      <c r="QID137" s="270"/>
      <c r="QIE137" s="271"/>
      <c r="QIF137" s="271"/>
      <c r="QIG137" s="271"/>
      <c r="QIH137" s="221"/>
      <c r="QII137" s="221"/>
      <c r="QIJ137" s="221"/>
      <c r="QIK137" s="258"/>
      <c r="QIL137" s="270"/>
      <c r="QIM137" s="271"/>
      <c r="QIN137" s="271"/>
      <c r="QIO137" s="271"/>
      <c r="QIP137" s="221"/>
      <c r="QIQ137" s="221"/>
      <c r="QIR137" s="221"/>
      <c r="QIS137" s="258"/>
      <c r="QIT137" s="270"/>
      <c r="QIU137" s="271"/>
      <c r="QIV137" s="271"/>
      <c r="QIW137" s="271"/>
      <c r="QIX137" s="221"/>
      <c r="QIY137" s="221"/>
      <c r="QIZ137" s="221"/>
      <c r="QJA137" s="258"/>
      <c r="QJB137" s="270"/>
      <c r="QJC137" s="271"/>
      <c r="QJD137" s="271"/>
      <c r="QJE137" s="271"/>
      <c r="QJF137" s="221"/>
      <c r="QJG137" s="221"/>
      <c r="QJH137" s="221"/>
      <c r="QJI137" s="258"/>
      <c r="QJJ137" s="270"/>
      <c r="QJK137" s="271"/>
      <c r="QJL137" s="271"/>
      <c r="QJM137" s="271"/>
      <c r="QJN137" s="221"/>
      <c r="QJO137" s="221"/>
      <c r="QJP137" s="221"/>
      <c r="QJQ137" s="258"/>
      <c r="QJR137" s="270"/>
      <c r="QJS137" s="271"/>
      <c r="QJT137" s="271"/>
      <c r="QJU137" s="271"/>
      <c r="QJV137" s="221"/>
      <c r="QJW137" s="221"/>
      <c r="QJX137" s="221"/>
      <c r="QJY137" s="258"/>
      <c r="QJZ137" s="270"/>
      <c r="QKA137" s="271"/>
      <c r="QKB137" s="271"/>
      <c r="QKC137" s="271"/>
      <c r="QKD137" s="221"/>
      <c r="QKE137" s="221"/>
      <c r="QKF137" s="221"/>
      <c r="QKG137" s="258"/>
      <c r="QKH137" s="270"/>
      <c r="QKI137" s="271"/>
      <c r="QKJ137" s="271"/>
      <c r="QKK137" s="271"/>
      <c r="QKL137" s="221"/>
      <c r="QKM137" s="221"/>
      <c r="QKN137" s="221"/>
      <c r="QKO137" s="258"/>
      <c r="QKP137" s="270"/>
      <c r="QKQ137" s="271"/>
      <c r="QKR137" s="271"/>
      <c r="QKS137" s="271"/>
      <c r="QKT137" s="221"/>
      <c r="QKU137" s="221"/>
      <c r="QKV137" s="221"/>
      <c r="QKW137" s="258"/>
      <c r="QKX137" s="270"/>
      <c r="QKY137" s="271"/>
      <c r="QKZ137" s="271"/>
      <c r="QLA137" s="271"/>
      <c r="QLB137" s="221"/>
      <c r="QLC137" s="221"/>
      <c r="QLD137" s="221"/>
      <c r="QLE137" s="258"/>
      <c r="QLF137" s="270"/>
      <c r="QLG137" s="271"/>
      <c r="QLH137" s="271"/>
      <c r="QLI137" s="271"/>
      <c r="QLJ137" s="221"/>
      <c r="QLK137" s="221"/>
      <c r="QLL137" s="221"/>
      <c r="QLM137" s="258"/>
      <c r="QLN137" s="270"/>
      <c r="QLO137" s="271"/>
      <c r="QLP137" s="271"/>
      <c r="QLQ137" s="271"/>
      <c r="QLR137" s="221"/>
      <c r="QLS137" s="221"/>
      <c r="QLT137" s="221"/>
      <c r="QLU137" s="258"/>
      <c r="QLV137" s="270"/>
      <c r="QLW137" s="271"/>
      <c r="QLX137" s="271"/>
      <c r="QLY137" s="271"/>
      <c r="QLZ137" s="221"/>
      <c r="QMA137" s="221"/>
      <c r="QMB137" s="221"/>
      <c r="QMC137" s="258"/>
      <c r="QMD137" s="270"/>
      <c r="QME137" s="271"/>
      <c r="QMF137" s="271"/>
      <c r="QMG137" s="271"/>
      <c r="QMH137" s="221"/>
      <c r="QMI137" s="221"/>
      <c r="QMJ137" s="221"/>
      <c r="QMK137" s="258"/>
      <c r="QML137" s="270"/>
      <c r="QMM137" s="271"/>
      <c r="QMN137" s="271"/>
      <c r="QMO137" s="271"/>
      <c r="QMP137" s="221"/>
      <c r="QMQ137" s="221"/>
      <c r="QMR137" s="221"/>
      <c r="QMS137" s="258"/>
      <c r="QMT137" s="270"/>
      <c r="QMU137" s="271"/>
      <c r="QMV137" s="271"/>
      <c r="QMW137" s="271"/>
      <c r="QMX137" s="221"/>
      <c r="QMY137" s="221"/>
      <c r="QMZ137" s="221"/>
      <c r="QNA137" s="258"/>
      <c r="QNB137" s="270"/>
      <c r="QNC137" s="271"/>
      <c r="QND137" s="271"/>
      <c r="QNE137" s="271"/>
      <c r="QNF137" s="221"/>
      <c r="QNG137" s="221"/>
      <c r="QNH137" s="221"/>
      <c r="QNI137" s="258"/>
      <c r="QNJ137" s="270"/>
      <c r="QNK137" s="271"/>
      <c r="QNL137" s="271"/>
      <c r="QNM137" s="271"/>
      <c r="QNN137" s="221"/>
      <c r="QNO137" s="221"/>
      <c r="QNP137" s="221"/>
      <c r="QNQ137" s="258"/>
      <c r="QNR137" s="270"/>
      <c r="QNS137" s="271"/>
      <c r="QNT137" s="271"/>
      <c r="QNU137" s="271"/>
      <c r="QNV137" s="221"/>
      <c r="QNW137" s="221"/>
      <c r="QNX137" s="221"/>
      <c r="QNY137" s="258"/>
      <c r="QNZ137" s="270"/>
      <c r="QOA137" s="271"/>
      <c r="QOB137" s="271"/>
      <c r="QOC137" s="271"/>
      <c r="QOD137" s="221"/>
      <c r="QOE137" s="221"/>
      <c r="QOF137" s="221"/>
      <c r="QOG137" s="258"/>
      <c r="QOH137" s="270"/>
      <c r="QOI137" s="271"/>
      <c r="QOJ137" s="271"/>
      <c r="QOK137" s="271"/>
      <c r="QOL137" s="221"/>
      <c r="QOM137" s="221"/>
      <c r="QON137" s="221"/>
      <c r="QOO137" s="258"/>
      <c r="QOP137" s="270"/>
      <c r="QOQ137" s="271"/>
      <c r="QOR137" s="271"/>
      <c r="QOS137" s="271"/>
      <c r="QOT137" s="221"/>
      <c r="QOU137" s="221"/>
      <c r="QOV137" s="221"/>
      <c r="QOW137" s="258"/>
      <c r="QOX137" s="270"/>
      <c r="QOY137" s="271"/>
      <c r="QOZ137" s="271"/>
      <c r="QPA137" s="271"/>
      <c r="QPB137" s="221"/>
      <c r="QPC137" s="221"/>
      <c r="QPD137" s="221"/>
      <c r="QPE137" s="258"/>
      <c r="QPF137" s="270"/>
      <c r="QPG137" s="271"/>
      <c r="QPH137" s="271"/>
      <c r="QPI137" s="271"/>
      <c r="QPJ137" s="221"/>
      <c r="QPK137" s="221"/>
      <c r="QPL137" s="221"/>
      <c r="QPM137" s="258"/>
      <c r="QPN137" s="270"/>
      <c r="QPO137" s="271"/>
      <c r="QPP137" s="271"/>
      <c r="QPQ137" s="271"/>
      <c r="QPR137" s="221"/>
      <c r="QPS137" s="221"/>
      <c r="QPT137" s="221"/>
      <c r="QPU137" s="258"/>
      <c r="QPV137" s="270"/>
      <c r="QPW137" s="271"/>
      <c r="QPX137" s="271"/>
      <c r="QPY137" s="271"/>
      <c r="QPZ137" s="221"/>
      <c r="QQA137" s="221"/>
      <c r="QQB137" s="221"/>
      <c r="QQC137" s="258"/>
      <c r="QQD137" s="270"/>
      <c r="QQE137" s="271"/>
      <c r="QQF137" s="271"/>
      <c r="QQG137" s="271"/>
      <c r="QQH137" s="221"/>
      <c r="QQI137" s="221"/>
      <c r="QQJ137" s="221"/>
      <c r="QQK137" s="258"/>
      <c r="QQL137" s="270"/>
      <c r="QQM137" s="271"/>
      <c r="QQN137" s="271"/>
      <c r="QQO137" s="271"/>
      <c r="QQP137" s="221"/>
      <c r="QQQ137" s="221"/>
      <c r="QQR137" s="221"/>
      <c r="QQS137" s="258"/>
      <c r="QQT137" s="270"/>
      <c r="QQU137" s="271"/>
      <c r="QQV137" s="271"/>
      <c r="QQW137" s="271"/>
      <c r="QQX137" s="221"/>
      <c r="QQY137" s="221"/>
      <c r="QQZ137" s="221"/>
      <c r="QRA137" s="258"/>
      <c r="QRB137" s="270"/>
      <c r="QRC137" s="271"/>
      <c r="QRD137" s="271"/>
      <c r="QRE137" s="271"/>
      <c r="QRF137" s="221"/>
      <c r="QRG137" s="221"/>
      <c r="QRH137" s="221"/>
      <c r="QRI137" s="258"/>
      <c r="QRJ137" s="270"/>
      <c r="QRK137" s="271"/>
      <c r="QRL137" s="271"/>
      <c r="QRM137" s="271"/>
      <c r="QRN137" s="221"/>
      <c r="QRO137" s="221"/>
      <c r="QRP137" s="221"/>
      <c r="QRQ137" s="258"/>
      <c r="QRR137" s="270"/>
      <c r="QRS137" s="271"/>
      <c r="QRT137" s="271"/>
      <c r="QRU137" s="271"/>
      <c r="QRV137" s="221"/>
      <c r="QRW137" s="221"/>
      <c r="QRX137" s="221"/>
      <c r="QRY137" s="258"/>
      <c r="QRZ137" s="270"/>
      <c r="QSA137" s="271"/>
      <c r="QSB137" s="271"/>
      <c r="QSC137" s="271"/>
      <c r="QSD137" s="221"/>
      <c r="QSE137" s="221"/>
      <c r="QSF137" s="221"/>
      <c r="QSG137" s="258"/>
      <c r="QSH137" s="270"/>
      <c r="QSI137" s="271"/>
      <c r="QSJ137" s="271"/>
      <c r="QSK137" s="271"/>
      <c r="QSL137" s="221"/>
      <c r="QSM137" s="221"/>
      <c r="QSN137" s="221"/>
      <c r="QSO137" s="258"/>
      <c r="QSP137" s="270"/>
      <c r="QSQ137" s="271"/>
      <c r="QSR137" s="271"/>
      <c r="QSS137" s="271"/>
      <c r="QST137" s="221"/>
      <c r="QSU137" s="221"/>
      <c r="QSV137" s="221"/>
      <c r="QSW137" s="258"/>
      <c r="QSX137" s="270"/>
      <c r="QSY137" s="271"/>
      <c r="QSZ137" s="271"/>
      <c r="QTA137" s="271"/>
      <c r="QTB137" s="221"/>
      <c r="QTC137" s="221"/>
      <c r="QTD137" s="221"/>
      <c r="QTE137" s="258"/>
      <c r="QTF137" s="270"/>
      <c r="QTG137" s="271"/>
      <c r="QTH137" s="271"/>
      <c r="QTI137" s="271"/>
      <c r="QTJ137" s="221"/>
      <c r="QTK137" s="221"/>
      <c r="QTL137" s="221"/>
      <c r="QTM137" s="258"/>
      <c r="QTN137" s="270"/>
      <c r="QTO137" s="271"/>
      <c r="QTP137" s="271"/>
      <c r="QTQ137" s="271"/>
      <c r="QTR137" s="221"/>
      <c r="QTS137" s="221"/>
      <c r="QTT137" s="221"/>
      <c r="QTU137" s="258"/>
      <c r="QTV137" s="270"/>
      <c r="QTW137" s="271"/>
      <c r="QTX137" s="271"/>
      <c r="QTY137" s="271"/>
      <c r="QTZ137" s="221"/>
      <c r="QUA137" s="221"/>
      <c r="QUB137" s="221"/>
      <c r="QUC137" s="258"/>
      <c r="QUD137" s="270"/>
      <c r="QUE137" s="271"/>
      <c r="QUF137" s="271"/>
      <c r="QUG137" s="271"/>
      <c r="QUH137" s="221"/>
      <c r="QUI137" s="221"/>
      <c r="QUJ137" s="221"/>
      <c r="QUK137" s="258"/>
      <c r="QUL137" s="270"/>
      <c r="QUM137" s="271"/>
      <c r="QUN137" s="271"/>
      <c r="QUO137" s="271"/>
      <c r="QUP137" s="221"/>
      <c r="QUQ137" s="221"/>
      <c r="QUR137" s="221"/>
      <c r="QUS137" s="258"/>
      <c r="QUT137" s="270"/>
      <c r="QUU137" s="271"/>
      <c r="QUV137" s="271"/>
      <c r="QUW137" s="271"/>
      <c r="QUX137" s="221"/>
      <c r="QUY137" s="221"/>
      <c r="QUZ137" s="221"/>
      <c r="QVA137" s="258"/>
      <c r="QVB137" s="270"/>
      <c r="QVC137" s="271"/>
      <c r="QVD137" s="271"/>
      <c r="QVE137" s="271"/>
      <c r="QVF137" s="221"/>
      <c r="QVG137" s="221"/>
      <c r="QVH137" s="221"/>
      <c r="QVI137" s="258"/>
      <c r="QVJ137" s="270"/>
      <c r="QVK137" s="271"/>
      <c r="QVL137" s="271"/>
      <c r="QVM137" s="271"/>
      <c r="QVN137" s="221"/>
      <c r="QVO137" s="221"/>
      <c r="QVP137" s="221"/>
      <c r="QVQ137" s="258"/>
      <c r="QVR137" s="270"/>
      <c r="QVS137" s="271"/>
      <c r="QVT137" s="271"/>
      <c r="QVU137" s="271"/>
      <c r="QVV137" s="221"/>
      <c r="QVW137" s="221"/>
      <c r="QVX137" s="221"/>
      <c r="QVY137" s="258"/>
      <c r="QVZ137" s="270"/>
      <c r="QWA137" s="271"/>
      <c r="QWB137" s="271"/>
      <c r="QWC137" s="271"/>
      <c r="QWD137" s="221"/>
      <c r="QWE137" s="221"/>
      <c r="QWF137" s="221"/>
      <c r="QWG137" s="258"/>
      <c r="QWH137" s="270"/>
      <c r="QWI137" s="271"/>
      <c r="QWJ137" s="271"/>
      <c r="QWK137" s="271"/>
      <c r="QWL137" s="221"/>
      <c r="QWM137" s="221"/>
      <c r="QWN137" s="221"/>
      <c r="QWO137" s="258"/>
      <c r="QWP137" s="270"/>
      <c r="QWQ137" s="271"/>
      <c r="QWR137" s="271"/>
      <c r="QWS137" s="271"/>
      <c r="QWT137" s="221"/>
      <c r="QWU137" s="221"/>
      <c r="QWV137" s="221"/>
      <c r="QWW137" s="258"/>
      <c r="QWX137" s="270"/>
      <c r="QWY137" s="271"/>
      <c r="QWZ137" s="271"/>
      <c r="QXA137" s="271"/>
      <c r="QXB137" s="221"/>
      <c r="QXC137" s="221"/>
      <c r="QXD137" s="221"/>
      <c r="QXE137" s="258"/>
      <c r="QXF137" s="270"/>
      <c r="QXG137" s="271"/>
      <c r="QXH137" s="271"/>
      <c r="QXI137" s="271"/>
      <c r="QXJ137" s="221"/>
      <c r="QXK137" s="221"/>
      <c r="QXL137" s="221"/>
      <c r="QXM137" s="258"/>
      <c r="QXN137" s="270"/>
      <c r="QXO137" s="271"/>
      <c r="QXP137" s="271"/>
      <c r="QXQ137" s="271"/>
      <c r="QXR137" s="221"/>
      <c r="QXS137" s="221"/>
      <c r="QXT137" s="221"/>
      <c r="QXU137" s="258"/>
      <c r="QXV137" s="270"/>
      <c r="QXW137" s="271"/>
      <c r="QXX137" s="271"/>
      <c r="QXY137" s="271"/>
      <c r="QXZ137" s="221"/>
      <c r="QYA137" s="221"/>
      <c r="QYB137" s="221"/>
      <c r="QYC137" s="258"/>
      <c r="QYD137" s="270"/>
      <c r="QYE137" s="271"/>
      <c r="QYF137" s="271"/>
      <c r="QYG137" s="271"/>
      <c r="QYH137" s="221"/>
      <c r="QYI137" s="221"/>
      <c r="QYJ137" s="221"/>
      <c r="QYK137" s="258"/>
      <c r="QYL137" s="270"/>
      <c r="QYM137" s="271"/>
      <c r="QYN137" s="271"/>
      <c r="QYO137" s="271"/>
      <c r="QYP137" s="221"/>
      <c r="QYQ137" s="221"/>
      <c r="QYR137" s="221"/>
      <c r="QYS137" s="258"/>
      <c r="QYT137" s="270"/>
      <c r="QYU137" s="271"/>
      <c r="QYV137" s="271"/>
      <c r="QYW137" s="271"/>
      <c r="QYX137" s="221"/>
      <c r="QYY137" s="221"/>
      <c r="QYZ137" s="221"/>
      <c r="QZA137" s="258"/>
      <c r="QZB137" s="270"/>
      <c r="QZC137" s="271"/>
      <c r="QZD137" s="271"/>
      <c r="QZE137" s="271"/>
      <c r="QZF137" s="221"/>
      <c r="QZG137" s="221"/>
      <c r="QZH137" s="221"/>
      <c r="QZI137" s="258"/>
      <c r="QZJ137" s="270"/>
      <c r="QZK137" s="271"/>
      <c r="QZL137" s="271"/>
      <c r="QZM137" s="271"/>
      <c r="QZN137" s="221"/>
      <c r="QZO137" s="221"/>
      <c r="QZP137" s="221"/>
      <c r="QZQ137" s="258"/>
      <c r="QZR137" s="270"/>
      <c r="QZS137" s="271"/>
      <c r="QZT137" s="271"/>
      <c r="QZU137" s="271"/>
      <c r="QZV137" s="221"/>
      <c r="QZW137" s="221"/>
      <c r="QZX137" s="221"/>
      <c r="QZY137" s="258"/>
      <c r="QZZ137" s="270"/>
      <c r="RAA137" s="271"/>
      <c r="RAB137" s="271"/>
      <c r="RAC137" s="271"/>
      <c r="RAD137" s="221"/>
      <c r="RAE137" s="221"/>
      <c r="RAF137" s="221"/>
      <c r="RAG137" s="258"/>
      <c r="RAH137" s="270"/>
      <c r="RAI137" s="271"/>
      <c r="RAJ137" s="271"/>
      <c r="RAK137" s="271"/>
      <c r="RAL137" s="221"/>
      <c r="RAM137" s="221"/>
      <c r="RAN137" s="221"/>
      <c r="RAO137" s="258"/>
      <c r="RAP137" s="270"/>
      <c r="RAQ137" s="271"/>
      <c r="RAR137" s="271"/>
      <c r="RAS137" s="271"/>
      <c r="RAT137" s="221"/>
      <c r="RAU137" s="221"/>
      <c r="RAV137" s="221"/>
      <c r="RAW137" s="258"/>
      <c r="RAX137" s="270"/>
      <c r="RAY137" s="271"/>
      <c r="RAZ137" s="271"/>
      <c r="RBA137" s="271"/>
      <c r="RBB137" s="221"/>
      <c r="RBC137" s="221"/>
      <c r="RBD137" s="221"/>
      <c r="RBE137" s="258"/>
      <c r="RBF137" s="270"/>
      <c r="RBG137" s="271"/>
      <c r="RBH137" s="271"/>
      <c r="RBI137" s="271"/>
      <c r="RBJ137" s="221"/>
      <c r="RBK137" s="221"/>
      <c r="RBL137" s="221"/>
      <c r="RBM137" s="258"/>
      <c r="RBN137" s="270"/>
      <c r="RBO137" s="271"/>
      <c r="RBP137" s="271"/>
      <c r="RBQ137" s="271"/>
      <c r="RBR137" s="221"/>
      <c r="RBS137" s="221"/>
      <c r="RBT137" s="221"/>
      <c r="RBU137" s="258"/>
      <c r="RBV137" s="270"/>
      <c r="RBW137" s="271"/>
      <c r="RBX137" s="271"/>
      <c r="RBY137" s="271"/>
      <c r="RBZ137" s="221"/>
      <c r="RCA137" s="221"/>
      <c r="RCB137" s="221"/>
      <c r="RCC137" s="258"/>
      <c r="RCD137" s="270"/>
      <c r="RCE137" s="271"/>
      <c r="RCF137" s="271"/>
      <c r="RCG137" s="271"/>
      <c r="RCH137" s="221"/>
      <c r="RCI137" s="221"/>
      <c r="RCJ137" s="221"/>
      <c r="RCK137" s="258"/>
      <c r="RCL137" s="270"/>
      <c r="RCM137" s="271"/>
      <c r="RCN137" s="271"/>
      <c r="RCO137" s="271"/>
      <c r="RCP137" s="221"/>
      <c r="RCQ137" s="221"/>
      <c r="RCR137" s="221"/>
      <c r="RCS137" s="258"/>
      <c r="RCT137" s="270"/>
      <c r="RCU137" s="271"/>
      <c r="RCV137" s="271"/>
      <c r="RCW137" s="271"/>
      <c r="RCX137" s="221"/>
      <c r="RCY137" s="221"/>
      <c r="RCZ137" s="221"/>
      <c r="RDA137" s="258"/>
      <c r="RDB137" s="270"/>
      <c r="RDC137" s="271"/>
      <c r="RDD137" s="271"/>
      <c r="RDE137" s="271"/>
      <c r="RDF137" s="221"/>
      <c r="RDG137" s="221"/>
      <c r="RDH137" s="221"/>
      <c r="RDI137" s="258"/>
      <c r="RDJ137" s="270"/>
      <c r="RDK137" s="271"/>
      <c r="RDL137" s="271"/>
      <c r="RDM137" s="271"/>
      <c r="RDN137" s="221"/>
      <c r="RDO137" s="221"/>
      <c r="RDP137" s="221"/>
      <c r="RDQ137" s="258"/>
      <c r="RDR137" s="270"/>
      <c r="RDS137" s="271"/>
      <c r="RDT137" s="271"/>
      <c r="RDU137" s="271"/>
      <c r="RDV137" s="221"/>
      <c r="RDW137" s="221"/>
      <c r="RDX137" s="221"/>
      <c r="RDY137" s="258"/>
      <c r="RDZ137" s="270"/>
      <c r="REA137" s="271"/>
      <c r="REB137" s="271"/>
      <c r="REC137" s="271"/>
      <c r="RED137" s="221"/>
      <c r="REE137" s="221"/>
      <c r="REF137" s="221"/>
      <c r="REG137" s="258"/>
      <c r="REH137" s="270"/>
      <c r="REI137" s="271"/>
      <c r="REJ137" s="271"/>
      <c r="REK137" s="271"/>
      <c r="REL137" s="221"/>
      <c r="REM137" s="221"/>
      <c r="REN137" s="221"/>
      <c r="REO137" s="258"/>
      <c r="REP137" s="270"/>
      <c r="REQ137" s="271"/>
      <c r="RER137" s="271"/>
      <c r="RES137" s="271"/>
      <c r="RET137" s="221"/>
      <c r="REU137" s="221"/>
      <c r="REV137" s="221"/>
      <c r="REW137" s="258"/>
      <c r="REX137" s="270"/>
      <c r="REY137" s="271"/>
      <c r="REZ137" s="271"/>
      <c r="RFA137" s="271"/>
      <c r="RFB137" s="221"/>
      <c r="RFC137" s="221"/>
      <c r="RFD137" s="221"/>
      <c r="RFE137" s="258"/>
      <c r="RFF137" s="270"/>
      <c r="RFG137" s="271"/>
      <c r="RFH137" s="271"/>
      <c r="RFI137" s="271"/>
      <c r="RFJ137" s="221"/>
      <c r="RFK137" s="221"/>
      <c r="RFL137" s="221"/>
      <c r="RFM137" s="258"/>
      <c r="RFN137" s="270"/>
      <c r="RFO137" s="271"/>
      <c r="RFP137" s="271"/>
      <c r="RFQ137" s="271"/>
      <c r="RFR137" s="221"/>
      <c r="RFS137" s="221"/>
      <c r="RFT137" s="221"/>
      <c r="RFU137" s="258"/>
      <c r="RFV137" s="270"/>
      <c r="RFW137" s="271"/>
      <c r="RFX137" s="271"/>
      <c r="RFY137" s="271"/>
      <c r="RFZ137" s="221"/>
      <c r="RGA137" s="221"/>
      <c r="RGB137" s="221"/>
      <c r="RGC137" s="258"/>
      <c r="RGD137" s="270"/>
      <c r="RGE137" s="271"/>
      <c r="RGF137" s="271"/>
      <c r="RGG137" s="271"/>
      <c r="RGH137" s="221"/>
      <c r="RGI137" s="221"/>
      <c r="RGJ137" s="221"/>
      <c r="RGK137" s="258"/>
      <c r="RGL137" s="270"/>
      <c r="RGM137" s="271"/>
      <c r="RGN137" s="271"/>
      <c r="RGO137" s="271"/>
      <c r="RGP137" s="221"/>
      <c r="RGQ137" s="221"/>
      <c r="RGR137" s="221"/>
      <c r="RGS137" s="258"/>
      <c r="RGT137" s="270"/>
      <c r="RGU137" s="271"/>
      <c r="RGV137" s="271"/>
      <c r="RGW137" s="271"/>
      <c r="RGX137" s="221"/>
      <c r="RGY137" s="221"/>
      <c r="RGZ137" s="221"/>
      <c r="RHA137" s="258"/>
      <c r="RHB137" s="270"/>
      <c r="RHC137" s="271"/>
      <c r="RHD137" s="271"/>
      <c r="RHE137" s="271"/>
      <c r="RHF137" s="221"/>
      <c r="RHG137" s="221"/>
      <c r="RHH137" s="221"/>
      <c r="RHI137" s="258"/>
      <c r="RHJ137" s="270"/>
      <c r="RHK137" s="271"/>
      <c r="RHL137" s="271"/>
      <c r="RHM137" s="271"/>
      <c r="RHN137" s="221"/>
      <c r="RHO137" s="221"/>
      <c r="RHP137" s="221"/>
      <c r="RHQ137" s="258"/>
      <c r="RHR137" s="270"/>
      <c r="RHS137" s="271"/>
      <c r="RHT137" s="271"/>
      <c r="RHU137" s="271"/>
      <c r="RHV137" s="221"/>
      <c r="RHW137" s="221"/>
      <c r="RHX137" s="221"/>
      <c r="RHY137" s="258"/>
      <c r="RHZ137" s="270"/>
      <c r="RIA137" s="271"/>
      <c r="RIB137" s="271"/>
      <c r="RIC137" s="271"/>
      <c r="RID137" s="221"/>
      <c r="RIE137" s="221"/>
      <c r="RIF137" s="221"/>
      <c r="RIG137" s="258"/>
      <c r="RIH137" s="270"/>
      <c r="RII137" s="271"/>
      <c r="RIJ137" s="271"/>
      <c r="RIK137" s="271"/>
      <c r="RIL137" s="221"/>
      <c r="RIM137" s="221"/>
      <c r="RIN137" s="221"/>
      <c r="RIO137" s="258"/>
      <c r="RIP137" s="270"/>
      <c r="RIQ137" s="271"/>
      <c r="RIR137" s="271"/>
      <c r="RIS137" s="271"/>
      <c r="RIT137" s="221"/>
      <c r="RIU137" s="221"/>
      <c r="RIV137" s="221"/>
      <c r="RIW137" s="258"/>
      <c r="RIX137" s="270"/>
      <c r="RIY137" s="271"/>
      <c r="RIZ137" s="271"/>
      <c r="RJA137" s="271"/>
      <c r="RJB137" s="221"/>
      <c r="RJC137" s="221"/>
      <c r="RJD137" s="221"/>
      <c r="RJE137" s="258"/>
      <c r="RJF137" s="270"/>
      <c r="RJG137" s="271"/>
      <c r="RJH137" s="271"/>
      <c r="RJI137" s="271"/>
      <c r="RJJ137" s="221"/>
      <c r="RJK137" s="221"/>
      <c r="RJL137" s="221"/>
      <c r="RJM137" s="258"/>
      <c r="RJN137" s="270"/>
      <c r="RJO137" s="271"/>
      <c r="RJP137" s="271"/>
      <c r="RJQ137" s="271"/>
      <c r="RJR137" s="221"/>
      <c r="RJS137" s="221"/>
      <c r="RJT137" s="221"/>
      <c r="RJU137" s="258"/>
      <c r="RJV137" s="270"/>
      <c r="RJW137" s="271"/>
      <c r="RJX137" s="271"/>
      <c r="RJY137" s="271"/>
      <c r="RJZ137" s="221"/>
      <c r="RKA137" s="221"/>
      <c r="RKB137" s="221"/>
      <c r="RKC137" s="258"/>
      <c r="RKD137" s="270"/>
      <c r="RKE137" s="271"/>
      <c r="RKF137" s="271"/>
      <c r="RKG137" s="271"/>
      <c r="RKH137" s="221"/>
      <c r="RKI137" s="221"/>
      <c r="RKJ137" s="221"/>
      <c r="RKK137" s="258"/>
      <c r="RKL137" s="270"/>
      <c r="RKM137" s="271"/>
      <c r="RKN137" s="271"/>
      <c r="RKO137" s="271"/>
      <c r="RKP137" s="221"/>
      <c r="RKQ137" s="221"/>
      <c r="RKR137" s="221"/>
      <c r="RKS137" s="258"/>
      <c r="RKT137" s="270"/>
      <c r="RKU137" s="271"/>
      <c r="RKV137" s="271"/>
      <c r="RKW137" s="271"/>
      <c r="RKX137" s="221"/>
      <c r="RKY137" s="221"/>
      <c r="RKZ137" s="221"/>
      <c r="RLA137" s="258"/>
      <c r="RLB137" s="270"/>
      <c r="RLC137" s="271"/>
      <c r="RLD137" s="271"/>
      <c r="RLE137" s="271"/>
      <c r="RLF137" s="221"/>
      <c r="RLG137" s="221"/>
      <c r="RLH137" s="221"/>
      <c r="RLI137" s="258"/>
      <c r="RLJ137" s="270"/>
      <c r="RLK137" s="271"/>
      <c r="RLL137" s="271"/>
      <c r="RLM137" s="271"/>
      <c r="RLN137" s="221"/>
      <c r="RLO137" s="221"/>
      <c r="RLP137" s="221"/>
      <c r="RLQ137" s="258"/>
      <c r="RLR137" s="270"/>
      <c r="RLS137" s="271"/>
      <c r="RLT137" s="271"/>
      <c r="RLU137" s="271"/>
      <c r="RLV137" s="221"/>
      <c r="RLW137" s="221"/>
      <c r="RLX137" s="221"/>
      <c r="RLY137" s="258"/>
      <c r="RLZ137" s="270"/>
      <c r="RMA137" s="271"/>
      <c r="RMB137" s="271"/>
      <c r="RMC137" s="271"/>
      <c r="RMD137" s="221"/>
      <c r="RME137" s="221"/>
      <c r="RMF137" s="221"/>
      <c r="RMG137" s="258"/>
      <c r="RMH137" s="270"/>
      <c r="RMI137" s="271"/>
      <c r="RMJ137" s="271"/>
      <c r="RMK137" s="271"/>
      <c r="RML137" s="221"/>
      <c r="RMM137" s="221"/>
      <c r="RMN137" s="221"/>
      <c r="RMO137" s="258"/>
      <c r="RMP137" s="270"/>
      <c r="RMQ137" s="271"/>
      <c r="RMR137" s="271"/>
      <c r="RMS137" s="271"/>
      <c r="RMT137" s="221"/>
      <c r="RMU137" s="221"/>
      <c r="RMV137" s="221"/>
      <c r="RMW137" s="258"/>
      <c r="RMX137" s="270"/>
      <c r="RMY137" s="271"/>
      <c r="RMZ137" s="271"/>
      <c r="RNA137" s="271"/>
      <c r="RNB137" s="221"/>
      <c r="RNC137" s="221"/>
      <c r="RND137" s="221"/>
      <c r="RNE137" s="258"/>
      <c r="RNF137" s="270"/>
      <c r="RNG137" s="271"/>
      <c r="RNH137" s="271"/>
      <c r="RNI137" s="271"/>
      <c r="RNJ137" s="221"/>
      <c r="RNK137" s="221"/>
      <c r="RNL137" s="221"/>
      <c r="RNM137" s="258"/>
      <c r="RNN137" s="270"/>
      <c r="RNO137" s="271"/>
      <c r="RNP137" s="271"/>
      <c r="RNQ137" s="271"/>
      <c r="RNR137" s="221"/>
      <c r="RNS137" s="221"/>
      <c r="RNT137" s="221"/>
      <c r="RNU137" s="258"/>
      <c r="RNV137" s="270"/>
      <c r="RNW137" s="271"/>
      <c r="RNX137" s="271"/>
      <c r="RNY137" s="271"/>
      <c r="RNZ137" s="221"/>
      <c r="ROA137" s="221"/>
      <c r="ROB137" s="221"/>
      <c r="ROC137" s="258"/>
      <c r="ROD137" s="270"/>
      <c r="ROE137" s="271"/>
      <c r="ROF137" s="271"/>
      <c r="ROG137" s="271"/>
      <c r="ROH137" s="221"/>
      <c r="ROI137" s="221"/>
      <c r="ROJ137" s="221"/>
      <c r="ROK137" s="258"/>
      <c r="ROL137" s="270"/>
      <c r="ROM137" s="271"/>
      <c r="RON137" s="271"/>
      <c r="ROO137" s="271"/>
      <c r="ROP137" s="221"/>
      <c r="ROQ137" s="221"/>
      <c r="ROR137" s="221"/>
      <c r="ROS137" s="258"/>
      <c r="ROT137" s="270"/>
      <c r="ROU137" s="271"/>
      <c r="ROV137" s="271"/>
      <c r="ROW137" s="271"/>
      <c r="ROX137" s="221"/>
      <c r="ROY137" s="221"/>
      <c r="ROZ137" s="221"/>
      <c r="RPA137" s="258"/>
      <c r="RPB137" s="270"/>
      <c r="RPC137" s="271"/>
      <c r="RPD137" s="271"/>
      <c r="RPE137" s="271"/>
      <c r="RPF137" s="221"/>
      <c r="RPG137" s="221"/>
      <c r="RPH137" s="221"/>
      <c r="RPI137" s="258"/>
      <c r="RPJ137" s="270"/>
      <c r="RPK137" s="271"/>
      <c r="RPL137" s="271"/>
      <c r="RPM137" s="271"/>
      <c r="RPN137" s="221"/>
      <c r="RPO137" s="221"/>
      <c r="RPP137" s="221"/>
      <c r="RPQ137" s="258"/>
      <c r="RPR137" s="270"/>
      <c r="RPS137" s="271"/>
      <c r="RPT137" s="271"/>
      <c r="RPU137" s="271"/>
      <c r="RPV137" s="221"/>
      <c r="RPW137" s="221"/>
      <c r="RPX137" s="221"/>
      <c r="RPY137" s="258"/>
      <c r="RPZ137" s="270"/>
      <c r="RQA137" s="271"/>
      <c r="RQB137" s="271"/>
      <c r="RQC137" s="271"/>
      <c r="RQD137" s="221"/>
      <c r="RQE137" s="221"/>
      <c r="RQF137" s="221"/>
      <c r="RQG137" s="258"/>
      <c r="RQH137" s="270"/>
      <c r="RQI137" s="271"/>
      <c r="RQJ137" s="271"/>
      <c r="RQK137" s="271"/>
      <c r="RQL137" s="221"/>
      <c r="RQM137" s="221"/>
      <c r="RQN137" s="221"/>
      <c r="RQO137" s="258"/>
      <c r="RQP137" s="270"/>
      <c r="RQQ137" s="271"/>
      <c r="RQR137" s="271"/>
      <c r="RQS137" s="271"/>
      <c r="RQT137" s="221"/>
      <c r="RQU137" s="221"/>
      <c r="RQV137" s="221"/>
      <c r="RQW137" s="258"/>
      <c r="RQX137" s="270"/>
      <c r="RQY137" s="271"/>
      <c r="RQZ137" s="271"/>
      <c r="RRA137" s="271"/>
      <c r="RRB137" s="221"/>
      <c r="RRC137" s="221"/>
      <c r="RRD137" s="221"/>
      <c r="RRE137" s="258"/>
      <c r="RRF137" s="270"/>
      <c r="RRG137" s="271"/>
      <c r="RRH137" s="271"/>
      <c r="RRI137" s="271"/>
      <c r="RRJ137" s="221"/>
      <c r="RRK137" s="221"/>
      <c r="RRL137" s="221"/>
      <c r="RRM137" s="258"/>
      <c r="RRN137" s="270"/>
      <c r="RRO137" s="271"/>
      <c r="RRP137" s="271"/>
      <c r="RRQ137" s="271"/>
      <c r="RRR137" s="221"/>
      <c r="RRS137" s="221"/>
      <c r="RRT137" s="221"/>
      <c r="RRU137" s="258"/>
      <c r="RRV137" s="270"/>
      <c r="RRW137" s="271"/>
      <c r="RRX137" s="271"/>
      <c r="RRY137" s="271"/>
      <c r="RRZ137" s="221"/>
      <c r="RSA137" s="221"/>
      <c r="RSB137" s="221"/>
      <c r="RSC137" s="258"/>
      <c r="RSD137" s="270"/>
      <c r="RSE137" s="271"/>
      <c r="RSF137" s="271"/>
      <c r="RSG137" s="271"/>
      <c r="RSH137" s="221"/>
      <c r="RSI137" s="221"/>
      <c r="RSJ137" s="221"/>
      <c r="RSK137" s="258"/>
      <c r="RSL137" s="270"/>
      <c r="RSM137" s="271"/>
      <c r="RSN137" s="271"/>
      <c r="RSO137" s="271"/>
      <c r="RSP137" s="221"/>
      <c r="RSQ137" s="221"/>
      <c r="RSR137" s="221"/>
      <c r="RSS137" s="258"/>
      <c r="RST137" s="270"/>
      <c r="RSU137" s="271"/>
      <c r="RSV137" s="271"/>
      <c r="RSW137" s="271"/>
      <c r="RSX137" s="221"/>
      <c r="RSY137" s="221"/>
      <c r="RSZ137" s="221"/>
      <c r="RTA137" s="258"/>
      <c r="RTB137" s="270"/>
      <c r="RTC137" s="271"/>
      <c r="RTD137" s="271"/>
      <c r="RTE137" s="271"/>
      <c r="RTF137" s="221"/>
      <c r="RTG137" s="221"/>
      <c r="RTH137" s="221"/>
      <c r="RTI137" s="258"/>
      <c r="RTJ137" s="270"/>
      <c r="RTK137" s="271"/>
      <c r="RTL137" s="271"/>
      <c r="RTM137" s="271"/>
      <c r="RTN137" s="221"/>
      <c r="RTO137" s="221"/>
      <c r="RTP137" s="221"/>
      <c r="RTQ137" s="258"/>
      <c r="RTR137" s="270"/>
      <c r="RTS137" s="271"/>
      <c r="RTT137" s="271"/>
      <c r="RTU137" s="271"/>
      <c r="RTV137" s="221"/>
      <c r="RTW137" s="221"/>
      <c r="RTX137" s="221"/>
      <c r="RTY137" s="258"/>
      <c r="RTZ137" s="270"/>
      <c r="RUA137" s="271"/>
      <c r="RUB137" s="271"/>
      <c r="RUC137" s="271"/>
      <c r="RUD137" s="221"/>
      <c r="RUE137" s="221"/>
      <c r="RUF137" s="221"/>
      <c r="RUG137" s="258"/>
      <c r="RUH137" s="270"/>
      <c r="RUI137" s="271"/>
      <c r="RUJ137" s="271"/>
      <c r="RUK137" s="271"/>
      <c r="RUL137" s="221"/>
      <c r="RUM137" s="221"/>
      <c r="RUN137" s="221"/>
      <c r="RUO137" s="258"/>
      <c r="RUP137" s="270"/>
      <c r="RUQ137" s="271"/>
      <c r="RUR137" s="271"/>
      <c r="RUS137" s="271"/>
      <c r="RUT137" s="221"/>
      <c r="RUU137" s="221"/>
      <c r="RUV137" s="221"/>
      <c r="RUW137" s="258"/>
      <c r="RUX137" s="270"/>
      <c r="RUY137" s="271"/>
      <c r="RUZ137" s="271"/>
      <c r="RVA137" s="271"/>
      <c r="RVB137" s="221"/>
      <c r="RVC137" s="221"/>
      <c r="RVD137" s="221"/>
      <c r="RVE137" s="258"/>
      <c r="RVF137" s="270"/>
      <c r="RVG137" s="271"/>
      <c r="RVH137" s="271"/>
      <c r="RVI137" s="271"/>
      <c r="RVJ137" s="221"/>
      <c r="RVK137" s="221"/>
      <c r="RVL137" s="221"/>
      <c r="RVM137" s="258"/>
      <c r="RVN137" s="270"/>
      <c r="RVO137" s="271"/>
      <c r="RVP137" s="271"/>
      <c r="RVQ137" s="271"/>
      <c r="RVR137" s="221"/>
      <c r="RVS137" s="221"/>
      <c r="RVT137" s="221"/>
      <c r="RVU137" s="258"/>
      <c r="RVV137" s="270"/>
      <c r="RVW137" s="271"/>
      <c r="RVX137" s="271"/>
      <c r="RVY137" s="271"/>
      <c r="RVZ137" s="221"/>
      <c r="RWA137" s="221"/>
      <c r="RWB137" s="221"/>
      <c r="RWC137" s="258"/>
      <c r="RWD137" s="270"/>
      <c r="RWE137" s="271"/>
      <c r="RWF137" s="271"/>
      <c r="RWG137" s="271"/>
      <c r="RWH137" s="221"/>
      <c r="RWI137" s="221"/>
      <c r="RWJ137" s="221"/>
      <c r="RWK137" s="258"/>
      <c r="RWL137" s="270"/>
      <c r="RWM137" s="271"/>
      <c r="RWN137" s="271"/>
      <c r="RWO137" s="271"/>
      <c r="RWP137" s="221"/>
      <c r="RWQ137" s="221"/>
      <c r="RWR137" s="221"/>
      <c r="RWS137" s="258"/>
      <c r="RWT137" s="270"/>
      <c r="RWU137" s="271"/>
      <c r="RWV137" s="271"/>
      <c r="RWW137" s="271"/>
      <c r="RWX137" s="221"/>
      <c r="RWY137" s="221"/>
      <c r="RWZ137" s="221"/>
      <c r="RXA137" s="258"/>
      <c r="RXB137" s="270"/>
      <c r="RXC137" s="271"/>
      <c r="RXD137" s="271"/>
      <c r="RXE137" s="271"/>
      <c r="RXF137" s="221"/>
      <c r="RXG137" s="221"/>
      <c r="RXH137" s="221"/>
      <c r="RXI137" s="258"/>
      <c r="RXJ137" s="270"/>
      <c r="RXK137" s="271"/>
      <c r="RXL137" s="271"/>
      <c r="RXM137" s="271"/>
      <c r="RXN137" s="221"/>
      <c r="RXO137" s="221"/>
      <c r="RXP137" s="221"/>
      <c r="RXQ137" s="258"/>
      <c r="RXR137" s="270"/>
      <c r="RXS137" s="271"/>
      <c r="RXT137" s="271"/>
      <c r="RXU137" s="271"/>
      <c r="RXV137" s="221"/>
      <c r="RXW137" s="221"/>
      <c r="RXX137" s="221"/>
      <c r="RXY137" s="258"/>
      <c r="RXZ137" s="270"/>
      <c r="RYA137" s="271"/>
      <c r="RYB137" s="271"/>
      <c r="RYC137" s="271"/>
      <c r="RYD137" s="221"/>
      <c r="RYE137" s="221"/>
      <c r="RYF137" s="221"/>
      <c r="RYG137" s="258"/>
      <c r="RYH137" s="270"/>
      <c r="RYI137" s="271"/>
      <c r="RYJ137" s="271"/>
      <c r="RYK137" s="271"/>
      <c r="RYL137" s="221"/>
      <c r="RYM137" s="221"/>
      <c r="RYN137" s="221"/>
      <c r="RYO137" s="258"/>
      <c r="RYP137" s="270"/>
      <c r="RYQ137" s="271"/>
      <c r="RYR137" s="271"/>
      <c r="RYS137" s="271"/>
      <c r="RYT137" s="221"/>
      <c r="RYU137" s="221"/>
      <c r="RYV137" s="221"/>
      <c r="RYW137" s="258"/>
      <c r="RYX137" s="270"/>
      <c r="RYY137" s="271"/>
      <c r="RYZ137" s="271"/>
      <c r="RZA137" s="271"/>
      <c r="RZB137" s="221"/>
      <c r="RZC137" s="221"/>
      <c r="RZD137" s="221"/>
      <c r="RZE137" s="258"/>
      <c r="RZF137" s="270"/>
      <c r="RZG137" s="271"/>
      <c r="RZH137" s="271"/>
      <c r="RZI137" s="271"/>
      <c r="RZJ137" s="221"/>
      <c r="RZK137" s="221"/>
      <c r="RZL137" s="221"/>
      <c r="RZM137" s="258"/>
      <c r="RZN137" s="270"/>
      <c r="RZO137" s="271"/>
      <c r="RZP137" s="271"/>
      <c r="RZQ137" s="271"/>
      <c r="RZR137" s="221"/>
      <c r="RZS137" s="221"/>
      <c r="RZT137" s="221"/>
      <c r="RZU137" s="258"/>
      <c r="RZV137" s="270"/>
      <c r="RZW137" s="271"/>
      <c r="RZX137" s="271"/>
      <c r="RZY137" s="271"/>
      <c r="RZZ137" s="221"/>
      <c r="SAA137" s="221"/>
      <c r="SAB137" s="221"/>
      <c r="SAC137" s="258"/>
      <c r="SAD137" s="270"/>
      <c r="SAE137" s="271"/>
      <c r="SAF137" s="271"/>
      <c r="SAG137" s="271"/>
      <c r="SAH137" s="221"/>
      <c r="SAI137" s="221"/>
      <c r="SAJ137" s="221"/>
      <c r="SAK137" s="258"/>
      <c r="SAL137" s="270"/>
      <c r="SAM137" s="271"/>
      <c r="SAN137" s="271"/>
      <c r="SAO137" s="271"/>
      <c r="SAP137" s="221"/>
      <c r="SAQ137" s="221"/>
      <c r="SAR137" s="221"/>
      <c r="SAS137" s="258"/>
      <c r="SAT137" s="270"/>
      <c r="SAU137" s="271"/>
      <c r="SAV137" s="271"/>
      <c r="SAW137" s="271"/>
      <c r="SAX137" s="221"/>
      <c r="SAY137" s="221"/>
      <c r="SAZ137" s="221"/>
      <c r="SBA137" s="258"/>
      <c r="SBB137" s="270"/>
      <c r="SBC137" s="271"/>
      <c r="SBD137" s="271"/>
      <c r="SBE137" s="271"/>
      <c r="SBF137" s="221"/>
      <c r="SBG137" s="221"/>
      <c r="SBH137" s="221"/>
      <c r="SBI137" s="258"/>
      <c r="SBJ137" s="270"/>
      <c r="SBK137" s="271"/>
      <c r="SBL137" s="271"/>
      <c r="SBM137" s="271"/>
      <c r="SBN137" s="221"/>
      <c r="SBO137" s="221"/>
      <c r="SBP137" s="221"/>
      <c r="SBQ137" s="258"/>
      <c r="SBR137" s="270"/>
      <c r="SBS137" s="271"/>
      <c r="SBT137" s="271"/>
      <c r="SBU137" s="271"/>
      <c r="SBV137" s="221"/>
      <c r="SBW137" s="221"/>
      <c r="SBX137" s="221"/>
      <c r="SBY137" s="258"/>
      <c r="SBZ137" s="270"/>
      <c r="SCA137" s="271"/>
      <c r="SCB137" s="271"/>
      <c r="SCC137" s="271"/>
      <c r="SCD137" s="221"/>
      <c r="SCE137" s="221"/>
      <c r="SCF137" s="221"/>
      <c r="SCG137" s="258"/>
      <c r="SCH137" s="270"/>
      <c r="SCI137" s="271"/>
      <c r="SCJ137" s="271"/>
      <c r="SCK137" s="271"/>
      <c r="SCL137" s="221"/>
      <c r="SCM137" s="221"/>
      <c r="SCN137" s="221"/>
      <c r="SCO137" s="258"/>
      <c r="SCP137" s="270"/>
      <c r="SCQ137" s="271"/>
      <c r="SCR137" s="271"/>
      <c r="SCS137" s="271"/>
      <c r="SCT137" s="221"/>
      <c r="SCU137" s="221"/>
      <c r="SCV137" s="221"/>
      <c r="SCW137" s="258"/>
      <c r="SCX137" s="270"/>
      <c r="SCY137" s="271"/>
      <c r="SCZ137" s="271"/>
      <c r="SDA137" s="271"/>
      <c r="SDB137" s="221"/>
      <c r="SDC137" s="221"/>
      <c r="SDD137" s="221"/>
      <c r="SDE137" s="258"/>
      <c r="SDF137" s="270"/>
      <c r="SDG137" s="271"/>
      <c r="SDH137" s="271"/>
      <c r="SDI137" s="271"/>
      <c r="SDJ137" s="221"/>
      <c r="SDK137" s="221"/>
      <c r="SDL137" s="221"/>
      <c r="SDM137" s="258"/>
      <c r="SDN137" s="270"/>
      <c r="SDO137" s="271"/>
      <c r="SDP137" s="271"/>
      <c r="SDQ137" s="271"/>
      <c r="SDR137" s="221"/>
      <c r="SDS137" s="221"/>
      <c r="SDT137" s="221"/>
      <c r="SDU137" s="258"/>
      <c r="SDV137" s="270"/>
      <c r="SDW137" s="271"/>
      <c r="SDX137" s="271"/>
      <c r="SDY137" s="271"/>
      <c r="SDZ137" s="221"/>
      <c r="SEA137" s="221"/>
      <c r="SEB137" s="221"/>
      <c r="SEC137" s="258"/>
      <c r="SED137" s="270"/>
      <c r="SEE137" s="271"/>
      <c r="SEF137" s="271"/>
      <c r="SEG137" s="271"/>
      <c r="SEH137" s="221"/>
      <c r="SEI137" s="221"/>
      <c r="SEJ137" s="221"/>
      <c r="SEK137" s="258"/>
      <c r="SEL137" s="270"/>
      <c r="SEM137" s="271"/>
      <c r="SEN137" s="271"/>
      <c r="SEO137" s="271"/>
      <c r="SEP137" s="221"/>
      <c r="SEQ137" s="221"/>
      <c r="SER137" s="221"/>
      <c r="SES137" s="258"/>
      <c r="SET137" s="270"/>
      <c r="SEU137" s="271"/>
      <c r="SEV137" s="271"/>
      <c r="SEW137" s="271"/>
      <c r="SEX137" s="221"/>
      <c r="SEY137" s="221"/>
      <c r="SEZ137" s="221"/>
      <c r="SFA137" s="258"/>
      <c r="SFB137" s="270"/>
      <c r="SFC137" s="271"/>
      <c r="SFD137" s="271"/>
      <c r="SFE137" s="271"/>
      <c r="SFF137" s="221"/>
      <c r="SFG137" s="221"/>
      <c r="SFH137" s="221"/>
      <c r="SFI137" s="258"/>
      <c r="SFJ137" s="270"/>
      <c r="SFK137" s="271"/>
      <c r="SFL137" s="271"/>
      <c r="SFM137" s="271"/>
      <c r="SFN137" s="221"/>
      <c r="SFO137" s="221"/>
      <c r="SFP137" s="221"/>
      <c r="SFQ137" s="258"/>
      <c r="SFR137" s="270"/>
      <c r="SFS137" s="271"/>
      <c r="SFT137" s="271"/>
      <c r="SFU137" s="271"/>
      <c r="SFV137" s="221"/>
      <c r="SFW137" s="221"/>
      <c r="SFX137" s="221"/>
      <c r="SFY137" s="258"/>
      <c r="SFZ137" s="270"/>
      <c r="SGA137" s="271"/>
      <c r="SGB137" s="271"/>
      <c r="SGC137" s="271"/>
      <c r="SGD137" s="221"/>
      <c r="SGE137" s="221"/>
      <c r="SGF137" s="221"/>
      <c r="SGG137" s="258"/>
      <c r="SGH137" s="270"/>
      <c r="SGI137" s="271"/>
      <c r="SGJ137" s="271"/>
      <c r="SGK137" s="271"/>
      <c r="SGL137" s="221"/>
      <c r="SGM137" s="221"/>
      <c r="SGN137" s="221"/>
      <c r="SGO137" s="258"/>
      <c r="SGP137" s="270"/>
      <c r="SGQ137" s="271"/>
      <c r="SGR137" s="271"/>
      <c r="SGS137" s="271"/>
      <c r="SGT137" s="221"/>
      <c r="SGU137" s="221"/>
      <c r="SGV137" s="221"/>
      <c r="SGW137" s="258"/>
      <c r="SGX137" s="270"/>
      <c r="SGY137" s="271"/>
      <c r="SGZ137" s="271"/>
      <c r="SHA137" s="271"/>
      <c r="SHB137" s="221"/>
      <c r="SHC137" s="221"/>
      <c r="SHD137" s="221"/>
      <c r="SHE137" s="258"/>
      <c r="SHF137" s="270"/>
      <c r="SHG137" s="271"/>
      <c r="SHH137" s="271"/>
      <c r="SHI137" s="271"/>
      <c r="SHJ137" s="221"/>
      <c r="SHK137" s="221"/>
      <c r="SHL137" s="221"/>
      <c r="SHM137" s="258"/>
      <c r="SHN137" s="270"/>
      <c r="SHO137" s="271"/>
      <c r="SHP137" s="271"/>
      <c r="SHQ137" s="271"/>
      <c r="SHR137" s="221"/>
      <c r="SHS137" s="221"/>
      <c r="SHT137" s="221"/>
      <c r="SHU137" s="258"/>
      <c r="SHV137" s="270"/>
      <c r="SHW137" s="271"/>
      <c r="SHX137" s="271"/>
      <c r="SHY137" s="271"/>
      <c r="SHZ137" s="221"/>
      <c r="SIA137" s="221"/>
      <c r="SIB137" s="221"/>
      <c r="SIC137" s="258"/>
      <c r="SID137" s="270"/>
      <c r="SIE137" s="271"/>
      <c r="SIF137" s="271"/>
      <c r="SIG137" s="271"/>
      <c r="SIH137" s="221"/>
      <c r="SII137" s="221"/>
      <c r="SIJ137" s="221"/>
      <c r="SIK137" s="258"/>
      <c r="SIL137" s="270"/>
      <c r="SIM137" s="271"/>
      <c r="SIN137" s="271"/>
      <c r="SIO137" s="271"/>
      <c r="SIP137" s="221"/>
      <c r="SIQ137" s="221"/>
      <c r="SIR137" s="221"/>
      <c r="SIS137" s="258"/>
      <c r="SIT137" s="270"/>
      <c r="SIU137" s="271"/>
      <c r="SIV137" s="271"/>
      <c r="SIW137" s="271"/>
      <c r="SIX137" s="221"/>
      <c r="SIY137" s="221"/>
      <c r="SIZ137" s="221"/>
      <c r="SJA137" s="258"/>
      <c r="SJB137" s="270"/>
      <c r="SJC137" s="271"/>
      <c r="SJD137" s="271"/>
      <c r="SJE137" s="271"/>
      <c r="SJF137" s="221"/>
      <c r="SJG137" s="221"/>
      <c r="SJH137" s="221"/>
      <c r="SJI137" s="258"/>
      <c r="SJJ137" s="270"/>
      <c r="SJK137" s="271"/>
      <c r="SJL137" s="271"/>
      <c r="SJM137" s="271"/>
      <c r="SJN137" s="221"/>
      <c r="SJO137" s="221"/>
      <c r="SJP137" s="221"/>
      <c r="SJQ137" s="258"/>
      <c r="SJR137" s="270"/>
      <c r="SJS137" s="271"/>
      <c r="SJT137" s="271"/>
      <c r="SJU137" s="271"/>
      <c r="SJV137" s="221"/>
      <c r="SJW137" s="221"/>
      <c r="SJX137" s="221"/>
      <c r="SJY137" s="258"/>
      <c r="SJZ137" s="270"/>
      <c r="SKA137" s="271"/>
      <c r="SKB137" s="271"/>
      <c r="SKC137" s="271"/>
      <c r="SKD137" s="221"/>
      <c r="SKE137" s="221"/>
      <c r="SKF137" s="221"/>
      <c r="SKG137" s="258"/>
      <c r="SKH137" s="270"/>
      <c r="SKI137" s="271"/>
      <c r="SKJ137" s="271"/>
      <c r="SKK137" s="271"/>
      <c r="SKL137" s="221"/>
      <c r="SKM137" s="221"/>
      <c r="SKN137" s="221"/>
      <c r="SKO137" s="258"/>
      <c r="SKP137" s="270"/>
      <c r="SKQ137" s="271"/>
      <c r="SKR137" s="271"/>
      <c r="SKS137" s="271"/>
      <c r="SKT137" s="221"/>
      <c r="SKU137" s="221"/>
      <c r="SKV137" s="221"/>
      <c r="SKW137" s="258"/>
      <c r="SKX137" s="270"/>
      <c r="SKY137" s="271"/>
      <c r="SKZ137" s="271"/>
      <c r="SLA137" s="271"/>
      <c r="SLB137" s="221"/>
      <c r="SLC137" s="221"/>
      <c r="SLD137" s="221"/>
      <c r="SLE137" s="258"/>
      <c r="SLF137" s="270"/>
      <c r="SLG137" s="271"/>
      <c r="SLH137" s="271"/>
      <c r="SLI137" s="271"/>
      <c r="SLJ137" s="221"/>
      <c r="SLK137" s="221"/>
      <c r="SLL137" s="221"/>
      <c r="SLM137" s="258"/>
      <c r="SLN137" s="270"/>
      <c r="SLO137" s="271"/>
      <c r="SLP137" s="271"/>
      <c r="SLQ137" s="271"/>
      <c r="SLR137" s="221"/>
      <c r="SLS137" s="221"/>
      <c r="SLT137" s="221"/>
      <c r="SLU137" s="258"/>
      <c r="SLV137" s="270"/>
      <c r="SLW137" s="271"/>
      <c r="SLX137" s="271"/>
      <c r="SLY137" s="271"/>
      <c r="SLZ137" s="221"/>
      <c r="SMA137" s="221"/>
      <c r="SMB137" s="221"/>
      <c r="SMC137" s="258"/>
      <c r="SMD137" s="270"/>
      <c r="SME137" s="271"/>
      <c r="SMF137" s="271"/>
      <c r="SMG137" s="271"/>
      <c r="SMH137" s="221"/>
      <c r="SMI137" s="221"/>
      <c r="SMJ137" s="221"/>
      <c r="SMK137" s="258"/>
      <c r="SML137" s="270"/>
      <c r="SMM137" s="271"/>
      <c r="SMN137" s="271"/>
      <c r="SMO137" s="271"/>
      <c r="SMP137" s="221"/>
      <c r="SMQ137" s="221"/>
      <c r="SMR137" s="221"/>
      <c r="SMS137" s="258"/>
      <c r="SMT137" s="270"/>
      <c r="SMU137" s="271"/>
      <c r="SMV137" s="271"/>
      <c r="SMW137" s="271"/>
      <c r="SMX137" s="221"/>
      <c r="SMY137" s="221"/>
      <c r="SMZ137" s="221"/>
      <c r="SNA137" s="258"/>
      <c r="SNB137" s="270"/>
      <c r="SNC137" s="271"/>
      <c r="SND137" s="271"/>
      <c r="SNE137" s="271"/>
      <c r="SNF137" s="221"/>
      <c r="SNG137" s="221"/>
      <c r="SNH137" s="221"/>
      <c r="SNI137" s="258"/>
      <c r="SNJ137" s="270"/>
      <c r="SNK137" s="271"/>
      <c r="SNL137" s="271"/>
      <c r="SNM137" s="271"/>
      <c r="SNN137" s="221"/>
      <c r="SNO137" s="221"/>
      <c r="SNP137" s="221"/>
      <c r="SNQ137" s="258"/>
      <c r="SNR137" s="270"/>
      <c r="SNS137" s="271"/>
      <c r="SNT137" s="271"/>
      <c r="SNU137" s="271"/>
      <c r="SNV137" s="221"/>
      <c r="SNW137" s="221"/>
      <c r="SNX137" s="221"/>
      <c r="SNY137" s="258"/>
      <c r="SNZ137" s="270"/>
      <c r="SOA137" s="271"/>
      <c r="SOB137" s="271"/>
      <c r="SOC137" s="271"/>
      <c r="SOD137" s="221"/>
      <c r="SOE137" s="221"/>
      <c r="SOF137" s="221"/>
      <c r="SOG137" s="258"/>
      <c r="SOH137" s="270"/>
      <c r="SOI137" s="271"/>
      <c r="SOJ137" s="271"/>
      <c r="SOK137" s="271"/>
      <c r="SOL137" s="221"/>
      <c r="SOM137" s="221"/>
      <c r="SON137" s="221"/>
      <c r="SOO137" s="258"/>
      <c r="SOP137" s="270"/>
      <c r="SOQ137" s="271"/>
      <c r="SOR137" s="271"/>
      <c r="SOS137" s="271"/>
      <c r="SOT137" s="221"/>
      <c r="SOU137" s="221"/>
      <c r="SOV137" s="221"/>
      <c r="SOW137" s="258"/>
      <c r="SOX137" s="270"/>
      <c r="SOY137" s="271"/>
      <c r="SOZ137" s="271"/>
      <c r="SPA137" s="271"/>
      <c r="SPB137" s="221"/>
      <c r="SPC137" s="221"/>
      <c r="SPD137" s="221"/>
      <c r="SPE137" s="258"/>
      <c r="SPF137" s="270"/>
      <c r="SPG137" s="271"/>
      <c r="SPH137" s="271"/>
      <c r="SPI137" s="271"/>
      <c r="SPJ137" s="221"/>
      <c r="SPK137" s="221"/>
      <c r="SPL137" s="221"/>
      <c r="SPM137" s="258"/>
      <c r="SPN137" s="270"/>
      <c r="SPO137" s="271"/>
      <c r="SPP137" s="271"/>
      <c r="SPQ137" s="271"/>
      <c r="SPR137" s="221"/>
      <c r="SPS137" s="221"/>
      <c r="SPT137" s="221"/>
      <c r="SPU137" s="258"/>
      <c r="SPV137" s="270"/>
      <c r="SPW137" s="271"/>
      <c r="SPX137" s="271"/>
      <c r="SPY137" s="271"/>
      <c r="SPZ137" s="221"/>
      <c r="SQA137" s="221"/>
      <c r="SQB137" s="221"/>
      <c r="SQC137" s="258"/>
      <c r="SQD137" s="270"/>
      <c r="SQE137" s="271"/>
      <c r="SQF137" s="271"/>
      <c r="SQG137" s="271"/>
      <c r="SQH137" s="221"/>
      <c r="SQI137" s="221"/>
      <c r="SQJ137" s="221"/>
      <c r="SQK137" s="258"/>
      <c r="SQL137" s="270"/>
      <c r="SQM137" s="271"/>
      <c r="SQN137" s="271"/>
      <c r="SQO137" s="271"/>
      <c r="SQP137" s="221"/>
      <c r="SQQ137" s="221"/>
      <c r="SQR137" s="221"/>
      <c r="SQS137" s="258"/>
      <c r="SQT137" s="270"/>
      <c r="SQU137" s="271"/>
      <c r="SQV137" s="271"/>
      <c r="SQW137" s="271"/>
      <c r="SQX137" s="221"/>
      <c r="SQY137" s="221"/>
      <c r="SQZ137" s="221"/>
      <c r="SRA137" s="258"/>
      <c r="SRB137" s="270"/>
      <c r="SRC137" s="271"/>
      <c r="SRD137" s="271"/>
      <c r="SRE137" s="271"/>
      <c r="SRF137" s="221"/>
      <c r="SRG137" s="221"/>
      <c r="SRH137" s="221"/>
      <c r="SRI137" s="258"/>
      <c r="SRJ137" s="270"/>
      <c r="SRK137" s="271"/>
      <c r="SRL137" s="271"/>
      <c r="SRM137" s="271"/>
      <c r="SRN137" s="221"/>
      <c r="SRO137" s="221"/>
      <c r="SRP137" s="221"/>
      <c r="SRQ137" s="258"/>
      <c r="SRR137" s="270"/>
      <c r="SRS137" s="271"/>
      <c r="SRT137" s="271"/>
      <c r="SRU137" s="271"/>
      <c r="SRV137" s="221"/>
      <c r="SRW137" s="221"/>
      <c r="SRX137" s="221"/>
      <c r="SRY137" s="258"/>
      <c r="SRZ137" s="270"/>
      <c r="SSA137" s="271"/>
      <c r="SSB137" s="271"/>
      <c r="SSC137" s="271"/>
      <c r="SSD137" s="221"/>
      <c r="SSE137" s="221"/>
      <c r="SSF137" s="221"/>
      <c r="SSG137" s="258"/>
      <c r="SSH137" s="270"/>
      <c r="SSI137" s="271"/>
      <c r="SSJ137" s="271"/>
      <c r="SSK137" s="271"/>
      <c r="SSL137" s="221"/>
      <c r="SSM137" s="221"/>
      <c r="SSN137" s="221"/>
      <c r="SSO137" s="258"/>
      <c r="SSP137" s="270"/>
      <c r="SSQ137" s="271"/>
      <c r="SSR137" s="271"/>
      <c r="SSS137" s="271"/>
      <c r="SST137" s="221"/>
      <c r="SSU137" s="221"/>
      <c r="SSV137" s="221"/>
      <c r="SSW137" s="258"/>
      <c r="SSX137" s="270"/>
      <c r="SSY137" s="271"/>
      <c r="SSZ137" s="271"/>
      <c r="STA137" s="271"/>
      <c r="STB137" s="221"/>
      <c r="STC137" s="221"/>
      <c r="STD137" s="221"/>
      <c r="STE137" s="258"/>
      <c r="STF137" s="270"/>
      <c r="STG137" s="271"/>
      <c r="STH137" s="271"/>
      <c r="STI137" s="271"/>
      <c r="STJ137" s="221"/>
      <c r="STK137" s="221"/>
      <c r="STL137" s="221"/>
      <c r="STM137" s="258"/>
      <c r="STN137" s="270"/>
      <c r="STO137" s="271"/>
      <c r="STP137" s="271"/>
      <c r="STQ137" s="271"/>
      <c r="STR137" s="221"/>
      <c r="STS137" s="221"/>
      <c r="STT137" s="221"/>
      <c r="STU137" s="258"/>
      <c r="STV137" s="270"/>
      <c r="STW137" s="271"/>
      <c r="STX137" s="271"/>
      <c r="STY137" s="271"/>
      <c r="STZ137" s="221"/>
      <c r="SUA137" s="221"/>
      <c r="SUB137" s="221"/>
      <c r="SUC137" s="258"/>
      <c r="SUD137" s="270"/>
      <c r="SUE137" s="271"/>
      <c r="SUF137" s="271"/>
      <c r="SUG137" s="271"/>
      <c r="SUH137" s="221"/>
      <c r="SUI137" s="221"/>
      <c r="SUJ137" s="221"/>
      <c r="SUK137" s="258"/>
      <c r="SUL137" s="270"/>
      <c r="SUM137" s="271"/>
      <c r="SUN137" s="271"/>
      <c r="SUO137" s="271"/>
      <c r="SUP137" s="221"/>
      <c r="SUQ137" s="221"/>
      <c r="SUR137" s="221"/>
      <c r="SUS137" s="258"/>
      <c r="SUT137" s="270"/>
      <c r="SUU137" s="271"/>
      <c r="SUV137" s="271"/>
      <c r="SUW137" s="271"/>
      <c r="SUX137" s="221"/>
      <c r="SUY137" s="221"/>
      <c r="SUZ137" s="221"/>
      <c r="SVA137" s="258"/>
      <c r="SVB137" s="270"/>
      <c r="SVC137" s="271"/>
      <c r="SVD137" s="271"/>
      <c r="SVE137" s="271"/>
      <c r="SVF137" s="221"/>
      <c r="SVG137" s="221"/>
      <c r="SVH137" s="221"/>
      <c r="SVI137" s="258"/>
      <c r="SVJ137" s="270"/>
      <c r="SVK137" s="271"/>
      <c r="SVL137" s="271"/>
      <c r="SVM137" s="271"/>
      <c r="SVN137" s="221"/>
      <c r="SVO137" s="221"/>
      <c r="SVP137" s="221"/>
      <c r="SVQ137" s="258"/>
      <c r="SVR137" s="270"/>
      <c r="SVS137" s="271"/>
      <c r="SVT137" s="271"/>
      <c r="SVU137" s="271"/>
      <c r="SVV137" s="221"/>
      <c r="SVW137" s="221"/>
      <c r="SVX137" s="221"/>
      <c r="SVY137" s="258"/>
      <c r="SVZ137" s="270"/>
      <c r="SWA137" s="271"/>
      <c r="SWB137" s="271"/>
      <c r="SWC137" s="271"/>
      <c r="SWD137" s="221"/>
      <c r="SWE137" s="221"/>
      <c r="SWF137" s="221"/>
      <c r="SWG137" s="258"/>
      <c r="SWH137" s="270"/>
      <c r="SWI137" s="271"/>
      <c r="SWJ137" s="271"/>
      <c r="SWK137" s="271"/>
      <c r="SWL137" s="221"/>
      <c r="SWM137" s="221"/>
      <c r="SWN137" s="221"/>
      <c r="SWO137" s="258"/>
      <c r="SWP137" s="270"/>
      <c r="SWQ137" s="271"/>
      <c r="SWR137" s="271"/>
      <c r="SWS137" s="271"/>
      <c r="SWT137" s="221"/>
      <c r="SWU137" s="221"/>
      <c r="SWV137" s="221"/>
      <c r="SWW137" s="258"/>
      <c r="SWX137" s="270"/>
      <c r="SWY137" s="271"/>
      <c r="SWZ137" s="271"/>
      <c r="SXA137" s="271"/>
      <c r="SXB137" s="221"/>
      <c r="SXC137" s="221"/>
      <c r="SXD137" s="221"/>
      <c r="SXE137" s="258"/>
      <c r="SXF137" s="270"/>
      <c r="SXG137" s="271"/>
      <c r="SXH137" s="271"/>
      <c r="SXI137" s="271"/>
      <c r="SXJ137" s="221"/>
      <c r="SXK137" s="221"/>
      <c r="SXL137" s="221"/>
      <c r="SXM137" s="258"/>
      <c r="SXN137" s="270"/>
      <c r="SXO137" s="271"/>
      <c r="SXP137" s="271"/>
      <c r="SXQ137" s="271"/>
      <c r="SXR137" s="221"/>
      <c r="SXS137" s="221"/>
      <c r="SXT137" s="221"/>
      <c r="SXU137" s="258"/>
      <c r="SXV137" s="270"/>
      <c r="SXW137" s="271"/>
      <c r="SXX137" s="271"/>
      <c r="SXY137" s="271"/>
      <c r="SXZ137" s="221"/>
      <c r="SYA137" s="221"/>
      <c r="SYB137" s="221"/>
      <c r="SYC137" s="258"/>
      <c r="SYD137" s="270"/>
      <c r="SYE137" s="271"/>
      <c r="SYF137" s="271"/>
      <c r="SYG137" s="271"/>
      <c r="SYH137" s="221"/>
      <c r="SYI137" s="221"/>
      <c r="SYJ137" s="221"/>
      <c r="SYK137" s="258"/>
      <c r="SYL137" s="270"/>
      <c r="SYM137" s="271"/>
      <c r="SYN137" s="271"/>
      <c r="SYO137" s="271"/>
      <c r="SYP137" s="221"/>
      <c r="SYQ137" s="221"/>
      <c r="SYR137" s="221"/>
      <c r="SYS137" s="258"/>
      <c r="SYT137" s="270"/>
      <c r="SYU137" s="271"/>
      <c r="SYV137" s="271"/>
      <c r="SYW137" s="271"/>
      <c r="SYX137" s="221"/>
      <c r="SYY137" s="221"/>
      <c r="SYZ137" s="221"/>
      <c r="SZA137" s="258"/>
      <c r="SZB137" s="270"/>
      <c r="SZC137" s="271"/>
      <c r="SZD137" s="271"/>
      <c r="SZE137" s="271"/>
      <c r="SZF137" s="221"/>
      <c r="SZG137" s="221"/>
      <c r="SZH137" s="221"/>
      <c r="SZI137" s="258"/>
      <c r="SZJ137" s="270"/>
      <c r="SZK137" s="271"/>
      <c r="SZL137" s="271"/>
      <c r="SZM137" s="271"/>
      <c r="SZN137" s="221"/>
      <c r="SZO137" s="221"/>
      <c r="SZP137" s="221"/>
      <c r="SZQ137" s="258"/>
      <c r="SZR137" s="270"/>
      <c r="SZS137" s="271"/>
      <c r="SZT137" s="271"/>
      <c r="SZU137" s="271"/>
      <c r="SZV137" s="221"/>
      <c r="SZW137" s="221"/>
      <c r="SZX137" s="221"/>
      <c r="SZY137" s="258"/>
      <c r="SZZ137" s="270"/>
      <c r="TAA137" s="271"/>
      <c r="TAB137" s="271"/>
      <c r="TAC137" s="271"/>
      <c r="TAD137" s="221"/>
      <c r="TAE137" s="221"/>
      <c r="TAF137" s="221"/>
      <c r="TAG137" s="258"/>
      <c r="TAH137" s="270"/>
      <c r="TAI137" s="271"/>
      <c r="TAJ137" s="271"/>
      <c r="TAK137" s="271"/>
      <c r="TAL137" s="221"/>
      <c r="TAM137" s="221"/>
      <c r="TAN137" s="221"/>
      <c r="TAO137" s="258"/>
      <c r="TAP137" s="270"/>
      <c r="TAQ137" s="271"/>
      <c r="TAR137" s="271"/>
      <c r="TAS137" s="271"/>
      <c r="TAT137" s="221"/>
      <c r="TAU137" s="221"/>
      <c r="TAV137" s="221"/>
      <c r="TAW137" s="258"/>
      <c r="TAX137" s="270"/>
      <c r="TAY137" s="271"/>
      <c r="TAZ137" s="271"/>
      <c r="TBA137" s="271"/>
      <c r="TBB137" s="221"/>
      <c r="TBC137" s="221"/>
      <c r="TBD137" s="221"/>
      <c r="TBE137" s="258"/>
      <c r="TBF137" s="270"/>
      <c r="TBG137" s="271"/>
      <c r="TBH137" s="271"/>
      <c r="TBI137" s="271"/>
      <c r="TBJ137" s="221"/>
      <c r="TBK137" s="221"/>
      <c r="TBL137" s="221"/>
      <c r="TBM137" s="258"/>
      <c r="TBN137" s="270"/>
      <c r="TBO137" s="271"/>
      <c r="TBP137" s="271"/>
      <c r="TBQ137" s="271"/>
      <c r="TBR137" s="221"/>
      <c r="TBS137" s="221"/>
      <c r="TBT137" s="221"/>
      <c r="TBU137" s="258"/>
      <c r="TBV137" s="270"/>
      <c r="TBW137" s="271"/>
      <c r="TBX137" s="271"/>
      <c r="TBY137" s="271"/>
      <c r="TBZ137" s="221"/>
      <c r="TCA137" s="221"/>
      <c r="TCB137" s="221"/>
      <c r="TCC137" s="258"/>
      <c r="TCD137" s="270"/>
      <c r="TCE137" s="271"/>
      <c r="TCF137" s="271"/>
      <c r="TCG137" s="271"/>
      <c r="TCH137" s="221"/>
      <c r="TCI137" s="221"/>
      <c r="TCJ137" s="221"/>
      <c r="TCK137" s="258"/>
      <c r="TCL137" s="270"/>
      <c r="TCM137" s="271"/>
      <c r="TCN137" s="271"/>
      <c r="TCO137" s="271"/>
      <c r="TCP137" s="221"/>
      <c r="TCQ137" s="221"/>
      <c r="TCR137" s="221"/>
      <c r="TCS137" s="258"/>
      <c r="TCT137" s="270"/>
      <c r="TCU137" s="271"/>
      <c r="TCV137" s="271"/>
      <c r="TCW137" s="271"/>
      <c r="TCX137" s="221"/>
      <c r="TCY137" s="221"/>
      <c r="TCZ137" s="221"/>
      <c r="TDA137" s="258"/>
      <c r="TDB137" s="270"/>
      <c r="TDC137" s="271"/>
      <c r="TDD137" s="271"/>
      <c r="TDE137" s="271"/>
      <c r="TDF137" s="221"/>
      <c r="TDG137" s="221"/>
      <c r="TDH137" s="221"/>
      <c r="TDI137" s="258"/>
      <c r="TDJ137" s="270"/>
      <c r="TDK137" s="271"/>
      <c r="TDL137" s="271"/>
      <c r="TDM137" s="271"/>
      <c r="TDN137" s="221"/>
      <c r="TDO137" s="221"/>
      <c r="TDP137" s="221"/>
      <c r="TDQ137" s="258"/>
      <c r="TDR137" s="270"/>
      <c r="TDS137" s="271"/>
      <c r="TDT137" s="271"/>
      <c r="TDU137" s="271"/>
      <c r="TDV137" s="221"/>
      <c r="TDW137" s="221"/>
      <c r="TDX137" s="221"/>
      <c r="TDY137" s="258"/>
      <c r="TDZ137" s="270"/>
      <c r="TEA137" s="271"/>
      <c r="TEB137" s="271"/>
      <c r="TEC137" s="271"/>
      <c r="TED137" s="221"/>
      <c r="TEE137" s="221"/>
      <c r="TEF137" s="221"/>
      <c r="TEG137" s="258"/>
      <c r="TEH137" s="270"/>
      <c r="TEI137" s="271"/>
      <c r="TEJ137" s="271"/>
      <c r="TEK137" s="271"/>
      <c r="TEL137" s="221"/>
      <c r="TEM137" s="221"/>
      <c r="TEN137" s="221"/>
      <c r="TEO137" s="258"/>
      <c r="TEP137" s="270"/>
      <c r="TEQ137" s="271"/>
      <c r="TER137" s="271"/>
      <c r="TES137" s="271"/>
      <c r="TET137" s="221"/>
      <c r="TEU137" s="221"/>
      <c r="TEV137" s="221"/>
      <c r="TEW137" s="258"/>
      <c r="TEX137" s="270"/>
      <c r="TEY137" s="271"/>
      <c r="TEZ137" s="271"/>
      <c r="TFA137" s="271"/>
      <c r="TFB137" s="221"/>
      <c r="TFC137" s="221"/>
      <c r="TFD137" s="221"/>
      <c r="TFE137" s="258"/>
      <c r="TFF137" s="270"/>
      <c r="TFG137" s="271"/>
      <c r="TFH137" s="271"/>
      <c r="TFI137" s="271"/>
      <c r="TFJ137" s="221"/>
      <c r="TFK137" s="221"/>
      <c r="TFL137" s="221"/>
      <c r="TFM137" s="258"/>
      <c r="TFN137" s="270"/>
      <c r="TFO137" s="271"/>
      <c r="TFP137" s="271"/>
      <c r="TFQ137" s="271"/>
      <c r="TFR137" s="221"/>
      <c r="TFS137" s="221"/>
      <c r="TFT137" s="221"/>
      <c r="TFU137" s="258"/>
      <c r="TFV137" s="270"/>
      <c r="TFW137" s="271"/>
      <c r="TFX137" s="271"/>
      <c r="TFY137" s="271"/>
      <c r="TFZ137" s="221"/>
      <c r="TGA137" s="221"/>
      <c r="TGB137" s="221"/>
      <c r="TGC137" s="258"/>
      <c r="TGD137" s="270"/>
      <c r="TGE137" s="271"/>
      <c r="TGF137" s="271"/>
      <c r="TGG137" s="271"/>
      <c r="TGH137" s="221"/>
      <c r="TGI137" s="221"/>
      <c r="TGJ137" s="221"/>
      <c r="TGK137" s="258"/>
      <c r="TGL137" s="270"/>
      <c r="TGM137" s="271"/>
      <c r="TGN137" s="271"/>
      <c r="TGO137" s="271"/>
      <c r="TGP137" s="221"/>
      <c r="TGQ137" s="221"/>
      <c r="TGR137" s="221"/>
      <c r="TGS137" s="258"/>
      <c r="TGT137" s="270"/>
      <c r="TGU137" s="271"/>
      <c r="TGV137" s="271"/>
      <c r="TGW137" s="271"/>
      <c r="TGX137" s="221"/>
      <c r="TGY137" s="221"/>
      <c r="TGZ137" s="221"/>
      <c r="THA137" s="258"/>
      <c r="THB137" s="270"/>
      <c r="THC137" s="271"/>
      <c r="THD137" s="271"/>
      <c r="THE137" s="271"/>
      <c r="THF137" s="221"/>
      <c r="THG137" s="221"/>
      <c r="THH137" s="221"/>
      <c r="THI137" s="258"/>
      <c r="THJ137" s="270"/>
      <c r="THK137" s="271"/>
      <c r="THL137" s="271"/>
      <c r="THM137" s="271"/>
      <c r="THN137" s="221"/>
      <c r="THO137" s="221"/>
      <c r="THP137" s="221"/>
      <c r="THQ137" s="258"/>
      <c r="THR137" s="270"/>
      <c r="THS137" s="271"/>
      <c r="THT137" s="271"/>
      <c r="THU137" s="271"/>
      <c r="THV137" s="221"/>
      <c r="THW137" s="221"/>
      <c r="THX137" s="221"/>
      <c r="THY137" s="258"/>
      <c r="THZ137" s="270"/>
      <c r="TIA137" s="271"/>
      <c r="TIB137" s="271"/>
      <c r="TIC137" s="271"/>
      <c r="TID137" s="221"/>
      <c r="TIE137" s="221"/>
      <c r="TIF137" s="221"/>
      <c r="TIG137" s="258"/>
      <c r="TIH137" s="270"/>
      <c r="TII137" s="271"/>
      <c r="TIJ137" s="271"/>
      <c r="TIK137" s="271"/>
      <c r="TIL137" s="221"/>
      <c r="TIM137" s="221"/>
      <c r="TIN137" s="221"/>
      <c r="TIO137" s="258"/>
      <c r="TIP137" s="270"/>
      <c r="TIQ137" s="271"/>
      <c r="TIR137" s="271"/>
      <c r="TIS137" s="271"/>
      <c r="TIT137" s="221"/>
      <c r="TIU137" s="221"/>
      <c r="TIV137" s="221"/>
      <c r="TIW137" s="258"/>
      <c r="TIX137" s="270"/>
      <c r="TIY137" s="271"/>
      <c r="TIZ137" s="271"/>
      <c r="TJA137" s="271"/>
      <c r="TJB137" s="221"/>
      <c r="TJC137" s="221"/>
      <c r="TJD137" s="221"/>
      <c r="TJE137" s="258"/>
      <c r="TJF137" s="270"/>
      <c r="TJG137" s="271"/>
      <c r="TJH137" s="271"/>
      <c r="TJI137" s="271"/>
      <c r="TJJ137" s="221"/>
      <c r="TJK137" s="221"/>
      <c r="TJL137" s="221"/>
      <c r="TJM137" s="258"/>
      <c r="TJN137" s="270"/>
      <c r="TJO137" s="271"/>
      <c r="TJP137" s="271"/>
      <c r="TJQ137" s="271"/>
      <c r="TJR137" s="221"/>
      <c r="TJS137" s="221"/>
      <c r="TJT137" s="221"/>
      <c r="TJU137" s="258"/>
      <c r="TJV137" s="270"/>
      <c r="TJW137" s="271"/>
      <c r="TJX137" s="271"/>
      <c r="TJY137" s="271"/>
      <c r="TJZ137" s="221"/>
      <c r="TKA137" s="221"/>
      <c r="TKB137" s="221"/>
      <c r="TKC137" s="258"/>
      <c r="TKD137" s="270"/>
      <c r="TKE137" s="271"/>
      <c r="TKF137" s="271"/>
      <c r="TKG137" s="271"/>
      <c r="TKH137" s="221"/>
      <c r="TKI137" s="221"/>
      <c r="TKJ137" s="221"/>
      <c r="TKK137" s="258"/>
      <c r="TKL137" s="270"/>
      <c r="TKM137" s="271"/>
      <c r="TKN137" s="271"/>
      <c r="TKO137" s="271"/>
      <c r="TKP137" s="221"/>
      <c r="TKQ137" s="221"/>
      <c r="TKR137" s="221"/>
      <c r="TKS137" s="258"/>
      <c r="TKT137" s="270"/>
      <c r="TKU137" s="271"/>
      <c r="TKV137" s="271"/>
      <c r="TKW137" s="271"/>
      <c r="TKX137" s="221"/>
      <c r="TKY137" s="221"/>
      <c r="TKZ137" s="221"/>
      <c r="TLA137" s="258"/>
      <c r="TLB137" s="270"/>
      <c r="TLC137" s="271"/>
      <c r="TLD137" s="271"/>
      <c r="TLE137" s="271"/>
      <c r="TLF137" s="221"/>
      <c r="TLG137" s="221"/>
      <c r="TLH137" s="221"/>
      <c r="TLI137" s="258"/>
      <c r="TLJ137" s="270"/>
      <c r="TLK137" s="271"/>
      <c r="TLL137" s="271"/>
      <c r="TLM137" s="271"/>
      <c r="TLN137" s="221"/>
      <c r="TLO137" s="221"/>
      <c r="TLP137" s="221"/>
      <c r="TLQ137" s="258"/>
      <c r="TLR137" s="270"/>
      <c r="TLS137" s="271"/>
      <c r="TLT137" s="271"/>
      <c r="TLU137" s="271"/>
      <c r="TLV137" s="221"/>
      <c r="TLW137" s="221"/>
      <c r="TLX137" s="221"/>
      <c r="TLY137" s="258"/>
      <c r="TLZ137" s="270"/>
      <c r="TMA137" s="271"/>
      <c r="TMB137" s="271"/>
      <c r="TMC137" s="271"/>
      <c r="TMD137" s="221"/>
      <c r="TME137" s="221"/>
      <c r="TMF137" s="221"/>
      <c r="TMG137" s="258"/>
      <c r="TMH137" s="270"/>
      <c r="TMI137" s="271"/>
      <c r="TMJ137" s="271"/>
      <c r="TMK137" s="271"/>
      <c r="TML137" s="221"/>
      <c r="TMM137" s="221"/>
      <c r="TMN137" s="221"/>
      <c r="TMO137" s="258"/>
      <c r="TMP137" s="270"/>
      <c r="TMQ137" s="271"/>
      <c r="TMR137" s="271"/>
      <c r="TMS137" s="271"/>
      <c r="TMT137" s="221"/>
      <c r="TMU137" s="221"/>
      <c r="TMV137" s="221"/>
      <c r="TMW137" s="258"/>
      <c r="TMX137" s="270"/>
      <c r="TMY137" s="271"/>
      <c r="TMZ137" s="271"/>
      <c r="TNA137" s="271"/>
      <c r="TNB137" s="221"/>
      <c r="TNC137" s="221"/>
      <c r="TND137" s="221"/>
      <c r="TNE137" s="258"/>
      <c r="TNF137" s="270"/>
      <c r="TNG137" s="271"/>
      <c r="TNH137" s="271"/>
      <c r="TNI137" s="271"/>
      <c r="TNJ137" s="221"/>
      <c r="TNK137" s="221"/>
      <c r="TNL137" s="221"/>
      <c r="TNM137" s="258"/>
      <c r="TNN137" s="270"/>
      <c r="TNO137" s="271"/>
      <c r="TNP137" s="271"/>
      <c r="TNQ137" s="271"/>
      <c r="TNR137" s="221"/>
      <c r="TNS137" s="221"/>
      <c r="TNT137" s="221"/>
      <c r="TNU137" s="258"/>
      <c r="TNV137" s="270"/>
      <c r="TNW137" s="271"/>
      <c r="TNX137" s="271"/>
      <c r="TNY137" s="271"/>
      <c r="TNZ137" s="221"/>
      <c r="TOA137" s="221"/>
      <c r="TOB137" s="221"/>
      <c r="TOC137" s="258"/>
      <c r="TOD137" s="270"/>
      <c r="TOE137" s="271"/>
      <c r="TOF137" s="271"/>
      <c r="TOG137" s="271"/>
      <c r="TOH137" s="221"/>
      <c r="TOI137" s="221"/>
      <c r="TOJ137" s="221"/>
      <c r="TOK137" s="258"/>
      <c r="TOL137" s="270"/>
      <c r="TOM137" s="271"/>
      <c r="TON137" s="271"/>
      <c r="TOO137" s="271"/>
      <c r="TOP137" s="221"/>
      <c r="TOQ137" s="221"/>
      <c r="TOR137" s="221"/>
      <c r="TOS137" s="258"/>
      <c r="TOT137" s="270"/>
      <c r="TOU137" s="271"/>
      <c r="TOV137" s="271"/>
      <c r="TOW137" s="271"/>
      <c r="TOX137" s="221"/>
      <c r="TOY137" s="221"/>
      <c r="TOZ137" s="221"/>
      <c r="TPA137" s="258"/>
      <c r="TPB137" s="270"/>
      <c r="TPC137" s="271"/>
      <c r="TPD137" s="271"/>
      <c r="TPE137" s="271"/>
      <c r="TPF137" s="221"/>
      <c r="TPG137" s="221"/>
      <c r="TPH137" s="221"/>
      <c r="TPI137" s="258"/>
      <c r="TPJ137" s="270"/>
      <c r="TPK137" s="271"/>
      <c r="TPL137" s="271"/>
      <c r="TPM137" s="271"/>
      <c r="TPN137" s="221"/>
      <c r="TPO137" s="221"/>
      <c r="TPP137" s="221"/>
      <c r="TPQ137" s="258"/>
      <c r="TPR137" s="270"/>
      <c r="TPS137" s="271"/>
      <c r="TPT137" s="271"/>
      <c r="TPU137" s="271"/>
      <c r="TPV137" s="221"/>
      <c r="TPW137" s="221"/>
      <c r="TPX137" s="221"/>
      <c r="TPY137" s="258"/>
      <c r="TPZ137" s="270"/>
      <c r="TQA137" s="271"/>
      <c r="TQB137" s="271"/>
      <c r="TQC137" s="271"/>
      <c r="TQD137" s="221"/>
      <c r="TQE137" s="221"/>
      <c r="TQF137" s="221"/>
      <c r="TQG137" s="258"/>
      <c r="TQH137" s="270"/>
      <c r="TQI137" s="271"/>
      <c r="TQJ137" s="271"/>
      <c r="TQK137" s="271"/>
      <c r="TQL137" s="221"/>
      <c r="TQM137" s="221"/>
      <c r="TQN137" s="221"/>
      <c r="TQO137" s="258"/>
      <c r="TQP137" s="270"/>
      <c r="TQQ137" s="271"/>
      <c r="TQR137" s="271"/>
      <c r="TQS137" s="271"/>
      <c r="TQT137" s="221"/>
      <c r="TQU137" s="221"/>
      <c r="TQV137" s="221"/>
      <c r="TQW137" s="258"/>
      <c r="TQX137" s="270"/>
      <c r="TQY137" s="271"/>
      <c r="TQZ137" s="271"/>
      <c r="TRA137" s="271"/>
      <c r="TRB137" s="221"/>
      <c r="TRC137" s="221"/>
      <c r="TRD137" s="221"/>
      <c r="TRE137" s="258"/>
      <c r="TRF137" s="270"/>
      <c r="TRG137" s="271"/>
      <c r="TRH137" s="271"/>
      <c r="TRI137" s="271"/>
      <c r="TRJ137" s="221"/>
      <c r="TRK137" s="221"/>
      <c r="TRL137" s="221"/>
      <c r="TRM137" s="258"/>
      <c r="TRN137" s="270"/>
      <c r="TRO137" s="271"/>
      <c r="TRP137" s="271"/>
      <c r="TRQ137" s="271"/>
      <c r="TRR137" s="221"/>
      <c r="TRS137" s="221"/>
      <c r="TRT137" s="221"/>
      <c r="TRU137" s="258"/>
      <c r="TRV137" s="270"/>
      <c r="TRW137" s="271"/>
      <c r="TRX137" s="271"/>
      <c r="TRY137" s="271"/>
      <c r="TRZ137" s="221"/>
      <c r="TSA137" s="221"/>
      <c r="TSB137" s="221"/>
      <c r="TSC137" s="258"/>
      <c r="TSD137" s="270"/>
      <c r="TSE137" s="271"/>
      <c r="TSF137" s="271"/>
      <c r="TSG137" s="271"/>
      <c r="TSH137" s="221"/>
      <c r="TSI137" s="221"/>
      <c r="TSJ137" s="221"/>
      <c r="TSK137" s="258"/>
      <c r="TSL137" s="270"/>
      <c r="TSM137" s="271"/>
      <c r="TSN137" s="271"/>
      <c r="TSO137" s="271"/>
      <c r="TSP137" s="221"/>
      <c r="TSQ137" s="221"/>
      <c r="TSR137" s="221"/>
      <c r="TSS137" s="258"/>
      <c r="TST137" s="270"/>
      <c r="TSU137" s="271"/>
      <c r="TSV137" s="271"/>
      <c r="TSW137" s="271"/>
      <c r="TSX137" s="221"/>
      <c r="TSY137" s="221"/>
      <c r="TSZ137" s="221"/>
      <c r="TTA137" s="258"/>
      <c r="TTB137" s="270"/>
      <c r="TTC137" s="271"/>
      <c r="TTD137" s="271"/>
      <c r="TTE137" s="271"/>
      <c r="TTF137" s="221"/>
      <c r="TTG137" s="221"/>
      <c r="TTH137" s="221"/>
      <c r="TTI137" s="258"/>
      <c r="TTJ137" s="270"/>
      <c r="TTK137" s="271"/>
      <c r="TTL137" s="271"/>
      <c r="TTM137" s="271"/>
      <c r="TTN137" s="221"/>
      <c r="TTO137" s="221"/>
      <c r="TTP137" s="221"/>
      <c r="TTQ137" s="258"/>
      <c r="TTR137" s="270"/>
      <c r="TTS137" s="271"/>
      <c r="TTT137" s="271"/>
      <c r="TTU137" s="271"/>
      <c r="TTV137" s="221"/>
      <c r="TTW137" s="221"/>
      <c r="TTX137" s="221"/>
      <c r="TTY137" s="258"/>
      <c r="TTZ137" s="270"/>
      <c r="TUA137" s="271"/>
      <c r="TUB137" s="271"/>
      <c r="TUC137" s="271"/>
      <c r="TUD137" s="221"/>
      <c r="TUE137" s="221"/>
      <c r="TUF137" s="221"/>
      <c r="TUG137" s="258"/>
      <c r="TUH137" s="270"/>
      <c r="TUI137" s="271"/>
      <c r="TUJ137" s="271"/>
      <c r="TUK137" s="271"/>
      <c r="TUL137" s="221"/>
      <c r="TUM137" s="221"/>
      <c r="TUN137" s="221"/>
      <c r="TUO137" s="258"/>
      <c r="TUP137" s="270"/>
      <c r="TUQ137" s="271"/>
      <c r="TUR137" s="271"/>
      <c r="TUS137" s="271"/>
      <c r="TUT137" s="221"/>
      <c r="TUU137" s="221"/>
      <c r="TUV137" s="221"/>
      <c r="TUW137" s="258"/>
      <c r="TUX137" s="270"/>
      <c r="TUY137" s="271"/>
      <c r="TUZ137" s="271"/>
      <c r="TVA137" s="271"/>
      <c r="TVB137" s="221"/>
      <c r="TVC137" s="221"/>
      <c r="TVD137" s="221"/>
      <c r="TVE137" s="258"/>
      <c r="TVF137" s="270"/>
      <c r="TVG137" s="271"/>
      <c r="TVH137" s="271"/>
      <c r="TVI137" s="271"/>
      <c r="TVJ137" s="221"/>
      <c r="TVK137" s="221"/>
      <c r="TVL137" s="221"/>
      <c r="TVM137" s="258"/>
      <c r="TVN137" s="270"/>
      <c r="TVO137" s="271"/>
      <c r="TVP137" s="271"/>
      <c r="TVQ137" s="271"/>
      <c r="TVR137" s="221"/>
      <c r="TVS137" s="221"/>
      <c r="TVT137" s="221"/>
      <c r="TVU137" s="258"/>
      <c r="TVV137" s="270"/>
      <c r="TVW137" s="271"/>
      <c r="TVX137" s="271"/>
      <c r="TVY137" s="271"/>
      <c r="TVZ137" s="221"/>
      <c r="TWA137" s="221"/>
      <c r="TWB137" s="221"/>
      <c r="TWC137" s="258"/>
      <c r="TWD137" s="270"/>
      <c r="TWE137" s="271"/>
      <c r="TWF137" s="271"/>
      <c r="TWG137" s="271"/>
      <c r="TWH137" s="221"/>
      <c r="TWI137" s="221"/>
      <c r="TWJ137" s="221"/>
      <c r="TWK137" s="258"/>
      <c r="TWL137" s="270"/>
      <c r="TWM137" s="271"/>
      <c r="TWN137" s="271"/>
      <c r="TWO137" s="271"/>
      <c r="TWP137" s="221"/>
      <c r="TWQ137" s="221"/>
      <c r="TWR137" s="221"/>
      <c r="TWS137" s="258"/>
      <c r="TWT137" s="270"/>
      <c r="TWU137" s="271"/>
      <c r="TWV137" s="271"/>
      <c r="TWW137" s="271"/>
      <c r="TWX137" s="221"/>
      <c r="TWY137" s="221"/>
      <c r="TWZ137" s="221"/>
      <c r="TXA137" s="258"/>
      <c r="TXB137" s="270"/>
      <c r="TXC137" s="271"/>
      <c r="TXD137" s="271"/>
      <c r="TXE137" s="271"/>
      <c r="TXF137" s="221"/>
      <c r="TXG137" s="221"/>
      <c r="TXH137" s="221"/>
      <c r="TXI137" s="258"/>
      <c r="TXJ137" s="270"/>
      <c r="TXK137" s="271"/>
      <c r="TXL137" s="271"/>
      <c r="TXM137" s="271"/>
      <c r="TXN137" s="221"/>
      <c r="TXO137" s="221"/>
      <c r="TXP137" s="221"/>
      <c r="TXQ137" s="258"/>
      <c r="TXR137" s="270"/>
      <c r="TXS137" s="271"/>
      <c r="TXT137" s="271"/>
      <c r="TXU137" s="271"/>
      <c r="TXV137" s="221"/>
      <c r="TXW137" s="221"/>
      <c r="TXX137" s="221"/>
      <c r="TXY137" s="258"/>
      <c r="TXZ137" s="270"/>
      <c r="TYA137" s="271"/>
      <c r="TYB137" s="271"/>
      <c r="TYC137" s="271"/>
      <c r="TYD137" s="221"/>
      <c r="TYE137" s="221"/>
      <c r="TYF137" s="221"/>
      <c r="TYG137" s="258"/>
      <c r="TYH137" s="270"/>
      <c r="TYI137" s="271"/>
      <c r="TYJ137" s="271"/>
      <c r="TYK137" s="271"/>
      <c r="TYL137" s="221"/>
      <c r="TYM137" s="221"/>
      <c r="TYN137" s="221"/>
      <c r="TYO137" s="258"/>
      <c r="TYP137" s="270"/>
      <c r="TYQ137" s="271"/>
      <c r="TYR137" s="271"/>
      <c r="TYS137" s="271"/>
      <c r="TYT137" s="221"/>
      <c r="TYU137" s="221"/>
      <c r="TYV137" s="221"/>
      <c r="TYW137" s="258"/>
      <c r="TYX137" s="270"/>
      <c r="TYY137" s="271"/>
      <c r="TYZ137" s="271"/>
      <c r="TZA137" s="271"/>
      <c r="TZB137" s="221"/>
      <c r="TZC137" s="221"/>
      <c r="TZD137" s="221"/>
      <c r="TZE137" s="258"/>
      <c r="TZF137" s="270"/>
      <c r="TZG137" s="271"/>
      <c r="TZH137" s="271"/>
      <c r="TZI137" s="271"/>
      <c r="TZJ137" s="221"/>
      <c r="TZK137" s="221"/>
      <c r="TZL137" s="221"/>
      <c r="TZM137" s="258"/>
      <c r="TZN137" s="270"/>
      <c r="TZO137" s="271"/>
      <c r="TZP137" s="271"/>
      <c r="TZQ137" s="271"/>
      <c r="TZR137" s="221"/>
      <c r="TZS137" s="221"/>
      <c r="TZT137" s="221"/>
      <c r="TZU137" s="258"/>
      <c r="TZV137" s="270"/>
      <c r="TZW137" s="271"/>
      <c r="TZX137" s="271"/>
      <c r="TZY137" s="271"/>
      <c r="TZZ137" s="221"/>
      <c r="UAA137" s="221"/>
      <c r="UAB137" s="221"/>
      <c r="UAC137" s="258"/>
      <c r="UAD137" s="270"/>
      <c r="UAE137" s="271"/>
      <c r="UAF137" s="271"/>
      <c r="UAG137" s="271"/>
      <c r="UAH137" s="221"/>
      <c r="UAI137" s="221"/>
      <c r="UAJ137" s="221"/>
      <c r="UAK137" s="258"/>
      <c r="UAL137" s="270"/>
      <c r="UAM137" s="271"/>
      <c r="UAN137" s="271"/>
      <c r="UAO137" s="271"/>
      <c r="UAP137" s="221"/>
      <c r="UAQ137" s="221"/>
      <c r="UAR137" s="221"/>
      <c r="UAS137" s="258"/>
      <c r="UAT137" s="270"/>
      <c r="UAU137" s="271"/>
      <c r="UAV137" s="271"/>
      <c r="UAW137" s="271"/>
      <c r="UAX137" s="221"/>
      <c r="UAY137" s="221"/>
      <c r="UAZ137" s="221"/>
      <c r="UBA137" s="258"/>
      <c r="UBB137" s="270"/>
      <c r="UBC137" s="271"/>
      <c r="UBD137" s="271"/>
      <c r="UBE137" s="271"/>
      <c r="UBF137" s="221"/>
      <c r="UBG137" s="221"/>
      <c r="UBH137" s="221"/>
      <c r="UBI137" s="258"/>
      <c r="UBJ137" s="270"/>
      <c r="UBK137" s="271"/>
      <c r="UBL137" s="271"/>
      <c r="UBM137" s="271"/>
      <c r="UBN137" s="221"/>
      <c r="UBO137" s="221"/>
      <c r="UBP137" s="221"/>
      <c r="UBQ137" s="258"/>
      <c r="UBR137" s="270"/>
      <c r="UBS137" s="271"/>
      <c r="UBT137" s="271"/>
      <c r="UBU137" s="271"/>
      <c r="UBV137" s="221"/>
      <c r="UBW137" s="221"/>
      <c r="UBX137" s="221"/>
      <c r="UBY137" s="258"/>
      <c r="UBZ137" s="270"/>
      <c r="UCA137" s="271"/>
      <c r="UCB137" s="271"/>
      <c r="UCC137" s="271"/>
      <c r="UCD137" s="221"/>
      <c r="UCE137" s="221"/>
      <c r="UCF137" s="221"/>
      <c r="UCG137" s="258"/>
      <c r="UCH137" s="270"/>
      <c r="UCI137" s="271"/>
      <c r="UCJ137" s="271"/>
      <c r="UCK137" s="271"/>
      <c r="UCL137" s="221"/>
      <c r="UCM137" s="221"/>
      <c r="UCN137" s="221"/>
      <c r="UCO137" s="258"/>
      <c r="UCP137" s="270"/>
      <c r="UCQ137" s="271"/>
      <c r="UCR137" s="271"/>
      <c r="UCS137" s="271"/>
      <c r="UCT137" s="221"/>
      <c r="UCU137" s="221"/>
      <c r="UCV137" s="221"/>
      <c r="UCW137" s="258"/>
      <c r="UCX137" s="270"/>
      <c r="UCY137" s="271"/>
      <c r="UCZ137" s="271"/>
      <c r="UDA137" s="271"/>
      <c r="UDB137" s="221"/>
      <c r="UDC137" s="221"/>
      <c r="UDD137" s="221"/>
      <c r="UDE137" s="258"/>
      <c r="UDF137" s="270"/>
      <c r="UDG137" s="271"/>
      <c r="UDH137" s="271"/>
      <c r="UDI137" s="271"/>
      <c r="UDJ137" s="221"/>
      <c r="UDK137" s="221"/>
      <c r="UDL137" s="221"/>
      <c r="UDM137" s="258"/>
      <c r="UDN137" s="270"/>
      <c r="UDO137" s="271"/>
      <c r="UDP137" s="271"/>
      <c r="UDQ137" s="271"/>
      <c r="UDR137" s="221"/>
      <c r="UDS137" s="221"/>
      <c r="UDT137" s="221"/>
      <c r="UDU137" s="258"/>
      <c r="UDV137" s="270"/>
      <c r="UDW137" s="271"/>
      <c r="UDX137" s="271"/>
      <c r="UDY137" s="271"/>
      <c r="UDZ137" s="221"/>
      <c r="UEA137" s="221"/>
      <c r="UEB137" s="221"/>
      <c r="UEC137" s="258"/>
      <c r="UED137" s="270"/>
      <c r="UEE137" s="271"/>
      <c r="UEF137" s="271"/>
      <c r="UEG137" s="271"/>
      <c r="UEH137" s="221"/>
      <c r="UEI137" s="221"/>
      <c r="UEJ137" s="221"/>
      <c r="UEK137" s="258"/>
      <c r="UEL137" s="270"/>
      <c r="UEM137" s="271"/>
      <c r="UEN137" s="271"/>
      <c r="UEO137" s="271"/>
      <c r="UEP137" s="221"/>
      <c r="UEQ137" s="221"/>
      <c r="UER137" s="221"/>
      <c r="UES137" s="258"/>
      <c r="UET137" s="270"/>
      <c r="UEU137" s="271"/>
      <c r="UEV137" s="271"/>
      <c r="UEW137" s="271"/>
      <c r="UEX137" s="221"/>
      <c r="UEY137" s="221"/>
      <c r="UEZ137" s="221"/>
      <c r="UFA137" s="258"/>
      <c r="UFB137" s="270"/>
      <c r="UFC137" s="271"/>
      <c r="UFD137" s="271"/>
      <c r="UFE137" s="271"/>
      <c r="UFF137" s="221"/>
      <c r="UFG137" s="221"/>
      <c r="UFH137" s="221"/>
      <c r="UFI137" s="258"/>
      <c r="UFJ137" s="270"/>
      <c r="UFK137" s="271"/>
      <c r="UFL137" s="271"/>
      <c r="UFM137" s="271"/>
      <c r="UFN137" s="221"/>
      <c r="UFO137" s="221"/>
      <c r="UFP137" s="221"/>
      <c r="UFQ137" s="258"/>
      <c r="UFR137" s="270"/>
      <c r="UFS137" s="271"/>
      <c r="UFT137" s="271"/>
      <c r="UFU137" s="271"/>
      <c r="UFV137" s="221"/>
      <c r="UFW137" s="221"/>
      <c r="UFX137" s="221"/>
      <c r="UFY137" s="258"/>
      <c r="UFZ137" s="270"/>
      <c r="UGA137" s="271"/>
      <c r="UGB137" s="271"/>
      <c r="UGC137" s="271"/>
      <c r="UGD137" s="221"/>
      <c r="UGE137" s="221"/>
      <c r="UGF137" s="221"/>
      <c r="UGG137" s="258"/>
      <c r="UGH137" s="270"/>
      <c r="UGI137" s="271"/>
      <c r="UGJ137" s="271"/>
      <c r="UGK137" s="271"/>
      <c r="UGL137" s="221"/>
      <c r="UGM137" s="221"/>
      <c r="UGN137" s="221"/>
      <c r="UGO137" s="258"/>
      <c r="UGP137" s="270"/>
      <c r="UGQ137" s="271"/>
      <c r="UGR137" s="271"/>
      <c r="UGS137" s="271"/>
      <c r="UGT137" s="221"/>
      <c r="UGU137" s="221"/>
      <c r="UGV137" s="221"/>
      <c r="UGW137" s="258"/>
      <c r="UGX137" s="270"/>
      <c r="UGY137" s="271"/>
      <c r="UGZ137" s="271"/>
      <c r="UHA137" s="271"/>
      <c r="UHB137" s="221"/>
      <c r="UHC137" s="221"/>
      <c r="UHD137" s="221"/>
      <c r="UHE137" s="258"/>
      <c r="UHF137" s="270"/>
      <c r="UHG137" s="271"/>
      <c r="UHH137" s="271"/>
      <c r="UHI137" s="271"/>
      <c r="UHJ137" s="221"/>
      <c r="UHK137" s="221"/>
      <c r="UHL137" s="221"/>
      <c r="UHM137" s="258"/>
      <c r="UHN137" s="270"/>
      <c r="UHO137" s="271"/>
      <c r="UHP137" s="271"/>
      <c r="UHQ137" s="271"/>
      <c r="UHR137" s="221"/>
      <c r="UHS137" s="221"/>
      <c r="UHT137" s="221"/>
      <c r="UHU137" s="258"/>
      <c r="UHV137" s="270"/>
      <c r="UHW137" s="271"/>
      <c r="UHX137" s="271"/>
      <c r="UHY137" s="271"/>
      <c r="UHZ137" s="221"/>
      <c r="UIA137" s="221"/>
      <c r="UIB137" s="221"/>
      <c r="UIC137" s="258"/>
      <c r="UID137" s="270"/>
      <c r="UIE137" s="271"/>
      <c r="UIF137" s="271"/>
      <c r="UIG137" s="271"/>
      <c r="UIH137" s="221"/>
      <c r="UII137" s="221"/>
      <c r="UIJ137" s="221"/>
      <c r="UIK137" s="258"/>
      <c r="UIL137" s="270"/>
      <c r="UIM137" s="271"/>
      <c r="UIN137" s="271"/>
      <c r="UIO137" s="271"/>
      <c r="UIP137" s="221"/>
      <c r="UIQ137" s="221"/>
      <c r="UIR137" s="221"/>
      <c r="UIS137" s="258"/>
      <c r="UIT137" s="270"/>
      <c r="UIU137" s="271"/>
      <c r="UIV137" s="271"/>
      <c r="UIW137" s="271"/>
      <c r="UIX137" s="221"/>
      <c r="UIY137" s="221"/>
      <c r="UIZ137" s="221"/>
      <c r="UJA137" s="258"/>
      <c r="UJB137" s="270"/>
      <c r="UJC137" s="271"/>
      <c r="UJD137" s="271"/>
      <c r="UJE137" s="271"/>
      <c r="UJF137" s="221"/>
      <c r="UJG137" s="221"/>
      <c r="UJH137" s="221"/>
      <c r="UJI137" s="258"/>
      <c r="UJJ137" s="270"/>
      <c r="UJK137" s="271"/>
      <c r="UJL137" s="271"/>
      <c r="UJM137" s="271"/>
      <c r="UJN137" s="221"/>
      <c r="UJO137" s="221"/>
      <c r="UJP137" s="221"/>
      <c r="UJQ137" s="258"/>
      <c r="UJR137" s="270"/>
      <c r="UJS137" s="271"/>
      <c r="UJT137" s="271"/>
      <c r="UJU137" s="271"/>
      <c r="UJV137" s="221"/>
      <c r="UJW137" s="221"/>
      <c r="UJX137" s="221"/>
      <c r="UJY137" s="258"/>
      <c r="UJZ137" s="270"/>
      <c r="UKA137" s="271"/>
      <c r="UKB137" s="271"/>
      <c r="UKC137" s="271"/>
      <c r="UKD137" s="221"/>
      <c r="UKE137" s="221"/>
      <c r="UKF137" s="221"/>
      <c r="UKG137" s="258"/>
      <c r="UKH137" s="270"/>
      <c r="UKI137" s="271"/>
      <c r="UKJ137" s="271"/>
      <c r="UKK137" s="271"/>
      <c r="UKL137" s="221"/>
      <c r="UKM137" s="221"/>
      <c r="UKN137" s="221"/>
      <c r="UKO137" s="258"/>
      <c r="UKP137" s="270"/>
      <c r="UKQ137" s="271"/>
      <c r="UKR137" s="271"/>
      <c r="UKS137" s="271"/>
      <c r="UKT137" s="221"/>
      <c r="UKU137" s="221"/>
      <c r="UKV137" s="221"/>
      <c r="UKW137" s="258"/>
      <c r="UKX137" s="270"/>
      <c r="UKY137" s="271"/>
      <c r="UKZ137" s="271"/>
      <c r="ULA137" s="271"/>
      <c r="ULB137" s="221"/>
      <c r="ULC137" s="221"/>
      <c r="ULD137" s="221"/>
      <c r="ULE137" s="258"/>
      <c r="ULF137" s="270"/>
      <c r="ULG137" s="271"/>
      <c r="ULH137" s="271"/>
      <c r="ULI137" s="271"/>
      <c r="ULJ137" s="221"/>
      <c r="ULK137" s="221"/>
      <c r="ULL137" s="221"/>
      <c r="ULM137" s="258"/>
      <c r="ULN137" s="270"/>
      <c r="ULO137" s="271"/>
      <c r="ULP137" s="271"/>
      <c r="ULQ137" s="271"/>
      <c r="ULR137" s="221"/>
      <c r="ULS137" s="221"/>
      <c r="ULT137" s="221"/>
      <c r="ULU137" s="258"/>
      <c r="ULV137" s="270"/>
      <c r="ULW137" s="271"/>
      <c r="ULX137" s="271"/>
      <c r="ULY137" s="271"/>
      <c r="ULZ137" s="221"/>
      <c r="UMA137" s="221"/>
      <c r="UMB137" s="221"/>
      <c r="UMC137" s="258"/>
      <c r="UMD137" s="270"/>
      <c r="UME137" s="271"/>
      <c r="UMF137" s="271"/>
      <c r="UMG137" s="271"/>
      <c r="UMH137" s="221"/>
      <c r="UMI137" s="221"/>
      <c r="UMJ137" s="221"/>
      <c r="UMK137" s="258"/>
      <c r="UML137" s="270"/>
      <c r="UMM137" s="271"/>
      <c r="UMN137" s="271"/>
      <c r="UMO137" s="271"/>
      <c r="UMP137" s="221"/>
      <c r="UMQ137" s="221"/>
      <c r="UMR137" s="221"/>
      <c r="UMS137" s="258"/>
      <c r="UMT137" s="270"/>
      <c r="UMU137" s="271"/>
      <c r="UMV137" s="271"/>
      <c r="UMW137" s="271"/>
      <c r="UMX137" s="221"/>
      <c r="UMY137" s="221"/>
      <c r="UMZ137" s="221"/>
      <c r="UNA137" s="258"/>
      <c r="UNB137" s="270"/>
      <c r="UNC137" s="271"/>
      <c r="UND137" s="271"/>
      <c r="UNE137" s="271"/>
      <c r="UNF137" s="221"/>
      <c r="UNG137" s="221"/>
      <c r="UNH137" s="221"/>
      <c r="UNI137" s="258"/>
      <c r="UNJ137" s="270"/>
      <c r="UNK137" s="271"/>
      <c r="UNL137" s="271"/>
      <c r="UNM137" s="271"/>
      <c r="UNN137" s="221"/>
      <c r="UNO137" s="221"/>
      <c r="UNP137" s="221"/>
      <c r="UNQ137" s="258"/>
      <c r="UNR137" s="270"/>
      <c r="UNS137" s="271"/>
      <c r="UNT137" s="271"/>
      <c r="UNU137" s="271"/>
      <c r="UNV137" s="221"/>
      <c r="UNW137" s="221"/>
      <c r="UNX137" s="221"/>
      <c r="UNY137" s="258"/>
      <c r="UNZ137" s="270"/>
      <c r="UOA137" s="271"/>
      <c r="UOB137" s="271"/>
      <c r="UOC137" s="271"/>
      <c r="UOD137" s="221"/>
      <c r="UOE137" s="221"/>
      <c r="UOF137" s="221"/>
      <c r="UOG137" s="258"/>
      <c r="UOH137" s="270"/>
      <c r="UOI137" s="271"/>
      <c r="UOJ137" s="271"/>
      <c r="UOK137" s="271"/>
      <c r="UOL137" s="221"/>
      <c r="UOM137" s="221"/>
      <c r="UON137" s="221"/>
      <c r="UOO137" s="258"/>
      <c r="UOP137" s="270"/>
      <c r="UOQ137" s="271"/>
      <c r="UOR137" s="271"/>
      <c r="UOS137" s="271"/>
      <c r="UOT137" s="221"/>
      <c r="UOU137" s="221"/>
      <c r="UOV137" s="221"/>
      <c r="UOW137" s="258"/>
      <c r="UOX137" s="270"/>
      <c r="UOY137" s="271"/>
      <c r="UOZ137" s="271"/>
      <c r="UPA137" s="271"/>
      <c r="UPB137" s="221"/>
      <c r="UPC137" s="221"/>
      <c r="UPD137" s="221"/>
      <c r="UPE137" s="258"/>
      <c r="UPF137" s="270"/>
      <c r="UPG137" s="271"/>
      <c r="UPH137" s="271"/>
      <c r="UPI137" s="271"/>
      <c r="UPJ137" s="221"/>
      <c r="UPK137" s="221"/>
      <c r="UPL137" s="221"/>
      <c r="UPM137" s="258"/>
      <c r="UPN137" s="270"/>
      <c r="UPO137" s="271"/>
      <c r="UPP137" s="271"/>
      <c r="UPQ137" s="271"/>
      <c r="UPR137" s="221"/>
      <c r="UPS137" s="221"/>
      <c r="UPT137" s="221"/>
      <c r="UPU137" s="258"/>
      <c r="UPV137" s="270"/>
      <c r="UPW137" s="271"/>
      <c r="UPX137" s="271"/>
      <c r="UPY137" s="271"/>
      <c r="UPZ137" s="221"/>
      <c r="UQA137" s="221"/>
      <c r="UQB137" s="221"/>
      <c r="UQC137" s="258"/>
      <c r="UQD137" s="270"/>
      <c r="UQE137" s="271"/>
      <c r="UQF137" s="271"/>
      <c r="UQG137" s="271"/>
      <c r="UQH137" s="221"/>
      <c r="UQI137" s="221"/>
      <c r="UQJ137" s="221"/>
      <c r="UQK137" s="258"/>
      <c r="UQL137" s="270"/>
      <c r="UQM137" s="271"/>
      <c r="UQN137" s="271"/>
      <c r="UQO137" s="271"/>
      <c r="UQP137" s="221"/>
      <c r="UQQ137" s="221"/>
      <c r="UQR137" s="221"/>
      <c r="UQS137" s="258"/>
      <c r="UQT137" s="270"/>
      <c r="UQU137" s="271"/>
      <c r="UQV137" s="271"/>
      <c r="UQW137" s="271"/>
      <c r="UQX137" s="221"/>
      <c r="UQY137" s="221"/>
      <c r="UQZ137" s="221"/>
      <c r="URA137" s="258"/>
      <c r="URB137" s="270"/>
      <c r="URC137" s="271"/>
      <c r="URD137" s="271"/>
      <c r="URE137" s="271"/>
      <c r="URF137" s="221"/>
      <c r="URG137" s="221"/>
      <c r="URH137" s="221"/>
      <c r="URI137" s="258"/>
      <c r="URJ137" s="270"/>
      <c r="URK137" s="271"/>
      <c r="URL137" s="271"/>
      <c r="URM137" s="271"/>
      <c r="URN137" s="221"/>
      <c r="URO137" s="221"/>
      <c r="URP137" s="221"/>
      <c r="URQ137" s="258"/>
      <c r="URR137" s="270"/>
      <c r="URS137" s="271"/>
      <c r="URT137" s="271"/>
      <c r="URU137" s="271"/>
      <c r="URV137" s="221"/>
      <c r="URW137" s="221"/>
      <c r="URX137" s="221"/>
      <c r="URY137" s="258"/>
      <c r="URZ137" s="270"/>
      <c r="USA137" s="271"/>
      <c r="USB137" s="271"/>
      <c r="USC137" s="271"/>
      <c r="USD137" s="221"/>
      <c r="USE137" s="221"/>
      <c r="USF137" s="221"/>
      <c r="USG137" s="258"/>
      <c r="USH137" s="270"/>
      <c r="USI137" s="271"/>
      <c r="USJ137" s="271"/>
      <c r="USK137" s="271"/>
      <c r="USL137" s="221"/>
      <c r="USM137" s="221"/>
      <c r="USN137" s="221"/>
      <c r="USO137" s="258"/>
      <c r="USP137" s="270"/>
      <c r="USQ137" s="271"/>
      <c r="USR137" s="271"/>
      <c r="USS137" s="271"/>
      <c r="UST137" s="221"/>
      <c r="USU137" s="221"/>
      <c r="USV137" s="221"/>
      <c r="USW137" s="258"/>
      <c r="USX137" s="270"/>
      <c r="USY137" s="271"/>
      <c r="USZ137" s="271"/>
      <c r="UTA137" s="271"/>
      <c r="UTB137" s="221"/>
      <c r="UTC137" s="221"/>
      <c r="UTD137" s="221"/>
      <c r="UTE137" s="258"/>
      <c r="UTF137" s="270"/>
      <c r="UTG137" s="271"/>
      <c r="UTH137" s="271"/>
      <c r="UTI137" s="271"/>
      <c r="UTJ137" s="221"/>
      <c r="UTK137" s="221"/>
      <c r="UTL137" s="221"/>
      <c r="UTM137" s="258"/>
      <c r="UTN137" s="270"/>
      <c r="UTO137" s="271"/>
      <c r="UTP137" s="271"/>
      <c r="UTQ137" s="271"/>
      <c r="UTR137" s="221"/>
      <c r="UTS137" s="221"/>
      <c r="UTT137" s="221"/>
      <c r="UTU137" s="258"/>
      <c r="UTV137" s="270"/>
      <c r="UTW137" s="271"/>
      <c r="UTX137" s="271"/>
      <c r="UTY137" s="271"/>
      <c r="UTZ137" s="221"/>
      <c r="UUA137" s="221"/>
      <c r="UUB137" s="221"/>
      <c r="UUC137" s="258"/>
      <c r="UUD137" s="270"/>
      <c r="UUE137" s="271"/>
      <c r="UUF137" s="271"/>
      <c r="UUG137" s="271"/>
      <c r="UUH137" s="221"/>
      <c r="UUI137" s="221"/>
      <c r="UUJ137" s="221"/>
      <c r="UUK137" s="258"/>
      <c r="UUL137" s="270"/>
      <c r="UUM137" s="271"/>
      <c r="UUN137" s="271"/>
      <c r="UUO137" s="271"/>
      <c r="UUP137" s="221"/>
      <c r="UUQ137" s="221"/>
      <c r="UUR137" s="221"/>
      <c r="UUS137" s="258"/>
      <c r="UUT137" s="270"/>
      <c r="UUU137" s="271"/>
      <c r="UUV137" s="271"/>
      <c r="UUW137" s="271"/>
      <c r="UUX137" s="221"/>
      <c r="UUY137" s="221"/>
      <c r="UUZ137" s="221"/>
      <c r="UVA137" s="258"/>
      <c r="UVB137" s="270"/>
      <c r="UVC137" s="271"/>
      <c r="UVD137" s="271"/>
      <c r="UVE137" s="271"/>
      <c r="UVF137" s="221"/>
      <c r="UVG137" s="221"/>
      <c r="UVH137" s="221"/>
      <c r="UVI137" s="258"/>
      <c r="UVJ137" s="270"/>
      <c r="UVK137" s="271"/>
      <c r="UVL137" s="271"/>
      <c r="UVM137" s="271"/>
      <c r="UVN137" s="221"/>
      <c r="UVO137" s="221"/>
      <c r="UVP137" s="221"/>
      <c r="UVQ137" s="258"/>
      <c r="UVR137" s="270"/>
      <c r="UVS137" s="271"/>
      <c r="UVT137" s="271"/>
      <c r="UVU137" s="271"/>
      <c r="UVV137" s="221"/>
      <c r="UVW137" s="221"/>
      <c r="UVX137" s="221"/>
      <c r="UVY137" s="258"/>
      <c r="UVZ137" s="270"/>
      <c r="UWA137" s="271"/>
      <c r="UWB137" s="271"/>
      <c r="UWC137" s="271"/>
      <c r="UWD137" s="221"/>
      <c r="UWE137" s="221"/>
      <c r="UWF137" s="221"/>
      <c r="UWG137" s="258"/>
      <c r="UWH137" s="270"/>
      <c r="UWI137" s="271"/>
      <c r="UWJ137" s="271"/>
      <c r="UWK137" s="271"/>
      <c r="UWL137" s="221"/>
      <c r="UWM137" s="221"/>
      <c r="UWN137" s="221"/>
      <c r="UWO137" s="258"/>
      <c r="UWP137" s="270"/>
      <c r="UWQ137" s="271"/>
      <c r="UWR137" s="271"/>
      <c r="UWS137" s="271"/>
      <c r="UWT137" s="221"/>
      <c r="UWU137" s="221"/>
      <c r="UWV137" s="221"/>
      <c r="UWW137" s="258"/>
      <c r="UWX137" s="270"/>
      <c r="UWY137" s="271"/>
      <c r="UWZ137" s="271"/>
      <c r="UXA137" s="271"/>
      <c r="UXB137" s="221"/>
      <c r="UXC137" s="221"/>
      <c r="UXD137" s="221"/>
      <c r="UXE137" s="258"/>
      <c r="UXF137" s="270"/>
      <c r="UXG137" s="271"/>
      <c r="UXH137" s="271"/>
      <c r="UXI137" s="271"/>
      <c r="UXJ137" s="221"/>
      <c r="UXK137" s="221"/>
      <c r="UXL137" s="221"/>
      <c r="UXM137" s="258"/>
      <c r="UXN137" s="270"/>
      <c r="UXO137" s="271"/>
      <c r="UXP137" s="271"/>
      <c r="UXQ137" s="271"/>
      <c r="UXR137" s="221"/>
      <c r="UXS137" s="221"/>
      <c r="UXT137" s="221"/>
      <c r="UXU137" s="258"/>
      <c r="UXV137" s="270"/>
      <c r="UXW137" s="271"/>
      <c r="UXX137" s="271"/>
      <c r="UXY137" s="271"/>
      <c r="UXZ137" s="221"/>
      <c r="UYA137" s="221"/>
      <c r="UYB137" s="221"/>
      <c r="UYC137" s="258"/>
      <c r="UYD137" s="270"/>
      <c r="UYE137" s="271"/>
      <c r="UYF137" s="271"/>
      <c r="UYG137" s="271"/>
      <c r="UYH137" s="221"/>
      <c r="UYI137" s="221"/>
      <c r="UYJ137" s="221"/>
      <c r="UYK137" s="258"/>
      <c r="UYL137" s="270"/>
      <c r="UYM137" s="271"/>
      <c r="UYN137" s="271"/>
      <c r="UYO137" s="271"/>
      <c r="UYP137" s="221"/>
      <c r="UYQ137" s="221"/>
      <c r="UYR137" s="221"/>
      <c r="UYS137" s="258"/>
      <c r="UYT137" s="270"/>
      <c r="UYU137" s="271"/>
      <c r="UYV137" s="271"/>
      <c r="UYW137" s="271"/>
      <c r="UYX137" s="221"/>
      <c r="UYY137" s="221"/>
      <c r="UYZ137" s="221"/>
      <c r="UZA137" s="258"/>
      <c r="UZB137" s="270"/>
      <c r="UZC137" s="271"/>
      <c r="UZD137" s="271"/>
      <c r="UZE137" s="271"/>
      <c r="UZF137" s="221"/>
      <c r="UZG137" s="221"/>
      <c r="UZH137" s="221"/>
      <c r="UZI137" s="258"/>
      <c r="UZJ137" s="270"/>
      <c r="UZK137" s="271"/>
      <c r="UZL137" s="271"/>
      <c r="UZM137" s="271"/>
      <c r="UZN137" s="221"/>
      <c r="UZO137" s="221"/>
      <c r="UZP137" s="221"/>
      <c r="UZQ137" s="258"/>
      <c r="UZR137" s="270"/>
      <c r="UZS137" s="271"/>
      <c r="UZT137" s="271"/>
      <c r="UZU137" s="271"/>
      <c r="UZV137" s="221"/>
      <c r="UZW137" s="221"/>
      <c r="UZX137" s="221"/>
      <c r="UZY137" s="258"/>
      <c r="UZZ137" s="270"/>
      <c r="VAA137" s="271"/>
      <c r="VAB137" s="271"/>
      <c r="VAC137" s="271"/>
      <c r="VAD137" s="221"/>
      <c r="VAE137" s="221"/>
      <c r="VAF137" s="221"/>
      <c r="VAG137" s="258"/>
      <c r="VAH137" s="270"/>
      <c r="VAI137" s="271"/>
      <c r="VAJ137" s="271"/>
      <c r="VAK137" s="271"/>
      <c r="VAL137" s="221"/>
      <c r="VAM137" s="221"/>
      <c r="VAN137" s="221"/>
      <c r="VAO137" s="258"/>
      <c r="VAP137" s="270"/>
      <c r="VAQ137" s="271"/>
      <c r="VAR137" s="271"/>
      <c r="VAS137" s="271"/>
      <c r="VAT137" s="221"/>
      <c r="VAU137" s="221"/>
      <c r="VAV137" s="221"/>
      <c r="VAW137" s="258"/>
      <c r="VAX137" s="270"/>
      <c r="VAY137" s="271"/>
      <c r="VAZ137" s="271"/>
      <c r="VBA137" s="271"/>
      <c r="VBB137" s="221"/>
      <c r="VBC137" s="221"/>
      <c r="VBD137" s="221"/>
      <c r="VBE137" s="258"/>
      <c r="VBF137" s="270"/>
      <c r="VBG137" s="271"/>
      <c r="VBH137" s="271"/>
      <c r="VBI137" s="271"/>
      <c r="VBJ137" s="221"/>
      <c r="VBK137" s="221"/>
      <c r="VBL137" s="221"/>
      <c r="VBM137" s="258"/>
      <c r="VBN137" s="270"/>
      <c r="VBO137" s="271"/>
      <c r="VBP137" s="271"/>
      <c r="VBQ137" s="271"/>
      <c r="VBR137" s="221"/>
      <c r="VBS137" s="221"/>
      <c r="VBT137" s="221"/>
      <c r="VBU137" s="258"/>
      <c r="VBV137" s="270"/>
      <c r="VBW137" s="271"/>
      <c r="VBX137" s="271"/>
      <c r="VBY137" s="271"/>
      <c r="VBZ137" s="221"/>
      <c r="VCA137" s="221"/>
      <c r="VCB137" s="221"/>
      <c r="VCC137" s="258"/>
      <c r="VCD137" s="270"/>
      <c r="VCE137" s="271"/>
      <c r="VCF137" s="271"/>
      <c r="VCG137" s="271"/>
      <c r="VCH137" s="221"/>
      <c r="VCI137" s="221"/>
      <c r="VCJ137" s="221"/>
      <c r="VCK137" s="258"/>
      <c r="VCL137" s="270"/>
      <c r="VCM137" s="271"/>
      <c r="VCN137" s="271"/>
      <c r="VCO137" s="271"/>
      <c r="VCP137" s="221"/>
      <c r="VCQ137" s="221"/>
      <c r="VCR137" s="221"/>
      <c r="VCS137" s="258"/>
      <c r="VCT137" s="270"/>
      <c r="VCU137" s="271"/>
      <c r="VCV137" s="271"/>
      <c r="VCW137" s="271"/>
      <c r="VCX137" s="221"/>
      <c r="VCY137" s="221"/>
      <c r="VCZ137" s="221"/>
      <c r="VDA137" s="258"/>
      <c r="VDB137" s="270"/>
      <c r="VDC137" s="271"/>
      <c r="VDD137" s="271"/>
      <c r="VDE137" s="271"/>
      <c r="VDF137" s="221"/>
      <c r="VDG137" s="221"/>
      <c r="VDH137" s="221"/>
      <c r="VDI137" s="258"/>
      <c r="VDJ137" s="270"/>
      <c r="VDK137" s="271"/>
      <c r="VDL137" s="271"/>
      <c r="VDM137" s="271"/>
      <c r="VDN137" s="221"/>
      <c r="VDO137" s="221"/>
      <c r="VDP137" s="221"/>
      <c r="VDQ137" s="258"/>
      <c r="VDR137" s="270"/>
      <c r="VDS137" s="271"/>
      <c r="VDT137" s="271"/>
      <c r="VDU137" s="271"/>
      <c r="VDV137" s="221"/>
      <c r="VDW137" s="221"/>
      <c r="VDX137" s="221"/>
      <c r="VDY137" s="258"/>
      <c r="VDZ137" s="270"/>
      <c r="VEA137" s="271"/>
      <c r="VEB137" s="271"/>
      <c r="VEC137" s="271"/>
      <c r="VED137" s="221"/>
      <c r="VEE137" s="221"/>
      <c r="VEF137" s="221"/>
      <c r="VEG137" s="258"/>
      <c r="VEH137" s="270"/>
      <c r="VEI137" s="271"/>
      <c r="VEJ137" s="271"/>
      <c r="VEK137" s="271"/>
      <c r="VEL137" s="221"/>
      <c r="VEM137" s="221"/>
      <c r="VEN137" s="221"/>
      <c r="VEO137" s="258"/>
      <c r="VEP137" s="270"/>
      <c r="VEQ137" s="271"/>
      <c r="VER137" s="271"/>
      <c r="VES137" s="271"/>
      <c r="VET137" s="221"/>
      <c r="VEU137" s="221"/>
      <c r="VEV137" s="221"/>
      <c r="VEW137" s="258"/>
      <c r="VEX137" s="270"/>
      <c r="VEY137" s="271"/>
      <c r="VEZ137" s="271"/>
      <c r="VFA137" s="271"/>
      <c r="VFB137" s="221"/>
      <c r="VFC137" s="221"/>
      <c r="VFD137" s="221"/>
      <c r="VFE137" s="258"/>
      <c r="VFF137" s="270"/>
      <c r="VFG137" s="271"/>
      <c r="VFH137" s="271"/>
      <c r="VFI137" s="271"/>
      <c r="VFJ137" s="221"/>
      <c r="VFK137" s="221"/>
      <c r="VFL137" s="221"/>
      <c r="VFM137" s="258"/>
      <c r="VFN137" s="270"/>
      <c r="VFO137" s="271"/>
      <c r="VFP137" s="271"/>
      <c r="VFQ137" s="271"/>
      <c r="VFR137" s="221"/>
      <c r="VFS137" s="221"/>
      <c r="VFT137" s="221"/>
      <c r="VFU137" s="258"/>
      <c r="VFV137" s="270"/>
      <c r="VFW137" s="271"/>
      <c r="VFX137" s="271"/>
      <c r="VFY137" s="271"/>
      <c r="VFZ137" s="221"/>
      <c r="VGA137" s="221"/>
      <c r="VGB137" s="221"/>
      <c r="VGC137" s="258"/>
      <c r="VGD137" s="270"/>
      <c r="VGE137" s="271"/>
      <c r="VGF137" s="271"/>
      <c r="VGG137" s="271"/>
      <c r="VGH137" s="221"/>
      <c r="VGI137" s="221"/>
      <c r="VGJ137" s="221"/>
      <c r="VGK137" s="258"/>
      <c r="VGL137" s="270"/>
      <c r="VGM137" s="271"/>
      <c r="VGN137" s="271"/>
      <c r="VGO137" s="271"/>
      <c r="VGP137" s="221"/>
      <c r="VGQ137" s="221"/>
      <c r="VGR137" s="221"/>
      <c r="VGS137" s="258"/>
      <c r="VGT137" s="270"/>
      <c r="VGU137" s="271"/>
      <c r="VGV137" s="271"/>
      <c r="VGW137" s="271"/>
      <c r="VGX137" s="221"/>
      <c r="VGY137" s="221"/>
      <c r="VGZ137" s="221"/>
      <c r="VHA137" s="258"/>
      <c r="VHB137" s="270"/>
      <c r="VHC137" s="271"/>
      <c r="VHD137" s="271"/>
      <c r="VHE137" s="271"/>
      <c r="VHF137" s="221"/>
      <c r="VHG137" s="221"/>
      <c r="VHH137" s="221"/>
      <c r="VHI137" s="258"/>
      <c r="VHJ137" s="270"/>
      <c r="VHK137" s="271"/>
      <c r="VHL137" s="271"/>
      <c r="VHM137" s="271"/>
      <c r="VHN137" s="221"/>
      <c r="VHO137" s="221"/>
      <c r="VHP137" s="221"/>
      <c r="VHQ137" s="258"/>
      <c r="VHR137" s="270"/>
      <c r="VHS137" s="271"/>
      <c r="VHT137" s="271"/>
      <c r="VHU137" s="271"/>
      <c r="VHV137" s="221"/>
      <c r="VHW137" s="221"/>
      <c r="VHX137" s="221"/>
      <c r="VHY137" s="258"/>
      <c r="VHZ137" s="270"/>
      <c r="VIA137" s="271"/>
      <c r="VIB137" s="271"/>
      <c r="VIC137" s="271"/>
      <c r="VID137" s="221"/>
      <c r="VIE137" s="221"/>
      <c r="VIF137" s="221"/>
      <c r="VIG137" s="258"/>
      <c r="VIH137" s="270"/>
      <c r="VII137" s="271"/>
      <c r="VIJ137" s="271"/>
      <c r="VIK137" s="271"/>
      <c r="VIL137" s="221"/>
      <c r="VIM137" s="221"/>
      <c r="VIN137" s="221"/>
      <c r="VIO137" s="258"/>
      <c r="VIP137" s="270"/>
      <c r="VIQ137" s="271"/>
      <c r="VIR137" s="271"/>
      <c r="VIS137" s="271"/>
      <c r="VIT137" s="221"/>
      <c r="VIU137" s="221"/>
      <c r="VIV137" s="221"/>
      <c r="VIW137" s="258"/>
      <c r="VIX137" s="270"/>
      <c r="VIY137" s="271"/>
      <c r="VIZ137" s="271"/>
      <c r="VJA137" s="271"/>
      <c r="VJB137" s="221"/>
      <c r="VJC137" s="221"/>
      <c r="VJD137" s="221"/>
      <c r="VJE137" s="258"/>
      <c r="VJF137" s="270"/>
      <c r="VJG137" s="271"/>
      <c r="VJH137" s="271"/>
      <c r="VJI137" s="271"/>
      <c r="VJJ137" s="221"/>
      <c r="VJK137" s="221"/>
      <c r="VJL137" s="221"/>
      <c r="VJM137" s="258"/>
      <c r="VJN137" s="270"/>
      <c r="VJO137" s="271"/>
      <c r="VJP137" s="271"/>
      <c r="VJQ137" s="271"/>
      <c r="VJR137" s="221"/>
      <c r="VJS137" s="221"/>
      <c r="VJT137" s="221"/>
      <c r="VJU137" s="258"/>
      <c r="VJV137" s="270"/>
      <c r="VJW137" s="271"/>
      <c r="VJX137" s="271"/>
      <c r="VJY137" s="271"/>
      <c r="VJZ137" s="221"/>
      <c r="VKA137" s="221"/>
      <c r="VKB137" s="221"/>
      <c r="VKC137" s="258"/>
      <c r="VKD137" s="270"/>
      <c r="VKE137" s="271"/>
      <c r="VKF137" s="271"/>
      <c r="VKG137" s="271"/>
      <c r="VKH137" s="221"/>
      <c r="VKI137" s="221"/>
      <c r="VKJ137" s="221"/>
      <c r="VKK137" s="258"/>
      <c r="VKL137" s="270"/>
      <c r="VKM137" s="271"/>
      <c r="VKN137" s="271"/>
      <c r="VKO137" s="271"/>
      <c r="VKP137" s="221"/>
      <c r="VKQ137" s="221"/>
      <c r="VKR137" s="221"/>
      <c r="VKS137" s="258"/>
      <c r="VKT137" s="270"/>
      <c r="VKU137" s="271"/>
      <c r="VKV137" s="271"/>
      <c r="VKW137" s="271"/>
      <c r="VKX137" s="221"/>
      <c r="VKY137" s="221"/>
      <c r="VKZ137" s="221"/>
      <c r="VLA137" s="258"/>
      <c r="VLB137" s="270"/>
      <c r="VLC137" s="271"/>
      <c r="VLD137" s="271"/>
      <c r="VLE137" s="271"/>
      <c r="VLF137" s="221"/>
      <c r="VLG137" s="221"/>
      <c r="VLH137" s="221"/>
      <c r="VLI137" s="258"/>
      <c r="VLJ137" s="270"/>
      <c r="VLK137" s="271"/>
      <c r="VLL137" s="271"/>
      <c r="VLM137" s="271"/>
      <c r="VLN137" s="221"/>
      <c r="VLO137" s="221"/>
      <c r="VLP137" s="221"/>
      <c r="VLQ137" s="258"/>
      <c r="VLR137" s="270"/>
      <c r="VLS137" s="271"/>
      <c r="VLT137" s="271"/>
      <c r="VLU137" s="271"/>
      <c r="VLV137" s="221"/>
      <c r="VLW137" s="221"/>
      <c r="VLX137" s="221"/>
      <c r="VLY137" s="258"/>
      <c r="VLZ137" s="270"/>
      <c r="VMA137" s="271"/>
      <c r="VMB137" s="271"/>
      <c r="VMC137" s="271"/>
      <c r="VMD137" s="221"/>
      <c r="VME137" s="221"/>
      <c r="VMF137" s="221"/>
      <c r="VMG137" s="258"/>
      <c r="VMH137" s="270"/>
      <c r="VMI137" s="271"/>
      <c r="VMJ137" s="271"/>
      <c r="VMK137" s="271"/>
      <c r="VML137" s="221"/>
      <c r="VMM137" s="221"/>
      <c r="VMN137" s="221"/>
      <c r="VMO137" s="258"/>
      <c r="VMP137" s="270"/>
      <c r="VMQ137" s="271"/>
      <c r="VMR137" s="271"/>
      <c r="VMS137" s="271"/>
      <c r="VMT137" s="221"/>
      <c r="VMU137" s="221"/>
      <c r="VMV137" s="221"/>
      <c r="VMW137" s="258"/>
      <c r="VMX137" s="270"/>
      <c r="VMY137" s="271"/>
      <c r="VMZ137" s="271"/>
      <c r="VNA137" s="271"/>
      <c r="VNB137" s="221"/>
      <c r="VNC137" s="221"/>
      <c r="VND137" s="221"/>
      <c r="VNE137" s="258"/>
      <c r="VNF137" s="270"/>
      <c r="VNG137" s="271"/>
      <c r="VNH137" s="271"/>
      <c r="VNI137" s="271"/>
      <c r="VNJ137" s="221"/>
      <c r="VNK137" s="221"/>
      <c r="VNL137" s="221"/>
      <c r="VNM137" s="258"/>
      <c r="VNN137" s="270"/>
      <c r="VNO137" s="271"/>
      <c r="VNP137" s="271"/>
      <c r="VNQ137" s="271"/>
      <c r="VNR137" s="221"/>
      <c r="VNS137" s="221"/>
      <c r="VNT137" s="221"/>
      <c r="VNU137" s="258"/>
      <c r="VNV137" s="270"/>
      <c r="VNW137" s="271"/>
      <c r="VNX137" s="271"/>
      <c r="VNY137" s="271"/>
      <c r="VNZ137" s="221"/>
      <c r="VOA137" s="221"/>
      <c r="VOB137" s="221"/>
      <c r="VOC137" s="258"/>
      <c r="VOD137" s="270"/>
      <c r="VOE137" s="271"/>
      <c r="VOF137" s="271"/>
      <c r="VOG137" s="271"/>
      <c r="VOH137" s="221"/>
      <c r="VOI137" s="221"/>
      <c r="VOJ137" s="221"/>
      <c r="VOK137" s="258"/>
      <c r="VOL137" s="270"/>
      <c r="VOM137" s="271"/>
      <c r="VON137" s="271"/>
      <c r="VOO137" s="271"/>
      <c r="VOP137" s="221"/>
      <c r="VOQ137" s="221"/>
      <c r="VOR137" s="221"/>
      <c r="VOS137" s="258"/>
      <c r="VOT137" s="270"/>
      <c r="VOU137" s="271"/>
      <c r="VOV137" s="271"/>
      <c r="VOW137" s="271"/>
      <c r="VOX137" s="221"/>
      <c r="VOY137" s="221"/>
      <c r="VOZ137" s="221"/>
      <c r="VPA137" s="258"/>
      <c r="VPB137" s="270"/>
      <c r="VPC137" s="271"/>
      <c r="VPD137" s="271"/>
      <c r="VPE137" s="271"/>
      <c r="VPF137" s="221"/>
      <c r="VPG137" s="221"/>
      <c r="VPH137" s="221"/>
      <c r="VPI137" s="258"/>
      <c r="VPJ137" s="270"/>
      <c r="VPK137" s="271"/>
      <c r="VPL137" s="271"/>
      <c r="VPM137" s="271"/>
      <c r="VPN137" s="221"/>
      <c r="VPO137" s="221"/>
      <c r="VPP137" s="221"/>
      <c r="VPQ137" s="258"/>
      <c r="VPR137" s="270"/>
      <c r="VPS137" s="271"/>
      <c r="VPT137" s="271"/>
      <c r="VPU137" s="271"/>
      <c r="VPV137" s="221"/>
      <c r="VPW137" s="221"/>
      <c r="VPX137" s="221"/>
      <c r="VPY137" s="258"/>
      <c r="VPZ137" s="270"/>
      <c r="VQA137" s="271"/>
      <c r="VQB137" s="271"/>
      <c r="VQC137" s="271"/>
      <c r="VQD137" s="221"/>
      <c r="VQE137" s="221"/>
      <c r="VQF137" s="221"/>
      <c r="VQG137" s="258"/>
      <c r="VQH137" s="270"/>
      <c r="VQI137" s="271"/>
      <c r="VQJ137" s="271"/>
      <c r="VQK137" s="271"/>
      <c r="VQL137" s="221"/>
      <c r="VQM137" s="221"/>
      <c r="VQN137" s="221"/>
      <c r="VQO137" s="258"/>
      <c r="VQP137" s="270"/>
      <c r="VQQ137" s="271"/>
      <c r="VQR137" s="271"/>
      <c r="VQS137" s="271"/>
      <c r="VQT137" s="221"/>
      <c r="VQU137" s="221"/>
      <c r="VQV137" s="221"/>
      <c r="VQW137" s="258"/>
      <c r="VQX137" s="270"/>
      <c r="VQY137" s="271"/>
      <c r="VQZ137" s="271"/>
      <c r="VRA137" s="271"/>
      <c r="VRB137" s="221"/>
      <c r="VRC137" s="221"/>
      <c r="VRD137" s="221"/>
      <c r="VRE137" s="258"/>
      <c r="VRF137" s="270"/>
      <c r="VRG137" s="271"/>
      <c r="VRH137" s="271"/>
      <c r="VRI137" s="271"/>
      <c r="VRJ137" s="221"/>
      <c r="VRK137" s="221"/>
      <c r="VRL137" s="221"/>
      <c r="VRM137" s="258"/>
      <c r="VRN137" s="270"/>
      <c r="VRO137" s="271"/>
      <c r="VRP137" s="271"/>
      <c r="VRQ137" s="271"/>
      <c r="VRR137" s="221"/>
      <c r="VRS137" s="221"/>
      <c r="VRT137" s="221"/>
      <c r="VRU137" s="258"/>
      <c r="VRV137" s="270"/>
      <c r="VRW137" s="271"/>
      <c r="VRX137" s="271"/>
      <c r="VRY137" s="271"/>
      <c r="VRZ137" s="221"/>
      <c r="VSA137" s="221"/>
      <c r="VSB137" s="221"/>
      <c r="VSC137" s="258"/>
      <c r="VSD137" s="270"/>
      <c r="VSE137" s="271"/>
      <c r="VSF137" s="271"/>
      <c r="VSG137" s="271"/>
      <c r="VSH137" s="221"/>
      <c r="VSI137" s="221"/>
      <c r="VSJ137" s="221"/>
      <c r="VSK137" s="258"/>
      <c r="VSL137" s="270"/>
      <c r="VSM137" s="271"/>
      <c r="VSN137" s="271"/>
      <c r="VSO137" s="271"/>
      <c r="VSP137" s="221"/>
      <c r="VSQ137" s="221"/>
      <c r="VSR137" s="221"/>
      <c r="VSS137" s="258"/>
      <c r="VST137" s="270"/>
      <c r="VSU137" s="271"/>
      <c r="VSV137" s="271"/>
      <c r="VSW137" s="271"/>
      <c r="VSX137" s="221"/>
      <c r="VSY137" s="221"/>
      <c r="VSZ137" s="221"/>
      <c r="VTA137" s="258"/>
      <c r="VTB137" s="270"/>
      <c r="VTC137" s="271"/>
      <c r="VTD137" s="271"/>
      <c r="VTE137" s="271"/>
      <c r="VTF137" s="221"/>
      <c r="VTG137" s="221"/>
      <c r="VTH137" s="221"/>
      <c r="VTI137" s="258"/>
      <c r="VTJ137" s="270"/>
      <c r="VTK137" s="271"/>
      <c r="VTL137" s="271"/>
      <c r="VTM137" s="271"/>
      <c r="VTN137" s="221"/>
      <c r="VTO137" s="221"/>
      <c r="VTP137" s="221"/>
      <c r="VTQ137" s="258"/>
      <c r="VTR137" s="270"/>
      <c r="VTS137" s="271"/>
      <c r="VTT137" s="271"/>
      <c r="VTU137" s="271"/>
      <c r="VTV137" s="221"/>
      <c r="VTW137" s="221"/>
      <c r="VTX137" s="221"/>
      <c r="VTY137" s="258"/>
      <c r="VTZ137" s="270"/>
      <c r="VUA137" s="271"/>
      <c r="VUB137" s="271"/>
      <c r="VUC137" s="271"/>
      <c r="VUD137" s="221"/>
      <c r="VUE137" s="221"/>
      <c r="VUF137" s="221"/>
      <c r="VUG137" s="258"/>
      <c r="VUH137" s="270"/>
      <c r="VUI137" s="271"/>
      <c r="VUJ137" s="271"/>
      <c r="VUK137" s="271"/>
      <c r="VUL137" s="221"/>
      <c r="VUM137" s="221"/>
      <c r="VUN137" s="221"/>
      <c r="VUO137" s="258"/>
      <c r="VUP137" s="270"/>
      <c r="VUQ137" s="271"/>
      <c r="VUR137" s="271"/>
      <c r="VUS137" s="271"/>
      <c r="VUT137" s="221"/>
      <c r="VUU137" s="221"/>
      <c r="VUV137" s="221"/>
      <c r="VUW137" s="258"/>
      <c r="VUX137" s="270"/>
      <c r="VUY137" s="271"/>
      <c r="VUZ137" s="271"/>
      <c r="VVA137" s="271"/>
      <c r="VVB137" s="221"/>
      <c r="VVC137" s="221"/>
      <c r="VVD137" s="221"/>
      <c r="VVE137" s="258"/>
      <c r="VVF137" s="270"/>
      <c r="VVG137" s="271"/>
      <c r="VVH137" s="271"/>
      <c r="VVI137" s="271"/>
      <c r="VVJ137" s="221"/>
      <c r="VVK137" s="221"/>
      <c r="VVL137" s="221"/>
      <c r="VVM137" s="258"/>
      <c r="VVN137" s="270"/>
      <c r="VVO137" s="271"/>
      <c r="VVP137" s="271"/>
      <c r="VVQ137" s="271"/>
      <c r="VVR137" s="221"/>
      <c r="VVS137" s="221"/>
      <c r="VVT137" s="221"/>
      <c r="VVU137" s="258"/>
      <c r="VVV137" s="270"/>
      <c r="VVW137" s="271"/>
      <c r="VVX137" s="271"/>
      <c r="VVY137" s="271"/>
      <c r="VVZ137" s="221"/>
      <c r="VWA137" s="221"/>
      <c r="VWB137" s="221"/>
      <c r="VWC137" s="258"/>
      <c r="VWD137" s="270"/>
      <c r="VWE137" s="271"/>
      <c r="VWF137" s="271"/>
      <c r="VWG137" s="271"/>
      <c r="VWH137" s="221"/>
      <c r="VWI137" s="221"/>
      <c r="VWJ137" s="221"/>
      <c r="VWK137" s="258"/>
      <c r="VWL137" s="270"/>
      <c r="VWM137" s="271"/>
      <c r="VWN137" s="271"/>
      <c r="VWO137" s="271"/>
      <c r="VWP137" s="221"/>
      <c r="VWQ137" s="221"/>
      <c r="VWR137" s="221"/>
      <c r="VWS137" s="258"/>
      <c r="VWT137" s="270"/>
      <c r="VWU137" s="271"/>
      <c r="VWV137" s="271"/>
      <c r="VWW137" s="271"/>
      <c r="VWX137" s="221"/>
      <c r="VWY137" s="221"/>
      <c r="VWZ137" s="221"/>
      <c r="VXA137" s="258"/>
      <c r="VXB137" s="270"/>
      <c r="VXC137" s="271"/>
      <c r="VXD137" s="271"/>
      <c r="VXE137" s="271"/>
      <c r="VXF137" s="221"/>
      <c r="VXG137" s="221"/>
      <c r="VXH137" s="221"/>
      <c r="VXI137" s="258"/>
      <c r="VXJ137" s="270"/>
      <c r="VXK137" s="271"/>
      <c r="VXL137" s="271"/>
      <c r="VXM137" s="271"/>
      <c r="VXN137" s="221"/>
      <c r="VXO137" s="221"/>
      <c r="VXP137" s="221"/>
      <c r="VXQ137" s="258"/>
      <c r="VXR137" s="270"/>
      <c r="VXS137" s="271"/>
      <c r="VXT137" s="271"/>
      <c r="VXU137" s="271"/>
      <c r="VXV137" s="221"/>
      <c r="VXW137" s="221"/>
      <c r="VXX137" s="221"/>
      <c r="VXY137" s="258"/>
      <c r="VXZ137" s="270"/>
      <c r="VYA137" s="271"/>
      <c r="VYB137" s="271"/>
      <c r="VYC137" s="271"/>
      <c r="VYD137" s="221"/>
      <c r="VYE137" s="221"/>
      <c r="VYF137" s="221"/>
      <c r="VYG137" s="258"/>
      <c r="VYH137" s="270"/>
      <c r="VYI137" s="271"/>
      <c r="VYJ137" s="271"/>
      <c r="VYK137" s="271"/>
      <c r="VYL137" s="221"/>
      <c r="VYM137" s="221"/>
      <c r="VYN137" s="221"/>
      <c r="VYO137" s="258"/>
      <c r="VYP137" s="270"/>
      <c r="VYQ137" s="271"/>
      <c r="VYR137" s="271"/>
      <c r="VYS137" s="271"/>
      <c r="VYT137" s="221"/>
      <c r="VYU137" s="221"/>
      <c r="VYV137" s="221"/>
      <c r="VYW137" s="258"/>
      <c r="VYX137" s="270"/>
      <c r="VYY137" s="271"/>
      <c r="VYZ137" s="271"/>
      <c r="VZA137" s="271"/>
      <c r="VZB137" s="221"/>
      <c r="VZC137" s="221"/>
      <c r="VZD137" s="221"/>
      <c r="VZE137" s="258"/>
      <c r="VZF137" s="270"/>
      <c r="VZG137" s="271"/>
      <c r="VZH137" s="271"/>
      <c r="VZI137" s="271"/>
      <c r="VZJ137" s="221"/>
      <c r="VZK137" s="221"/>
      <c r="VZL137" s="221"/>
      <c r="VZM137" s="258"/>
      <c r="VZN137" s="270"/>
      <c r="VZO137" s="271"/>
      <c r="VZP137" s="271"/>
      <c r="VZQ137" s="271"/>
      <c r="VZR137" s="221"/>
      <c r="VZS137" s="221"/>
      <c r="VZT137" s="221"/>
      <c r="VZU137" s="258"/>
      <c r="VZV137" s="270"/>
      <c r="VZW137" s="271"/>
      <c r="VZX137" s="271"/>
      <c r="VZY137" s="271"/>
      <c r="VZZ137" s="221"/>
      <c r="WAA137" s="221"/>
      <c r="WAB137" s="221"/>
      <c r="WAC137" s="258"/>
      <c r="WAD137" s="270"/>
      <c r="WAE137" s="271"/>
      <c r="WAF137" s="271"/>
      <c r="WAG137" s="271"/>
      <c r="WAH137" s="221"/>
      <c r="WAI137" s="221"/>
      <c r="WAJ137" s="221"/>
      <c r="WAK137" s="258"/>
      <c r="WAL137" s="270"/>
      <c r="WAM137" s="271"/>
      <c r="WAN137" s="271"/>
      <c r="WAO137" s="271"/>
      <c r="WAP137" s="221"/>
      <c r="WAQ137" s="221"/>
      <c r="WAR137" s="221"/>
      <c r="WAS137" s="258"/>
      <c r="WAT137" s="270"/>
      <c r="WAU137" s="271"/>
      <c r="WAV137" s="271"/>
      <c r="WAW137" s="271"/>
      <c r="WAX137" s="221"/>
      <c r="WAY137" s="221"/>
      <c r="WAZ137" s="221"/>
      <c r="WBA137" s="258"/>
      <c r="WBB137" s="270"/>
      <c r="WBC137" s="271"/>
      <c r="WBD137" s="271"/>
      <c r="WBE137" s="271"/>
      <c r="WBF137" s="221"/>
      <c r="WBG137" s="221"/>
      <c r="WBH137" s="221"/>
      <c r="WBI137" s="258"/>
      <c r="WBJ137" s="270"/>
      <c r="WBK137" s="271"/>
      <c r="WBL137" s="271"/>
      <c r="WBM137" s="271"/>
      <c r="WBN137" s="221"/>
      <c r="WBO137" s="221"/>
      <c r="WBP137" s="221"/>
      <c r="WBQ137" s="258"/>
      <c r="WBR137" s="270"/>
      <c r="WBS137" s="271"/>
      <c r="WBT137" s="271"/>
      <c r="WBU137" s="271"/>
      <c r="WBV137" s="221"/>
      <c r="WBW137" s="221"/>
      <c r="WBX137" s="221"/>
      <c r="WBY137" s="258"/>
      <c r="WBZ137" s="270"/>
      <c r="WCA137" s="271"/>
      <c r="WCB137" s="271"/>
      <c r="WCC137" s="271"/>
      <c r="WCD137" s="221"/>
      <c r="WCE137" s="221"/>
      <c r="WCF137" s="221"/>
      <c r="WCG137" s="258"/>
      <c r="WCH137" s="270"/>
      <c r="WCI137" s="271"/>
      <c r="WCJ137" s="271"/>
      <c r="WCK137" s="271"/>
      <c r="WCL137" s="221"/>
      <c r="WCM137" s="221"/>
      <c r="WCN137" s="221"/>
      <c r="WCO137" s="258"/>
      <c r="WCP137" s="270"/>
      <c r="WCQ137" s="271"/>
      <c r="WCR137" s="271"/>
      <c r="WCS137" s="271"/>
      <c r="WCT137" s="221"/>
      <c r="WCU137" s="221"/>
      <c r="WCV137" s="221"/>
      <c r="WCW137" s="258"/>
      <c r="WCX137" s="270"/>
      <c r="WCY137" s="271"/>
      <c r="WCZ137" s="271"/>
      <c r="WDA137" s="271"/>
      <c r="WDB137" s="221"/>
      <c r="WDC137" s="221"/>
      <c r="WDD137" s="221"/>
      <c r="WDE137" s="258"/>
      <c r="WDF137" s="270"/>
      <c r="WDG137" s="271"/>
      <c r="WDH137" s="271"/>
      <c r="WDI137" s="271"/>
      <c r="WDJ137" s="221"/>
      <c r="WDK137" s="221"/>
      <c r="WDL137" s="221"/>
      <c r="WDM137" s="258"/>
      <c r="WDN137" s="270"/>
      <c r="WDO137" s="271"/>
      <c r="WDP137" s="271"/>
      <c r="WDQ137" s="271"/>
      <c r="WDR137" s="221"/>
      <c r="WDS137" s="221"/>
      <c r="WDT137" s="221"/>
      <c r="WDU137" s="258"/>
      <c r="WDV137" s="270"/>
      <c r="WDW137" s="271"/>
      <c r="WDX137" s="271"/>
      <c r="WDY137" s="271"/>
      <c r="WDZ137" s="221"/>
      <c r="WEA137" s="221"/>
      <c r="WEB137" s="221"/>
      <c r="WEC137" s="258"/>
      <c r="WED137" s="270"/>
      <c r="WEE137" s="271"/>
      <c r="WEF137" s="271"/>
      <c r="WEG137" s="271"/>
      <c r="WEH137" s="221"/>
      <c r="WEI137" s="221"/>
      <c r="WEJ137" s="221"/>
      <c r="WEK137" s="258"/>
      <c r="WEL137" s="270"/>
      <c r="WEM137" s="271"/>
      <c r="WEN137" s="271"/>
      <c r="WEO137" s="271"/>
      <c r="WEP137" s="221"/>
      <c r="WEQ137" s="221"/>
      <c r="WER137" s="221"/>
      <c r="WES137" s="258"/>
      <c r="WET137" s="270"/>
      <c r="WEU137" s="271"/>
      <c r="WEV137" s="271"/>
      <c r="WEW137" s="271"/>
      <c r="WEX137" s="221"/>
      <c r="WEY137" s="221"/>
      <c r="WEZ137" s="221"/>
      <c r="WFA137" s="258"/>
      <c r="WFB137" s="270"/>
      <c r="WFC137" s="271"/>
      <c r="WFD137" s="271"/>
      <c r="WFE137" s="271"/>
      <c r="WFF137" s="221"/>
      <c r="WFG137" s="221"/>
      <c r="WFH137" s="221"/>
      <c r="WFI137" s="258"/>
      <c r="WFJ137" s="270"/>
      <c r="WFK137" s="271"/>
      <c r="WFL137" s="271"/>
      <c r="WFM137" s="271"/>
      <c r="WFN137" s="221"/>
      <c r="WFO137" s="221"/>
      <c r="WFP137" s="221"/>
      <c r="WFQ137" s="258"/>
      <c r="WFR137" s="270"/>
      <c r="WFS137" s="271"/>
      <c r="WFT137" s="271"/>
      <c r="WFU137" s="271"/>
      <c r="WFV137" s="221"/>
      <c r="WFW137" s="221"/>
      <c r="WFX137" s="221"/>
      <c r="WFY137" s="258"/>
      <c r="WFZ137" s="270"/>
      <c r="WGA137" s="271"/>
      <c r="WGB137" s="271"/>
      <c r="WGC137" s="271"/>
      <c r="WGD137" s="221"/>
      <c r="WGE137" s="221"/>
      <c r="WGF137" s="221"/>
      <c r="WGG137" s="258"/>
      <c r="WGH137" s="270"/>
      <c r="WGI137" s="271"/>
      <c r="WGJ137" s="271"/>
      <c r="WGK137" s="271"/>
      <c r="WGL137" s="221"/>
      <c r="WGM137" s="221"/>
      <c r="WGN137" s="221"/>
      <c r="WGO137" s="258"/>
      <c r="WGP137" s="270"/>
      <c r="WGQ137" s="271"/>
      <c r="WGR137" s="271"/>
      <c r="WGS137" s="271"/>
      <c r="WGT137" s="221"/>
      <c r="WGU137" s="221"/>
      <c r="WGV137" s="221"/>
      <c r="WGW137" s="258"/>
      <c r="WGX137" s="270"/>
      <c r="WGY137" s="271"/>
      <c r="WGZ137" s="271"/>
      <c r="WHA137" s="271"/>
      <c r="WHB137" s="221"/>
      <c r="WHC137" s="221"/>
      <c r="WHD137" s="221"/>
      <c r="WHE137" s="258"/>
      <c r="WHF137" s="270"/>
      <c r="WHG137" s="271"/>
      <c r="WHH137" s="271"/>
      <c r="WHI137" s="271"/>
      <c r="WHJ137" s="221"/>
      <c r="WHK137" s="221"/>
      <c r="WHL137" s="221"/>
      <c r="WHM137" s="258"/>
      <c r="WHN137" s="270"/>
      <c r="WHO137" s="271"/>
      <c r="WHP137" s="271"/>
      <c r="WHQ137" s="271"/>
      <c r="WHR137" s="221"/>
      <c r="WHS137" s="221"/>
      <c r="WHT137" s="221"/>
      <c r="WHU137" s="258"/>
      <c r="WHV137" s="270"/>
      <c r="WHW137" s="271"/>
      <c r="WHX137" s="271"/>
      <c r="WHY137" s="271"/>
      <c r="WHZ137" s="221"/>
      <c r="WIA137" s="221"/>
      <c r="WIB137" s="221"/>
      <c r="WIC137" s="258"/>
      <c r="WID137" s="270"/>
      <c r="WIE137" s="271"/>
      <c r="WIF137" s="271"/>
      <c r="WIG137" s="271"/>
      <c r="WIH137" s="221"/>
      <c r="WII137" s="221"/>
      <c r="WIJ137" s="221"/>
      <c r="WIK137" s="258"/>
      <c r="WIL137" s="270"/>
      <c r="WIM137" s="271"/>
      <c r="WIN137" s="271"/>
      <c r="WIO137" s="271"/>
      <c r="WIP137" s="221"/>
      <c r="WIQ137" s="221"/>
      <c r="WIR137" s="221"/>
      <c r="WIS137" s="258"/>
      <c r="WIT137" s="270"/>
      <c r="WIU137" s="271"/>
      <c r="WIV137" s="271"/>
      <c r="WIW137" s="271"/>
      <c r="WIX137" s="221"/>
      <c r="WIY137" s="221"/>
      <c r="WIZ137" s="221"/>
      <c r="WJA137" s="258"/>
      <c r="WJB137" s="270"/>
      <c r="WJC137" s="271"/>
      <c r="WJD137" s="271"/>
      <c r="WJE137" s="271"/>
      <c r="WJF137" s="221"/>
      <c r="WJG137" s="221"/>
      <c r="WJH137" s="221"/>
      <c r="WJI137" s="258"/>
      <c r="WJJ137" s="270"/>
      <c r="WJK137" s="271"/>
      <c r="WJL137" s="271"/>
      <c r="WJM137" s="271"/>
      <c r="WJN137" s="221"/>
      <c r="WJO137" s="221"/>
      <c r="WJP137" s="221"/>
      <c r="WJQ137" s="258"/>
      <c r="WJR137" s="270"/>
      <c r="WJS137" s="271"/>
      <c r="WJT137" s="271"/>
      <c r="WJU137" s="271"/>
      <c r="WJV137" s="221"/>
      <c r="WJW137" s="221"/>
      <c r="WJX137" s="221"/>
      <c r="WJY137" s="258"/>
      <c r="WJZ137" s="270"/>
      <c r="WKA137" s="271"/>
      <c r="WKB137" s="271"/>
      <c r="WKC137" s="271"/>
      <c r="WKD137" s="221"/>
      <c r="WKE137" s="221"/>
      <c r="WKF137" s="221"/>
      <c r="WKG137" s="258"/>
      <c r="WKH137" s="270"/>
      <c r="WKI137" s="271"/>
      <c r="WKJ137" s="271"/>
      <c r="WKK137" s="271"/>
      <c r="WKL137" s="221"/>
      <c r="WKM137" s="221"/>
      <c r="WKN137" s="221"/>
      <c r="WKO137" s="258"/>
      <c r="WKP137" s="270"/>
      <c r="WKQ137" s="271"/>
      <c r="WKR137" s="271"/>
      <c r="WKS137" s="271"/>
      <c r="WKT137" s="221"/>
      <c r="WKU137" s="221"/>
      <c r="WKV137" s="221"/>
      <c r="WKW137" s="258"/>
      <c r="WKX137" s="270"/>
      <c r="WKY137" s="271"/>
      <c r="WKZ137" s="271"/>
      <c r="WLA137" s="271"/>
      <c r="WLB137" s="221"/>
      <c r="WLC137" s="221"/>
      <c r="WLD137" s="221"/>
      <c r="WLE137" s="258"/>
      <c r="WLF137" s="270"/>
      <c r="WLG137" s="271"/>
      <c r="WLH137" s="271"/>
      <c r="WLI137" s="271"/>
      <c r="WLJ137" s="221"/>
      <c r="WLK137" s="221"/>
      <c r="WLL137" s="221"/>
      <c r="WLM137" s="258"/>
      <c r="WLN137" s="270"/>
      <c r="WLO137" s="271"/>
      <c r="WLP137" s="271"/>
      <c r="WLQ137" s="271"/>
      <c r="WLR137" s="221"/>
      <c r="WLS137" s="221"/>
      <c r="WLT137" s="221"/>
      <c r="WLU137" s="258"/>
      <c r="WLV137" s="270"/>
      <c r="WLW137" s="271"/>
      <c r="WLX137" s="271"/>
      <c r="WLY137" s="271"/>
      <c r="WLZ137" s="221"/>
      <c r="WMA137" s="221"/>
      <c r="WMB137" s="221"/>
      <c r="WMC137" s="258"/>
      <c r="WMD137" s="270"/>
      <c r="WME137" s="271"/>
      <c r="WMF137" s="271"/>
      <c r="WMG137" s="271"/>
      <c r="WMH137" s="221"/>
      <c r="WMI137" s="221"/>
      <c r="WMJ137" s="221"/>
      <c r="WMK137" s="258"/>
      <c r="WML137" s="270"/>
      <c r="WMM137" s="271"/>
      <c r="WMN137" s="271"/>
      <c r="WMO137" s="271"/>
      <c r="WMP137" s="221"/>
      <c r="WMQ137" s="221"/>
      <c r="WMR137" s="221"/>
      <c r="WMS137" s="258"/>
      <c r="WMT137" s="270"/>
      <c r="WMU137" s="271"/>
      <c r="WMV137" s="271"/>
      <c r="WMW137" s="271"/>
      <c r="WMX137" s="221"/>
      <c r="WMY137" s="221"/>
      <c r="WMZ137" s="221"/>
      <c r="WNA137" s="258"/>
      <c r="WNB137" s="270"/>
      <c r="WNC137" s="271"/>
      <c r="WND137" s="271"/>
      <c r="WNE137" s="271"/>
      <c r="WNF137" s="221"/>
      <c r="WNG137" s="221"/>
      <c r="WNH137" s="221"/>
      <c r="WNI137" s="258"/>
      <c r="WNJ137" s="270"/>
      <c r="WNK137" s="271"/>
      <c r="WNL137" s="271"/>
      <c r="WNM137" s="271"/>
      <c r="WNN137" s="221"/>
      <c r="WNO137" s="221"/>
      <c r="WNP137" s="221"/>
      <c r="WNQ137" s="258"/>
      <c r="WNR137" s="270"/>
      <c r="WNS137" s="271"/>
      <c r="WNT137" s="271"/>
      <c r="WNU137" s="271"/>
      <c r="WNV137" s="221"/>
      <c r="WNW137" s="221"/>
      <c r="WNX137" s="221"/>
      <c r="WNY137" s="258"/>
      <c r="WNZ137" s="270"/>
      <c r="WOA137" s="271"/>
      <c r="WOB137" s="271"/>
      <c r="WOC137" s="271"/>
      <c r="WOD137" s="221"/>
      <c r="WOE137" s="221"/>
      <c r="WOF137" s="221"/>
      <c r="WOG137" s="258"/>
      <c r="WOH137" s="270"/>
      <c r="WOI137" s="271"/>
      <c r="WOJ137" s="271"/>
      <c r="WOK137" s="271"/>
      <c r="WOL137" s="221"/>
      <c r="WOM137" s="221"/>
      <c r="WON137" s="221"/>
      <c r="WOO137" s="258"/>
      <c r="WOP137" s="270"/>
      <c r="WOQ137" s="271"/>
      <c r="WOR137" s="271"/>
      <c r="WOS137" s="271"/>
      <c r="WOT137" s="221"/>
      <c r="WOU137" s="221"/>
      <c r="WOV137" s="221"/>
      <c r="WOW137" s="258"/>
      <c r="WOX137" s="270"/>
      <c r="WOY137" s="271"/>
      <c r="WOZ137" s="271"/>
      <c r="WPA137" s="271"/>
      <c r="WPB137" s="221"/>
      <c r="WPC137" s="221"/>
      <c r="WPD137" s="221"/>
      <c r="WPE137" s="258"/>
      <c r="WPF137" s="270"/>
      <c r="WPG137" s="271"/>
      <c r="WPH137" s="271"/>
      <c r="WPI137" s="271"/>
      <c r="WPJ137" s="221"/>
      <c r="WPK137" s="221"/>
      <c r="WPL137" s="221"/>
      <c r="WPM137" s="258"/>
      <c r="WPN137" s="270"/>
      <c r="WPO137" s="271"/>
      <c r="WPP137" s="271"/>
      <c r="WPQ137" s="271"/>
      <c r="WPR137" s="221"/>
      <c r="WPS137" s="221"/>
      <c r="WPT137" s="221"/>
      <c r="WPU137" s="258"/>
      <c r="WPV137" s="270"/>
      <c r="WPW137" s="271"/>
      <c r="WPX137" s="271"/>
      <c r="WPY137" s="271"/>
      <c r="WPZ137" s="221"/>
      <c r="WQA137" s="221"/>
      <c r="WQB137" s="221"/>
      <c r="WQC137" s="258"/>
      <c r="WQD137" s="270"/>
      <c r="WQE137" s="271"/>
      <c r="WQF137" s="271"/>
      <c r="WQG137" s="271"/>
      <c r="WQH137" s="221"/>
      <c r="WQI137" s="221"/>
      <c r="WQJ137" s="221"/>
      <c r="WQK137" s="258"/>
      <c r="WQL137" s="270"/>
      <c r="WQM137" s="271"/>
      <c r="WQN137" s="271"/>
      <c r="WQO137" s="271"/>
      <c r="WQP137" s="221"/>
      <c r="WQQ137" s="221"/>
      <c r="WQR137" s="221"/>
      <c r="WQS137" s="258"/>
      <c r="WQT137" s="270"/>
      <c r="WQU137" s="271"/>
      <c r="WQV137" s="271"/>
      <c r="WQW137" s="271"/>
      <c r="WQX137" s="221"/>
      <c r="WQY137" s="221"/>
      <c r="WQZ137" s="221"/>
      <c r="WRA137" s="258"/>
      <c r="WRB137" s="270"/>
      <c r="WRC137" s="271"/>
      <c r="WRD137" s="271"/>
      <c r="WRE137" s="271"/>
      <c r="WRF137" s="221"/>
      <c r="WRG137" s="221"/>
      <c r="WRH137" s="221"/>
      <c r="WRI137" s="258"/>
      <c r="WRJ137" s="270"/>
      <c r="WRK137" s="271"/>
      <c r="WRL137" s="271"/>
      <c r="WRM137" s="271"/>
      <c r="WRN137" s="221"/>
      <c r="WRO137" s="221"/>
      <c r="WRP137" s="221"/>
      <c r="WRQ137" s="258"/>
      <c r="WRR137" s="270"/>
      <c r="WRS137" s="271"/>
      <c r="WRT137" s="271"/>
      <c r="WRU137" s="271"/>
      <c r="WRV137" s="221"/>
      <c r="WRW137" s="221"/>
      <c r="WRX137" s="221"/>
      <c r="WRY137" s="258"/>
      <c r="WRZ137" s="270"/>
      <c r="WSA137" s="271"/>
      <c r="WSB137" s="271"/>
      <c r="WSC137" s="271"/>
      <c r="WSD137" s="221"/>
      <c r="WSE137" s="221"/>
      <c r="WSF137" s="221"/>
      <c r="WSG137" s="258"/>
      <c r="WSH137" s="270"/>
      <c r="WSI137" s="271"/>
      <c r="WSJ137" s="271"/>
      <c r="WSK137" s="271"/>
      <c r="WSL137" s="221"/>
      <c r="WSM137" s="221"/>
      <c r="WSN137" s="221"/>
      <c r="WSO137" s="258"/>
      <c r="WSP137" s="270"/>
      <c r="WSQ137" s="271"/>
      <c r="WSR137" s="271"/>
      <c r="WSS137" s="271"/>
      <c r="WST137" s="221"/>
      <c r="WSU137" s="221"/>
      <c r="WSV137" s="221"/>
      <c r="WSW137" s="258"/>
      <c r="WSX137" s="270"/>
      <c r="WSY137" s="271"/>
      <c r="WSZ137" s="271"/>
      <c r="WTA137" s="271"/>
      <c r="WTB137" s="221"/>
      <c r="WTC137" s="221"/>
      <c r="WTD137" s="221"/>
      <c r="WTE137" s="258"/>
      <c r="WTF137" s="270"/>
      <c r="WTG137" s="271"/>
      <c r="WTH137" s="271"/>
      <c r="WTI137" s="271"/>
      <c r="WTJ137" s="221"/>
      <c r="WTK137" s="221"/>
      <c r="WTL137" s="221"/>
      <c r="WTM137" s="258"/>
      <c r="WTN137" s="270"/>
      <c r="WTO137" s="271"/>
      <c r="WTP137" s="271"/>
      <c r="WTQ137" s="271"/>
      <c r="WTR137" s="221"/>
      <c r="WTS137" s="221"/>
      <c r="WTT137" s="221"/>
      <c r="WTU137" s="258"/>
      <c r="WTV137" s="270"/>
      <c r="WTW137" s="271"/>
      <c r="WTX137" s="271"/>
      <c r="WTY137" s="271"/>
      <c r="WTZ137" s="221"/>
      <c r="WUA137" s="221"/>
      <c r="WUB137" s="221"/>
      <c r="WUC137" s="258"/>
      <c r="WUD137" s="270"/>
      <c r="WUE137" s="271"/>
      <c r="WUF137" s="271"/>
      <c r="WUG137" s="271"/>
      <c r="WUH137" s="221"/>
      <c r="WUI137" s="221"/>
      <c r="WUJ137" s="221"/>
      <c r="WUK137" s="258"/>
      <c r="WUL137" s="270"/>
      <c r="WUM137" s="271"/>
      <c r="WUN137" s="271"/>
      <c r="WUO137" s="271"/>
      <c r="WUP137" s="221"/>
      <c r="WUQ137" s="221"/>
      <c r="WUR137" s="221"/>
      <c r="WUS137" s="258"/>
      <c r="WUT137" s="270"/>
      <c r="WUU137" s="271"/>
      <c r="WUV137" s="271"/>
      <c r="WUW137" s="271"/>
      <c r="WUX137" s="221"/>
      <c r="WUY137" s="221"/>
      <c r="WUZ137" s="221"/>
      <c r="WVA137" s="258"/>
      <c r="WVB137" s="270"/>
      <c r="WVC137" s="271"/>
      <c r="WVD137" s="271"/>
      <c r="WVE137" s="271"/>
      <c r="WVF137" s="221"/>
      <c r="WVG137" s="221"/>
      <c r="WVH137" s="221"/>
      <c r="WVI137" s="258"/>
      <c r="WVJ137" s="270"/>
      <c r="WVK137" s="271"/>
      <c r="WVL137" s="271"/>
      <c r="WVM137" s="271"/>
      <c r="WVN137" s="221"/>
      <c r="WVO137" s="221"/>
      <c r="WVP137" s="221"/>
      <c r="WVQ137" s="258"/>
      <c r="WVR137" s="270"/>
      <c r="WVS137" s="271"/>
      <c r="WVT137" s="271"/>
      <c r="WVU137" s="271"/>
      <c r="WVV137" s="221"/>
      <c r="WVW137" s="221"/>
      <c r="WVX137" s="221"/>
      <c r="WVY137" s="258"/>
      <c r="WVZ137" s="270"/>
      <c r="WWA137" s="271"/>
      <c r="WWB137" s="271"/>
      <c r="WWC137" s="271"/>
      <c r="WWD137" s="221"/>
      <c r="WWE137" s="221"/>
      <c r="WWF137" s="221"/>
      <c r="WWG137" s="258"/>
      <c r="WWH137" s="270"/>
      <c r="WWI137" s="271"/>
      <c r="WWJ137" s="271"/>
      <c r="WWK137" s="271"/>
      <c r="WWL137" s="221"/>
      <c r="WWM137" s="221"/>
      <c r="WWN137" s="221"/>
      <c r="WWO137" s="258"/>
      <c r="WWP137" s="270"/>
      <c r="WWQ137" s="271"/>
      <c r="WWR137" s="271"/>
      <c r="WWS137" s="271"/>
      <c r="WWT137" s="221"/>
      <c r="WWU137" s="221"/>
      <c r="WWV137" s="221"/>
      <c r="WWW137" s="258"/>
      <c r="WWX137" s="270"/>
      <c r="WWY137" s="271"/>
      <c r="WWZ137" s="271"/>
      <c r="WXA137" s="271"/>
      <c r="WXB137" s="221"/>
      <c r="WXC137" s="221"/>
      <c r="WXD137" s="221"/>
      <c r="WXE137" s="258"/>
      <c r="WXF137" s="270"/>
      <c r="WXG137" s="271"/>
      <c r="WXH137" s="271"/>
      <c r="WXI137" s="271"/>
      <c r="WXJ137" s="221"/>
      <c r="WXK137" s="221"/>
      <c r="WXL137" s="221"/>
      <c r="WXM137" s="258"/>
      <c r="WXN137" s="270"/>
      <c r="WXO137" s="271"/>
      <c r="WXP137" s="271"/>
      <c r="WXQ137" s="271"/>
      <c r="WXR137" s="221"/>
      <c r="WXS137" s="221"/>
      <c r="WXT137" s="221"/>
      <c r="WXU137" s="258"/>
      <c r="WXV137" s="270"/>
      <c r="WXW137" s="271"/>
      <c r="WXX137" s="271"/>
      <c r="WXY137" s="271"/>
      <c r="WXZ137" s="221"/>
      <c r="WYA137" s="221"/>
      <c r="WYB137" s="221"/>
      <c r="WYC137" s="258"/>
      <c r="WYD137" s="270"/>
      <c r="WYE137" s="271"/>
      <c r="WYF137" s="271"/>
      <c r="WYG137" s="271"/>
      <c r="WYH137" s="221"/>
      <c r="WYI137" s="221"/>
      <c r="WYJ137" s="221"/>
      <c r="WYK137" s="258"/>
      <c r="WYL137" s="270"/>
      <c r="WYM137" s="271"/>
      <c r="WYN137" s="271"/>
      <c r="WYO137" s="271"/>
      <c r="WYP137" s="221"/>
      <c r="WYQ137" s="221"/>
      <c r="WYR137" s="221"/>
      <c r="WYS137" s="258"/>
      <c r="WYT137" s="270"/>
      <c r="WYU137" s="271"/>
      <c r="WYV137" s="271"/>
      <c r="WYW137" s="271"/>
      <c r="WYX137" s="221"/>
      <c r="WYY137" s="221"/>
      <c r="WYZ137" s="221"/>
      <c r="WZA137" s="258"/>
      <c r="WZB137" s="270"/>
      <c r="WZC137" s="271"/>
      <c r="WZD137" s="271"/>
      <c r="WZE137" s="271"/>
      <c r="WZF137" s="221"/>
      <c r="WZG137" s="221"/>
      <c r="WZH137" s="221"/>
      <c r="WZI137" s="258"/>
      <c r="WZJ137" s="270"/>
      <c r="WZK137" s="271"/>
      <c r="WZL137" s="271"/>
      <c r="WZM137" s="271"/>
      <c r="WZN137" s="221"/>
      <c r="WZO137" s="221"/>
      <c r="WZP137" s="221"/>
      <c r="WZQ137" s="258"/>
      <c r="WZR137" s="270"/>
      <c r="WZS137" s="271"/>
      <c r="WZT137" s="271"/>
      <c r="WZU137" s="271"/>
      <c r="WZV137" s="221"/>
      <c r="WZW137" s="221"/>
      <c r="WZX137" s="221"/>
      <c r="WZY137" s="258"/>
      <c r="WZZ137" s="270"/>
      <c r="XAA137" s="271"/>
      <c r="XAB137" s="271"/>
      <c r="XAC137" s="271"/>
      <c r="XAD137" s="221"/>
      <c r="XAE137" s="221"/>
      <c r="XAF137" s="221"/>
      <c r="XAG137" s="258"/>
      <c r="XAH137" s="270"/>
      <c r="XAI137" s="271"/>
      <c r="XAJ137" s="271"/>
      <c r="XAK137" s="271"/>
      <c r="XAL137" s="221"/>
      <c r="XAM137" s="221"/>
      <c r="XAN137" s="221"/>
      <c r="XAO137" s="258"/>
      <c r="XAP137" s="270"/>
      <c r="XAQ137" s="271"/>
      <c r="XAR137" s="271"/>
      <c r="XAS137" s="271"/>
      <c r="XAT137" s="221"/>
      <c r="XAU137" s="221"/>
      <c r="XAV137" s="221"/>
      <c r="XAW137" s="258"/>
      <c r="XAX137" s="270"/>
      <c r="XAY137" s="271"/>
      <c r="XAZ137" s="271"/>
      <c r="XBA137" s="271"/>
      <c r="XBB137" s="221"/>
      <c r="XBC137" s="221"/>
      <c r="XBD137" s="221"/>
      <c r="XBE137" s="258"/>
      <c r="XBF137" s="270"/>
      <c r="XBG137" s="271"/>
      <c r="XBH137" s="271"/>
      <c r="XBI137" s="271"/>
      <c r="XBJ137" s="221"/>
      <c r="XBK137" s="221"/>
      <c r="XBL137" s="221"/>
      <c r="XBM137" s="258"/>
      <c r="XBN137" s="270"/>
      <c r="XBO137" s="271"/>
      <c r="XBP137" s="271"/>
      <c r="XBQ137" s="271"/>
      <c r="XBR137" s="221"/>
      <c r="XBS137" s="221"/>
      <c r="XBT137" s="221"/>
      <c r="XBU137" s="258"/>
      <c r="XBV137" s="270"/>
      <c r="XBW137" s="271"/>
      <c r="XBX137" s="271"/>
      <c r="XBY137" s="271"/>
      <c r="XBZ137" s="221"/>
      <c r="XCA137" s="221"/>
      <c r="XCB137" s="221"/>
      <c r="XCC137" s="258"/>
      <c r="XCD137" s="270"/>
      <c r="XCE137" s="271"/>
      <c r="XCF137" s="271"/>
      <c r="XCG137" s="271"/>
      <c r="XCH137" s="221"/>
      <c r="XCI137" s="221"/>
      <c r="XCJ137" s="221"/>
      <c r="XCK137" s="258"/>
      <c r="XCL137" s="270"/>
      <c r="XCM137" s="271"/>
      <c r="XCN137" s="271"/>
      <c r="XCO137" s="271"/>
      <c r="XCP137" s="221"/>
      <c r="XCQ137" s="221"/>
      <c r="XCR137" s="221"/>
      <c r="XCS137" s="258"/>
      <c r="XCT137" s="270"/>
      <c r="XCU137" s="271"/>
      <c r="XCV137" s="271"/>
      <c r="XCW137" s="271"/>
      <c r="XCX137" s="221"/>
      <c r="XCY137" s="221"/>
      <c r="XCZ137" s="221"/>
      <c r="XDA137" s="258"/>
      <c r="XDB137" s="270"/>
      <c r="XDC137" s="271"/>
      <c r="XDD137" s="271"/>
      <c r="XDE137" s="271"/>
      <c r="XDF137" s="221"/>
      <c r="XDG137" s="221"/>
      <c r="XDH137" s="221"/>
      <c r="XDI137" s="258"/>
      <c r="XDJ137" s="270"/>
      <c r="XDK137" s="271"/>
      <c r="XDL137" s="271"/>
      <c r="XDM137" s="271"/>
      <c r="XDN137" s="221"/>
      <c r="XDO137" s="221"/>
      <c r="XDP137" s="221"/>
      <c r="XDQ137" s="258"/>
      <c r="XDR137" s="270"/>
      <c r="XDS137" s="271"/>
      <c r="XDT137" s="271"/>
      <c r="XDU137" s="271"/>
      <c r="XDV137" s="221"/>
      <c r="XDW137" s="221"/>
      <c r="XDX137" s="221"/>
      <c r="XDY137" s="258"/>
      <c r="XDZ137" s="270"/>
      <c r="XEA137" s="271"/>
      <c r="XEB137" s="271"/>
      <c r="XEC137" s="271"/>
      <c r="XED137" s="221"/>
      <c r="XEE137" s="221"/>
      <c r="XEF137" s="221"/>
      <c r="XEG137" s="258"/>
      <c r="XEH137" s="270"/>
      <c r="XEI137" s="271"/>
      <c r="XEJ137" s="271"/>
      <c r="XEK137" s="271"/>
      <c r="XEL137" s="221"/>
      <c r="XEM137" s="221"/>
      <c r="XEN137" s="221"/>
      <c r="XEO137" s="258"/>
      <c r="XEP137" s="270"/>
      <c r="XEQ137" s="271"/>
      <c r="XER137" s="271"/>
      <c r="XES137" s="271"/>
      <c r="XET137" s="221"/>
      <c r="XEU137" s="221"/>
      <c r="XEV137" s="221"/>
      <c r="XEW137" s="258"/>
      <c r="XEX137" s="270"/>
      <c r="XEY137" s="271"/>
      <c r="XEZ137" s="271"/>
      <c r="XFA137" s="271"/>
      <c r="XFB137" s="221"/>
      <c r="XFC137" s="221"/>
      <c r="XFD137" s="221"/>
    </row>
    <row r="138" spans="1:16384" x14ac:dyDescent="0.15">
      <c r="A138" s="66" t="s">
        <v>14</v>
      </c>
      <c r="B138" s="66"/>
      <c r="C138" s="67"/>
      <c r="D138" s="67"/>
      <c r="E138" s="67"/>
      <c r="F138" s="67"/>
      <c r="G138" s="67"/>
      <c r="H138" s="67"/>
    </row>
  </sheetData>
  <mergeCells count="5">
    <mergeCell ref="A3:A5"/>
    <mergeCell ref="B3:B5"/>
    <mergeCell ref="F3:F5"/>
    <mergeCell ref="H3:H5"/>
    <mergeCell ref="G3:G5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S138"/>
  <sheetViews>
    <sheetView view="pageBreakPreview" zoomScale="85" zoomScaleNormal="100" zoomScaleSheetLayoutView="85" workbookViewId="0">
      <pane ySplit="4" topLeftCell="A101" activePane="bottomLeft" state="frozen"/>
      <selection activeCell="M68" sqref="M68"/>
      <selection pane="bottomLeft" activeCell="D133" sqref="D133"/>
    </sheetView>
  </sheetViews>
  <sheetFormatPr defaultRowHeight="13.5" x14ac:dyDescent="0.15"/>
  <cols>
    <col min="1" max="8" width="11.33203125" customWidth="1"/>
  </cols>
  <sheetData>
    <row r="1" spans="1:9" ht="18.75" x14ac:dyDescent="0.25">
      <c r="A1" s="89" t="s">
        <v>221</v>
      </c>
      <c r="B1" s="52"/>
      <c r="C1" s="52"/>
      <c r="D1" s="52"/>
      <c r="E1" s="52"/>
      <c r="F1" s="52"/>
      <c r="G1" s="52"/>
      <c r="H1" s="52"/>
      <c r="I1" s="12"/>
    </row>
    <row r="2" spans="1:9" s="47" customFormat="1" x14ac:dyDescent="0.15">
      <c r="A2" s="97" t="s">
        <v>30</v>
      </c>
      <c r="B2" s="97"/>
      <c r="H2" s="3"/>
      <c r="I2" s="176"/>
    </row>
    <row r="3" spans="1:9" s="113" customFormat="1" ht="15" customHeight="1" x14ac:dyDescent="0.15">
      <c r="A3" s="305" t="s">
        <v>1</v>
      </c>
      <c r="B3" s="308" t="s">
        <v>105</v>
      </c>
      <c r="C3" s="308" t="s">
        <v>188</v>
      </c>
      <c r="D3" s="303" t="s">
        <v>189</v>
      </c>
      <c r="E3" s="151"/>
      <c r="F3" s="303" t="s">
        <v>190</v>
      </c>
      <c r="G3" s="151"/>
      <c r="H3" s="303" t="s">
        <v>222</v>
      </c>
      <c r="I3" s="177"/>
    </row>
    <row r="4" spans="1:9" s="113" customFormat="1" ht="15" customHeight="1" x14ac:dyDescent="0.15">
      <c r="A4" s="306"/>
      <c r="B4" s="309"/>
      <c r="C4" s="310"/>
      <c r="D4" s="311"/>
      <c r="E4" s="155" t="s">
        <v>34</v>
      </c>
      <c r="F4" s="304"/>
      <c r="G4" s="155" t="s">
        <v>34</v>
      </c>
      <c r="H4" s="307"/>
      <c r="I4" s="177"/>
    </row>
    <row r="5" spans="1:9" ht="13.5" customHeight="1" x14ac:dyDescent="0.15">
      <c r="A5" s="75">
        <v>2012</v>
      </c>
      <c r="B5" s="42">
        <v>92.691583333333327</v>
      </c>
      <c r="C5" s="42">
        <v>94.735749999999982</v>
      </c>
      <c r="D5" s="124">
        <v>93.344274563740058</v>
      </c>
      <c r="E5" s="124">
        <v>96.928815744416269</v>
      </c>
      <c r="F5" s="124">
        <v>93.759812724332789</v>
      </c>
      <c r="G5" s="124">
        <v>91.183967445778976</v>
      </c>
      <c r="H5" s="45">
        <v>76.5457039219</v>
      </c>
      <c r="I5" s="175"/>
    </row>
    <row r="6" spans="1:9" ht="13.5" customHeight="1" x14ac:dyDescent="0.15">
      <c r="A6" s="75">
        <v>2013</v>
      </c>
      <c r="B6" s="42">
        <v>93.697416666666655</v>
      </c>
      <c r="C6" s="42">
        <v>95.023833333333314</v>
      </c>
      <c r="D6" s="124">
        <v>93.214080141656041</v>
      </c>
      <c r="E6" s="124">
        <v>96.58686543784556</v>
      </c>
      <c r="F6" s="124">
        <v>94.80154751348482</v>
      </c>
      <c r="G6" s="124">
        <v>92.536930270030041</v>
      </c>
      <c r="H6" s="45">
        <v>77.712470652225008</v>
      </c>
      <c r="I6" s="175"/>
    </row>
    <row r="7" spans="1:9" ht="13.5" customHeight="1" x14ac:dyDescent="0.15">
      <c r="A7" s="75">
        <v>2014</v>
      </c>
      <c r="B7" s="42">
        <v>94.334416666666684</v>
      </c>
      <c r="C7" s="42">
        <v>95.196250000000006</v>
      </c>
      <c r="D7" s="124">
        <v>93.655374571507366</v>
      </c>
      <c r="E7" s="124">
        <v>97.334077041491483</v>
      </c>
      <c r="F7" s="124">
        <v>95.903909480035409</v>
      </c>
      <c r="G7" s="124">
        <v>94.499816901136001</v>
      </c>
      <c r="H7" s="45">
        <v>78.81438409452501</v>
      </c>
      <c r="I7" s="175"/>
    </row>
    <row r="8" spans="1:9" ht="13.5" customHeight="1" x14ac:dyDescent="0.15">
      <c r="A8" s="75">
        <v>2015</v>
      </c>
      <c r="B8" s="42">
        <v>94.368499999999997</v>
      </c>
      <c r="C8" s="42">
        <v>94.156083333333314</v>
      </c>
      <c r="D8" s="124">
        <v>94.88429085845145</v>
      </c>
      <c r="E8" s="124">
        <v>99.304992216753774</v>
      </c>
      <c r="F8" s="124">
        <v>97.419419376415533</v>
      </c>
      <c r="G8" s="124">
        <v>96.860739332609612</v>
      </c>
      <c r="H8" s="45">
        <v>80.579767800624992</v>
      </c>
      <c r="I8" s="175"/>
    </row>
    <row r="9" spans="1:9" ht="13.5" customHeight="1" x14ac:dyDescent="0.15">
      <c r="A9" s="75"/>
      <c r="B9" s="42" t="s">
        <v>207</v>
      </c>
      <c r="C9" s="42" t="s">
        <v>207</v>
      </c>
      <c r="D9" s="124" t="s">
        <v>207</v>
      </c>
      <c r="E9" s="124" t="s">
        <v>207</v>
      </c>
      <c r="F9" s="124" t="s">
        <v>207</v>
      </c>
      <c r="G9" s="124" t="s">
        <v>207</v>
      </c>
      <c r="H9" s="45" t="s">
        <v>207</v>
      </c>
      <c r="I9" s="175"/>
    </row>
    <row r="10" spans="1:9" ht="13.5" customHeight="1" x14ac:dyDescent="0.15">
      <c r="A10" s="75">
        <v>2016</v>
      </c>
      <c r="B10" s="42">
        <v>95.11008333333335</v>
      </c>
      <c r="C10" s="42">
        <v>94.78458333333333</v>
      </c>
      <c r="D10" s="124">
        <v>96.575352414398424</v>
      </c>
      <c r="E10" s="124">
        <v>101.94904655946668</v>
      </c>
      <c r="F10" s="124">
        <v>99.208637030631678</v>
      </c>
      <c r="G10" s="124">
        <v>99.560716290687921</v>
      </c>
      <c r="H10" s="45">
        <v>82.856734106116662</v>
      </c>
      <c r="I10" s="175"/>
    </row>
    <row r="11" spans="1:9" ht="13.5" customHeight="1" x14ac:dyDescent="0.15">
      <c r="A11" s="75">
        <v>2017</v>
      </c>
      <c r="B11" s="42">
        <v>97.012500000000003</v>
      </c>
      <c r="C11" s="42">
        <v>97.147166666666649</v>
      </c>
      <c r="D11" s="124">
        <v>98.44116288305564</v>
      </c>
      <c r="E11" s="124">
        <v>104.51081347861009</v>
      </c>
      <c r="F11" s="124">
        <v>100.90162092245062</v>
      </c>
      <c r="G11" s="124">
        <v>102.1723027496849</v>
      </c>
      <c r="H11" s="45">
        <v>85.686103764983329</v>
      </c>
      <c r="I11" s="175"/>
    </row>
    <row r="12" spans="1:9" s="118" customFormat="1" ht="13.5" customHeight="1" x14ac:dyDescent="0.15">
      <c r="A12" s="75">
        <v>2018</v>
      </c>
      <c r="B12" s="26">
        <v>98.557000000000002</v>
      </c>
      <c r="C12" s="26">
        <v>98.767250000000004</v>
      </c>
      <c r="D12" s="26">
        <v>99.029158508466878</v>
      </c>
      <c r="E12" s="26">
        <v>103.47995944053798</v>
      </c>
      <c r="F12" s="26">
        <v>100.55053192133585</v>
      </c>
      <c r="G12" s="26">
        <v>101.30127901715001</v>
      </c>
      <c r="H12" s="76">
        <v>88.918438721800001</v>
      </c>
      <c r="I12" s="175"/>
    </row>
    <row r="13" spans="1:9" s="118" customFormat="1" ht="13.5" customHeight="1" x14ac:dyDescent="0.15">
      <c r="A13" s="75">
        <v>2019</v>
      </c>
      <c r="B13" s="26">
        <v>99.384166666666658</v>
      </c>
      <c r="C13" s="26">
        <v>99.424833333333353</v>
      </c>
      <c r="D13" s="26">
        <v>96.433668085179718</v>
      </c>
      <c r="E13" s="26">
        <v>96.714372523377719</v>
      </c>
      <c r="F13" s="26">
        <v>96.894323097681038</v>
      </c>
      <c r="G13" s="26">
        <v>95.210134871426206</v>
      </c>
      <c r="H13" s="76">
        <v>91.708835696916665</v>
      </c>
      <c r="I13" s="175"/>
    </row>
    <row r="14" spans="1:9" s="118" customFormat="1" ht="13.5" customHeight="1" x14ac:dyDescent="0.15">
      <c r="A14" s="75">
        <v>2020</v>
      </c>
      <c r="B14" s="26">
        <v>100</v>
      </c>
      <c r="C14" s="26">
        <v>99.999166666666667</v>
      </c>
      <c r="D14" s="26">
        <v>95.710669876494919</v>
      </c>
      <c r="E14" s="26">
        <v>94.157155022519646</v>
      </c>
      <c r="F14" s="26">
        <v>95.896889015749139</v>
      </c>
      <c r="G14" s="26">
        <v>93.638779717058412</v>
      </c>
      <c r="H14" s="76">
        <v>93.753150849658311</v>
      </c>
      <c r="I14" s="175"/>
    </row>
    <row r="15" spans="1:9" s="118" customFormat="1" ht="13.5" customHeight="1" x14ac:dyDescent="0.15">
      <c r="A15" s="75"/>
      <c r="B15" s="26" t="s">
        <v>207</v>
      </c>
      <c r="C15" s="26" t="s">
        <v>207</v>
      </c>
      <c r="D15" s="26" t="s">
        <v>207</v>
      </c>
      <c r="E15" s="26" t="s">
        <v>207</v>
      </c>
      <c r="F15" s="26" t="s">
        <v>207</v>
      </c>
      <c r="G15" s="26" t="s">
        <v>207</v>
      </c>
      <c r="H15" s="76" t="s">
        <v>207</v>
      </c>
      <c r="I15" s="175"/>
    </row>
    <row r="16" spans="1:9" s="118" customFormat="1" ht="13.5" customHeight="1" x14ac:dyDescent="0.15">
      <c r="A16" s="75">
        <v>2021</v>
      </c>
      <c r="B16" s="26">
        <v>102.79916666666668</v>
      </c>
      <c r="C16" s="26">
        <v>103.55333333333334</v>
      </c>
      <c r="D16" s="26">
        <v>100.34756279538868</v>
      </c>
      <c r="E16" s="26">
        <v>100.66829148059026</v>
      </c>
      <c r="F16" s="26">
        <v>100.05334940146741</v>
      </c>
      <c r="G16" s="26">
        <v>100.1216154449329</v>
      </c>
      <c r="H16" s="76">
        <v>96.274244030100007</v>
      </c>
      <c r="I16" s="175"/>
    </row>
    <row r="17" spans="1:9" s="118" customFormat="1" ht="13.5" customHeight="1" x14ac:dyDescent="0.15">
      <c r="A17" s="75">
        <v>2022</v>
      </c>
      <c r="B17" s="26">
        <v>108.98333333333335</v>
      </c>
      <c r="C17" s="26">
        <v>110.54916666666668</v>
      </c>
      <c r="D17" s="26">
        <v>104.12965456638817</v>
      </c>
      <c r="E17" s="26">
        <v>105.87481490091157</v>
      </c>
      <c r="F17" s="26">
        <v>102.1889657629725</v>
      </c>
      <c r="G17" s="26">
        <v>103.15763527510801</v>
      </c>
      <c r="H17" s="76">
        <v>98.948378389741677</v>
      </c>
      <c r="I17" s="175"/>
    </row>
    <row r="18" spans="1:9" s="118" customFormat="1" ht="13.5" customHeight="1" x14ac:dyDescent="0.15">
      <c r="A18" s="75">
        <v>2023</v>
      </c>
      <c r="B18" s="26">
        <v>112.97833333333334</v>
      </c>
      <c r="C18" s="26">
        <v>114.85833333333335</v>
      </c>
      <c r="D18" s="26">
        <v>102.65221079428026</v>
      </c>
      <c r="E18" s="26">
        <v>102.71289387265143</v>
      </c>
      <c r="F18" s="26">
        <v>100.29473850889548</v>
      </c>
      <c r="G18" s="26">
        <v>99.685909250922876</v>
      </c>
      <c r="H18" s="76">
        <v>99.766892825566671</v>
      </c>
      <c r="I18" s="175"/>
    </row>
    <row r="19" spans="1:9" ht="13.5" customHeight="1" x14ac:dyDescent="0.15">
      <c r="A19" s="77"/>
      <c r="B19" s="25"/>
      <c r="C19" s="25"/>
      <c r="D19" s="25"/>
      <c r="E19" s="25"/>
      <c r="F19" s="25"/>
      <c r="G19" s="25"/>
      <c r="H19" s="73"/>
      <c r="I19" s="175"/>
    </row>
    <row r="20" spans="1:9" ht="13.5" customHeight="1" x14ac:dyDescent="0.15">
      <c r="A20" s="77" t="s">
        <v>149</v>
      </c>
      <c r="B20" s="25">
        <v>98.576999999999998</v>
      </c>
      <c r="C20" s="25">
        <v>98.222999999999999</v>
      </c>
      <c r="D20" s="25">
        <v>97.804418746117193</v>
      </c>
      <c r="E20" s="25">
        <v>99.901196774673807</v>
      </c>
      <c r="F20" s="25">
        <v>98.670343183298598</v>
      </c>
      <c r="G20" s="25">
        <v>98.169440249840406</v>
      </c>
      <c r="H20" s="73">
        <v>90.570188912199995</v>
      </c>
      <c r="I20" s="175"/>
    </row>
    <row r="21" spans="1:9" ht="13.5" customHeight="1" x14ac:dyDescent="0.15">
      <c r="A21" s="77" t="s">
        <v>21</v>
      </c>
      <c r="B21" s="25">
        <v>99.010999999999996</v>
      </c>
      <c r="C21" s="25">
        <v>98.863</v>
      </c>
      <c r="D21" s="25">
        <v>97.674868320010305</v>
      </c>
      <c r="E21" s="25">
        <v>99.497981437988003</v>
      </c>
      <c r="F21" s="25">
        <v>98.526709761063898</v>
      </c>
      <c r="G21" s="25">
        <v>97.925554076119496</v>
      </c>
      <c r="H21" s="73">
        <v>90.764619275900003</v>
      </c>
      <c r="I21" s="175"/>
    </row>
    <row r="22" spans="1:9" ht="13.5" customHeight="1" x14ac:dyDescent="0.15">
      <c r="A22" s="77" t="s">
        <v>89</v>
      </c>
      <c r="B22" s="25">
        <v>98.963999999999999</v>
      </c>
      <c r="C22" s="25">
        <v>98.807000000000002</v>
      </c>
      <c r="D22" s="25">
        <v>97.429960940412101</v>
      </c>
      <c r="E22" s="25">
        <v>98.958116303067598</v>
      </c>
      <c r="F22" s="25">
        <v>98.262380024816494</v>
      </c>
      <c r="G22" s="25">
        <v>97.444591742697597</v>
      </c>
      <c r="H22" s="73">
        <v>90.980839249200002</v>
      </c>
      <c r="I22" s="175"/>
    </row>
    <row r="23" spans="1:9" ht="13.5" customHeight="1" x14ac:dyDescent="0.15">
      <c r="A23" s="77"/>
      <c r="B23" s="25" t="s">
        <v>207</v>
      </c>
      <c r="C23" s="25" t="s">
        <v>207</v>
      </c>
      <c r="D23" s="25" t="s">
        <v>207</v>
      </c>
      <c r="E23" s="25" t="s">
        <v>207</v>
      </c>
      <c r="F23" s="25" t="s">
        <v>207</v>
      </c>
      <c r="G23" s="25" t="s">
        <v>207</v>
      </c>
      <c r="H23" s="73" t="s">
        <v>207</v>
      </c>
      <c r="I23" s="175"/>
    </row>
    <row r="24" spans="1:9" ht="13.5" customHeight="1" x14ac:dyDescent="0.15">
      <c r="A24" s="77" t="s">
        <v>90</v>
      </c>
      <c r="B24" s="25">
        <v>99.350999999999999</v>
      </c>
      <c r="C24" s="25">
        <v>99.277000000000001</v>
      </c>
      <c r="D24" s="25">
        <v>97.243824535448297</v>
      </c>
      <c r="E24" s="25">
        <v>98.474999116442106</v>
      </c>
      <c r="F24" s="25">
        <v>97.982002528628698</v>
      </c>
      <c r="G24" s="25">
        <v>96.901211874670096</v>
      </c>
      <c r="H24" s="73">
        <v>91.214658522700006</v>
      </c>
      <c r="I24" s="175"/>
    </row>
    <row r="25" spans="1:9" ht="13.5" customHeight="1" x14ac:dyDescent="0.15">
      <c r="A25" s="77" t="s">
        <v>91</v>
      </c>
      <c r="B25" s="25">
        <v>99.567999999999998</v>
      </c>
      <c r="C25" s="25">
        <v>99.748000000000005</v>
      </c>
      <c r="D25" s="25">
        <v>96.8625526489772</v>
      </c>
      <c r="E25" s="25">
        <v>97.691574314215003</v>
      </c>
      <c r="F25" s="25">
        <v>97.399766360807604</v>
      </c>
      <c r="G25" s="25">
        <v>95.973646290827304</v>
      </c>
      <c r="H25" s="73">
        <v>91.441773300899996</v>
      </c>
      <c r="I25" s="175"/>
    </row>
    <row r="26" spans="1:9" ht="13.5" customHeight="1" x14ac:dyDescent="0.15">
      <c r="A26" s="77" t="s">
        <v>92</v>
      </c>
      <c r="B26" s="25">
        <v>99.483000000000004</v>
      </c>
      <c r="C26" s="25">
        <v>99.682000000000002</v>
      </c>
      <c r="D26" s="25">
        <v>96.614053480780399</v>
      </c>
      <c r="E26" s="25">
        <v>97.0896090139384</v>
      </c>
      <c r="F26" s="25">
        <v>97.0047047976595</v>
      </c>
      <c r="G26" s="25">
        <v>95.357094678377706</v>
      </c>
      <c r="H26" s="73">
        <v>91.6496126551</v>
      </c>
      <c r="I26" s="175"/>
    </row>
    <row r="27" spans="1:9" ht="13.5" customHeight="1" x14ac:dyDescent="0.15">
      <c r="A27" s="77"/>
      <c r="B27" s="25" t="s">
        <v>207</v>
      </c>
      <c r="C27" s="25" t="s">
        <v>207</v>
      </c>
      <c r="D27" s="25" t="s">
        <v>207</v>
      </c>
      <c r="E27" s="25" t="s">
        <v>207</v>
      </c>
      <c r="F27" s="25" t="s">
        <v>207</v>
      </c>
      <c r="G27" s="25" t="s">
        <v>207</v>
      </c>
      <c r="H27" s="73" t="s">
        <v>207</v>
      </c>
      <c r="I27" s="175"/>
    </row>
    <row r="28" spans="1:9" ht="13.5" customHeight="1" x14ac:dyDescent="0.15">
      <c r="A28" s="77" t="s">
        <v>93</v>
      </c>
      <c r="B28" s="25">
        <v>99.134</v>
      </c>
      <c r="C28" s="25">
        <v>98.807000000000002</v>
      </c>
      <c r="D28" s="25">
        <v>96.305253459833395</v>
      </c>
      <c r="E28" s="25">
        <v>96.378389238231904</v>
      </c>
      <c r="F28" s="25">
        <v>96.609059426178604</v>
      </c>
      <c r="G28" s="25">
        <v>94.757494611907603</v>
      </c>
      <c r="H28" s="73">
        <v>91.870022938000005</v>
      </c>
      <c r="I28" s="175"/>
    </row>
    <row r="29" spans="1:9" ht="13.5" customHeight="1" x14ac:dyDescent="0.15">
      <c r="A29" s="77" t="s">
        <v>94</v>
      </c>
      <c r="B29" s="25">
        <v>99.37</v>
      </c>
      <c r="C29" s="25">
        <v>99.004000000000005</v>
      </c>
      <c r="D29" s="25">
        <v>95.894381809962198</v>
      </c>
      <c r="E29" s="25">
        <v>95.527923728999198</v>
      </c>
      <c r="F29" s="25">
        <v>96.115226118371794</v>
      </c>
      <c r="G29" s="25">
        <v>93.953304227789303</v>
      </c>
      <c r="H29" s="73">
        <v>92.066129425499994</v>
      </c>
      <c r="I29" s="175"/>
    </row>
    <row r="30" spans="1:9" ht="13.5" customHeight="1" x14ac:dyDescent="0.15">
      <c r="A30" s="77" t="s">
        <v>95</v>
      </c>
      <c r="B30" s="25">
        <v>99.813999999999993</v>
      </c>
      <c r="C30" s="25">
        <v>100.134</v>
      </c>
      <c r="D30" s="25">
        <v>95.533586392302595</v>
      </c>
      <c r="E30" s="25">
        <v>94.741077402483199</v>
      </c>
      <c r="F30" s="25">
        <v>95.757155040740102</v>
      </c>
      <c r="G30" s="25">
        <v>93.356469937495405</v>
      </c>
      <c r="H30" s="73">
        <v>92.238770179400007</v>
      </c>
      <c r="I30" s="175"/>
    </row>
    <row r="31" spans="1:9" ht="13.5" customHeight="1" x14ac:dyDescent="0.15">
      <c r="A31" s="77"/>
      <c r="B31" s="25" t="s">
        <v>207</v>
      </c>
      <c r="C31" s="25" t="s">
        <v>207</v>
      </c>
      <c r="D31" s="25" t="s">
        <v>207</v>
      </c>
      <c r="E31" s="25" t="s">
        <v>207</v>
      </c>
      <c r="F31" s="25" t="s">
        <v>207</v>
      </c>
      <c r="G31" s="25" t="s">
        <v>207</v>
      </c>
      <c r="H31" s="73" t="s">
        <v>207</v>
      </c>
      <c r="I31" s="175"/>
    </row>
    <row r="32" spans="1:9" ht="13.5" customHeight="1" x14ac:dyDescent="0.15">
      <c r="A32" s="77" t="s">
        <v>96</v>
      </c>
      <c r="B32" s="25">
        <v>100.012</v>
      </c>
      <c r="C32" s="25">
        <v>100.426</v>
      </c>
      <c r="D32" s="25">
        <v>95.399943880388193</v>
      </c>
      <c r="E32" s="25">
        <v>94.394855872551503</v>
      </c>
      <c r="F32" s="25">
        <v>95.604356432380101</v>
      </c>
      <c r="G32" s="25">
        <v>93.104418402831598</v>
      </c>
      <c r="H32" s="73">
        <v>92.399678066500002</v>
      </c>
      <c r="I32" s="175"/>
    </row>
    <row r="33" spans="1:9" ht="13.5" customHeight="1" x14ac:dyDescent="0.15">
      <c r="A33" s="77" t="s">
        <v>97</v>
      </c>
      <c r="B33" s="25">
        <v>99.512</v>
      </c>
      <c r="C33" s="25">
        <v>99.974000000000004</v>
      </c>
      <c r="D33" s="25">
        <v>95.294702745410007</v>
      </c>
      <c r="E33" s="25">
        <v>94.153713585748207</v>
      </c>
      <c r="F33" s="25">
        <v>95.418967004180203</v>
      </c>
      <c r="G33" s="25">
        <v>92.836870494598301</v>
      </c>
      <c r="H33" s="73">
        <v>92.570642696600004</v>
      </c>
      <c r="I33" s="175"/>
    </row>
    <row r="34" spans="1:9" ht="13.5" customHeight="1" x14ac:dyDescent="0.15">
      <c r="A34" s="77" t="s">
        <v>98</v>
      </c>
      <c r="B34" s="25">
        <v>99.813999999999993</v>
      </c>
      <c r="C34" s="25">
        <v>100.15300000000001</v>
      </c>
      <c r="D34" s="25">
        <v>95.146470062514894</v>
      </c>
      <c r="E34" s="25">
        <v>93.7630334921936</v>
      </c>
      <c r="F34" s="25">
        <v>95.381206494046907</v>
      </c>
      <c r="G34" s="25">
        <v>92.741521869959897</v>
      </c>
      <c r="H34" s="73">
        <v>92.739093140999998</v>
      </c>
      <c r="I34" s="175"/>
    </row>
    <row r="35" spans="1:9" ht="13.5" customHeight="1" x14ac:dyDescent="0.15">
      <c r="A35" s="77"/>
      <c r="B35" s="25" t="s">
        <v>207</v>
      </c>
      <c r="C35" s="25" t="s">
        <v>207</v>
      </c>
      <c r="D35" s="25" t="s">
        <v>207</v>
      </c>
      <c r="E35" s="25" t="s">
        <v>207</v>
      </c>
      <c r="F35" s="25" t="s">
        <v>207</v>
      </c>
      <c r="G35" s="25" t="s">
        <v>207</v>
      </c>
      <c r="H35" s="73" t="s">
        <v>207</v>
      </c>
      <c r="I35" s="175"/>
    </row>
    <row r="36" spans="1:9" ht="13.5" customHeight="1" x14ac:dyDescent="0.15">
      <c r="A36" s="77" t="s">
        <v>164</v>
      </c>
      <c r="B36" s="25">
        <v>100.39</v>
      </c>
      <c r="C36" s="25">
        <v>100.75</v>
      </c>
      <c r="D36" s="25">
        <v>95.0345073042552</v>
      </c>
      <c r="E36" s="25">
        <v>93.491317406152803</v>
      </c>
      <c r="F36" s="25">
        <v>95.337061690350396</v>
      </c>
      <c r="G36" s="25">
        <v>92.720710197798297</v>
      </c>
      <c r="H36" s="73">
        <v>92.900001028099993</v>
      </c>
      <c r="I36" s="175"/>
    </row>
    <row r="37" spans="1:9" ht="13.5" customHeight="1" x14ac:dyDescent="0.15">
      <c r="A37" s="77" t="s">
        <v>21</v>
      </c>
      <c r="B37" s="25">
        <v>100.37</v>
      </c>
      <c r="C37" s="25">
        <v>100.61</v>
      </c>
      <c r="D37" s="25">
        <v>95.032615999649593</v>
      </c>
      <c r="E37" s="25">
        <v>93.368570298272104</v>
      </c>
      <c r="F37" s="25">
        <v>95.356518860041106</v>
      </c>
      <c r="G37" s="25">
        <v>92.744688604167706</v>
      </c>
      <c r="H37" s="73">
        <v>93.059232791400007</v>
      </c>
      <c r="I37" s="175"/>
    </row>
    <row r="38" spans="1:9" ht="13.5" customHeight="1" x14ac:dyDescent="0.15">
      <c r="A38" s="77" t="s">
        <v>89</v>
      </c>
      <c r="B38" s="25">
        <v>100.15</v>
      </c>
      <c r="C38" s="25">
        <v>100.64</v>
      </c>
      <c r="D38" s="25">
        <v>95.116884156319401</v>
      </c>
      <c r="E38" s="25">
        <v>93.432607392658397</v>
      </c>
      <c r="F38" s="25">
        <v>95.385782234592</v>
      </c>
      <c r="G38" s="25">
        <v>92.796920175895707</v>
      </c>
      <c r="H38" s="73">
        <v>93.194160759300004</v>
      </c>
      <c r="I38" s="175"/>
    </row>
    <row r="39" spans="1:9" ht="13.5" customHeight="1" x14ac:dyDescent="0.15">
      <c r="A39" s="77"/>
      <c r="B39" s="25" t="s">
        <v>207</v>
      </c>
      <c r="C39" s="25" t="s">
        <v>207</v>
      </c>
      <c r="D39" s="25" t="s">
        <v>207</v>
      </c>
      <c r="E39" s="25" t="s">
        <v>207</v>
      </c>
      <c r="F39" s="25" t="s">
        <v>207</v>
      </c>
      <c r="G39" s="25" t="s">
        <v>207</v>
      </c>
      <c r="H39" s="73" t="s">
        <v>207</v>
      </c>
      <c r="I39" s="175"/>
    </row>
    <row r="40" spans="1:9" ht="13.5" customHeight="1" x14ac:dyDescent="0.15">
      <c r="A40" s="77" t="s">
        <v>90</v>
      </c>
      <c r="B40" s="25">
        <v>99.56</v>
      </c>
      <c r="C40" s="25">
        <v>99.64</v>
      </c>
      <c r="D40" s="25">
        <v>95.121616282722798</v>
      </c>
      <c r="E40" s="25">
        <v>93.396912890563001</v>
      </c>
      <c r="F40" s="25">
        <v>95.372308814431506</v>
      </c>
      <c r="G40" s="25">
        <v>92.798115165329307</v>
      </c>
      <c r="H40" s="73">
        <v>93.328250665200002</v>
      </c>
      <c r="I40" s="175"/>
    </row>
    <row r="41" spans="1:9" ht="13.5" customHeight="1" x14ac:dyDescent="0.15">
      <c r="A41" s="77" t="s">
        <v>91</v>
      </c>
      <c r="B41" s="25">
        <v>99.29</v>
      </c>
      <c r="C41" s="25">
        <v>99.14</v>
      </c>
      <c r="D41" s="25">
        <v>95.179186085511702</v>
      </c>
      <c r="E41" s="25">
        <v>93.438832362294605</v>
      </c>
      <c r="F41" s="25">
        <v>95.395045758510804</v>
      </c>
      <c r="G41" s="25">
        <v>92.852113283245302</v>
      </c>
      <c r="H41" s="73">
        <v>93.472397314099993</v>
      </c>
      <c r="I41" s="175"/>
    </row>
    <row r="42" spans="1:9" ht="13.5" customHeight="1" x14ac:dyDescent="0.15">
      <c r="A42" s="77" t="s">
        <v>92</v>
      </c>
      <c r="B42" s="25">
        <v>99.64</v>
      </c>
      <c r="C42" s="25">
        <v>99.68</v>
      </c>
      <c r="D42" s="25">
        <v>95.323399538183097</v>
      </c>
      <c r="E42" s="25">
        <v>93.587710571816302</v>
      </c>
      <c r="F42" s="25">
        <v>95.475465989525702</v>
      </c>
      <c r="G42" s="25">
        <v>92.9632292223652</v>
      </c>
      <c r="H42" s="73">
        <v>93.645038068100007</v>
      </c>
      <c r="I42" s="175"/>
    </row>
    <row r="43" spans="1:9" ht="13.5" customHeight="1" x14ac:dyDescent="0.15">
      <c r="A43" s="77"/>
      <c r="B43" s="25" t="s">
        <v>207</v>
      </c>
      <c r="C43" s="25" t="s">
        <v>207</v>
      </c>
      <c r="D43" s="25" t="s">
        <v>207</v>
      </c>
      <c r="E43" s="25" t="s">
        <v>207</v>
      </c>
      <c r="F43" s="25" t="s">
        <v>207</v>
      </c>
      <c r="G43" s="25" t="s">
        <v>207</v>
      </c>
      <c r="H43" s="73" t="s">
        <v>207</v>
      </c>
      <c r="I43" s="175"/>
    </row>
    <row r="44" spans="1:9" ht="13.5" customHeight="1" x14ac:dyDescent="0.15">
      <c r="A44" s="77" t="s">
        <v>93</v>
      </c>
      <c r="B44" s="25">
        <v>99.49</v>
      </c>
      <c r="C44" s="25">
        <v>99.13</v>
      </c>
      <c r="D44" s="25">
        <v>95.682066438460296</v>
      </c>
      <c r="E44" s="25">
        <v>94.117344950299696</v>
      </c>
      <c r="F44" s="25">
        <v>95.636102443889499</v>
      </c>
      <c r="G44" s="25">
        <v>93.238258319164103</v>
      </c>
      <c r="H44" s="73">
        <v>93.796727274199995</v>
      </c>
      <c r="I44" s="175"/>
    </row>
    <row r="45" spans="1:9" ht="13.5" customHeight="1" x14ac:dyDescent="0.15">
      <c r="A45" s="77" t="s">
        <v>94</v>
      </c>
      <c r="B45" s="25">
        <v>100.08</v>
      </c>
      <c r="C45" s="25">
        <v>99.9</v>
      </c>
      <c r="D45" s="25">
        <v>95.892559720176806</v>
      </c>
      <c r="E45" s="25">
        <v>94.382095808194507</v>
      </c>
      <c r="F45" s="25">
        <v>95.797588465066895</v>
      </c>
      <c r="G45" s="25">
        <v>93.493002813443994</v>
      </c>
      <c r="H45" s="73">
        <v>93.955959037499994</v>
      </c>
      <c r="I45" s="175"/>
    </row>
    <row r="46" spans="1:9" ht="13.5" customHeight="1" x14ac:dyDescent="0.15">
      <c r="A46" s="77" t="s">
        <v>95</v>
      </c>
      <c r="B46" s="25">
        <v>100.73</v>
      </c>
      <c r="C46" s="25">
        <v>101.09</v>
      </c>
      <c r="D46" s="25">
        <v>96.081726816390699</v>
      </c>
      <c r="E46" s="25">
        <v>94.611225059011403</v>
      </c>
      <c r="F46" s="25">
        <v>96.115347343655003</v>
      </c>
      <c r="G46" s="25">
        <v>94.004714977809797</v>
      </c>
      <c r="H46" s="73">
        <v>94.128838002099997</v>
      </c>
      <c r="I46" s="175"/>
    </row>
    <row r="47" spans="1:9" ht="13.5" customHeight="1" x14ac:dyDescent="0.15">
      <c r="A47" s="77"/>
      <c r="B47" s="25" t="s">
        <v>207</v>
      </c>
      <c r="C47" s="25" t="s">
        <v>207</v>
      </c>
      <c r="D47" s="25" t="s">
        <v>207</v>
      </c>
      <c r="E47" s="25" t="s">
        <v>207</v>
      </c>
      <c r="F47" s="25" t="s">
        <v>207</v>
      </c>
      <c r="G47" s="25" t="s">
        <v>207</v>
      </c>
      <c r="H47" s="73" t="s">
        <v>207</v>
      </c>
      <c r="I47" s="175"/>
    </row>
    <row r="48" spans="1:9" ht="13.5" customHeight="1" x14ac:dyDescent="0.15">
      <c r="A48" s="77" t="s">
        <v>141</v>
      </c>
      <c r="B48" s="25">
        <v>100.05</v>
      </c>
      <c r="C48" s="25">
        <v>99.57</v>
      </c>
      <c r="D48" s="25">
        <v>96.358939597627497</v>
      </c>
      <c r="E48" s="25">
        <v>94.946005140761201</v>
      </c>
      <c r="F48" s="25">
        <v>96.472562925910907</v>
      </c>
      <c r="G48" s="25">
        <v>94.580151889649599</v>
      </c>
      <c r="H48" s="73">
        <v>94.311112562600002</v>
      </c>
      <c r="I48" s="175"/>
    </row>
    <row r="49" spans="1:19" ht="13.5" customHeight="1" x14ac:dyDescent="0.15">
      <c r="A49" s="77" t="s">
        <v>177</v>
      </c>
      <c r="B49" s="25">
        <v>100</v>
      </c>
      <c r="C49" s="25">
        <v>99.81</v>
      </c>
      <c r="D49" s="25">
        <v>96.672351953152997</v>
      </c>
      <c r="E49" s="25">
        <v>95.323656548963996</v>
      </c>
      <c r="F49" s="25">
        <v>96.9461417914968</v>
      </c>
      <c r="G49" s="25">
        <v>95.338445825528694</v>
      </c>
      <c r="H49" s="73">
        <v>94.508420076600004</v>
      </c>
      <c r="I49" s="175"/>
    </row>
    <row r="50" spans="1:19" ht="13.5" customHeight="1" x14ac:dyDescent="0.15">
      <c r="A50" s="77" t="s">
        <v>178</v>
      </c>
      <c r="B50" s="25">
        <v>100.25</v>
      </c>
      <c r="C50" s="25">
        <v>100.03</v>
      </c>
      <c r="D50" s="25">
        <v>97.032184625488895</v>
      </c>
      <c r="E50" s="25">
        <v>95.789581841247696</v>
      </c>
      <c r="F50" s="25">
        <v>97.472741871519005</v>
      </c>
      <c r="G50" s="25">
        <v>96.135006130303296</v>
      </c>
      <c r="H50" s="73">
        <v>94.737672616699996</v>
      </c>
      <c r="I50" s="175"/>
    </row>
    <row r="51" spans="1:19" ht="13.5" customHeight="1" x14ac:dyDescent="0.15">
      <c r="A51" s="77"/>
      <c r="B51" s="25" t="s">
        <v>207</v>
      </c>
      <c r="C51" s="25" t="s">
        <v>207</v>
      </c>
      <c r="D51" s="25" t="s">
        <v>207</v>
      </c>
      <c r="E51" s="25" t="s">
        <v>207</v>
      </c>
      <c r="F51" s="25" t="s">
        <v>207</v>
      </c>
      <c r="G51" s="25" t="s">
        <v>207</v>
      </c>
      <c r="H51" s="73" t="s">
        <v>207</v>
      </c>
      <c r="I51" s="175"/>
      <c r="L51" s="138"/>
      <c r="M51" s="138"/>
      <c r="N51" s="138"/>
      <c r="O51" s="138"/>
      <c r="P51" s="138"/>
      <c r="Q51" s="138"/>
      <c r="R51" s="138"/>
      <c r="S51" s="138"/>
    </row>
    <row r="52" spans="1:19" ht="13.5" customHeight="1" x14ac:dyDescent="0.15">
      <c r="A52" s="77" t="s">
        <v>181</v>
      </c>
      <c r="B52" s="25">
        <v>101.01</v>
      </c>
      <c r="C52" s="25">
        <v>101.14</v>
      </c>
      <c r="D52" s="25">
        <v>97.552113337238097</v>
      </c>
      <c r="E52" s="25">
        <v>96.540896370042205</v>
      </c>
      <c r="F52" s="25">
        <v>98.030915737351194</v>
      </c>
      <c r="G52" s="25">
        <v>97.016729283439403</v>
      </c>
      <c r="H52" s="73">
        <v>94.945315286099998</v>
      </c>
      <c r="I52" s="175"/>
      <c r="L52" s="138"/>
      <c r="M52" s="138"/>
      <c r="N52" s="138"/>
      <c r="O52" s="138"/>
      <c r="P52" s="138"/>
      <c r="Q52" s="138"/>
      <c r="R52" s="138"/>
      <c r="S52" s="138"/>
    </row>
    <row r="53" spans="1:19" ht="12.75" customHeight="1" x14ac:dyDescent="0.15">
      <c r="A53" s="77" t="s">
        <v>21</v>
      </c>
      <c r="B53" s="25">
        <v>101.63</v>
      </c>
      <c r="C53" s="25">
        <v>102.18</v>
      </c>
      <c r="D53" s="25">
        <v>98.056941366632401</v>
      </c>
      <c r="E53" s="25">
        <v>97.279592530067504</v>
      </c>
      <c r="F53" s="25">
        <v>98.538878061846404</v>
      </c>
      <c r="G53" s="25">
        <v>97.8225090425628</v>
      </c>
      <c r="H53" s="73">
        <v>95.147320598099995</v>
      </c>
      <c r="I53" s="175"/>
      <c r="L53" s="138"/>
      <c r="M53" s="138"/>
      <c r="N53" s="138"/>
      <c r="O53" s="138"/>
      <c r="P53" s="138"/>
      <c r="Q53" s="138"/>
      <c r="R53" s="138"/>
      <c r="S53" s="138"/>
    </row>
    <row r="54" spans="1:19" ht="13.5" customHeight="1" x14ac:dyDescent="0.15">
      <c r="A54" s="77" t="s">
        <v>89</v>
      </c>
      <c r="B54" s="25">
        <v>102.04</v>
      </c>
      <c r="C54" s="25">
        <v>102.8</v>
      </c>
      <c r="D54" s="25">
        <v>98.543353707672793</v>
      </c>
      <c r="E54" s="25">
        <v>97.962458382931402</v>
      </c>
      <c r="F54" s="25">
        <v>98.925992601446097</v>
      </c>
      <c r="G54" s="25">
        <v>98.383051876746705</v>
      </c>
      <c r="H54" s="73">
        <v>95.398183008700002</v>
      </c>
      <c r="I54" s="175"/>
      <c r="L54" s="138"/>
      <c r="M54" s="138"/>
      <c r="N54" s="138"/>
      <c r="O54" s="138"/>
      <c r="P54" s="138"/>
      <c r="Q54" s="138"/>
      <c r="R54" s="138"/>
      <c r="S54" s="138"/>
    </row>
    <row r="55" spans="1:19" ht="13.5" customHeight="1" x14ac:dyDescent="0.15">
      <c r="A55" s="77"/>
      <c r="B55" s="25" t="s">
        <v>207</v>
      </c>
      <c r="C55" s="25" t="s">
        <v>207</v>
      </c>
      <c r="D55" s="25" t="s">
        <v>207</v>
      </c>
      <c r="E55" s="25" t="s">
        <v>207</v>
      </c>
      <c r="F55" s="25" t="s">
        <v>207</v>
      </c>
      <c r="G55" s="25" t="s">
        <v>207</v>
      </c>
      <c r="H55" s="73" t="s">
        <v>207</v>
      </c>
      <c r="I55" s="175"/>
      <c r="L55" s="138"/>
      <c r="M55" s="138"/>
      <c r="N55" s="138"/>
      <c r="O55" s="138"/>
      <c r="P55" s="138"/>
      <c r="Q55" s="138"/>
      <c r="R55" s="138"/>
      <c r="S55" s="138"/>
    </row>
    <row r="56" spans="1:19" ht="13.5" customHeight="1" x14ac:dyDescent="0.15">
      <c r="A56" s="77" t="s">
        <v>90</v>
      </c>
      <c r="B56" s="25">
        <v>102.19</v>
      </c>
      <c r="C56" s="25">
        <v>102.88</v>
      </c>
      <c r="D56" s="25">
        <v>99.0263572392208</v>
      </c>
      <c r="E56" s="25">
        <v>98.632602090918098</v>
      </c>
      <c r="F56" s="25">
        <v>99.309813190508606</v>
      </c>
      <c r="G56" s="25">
        <v>98.961360675582199</v>
      </c>
      <c r="H56" s="73">
        <v>95.653743217300004</v>
      </c>
      <c r="I56" s="175"/>
      <c r="L56" s="138"/>
      <c r="M56" s="138"/>
      <c r="N56" s="138"/>
      <c r="O56" s="138"/>
      <c r="P56" s="138"/>
      <c r="Q56" s="138"/>
      <c r="R56" s="138"/>
      <c r="S56" s="138"/>
    </row>
    <row r="57" spans="1:19" ht="13.5" customHeight="1" x14ac:dyDescent="0.15">
      <c r="A57" s="77" t="s">
        <v>91</v>
      </c>
      <c r="B57" s="25">
        <v>102.19</v>
      </c>
      <c r="C57" s="25">
        <v>102.79</v>
      </c>
      <c r="D57" s="25">
        <v>99.426454435960807</v>
      </c>
      <c r="E57" s="25">
        <v>99.166616873460995</v>
      </c>
      <c r="F57" s="25">
        <v>99.620230785793595</v>
      </c>
      <c r="G57" s="25">
        <v>99.431494479077401</v>
      </c>
      <c r="H57" s="73">
        <v>95.906484747099995</v>
      </c>
      <c r="I57" s="175"/>
      <c r="L57" s="138"/>
      <c r="M57" s="138"/>
      <c r="N57" s="138"/>
      <c r="O57" s="138"/>
      <c r="P57" s="138"/>
      <c r="Q57" s="138"/>
      <c r="R57" s="138"/>
      <c r="S57" s="138"/>
    </row>
    <row r="58" spans="1:19" ht="13.5" customHeight="1" x14ac:dyDescent="0.15">
      <c r="A58" s="77" t="s">
        <v>92</v>
      </c>
      <c r="B58" s="25">
        <v>102.28</v>
      </c>
      <c r="C58" s="25">
        <v>103.04</v>
      </c>
      <c r="D58" s="25">
        <v>100</v>
      </c>
      <c r="E58" s="25">
        <v>100</v>
      </c>
      <c r="F58" s="25">
        <v>100</v>
      </c>
      <c r="G58" s="25">
        <v>100</v>
      </c>
      <c r="H58" s="73">
        <v>96.154528479000007</v>
      </c>
      <c r="I58" s="175"/>
      <c r="L58" s="138"/>
      <c r="M58" s="138"/>
      <c r="N58" s="138"/>
      <c r="O58" s="138"/>
      <c r="P58" s="138"/>
      <c r="Q58" s="138"/>
      <c r="R58" s="138"/>
      <c r="S58" s="138"/>
    </row>
    <row r="59" spans="1:19" ht="13.5" customHeight="1" x14ac:dyDescent="0.15">
      <c r="A59" s="77"/>
      <c r="B59" s="25" t="s">
        <v>207</v>
      </c>
      <c r="C59" s="25" t="s">
        <v>207</v>
      </c>
      <c r="D59" s="25" t="s">
        <v>207</v>
      </c>
      <c r="E59" s="25" t="s">
        <v>207</v>
      </c>
      <c r="F59" s="25" t="s">
        <v>207</v>
      </c>
      <c r="G59" s="25" t="s">
        <v>207</v>
      </c>
      <c r="H59" s="73" t="s">
        <v>207</v>
      </c>
      <c r="I59" s="175"/>
      <c r="L59" s="138"/>
      <c r="M59" s="138"/>
      <c r="N59" s="138"/>
      <c r="O59" s="138"/>
      <c r="P59" s="138"/>
      <c r="Q59" s="138"/>
      <c r="R59" s="138"/>
      <c r="S59" s="138"/>
    </row>
    <row r="60" spans="1:19" ht="13.5" customHeight="1" x14ac:dyDescent="0.15">
      <c r="A60" s="77" t="s">
        <v>93</v>
      </c>
      <c r="B60" s="25">
        <v>102.46</v>
      </c>
      <c r="C60" s="25">
        <v>102.97</v>
      </c>
      <c r="D60" s="25">
        <v>100.48617768096901</v>
      </c>
      <c r="E60" s="25">
        <v>100.741159874495</v>
      </c>
      <c r="F60" s="25">
        <v>100.28876072480401</v>
      </c>
      <c r="G60" s="25">
        <v>100.459388706292</v>
      </c>
      <c r="H60" s="73">
        <v>96.406330449199999</v>
      </c>
      <c r="I60" s="175"/>
      <c r="L60" s="138"/>
      <c r="M60" s="138"/>
      <c r="N60" s="138"/>
      <c r="O60" s="138"/>
      <c r="P60" s="138"/>
      <c r="Q60" s="138"/>
      <c r="R60" s="138"/>
      <c r="S60" s="138"/>
    </row>
    <row r="61" spans="1:19" ht="13.5" customHeight="1" x14ac:dyDescent="0.15">
      <c r="A61" s="77" t="s">
        <v>94</v>
      </c>
      <c r="B61" s="25">
        <v>103.08</v>
      </c>
      <c r="C61" s="25">
        <v>103.63</v>
      </c>
      <c r="D61" s="25">
        <v>101.08161768736601</v>
      </c>
      <c r="E61" s="25">
        <v>101.732821114499</v>
      </c>
      <c r="F61" s="25">
        <v>100.626916351665</v>
      </c>
      <c r="G61" s="25">
        <v>101.016764019997</v>
      </c>
      <c r="H61" s="73">
        <v>96.663769776899997</v>
      </c>
      <c r="I61" s="175"/>
      <c r="L61" s="138"/>
      <c r="M61" s="138"/>
      <c r="N61" s="138"/>
      <c r="O61" s="138"/>
      <c r="P61" s="138"/>
      <c r="Q61" s="138"/>
      <c r="R61" s="138"/>
      <c r="S61" s="138"/>
    </row>
    <row r="62" spans="1:19" ht="13.5" customHeight="1" x14ac:dyDescent="0.15">
      <c r="A62" s="77" t="s">
        <v>95</v>
      </c>
      <c r="B62" s="25">
        <v>103.64</v>
      </c>
      <c r="C62" s="25">
        <v>104.83</v>
      </c>
      <c r="D62" s="25">
        <v>101.67611613205</v>
      </c>
      <c r="E62" s="25">
        <v>102.674436441528</v>
      </c>
      <c r="F62" s="25">
        <v>100.92225650172099</v>
      </c>
      <c r="G62" s="25">
        <v>101.462779695487</v>
      </c>
      <c r="H62" s="73">
        <v>96.900538793699994</v>
      </c>
      <c r="I62" s="175"/>
      <c r="L62" s="138"/>
      <c r="M62" s="138"/>
      <c r="N62" s="138"/>
      <c r="O62" s="138"/>
      <c r="P62" s="138"/>
      <c r="Q62" s="138"/>
      <c r="R62" s="138"/>
      <c r="S62" s="138"/>
    </row>
    <row r="63" spans="1:19" ht="13.5" customHeight="1" x14ac:dyDescent="0.15">
      <c r="A63" s="77"/>
      <c r="B63" s="25" t="s">
        <v>207</v>
      </c>
      <c r="C63" s="25" t="s">
        <v>207</v>
      </c>
      <c r="D63" s="25" t="s">
        <v>207</v>
      </c>
      <c r="E63" s="25" t="s">
        <v>207</v>
      </c>
      <c r="F63" s="25" t="s">
        <v>207</v>
      </c>
      <c r="G63" s="25" t="s">
        <v>207</v>
      </c>
      <c r="H63" s="73" t="s">
        <v>207</v>
      </c>
      <c r="I63" s="175"/>
      <c r="L63" s="138"/>
      <c r="M63" s="138"/>
      <c r="N63" s="138"/>
      <c r="O63" s="138"/>
      <c r="P63" s="138"/>
      <c r="Q63" s="138"/>
      <c r="R63" s="138"/>
      <c r="S63" s="138"/>
    </row>
    <row r="64" spans="1:19" ht="13.5" customHeight="1" x14ac:dyDescent="0.15">
      <c r="A64" s="77" t="s">
        <v>141</v>
      </c>
      <c r="B64" s="25">
        <v>103.85</v>
      </c>
      <c r="C64" s="25">
        <v>105.02</v>
      </c>
      <c r="D64" s="25">
        <v>102.267464991279</v>
      </c>
      <c r="E64" s="25">
        <v>103.641509782979</v>
      </c>
      <c r="F64" s="25">
        <v>101.191268067878</v>
      </c>
      <c r="G64" s="25">
        <v>101.887195844117</v>
      </c>
      <c r="H64" s="73">
        <v>97.138247370100004</v>
      </c>
      <c r="I64" s="175"/>
      <c r="L64" s="138"/>
      <c r="M64" s="138"/>
      <c r="N64" s="138"/>
      <c r="O64" s="138"/>
      <c r="P64" s="138"/>
      <c r="Q64" s="138"/>
      <c r="R64" s="138"/>
      <c r="S64" s="138"/>
    </row>
    <row r="65" spans="1:19" ht="13.5" customHeight="1" x14ac:dyDescent="0.15">
      <c r="A65" s="77" t="s">
        <v>194</v>
      </c>
      <c r="B65" s="25">
        <v>104.53</v>
      </c>
      <c r="C65" s="25">
        <v>105.84</v>
      </c>
      <c r="D65" s="25">
        <v>102.835475093867</v>
      </c>
      <c r="E65" s="25">
        <v>104.553558634533</v>
      </c>
      <c r="F65" s="25">
        <v>101.47662354385101</v>
      </c>
      <c r="G65" s="25">
        <v>102.334149202772</v>
      </c>
      <c r="H65" s="73">
        <v>97.368439469699993</v>
      </c>
      <c r="I65" s="175"/>
      <c r="L65" s="138"/>
      <c r="M65" s="138"/>
      <c r="N65" s="138"/>
      <c r="O65" s="138"/>
      <c r="P65" s="138"/>
      <c r="Q65" s="138"/>
      <c r="R65" s="138"/>
      <c r="S65" s="138"/>
    </row>
    <row r="66" spans="1:19" s="29" customFormat="1" ht="13.5" customHeight="1" x14ac:dyDescent="0.15">
      <c r="A66" s="77" t="s">
        <v>195</v>
      </c>
      <c r="B66" s="25">
        <v>104.69</v>
      </c>
      <c r="C66" s="25">
        <v>105.52</v>
      </c>
      <c r="D66" s="156">
        <v>103.218681872408</v>
      </c>
      <c r="E66" s="25">
        <v>105.093845671629</v>
      </c>
      <c r="F66" s="25">
        <v>101.708537250744</v>
      </c>
      <c r="G66" s="25">
        <v>102.683962513121</v>
      </c>
      <c r="H66" s="157">
        <v>97.608027165300001</v>
      </c>
      <c r="I66" s="175"/>
      <c r="L66" s="158"/>
      <c r="M66" s="158"/>
      <c r="N66" s="158"/>
      <c r="O66" s="158"/>
      <c r="P66" s="158"/>
      <c r="Q66" s="158"/>
      <c r="R66" s="158"/>
      <c r="S66" s="158"/>
    </row>
    <row r="67" spans="1:19" ht="13.5" customHeight="1" x14ac:dyDescent="0.15">
      <c r="A67" s="77"/>
      <c r="B67" s="25" t="s">
        <v>207</v>
      </c>
      <c r="C67" s="25" t="s">
        <v>207</v>
      </c>
      <c r="D67" s="25" t="s">
        <v>207</v>
      </c>
      <c r="E67" s="25" t="s">
        <v>207</v>
      </c>
      <c r="F67" s="25" t="s">
        <v>207</v>
      </c>
      <c r="G67" s="25" t="s">
        <v>207</v>
      </c>
      <c r="H67" s="73" t="s">
        <v>207</v>
      </c>
      <c r="I67" s="175"/>
      <c r="L67" s="138"/>
      <c r="M67" s="138"/>
      <c r="N67" s="138"/>
      <c r="O67" s="138"/>
      <c r="P67" s="138"/>
      <c r="Q67" s="138"/>
      <c r="R67" s="138"/>
      <c r="S67" s="138"/>
    </row>
    <row r="68" spans="1:19" ht="13.5" customHeight="1" x14ac:dyDescent="0.15">
      <c r="A68" s="77" t="s">
        <v>215</v>
      </c>
      <c r="B68" s="25">
        <v>105.6</v>
      </c>
      <c r="C68" s="25">
        <v>106.3</v>
      </c>
      <c r="D68" s="156">
        <v>103.429772348808</v>
      </c>
      <c r="E68" s="25">
        <v>105.36452339706599</v>
      </c>
      <c r="F68" s="25">
        <v>101.875229068786</v>
      </c>
      <c r="G68" s="25">
        <v>102.924446422695</v>
      </c>
      <c r="H68" s="157">
        <v>97.548719376199998</v>
      </c>
      <c r="I68" s="175"/>
      <c r="L68" s="138"/>
      <c r="M68" s="138"/>
      <c r="N68" s="138"/>
      <c r="O68" s="138"/>
      <c r="P68" s="138"/>
      <c r="Q68" s="138"/>
      <c r="R68" s="138"/>
      <c r="S68" s="138"/>
    </row>
    <row r="69" spans="1:19" s="29" customFormat="1" ht="12.75" customHeight="1" x14ac:dyDescent="0.15">
      <c r="A69" s="77" t="s">
        <v>21</v>
      </c>
      <c r="B69" s="25">
        <v>106.18</v>
      </c>
      <c r="C69" s="25">
        <v>107.23</v>
      </c>
      <c r="D69" s="156">
        <v>103.627373334859</v>
      </c>
      <c r="E69" s="25">
        <v>105.582458995183</v>
      </c>
      <c r="F69" s="25">
        <v>101.997710651925</v>
      </c>
      <c r="G69" s="25">
        <v>103.07957749404601</v>
      </c>
      <c r="H69" s="157">
        <v>97.738951373899994</v>
      </c>
      <c r="I69" s="175"/>
      <c r="L69" s="158"/>
      <c r="M69" s="158"/>
      <c r="N69" s="158"/>
      <c r="O69" s="158"/>
      <c r="P69" s="158"/>
      <c r="Q69" s="158"/>
      <c r="R69" s="158"/>
      <c r="S69" s="158"/>
    </row>
    <row r="70" spans="1:19" s="29" customFormat="1" ht="13.5" customHeight="1" x14ac:dyDescent="0.15">
      <c r="A70" s="77" t="s">
        <v>89</v>
      </c>
      <c r="B70" s="25">
        <v>107.11</v>
      </c>
      <c r="C70" s="25">
        <v>108.72</v>
      </c>
      <c r="D70" s="156">
        <v>103.817265184074</v>
      </c>
      <c r="E70" s="25">
        <v>105.794231200848</v>
      </c>
      <c r="F70" s="25">
        <v>102.132690791263</v>
      </c>
      <c r="G70" s="25">
        <v>103.26609040928101</v>
      </c>
      <c r="H70" s="157">
        <v>97.958233578100007</v>
      </c>
      <c r="I70" s="175"/>
      <c r="L70" s="158"/>
      <c r="M70" s="158"/>
      <c r="N70" s="158"/>
      <c r="O70" s="158"/>
      <c r="P70" s="158"/>
      <c r="Q70" s="158"/>
      <c r="R70" s="158"/>
      <c r="S70" s="158"/>
    </row>
    <row r="71" spans="1:19" ht="13.5" customHeight="1" x14ac:dyDescent="0.15">
      <c r="A71" s="77"/>
      <c r="B71" s="25" t="s">
        <v>207</v>
      </c>
      <c r="C71" s="25" t="s">
        <v>207</v>
      </c>
      <c r="D71" t="s">
        <v>207</v>
      </c>
      <c r="E71" t="s">
        <v>207</v>
      </c>
      <c r="F71" t="s">
        <v>207</v>
      </c>
      <c r="G71" t="s">
        <v>207</v>
      </c>
      <c r="H71" t="s">
        <v>207</v>
      </c>
      <c r="I71" s="175"/>
      <c r="L71" s="138"/>
      <c r="M71" s="138"/>
      <c r="N71" s="138"/>
      <c r="O71" s="138"/>
      <c r="P71" s="138"/>
      <c r="Q71" s="138"/>
      <c r="R71" s="138"/>
      <c r="S71" s="138"/>
    </row>
    <row r="72" spans="1:19" ht="13.5" customHeight="1" x14ac:dyDescent="0.15">
      <c r="A72" s="77" t="s">
        <v>90</v>
      </c>
      <c r="B72" s="25">
        <v>108.18</v>
      </c>
      <c r="C72" s="25">
        <v>109.84</v>
      </c>
      <c r="D72" s="156">
        <v>104.041727308834</v>
      </c>
      <c r="E72" s="25">
        <v>106.08494357283099</v>
      </c>
      <c r="F72" s="25">
        <v>102.283852772635</v>
      </c>
      <c r="G72" s="25">
        <v>103.473443667826</v>
      </c>
      <c r="H72" s="157">
        <v>98.176578679000002</v>
      </c>
      <c r="I72" s="175"/>
      <c r="L72" s="138"/>
      <c r="M72" s="138"/>
      <c r="N72" s="138"/>
      <c r="O72" s="138"/>
      <c r="P72" s="138"/>
      <c r="Q72" s="138"/>
      <c r="R72" s="138"/>
      <c r="S72" s="138"/>
    </row>
    <row r="73" spans="1:19" s="29" customFormat="1" ht="13.5" customHeight="1" x14ac:dyDescent="0.15">
      <c r="A73" s="77" t="s">
        <v>91</v>
      </c>
      <c r="B73" s="25">
        <v>108.96</v>
      </c>
      <c r="C73" s="25">
        <v>110.88</v>
      </c>
      <c r="D73" s="156">
        <v>104.254197148958</v>
      </c>
      <c r="E73" s="25">
        <v>106.314262055829</v>
      </c>
      <c r="F73" s="25">
        <v>102.435300351701</v>
      </c>
      <c r="G73" s="25">
        <v>103.68152069844299</v>
      </c>
      <c r="H73" s="157">
        <v>98.427722400099995</v>
      </c>
      <c r="I73" s="175"/>
      <c r="L73" s="158"/>
      <c r="M73" s="158"/>
      <c r="N73" s="158"/>
      <c r="O73" s="158"/>
      <c r="P73" s="158"/>
      <c r="Q73" s="158"/>
      <c r="R73" s="158"/>
      <c r="S73" s="158"/>
    </row>
    <row r="74" spans="1:19" ht="13.5" customHeight="1" x14ac:dyDescent="0.15">
      <c r="A74" s="77" t="s">
        <v>92</v>
      </c>
      <c r="B74" s="25">
        <v>109.7</v>
      </c>
      <c r="C74" s="25">
        <v>111.68</v>
      </c>
      <c r="D74" s="156">
        <v>104.418636047701</v>
      </c>
      <c r="E74" s="156">
        <v>106.45549195231899</v>
      </c>
      <c r="F74" s="156">
        <v>102.54082938173001</v>
      </c>
      <c r="G74" s="156">
        <v>103.814544546265</v>
      </c>
      <c r="H74" s="157">
        <v>98.661061155900001</v>
      </c>
      <c r="I74" s="175"/>
      <c r="L74" s="138"/>
      <c r="M74" s="138"/>
      <c r="N74" s="138"/>
      <c r="O74" s="138"/>
      <c r="P74" s="138"/>
      <c r="Q74" s="138"/>
      <c r="R74" s="138"/>
      <c r="S74" s="138"/>
    </row>
    <row r="75" spans="1:19" ht="13.5" customHeight="1" x14ac:dyDescent="0.15">
      <c r="A75" s="77"/>
      <c r="B75" s="25" t="s">
        <v>207</v>
      </c>
      <c r="C75" s="25" t="s">
        <v>207</v>
      </c>
      <c r="D75" s="25" t="s">
        <v>207</v>
      </c>
      <c r="E75" s="25" t="s">
        <v>207</v>
      </c>
      <c r="F75" s="25" t="s">
        <v>207</v>
      </c>
      <c r="G75" s="25" t="s">
        <v>207</v>
      </c>
      <c r="H75" s="73" t="s">
        <v>207</v>
      </c>
      <c r="I75" s="175"/>
      <c r="L75" s="138"/>
      <c r="M75" s="138"/>
      <c r="N75" s="138"/>
      <c r="O75" s="138"/>
      <c r="P75" s="138"/>
      <c r="Q75" s="138"/>
      <c r="R75" s="138"/>
      <c r="S75" s="138"/>
    </row>
    <row r="76" spans="1:19" ht="13.5" customHeight="1" x14ac:dyDescent="0.15">
      <c r="A76" s="77" t="s">
        <v>93</v>
      </c>
      <c r="B76" s="25">
        <v>110.2</v>
      </c>
      <c r="C76" s="25">
        <v>112.03</v>
      </c>
      <c r="D76" s="25">
        <v>104.53000457832201</v>
      </c>
      <c r="E76" s="25">
        <v>106.495624880802</v>
      </c>
      <c r="F76" s="25">
        <v>102.58462445339499</v>
      </c>
      <c r="G76" s="25">
        <v>103.810683073039</v>
      </c>
      <c r="H76" s="73">
        <v>98.882217566999998</v>
      </c>
      <c r="I76" s="175"/>
      <c r="L76" s="138"/>
      <c r="M76" s="138"/>
      <c r="N76" s="138"/>
      <c r="O76" s="138"/>
      <c r="P76" s="138"/>
      <c r="Q76" s="138"/>
      <c r="R76" s="138"/>
      <c r="S76" s="138"/>
    </row>
    <row r="77" spans="1:19" ht="13.5" customHeight="1" x14ac:dyDescent="0.15">
      <c r="A77" s="77" t="s">
        <v>94</v>
      </c>
      <c r="B77" s="25">
        <v>109.91</v>
      </c>
      <c r="C77" s="25">
        <v>111.18</v>
      </c>
      <c r="D77" s="25">
        <v>104.61488022202801</v>
      </c>
      <c r="E77" s="25">
        <v>106.490487960667</v>
      </c>
      <c r="F77" s="25">
        <v>102.604711260362</v>
      </c>
      <c r="G77" s="25">
        <v>103.78993462379501</v>
      </c>
      <c r="H77" s="73">
        <v>99.085569012799994</v>
      </c>
      <c r="I77" s="175"/>
      <c r="L77" s="138"/>
      <c r="M77" s="138"/>
      <c r="N77" s="138"/>
      <c r="O77" s="138"/>
      <c r="P77" s="138"/>
      <c r="Q77" s="138"/>
      <c r="R77" s="138"/>
      <c r="S77" s="138"/>
    </row>
    <row r="78" spans="1:19" ht="13.5" customHeight="1" x14ac:dyDescent="0.15">
      <c r="A78" s="77" t="s">
        <v>95</v>
      </c>
      <c r="B78" s="25">
        <v>110.21</v>
      </c>
      <c r="C78" s="25">
        <v>112.1</v>
      </c>
      <c r="D78" s="25">
        <v>104.590238268443</v>
      </c>
      <c r="E78" s="25">
        <v>106.319534077909</v>
      </c>
      <c r="F78" s="25">
        <v>102.502326144694</v>
      </c>
      <c r="G78" s="25">
        <v>103.56652196016501</v>
      </c>
      <c r="H78" s="73">
        <v>99.274863907099999</v>
      </c>
      <c r="I78" s="175"/>
      <c r="L78" s="138"/>
      <c r="M78" s="138"/>
      <c r="N78" s="138"/>
      <c r="O78" s="138"/>
      <c r="P78" s="138"/>
      <c r="Q78" s="138"/>
      <c r="R78" s="138"/>
      <c r="S78" s="138"/>
    </row>
    <row r="79" spans="1:19" ht="13.5" customHeight="1" x14ac:dyDescent="0.15">
      <c r="A79" s="77"/>
      <c r="B79" s="25" t="s">
        <v>207</v>
      </c>
      <c r="C79" s="25" t="s">
        <v>207</v>
      </c>
      <c r="D79" s="25" t="s">
        <v>207</v>
      </c>
      <c r="E79" s="25" t="s">
        <v>207</v>
      </c>
      <c r="F79" s="25" t="s">
        <v>207</v>
      </c>
      <c r="G79" s="25" t="s">
        <v>207</v>
      </c>
      <c r="H79" s="73" t="s">
        <v>207</v>
      </c>
      <c r="I79" s="175"/>
      <c r="L79" s="138"/>
      <c r="M79" s="138"/>
      <c r="N79" s="138"/>
      <c r="O79" s="138"/>
      <c r="P79" s="138"/>
      <c r="Q79" s="138"/>
      <c r="R79" s="138"/>
      <c r="S79" s="138"/>
    </row>
    <row r="80" spans="1:19" ht="13.5" customHeight="1" x14ac:dyDescent="0.15">
      <c r="A80" s="77" t="s">
        <v>96</v>
      </c>
      <c r="B80" s="25">
        <v>110.54</v>
      </c>
      <c r="C80" s="25">
        <v>112.38</v>
      </c>
      <c r="D80" s="25">
        <v>104.42820355632399</v>
      </c>
      <c r="E80" s="25">
        <v>105.90901924372599</v>
      </c>
      <c r="F80" s="25">
        <v>102.178648884117</v>
      </c>
      <c r="G80" s="25">
        <v>102.92147315601601</v>
      </c>
      <c r="H80" s="73">
        <v>99.435108594799999</v>
      </c>
      <c r="I80" s="175"/>
      <c r="L80" s="138"/>
      <c r="M80" s="138"/>
      <c r="N80" s="138"/>
      <c r="O80" s="138"/>
      <c r="P80" s="138"/>
      <c r="Q80" s="138"/>
      <c r="R80" s="138"/>
      <c r="S80" s="138"/>
    </row>
    <row r="81" spans="1:19" ht="13.5" customHeight="1" x14ac:dyDescent="0.15">
      <c r="A81" s="77" t="s">
        <v>97</v>
      </c>
      <c r="B81" s="25">
        <v>110.48</v>
      </c>
      <c r="C81" s="25">
        <v>112.14</v>
      </c>
      <c r="D81" s="25">
        <v>104.109751885634</v>
      </c>
      <c r="E81" s="25">
        <v>105.25681513245399</v>
      </c>
      <c r="F81" s="25">
        <v>101.758760940635</v>
      </c>
      <c r="G81" s="25">
        <v>102.138719994721</v>
      </c>
      <c r="H81" s="73">
        <v>99.520235936600002</v>
      </c>
      <c r="I81" s="175"/>
      <c r="L81" s="138"/>
      <c r="M81" s="138"/>
      <c r="N81" s="138"/>
      <c r="O81" s="138"/>
      <c r="P81" s="138"/>
      <c r="Q81" s="138"/>
      <c r="R81" s="138"/>
      <c r="S81" s="138"/>
    </row>
    <row r="82" spans="1:19" ht="13.5" customHeight="1" x14ac:dyDescent="0.15">
      <c r="A82" s="77" t="s">
        <v>98</v>
      </c>
      <c r="B82" s="25">
        <v>110.73</v>
      </c>
      <c r="C82" s="25">
        <v>112.11</v>
      </c>
      <c r="D82" s="25">
        <v>103.693804912673</v>
      </c>
      <c r="E82" s="25">
        <v>104.430386341305</v>
      </c>
      <c r="F82" s="25">
        <v>101.372904454427</v>
      </c>
      <c r="G82" s="25">
        <v>101.424667255004</v>
      </c>
      <c r="H82" s="73">
        <v>99.567283593400006</v>
      </c>
      <c r="I82" s="175"/>
      <c r="L82" s="138"/>
      <c r="M82" s="138"/>
      <c r="N82" s="138"/>
      <c r="O82" s="138"/>
      <c r="P82" s="138"/>
      <c r="Q82" s="138"/>
      <c r="R82" s="138"/>
      <c r="S82" s="138"/>
    </row>
    <row r="83" spans="1:19" ht="13.5" customHeight="1" x14ac:dyDescent="0.15">
      <c r="A83" s="77"/>
      <c r="B83" s="25" t="s">
        <v>207</v>
      </c>
      <c r="C83" s="25" t="s">
        <v>207</v>
      </c>
      <c r="D83" s="25" t="s">
        <v>207</v>
      </c>
      <c r="E83" s="25" t="s">
        <v>207</v>
      </c>
      <c r="F83" s="25" t="s">
        <v>207</v>
      </c>
      <c r="G83" s="25" t="s">
        <v>207</v>
      </c>
      <c r="H83" s="73" t="s">
        <v>207</v>
      </c>
      <c r="I83" s="175"/>
      <c r="L83" s="138"/>
      <c r="M83" s="138"/>
      <c r="N83" s="138"/>
      <c r="O83" s="138"/>
      <c r="P83" s="138"/>
      <c r="Q83" s="138"/>
      <c r="R83" s="138"/>
      <c r="S83" s="138"/>
    </row>
    <row r="84" spans="1:19" ht="13.5" customHeight="1" x14ac:dyDescent="0.15">
      <c r="A84" s="77" t="s">
        <v>209</v>
      </c>
      <c r="B84" s="25">
        <v>111.66</v>
      </c>
      <c r="C84" s="25">
        <v>113.29</v>
      </c>
      <c r="D84" s="25">
        <v>103.352210340222</v>
      </c>
      <c r="E84" s="25">
        <v>103.873391764235</v>
      </c>
      <c r="F84" s="25">
        <v>100.974329657646</v>
      </c>
      <c r="G84" s="25">
        <v>100.79136106924599</v>
      </c>
      <c r="H84" s="73">
        <v>99.581744556499999</v>
      </c>
      <c r="I84" s="175"/>
      <c r="L84" s="138"/>
      <c r="M84" s="138"/>
      <c r="N84" s="138"/>
      <c r="O84" s="138"/>
      <c r="P84" s="138"/>
      <c r="Q84" s="138"/>
      <c r="R84" s="138"/>
      <c r="S84" s="138"/>
    </row>
    <row r="85" spans="1:19" s="115" customFormat="1" ht="13.5" customHeight="1" x14ac:dyDescent="0.15">
      <c r="A85" s="77" t="s">
        <v>21</v>
      </c>
      <c r="B85" s="25">
        <v>111.69</v>
      </c>
      <c r="C85" s="25">
        <v>113.41</v>
      </c>
      <c r="D85" s="25">
        <v>102.993824317292</v>
      </c>
      <c r="E85" s="25">
        <v>103.305631015722</v>
      </c>
      <c r="F85" s="25">
        <v>100.658229807379</v>
      </c>
      <c r="G85" s="25">
        <v>100.283105459987</v>
      </c>
      <c r="H85" s="73">
        <v>99.592929489799999</v>
      </c>
      <c r="I85" s="178"/>
      <c r="L85" s="140"/>
      <c r="M85" s="140"/>
      <c r="N85" s="140"/>
      <c r="O85" s="140"/>
      <c r="P85" s="140"/>
      <c r="Q85" s="140"/>
      <c r="R85" s="140"/>
      <c r="S85" s="140"/>
    </row>
    <row r="86" spans="1:19" s="67" customFormat="1" ht="13.5" customHeight="1" x14ac:dyDescent="0.15">
      <c r="A86" s="77" t="s">
        <v>89</v>
      </c>
      <c r="B86" s="25">
        <v>111.97</v>
      </c>
      <c r="C86" s="25">
        <v>113.79</v>
      </c>
      <c r="D86" s="25">
        <v>102.738453429318</v>
      </c>
      <c r="E86" s="25">
        <v>102.901590656975</v>
      </c>
      <c r="F86" s="25">
        <v>100.393463486101</v>
      </c>
      <c r="G86" s="25">
        <v>99.868471331704797</v>
      </c>
      <c r="H86" s="73">
        <v>99.622353750200006</v>
      </c>
      <c r="I86" s="179"/>
    </row>
    <row r="87" spans="1:19" x14ac:dyDescent="0.15">
      <c r="A87" s="77"/>
      <c r="B87" s="25"/>
      <c r="C87" s="25"/>
      <c r="D87" s="25"/>
      <c r="E87" s="25"/>
      <c r="F87" s="25"/>
      <c r="G87" s="25"/>
      <c r="H87" s="73"/>
      <c r="I87" s="175"/>
    </row>
    <row r="88" spans="1:19" x14ac:dyDescent="0.15">
      <c r="A88" s="77" t="s">
        <v>90</v>
      </c>
      <c r="B88" s="25">
        <v>112.27</v>
      </c>
      <c r="C88" s="25">
        <v>114.05</v>
      </c>
      <c r="D88" s="25">
        <v>102.502701343292</v>
      </c>
      <c r="E88" s="25">
        <v>102.52610474382701</v>
      </c>
      <c r="F88" s="25">
        <v>100.255557244717</v>
      </c>
      <c r="G88" s="25">
        <v>99.641465121071107</v>
      </c>
      <c r="H88" s="73">
        <v>99.656997991699996</v>
      </c>
      <c r="I88" s="175"/>
    </row>
    <row r="89" spans="1:19" x14ac:dyDescent="0.15">
      <c r="A89" s="77" t="s">
        <v>91</v>
      </c>
      <c r="B89" s="25">
        <v>112.58</v>
      </c>
      <c r="C89" s="25">
        <v>114.32</v>
      </c>
      <c r="D89" s="25">
        <v>102.331499987507</v>
      </c>
      <c r="E89" s="25">
        <v>102.248604975079</v>
      </c>
      <c r="F89" s="25">
        <v>100.064968354058</v>
      </c>
      <c r="G89" s="25">
        <v>99.343968323892</v>
      </c>
      <c r="H89" s="73">
        <v>99.700038353599993</v>
      </c>
      <c r="I89" s="175"/>
    </row>
    <row r="90" spans="1:19" x14ac:dyDescent="0.15">
      <c r="A90" s="77" t="s">
        <v>92</v>
      </c>
      <c r="B90" s="25">
        <v>112.55</v>
      </c>
      <c r="C90" s="25">
        <v>114.31</v>
      </c>
      <c r="D90" s="25">
        <v>102.26963803213</v>
      </c>
      <c r="E90" s="25">
        <v>102.13862042717901</v>
      </c>
      <c r="F90" s="25">
        <v>99.964253770323097</v>
      </c>
      <c r="G90" s="25">
        <v>99.177995134640099</v>
      </c>
      <c r="H90" s="73">
        <v>99.7385846074</v>
      </c>
      <c r="I90" s="175"/>
    </row>
    <row r="91" spans="1:19" x14ac:dyDescent="0.15">
      <c r="A91" s="77"/>
      <c r="B91" s="25"/>
      <c r="C91" s="25"/>
      <c r="D91" s="25"/>
      <c r="E91" s="25"/>
      <c r="F91" s="25"/>
      <c r="G91" s="25"/>
      <c r="H91" s="73"/>
      <c r="I91" s="175"/>
    </row>
    <row r="92" spans="1:19" x14ac:dyDescent="0.15">
      <c r="A92" s="77" t="s">
        <v>93</v>
      </c>
      <c r="B92" s="25">
        <v>112.4</v>
      </c>
      <c r="C92" s="25">
        <v>113.75</v>
      </c>
      <c r="D92" s="25">
        <v>102.22958489098799</v>
      </c>
      <c r="E92" s="25">
        <v>102.067715057341</v>
      </c>
      <c r="F92" s="25">
        <v>99.942748187413002</v>
      </c>
      <c r="G92" s="25">
        <v>99.134266194487395</v>
      </c>
      <c r="H92" s="73">
        <v>99.780408582999996</v>
      </c>
      <c r="I92" s="175"/>
    </row>
    <row r="93" spans="1:19" x14ac:dyDescent="0.15">
      <c r="A93" s="77" t="s">
        <v>94</v>
      </c>
      <c r="B93" s="25">
        <v>113.44</v>
      </c>
      <c r="C93" s="25">
        <v>115.35</v>
      </c>
      <c r="D93" s="25">
        <v>102.31915394329199</v>
      </c>
      <c r="E93" s="25">
        <v>102.179898635778</v>
      </c>
      <c r="F93" s="25">
        <v>99.989088714751404</v>
      </c>
      <c r="G93" s="25">
        <v>99.190785549264206</v>
      </c>
      <c r="H93" s="73">
        <v>99.819420413900005</v>
      </c>
      <c r="I93" s="175"/>
    </row>
    <row r="94" spans="1:19" x14ac:dyDescent="0.15">
      <c r="A94" s="77" t="s">
        <v>95</v>
      </c>
      <c r="B94" s="25">
        <v>114.19</v>
      </c>
      <c r="C94" s="25">
        <v>116.79</v>
      </c>
      <c r="D94" s="25">
        <v>102.52380555185201</v>
      </c>
      <c r="E94" s="25">
        <v>102.486808805496</v>
      </c>
      <c r="F94" s="25">
        <v>100.10919188809601</v>
      </c>
      <c r="G94" s="25">
        <v>99.374497667875403</v>
      </c>
      <c r="H94" s="73">
        <v>99.857181413299998</v>
      </c>
      <c r="I94" s="175"/>
    </row>
    <row r="95" spans="1:19" x14ac:dyDescent="0.15">
      <c r="A95" s="77"/>
      <c r="B95" s="25"/>
      <c r="C95" s="25"/>
      <c r="D95" s="25"/>
      <c r="E95" s="25"/>
      <c r="F95" s="25"/>
      <c r="G95" s="25"/>
      <c r="H95" s="73"/>
      <c r="I95" s="175"/>
    </row>
    <row r="96" spans="1:19" x14ac:dyDescent="0.15">
      <c r="A96" s="77" t="s">
        <v>223</v>
      </c>
      <c r="B96" s="25">
        <v>114.69</v>
      </c>
      <c r="C96" s="25">
        <v>117.09</v>
      </c>
      <c r="D96" s="25">
        <v>102.739616684444</v>
      </c>
      <c r="E96" s="25">
        <v>102.793800661856</v>
      </c>
      <c r="F96" s="25">
        <v>100.260941969915</v>
      </c>
      <c r="G96" s="25">
        <v>99.6151773631466</v>
      </c>
      <c r="H96" s="73">
        <v>99.9014272422</v>
      </c>
      <c r="I96" s="175"/>
    </row>
    <row r="97" spans="1:9" x14ac:dyDescent="0.15">
      <c r="A97" s="77" t="s">
        <v>225</v>
      </c>
      <c r="B97" s="25">
        <v>114.22</v>
      </c>
      <c r="C97" s="25">
        <v>116.39</v>
      </c>
      <c r="D97" s="25">
        <v>102.890676278193</v>
      </c>
      <c r="E97" s="25">
        <v>102.99249908413501</v>
      </c>
      <c r="F97" s="25">
        <v>100.406195891843</v>
      </c>
      <c r="G97" s="25">
        <v>99.820636150039206</v>
      </c>
      <c r="H97" s="73">
        <v>99.951627505199994</v>
      </c>
      <c r="I97" s="175"/>
    </row>
    <row r="98" spans="1:9" x14ac:dyDescent="0.15">
      <c r="A98" s="77" t="s">
        <v>226</v>
      </c>
      <c r="B98" s="25">
        <v>114.08</v>
      </c>
      <c r="C98" s="25">
        <v>115.76</v>
      </c>
      <c r="D98" s="25">
        <v>102.93536473283299</v>
      </c>
      <c r="E98" s="25">
        <v>103.040060644194</v>
      </c>
      <c r="F98" s="25">
        <v>100.517893134503</v>
      </c>
      <c r="G98" s="25">
        <v>99.989181645720805</v>
      </c>
      <c r="H98" s="73">
        <v>100</v>
      </c>
      <c r="I98" s="175"/>
    </row>
    <row r="99" spans="1:9" x14ac:dyDescent="0.15">
      <c r="A99" s="77"/>
      <c r="B99" s="25"/>
      <c r="C99" s="25"/>
      <c r="D99" s="25"/>
      <c r="E99" s="25"/>
      <c r="F99" s="25"/>
      <c r="G99" s="25"/>
      <c r="H99" s="73"/>
      <c r="I99" s="175"/>
    </row>
    <row r="100" spans="1:9" x14ac:dyDescent="0.15">
      <c r="A100" s="77" t="s">
        <v>242</v>
      </c>
      <c r="B100" s="25">
        <v>114.51</v>
      </c>
      <c r="C100" s="25">
        <v>116.44</v>
      </c>
      <c r="D100" s="25">
        <v>102.978293675228</v>
      </c>
      <c r="E100" s="25">
        <v>103.093599096668</v>
      </c>
      <c r="F100" s="25">
        <v>100.552836641143</v>
      </c>
      <c r="G100" s="25">
        <v>100.034142894067</v>
      </c>
      <c r="H100" s="73">
        <v>100.0337773003</v>
      </c>
      <c r="I100" s="175"/>
    </row>
    <row r="101" spans="1:9" x14ac:dyDescent="0.15">
      <c r="A101" s="77" t="s">
        <v>21</v>
      </c>
      <c r="B101" s="25">
        <v>115.17</v>
      </c>
      <c r="C101" s="25">
        <v>117.19</v>
      </c>
      <c r="D101" s="25">
        <v>103.07196015568201</v>
      </c>
      <c r="E101" s="25">
        <v>103.23041187275599</v>
      </c>
      <c r="F101" s="25">
        <v>100.620032851427</v>
      </c>
      <c r="G101" s="25">
        <v>100.13496045314599</v>
      </c>
      <c r="H101" s="73">
        <v>100.10084085530001</v>
      </c>
      <c r="I101" s="175"/>
    </row>
    <row r="102" spans="1:9" x14ac:dyDescent="0.15">
      <c r="A102" s="133" t="s">
        <v>89</v>
      </c>
      <c r="B102" s="25">
        <v>115.53</v>
      </c>
      <c r="C102" s="25">
        <v>118.02</v>
      </c>
      <c r="D102" s="192">
        <v>103.132433248757</v>
      </c>
      <c r="E102" s="25">
        <v>103.30936228458501</v>
      </c>
      <c r="F102" s="25">
        <v>100.662788550982</v>
      </c>
      <c r="G102" s="25">
        <v>100.19765345358</v>
      </c>
      <c r="H102" s="73">
        <v>100.2074814413</v>
      </c>
      <c r="I102" s="175"/>
    </row>
    <row r="103" spans="1:9" x14ac:dyDescent="0.15">
      <c r="A103" s="133"/>
      <c r="B103" s="25"/>
      <c r="C103" s="25"/>
      <c r="D103" s="192"/>
      <c r="E103" s="25"/>
      <c r="F103" s="25"/>
      <c r="G103" s="25"/>
      <c r="H103" s="73"/>
      <c r="I103" s="175"/>
    </row>
    <row r="104" spans="1:9" x14ac:dyDescent="0.15">
      <c r="A104" s="133" t="s">
        <v>90</v>
      </c>
      <c r="B104" s="25">
        <v>115.63</v>
      </c>
      <c r="C104" s="25">
        <v>117.99</v>
      </c>
      <c r="D104" s="192">
        <v>103.174717372087</v>
      </c>
      <c r="E104" s="25">
        <v>103.330522158761</v>
      </c>
      <c r="F104" s="25">
        <v>100.659541649042</v>
      </c>
      <c r="G104" s="25">
        <v>100.181360775866</v>
      </c>
      <c r="H104" s="73">
        <v>100.3137759769</v>
      </c>
      <c r="I104" s="175"/>
    </row>
    <row r="105" spans="1:9" x14ac:dyDescent="0.15">
      <c r="A105" s="133" t="s">
        <v>91</v>
      </c>
      <c r="B105" s="25">
        <v>115.67</v>
      </c>
      <c r="C105" s="25">
        <v>117.89</v>
      </c>
      <c r="D105" s="192">
        <v>103.31413490348901</v>
      </c>
      <c r="E105" s="25">
        <v>103.49731975591899</v>
      </c>
      <c r="F105" s="25">
        <v>100.80170060674099</v>
      </c>
      <c r="G105" s="25">
        <v>100.374230527165</v>
      </c>
      <c r="H105" s="73">
        <v>100.42934989770001</v>
      </c>
      <c r="I105" s="175"/>
    </row>
    <row r="106" spans="1:9" x14ac:dyDescent="0.15">
      <c r="A106" s="77" t="s">
        <v>92</v>
      </c>
      <c r="B106" s="25">
        <v>115.19</v>
      </c>
      <c r="C106" s="25">
        <v>117.27</v>
      </c>
      <c r="D106" s="192">
        <v>103.384151253241</v>
      </c>
      <c r="E106" s="25">
        <v>103.552299431222</v>
      </c>
      <c r="F106" s="25">
        <v>100.968269959531</v>
      </c>
      <c r="G106" s="25">
        <v>100.629384527499</v>
      </c>
      <c r="H106" s="73">
        <v>100.54190636520001</v>
      </c>
      <c r="I106" s="175"/>
    </row>
    <row r="107" spans="1:9" x14ac:dyDescent="0.15">
      <c r="A107" s="133"/>
      <c r="B107" s="25"/>
      <c r="C107" s="25"/>
      <c r="D107" s="192"/>
      <c r="E107" s="25"/>
      <c r="F107" s="25"/>
      <c r="G107" s="25"/>
      <c r="H107" s="73"/>
      <c r="I107" s="175"/>
    </row>
    <row r="108" spans="1:9" x14ac:dyDescent="0.15">
      <c r="A108" s="133" t="s">
        <v>93</v>
      </c>
      <c r="B108" s="25">
        <v>115.48</v>
      </c>
      <c r="C108" s="25">
        <v>117.36</v>
      </c>
      <c r="D108" s="192">
        <v>103.506384486746</v>
      </c>
      <c r="E108" s="25">
        <v>103.65713864137</v>
      </c>
      <c r="F108" s="25">
        <v>101.12120503526801</v>
      </c>
      <c r="G108" s="25">
        <v>100.838309737252</v>
      </c>
      <c r="H108" s="73">
        <v>100.6883176207</v>
      </c>
      <c r="I108" s="175"/>
    </row>
    <row r="109" spans="1:9" x14ac:dyDescent="0.15">
      <c r="A109" s="133" t="s">
        <v>94</v>
      </c>
      <c r="B109" s="25">
        <v>116.02</v>
      </c>
      <c r="C109" s="25">
        <v>118.2</v>
      </c>
      <c r="D109" s="192">
        <v>103.685466658122</v>
      </c>
      <c r="E109" s="25">
        <v>103.853682681614</v>
      </c>
      <c r="F109" s="25">
        <v>101.36074032189499</v>
      </c>
      <c r="G109" s="25">
        <v>101.171524227478</v>
      </c>
      <c r="H109" s="73">
        <v>100.8247979061</v>
      </c>
      <c r="I109" s="175"/>
    </row>
    <row r="110" spans="1:9" x14ac:dyDescent="0.15">
      <c r="A110" s="133" t="s">
        <v>95</v>
      </c>
      <c r="B110" s="25">
        <v>116.19</v>
      </c>
      <c r="C110" s="25">
        <v>118.86</v>
      </c>
      <c r="D110" s="192">
        <v>103.760827745342</v>
      </c>
      <c r="E110" s="25">
        <v>103.899003515137</v>
      </c>
      <c r="F110" s="25">
        <v>101.409356000003</v>
      </c>
      <c r="G110" s="25">
        <v>101.198198323337</v>
      </c>
      <c r="H110" s="73">
        <v>100.9495396272</v>
      </c>
      <c r="I110" s="175"/>
    </row>
    <row r="111" spans="1:9" x14ac:dyDescent="0.15">
      <c r="A111" s="133"/>
      <c r="B111" s="25"/>
      <c r="C111" s="25"/>
      <c r="D111" s="192"/>
      <c r="E111" s="25"/>
      <c r="F111" s="25"/>
      <c r="G111" s="25"/>
      <c r="H111" s="73"/>
      <c r="I111" s="175"/>
    </row>
    <row r="112" spans="1:9" x14ac:dyDescent="0.15">
      <c r="A112" s="133" t="s">
        <v>96</v>
      </c>
      <c r="B112" s="25">
        <v>116.14</v>
      </c>
      <c r="C112" s="25">
        <v>118.78</v>
      </c>
      <c r="D112" s="192">
        <v>103.80887510769099</v>
      </c>
      <c r="E112" s="25">
        <v>103.928371508658</v>
      </c>
      <c r="F112" s="25">
        <v>101.432671133583</v>
      </c>
      <c r="G112" s="25">
        <v>101.21410893213501</v>
      </c>
      <c r="H112" s="73">
        <v>101.0829014886</v>
      </c>
      <c r="I112" s="175"/>
    </row>
    <row r="113" spans="1:9" x14ac:dyDescent="0.15">
      <c r="A113" s="77" t="s">
        <v>145</v>
      </c>
      <c r="B113" s="25">
        <v>115.75</v>
      </c>
      <c r="C113" s="25">
        <v>118.14</v>
      </c>
      <c r="D113" s="192">
        <v>103.74604611156199</v>
      </c>
      <c r="E113" s="25">
        <v>103.794926107656</v>
      </c>
      <c r="F113" s="25">
        <v>101.378111457378</v>
      </c>
      <c r="G113" s="25">
        <v>101.112181514702</v>
      </c>
      <c r="H113" s="73">
        <v>101.1975323388</v>
      </c>
      <c r="I113" s="175"/>
    </row>
    <row r="114" spans="1:9" x14ac:dyDescent="0.15">
      <c r="A114" s="77" t="s">
        <v>98</v>
      </c>
      <c r="B114" s="25">
        <v>116.36</v>
      </c>
      <c r="C114" s="25">
        <v>118.55</v>
      </c>
      <c r="D114" s="192">
        <v>103.72623291394601</v>
      </c>
      <c r="E114" s="25">
        <v>103.71649780290799</v>
      </c>
      <c r="F114" s="25">
        <v>101.36485344038999</v>
      </c>
      <c r="G114" s="25">
        <v>101.07915355025899</v>
      </c>
      <c r="H114" s="73">
        <v>101.3187954266</v>
      </c>
      <c r="I114" s="175"/>
    </row>
    <row r="115" spans="1:9" x14ac:dyDescent="0.15">
      <c r="A115" s="77"/>
      <c r="B115" s="25"/>
      <c r="C115" s="192"/>
      <c r="D115" s="192"/>
      <c r="E115" s="192"/>
      <c r="F115" s="192"/>
      <c r="G115" s="192"/>
      <c r="H115" s="221"/>
      <c r="I115" s="175"/>
    </row>
    <row r="116" spans="1:9" x14ac:dyDescent="0.15">
      <c r="A116" s="77" t="s">
        <v>275</v>
      </c>
      <c r="B116" s="25">
        <v>117.31</v>
      </c>
      <c r="C116" s="192">
        <v>120.01</v>
      </c>
      <c r="D116" s="192">
        <v>103.678129348845</v>
      </c>
      <c r="E116" s="192">
        <v>103.604905036977</v>
      </c>
      <c r="F116" s="192">
        <v>101.326471519506</v>
      </c>
      <c r="G116" s="192">
        <v>101.011717469415</v>
      </c>
      <c r="H116" s="192">
        <v>101.4124335753</v>
      </c>
      <c r="I116" s="175"/>
    </row>
    <row r="117" spans="1:9" x14ac:dyDescent="0.15">
      <c r="A117" s="77" t="s">
        <v>21</v>
      </c>
      <c r="B117" s="192">
        <v>117.74</v>
      </c>
      <c r="C117" s="192">
        <v>120.8</v>
      </c>
      <c r="D117" s="192">
        <v>103.67904314872099</v>
      </c>
      <c r="E117" s="192">
        <v>103.564560444683</v>
      </c>
      <c r="F117" s="192">
        <v>101.317139247488</v>
      </c>
      <c r="G117" s="192">
        <v>100.990978584516</v>
      </c>
      <c r="H117" s="192">
        <v>101.5149379826</v>
      </c>
      <c r="I117" s="175"/>
    </row>
    <row r="118" spans="1:9" x14ac:dyDescent="0.15">
      <c r="A118" s="77" t="s">
        <v>283</v>
      </c>
      <c r="B118" s="192">
        <v>118.02</v>
      </c>
      <c r="C118" s="192">
        <v>121</v>
      </c>
      <c r="D118" s="192">
        <v>103.674557999897</v>
      </c>
      <c r="E118" s="192">
        <v>103.51429607883099</v>
      </c>
      <c r="F118" s="192">
        <v>101.38241759985701</v>
      </c>
      <c r="G118" s="192">
        <v>101.073941807634</v>
      </c>
      <c r="H118" s="192">
        <v>101.6253914114</v>
      </c>
      <c r="I118" s="175"/>
    </row>
    <row r="119" spans="1:9" x14ac:dyDescent="0.15">
      <c r="A119" s="77"/>
      <c r="B119" s="192"/>
      <c r="C119" s="192"/>
      <c r="D119" s="192"/>
      <c r="E119" s="192"/>
      <c r="F119" s="192"/>
      <c r="G119" s="192"/>
      <c r="H119" s="192"/>
      <c r="I119" s="175"/>
    </row>
    <row r="120" spans="1:9" x14ac:dyDescent="0.15">
      <c r="A120" s="77" t="s">
        <v>123</v>
      </c>
      <c r="B120" s="192">
        <v>117.96</v>
      </c>
      <c r="C120" s="192">
        <v>120.56</v>
      </c>
      <c r="D120" s="192">
        <v>99.930018833411296</v>
      </c>
      <c r="E120" s="192">
        <v>99.830042426347703</v>
      </c>
      <c r="F120" s="192">
        <v>99.943487328445002</v>
      </c>
      <c r="G120" s="192">
        <v>99.871557972779897</v>
      </c>
      <c r="H120" s="232">
        <v>101.7363793391</v>
      </c>
      <c r="I120" s="175"/>
    </row>
    <row r="121" spans="1:9" ht="14.25" customHeight="1" x14ac:dyDescent="0.15">
      <c r="A121" s="77" t="s">
        <v>134</v>
      </c>
      <c r="B121" s="192">
        <v>117.85</v>
      </c>
      <c r="C121" s="192">
        <v>120.44</v>
      </c>
      <c r="D121" s="192">
        <v>99.880003864526202</v>
      </c>
      <c r="E121" s="192">
        <v>99.719761087882802</v>
      </c>
      <c r="F121" s="192">
        <v>99.812301982330794</v>
      </c>
      <c r="G121" s="192">
        <v>99.617178322075802</v>
      </c>
      <c r="H121" s="232">
        <v>101.82765120019999</v>
      </c>
      <c r="I121" s="175"/>
    </row>
    <row r="122" spans="1:9" ht="14.25" customHeight="1" x14ac:dyDescent="0.15">
      <c r="A122" s="77" t="s">
        <v>92</v>
      </c>
      <c r="B122" s="192">
        <v>117.92</v>
      </c>
      <c r="C122" s="192">
        <v>120.53</v>
      </c>
      <c r="D122" s="192">
        <v>99.900552346781396</v>
      </c>
      <c r="E122" s="192">
        <v>99.714913098062695</v>
      </c>
      <c r="F122" s="192">
        <v>99.707626479837302</v>
      </c>
      <c r="G122" s="192">
        <v>99.433296980939303</v>
      </c>
      <c r="H122" s="232">
        <v>101.9178184503</v>
      </c>
      <c r="I122" s="175"/>
    </row>
    <row r="123" spans="1:9" x14ac:dyDescent="0.15">
      <c r="A123" s="77"/>
      <c r="B123" s="192"/>
      <c r="C123" s="192"/>
      <c r="D123" s="192"/>
      <c r="E123" s="192"/>
      <c r="F123" s="192"/>
      <c r="G123" s="192"/>
      <c r="H123" s="232"/>
      <c r="I123" s="175"/>
    </row>
    <row r="124" spans="1:9" x14ac:dyDescent="0.15">
      <c r="A124" s="262" t="s">
        <v>298</v>
      </c>
      <c r="B124" s="246">
        <v>117.89</v>
      </c>
      <c r="C124" s="246">
        <v>120.12</v>
      </c>
      <c r="D124" s="246">
        <v>99.853205957066393</v>
      </c>
      <c r="E124" s="246">
        <v>99.594830876796607</v>
      </c>
      <c r="F124" s="246">
        <v>99.615905237393207</v>
      </c>
      <c r="G124" s="246">
        <v>99.265133249282599</v>
      </c>
      <c r="H124" s="232">
        <v>102</v>
      </c>
      <c r="I124" s="175"/>
    </row>
    <row r="125" spans="1:9" s="244" customFormat="1" x14ac:dyDescent="0.15">
      <c r="A125" s="262" t="s">
        <v>94</v>
      </c>
      <c r="B125" s="246">
        <v>117.73</v>
      </c>
      <c r="C125" s="246">
        <v>119.48</v>
      </c>
      <c r="D125" s="246">
        <v>99.757632943623705</v>
      </c>
      <c r="E125" s="246">
        <v>99.395244067327397</v>
      </c>
      <c r="F125" s="246">
        <v>99.583724569384302</v>
      </c>
      <c r="G125" s="246">
        <v>99.192620803303001</v>
      </c>
      <c r="H125" s="246">
        <v>102.0868463613</v>
      </c>
      <c r="I125" s="245"/>
    </row>
    <row r="126" spans="1:9" s="257" customFormat="1" x14ac:dyDescent="0.15">
      <c r="A126" s="262" t="s">
        <v>95</v>
      </c>
      <c r="B126" s="246">
        <v>118.56</v>
      </c>
      <c r="C126" s="246">
        <v>121.61</v>
      </c>
      <c r="D126" s="246">
        <v>99.759911129850494</v>
      </c>
      <c r="E126" s="246">
        <v>99.362383555216695</v>
      </c>
      <c r="F126" s="246">
        <v>99.543808962030297</v>
      </c>
      <c r="G126" s="246">
        <v>99.135443963687095</v>
      </c>
      <c r="H126" s="246">
        <v>102.1725999792</v>
      </c>
      <c r="I126" s="245"/>
    </row>
    <row r="127" spans="1:9" s="257" customFormat="1" x14ac:dyDescent="0.15">
      <c r="A127" s="262"/>
      <c r="B127" s="246"/>
      <c r="C127" s="246"/>
      <c r="D127" s="246"/>
      <c r="E127" s="246"/>
      <c r="F127" s="246"/>
      <c r="G127" s="246"/>
      <c r="H127" s="246"/>
      <c r="I127" s="245"/>
    </row>
    <row r="128" spans="1:9" s="257" customFormat="1" x14ac:dyDescent="0.15">
      <c r="A128" s="262" t="s">
        <v>307</v>
      </c>
      <c r="B128" s="246">
        <v>119.07</v>
      </c>
      <c r="C128" s="246">
        <v>121.76</v>
      </c>
      <c r="D128" s="246">
        <v>99.792017103703003</v>
      </c>
      <c r="E128" s="246">
        <v>99.365793809642099</v>
      </c>
      <c r="F128" s="246">
        <v>99.533889206978003</v>
      </c>
      <c r="G128" s="246">
        <v>99.119556420282294</v>
      </c>
      <c r="H128" s="246">
        <v>102.2565466083</v>
      </c>
      <c r="I128" s="245"/>
    </row>
    <row r="129" spans="1:9" s="257" customFormat="1" x14ac:dyDescent="0.15">
      <c r="A129" s="262" t="s">
        <v>97</v>
      </c>
      <c r="B129" s="246">
        <v>118.74</v>
      </c>
      <c r="C129" s="246">
        <v>121.74</v>
      </c>
      <c r="D129" s="246">
        <v>99.761785068553095</v>
      </c>
      <c r="E129" s="246">
        <v>99.271165385568395</v>
      </c>
      <c r="F129" s="246">
        <v>99.482674692001297</v>
      </c>
      <c r="G129" s="246">
        <v>99.033133930640204</v>
      </c>
      <c r="H129" s="246">
        <v>100.09735618009999</v>
      </c>
      <c r="I129" s="245"/>
    </row>
    <row r="130" spans="1:9" s="257" customFormat="1" x14ac:dyDescent="0.15">
      <c r="A130" s="262" t="s">
        <v>314</v>
      </c>
      <c r="B130" s="246">
        <v>119.06</v>
      </c>
      <c r="C130" s="246">
        <v>121.9</v>
      </c>
      <c r="D130" s="246">
        <v>99.823778895166399</v>
      </c>
      <c r="E130" s="246">
        <v>99.327209676405403</v>
      </c>
      <c r="F130" s="246">
        <v>99.518575956861</v>
      </c>
      <c r="G130" s="246">
        <v>99.068921477177199</v>
      </c>
      <c r="H130" s="246" t="s">
        <v>207</v>
      </c>
      <c r="I130" s="245"/>
    </row>
    <row r="131" spans="1:9" s="257" customFormat="1" x14ac:dyDescent="0.15">
      <c r="A131" s="262"/>
      <c r="B131" s="246"/>
      <c r="C131" s="246"/>
      <c r="D131" s="246"/>
      <c r="E131" s="246"/>
      <c r="F131" s="246"/>
      <c r="G131" s="246"/>
      <c r="H131" s="246"/>
      <c r="I131" s="245"/>
    </row>
    <row r="132" spans="1:9" s="257" customFormat="1" x14ac:dyDescent="0.15">
      <c r="A132" s="262" t="s">
        <v>318</v>
      </c>
      <c r="B132" s="246">
        <v>119.54</v>
      </c>
      <c r="C132" s="246">
        <v>122.35</v>
      </c>
      <c r="D132" s="246">
        <v>99.892060105283306</v>
      </c>
      <c r="E132" s="246">
        <v>99.392632123659197</v>
      </c>
      <c r="F132" s="246">
        <v>99.557694157696403</v>
      </c>
      <c r="G132" s="246">
        <v>99.1242142975739</v>
      </c>
      <c r="H132" s="246">
        <v>100.29490691869999</v>
      </c>
      <c r="I132" s="245"/>
    </row>
    <row r="133" spans="1:9" s="257" customFormat="1" x14ac:dyDescent="0.15">
      <c r="A133" s="258" t="s">
        <v>153</v>
      </c>
      <c r="B133" s="25">
        <f ca="1">IF($C133="","",[1]!BTSP(B$2,$C133))</f>
        <v>119.9</v>
      </c>
      <c r="C133" s="25">
        <f ca="1">IF($C133="","",[1]!BTSP(C$2,$C133))</f>
        <v>122.7</v>
      </c>
      <c r="D133" s="246">
        <f ca="1">IF($C133="","",[1]!BTSP(D$2,$C133))</f>
        <v>100.08508051830999</v>
      </c>
      <c r="E133" s="25">
        <f ca="1">IF($C133="","",[1]!BTSP(E$2,$C133))</f>
        <v>100.096776716478</v>
      </c>
      <c r="F133" s="25">
        <f ca="1">IF($C133="","",[1]!BTSP(F$2,$C133))</f>
        <v>100.049783376844</v>
      </c>
      <c r="G133" s="25">
        <f ca="1">IF($C133="","",[1]!BTSP(G$2,$C133))</f>
        <v>100.041054297166</v>
      </c>
      <c r="H133" s="73">
        <f ca="1">IF($C133="","",[1]!BTSP(H$2,$C133))</f>
        <v>100.0839359851</v>
      </c>
      <c r="I133" s="245"/>
    </row>
    <row r="134" spans="1:9" s="257" customFormat="1" x14ac:dyDescent="0.15">
      <c r="A134" s="258" t="s">
        <v>155</v>
      </c>
      <c r="B134" s="25">
        <f ca="1">IF($C134="","",[1]!BTSP(B$2,$C134))</f>
        <v>120.58</v>
      </c>
      <c r="C134" s="25">
        <f ca="1">IF($C134="","",[1]!BTSP(C$2,$C134))</f>
        <v>123.64</v>
      </c>
      <c r="D134" s="246">
        <f ca="1">IF($C134="","",[1]!BTSP(D$2,$C134))</f>
        <v>100.09496051371499</v>
      </c>
      <c r="E134" s="25">
        <f ca="1">IF($C134="","",[1]!BTSP(E$2,$C134))</f>
        <v>100.05812126591</v>
      </c>
      <c r="F134" s="25">
        <f ca="1">IF($C134="","",[1]!BTSP(F$2,$C134))</f>
        <v>100.106744960721</v>
      </c>
      <c r="G134" s="25">
        <f ca="1">IF($C134="","",[1]!BTSP(G$2,$C134))</f>
        <v>100.100555811099</v>
      </c>
      <c r="H134" s="73">
        <f ca="1">IF($C134="","",[1]!BTSP(H$2,$C134))</f>
        <v>100.18354699139999</v>
      </c>
      <c r="I134" s="245"/>
    </row>
    <row r="135" spans="1:9" s="257" customFormat="1" x14ac:dyDescent="0.15">
      <c r="A135" s="262"/>
      <c r="B135" s="246"/>
      <c r="C135" s="246"/>
      <c r="D135" s="246"/>
      <c r="E135" s="246"/>
      <c r="F135" s="246"/>
      <c r="G135" s="246"/>
      <c r="H135" s="246"/>
      <c r="I135" s="245"/>
    </row>
    <row r="136" spans="1:9" s="257" customFormat="1" x14ac:dyDescent="0.15">
      <c r="A136" s="258" t="s">
        <v>123</v>
      </c>
      <c r="B136" s="25">
        <f ca="1">IF($C136="","",[1]!BTSP(B$2,$C136))</f>
        <v>121.4</v>
      </c>
      <c r="C136" s="25">
        <f ca="1">IF($C136="","",[1]!BTSP(C$2,$C136))</f>
        <v>124.38</v>
      </c>
      <c r="D136" s="246">
        <f ca="1">IF($C136="","",[1]!BTSP(D$2,$C136))</f>
        <v>100.109115510015</v>
      </c>
      <c r="E136" s="25">
        <f ca="1">IF($C136="","",[1]!BTSP(E$2,$C136))</f>
        <v>100.034371065374</v>
      </c>
      <c r="F136" s="25">
        <f ca="1">IF($C136="","",[1]!BTSP(F$2,$C136))</f>
        <v>100.069711689817</v>
      </c>
      <c r="G136" s="25">
        <f ca="1">IF($C136="","",[1]!BTSP(G$2,$C136))</f>
        <v>100.055970135433</v>
      </c>
      <c r="H136" s="73">
        <f ca="1">IF($C136="","",[1]!BTSP(H$2,$C136))</f>
        <v>100.2856331708</v>
      </c>
      <c r="I136" s="245"/>
    </row>
    <row r="137" spans="1:9" x14ac:dyDescent="0.15">
      <c r="A137" s="68" t="s">
        <v>270</v>
      </c>
      <c r="B137" s="178"/>
      <c r="C137" s="114"/>
      <c r="D137" s="114"/>
      <c r="E137" s="114"/>
      <c r="F137" s="114"/>
      <c r="G137" s="114"/>
      <c r="H137" s="178"/>
      <c r="I137" s="175"/>
    </row>
    <row r="138" spans="1:9" x14ac:dyDescent="0.15">
      <c r="A138" s="66" t="s">
        <v>224</v>
      </c>
      <c r="B138" s="67"/>
      <c r="C138" s="66"/>
      <c r="D138" s="66"/>
      <c r="E138" s="66"/>
      <c r="F138" s="66"/>
      <c r="G138" s="66"/>
      <c r="H138" s="67"/>
      <c r="I138" s="175"/>
    </row>
  </sheetData>
  <mergeCells count="6">
    <mergeCell ref="F3:F4"/>
    <mergeCell ref="A3:A4"/>
    <mergeCell ref="H3:H4"/>
    <mergeCell ref="B3:B4"/>
    <mergeCell ref="C3:C4"/>
    <mergeCell ref="D3:D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S136"/>
  <sheetViews>
    <sheetView view="pageBreakPreview" zoomScale="85" zoomScaleNormal="100" zoomScaleSheetLayoutView="85" workbookViewId="0">
      <pane xSplit="1" ySplit="5" topLeftCell="B96" activePane="bottomRight" state="frozen"/>
      <selection sqref="A1:G1"/>
      <selection pane="topRight" sqref="A1:G1"/>
      <selection pane="bottomLeft" sqref="A1:G1"/>
      <selection pane="bottomRight" activeCell="D129" sqref="D129"/>
    </sheetView>
  </sheetViews>
  <sheetFormatPr defaultRowHeight="13.5" x14ac:dyDescent="0.15"/>
  <cols>
    <col min="1" max="1" width="10.77734375" style="6" customWidth="1"/>
    <col min="2" max="15" width="7.33203125" style="6" customWidth="1"/>
    <col min="16" max="17" width="8.88671875" style="7"/>
    <col min="18" max="16384" width="8.88671875" style="6"/>
  </cols>
  <sheetData>
    <row r="1" spans="1:19" ht="18.75" x14ac:dyDescent="0.25">
      <c r="A1" s="89" t="s">
        <v>35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6"/>
      <c r="Q1" s="6"/>
    </row>
    <row r="2" spans="1:19" s="100" customFormat="1" x14ac:dyDescent="0.15">
      <c r="A2" s="97" t="s">
        <v>30</v>
      </c>
      <c r="I2" s="3"/>
    </row>
    <row r="3" spans="1:19" s="10" customFormat="1" ht="16.5" customHeight="1" x14ac:dyDescent="0.15">
      <c r="A3" s="276" t="s">
        <v>1</v>
      </c>
      <c r="B3" s="316" t="s">
        <v>0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314"/>
      <c r="O3" s="314"/>
    </row>
    <row r="4" spans="1:19" s="10" customFormat="1" ht="16.5" customHeight="1" x14ac:dyDescent="0.15">
      <c r="A4" s="292"/>
      <c r="B4" s="314" t="s">
        <v>268</v>
      </c>
      <c r="C4" s="315"/>
      <c r="D4" s="314" t="s">
        <v>2</v>
      </c>
      <c r="E4" s="315"/>
      <c r="F4" s="279" t="s">
        <v>3</v>
      </c>
      <c r="G4" s="281"/>
      <c r="H4" s="279" t="s">
        <v>5</v>
      </c>
      <c r="I4" s="281"/>
      <c r="J4" s="279" t="s">
        <v>4</v>
      </c>
      <c r="K4" s="281"/>
      <c r="L4" s="279" t="s">
        <v>6</v>
      </c>
      <c r="M4" s="281"/>
      <c r="N4" s="279" t="s">
        <v>36</v>
      </c>
      <c r="O4" s="280"/>
      <c r="P4" s="15"/>
      <c r="Q4" s="16"/>
    </row>
    <row r="5" spans="1:19" s="10" customFormat="1" ht="17.25" customHeight="1" x14ac:dyDescent="0.15">
      <c r="A5" s="277"/>
      <c r="B5" s="205" t="s">
        <v>7</v>
      </c>
      <c r="C5" s="204" t="s">
        <v>8</v>
      </c>
      <c r="D5" s="14" t="s">
        <v>7</v>
      </c>
      <c r="E5" s="9" t="s">
        <v>8</v>
      </c>
      <c r="F5" s="9" t="s">
        <v>7</v>
      </c>
      <c r="G5" s="4" t="s">
        <v>8</v>
      </c>
      <c r="H5" s="9" t="s">
        <v>7</v>
      </c>
      <c r="I5" s="4" t="s">
        <v>8</v>
      </c>
      <c r="J5" s="9" t="s">
        <v>7</v>
      </c>
      <c r="K5" s="4" t="s">
        <v>8</v>
      </c>
      <c r="L5" s="9" t="s">
        <v>7</v>
      </c>
      <c r="M5" s="4" t="s">
        <v>8</v>
      </c>
      <c r="N5" s="9" t="s">
        <v>9</v>
      </c>
      <c r="O5" s="107" t="s">
        <v>8</v>
      </c>
      <c r="P5" s="168"/>
      <c r="Q5" s="16"/>
    </row>
    <row r="6" spans="1:19" ht="13.5" customHeight="1" x14ac:dyDescent="0.15">
      <c r="A6" s="77" t="s">
        <v>112</v>
      </c>
      <c r="B6" s="206">
        <v>100.331031</v>
      </c>
      <c r="C6" s="206">
        <v>90.749556999999996</v>
      </c>
      <c r="D6" s="106">
        <v>81</v>
      </c>
      <c r="E6" s="106">
        <v>76</v>
      </c>
      <c r="F6" s="106">
        <v>83</v>
      </c>
      <c r="G6" s="106">
        <v>78</v>
      </c>
      <c r="H6" s="106">
        <v>79</v>
      </c>
      <c r="I6" s="106">
        <v>83</v>
      </c>
      <c r="J6" s="106">
        <v>96</v>
      </c>
      <c r="K6" s="106">
        <v>96</v>
      </c>
      <c r="L6" s="106">
        <v>113</v>
      </c>
      <c r="M6" s="106">
        <v>121</v>
      </c>
      <c r="N6" s="106">
        <v>81</v>
      </c>
      <c r="O6" s="108">
        <v>70</v>
      </c>
      <c r="P6" s="19"/>
      <c r="Q6" s="19"/>
      <c r="R6" s="8"/>
      <c r="S6" s="8"/>
    </row>
    <row r="7" spans="1:19" ht="13.5" customHeight="1" x14ac:dyDescent="0.15">
      <c r="A7" s="77" t="s">
        <v>114</v>
      </c>
      <c r="B7" s="206">
        <v>90.531351000000001</v>
      </c>
      <c r="C7" s="206">
        <v>91.494585999999998</v>
      </c>
      <c r="D7" s="106">
        <v>64</v>
      </c>
      <c r="E7" s="106">
        <v>68</v>
      </c>
      <c r="F7" s="106">
        <v>65</v>
      </c>
      <c r="G7" s="106">
        <v>70</v>
      </c>
      <c r="H7" s="106">
        <v>67</v>
      </c>
      <c r="I7" s="106">
        <v>68</v>
      </c>
      <c r="J7" s="106">
        <v>94</v>
      </c>
      <c r="K7" s="106">
        <v>97</v>
      </c>
      <c r="L7" s="106">
        <v>96</v>
      </c>
      <c r="M7" s="106">
        <v>89</v>
      </c>
      <c r="N7" s="106">
        <v>65</v>
      </c>
      <c r="O7" s="108">
        <v>64</v>
      </c>
      <c r="P7" s="19"/>
      <c r="Q7" s="19"/>
      <c r="R7" s="8"/>
      <c r="S7" s="8"/>
    </row>
    <row r="8" spans="1:19" ht="13.5" customHeight="1" x14ac:dyDescent="0.15">
      <c r="A8" s="75"/>
      <c r="B8" s="206"/>
      <c r="C8" s="2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8"/>
      <c r="P8" s="19"/>
      <c r="Q8" s="19"/>
      <c r="R8" s="8"/>
      <c r="S8" s="8"/>
    </row>
    <row r="9" spans="1:19" ht="13.5" customHeight="1" x14ac:dyDescent="0.15">
      <c r="A9" s="77" t="s">
        <v>116</v>
      </c>
      <c r="B9" s="206">
        <v>103.41163299999999</v>
      </c>
      <c r="C9" s="206">
        <v>98.165692000000007</v>
      </c>
      <c r="D9" s="106">
        <v>73</v>
      </c>
      <c r="E9" s="106">
        <v>70</v>
      </c>
      <c r="F9" s="106">
        <v>90</v>
      </c>
      <c r="G9" s="106">
        <v>88</v>
      </c>
      <c r="H9" s="106">
        <v>75</v>
      </c>
      <c r="I9" s="106">
        <v>74</v>
      </c>
      <c r="J9" s="106">
        <v>102</v>
      </c>
      <c r="K9" s="106">
        <v>99</v>
      </c>
      <c r="L9" s="106">
        <v>92</v>
      </c>
      <c r="M9" s="106">
        <v>88</v>
      </c>
      <c r="N9" s="106">
        <v>70</v>
      </c>
      <c r="O9" s="108">
        <v>70</v>
      </c>
      <c r="P9" s="19"/>
      <c r="Q9" s="19"/>
      <c r="R9" s="8"/>
      <c r="S9" s="8"/>
    </row>
    <row r="10" spans="1:19" ht="13.5" customHeight="1" x14ac:dyDescent="0.15">
      <c r="A10" s="77" t="s">
        <v>118</v>
      </c>
      <c r="B10" s="206">
        <v>87.981004999999996</v>
      </c>
      <c r="C10" s="206">
        <v>93.141133999999994</v>
      </c>
      <c r="D10" s="106">
        <v>63</v>
      </c>
      <c r="E10" s="106">
        <v>69</v>
      </c>
      <c r="F10" s="106">
        <v>63</v>
      </c>
      <c r="G10" s="106">
        <v>68</v>
      </c>
      <c r="H10" s="106">
        <v>73</v>
      </c>
      <c r="I10" s="106">
        <v>73</v>
      </c>
      <c r="J10" s="106">
        <v>98</v>
      </c>
      <c r="K10" s="106">
        <v>91</v>
      </c>
      <c r="L10" s="106">
        <v>89</v>
      </c>
      <c r="M10" s="106">
        <v>94</v>
      </c>
      <c r="N10" s="106">
        <v>63</v>
      </c>
      <c r="O10" s="108">
        <v>71</v>
      </c>
      <c r="P10" s="19"/>
      <c r="Q10" s="19"/>
      <c r="R10" s="8"/>
      <c r="S10" s="8"/>
    </row>
    <row r="11" spans="1:19" ht="13.5" customHeight="1" x14ac:dyDescent="0.15">
      <c r="A11" s="77" t="s">
        <v>120</v>
      </c>
      <c r="B11" s="206">
        <v>106.3</v>
      </c>
      <c r="C11" s="206">
        <v>103.2</v>
      </c>
      <c r="D11" s="106">
        <v>74</v>
      </c>
      <c r="E11" s="106">
        <v>74</v>
      </c>
      <c r="F11" s="106">
        <v>88</v>
      </c>
      <c r="G11" s="106">
        <v>87</v>
      </c>
      <c r="H11" s="106">
        <v>84</v>
      </c>
      <c r="I11" s="106">
        <v>85</v>
      </c>
      <c r="J11" s="106">
        <v>105</v>
      </c>
      <c r="K11" s="106">
        <v>100</v>
      </c>
      <c r="L11" s="106">
        <v>94</v>
      </c>
      <c r="M11" s="106">
        <v>86</v>
      </c>
      <c r="N11" s="106">
        <v>80</v>
      </c>
      <c r="O11" s="108">
        <v>81</v>
      </c>
      <c r="P11" s="19"/>
      <c r="Q11" s="19"/>
      <c r="R11" s="8"/>
      <c r="S11" s="8"/>
    </row>
    <row r="12" spans="1:19" ht="13.5" customHeight="1" x14ac:dyDescent="0.15">
      <c r="A12" s="77" t="s">
        <v>122</v>
      </c>
      <c r="B12" s="206">
        <v>99</v>
      </c>
      <c r="C12" s="206">
        <v>96.9</v>
      </c>
      <c r="D12" s="106">
        <v>64</v>
      </c>
      <c r="E12" s="106">
        <v>67</v>
      </c>
      <c r="F12" s="106">
        <v>74</v>
      </c>
      <c r="G12" s="106">
        <v>80</v>
      </c>
      <c r="H12" s="106">
        <v>82</v>
      </c>
      <c r="I12" s="106">
        <v>79</v>
      </c>
      <c r="J12" s="106">
        <v>102</v>
      </c>
      <c r="K12" s="106">
        <v>106</v>
      </c>
      <c r="L12" s="106">
        <v>88</v>
      </c>
      <c r="M12" s="106">
        <v>89</v>
      </c>
      <c r="N12" s="106">
        <v>76</v>
      </c>
      <c r="O12" s="108">
        <v>76</v>
      </c>
      <c r="P12" s="19"/>
      <c r="Q12" s="19"/>
      <c r="R12" s="8"/>
      <c r="S12" s="8"/>
    </row>
    <row r="13" spans="1:19" ht="13.5" customHeight="1" x14ac:dyDescent="0.15">
      <c r="A13" s="77" t="s">
        <v>131</v>
      </c>
      <c r="B13" s="72">
        <v>115.6</v>
      </c>
      <c r="C13" s="18">
        <v>109.5</v>
      </c>
      <c r="D13" s="72">
        <v>82</v>
      </c>
      <c r="E13" s="18">
        <v>77</v>
      </c>
      <c r="F13" s="18">
        <v>102</v>
      </c>
      <c r="G13" s="18">
        <v>98</v>
      </c>
      <c r="H13" s="18">
        <v>90</v>
      </c>
      <c r="I13" s="18">
        <v>91</v>
      </c>
      <c r="J13" s="18">
        <v>98</v>
      </c>
      <c r="K13" s="18">
        <v>99</v>
      </c>
      <c r="L13" s="18">
        <v>93</v>
      </c>
      <c r="M13" s="18">
        <v>88</v>
      </c>
      <c r="N13" s="18">
        <v>85</v>
      </c>
      <c r="O13" s="81">
        <v>87</v>
      </c>
    </row>
    <row r="14" spans="1:19" ht="13.5" customHeight="1" x14ac:dyDescent="0.15">
      <c r="A14" s="77"/>
      <c r="B14" s="72" t="s">
        <v>207</v>
      </c>
      <c r="C14" s="18" t="s">
        <v>207</v>
      </c>
      <c r="D14" s="72" t="s">
        <v>207</v>
      </c>
      <c r="E14" s="18" t="s">
        <v>207</v>
      </c>
      <c r="F14" s="18" t="s">
        <v>207</v>
      </c>
      <c r="G14" s="18" t="s">
        <v>207</v>
      </c>
      <c r="H14" s="18" t="s">
        <v>207</v>
      </c>
      <c r="I14" s="18" t="s">
        <v>207</v>
      </c>
      <c r="J14" s="18" t="s">
        <v>207</v>
      </c>
      <c r="K14" s="18" t="s">
        <v>207</v>
      </c>
      <c r="L14" s="18" t="s">
        <v>207</v>
      </c>
      <c r="M14" s="18" t="s">
        <v>207</v>
      </c>
      <c r="N14" s="18" t="s">
        <v>207</v>
      </c>
      <c r="O14" s="81" t="s">
        <v>207</v>
      </c>
    </row>
    <row r="15" spans="1:19" ht="13.5" customHeight="1" x14ac:dyDescent="0.15">
      <c r="A15" s="77" t="s">
        <v>184</v>
      </c>
      <c r="B15" s="72">
        <v>113.1</v>
      </c>
      <c r="C15" s="18">
        <v>111.9</v>
      </c>
      <c r="D15" s="72">
        <v>82</v>
      </c>
      <c r="E15" s="18">
        <v>81</v>
      </c>
      <c r="F15" s="18">
        <v>92</v>
      </c>
      <c r="G15" s="18">
        <v>90</v>
      </c>
      <c r="H15" s="18">
        <v>83</v>
      </c>
      <c r="I15" s="18">
        <v>90</v>
      </c>
      <c r="J15" s="18">
        <v>103</v>
      </c>
      <c r="K15" s="18">
        <v>106</v>
      </c>
      <c r="L15" s="18">
        <v>88</v>
      </c>
      <c r="M15" s="18">
        <v>88</v>
      </c>
      <c r="N15" s="18">
        <v>80</v>
      </c>
      <c r="O15" s="81">
        <v>94</v>
      </c>
    </row>
    <row r="16" spans="1:19" ht="13.5" customHeight="1" x14ac:dyDescent="0.15">
      <c r="A16" s="77" t="s">
        <v>200</v>
      </c>
      <c r="B16" s="72">
        <v>112.6</v>
      </c>
      <c r="C16" s="18">
        <v>107.8</v>
      </c>
      <c r="D16" s="72">
        <v>79</v>
      </c>
      <c r="E16" s="18">
        <v>79</v>
      </c>
      <c r="F16" s="18">
        <v>84</v>
      </c>
      <c r="G16" s="18">
        <v>92</v>
      </c>
      <c r="H16" s="18">
        <v>83</v>
      </c>
      <c r="I16" s="18">
        <v>84</v>
      </c>
      <c r="J16" s="18">
        <v>102</v>
      </c>
      <c r="K16" s="18">
        <v>103</v>
      </c>
      <c r="L16" s="18">
        <v>93</v>
      </c>
      <c r="M16" s="18">
        <v>88</v>
      </c>
      <c r="N16" s="18">
        <v>90</v>
      </c>
      <c r="O16" s="81">
        <v>82</v>
      </c>
    </row>
    <row r="17" spans="1:15" ht="13.5" customHeight="1" x14ac:dyDescent="0.15">
      <c r="A17" s="77" t="s">
        <v>204</v>
      </c>
      <c r="B17" s="72">
        <v>103.3</v>
      </c>
      <c r="C17" s="18">
        <v>96.4</v>
      </c>
      <c r="D17" s="72">
        <v>64</v>
      </c>
      <c r="E17" s="18">
        <v>65</v>
      </c>
      <c r="F17" s="18">
        <v>75</v>
      </c>
      <c r="G17" s="18">
        <v>74</v>
      </c>
      <c r="H17" s="18">
        <v>83</v>
      </c>
      <c r="I17" s="18">
        <v>76</v>
      </c>
      <c r="J17" s="18">
        <v>96</v>
      </c>
      <c r="K17" s="18">
        <v>96</v>
      </c>
      <c r="L17" s="18">
        <v>98</v>
      </c>
      <c r="M17" s="18">
        <v>94</v>
      </c>
      <c r="N17" s="18">
        <v>79</v>
      </c>
      <c r="O17" s="81">
        <v>75</v>
      </c>
    </row>
    <row r="18" spans="1:15" ht="13.5" customHeight="1" x14ac:dyDescent="0.15">
      <c r="A18" s="77"/>
      <c r="B18" s="72" t="s">
        <v>207</v>
      </c>
      <c r="C18" s="18" t="s">
        <v>207</v>
      </c>
      <c r="D18" s="72" t="s">
        <v>207</v>
      </c>
      <c r="E18" s="18" t="s">
        <v>207</v>
      </c>
      <c r="F18" s="18" t="s">
        <v>207</v>
      </c>
      <c r="G18" s="18" t="s">
        <v>207</v>
      </c>
      <c r="H18" s="18" t="s">
        <v>207</v>
      </c>
      <c r="I18" s="18" t="s">
        <v>207</v>
      </c>
      <c r="J18" s="18" t="s">
        <v>207</v>
      </c>
      <c r="K18" s="18" t="s">
        <v>207</v>
      </c>
      <c r="L18" s="18" t="s">
        <v>207</v>
      </c>
      <c r="M18" s="18" t="s">
        <v>207</v>
      </c>
      <c r="N18" s="18" t="s">
        <v>207</v>
      </c>
      <c r="O18" s="81" t="s">
        <v>207</v>
      </c>
    </row>
    <row r="19" spans="1:15" ht="13.5" customHeight="1" x14ac:dyDescent="0.15">
      <c r="A19" s="77" t="s">
        <v>148</v>
      </c>
      <c r="B19" s="207">
        <v>92</v>
      </c>
      <c r="C19" s="18">
        <v>93.2</v>
      </c>
      <c r="D19" s="72">
        <v>56</v>
      </c>
      <c r="E19" s="18">
        <v>64</v>
      </c>
      <c r="F19" s="18">
        <v>66</v>
      </c>
      <c r="G19" s="18">
        <v>75</v>
      </c>
      <c r="H19" s="18">
        <v>78</v>
      </c>
      <c r="I19" s="18">
        <v>84</v>
      </c>
      <c r="J19" s="18">
        <v>93</v>
      </c>
      <c r="K19" s="18">
        <v>91</v>
      </c>
      <c r="L19" s="18">
        <v>88</v>
      </c>
      <c r="M19" s="18">
        <v>104</v>
      </c>
      <c r="N19" s="18">
        <v>70</v>
      </c>
      <c r="O19" s="81">
        <v>75</v>
      </c>
    </row>
    <row r="20" spans="1:15" ht="13.5" customHeight="1" x14ac:dyDescent="0.15">
      <c r="A20" s="77" t="s">
        <v>21</v>
      </c>
      <c r="B20" s="72">
        <v>92.3</v>
      </c>
      <c r="C20" s="18">
        <v>87.5</v>
      </c>
      <c r="D20" s="72">
        <v>57</v>
      </c>
      <c r="E20" s="18">
        <v>58</v>
      </c>
      <c r="F20" s="18">
        <v>70</v>
      </c>
      <c r="G20" s="18">
        <v>66</v>
      </c>
      <c r="H20" s="18">
        <v>77</v>
      </c>
      <c r="I20" s="18">
        <v>76</v>
      </c>
      <c r="J20" s="18">
        <v>100</v>
      </c>
      <c r="K20" s="18">
        <v>92</v>
      </c>
      <c r="L20" s="18">
        <v>90</v>
      </c>
      <c r="M20" s="18">
        <v>91</v>
      </c>
      <c r="N20" s="18">
        <v>70</v>
      </c>
      <c r="O20" s="81">
        <v>69</v>
      </c>
    </row>
    <row r="21" spans="1:15" ht="13.5" customHeight="1" x14ac:dyDescent="0.15">
      <c r="A21" s="77" t="s">
        <v>89</v>
      </c>
      <c r="B21" s="72">
        <v>94.9</v>
      </c>
      <c r="C21" s="18">
        <v>98.1</v>
      </c>
      <c r="D21" s="72">
        <v>62</v>
      </c>
      <c r="E21" s="18">
        <v>74</v>
      </c>
      <c r="F21" s="18">
        <v>70</v>
      </c>
      <c r="G21" s="18">
        <v>75</v>
      </c>
      <c r="H21" s="18">
        <v>81</v>
      </c>
      <c r="I21" s="18">
        <v>81</v>
      </c>
      <c r="J21" s="18">
        <v>97</v>
      </c>
      <c r="K21" s="18">
        <v>98</v>
      </c>
      <c r="L21" s="18">
        <v>83</v>
      </c>
      <c r="M21" s="18">
        <v>90</v>
      </c>
      <c r="N21" s="18">
        <v>74</v>
      </c>
      <c r="O21" s="81">
        <v>77</v>
      </c>
    </row>
    <row r="22" spans="1:15" ht="13.5" customHeight="1" x14ac:dyDescent="0.15">
      <c r="A22" s="77"/>
      <c r="B22" s="72" t="s">
        <v>207</v>
      </c>
      <c r="C22" s="18" t="s">
        <v>207</v>
      </c>
      <c r="D22" s="72" t="s">
        <v>207</v>
      </c>
      <c r="E22" s="18" t="s">
        <v>207</v>
      </c>
      <c r="F22" s="18" t="s">
        <v>207</v>
      </c>
      <c r="G22" s="18" t="s">
        <v>207</v>
      </c>
      <c r="H22" s="18" t="s">
        <v>207</v>
      </c>
      <c r="I22" s="18" t="s">
        <v>207</v>
      </c>
      <c r="J22" s="18" t="s">
        <v>207</v>
      </c>
      <c r="K22" s="18" t="s">
        <v>207</v>
      </c>
      <c r="L22" s="18" t="s">
        <v>207</v>
      </c>
      <c r="M22" s="18" t="s">
        <v>207</v>
      </c>
      <c r="N22" s="18" t="s">
        <v>207</v>
      </c>
      <c r="O22" s="81" t="s">
        <v>207</v>
      </c>
    </row>
    <row r="23" spans="1:15" ht="13.5" customHeight="1" x14ac:dyDescent="0.15">
      <c r="A23" s="77" t="s">
        <v>90</v>
      </c>
      <c r="B23" s="72">
        <v>100.2</v>
      </c>
      <c r="C23" s="18">
        <v>101.3</v>
      </c>
      <c r="D23" s="72">
        <v>69</v>
      </c>
      <c r="E23" s="18">
        <v>73</v>
      </c>
      <c r="F23" s="18">
        <v>76</v>
      </c>
      <c r="G23" s="18">
        <v>77</v>
      </c>
      <c r="H23" s="18">
        <v>86</v>
      </c>
      <c r="I23" s="18">
        <v>84</v>
      </c>
      <c r="J23" s="18">
        <v>99</v>
      </c>
      <c r="K23" s="18">
        <v>96</v>
      </c>
      <c r="L23" s="18">
        <v>89</v>
      </c>
      <c r="M23" s="18">
        <v>80</v>
      </c>
      <c r="N23" s="18">
        <v>76</v>
      </c>
      <c r="O23" s="81">
        <v>78</v>
      </c>
    </row>
    <row r="24" spans="1:15" ht="13.5" customHeight="1" x14ac:dyDescent="0.15">
      <c r="A24" s="77" t="s">
        <v>91</v>
      </c>
      <c r="B24" s="72">
        <v>99.6</v>
      </c>
      <c r="C24" s="18">
        <v>103.5</v>
      </c>
      <c r="D24" s="72">
        <v>66</v>
      </c>
      <c r="E24" s="18">
        <v>77</v>
      </c>
      <c r="F24" s="18">
        <v>75</v>
      </c>
      <c r="G24" s="18">
        <v>86</v>
      </c>
      <c r="H24" s="18">
        <v>80</v>
      </c>
      <c r="I24" s="18">
        <v>88</v>
      </c>
      <c r="J24" s="18">
        <v>96</v>
      </c>
      <c r="K24" s="18">
        <v>99</v>
      </c>
      <c r="L24" s="18">
        <v>85</v>
      </c>
      <c r="M24" s="18">
        <v>88</v>
      </c>
      <c r="N24" s="18">
        <v>73</v>
      </c>
      <c r="O24" s="81">
        <v>78</v>
      </c>
    </row>
    <row r="25" spans="1:15" ht="13.5" customHeight="1" x14ac:dyDescent="0.15">
      <c r="A25" s="77" t="s">
        <v>92</v>
      </c>
      <c r="B25" s="72">
        <v>101</v>
      </c>
      <c r="C25" s="18">
        <v>102.8</v>
      </c>
      <c r="D25" s="72">
        <v>70</v>
      </c>
      <c r="E25" s="18">
        <v>74</v>
      </c>
      <c r="F25" s="18">
        <v>74</v>
      </c>
      <c r="G25" s="18">
        <v>84</v>
      </c>
      <c r="H25" s="18">
        <v>82</v>
      </c>
      <c r="I25" s="18">
        <v>82</v>
      </c>
      <c r="J25" s="18">
        <v>101</v>
      </c>
      <c r="K25" s="18">
        <v>103</v>
      </c>
      <c r="L25" s="18">
        <v>84</v>
      </c>
      <c r="M25" s="18">
        <v>85</v>
      </c>
      <c r="N25" s="18">
        <v>80</v>
      </c>
      <c r="O25" s="81">
        <v>77</v>
      </c>
    </row>
    <row r="26" spans="1:15" ht="13.5" customHeight="1" x14ac:dyDescent="0.15">
      <c r="A26" s="77"/>
      <c r="B26" s="72" t="s">
        <v>207</v>
      </c>
      <c r="C26" s="18" t="s">
        <v>207</v>
      </c>
      <c r="D26" s="72" t="s">
        <v>207</v>
      </c>
      <c r="E26" s="18" t="s">
        <v>207</v>
      </c>
      <c r="F26" s="18" t="s">
        <v>207</v>
      </c>
      <c r="G26" s="18" t="s">
        <v>207</v>
      </c>
      <c r="H26" s="18" t="s">
        <v>207</v>
      </c>
      <c r="I26" s="18" t="s">
        <v>207</v>
      </c>
      <c r="J26" s="18" t="s">
        <v>207</v>
      </c>
      <c r="K26" s="18" t="s">
        <v>207</v>
      </c>
      <c r="L26" s="18" t="s">
        <v>207</v>
      </c>
      <c r="M26" s="18" t="s">
        <v>207</v>
      </c>
      <c r="N26" s="18" t="s">
        <v>207</v>
      </c>
      <c r="O26" s="81" t="s">
        <v>207</v>
      </c>
    </row>
    <row r="27" spans="1:15" ht="13.5" customHeight="1" x14ac:dyDescent="0.15">
      <c r="A27" s="77" t="s">
        <v>93</v>
      </c>
      <c r="B27" s="72">
        <v>95.6</v>
      </c>
      <c r="C27" s="18">
        <v>98.3</v>
      </c>
      <c r="D27" s="72">
        <v>65</v>
      </c>
      <c r="E27" s="18">
        <v>69</v>
      </c>
      <c r="F27" s="18">
        <v>70</v>
      </c>
      <c r="G27" s="18">
        <v>80</v>
      </c>
      <c r="H27" s="18">
        <v>78</v>
      </c>
      <c r="I27" s="18">
        <v>82</v>
      </c>
      <c r="J27" s="18">
        <v>98</v>
      </c>
      <c r="K27" s="18">
        <v>98</v>
      </c>
      <c r="L27" s="18">
        <v>84</v>
      </c>
      <c r="M27" s="18">
        <v>87</v>
      </c>
      <c r="N27" s="18">
        <v>74</v>
      </c>
      <c r="O27" s="81">
        <v>80</v>
      </c>
    </row>
    <row r="28" spans="1:15" ht="13.5" customHeight="1" x14ac:dyDescent="0.15">
      <c r="A28" s="77" t="s">
        <v>94</v>
      </c>
      <c r="B28" s="72">
        <v>92.8</v>
      </c>
      <c r="C28" s="18">
        <v>93.6</v>
      </c>
      <c r="D28" s="72">
        <v>60</v>
      </c>
      <c r="E28" s="18">
        <v>65</v>
      </c>
      <c r="F28" s="18">
        <v>67</v>
      </c>
      <c r="G28" s="18">
        <v>75</v>
      </c>
      <c r="H28" s="18">
        <v>81</v>
      </c>
      <c r="I28" s="18">
        <v>81</v>
      </c>
      <c r="J28" s="18">
        <v>96</v>
      </c>
      <c r="K28" s="18">
        <v>97</v>
      </c>
      <c r="L28" s="18">
        <v>84</v>
      </c>
      <c r="M28" s="18">
        <v>88</v>
      </c>
      <c r="N28" s="18">
        <v>75</v>
      </c>
      <c r="O28" s="81">
        <v>77</v>
      </c>
    </row>
    <row r="29" spans="1:15" ht="13.5" customHeight="1" x14ac:dyDescent="0.15">
      <c r="A29" s="77" t="s">
        <v>95</v>
      </c>
      <c r="B29" s="72">
        <v>92.7</v>
      </c>
      <c r="C29" s="18">
        <v>92.1</v>
      </c>
      <c r="D29" s="72">
        <v>56</v>
      </c>
      <c r="E29" s="18">
        <v>64</v>
      </c>
      <c r="F29" s="18">
        <v>71</v>
      </c>
      <c r="G29" s="18">
        <v>68</v>
      </c>
      <c r="H29" s="18">
        <v>80</v>
      </c>
      <c r="I29" s="18">
        <v>81</v>
      </c>
      <c r="J29" s="18">
        <v>94</v>
      </c>
      <c r="K29" s="18">
        <v>93</v>
      </c>
      <c r="L29" s="18">
        <v>90</v>
      </c>
      <c r="M29" s="18">
        <v>84</v>
      </c>
      <c r="N29" s="18">
        <v>73</v>
      </c>
      <c r="O29" s="81">
        <v>75</v>
      </c>
    </row>
    <row r="30" spans="1:15" ht="13.5" customHeight="1" x14ac:dyDescent="0.15">
      <c r="A30" s="77"/>
      <c r="B30" s="72" t="s">
        <v>207</v>
      </c>
      <c r="C30" s="18" t="s">
        <v>207</v>
      </c>
      <c r="D30" s="72" t="s">
        <v>207</v>
      </c>
      <c r="E30" s="18" t="s">
        <v>207</v>
      </c>
      <c r="F30" s="18" t="s">
        <v>207</v>
      </c>
      <c r="G30" s="18" t="s">
        <v>207</v>
      </c>
      <c r="H30" s="18" t="s">
        <v>207</v>
      </c>
      <c r="I30" s="18" t="s">
        <v>207</v>
      </c>
      <c r="J30" s="18" t="s">
        <v>207</v>
      </c>
      <c r="K30" s="18" t="s">
        <v>207</v>
      </c>
      <c r="L30" s="18" t="s">
        <v>207</v>
      </c>
      <c r="M30" s="18" t="s">
        <v>207</v>
      </c>
      <c r="N30" s="18" t="s">
        <v>207</v>
      </c>
      <c r="O30" s="81" t="s">
        <v>207</v>
      </c>
    </row>
    <row r="31" spans="1:15" ht="13.5" customHeight="1" x14ac:dyDescent="0.15">
      <c r="A31" s="77" t="s">
        <v>96</v>
      </c>
      <c r="B31" s="72">
        <v>91.4</v>
      </c>
      <c r="C31" s="18">
        <v>93.4</v>
      </c>
      <c r="D31" s="72">
        <v>58</v>
      </c>
      <c r="E31" s="18">
        <v>62</v>
      </c>
      <c r="F31" s="18">
        <v>65</v>
      </c>
      <c r="G31" s="18">
        <v>76</v>
      </c>
      <c r="H31" s="18">
        <v>80</v>
      </c>
      <c r="I31" s="18">
        <v>81</v>
      </c>
      <c r="J31" s="18">
        <v>97</v>
      </c>
      <c r="K31" s="18">
        <v>94</v>
      </c>
      <c r="L31" s="18">
        <v>88</v>
      </c>
      <c r="M31" s="18">
        <v>90</v>
      </c>
      <c r="N31" s="18">
        <v>70</v>
      </c>
      <c r="O31" s="81">
        <v>74</v>
      </c>
    </row>
    <row r="32" spans="1:15" ht="13.5" customHeight="1" x14ac:dyDescent="0.15">
      <c r="A32" s="77" t="s">
        <v>97</v>
      </c>
      <c r="B32" s="72">
        <v>99.5</v>
      </c>
      <c r="C32" s="18">
        <v>91.2</v>
      </c>
      <c r="D32" s="72">
        <v>62</v>
      </c>
      <c r="E32" s="18">
        <v>64</v>
      </c>
      <c r="F32" s="18">
        <v>76</v>
      </c>
      <c r="G32" s="18">
        <v>70</v>
      </c>
      <c r="H32" s="18">
        <v>86</v>
      </c>
      <c r="I32" s="18">
        <v>84</v>
      </c>
      <c r="J32" s="18">
        <v>97</v>
      </c>
      <c r="K32" s="18">
        <v>96</v>
      </c>
      <c r="L32" s="18">
        <v>87</v>
      </c>
      <c r="M32" s="18">
        <v>88</v>
      </c>
      <c r="N32" s="18">
        <v>80</v>
      </c>
      <c r="O32" s="81">
        <v>74</v>
      </c>
    </row>
    <row r="33" spans="1:15" ht="13.5" customHeight="1" x14ac:dyDescent="0.15">
      <c r="A33" s="77" t="s">
        <v>98</v>
      </c>
      <c r="B33" s="72">
        <v>96.9</v>
      </c>
      <c r="C33" s="18">
        <v>95.5</v>
      </c>
      <c r="D33" s="72">
        <v>64</v>
      </c>
      <c r="E33" s="18">
        <v>62</v>
      </c>
      <c r="F33" s="18">
        <v>69</v>
      </c>
      <c r="G33" s="18">
        <v>75</v>
      </c>
      <c r="H33" s="18">
        <v>80</v>
      </c>
      <c r="I33" s="18">
        <v>85</v>
      </c>
      <c r="J33" s="18">
        <v>91</v>
      </c>
      <c r="K33" s="18">
        <v>93</v>
      </c>
      <c r="L33" s="18">
        <v>89</v>
      </c>
      <c r="M33" s="18">
        <v>90</v>
      </c>
      <c r="N33" s="18">
        <v>76</v>
      </c>
      <c r="O33" s="81">
        <v>79</v>
      </c>
    </row>
    <row r="34" spans="1:15" ht="13.5" customHeight="1" x14ac:dyDescent="0.15">
      <c r="A34" s="77"/>
      <c r="B34" s="72" t="s">
        <v>207</v>
      </c>
      <c r="C34" s="18" t="s">
        <v>207</v>
      </c>
      <c r="D34" s="72" t="s">
        <v>207</v>
      </c>
      <c r="E34" s="18" t="s">
        <v>207</v>
      </c>
      <c r="F34" s="18" t="s">
        <v>207</v>
      </c>
      <c r="G34" s="18" t="s">
        <v>207</v>
      </c>
      <c r="H34" s="18" t="s">
        <v>207</v>
      </c>
      <c r="I34" s="18" t="s">
        <v>207</v>
      </c>
      <c r="J34" s="18" t="s">
        <v>207</v>
      </c>
      <c r="K34" s="18" t="s">
        <v>207</v>
      </c>
      <c r="L34" s="18" t="s">
        <v>207</v>
      </c>
      <c r="M34" s="18" t="s">
        <v>207</v>
      </c>
      <c r="N34" s="18" t="s">
        <v>207</v>
      </c>
      <c r="O34" s="81" t="s">
        <v>207</v>
      </c>
    </row>
    <row r="35" spans="1:15" ht="13.5" customHeight="1" x14ac:dyDescent="0.15">
      <c r="A35" s="77" t="s">
        <v>164</v>
      </c>
      <c r="B35" s="207">
        <v>94</v>
      </c>
      <c r="C35" s="18">
        <v>92.4</v>
      </c>
      <c r="D35" s="72">
        <v>62</v>
      </c>
      <c r="E35" s="18">
        <v>61</v>
      </c>
      <c r="F35" s="18">
        <v>71</v>
      </c>
      <c r="G35" s="18">
        <v>74</v>
      </c>
      <c r="H35" s="18">
        <v>80</v>
      </c>
      <c r="I35" s="18">
        <v>79</v>
      </c>
      <c r="J35" s="18">
        <v>93</v>
      </c>
      <c r="K35" s="18">
        <v>92</v>
      </c>
      <c r="L35" s="18">
        <v>93</v>
      </c>
      <c r="M35" s="18">
        <v>88</v>
      </c>
      <c r="N35" s="18">
        <v>73</v>
      </c>
      <c r="O35" s="81">
        <v>72</v>
      </c>
    </row>
    <row r="36" spans="1:15" ht="13.5" customHeight="1" x14ac:dyDescent="0.15">
      <c r="A36" s="77" t="s">
        <v>21</v>
      </c>
      <c r="B36" s="72">
        <v>88.8</v>
      </c>
      <c r="C36" s="18">
        <v>93.5</v>
      </c>
      <c r="D36" s="72">
        <v>48</v>
      </c>
      <c r="E36" s="18">
        <v>64</v>
      </c>
      <c r="F36" s="18">
        <v>61</v>
      </c>
      <c r="G36" s="18">
        <v>82</v>
      </c>
      <c r="H36" s="18">
        <v>75</v>
      </c>
      <c r="I36" s="18">
        <v>78</v>
      </c>
      <c r="J36" s="18">
        <v>93</v>
      </c>
      <c r="K36" s="18">
        <v>96</v>
      </c>
      <c r="L36" s="18">
        <v>92</v>
      </c>
      <c r="M36" s="18">
        <v>98</v>
      </c>
      <c r="N36" s="18">
        <v>72</v>
      </c>
      <c r="O36" s="81">
        <v>75</v>
      </c>
    </row>
    <row r="37" spans="1:15" ht="13.5" customHeight="1" x14ac:dyDescent="0.15">
      <c r="A37" s="77" t="s">
        <v>89</v>
      </c>
      <c r="B37" s="72">
        <v>86.2</v>
      </c>
      <c r="C37" s="18">
        <v>88.8</v>
      </c>
      <c r="D37" s="72">
        <v>52</v>
      </c>
      <c r="E37" s="18">
        <v>55</v>
      </c>
      <c r="F37" s="18">
        <v>59</v>
      </c>
      <c r="G37" s="18">
        <v>60</v>
      </c>
      <c r="H37" s="18">
        <v>78</v>
      </c>
      <c r="I37" s="18">
        <v>81</v>
      </c>
      <c r="J37" s="18">
        <v>85</v>
      </c>
      <c r="K37" s="18">
        <v>92</v>
      </c>
      <c r="L37" s="18">
        <v>87</v>
      </c>
      <c r="M37" s="18">
        <v>92</v>
      </c>
      <c r="N37" s="18">
        <v>68</v>
      </c>
      <c r="O37" s="81">
        <v>75</v>
      </c>
    </row>
    <row r="38" spans="1:15" ht="13.5" customHeight="1" x14ac:dyDescent="0.15">
      <c r="A38" s="77"/>
      <c r="B38" s="72" t="s">
        <v>207</v>
      </c>
      <c r="C38" s="18" t="s">
        <v>207</v>
      </c>
      <c r="D38" s="72" t="s">
        <v>207</v>
      </c>
      <c r="E38" s="18" t="s">
        <v>207</v>
      </c>
      <c r="F38" s="18" t="s">
        <v>207</v>
      </c>
      <c r="G38" s="18" t="s">
        <v>207</v>
      </c>
      <c r="H38" s="18" t="s">
        <v>207</v>
      </c>
      <c r="I38" s="18" t="s">
        <v>207</v>
      </c>
      <c r="J38" s="18" t="s">
        <v>207</v>
      </c>
      <c r="K38" s="18" t="s">
        <v>207</v>
      </c>
      <c r="L38" s="18" t="s">
        <v>207</v>
      </c>
      <c r="M38" s="18" t="s">
        <v>207</v>
      </c>
      <c r="N38" s="18" t="s">
        <v>207</v>
      </c>
      <c r="O38" s="81" t="s">
        <v>207</v>
      </c>
    </row>
    <row r="39" spans="1:15" ht="13.5" customHeight="1" x14ac:dyDescent="0.15">
      <c r="A39" s="77" t="s">
        <v>90</v>
      </c>
      <c r="B39" s="72">
        <v>86.3</v>
      </c>
      <c r="C39" s="18">
        <v>85.2</v>
      </c>
      <c r="D39" s="72">
        <v>53</v>
      </c>
      <c r="E39" s="18">
        <v>52</v>
      </c>
      <c r="F39" s="18">
        <v>57</v>
      </c>
      <c r="G39" s="18">
        <v>62</v>
      </c>
      <c r="H39" s="18">
        <v>80</v>
      </c>
      <c r="I39" s="18">
        <v>82</v>
      </c>
      <c r="J39" s="18">
        <v>85</v>
      </c>
      <c r="K39" s="18">
        <v>87</v>
      </c>
      <c r="L39" s="18">
        <v>97</v>
      </c>
      <c r="M39" s="18">
        <v>88</v>
      </c>
      <c r="N39" s="18">
        <v>66</v>
      </c>
      <c r="O39" s="81">
        <v>72</v>
      </c>
    </row>
    <row r="40" spans="1:15" ht="13.5" customHeight="1" x14ac:dyDescent="0.15">
      <c r="A40" s="77" t="s">
        <v>91</v>
      </c>
      <c r="B40" s="72">
        <v>89.2</v>
      </c>
      <c r="C40" s="18">
        <v>79.099999999999994</v>
      </c>
      <c r="D40" s="72">
        <v>54</v>
      </c>
      <c r="E40" s="18">
        <v>55</v>
      </c>
      <c r="F40" s="18">
        <v>60</v>
      </c>
      <c r="G40" s="18">
        <v>53</v>
      </c>
      <c r="H40" s="18">
        <v>80</v>
      </c>
      <c r="I40" s="18">
        <v>80</v>
      </c>
      <c r="J40" s="18">
        <v>86</v>
      </c>
      <c r="K40" s="18">
        <v>84</v>
      </c>
      <c r="L40" s="18">
        <v>94</v>
      </c>
      <c r="M40" s="18">
        <v>101</v>
      </c>
      <c r="N40" s="18">
        <v>70</v>
      </c>
      <c r="O40" s="81">
        <v>64</v>
      </c>
    </row>
    <row r="41" spans="1:15" ht="13.5" customHeight="1" x14ac:dyDescent="0.15">
      <c r="A41" s="77" t="s">
        <v>92</v>
      </c>
      <c r="B41" s="72">
        <v>87.3</v>
      </c>
      <c r="C41" s="18">
        <v>87</v>
      </c>
      <c r="D41" s="72">
        <v>55</v>
      </c>
      <c r="E41" s="18">
        <v>56</v>
      </c>
      <c r="F41" s="18">
        <v>62</v>
      </c>
      <c r="G41" s="18">
        <v>63</v>
      </c>
      <c r="H41" s="18">
        <v>81</v>
      </c>
      <c r="I41" s="18">
        <v>82</v>
      </c>
      <c r="J41" s="18">
        <v>80</v>
      </c>
      <c r="K41" s="18">
        <v>84</v>
      </c>
      <c r="L41" s="18">
        <v>94</v>
      </c>
      <c r="M41" s="18">
        <v>98</v>
      </c>
      <c r="N41" s="18">
        <v>68</v>
      </c>
      <c r="O41" s="81">
        <v>70</v>
      </c>
    </row>
    <row r="42" spans="1:15" ht="13.5" customHeight="1" x14ac:dyDescent="0.15">
      <c r="A42" s="77"/>
      <c r="B42" s="72" t="s">
        <v>207</v>
      </c>
      <c r="C42" s="18" t="s">
        <v>207</v>
      </c>
      <c r="D42" s="72" t="s">
        <v>207</v>
      </c>
      <c r="E42" s="18" t="s">
        <v>207</v>
      </c>
      <c r="F42" s="18" t="s">
        <v>207</v>
      </c>
      <c r="G42" s="18" t="s">
        <v>207</v>
      </c>
      <c r="H42" s="18" t="s">
        <v>207</v>
      </c>
      <c r="I42" s="18" t="s">
        <v>207</v>
      </c>
      <c r="J42" s="18" t="s">
        <v>207</v>
      </c>
      <c r="K42" s="18" t="s">
        <v>207</v>
      </c>
      <c r="L42" s="18" t="s">
        <v>207</v>
      </c>
      <c r="M42" s="18" t="s">
        <v>207</v>
      </c>
      <c r="N42" s="18" t="s">
        <v>207</v>
      </c>
      <c r="O42" s="81" t="s">
        <v>207</v>
      </c>
    </row>
    <row r="43" spans="1:15" ht="13.5" customHeight="1" x14ac:dyDescent="0.15">
      <c r="A43" s="77" t="s">
        <v>93</v>
      </c>
      <c r="B43" s="208">
        <v>87</v>
      </c>
      <c r="C43" s="18">
        <v>85.1</v>
      </c>
      <c r="D43" s="72">
        <v>56</v>
      </c>
      <c r="E43" s="18">
        <v>53</v>
      </c>
      <c r="F43" s="18">
        <v>62</v>
      </c>
      <c r="G43" s="18">
        <v>63</v>
      </c>
      <c r="H43" s="18">
        <v>83</v>
      </c>
      <c r="I43" s="18">
        <v>81</v>
      </c>
      <c r="J43" s="18">
        <v>84</v>
      </c>
      <c r="K43" s="18">
        <v>80</v>
      </c>
      <c r="L43" s="18">
        <v>95</v>
      </c>
      <c r="M43" s="18">
        <v>94</v>
      </c>
      <c r="N43" s="18">
        <v>66</v>
      </c>
      <c r="O43" s="81">
        <v>70</v>
      </c>
    </row>
    <row r="44" spans="1:15" ht="13.5" customHeight="1" x14ac:dyDescent="0.15">
      <c r="A44" s="77" t="s">
        <v>94</v>
      </c>
      <c r="B44" s="72">
        <v>80.599999999999994</v>
      </c>
      <c r="C44" s="18">
        <v>84.3</v>
      </c>
      <c r="D44" s="72">
        <v>53</v>
      </c>
      <c r="E44" s="18">
        <v>56</v>
      </c>
      <c r="F44" s="18">
        <v>52</v>
      </c>
      <c r="G44" s="18">
        <v>60</v>
      </c>
      <c r="H44" s="18">
        <v>75</v>
      </c>
      <c r="I44" s="18">
        <v>81</v>
      </c>
      <c r="J44" s="18">
        <v>82</v>
      </c>
      <c r="K44" s="18">
        <v>86</v>
      </c>
      <c r="L44" s="18">
        <v>84</v>
      </c>
      <c r="M44" s="18">
        <v>96</v>
      </c>
      <c r="N44" s="18">
        <v>58</v>
      </c>
      <c r="O44" s="81">
        <v>65</v>
      </c>
    </row>
    <row r="45" spans="1:15" ht="13.5" customHeight="1" x14ac:dyDescent="0.15">
      <c r="A45" s="77" t="s">
        <v>95</v>
      </c>
      <c r="B45" s="208">
        <v>82</v>
      </c>
      <c r="C45" s="18">
        <v>83.7</v>
      </c>
      <c r="D45" s="72">
        <v>48</v>
      </c>
      <c r="E45" s="18">
        <v>58</v>
      </c>
      <c r="F45" s="18">
        <v>48</v>
      </c>
      <c r="G45" s="18">
        <v>60</v>
      </c>
      <c r="H45" s="18">
        <v>71</v>
      </c>
      <c r="I45" s="18">
        <v>75</v>
      </c>
      <c r="J45" s="18">
        <v>90</v>
      </c>
      <c r="K45" s="18">
        <v>85</v>
      </c>
      <c r="L45" s="18">
        <v>90</v>
      </c>
      <c r="M45" s="18">
        <v>85</v>
      </c>
      <c r="N45" s="18">
        <v>63</v>
      </c>
      <c r="O45" s="81">
        <v>63</v>
      </c>
    </row>
    <row r="46" spans="1:15" ht="13.5" customHeight="1" x14ac:dyDescent="0.15">
      <c r="A46" s="77"/>
      <c r="B46" s="72" t="s">
        <v>207</v>
      </c>
      <c r="C46" s="18" t="s">
        <v>207</v>
      </c>
      <c r="D46" s="72" t="s">
        <v>207</v>
      </c>
      <c r="E46" s="18" t="s">
        <v>207</v>
      </c>
      <c r="F46" s="18" t="s">
        <v>207</v>
      </c>
      <c r="G46" s="18" t="s">
        <v>207</v>
      </c>
      <c r="H46" s="18" t="s">
        <v>207</v>
      </c>
      <c r="I46" s="18" t="s">
        <v>207</v>
      </c>
      <c r="J46" s="18" t="s">
        <v>207</v>
      </c>
      <c r="K46" s="18" t="s">
        <v>207</v>
      </c>
      <c r="L46" s="18" t="s">
        <v>207</v>
      </c>
      <c r="M46" s="18" t="s">
        <v>207</v>
      </c>
      <c r="N46" s="18" t="s">
        <v>207</v>
      </c>
      <c r="O46" s="81" t="s">
        <v>207</v>
      </c>
    </row>
    <row r="47" spans="1:15" ht="13.5" customHeight="1" x14ac:dyDescent="0.15">
      <c r="A47" s="77" t="s">
        <v>96</v>
      </c>
      <c r="B47" s="72">
        <v>97.5</v>
      </c>
      <c r="C47" s="18">
        <v>85.4</v>
      </c>
      <c r="D47" s="72">
        <v>61</v>
      </c>
      <c r="E47" s="18">
        <v>56</v>
      </c>
      <c r="F47" s="18">
        <v>68</v>
      </c>
      <c r="G47" s="18">
        <v>58</v>
      </c>
      <c r="H47" s="18">
        <v>80</v>
      </c>
      <c r="I47" s="18">
        <v>75</v>
      </c>
      <c r="J47" s="18">
        <v>88</v>
      </c>
      <c r="K47" s="18">
        <v>90</v>
      </c>
      <c r="L47" s="18">
        <v>85</v>
      </c>
      <c r="M47" s="18">
        <v>88</v>
      </c>
      <c r="N47" s="18">
        <v>74</v>
      </c>
      <c r="O47" s="81">
        <v>67</v>
      </c>
    </row>
    <row r="48" spans="1:15" ht="13.5" customHeight="1" x14ac:dyDescent="0.15">
      <c r="A48" s="77" t="s">
        <v>97</v>
      </c>
      <c r="B48" s="72">
        <v>97.8</v>
      </c>
      <c r="C48" s="18">
        <v>95.1</v>
      </c>
      <c r="D48" s="72">
        <v>66</v>
      </c>
      <c r="E48" s="18">
        <v>63</v>
      </c>
      <c r="F48" s="18">
        <v>70</v>
      </c>
      <c r="G48" s="18">
        <v>71</v>
      </c>
      <c r="H48" s="18">
        <v>78</v>
      </c>
      <c r="I48" s="18">
        <v>81</v>
      </c>
      <c r="J48" s="18">
        <v>91</v>
      </c>
      <c r="K48" s="18">
        <v>90</v>
      </c>
      <c r="L48" s="18">
        <v>85</v>
      </c>
      <c r="M48" s="18">
        <v>86</v>
      </c>
      <c r="N48" s="18">
        <v>74</v>
      </c>
      <c r="O48" s="81">
        <v>75</v>
      </c>
    </row>
    <row r="49" spans="1:15" ht="13.5" customHeight="1" x14ac:dyDescent="0.15">
      <c r="A49" s="77" t="s">
        <v>151</v>
      </c>
      <c r="B49" s="72">
        <v>90.1</v>
      </c>
      <c r="C49" s="18">
        <v>90.3</v>
      </c>
      <c r="D49" s="72">
        <v>57</v>
      </c>
      <c r="E49" s="18">
        <v>62</v>
      </c>
      <c r="F49" s="18">
        <v>69</v>
      </c>
      <c r="G49" s="18">
        <v>67</v>
      </c>
      <c r="H49" s="18">
        <v>73</v>
      </c>
      <c r="I49" s="18">
        <v>74</v>
      </c>
      <c r="J49" s="18">
        <v>87</v>
      </c>
      <c r="K49" s="18">
        <v>89</v>
      </c>
      <c r="L49" s="18">
        <v>88</v>
      </c>
      <c r="M49" s="18">
        <v>88</v>
      </c>
      <c r="N49" s="18">
        <v>69</v>
      </c>
      <c r="O49" s="81">
        <v>70</v>
      </c>
    </row>
    <row r="50" spans="1:15" ht="13.5" customHeight="1" x14ac:dyDescent="0.15">
      <c r="A50" s="77"/>
      <c r="B50" s="72" t="s">
        <v>207</v>
      </c>
      <c r="C50" s="18" t="s">
        <v>207</v>
      </c>
      <c r="D50" s="72" t="s">
        <v>207</v>
      </c>
      <c r="E50" s="18" t="s">
        <v>207</v>
      </c>
      <c r="F50" s="18" t="s">
        <v>207</v>
      </c>
      <c r="G50" s="18" t="s">
        <v>207</v>
      </c>
      <c r="H50" s="18" t="s">
        <v>207</v>
      </c>
      <c r="I50" s="18" t="s">
        <v>207</v>
      </c>
      <c r="J50" s="18" t="s">
        <v>207</v>
      </c>
      <c r="K50" s="18" t="s">
        <v>207</v>
      </c>
      <c r="L50" s="18" t="s">
        <v>207</v>
      </c>
      <c r="M50" s="18" t="s">
        <v>207</v>
      </c>
      <c r="N50" s="18" t="s">
        <v>207</v>
      </c>
      <c r="O50" s="81" t="s">
        <v>207</v>
      </c>
    </row>
    <row r="51" spans="1:15" ht="13.5" customHeight="1" x14ac:dyDescent="0.15">
      <c r="A51" s="77" t="s">
        <v>182</v>
      </c>
      <c r="B51" s="72">
        <v>87.7</v>
      </c>
      <c r="C51" s="18">
        <v>80.3</v>
      </c>
      <c r="D51" s="72">
        <v>53</v>
      </c>
      <c r="E51" s="18">
        <v>49</v>
      </c>
      <c r="F51" s="18">
        <v>65</v>
      </c>
      <c r="G51" s="18">
        <v>66</v>
      </c>
      <c r="H51" s="18">
        <v>63</v>
      </c>
      <c r="I51" s="18">
        <v>69</v>
      </c>
      <c r="J51" s="18">
        <v>93</v>
      </c>
      <c r="K51" s="18">
        <v>87</v>
      </c>
      <c r="L51" s="18">
        <v>90</v>
      </c>
      <c r="M51" s="18">
        <v>90</v>
      </c>
      <c r="N51" s="18">
        <v>63</v>
      </c>
      <c r="O51" s="81">
        <v>60</v>
      </c>
    </row>
    <row r="52" spans="1:15" ht="13.5" customHeight="1" x14ac:dyDescent="0.15">
      <c r="A52" s="77" t="s">
        <v>21</v>
      </c>
      <c r="B52" s="72">
        <v>92.7</v>
      </c>
      <c r="C52" s="18">
        <v>84.7</v>
      </c>
      <c r="D52" s="72">
        <v>51</v>
      </c>
      <c r="E52" s="18">
        <v>54</v>
      </c>
      <c r="F52" s="18">
        <v>76</v>
      </c>
      <c r="G52" s="18">
        <v>64</v>
      </c>
      <c r="H52" s="18">
        <v>65</v>
      </c>
      <c r="I52" s="18">
        <v>64</v>
      </c>
      <c r="J52" s="18">
        <v>91</v>
      </c>
      <c r="K52" s="18">
        <v>90</v>
      </c>
      <c r="L52" s="18">
        <v>92</v>
      </c>
      <c r="M52" s="18">
        <v>90</v>
      </c>
      <c r="N52" s="18">
        <v>67</v>
      </c>
      <c r="O52" s="81">
        <v>65</v>
      </c>
    </row>
    <row r="53" spans="1:15" ht="13.5" customHeight="1" x14ac:dyDescent="0.15">
      <c r="A53" s="77" t="s">
        <v>89</v>
      </c>
      <c r="B53" s="72">
        <v>89.1</v>
      </c>
      <c r="C53" s="18">
        <v>94.7</v>
      </c>
      <c r="D53" s="72">
        <v>54</v>
      </c>
      <c r="E53" s="18">
        <v>62</v>
      </c>
      <c r="F53" s="18">
        <v>71</v>
      </c>
      <c r="G53" s="18">
        <v>79</v>
      </c>
      <c r="H53" s="18">
        <v>69</v>
      </c>
      <c r="I53" s="18">
        <v>69</v>
      </c>
      <c r="J53" s="18">
        <v>90</v>
      </c>
      <c r="K53" s="18">
        <v>90</v>
      </c>
      <c r="L53" s="18">
        <v>84</v>
      </c>
      <c r="M53" s="18">
        <v>87</v>
      </c>
      <c r="N53" s="18">
        <v>64</v>
      </c>
      <c r="O53" s="81">
        <v>70</v>
      </c>
    </row>
    <row r="54" spans="1:15" ht="13.5" customHeight="1" x14ac:dyDescent="0.15">
      <c r="A54" s="77"/>
      <c r="B54" s="72" t="s">
        <v>207</v>
      </c>
      <c r="C54" s="18" t="s">
        <v>207</v>
      </c>
      <c r="D54" s="72" t="s">
        <v>207</v>
      </c>
      <c r="E54" s="18" t="s">
        <v>207</v>
      </c>
      <c r="F54" s="18" t="s">
        <v>207</v>
      </c>
      <c r="G54" s="18" t="s">
        <v>207</v>
      </c>
      <c r="H54" s="18" t="s">
        <v>207</v>
      </c>
      <c r="I54" s="18" t="s">
        <v>207</v>
      </c>
      <c r="J54" s="18" t="s">
        <v>207</v>
      </c>
      <c r="K54" s="18" t="s">
        <v>207</v>
      </c>
      <c r="L54" s="18" t="s">
        <v>207</v>
      </c>
      <c r="M54" s="18" t="s">
        <v>207</v>
      </c>
      <c r="N54" s="18" t="s">
        <v>207</v>
      </c>
      <c r="O54" s="81" t="s">
        <v>207</v>
      </c>
    </row>
    <row r="55" spans="1:15" ht="13.5" customHeight="1" x14ac:dyDescent="0.15">
      <c r="A55" s="77" t="s">
        <v>90</v>
      </c>
      <c r="B55" s="72">
        <v>101</v>
      </c>
      <c r="C55" s="18">
        <v>91</v>
      </c>
      <c r="D55" s="72">
        <v>65</v>
      </c>
      <c r="E55" s="18">
        <v>62</v>
      </c>
      <c r="F55" s="18">
        <v>85</v>
      </c>
      <c r="G55" s="18">
        <v>75</v>
      </c>
      <c r="H55" s="18">
        <v>74</v>
      </c>
      <c r="I55" s="18">
        <v>69</v>
      </c>
      <c r="J55" s="18">
        <v>97</v>
      </c>
      <c r="K55" s="18">
        <v>92</v>
      </c>
      <c r="L55" s="18">
        <v>80</v>
      </c>
      <c r="M55" s="18">
        <v>82</v>
      </c>
      <c r="N55" s="18">
        <v>74</v>
      </c>
      <c r="O55" s="81">
        <v>65</v>
      </c>
    </row>
    <row r="56" spans="1:15" ht="13.5" customHeight="1" x14ac:dyDescent="0.15">
      <c r="A56" s="77" t="s">
        <v>91</v>
      </c>
      <c r="B56" s="72">
        <v>108.7</v>
      </c>
      <c r="C56" s="18">
        <v>99.9</v>
      </c>
      <c r="D56" s="72">
        <v>79</v>
      </c>
      <c r="E56" s="18">
        <v>69</v>
      </c>
      <c r="F56" s="18">
        <v>92</v>
      </c>
      <c r="G56" s="18">
        <v>92</v>
      </c>
      <c r="H56" s="18">
        <v>79</v>
      </c>
      <c r="I56" s="18">
        <v>75</v>
      </c>
      <c r="J56" s="18">
        <v>100</v>
      </c>
      <c r="K56" s="18">
        <v>97</v>
      </c>
      <c r="L56" s="18">
        <v>78</v>
      </c>
      <c r="M56" s="18">
        <v>76</v>
      </c>
      <c r="N56" s="18">
        <v>75</v>
      </c>
      <c r="O56" s="81">
        <v>74</v>
      </c>
    </row>
    <row r="57" spans="1:15" ht="13.5" customHeight="1" x14ac:dyDescent="0.15">
      <c r="A57" s="77" t="s">
        <v>92</v>
      </c>
      <c r="B57" s="72">
        <v>109.3</v>
      </c>
      <c r="C57" s="18">
        <v>107.9</v>
      </c>
      <c r="D57" s="72">
        <v>77</v>
      </c>
      <c r="E57" s="18">
        <v>83</v>
      </c>
      <c r="F57" s="18">
        <v>91</v>
      </c>
      <c r="G57" s="18">
        <v>89</v>
      </c>
      <c r="H57" s="18">
        <v>74</v>
      </c>
      <c r="I57" s="18">
        <v>78</v>
      </c>
      <c r="J57" s="18">
        <v>97</v>
      </c>
      <c r="K57" s="18">
        <v>101</v>
      </c>
      <c r="L57" s="18">
        <v>74</v>
      </c>
      <c r="M57" s="18">
        <v>79</v>
      </c>
      <c r="N57" s="18">
        <v>75</v>
      </c>
      <c r="O57" s="81">
        <v>77</v>
      </c>
    </row>
    <row r="58" spans="1:15" ht="13.5" customHeight="1" x14ac:dyDescent="0.15">
      <c r="A58" s="77"/>
      <c r="B58" s="72" t="s">
        <v>207</v>
      </c>
      <c r="C58" s="18" t="s">
        <v>207</v>
      </c>
      <c r="D58" s="72" t="s">
        <v>207</v>
      </c>
      <c r="E58" s="18" t="s">
        <v>207</v>
      </c>
      <c r="F58" s="18" t="s">
        <v>207</v>
      </c>
      <c r="G58" s="18" t="s">
        <v>207</v>
      </c>
      <c r="H58" s="18" t="s">
        <v>207</v>
      </c>
      <c r="I58" s="18" t="s">
        <v>207</v>
      </c>
      <c r="J58" s="18" t="s">
        <v>207</v>
      </c>
      <c r="K58" s="18" t="s">
        <v>207</v>
      </c>
      <c r="L58" s="18" t="s">
        <v>207</v>
      </c>
      <c r="M58" s="18" t="s">
        <v>207</v>
      </c>
      <c r="N58" s="18" t="s">
        <v>207</v>
      </c>
      <c r="O58" s="81" t="s">
        <v>207</v>
      </c>
    </row>
    <row r="59" spans="1:15" ht="13.5" customHeight="1" x14ac:dyDescent="0.15">
      <c r="A59" s="77" t="s">
        <v>93</v>
      </c>
      <c r="B59" s="72">
        <v>102.9</v>
      </c>
      <c r="C59" s="18">
        <v>107.7</v>
      </c>
      <c r="D59" s="72">
        <v>71</v>
      </c>
      <c r="E59" s="18">
        <v>79</v>
      </c>
      <c r="F59" s="18">
        <v>88</v>
      </c>
      <c r="G59" s="18">
        <v>94</v>
      </c>
      <c r="H59" s="18">
        <v>74</v>
      </c>
      <c r="I59" s="18">
        <v>77</v>
      </c>
      <c r="J59" s="18">
        <v>90</v>
      </c>
      <c r="K59" s="18">
        <v>99</v>
      </c>
      <c r="L59" s="18">
        <v>74</v>
      </c>
      <c r="M59" s="18">
        <v>74</v>
      </c>
      <c r="N59" s="18">
        <v>72</v>
      </c>
      <c r="O59" s="81">
        <v>76</v>
      </c>
    </row>
    <row r="60" spans="1:15" ht="13.5" customHeight="1" x14ac:dyDescent="0.15">
      <c r="A60" s="77" t="s">
        <v>94</v>
      </c>
      <c r="B60" s="72">
        <v>104.6</v>
      </c>
      <c r="C60" s="18">
        <v>99.4</v>
      </c>
      <c r="D60" s="72">
        <v>72</v>
      </c>
      <c r="E60" s="18">
        <v>68</v>
      </c>
      <c r="F60" s="18">
        <v>94</v>
      </c>
      <c r="G60" s="18">
        <v>88</v>
      </c>
      <c r="H60" s="18">
        <v>72</v>
      </c>
      <c r="I60" s="18">
        <v>72</v>
      </c>
      <c r="J60" s="18">
        <v>97</v>
      </c>
      <c r="K60" s="18">
        <v>88</v>
      </c>
      <c r="L60" s="18">
        <v>76</v>
      </c>
      <c r="M60" s="18">
        <v>80</v>
      </c>
      <c r="N60" s="18">
        <v>70</v>
      </c>
      <c r="O60" s="81">
        <v>70</v>
      </c>
    </row>
    <row r="61" spans="1:15" ht="13.5" customHeight="1" x14ac:dyDescent="0.15">
      <c r="A61" s="77" t="s">
        <v>95</v>
      </c>
      <c r="B61" s="72">
        <v>103.7</v>
      </c>
      <c r="C61" s="18">
        <v>108.9</v>
      </c>
      <c r="D61" s="72">
        <v>72</v>
      </c>
      <c r="E61" s="18">
        <v>82</v>
      </c>
      <c r="F61" s="18">
        <v>88</v>
      </c>
      <c r="G61" s="18">
        <v>95</v>
      </c>
      <c r="H61" s="18">
        <v>72</v>
      </c>
      <c r="I61" s="18">
        <v>75</v>
      </c>
      <c r="J61" s="18">
        <v>98</v>
      </c>
      <c r="K61" s="18">
        <v>98</v>
      </c>
      <c r="L61" s="18">
        <v>73</v>
      </c>
      <c r="M61" s="18">
        <v>78</v>
      </c>
      <c r="N61" s="18">
        <v>72</v>
      </c>
      <c r="O61" s="81">
        <v>76</v>
      </c>
    </row>
    <row r="62" spans="1:15" ht="13.5" customHeight="1" x14ac:dyDescent="0.15">
      <c r="A62" s="77"/>
      <c r="B62" s="72" t="s">
        <v>207</v>
      </c>
      <c r="C62" s="18" t="s">
        <v>207</v>
      </c>
      <c r="D62" s="72" t="s">
        <v>207</v>
      </c>
      <c r="E62" s="18" t="s">
        <v>207</v>
      </c>
      <c r="F62" s="18" t="s">
        <v>207</v>
      </c>
      <c r="G62" s="18" t="s">
        <v>207</v>
      </c>
      <c r="H62" s="18" t="s">
        <v>207</v>
      </c>
      <c r="I62" s="18" t="s">
        <v>207</v>
      </c>
      <c r="J62" s="18" t="s">
        <v>207</v>
      </c>
      <c r="K62" s="18" t="s">
        <v>207</v>
      </c>
      <c r="L62" s="18" t="s">
        <v>207</v>
      </c>
      <c r="M62" s="18" t="s">
        <v>207</v>
      </c>
      <c r="N62" s="18" t="s">
        <v>207</v>
      </c>
      <c r="O62" s="81" t="s">
        <v>207</v>
      </c>
    </row>
    <row r="63" spans="1:15" ht="13.5" customHeight="1" x14ac:dyDescent="0.15">
      <c r="A63" s="77" t="s">
        <v>96</v>
      </c>
      <c r="B63" s="72">
        <v>105.8</v>
      </c>
      <c r="C63" s="18">
        <v>103.6</v>
      </c>
      <c r="D63" s="72">
        <v>70</v>
      </c>
      <c r="E63" s="18">
        <v>75</v>
      </c>
      <c r="F63" s="18">
        <v>84</v>
      </c>
      <c r="G63" s="18">
        <v>93</v>
      </c>
      <c r="H63" s="18">
        <v>69</v>
      </c>
      <c r="I63" s="18">
        <v>73</v>
      </c>
      <c r="J63" s="18">
        <v>91</v>
      </c>
      <c r="K63" s="18">
        <v>95</v>
      </c>
      <c r="L63" s="18">
        <v>73</v>
      </c>
      <c r="M63" s="18">
        <v>72</v>
      </c>
      <c r="N63" s="18">
        <v>67</v>
      </c>
      <c r="O63" s="81">
        <v>74</v>
      </c>
    </row>
    <row r="64" spans="1:15" ht="13.5" customHeight="1" x14ac:dyDescent="0.15">
      <c r="A64" s="77" t="s">
        <v>97</v>
      </c>
      <c r="B64" s="72">
        <v>105.1</v>
      </c>
      <c r="C64" s="18">
        <v>105.4</v>
      </c>
      <c r="D64" s="72">
        <v>69</v>
      </c>
      <c r="E64" s="18">
        <v>74</v>
      </c>
      <c r="F64" s="18">
        <v>87</v>
      </c>
      <c r="G64" s="18">
        <v>89</v>
      </c>
      <c r="H64" s="18">
        <v>64</v>
      </c>
      <c r="I64" s="18">
        <v>73</v>
      </c>
      <c r="J64" s="18">
        <v>94</v>
      </c>
      <c r="K64" s="18">
        <v>92</v>
      </c>
      <c r="L64" s="18">
        <v>75</v>
      </c>
      <c r="M64" s="18">
        <v>74</v>
      </c>
      <c r="N64" s="18">
        <v>69</v>
      </c>
      <c r="O64" s="81">
        <v>69</v>
      </c>
    </row>
    <row r="65" spans="1:15" ht="13.5" customHeight="1" x14ac:dyDescent="0.15">
      <c r="A65" s="77" t="s">
        <v>196</v>
      </c>
      <c r="B65" s="72">
        <v>106.9</v>
      </c>
      <c r="C65" s="18">
        <v>96.5</v>
      </c>
      <c r="D65" s="72">
        <v>75</v>
      </c>
      <c r="E65" s="18">
        <v>65</v>
      </c>
      <c r="F65" s="18">
        <v>87</v>
      </c>
      <c r="G65" s="18">
        <v>82</v>
      </c>
      <c r="H65" s="18">
        <v>66</v>
      </c>
      <c r="I65" s="18">
        <v>63</v>
      </c>
      <c r="J65" s="18">
        <v>98</v>
      </c>
      <c r="K65" s="18">
        <v>94</v>
      </c>
      <c r="L65" s="18">
        <v>72</v>
      </c>
      <c r="M65" s="18">
        <v>77</v>
      </c>
      <c r="N65" s="18">
        <v>75</v>
      </c>
      <c r="O65" s="81">
        <v>67</v>
      </c>
    </row>
    <row r="66" spans="1:15" ht="13.5" customHeight="1" x14ac:dyDescent="0.15">
      <c r="A66" s="77"/>
      <c r="B66" s="72" t="s">
        <v>207</v>
      </c>
      <c r="C66" s="18" t="s">
        <v>207</v>
      </c>
      <c r="D66" s="72" t="s">
        <v>207</v>
      </c>
      <c r="E66" s="18" t="s">
        <v>207</v>
      </c>
      <c r="F66" s="18" t="s">
        <v>207</v>
      </c>
      <c r="G66" s="18" t="s">
        <v>207</v>
      </c>
      <c r="H66" s="18" t="s">
        <v>207</v>
      </c>
      <c r="I66" s="18" t="s">
        <v>207</v>
      </c>
      <c r="J66" s="18" t="s">
        <v>207</v>
      </c>
      <c r="K66" s="18" t="s">
        <v>207</v>
      </c>
      <c r="L66" s="18" t="s">
        <v>207</v>
      </c>
      <c r="M66" s="18" t="s">
        <v>207</v>
      </c>
      <c r="N66" s="18" t="s">
        <v>207</v>
      </c>
      <c r="O66" s="81" t="s">
        <v>207</v>
      </c>
    </row>
    <row r="67" spans="1:15" ht="13.5" customHeight="1" x14ac:dyDescent="0.15">
      <c r="A67" s="77" t="s">
        <v>199</v>
      </c>
      <c r="B67" s="72">
        <v>103.2</v>
      </c>
      <c r="C67" s="18">
        <v>99.9</v>
      </c>
      <c r="D67" s="72">
        <v>66</v>
      </c>
      <c r="E67" s="18">
        <v>70</v>
      </c>
      <c r="F67" s="18">
        <v>92</v>
      </c>
      <c r="G67" s="18">
        <v>87</v>
      </c>
      <c r="H67" s="18">
        <v>71</v>
      </c>
      <c r="I67" s="18">
        <v>69</v>
      </c>
      <c r="J67" s="18">
        <v>91</v>
      </c>
      <c r="K67" s="18">
        <v>92</v>
      </c>
      <c r="L67" s="18">
        <v>78</v>
      </c>
      <c r="M67" s="18">
        <v>75</v>
      </c>
      <c r="N67" s="18">
        <v>70</v>
      </c>
      <c r="O67" s="81">
        <v>70</v>
      </c>
    </row>
    <row r="68" spans="1:15" s="7" customFormat="1" ht="13.5" customHeight="1" x14ac:dyDescent="0.15">
      <c r="A68" s="77" t="s">
        <v>21</v>
      </c>
      <c r="B68" s="72">
        <v>103.8</v>
      </c>
      <c r="C68" s="18">
        <v>99.1</v>
      </c>
      <c r="D68" s="72">
        <v>70</v>
      </c>
      <c r="E68" s="18">
        <v>67</v>
      </c>
      <c r="F68" s="18">
        <v>85</v>
      </c>
      <c r="G68" s="18">
        <v>91</v>
      </c>
      <c r="H68" s="18">
        <v>66</v>
      </c>
      <c r="I68" s="18">
        <v>74</v>
      </c>
      <c r="J68" s="18">
        <v>92</v>
      </c>
      <c r="K68" s="18">
        <v>91</v>
      </c>
      <c r="L68" s="18">
        <v>76</v>
      </c>
      <c r="M68" s="18">
        <v>76</v>
      </c>
      <c r="N68" s="18">
        <v>73</v>
      </c>
      <c r="O68" s="81">
        <v>70</v>
      </c>
    </row>
    <row r="69" spans="1:15" s="7" customFormat="1" ht="13.5" customHeight="1" x14ac:dyDescent="0.15">
      <c r="A69" s="77" t="s">
        <v>89</v>
      </c>
      <c r="B69" s="72">
        <v>101.7</v>
      </c>
      <c r="C69" s="18">
        <v>105.8</v>
      </c>
      <c r="D69" s="72">
        <v>68</v>
      </c>
      <c r="E69" s="18">
        <v>80</v>
      </c>
      <c r="F69" s="18">
        <v>80</v>
      </c>
      <c r="G69" s="18">
        <v>94</v>
      </c>
      <c r="H69" s="18">
        <v>65</v>
      </c>
      <c r="I69" s="18">
        <v>72</v>
      </c>
      <c r="J69" s="18">
        <v>96</v>
      </c>
      <c r="K69" s="18">
        <v>95</v>
      </c>
      <c r="L69" s="18">
        <v>75</v>
      </c>
      <c r="M69" s="18">
        <v>75</v>
      </c>
      <c r="N69" s="18">
        <v>70</v>
      </c>
      <c r="O69" s="81">
        <v>74</v>
      </c>
    </row>
    <row r="70" spans="1:15" ht="13.5" customHeight="1" x14ac:dyDescent="0.15">
      <c r="A70" s="77"/>
      <c r="B70" s="72" t="s">
        <v>207</v>
      </c>
      <c r="C70" s="18" t="s">
        <v>207</v>
      </c>
      <c r="D70" s="72" t="s">
        <v>207</v>
      </c>
      <c r="E70" s="18" t="s">
        <v>207</v>
      </c>
      <c r="F70" s="18" t="s">
        <v>207</v>
      </c>
      <c r="G70" s="18" t="s">
        <v>207</v>
      </c>
      <c r="H70" s="18" t="s">
        <v>207</v>
      </c>
      <c r="I70" s="18" t="s">
        <v>207</v>
      </c>
      <c r="J70" s="18" t="s">
        <v>207</v>
      </c>
      <c r="K70" s="18" t="s">
        <v>207</v>
      </c>
      <c r="L70" s="18" t="s">
        <v>207</v>
      </c>
      <c r="M70" s="18" t="s">
        <v>207</v>
      </c>
      <c r="N70" s="18" t="s">
        <v>207</v>
      </c>
      <c r="O70" s="81" t="s">
        <v>207</v>
      </c>
    </row>
    <row r="71" spans="1:15" ht="13.5" customHeight="1" x14ac:dyDescent="0.15">
      <c r="A71" s="77" t="s">
        <v>90</v>
      </c>
      <c r="B71" s="72">
        <v>108</v>
      </c>
      <c r="C71" s="18">
        <v>105.3</v>
      </c>
      <c r="D71" s="72">
        <v>76</v>
      </c>
      <c r="E71" s="18">
        <v>75</v>
      </c>
      <c r="F71" s="18">
        <v>95</v>
      </c>
      <c r="G71" s="18">
        <v>89</v>
      </c>
      <c r="H71" s="18">
        <v>75</v>
      </c>
      <c r="I71" s="18">
        <v>66</v>
      </c>
      <c r="J71" s="18">
        <v>96</v>
      </c>
      <c r="K71" s="18">
        <v>97</v>
      </c>
      <c r="L71" s="18">
        <v>70</v>
      </c>
      <c r="M71" s="18">
        <v>71</v>
      </c>
      <c r="N71" s="18">
        <v>71</v>
      </c>
      <c r="O71" s="81">
        <v>73</v>
      </c>
    </row>
    <row r="72" spans="1:15" s="7" customFormat="1" ht="13.5" customHeight="1" x14ac:dyDescent="0.15">
      <c r="A72" s="77" t="s">
        <v>91</v>
      </c>
      <c r="B72" s="72">
        <v>110.5</v>
      </c>
      <c r="C72" s="18">
        <v>107.6</v>
      </c>
      <c r="D72" s="72">
        <v>82</v>
      </c>
      <c r="E72" s="18">
        <v>76</v>
      </c>
      <c r="F72" s="18">
        <v>98</v>
      </c>
      <c r="G72" s="18">
        <v>96</v>
      </c>
      <c r="H72" s="18">
        <v>70</v>
      </c>
      <c r="I72" s="18">
        <v>75</v>
      </c>
      <c r="J72" s="18">
        <v>97</v>
      </c>
      <c r="K72" s="18">
        <v>96</v>
      </c>
      <c r="L72" s="18">
        <v>67</v>
      </c>
      <c r="M72" s="18">
        <v>73</v>
      </c>
      <c r="N72" s="18">
        <v>71</v>
      </c>
      <c r="O72" s="81">
        <v>74</v>
      </c>
    </row>
    <row r="73" spans="1:15" s="7" customFormat="1" ht="13.5" customHeight="1" x14ac:dyDescent="0.15">
      <c r="A73" s="77" t="s">
        <v>130</v>
      </c>
      <c r="B73" s="72">
        <v>100.4</v>
      </c>
      <c r="C73" s="18">
        <v>105.2</v>
      </c>
      <c r="D73" s="72">
        <v>67</v>
      </c>
      <c r="E73" s="18">
        <v>79</v>
      </c>
      <c r="F73" s="18">
        <v>82</v>
      </c>
      <c r="G73" s="18">
        <v>96</v>
      </c>
      <c r="H73" s="18">
        <v>59</v>
      </c>
      <c r="I73" s="18">
        <v>70</v>
      </c>
      <c r="J73" s="18">
        <v>95</v>
      </c>
      <c r="K73" s="18">
        <v>99</v>
      </c>
      <c r="L73" s="18">
        <v>69</v>
      </c>
      <c r="M73" s="18">
        <v>69</v>
      </c>
      <c r="N73" s="18">
        <v>63</v>
      </c>
      <c r="O73" s="81">
        <v>70</v>
      </c>
    </row>
    <row r="74" spans="1:15" s="7" customFormat="1" ht="13.5" customHeight="1" x14ac:dyDescent="0.15">
      <c r="A74" s="77"/>
      <c r="B74" s="72" t="s">
        <v>207</v>
      </c>
      <c r="C74" s="18" t="s">
        <v>207</v>
      </c>
      <c r="D74" s="72" t="s">
        <v>207</v>
      </c>
      <c r="E74" s="18" t="s">
        <v>207</v>
      </c>
      <c r="F74" s="18" t="s">
        <v>207</v>
      </c>
      <c r="G74" s="18" t="s">
        <v>207</v>
      </c>
      <c r="H74" s="18" t="s">
        <v>207</v>
      </c>
      <c r="I74" s="18" t="s">
        <v>207</v>
      </c>
      <c r="J74" s="18" t="s">
        <v>207</v>
      </c>
      <c r="K74" s="18" t="s">
        <v>207</v>
      </c>
      <c r="L74" s="18" t="s">
        <v>207</v>
      </c>
      <c r="M74" s="18" t="s">
        <v>207</v>
      </c>
      <c r="N74" s="18" t="s">
        <v>207</v>
      </c>
      <c r="O74" s="81" t="s">
        <v>207</v>
      </c>
    </row>
    <row r="75" spans="1:15" s="7" customFormat="1" ht="13.5" customHeight="1" x14ac:dyDescent="0.15">
      <c r="A75" s="77" t="s">
        <v>93</v>
      </c>
      <c r="B75" s="72">
        <v>97.4</v>
      </c>
      <c r="C75" s="18">
        <v>101</v>
      </c>
      <c r="D75" s="72">
        <v>67</v>
      </c>
      <c r="E75" s="18">
        <v>72</v>
      </c>
      <c r="F75" s="18">
        <v>77</v>
      </c>
      <c r="G75" s="18">
        <v>85</v>
      </c>
      <c r="H75" s="18">
        <v>60</v>
      </c>
      <c r="I75" s="18">
        <v>62</v>
      </c>
      <c r="J75" s="18">
        <v>99</v>
      </c>
      <c r="K75" s="18">
        <v>96</v>
      </c>
      <c r="L75" s="18">
        <v>65</v>
      </c>
      <c r="M75" s="18">
        <v>70</v>
      </c>
      <c r="N75" s="18">
        <v>65</v>
      </c>
      <c r="O75" s="81">
        <v>67</v>
      </c>
    </row>
    <row r="76" spans="1:15" s="7" customFormat="1" ht="13.5" customHeight="1" x14ac:dyDescent="0.15">
      <c r="A76" s="77" t="s">
        <v>94</v>
      </c>
      <c r="B76" s="72">
        <v>98.5</v>
      </c>
      <c r="C76" s="18">
        <v>93.4</v>
      </c>
      <c r="D76" s="72">
        <v>58</v>
      </c>
      <c r="E76" s="18">
        <v>63</v>
      </c>
      <c r="F76" s="18">
        <v>83</v>
      </c>
      <c r="G76" s="18">
        <v>77</v>
      </c>
      <c r="H76" s="18">
        <v>65</v>
      </c>
      <c r="I76" s="18">
        <v>61</v>
      </c>
      <c r="J76" s="18">
        <v>100</v>
      </c>
      <c r="K76" s="18">
        <v>100</v>
      </c>
      <c r="L76" s="18">
        <v>68</v>
      </c>
      <c r="M76" s="18">
        <v>68</v>
      </c>
      <c r="N76" s="18">
        <v>66</v>
      </c>
      <c r="O76" s="81">
        <v>66</v>
      </c>
    </row>
    <row r="77" spans="1:15" s="7" customFormat="1" ht="13.5" customHeight="1" x14ac:dyDescent="0.15">
      <c r="A77" s="77" t="s">
        <v>95</v>
      </c>
      <c r="B77" s="72">
        <v>100.7</v>
      </c>
      <c r="C77" s="18">
        <v>103.2</v>
      </c>
      <c r="D77" s="72">
        <v>67</v>
      </c>
      <c r="E77" s="18">
        <v>66</v>
      </c>
      <c r="F77" s="18">
        <v>85</v>
      </c>
      <c r="G77" s="18">
        <v>93</v>
      </c>
      <c r="H77" s="18">
        <v>73</v>
      </c>
      <c r="I77" s="18">
        <v>71</v>
      </c>
      <c r="J77" s="18">
        <v>95</v>
      </c>
      <c r="K77" s="18">
        <v>100</v>
      </c>
      <c r="L77" s="18">
        <v>72</v>
      </c>
      <c r="M77" s="18">
        <v>70</v>
      </c>
      <c r="N77" s="18">
        <v>70</v>
      </c>
      <c r="O77" s="81">
        <v>72</v>
      </c>
    </row>
    <row r="78" spans="1:15" s="7" customFormat="1" ht="13.5" customHeight="1" x14ac:dyDescent="0.15">
      <c r="A78" s="77"/>
      <c r="B78" s="72" t="s">
        <v>207</v>
      </c>
      <c r="C78" s="18" t="s">
        <v>207</v>
      </c>
      <c r="D78" s="72" t="s">
        <v>207</v>
      </c>
      <c r="E78" s="18" t="s">
        <v>207</v>
      </c>
      <c r="F78" s="18" t="s">
        <v>207</v>
      </c>
      <c r="G78" s="18" t="s">
        <v>207</v>
      </c>
      <c r="H78" s="18" t="s">
        <v>207</v>
      </c>
      <c r="I78" s="18" t="s">
        <v>207</v>
      </c>
      <c r="J78" s="18" t="s">
        <v>207</v>
      </c>
      <c r="K78" s="18" t="s">
        <v>207</v>
      </c>
      <c r="L78" s="18" t="s">
        <v>207</v>
      </c>
      <c r="M78" s="18" t="s">
        <v>207</v>
      </c>
      <c r="N78" s="18" t="s">
        <v>207</v>
      </c>
      <c r="O78" s="81" t="s">
        <v>207</v>
      </c>
    </row>
    <row r="79" spans="1:15" ht="13.5" customHeight="1" x14ac:dyDescent="0.15">
      <c r="A79" s="77" t="s">
        <v>140</v>
      </c>
      <c r="B79" s="18">
        <v>98.7</v>
      </c>
      <c r="C79" s="18">
        <v>98</v>
      </c>
      <c r="D79" s="18">
        <v>64</v>
      </c>
      <c r="E79" s="18">
        <v>68</v>
      </c>
      <c r="F79" s="18">
        <v>78</v>
      </c>
      <c r="G79" s="18">
        <v>81</v>
      </c>
      <c r="H79" s="18">
        <v>65</v>
      </c>
      <c r="I79" s="18">
        <v>78</v>
      </c>
      <c r="J79" s="18">
        <v>89</v>
      </c>
      <c r="K79" s="18">
        <v>96</v>
      </c>
      <c r="L79" s="18">
        <v>70</v>
      </c>
      <c r="M79" s="18">
        <v>72</v>
      </c>
      <c r="N79" s="18">
        <v>70</v>
      </c>
      <c r="O79" s="81">
        <v>73</v>
      </c>
    </row>
    <row r="80" spans="1:15" ht="13.5" customHeight="1" x14ac:dyDescent="0.15">
      <c r="A80" s="77" t="s">
        <v>97</v>
      </c>
      <c r="B80" s="18">
        <v>98.5</v>
      </c>
      <c r="C80" s="18">
        <v>96.4</v>
      </c>
      <c r="D80" s="18">
        <v>65</v>
      </c>
      <c r="E80" s="18">
        <v>65</v>
      </c>
      <c r="F80" s="18">
        <v>75</v>
      </c>
      <c r="G80" s="18">
        <v>76</v>
      </c>
      <c r="H80" s="18">
        <v>67</v>
      </c>
      <c r="I80" s="18">
        <v>68</v>
      </c>
      <c r="J80" s="18">
        <v>91</v>
      </c>
      <c r="K80" s="18">
        <v>93</v>
      </c>
      <c r="L80" s="18">
        <v>72</v>
      </c>
      <c r="M80" s="18">
        <v>71</v>
      </c>
      <c r="N80" s="18">
        <v>70</v>
      </c>
      <c r="O80" s="81">
        <v>71</v>
      </c>
    </row>
    <row r="81" spans="1:15" ht="13.5" customHeight="1" x14ac:dyDescent="0.15">
      <c r="A81" s="77" t="s">
        <v>98</v>
      </c>
      <c r="B81" s="18">
        <v>98.7</v>
      </c>
      <c r="C81" s="18">
        <v>94.2</v>
      </c>
      <c r="D81" s="18">
        <v>63</v>
      </c>
      <c r="E81" s="18">
        <v>64</v>
      </c>
      <c r="F81" s="18">
        <v>77</v>
      </c>
      <c r="G81" s="18">
        <v>76</v>
      </c>
      <c r="H81" s="18">
        <v>68</v>
      </c>
      <c r="I81" s="18">
        <v>68</v>
      </c>
      <c r="J81" s="18">
        <v>91</v>
      </c>
      <c r="K81" s="18">
        <v>92</v>
      </c>
      <c r="L81" s="18">
        <v>77</v>
      </c>
      <c r="M81" s="18">
        <v>76</v>
      </c>
      <c r="N81" s="18">
        <v>64</v>
      </c>
      <c r="O81" s="81">
        <v>70</v>
      </c>
    </row>
    <row r="82" spans="1:15" ht="13.5" customHeight="1" x14ac:dyDescent="0.15">
      <c r="A82" s="77"/>
      <c r="B82" s="18" t="s">
        <v>207</v>
      </c>
      <c r="C82" s="18" t="s">
        <v>207</v>
      </c>
      <c r="D82" s="18" t="s">
        <v>207</v>
      </c>
      <c r="E82" s="18" t="s">
        <v>207</v>
      </c>
      <c r="F82" s="18" t="s">
        <v>207</v>
      </c>
      <c r="G82" s="18" t="s">
        <v>207</v>
      </c>
      <c r="H82" s="18" t="s">
        <v>207</v>
      </c>
      <c r="I82" s="18" t="s">
        <v>207</v>
      </c>
      <c r="J82" s="18" t="s">
        <v>207</v>
      </c>
      <c r="K82" s="18" t="s">
        <v>207</v>
      </c>
      <c r="L82" s="18" t="s">
        <v>207</v>
      </c>
      <c r="M82" s="18" t="s">
        <v>207</v>
      </c>
      <c r="N82" s="18" t="s">
        <v>207</v>
      </c>
      <c r="O82" s="81" t="s">
        <v>207</v>
      </c>
    </row>
    <row r="83" spans="1:15" ht="13.5" customHeight="1" x14ac:dyDescent="0.15">
      <c r="A83" s="77" t="s">
        <v>209</v>
      </c>
      <c r="B83" s="18">
        <v>94.4</v>
      </c>
      <c r="C83" s="18">
        <v>94.8</v>
      </c>
      <c r="D83" s="18">
        <v>62</v>
      </c>
      <c r="E83" s="18">
        <v>65</v>
      </c>
      <c r="F83" s="18">
        <v>75</v>
      </c>
      <c r="G83" s="18">
        <v>75</v>
      </c>
      <c r="H83" s="18">
        <v>69</v>
      </c>
      <c r="I83" s="18">
        <v>72</v>
      </c>
      <c r="J83" s="18">
        <v>88</v>
      </c>
      <c r="K83" s="18">
        <v>89</v>
      </c>
      <c r="L83" s="18">
        <v>79</v>
      </c>
      <c r="M83" s="18">
        <v>75</v>
      </c>
      <c r="N83" s="18">
        <v>66</v>
      </c>
      <c r="O83" s="81">
        <v>65</v>
      </c>
    </row>
    <row r="84" spans="1:15" ht="13.5" customHeight="1" x14ac:dyDescent="0.15">
      <c r="A84" s="77" t="s">
        <v>21</v>
      </c>
      <c r="B84" s="18">
        <v>95</v>
      </c>
      <c r="C84" s="18">
        <v>91.5</v>
      </c>
      <c r="D84" s="18">
        <v>57</v>
      </c>
      <c r="E84" s="18">
        <v>62</v>
      </c>
      <c r="F84" s="18">
        <v>77</v>
      </c>
      <c r="G84" s="18">
        <v>74</v>
      </c>
      <c r="H84" s="18">
        <v>71</v>
      </c>
      <c r="I84" s="18">
        <v>68</v>
      </c>
      <c r="J84" s="18">
        <v>84</v>
      </c>
      <c r="K84" s="18">
        <v>90</v>
      </c>
      <c r="L84" s="18">
        <v>81</v>
      </c>
      <c r="M84" s="18">
        <v>80</v>
      </c>
      <c r="N84" s="18">
        <v>70</v>
      </c>
      <c r="O84" s="81">
        <v>65</v>
      </c>
    </row>
    <row r="85" spans="1:15" ht="13.5" customHeight="1" x14ac:dyDescent="0.15">
      <c r="A85" s="77" t="s">
        <v>89</v>
      </c>
      <c r="B85" s="18">
        <v>98.8</v>
      </c>
      <c r="C85" s="18">
        <v>95.1</v>
      </c>
      <c r="D85" s="18">
        <v>63</v>
      </c>
      <c r="E85" s="18">
        <v>62</v>
      </c>
      <c r="F85" s="18">
        <v>81</v>
      </c>
      <c r="G85" s="18">
        <v>81</v>
      </c>
      <c r="H85" s="18">
        <v>70</v>
      </c>
      <c r="I85" s="18">
        <v>75</v>
      </c>
      <c r="J85" s="18">
        <v>93</v>
      </c>
      <c r="K85" s="18">
        <v>85</v>
      </c>
      <c r="L85" s="18">
        <v>74</v>
      </c>
      <c r="M85" s="18">
        <v>80</v>
      </c>
      <c r="N85" s="18">
        <v>67</v>
      </c>
      <c r="O85" s="81">
        <v>75</v>
      </c>
    </row>
    <row r="86" spans="1:15" x14ac:dyDescent="0.15">
      <c r="A86" s="77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81"/>
    </row>
    <row r="87" spans="1:15" x14ac:dyDescent="0.15">
      <c r="A87" s="77" t="s">
        <v>90</v>
      </c>
      <c r="B87" s="18">
        <v>103</v>
      </c>
      <c r="C87" s="18">
        <v>99</v>
      </c>
      <c r="D87" s="18">
        <v>72</v>
      </c>
      <c r="E87" s="18">
        <v>68</v>
      </c>
      <c r="F87" s="18">
        <v>87</v>
      </c>
      <c r="G87" s="18">
        <v>85</v>
      </c>
      <c r="H87" s="18">
        <v>76</v>
      </c>
      <c r="I87" s="18">
        <v>72</v>
      </c>
      <c r="J87" s="18">
        <v>89</v>
      </c>
      <c r="K87" s="18">
        <v>93</v>
      </c>
      <c r="L87" s="18">
        <v>81</v>
      </c>
      <c r="M87" s="18">
        <v>78</v>
      </c>
      <c r="N87" s="18">
        <v>68</v>
      </c>
      <c r="O87" s="81">
        <v>68</v>
      </c>
    </row>
    <row r="88" spans="1:15" x14ac:dyDescent="0.15">
      <c r="A88" s="77" t="s">
        <v>91</v>
      </c>
      <c r="B88" s="18">
        <v>103.3</v>
      </c>
      <c r="C88" s="18">
        <v>100.5</v>
      </c>
      <c r="D88" s="18">
        <v>68</v>
      </c>
      <c r="E88" s="18">
        <v>73</v>
      </c>
      <c r="F88" s="18">
        <v>82</v>
      </c>
      <c r="G88" s="18">
        <v>88</v>
      </c>
      <c r="H88" s="18">
        <v>74</v>
      </c>
      <c r="I88" s="18">
        <v>73</v>
      </c>
      <c r="J88" s="18">
        <v>88</v>
      </c>
      <c r="K88" s="18">
        <v>89</v>
      </c>
      <c r="L88" s="18">
        <v>80</v>
      </c>
      <c r="M88" s="18">
        <v>81</v>
      </c>
      <c r="N88" s="18">
        <v>75</v>
      </c>
      <c r="O88" s="81">
        <v>70</v>
      </c>
    </row>
    <row r="89" spans="1:15" x14ac:dyDescent="0.15">
      <c r="A89" s="77" t="s">
        <v>130</v>
      </c>
      <c r="B89" s="18">
        <v>96.6</v>
      </c>
      <c r="C89" s="18">
        <v>96.6</v>
      </c>
      <c r="D89" s="18">
        <v>65</v>
      </c>
      <c r="E89" s="18">
        <v>65</v>
      </c>
      <c r="F89" s="18">
        <v>77</v>
      </c>
      <c r="G89" s="18">
        <v>80</v>
      </c>
      <c r="H89" s="18">
        <v>76</v>
      </c>
      <c r="I89" s="18">
        <v>71</v>
      </c>
      <c r="J89" s="18">
        <v>94</v>
      </c>
      <c r="K89" s="18">
        <v>88</v>
      </c>
      <c r="L89" s="18">
        <v>80</v>
      </c>
      <c r="M89" s="18">
        <v>83</v>
      </c>
      <c r="N89" s="18">
        <v>68</v>
      </c>
      <c r="O89" s="81">
        <v>70</v>
      </c>
    </row>
    <row r="90" spans="1:15" x14ac:dyDescent="0.15">
      <c r="A90" s="77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81"/>
    </row>
    <row r="91" spans="1:15" x14ac:dyDescent="0.15">
      <c r="A91" s="77" t="s">
        <v>93</v>
      </c>
      <c r="B91" s="18">
        <v>97.6</v>
      </c>
      <c r="C91" s="18">
        <v>97</v>
      </c>
      <c r="D91" s="18">
        <v>63</v>
      </c>
      <c r="E91" s="18">
        <v>68</v>
      </c>
      <c r="F91" s="18">
        <v>76</v>
      </c>
      <c r="G91" s="18">
        <v>83</v>
      </c>
      <c r="H91" s="18">
        <v>71</v>
      </c>
      <c r="I91" s="18">
        <v>77</v>
      </c>
      <c r="J91" s="18">
        <v>90</v>
      </c>
      <c r="K91" s="18">
        <v>93</v>
      </c>
      <c r="L91" s="18">
        <v>83</v>
      </c>
      <c r="M91" s="18">
        <v>83</v>
      </c>
      <c r="N91" s="18">
        <v>66</v>
      </c>
      <c r="O91" s="81">
        <v>72</v>
      </c>
    </row>
    <row r="92" spans="1:15" x14ac:dyDescent="0.15">
      <c r="A92" s="77" t="s">
        <v>94</v>
      </c>
      <c r="B92" s="18">
        <v>92.1</v>
      </c>
      <c r="C92" s="18">
        <v>93.7</v>
      </c>
      <c r="D92" s="18">
        <v>57</v>
      </c>
      <c r="E92" s="18">
        <v>64</v>
      </c>
      <c r="F92" s="18">
        <v>67</v>
      </c>
      <c r="G92" s="18">
        <v>75</v>
      </c>
      <c r="H92" s="18">
        <v>66</v>
      </c>
      <c r="I92" s="18">
        <v>72</v>
      </c>
      <c r="J92" s="18">
        <v>86</v>
      </c>
      <c r="K92" s="18">
        <v>90</v>
      </c>
      <c r="L92" s="18">
        <v>80</v>
      </c>
      <c r="M92" s="18">
        <v>81</v>
      </c>
      <c r="N92" s="18">
        <v>64</v>
      </c>
      <c r="O92" s="81">
        <v>66</v>
      </c>
    </row>
    <row r="93" spans="1:15" x14ac:dyDescent="0.15">
      <c r="A93" s="77" t="s">
        <v>95</v>
      </c>
      <c r="B93" s="18">
        <v>92.2</v>
      </c>
      <c r="C93" s="18">
        <v>94.3</v>
      </c>
      <c r="D93" s="18">
        <v>56</v>
      </c>
      <c r="E93" s="18">
        <v>64</v>
      </c>
      <c r="F93" s="18">
        <v>72</v>
      </c>
      <c r="G93" s="18">
        <v>78</v>
      </c>
      <c r="H93" s="18">
        <v>69</v>
      </c>
      <c r="I93" s="18">
        <v>71</v>
      </c>
      <c r="J93" s="18">
        <v>92</v>
      </c>
      <c r="K93" s="18">
        <v>85</v>
      </c>
      <c r="L93" s="18">
        <v>83</v>
      </c>
      <c r="M93" s="18">
        <v>81</v>
      </c>
      <c r="N93" s="18">
        <v>65</v>
      </c>
      <c r="O93" s="81">
        <v>67</v>
      </c>
    </row>
    <row r="94" spans="1:15" x14ac:dyDescent="0.15">
      <c r="A94" s="77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81"/>
    </row>
    <row r="95" spans="1:15" x14ac:dyDescent="0.15">
      <c r="A95" s="77" t="s">
        <v>96</v>
      </c>
      <c r="B95" s="18">
        <v>94.4</v>
      </c>
      <c r="C95" s="18">
        <v>92.7</v>
      </c>
      <c r="D95" s="18">
        <v>58</v>
      </c>
      <c r="E95" s="18">
        <v>62</v>
      </c>
      <c r="F95" s="18">
        <v>72</v>
      </c>
      <c r="G95" s="18">
        <v>76</v>
      </c>
      <c r="H95" s="18">
        <v>67</v>
      </c>
      <c r="I95" s="18">
        <v>73</v>
      </c>
      <c r="J95" s="18">
        <v>91</v>
      </c>
      <c r="K95" s="18">
        <v>90</v>
      </c>
      <c r="L95" s="18">
        <v>81</v>
      </c>
      <c r="M95" s="18">
        <v>80</v>
      </c>
      <c r="N95" s="18">
        <v>67</v>
      </c>
      <c r="O95" s="81">
        <v>67</v>
      </c>
    </row>
    <row r="96" spans="1:15" x14ac:dyDescent="0.15">
      <c r="A96" s="77" t="s">
        <v>97</v>
      </c>
      <c r="B96" s="18">
        <v>94</v>
      </c>
      <c r="C96" s="18">
        <v>93.3</v>
      </c>
      <c r="D96" s="18">
        <v>54</v>
      </c>
      <c r="E96" s="18">
        <v>63</v>
      </c>
      <c r="F96" s="18">
        <v>70</v>
      </c>
      <c r="G96" s="18">
        <v>76</v>
      </c>
      <c r="H96" s="18">
        <v>69</v>
      </c>
      <c r="I96" s="18">
        <v>68</v>
      </c>
      <c r="J96" s="18">
        <v>89</v>
      </c>
      <c r="K96" s="18">
        <v>91</v>
      </c>
      <c r="L96" s="18">
        <v>80</v>
      </c>
      <c r="M96" s="18">
        <v>80</v>
      </c>
      <c r="N96" s="18">
        <v>66</v>
      </c>
      <c r="O96" s="81">
        <v>65</v>
      </c>
    </row>
    <row r="97" spans="1:15" x14ac:dyDescent="0.15">
      <c r="A97" s="77" t="s">
        <v>98</v>
      </c>
      <c r="B97" s="18">
        <v>92.4</v>
      </c>
      <c r="C97" s="18">
        <v>90.8</v>
      </c>
      <c r="D97" s="18">
        <v>63</v>
      </c>
      <c r="E97" s="18">
        <v>55</v>
      </c>
      <c r="F97" s="18">
        <v>74</v>
      </c>
      <c r="G97" s="18">
        <v>75</v>
      </c>
      <c r="H97" s="18">
        <v>74</v>
      </c>
      <c r="I97" s="18">
        <v>69</v>
      </c>
      <c r="J97" s="18">
        <v>87</v>
      </c>
      <c r="K97" s="18">
        <v>89</v>
      </c>
      <c r="L97" s="18">
        <v>83</v>
      </c>
      <c r="M97" s="18">
        <v>82</v>
      </c>
      <c r="N97" s="18">
        <v>67</v>
      </c>
      <c r="O97" s="81">
        <v>67</v>
      </c>
    </row>
    <row r="98" spans="1:15" ht="13.5" customHeight="1" x14ac:dyDescent="0.15">
      <c r="A98" s="77"/>
      <c r="B98" s="18"/>
      <c r="C98" s="18"/>
      <c r="D98" s="18" t="s">
        <v>207</v>
      </c>
      <c r="E98" s="18" t="s">
        <v>207</v>
      </c>
      <c r="F98" s="18" t="s">
        <v>207</v>
      </c>
      <c r="G98" s="18" t="s">
        <v>207</v>
      </c>
      <c r="H98" s="18" t="s">
        <v>207</v>
      </c>
      <c r="I98" s="18" t="s">
        <v>207</v>
      </c>
      <c r="J98" s="18" t="s">
        <v>207</v>
      </c>
      <c r="K98" s="18" t="s">
        <v>207</v>
      </c>
      <c r="L98" s="18" t="s">
        <v>207</v>
      </c>
      <c r="M98" s="18" t="s">
        <v>207</v>
      </c>
      <c r="N98" s="18" t="s">
        <v>207</v>
      </c>
      <c r="O98" s="81" t="s">
        <v>207</v>
      </c>
    </row>
    <row r="99" spans="1:15" ht="13.5" customHeight="1" x14ac:dyDescent="0.15">
      <c r="A99" s="77" t="s">
        <v>267</v>
      </c>
      <c r="B99" s="18">
        <v>98.1</v>
      </c>
      <c r="C99" s="18">
        <v>89.7</v>
      </c>
      <c r="D99" s="18">
        <v>59</v>
      </c>
      <c r="E99" s="18">
        <v>59</v>
      </c>
      <c r="F99" s="18">
        <v>77</v>
      </c>
      <c r="G99" s="18">
        <v>75</v>
      </c>
      <c r="H99" s="18">
        <v>76</v>
      </c>
      <c r="I99" s="18">
        <v>73</v>
      </c>
      <c r="J99" s="18">
        <v>89</v>
      </c>
      <c r="K99" s="18">
        <v>86</v>
      </c>
      <c r="L99" s="18">
        <v>82</v>
      </c>
      <c r="M99" s="18">
        <v>84</v>
      </c>
      <c r="N99" s="18">
        <v>75</v>
      </c>
      <c r="O99" s="18">
        <v>68</v>
      </c>
    </row>
    <row r="100" spans="1:15" ht="13.5" customHeight="1" x14ac:dyDescent="0.15">
      <c r="A100" s="77" t="s">
        <v>21</v>
      </c>
      <c r="B100" s="18">
        <v>96.9</v>
      </c>
      <c r="C100" s="18">
        <v>94</v>
      </c>
      <c r="D100" s="18">
        <v>63</v>
      </c>
      <c r="E100" s="18">
        <v>60</v>
      </c>
      <c r="F100" s="18">
        <v>80</v>
      </c>
      <c r="G100" s="18">
        <v>76</v>
      </c>
      <c r="H100" s="18">
        <v>65</v>
      </c>
      <c r="I100" s="18">
        <v>71</v>
      </c>
      <c r="J100" s="18">
        <v>91</v>
      </c>
      <c r="K100" s="18">
        <v>90</v>
      </c>
      <c r="L100" s="18">
        <v>83</v>
      </c>
      <c r="M100" s="18">
        <v>79</v>
      </c>
      <c r="N100" s="18">
        <v>65</v>
      </c>
      <c r="O100" s="18">
        <v>73</v>
      </c>
    </row>
    <row r="101" spans="1:15" ht="13.5" customHeight="1" x14ac:dyDescent="0.15">
      <c r="A101" s="77" t="s">
        <v>155</v>
      </c>
      <c r="B101" s="18">
        <v>93.6</v>
      </c>
      <c r="C101" s="18">
        <v>99.2</v>
      </c>
      <c r="D101" s="18">
        <v>58</v>
      </c>
      <c r="E101" s="18">
        <v>69</v>
      </c>
      <c r="F101" s="18">
        <v>69</v>
      </c>
      <c r="G101" s="18">
        <v>83</v>
      </c>
      <c r="H101" s="18">
        <v>75</v>
      </c>
      <c r="I101" s="18">
        <v>73</v>
      </c>
      <c r="J101" s="18">
        <v>86</v>
      </c>
      <c r="K101" s="18">
        <v>88</v>
      </c>
      <c r="L101" s="18">
        <v>82</v>
      </c>
      <c r="M101" s="18">
        <v>82</v>
      </c>
      <c r="N101" s="18">
        <v>73</v>
      </c>
      <c r="O101" s="18">
        <v>74</v>
      </c>
    </row>
    <row r="102" spans="1:15" ht="13.5" customHeight="1" x14ac:dyDescent="0.15">
      <c r="A102" s="77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</row>
    <row r="103" spans="1:15" ht="13.5" customHeight="1" x14ac:dyDescent="0.15">
      <c r="A103" s="77" t="s">
        <v>123</v>
      </c>
      <c r="B103" s="18">
        <v>95.5</v>
      </c>
      <c r="C103" s="18">
        <v>97.2</v>
      </c>
      <c r="D103" s="18">
        <v>59</v>
      </c>
      <c r="E103" s="18">
        <v>66</v>
      </c>
      <c r="F103" s="18">
        <v>76</v>
      </c>
      <c r="G103" s="18">
        <v>73</v>
      </c>
      <c r="H103" s="18">
        <v>73</v>
      </c>
      <c r="I103" s="18">
        <v>77</v>
      </c>
      <c r="J103" s="18">
        <v>90</v>
      </c>
      <c r="K103" s="18">
        <v>90</v>
      </c>
      <c r="L103" s="18">
        <v>80</v>
      </c>
      <c r="M103" s="18">
        <v>82</v>
      </c>
      <c r="N103" s="18">
        <v>69</v>
      </c>
      <c r="O103" s="18">
        <v>79</v>
      </c>
    </row>
    <row r="104" spans="1:15" ht="13.5" customHeight="1" x14ac:dyDescent="0.15">
      <c r="A104" s="77" t="s">
        <v>91</v>
      </c>
      <c r="B104" s="18">
        <v>98.9</v>
      </c>
      <c r="C104" s="18">
        <v>97</v>
      </c>
      <c r="D104" s="18">
        <v>63</v>
      </c>
      <c r="E104" s="18">
        <v>66</v>
      </c>
      <c r="F104" s="18">
        <v>79</v>
      </c>
      <c r="G104" s="18">
        <v>76</v>
      </c>
      <c r="H104" s="18">
        <v>69</v>
      </c>
      <c r="I104" s="18">
        <v>74</v>
      </c>
      <c r="J104" s="18">
        <v>89</v>
      </c>
      <c r="K104" s="18">
        <v>87</v>
      </c>
      <c r="L104" s="18">
        <v>80</v>
      </c>
      <c r="M104" s="18">
        <v>83</v>
      </c>
      <c r="N104" s="18">
        <v>69</v>
      </c>
      <c r="O104" s="18">
        <v>71</v>
      </c>
    </row>
    <row r="105" spans="1:15" x14ac:dyDescent="0.15">
      <c r="A105" s="77" t="s">
        <v>130</v>
      </c>
      <c r="B105" s="18">
        <v>103.3</v>
      </c>
      <c r="C105" s="18">
        <v>98.7</v>
      </c>
      <c r="D105" s="18">
        <v>63</v>
      </c>
      <c r="E105" s="18">
        <v>64</v>
      </c>
      <c r="F105" s="18">
        <v>79</v>
      </c>
      <c r="G105" s="18">
        <v>78</v>
      </c>
      <c r="H105" s="18">
        <v>79</v>
      </c>
      <c r="I105" s="18">
        <v>72</v>
      </c>
      <c r="J105" s="18">
        <v>95</v>
      </c>
      <c r="K105" s="18">
        <v>88</v>
      </c>
      <c r="L105" s="18">
        <v>90</v>
      </c>
      <c r="M105" s="18">
        <v>80</v>
      </c>
      <c r="N105" s="18">
        <v>81</v>
      </c>
      <c r="O105" s="18">
        <v>73</v>
      </c>
    </row>
    <row r="106" spans="1:15" ht="13.5" customHeight="1" x14ac:dyDescent="0.15">
      <c r="A106" s="77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</row>
    <row r="107" spans="1:15" ht="13.5" customHeight="1" x14ac:dyDescent="0.15">
      <c r="A107" s="77" t="s">
        <v>93</v>
      </c>
      <c r="B107" s="18">
        <v>100</v>
      </c>
      <c r="C107" s="18">
        <v>97.6</v>
      </c>
      <c r="D107" s="18">
        <v>63</v>
      </c>
      <c r="E107" s="18">
        <v>60</v>
      </c>
      <c r="F107" s="18">
        <v>76</v>
      </c>
      <c r="G107" s="18">
        <v>81</v>
      </c>
      <c r="H107" s="18">
        <v>79</v>
      </c>
      <c r="I107" s="18">
        <v>81</v>
      </c>
      <c r="J107" s="18">
        <v>92</v>
      </c>
      <c r="K107" s="18">
        <v>97</v>
      </c>
      <c r="L107" s="18">
        <v>91</v>
      </c>
      <c r="M107" s="18">
        <v>91</v>
      </c>
      <c r="N107" s="18">
        <v>76</v>
      </c>
      <c r="O107" s="18">
        <v>81</v>
      </c>
    </row>
    <row r="108" spans="1:15" ht="13.5" customHeight="1" x14ac:dyDescent="0.15">
      <c r="A108" s="77" t="s">
        <v>94</v>
      </c>
      <c r="B108" s="18">
        <v>105.1</v>
      </c>
      <c r="C108" s="18">
        <v>98.1</v>
      </c>
      <c r="D108" s="18">
        <v>68</v>
      </c>
      <c r="E108" s="18">
        <v>62</v>
      </c>
      <c r="F108" s="18">
        <v>78</v>
      </c>
      <c r="G108" s="18">
        <v>76</v>
      </c>
      <c r="H108" s="18">
        <v>85</v>
      </c>
      <c r="I108" s="18">
        <v>82</v>
      </c>
      <c r="J108" s="18">
        <v>94</v>
      </c>
      <c r="K108" s="18">
        <v>92</v>
      </c>
      <c r="L108" s="18">
        <v>86</v>
      </c>
      <c r="M108" s="18">
        <v>90</v>
      </c>
      <c r="N108" s="18">
        <v>76</v>
      </c>
      <c r="O108" s="18">
        <v>77</v>
      </c>
    </row>
    <row r="109" spans="1:15" ht="13.5" customHeight="1" x14ac:dyDescent="0.15">
      <c r="A109" s="77" t="s">
        <v>95</v>
      </c>
      <c r="B109" s="18">
        <v>95</v>
      </c>
      <c r="C109" s="18">
        <v>101.6</v>
      </c>
      <c r="D109" s="18">
        <v>61</v>
      </c>
      <c r="E109" s="18">
        <v>65</v>
      </c>
      <c r="F109" s="18">
        <v>76</v>
      </c>
      <c r="G109" s="18">
        <v>78</v>
      </c>
      <c r="H109" s="18">
        <v>71</v>
      </c>
      <c r="I109" s="18">
        <v>83</v>
      </c>
      <c r="J109" s="18">
        <v>90</v>
      </c>
      <c r="K109" s="18">
        <v>92</v>
      </c>
      <c r="L109" s="18">
        <v>85</v>
      </c>
      <c r="M109" s="18">
        <v>88</v>
      </c>
      <c r="N109" s="18">
        <v>66</v>
      </c>
      <c r="O109" s="18">
        <v>78</v>
      </c>
    </row>
    <row r="110" spans="1:15" ht="13.5" customHeight="1" x14ac:dyDescent="0.15">
      <c r="A110" s="77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</row>
    <row r="111" spans="1:15" ht="13.5" customHeight="1" x14ac:dyDescent="0.15">
      <c r="A111" s="77" t="s">
        <v>96</v>
      </c>
      <c r="B111" s="18">
        <v>95.1</v>
      </c>
      <c r="C111" s="18">
        <v>96.9</v>
      </c>
      <c r="D111" s="18">
        <v>60</v>
      </c>
      <c r="E111" s="18">
        <v>66</v>
      </c>
      <c r="F111" s="18">
        <v>64</v>
      </c>
      <c r="G111" s="18">
        <v>81</v>
      </c>
      <c r="H111" s="18">
        <v>70</v>
      </c>
      <c r="I111" s="18">
        <v>76</v>
      </c>
      <c r="J111" s="18">
        <v>93</v>
      </c>
      <c r="K111" s="18">
        <v>90</v>
      </c>
      <c r="L111" s="18">
        <v>82</v>
      </c>
      <c r="M111" s="18">
        <v>83</v>
      </c>
      <c r="N111" s="18">
        <v>74</v>
      </c>
      <c r="O111" s="18">
        <v>69</v>
      </c>
    </row>
    <row r="112" spans="1:15" ht="13.5" customHeight="1" x14ac:dyDescent="0.15">
      <c r="A112" s="77" t="s">
        <v>97</v>
      </c>
      <c r="B112" s="18">
        <v>101.8</v>
      </c>
      <c r="C112" s="18">
        <v>95.8</v>
      </c>
      <c r="D112" s="18">
        <v>65</v>
      </c>
      <c r="E112" s="18">
        <v>65</v>
      </c>
      <c r="F112" s="18">
        <v>73</v>
      </c>
      <c r="G112" s="18">
        <v>71</v>
      </c>
      <c r="H112" s="18">
        <v>75</v>
      </c>
      <c r="I112" s="18">
        <v>73</v>
      </c>
      <c r="J112" s="18">
        <v>97</v>
      </c>
      <c r="K112" s="18">
        <v>92</v>
      </c>
      <c r="L112" s="18">
        <v>83</v>
      </c>
      <c r="M112" s="18">
        <v>83</v>
      </c>
      <c r="N112" s="18">
        <v>76</v>
      </c>
      <c r="O112" s="18">
        <v>76</v>
      </c>
    </row>
    <row r="113" spans="1:15" ht="13.5" customHeight="1" x14ac:dyDescent="0.15">
      <c r="A113" s="77" t="s">
        <v>98</v>
      </c>
      <c r="B113" s="18">
        <v>89.5</v>
      </c>
      <c r="C113" s="18">
        <v>97.4</v>
      </c>
      <c r="D113" s="18">
        <v>52</v>
      </c>
      <c r="E113" s="18">
        <v>63</v>
      </c>
      <c r="F113" s="18">
        <v>63</v>
      </c>
      <c r="G113" s="18">
        <v>76</v>
      </c>
      <c r="H113" s="18">
        <v>71</v>
      </c>
      <c r="I113" s="18">
        <v>72</v>
      </c>
      <c r="J113" s="18">
        <v>87</v>
      </c>
      <c r="K113" s="18">
        <v>94</v>
      </c>
      <c r="L113" s="18">
        <v>86</v>
      </c>
      <c r="M113" s="18">
        <v>88</v>
      </c>
      <c r="N113" s="18">
        <v>68</v>
      </c>
      <c r="O113" s="18">
        <v>73</v>
      </c>
    </row>
    <row r="114" spans="1:15" ht="13.5" customHeight="1" x14ac:dyDescent="0.15">
      <c r="A114" s="77"/>
      <c r="B114" s="18"/>
      <c r="C114" s="72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</row>
    <row r="115" spans="1:15" x14ac:dyDescent="0.15">
      <c r="A115" s="77" t="s">
        <v>275</v>
      </c>
      <c r="B115" s="18">
        <v>91.2</v>
      </c>
      <c r="C115" s="72">
        <v>87.1</v>
      </c>
      <c r="D115" s="72">
        <v>50</v>
      </c>
      <c r="E115" s="72">
        <v>56</v>
      </c>
      <c r="F115" s="72">
        <v>63</v>
      </c>
      <c r="G115" s="72">
        <v>67</v>
      </c>
      <c r="H115" s="72">
        <v>66</v>
      </c>
      <c r="I115" s="72">
        <v>71</v>
      </c>
      <c r="J115" s="72">
        <v>87</v>
      </c>
      <c r="K115" s="72">
        <v>85</v>
      </c>
      <c r="L115" s="72">
        <v>82</v>
      </c>
      <c r="M115" s="72">
        <v>90</v>
      </c>
      <c r="N115" s="72">
        <v>68</v>
      </c>
      <c r="O115" s="72">
        <v>65</v>
      </c>
    </row>
    <row r="116" spans="1:15" x14ac:dyDescent="0.15">
      <c r="A116" s="77" t="s">
        <v>21</v>
      </c>
      <c r="B116" s="72">
        <v>92.1</v>
      </c>
      <c r="C116" s="72">
        <v>88.1</v>
      </c>
      <c r="D116" s="72">
        <v>57</v>
      </c>
      <c r="E116" s="72">
        <v>53</v>
      </c>
      <c r="F116" s="72">
        <v>68</v>
      </c>
      <c r="G116" s="72">
        <v>63</v>
      </c>
      <c r="H116" s="72">
        <v>71</v>
      </c>
      <c r="I116" s="72">
        <v>65</v>
      </c>
      <c r="J116" s="72">
        <v>89</v>
      </c>
      <c r="K116" s="72">
        <v>90</v>
      </c>
      <c r="L116" s="72">
        <v>85</v>
      </c>
      <c r="M116" s="72">
        <v>86</v>
      </c>
      <c r="N116" s="72">
        <v>64</v>
      </c>
      <c r="O116" s="72">
        <v>65</v>
      </c>
    </row>
    <row r="117" spans="1:15" x14ac:dyDescent="0.15">
      <c r="A117" s="77" t="s">
        <v>89</v>
      </c>
      <c r="B117" s="72">
        <v>92.2</v>
      </c>
      <c r="C117" s="72">
        <v>92.5</v>
      </c>
      <c r="D117" s="72">
        <v>60</v>
      </c>
      <c r="E117" s="72">
        <v>63</v>
      </c>
      <c r="F117" s="72">
        <v>69</v>
      </c>
      <c r="G117" s="72">
        <v>69</v>
      </c>
      <c r="H117" s="72">
        <v>71</v>
      </c>
      <c r="I117" s="72">
        <v>74</v>
      </c>
      <c r="J117" s="72">
        <v>87</v>
      </c>
      <c r="K117" s="72">
        <v>89</v>
      </c>
      <c r="L117" s="72">
        <v>84</v>
      </c>
      <c r="M117" s="72">
        <v>83</v>
      </c>
      <c r="N117" s="72">
        <v>62</v>
      </c>
      <c r="O117" s="72">
        <v>67</v>
      </c>
    </row>
    <row r="118" spans="1:15" x14ac:dyDescent="0.15">
      <c r="A118" s="77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</row>
    <row r="119" spans="1:15" x14ac:dyDescent="0.15">
      <c r="A119" s="77" t="s">
        <v>289</v>
      </c>
      <c r="B119" s="72">
        <v>94.5</v>
      </c>
      <c r="C119" s="72">
        <v>92.8</v>
      </c>
      <c r="D119" s="72">
        <v>55</v>
      </c>
      <c r="E119" s="72">
        <v>65</v>
      </c>
      <c r="F119" s="72">
        <v>70</v>
      </c>
      <c r="G119" s="72">
        <v>71</v>
      </c>
      <c r="H119" s="72">
        <v>69</v>
      </c>
      <c r="I119" s="72">
        <v>75</v>
      </c>
      <c r="J119" s="72">
        <v>86</v>
      </c>
      <c r="K119" s="72">
        <v>89</v>
      </c>
      <c r="L119" s="72">
        <v>88</v>
      </c>
      <c r="M119" s="72">
        <v>84</v>
      </c>
      <c r="N119" s="72">
        <v>67</v>
      </c>
      <c r="O119" s="231">
        <v>66</v>
      </c>
    </row>
    <row r="120" spans="1:15" x14ac:dyDescent="0.15">
      <c r="A120" s="77" t="s">
        <v>134</v>
      </c>
      <c r="B120" s="72">
        <v>98.8</v>
      </c>
      <c r="C120" s="72">
        <v>90.5</v>
      </c>
      <c r="D120" s="72">
        <v>66</v>
      </c>
      <c r="E120" s="72">
        <v>55</v>
      </c>
      <c r="F120" s="72">
        <v>76</v>
      </c>
      <c r="G120" s="72">
        <v>71</v>
      </c>
      <c r="H120" s="72">
        <v>74</v>
      </c>
      <c r="I120" s="72">
        <v>68</v>
      </c>
      <c r="J120" s="72">
        <v>90</v>
      </c>
      <c r="K120" s="72">
        <v>87</v>
      </c>
      <c r="L120" s="72">
        <v>82</v>
      </c>
      <c r="M120" s="72">
        <v>92</v>
      </c>
      <c r="N120" s="72">
        <v>68</v>
      </c>
      <c r="O120" s="72">
        <v>65</v>
      </c>
    </row>
    <row r="121" spans="1:15" x14ac:dyDescent="0.15">
      <c r="A121" s="77" t="s">
        <v>92</v>
      </c>
      <c r="B121" s="18">
        <v>96.3</v>
      </c>
      <c r="C121" s="72">
        <v>95.4</v>
      </c>
      <c r="D121" s="72">
        <v>61</v>
      </c>
      <c r="E121" s="72">
        <v>65</v>
      </c>
      <c r="F121" s="72">
        <v>73</v>
      </c>
      <c r="G121" s="72">
        <v>77</v>
      </c>
      <c r="H121" s="72">
        <v>74</v>
      </c>
      <c r="I121" s="72">
        <v>75</v>
      </c>
      <c r="J121" s="72">
        <v>85</v>
      </c>
      <c r="K121" s="72">
        <v>91</v>
      </c>
      <c r="L121" s="72">
        <v>84</v>
      </c>
      <c r="M121" s="72">
        <v>84</v>
      </c>
      <c r="N121" s="72">
        <v>71</v>
      </c>
      <c r="O121" s="72">
        <v>68</v>
      </c>
    </row>
    <row r="122" spans="1:15" x14ac:dyDescent="0.15">
      <c r="A122" s="77"/>
      <c r="B122" s="18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</row>
    <row r="123" spans="1:15" x14ac:dyDescent="0.15">
      <c r="A123" s="262" t="s">
        <v>298</v>
      </c>
      <c r="B123" s="72">
        <v>97.8</v>
      </c>
      <c r="C123" s="72">
        <v>93.7</v>
      </c>
      <c r="D123" s="72">
        <v>57</v>
      </c>
      <c r="E123" s="72">
        <v>62</v>
      </c>
      <c r="F123" s="72">
        <v>73</v>
      </c>
      <c r="G123" s="72">
        <v>72</v>
      </c>
      <c r="H123" s="72">
        <v>70</v>
      </c>
      <c r="I123" s="72">
        <v>75</v>
      </c>
      <c r="J123" s="72">
        <v>91</v>
      </c>
      <c r="K123" s="72">
        <v>89</v>
      </c>
      <c r="L123" s="72">
        <v>81</v>
      </c>
      <c r="M123" s="72">
        <v>85</v>
      </c>
      <c r="N123" s="72">
        <v>72</v>
      </c>
      <c r="O123" s="72">
        <v>71</v>
      </c>
    </row>
    <row r="124" spans="1:15" x14ac:dyDescent="0.15">
      <c r="A124" s="262" t="s">
        <v>139</v>
      </c>
      <c r="B124" s="72">
        <v>95.2</v>
      </c>
      <c r="C124" s="72">
        <v>93.7</v>
      </c>
      <c r="D124" s="72">
        <v>61</v>
      </c>
      <c r="E124" s="72">
        <v>58</v>
      </c>
      <c r="F124" s="72">
        <v>71</v>
      </c>
      <c r="G124" s="72">
        <v>70</v>
      </c>
      <c r="H124" s="72">
        <v>69</v>
      </c>
      <c r="I124" s="72">
        <v>70</v>
      </c>
      <c r="J124" s="72">
        <v>93</v>
      </c>
      <c r="K124" s="72">
        <v>93</v>
      </c>
      <c r="L124" s="72">
        <v>81</v>
      </c>
      <c r="M124" s="72">
        <v>86</v>
      </c>
      <c r="N124" s="72">
        <v>68</v>
      </c>
      <c r="O124" s="72">
        <v>72</v>
      </c>
    </row>
    <row r="125" spans="1:15" x14ac:dyDescent="0.15">
      <c r="A125" s="262" t="s">
        <v>95</v>
      </c>
      <c r="B125" s="72">
        <v>94.6</v>
      </c>
      <c r="C125" s="72">
        <v>93.3</v>
      </c>
      <c r="D125" s="72">
        <v>56</v>
      </c>
      <c r="E125" s="72">
        <v>65</v>
      </c>
      <c r="F125" s="72">
        <v>73</v>
      </c>
      <c r="G125" s="72">
        <v>70</v>
      </c>
      <c r="H125" s="72">
        <v>67</v>
      </c>
      <c r="I125" s="72">
        <v>68</v>
      </c>
      <c r="J125" s="72">
        <v>91</v>
      </c>
      <c r="K125" s="72">
        <v>90</v>
      </c>
      <c r="L125" s="72">
        <v>81</v>
      </c>
      <c r="M125" s="72">
        <v>84</v>
      </c>
      <c r="N125" s="72">
        <v>66</v>
      </c>
      <c r="O125" s="72">
        <v>69</v>
      </c>
    </row>
    <row r="126" spans="1:15" x14ac:dyDescent="0.15">
      <c r="A126" s="258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</row>
    <row r="127" spans="1:15" x14ac:dyDescent="0.15">
      <c r="A127" s="262" t="s">
        <v>307</v>
      </c>
      <c r="B127" s="72">
        <v>91</v>
      </c>
      <c r="C127" s="72">
        <v>89.9</v>
      </c>
      <c r="D127" s="72">
        <v>58</v>
      </c>
      <c r="E127" s="72">
        <v>53</v>
      </c>
      <c r="F127" s="72">
        <v>64</v>
      </c>
      <c r="G127" s="72">
        <v>69</v>
      </c>
      <c r="H127" s="72">
        <v>65</v>
      </c>
      <c r="I127" s="72">
        <v>62</v>
      </c>
      <c r="J127" s="72">
        <v>91</v>
      </c>
      <c r="K127" s="72">
        <v>93</v>
      </c>
      <c r="L127" s="72">
        <v>79</v>
      </c>
      <c r="M127" s="72">
        <v>82</v>
      </c>
      <c r="N127" s="72">
        <v>66</v>
      </c>
      <c r="O127" s="72">
        <v>64</v>
      </c>
    </row>
    <row r="128" spans="1:15" x14ac:dyDescent="0.15">
      <c r="A128" s="262" t="s">
        <v>97</v>
      </c>
      <c r="B128" s="72">
        <v>88.7</v>
      </c>
      <c r="C128" s="72">
        <v>92.1</v>
      </c>
      <c r="D128" s="72">
        <v>48</v>
      </c>
      <c r="E128" s="72">
        <v>59</v>
      </c>
      <c r="F128" s="72">
        <v>66</v>
      </c>
      <c r="G128" s="72">
        <v>72</v>
      </c>
      <c r="H128" s="72">
        <v>65</v>
      </c>
      <c r="I128" s="72">
        <v>65</v>
      </c>
      <c r="J128" s="72">
        <v>85</v>
      </c>
      <c r="K128" s="72">
        <v>94</v>
      </c>
      <c r="L128" s="72">
        <v>80</v>
      </c>
      <c r="M128" s="72">
        <v>77</v>
      </c>
      <c r="N128" s="72">
        <v>61</v>
      </c>
      <c r="O128" s="72">
        <v>66</v>
      </c>
    </row>
    <row r="129" spans="1:15" x14ac:dyDescent="0.15">
      <c r="A129" s="262" t="s">
        <v>314</v>
      </c>
      <c r="B129" s="72">
        <v>90.9</v>
      </c>
      <c r="C129" s="72">
        <v>87.4</v>
      </c>
      <c r="D129" s="72">
        <v>57</v>
      </c>
      <c r="E129" s="72">
        <v>50</v>
      </c>
      <c r="F129" s="72">
        <v>69</v>
      </c>
      <c r="G129" s="72">
        <v>66</v>
      </c>
      <c r="H129" s="72">
        <v>66</v>
      </c>
      <c r="I129" s="72">
        <v>65</v>
      </c>
      <c r="J129" s="72">
        <v>86</v>
      </c>
      <c r="K129" s="72">
        <v>89</v>
      </c>
      <c r="L129" s="72">
        <v>80</v>
      </c>
      <c r="M129" s="72">
        <v>81</v>
      </c>
      <c r="N129" s="72">
        <v>63</v>
      </c>
      <c r="O129" s="72">
        <v>65</v>
      </c>
    </row>
    <row r="130" spans="1:15" x14ac:dyDescent="0.15">
      <c r="A130" s="26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</row>
    <row r="131" spans="1:15" x14ac:dyDescent="0.15">
      <c r="A131" s="262" t="s">
        <v>318</v>
      </c>
      <c r="B131" s="72">
        <v>95.1</v>
      </c>
      <c r="C131" s="72">
        <v>92</v>
      </c>
      <c r="D131" s="72">
        <v>55</v>
      </c>
      <c r="E131" s="72">
        <v>71</v>
      </c>
      <c r="F131" s="72">
        <v>72</v>
      </c>
      <c r="G131" s="72">
        <v>69</v>
      </c>
      <c r="H131" s="72">
        <v>67</v>
      </c>
      <c r="I131" s="72">
        <v>67</v>
      </c>
      <c r="J131" s="72">
        <v>89</v>
      </c>
      <c r="K131" s="72">
        <v>88</v>
      </c>
      <c r="L131" s="72">
        <v>82</v>
      </c>
      <c r="M131" s="72">
        <v>79</v>
      </c>
      <c r="N131" s="72">
        <v>64</v>
      </c>
      <c r="O131" s="72">
        <v>63</v>
      </c>
    </row>
    <row r="132" spans="1:15" x14ac:dyDescent="0.15">
      <c r="A132" s="262" t="s">
        <v>21</v>
      </c>
      <c r="B132" s="272">
        <f ca="1">IF($C132="","",[1]!BTSP(B$2,$C132))</f>
        <v>95.2</v>
      </c>
      <c r="C132" s="272">
        <f ca="1">IF($C132="","",[1]!BTSP(C$2,$C132))</f>
        <v>90.5</v>
      </c>
      <c r="D132" s="272">
        <f ca="1">IF($C132="","",[1]!BTSP(D$2,$C132))</f>
        <v>55</v>
      </c>
      <c r="E132" s="272">
        <f ca="1">IF($C132="","",[1]!BTSP(E$2,$C132))</f>
        <v>59</v>
      </c>
      <c r="F132" s="272">
        <f ca="1">IF($C132="","",[1]!BTSP(F$2,$C132))</f>
        <v>68</v>
      </c>
      <c r="G132" s="272">
        <f ca="1">IF($C132="","",[1]!BTSP(G$2,$C132))</f>
        <v>71</v>
      </c>
      <c r="H132" s="272">
        <f ca="1">IF($C132="","",[1]!BTSP(H$2,$C132))</f>
        <v>62</v>
      </c>
      <c r="I132" s="272">
        <f ca="1">IF($C132="","",[1]!BTSP(I$2,$C132))</f>
        <v>65</v>
      </c>
      <c r="J132" s="272">
        <f ca="1">IF($C132="","",[1]!BTSP(J$2,$C132))</f>
        <v>89</v>
      </c>
      <c r="K132" s="272">
        <f ca="1">IF($C132="","",[1]!BTSP(K$2,$C132))</f>
        <v>89</v>
      </c>
      <c r="L132" s="272">
        <f ca="1">IF($C132="","",[1]!BTSP(L$2,$C132))</f>
        <v>74</v>
      </c>
      <c r="M132" s="272">
        <f ca="1">IF($C132="","",[1]!BTSP(M$2,$C132))</f>
        <v>86</v>
      </c>
      <c r="N132" s="272">
        <f ca="1">IF($C132="","",[1]!BTSP(N$2,$C132))</f>
        <v>66</v>
      </c>
      <c r="O132" s="272">
        <f ca="1">IF($C132="","",[1]!BTSP(O$2,$C132))</f>
        <v>63</v>
      </c>
    </row>
    <row r="133" spans="1:15" x14ac:dyDescent="0.15">
      <c r="A133" s="262" t="s">
        <v>155</v>
      </c>
      <c r="B133" s="272">
        <f ca="1">IF($C133="","",[1]!BTSP(B$2,$C133))</f>
        <v>99.5</v>
      </c>
      <c r="C133" s="272">
        <f ca="1">IF($C133="","",[1]!BTSP(C$2,$C133))</f>
        <v>97.3</v>
      </c>
      <c r="D133" s="272">
        <f ca="1">IF($C133="","",[1]!BTSP(D$2,$C133))</f>
        <v>60</v>
      </c>
      <c r="E133" s="272">
        <f ca="1">IF($C133="","",[1]!BTSP(E$2,$C133))</f>
        <v>64</v>
      </c>
      <c r="F133" s="272">
        <f ca="1">IF($C133="","",[1]!BTSP(F$2,$C133))</f>
        <v>78</v>
      </c>
      <c r="G133" s="272">
        <f ca="1">IF($C133="","",[1]!BTSP(G$2,$C133))</f>
        <v>71</v>
      </c>
      <c r="H133" s="272">
        <f ca="1">IF($C133="","",[1]!BTSP(H$2,$C133))</f>
        <v>72</v>
      </c>
      <c r="I133" s="272">
        <f ca="1">IF($C133="","",[1]!BTSP(I$2,$C133))</f>
        <v>70</v>
      </c>
      <c r="J133" s="272">
        <f ca="1">IF($C133="","",[1]!BTSP(J$2,$C133))</f>
        <v>95</v>
      </c>
      <c r="K133" s="272">
        <f ca="1">IF($C133="","",[1]!BTSP(K$2,$C133))</f>
        <v>89</v>
      </c>
      <c r="L133" s="272">
        <f ca="1">IF($C133="","",[1]!BTSP(L$2,$C133))</f>
        <v>81</v>
      </c>
      <c r="M133" s="272">
        <f ca="1">IF($C133="","",[1]!BTSP(M$2,$C133))</f>
        <v>81</v>
      </c>
      <c r="N133" s="272">
        <f ca="1">IF($C133="","",[1]!BTSP(N$2,$C133))</f>
        <v>72</v>
      </c>
      <c r="O133" s="272">
        <f ca="1">IF($C133="","",[1]!BTSP(O$2,$C133))</f>
        <v>71</v>
      </c>
    </row>
    <row r="134" spans="1:15" x14ac:dyDescent="0.15">
      <c r="A134" s="26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</row>
    <row r="135" spans="1:15" x14ac:dyDescent="0.15">
      <c r="A135" s="262" t="s">
        <v>123</v>
      </c>
      <c r="B135" s="272">
        <f ca="1">IF($C135="","",[1]!BTSP(B$2,$C135))</f>
        <v>94.3</v>
      </c>
      <c r="C135" s="272">
        <f ca="1">IF($C135="","",[1]!BTSP(C$2,$C135))</f>
        <v>93.1</v>
      </c>
      <c r="D135" s="272">
        <f ca="1">IF($C135="","",[1]!BTSP(D$2,$C135))</f>
        <v>54</v>
      </c>
      <c r="E135" s="272">
        <f ca="1">IF($C135="","",[1]!BTSP(E$2,$C135))</f>
        <v>60</v>
      </c>
      <c r="F135" s="272">
        <f ca="1">IF($C135="","",[1]!BTSP(F$2,$C135))</f>
        <v>70</v>
      </c>
      <c r="G135" s="272">
        <f ca="1">IF($C135="","",[1]!BTSP(G$2,$C135))</f>
        <v>77</v>
      </c>
      <c r="H135" s="272">
        <f ca="1">IF($C135="","",[1]!BTSP(H$2,$C135))</f>
        <v>56</v>
      </c>
      <c r="I135" s="272">
        <f ca="1">IF($C135="","",[1]!BTSP(I$2,$C135))</f>
        <v>70</v>
      </c>
      <c r="J135" s="272">
        <f ca="1">IF($C135="","",[1]!BTSP(J$2,$C135))</f>
        <v>94</v>
      </c>
      <c r="K135" s="272">
        <f ca="1">IF($C135="","",[1]!BTSP(K$2,$C135))</f>
        <v>92</v>
      </c>
      <c r="L135" s="272">
        <f ca="1">IF($C135="","",[1]!BTSP(L$2,$C135))</f>
        <v>76</v>
      </c>
      <c r="M135" s="272">
        <f ca="1">IF($C135="","",[1]!BTSP(M$2,$C135))</f>
        <v>78</v>
      </c>
      <c r="N135" s="272">
        <f ca="1">IF($C135="","",[1]!BTSP(N$2,$C135))</f>
        <v>63</v>
      </c>
      <c r="O135" s="272">
        <f ca="1">IF($C135="","",[1]!BTSP(O$2,$C135))</f>
        <v>70</v>
      </c>
    </row>
    <row r="136" spans="1:15" ht="57" customHeight="1" x14ac:dyDescent="0.15">
      <c r="A136" s="312" t="s">
        <v>227</v>
      </c>
      <c r="B136" s="312"/>
      <c r="C136" s="312"/>
      <c r="D136" s="313"/>
      <c r="E136" s="313"/>
      <c r="F136" s="313"/>
      <c r="G136" s="313"/>
      <c r="H136" s="313"/>
      <c r="I136" s="313"/>
      <c r="J136" s="313"/>
      <c r="K136" s="313"/>
      <c r="L136" s="313"/>
      <c r="M136" s="313"/>
      <c r="N136" s="313"/>
      <c r="O136" s="313"/>
    </row>
  </sheetData>
  <mergeCells count="10">
    <mergeCell ref="A136:O136"/>
    <mergeCell ref="A3:A5"/>
    <mergeCell ref="D4:E4"/>
    <mergeCell ref="F4:G4"/>
    <mergeCell ref="N4:O4"/>
    <mergeCell ref="J4:K4"/>
    <mergeCell ref="H4:I4"/>
    <mergeCell ref="L4:M4"/>
    <mergeCell ref="B4:C4"/>
    <mergeCell ref="B3:O3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Q136"/>
  <sheetViews>
    <sheetView view="pageBreakPreview" zoomScale="85" zoomScaleNormal="100" zoomScaleSheetLayoutView="85" workbookViewId="0">
      <pane xSplit="1" ySplit="5" topLeftCell="B97" activePane="bottomRight" state="frozen"/>
      <selection pane="topRight" activeCell="B1" sqref="B1"/>
      <selection pane="bottomLeft" activeCell="A7" sqref="A7"/>
      <selection pane="bottomRight" activeCell="E132" sqref="E132"/>
    </sheetView>
  </sheetViews>
  <sheetFormatPr defaultRowHeight="13.5" x14ac:dyDescent="0.15"/>
  <cols>
    <col min="1" max="1" width="10.77734375" style="6" customWidth="1"/>
    <col min="2" max="13" width="8.44140625" style="6" customWidth="1"/>
    <col min="14" max="15" width="8.88671875" style="7"/>
    <col min="16" max="16384" width="8.88671875" style="6"/>
  </cols>
  <sheetData>
    <row r="1" spans="1:17" ht="18.75" customHeight="1" x14ac:dyDescent="0.25">
      <c r="A1" s="317"/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O1" s="6"/>
    </row>
    <row r="2" spans="1:17" ht="13.5" customHeight="1" x14ac:dyDescent="0.15">
      <c r="O2" s="6"/>
    </row>
    <row r="3" spans="1:17" s="10" customFormat="1" ht="17.25" customHeight="1" x14ac:dyDescent="0.15">
      <c r="A3" s="276" t="s">
        <v>1</v>
      </c>
      <c r="B3" s="316" t="s">
        <v>10</v>
      </c>
      <c r="C3" s="314"/>
      <c r="D3" s="314"/>
      <c r="E3" s="314"/>
      <c r="F3" s="314"/>
      <c r="G3" s="314"/>
      <c r="H3" s="314"/>
      <c r="I3" s="314"/>
      <c r="J3" s="314"/>
      <c r="K3" s="314"/>
      <c r="L3" s="314"/>
      <c r="M3" s="314"/>
      <c r="N3" s="180"/>
    </row>
    <row r="4" spans="1:17" s="10" customFormat="1" ht="15" customHeight="1" x14ac:dyDescent="0.15">
      <c r="A4" s="292"/>
      <c r="B4" s="316" t="s">
        <v>268</v>
      </c>
      <c r="C4" s="315"/>
      <c r="D4" s="316" t="s">
        <v>2</v>
      </c>
      <c r="E4" s="315"/>
      <c r="F4" s="279" t="s">
        <v>3</v>
      </c>
      <c r="G4" s="281"/>
      <c r="H4" s="279" t="s">
        <v>5</v>
      </c>
      <c r="I4" s="281"/>
      <c r="J4" s="278" t="s">
        <v>6</v>
      </c>
      <c r="K4" s="278"/>
      <c r="L4" s="278" t="s">
        <v>36</v>
      </c>
      <c r="M4" s="279"/>
      <c r="N4" s="168"/>
      <c r="O4" s="16"/>
    </row>
    <row r="5" spans="1:17" s="10" customFormat="1" ht="17.25" customHeight="1" x14ac:dyDescent="0.15">
      <c r="A5" s="277"/>
      <c r="B5" s="17" t="s">
        <v>7</v>
      </c>
      <c r="C5" s="204" t="s">
        <v>8</v>
      </c>
      <c r="D5" s="17" t="s">
        <v>7</v>
      </c>
      <c r="E5" s="9" t="s">
        <v>8</v>
      </c>
      <c r="F5" s="9" t="s">
        <v>7</v>
      </c>
      <c r="G5" s="4" t="s">
        <v>8</v>
      </c>
      <c r="H5" s="9" t="s">
        <v>7</v>
      </c>
      <c r="I5" s="4" t="s">
        <v>8</v>
      </c>
      <c r="J5" s="9" t="s">
        <v>7</v>
      </c>
      <c r="K5" s="4" t="s">
        <v>8</v>
      </c>
      <c r="L5" s="9" t="s">
        <v>7</v>
      </c>
      <c r="M5" s="80" t="s">
        <v>8</v>
      </c>
      <c r="N5" s="168"/>
      <c r="O5" s="16"/>
    </row>
    <row r="6" spans="1:17" ht="13.5" customHeight="1" x14ac:dyDescent="0.15">
      <c r="A6" s="77" t="s">
        <v>112</v>
      </c>
      <c r="B6" s="209">
        <v>123.665558</v>
      </c>
      <c r="C6" s="209">
        <v>106.740517</v>
      </c>
      <c r="D6" s="96">
        <v>89</v>
      </c>
      <c r="E6" s="96">
        <v>75</v>
      </c>
      <c r="F6" s="96">
        <v>99</v>
      </c>
      <c r="G6" s="96">
        <v>79</v>
      </c>
      <c r="H6" s="96">
        <v>90</v>
      </c>
      <c r="I6" s="96">
        <v>83</v>
      </c>
      <c r="J6" s="96">
        <v>106</v>
      </c>
      <c r="K6" s="96">
        <v>118</v>
      </c>
      <c r="L6" s="96">
        <v>79</v>
      </c>
      <c r="M6" s="95">
        <v>76</v>
      </c>
      <c r="N6" s="19"/>
      <c r="O6" s="19"/>
      <c r="P6" s="8"/>
      <c r="Q6" s="8"/>
    </row>
    <row r="7" spans="1:17" ht="13.5" customHeight="1" x14ac:dyDescent="0.15">
      <c r="A7" s="77" t="s">
        <v>114</v>
      </c>
      <c r="B7" s="209">
        <v>95.364936</v>
      </c>
      <c r="C7" s="209">
        <v>99.151453000000004</v>
      </c>
      <c r="D7" s="96">
        <v>67</v>
      </c>
      <c r="E7" s="96">
        <v>71</v>
      </c>
      <c r="F7" s="96">
        <v>65</v>
      </c>
      <c r="G7" s="96">
        <v>70</v>
      </c>
      <c r="H7" s="96">
        <v>67</v>
      </c>
      <c r="I7" s="96">
        <v>75</v>
      </c>
      <c r="J7" s="96">
        <v>89</v>
      </c>
      <c r="K7" s="96">
        <v>91</v>
      </c>
      <c r="L7" s="96">
        <v>65</v>
      </c>
      <c r="M7" s="95">
        <v>71</v>
      </c>
      <c r="N7" s="19"/>
      <c r="O7" s="19"/>
      <c r="P7" s="8"/>
      <c r="Q7" s="8"/>
    </row>
    <row r="8" spans="1:17" ht="13.5" customHeight="1" x14ac:dyDescent="0.15">
      <c r="A8" s="75"/>
      <c r="B8" s="209"/>
      <c r="C8" s="209"/>
      <c r="D8" s="96"/>
      <c r="E8" s="96"/>
      <c r="F8" s="96"/>
      <c r="G8" s="96"/>
      <c r="H8" s="96"/>
      <c r="I8" s="96"/>
      <c r="J8" s="96"/>
      <c r="K8" s="96"/>
      <c r="L8" s="96"/>
      <c r="M8" s="95"/>
      <c r="N8" s="19"/>
      <c r="O8" s="19"/>
      <c r="P8" s="8"/>
      <c r="Q8" s="8"/>
    </row>
    <row r="9" spans="1:17" ht="13.5" customHeight="1" x14ac:dyDescent="0.15">
      <c r="A9" s="77" t="s">
        <v>116</v>
      </c>
      <c r="B9" s="209">
        <v>93.505587000000006</v>
      </c>
      <c r="C9" s="209">
        <v>96.329548000000003</v>
      </c>
      <c r="D9" s="96">
        <v>62</v>
      </c>
      <c r="E9" s="96">
        <v>66</v>
      </c>
      <c r="F9" s="96">
        <v>73</v>
      </c>
      <c r="G9" s="96">
        <v>76</v>
      </c>
      <c r="H9" s="96">
        <v>62</v>
      </c>
      <c r="I9" s="96">
        <v>69</v>
      </c>
      <c r="J9" s="96">
        <v>80</v>
      </c>
      <c r="K9" s="96">
        <v>81</v>
      </c>
      <c r="L9" s="96">
        <v>62</v>
      </c>
      <c r="M9" s="95">
        <v>67</v>
      </c>
      <c r="N9" s="19"/>
      <c r="O9" s="19"/>
      <c r="P9" s="8"/>
      <c r="Q9" s="8"/>
    </row>
    <row r="10" spans="1:17" ht="13.5" customHeight="1" x14ac:dyDescent="0.15">
      <c r="A10" s="77" t="s">
        <v>118</v>
      </c>
      <c r="B10" s="209">
        <v>94.927869999999999</v>
      </c>
      <c r="C10" s="209">
        <v>93.645824000000005</v>
      </c>
      <c r="D10" s="96">
        <v>62</v>
      </c>
      <c r="E10" s="96">
        <v>64</v>
      </c>
      <c r="F10" s="96">
        <v>72</v>
      </c>
      <c r="G10" s="96">
        <v>68</v>
      </c>
      <c r="H10" s="96">
        <v>69</v>
      </c>
      <c r="I10" s="96">
        <v>69</v>
      </c>
      <c r="J10" s="96">
        <v>83</v>
      </c>
      <c r="K10" s="96">
        <v>82</v>
      </c>
      <c r="L10" s="96">
        <v>60</v>
      </c>
      <c r="M10" s="95">
        <v>67</v>
      </c>
      <c r="N10" s="19"/>
      <c r="O10" s="19"/>
      <c r="P10" s="8"/>
      <c r="Q10" s="8"/>
    </row>
    <row r="11" spans="1:17" ht="13.5" customHeight="1" x14ac:dyDescent="0.15">
      <c r="A11" s="77" t="s">
        <v>120</v>
      </c>
      <c r="B11" s="209">
        <v>99.5</v>
      </c>
      <c r="C11" s="209">
        <v>94</v>
      </c>
      <c r="D11" s="96">
        <v>66</v>
      </c>
      <c r="E11" s="96">
        <v>63</v>
      </c>
      <c r="F11" s="96">
        <v>71</v>
      </c>
      <c r="G11" s="96">
        <v>69</v>
      </c>
      <c r="H11" s="96">
        <v>74</v>
      </c>
      <c r="I11" s="96">
        <v>73</v>
      </c>
      <c r="J11" s="96">
        <v>81</v>
      </c>
      <c r="K11" s="96">
        <v>78</v>
      </c>
      <c r="L11" s="96">
        <v>66</v>
      </c>
      <c r="M11" s="95">
        <v>64</v>
      </c>
      <c r="N11" s="19"/>
      <c r="O11" s="19"/>
      <c r="P11" s="8"/>
      <c r="Q11" s="8"/>
    </row>
    <row r="12" spans="1:17" ht="13.5" customHeight="1" x14ac:dyDescent="0.15">
      <c r="A12" s="77" t="s">
        <v>122</v>
      </c>
      <c r="B12" s="209">
        <v>95.3</v>
      </c>
      <c r="C12" s="209">
        <v>91.7</v>
      </c>
      <c r="D12" s="96">
        <v>66</v>
      </c>
      <c r="E12" s="96">
        <v>59</v>
      </c>
      <c r="F12" s="96">
        <v>61</v>
      </c>
      <c r="G12" s="96">
        <v>68</v>
      </c>
      <c r="H12" s="96">
        <v>70</v>
      </c>
      <c r="I12" s="96">
        <v>68</v>
      </c>
      <c r="J12" s="96">
        <v>79</v>
      </c>
      <c r="K12" s="96">
        <v>78</v>
      </c>
      <c r="L12" s="96">
        <v>66</v>
      </c>
      <c r="M12" s="95">
        <v>66</v>
      </c>
    </row>
    <row r="13" spans="1:17" ht="13.5" customHeight="1" x14ac:dyDescent="0.15">
      <c r="A13" s="77" t="s">
        <v>131</v>
      </c>
      <c r="B13" s="18">
        <v>98.9</v>
      </c>
      <c r="C13" s="18">
        <v>99.5</v>
      </c>
      <c r="D13" s="18">
        <v>60</v>
      </c>
      <c r="E13" s="18">
        <v>67</v>
      </c>
      <c r="F13" s="18">
        <v>74</v>
      </c>
      <c r="G13" s="20">
        <v>76</v>
      </c>
      <c r="H13" s="18">
        <v>71</v>
      </c>
      <c r="I13" s="20">
        <v>76</v>
      </c>
      <c r="J13" s="18">
        <v>78</v>
      </c>
      <c r="K13" s="20">
        <v>78</v>
      </c>
      <c r="L13" s="18">
        <v>70</v>
      </c>
      <c r="M13" s="82">
        <v>69</v>
      </c>
      <c r="O13" s="6"/>
    </row>
    <row r="14" spans="1:17" ht="13.5" customHeight="1" x14ac:dyDescent="0.15">
      <c r="A14" s="77"/>
      <c r="B14" s="18" t="s">
        <v>207</v>
      </c>
      <c r="C14" s="18" t="s">
        <v>207</v>
      </c>
      <c r="D14" s="18" t="s">
        <v>207</v>
      </c>
      <c r="E14" s="18" t="s">
        <v>207</v>
      </c>
      <c r="F14" s="18" t="s">
        <v>207</v>
      </c>
      <c r="G14" s="20" t="s">
        <v>207</v>
      </c>
      <c r="H14" s="18" t="s">
        <v>207</v>
      </c>
      <c r="I14" s="20" t="s">
        <v>207</v>
      </c>
      <c r="J14" s="18" t="s">
        <v>207</v>
      </c>
      <c r="K14" s="20" t="s">
        <v>207</v>
      </c>
      <c r="L14" s="18" t="s">
        <v>207</v>
      </c>
      <c r="M14" s="82" t="s">
        <v>207</v>
      </c>
      <c r="O14" s="6"/>
    </row>
    <row r="15" spans="1:17" ht="13.5" customHeight="1" x14ac:dyDescent="0.15">
      <c r="A15" s="77" t="s">
        <v>184</v>
      </c>
      <c r="B15" s="18">
        <v>107.8</v>
      </c>
      <c r="C15" s="18">
        <v>107.3</v>
      </c>
      <c r="D15" s="18">
        <v>70</v>
      </c>
      <c r="E15" s="18">
        <v>68</v>
      </c>
      <c r="F15" s="18">
        <v>74</v>
      </c>
      <c r="G15" s="20">
        <v>82</v>
      </c>
      <c r="H15" s="18">
        <v>82</v>
      </c>
      <c r="I15" s="20">
        <v>85</v>
      </c>
      <c r="J15" s="18">
        <v>79</v>
      </c>
      <c r="K15" s="20">
        <v>75</v>
      </c>
      <c r="L15" s="18">
        <v>77</v>
      </c>
      <c r="M15" s="82">
        <v>79</v>
      </c>
      <c r="O15" s="6"/>
    </row>
    <row r="16" spans="1:17" ht="13.5" customHeight="1" x14ac:dyDescent="0.15">
      <c r="A16" s="77" t="s">
        <v>200</v>
      </c>
      <c r="B16" s="18">
        <v>116.5</v>
      </c>
      <c r="C16" s="18">
        <v>112.3</v>
      </c>
      <c r="D16" s="18">
        <v>78</v>
      </c>
      <c r="E16" s="18">
        <v>75</v>
      </c>
      <c r="F16" s="18">
        <v>85</v>
      </c>
      <c r="G16" s="20">
        <v>88</v>
      </c>
      <c r="H16" s="18">
        <v>82</v>
      </c>
      <c r="I16" s="20">
        <v>86</v>
      </c>
      <c r="J16" s="18">
        <v>79</v>
      </c>
      <c r="K16" s="20">
        <v>72</v>
      </c>
      <c r="L16" s="18">
        <v>87</v>
      </c>
      <c r="M16" s="82">
        <v>83</v>
      </c>
      <c r="O16" s="6"/>
    </row>
    <row r="17" spans="1:15" ht="13.5" customHeight="1" x14ac:dyDescent="0.15">
      <c r="A17" s="77" t="s">
        <v>204</v>
      </c>
      <c r="B17" s="18">
        <v>95.9</v>
      </c>
      <c r="C17" s="18">
        <v>99.7</v>
      </c>
      <c r="D17" s="18">
        <v>62</v>
      </c>
      <c r="E17" s="18">
        <v>64</v>
      </c>
      <c r="F17" s="18">
        <v>65</v>
      </c>
      <c r="G17" s="20">
        <v>73</v>
      </c>
      <c r="H17" s="18">
        <v>73</v>
      </c>
      <c r="I17" s="20">
        <v>76</v>
      </c>
      <c r="J17" s="18">
        <v>77</v>
      </c>
      <c r="K17" s="20">
        <v>71</v>
      </c>
      <c r="L17" s="18">
        <v>65</v>
      </c>
      <c r="M17" s="82">
        <v>75</v>
      </c>
      <c r="O17" s="6"/>
    </row>
    <row r="18" spans="1:15" ht="13.5" customHeight="1" x14ac:dyDescent="0.15">
      <c r="A18" s="77"/>
      <c r="B18" s="18" t="s">
        <v>207</v>
      </c>
      <c r="C18" s="18" t="s">
        <v>207</v>
      </c>
      <c r="D18" s="18" t="s">
        <v>207</v>
      </c>
      <c r="E18" s="18" t="s">
        <v>207</v>
      </c>
      <c r="F18" s="18" t="s">
        <v>207</v>
      </c>
      <c r="G18" s="20" t="s">
        <v>207</v>
      </c>
      <c r="H18" s="18" t="s">
        <v>207</v>
      </c>
      <c r="I18" s="20" t="s">
        <v>207</v>
      </c>
      <c r="J18" s="18" t="s">
        <v>207</v>
      </c>
      <c r="K18" s="20" t="s">
        <v>207</v>
      </c>
      <c r="L18" s="18" t="s">
        <v>207</v>
      </c>
      <c r="M18" s="82" t="s">
        <v>207</v>
      </c>
      <c r="O18" s="6"/>
    </row>
    <row r="19" spans="1:15" ht="13.5" customHeight="1" x14ac:dyDescent="0.15">
      <c r="A19" s="77" t="s">
        <v>148</v>
      </c>
      <c r="B19" s="18">
        <v>88.6</v>
      </c>
      <c r="C19" s="18">
        <v>93.9</v>
      </c>
      <c r="D19" s="18">
        <v>52</v>
      </c>
      <c r="E19" s="18">
        <v>59</v>
      </c>
      <c r="F19" s="18">
        <v>60</v>
      </c>
      <c r="G19" s="20">
        <v>69</v>
      </c>
      <c r="H19" s="18">
        <v>65</v>
      </c>
      <c r="I19" s="20">
        <v>72</v>
      </c>
      <c r="J19" s="18">
        <v>82</v>
      </c>
      <c r="K19" s="20">
        <v>81</v>
      </c>
      <c r="L19" s="18">
        <v>64</v>
      </c>
      <c r="M19" s="82">
        <v>68</v>
      </c>
      <c r="O19" s="6"/>
    </row>
    <row r="20" spans="1:15" ht="13.5" customHeight="1" x14ac:dyDescent="0.15">
      <c r="A20" s="77" t="s">
        <v>21</v>
      </c>
      <c r="B20" s="18">
        <v>91.6</v>
      </c>
      <c r="C20" s="18">
        <v>85.5</v>
      </c>
      <c r="D20" s="18">
        <v>55</v>
      </c>
      <c r="E20" s="18">
        <v>50</v>
      </c>
      <c r="F20" s="18">
        <v>58</v>
      </c>
      <c r="G20" s="20">
        <v>56</v>
      </c>
      <c r="H20" s="18">
        <v>71</v>
      </c>
      <c r="I20" s="20">
        <v>67</v>
      </c>
      <c r="J20" s="18">
        <v>76</v>
      </c>
      <c r="K20" s="20">
        <v>82</v>
      </c>
      <c r="L20" s="18">
        <v>66</v>
      </c>
      <c r="M20" s="82">
        <v>65</v>
      </c>
      <c r="O20" s="6"/>
    </row>
    <row r="21" spans="1:15" ht="13.5" customHeight="1" x14ac:dyDescent="0.15">
      <c r="A21" s="77" t="s">
        <v>89</v>
      </c>
      <c r="B21" s="18">
        <v>94.1</v>
      </c>
      <c r="C21" s="18">
        <v>97.5</v>
      </c>
      <c r="D21" s="18">
        <v>55</v>
      </c>
      <c r="E21" s="18">
        <v>65</v>
      </c>
      <c r="F21" s="18">
        <v>61</v>
      </c>
      <c r="G21" s="20">
        <v>65</v>
      </c>
      <c r="H21" s="18">
        <v>74</v>
      </c>
      <c r="I21" s="20">
        <v>78</v>
      </c>
      <c r="J21" s="18">
        <v>81</v>
      </c>
      <c r="K21" s="20">
        <v>77</v>
      </c>
      <c r="L21" s="18">
        <v>68</v>
      </c>
      <c r="M21" s="82">
        <v>72</v>
      </c>
      <c r="O21" s="6"/>
    </row>
    <row r="22" spans="1:15" ht="13.5" customHeight="1" x14ac:dyDescent="0.15">
      <c r="A22" s="77"/>
      <c r="B22" s="18" t="s">
        <v>207</v>
      </c>
      <c r="C22" s="18" t="s">
        <v>207</v>
      </c>
      <c r="D22" s="18" t="s">
        <v>207</v>
      </c>
      <c r="E22" s="18" t="s">
        <v>207</v>
      </c>
      <c r="F22" s="18" t="s">
        <v>207</v>
      </c>
      <c r="G22" s="20" t="s">
        <v>207</v>
      </c>
      <c r="H22" s="18" t="s">
        <v>207</v>
      </c>
      <c r="I22" s="20" t="s">
        <v>207</v>
      </c>
      <c r="J22" s="18" t="s">
        <v>207</v>
      </c>
      <c r="K22" s="20" t="s">
        <v>207</v>
      </c>
      <c r="L22" s="18" t="s">
        <v>207</v>
      </c>
      <c r="M22" s="82" t="s">
        <v>207</v>
      </c>
      <c r="O22" s="6"/>
    </row>
    <row r="23" spans="1:15" ht="13.5" customHeight="1" x14ac:dyDescent="0.15">
      <c r="A23" s="77" t="s">
        <v>90</v>
      </c>
      <c r="B23" s="18">
        <v>92.5</v>
      </c>
      <c r="C23" s="18">
        <v>95.5</v>
      </c>
      <c r="D23" s="18">
        <v>59</v>
      </c>
      <c r="E23" s="18">
        <v>61</v>
      </c>
      <c r="F23" s="18">
        <v>63</v>
      </c>
      <c r="G23" s="20">
        <v>67</v>
      </c>
      <c r="H23" s="18">
        <v>69</v>
      </c>
      <c r="I23" s="20">
        <v>75</v>
      </c>
      <c r="J23" s="18">
        <v>78</v>
      </c>
      <c r="K23" s="20">
        <v>80</v>
      </c>
      <c r="L23" s="18">
        <v>63</v>
      </c>
      <c r="M23" s="82">
        <v>70</v>
      </c>
      <c r="O23" s="6"/>
    </row>
    <row r="24" spans="1:15" ht="13.5" customHeight="1" x14ac:dyDescent="0.15">
      <c r="A24" s="77" t="s">
        <v>91</v>
      </c>
      <c r="B24" s="18">
        <v>93</v>
      </c>
      <c r="C24" s="18">
        <v>96</v>
      </c>
      <c r="D24" s="18">
        <v>56</v>
      </c>
      <c r="E24" s="18">
        <v>61</v>
      </c>
      <c r="F24" s="18">
        <v>63</v>
      </c>
      <c r="G24" s="20">
        <v>68</v>
      </c>
      <c r="H24" s="18">
        <v>70</v>
      </c>
      <c r="I24" s="20">
        <v>75</v>
      </c>
      <c r="J24" s="18">
        <v>74</v>
      </c>
      <c r="K24" s="20">
        <v>78</v>
      </c>
      <c r="L24" s="18">
        <v>66</v>
      </c>
      <c r="M24" s="82">
        <v>71</v>
      </c>
      <c r="O24" s="6"/>
    </row>
    <row r="25" spans="1:15" ht="13.5" customHeight="1" x14ac:dyDescent="0.15">
      <c r="A25" s="77" t="s">
        <v>92</v>
      </c>
      <c r="B25" s="18">
        <v>96.5</v>
      </c>
      <c r="C25" s="18">
        <v>91.2</v>
      </c>
      <c r="D25" s="18">
        <v>62</v>
      </c>
      <c r="E25" s="18">
        <v>56</v>
      </c>
      <c r="F25" s="18">
        <v>66</v>
      </c>
      <c r="G25" s="20">
        <v>64</v>
      </c>
      <c r="H25" s="18">
        <v>72</v>
      </c>
      <c r="I25" s="20">
        <v>71</v>
      </c>
      <c r="J25" s="18">
        <v>78</v>
      </c>
      <c r="K25" s="20">
        <v>76</v>
      </c>
      <c r="L25" s="18">
        <v>67</v>
      </c>
      <c r="M25" s="82">
        <v>67</v>
      </c>
      <c r="O25" s="6"/>
    </row>
    <row r="26" spans="1:15" ht="13.5" customHeight="1" x14ac:dyDescent="0.15">
      <c r="A26" s="77"/>
      <c r="B26" s="18" t="s">
        <v>207</v>
      </c>
      <c r="C26" s="18" t="s">
        <v>207</v>
      </c>
      <c r="D26" s="18" t="s">
        <v>207</v>
      </c>
      <c r="E26" s="18" t="s">
        <v>207</v>
      </c>
      <c r="F26" s="18" t="s">
        <v>207</v>
      </c>
      <c r="G26" s="20" t="s">
        <v>207</v>
      </c>
      <c r="H26" s="18" t="s">
        <v>207</v>
      </c>
      <c r="I26" s="20" t="s">
        <v>207</v>
      </c>
      <c r="J26" s="18" t="s">
        <v>207</v>
      </c>
      <c r="K26" s="20" t="s">
        <v>207</v>
      </c>
      <c r="L26" s="18" t="s">
        <v>207</v>
      </c>
      <c r="M26" s="82" t="s">
        <v>207</v>
      </c>
      <c r="O26" s="6"/>
    </row>
    <row r="27" spans="1:15" ht="13.5" customHeight="1" x14ac:dyDescent="0.15">
      <c r="A27" s="77" t="s">
        <v>93</v>
      </c>
      <c r="B27" s="18">
        <v>102.4</v>
      </c>
      <c r="C27" s="18">
        <v>98.6</v>
      </c>
      <c r="D27" s="18">
        <v>65</v>
      </c>
      <c r="E27" s="18">
        <v>65</v>
      </c>
      <c r="F27" s="18">
        <v>72</v>
      </c>
      <c r="G27" s="20">
        <v>70</v>
      </c>
      <c r="H27" s="18">
        <v>77</v>
      </c>
      <c r="I27" s="20">
        <v>77</v>
      </c>
      <c r="J27" s="18">
        <v>78</v>
      </c>
      <c r="K27" s="20">
        <v>77</v>
      </c>
      <c r="L27" s="18">
        <v>72</v>
      </c>
      <c r="M27" s="82">
        <v>72</v>
      </c>
      <c r="O27" s="6"/>
    </row>
    <row r="28" spans="1:15" ht="13.5" customHeight="1" x14ac:dyDescent="0.15">
      <c r="A28" s="77" t="s">
        <v>94</v>
      </c>
      <c r="B28" s="18">
        <v>100.7</v>
      </c>
      <c r="C28" s="18">
        <v>98.7</v>
      </c>
      <c r="D28" s="18">
        <v>63</v>
      </c>
      <c r="E28" s="18">
        <v>63</v>
      </c>
      <c r="F28" s="18">
        <v>68</v>
      </c>
      <c r="G28" s="20">
        <v>70</v>
      </c>
      <c r="H28" s="18">
        <v>76</v>
      </c>
      <c r="I28" s="20">
        <v>77</v>
      </c>
      <c r="J28" s="18">
        <v>75</v>
      </c>
      <c r="K28" s="20">
        <v>77</v>
      </c>
      <c r="L28" s="18">
        <v>73</v>
      </c>
      <c r="M28" s="82">
        <v>74</v>
      </c>
      <c r="O28" s="6"/>
    </row>
    <row r="29" spans="1:15" ht="13.5" customHeight="1" x14ac:dyDescent="0.15">
      <c r="A29" s="77" t="s">
        <v>95</v>
      </c>
      <c r="B29" s="18">
        <v>100.5</v>
      </c>
      <c r="C29" s="18">
        <v>98</v>
      </c>
      <c r="D29" s="18">
        <v>64</v>
      </c>
      <c r="E29" s="18">
        <v>63</v>
      </c>
      <c r="F29" s="18">
        <v>71</v>
      </c>
      <c r="G29" s="20">
        <v>70</v>
      </c>
      <c r="H29" s="18">
        <v>76</v>
      </c>
      <c r="I29" s="20">
        <v>76</v>
      </c>
      <c r="J29" s="18">
        <v>76</v>
      </c>
      <c r="K29" s="20">
        <v>77</v>
      </c>
      <c r="L29" s="18">
        <v>69</v>
      </c>
      <c r="M29" s="82">
        <v>73</v>
      </c>
      <c r="O29" s="6"/>
    </row>
    <row r="30" spans="1:15" ht="13.5" customHeight="1" x14ac:dyDescent="0.15">
      <c r="A30" s="77"/>
      <c r="B30" s="18" t="s">
        <v>207</v>
      </c>
      <c r="C30" s="18" t="s">
        <v>207</v>
      </c>
      <c r="D30" s="18" t="s">
        <v>207</v>
      </c>
      <c r="E30" s="18" t="s">
        <v>207</v>
      </c>
      <c r="F30" s="18" t="s">
        <v>207</v>
      </c>
      <c r="G30" s="20" t="s">
        <v>207</v>
      </c>
      <c r="H30" s="18" t="s">
        <v>207</v>
      </c>
      <c r="I30" s="20" t="s">
        <v>207</v>
      </c>
      <c r="J30" s="18" t="s">
        <v>207</v>
      </c>
      <c r="K30" s="20" t="s">
        <v>207</v>
      </c>
      <c r="L30" s="18" t="s">
        <v>207</v>
      </c>
      <c r="M30" s="82" t="s">
        <v>207</v>
      </c>
      <c r="O30" s="6"/>
    </row>
    <row r="31" spans="1:15" ht="13.5" customHeight="1" x14ac:dyDescent="0.15">
      <c r="A31" s="77" t="s">
        <v>96</v>
      </c>
      <c r="B31" s="18">
        <v>99.3</v>
      </c>
      <c r="C31" s="18">
        <v>98.3</v>
      </c>
      <c r="D31" s="18">
        <v>61</v>
      </c>
      <c r="E31" s="18">
        <v>64</v>
      </c>
      <c r="F31" s="18">
        <v>66</v>
      </c>
      <c r="G31" s="20">
        <v>71</v>
      </c>
      <c r="H31" s="18">
        <v>76</v>
      </c>
      <c r="I31" s="20">
        <v>78</v>
      </c>
      <c r="J31" s="18">
        <v>78</v>
      </c>
      <c r="K31" s="20">
        <v>76</v>
      </c>
      <c r="L31" s="18">
        <v>72</v>
      </c>
      <c r="M31" s="82">
        <v>70</v>
      </c>
      <c r="O31" s="6"/>
    </row>
    <row r="32" spans="1:15" ht="13.5" customHeight="1" x14ac:dyDescent="0.15">
      <c r="A32" s="77" t="s">
        <v>97</v>
      </c>
      <c r="B32" s="18">
        <v>101.2</v>
      </c>
      <c r="C32" s="18">
        <v>95.2</v>
      </c>
      <c r="D32" s="18">
        <v>64</v>
      </c>
      <c r="E32" s="18">
        <v>59</v>
      </c>
      <c r="F32" s="18">
        <v>72</v>
      </c>
      <c r="G32" s="20">
        <v>69</v>
      </c>
      <c r="H32" s="18">
        <v>76</v>
      </c>
      <c r="I32" s="20">
        <v>75</v>
      </c>
      <c r="J32" s="18">
        <v>80</v>
      </c>
      <c r="K32" s="20">
        <v>81</v>
      </c>
      <c r="L32" s="18">
        <v>70</v>
      </c>
      <c r="M32" s="82">
        <v>69</v>
      </c>
      <c r="O32" s="6"/>
    </row>
    <row r="33" spans="1:15" ht="13.5" customHeight="1" x14ac:dyDescent="0.15">
      <c r="A33" s="77" t="s">
        <v>98</v>
      </c>
      <c r="B33" s="18">
        <v>102.7</v>
      </c>
      <c r="C33" s="18">
        <v>94.8</v>
      </c>
      <c r="D33" s="18">
        <v>63</v>
      </c>
      <c r="E33" s="18">
        <v>61</v>
      </c>
      <c r="F33" s="18">
        <v>74</v>
      </c>
      <c r="G33" s="20">
        <v>67</v>
      </c>
      <c r="H33" s="18">
        <v>76</v>
      </c>
      <c r="I33" s="20">
        <v>73</v>
      </c>
      <c r="J33" s="18">
        <v>77</v>
      </c>
      <c r="K33" s="20">
        <v>81</v>
      </c>
      <c r="L33" s="18">
        <v>74</v>
      </c>
      <c r="M33" s="82">
        <v>70</v>
      </c>
      <c r="O33" s="6"/>
    </row>
    <row r="34" spans="1:15" ht="13.5" customHeight="1" x14ac:dyDescent="0.15">
      <c r="A34" s="77"/>
      <c r="B34" s="18" t="s">
        <v>207</v>
      </c>
      <c r="C34" s="18" t="s">
        <v>207</v>
      </c>
      <c r="D34" s="18" t="s">
        <v>207</v>
      </c>
      <c r="E34" s="18" t="s">
        <v>207</v>
      </c>
      <c r="F34" s="18" t="s">
        <v>207</v>
      </c>
      <c r="G34" s="20" t="s">
        <v>207</v>
      </c>
      <c r="H34" s="18" t="s">
        <v>207</v>
      </c>
      <c r="I34" s="20" t="s">
        <v>207</v>
      </c>
      <c r="J34" s="18" t="s">
        <v>207</v>
      </c>
      <c r="K34" s="20" t="s">
        <v>207</v>
      </c>
      <c r="L34" s="18" t="s">
        <v>207</v>
      </c>
      <c r="M34" s="82" t="s">
        <v>207</v>
      </c>
      <c r="O34" s="6"/>
    </row>
    <row r="35" spans="1:15" ht="13.5" customHeight="1" x14ac:dyDescent="0.15">
      <c r="A35" s="77" t="s">
        <v>164</v>
      </c>
      <c r="B35" s="18">
        <v>95.7</v>
      </c>
      <c r="C35" s="18">
        <v>93.7</v>
      </c>
      <c r="D35" s="18">
        <v>57</v>
      </c>
      <c r="E35" s="18">
        <v>58</v>
      </c>
      <c r="F35" s="18">
        <v>67</v>
      </c>
      <c r="G35" s="20">
        <v>68</v>
      </c>
      <c r="H35" s="18">
        <v>71</v>
      </c>
      <c r="I35" s="20">
        <v>73</v>
      </c>
      <c r="J35" s="18">
        <v>81</v>
      </c>
      <c r="K35" s="20">
        <v>77</v>
      </c>
      <c r="L35" s="18">
        <v>69</v>
      </c>
      <c r="M35" s="82">
        <v>68</v>
      </c>
      <c r="O35" s="6"/>
    </row>
    <row r="36" spans="1:15" ht="13.5" customHeight="1" x14ac:dyDescent="0.15">
      <c r="A36" s="77" t="s">
        <v>21</v>
      </c>
      <c r="B36" s="18">
        <v>86.4</v>
      </c>
      <c r="C36" s="18">
        <v>94.1</v>
      </c>
      <c r="D36" s="18">
        <v>52</v>
      </c>
      <c r="E36" s="18">
        <v>57</v>
      </c>
      <c r="F36" s="18">
        <v>58</v>
      </c>
      <c r="G36" s="20">
        <v>68</v>
      </c>
      <c r="H36" s="18">
        <v>63</v>
      </c>
      <c r="I36" s="20">
        <v>73</v>
      </c>
      <c r="J36" s="18">
        <v>76</v>
      </c>
      <c r="K36" s="20">
        <v>82</v>
      </c>
      <c r="L36" s="18">
        <v>61</v>
      </c>
      <c r="M36" s="82">
        <v>70</v>
      </c>
      <c r="O36" s="6"/>
    </row>
    <row r="37" spans="1:15" ht="13.5" customHeight="1" x14ac:dyDescent="0.15">
      <c r="A37" s="77" t="s">
        <v>89</v>
      </c>
      <c r="B37" s="18">
        <v>70</v>
      </c>
      <c r="C37" s="18">
        <v>87.3</v>
      </c>
      <c r="D37" s="18">
        <v>40</v>
      </c>
      <c r="E37" s="18">
        <v>54</v>
      </c>
      <c r="F37" s="18">
        <v>44</v>
      </c>
      <c r="G37" s="20">
        <v>60</v>
      </c>
      <c r="H37" s="18">
        <v>50</v>
      </c>
      <c r="I37" s="20">
        <v>67</v>
      </c>
      <c r="J37" s="18">
        <v>78</v>
      </c>
      <c r="K37" s="20">
        <v>73</v>
      </c>
      <c r="L37" s="18">
        <v>47</v>
      </c>
      <c r="M37" s="82">
        <v>64</v>
      </c>
      <c r="O37" s="6"/>
    </row>
    <row r="38" spans="1:15" ht="13.5" customHeight="1" x14ac:dyDescent="0.15">
      <c r="A38" s="77"/>
      <c r="B38" s="18" t="s">
        <v>207</v>
      </c>
      <c r="C38" s="18" t="s">
        <v>207</v>
      </c>
      <c r="D38" s="18" t="s">
        <v>207</v>
      </c>
      <c r="E38" s="18" t="s">
        <v>207</v>
      </c>
      <c r="F38" s="18" t="s">
        <v>207</v>
      </c>
      <c r="G38" s="20" t="s">
        <v>207</v>
      </c>
      <c r="H38" s="18" t="s">
        <v>207</v>
      </c>
      <c r="I38" s="20" t="s">
        <v>207</v>
      </c>
      <c r="J38" s="18" t="s">
        <v>207</v>
      </c>
      <c r="K38" s="20" t="s">
        <v>207</v>
      </c>
      <c r="L38" s="18" t="s">
        <v>207</v>
      </c>
      <c r="M38" s="82" t="s">
        <v>207</v>
      </c>
      <c r="O38" s="6"/>
    </row>
    <row r="39" spans="1:15" ht="13.5" customHeight="1" x14ac:dyDescent="0.15">
      <c r="A39" s="77" t="s">
        <v>90</v>
      </c>
      <c r="B39" s="18">
        <v>73.3</v>
      </c>
      <c r="C39" s="18">
        <v>66.599999999999994</v>
      </c>
      <c r="D39" s="18">
        <v>41</v>
      </c>
      <c r="E39" s="18">
        <v>38</v>
      </c>
      <c r="F39" s="18">
        <v>44</v>
      </c>
      <c r="G39" s="20">
        <v>43</v>
      </c>
      <c r="H39" s="18">
        <v>56</v>
      </c>
      <c r="I39" s="20">
        <v>48</v>
      </c>
      <c r="J39" s="18">
        <v>76</v>
      </c>
      <c r="K39" s="20">
        <v>79</v>
      </c>
      <c r="L39" s="18">
        <v>50</v>
      </c>
      <c r="M39" s="82">
        <v>45</v>
      </c>
      <c r="O39" s="6"/>
    </row>
    <row r="40" spans="1:15" ht="13.5" customHeight="1" x14ac:dyDescent="0.15">
      <c r="A40" s="77" t="s">
        <v>91</v>
      </c>
      <c r="B40" s="18">
        <v>73</v>
      </c>
      <c r="C40" s="18">
        <v>70.900000000000006</v>
      </c>
      <c r="D40" s="18">
        <v>43</v>
      </c>
      <c r="E40" s="18">
        <v>41</v>
      </c>
      <c r="F40" s="18">
        <v>41</v>
      </c>
      <c r="G40" s="20">
        <v>43</v>
      </c>
      <c r="H40" s="18">
        <v>55</v>
      </c>
      <c r="I40" s="20">
        <v>55</v>
      </c>
      <c r="J40" s="18">
        <v>74</v>
      </c>
      <c r="K40" s="20">
        <v>76</v>
      </c>
      <c r="L40" s="18">
        <v>51</v>
      </c>
      <c r="M40" s="82">
        <v>49</v>
      </c>
      <c r="O40" s="6"/>
    </row>
    <row r="41" spans="1:15" ht="13.5" customHeight="1" x14ac:dyDescent="0.15">
      <c r="A41" s="77" t="s">
        <v>92</v>
      </c>
      <c r="B41" s="18">
        <v>82.5</v>
      </c>
      <c r="C41" s="18">
        <v>71.900000000000006</v>
      </c>
      <c r="D41" s="18">
        <v>51</v>
      </c>
      <c r="E41" s="18">
        <v>41</v>
      </c>
      <c r="F41" s="18">
        <v>50</v>
      </c>
      <c r="G41" s="20">
        <v>42</v>
      </c>
      <c r="H41" s="18">
        <v>63</v>
      </c>
      <c r="I41" s="20">
        <v>57</v>
      </c>
      <c r="J41" s="18">
        <v>73</v>
      </c>
      <c r="K41" s="20">
        <v>76</v>
      </c>
      <c r="L41" s="18">
        <v>57</v>
      </c>
      <c r="M41" s="82">
        <v>51</v>
      </c>
      <c r="O41" s="6"/>
    </row>
    <row r="42" spans="1:15" ht="13.5" customHeight="1" x14ac:dyDescent="0.15">
      <c r="A42" s="77"/>
      <c r="B42" s="18" t="s">
        <v>207</v>
      </c>
      <c r="C42" s="18" t="s">
        <v>207</v>
      </c>
      <c r="D42" s="18" t="s">
        <v>207</v>
      </c>
      <c r="E42" s="18" t="s">
        <v>207</v>
      </c>
      <c r="F42" s="18" t="s">
        <v>207</v>
      </c>
      <c r="G42" s="20" t="s">
        <v>207</v>
      </c>
      <c r="H42" s="18" t="s">
        <v>207</v>
      </c>
      <c r="I42" s="20" t="s">
        <v>207</v>
      </c>
      <c r="J42" s="18" t="s">
        <v>207</v>
      </c>
      <c r="K42" s="20" t="s">
        <v>207</v>
      </c>
      <c r="L42" s="18" t="s">
        <v>207</v>
      </c>
      <c r="M42" s="82" t="s">
        <v>207</v>
      </c>
      <c r="O42" s="6"/>
    </row>
    <row r="43" spans="1:15" ht="13.5" customHeight="1" x14ac:dyDescent="0.15">
      <c r="A43" s="77" t="s">
        <v>93</v>
      </c>
      <c r="B43" s="18">
        <v>88.5</v>
      </c>
      <c r="C43" s="18">
        <v>78.7</v>
      </c>
      <c r="D43" s="18">
        <v>53</v>
      </c>
      <c r="E43" s="18">
        <v>50</v>
      </c>
      <c r="F43" s="18">
        <v>62</v>
      </c>
      <c r="G43" s="20">
        <v>47</v>
      </c>
      <c r="H43" s="18">
        <v>64</v>
      </c>
      <c r="I43" s="20">
        <v>61</v>
      </c>
      <c r="J43" s="18">
        <v>75</v>
      </c>
      <c r="K43" s="20">
        <v>73</v>
      </c>
      <c r="L43" s="18">
        <v>62</v>
      </c>
      <c r="M43" s="82">
        <v>57</v>
      </c>
      <c r="O43" s="6"/>
    </row>
    <row r="44" spans="1:15" ht="13.5" customHeight="1" x14ac:dyDescent="0.15">
      <c r="A44" s="77" t="s">
        <v>94</v>
      </c>
      <c r="B44" s="18">
        <v>78.900000000000006</v>
      </c>
      <c r="C44" s="18">
        <v>82.8</v>
      </c>
      <c r="D44" s="18">
        <v>52</v>
      </c>
      <c r="E44" s="18">
        <v>50</v>
      </c>
      <c r="F44" s="18">
        <v>49</v>
      </c>
      <c r="G44" s="20">
        <v>61</v>
      </c>
      <c r="H44" s="18">
        <v>54</v>
      </c>
      <c r="I44" s="20">
        <v>62</v>
      </c>
      <c r="J44" s="18">
        <v>76</v>
      </c>
      <c r="K44" s="20">
        <v>75</v>
      </c>
      <c r="L44" s="18">
        <v>55</v>
      </c>
      <c r="M44" s="82">
        <v>57</v>
      </c>
      <c r="O44" s="6"/>
    </row>
    <row r="45" spans="1:15" ht="13.5" customHeight="1" x14ac:dyDescent="0.15">
      <c r="A45" s="77" t="s">
        <v>95</v>
      </c>
      <c r="B45" s="18">
        <v>72</v>
      </c>
      <c r="C45" s="18">
        <v>80.400000000000006</v>
      </c>
      <c r="D45" s="18">
        <v>40</v>
      </c>
      <c r="E45" s="18">
        <v>54</v>
      </c>
      <c r="F45" s="18">
        <v>43</v>
      </c>
      <c r="G45" s="20">
        <v>53</v>
      </c>
      <c r="H45" s="18">
        <v>52</v>
      </c>
      <c r="I45" s="20">
        <v>59</v>
      </c>
      <c r="J45" s="18">
        <v>75</v>
      </c>
      <c r="K45" s="20">
        <v>74</v>
      </c>
      <c r="L45" s="18">
        <v>52</v>
      </c>
      <c r="M45" s="82">
        <v>56</v>
      </c>
      <c r="O45" s="6"/>
    </row>
    <row r="46" spans="1:15" ht="13.5" customHeight="1" x14ac:dyDescent="0.15">
      <c r="A46" s="77"/>
      <c r="B46" s="18" t="s">
        <v>207</v>
      </c>
      <c r="C46" s="18" t="s">
        <v>207</v>
      </c>
      <c r="D46" s="18" t="s">
        <v>207</v>
      </c>
      <c r="E46" s="18" t="s">
        <v>207</v>
      </c>
      <c r="F46" s="18" t="s">
        <v>207</v>
      </c>
      <c r="G46" s="20" t="s">
        <v>207</v>
      </c>
      <c r="H46" s="18" t="s">
        <v>207</v>
      </c>
      <c r="I46" s="20" t="s">
        <v>207</v>
      </c>
      <c r="J46" s="18" t="s">
        <v>207</v>
      </c>
      <c r="K46" s="20" t="s">
        <v>207</v>
      </c>
      <c r="L46" s="18" t="s">
        <v>207</v>
      </c>
      <c r="M46" s="82" t="s">
        <v>207</v>
      </c>
      <c r="O46" s="6"/>
    </row>
    <row r="47" spans="1:15" ht="13.5" customHeight="1" x14ac:dyDescent="0.15">
      <c r="A47" s="77" t="s">
        <v>96</v>
      </c>
      <c r="B47" s="18">
        <v>78.3</v>
      </c>
      <c r="C47" s="18">
        <v>70.3</v>
      </c>
      <c r="D47" s="18">
        <v>47</v>
      </c>
      <c r="E47" s="18">
        <v>41</v>
      </c>
      <c r="F47" s="18">
        <v>51</v>
      </c>
      <c r="G47" s="20">
        <v>42</v>
      </c>
      <c r="H47" s="18">
        <v>57</v>
      </c>
      <c r="I47" s="20">
        <v>52</v>
      </c>
      <c r="J47" s="18">
        <v>78</v>
      </c>
      <c r="K47" s="20">
        <v>74</v>
      </c>
      <c r="L47" s="18">
        <v>53</v>
      </c>
      <c r="M47" s="82">
        <v>51</v>
      </c>
      <c r="O47" s="6"/>
    </row>
    <row r="48" spans="1:15" ht="13.5" customHeight="1" x14ac:dyDescent="0.15">
      <c r="A48" s="77" t="s">
        <v>97</v>
      </c>
      <c r="B48" s="18">
        <v>79.2</v>
      </c>
      <c r="C48" s="18">
        <v>75.599999999999994</v>
      </c>
      <c r="D48" s="18">
        <v>49</v>
      </c>
      <c r="E48" s="18">
        <v>47</v>
      </c>
      <c r="F48" s="18">
        <v>52</v>
      </c>
      <c r="G48" s="20">
        <v>50</v>
      </c>
      <c r="H48" s="18">
        <v>56</v>
      </c>
      <c r="I48" s="20">
        <v>57</v>
      </c>
      <c r="J48" s="18">
        <v>80</v>
      </c>
      <c r="K48" s="20">
        <v>78</v>
      </c>
      <c r="L48" s="18">
        <v>54</v>
      </c>
      <c r="M48" s="82">
        <v>51</v>
      </c>
      <c r="O48" s="6"/>
    </row>
    <row r="49" spans="1:15" ht="13.5" customHeight="1" x14ac:dyDescent="0.15">
      <c r="A49" s="77" t="s">
        <v>151</v>
      </c>
      <c r="B49" s="18">
        <v>78</v>
      </c>
      <c r="C49" s="18">
        <v>77.8</v>
      </c>
      <c r="D49" s="18">
        <v>47</v>
      </c>
      <c r="E49" s="18">
        <v>47</v>
      </c>
      <c r="F49" s="18">
        <v>51</v>
      </c>
      <c r="G49" s="20">
        <v>50</v>
      </c>
      <c r="H49" s="18">
        <v>55</v>
      </c>
      <c r="I49" s="20">
        <v>59</v>
      </c>
      <c r="J49" s="18">
        <v>77</v>
      </c>
      <c r="K49" s="20">
        <v>80</v>
      </c>
      <c r="L49" s="18">
        <v>54</v>
      </c>
      <c r="M49" s="82">
        <v>56</v>
      </c>
      <c r="O49" s="6"/>
    </row>
    <row r="50" spans="1:15" ht="13.5" customHeight="1" x14ac:dyDescent="0.15">
      <c r="A50" s="77"/>
      <c r="B50" s="18" t="s">
        <v>207</v>
      </c>
      <c r="C50" s="18" t="s">
        <v>207</v>
      </c>
      <c r="D50" s="18" t="s">
        <v>207</v>
      </c>
      <c r="E50" s="18" t="s">
        <v>207</v>
      </c>
      <c r="F50" s="18" t="s">
        <v>207</v>
      </c>
      <c r="G50" s="20" t="s">
        <v>207</v>
      </c>
      <c r="H50" s="18" t="s">
        <v>207</v>
      </c>
      <c r="I50" s="20" t="s">
        <v>207</v>
      </c>
      <c r="J50" s="18" t="s">
        <v>207</v>
      </c>
      <c r="K50" s="20" t="s">
        <v>207</v>
      </c>
      <c r="L50" s="18" t="s">
        <v>207</v>
      </c>
      <c r="M50" s="82" t="s">
        <v>207</v>
      </c>
      <c r="O50" s="6"/>
    </row>
    <row r="51" spans="1:15" ht="13.5" customHeight="1" x14ac:dyDescent="0.15">
      <c r="A51" s="77" t="s">
        <v>185</v>
      </c>
      <c r="B51" s="18">
        <v>75.2</v>
      </c>
      <c r="C51" s="18">
        <v>70.099999999999994</v>
      </c>
      <c r="D51" s="18">
        <v>43</v>
      </c>
      <c r="E51" s="18">
        <v>42</v>
      </c>
      <c r="F51" s="18">
        <v>51</v>
      </c>
      <c r="G51" s="136">
        <v>44</v>
      </c>
      <c r="H51" s="18">
        <v>53</v>
      </c>
      <c r="I51" s="136">
        <v>50</v>
      </c>
      <c r="J51" s="18">
        <v>79</v>
      </c>
      <c r="K51" s="136">
        <v>76</v>
      </c>
      <c r="L51" s="18">
        <v>51</v>
      </c>
      <c r="M51" s="137">
        <v>50</v>
      </c>
      <c r="O51" s="6"/>
    </row>
    <row r="52" spans="1:15" ht="13.5" customHeight="1" x14ac:dyDescent="0.15">
      <c r="A52" s="77" t="s">
        <v>21</v>
      </c>
      <c r="B52" s="18">
        <v>75.900000000000006</v>
      </c>
      <c r="C52" s="18">
        <v>73.3</v>
      </c>
      <c r="D52" s="18">
        <v>43</v>
      </c>
      <c r="E52" s="18">
        <v>43</v>
      </c>
      <c r="F52" s="18">
        <v>49</v>
      </c>
      <c r="G52" s="20">
        <v>50</v>
      </c>
      <c r="H52" s="18">
        <v>55</v>
      </c>
      <c r="I52" s="20">
        <v>54</v>
      </c>
      <c r="J52" s="18">
        <v>80</v>
      </c>
      <c r="K52" s="20">
        <v>80</v>
      </c>
      <c r="L52" s="18">
        <v>53</v>
      </c>
      <c r="M52" s="82">
        <v>50</v>
      </c>
      <c r="O52" s="6"/>
    </row>
    <row r="53" spans="1:15" ht="13.5" customHeight="1" x14ac:dyDescent="0.15">
      <c r="A53" s="77" t="s">
        <v>89</v>
      </c>
      <c r="B53" s="18">
        <v>84.5</v>
      </c>
      <c r="C53" s="18">
        <v>81.8</v>
      </c>
      <c r="D53" s="18">
        <v>49</v>
      </c>
      <c r="E53" s="18">
        <v>49</v>
      </c>
      <c r="F53" s="18">
        <v>59</v>
      </c>
      <c r="G53" s="20">
        <v>57</v>
      </c>
      <c r="H53" s="18">
        <v>63</v>
      </c>
      <c r="I53" s="20">
        <v>63</v>
      </c>
      <c r="J53" s="18">
        <v>77</v>
      </c>
      <c r="K53" s="20">
        <v>79</v>
      </c>
      <c r="L53" s="18">
        <v>57</v>
      </c>
      <c r="M53" s="82">
        <v>57</v>
      </c>
      <c r="O53" s="6"/>
    </row>
    <row r="54" spans="1:15" ht="13.5" customHeight="1" x14ac:dyDescent="0.15">
      <c r="A54" s="77"/>
      <c r="B54" s="18" t="s">
        <v>207</v>
      </c>
      <c r="C54" s="18" t="s">
        <v>207</v>
      </c>
      <c r="D54" s="18" t="s">
        <v>207</v>
      </c>
      <c r="E54" s="18" t="s">
        <v>207</v>
      </c>
      <c r="F54" s="18" t="s">
        <v>207</v>
      </c>
      <c r="G54" s="20" t="s">
        <v>207</v>
      </c>
      <c r="H54" s="18" t="s">
        <v>207</v>
      </c>
      <c r="I54" s="20" t="s">
        <v>207</v>
      </c>
      <c r="J54" s="18" t="s">
        <v>207</v>
      </c>
      <c r="K54" s="20" t="s">
        <v>207</v>
      </c>
      <c r="L54" s="18" t="s">
        <v>207</v>
      </c>
      <c r="M54" s="82" t="s">
        <v>207</v>
      </c>
      <c r="O54" s="6"/>
    </row>
    <row r="55" spans="1:15" ht="13.5" customHeight="1" x14ac:dyDescent="0.15">
      <c r="A55" s="77" t="s">
        <v>90</v>
      </c>
      <c r="B55" s="18">
        <v>92.6</v>
      </c>
      <c r="C55" s="18">
        <v>88.4</v>
      </c>
      <c r="D55" s="18">
        <v>57</v>
      </c>
      <c r="E55" s="18">
        <v>56</v>
      </c>
      <c r="F55" s="18">
        <v>63</v>
      </c>
      <c r="G55" s="20">
        <v>63</v>
      </c>
      <c r="H55" s="18">
        <v>70</v>
      </c>
      <c r="I55" s="20">
        <v>67</v>
      </c>
      <c r="J55" s="18">
        <v>79</v>
      </c>
      <c r="K55" s="20">
        <v>77</v>
      </c>
      <c r="L55" s="18">
        <v>64</v>
      </c>
      <c r="M55" s="82">
        <v>63</v>
      </c>
      <c r="O55" s="6"/>
    </row>
    <row r="56" spans="1:15" ht="13.5" customHeight="1" x14ac:dyDescent="0.15">
      <c r="A56" s="77" t="s">
        <v>91</v>
      </c>
      <c r="B56" s="18">
        <v>100.7</v>
      </c>
      <c r="C56" s="18">
        <v>91.1</v>
      </c>
      <c r="D56" s="18">
        <v>62</v>
      </c>
      <c r="E56" s="18">
        <v>57</v>
      </c>
      <c r="F56" s="18">
        <v>70</v>
      </c>
      <c r="G56" s="20">
        <v>65</v>
      </c>
      <c r="H56" s="18">
        <v>76</v>
      </c>
      <c r="I56" s="20">
        <v>71</v>
      </c>
      <c r="J56" s="18">
        <v>75</v>
      </c>
      <c r="K56" s="20">
        <v>77</v>
      </c>
      <c r="L56" s="18">
        <v>72</v>
      </c>
      <c r="M56" s="82">
        <v>65</v>
      </c>
      <c r="O56" s="6"/>
    </row>
    <row r="57" spans="1:15" ht="13.5" customHeight="1" x14ac:dyDescent="0.15">
      <c r="A57" s="77" t="s">
        <v>130</v>
      </c>
      <c r="B57" s="18">
        <v>110.1</v>
      </c>
      <c r="C57" s="18">
        <v>98.2</v>
      </c>
      <c r="D57" s="18">
        <v>71</v>
      </c>
      <c r="E57" s="18">
        <v>61</v>
      </c>
      <c r="F57" s="18">
        <v>80</v>
      </c>
      <c r="G57" s="20">
        <v>70</v>
      </c>
      <c r="H57" s="18">
        <v>83</v>
      </c>
      <c r="I57" s="20">
        <v>77</v>
      </c>
      <c r="J57" s="18">
        <v>72</v>
      </c>
      <c r="K57" s="20">
        <v>76</v>
      </c>
      <c r="L57" s="18">
        <v>77</v>
      </c>
      <c r="M57" s="82">
        <v>74</v>
      </c>
      <c r="O57" s="6"/>
    </row>
    <row r="58" spans="1:15" ht="13.5" customHeight="1" x14ac:dyDescent="0.15">
      <c r="A58" s="77"/>
      <c r="B58" s="18" t="s">
        <v>207</v>
      </c>
      <c r="C58" s="18" t="s">
        <v>207</v>
      </c>
      <c r="D58" s="18" t="s">
        <v>207</v>
      </c>
      <c r="E58" s="18" t="s">
        <v>207</v>
      </c>
      <c r="F58" s="18" t="s">
        <v>207</v>
      </c>
      <c r="G58" s="20" t="s">
        <v>207</v>
      </c>
      <c r="H58" s="18" t="s">
        <v>207</v>
      </c>
      <c r="I58" s="20" t="s">
        <v>207</v>
      </c>
      <c r="J58" s="18" t="s">
        <v>207</v>
      </c>
      <c r="K58" s="20" t="s">
        <v>207</v>
      </c>
      <c r="L58" s="18" t="s">
        <v>207</v>
      </c>
      <c r="M58" s="82" t="s">
        <v>207</v>
      </c>
      <c r="O58" s="6"/>
    </row>
    <row r="59" spans="1:15" ht="13.5" customHeight="1" x14ac:dyDescent="0.15">
      <c r="A59" s="77" t="s">
        <v>93</v>
      </c>
      <c r="B59" s="18">
        <v>108.7</v>
      </c>
      <c r="C59" s="18">
        <v>110.3</v>
      </c>
      <c r="D59" s="18">
        <v>68</v>
      </c>
      <c r="E59" s="18">
        <v>73</v>
      </c>
      <c r="F59" s="18">
        <v>76</v>
      </c>
      <c r="G59" s="20">
        <v>80</v>
      </c>
      <c r="H59" s="18">
        <v>82</v>
      </c>
      <c r="I59" s="20">
        <v>89</v>
      </c>
      <c r="J59" s="18">
        <v>74</v>
      </c>
      <c r="K59" s="20">
        <v>73</v>
      </c>
      <c r="L59" s="18">
        <v>80</v>
      </c>
      <c r="M59" s="82">
        <v>82</v>
      </c>
      <c r="O59" s="6"/>
    </row>
    <row r="60" spans="1:15" ht="13.5" customHeight="1" x14ac:dyDescent="0.15">
      <c r="A60" s="77" t="s">
        <v>94</v>
      </c>
      <c r="B60" s="18">
        <v>102.6</v>
      </c>
      <c r="C60" s="18">
        <v>101.3</v>
      </c>
      <c r="D60" s="18">
        <v>66</v>
      </c>
      <c r="E60" s="18">
        <v>64</v>
      </c>
      <c r="F60" s="18">
        <v>75</v>
      </c>
      <c r="G60" s="20">
        <v>73</v>
      </c>
      <c r="H60" s="18">
        <v>74</v>
      </c>
      <c r="I60" s="20">
        <v>78</v>
      </c>
      <c r="J60" s="18">
        <v>74</v>
      </c>
      <c r="K60" s="20">
        <v>72</v>
      </c>
      <c r="L60" s="18">
        <v>72</v>
      </c>
      <c r="M60" s="82">
        <v>78</v>
      </c>
      <c r="O60" s="6"/>
    </row>
    <row r="61" spans="1:15" ht="13.5" customHeight="1" x14ac:dyDescent="0.15">
      <c r="A61" s="77" t="s">
        <v>95</v>
      </c>
      <c r="B61" s="18">
        <v>98.8</v>
      </c>
      <c r="C61" s="18">
        <v>97.8</v>
      </c>
      <c r="D61" s="18">
        <v>66</v>
      </c>
      <c r="E61" s="18">
        <v>64</v>
      </c>
      <c r="F61" s="18">
        <v>71</v>
      </c>
      <c r="G61" s="20">
        <v>72</v>
      </c>
      <c r="H61" s="18">
        <v>71</v>
      </c>
      <c r="I61" s="20">
        <v>71</v>
      </c>
      <c r="J61" s="18">
        <v>76</v>
      </c>
      <c r="K61" s="20">
        <v>74</v>
      </c>
      <c r="L61" s="18">
        <v>67</v>
      </c>
      <c r="M61" s="82">
        <v>75</v>
      </c>
      <c r="O61" s="6"/>
    </row>
    <row r="62" spans="1:15" ht="13.5" customHeight="1" x14ac:dyDescent="0.15">
      <c r="A62" s="77"/>
      <c r="B62" s="18" t="s">
        <v>207</v>
      </c>
      <c r="C62" s="18" t="s">
        <v>207</v>
      </c>
      <c r="D62" s="18" t="s">
        <v>207</v>
      </c>
      <c r="E62" s="18" t="s">
        <v>207</v>
      </c>
      <c r="F62" s="18" t="s">
        <v>207</v>
      </c>
      <c r="G62" s="20" t="s">
        <v>207</v>
      </c>
      <c r="H62" s="18" t="s">
        <v>207</v>
      </c>
      <c r="I62" s="20" t="s">
        <v>207</v>
      </c>
      <c r="J62" s="18" t="s">
        <v>207</v>
      </c>
      <c r="K62" s="20" t="s">
        <v>207</v>
      </c>
      <c r="L62" s="18" t="s">
        <v>207</v>
      </c>
      <c r="M62" s="82" t="s">
        <v>207</v>
      </c>
      <c r="O62" s="6"/>
    </row>
    <row r="63" spans="1:15" ht="13.5" customHeight="1" x14ac:dyDescent="0.15">
      <c r="A63" s="77" t="s">
        <v>96</v>
      </c>
      <c r="B63" s="18">
        <v>102.5</v>
      </c>
      <c r="C63" s="18">
        <v>95.6</v>
      </c>
      <c r="D63" s="18">
        <v>65</v>
      </c>
      <c r="E63" s="18">
        <v>63</v>
      </c>
      <c r="F63" s="18">
        <v>76</v>
      </c>
      <c r="G63" s="20">
        <v>68</v>
      </c>
      <c r="H63" s="18">
        <v>73</v>
      </c>
      <c r="I63" s="20">
        <v>73</v>
      </c>
      <c r="J63" s="18">
        <v>71</v>
      </c>
      <c r="K63" s="20">
        <v>76</v>
      </c>
      <c r="L63" s="18">
        <v>73</v>
      </c>
      <c r="M63" s="82">
        <v>70</v>
      </c>
      <c r="O63" s="6"/>
    </row>
    <row r="64" spans="1:15" ht="13.5" customHeight="1" x14ac:dyDescent="0.15">
      <c r="A64" s="77" t="s">
        <v>145</v>
      </c>
      <c r="B64" s="18">
        <v>108</v>
      </c>
      <c r="C64" s="18">
        <v>101.9</v>
      </c>
      <c r="D64" s="18">
        <v>71</v>
      </c>
      <c r="E64" s="18">
        <v>66</v>
      </c>
      <c r="F64" s="18">
        <v>81</v>
      </c>
      <c r="G64" s="20">
        <v>78</v>
      </c>
      <c r="H64" s="18">
        <v>79</v>
      </c>
      <c r="I64" s="20">
        <v>76</v>
      </c>
      <c r="J64" s="18">
        <v>69</v>
      </c>
      <c r="K64" s="20">
        <v>72</v>
      </c>
      <c r="L64" s="18">
        <v>74</v>
      </c>
      <c r="M64" s="82">
        <v>76</v>
      </c>
      <c r="O64" s="6"/>
    </row>
    <row r="65" spans="1:15" s="7" customFormat="1" ht="13.5" customHeight="1" x14ac:dyDescent="0.15">
      <c r="A65" s="77" t="s">
        <v>151</v>
      </c>
      <c r="B65" s="18">
        <v>111.1</v>
      </c>
      <c r="C65" s="18">
        <v>103.9</v>
      </c>
      <c r="D65" s="18">
        <v>69</v>
      </c>
      <c r="E65" s="18">
        <v>68</v>
      </c>
      <c r="F65" s="18">
        <v>82</v>
      </c>
      <c r="G65" s="20">
        <v>80</v>
      </c>
      <c r="H65" s="18">
        <v>84</v>
      </c>
      <c r="I65" s="20">
        <v>79</v>
      </c>
      <c r="J65" s="18">
        <v>73</v>
      </c>
      <c r="K65" s="20">
        <v>71</v>
      </c>
      <c r="L65" s="18">
        <v>79</v>
      </c>
      <c r="M65" s="82">
        <v>76</v>
      </c>
    </row>
    <row r="66" spans="1:15" ht="13.5" customHeight="1" x14ac:dyDescent="0.15">
      <c r="A66" s="77"/>
      <c r="B66" s="18" t="s">
        <v>207</v>
      </c>
      <c r="C66" s="18" t="s">
        <v>207</v>
      </c>
      <c r="D66" s="18" t="s">
        <v>207</v>
      </c>
      <c r="E66" s="18" t="s">
        <v>207</v>
      </c>
      <c r="F66" s="18" t="s">
        <v>207</v>
      </c>
      <c r="G66" s="20" t="s">
        <v>207</v>
      </c>
      <c r="H66" s="18" t="s">
        <v>207</v>
      </c>
      <c r="I66" s="20" t="s">
        <v>207</v>
      </c>
      <c r="J66" s="18" t="s">
        <v>207</v>
      </c>
      <c r="K66" s="20" t="s">
        <v>207</v>
      </c>
      <c r="L66" s="18" t="s">
        <v>207</v>
      </c>
      <c r="M66" s="82" t="s">
        <v>207</v>
      </c>
      <c r="O66" s="6"/>
    </row>
    <row r="67" spans="1:15" ht="13.5" customHeight="1" x14ac:dyDescent="0.15">
      <c r="A67" s="77" t="s">
        <v>199</v>
      </c>
      <c r="B67" s="18">
        <v>98.3</v>
      </c>
      <c r="C67" s="18">
        <v>96.6</v>
      </c>
      <c r="D67" s="18">
        <v>57</v>
      </c>
      <c r="E67" s="18">
        <v>61</v>
      </c>
      <c r="F67" s="18">
        <v>75</v>
      </c>
      <c r="G67" s="136">
        <v>70</v>
      </c>
      <c r="H67" s="18">
        <v>71</v>
      </c>
      <c r="I67" s="136">
        <v>74</v>
      </c>
      <c r="J67" s="18">
        <v>70</v>
      </c>
      <c r="K67" s="136">
        <v>73</v>
      </c>
      <c r="L67" s="18">
        <v>70</v>
      </c>
      <c r="M67" s="137">
        <v>72</v>
      </c>
      <c r="O67" s="6"/>
    </row>
    <row r="68" spans="1:15" s="7" customFormat="1" ht="13.5" customHeight="1" x14ac:dyDescent="0.15">
      <c r="A68" s="77" t="s">
        <v>21</v>
      </c>
      <c r="B68" s="18">
        <v>99.1</v>
      </c>
      <c r="C68" s="18">
        <v>96.3</v>
      </c>
      <c r="D68" s="18">
        <v>58</v>
      </c>
      <c r="E68" s="18">
        <v>58</v>
      </c>
      <c r="F68" s="18">
        <v>71</v>
      </c>
      <c r="G68" s="20">
        <v>73</v>
      </c>
      <c r="H68" s="18">
        <v>74</v>
      </c>
      <c r="I68" s="20">
        <v>74</v>
      </c>
      <c r="J68" s="18">
        <v>73</v>
      </c>
      <c r="K68" s="20">
        <v>73</v>
      </c>
      <c r="L68" s="18">
        <v>72</v>
      </c>
      <c r="M68" s="82">
        <v>71</v>
      </c>
    </row>
    <row r="69" spans="1:15" ht="13.5" customHeight="1" x14ac:dyDescent="0.15">
      <c r="A69" s="77" t="s">
        <v>89</v>
      </c>
      <c r="B69" s="18">
        <v>93.1</v>
      </c>
      <c r="C69" s="18">
        <v>100.6</v>
      </c>
      <c r="D69" s="18">
        <v>57</v>
      </c>
      <c r="E69" s="18">
        <v>63</v>
      </c>
      <c r="F69" s="18">
        <v>66</v>
      </c>
      <c r="G69" s="20">
        <v>76</v>
      </c>
      <c r="H69" s="18">
        <v>67</v>
      </c>
      <c r="I69" s="20">
        <v>78</v>
      </c>
      <c r="J69" s="18">
        <v>72</v>
      </c>
      <c r="K69" s="20">
        <v>71</v>
      </c>
      <c r="L69" s="18">
        <v>66</v>
      </c>
      <c r="M69" s="82">
        <v>74</v>
      </c>
      <c r="O69" s="6"/>
    </row>
    <row r="70" spans="1:15" ht="13.5" customHeight="1" x14ac:dyDescent="0.15">
      <c r="A70" s="77"/>
      <c r="B70" s="18" t="s">
        <v>207</v>
      </c>
      <c r="C70" s="18" t="s">
        <v>207</v>
      </c>
      <c r="D70" s="18" t="s">
        <v>207</v>
      </c>
      <c r="E70" s="18" t="s">
        <v>207</v>
      </c>
      <c r="F70" s="18" t="s">
        <v>207</v>
      </c>
      <c r="G70" s="20" t="s">
        <v>207</v>
      </c>
      <c r="H70" s="18" t="s">
        <v>207</v>
      </c>
      <c r="I70" s="20" t="s">
        <v>207</v>
      </c>
      <c r="J70" s="18" t="s">
        <v>207</v>
      </c>
      <c r="K70" s="20" t="s">
        <v>207</v>
      </c>
      <c r="L70" s="18" t="s">
        <v>207</v>
      </c>
      <c r="M70" s="82" t="s">
        <v>207</v>
      </c>
      <c r="O70" s="6"/>
    </row>
    <row r="71" spans="1:15" ht="13.5" customHeight="1" x14ac:dyDescent="0.15">
      <c r="A71" s="77" t="s">
        <v>90</v>
      </c>
      <c r="B71" s="18">
        <v>103</v>
      </c>
      <c r="C71" s="18">
        <v>100.3</v>
      </c>
      <c r="D71" s="18">
        <v>64</v>
      </c>
      <c r="E71" s="18">
        <v>64</v>
      </c>
      <c r="F71" s="18">
        <v>76</v>
      </c>
      <c r="G71" s="20">
        <v>74</v>
      </c>
      <c r="H71" s="18">
        <v>78</v>
      </c>
      <c r="I71" s="20">
        <v>77</v>
      </c>
      <c r="J71" s="18">
        <v>64</v>
      </c>
      <c r="K71" s="20">
        <v>71</v>
      </c>
      <c r="L71" s="18">
        <v>70</v>
      </c>
      <c r="M71" s="82">
        <v>75</v>
      </c>
      <c r="O71" s="6"/>
    </row>
    <row r="72" spans="1:15" s="7" customFormat="1" ht="13.5" customHeight="1" x14ac:dyDescent="0.15">
      <c r="A72" s="77" t="s">
        <v>91</v>
      </c>
      <c r="B72" s="18">
        <v>113.7</v>
      </c>
      <c r="C72" s="18">
        <v>105.6</v>
      </c>
      <c r="D72" s="18">
        <v>77</v>
      </c>
      <c r="E72" s="18">
        <v>72</v>
      </c>
      <c r="F72" s="18">
        <v>88</v>
      </c>
      <c r="G72" s="20">
        <v>80</v>
      </c>
      <c r="H72" s="18">
        <v>81</v>
      </c>
      <c r="I72" s="20">
        <v>82</v>
      </c>
      <c r="J72" s="18">
        <v>63</v>
      </c>
      <c r="K72" s="20">
        <v>66</v>
      </c>
      <c r="L72" s="18">
        <v>78</v>
      </c>
      <c r="M72" s="82">
        <v>75</v>
      </c>
    </row>
    <row r="73" spans="1:15" s="7" customFormat="1" ht="13.5" customHeight="1" x14ac:dyDescent="0.15">
      <c r="A73" s="77" t="s">
        <v>130</v>
      </c>
      <c r="B73" s="18">
        <v>113.5</v>
      </c>
      <c r="C73" s="18">
        <v>112.4</v>
      </c>
      <c r="D73" s="18">
        <v>76</v>
      </c>
      <c r="E73" s="18">
        <v>79</v>
      </c>
      <c r="F73" s="18">
        <v>86</v>
      </c>
      <c r="G73" s="20">
        <v>89</v>
      </c>
      <c r="H73" s="18">
        <v>81</v>
      </c>
      <c r="I73" s="20">
        <v>85</v>
      </c>
      <c r="J73" s="18">
        <v>66</v>
      </c>
      <c r="K73" s="20">
        <v>66</v>
      </c>
      <c r="L73" s="18">
        <v>80</v>
      </c>
      <c r="M73" s="82">
        <v>80</v>
      </c>
    </row>
    <row r="74" spans="1:15" ht="13.5" customHeight="1" x14ac:dyDescent="0.15">
      <c r="A74" s="77"/>
      <c r="B74" s="18" t="s">
        <v>207</v>
      </c>
      <c r="C74" s="18" t="s">
        <v>207</v>
      </c>
      <c r="D74" s="18" t="s">
        <v>207</v>
      </c>
      <c r="E74" s="18" t="s">
        <v>207</v>
      </c>
      <c r="F74" s="18" t="s">
        <v>207</v>
      </c>
      <c r="G74" s="20" t="s">
        <v>207</v>
      </c>
      <c r="H74" s="18" t="s">
        <v>207</v>
      </c>
      <c r="I74" s="20" t="s">
        <v>207</v>
      </c>
      <c r="J74" s="18" t="s">
        <v>207</v>
      </c>
      <c r="K74" s="20" t="s">
        <v>207</v>
      </c>
      <c r="L74" s="18" t="s">
        <v>207</v>
      </c>
      <c r="M74" s="82" t="s">
        <v>207</v>
      </c>
      <c r="O74" s="6"/>
    </row>
    <row r="75" spans="1:15" ht="13.5" customHeight="1" x14ac:dyDescent="0.15">
      <c r="A75" s="77" t="s">
        <v>93</v>
      </c>
      <c r="B75" s="18">
        <v>110.7</v>
      </c>
      <c r="C75" s="18">
        <v>111.7</v>
      </c>
      <c r="D75" s="18">
        <v>74</v>
      </c>
      <c r="E75" s="18">
        <v>80</v>
      </c>
      <c r="F75" s="18">
        <v>85</v>
      </c>
      <c r="G75" s="20">
        <v>88</v>
      </c>
      <c r="H75" s="18">
        <v>78</v>
      </c>
      <c r="I75" s="20">
        <v>81</v>
      </c>
      <c r="J75" s="18">
        <v>64</v>
      </c>
      <c r="K75" s="20">
        <v>66</v>
      </c>
      <c r="L75" s="18">
        <v>77</v>
      </c>
      <c r="M75" s="82">
        <v>82</v>
      </c>
      <c r="O75" s="6"/>
    </row>
    <row r="76" spans="1:15" ht="13.5" customHeight="1" x14ac:dyDescent="0.15">
      <c r="A76" s="77" t="s">
        <v>94</v>
      </c>
      <c r="B76" s="18">
        <v>107.6</v>
      </c>
      <c r="C76" s="18">
        <v>106.6</v>
      </c>
      <c r="D76" s="18">
        <v>73</v>
      </c>
      <c r="E76" s="18">
        <v>76</v>
      </c>
      <c r="F76" s="18">
        <v>81</v>
      </c>
      <c r="G76" s="20">
        <v>80</v>
      </c>
      <c r="H76" s="18">
        <v>77</v>
      </c>
      <c r="I76" s="20">
        <v>78</v>
      </c>
      <c r="J76" s="18">
        <v>62</v>
      </c>
      <c r="K76" s="20">
        <v>64</v>
      </c>
      <c r="L76" s="18">
        <v>73</v>
      </c>
      <c r="M76" s="82">
        <v>79</v>
      </c>
      <c r="O76" s="6"/>
    </row>
    <row r="77" spans="1:15" ht="13.5" customHeight="1" x14ac:dyDescent="0.15">
      <c r="A77" s="77" t="s">
        <v>95</v>
      </c>
      <c r="B77" s="18">
        <v>108.6</v>
      </c>
      <c r="C77" s="18">
        <v>106.3</v>
      </c>
      <c r="D77" s="18">
        <v>72</v>
      </c>
      <c r="E77" s="18">
        <v>76</v>
      </c>
      <c r="F77" s="18">
        <v>82</v>
      </c>
      <c r="G77" s="20">
        <v>80</v>
      </c>
      <c r="H77" s="18">
        <v>78</v>
      </c>
      <c r="I77" s="20">
        <v>81</v>
      </c>
      <c r="J77" s="18">
        <v>66</v>
      </c>
      <c r="K77" s="20">
        <v>63</v>
      </c>
      <c r="L77" s="18">
        <v>75</v>
      </c>
      <c r="M77" s="82">
        <v>75</v>
      </c>
      <c r="O77" s="6"/>
    </row>
    <row r="78" spans="1:15" ht="13.5" customHeight="1" x14ac:dyDescent="0.15">
      <c r="A78" s="77"/>
      <c r="B78" s="18" t="s">
        <v>207</v>
      </c>
      <c r="C78" s="18" t="s">
        <v>207</v>
      </c>
      <c r="D78" s="18" t="s">
        <v>207</v>
      </c>
      <c r="E78" s="18" t="s">
        <v>207</v>
      </c>
      <c r="F78" s="18" t="s">
        <v>207</v>
      </c>
      <c r="G78" s="20" t="s">
        <v>207</v>
      </c>
      <c r="H78" s="18" t="s">
        <v>207</v>
      </c>
      <c r="I78" s="20" t="s">
        <v>207</v>
      </c>
      <c r="J78" s="18" t="s">
        <v>207</v>
      </c>
      <c r="K78" s="20" t="s">
        <v>207</v>
      </c>
      <c r="L78" s="18" t="s">
        <v>207</v>
      </c>
      <c r="M78" s="82" t="s">
        <v>207</v>
      </c>
      <c r="O78" s="6"/>
    </row>
    <row r="79" spans="1:15" ht="13.5" customHeight="1" x14ac:dyDescent="0.15">
      <c r="A79" s="77" t="s">
        <v>140</v>
      </c>
      <c r="B79" s="18">
        <v>103.5</v>
      </c>
      <c r="C79" s="18">
        <v>105.6</v>
      </c>
      <c r="D79" s="18">
        <v>67</v>
      </c>
      <c r="E79" s="18">
        <v>72</v>
      </c>
      <c r="F79" s="18">
        <v>76</v>
      </c>
      <c r="G79" s="20">
        <v>79</v>
      </c>
      <c r="H79" s="18">
        <v>74</v>
      </c>
      <c r="I79" s="20">
        <v>80</v>
      </c>
      <c r="J79" s="18">
        <v>66</v>
      </c>
      <c r="K79" s="20">
        <v>68</v>
      </c>
      <c r="L79" s="18">
        <v>73</v>
      </c>
      <c r="M79" s="82">
        <v>78</v>
      </c>
      <c r="O79" s="6"/>
    </row>
    <row r="80" spans="1:15" ht="13.5" customHeight="1" x14ac:dyDescent="0.15">
      <c r="A80" s="77" t="s">
        <v>97</v>
      </c>
      <c r="B80" s="18">
        <v>104</v>
      </c>
      <c r="C80" s="18">
        <v>98.9</v>
      </c>
      <c r="D80" s="18">
        <v>70</v>
      </c>
      <c r="E80" s="18">
        <v>66</v>
      </c>
      <c r="F80" s="18">
        <v>76</v>
      </c>
      <c r="G80" s="20">
        <v>74</v>
      </c>
      <c r="H80" s="18">
        <v>72</v>
      </c>
      <c r="I80" s="20">
        <v>73</v>
      </c>
      <c r="J80" s="18">
        <v>66</v>
      </c>
      <c r="K80" s="20">
        <v>67</v>
      </c>
      <c r="L80" s="18">
        <v>74</v>
      </c>
      <c r="M80" s="82">
        <v>73</v>
      </c>
      <c r="O80" s="6"/>
    </row>
    <row r="81" spans="1:15" ht="13.5" customHeight="1" x14ac:dyDescent="0.15">
      <c r="A81" s="77" t="s">
        <v>98</v>
      </c>
      <c r="B81" s="18">
        <v>98</v>
      </c>
      <c r="C81" s="18">
        <v>102</v>
      </c>
      <c r="D81" s="18">
        <v>65</v>
      </c>
      <c r="E81" s="18">
        <v>69</v>
      </c>
      <c r="F81" s="18">
        <v>74</v>
      </c>
      <c r="G81" s="20">
        <v>78</v>
      </c>
      <c r="H81" s="18">
        <v>70</v>
      </c>
      <c r="I81" s="20">
        <v>74</v>
      </c>
      <c r="J81" s="18">
        <v>67</v>
      </c>
      <c r="K81" s="20">
        <v>64</v>
      </c>
      <c r="L81" s="18">
        <v>64</v>
      </c>
      <c r="M81" s="82">
        <v>76</v>
      </c>
      <c r="O81" s="6"/>
    </row>
    <row r="82" spans="1:15" ht="13.5" customHeight="1" x14ac:dyDescent="0.15">
      <c r="A82" s="77"/>
      <c r="B82" s="18" t="s">
        <v>207</v>
      </c>
      <c r="C82" s="18" t="s">
        <v>207</v>
      </c>
      <c r="D82" s="18" t="s">
        <v>207</v>
      </c>
      <c r="E82" s="18" t="s">
        <v>207</v>
      </c>
      <c r="F82" s="18" t="s">
        <v>207</v>
      </c>
      <c r="G82" s="20" t="s">
        <v>207</v>
      </c>
      <c r="H82" s="18" t="s">
        <v>207</v>
      </c>
      <c r="I82" s="20" t="s">
        <v>207</v>
      </c>
      <c r="J82" s="18" t="s">
        <v>207</v>
      </c>
      <c r="K82" s="20" t="s">
        <v>207</v>
      </c>
      <c r="L82" s="18" t="s">
        <v>207</v>
      </c>
      <c r="M82" s="82" t="s">
        <v>207</v>
      </c>
      <c r="O82" s="6"/>
    </row>
    <row r="83" spans="1:15" x14ac:dyDescent="0.15">
      <c r="A83" s="77" t="s">
        <v>209</v>
      </c>
      <c r="B83" s="18">
        <v>95.8</v>
      </c>
      <c r="C83" s="18">
        <v>89.9</v>
      </c>
      <c r="D83" s="18">
        <v>63</v>
      </c>
      <c r="E83" s="18">
        <v>58</v>
      </c>
      <c r="F83" s="18">
        <v>73</v>
      </c>
      <c r="G83" s="20">
        <v>68</v>
      </c>
      <c r="H83" s="18">
        <v>68</v>
      </c>
      <c r="I83" s="20">
        <v>67</v>
      </c>
      <c r="J83" s="18">
        <v>61</v>
      </c>
      <c r="K83" s="20">
        <v>66</v>
      </c>
      <c r="L83" s="18">
        <v>62</v>
      </c>
      <c r="M83" s="82">
        <v>62</v>
      </c>
    </row>
    <row r="84" spans="1:15" x14ac:dyDescent="0.15">
      <c r="A84" s="77" t="s">
        <v>21</v>
      </c>
      <c r="B84" s="18">
        <v>90.6</v>
      </c>
      <c r="C84" s="18">
        <v>93</v>
      </c>
      <c r="D84" s="18">
        <v>53</v>
      </c>
      <c r="E84" s="18">
        <v>61</v>
      </c>
      <c r="F84" s="18">
        <v>66</v>
      </c>
      <c r="G84" s="20">
        <v>72</v>
      </c>
      <c r="H84" s="18">
        <v>64</v>
      </c>
      <c r="I84" s="20">
        <v>69</v>
      </c>
      <c r="J84" s="18">
        <v>66</v>
      </c>
      <c r="K84" s="20">
        <v>61</v>
      </c>
      <c r="L84" s="18">
        <v>65</v>
      </c>
      <c r="M84" s="82">
        <v>64</v>
      </c>
    </row>
    <row r="85" spans="1:15" x14ac:dyDescent="0.15">
      <c r="A85" s="77" t="s">
        <v>89</v>
      </c>
      <c r="B85" s="18">
        <v>91.9</v>
      </c>
      <c r="C85" s="18">
        <v>93.4</v>
      </c>
      <c r="D85" s="18">
        <v>54</v>
      </c>
      <c r="E85" s="18">
        <v>62</v>
      </c>
      <c r="F85" s="18">
        <v>66</v>
      </c>
      <c r="G85" s="20">
        <v>69</v>
      </c>
      <c r="H85" s="18">
        <v>68</v>
      </c>
      <c r="I85" s="20">
        <v>69</v>
      </c>
      <c r="J85" s="18">
        <v>66</v>
      </c>
      <c r="K85" s="20">
        <v>64</v>
      </c>
      <c r="L85" s="18">
        <v>64</v>
      </c>
      <c r="M85" s="82">
        <v>67</v>
      </c>
    </row>
    <row r="86" spans="1:15" x14ac:dyDescent="0.15">
      <c r="A86" s="77"/>
      <c r="B86" s="18"/>
      <c r="C86" s="18"/>
      <c r="D86" s="18"/>
      <c r="E86" s="18"/>
      <c r="F86" s="18"/>
      <c r="G86" s="20"/>
      <c r="H86" s="18"/>
      <c r="I86" s="20"/>
      <c r="J86" s="18"/>
      <c r="K86" s="20"/>
      <c r="L86" s="18"/>
      <c r="M86" s="82"/>
    </row>
    <row r="87" spans="1:15" x14ac:dyDescent="0.15">
      <c r="A87" s="77" t="s">
        <v>90</v>
      </c>
      <c r="B87" s="18">
        <v>97.2</v>
      </c>
      <c r="C87" s="18">
        <v>95</v>
      </c>
      <c r="D87" s="18">
        <v>65</v>
      </c>
      <c r="E87" s="18">
        <v>62</v>
      </c>
      <c r="F87" s="18">
        <v>70</v>
      </c>
      <c r="G87" s="20">
        <v>68</v>
      </c>
      <c r="H87" s="18">
        <v>69</v>
      </c>
      <c r="I87" s="20">
        <v>73</v>
      </c>
      <c r="J87" s="18">
        <v>67</v>
      </c>
      <c r="K87" s="20">
        <v>65</v>
      </c>
      <c r="L87" s="18">
        <v>66</v>
      </c>
      <c r="M87" s="82">
        <v>69</v>
      </c>
    </row>
    <row r="88" spans="1:15" x14ac:dyDescent="0.15">
      <c r="A88" s="77" t="s">
        <v>91</v>
      </c>
      <c r="B88" s="18">
        <v>99.9</v>
      </c>
      <c r="C88" s="18">
        <v>98.4</v>
      </c>
      <c r="D88" s="18">
        <v>64</v>
      </c>
      <c r="E88" s="18">
        <v>69</v>
      </c>
      <c r="F88" s="18">
        <v>71</v>
      </c>
      <c r="G88" s="20">
        <v>75</v>
      </c>
      <c r="H88" s="18">
        <v>74</v>
      </c>
      <c r="I88" s="20">
        <v>73</v>
      </c>
      <c r="J88" s="18">
        <v>67</v>
      </c>
      <c r="K88" s="20">
        <v>67</v>
      </c>
      <c r="L88" s="18">
        <v>69</v>
      </c>
      <c r="M88" s="82">
        <v>68</v>
      </c>
    </row>
    <row r="89" spans="1:15" x14ac:dyDescent="0.15">
      <c r="A89" s="77" t="s">
        <v>130</v>
      </c>
      <c r="B89" s="18">
        <v>96.4</v>
      </c>
      <c r="C89" s="18">
        <v>99.6</v>
      </c>
      <c r="D89" s="18">
        <v>64</v>
      </c>
      <c r="E89" s="18">
        <v>67</v>
      </c>
      <c r="F89" s="18">
        <v>67</v>
      </c>
      <c r="G89" s="20">
        <v>72</v>
      </c>
      <c r="H89" s="18">
        <v>69</v>
      </c>
      <c r="I89" s="20">
        <v>78</v>
      </c>
      <c r="J89" s="18">
        <v>64</v>
      </c>
      <c r="K89" s="20">
        <v>67</v>
      </c>
      <c r="L89" s="18">
        <v>67</v>
      </c>
      <c r="M89" s="82">
        <v>71</v>
      </c>
    </row>
    <row r="90" spans="1:15" x14ac:dyDescent="0.15">
      <c r="A90" s="77"/>
      <c r="B90" s="18"/>
      <c r="C90" s="18"/>
      <c r="D90" s="18"/>
      <c r="E90" s="18"/>
      <c r="F90" s="18"/>
      <c r="G90" s="20"/>
      <c r="H90" s="18"/>
      <c r="I90" s="20"/>
      <c r="J90" s="18"/>
      <c r="K90" s="20"/>
      <c r="L90" s="18"/>
      <c r="M90" s="82"/>
    </row>
    <row r="91" spans="1:15" x14ac:dyDescent="0.15">
      <c r="A91" s="77" t="s">
        <v>93</v>
      </c>
      <c r="B91" s="18">
        <v>96.1</v>
      </c>
      <c r="C91" s="18">
        <v>99</v>
      </c>
      <c r="D91" s="18">
        <v>65</v>
      </c>
      <c r="E91" s="18">
        <v>67</v>
      </c>
      <c r="F91" s="18">
        <v>65</v>
      </c>
      <c r="G91" s="20">
        <v>71</v>
      </c>
      <c r="H91" s="18">
        <v>68</v>
      </c>
      <c r="I91" s="20">
        <v>76</v>
      </c>
      <c r="J91" s="18">
        <v>68</v>
      </c>
      <c r="K91" s="20">
        <v>67</v>
      </c>
      <c r="L91" s="18">
        <v>68</v>
      </c>
      <c r="M91" s="82">
        <v>72</v>
      </c>
    </row>
    <row r="92" spans="1:15" x14ac:dyDescent="0.15">
      <c r="A92" s="77" t="s">
        <v>94</v>
      </c>
      <c r="B92" s="18">
        <v>96.9</v>
      </c>
      <c r="C92" s="18">
        <v>94.5</v>
      </c>
      <c r="D92" s="18">
        <v>62</v>
      </c>
      <c r="E92" s="18">
        <v>67</v>
      </c>
      <c r="F92" s="18">
        <v>66</v>
      </c>
      <c r="G92" s="20">
        <v>65</v>
      </c>
      <c r="H92" s="18">
        <v>70</v>
      </c>
      <c r="I92" s="20">
        <v>70</v>
      </c>
      <c r="J92" s="18">
        <v>62</v>
      </c>
      <c r="K92" s="20">
        <v>67</v>
      </c>
      <c r="L92" s="18">
        <v>70</v>
      </c>
      <c r="M92" s="82">
        <v>69</v>
      </c>
    </row>
    <row r="93" spans="1:15" x14ac:dyDescent="0.15">
      <c r="A93" s="77" t="s">
        <v>95</v>
      </c>
      <c r="B93" s="18">
        <v>96.4</v>
      </c>
      <c r="C93" s="18">
        <v>94.9</v>
      </c>
      <c r="D93" s="18">
        <v>62</v>
      </c>
      <c r="E93" s="18">
        <v>64</v>
      </c>
      <c r="F93" s="18">
        <v>69</v>
      </c>
      <c r="G93" s="20">
        <v>68</v>
      </c>
      <c r="H93" s="18">
        <v>67</v>
      </c>
      <c r="I93" s="20">
        <v>70</v>
      </c>
      <c r="J93" s="18">
        <v>62</v>
      </c>
      <c r="K93" s="20">
        <v>63</v>
      </c>
      <c r="L93" s="18">
        <v>69</v>
      </c>
      <c r="M93" s="82">
        <v>70</v>
      </c>
    </row>
    <row r="94" spans="1:15" x14ac:dyDescent="0.15">
      <c r="A94" s="77"/>
      <c r="B94" s="18"/>
      <c r="C94" s="18"/>
      <c r="D94" s="18"/>
      <c r="E94" s="18"/>
      <c r="F94" s="18"/>
      <c r="G94" s="20"/>
      <c r="H94" s="18"/>
      <c r="I94" s="20"/>
      <c r="J94" s="18"/>
      <c r="K94" s="20"/>
      <c r="L94" s="18"/>
      <c r="M94" s="82"/>
    </row>
    <row r="95" spans="1:15" x14ac:dyDescent="0.15">
      <c r="A95" s="77" t="s">
        <v>96</v>
      </c>
      <c r="B95" s="18">
        <v>95.1</v>
      </c>
      <c r="C95" s="18">
        <v>97.7</v>
      </c>
      <c r="D95" s="18">
        <v>63</v>
      </c>
      <c r="E95" s="18">
        <v>66</v>
      </c>
      <c r="F95" s="18">
        <v>66</v>
      </c>
      <c r="G95" s="20">
        <v>73</v>
      </c>
      <c r="H95" s="18">
        <v>67</v>
      </c>
      <c r="I95" s="20">
        <v>72</v>
      </c>
      <c r="J95" s="18">
        <v>65</v>
      </c>
      <c r="K95" s="20">
        <v>64</v>
      </c>
      <c r="L95" s="18">
        <v>67</v>
      </c>
      <c r="M95" s="82">
        <v>71</v>
      </c>
    </row>
    <row r="96" spans="1:15" x14ac:dyDescent="0.15">
      <c r="A96" s="77" t="s">
        <v>97</v>
      </c>
      <c r="B96" s="18">
        <v>96.8</v>
      </c>
      <c r="C96" s="18">
        <v>90.2</v>
      </c>
      <c r="D96" s="18">
        <v>62</v>
      </c>
      <c r="E96" s="18">
        <v>61</v>
      </c>
      <c r="F96" s="18">
        <v>67</v>
      </c>
      <c r="G96" s="20">
        <v>65</v>
      </c>
      <c r="H96" s="18">
        <v>69</v>
      </c>
      <c r="I96" s="20">
        <v>65</v>
      </c>
      <c r="J96" s="18">
        <v>68</v>
      </c>
      <c r="K96" s="20">
        <v>67</v>
      </c>
      <c r="L96" s="18">
        <v>70</v>
      </c>
      <c r="M96" s="82">
        <v>65</v>
      </c>
    </row>
    <row r="97" spans="1:16" x14ac:dyDescent="0.15">
      <c r="A97" s="77" t="s">
        <v>98</v>
      </c>
      <c r="B97" s="18">
        <v>92.8</v>
      </c>
      <c r="C97" s="18">
        <v>93.1</v>
      </c>
      <c r="D97" s="18">
        <v>58</v>
      </c>
      <c r="E97" s="18">
        <v>59</v>
      </c>
      <c r="F97" s="18">
        <v>65</v>
      </c>
      <c r="G97" s="20">
        <v>65</v>
      </c>
      <c r="H97" s="18">
        <v>66</v>
      </c>
      <c r="I97" s="20">
        <v>70</v>
      </c>
      <c r="J97" s="18">
        <v>65</v>
      </c>
      <c r="K97" s="20">
        <v>66</v>
      </c>
      <c r="L97" s="18">
        <v>66</v>
      </c>
      <c r="M97" s="82">
        <v>71</v>
      </c>
    </row>
    <row r="98" spans="1:16" x14ac:dyDescent="0.15">
      <c r="A98" s="77"/>
      <c r="B98" s="18"/>
      <c r="C98" s="18"/>
      <c r="D98" s="18"/>
      <c r="E98" s="18"/>
      <c r="F98" s="18"/>
      <c r="G98" s="20"/>
      <c r="H98" s="18"/>
      <c r="I98" s="20"/>
      <c r="J98" s="18"/>
      <c r="K98" s="20"/>
      <c r="L98" s="18"/>
      <c r="M98" s="82"/>
      <c r="P98" s="7"/>
    </row>
    <row r="99" spans="1:16" x14ac:dyDescent="0.15">
      <c r="A99" s="77" t="s">
        <v>267</v>
      </c>
      <c r="B99" s="18">
        <v>89.9</v>
      </c>
      <c r="C99" s="18">
        <v>87.9</v>
      </c>
      <c r="D99" s="18">
        <v>55</v>
      </c>
      <c r="E99" s="18">
        <v>55</v>
      </c>
      <c r="F99" s="18">
        <v>65</v>
      </c>
      <c r="G99" s="20">
        <v>66</v>
      </c>
      <c r="H99" s="18">
        <v>62</v>
      </c>
      <c r="I99" s="20">
        <v>63</v>
      </c>
      <c r="J99" s="18">
        <v>65</v>
      </c>
      <c r="K99" s="20">
        <v>64</v>
      </c>
      <c r="L99" s="18">
        <v>64</v>
      </c>
      <c r="M99" s="20">
        <v>64</v>
      </c>
      <c r="P99" s="7"/>
    </row>
    <row r="100" spans="1:16" x14ac:dyDescent="0.15">
      <c r="A100" s="77" t="s">
        <v>21</v>
      </c>
      <c r="B100" s="18">
        <v>88.5</v>
      </c>
      <c r="C100" s="18">
        <v>88.1</v>
      </c>
      <c r="D100" s="18">
        <v>52</v>
      </c>
      <c r="E100" s="18">
        <v>53</v>
      </c>
      <c r="F100" s="18">
        <v>63</v>
      </c>
      <c r="G100" s="20">
        <v>64</v>
      </c>
      <c r="H100" s="18">
        <v>63</v>
      </c>
      <c r="I100" s="20">
        <v>65</v>
      </c>
      <c r="J100" s="18">
        <v>62</v>
      </c>
      <c r="K100" s="20">
        <v>66</v>
      </c>
      <c r="L100" s="18">
        <v>63</v>
      </c>
      <c r="M100" s="20">
        <v>66</v>
      </c>
      <c r="P100" s="7"/>
    </row>
    <row r="101" spans="1:16" x14ac:dyDescent="0.15">
      <c r="A101" s="77" t="s">
        <v>155</v>
      </c>
      <c r="B101" s="18">
        <v>85.5</v>
      </c>
      <c r="C101" s="18">
        <v>88.6</v>
      </c>
      <c r="D101" s="18">
        <v>53</v>
      </c>
      <c r="E101" s="18">
        <v>57</v>
      </c>
      <c r="F101" s="18">
        <v>56</v>
      </c>
      <c r="G101" s="20">
        <v>63</v>
      </c>
      <c r="H101" s="18">
        <v>62</v>
      </c>
      <c r="I101" s="20">
        <v>67</v>
      </c>
      <c r="J101" s="18">
        <v>63</v>
      </c>
      <c r="K101" s="20">
        <v>63</v>
      </c>
      <c r="L101" s="18">
        <v>60</v>
      </c>
      <c r="M101" s="20">
        <v>63</v>
      </c>
      <c r="P101" s="7"/>
    </row>
    <row r="102" spans="1:16" x14ac:dyDescent="0.15">
      <c r="A102" s="77"/>
      <c r="B102" s="18"/>
      <c r="C102" s="18"/>
      <c r="D102" s="18"/>
      <c r="E102" s="18"/>
      <c r="F102" s="18"/>
      <c r="G102" s="20"/>
      <c r="H102" s="18"/>
      <c r="I102" s="20"/>
      <c r="J102" s="18"/>
      <c r="K102" s="20"/>
      <c r="L102" s="18"/>
      <c r="M102" s="20"/>
      <c r="P102" s="7"/>
    </row>
    <row r="103" spans="1:16" x14ac:dyDescent="0.15">
      <c r="A103" s="77" t="s">
        <v>90</v>
      </c>
      <c r="B103" s="18">
        <v>96.4</v>
      </c>
      <c r="C103" s="18">
        <v>87.5</v>
      </c>
      <c r="D103" s="18">
        <v>61</v>
      </c>
      <c r="E103" s="18">
        <v>58</v>
      </c>
      <c r="F103" s="18">
        <v>64</v>
      </c>
      <c r="G103" s="20">
        <v>59</v>
      </c>
      <c r="H103" s="18">
        <v>72</v>
      </c>
      <c r="I103" s="20">
        <v>66</v>
      </c>
      <c r="J103" s="18">
        <v>68</v>
      </c>
      <c r="K103" s="20">
        <v>62</v>
      </c>
      <c r="L103" s="18">
        <v>69</v>
      </c>
      <c r="M103" s="20">
        <v>63</v>
      </c>
      <c r="P103" s="7"/>
    </row>
    <row r="104" spans="1:16" x14ac:dyDescent="0.15">
      <c r="A104" s="77" t="s">
        <v>91</v>
      </c>
      <c r="B104" s="18">
        <v>95.8</v>
      </c>
      <c r="C104" s="18">
        <v>95.3</v>
      </c>
      <c r="D104" s="18">
        <v>61</v>
      </c>
      <c r="E104" s="18">
        <v>64</v>
      </c>
      <c r="F104" s="18">
        <v>69</v>
      </c>
      <c r="G104" s="20">
        <v>67</v>
      </c>
      <c r="H104" s="18">
        <v>69</v>
      </c>
      <c r="I104" s="20">
        <v>72</v>
      </c>
      <c r="J104" s="18">
        <v>65</v>
      </c>
      <c r="K104" s="20">
        <v>67</v>
      </c>
      <c r="L104" s="18">
        <v>66</v>
      </c>
      <c r="M104" s="20">
        <v>70</v>
      </c>
      <c r="P104" s="7"/>
    </row>
    <row r="105" spans="1:16" x14ac:dyDescent="0.15">
      <c r="A105" s="77" t="s">
        <v>130</v>
      </c>
      <c r="B105" s="210">
        <v>92</v>
      </c>
      <c r="C105" s="18">
        <v>96.7</v>
      </c>
      <c r="D105" s="18">
        <v>57</v>
      </c>
      <c r="E105" s="18">
        <v>64</v>
      </c>
      <c r="F105" s="18">
        <v>62</v>
      </c>
      <c r="G105" s="20">
        <v>71</v>
      </c>
      <c r="H105" s="18">
        <v>68</v>
      </c>
      <c r="I105" s="20">
        <v>73</v>
      </c>
      <c r="J105" s="18">
        <v>62</v>
      </c>
      <c r="K105" s="20">
        <v>69</v>
      </c>
      <c r="L105" s="18">
        <v>65</v>
      </c>
      <c r="M105" s="20">
        <v>70</v>
      </c>
      <c r="P105" s="7"/>
    </row>
    <row r="106" spans="1:16" x14ac:dyDescent="0.15">
      <c r="A106" s="77"/>
      <c r="B106" s="18"/>
      <c r="C106" s="18"/>
      <c r="D106" s="18"/>
      <c r="E106" s="18"/>
      <c r="F106" s="18"/>
      <c r="G106" s="20"/>
      <c r="H106" s="18"/>
      <c r="I106" s="20"/>
      <c r="J106" s="18"/>
      <c r="K106" s="20"/>
      <c r="L106" s="18"/>
      <c r="M106" s="20"/>
      <c r="P106" s="7"/>
    </row>
    <row r="107" spans="1:16" x14ac:dyDescent="0.15">
      <c r="A107" s="77" t="s">
        <v>93</v>
      </c>
      <c r="B107" s="18">
        <v>95.1</v>
      </c>
      <c r="C107" s="18">
        <v>93.8</v>
      </c>
      <c r="D107" s="18">
        <v>58</v>
      </c>
      <c r="E107" s="18">
        <v>62</v>
      </c>
      <c r="F107" s="18">
        <v>65</v>
      </c>
      <c r="G107" s="20">
        <v>67</v>
      </c>
      <c r="H107" s="18">
        <v>69</v>
      </c>
      <c r="I107" s="20">
        <v>71</v>
      </c>
      <c r="J107" s="18">
        <v>65</v>
      </c>
      <c r="K107" s="20">
        <v>64</v>
      </c>
      <c r="L107" s="18">
        <v>70</v>
      </c>
      <c r="M107" s="20">
        <v>68</v>
      </c>
      <c r="P107" s="7"/>
    </row>
    <row r="108" spans="1:16" x14ac:dyDescent="0.15">
      <c r="A108" s="77" t="s">
        <v>94</v>
      </c>
      <c r="B108" s="18">
        <v>89.5</v>
      </c>
      <c r="C108" s="18">
        <v>93.5</v>
      </c>
      <c r="D108" s="18">
        <v>56</v>
      </c>
      <c r="E108" s="18">
        <v>64</v>
      </c>
      <c r="F108" s="18">
        <v>58</v>
      </c>
      <c r="G108" s="20">
        <v>64</v>
      </c>
      <c r="H108" s="18">
        <v>65</v>
      </c>
      <c r="I108" s="20">
        <v>70</v>
      </c>
      <c r="J108" s="18">
        <v>65</v>
      </c>
      <c r="K108" s="20">
        <v>63</v>
      </c>
      <c r="L108" s="18">
        <v>65</v>
      </c>
      <c r="M108" s="20">
        <v>69</v>
      </c>
      <c r="P108" s="7"/>
    </row>
    <row r="109" spans="1:16" x14ac:dyDescent="0.15">
      <c r="A109" s="77" t="s">
        <v>95</v>
      </c>
      <c r="B109" s="18">
        <v>88.5</v>
      </c>
      <c r="C109" s="18">
        <v>89.7</v>
      </c>
      <c r="D109" s="18">
        <v>58</v>
      </c>
      <c r="E109" s="18">
        <v>59</v>
      </c>
      <c r="F109" s="18">
        <v>57</v>
      </c>
      <c r="G109" s="20">
        <v>63</v>
      </c>
      <c r="H109" s="18">
        <v>65</v>
      </c>
      <c r="I109" s="20">
        <v>65</v>
      </c>
      <c r="J109" s="18">
        <v>65</v>
      </c>
      <c r="K109" s="20">
        <v>68</v>
      </c>
      <c r="L109" s="18">
        <v>61</v>
      </c>
      <c r="M109" s="20">
        <v>67</v>
      </c>
      <c r="P109" s="7"/>
    </row>
    <row r="110" spans="1:16" x14ac:dyDescent="0.15">
      <c r="A110" s="77"/>
      <c r="B110" s="18"/>
      <c r="C110" s="18"/>
      <c r="D110" s="18"/>
      <c r="E110" s="18"/>
      <c r="F110" s="18"/>
      <c r="G110" s="20"/>
      <c r="H110" s="18"/>
      <c r="I110" s="20"/>
      <c r="J110" s="18"/>
      <c r="K110" s="20"/>
      <c r="L110" s="18"/>
      <c r="M110" s="20"/>
      <c r="P110" s="7"/>
    </row>
    <row r="111" spans="1:16" x14ac:dyDescent="0.15">
      <c r="A111" s="77" t="s">
        <v>96</v>
      </c>
      <c r="B111" s="18">
        <v>88</v>
      </c>
      <c r="C111" s="18">
        <v>89.2</v>
      </c>
      <c r="D111" s="18">
        <v>53</v>
      </c>
      <c r="E111" s="18">
        <v>60</v>
      </c>
      <c r="F111" s="18">
        <v>58</v>
      </c>
      <c r="G111" s="20">
        <v>59</v>
      </c>
      <c r="H111" s="18">
        <v>63</v>
      </c>
      <c r="I111" s="20">
        <v>68</v>
      </c>
      <c r="J111" s="18">
        <v>65</v>
      </c>
      <c r="K111" s="20">
        <v>68</v>
      </c>
      <c r="L111" s="18">
        <v>65</v>
      </c>
      <c r="M111" s="20">
        <v>65</v>
      </c>
      <c r="P111" s="7"/>
    </row>
    <row r="112" spans="1:16" x14ac:dyDescent="0.15">
      <c r="A112" s="77" t="s">
        <v>97</v>
      </c>
      <c r="B112" s="210">
        <v>90.2</v>
      </c>
      <c r="C112" s="18">
        <v>84.6</v>
      </c>
      <c r="D112" s="18">
        <v>57</v>
      </c>
      <c r="E112" s="18">
        <v>54</v>
      </c>
      <c r="F112" s="18">
        <v>58</v>
      </c>
      <c r="G112" s="20">
        <v>57</v>
      </c>
      <c r="H112" s="18">
        <v>67</v>
      </c>
      <c r="I112" s="20">
        <v>61</v>
      </c>
      <c r="J112" s="18">
        <v>66</v>
      </c>
      <c r="K112" s="20">
        <v>66</v>
      </c>
      <c r="L112" s="18">
        <v>64</v>
      </c>
      <c r="M112" s="20">
        <v>64</v>
      </c>
      <c r="P112" s="7"/>
    </row>
    <row r="113" spans="1:16" x14ac:dyDescent="0.15">
      <c r="A113" s="77" t="s">
        <v>98</v>
      </c>
      <c r="B113" s="210">
        <v>83</v>
      </c>
      <c r="C113" s="18">
        <v>86.1</v>
      </c>
      <c r="D113" s="18">
        <v>47</v>
      </c>
      <c r="E113" s="18">
        <v>55</v>
      </c>
      <c r="F113" s="18">
        <v>54</v>
      </c>
      <c r="G113" s="20">
        <v>57</v>
      </c>
      <c r="H113" s="18">
        <v>62</v>
      </c>
      <c r="I113" s="20">
        <v>65</v>
      </c>
      <c r="J113" s="18">
        <v>69</v>
      </c>
      <c r="K113" s="20">
        <v>64</v>
      </c>
      <c r="L113" s="18">
        <v>58</v>
      </c>
      <c r="M113" s="20">
        <v>62</v>
      </c>
      <c r="P113" s="7"/>
    </row>
    <row r="114" spans="1:16" x14ac:dyDescent="0.15">
      <c r="A114" s="77"/>
      <c r="B114" s="208"/>
      <c r="C114" s="72"/>
      <c r="D114" s="72"/>
      <c r="E114" s="72"/>
      <c r="F114" s="72"/>
      <c r="G114" s="224"/>
      <c r="H114" s="72"/>
      <c r="I114" s="224"/>
      <c r="J114" s="72"/>
      <c r="K114" s="224"/>
      <c r="L114" s="18"/>
      <c r="M114" s="224"/>
      <c r="P114" s="7"/>
    </row>
    <row r="115" spans="1:16" x14ac:dyDescent="0.15">
      <c r="A115" s="77" t="s">
        <v>275</v>
      </c>
      <c r="B115" s="208">
        <v>75.400000000000006</v>
      </c>
      <c r="C115" s="72">
        <v>78.8</v>
      </c>
      <c r="D115" s="72">
        <v>43</v>
      </c>
      <c r="E115" s="72">
        <v>45</v>
      </c>
      <c r="F115" s="72">
        <v>50</v>
      </c>
      <c r="G115" s="224">
        <v>53</v>
      </c>
      <c r="H115" s="72">
        <v>51</v>
      </c>
      <c r="I115" s="224">
        <v>59</v>
      </c>
      <c r="J115" s="72">
        <v>68</v>
      </c>
      <c r="K115" s="224">
        <v>68</v>
      </c>
      <c r="L115" s="18">
        <v>53</v>
      </c>
      <c r="M115" s="224">
        <v>56</v>
      </c>
      <c r="P115" s="7"/>
    </row>
    <row r="116" spans="1:16" x14ac:dyDescent="0.15">
      <c r="A116" s="77" t="s">
        <v>21</v>
      </c>
      <c r="B116" s="208">
        <v>79.3</v>
      </c>
      <c r="C116" s="72">
        <v>74</v>
      </c>
      <c r="D116" s="72">
        <v>43</v>
      </c>
      <c r="E116" s="72">
        <v>43</v>
      </c>
      <c r="F116" s="72">
        <v>52</v>
      </c>
      <c r="G116" s="224">
        <v>48</v>
      </c>
      <c r="H116" s="72">
        <v>56</v>
      </c>
      <c r="I116" s="224">
        <v>52</v>
      </c>
      <c r="J116" s="72">
        <v>66</v>
      </c>
      <c r="K116" s="224">
        <v>71</v>
      </c>
      <c r="L116" s="72">
        <v>58</v>
      </c>
      <c r="M116" s="224">
        <v>54</v>
      </c>
      <c r="P116" s="7"/>
    </row>
    <row r="117" spans="1:16" x14ac:dyDescent="0.15">
      <c r="A117" s="77" t="s">
        <v>155</v>
      </c>
      <c r="B117" s="208">
        <v>76.8</v>
      </c>
      <c r="C117" s="72">
        <v>82.4</v>
      </c>
      <c r="D117" s="72">
        <v>42</v>
      </c>
      <c r="E117" s="72">
        <v>49</v>
      </c>
      <c r="F117" s="72">
        <v>49</v>
      </c>
      <c r="G117" s="224">
        <v>56</v>
      </c>
      <c r="H117" s="72">
        <v>54</v>
      </c>
      <c r="I117" s="224">
        <v>61</v>
      </c>
      <c r="J117" s="72">
        <v>63</v>
      </c>
      <c r="K117" s="224">
        <v>66</v>
      </c>
      <c r="L117" s="72">
        <v>56</v>
      </c>
      <c r="M117" s="224">
        <v>60</v>
      </c>
      <c r="P117" s="7"/>
    </row>
    <row r="118" spans="1:16" x14ac:dyDescent="0.15">
      <c r="A118" s="247"/>
      <c r="B118" s="208"/>
      <c r="C118" s="72"/>
      <c r="D118" s="72"/>
      <c r="E118" s="72"/>
      <c r="F118" s="72"/>
      <c r="G118" s="224"/>
      <c r="H118" s="72"/>
      <c r="I118" s="224"/>
      <c r="J118" s="72"/>
      <c r="K118" s="224"/>
      <c r="L118" s="72"/>
      <c r="M118" s="224"/>
      <c r="P118" s="7"/>
    </row>
    <row r="119" spans="1:16" x14ac:dyDescent="0.15">
      <c r="A119" s="247" t="s">
        <v>123</v>
      </c>
      <c r="B119" s="208">
        <v>79.2</v>
      </c>
      <c r="C119" s="72">
        <v>79.599999999999994</v>
      </c>
      <c r="D119" s="72">
        <v>45</v>
      </c>
      <c r="E119" s="72">
        <v>46</v>
      </c>
      <c r="F119" s="72">
        <v>51</v>
      </c>
      <c r="G119" s="224">
        <v>53</v>
      </c>
      <c r="H119" s="72">
        <v>57</v>
      </c>
      <c r="I119" s="224">
        <v>58</v>
      </c>
      <c r="J119" s="72">
        <v>66</v>
      </c>
      <c r="K119" s="224">
        <v>64</v>
      </c>
      <c r="L119" s="72">
        <v>56</v>
      </c>
      <c r="M119" s="224">
        <v>59</v>
      </c>
      <c r="P119" s="7"/>
    </row>
    <row r="120" spans="1:16" x14ac:dyDescent="0.15">
      <c r="A120" s="247" t="s">
        <v>134</v>
      </c>
      <c r="B120" s="208">
        <v>81.400000000000006</v>
      </c>
      <c r="C120" s="72">
        <v>82.1</v>
      </c>
      <c r="D120" s="72">
        <v>47</v>
      </c>
      <c r="E120" s="72">
        <v>51</v>
      </c>
      <c r="F120" s="72">
        <v>52</v>
      </c>
      <c r="G120" s="224">
        <v>54</v>
      </c>
      <c r="H120" s="72">
        <v>59</v>
      </c>
      <c r="I120" s="224">
        <v>62</v>
      </c>
      <c r="J120" s="72">
        <v>66</v>
      </c>
      <c r="K120" s="224">
        <v>67</v>
      </c>
      <c r="L120" s="72">
        <v>58</v>
      </c>
      <c r="M120" s="224">
        <v>58</v>
      </c>
      <c r="P120" s="7"/>
    </row>
    <row r="121" spans="1:16" x14ac:dyDescent="0.15">
      <c r="A121" s="247" t="s">
        <v>130</v>
      </c>
      <c r="B121" s="208">
        <v>85.5</v>
      </c>
      <c r="C121" s="72">
        <v>82.4</v>
      </c>
      <c r="D121" s="72">
        <v>51</v>
      </c>
      <c r="E121" s="72">
        <v>51</v>
      </c>
      <c r="F121" s="72">
        <v>53</v>
      </c>
      <c r="G121" s="224">
        <v>54</v>
      </c>
      <c r="H121" s="72">
        <v>64</v>
      </c>
      <c r="I121" s="224">
        <v>62</v>
      </c>
      <c r="J121" s="72">
        <v>64</v>
      </c>
      <c r="K121" s="224">
        <v>67</v>
      </c>
      <c r="L121" s="72">
        <v>61</v>
      </c>
      <c r="M121" s="224">
        <v>59</v>
      </c>
      <c r="P121" s="7"/>
    </row>
    <row r="122" spans="1:16" x14ac:dyDescent="0.15">
      <c r="A122" s="247"/>
      <c r="B122" s="208"/>
      <c r="C122" s="72"/>
      <c r="D122" s="72"/>
      <c r="E122" s="72"/>
      <c r="F122" s="72"/>
      <c r="G122" s="224"/>
      <c r="H122" s="72"/>
      <c r="I122" s="224"/>
      <c r="J122" s="72"/>
      <c r="K122" s="224"/>
      <c r="L122" s="72"/>
      <c r="M122" s="224"/>
      <c r="P122" s="7"/>
    </row>
    <row r="123" spans="1:16" x14ac:dyDescent="0.15">
      <c r="A123" s="247" t="s">
        <v>93</v>
      </c>
      <c r="B123" s="208">
        <v>91.5</v>
      </c>
      <c r="C123" s="72">
        <v>88.5</v>
      </c>
      <c r="D123" s="72">
        <v>58</v>
      </c>
      <c r="E123" s="72">
        <v>56</v>
      </c>
      <c r="F123" s="72">
        <v>60</v>
      </c>
      <c r="G123" s="224">
        <v>58</v>
      </c>
      <c r="H123" s="72">
        <v>67</v>
      </c>
      <c r="I123" s="224">
        <v>67</v>
      </c>
      <c r="J123" s="72">
        <v>66</v>
      </c>
      <c r="K123" s="224">
        <v>61</v>
      </c>
      <c r="L123" s="72">
        <v>64</v>
      </c>
      <c r="M123" s="224">
        <v>66</v>
      </c>
      <c r="P123" s="7"/>
    </row>
    <row r="124" spans="1:16" x14ac:dyDescent="0.15">
      <c r="A124" s="247" t="s">
        <v>300</v>
      </c>
      <c r="B124" s="250">
        <v>90.9</v>
      </c>
      <c r="C124" s="235">
        <v>89</v>
      </c>
      <c r="D124" s="250">
        <v>54</v>
      </c>
      <c r="E124" s="250">
        <v>57</v>
      </c>
      <c r="F124" s="250">
        <v>61</v>
      </c>
      <c r="G124" s="224">
        <v>60</v>
      </c>
      <c r="H124" s="250">
        <v>66</v>
      </c>
      <c r="I124" s="224">
        <v>67</v>
      </c>
      <c r="J124" s="250">
        <v>65</v>
      </c>
      <c r="K124" s="224">
        <v>67</v>
      </c>
      <c r="L124" s="250">
        <v>66</v>
      </c>
      <c r="M124" s="224">
        <v>65</v>
      </c>
      <c r="P124" s="7"/>
    </row>
    <row r="125" spans="1:16" x14ac:dyDescent="0.15">
      <c r="A125" s="258" t="s">
        <v>95</v>
      </c>
      <c r="B125" s="250">
        <v>87.6</v>
      </c>
      <c r="C125" s="235">
        <v>84.1</v>
      </c>
      <c r="D125" s="250">
        <v>51</v>
      </c>
      <c r="E125" s="250">
        <v>51</v>
      </c>
      <c r="F125" s="250">
        <v>57</v>
      </c>
      <c r="G125" s="224">
        <v>58</v>
      </c>
      <c r="H125" s="250">
        <v>65</v>
      </c>
      <c r="I125" s="224">
        <v>62</v>
      </c>
      <c r="J125" s="250">
        <v>63</v>
      </c>
      <c r="K125" s="224">
        <v>66</v>
      </c>
      <c r="L125" s="250">
        <v>63</v>
      </c>
      <c r="M125" s="266">
        <v>61</v>
      </c>
      <c r="P125" s="7"/>
    </row>
    <row r="126" spans="1:16" x14ac:dyDescent="0.15">
      <c r="A126" s="258"/>
      <c r="B126" s="250"/>
      <c r="C126" s="235"/>
      <c r="D126" s="250"/>
      <c r="E126" s="250"/>
      <c r="F126" s="250"/>
      <c r="G126" s="224"/>
      <c r="H126" s="250"/>
      <c r="I126" s="224"/>
      <c r="J126" s="250"/>
      <c r="K126" s="224"/>
      <c r="L126" s="250"/>
      <c r="M126" s="224"/>
      <c r="P126" s="7"/>
    </row>
    <row r="127" spans="1:16" x14ac:dyDescent="0.15">
      <c r="A127" s="262" t="s">
        <v>307</v>
      </c>
      <c r="B127" s="250">
        <v>85.2</v>
      </c>
      <c r="C127" s="235">
        <v>89.4</v>
      </c>
      <c r="D127" s="250">
        <v>51</v>
      </c>
      <c r="E127" s="250">
        <v>56</v>
      </c>
      <c r="F127" s="250">
        <v>58</v>
      </c>
      <c r="G127" s="224">
        <v>61</v>
      </c>
      <c r="H127" s="250">
        <v>60</v>
      </c>
      <c r="I127" s="224">
        <v>69</v>
      </c>
      <c r="J127" s="250">
        <v>66</v>
      </c>
      <c r="K127" s="224">
        <v>65</v>
      </c>
      <c r="L127" s="250">
        <v>60</v>
      </c>
      <c r="M127" s="224">
        <v>64</v>
      </c>
      <c r="P127" s="7"/>
    </row>
    <row r="128" spans="1:16" x14ac:dyDescent="0.15">
      <c r="A128" s="262" t="s">
        <v>145</v>
      </c>
      <c r="B128" s="250">
        <v>85.3</v>
      </c>
      <c r="C128" s="235">
        <v>82</v>
      </c>
      <c r="D128" s="250">
        <v>53</v>
      </c>
      <c r="E128" s="250">
        <v>52</v>
      </c>
      <c r="F128" s="250">
        <v>55</v>
      </c>
      <c r="G128" s="224">
        <v>55</v>
      </c>
      <c r="H128" s="250">
        <v>62</v>
      </c>
      <c r="I128" s="224">
        <v>59</v>
      </c>
      <c r="J128" s="250">
        <v>70</v>
      </c>
      <c r="K128" s="224">
        <v>65</v>
      </c>
      <c r="L128" s="250">
        <v>59</v>
      </c>
      <c r="M128" s="224">
        <v>59</v>
      </c>
      <c r="P128" s="7"/>
    </row>
    <row r="129" spans="1:16" x14ac:dyDescent="0.15">
      <c r="A129" s="262" t="s">
        <v>151</v>
      </c>
      <c r="B129" s="250">
        <v>88.3</v>
      </c>
      <c r="C129" s="235">
        <v>85.5</v>
      </c>
      <c r="D129" s="250">
        <v>51</v>
      </c>
      <c r="E129" s="250">
        <v>54</v>
      </c>
      <c r="F129" s="250">
        <v>56</v>
      </c>
      <c r="G129" s="224">
        <v>58</v>
      </c>
      <c r="H129" s="250">
        <v>66</v>
      </c>
      <c r="I129" s="224">
        <v>64</v>
      </c>
      <c r="J129" s="250">
        <v>69</v>
      </c>
      <c r="K129" s="224">
        <v>69</v>
      </c>
      <c r="L129" s="250">
        <v>65</v>
      </c>
      <c r="M129" s="224">
        <v>61</v>
      </c>
      <c r="P129" s="7"/>
    </row>
    <row r="130" spans="1:16" x14ac:dyDescent="0.15">
      <c r="A130" s="262"/>
      <c r="B130" s="250"/>
      <c r="C130" s="235"/>
      <c r="D130" s="250"/>
      <c r="E130" s="250"/>
      <c r="F130" s="250"/>
      <c r="G130" s="224"/>
      <c r="H130" s="250"/>
      <c r="I130" s="224"/>
      <c r="J130" s="250"/>
      <c r="K130" s="224"/>
      <c r="L130" s="250"/>
      <c r="M130" s="224"/>
      <c r="P130" s="7"/>
    </row>
    <row r="131" spans="1:16" x14ac:dyDescent="0.15">
      <c r="A131" s="262" t="s">
        <v>319</v>
      </c>
      <c r="B131" s="250">
        <v>87.5</v>
      </c>
      <c r="C131" s="235">
        <v>86</v>
      </c>
      <c r="D131" s="250">
        <v>50</v>
      </c>
      <c r="E131" s="250">
        <v>54</v>
      </c>
      <c r="F131" s="250">
        <v>57</v>
      </c>
      <c r="G131" s="224">
        <v>55</v>
      </c>
      <c r="H131" s="250">
        <v>64</v>
      </c>
      <c r="I131" s="224">
        <v>65</v>
      </c>
      <c r="J131" s="250">
        <v>66</v>
      </c>
      <c r="K131" s="224">
        <v>69</v>
      </c>
      <c r="L131" s="250">
        <v>61</v>
      </c>
      <c r="M131" s="224">
        <v>60</v>
      </c>
      <c r="P131" s="7"/>
    </row>
    <row r="132" spans="1:16" x14ac:dyDescent="0.15">
      <c r="A132" s="262" t="s">
        <v>21</v>
      </c>
      <c r="B132" s="272">
        <f ca="1">IF($C132="","",[1]!BTSP(B$2,$C132))</f>
        <v>86.5</v>
      </c>
      <c r="C132" s="272">
        <f ca="1">IF($C132="","",[1]!BTSP(C$2,$C132))</f>
        <v>85.2</v>
      </c>
      <c r="D132" s="272">
        <f ca="1">IF($C132="","",[1]!BTSP(D$2,$C132))</f>
        <v>50</v>
      </c>
      <c r="E132" s="272">
        <f ca="1">IF($C132="","",[1]!BTSP(E$2,$C132))</f>
        <v>49</v>
      </c>
      <c r="F132" s="272">
        <f ca="1">IF($C132="","",[1]!BTSP(F$2,$C132))</f>
        <v>58</v>
      </c>
      <c r="G132" s="20">
        <f ca="1">IF($C132="","",[1]!BTSP(G$2,$C132))</f>
        <v>58</v>
      </c>
      <c r="H132" s="272">
        <f ca="1">IF($C132="","",[1]!BTSP(H$2,$C132))</f>
        <v>62</v>
      </c>
      <c r="I132" s="20">
        <f ca="1">IF($C132="","",[1]!BTSP(I$2,$C132))</f>
        <v>63</v>
      </c>
      <c r="J132" s="272">
        <f ca="1">IF($C132="","",[1]!BTSP(J$2,$C132))</f>
        <v>66</v>
      </c>
      <c r="K132" s="20">
        <f ca="1">IF($C132="","",[1]!BTSP(K$2,$C132))</f>
        <v>68</v>
      </c>
      <c r="L132" s="272">
        <f ca="1">IF($C132="","",[1]!BTSP(L$2,$C132))</f>
        <v>59</v>
      </c>
      <c r="M132" s="20">
        <f ca="1">IF($C132="","",[1]!BTSP(M$2,$C132))</f>
        <v>61</v>
      </c>
      <c r="P132" s="7"/>
    </row>
    <row r="133" spans="1:16" x14ac:dyDescent="0.15">
      <c r="A133" s="262" t="s">
        <v>155</v>
      </c>
      <c r="B133" s="272">
        <f ca="1">IF($C133="","",[1]!BTSP(B$2,$C133))</f>
        <v>85.6</v>
      </c>
      <c r="C133" s="272">
        <f ca="1">IF($C133="","",[1]!BTSP(C$2,$C133))</f>
        <v>89</v>
      </c>
      <c r="D133" s="272">
        <f ca="1">IF($C133="","",[1]!BTSP(D$2,$C133))</f>
        <v>47</v>
      </c>
      <c r="E133" s="272">
        <f ca="1">IF($C133="","",[1]!BTSP(E$2,$C133))</f>
        <v>54</v>
      </c>
      <c r="F133" s="272">
        <f ca="1">IF($C133="","",[1]!BTSP(F$2,$C133))</f>
        <v>54</v>
      </c>
      <c r="G133" s="20">
        <f ca="1">IF($C133="","",[1]!BTSP(G$2,$C133))</f>
        <v>61</v>
      </c>
      <c r="H133" s="272">
        <f ca="1">IF($C133="","",[1]!BTSP(H$2,$C133))</f>
        <v>63</v>
      </c>
      <c r="I133" s="20">
        <f ca="1">IF($C133="","",[1]!BTSP(I$2,$C133))</f>
        <v>67</v>
      </c>
      <c r="J133" s="272">
        <f ca="1">IF($C133="","",[1]!BTSP(J$2,$C133))</f>
        <v>64</v>
      </c>
      <c r="K133" s="20">
        <f ca="1">IF($C133="","",[1]!BTSP(K$2,$C133))</f>
        <v>70</v>
      </c>
      <c r="L133" s="272">
        <f ca="1">IF($C133="","",[1]!BTSP(L$2,$C133))</f>
        <v>61</v>
      </c>
      <c r="M133" s="20">
        <f ca="1">IF($C133="","",[1]!BTSP(M$2,$C133))</f>
        <v>63</v>
      </c>
      <c r="P133" s="7"/>
    </row>
    <row r="134" spans="1:16" x14ac:dyDescent="0.15">
      <c r="A134" s="262"/>
      <c r="B134" s="250"/>
      <c r="C134" s="235"/>
      <c r="D134" s="250"/>
      <c r="E134" s="250"/>
      <c r="F134" s="250"/>
      <c r="G134" s="224"/>
      <c r="H134" s="250"/>
      <c r="I134" s="224"/>
      <c r="J134" s="250"/>
      <c r="K134" s="224"/>
      <c r="L134" s="250"/>
      <c r="M134" s="224"/>
      <c r="P134" s="7"/>
    </row>
    <row r="135" spans="1:16" x14ac:dyDescent="0.15">
      <c r="A135" s="262" t="s">
        <v>123</v>
      </c>
      <c r="B135" s="272">
        <f ca="1">IF($C135="","",[1]!BTSP(B$2,$C135))</f>
        <v>89.4</v>
      </c>
      <c r="C135" s="272">
        <f ca="1">IF($C135="","",[1]!BTSP(C$2,$C135))</f>
        <v>86.3</v>
      </c>
      <c r="D135" s="272">
        <f ca="1">IF($C135="","",[1]!BTSP(D$2,$C135))</f>
        <v>50</v>
      </c>
      <c r="E135" s="272">
        <f ca="1">IF($C135="","",[1]!BTSP(E$2,$C135))</f>
        <v>52</v>
      </c>
      <c r="F135" s="272">
        <f ca="1">IF($C135="","",[1]!BTSP(F$2,$C135))</f>
        <v>58</v>
      </c>
      <c r="G135" s="20">
        <f ca="1">IF($C135="","",[1]!BTSP(G$2,$C135))</f>
        <v>57</v>
      </c>
      <c r="H135" s="272">
        <f ca="1">IF($C135="","",[1]!BTSP(H$2,$C135))</f>
        <v>65</v>
      </c>
      <c r="I135" s="20">
        <f ca="1">IF($C135="","",[1]!BTSP(I$2,$C135))</f>
        <v>64</v>
      </c>
      <c r="J135" s="272">
        <f ca="1">IF($C135="","",[1]!BTSP(J$2,$C135))</f>
        <v>69</v>
      </c>
      <c r="K135" s="20">
        <f ca="1">IF($C135="","",[1]!BTSP(K$2,$C135))</f>
        <v>63</v>
      </c>
      <c r="L135" s="272">
        <f ca="1">IF($C135="","",[1]!BTSP(L$2,$C135))</f>
        <v>65</v>
      </c>
      <c r="M135" s="20">
        <f ca="1">IF($C135="","",[1]!BTSP(M$2,$C135))</f>
        <v>62</v>
      </c>
      <c r="P135" s="7"/>
    </row>
    <row r="136" spans="1:16" ht="35.25" customHeight="1" x14ac:dyDescent="0.15">
      <c r="A136" s="312" t="s">
        <v>228</v>
      </c>
      <c r="B136" s="312"/>
      <c r="C136" s="312"/>
      <c r="D136" s="312"/>
      <c r="E136" s="312"/>
      <c r="F136" s="312"/>
      <c r="G136" s="312"/>
      <c r="H136" s="312"/>
      <c r="I136" s="312"/>
      <c r="J136" s="312"/>
      <c r="K136" s="312"/>
      <c r="L136" s="312"/>
      <c r="M136" s="312"/>
      <c r="P136" s="7"/>
    </row>
  </sheetData>
  <mergeCells count="10">
    <mergeCell ref="A136:M136"/>
    <mergeCell ref="A1:M1"/>
    <mergeCell ref="A3:A5"/>
    <mergeCell ref="J4:K4"/>
    <mergeCell ref="L4:M4"/>
    <mergeCell ref="D4:E4"/>
    <mergeCell ref="F4:G4"/>
    <mergeCell ref="H4:I4"/>
    <mergeCell ref="B4:C4"/>
    <mergeCell ref="B3:M3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Q136"/>
  <sheetViews>
    <sheetView view="pageBreakPreview" zoomScale="85" zoomScaleNormal="100" zoomScaleSheetLayoutView="85" workbookViewId="0">
      <pane xSplit="1" ySplit="3" topLeftCell="B100" activePane="bottomRight" state="frozen"/>
      <selection pane="topRight" activeCell="B1" sqref="B1"/>
      <selection pane="bottomLeft" activeCell="A4" sqref="A4"/>
      <selection pane="bottomRight" activeCell="M131" sqref="M131"/>
    </sheetView>
  </sheetViews>
  <sheetFormatPr defaultRowHeight="13.5" x14ac:dyDescent="0.15"/>
  <cols>
    <col min="1" max="11" width="7.77734375" style="6" customWidth="1"/>
    <col min="12" max="12" width="7.77734375" style="7" customWidth="1"/>
    <col min="13" max="13" width="9.77734375" style="6" customWidth="1"/>
    <col min="14" max="16384" width="8.88671875" style="6"/>
  </cols>
  <sheetData>
    <row r="1" spans="1:17" ht="18.75" x14ac:dyDescent="0.25">
      <c r="A1" s="90" t="s">
        <v>38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7" s="101" customFormat="1" x14ac:dyDescent="0.15">
      <c r="A2" s="66" t="s">
        <v>30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7" s="10" customFormat="1" ht="39.950000000000003" customHeight="1" x14ac:dyDescent="0.15">
      <c r="A3" s="49" t="s">
        <v>55</v>
      </c>
      <c r="B3" s="182" t="s">
        <v>37</v>
      </c>
      <c r="C3" s="5" t="s">
        <v>54</v>
      </c>
      <c r="D3" s="5" t="s">
        <v>56</v>
      </c>
      <c r="E3" s="5" t="s">
        <v>57</v>
      </c>
      <c r="F3" s="5" t="s">
        <v>58</v>
      </c>
      <c r="G3" s="5" t="s">
        <v>59</v>
      </c>
      <c r="H3" s="5" t="s">
        <v>60</v>
      </c>
      <c r="I3" s="5" t="s">
        <v>61</v>
      </c>
      <c r="J3" s="5" t="s">
        <v>62</v>
      </c>
      <c r="K3" s="5" t="s">
        <v>63</v>
      </c>
      <c r="L3" s="48" t="s">
        <v>64</v>
      </c>
    </row>
    <row r="4" spans="1:17" s="7" customFormat="1" ht="13.5" customHeight="1" x14ac:dyDescent="0.15">
      <c r="A4" s="75" t="s">
        <v>111</v>
      </c>
      <c r="B4" s="96">
        <v>118</v>
      </c>
      <c r="C4" s="96">
        <v>96</v>
      </c>
      <c r="D4" s="96">
        <v>110</v>
      </c>
      <c r="E4" s="96">
        <v>106</v>
      </c>
      <c r="F4" s="109">
        <v>107</v>
      </c>
      <c r="G4" s="96">
        <v>123</v>
      </c>
      <c r="H4" s="109">
        <v>98</v>
      </c>
      <c r="I4" s="109">
        <v>132</v>
      </c>
      <c r="J4" s="94" t="s">
        <v>102</v>
      </c>
      <c r="K4" s="94" t="s">
        <v>102</v>
      </c>
      <c r="L4" s="108">
        <v>122</v>
      </c>
      <c r="M4" s="11"/>
      <c r="N4" s="2"/>
      <c r="O4" s="2"/>
      <c r="P4" s="2"/>
      <c r="Q4" s="2"/>
    </row>
    <row r="5" spans="1:17" s="7" customFormat="1" ht="13.5" customHeight="1" x14ac:dyDescent="0.15">
      <c r="A5" s="75" t="s">
        <v>113</v>
      </c>
      <c r="B5" s="96">
        <v>112</v>
      </c>
      <c r="C5" s="96">
        <v>92</v>
      </c>
      <c r="D5" s="96">
        <v>108</v>
      </c>
      <c r="E5" s="96">
        <v>101</v>
      </c>
      <c r="F5" s="109">
        <v>93</v>
      </c>
      <c r="G5" s="96">
        <v>108</v>
      </c>
      <c r="H5" s="109">
        <v>101</v>
      </c>
      <c r="I5" s="109">
        <v>137</v>
      </c>
      <c r="J5" s="94" t="s">
        <v>102</v>
      </c>
      <c r="K5" s="94" t="s">
        <v>102</v>
      </c>
      <c r="L5" s="108">
        <v>125</v>
      </c>
      <c r="M5" s="11"/>
      <c r="N5" s="2"/>
      <c r="O5" s="2"/>
      <c r="P5" s="2"/>
      <c r="Q5" s="2"/>
    </row>
    <row r="6" spans="1:17" s="7" customFormat="1" ht="13.5" customHeight="1" x14ac:dyDescent="0.15">
      <c r="A6" s="75"/>
      <c r="B6" s="18" t="s">
        <v>207</v>
      </c>
      <c r="C6" s="18" t="s">
        <v>207</v>
      </c>
      <c r="D6" s="18" t="s">
        <v>207</v>
      </c>
      <c r="E6" s="18" t="s">
        <v>207</v>
      </c>
      <c r="F6" s="20" t="s">
        <v>207</v>
      </c>
      <c r="G6" s="18" t="s">
        <v>207</v>
      </c>
      <c r="H6" s="20" t="s">
        <v>207</v>
      </c>
      <c r="I6" s="20" t="s">
        <v>207</v>
      </c>
      <c r="J6" s="110"/>
      <c r="K6" s="110"/>
      <c r="L6" s="83" t="s">
        <v>207</v>
      </c>
      <c r="M6" s="11"/>
      <c r="N6" s="2"/>
      <c r="O6" s="2"/>
      <c r="P6" s="2"/>
      <c r="Q6" s="2"/>
    </row>
    <row r="7" spans="1:17" s="7" customFormat="1" ht="13.5" customHeight="1" x14ac:dyDescent="0.15">
      <c r="A7" s="75" t="s">
        <v>115</v>
      </c>
      <c r="B7" s="96">
        <v>98</v>
      </c>
      <c r="C7" s="96">
        <v>86</v>
      </c>
      <c r="D7" s="96">
        <v>92</v>
      </c>
      <c r="E7" s="96">
        <v>97</v>
      </c>
      <c r="F7" s="109">
        <v>67</v>
      </c>
      <c r="G7" s="96">
        <v>82</v>
      </c>
      <c r="H7" s="109">
        <v>83</v>
      </c>
      <c r="I7" s="109">
        <v>144</v>
      </c>
      <c r="J7" s="94" t="s">
        <v>102</v>
      </c>
      <c r="K7" s="94" t="s">
        <v>102</v>
      </c>
      <c r="L7" s="108">
        <v>112</v>
      </c>
      <c r="M7" s="11"/>
      <c r="N7" s="2"/>
      <c r="O7" s="2"/>
      <c r="P7" s="2"/>
      <c r="Q7" s="2"/>
    </row>
    <row r="8" spans="1:17" s="7" customFormat="1" ht="13.5" customHeight="1" x14ac:dyDescent="0.15">
      <c r="A8" s="75" t="s">
        <v>117</v>
      </c>
      <c r="B8" s="96">
        <v>92.7</v>
      </c>
      <c r="C8" s="96">
        <v>88</v>
      </c>
      <c r="D8" s="96">
        <v>92</v>
      </c>
      <c r="E8" s="96">
        <v>87</v>
      </c>
      <c r="F8" s="109">
        <v>62</v>
      </c>
      <c r="G8" s="96">
        <v>79</v>
      </c>
      <c r="H8" s="109">
        <v>83</v>
      </c>
      <c r="I8" s="109">
        <v>131</v>
      </c>
      <c r="J8" s="94" t="s">
        <v>102</v>
      </c>
      <c r="K8" s="94" t="s">
        <v>102</v>
      </c>
      <c r="L8" s="108">
        <v>97</v>
      </c>
      <c r="M8" s="11"/>
      <c r="N8" s="2"/>
      <c r="O8" s="2"/>
      <c r="P8" s="2"/>
      <c r="Q8" s="2"/>
    </row>
    <row r="9" spans="1:17" s="7" customFormat="1" ht="13.5" customHeight="1" x14ac:dyDescent="0.15">
      <c r="A9" s="75" t="s">
        <v>119</v>
      </c>
      <c r="B9" s="96">
        <v>105.1</v>
      </c>
      <c r="C9" s="96">
        <v>91</v>
      </c>
      <c r="D9" s="96">
        <v>97</v>
      </c>
      <c r="E9" s="96">
        <v>99</v>
      </c>
      <c r="F9" s="109">
        <v>85</v>
      </c>
      <c r="G9" s="96">
        <v>98</v>
      </c>
      <c r="H9" s="109">
        <v>96</v>
      </c>
      <c r="I9" s="109">
        <v>135</v>
      </c>
      <c r="J9" s="109">
        <v>118</v>
      </c>
      <c r="K9" s="109">
        <v>114</v>
      </c>
      <c r="L9" s="108">
        <v>99</v>
      </c>
      <c r="M9" s="11"/>
      <c r="N9" s="2"/>
      <c r="O9" s="2"/>
      <c r="P9" s="2"/>
      <c r="Q9" s="2"/>
    </row>
    <row r="10" spans="1:17" s="7" customFormat="1" ht="13.5" customHeight="1" x14ac:dyDescent="0.15">
      <c r="A10" s="75" t="s">
        <v>121</v>
      </c>
      <c r="B10" s="96">
        <v>105.1</v>
      </c>
      <c r="C10" s="96">
        <v>87</v>
      </c>
      <c r="D10" s="96">
        <v>101</v>
      </c>
      <c r="E10" s="96">
        <v>103</v>
      </c>
      <c r="F10" s="109">
        <v>76</v>
      </c>
      <c r="G10" s="96">
        <v>93</v>
      </c>
      <c r="H10" s="109">
        <v>86</v>
      </c>
      <c r="I10" s="109">
        <v>132</v>
      </c>
      <c r="J10" s="109">
        <v>122</v>
      </c>
      <c r="K10" s="109">
        <v>116</v>
      </c>
      <c r="L10" s="108">
        <v>88</v>
      </c>
      <c r="M10" s="11"/>
      <c r="N10" s="2"/>
      <c r="O10" s="2"/>
      <c r="P10" s="2"/>
      <c r="Q10" s="2"/>
    </row>
    <row r="11" spans="1:17" s="7" customFormat="1" ht="13.5" customHeight="1" x14ac:dyDescent="0.15">
      <c r="A11" s="77" t="s">
        <v>132</v>
      </c>
      <c r="B11" s="18">
        <v>106</v>
      </c>
      <c r="C11" s="18">
        <v>93</v>
      </c>
      <c r="D11" s="18">
        <v>101</v>
      </c>
      <c r="E11" s="18">
        <v>102</v>
      </c>
      <c r="F11" s="20">
        <v>82</v>
      </c>
      <c r="G11" s="18">
        <v>90</v>
      </c>
      <c r="H11" s="20">
        <v>88</v>
      </c>
      <c r="I11" s="20">
        <v>135</v>
      </c>
      <c r="J11" s="20">
        <v>116</v>
      </c>
      <c r="K11" s="20">
        <v>116</v>
      </c>
      <c r="L11" s="83">
        <v>114</v>
      </c>
      <c r="M11" s="11"/>
      <c r="N11" s="2"/>
      <c r="O11" s="2"/>
      <c r="P11" s="2"/>
      <c r="Q11" s="2"/>
    </row>
    <row r="12" spans="1:17" s="7" customFormat="1" ht="13.5" customHeight="1" x14ac:dyDescent="0.15">
      <c r="A12" s="77"/>
      <c r="B12" s="18" t="s">
        <v>207</v>
      </c>
      <c r="C12" s="18" t="s">
        <v>207</v>
      </c>
      <c r="D12" s="18" t="s">
        <v>207</v>
      </c>
      <c r="E12" s="18" t="s">
        <v>207</v>
      </c>
      <c r="F12" s="20" t="s">
        <v>207</v>
      </c>
      <c r="G12" s="18" t="s">
        <v>207</v>
      </c>
      <c r="H12" s="20" t="s">
        <v>207</v>
      </c>
      <c r="I12" s="20" t="s">
        <v>207</v>
      </c>
      <c r="J12" s="20" t="s">
        <v>207</v>
      </c>
      <c r="K12" s="20" t="s">
        <v>207</v>
      </c>
      <c r="L12" s="83" t="s">
        <v>207</v>
      </c>
      <c r="M12" s="11"/>
      <c r="N12" s="2"/>
      <c r="O12" s="2"/>
      <c r="P12" s="2"/>
      <c r="Q12" s="2"/>
    </row>
    <row r="13" spans="1:17" s="7" customFormat="1" ht="13.5" customHeight="1" x14ac:dyDescent="0.15">
      <c r="A13" s="77" t="s">
        <v>184</v>
      </c>
      <c r="B13" s="18">
        <v>98.8</v>
      </c>
      <c r="C13" s="18">
        <v>91</v>
      </c>
      <c r="D13" s="18">
        <v>94</v>
      </c>
      <c r="E13" s="18">
        <v>99</v>
      </c>
      <c r="F13" s="20">
        <v>60</v>
      </c>
      <c r="G13" s="18">
        <v>70</v>
      </c>
      <c r="H13" s="20">
        <v>71</v>
      </c>
      <c r="I13" s="20">
        <v>137</v>
      </c>
      <c r="J13" s="20">
        <v>114</v>
      </c>
      <c r="K13" s="20">
        <v>113</v>
      </c>
      <c r="L13" s="83">
        <v>121</v>
      </c>
      <c r="M13" s="11"/>
      <c r="N13" s="2"/>
      <c r="O13" s="2"/>
      <c r="P13" s="2"/>
      <c r="Q13" s="2"/>
    </row>
    <row r="14" spans="1:17" s="7" customFormat="1" ht="13.5" customHeight="1" x14ac:dyDescent="0.15">
      <c r="A14" s="77" t="s">
        <v>200</v>
      </c>
      <c r="B14" s="18">
        <v>110.7</v>
      </c>
      <c r="C14" s="18">
        <v>93</v>
      </c>
      <c r="D14" s="18">
        <v>99</v>
      </c>
      <c r="E14" s="18">
        <v>106</v>
      </c>
      <c r="F14" s="20">
        <v>94</v>
      </c>
      <c r="G14" s="18">
        <v>104</v>
      </c>
      <c r="H14" s="20">
        <v>102</v>
      </c>
      <c r="I14" s="20">
        <v>138</v>
      </c>
      <c r="J14" s="20">
        <v>115</v>
      </c>
      <c r="K14" s="20">
        <v>126</v>
      </c>
      <c r="L14" s="83">
        <v>132</v>
      </c>
      <c r="M14" s="11"/>
      <c r="N14" s="2"/>
      <c r="O14" s="2"/>
      <c r="P14" s="2"/>
      <c r="Q14" s="2"/>
    </row>
    <row r="15" spans="1:17" s="7" customFormat="1" ht="13.5" customHeight="1" x14ac:dyDescent="0.15">
      <c r="A15" s="77" t="s">
        <v>205</v>
      </c>
      <c r="B15" s="81">
        <v>94.6</v>
      </c>
      <c r="C15" s="81">
        <v>88</v>
      </c>
      <c r="D15" s="18">
        <v>89</v>
      </c>
      <c r="E15" s="18">
        <v>94</v>
      </c>
      <c r="F15" s="20">
        <v>62</v>
      </c>
      <c r="G15" s="18">
        <v>69</v>
      </c>
      <c r="H15" s="20">
        <v>73</v>
      </c>
      <c r="I15" s="20">
        <v>139</v>
      </c>
      <c r="J15" s="20">
        <v>87</v>
      </c>
      <c r="K15" s="20">
        <v>116</v>
      </c>
      <c r="L15" s="83">
        <v>128</v>
      </c>
      <c r="M15" s="11"/>
      <c r="N15" s="2"/>
      <c r="O15" s="2"/>
      <c r="P15" s="2"/>
      <c r="Q15" s="2"/>
    </row>
    <row r="16" spans="1:17" s="7" customFormat="1" ht="13.5" customHeight="1" x14ac:dyDescent="0.15">
      <c r="A16" s="133"/>
      <c r="B16" s="81"/>
      <c r="C16" s="81"/>
      <c r="D16" s="18"/>
      <c r="E16" s="18"/>
      <c r="F16" s="20"/>
      <c r="G16" s="18"/>
      <c r="H16" s="20"/>
      <c r="I16" s="20"/>
      <c r="J16" s="20"/>
      <c r="K16" s="20"/>
      <c r="L16" s="83"/>
      <c r="M16" s="11"/>
      <c r="N16" s="2"/>
      <c r="O16" s="2"/>
      <c r="P16" s="2"/>
      <c r="Q16" s="2"/>
    </row>
    <row r="17" spans="1:17" s="7" customFormat="1" ht="13.5" customHeight="1" x14ac:dyDescent="0.15">
      <c r="A17" s="133" t="s">
        <v>148</v>
      </c>
      <c r="B17" s="81">
        <v>97.3</v>
      </c>
      <c r="C17" s="81">
        <v>87</v>
      </c>
      <c r="D17" s="18">
        <v>92</v>
      </c>
      <c r="E17" s="18">
        <v>96</v>
      </c>
      <c r="F17" s="20">
        <v>64</v>
      </c>
      <c r="G17" s="18">
        <v>75</v>
      </c>
      <c r="H17" s="20">
        <v>76</v>
      </c>
      <c r="I17" s="20">
        <v>138</v>
      </c>
      <c r="J17" s="20">
        <v>86</v>
      </c>
      <c r="K17" s="20">
        <v>123</v>
      </c>
      <c r="L17" s="83">
        <v>120</v>
      </c>
      <c r="M17" s="11"/>
      <c r="N17" s="2"/>
      <c r="O17" s="2"/>
      <c r="P17" s="2"/>
      <c r="Q17" s="2"/>
    </row>
    <row r="18" spans="1:17" s="7" customFormat="1" ht="13.5" customHeight="1" x14ac:dyDescent="0.15">
      <c r="A18" s="133" t="s">
        <v>21</v>
      </c>
      <c r="B18" s="81">
        <v>98.3</v>
      </c>
      <c r="C18" s="81">
        <v>90</v>
      </c>
      <c r="D18" s="18">
        <v>92</v>
      </c>
      <c r="E18" s="18">
        <v>95</v>
      </c>
      <c r="F18" s="20">
        <v>69</v>
      </c>
      <c r="G18" s="18">
        <v>78</v>
      </c>
      <c r="H18" s="20">
        <v>77</v>
      </c>
      <c r="I18" s="20">
        <v>138</v>
      </c>
      <c r="J18" s="20">
        <v>78</v>
      </c>
      <c r="K18" s="20">
        <v>119</v>
      </c>
      <c r="L18" s="83">
        <v>116</v>
      </c>
      <c r="M18" s="11"/>
      <c r="N18" s="2"/>
      <c r="O18" s="2"/>
      <c r="P18" s="2"/>
      <c r="Q18" s="2"/>
    </row>
    <row r="19" spans="1:17" s="7" customFormat="1" ht="13.5" customHeight="1" x14ac:dyDescent="0.15">
      <c r="A19" s="133" t="s">
        <v>89</v>
      </c>
      <c r="B19" s="81">
        <v>97.9</v>
      </c>
      <c r="C19" s="81">
        <v>88</v>
      </c>
      <c r="D19" s="18">
        <v>93</v>
      </c>
      <c r="E19" s="18">
        <v>97</v>
      </c>
      <c r="F19" s="20">
        <v>70</v>
      </c>
      <c r="G19" s="18">
        <v>77</v>
      </c>
      <c r="H19" s="20">
        <v>76</v>
      </c>
      <c r="I19" s="20">
        <v>136</v>
      </c>
      <c r="J19" s="20">
        <v>79</v>
      </c>
      <c r="K19" s="20">
        <v>114</v>
      </c>
      <c r="L19" s="83">
        <v>115</v>
      </c>
      <c r="M19" s="11"/>
      <c r="N19" s="2"/>
      <c r="O19" s="2"/>
      <c r="P19" s="2"/>
      <c r="Q19" s="2"/>
    </row>
    <row r="20" spans="1:17" s="7" customFormat="1" ht="13.5" customHeight="1" x14ac:dyDescent="0.15">
      <c r="A20" s="133"/>
      <c r="B20" s="81" t="s">
        <v>207</v>
      </c>
      <c r="C20" s="81" t="s">
        <v>207</v>
      </c>
      <c r="D20" s="18" t="s">
        <v>207</v>
      </c>
      <c r="E20" s="18" t="s">
        <v>207</v>
      </c>
      <c r="F20" s="20" t="s">
        <v>207</v>
      </c>
      <c r="G20" s="18" t="s">
        <v>207</v>
      </c>
      <c r="H20" s="20" t="s">
        <v>207</v>
      </c>
      <c r="I20" s="20" t="s">
        <v>207</v>
      </c>
      <c r="J20" s="20" t="s">
        <v>207</v>
      </c>
      <c r="K20" s="20" t="s">
        <v>207</v>
      </c>
      <c r="L20" s="83" t="s">
        <v>207</v>
      </c>
      <c r="M20" s="11"/>
      <c r="N20" s="2"/>
      <c r="O20" s="2"/>
      <c r="P20" s="2"/>
      <c r="Q20" s="2"/>
    </row>
    <row r="21" spans="1:17" s="7" customFormat="1" ht="13.5" customHeight="1" x14ac:dyDescent="0.15">
      <c r="A21" s="133" t="s">
        <v>90</v>
      </c>
      <c r="B21" s="81">
        <v>100.2</v>
      </c>
      <c r="C21" s="81">
        <v>91</v>
      </c>
      <c r="D21" s="18">
        <v>95</v>
      </c>
      <c r="E21" s="18">
        <v>98</v>
      </c>
      <c r="F21" s="20">
        <v>71</v>
      </c>
      <c r="G21" s="18">
        <v>78</v>
      </c>
      <c r="H21" s="20">
        <v>79</v>
      </c>
      <c r="I21" s="20">
        <v>135</v>
      </c>
      <c r="J21" s="20">
        <v>82</v>
      </c>
      <c r="K21" s="20">
        <v>115</v>
      </c>
      <c r="L21" s="83">
        <v>109</v>
      </c>
      <c r="M21" s="11"/>
      <c r="N21" s="2"/>
      <c r="O21" s="2"/>
      <c r="P21" s="2"/>
      <c r="Q21" s="2"/>
    </row>
    <row r="22" spans="1:17" s="7" customFormat="1" ht="13.5" customHeight="1" x14ac:dyDescent="0.15">
      <c r="A22" s="133" t="s">
        <v>91</v>
      </c>
      <c r="B22" s="81">
        <v>96.7</v>
      </c>
      <c r="C22" s="81">
        <v>89</v>
      </c>
      <c r="D22" s="18">
        <v>90</v>
      </c>
      <c r="E22" s="18">
        <v>95</v>
      </c>
      <c r="F22" s="20">
        <v>67</v>
      </c>
      <c r="G22" s="18">
        <v>74</v>
      </c>
      <c r="H22" s="20">
        <v>77</v>
      </c>
      <c r="I22" s="20">
        <v>136</v>
      </c>
      <c r="J22" s="20">
        <v>86</v>
      </c>
      <c r="K22" s="20">
        <v>115</v>
      </c>
      <c r="L22" s="83">
        <v>108</v>
      </c>
      <c r="M22" s="11"/>
      <c r="N22" s="2"/>
      <c r="O22" s="2"/>
      <c r="P22" s="2"/>
      <c r="Q22" s="2"/>
    </row>
    <row r="23" spans="1:17" s="7" customFormat="1" ht="13.5" customHeight="1" x14ac:dyDescent="0.15">
      <c r="A23" s="133" t="s">
        <v>92</v>
      </c>
      <c r="B23" s="81">
        <v>97</v>
      </c>
      <c r="C23" s="81">
        <v>88</v>
      </c>
      <c r="D23" s="18">
        <v>91</v>
      </c>
      <c r="E23" s="18">
        <v>95</v>
      </c>
      <c r="F23" s="20">
        <v>68</v>
      </c>
      <c r="G23" s="18">
        <v>74</v>
      </c>
      <c r="H23" s="20">
        <v>74</v>
      </c>
      <c r="I23" s="20">
        <v>135</v>
      </c>
      <c r="J23" s="20">
        <v>92</v>
      </c>
      <c r="K23" s="20">
        <v>115</v>
      </c>
      <c r="L23" s="83">
        <v>98</v>
      </c>
      <c r="M23" s="11"/>
      <c r="N23" s="2"/>
      <c r="O23" s="2"/>
      <c r="P23" s="2"/>
      <c r="Q23" s="2"/>
    </row>
    <row r="24" spans="1:17" s="7" customFormat="1" ht="13.5" customHeight="1" x14ac:dyDescent="0.15">
      <c r="A24" s="133"/>
      <c r="B24" s="81" t="s">
        <v>207</v>
      </c>
      <c r="C24" s="81" t="s">
        <v>207</v>
      </c>
      <c r="D24" s="18" t="s">
        <v>207</v>
      </c>
      <c r="E24" s="18" t="s">
        <v>207</v>
      </c>
      <c r="F24" s="20" t="s">
        <v>207</v>
      </c>
      <c r="G24" s="18" t="s">
        <v>207</v>
      </c>
      <c r="H24" s="20" t="s">
        <v>207</v>
      </c>
      <c r="I24" s="20" t="s">
        <v>207</v>
      </c>
      <c r="J24" s="20" t="s">
        <v>207</v>
      </c>
      <c r="K24" s="20" t="s">
        <v>207</v>
      </c>
      <c r="L24" s="83" t="s">
        <v>207</v>
      </c>
      <c r="M24" s="11"/>
      <c r="N24" s="2"/>
      <c r="O24" s="2"/>
      <c r="P24" s="2"/>
      <c r="Q24" s="2"/>
    </row>
    <row r="25" spans="1:17" s="7" customFormat="1" ht="13.5" customHeight="1" x14ac:dyDescent="0.15">
      <c r="A25" s="133" t="s">
        <v>93</v>
      </c>
      <c r="B25" s="81">
        <v>97.3</v>
      </c>
      <c r="C25" s="81">
        <v>91</v>
      </c>
      <c r="D25" s="18">
        <v>91</v>
      </c>
      <c r="E25" s="18">
        <v>96</v>
      </c>
      <c r="F25" s="20">
        <v>68</v>
      </c>
      <c r="G25" s="18">
        <v>71</v>
      </c>
      <c r="H25" s="20">
        <v>74</v>
      </c>
      <c r="I25" s="20">
        <v>133</v>
      </c>
      <c r="J25" s="20">
        <v>98</v>
      </c>
      <c r="K25" s="20">
        <v>117</v>
      </c>
      <c r="L25" s="83">
        <v>94</v>
      </c>
      <c r="M25" s="11"/>
      <c r="N25" s="2"/>
      <c r="O25" s="2"/>
      <c r="P25" s="2"/>
      <c r="Q25" s="2"/>
    </row>
    <row r="26" spans="1:17" s="7" customFormat="1" ht="13.5" customHeight="1" x14ac:dyDescent="0.15">
      <c r="A26" s="133" t="s">
        <v>94</v>
      </c>
      <c r="B26" s="81">
        <v>94.9</v>
      </c>
      <c r="C26" s="81">
        <v>88</v>
      </c>
      <c r="D26" s="18">
        <v>91</v>
      </c>
      <c r="E26" s="18">
        <v>94</v>
      </c>
      <c r="F26" s="20">
        <v>63</v>
      </c>
      <c r="G26" s="18">
        <v>67</v>
      </c>
      <c r="H26" s="20">
        <v>73</v>
      </c>
      <c r="I26" s="20">
        <v>130</v>
      </c>
      <c r="J26" s="20">
        <v>98</v>
      </c>
      <c r="K26" s="20">
        <v>116</v>
      </c>
      <c r="L26" s="83">
        <v>85</v>
      </c>
      <c r="M26" s="11"/>
      <c r="N26" s="2"/>
      <c r="O26" s="2"/>
      <c r="P26" s="2"/>
      <c r="Q26" s="2"/>
    </row>
    <row r="27" spans="1:17" s="7" customFormat="1" ht="13.5" customHeight="1" x14ac:dyDescent="0.15">
      <c r="A27" s="133" t="s">
        <v>95</v>
      </c>
      <c r="B27" s="81">
        <v>98.2</v>
      </c>
      <c r="C27" s="81">
        <v>91</v>
      </c>
      <c r="D27" s="18">
        <v>91</v>
      </c>
      <c r="E27" s="18">
        <v>96</v>
      </c>
      <c r="F27" s="20">
        <v>69</v>
      </c>
      <c r="G27" s="18">
        <v>76</v>
      </c>
      <c r="H27" s="20">
        <v>81</v>
      </c>
      <c r="I27" s="20">
        <v>124</v>
      </c>
      <c r="J27" s="20">
        <v>98</v>
      </c>
      <c r="K27" s="20">
        <v>116</v>
      </c>
      <c r="L27" s="83">
        <v>85</v>
      </c>
      <c r="M27" s="11"/>
      <c r="N27" s="2"/>
      <c r="O27" s="2"/>
      <c r="P27" s="2"/>
      <c r="Q27" s="2"/>
    </row>
    <row r="28" spans="1:17" s="7" customFormat="1" ht="13.5" customHeight="1" x14ac:dyDescent="0.15">
      <c r="A28" s="133"/>
      <c r="B28" s="81" t="s">
        <v>207</v>
      </c>
      <c r="C28" s="81" t="s">
        <v>207</v>
      </c>
      <c r="D28" s="18" t="s">
        <v>207</v>
      </c>
      <c r="E28" s="18" t="s">
        <v>207</v>
      </c>
      <c r="F28" s="20" t="s">
        <v>207</v>
      </c>
      <c r="G28" s="18" t="s">
        <v>207</v>
      </c>
      <c r="H28" s="20" t="s">
        <v>207</v>
      </c>
      <c r="I28" s="20" t="s">
        <v>207</v>
      </c>
      <c r="J28" s="20" t="s">
        <v>207</v>
      </c>
      <c r="K28" s="20" t="s">
        <v>207</v>
      </c>
      <c r="L28" s="83" t="s">
        <v>207</v>
      </c>
      <c r="M28" s="11"/>
      <c r="N28" s="2"/>
      <c r="O28" s="2"/>
      <c r="P28" s="2"/>
      <c r="Q28" s="2"/>
    </row>
    <row r="29" spans="1:17" s="7" customFormat="1" ht="13.5" customHeight="1" x14ac:dyDescent="0.15">
      <c r="A29" s="133" t="s">
        <v>96</v>
      </c>
      <c r="B29" s="81">
        <v>98.6</v>
      </c>
      <c r="C29" s="81">
        <v>91</v>
      </c>
      <c r="D29" s="18">
        <v>91</v>
      </c>
      <c r="E29" s="18">
        <v>96</v>
      </c>
      <c r="F29" s="20">
        <v>68</v>
      </c>
      <c r="G29" s="18">
        <v>74</v>
      </c>
      <c r="H29" s="20">
        <v>78</v>
      </c>
      <c r="I29" s="20">
        <v>123</v>
      </c>
      <c r="J29" s="20">
        <v>104</v>
      </c>
      <c r="K29" s="20">
        <v>114</v>
      </c>
      <c r="L29" s="83">
        <v>85</v>
      </c>
      <c r="M29" s="11"/>
      <c r="N29" s="2"/>
      <c r="O29" s="2"/>
      <c r="P29" s="2"/>
      <c r="Q29" s="2"/>
    </row>
    <row r="30" spans="1:17" s="7" customFormat="1" ht="13.5" customHeight="1" x14ac:dyDescent="0.15">
      <c r="A30" s="133" t="s">
        <v>97</v>
      </c>
      <c r="B30" s="81">
        <v>98</v>
      </c>
      <c r="C30" s="81">
        <v>90</v>
      </c>
      <c r="D30" s="18">
        <v>90</v>
      </c>
      <c r="E30" s="18">
        <v>96</v>
      </c>
      <c r="F30" s="20">
        <v>72</v>
      </c>
      <c r="G30" s="18">
        <v>76</v>
      </c>
      <c r="H30" s="20">
        <v>80</v>
      </c>
      <c r="I30" s="20">
        <v>123</v>
      </c>
      <c r="J30" s="20">
        <v>104</v>
      </c>
      <c r="K30" s="20">
        <v>114</v>
      </c>
      <c r="L30" s="83">
        <v>86</v>
      </c>
      <c r="M30" s="11"/>
      <c r="N30" s="2"/>
      <c r="O30" s="2"/>
      <c r="P30" s="2"/>
      <c r="Q30" s="2"/>
    </row>
    <row r="31" spans="1:17" s="7" customFormat="1" ht="13.5" customHeight="1" x14ac:dyDescent="0.15">
      <c r="A31" s="133" t="s">
        <v>98</v>
      </c>
      <c r="B31" s="81">
        <v>98.5</v>
      </c>
      <c r="C31" s="81">
        <v>88</v>
      </c>
      <c r="D31" s="18">
        <v>91</v>
      </c>
      <c r="E31" s="18">
        <v>96</v>
      </c>
      <c r="F31" s="20">
        <v>71</v>
      </c>
      <c r="G31" s="18">
        <v>79</v>
      </c>
      <c r="H31" s="20">
        <v>81</v>
      </c>
      <c r="I31" s="20">
        <v>128</v>
      </c>
      <c r="J31" s="20">
        <v>110</v>
      </c>
      <c r="K31" s="20">
        <v>114</v>
      </c>
      <c r="L31" s="83">
        <v>92</v>
      </c>
      <c r="M31" s="11"/>
      <c r="N31" s="2"/>
      <c r="O31" s="2"/>
      <c r="P31" s="2"/>
      <c r="Q31" s="2"/>
    </row>
    <row r="32" spans="1:17" s="7" customFormat="1" ht="13.5" customHeight="1" x14ac:dyDescent="0.15">
      <c r="A32" s="133"/>
      <c r="B32" s="81" t="s">
        <v>207</v>
      </c>
      <c r="C32" s="81" t="s">
        <v>207</v>
      </c>
      <c r="D32" s="18" t="s">
        <v>207</v>
      </c>
      <c r="E32" s="18" t="s">
        <v>207</v>
      </c>
      <c r="F32" s="20" t="s">
        <v>207</v>
      </c>
      <c r="G32" s="18" t="s">
        <v>207</v>
      </c>
      <c r="H32" s="20" t="s">
        <v>207</v>
      </c>
      <c r="I32" s="20" t="s">
        <v>207</v>
      </c>
      <c r="J32" s="20" t="s">
        <v>207</v>
      </c>
      <c r="K32" s="20" t="s">
        <v>207</v>
      </c>
      <c r="L32" s="83" t="s">
        <v>207</v>
      </c>
      <c r="M32" s="11"/>
      <c r="N32" s="2"/>
      <c r="O32" s="2"/>
      <c r="P32" s="2"/>
      <c r="Q32" s="2"/>
    </row>
    <row r="33" spans="1:17" s="7" customFormat="1" ht="13.5" customHeight="1" x14ac:dyDescent="0.15">
      <c r="A33" s="133" t="s">
        <v>164</v>
      </c>
      <c r="B33" s="81">
        <v>100.6</v>
      </c>
      <c r="C33" s="81">
        <v>89</v>
      </c>
      <c r="D33" s="18">
        <v>91</v>
      </c>
      <c r="E33" s="18">
        <v>98</v>
      </c>
      <c r="F33" s="20">
        <v>74</v>
      </c>
      <c r="G33" s="18">
        <v>82</v>
      </c>
      <c r="H33" s="20">
        <v>81</v>
      </c>
      <c r="I33" s="20">
        <v>131</v>
      </c>
      <c r="J33" s="20">
        <v>108</v>
      </c>
      <c r="K33" s="20">
        <v>118</v>
      </c>
      <c r="L33" s="83">
        <v>93</v>
      </c>
      <c r="M33" s="11"/>
      <c r="N33" s="2"/>
      <c r="O33" s="2"/>
      <c r="P33" s="2"/>
      <c r="Q33" s="2"/>
    </row>
    <row r="34" spans="1:17" s="7" customFormat="1" ht="13.5" customHeight="1" x14ac:dyDescent="0.15">
      <c r="A34" s="133" t="s">
        <v>21</v>
      </c>
      <c r="B34" s="81">
        <v>98.4</v>
      </c>
      <c r="C34" s="81">
        <v>90</v>
      </c>
      <c r="D34" s="18">
        <v>94</v>
      </c>
      <c r="E34" s="18">
        <v>97</v>
      </c>
      <c r="F34" s="20">
        <v>66</v>
      </c>
      <c r="G34" s="18">
        <v>76</v>
      </c>
      <c r="H34" s="20">
        <v>78</v>
      </c>
      <c r="I34" s="20">
        <v>128</v>
      </c>
      <c r="J34" s="20">
        <v>107</v>
      </c>
      <c r="K34" s="20">
        <v>116</v>
      </c>
      <c r="L34" s="83">
        <v>91</v>
      </c>
      <c r="M34" s="11"/>
      <c r="N34" s="2"/>
      <c r="O34" s="2"/>
      <c r="P34" s="2"/>
      <c r="Q34" s="2"/>
    </row>
    <row r="35" spans="1:17" s="7" customFormat="1" ht="13.5" customHeight="1" x14ac:dyDescent="0.15">
      <c r="A35" s="133" t="s">
        <v>89</v>
      </c>
      <c r="B35" s="81">
        <v>81.099999999999994</v>
      </c>
      <c r="C35" s="81">
        <v>80</v>
      </c>
      <c r="D35" s="18">
        <v>80</v>
      </c>
      <c r="E35" s="18">
        <v>85</v>
      </c>
      <c r="F35" s="20">
        <v>42</v>
      </c>
      <c r="G35" s="18">
        <v>58</v>
      </c>
      <c r="H35" s="20">
        <v>61</v>
      </c>
      <c r="I35" s="20">
        <v>124</v>
      </c>
      <c r="J35" s="20">
        <v>104</v>
      </c>
      <c r="K35" s="20">
        <v>105</v>
      </c>
      <c r="L35" s="83">
        <v>76</v>
      </c>
      <c r="M35" s="11"/>
      <c r="N35" s="2"/>
      <c r="O35" s="2"/>
      <c r="P35" s="2"/>
      <c r="Q35" s="2"/>
    </row>
    <row r="36" spans="1:17" s="7" customFormat="1" ht="13.5" customHeight="1" x14ac:dyDescent="0.15">
      <c r="A36" s="133"/>
      <c r="B36" s="81" t="s">
        <v>207</v>
      </c>
      <c r="C36" s="81" t="s">
        <v>207</v>
      </c>
      <c r="D36" s="18" t="s">
        <v>207</v>
      </c>
      <c r="E36" s="18" t="s">
        <v>207</v>
      </c>
      <c r="F36" s="20" t="s">
        <v>207</v>
      </c>
      <c r="G36" s="18" t="s">
        <v>207</v>
      </c>
      <c r="H36" s="20" t="s">
        <v>207</v>
      </c>
      <c r="I36" s="20" t="s">
        <v>207</v>
      </c>
      <c r="J36" s="20" t="s">
        <v>207</v>
      </c>
      <c r="K36" s="20" t="s">
        <v>207</v>
      </c>
      <c r="L36" s="83" t="s">
        <v>207</v>
      </c>
      <c r="M36" s="11"/>
      <c r="N36" s="2"/>
      <c r="O36" s="2"/>
      <c r="P36" s="2"/>
      <c r="Q36" s="2"/>
    </row>
    <row r="37" spans="1:17" s="7" customFormat="1" ht="13.5" customHeight="1" x14ac:dyDescent="0.15">
      <c r="A37" s="133" t="s">
        <v>90</v>
      </c>
      <c r="B37" s="81">
        <v>77.5</v>
      </c>
      <c r="C37" s="81">
        <v>75</v>
      </c>
      <c r="D37" s="18">
        <v>78</v>
      </c>
      <c r="E37" s="18">
        <v>83</v>
      </c>
      <c r="F37" s="20">
        <v>34</v>
      </c>
      <c r="G37" s="18">
        <v>61</v>
      </c>
      <c r="H37" s="20">
        <v>59</v>
      </c>
      <c r="I37" s="20">
        <v>124</v>
      </c>
      <c r="J37" s="20">
        <v>94</v>
      </c>
      <c r="K37" s="20">
        <v>99</v>
      </c>
      <c r="L37" s="83">
        <v>76</v>
      </c>
      <c r="M37" s="11"/>
      <c r="N37" s="2"/>
      <c r="O37" s="2"/>
      <c r="P37" s="2"/>
      <c r="Q37" s="2"/>
    </row>
    <row r="38" spans="1:17" s="7" customFormat="1" ht="13.5" customHeight="1" x14ac:dyDescent="0.15">
      <c r="A38" s="133" t="s">
        <v>91</v>
      </c>
      <c r="B38" s="81">
        <v>84</v>
      </c>
      <c r="C38" s="81">
        <v>78</v>
      </c>
      <c r="D38" s="18">
        <v>86</v>
      </c>
      <c r="E38" s="18">
        <v>88</v>
      </c>
      <c r="F38" s="20">
        <v>40</v>
      </c>
      <c r="G38" s="18">
        <v>70</v>
      </c>
      <c r="H38" s="20">
        <v>66</v>
      </c>
      <c r="I38" s="20">
        <v>123</v>
      </c>
      <c r="J38" s="20">
        <v>94</v>
      </c>
      <c r="K38" s="20">
        <v>102</v>
      </c>
      <c r="L38" s="83">
        <v>82</v>
      </c>
      <c r="M38" s="11"/>
      <c r="N38" s="2"/>
      <c r="O38" s="2"/>
      <c r="P38" s="2"/>
      <c r="Q38" s="2"/>
    </row>
    <row r="39" spans="1:17" s="7" customFormat="1" ht="13.5" customHeight="1" x14ac:dyDescent="0.15">
      <c r="A39" s="133" t="s">
        <v>92</v>
      </c>
      <c r="B39" s="81">
        <v>87.1</v>
      </c>
      <c r="C39" s="81">
        <v>86</v>
      </c>
      <c r="D39" s="18">
        <v>85</v>
      </c>
      <c r="E39" s="18">
        <v>89</v>
      </c>
      <c r="F39" s="20">
        <v>46</v>
      </c>
      <c r="G39" s="18">
        <v>69</v>
      </c>
      <c r="H39" s="20">
        <v>63</v>
      </c>
      <c r="I39" s="20">
        <v>125</v>
      </c>
      <c r="J39" s="20">
        <v>108</v>
      </c>
      <c r="K39" s="20">
        <v>104</v>
      </c>
      <c r="L39" s="83">
        <v>80</v>
      </c>
      <c r="M39" s="11"/>
      <c r="N39" s="2"/>
      <c r="O39" s="2"/>
      <c r="P39" s="2"/>
      <c r="Q39" s="2"/>
    </row>
    <row r="40" spans="1:17" s="7" customFormat="1" ht="13.5" customHeight="1" x14ac:dyDescent="0.15">
      <c r="A40" s="133"/>
      <c r="B40" s="81" t="s">
        <v>207</v>
      </c>
      <c r="C40" s="81" t="s">
        <v>207</v>
      </c>
      <c r="D40" s="18" t="s">
        <v>207</v>
      </c>
      <c r="E40" s="18" t="s">
        <v>207</v>
      </c>
      <c r="F40" s="20" t="s">
        <v>207</v>
      </c>
      <c r="G40" s="18" t="s">
        <v>207</v>
      </c>
      <c r="H40" s="20" t="s">
        <v>207</v>
      </c>
      <c r="I40" s="20" t="s">
        <v>207</v>
      </c>
      <c r="J40" s="20" t="s">
        <v>207</v>
      </c>
      <c r="K40" s="20" t="s">
        <v>207</v>
      </c>
      <c r="L40" s="83" t="s">
        <v>207</v>
      </c>
      <c r="M40" s="11"/>
      <c r="N40" s="2"/>
      <c r="O40" s="2"/>
      <c r="P40" s="2"/>
      <c r="Q40" s="2"/>
    </row>
    <row r="41" spans="1:17" s="7" customFormat="1" ht="13.5" customHeight="1" x14ac:dyDescent="0.15">
      <c r="A41" s="133" t="s">
        <v>93</v>
      </c>
      <c r="B41" s="81">
        <v>87.8</v>
      </c>
      <c r="C41" s="81">
        <v>83</v>
      </c>
      <c r="D41" s="18">
        <v>86</v>
      </c>
      <c r="E41" s="18">
        <v>90</v>
      </c>
      <c r="F41" s="20">
        <v>53</v>
      </c>
      <c r="G41" s="18">
        <v>68</v>
      </c>
      <c r="H41" s="20">
        <v>63</v>
      </c>
      <c r="I41" s="20">
        <v>125</v>
      </c>
      <c r="J41" s="20">
        <v>124</v>
      </c>
      <c r="K41" s="20">
        <v>112</v>
      </c>
      <c r="L41" s="83">
        <v>87</v>
      </c>
      <c r="M41" s="11"/>
      <c r="N41" s="2"/>
      <c r="O41" s="2"/>
      <c r="P41" s="2"/>
      <c r="Q41" s="2"/>
    </row>
    <row r="42" spans="1:17" s="7" customFormat="1" ht="13.5" customHeight="1" x14ac:dyDescent="0.15">
      <c r="A42" s="133" t="s">
        <v>94</v>
      </c>
      <c r="B42" s="81">
        <v>89</v>
      </c>
      <c r="C42" s="81">
        <v>84</v>
      </c>
      <c r="D42" s="18">
        <v>86</v>
      </c>
      <c r="E42" s="18">
        <v>90</v>
      </c>
      <c r="F42" s="20">
        <v>57</v>
      </c>
      <c r="G42" s="18">
        <v>71</v>
      </c>
      <c r="H42" s="20">
        <v>66</v>
      </c>
      <c r="I42" s="20">
        <v>131</v>
      </c>
      <c r="J42" s="20">
        <v>120</v>
      </c>
      <c r="K42" s="20">
        <v>112</v>
      </c>
      <c r="L42" s="83">
        <v>86</v>
      </c>
      <c r="M42" s="11"/>
      <c r="N42" s="2"/>
      <c r="O42" s="2"/>
      <c r="P42" s="2"/>
      <c r="Q42" s="2"/>
    </row>
    <row r="43" spans="1:17" s="7" customFormat="1" ht="13.5" customHeight="1" x14ac:dyDescent="0.15">
      <c r="A43" s="77" t="s">
        <v>137</v>
      </c>
      <c r="B43" s="81">
        <v>80.7</v>
      </c>
      <c r="C43" s="81">
        <v>78</v>
      </c>
      <c r="D43" s="18">
        <v>82</v>
      </c>
      <c r="E43" s="18">
        <v>85</v>
      </c>
      <c r="F43" s="20">
        <v>41</v>
      </c>
      <c r="G43" s="18">
        <v>61</v>
      </c>
      <c r="H43" s="20">
        <v>56</v>
      </c>
      <c r="I43" s="20">
        <v>130</v>
      </c>
      <c r="J43" s="20">
        <v>117</v>
      </c>
      <c r="K43" s="20">
        <v>105</v>
      </c>
      <c r="L43" s="83">
        <v>87</v>
      </c>
      <c r="M43" s="11"/>
      <c r="N43" s="2"/>
      <c r="O43" s="2"/>
      <c r="P43" s="2"/>
      <c r="Q43" s="2"/>
    </row>
    <row r="44" spans="1:17" s="7" customFormat="1" ht="13.5" customHeight="1" x14ac:dyDescent="0.15">
      <c r="A44" s="133"/>
      <c r="B44" s="81" t="s">
        <v>207</v>
      </c>
      <c r="C44" s="81" t="s">
        <v>207</v>
      </c>
      <c r="D44" s="18" t="s">
        <v>207</v>
      </c>
      <c r="E44" s="18" t="s">
        <v>207</v>
      </c>
      <c r="F44" s="20" t="s">
        <v>207</v>
      </c>
      <c r="G44" s="18" t="s">
        <v>207</v>
      </c>
      <c r="H44" s="20" t="s">
        <v>207</v>
      </c>
      <c r="I44" s="20" t="s">
        <v>207</v>
      </c>
      <c r="J44" s="20" t="s">
        <v>207</v>
      </c>
      <c r="K44" s="20" t="s">
        <v>207</v>
      </c>
      <c r="L44" s="83" t="s">
        <v>207</v>
      </c>
      <c r="M44" s="11"/>
      <c r="N44" s="2"/>
      <c r="O44" s="2"/>
      <c r="P44" s="2"/>
      <c r="Q44" s="2"/>
    </row>
    <row r="45" spans="1:17" s="7" customFormat="1" ht="13.5" customHeight="1" x14ac:dyDescent="0.15">
      <c r="A45" s="133" t="s">
        <v>96</v>
      </c>
      <c r="B45" s="81">
        <v>89.6</v>
      </c>
      <c r="C45" s="81">
        <v>84</v>
      </c>
      <c r="D45" s="18">
        <v>87</v>
      </c>
      <c r="E45" s="18">
        <v>91</v>
      </c>
      <c r="F45" s="20">
        <v>54</v>
      </c>
      <c r="G45" s="18">
        <v>76</v>
      </c>
      <c r="H45" s="20">
        <v>68</v>
      </c>
      <c r="I45" s="20">
        <v>129</v>
      </c>
      <c r="J45" s="20">
        <v>124</v>
      </c>
      <c r="K45" s="20">
        <v>108</v>
      </c>
      <c r="L45" s="83">
        <v>92</v>
      </c>
      <c r="M45" s="11"/>
      <c r="N45" s="2"/>
      <c r="O45" s="2"/>
      <c r="P45" s="2"/>
      <c r="Q45" s="2"/>
    </row>
    <row r="46" spans="1:17" s="7" customFormat="1" ht="13.5" customHeight="1" x14ac:dyDescent="0.15">
      <c r="A46" s="133" t="s">
        <v>97</v>
      </c>
      <c r="B46" s="81">
        <v>93.1</v>
      </c>
      <c r="C46" s="81">
        <v>83</v>
      </c>
      <c r="D46" s="18">
        <v>91</v>
      </c>
      <c r="E46" s="18">
        <v>92</v>
      </c>
      <c r="F46" s="20">
        <v>64</v>
      </c>
      <c r="G46" s="18">
        <v>81</v>
      </c>
      <c r="H46" s="20">
        <v>72</v>
      </c>
      <c r="I46" s="20">
        <v>131</v>
      </c>
      <c r="J46" s="20">
        <v>131</v>
      </c>
      <c r="K46" s="20">
        <v>110</v>
      </c>
      <c r="L46" s="83">
        <v>95</v>
      </c>
      <c r="M46" s="11"/>
      <c r="N46" s="2"/>
      <c r="O46" s="2"/>
      <c r="P46" s="2"/>
      <c r="Q46" s="2"/>
    </row>
    <row r="47" spans="1:17" s="7" customFormat="1" ht="13.5" customHeight="1" x14ac:dyDescent="0.15">
      <c r="A47" s="133" t="s">
        <v>151</v>
      </c>
      <c r="B47" s="81">
        <v>87.1</v>
      </c>
      <c r="C47" s="81">
        <v>80</v>
      </c>
      <c r="D47" s="18">
        <v>86</v>
      </c>
      <c r="E47" s="18">
        <v>90</v>
      </c>
      <c r="F47" s="20">
        <v>51</v>
      </c>
      <c r="G47" s="18">
        <v>72</v>
      </c>
      <c r="H47" s="20">
        <v>66</v>
      </c>
      <c r="I47" s="20">
        <v>130</v>
      </c>
      <c r="J47" s="20">
        <v>135</v>
      </c>
      <c r="K47" s="20">
        <v>108</v>
      </c>
      <c r="L47" s="83">
        <v>95</v>
      </c>
      <c r="M47" s="11"/>
      <c r="N47" s="2"/>
      <c r="O47" s="2"/>
      <c r="P47" s="2"/>
      <c r="Q47" s="2"/>
    </row>
    <row r="48" spans="1:17" s="7" customFormat="1" ht="13.5" customHeight="1" x14ac:dyDescent="0.15">
      <c r="A48" s="133"/>
      <c r="B48" s="81" t="s">
        <v>207</v>
      </c>
      <c r="C48" s="81" t="s">
        <v>207</v>
      </c>
      <c r="D48" s="18" t="s">
        <v>207</v>
      </c>
      <c r="E48" s="18" t="s">
        <v>207</v>
      </c>
      <c r="F48" s="20" t="s">
        <v>207</v>
      </c>
      <c r="G48" s="18" t="s">
        <v>207</v>
      </c>
      <c r="H48" s="20" t="s">
        <v>207</v>
      </c>
      <c r="I48" s="20" t="s">
        <v>207</v>
      </c>
      <c r="J48" s="20" t="s">
        <v>207</v>
      </c>
      <c r="K48" s="20" t="s">
        <v>207</v>
      </c>
      <c r="L48" s="83" t="s">
        <v>207</v>
      </c>
      <c r="M48" s="11"/>
      <c r="N48" s="2"/>
      <c r="O48" s="2"/>
      <c r="P48" s="2"/>
      <c r="Q48" s="2"/>
    </row>
    <row r="49" spans="1:17" s="7" customFormat="1" ht="13.5" customHeight="1" x14ac:dyDescent="0.15">
      <c r="A49" s="133" t="s">
        <v>185</v>
      </c>
      <c r="B49" s="81">
        <v>89.2</v>
      </c>
      <c r="C49" s="81">
        <v>81</v>
      </c>
      <c r="D49" s="18">
        <v>86</v>
      </c>
      <c r="E49" s="18">
        <v>91</v>
      </c>
      <c r="F49" s="136">
        <v>50</v>
      </c>
      <c r="G49" s="18">
        <v>78</v>
      </c>
      <c r="H49" s="136">
        <v>70</v>
      </c>
      <c r="I49" s="136">
        <v>132</v>
      </c>
      <c r="J49" s="136">
        <v>134</v>
      </c>
      <c r="K49" s="136">
        <v>111</v>
      </c>
      <c r="L49" s="83">
        <v>97</v>
      </c>
      <c r="M49" s="11"/>
      <c r="N49" s="2"/>
      <c r="O49" s="2"/>
      <c r="P49" s="2"/>
      <c r="Q49" s="2"/>
    </row>
    <row r="50" spans="1:17" s="7" customFormat="1" ht="13.5" customHeight="1" x14ac:dyDescent="0.15">
      <c r="A50" s="133" t="s">
        <v>21</v>
      </c>
      <c r="B50" s="81">
        <v>90</v>
      </c>
      <c r="C50" s="81">
        <v>81</v>
      </c>
      <c r="D50" s="18">
        <v>88</v>
      </c>
      <c r="E50" s="18">
        <v>91</v>
      </c>
      <c r="F50" s="20">
        <v>55</v>
      </c>
      <c r="G50" s="18">
        <v>79</v>
      </c>
      <c r="H50" s="20">
        <v>71</v>
      </c>
      <c r="I50" s="20">
        <v>138</v>
      </c>
      <c r="J50" s="20">
        <v>131</v>
      </c>
      <c r="K50" s="20">
        <v>111</v>
      </c>
      <c r="L50" s="83">
        <v>101</v>
      </c>
      <c r="M50" s="11"/>
      <c r="N50" s="2"/>
      <c r="O50" s="2"/>
      <c r="P50" s="2"/>
      <c r="Q50" s="2"/>
    </row>
    <row r="51" spans="1:17" s="7" customFormat="1" ht="13.5" customHeight="1" x14ac:dyDescent="0.15">
      <c r="A51" s="133" t="s">
        <v>89</v>
      </c>
      <c r="B51" s="81">
        <v>92.8</v>
      </c>
      <c r="C51" s="81">
        <v>82</v>
      </c>
      <c r="D51" s="18">
        <v>90</v>
      </c>
      <c r="E51" s="18">
        <v>91</v>
      </c>
      <c r="F51" s="20">
        <v>63</v>
      </c>
      <c r="G51" s="18">
        <v>84</v>
      </c>
      <c r="H51" s="20">
        <v>76</v>
      </c>
      <c r="I51" s="20">
        <v>138</v>
      </c>
      <c r="J51" s="20">
        <v>132</v>
      </c>
      <c r="K51" s="20">
        <v>112</v>
      </c>
      <c r="L51" s="83">
        <v>112</v>
      </c>
      <c r="M51" s="11"/>
      <c r="N51" s="2"/>
      <c r="O51" s="2"/>
      <c r="P51" s="2"/>
      <c r="Q51" s="2"/>
    </row>
    <row r="52" spans="1:17" s="7" customFormat="1" ht="13.5" customHeight="1" x14ac:dyDescent="0.15">
      <c r="A52" s="133"/>
      <c r="B52" s="81" t="s">
        <v>207</v>
      </c>
      <c r="C52" s="81" t="s">
        <v>207</v>
      </c>
      <c r="D52" s="18" t="s">
        <v>207</v>
      </c>
      <c r="E52" s="18" t="s">
        <v>207</v>
      </c>
      <c r="F52" s="20" t="s">
        <v>207</v>
      </c>
      <c r="G52" s="18" t="s">
        <v>207</v>
      </c>
      <c r="H52" s="20" t="s">
        <v>207</v>
      </c>
      <c r="I52" s="20" t="s">
        <v>207</v>
      </c>
      <c r="J52" s="20" t="s">
        <v>207</v>
      </c>
      <c r="K52" s="20" t="s">
        <v>207</v>
      </c>
      <c r="L52" s="83" t="s">
        <v>207</v>
      </c>
      <c r="M52" s="11"/>
      <c r="N52" s="2"/>
      <c r="O52" s="2"/>
      <c r="P52" s="2"/>
      <c r="Q52" s="2"/>
    </row>
    <row r="53" spans="1:17" s="7" customFormat="1" ht="13.5" customHeight="1" x14ac:dyDescent="0.15">
      <c r="A53" s="133" t="s">
        <v>90</v>
      </c>
      <c r="B53" s="81">
        <v>96.3</v>
      </c>
      <c r="C53" s="81">
        <v>87</v>
      </c>
      <c r="D53" s="18">
        <v>91</v>
      </c>
      <c r="E53" s="18">
        <v>94</v>
      </c>
      <c r="F53" s="20">
        <v>69</v>
      </c>
      <c r="G53" s="18">
        <v>83</v>
      </c>
      <c r="H53" s="20">
        <v>76</v>
      </c>
      <c r="I53" s="20">
        <v>139</v>
      </c>
      <c r="J53" s="20">
        <v>130</v>
      </c>
      <c r="K53" s="20">
        <v>114</v>
      </c>
      <c r="L53" s="83">
        <v>110</v>
      </c>
      <c r="M53" s="11"/>
      <c r="N53" s="2"/>
      <c r="O53" s="2"/>
      <c r="P53" s="2"/>
      <c r="Q53" s="2"/>
    </row>
    <row r="54" spans="1:17" s="7" customFormat="1" ht="13.5" customHeight="1" x14ac:dyDescent="0.15">
      <c r="A54" s="133" t="s">
        <v>91</v>
      </c>
      <c r="B54" s="81">
        <v>98.9</v>
      </c>
      <c r="C54" s="81">
        <v>88</v>
      </c>
      <c r="D54" s="18">
        <v>93</v>
      </c>
      <c r="E54" s="18">
        <v>94</v>
      </c>
      <c r="F54" s="20">
        <v>77</v>
      </c>
      <c r="G54" s="18">
        <v>89</v>
      </c>
      <c r="H54" s="20">
        <v>82</v>
      </c>
      <c r="I54" s="20">
        <v>138</v>
      </c>
      <c r="J54" s="20">
        <v>131</v>
      </c>
      <c r="K54" s="20">
        <v>116</v>
      </c>
      <c r="L54" s="83">
        <v>114</v>
      </c>
      <c r="M54" s="11"/>
      <c r="N54" s="2"/>
      <c r="O54" s="2"/>
      <c r="P54" s="2"/>
      <c r="Q54" s="2"/>
    </row>
    <row r="55" spans="1:17" s="7" customFormat="1" ht="13.5" customHeight="1" x14ac:dyDescent="0.15">
      <c r="A55" s="133" t="s">
        <v>92</v>
      </c>
      <c r="B55" s="81">
        <v>104.4</v>
      </c>
      <c r="C55" s="81">
        <v>89</v>
      </c>
      <c r="D55" s="18">
        <v>96</v>
      </c>
      <c r="E55" s="18">
        <v>98</v>
      </c>
      <c r="F55" s="20">
        <v>84</v>
      </c>
      <c r="G55" s="18">
        <v>100</v>
      </c>
      <c r="H55" s="20">
        <v>93</v>
      </c>
      <c r="I55" s="20">
        <v>142</v>
      </c>
      <c r="J55" s="20">
        <v>133</v>
      </c>
      <c r="K55" s="20">
        <v>117</v>
      </c>
      <c r="L55" s="83">
        <v>123</v>
      </c>
      <c r="M55" s="11"/>
      <c r="N55" s="2"/>
      <c r="O55" s="2"/>
      <c r="P55" s="2"/>
      <c r="Q55" s="2"/>
    </row>
    <row r="56" spans="1:17" s="7" customFormat="1" ht="13.5" customHeight="1" x14ac:dyDescent="0.15">
      <c r="A56" s="133"/>
      <c r="B56" s="81" t="s">
        <v>207</v>
      </c>
      <c r="C56" s="81" t="s">
        <v>207</v>
      </c>
      <c r="D56" s="18" t="s">
        <v>207</v>
      </c>
      <c r="E56" s="18" t="s">
        <v>207</v>
      </c>
      <c r="F56" s="20" t="s">
        <v>207</v>
      </c>
      <c r="G56" s="18" t="s">
        <v>207</v>
      </c>
      <c r="H56" s="20" t="s">
        <v>207</v>
      </c>
      <c r="I56" s="20" t="s">
        <v>207</v>
      </c>
      <c r="J56" s="20" t="s">
        <v>207</v>
      </c>
      <c r="K56" s="20" t="s">
        <v>207</v>
      </c>
      <c r="L56" s="83" t="s">
        <v>207</v>
      </c>
      <c r="M56" s="11"/>
      <c r="N56" s="2"/>
      <c r="O56" s="2"/>
      <c r="P56" s="2"/>
      <c r="Q56" s="2"/>
    </row>
    <row r="57" spans="1:17" s="7" customFormat="1" ht="13.5" customHeight="1" x14ac:dyDescent="0.15">
      <c r="A57" s="133" t="s">
        <v>93</v>
      </c>
      <c r="B57" s="81">
        <v>99.9</v>
      </c>
      <c r="C57" s="81">
        <v>88</v>
      </c>
      <c r="D57" s="18">
        <v>94</v>
      </c>
      <c r="E57" s="18">
        <v>97</v>
      </c>
      <c r="F57" s="20">
        <v>76</v>
      </c>
      <c r="G57" s="18">
        <v>85</v>
      </c>
      <c r="H57" s="20">
        <v>81</v>
      </c>
      <c r="I57" s="20">
        <v>141</v>
      </c>
      <c r="J57" s="20">
        <v>136</v>
      </c>
      <c r="K57" s="20">
        <v>120</v>
      </c>
      <c r="L57" s="83">
        <v>123</v>
      </c>
      <c r="M57" s="11"/>
      <c r="N57" s="2"/>
      <c r="O57" s="2"/>
      <c r="P57" s="2"/>
      <c r="Q57" s="2"/>
    </row>
    <row r="58" spans="1:17" s="7" customFormat="1" ht="13.5" customHeight="1" x14ac:dyDescent="0.15">
      <c r="A58" s="133" t="s">
        <v>94</v>
      </c>
      <c r="B58" s="81">
        <v>96.2</v>
      </c>
      <c r="C58" s="81">
        <v>86</v>
      </c>
      <c r="D58" s="18">
        <v>92</v>
      </c>
      <c r="E58" s="18">
        <v>94</v>
      </c>
      <c r="F58" s="20">
        <v>71</v>
      </c>
      <c r="G58" s="18">
        <v>81</v>
      </c>
      <c r="H58" s="20">
        <v>78</v>
      </c>
      <c r="I58" s="20">
        <v>142</v>
      </c>
      <c r="J58" s="20">
        <v>134</v>
      </c>
      <c r="K58" s="20">
        <v>120</v>
      </c>
      <c r="L58" s="83">
        <v>124</v>
      </c>
      <c r="M58" s="11"/>
      <c r="N58" s="2"/>
      <c r="O58" s="2"/>
      <c r="P58" s="2"/>
      <c r="Q58" s="2"/>
    </row>
    <row r="59" spans="1:17" s="7" customFormat="1" ht="13.5" customHeight="1" x14ac:dyDescent="0.15">
      <c r="A59" s="133" t="s">
        <v>95</v>
      </c>
      <c r="B59" s="81">
        <v>97</v>
      </c>
      <c r="C59" s="81">
        <v>86</v>
      </c>
      <c r="D59" s="18">
        <v>91</v>
      </c>
      <c r="E59" s="18">
        <v>94</v>
      </c>
      <c r="F59" s="20">
        <v>70</v>
      </c>
      <c r="G59" s="18">
        <v>84</v>
      </c>
      <c r="H59" s="20">
        <v>80</v>
      </c>
      <c r="I59" s="20">
        <v>142</v>
      </c>
      <c r="J59" s="20">
        <v>136</v>
      </c>
      <c r="K59" s="20">
        <v>120</v>
      </c>
      <c r="L59" s="83">
        <v>132</v>
      </c>
      <c r="M59" s="11"/>
      <c r="N59" s="2"/>
      <c r="O59" s="2"/>
      <c r="P59" s="2"/>
      <c r="Q59" s="2"/>
    </row>
    <row r="60" spans="1:17" s="7" customFormat="1" ht="13.5" customHeight="1" x14ac:dyDescent="0.15">
      <c r="A60" s="133"/>
      <c r="B60" s="81" t="s">
        <v>207</v>
      </c>
      <c r="C60" s="81" t="s">
        <v>207</v>
      </c>
      <c r="D60" s="18" t="s">
        <v>207</v>
      </c>
      <c r="E60" s="18" t="s">
        <v>207</v>
      </c>
      <c r="F60" s="20" t="s">
        <v>207</v>
      </c>
      <c r="G60" s="18" t="s">
        <v>207</v>
      </c>
      <c r="H60" s="20" t="s">
        <v>207</v>
      </c>
      <c r="I60" s="20" t="s">
        <v>207</v>
      </c>
      <c r="J60" s="20" t="s">
        <v>207</v>
      </c>
      <c r="K60" s="20" t="s">
        <v>207</v>
      </c>
      <c r="L60" s="83" t="s">
        <v>207</v>
      </c>
      <c r="M60" s="11"/>
      <c r="N60" s="2"/>
      <c r="O60" s="2"/>
      <c r="P60" s="2"/>
      <c r="Q60" s="2"/>
    </row>
    <row r="61" spans="1:17" s="7" customFormat="1" ht="13.5" customHeight="1" x14ac:dyDescent="0.15">
      <c r="A61" s="133" t="s">
        <v>96</v>
      </c>
      <c r="B61" s="81">
        <v>100.2</v>
      </c>
      <c r="C61" s="81">
        <v>88</v>
      </c>
      <c r="D61" s="18">
        <v>94</v>
      </c>
      <c r="E61" s="18">
        <v>98</v>
      </c>
      <c r="F61" s="20">
        <v>73</v>
      </c>
      <c r="G61" s="18">
        <v>87</v>
      </c>
      <c r="H61" s="20">
        <v>83</v>
      </c>
      <c r="I61" s="20">
        <v>144</v>
      </c>
      <c r="J61" s="20">
        <v>132</v>
      </c>
      <c r="K61" s="20">
        <v>117</v>
      </c>
      <c r="L61" s="83">
        <v>132</v>
      </c>
      <c r="M61" s="11"/>
      <c r="N61" s="2"/>
      <c r="O61" s="2"/>
      <c r="P61" s="2"/>
      <c r="Q61" s="2"/>
    </row>
    <row r="62" spans="1:17" s="7" customFormat="1" ht="13.5" customHeight="1" x14ac:dyDescent="0.15">
      <c r="A62" s="133" t="s">
        <v>97</v>
      </c>
      <c r="B62" s="81">
        <v>101.1</v>
      </c>
      <c r="C62" s="81">
        <v>88</v>
      </c>
      <c r="D62" s="18">
        <v>92</v>
      </c>
      <c r="E62" s="18">
        <v>97</v>
      </c>
      <c r="F62" s="20">
        <v>75</v>
      </c>
      <c r="G62" s="18">
        <v>89</v>
      </c>
      <c r="H62" s="20">
        <v>90</v>
      </c>
      <c r="I62" s="20">
        <v>147</v>
      </c>
      <c r="J62" s="20">
        <v>126</v>
      </c>
      <c r="K62" s="20">
        <v>119</v>
      </c>
      <c r="L62" s="83">
        <v>137</v>
      </c>
      <c r="M62" s="11"/>
      <c r="N62" s="2"/>
      <c r="O62" s="2"/>
      <c r="P62" s="2"/>
      <c r="Q62" s="2"/>
    </row>
    <row r="63" spans="1:17" s="7" customFormat="1" ht="13.5" customHeight="1" x14ac:dyDescent="0.15">
      <c r="A63" s="133" t="s">
        <v>196</v>
      </c>
      <c r="B63" s="81">
        <v>97.8</v>
      </c>
      <c r="C63" s="81">
        <v>84</v>
      </c>
      <c r="D63" s="18">
        <v>90</v>
      </c>
      <c r="E63" s="18">
        <v>97</v>
      </c>
      <c r="F63" s="20">
        <v>74</v>
      </c>
      <c r="G63" s="18">
        <v>82</v>
      </c>
      <c r="H63" s="20">
        <v>83</v>
      </c>
      <c r="I63" s="20">
        <v>144</v>
      </c>
      <c r="J63" s="20">
        <v>118</v>
      </c>
      <c r="K63" s="20">
        <v>117</v>
      </c>
      <c r="L63" s="83">
        <v>136</v>
      </c>
      <c r="M63" s="11"/>
      <c r="N63" s="2"/>
      <c r="O63" s="2"/>
      <c r="P63" s="2"/>
      <c r="Q63" s="2"/>
    </row>
    <row r="64" spans="1:17" s="7" customFormat="1" ht="13.5" customHeight="1" x14ac:dyDescent="0.15">
      <c r="A64" s="133"/>
      <c r="B64" s="81" t="s">
        <v>207</v>
      </c>
      <c r="C64" s="81" t="s">
        <v>207</v>
      </c>
      <c r="D64" s="18" t="s">
        <v>207</v>
      </c>
      <c r="E64" s="18" t="s">
        <v>207</v>
      </c>
      <c r="F64" s="20" t="s">
        <v>207</v>
      </c>
      <c r="G64" s="18" t="s">
        <v>207</v>
      </c>
      <c r="H64" s="20" t="s">
        <v>207</v>
      </c>
      <c r="I64" s="20" t="s">
        <v>207</v>
      </c>
      <c r="J64" s="20" t="s">
        <v>207</v>
      </c>
      <c r="K64" s="20" t="s">
        <v>207</v>
      </c>
      <c r="L64" s="83" t="s">
        <v>207</v>
      </c>
      <c r="M64" s="11"/>
      <c r="N64" s="2"/>
      <c r="O64" s="2"/>
      <c r="P64" s="2"/>
      <c r="Q64" s="2"/>
    </row>
    <row r="65" spans="1:17" s="7" customFormat="1" ht="13.5" customHeight="1" x14ac:dyDescent="0.15">
      <c r="A65" s="133" t="s">
        <v>199</v>
      </c>
      <c r="B65" s="81">
        <v>100.2</v>
      </c>
      <c r="C65" s="81">
        <v>89</v>
      </c>
      <c r="D65" s="18">
        <v>92</v>
      </c>
      <c r="E65" s="18">
        <v>98</v>
      </c>
      <c r="F65" s="136">
        <v>72</v>
      </c>
      <c r="G65" s="18">
        <v>83</v>
      </c>
      <c r="H65" s="136">
        <v>86</v>
      </c>
      <c r="I65" s="136">
        <v>147</v>
      </c>
      <c r="J65" s="136">
        <v>115</v>
      </c>
      <c r="K65" s="136">
        <v>121</v>
      </c>
      <c r="L65" s="83">
        <v>138</v>
      </c>
      <c r="M65" s="11"/>
      <c r="N65" s="2"/>
      <c r="O65" s="2"/>
      <c r="P65" s="2"/>
      <c r="Q65" s="2"/>
    </row>
    <row r="66" spans="1:17" s="7" customFormat="1" ht="13.5" customHeight="1" x14ac:dyDescent="0.15">
      <c r="A66" s="133" t="s">
        <v>21</v>
      </c>
      <c r="B66" s="81">
        <v>96.3</v>
      </c>
      <c r="C66" s="81">
        <v>85</v>
      </c>
      <c r="D66" s="18">
        <v>90</v>
      </c>
      <c r="E66" s="18">
        <v>96</v>
      </c>
      <c r="F66" s="20">
        <v>66</v>
      </c>
      <c r="G66" s="18">
        <v>81</v>
      </c>
      <c r="H66" s="20">
        <v>83</v>
      </c>
      <c r="I66" s="20">
        <v>147</v>
      </c>
      <c r="J66" s="20">
        <v>107</v>
      </c>
      <c r="K66" s="20">
        <v>118</v>
      </c>
      <c r="L66" s="83">
        <v>140</v>
      </c>
      <c r="M66" s="11"/>
      <c r="N66" s="2"/>
      <c r="O66" s="2"/>
      <c r="P66" s="2"/>
      <c r="Q66" s="2"/>
    </row>
    <row r="67" spans="1:17" s="7" customFormat="1" ht="13.5" customHeight="1" x14ac:dyDescent="0.15">
      <c r="A67" s="133" t="s">
        <v>89</v>
      </c>
      <c r="B67" s="81">
        <v>99</v>
      </c>
      <c r="C67" s="81">
        <v>87</v>
      </c>
      <c r="D67" s="18">
        <v>92</v>
      </c>
      <c r="E67" s="18">
        <v>97</v>
      </c>
      <c r="F67" s="20">
        <v>67</v>
      </c>
      <c r="G67" s="18">
        <v>84</v>
      </c>
      <c r="H67" s="20">
        <v>89</v>
      </c>
      <c r="I67" s="20">
        <v>148</v>
      </c>
      <c r="J67" s="20">
        <v>109</v>
      </c>
      <c r="K67" s="20">
        <v>114</v>
      </c>
      <c r="L67" s="83">
        <v>134</v>
      </c>
      <c r="M67" s="11"/>
      <c r="N67" s="2"/>
      <c r="O67" s="2"/>
      <c r="P67" s="2"/>
      <c r="Q67" s="2"/>
    </row>
    <row r="68" spans="1:17" s="7" customFormat="1" ht="13.5" customHeight="1" x14ac:dyDescent="0.15">
      <c r="A68" s="133"/>
      <c r="B68" s="81" t="s">
        <v>207</v>
      </c>
      <c r="C68" s="81" t="s">
        <v>207</v>
      </c>
      <c r="D68" s="18" t="s">
        <v>207</v>
      </c>
      <c r="E68" s="18" t="s">
        <v>207</v>
      </c>
      <c r="F68" s="20" t="s">
        <v>207</v>
      </c>
      <c r="G68" s="18" t="s">
        <v>207</v>
      </c>
      <c r="H68" s="20" t="s">
        <v>207</v>
      </c>
      <c r="I68" s="20" t="s">
        <v>207</v>
      </c>
      <c r="J68" s="20" t="s">
        <v>207</v>
      </c>
      <c r="K68" s="20" t="s">
        <v>207</v>
      </c>
      <c r="L68" s="83" t="s">
        <v>207</v>
      </c>
      <c r="M68" s="11"/>
      <c r="N68" s="2"/>
      <c r="O68" s="2"/>
      <c r="P68" s="2"/>
      <c r="Q68" s="2"/>
    </row>
    <row r="69" spans="1:17" s="7" customFormat="1" ht="13.5" customHeight="1" x14ac:dyDescent="0.15">
      <c r="A69" s="133" t="s">
        <v>90</v>
      </c>
      <c r="B69" s="81">
        <v>101.3</v>
      </c>
      <c r="C69" s="81">
        <v>87</v>
      </c>
      <c r="D69" s="18">
        <v>93</v>
      </c>
      <c r="E69" s="18">
        <v>99</v>
      </c>
      <c r="F69" s="20">
        <v>69</v>
      </c>
      <c r="G69" s="18">
        <v>88</v>
      </c>
      <c r="H69" s="20">
        <v>91</v>
      </c>
      <c r="I69" s="20">
        <v>148</v>
      </c>
      <c r="J69" s="20">
        <v>120</v>
      </c>
      <c r="K69" s="20">
        <v>115</v>
      </c>
      <c r="L69" s="83">
        <v>137</v>
      </c>
      <c r="M69" s="11"/>
      <c r="N69" s="2"/>
      <c r="O69" s="2"/>
      <c r="P69" s="2"/>
      <c r="Q69" s="2"/>
    </row>
    <row r="70" spans="1:17" s="7" customFormat="1" ht="13.5" customHeight="1" x14ac:dyDescent="0.15">
      <c r="A70" s="133" t="s">
        <v>91</v>
      </c>
      <c r="B70" s="81">
        <v>99.2</v>
      </c>
      <c r="C70" s="81">
        <v>86</v>
      </c>
      <c r="D70" s="18">
        <v>92</v>
      </c>
      <c r="E70" s="18">
        <v>96</v>
      </c>
      <c r="F70" s="20">
        <v>70</v>
      </c>
      <c r="G70" s="18">
        <v>84</v>
      </c>
      <c r="H70" s="20">
        <v>91</v>
      </c>
      <c r="I70" s="20">
        <v>150</v>
      </c>
      <c r="J70" s="20">
        <v>125</v>
      </c>
      <c r="K70" s="20">
        <v>117</v>
      </c>
      <c r="L70" s="83">
        <v>144</v>
      </c>
      <c r="M70" s="11"/>
      <c r="N70" s="2"/>
      <c r="O70" s="2"/>
      <c r="P70" s="2"/>
      <c r="Q70" s="2"/>
    </row>
    <row r="71" spans="1:17" s="7" customFormat="1" ht="13.5" customHeight="1" x14ac:dyDescent="0.15">
      <c r="A71" s="133" t="s">
        <v>130</v>
      </c>
      <c r="B71" s="81">
        <v>97.2</v>
      </c>
      <c r="C71" s="81">
        <v>85</v>
      </c>
      <c r="D71" s="18">
        <v>88</v>
      </c>
      <c r="E71" s="18">
        <v>98</v>
      </c>
      <c r="F71" s="20">
        <v>61</v>
      </c>
      <c r="G71" s="18">
        <v>69</v>
      </c>
      <c r="H71" s="20">
        <v>84</v>
      </c>
      <c r="I71" s="20">
        <v>155</v>
      </c>
      <c r="J71" s="20">
        <v>110</v>
      </c>
      <c r="K71" s="20">
        <v>120</v>
      </c>
      <c r="L71" s="83">
        <v>147</v>
      </c>
      <c r="M71" s="11"/>
      <c r="N71" s="2"/>
      <c r="O71" s="2"/>
      <c r="P71" s="2"/>
      <c r="Q71" s="2"/>
    </row>
    <row r="72" spans="1:17" s="7" customFormat="1" ht="13.5" customHeight="1" x14ac:dyDescent="0.15">
      <c r="A72" s="133"/>
      <c r="B72" s="81" t="s">
        <v>207</v>
      </c>
      <c r="C72" s="81" t="s">
        <v>207</v>
      </c>
      <c r="D72" s="18" t="s">
        <v>207</v>
      </c>
      <c r="E72" s="18" t="s">
        <v>207</v>
      </c>
      <c r="F72" s="20" t="s">
        <v>207</v>
      </c>
      <c r="G72" s="18" t="s">
        <v>207</v>
      </c>
      <c r="H72" s="20" t="s">
        <v>207</v>
      </c>
      <c r="I72" s="20" t="s">
        <v>207</v>
      </c>
      <c r="J72" s="20" t="s">
        <v>207</v>
      </c>
      <c r="K72" s="20" t="s">
        <v>207</v>
      </c>
      <c r="L72" s="83" t="s">
        <v>207</v>
      </c>
      <c r="M72" s="11"/>
      <c r="N72" s="2"/>
      <c r="O72" s="2"/>
      <c r="P72" s="2"/>
      <c r="Q72" s="2"/>
    </row>
    <row r="73" spans="1:17" s="7" customFormat="1" ht="13.5" customHeight="1" x14ac:dyDescent="0.15">
      <c r="A73" s="133" t="s">
        <v>93</v>
      </c>
      <c r="B73" s="81">
        <v>89.9</v>
      </c>
      <c r="C73" s="81">
        <v>84</v>
      </c>
      <c r="D73" s="18">
        <v>82</v>
      </c>
      <c r="E73" s="18">
        <v>93</v>
      </c>
      <c r="F73" s="20">
        <v>47</v>
      </c>
      <c r="G73" s="18">
        <v>56</v>
      </c>
      <c r="H73" s="20">
        <v>73</v>
      </c>
      <c r="I73" s="20">
        <v>156</v>
      </c>
      <c r="J73" s="20">
        <v>91</v>
      </c>
      <c r="K73" s="20">
        <v>116</v>
      </c>
      <c r="L73" s="83">
        <v>148</v>
      </c>
      <c r="M73" s="11"/>
      <c r="N73" s="2"/>
      <c r="O73" s="2"/>
      <c r="P73" s="2"/>
      <c r="Q73" s="2"/>
    </row>
    <row r="74" spans="1:17" s="7" customFormat="1" ht="13.5" customHeight="1" x14ac:dyDescent="0.15">
      <c r="A74" s="133" t="s">
        <v>94</v>
      </c>
      <c r="B74" s="81">
        <v>93.6</v>
      </c>
      <c r="C74" s="81">
        <v>87</v>
      </c>
      <c r="D74" s="18">
        <v>85</v>
      </c>
      <c r="E74" s="18">
        <v>94</v>
      </c>
      <c r="F74" s="20">
        <v>53</v>
      </c>
      <c r="G74" s="18">
        <v>64</v>
      </c>
      <c r="H74" s="20">
        <v>75</v>
      </c>
      <c r="I74" s="20">
        <v>150</v>
      </c>
      <c r="J74" s="20">
        <v>85</v>
      </c>
      <c r="K74" s="20">
        <v>118</v>
      </c>
      <c r="L74" s="83">
        <v>146</v>
      </c>
      <c r="M74" s="11"/>
      <c r="N74" s="2"/>
      <c r="O74" s="2"/>
      <c r="P74" s="2"/>
      <c r="Q74" s="2"/>
    </row>
    <row r="75" spans="1:17" s="7" customFormat="1" ht="13.5" customHeight="1" x14ac:dyDescent="0.15">
      <c r="A75" s="133" t="s">
        <v>95</v>
      </c>
      <c r="B75" s="81">
        <v>94.7</v>
      </c>
      <c r="C75" s="81">
        <v>87</v>
      </c>
      <c r="D75" s="18">
        <v>86</v>
      </c>
      <c r="E75" s="18">
        <v>97</v>
      </c>
      <c r="F75" s="20">
        <v>56</v>
      </c>
      <c r="G75" s="18">
        <v>65</v>
      </c>
      <c r="H75" s="20">
        <v>76</v>
      </c>
      <c r="I75" s="20">
        <v>152</v>
      </c>
      <c r="J75" s="20">
        <v>77</v>
      </c>
      <c r="K75" s="20">
        <v>117</v>
      </c>
      <c r="L75" s="83">
        <v>145</v>
      </c>
      <c r="M75" s="11"/>
      <c r="N75" s="2"/>
      <c r="O75" s="2"/>
      <c r="P75" s="2"/>
      <c r="Q75" s="2"/>
    </row>
    <row r="76" spans="1:17" s="7" customFormat="1" ht="13.5" customHeight="1" x14ac:dyDescent="0.15">
      <c r="A76" s="133"/>
      <c r="B76" s="81" t="s">
        <v>207</v>
      </c>
      <c r="C76" s="81" t="s">
        <v>207</v>
      </c>
      <c r="D76" s="18" t="s">
        <v>207</v>
      </c>
      <c r="E76" s="18" t="s">
        <v>207</v>
      </c>
      <c r="F76" s="20" t="s">
        <v>207</v>
      </c>
      <c r="G76" s="18" t="s">
        <v>207</v>
      </c>
      <c r="H76" s="20" t="s">
        <v>207</v>
      </c>
      <c r="I76" s="20" t="s">
        <v>207</v>
      </c>
      <c r="J76" s="20" t="s">
        <v>207</v>
      </c>
      <c r="K76" s="20" t="s">
        <v>207</v>
      </c>
      <c r="L76" s="83" t="s">
        <v>207</v>
      </c>
      <c r="M76" s="11"/>
      <c r="N76" s="2"/>
      <c r="O76" s="2"/>
      <c r="P76" s="2"/>
      <c r="Q76" s="2"/>
    </row>
    <row r="77" spans="1:17" s="7" customFormat="1" ht="13.5" customHeight="1" x14ac:dyDescent="0.15">
      <c r="A77" s="133" t="s">
        <v>140</v>
      </c>
      <c r="B77" s="81">
        <v>93.5</v>
      </c>
      <c r="C77" s="81">
        <v>85</v>
      </c>
      <c r="D77" s="18">
        <v>86</v>
      </c>
      <c r="E77" s="18">
        <v>95</v>
      </c>
      <c r="F77" s="20">
        <v>52</v>
      </c>
      <c r="G77" s="18">
        <v>61</v>
      </c>
      <c r="H77" s="20">
        <v>71</v>
      </c>
      <c r="I77" s="20">
        <v>149</v>
      </c>
      <c r="J77" s="20">
        <v>71</v>
      </c>
      <c r="K77" s="20">
        <v>115</v>
      </c>
      <c r="L77" s="83">
        <v>147</v>
      </c>
      <c r="M77" s="11"/>
      <c r="N77" s="2"/>
      <c r="O77" s="2"/>
      <c r="P77" s="2"/>
      <c r="Q77" s="2"/>
    </row>
    <row r="78" spans="1:17" s="7" customFormat="1" ht="13.5" customHeight="1" x14ac:dyDescent="0.15">
      <c r="A78" s="133" t="s">
        <v>145</v>
      </c>
      <c r="B78" s="81">
        <v>90.8</v>
      </c>
      <c r="C78" s="81">
        <v>85</v>
      </c>
      <c r="D78" s="18">
        <v>82</v>
      </c>
      <c r="E78" s="18">
        <v>94</v>
      </c>
      <c r="F78" s="20">
        <v>52</v>
      </c>
      <c r="G78" s="18">
        <v>59</v>
      </c>
      <c r="H78" s="20">
        <v>67</v>
      </c>
      <c r="I78" s="20">
        <v>148</v>
      </c>
      <c r="J78" s="20">
        <v>67</v>
      </c>
      <c r="K78" s="20">
        <v>114</v>
      </c>
      <c r="L78" s="83">
        <v>147</v>
      </c>
      <c r="M78" s="11"/>
      <c r="N78" s="2"/>
      <c r="O78" s="2"/>
      <c r="P78" s="2"/>
      <c r="Q78" s="2"/>
    </row>
    <row r="79" spans="1:17" s="7" customFormat="1" ht="13.5" customHeight="1" x14ac:dyDescent="0.15">
      <c r="A79" s="133" t="s">
        <v>151</v>
      </c>
      <c r="B79" s="81">
        <v>92.6</v>
      </c>
      <c r="C79" s="81">
        <v>84</v>
      </c>
      <c r="D79" s="18">
        <v>85</v>
      </c>
      <c r="E79" s="18">
        <v>94</v>
      </c>
      <c r="F79" s="20">
        <v>54</v>
      </c>
      <c r="G79" s="18">
        <v>63</v>
      </c>
      <c r="H79" s="20">
        <v>72</v>
      </c>
      <c r="I79" s="20">
        <v>146</v>
      </c>
      <c r="J79" s="20">
        <v>63</v>
      </c>
      <c r="K79" s="20">
        <v>112</v>
      </c>
      <c r="L79" s="83">
        <v>135</v>
      </c>
      <c r="M79" s="11"/>
      <c r="N79" s="2"/>
      <c r="O79" s="2"/>
      <c r="P79" s="2"/>
      <c r="Q79" s="2"/>
    </row>
    <row r="80" spans="1:17" s="7" customFormat="1" ht="13.5" customHeight="1" x14ac:dyDescent="0.15">
      <c r="A80" s="133"/>
      <c r="B80" s="81" t="s">
        <v>207</v>
      </c>
      <c r="C80" s="81" t="s">
        <v>207</v>
      </c>
      <c r="D80" s="18" t="s">
        <v>207</v>
      </c>
      <c r="E80" s="18" t="s">
        <v>207</v>
      </c>
      <c r="F80" s="20" t="s">
        <v>207</v>
      </c>
      <c r="G80" s="18" t="s">
        <v>207</v>
      </c>
      <c r="H80" s="20" t="s">
        <v>207</v>
      </c>
      <c r="I80" s="20" t="s">
        <v>207</v>
      </c>
      <c r="J80" s="20" t="s">
        <v>207</v>
      </c>
      <c r="K80" s="20" t="s">
        <v>207</v>
      </c>
      <c r="L80" s="83" t="s">
        <v>207</v>
      </c>
      <c r="M80" s="11"/>
      <c r="N80" s="2"/>
      <c r="O80" s="2"/>
      <c r="P80" s="2"/>
      <c r="Q80" s="2"/>
    </row>
    <row r="81" spans="1:17" s="7" customFormat="1" ht="13.5" customHeight="1" x14ac:dyDescent="0.15">
      <c r="A81" s="133" t="s">
        <v>209</v>
      </c>
      <c r="B81" s="81">
        <v>93.8</v>
      </c>
      <c r="C81" s="81">
        <v>86</v>
      </c>
      <c r="D81" s="18">
        <v>85</v>
      </c>
      <c r="E81" s="18">
        <v>95</v>
      </c>
      <c r="F81" s="20">
        <v>55</v>
      </c>
      <c r="G81" s="18">
        <v>66</v>
      </c>
      <c r="H81" s="20">
        <v>65</v>
      </c>
      <c r="I81" s="20">
        <v>143</v>
      </c>
      <c r="J81" s="20">
        <v>74</v>
      </c>
      <c r="K81" s="20">
        <v>113</v>
      </c>
      <c r="L81" s="83">
        <v>129</v>
      </c>
      <c r="M81" s="11"/>
      <c r="N81" s="2"/>
      <c r="O81" s="2"/>
      <c r="P81" s="2"/>
      <c r="Q81" s="2"/>
    </row>
    <row r="82" spans="1:17" s="7" customFormat="1" ht="13.5" customHeight="1" x14ac:dyDescent="0.15">
      <c r="A82" s="133" t="s">
        <v>21</v>
      </c>
      <c r="B82" s="81">
        <v>93.1</v>
      </c>
      <c r="C82" s="81">
        <v>83</v>
      </c>
      <c r="D82" s="18">
        <v>85</v>
      </c>
      <c r="E82" s="18">
        <v>93</v>
      </c>
      <c r="F82" s="20">
        <v>53</v>
      </c>
      <c r="G82" s="18">
        <v>65</v>
      </c>
      <c r="H82" s="20">
        <v>69</v>
      </c>
      <c r="I82" s="20">
        <v>145</v>
      </c>
      <c r="J82" s="20">
        <v>75</v>
      </c>
      <c r="K82" s="20">
        <v>111</v>
      </c>
      <c r="L82" s="83">
        <v>115</v>
      </c>
      <c r="M82" s="11"/>
      <c r="N82" s="2"/>
      <c r="O82" s="2"/>
      <c r="P82" s="2"/>
      <c r="Q82" s="2"/>
    </row>
    <row r="83" spans="1:17" x14ac:dyDescent="0.15">
      <c r="A83" s="133" t="s">
        <v>89</v>
      </c>
      <c r="B83" s="81">
        <v>91.6</v>
      </c>
      <c r="C83" s="81">
        <v>81</v>
      </c>
      <c r="D83" s="18">
        <v>85</v>
      </c>
      <c r="E83" s="18">
        <v>94</v>
      </c>
      <c r="F83" s="20">
        <v>54</v>
      </c>
      <c r="G83" s="18">
        <v>64</v>
      </c>
      <c r="H83" s="20">
        <v>72</v>
      </c>
      <c r="I83" s="20">
        <v>143</v>
      </c>
      <c r="J83" s="20">
        <v>81</v>
      </c>
      <c r="K83" s="20">
        <v>109</v>
      </c>
      <c r="L83" s="83">
        <v>118</v>
      </c>
    </row>
    <row r="84" spans="1:17" x14ac:dyDescent="0.15">
      <c r="A84" s="133"/>
      <c r="B84" s="81"/>
      <c r="C84" s="81"/>
      <c r="D84" s="18"/>
      <c r="E84" s="18"/>
      <c r="F84" s="20"/>
      <c r="G84" s="18"/>
      <c r="H84" s="20"/>
      <c r="I84" s="20"/>
      <c r="J84" s="20"/>
      <c r="K84" s="20"/>
      <c r="L84" s="83"/>
    </row>
    <row r="85" spans="1:17" x14ac:dyDescent="0.15">
      <c r="A85" s="133" t="s">
        <v>90</v>
      </c>
      <c r="B85" s="81">
        <v>95.8</v>
      </c>
      <c r="C85" s="81">
        <v>86</v>
      </c>
      <c r="D85" s="18">
        <v>89</v>
      </c>
      <c r="E85" s="18">
        <v>96</v>
      </c>
      <c r="F85" s="20">
        <v>61</v>
      </c>
      <c r="G85" s="18">
        <v>70</v>
      </c>
      <c r="H85" s="20">
        <v>77</v>
      </c>
      <c r="I85" s="20">
        <v>140</v>
      </c>
      <c r="J85" s="20">
        <v>89</v>
      </c>
      <c r="K85" s="20">
        <v>118</v>
      </c>
      <c r="L85" s="83">
        <v>111</v>
      </c>
    </row>
    <row r="86" spans="1:17" x14ac:dyDescent="0.15">
      <c r="A86" s="133" t="s">
        <v>91</v>
      </c>
      <c r="B86" s="81">
        <v>97.8</v>
      </c>
      <c r="C86" s="81">
        <v>85</v>
      </c>
      <c r="D86" s="18">
        <v>90</v>
      </c>
      <c r="E86" s="18">
        <v>97</v>
      </c>
      <c r="F86" s="20">
        <v>65</v>
      </c>
      <c r="G86" s="18">
        <v>76</v>
      </c>
      <c r="H86" s="20">
        <v>80</v>
      </c>
      <c r="I86" s="20">
        <v>139</v>
      </c>
      <c r="J86" s="20">
        <v>97</v>
      </c>
      <c r="K86" s="20">
        <v>118</v>
      </c>
      <c r="L86" s="83">
        <v>113</v>
      </c>
    </row>
    <row r="87" spans="1:17" x14ac:dyDescent="0.15">
      <c r="A87" s="133" t="s">
        <v>92</v>
      </c>
      <c r="B87" s="81">
        <v>101.8</v>
      </c>
      <c r="C87" s="81">
        <v>89</v>
      </c>
      <c r="D87" s="18">
        <v>92</v>
      </c>
      <c r="E87" s="18">
        <v>99</v>
      </c>
      <c r="F87" s="20">
        <v>73</v>
      </c>
      <c r="G87" s="18">
        <v>83</v>
      </c>
      <c r="H87" s="20">
        <v>83</v>
      </c>
      <c r="I87" s="20">
        <v>137</v>
      </c>
      <c r="J87" s="20">
        <v>102</v>
      </c>
      <c r="K87" s="20">
        <v>118</v>
      </c>
      <c r="L87" s="83">
        <v>102</v>
      </c>
    </row>
    <row r="88" spans="1:17" x14ac:dyDescent="0.15">
      <c r="A88" s="133"/>
      <c r="B88" s="81"/>
      <c r="C88" s="81"/>
      <c r="D88" s="18"/>
      <c r="E88" s="18"/>
      <c r="F88" s="20"/>
      <c r="G88" s="18"/>
      <c r="H88" s="20"/>
      <c r="I88" s="20"/>
      <c r="J88" s="20"/>
      <c r="K88" s="20"/>
      <c r="L88" s="83"/>
    </row>
    <row r="89" spans="1:17" x14ac:dyDescent="0.15">
      <c r="A89" s="133" t="s">
        <v>93</v>
      </c>
      <c r="B89" s="81">
        <v>102.8</v>
      </c>
      <c r="C89" s="81">
        <v>90</v>
      </c>
      <c r="D89" s="18">
        <v>94</v>
      </c>
      <c r="E89" s="18">
        <v>98</v>
      </c>
      <c r="F89" s="20">
        <v>78</v>
      </c>
      <c r="G89" s="18">
        <v>87</v>
      </c>
      <c r="H89" s="20">
        <v>85</v>
      </c>
      <c r="I89" s="20">
        <v>132</v>
      </c>
      <c r="J89" s="20">
        <v>106</v>
      </c>
      <c r="K89" s="20">
        <v>120</v>
      </c>
      <c r="L89" s="83">
        <v>111</v>
      </c>
    </row>
    <row r="90" spans="1:17" x14ac:dyDescent="0.15">
      <c r="A90" s="133" t="s">
        <v>94</v>
      </c>
      <c r="B90" s="183">
        <v>103.2</v>
      </c>
      <c r="C90" s="81">
        <v>92</v>
      </c>
      <c r="D90" s="18">
        <v>94</v>
      </c>
      <c r="E90" s="18">
        <v>99</v>
      </c>
      <c r="F90" s="20">
        <v>77</v>
      </c>
      <c r="G90" s="18">
        <v>79</v>
      </c>
      <c r="H90" s="20">
        <v>83</v>
      </c>
      <c r="I90" s="20">
        <v>138</v>
      </c>
      <c r="J90" s="20">
        <v>111</v>
      </c>
      <c r="K90" s="20">
        <v>119</v>
      </c>
      <c r="L90" s="83">
        <v>119</v>
      </c>
    </row>
    <row r="91" spans="1:17" x14ac:dyDescent="0.15">
      <c r="A91" s="133" t="s">
        <v>95</v>
      </c>
      <c r="B91" s="81">
        <v>101.9</v>
      </c>
      <c r="C91" s="81">
        <v>90</v>
      </c>
      <c r="D91" s="18">
        <v>93</v>
      </c>
      <c r="E91" s="18">
        <v>100</v>
      </c>
      <c r="F91" s="20">
        <v>74</v>
      </c>
      <c r="G91" s="18">
        <v>78</v>
      </c>
      <c r="H91" s="20">
        <v>79</v>
      </c>
      <c r="I91" s="20">
        <v>138</v>
      </c>
      <c r="J91" s="20">
        <v>112</v>
      </c>
      <c r="K91" s="20">
        <v>118</v>
      </c>
      <c r="L91" s="83">
        <v>118</v>
      </c>
    </row>
    <row r="92" spans="1:17" x14ac:dyDescent="0.15">
      <c r="A92" s="133"/>
      <c r="B92" s="81"/>
      <c r="C92" s="81"/>
      <c r="D92" s="18"/>
      <c r="E92" s="18"/>
      <c r="F92" s="20"/>
      <c r="G92" s="18"/>
      <c r="H92" s="20"/>
      <c r="I92" s="20"/>
      <c r="J92" s="20"/>
      <c r="K92" s="20"/>
      <c r="L92" s="83"/>
    </row>
    <row r="93" spans="1:17" x14ac:dyDescent="0.15">
      <c r="A93" s="133" t="s">
        <v>96</v>
      </c>
      <c r="B93" s="81">
        <v>98.9</v>
      </c>
      <c r="C93" s="81">
        <v>89</v>
      </c>
      <c r="D93" s="18">
        <v>90</v>
      </c>
      <c r="E93" s="18">
        <v>97</v>
      </c>
      <c r="F93" s="20">
        <v>70</v>
      </c>
      <c r="G93" s="18">
        <v>75</v>
      </c>
      <c r="H93" s="20">
        <v>79</v>
      </c>
      <c r="I93" s="20">
        <v>143</v>
      </c>
      <c r="J93" s="20">
        <v>111</v>
      </c>
      <c r="K93" s="20">
        <v>119</v>
      </c>
      <c r="L93" s="83">
        <v>126</v>
      </c>
    </row>
    <row r="94" spans="1:17" x14ac:dyDescent="0.15">
      <c r="A94" s="133" t="s">
        <v>97</v>
      </c>
      <c r="B94" s="81">
        <v>99.2</v>
      </c>
      <c r="C94" s="81">
        <v>87</v>
      </c>
      <c r="D94" s="18">
        <v>90</v>
      </c>
      <c r="E94" s="18">
        <v>97</v>
      </c>
      <c r="F94" s="20">
        <v>68</v>
      </c>
      <c r="G94" s="18">
        <v>77</v>
      </c>
      <c r="H94" s="20">
        <v>83</v>
      </c>
      <c r="I94" s="20">
        <v>140</v>
      </c>
      <c r="J94" s="20">
        <v>107</v>
      </c>
      <c r="K94" s="20">
        <v>117</v>
      </c>
      <c r="L94" s="83">
        <v>121</v>
      </c>
    </row>
    <row r="95" spans="1:17" x14ac:dyDescent="0.15">
      <c r="A95" s="133" t="s">
        <v>98</v>
      </c>
      <c r="B95" s="81">
        <v>100.1</v>
      </c>
      <c r="C95" s="81">
        <v>89</v>
      </c>
      <c r="D95" s="18">
        <v>93</v>
      </c>
      <c r="E95" s="18">
        <v>98</v>
      </c>
      <c r="F95" s="20">
        <v>70</v>
      </c>
      <c r="G95" s="18">
        <v>79</v>
      </c>
      <c r="H95" s="20">
        <v>83</v>
      </c>
      <c r="I95" s="20">
        <v>137</v>
      </c>
      <c r="J95" s="20">
        <v>95</v>
      </c>
      <c r="K95" s="20">
        <v>118</v>
      </c>
      <c r="L95" s="83">
        <v>110</v>
      </c>
    </row>
    <row r="96" spans="1:17" x14ac:dyDescent="0.15">
      <c r="A96" s="133"/>
      <c r="B96" s="81"/>
      <c r="C96" s="81"/>
      <c r="D96" s="18"/>
      <c r="E96" s="18"/>
      <c r="F96" s="20"/>
      <c r="G96" s="18"/>
      <c r="H96" s="20"/>
      <c r="I96" s="20"/>
      <c r="J96" s="20"/>
      <c r="K96" s="20"/>
      <c r="L96" s="83"/>
    </row>
    <row r="97" spans="1:12" x14ac:dyDescent="0.15">
      <c r="A97" s="133" t="s">
        <v>267</v>
      </c>
      <c r="B97" s="199">
        <v>101.2</v>
      </c>
      <c r="C97" s="81">
        <v>90</v>
      </c>
      <c r="D97" s="18">
        <v>93</v>
      </c>
      <c r="E97" s="18">
        <v>99</v>
      </c>
      <c r="F97" s="20">
        <v>69</v>
      </c>
      <c r="G97" s="18">
        <v>82</v>
      </c>
      <c r="H97" s="20">
        <v>85</v>
      </c>
      <c r="I97" s="20">
        <v>133</v>
      </c>
      <c r="J97" s="20">
        <v>98</v>
      </c>
      <c r="K97" s="20">
        <v>119</v>
      </c>
      <c r="L97" s="83">
        <v>99</v>
      </c>
    </row>
    <row r="98" spans="1:12" x14ac:dyDescent="0.15">
      <c r="A98" s="133" t="s">
        <v>21</v>
      </c>
      <c r="B98" s="199">
        <v>103.5</v>
      </c>
      <c r="C98" s="81">
        <v>91</v>
      </c>
      <c r="D98" s="18">
        <v>96</v>
      </c>
      <c r="E98" s="18">
        <v>101</v>
      </c>
      <c r="F98" s="20">
        <v>72</v>
      </c>
      <c r="G98" s="18">
        <v>85</v>
      </c>
      <c r="H98" s="20">
        <v>85</v>
      </c>
      <c r="I98" s="82">
        <v>134</v>
      </c>
      <c r="J98" s="82">
        <v>96</v>
      </c>
      <c r="K98" s="20">
        <v>117</v>
      </c>
      <c r="L98" s="83">
        <v>99</v>
      </c>
    </row>
    <row r="99" spans="1:12" x14ac:dyDescent="0.15">
      <c r="A99" s="133" t="s">
        <v>155</v>
      </c>
      <c r="B99" s="199">
        <v>104.8</v>
      </c>
      <c r="C99" s="81">
        <v>93</v>
      </c>
      <c r="D99" s="18">
        <v>96</v>
      </c>
      <c r="E99" s="81">
        <v>100</v>
      </c>
      <c r="F99" s="82">
        <v>74</v>
      </c>
      <c r="G99" s="81">
        <v>87</v>
      </c>
      <c r="H99" s="82">
        <v>89</v>
      </c>
      <c r="I99" s="82">
        <v>134</v>
      </c>
      <c r="J99" s="82">
        <v>100</v>
      </c>
      <c r="K99" s="82">
        <v>117</v>
      </c>
      <c r="L99" s="83">
        <v>98</v>
      </c>
    </row>
    <row r="100" spans="1:12" x14ac:dyDescent="0.15">
      <c r="A100" s="133"/>
      <c r="B100" s="200"/>
      <c r="C100" s="81"/>
      <c r="D100" s="81"/>
      <c r="E100" s="81"/>
      <c r="F100" s="82"/>
      <c r="G100" s="81"/>
      <c r="H100" s="82"/>
      <c r="I100" s="82"/>
      <c r="J100" s="82"/>
      <c r="K100" s="82"/>
      <c r="L100" s="83"/>
    </row>
    <row r="101" spans="1:12" x14ac:dyDescent="0.15">
      <c r="A101" s="133" t="s">
        <v>90</v>
      </c>
      <c r="B101" s="200">
        <v>102.3</v>
      </c>
      <c r="C101" s="81">
        <v>92</v>
      </c>
      <c r="D101" s="81">
        <v>95</v>
      </c>
      <c r="E101" s="81">
        <v>98</v>
      </c>
      <c r="F101" s="82">
        <v>72</v>
      </c>
      <c r="G101" s="81">
        <v>86</v>
      </c>
      <c r="H101" s="82">
        <v>88</v>
      </c>
      <c r="I101" s="82">
        <v>135</v>
      </c>
      <c r="J101" s="82">
        <v>106</v>
      </c>
      <c r="K101" s="82">
        <v>119</v>
      </c>
      <c r="L101" s="83">
        <v>102</v>
      </c>
    </row>
    <row r="102" spans="1:12" x14ac:dyDescent="0.15">
      <c r="A102" s="133" t="s">
        <v>91</v>
      </c>
      <c r="B102" s="200">
        <v>100.7</v>
      </c>
      <c r="C102" s="81">
        <v>91</v>
      </c>
      <c r="D102" s="81">
        <v>91</v>
      </c>
      <c r="E102" s="81">
        <v>99</v>
      </c>
      <c r="F102" s="82">
        <v>70</v>
      </c>
      <c r="G102" s="81">
        <v>81</v>
      </c>
      <c r="H102" s="82">
        <v>84</v>
      </c>
      <c r="I102" s="82">
        <v>137</v>
      </c>
      <c r="J102" s="82">
        <v>106</v>
      </c>
      <c r="K102" s="82">
        <v>117</v>
      </c>
      <c r="L102" s="83">
        <v>104</v>
      </c>
    </row>
    <row r="103" spans="1:12" x14ac:dyDescent="0.15">
      <c r="A103" s="133" t="s">
        <v>92</v>
      </c>
      <c r="B103" s="199">
        <v>103.4</v>
      </c>
      <c r="C103" s="18">
        <v>92</v>
      </c>
      <c r="D103" s="18">
        <v>95</v>
      </c>
      <c r="E103" s="18">
        <v>98</v>
      </c>
      <c r="F103" s="20">
        <v>76</v>
      </c>
      <c r="G103" s="18">
        <v>85</v>
      </c>
      <c r="H103" s="20">
        <v>87</v>
      </c>
      <c r="I103" s="82">
        <v>136</v>
      </c>
      <c r="J103" s="20">
        <v>110</v>
      </c>
      <c r="K103" s="20">
        <v>117</v>
      </c>
      <c r="L103" s="83">
        <v>101</v>
      </c>
    </row>
    <row r="104" spans="1:12" x14ac:dyDescent="0.15">
      <c r="A104" s="133"/>
      <c r="B104" s="200"/>
      <c r="C104" s="81"/>
      <c r="D104" s="81"/>
      <c r="E104" s="81"/>
      <c r="F104" s="82"/>
      <c r="G104" s="81"/>
      <c r="H104" s="82"/>
      <c r="I104" s="82"/>
      <c r="J104" s="82"/>
      <c r="K104" s="82"/>
      <c r="L104" s="83"/>
    </row>
    <row r="105" spans="1:12" x14ac:dyDescent="0.15">
      <c r="A105" s="133" t="s">
        <v>93</v>
      </c>
      <c r="B105" s="200">
        <v>104.2</v>
      </c>
      <c r="C105" s="81">
        <v>91</v>
      </c>
      <c r="D105" s="81">
        <v>95</v>
      </c>
      <c r="E105" s="81">
        <v>99</v>
      </c>
      <c r="F105" s="82">
        <v>80</v>
      </c>
      <c r="G105" s="81">
        <v>88</v>
      </c>
      <c r="H105" s="82">
        <v>89</v>
      </c>
      <c r="I105" s="82">
        <v>136</v>
      </c>
      <c r="J105" s="82">
        <v>116</v>
      </c>
      <c r="K105" s="82">
        <v>120</v>
      </c>
      <c r="L105" s="83">
        <v>99</v>
      </c>
    </row>
    <row r="106" spans="1:12" x14ac:dyDescent="0.15">
      <c r="A106" s="133" t="s">
        <v>94</v>
      </c>
      <c r="B106" s="200">
        <v>102.9</v>
      </c>
      <c r="C106" s="81">
        <v>91</v>
      </c>
      <c r="D106" s="81">
        <v>95</v>
      </c>
      <c r="E106" s="81">
        <v>100</v>
      </c>
      <c r="F106" s="82">
        <v>77</v>
      </c>
      <c r="G106" s="81">
        <v>83</v>
      </c>
      <c r="H106" s="82">
        <v>87</v>
      </c>
      <c r="I106" s="82">
        <v>136</v>
      </c>
      <c r="J106" s="82">
        <v>118</v>
      </c>
      <c r="K106" s="82">
        <v>123</v>
      </c>
      <c r="L106" s="83">
        <v>95</v>
      </c>
    </row>
    <row r="107" spans="1:12" x14ac:dyDescent="0.15">
      <c r="A107" s="133" t="s">
        <v>95</v>
      </c>
      <c r="B107" s="200">
        <v>101.7</v>
      </c>
      <c r="C107" s="81">
        <v>90</v>
      </c>
      <c r="D107" s="81">
        <v>95</v>
      </c>
      <c r="E107" s="81">
        <v>97</v>
      </c>
      <c r="F107" s="82">
        <v>73</v>
      </c>
      <c r="G107" s="81">
        <v>83</v>
      </c>
      <c r="H107" s="82">
        <v>86</v>
      </c>
      <c r="I107" s="82">
        <v>137</v>
      </c>
      <c r="J107" s="82">
        <v>120</v>
      </c>
      <c r="K107" s="82">
        <v>120</v>
      </c>
      <c r="L107" s="83">
        <v>94</v>
      </c>
    </row>
    <row r="108" spans="1:12" x14ac:dyDescent="0.15">
      <c r="A108" s="133"/>
      <c r="B108" s="200"/>
      <c r="C108" s="81"/>
      <c r="D108" s="81"/>
      <c r="E108" s="81"/>
      <c r="F108" s="82"/>
      <c r="G108" s="81"/>
      <c r="H108" s="82"/>
      <c r="I108" s="82"/>
      <c r="J108" s="82"/>
      <c r="K108" s="82"/>
      <c r="L108" s="83"/>
    </row>
    <row r="109" spans="1:12" x14ac:dyDescent="0.15">
      <c r="A109" s="133" t="s">
        <v>96</v>
      </c>
      <c r="B109" s="200">
        <v>105.2</v>
      </c>
      <c r="C109" s="81">
        <v>95</v>
      </c>
      <c r="D109" s="81">
        <v>95</v>
      </c>
      <c r="E109" s="81">
        <v>101</v>
      </c>
      <c r="F109" s="82">
        <v>76</v>
      </c>
      <c r="G109" s="81">
        <v>83</v>
      </c>
      <c r="H109" s="82">
        <v>84</v>
      </c>
      <c r="I109" s="82">
        <v>136</v>
      </c>
      <c r="J109" s="82">
        <v>115</v>
      </c>
      <c r="K109" s="82">
        <v>120</v>
      </c>
      <c r="L109" s="83">
        <v>87</v>
      </c>
    </row>
    <row r="110" spans="1:12" x14ac:dyDescent="0.15">
      <c r="A110" s="133" t="s">
        <v>97</v>
      </c>
      <c r="B110" s="200">
        <v>102.9</v>
      </c>
      <c r="C110" s="81">
        <v>93</v>
      </c>
      <c r="D110" s="81">
        <v>93</v>
      </c>
      <c r="E110" s="81">
        <v>100</v>
      </c>
      <c r="F110" s="82">
        <v>74</v>
      </c>
      <c r="G110" s="81">
        <v>78</v>
      </c>
      <c r="H110" s="82">
        <v>82</v>
      </c>
      <c r="I110" s="82">
        <v>141</v>
      </c>
      <c r="J110" s="82">
        <v>111</v>
      </c>
      <c r="K110" s="82">
        <v>117</v>
      </c>
      <c r="L110" s="83">
        <v>95</v>
      </c>
    </row>
    <row r="111" spans="1:12" x14ac:dyDescent="0.15">
      <c r="A111" s="133" t="s">
        <v>98</v>
      </c>
      <c r="B111" s="200">
        <v>91.5</v>
      </c>
      <c r="C111" s="81">
        <v>88</v>
      </c>
      <c r="D111" s="81">
        <v>88</v>
      </c>
      <c r="E111" s="81">
        <v>93</v>
      </c>
      <c r="F111" s="82">
        <v>59</v>
      </c>
      <c r="G111" s="81">
        <v>61</v>
      </c>
      <c r="H111" s="82">
        <v>66</v>
      </c>
      <c r="I111" s="82">
        <v>143</v>
      </c>
      <c r="J111" s="82">
        <v>102</v>
      </c>
      <c r="K111" s="82">
        <v>114</v>
      </c>
      <c r="L111" s="83">
        <v>95</v>
      </c>
    </row>
    <row r="112" spans="1:12" x14ac:dyDescent="0.15">
      <c r="A112" s="133"/>
      <c r="B112" s="226"/>
      <c r="C112" s="72"/>
      <c r="D112" s="72"/>
      <c r="E112" s="72"/>
      <c r="F112" s="224"/>
      <c r="G112" s="72"/>
      <c r="H112" s="224"/>
      <c r="I112" s="224"/>
      <c r="J112" s="224"/>
      <c r="K112" s="224"/>
      <c r="L112" s="225"/>
    </row>
    <row r="113" spans="1:12" x14ac:dyDescent="0.15">
      <c r="A113" s="133" t="s">
        <v>275</v>
      </c>
      <c r="B113" s="226">
        <v>91.5</v>
      </c>
      <c r="C113" s="72">
        <v>87</v>
      </c>
      <c r="D113" s="72">
        <v>87</v>
      </c>
      <c r="E113" s="72">
        <v>94</v>
      </c>
      <c r="F113" s="224">
        <v>49</v>
      </c>
      <c r="G113" s="72">
        <v>64</v>
      </c>
      <c r="H113" s="224">
        <v>70</v>
      </c>
      <c r="I113" s="224">
        <v>144</v>
      </c>
      <c r="J113" s="224">
        <v>98</v>
      </c>
      <c r="K113" s="224">
        <v>116</v>
      </c>
      <c r="L113" s="225">
        <v>96</v>
      </c>
    </row>
    <row r="114" spans="1:12" x14ac:dyDescent="0.15">
      <c r="A114" s="133" t="s">
        <v>21</v>
      </c>
      <c r="B114" s="226">
        <v>94.5</v>
      </c>
      <c r="C114" s="72">
        <v>86</v>
      </c>
      <c r="D114" s="72">
        <v>91</v>
      </c>
      <c r="E114" s="72">
        <v>97</v>
      </c>
      <c r="F114" s="224">
        <v>54</v>
      </c>
      <c r="G114" s="72">
        <v>71</v>
      </c>
      <c r="H114" s="224">
        <v>73</v>
      </c>
      <c r="I114" s="224">
        <v>145</v>
      </c>
      <c r="J114" s="224">
        <v>101</v>
      </c>
      <c r="K114" s="224">
        <v>116</v>
      </c>
      <c r="L114" s="227">
        <v>100</v>
      </c>
    </row>
    <row r="115" spans="1:12" x14ac:dyDescent="0.15">
      <c r="A115" s="77" t="s">
        <v>283</v>
      </c>
      <c r="B115" s="226">
        <v>96.8</v>
      </c>
      <c r="C115" s="72">
        <v>90</v>
      </c>
      <c r="D115" s="72">
        <v>92</v>
      </c>
      <c r="E115" s="72">
        <v>97</v>
      </c>
      <c r="F115" s="224">
        <v>56</v>
      </c>
      <c r="G115" s="72">
        <v>74</v>
      </c>
      <c r="H115" s="224">
        <v>74</v>
      </c>
      <c r="I115" s="224">
        <v>144</v>
      </c>
      <c r="J115" s="224">
        <v>104</v>
      </c>
      <c r="K115" s="224">
        <v>118</v>
      </c>
      <c r="L115" s="227">
        <v>94</v>
      </c>
    </row>
    <row r="116" spans="1:12" x14ac:dyDescent="0.15">
      <c r="A116" s="77"/>
      <c r="B116" s="226"/>
      <c r="C116" s="72"/>
      <c r="D116" s="72"/>
      <c r="E116" s="72"/>
      <c r="F116" s="224"/>
      <c r="G116" s="72"/>
      <c r="H116" s="224"/>
      <c r="I116" s="224"/>
      <c r="J116" s="224"/>
      <c r="K116" s="224"/>
      <c r="L116" s="227"/>
    </row>
    <row r="117" spans="1:12" x14ac:dyDescent="0.15">
      <c r="A117" s="77" t="s">
        <v>123</v>
      </c>
      <c r="B117" s="226">
        <v>93.2</v>
      </c>
      <c r="C117" s="72">
        <v>84</v>
      </c>
      <c r="D117" s="72">
        <v>91</v>
      </c>
      <c r="E117" s="72">
        <v>94</v>
      </c>
      <c r="F117" s="224">
        <v>53</v>
      </c>
      <c r="G117" s="72">
        <v>70</v>
      </c>
      <c r="H117" s="224">
        <v>72</v>
      </c>
      <c r="I117" s="224">
        <v>145</v>
      </c>
      <c r="J117" s="224">
        <v>109</v>
      </c>
      <c r="K117" s="224">
        <v>115</v>
      </c>
      <c r="L117" s="227">
        <v>97</v>
      </c>
    </row>
    <row r="118" spans="1:12" x14ac:dyDescent="0.15">
      <c r="A118" s="77" t="s">
        <v>134</v>
      </c>
      <c r="B118" s="226">
        <v>100.9</v>
      </c>
      <c r="C118" s="72">
        <v>91</v>
      </c>
      <c r="D118" s="72">
        <v>96</v>
      </c>
      <c r="E118" s="72">
        <v>99</v>
      </c>
      <c r="F118" s="224">
        <v>63</v>
      </c>
      <c r="G118" s="72">
        <v>87</v>
      </c>
      <c r="H118" s="224">
        <v>85</v>
      </c>
      <c r="I118" s="224">
        <v>140</v>
      </c>
      <c r="J118" s="224">
        <v>112</v>
      </c>
      <c r="K118" s="224">
        <v>119</v>
      </c>
      <c r="L118" s="227">
        <v>93</v>
      </c>
    </row>
    <row r="119" spans="1:12" x14ac:dyDescent="0.15">
      <c r="A119" s="77" t="s">
        <v>92</v>
      </c>
      <c r="B119" s="226">
        <v>108.1</v>
      </c>
      <c r="C119" s="72">
        <v>92</v>
      </c>
      <c r="D119" s="72">
        <v>101</v>
      </c>
      <c r="E119" s="72">
        <v>103</v>
      </c>
      <c r="F119" s="224">
        <v>77</v>
      </c>
      <c r="G119" s="72">
        <v>103</v>
      </c>
      <c r="H119" s="224">
        <v>98</v>
      </c>
      <c r="I119" s="224">
        <v>131</v>
      </c>
      <c r="J119" s="224">
        <v>119</v>
      </c>
      <c r="K119" s="224">
        <v>122</v>
      </c>
      <c r="L119" s="227">
        <v>89</v>
      </c>
    </row>
    <row r="120" spans="1:12" x14ac:dyDescent="0.15">
      <c r="A120" s="251"/>
      <c r="B120" s="226"/>
      <c r="C120" s="72"/>
      <c r="D120" s="72"/>
      <c r="E120" s="72"/>
      <c r="F120" s="224"/>
      <c r="G120" s="72"/>
      <c r="H120" s="224"/>
      <c r="I120" s="224"/>
      <c r="J120" s="224"/>
      <c r="K120" s="224"/>
      <c r="L120" s="227"/>
    </row>
    <row r="121" spans="1:12" x14ac:dyDescent="0.15">
      <c r="A121" s="251" t="s">
        <v>93</v>
      </c>
      <c r="B121" s="226">
        <v>107.5</v>
      </c>
      <c r="C121" s="72">
        <v>94</v>
      </c>
      <c r="D121" s="72">
        <v>100</v>
      </c>
      <c r="E121" s="72">
        <v>99</v>
      </c>
      <c r="F121" s="224">
        <v>84</v>
      </c>
      <c r="G121" s="72">
        <v>101</v>
      </c>
      <c r="H121" s="224">
        <v>96</v>
      </c>
      <c r="I121" s="224">
        <v>135</v>
      </c>
      <c r="J121" s="224">
        <v>109</v>
      </c>
      <c r="K121" s="224">
        <v>123</v>
      </c>
      <c r="L121" s="227">
        <v>95</v>
      </c>
    </row>
    <row r="122" spans="1:12" x14ac:dyDescent="0.15">
      <c r="A122" s="262" t="s">
        <v>300</v>
      </c>
      <c r="B122" s="249">
        <v>110.4</v>
      </c>
      <c r="C122" s="250">
        <v>98</v>
      </c>
      <c r="D122" s="250">
        <v>100</v>
      </c>
      <c r="E122" s="250">
        <v>101</v>
      </c>
      <c r="F122" s="224">
        <v>92</v>
      </c>
      <c r="G122" s="250">
        <v>100</v>
      </c>
      <c r="H122" s="224">
        <v>95</v>
      </c>
      <c r="I122" s="224">
        <v>139</v>
      </c>
      <c r="J122" s="224">
        <v>111</v>
      </c>
      <c r="K122" s="224">
        <v>123</v>
      </c>
      <c r="L122" s="248">
        <v>94</v>
      </c>
    </row>
    <row r="123" spans="1:12" x14ac:dyDescent="0.15">
      <c r="A123" s="262" t="s">
        <v>95</v>
      </c>
      <c r="B123" s="249">
        <v>108.1</v>
      </c>
      <c r="C123" s="250">
        <v>96</v>
      </c>
      <c r="D123" s="250">
        <v>101</v>
      </c>
      <c r="E123" s="250">
        <v>100</v>
      </c>
      <c r="F123" s="224">
        <v>89</v>
      </c>
      <c r="G123" s="250">
        <v>95</v>
      </c>
      <c r="H123" s="224">
        <v>91</v>
      </c>
      <c r="I123" s="224">
        <v>142</v>
      </c>
      <c r="J123" s="224">
        <v>113</v>
      </c>
      <c r="K123" s="224">
        <v>124</v>
      </c>
      <c r="L123" s="248">
        <v>95</v>
      </c>
    </row>
    <row r="124" spans="1:12" x14ac:dyDescent="0.15">
      <c r="A124" s="258"/>
      <c r="B124" s="249"/>
      <c r="C124" s="250"/>
      <c r="D124" s="250"/>
      <c r="E124" s="250"/>
      <c r="F124" s="224"/>
      <c r="G124" s="250"/>
      <c r="H124" s="224"/>
      <c r="I124" s="224"/>
      <c r="J124" s="224"/>
      <c r="K124" s="224"/>
      <c r="L124" s="248"/>
    </row>
    <row r="125" spans="1:12" x14ac:dyDescent="0.15">
      <c r="A125" s="262" t="s">
        <v>307</v>
      </c>
      <c r="B125" s="249">
        <v>107.8</v>
      </c>
      <c r="C125" s="250">
        <v>96</v>
      </c>
      <c r="D125" s="250">
        <v>98</v>
      </c>
      <c r="E125" s="250">
        <v>99</v>
      </c>
      <c r="F125" s="224">
        <v>89</v>
      </c>
      <c r="G125" s="250">
        <v>94</v>
      </c>
      <c r="H125" s="224">
        <v>90</v>
      </c>
      <c r="I125" s="224">
        <v>144</v>
      </c>
      <c r="J125" s="224">
        <v>121</v>
      </c>
      <c r="K125" s="224">
        <v>122</v>
      </c>
      <c r="L125" s="248">
        <v>98</v>
      </c>
    </row>
    <row r="126" spans="1:12" x14ac:dyDescent="0.15">
      <c r="A126" s="262" t="s">
        <v>97</v>
      </c>
      <c r="B126" s="249">
        <v>110.3</v>
      </c>
      <c r="C126" s="250">
        <v>96</v>
      </c>
      <c r="D126" s="250">
        <v>101</v>
      </c>
      <c r="E126" s="250">
        <v>102</v>
      </c>
      <c r="F126" s="224">
        <v>95</v>
      </c>
      <c r="G126" s="250">
        <v>100</v>
      </c>
      <c r="H126" s="224">
        <v>95</v>
      </c>
      <c r="I126" s="224">
        <v>142</v>
      </c>
      <c r="J126" s="224">
        <v>117</v>
      </c>
      <c r="K126" s="224">
        <v>121</v>
      </c>
      <c r="L126" s="248">
        <v>100</v>
      </c>
    </row>
    <row r="127" spans="1:12" x14ac:dyDescent="0.15">
      <c r="A127" s="262" t="s">
        <v>314</v>
      </c>
      <c r="B127" s="249">
        <v>108.5</v>
      </c>
      <c r="C127" s="250">
        <v>96</v>
      </c>
      <c r="D127" s="250">
        <v>99</v>
      </c>
      <c r="E127" s="250">
        <v>101</v>
      </c>
      <c r="F127" s="224">
        <v>88</v>
      </c>
      <c r="G127" s="250">
        <v>93</v>
      </c>
      <c r="H127" s="224">
        <v>91</v>
      </c>
      <c r="I127" s="224">
        <v>146</v>
      </c>
      <c r="J127" s="224">
        <v>117</v>
      </c>
      <c r="K127" s="224">
        <v>122</v>
      </c>
      <c r="L127" s="248">
        <v>100</v>
      </c>
    </row>
    <row r="128" spans="1:12" x14ac:dyDescent="0.15">
      <c r="A128" s="262"/>
      <c r="B128" s="249"/>
      <c r="C128" s="250"/>
      <c r="D128" s="250"/>
      <c r="E128" s="250"/>
      <c r="F128" s="224"/>
      <c r="G128" s="250"/>
      <c r="H128" s="224"/>
      <c r="I128" s="224"/>
      <c r="J128" s="224"/>
      <c r="K128" s="224"/>
      <c r="L128" s="248"/>
    </row>
    <row r="129" spans="1:12" x14ac:dyDescent="0.15">
      <c r="A129" s="262" t="s">
        <v>318</v>
      </c>
      <c r="B129" s="249">
        <v>107.8</v>
      </c>
      <c r="C129" s="250">
        <v>95</v>
      </c>
      <c r="D129" s="250">
        <v>99</v>
      </c>
      <c r="E129" s="250">
        <v>100</v>
      </c>
      <c r="F129" s="224">
        <v>87</v>
      </c>
      <c r="G129" s="250">
        <v>96</v>
      </c>
      <c r="H129" s="224">
        <v>91</v>
      </c>
      <c r="I129" s="224">
        <v>143</v>
      </c>
      <c r="J129" s="224">
        <v>122</v>
      </c>
      <c r="K129" s="224">
        <v>126</v>
      </c>
      <c r="L129" s="248">
        <v>104</v>
      </c>
    </row>
    <row r="130" spans="1:12" x14ac:dyDescent="0.15">
      <c r="A130" s="258" t="s">
        <v>153</v>
      </c>
      <c r="B130" s="273">
        <f ca="1">IF($C130="","",[1]!BTSP(B$2,$C130))</f>
        <v>109.2</v>
      </c>
      <c r="C130" s="274">
        <f ca="1">IF($C130="","",[1]!BTSP(C$2,$C130))</f>
        <v>95</v>
      </c>
      <c r="D130" s="272">
        <f ca="1">IF($C130="","",[1]!BTSP(D$2,$C130))</f>
        <v>99</v>
      </c>
      <c r="E130" s="272">
        <f ca="1">IF($C130="","",[1]!BTSP(E$2,$C130))</f>
        <v>100</v>
      </c>
      <c r="F130" s="20">
        <f ca="1">IF($C130="","",[1]!BTSP(F$2,$C130))</f>
        <v>92</v>
      </c>
      <c r="G130" s="272">
        <f ca="1">IF($C130="","",[1]!BTSP(G$2,$C130))</f>
        <v>99</v>
      </c>
      <c r="H130" s="20">
        <f ca="1">IF($C130="","",[1]!BTSP(H$2,$C130))</f>
        <v>93</v>
      </c>
      <c r="I130" s="20">
        <f ca="1">IF($C130="","",[1]!BTSP(I$2,$C130))</f>
        <v>143</v>
      </c>
      <c r="J130" s="20">
        <f ca="1">IF($C130="","",[1]!BTSP(J$2,$C130))</f>
        <v>105</v>
      </c>
      <c r="K130" s="20">
        <f ca="1">IF($C130="","",[1]!BTSP(K$2,$C130))</f>
        <v>123</v>
      </c>
      <c r="L130" s="253">
        <f ca="1">IF($C130="","",[1]!BTSP(L$2,$C130))</f>
        <v>104</v>
      </c>
    </row>
    <row r="131" spans="1:12" x14ac:dyDescent="0.15">
      <c r="A131" s="258" t="s">
        <v>155</v>
      </c>
      <c r="B131" s="273">
        <f ca="1">IF($C131="","",[1]!BTSP(B$2,$C131))</f>
        <v>104.8</v>
      </c>
      <c r="C131" s="274">
        <f ca="1">IF($C131="","",[1]!BTSP(C$2,$C131))</f>
        <v>95</v>
      </c>
      <c r="D131" s="272">
        <f ca="1">IF($C131="","",[1]!BTSP(D$2,$C131))</f>
        <v>97</v>
      </c>
      <c r="E131" s="272">
        <f ca="1">IF($C131="","",[1]!BTSP(E$2,$C131))</f>
        <v>97</v>
      </c>
      <c r="F131" s="20">
        <f ca="1">IF($C131="","",[1]!BTSP(F$2,$C131))</f>
        <v>83</v>
      </c>
      <c r="G131" s="272">
        <f ca="1">IF($C131="","",[1]!BTSP(G$2,$C131))</f>
        <v>87</v>
      </c>
      <c r="H131" s="20">
        <f ca="1">IF($C131="","",[1]!BTSP(H$2,$C131))</f>
        <v>88</v>
      </c>
      <c r="I131" s="20">
        <f ca="1">IF($C131="","",[1]!BTSP(I$2,$C131))</f>
        <v>146</v>
      </c>
      <c r="J131" s="20">
        <f ca="1">IF($C131="","",[1]!BTSP(J$2,$C131))</f>
        <v>98</v>
      </c>
      <c r="K131" s="20">
        <f ca="1">IF($C131="","",[1]!BTSP(K$2,$C131))</f>
        <v>121</v>
      </c>
      <c r="L131" s="253">
        <f ca="1">IF($C131="","",[1]!BTSP(L$2,$C131))</f>
        <v>109</v>
      </c>
    </row>
    <row r="132" spans="1:12" x14ac:dyDescent="0.15">
      <c r="A132" s="262"/>
      <c r="B132" s="249"/>
      <c r="C132" s="250"/>
      <c r="D132" s="250"/>
      <c r="E132" s="250"/>
      <c r="F132" s="224"/>
      <c r="G132" s="250"/>
      <c r="H132" s="224"/>
      <c r="I132" s="224"/>
      <c r="J132" s="224"/>
      <c r="K132" s="224"/>
      <c r="L132" s="248"/>
    </row>
    <row r="133" spans="1:12" x14ac:dyDescent="0.15">
      <c r="A133" s="258" t="s">
        <v>123</v>
      </c>
      <c r="B133" s="273">
        <f ca="1">IF($C133="","",[1]!BTSP(B$2,$C133))</f>
        <v>99.3</v>
      </c>
      <c r="C133" s="274">
        <f ca="1">IF($C133="","",[1]!BTSP(C$2,$C133))</f>
        <v>89</v>
      </c>
      <c r="D133" s="272">
        <f ca="1">IF($C133="","",[1]!BTSP(D$2,$C133))</f>
        <v>94</v>
      </c>
      <c r="E133" s="272">
        <f ca="1">IF($C133="","",[1]!BTSP(E$2,$C133))</f>
        <v>97</v>
      </c>
      <c r="F133" s="20">
        <f ca="1">IF($C133="","",[1]!BTSP(F$2,$C133))</f>
        <v>68</v>
      </c>
      <c r="G133" s="272">
        <f ca="1">IF($C133="","",[1]!BTSP(G$2,$C133))</f>
        <v>77</v>
      </c>
      <c r="H133" s="20">
        <f ca="1">IF($C133="","",[1]!BTSP(H$2,$C133))</f>
        <v>82</v>
      </c>
      <c r="I133" s="20">
        <f ca="1">IF($C133="","",[1]!BTSP(I$2,$C133))</f>
        <v>152</v>
      </c>
      <c r="J133" s="20">
        <f ca="1">IF($C133="","",[1]!BTSP(J$2,$C133))</f>
        <v>103</v>
      </c>
      <c r="K133" s="20">
        <f ca="1">IF($C133="","",[1]!BTSP(K$2,$C133))</f>
        <v>119</v>
      </c>
      <c r="L133" s="253">
        <f ca="1">IF($C133="","",[1]!BTSP(L$2,$C133))</f>
        <v>115</v>
      </c>
    </row>
    <row r="134" spans="1:12" ht="26.25" customHeight="1" x14ac:dyDescent="0.15">
      <c r="A134" s="318" t="s">
        <v>229</v>
      </c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20"/>
    </row>
    <row r="136" spans="1:12" x14ac:dyDescent="0.15"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</row>
  </sheetData>
  <mergeCells count="1">
    <mergeCell ref="A134:L13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P135"/>
  <sheetViews>
    <sheetView view="pageBreakPreview" zoomScale="85" zoomScaleNormal="100" zoomScaleSheetLayoutView="85" workbookViewId="0">
      <pane xSplit="1" ySplit="4" topLeftCell="B95" activePane="bottomRight" state="frozen"/>
      <selection pane="topRight" activeCell="B1" sqref="B1"/>
      <selection pane="bottomLeft" activeCell="A5" sqref="A5"/>
      <selection pane="bottomRight" activeCell="A133" sqref="A133:K133"/>
    </sheetView>
  </sheetViews>
  <sheetFormatPr defaultRowHeight="13.5" x14ac:dyDescent="0.15"/>
  <cols>
    <col min="1" max="1" width="10.77734375" style="7" customWidth="1"/>
    <col min="2" max="11" width="7.77734375" style="7" customWidth="1"/>
    <col min="12" max="12" width="9.77734375" style="6" customWidth="1"/>
    <col min="13" max="16384" width="8.88671875" style="6"/>
  </cols>
  <sheetData>
    <row r="1" spans="1:16" ht="18.75" customHeight="1" x14ac:dyDescent="0.2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6" ht="13.5" customHeight="1" x14ac:dyDescent="0.15"/>
    <row r="3" spans="1:16" s="7" customFormat="1" ht="20.100000000000001" customHeight="1" x14ac:dyDescent="0.15">
      <c r="A3" s="323" t="s">
        <v>1</v>
      </c>
      <c r="B3" s="321" t="s">
        <v>65</v>
      </c>
      <c r="C3" s="84"/>
      <c r="D3" s="85"/>
      <c r="E3" s="85"/>
      <c r="F3" s="85"/>
      <c r="G3" s="85"/>
      <c r="H3" s="85"/>
      <c r="I3" s="85"/>
      <c r="J3" s="85"/>
      <c r="K3" s="85"/>
      <c r="L3" s="11"/>
      <c r="M3" s="2"/>
      <c r="N3" s="2"/>
      <c r="O3" s="2"/>
      <c r="P3" s="2"/>
    </row>
    <row r="4" spans="1:16" s="7" customFormat="1" ht="39.950000000000003" customHeight="1" x14ac:dyDescent="0.15">
      <c r="A4" s="323"/>
      <c r="B4" s="322"/>
      <c r="C4" s="86" t="s">
        <v>67</v>
      </c>
      <c r="D4" s="86" t="s">
        <v>68</v>
      </c>
      <c r="E4" s="86" t="s">
        <v>69</v>
      </c>
      <c r="F4" s="86" t="s">
        <v>70</v>
      </c>
      <c r="G4" s="86" t="s">
        <v>71</v>
      </c>
      <c r="H4" s="86" t="s">
        <v>41</v>
      </c>
      <c r="I4" s="86" t="s">
        <v>66</v>
      </c>
      <c r="J4" s="86" t="s">
        <v>39</v>
      </c>
      <c r="K4" s="87" t="s">
        <v>40</v>
      </c>
      <c r="L4" s="11"/>
      <c r="M4" s="2"/>
      <c r="N4" s="2"/>
      <c r="O4" s="2"/>
      <c r="P4" s="2"/>
    </row>
    <row r="5" spans="1:16" ht="13.5" customHeight="1" x14ac:dyDescent="0.15">
      <c r="A5" s="75" t="s">
        <v>111</v>
      </c>
      <c r="B5" s="21">
        <v>114</v>
      </c>
      <c r="C5" s="21">
        <v>97</v>
      </c>
      <c r="D5" s="21">
        <v>105</v>
      </c>
      <c r="E5" s="21">
        <v>95</v>
      </c>
      <c r="F5" s="21">
        <v>87</v>
      </c>
      <c r="G5" s="21">
        <v>118</v>
      </c>
      <c r="H5" s="21">
        <v>117</v>
      </c>
      <c r="I5" s="21">
        <v>95</v>
      </c>
      <c r="J5" s="21">
        <v>117</v>
      </c>
      <c r="K5" s="111" t="s">
        <v>102</v>
      </c>
      <c r="L5" s="7"/>
    </row>
    <row r="6" spans="1:16" ht="13.5" customHeight="1" x14ac:dyDescent="0.15">
      <c r="A6" s="75" t="s">
        <v>113</v>
      </c>
      <c r="B6" s="21">
        <v>115</v>
      </c>
      <c r="C6" s="21">
        <v>95</v>
      </c>
      <c r="D6" s="21">
        <v>111</v>
      </c>
      <c r="E6" s="21">
        <v>92</v>
      </c>
      <c r="F6" s="21">
        <v>89</v>
      </c>
      <c r="G6" s="21">
        <v>117</v>
      </c>
      <c r="H6" s="21">
        <v>120</v>
      </c>
      <c r="I6" s="21">
        <v>96</v>
      </c>
      <c r="J6" s="21">
        <v>119</v>
      </c>
      <c r="K6" s="111" t="s">
        <v>102</v>
      </c>
      <c r="L6" s="7"/>
    </row>
    <row r="7" spans="1:16" ht="13.5" customHeight="1" x14ac:dyDescent="0.15">
      <c r="A7" s="75"/>
      <c r="B7" s="21" t="s">
        <v>207</v>
      </c>
      <c r="C7" s="21" t="s">
        <v>207</v>
      </c>
      <c r="D7" s="21" t="s">
        <v>207</v>
      </c>
      <c r="E7" s="21" t="s">
        <v>207</v>
      </c>
      <c r="F7" s="21" t="s">
        <v>207</v>
      </c>
      <c r="G7" s="21" t="s">
        <v>207</v>
      </c>
      <c r="H7" s="21" t="s">
        <v>207</v>
      </c>
      <c r="I7" s="21" t="s">
        <v>207</v>
      </c>
      <c r="J7" s="21" t="s">
        <v>207</v>
      </c>
      <c r="K7" s="111"/>
      <c r="L7" s="7"/>
    </row>
    <row r="8" spans="1:16" ht="13.5" customHeight="1" x14ac:dyDescent="0.15">
      <c r="A8" s="75" t="s">
        <v>115</v>
      </c>
      <c r="B8" s="21">
        <v>106</v>
      </c>
      <c r="C8" s="21">
        <v>84</v>
      </c>
      <c r="D8" s="21">
        <v>101</v>
      </c>
      <c r="E8" s="21">
        <v>85</v>
      </c>
      <c r="F8" s="21">
        <v>79</v>
      </c>
      <c r="G8" s="21">
        <v>115</v>
      </c>
      <c r="H8" s="21">
        <v>119</v>
      </c>
      <c r="I8" s="21">
        <v>87</v>
      </c>
      <c r="J8" s="21">
        <v>117</v>
      </c>
      <c r="K8" s="111" t="s">
        <v>102</v>
      </c>
      <c r="L8" s="7"/>
    </row>
    <row r="9" spans="1:16" ht="13.5" customHeight="1" x14ac:dyDescent="0.15">
      <c r="A9" s="75" t="s">
        <v>117</v>
      </c>
      <c r="B9" s="21">
        <v>100</v>
      </c>
      <c r="C9" s="21">
        <v>79</v>
      </c>
      <c r="D9" s="21">
        <v>91</v>
      </c>
      <c r="E9" s="21">
        <v>88</v>
      </c>
      <c r="F9" s="21">
        <v>79</v>
      </c>
      <c r="G9" s="21">
        <v>109</v>
      </c>
      <c r="H9" s="21">
        <v>110</v>
      </c>
      <c r="I9" s="21">
        <v>89</v>
      </c>
      <c r="J9" s="21">
        <v>114</v>
      </c>
      <c r="K9" s="111" t="s">
        <v>102</v>
      </c>
      <c r="L9" s="7"/>
    </row>
    <row r="10" spans="1:16" ht="13.5" customHeight="1" x14ac:dyDescent="0.15">
      <c r="A10" s="75" t="s">
        <v>119</v>
      </c>
      <c r="B10" s="21">
        <v>108</v>
      </c>
      <c r="C10" s="21">
        <v>93</v>
      </c>
      <c r="D10" s="21">
        <v>100</v>
      </c>
      <c r="E10" s="21">
        <v>90</v>
      </c>
      <c r="F10" s="21">
        <v>87</v>
      </c>
      <c r="G10" s="21">
        <v>102</v>
      </c>
      <c r="H10" s="21">
        <v>110</v>
      </c>
      <c r="I10" s="21">
        <v>90</v>
      </c>
      <c r="J10" s="21">
        <v>107</v>
      </c>
      <c r="K10" s="83">
        <v>106</v>
      </c>
      <c r="L10" s="7"/>
    </row>
    <row r="11" spans="1:16" ht="13.5" customHeight="1" x14ac:dyDescent="0.15">
      <c r="A11" s="75" t="s">
        <v>121</v>
      </c>
      <c r="B11" s="21">
        <v>109</v>
      </c>
      <c r="C11" s="21">
        <v>90</v>
      </c>
      <c r="D11" s="21">
        <v>101</v>
      </c>
      <c r="E11" s="21">
        <v>90</v>
      </c>
      <c r="F11" s="21">
        <v>88</v>
      </c>
      <c r="G11" s="21">
        <v>106</v>
      </c>
      <c r="H11" s="21">
        <v>112</v>
      </c>
      <c r="I11" s="21">
        <v>93</v>
      </c>
      <c r="J11" s="21">
        <v>108</v>
      </c>
      <c r="K11" s="83">
        <v>104</v>
      </c>
      <c r="L11" s="7"/>
    </row>
    <row r="12" spans="1:16" s="7" customFormat="1" ht="13.5" customHeight="1" x14ac:dyDescent="0.15">
      <c r="A12" s="75" t="s">
        <v>132</v>
      </c>
      <c r="B12" s="21">
        <v>107</v>
      </c>
      <c r="C12" s="21">
        <v>90</v>
      </c>
      <c r="D12" s="21">
        <v>101</v>
      </c>
      <c r="E12" s="21">
        <v>94</v>
      </c>
      <c r="F12" s="21">
        <v>87</v>
      </c>
      <c r="G12" s="21">
        <v>108</v>
      </c>
      <c r="H12" s="21">
        <v>111</v>
      </c>
      <c r="I12" s="21">
        <v>90</v>
      </c>
      <c r="J12" s="21">
        <v>110</v>
      </c>
      <c r="K12" s="83">
        <v>106</v>
      </c>
      <c r="L12" s="11"/>
      <c r="M12" s="2"/>
      <c r="N12" s="2"/>
      <c r="O12" s="2"/>
      <c r="P12" s="2"/>
    </row>
    <row r="13" spans="1:16" s="7" customFormat="1" ht="13.5" customHeight="1" x14ac:dyDescent="0.15">
      <c r="A13" s="77"/>
      <c r="B13" s="21" t="s">
        <v>207</v>
      </c>
      <c r="C13" s="21" t="s">
        <v>207</v>
      </c>
      <c r="D13" s="21" t="s">
        <v>207</v>
      </c>
      <c r="E13" s="21" t="s">
        <v>207</v>
      </c>
      <c r="F13" s="21" t="s">
        <v>207</v>
      </c>
      <c r="G13" s="21" t="s">
        <v>207</v>
      </c>
      <c r="H13" s="21" t="s">
        <v>207</v>
      </c>
      <c r="I13" s="21" t="s">
        <v>207</v>
      </c>
      <c r="J13" s="21" t="s">
        <v>207</v>
      </c>
      <c r="K13" s="83" t="s">
        <v>207</v>
      </c>
      <c r="L13" s="11"/>
      <c r="M13" s="2"/>
      <c r="N13" s="2"/>
      <c r="O13" s="2"/>
      <c r="P13" s="2"/>
    </row>
    <row r="14" spans="1:16" s="7" customFormat="1" ht="12.75" customHeight="1" x14ac:dyDescent="0.15">
      <c r="A14" s="77" t="s">
        <v>183</v>
      </c>
      <c r="B14" s="21">
        <v>108</v>
      </c>
      <c r="C14" s="21">
        <v>91</v>
      </c>
      <c r="D14" s="21">
        <v>101</v>
      </c>
      <c r="E14" s="21">
        <v>93</v>
      </c>
      <c r="F14" s="21">
        <v>90</v>
      </c>
      <c r="G14" s="21">
        <v>105</v>
      </c>
      <c r="H14" s="21">
        <v>115</v>
      </c>
      <c r="I14" s="21">
        <v>90</v>
      </c>
      <c r="J14" s="21">
        <v>111</v>
      </c>
      <c r="K14" s="83">
        <v>106</v>
      </c>
      <c r="L14" s="11"/>
      <c r="M14" s="2"/>
      <c r="N14" s="2"/>
      <c r="O14" s="2"/>
      <c r="P14" s="2"/>
    </row>
    <row r="15" spans="1:16" s="7" customFormat="1" ht="13.5" customHeight="1" x14ac:dyDescent="0.15">
      <c r="A15" s="77" t="s">
        <v>201</v>
      </c>
      <c r="B15" s="21">
        <v>111</v>
      </c>
      <c r="C15" s="21">
        <v>95</v>
      </c>
      <c r="D15" s="21">
        <v>102</v>
      </c>
      <c r="E15" s="21">
        <v>89</v>
      </c>
      <c r="F15" s="21">
        <v>92</v>
      </c>
      <c r="G15" s="21">
        <v>108</v>
      </c>
      <c r="H15" s="21">
        <v>114</v>
      </c>
      <c r="I15" s="21">
        <v>93</v>
      </c>
      <c r="J15" s="21">
        <v>108</v>
      </c>
      <c r="K15" s="83">
        <v>105</v>
      </c>
      <c r="L15" s="11"/>
      <c r="M15" s="2"/>
      <c r="N15" s="2"/>
      <c r="O15" s="2"/>
      <c r="P15" s="2"/>
    </row>
    <row r="16" spans="1:16" s="7" customFormat="1" ht="13.5" customHeight="1" x14ac:dyDescent="0.15">
      <c r="A16" s="77" t="s">
        <v>205</v>
      </c>
      <c r="B16" s="21">
        <v>105</v>
      </c>
      <c r="C16" s="21">
        <v>91</v>
      </c>
      <c r="D16" s="21">
        <v>94</v>
      </c>
      <c r="E16" s="21">
        <v>86</v>
      </c>
      <c r="F16" s="21">
        <v>86</v>
      </c>
      <c r="G16" s="21">
        <v>97</v>
      </c>
      <c r="H16" s="21">
        <v>109</v>
      </c>
      <c r="I16" s="21">
        <v>86</v>
      </c>
      <c r="J16" s="21">
        <v>105</v>
      </c>
      <c r="K16" s="83">
        <v>103</v>
      </c>
      <c r="L16" s="11"/>
      <c r="M16" s="2"/>
      <c r="N16" s="2"/>
      <c r="O16" s="2"/>
      <c r="P16" s="2"/>
    </row>
    <row r="17" spans="1:16" s="7" customFormat="1" ht="13.5" customHeight="1" x14ac:dyDescent="0.15">
      <c r="A17" s="133"/>
      <c r="B17" s="21"/>
      <c r="C17" s="21"/>
      <c r="D17" s="21"/>
      <c r="E17" s="21"/>
      <c r="F17" s="21"/>
      <c r="G17" s="21"/>
      <c r="H17" s="21"/>
      <c r="I17" s="21"/>
      <c r="J17" s="21"/>
      <c r="K17" s="83"/>
      <c r="L17" s="11"/>
      <c r="M17" s="2"/>
      <c r="N17" s="2"/>
      <c r="O17" s="2"/>
      <c r="P17" s="2"/>
    </row>
    <row r="18" spans="1:16" s="7" customFormat="1" ht="13.5" customHeight="1" x14ac:dyDescent="0.15">
      <c r="A18" s="133" t="s">
        <v>148</v>
      </c>
      <c r="B18" s="21">
        <v>108</v>
      </c>
      <c r="C18" s="21">
        <v>92</v>
      </c>
      <c r="D18" s="21">
        <v>96</v>
      </c>
      <c r="E18" s="21">
        <v>88</v>
      </c>
      <c r="F18" s="21">
        <v>86</v>
      </c>
      <c r="G18" s="21">
        <v>101</v>
      </c>
      <c r="H18" s="21">
        <v>111</v>
      </c>
      <c r="I18" s="21">
        <v>88</v>
      </c>
      <c r="J18" s="21">
        <v>106</v>
      </c>
      <c r="K18" s="83">
        <v>103</v>
      </c>
      <c r="L18" s="11"/>
      <c r="M18" s="2"/>
      <c r="N18" s="2"/>
      <c r="O18" s="2"/>
      <c r="P18" s="2"/>
    </row>
    <row r="19" spans="1:16" s="7" customFormat="1" ht="13.5" customHeight="1" x14ac:dyDescent="0.15">
      <c r="A19" s="133" t="s">
        <v>21</v>
      </c>
      <c r="B19" s="21">
        <v>107</v>
      </c>
      <c r="C19" s="21">
        <v>91</v>
      </c>
      <c r="D19" s="21">
        <v>93</v>
      </c>
      <c r="E19" s="21">
        <v>84</v>
      </c>
      <c r="F19" s="21">
        <v>86</v>
      </c>
      <c r="G19" s="21">
        <v>98</v>
      </c>
      <c r="H19" s="21">
        <v>111</v>
      </c>
      <c r="I19" s="21">
        <v>88</v>
      </c>
      <c r="J19" s="21">
        <v>106</v>
      </c>
      <c r="K19" s="83">
        <v>103</v>
      </c>
      <c r="L19" s="11"/>
      <c r="M19" s="2"/>
      <c r="N19" s="2"/>
      <c r="O19" s="2"/>
      <c r="P19" s="2"/>
    </row>
    <row r="20" spans="1:16" s="7" customFormat="1" ht="13.5" customHeight="1" x14ac:dyDescent="0.15">
      <c r="A20" s="133" t="s">
        <v>89</v>
      </c>
      <c r="B20" s="21">
        <v>104</v>
      </c>
      <c r="C20" s="21">
        <v>92</v>
      </c>
      <c r="D20" s="21">
        <v>94</v>
      </c>
      <c r="E20" s="21">
        <v>86</v>
      </c>
      <c r="F20" s="21">
        <v>85</v>
      </c>
      <c r="G20" s="21">
        <v>100</v>
      </c>
      <c r="H20" s="21">
        <v>111</v>
      </c>
      <c r="I20" s="21">
        <v>87</v>
      </c>
      <c r="J20" s="21">
        <v>107</v>
      </c>
      <c r="K20" s="83">
        <v>103</v>
      </c>
      <c r="L20" s="11"/>
      <c r="M20" s="2"/>
      <c r="N20" s="2"/>
      <c r="O20" s="2"/>
      <c r="P20" s="2"/>
    </row>
    <row r="21" spans="1:16" s="7" customFormat="1" ht="13.5" customHeight="1" x14ac:dyDescent="0.15">
      <c r="A21" s="133"/>
      <c r="B21" s="21" t="s">
        <v>207</v>
      </c>
      <c r="C21" s="21" t="s">
        <v>207</v>
      </c>
      <c r="D21" s="21" t="s">
        <v>207</v>
      </c>
      <c r="E21" s="21" t="s">
        <v>207</v>
      </c>
      <c r="F21" s="21" t="s">
        <v>207</v>
      </c>
      <c r="G21" s="21" t="s">
        <v>207</v>
      </c>
      <c r="H21" s="21" t="s">
        <v>207</v>
      </c>
      <c r="I21" s="21" t="s">
        <v>207</v>
      </c>
      <c r="J21" s="21" t="s">
        <v>207</v>
      </c>
      <c r="K21" s="83" t="s">
        <v>207</v>
      </c>
      <c r="L21" s="11"/>
      <c r="M21" s="2"/>
      <c r="N21" s="2"/>
      <c r="O21" s="2"/>
      <c r="P21" s="2"/>
    </row>
    <row r="22" spans="1:16" s="7" customFormat="1" ht="13.5" customHeight="1" x14ac:dyDescent="0.15">
      <c r="A22" s="133" t="s">
        <v>90</v>
      </c>
      <c r="B22" s="21">
        <v>106</v>
      </c>
      <c r="C22" s="21">
        <v>93</v>
      </c>
      <c r="D22" s="21">
        <v>95</v>
      </c>
      <c r="E22" s="21">
        <v>87</v>
      </c>
      <c r="F22" s="21">
        <v>89</v>
      </c>
      <c r="G22" s="21">
        <v>97</v>
      </c>
      <c r="H22" s="21">
        <v>112</v>
      </c>
      <c r="I22" s="21">
        <v>89</v>
      </c>
      <c r="J22" s="21">
        <v>107</v>
      </c>
      <c r="K22" s="83">
        <v>103</v>
      </c>
      <c r="L22" s="11"/>
      <c r="M22" s="2"/>
      <c r="N22" s="2"/>
      <c r="O22" s="2"/>
      <c r="P22" s="2"/>
    </row>
    <row r="23" spans="1:16" s="7" customFormat="1" ht="13.5" customHeight="1" x14ac:dyDescent="0.15">
      <c r="A23" s="133" t="s">
        <v>91</v>
      </c>
      <c r="B23" s="21">
        <v>106</v>
      </c>
      <c r="C23" s="21">
        <v>92</v>
      </c>
      <c r="D23" s="21">
        <v>95</v>
      </c>
      <c r="E23" s="21">
        <v>87</v>
      </c>
      <c r="F23" s="21">
        <v>87</v>
      </c>
      <c r="G23" s="21">
        <v>97</v>
      </c>
      <c r="H23" s="21">
        <v>110</v>
      </c>
      <c r="I23" s="21">
        <v>88</v>
      </c>
      <c r="J23" s="21">
        <v>108</v>
      </c>
      <c r="K23" s="83">
        <v>102</v>
      </c>
      <c r="L23" s="11"/>
      <c r="M23" s="2"/>
      <c r="N23" s="2"/>
      <c r="O23" s="2"/>
      <c r="P23" s="2"/>
    </row>
    <row r="24" spans="1:16" s="7" customFormat="1" ht="13.5" customHeight="1" x14ac:dyDescent="0.15">
      <c r="A24" s="133" t="s">
        <v>92</v>
      </c>
      <c r="B24" s="21">
        <v>107</v>
      </c>
      <c r="C24" s="21">
        <v>91</v>
      </c>
      <c r="D24" s="21">
        <v>94</v>
      </c>
      <c r="E24" s="21">
        <v>87</v>
      </c>
      <c r="F24" s="21">
        <v>87</v>
      </c>
      <c r="G24" s="21">
        <v>99</v>
      </c>
      <c r="H24" s="21">
        <v>112</v>
      </c>
      <c r="I24" s="21">
        <v>88</v>
      </c>
      <c r="J24" s="21">
        <v>106</v>
      </c>
      <c r="K24" s="83">
        <v>104</v>
      </c>
      <c r="L24" s="11"/>
      <c r="M24" s="2"/>
      <c r="N24" s="2"/>
      <c r="O24" s="2"/>
      <c r="P24" s="2"/>
    </row>
    <row r="25" spans="1:16" s="7" customFormat="1" ht="13.5" customHeight="1" x14ac:dyDescent="0.15">
      <c r="A25" s="133"/>
      <c r="B25" s="21" t="s">
        <v>207</v>
      </c>
      <c r="C25" s="21" t="s">
        <v>207</v>
      </c>
      <c r="D25" s="21" t="s">
        <v>207</v>
      </c>
      <c r="E25" s="21" t="s">
        <v>207</v>
      </c>
      <c r="F25" s="21" t="s">
        <v>207</v>
      </c>
      <c r="G25" s="21" t="s">
        <v>207</v>
      </c>
      <c r="H25" s="21" t="s">
        <v>207</v>
      </c>
      <c r="I25" s="21" t="s">
        <v>207</v>
      </c>
      <c r="J25" s="21" t="s">
        <v>207</v>
      </c>
      <c r="K25" s="83" t="s">
        <v>207</v>
      </c>
      <c r="L25" s="11"/>
      <c r="M25" s="2"/>
      <c r="N25" s="2"/>
      <c r="O25" s="2"/>
      <c r="P25" s="2"/>
    </row>
    <row r="26" spans="1:16" s="7" customFormat="1" ht="13.5" customHeight="1" x14ac:dyDescent="0.15">
      <c r="A26" s="133" t="s">
        <v>93</v>
      </c>
      <c r="B26" s="21">
        <v>105</v>
      </c>
      <c r="C26" s="21">
        <v>90</v>
      </c>
      <c r="D26" s="21">
        <v>94</v>
      </c>
      <c r="E26" s="21">
        <v>88</v>
      </c>
      <c r="F26" s="21">
        <v>89</v>
      </c>
      <c r="G26" s="21">
        <v>99</v>
      </c>
      <c r="H26" s="21">
        <v>110</v>
      </c>
      <c r="I26" s="21">
        <v>88</v>
      </c>
      <c r="J26" s="21">
        <v>105</v>
      </c>
      <c r="K26" s="83">
        <v>103</v>
      </c>
      <c r="L26" s="11"/>
      <c r="M26" s="2"/>
      <c r="N26" s="2"/>
      <c r="O26" s="2"/>
      <c r="P26" s="2"/>
    </row>
    <row r="27" spans="1:16" s="7" customFormat="1" ht="13.5" customHeight="1" x14ac:dyDescent="0.15">
      <c r="A27" s="133" t="s">
        <v>94</v>
      </c>
      <c r="B27" s="21">
        <v>105</v>
      </c>
      <c r="C27" s="21">
        <v>91</v>
      </c>
      <c r="D27" s="21">
        <v>92</v>
      </c>
      <c r="E27" s="21">
        <v>83</v>
      </c>
      <c r="F27" s="21">
        <v>83</v>
      </c>
      <c r="G27" s="21">
        <v>97</v>
      </c>
      <c r="H27" s="21">
        <v>110</v>
      </c>
      <c r="I27" s="21">
        <v>85</v>
      </c>
      <c r="J27" s="21">
        <v>103</v>
      </c>
      <c r="K27" s="83">
        <v>104</v>
      </c>
      <c r="L27" s="11"/>
      <c r="M27" s="2"/>
      <c r="N27" s="2"/>
      <c r="O27" s="2"/>
      <c r="P27" s="2"/>
    </row>
    <row r="28" spans="1:16" s="7" customFormat="1" ht="13.5" customHeight="1" x14ac:dyDescent="0.15">
      <c r="A28" s="133" t="s">
        <v>95</v>
      </c>
      <c r="B28" s="21">
        <v>106</v>
      </c>
      <c r="C28" s="21">
        <v>90</v>
      </c>
      <c r="D28" s="21">
        <v>94</v>
      </c>
      <c r="E28" s="21">
        <v>86</v>
      </c>
      <c r="F28" s="21">
        <v>86</v>
      </c>
      <c r="G28" s="21">
        <v>99</v>
      </c>
      <c r="H28" s="21">
        <v>110</v>
      </c>
      <c r="I28" s="21">
        <v>87</v>
      </c>
      <c r="J28" s="21">
        <v>105</v>
      </c>
      <c r="K28" s="83">
        <v>102</v>
      </c>
      <c r="L28" s="11"/>
      <c r="M28" s="2"/>
      <c r="N28" s="2"/>
      <c r="O28" s="2"/>
      <c r="P28" s="2"/>
    </row>
    <row r="29" spans="1:16" s="7" customFormat="1" ht="13.5" customHeight="1" x14ac:dyDescent="0.15">
      <c r="A29" s="133"/>
      <c r="B29" s="21" t="s">
        <v>207</v>
      </c>
      <c r="C29" s="21" t="s">
        <v>207</v>
      </c>
      <c r="D29" s="21" t="s">
        <v>207</v>
      </c>
      <c r="E29" s="21" t="s">
        <v>207</v>
      </c>
      <c r="F29" s="21" t="s">
        <v>207</v>
      </c>
      <c r="G29" s="21" t="s">
        <v>207</v>
      </c>
      <c r="H29" s="21" t="s">
        <v>207</v>
      </c>
      <c r="I29" s="21" t="s">
        <v>207</v>
      </c>
      <c r="J29" s="21" t="s">
        <v>207</v>
      </c>
      <c r="K29" s="83" t="s">
        <v>207</v>
      </c>
      <c r="L29" s="11"/>
      <c r="M29" s="2"/>
      <c r="N29" s="2"/>
      <c r="O29" s="2"/>
      <c r="P29" s="2"/>
    </row>
    <row r="30" spans="1:16" s="7" customFormat="1" ht="13.5" customHeight="1" x14ac:dyDescent="0.15">
      <c r="A30" s="133" t="s">
        <v>96</v>
      </c>
      <c r="B30" s="21">
        <v>109</v>
      </c>
      <c r="C30" s="21">
        <v>94</v>
      </c>
      <c r="D30" s="21">
        <v>95</v>
      </c>
      <c r="E30" s="21">
        <v>87</v>
      </c>
      <c r="F30" s="21">
        <v>86</v>
      </c>
      <c r="G30" s="21">
        <v>99</v>
      </c>
      <c r="H30" s="21">
        <v>112</v>
      </c>
      <c r="I30" s="21">
        <v>86</v>
      </c>
      <c r="J30" s="21">
        <v>105</v>
      </c>
      <c r="K30" s="83">
        <v>105</v>
      </c>
      <c r="L30" s="11"/>
      <c r="M30" s="2"/>
      <c r="N30" s="2"/>
      <c r="O30" s="2"/>
      <c r="P30" s="2"/>
    </row>
    <row r="31" spans="1:16" s="7" customFormat="1" ht="13.5" customHeight="1" x14ac:dyDescent="0.15">
      <c r="A31" s="133" t="s">
        <v>97</v>
      </c>
      <c r="B31" s="21">
        <v>106</v>
      </c>
      <c r="C31" s="21">
        <v>92</v>
      </c>
      <c r="D31" s="21">
        <v>95</v>
      </c>
      <c r="E31" s="21">
        <v>86</v>
      </c>
      <c r="F31" s="21">
        <v>88</v>
      </c>
      <c r="G31" s="21">
        <v>99</v>
      </c>
      <c r="H31" s="21">
        <v>112</v>
      </c>
      <c r="I31" s="21">
        <v>86</v>
      </c>
      <c r="J31" s="21">
        <v>105</v>
      </c>
      <c r="K31" s="83">
        <v>104</v>
      </c>
      <c r="L31" s="11"/>
      <c r="M31" s="2"/>
      <c r="N31" s="2"/>
      <c r="O31" s="2"/>
      <c r="P31" s="2"/>
    </row>
    <row r="32" spans="1:16" s="7" customFormat="1" ht="13.5" customHeight="1" x14ac:dyDescent="0.15">
      <c r="A32" s="133" t="s">
        <v>98</v>
      </c>
      <c r="B32" s="21">
        <v>108</v>
      </c>
      <c r="C32" s="21">
        <v>95</v>
      </c>
      <c r="D32" s="21">
        <v>94</v>
      </c>
      <c r="E32" s="21">
        <v>87</v>
      </c>
      <c r="F32" s="21">
        <v>89</v>
      </c>
      <c r="G32" s="21">
        <v>100</v>
      </c>
      <c r="H32" s="21">
        <v>110</v>
      </c>
      <c r="I32" s="21">
        <v>89</v>
      </c>
      <c r="J32" s="21">
        <v>105</v>
      </c>
      <c r="K32" s="83">
        <v>103</v>
      </c>
      <c r="L32" s="11"/>
      <c r="M32" s="2"/>
      <c r="N32" s="2"/>
      <c r="O32" s="2"/>
      <c r="P32" s="2"/>
    </row>
    <row r="33" spans="1:16" s="7" customFormat="1" ht="13.5" customHeight="1" x14ac:dyDescent="0.15">
      <c r="A33" s="133"/>
      <c r="B33" s="21" t="s">
        <v>207</v>
      </c>
      <c r="C33" s="21" t="s">
        <v>207</v>
      </c>
      <c r="D33" s="21" t="s">
        <v>207</v>
      </c>
      <c r="E33" s="21" t="s">
        <v>207</v>
      </c>
      <c r="F33" s="21" t="s">
        <v>207</v>
      </c>
      <c r="G33" s="21" t="s">
        <v>207</v>
      </c>
      <c r="H33" s="21" t="s">
        <v>207</v>
      </c>
      <c r="I33" s="21" t="s">
        <v>207</v>
      </c>
      <c r="J33" s="21" t="s">
        <v>207</v>
      </c>
      <c r="K33" s="83" t="s">
        <v>207</v>
      </c>
      <c r="L33" s="11"/>
      <c r="M33" s="2"/>
      <c r="N33" s="2"/>
      <c r="O33" s="2"/>
      <c r="P33" s="2"/>
    </row>
    <row r="34" spans="1:16" s="7" customFormat="1" ht="13.5" customHeight="1" x14ac:dyDescent="0.15">
      <c r="A34" s="133" t="s">
        <v>164</v>
      </c>
      <c r="B34" s="21">
        <v>110</v>
      </c>
      <c r="C34" s="21">
        <v>93</v>
      </c>
      <c r="D34" s="21">
        <v>92</v>
      </c>
      <c r="E34" s="21">
        <v>87</v>
      </c>
      <c r="F34" s="21">
        <v>90</v>
      </c>
      <c r="G34" s="21">
        <v>104</v>
      </c>
      <c r="H34" s="21">
        <v>112</v>
      </c>
      <c r="I34" s="21">
        <v>88</v>
      </c>
      <c r="J34" s="21">
        <v>106</v>
      </c>
      <c r="K34" s="83">
        <v>105</v>
      </c>
      <c r="L34" s="11"/>
      <c r="M34" s="2"/>
      <c r="N34" s="2"/>
      <c r="O34" s="2"/>
      <c r="P34" s="2"/>
    </row>
    <row r="35" spans="1:16" s="7" customFormat="1" ht="13.5" customHeight="1" x14ac:dyDescent="0.15">
      <c r="A35" s="133" t="s">
        <v>21</v>
      </c>
      <c r="B35" s="21">
        <v>105</v>
      </c>
      <c r="C35" s="21">
        <v>92</v>
      </c>
      <c r="D35" s="21">
        <v>91</v>
      </c>
      <c r="E35" s="21">
        <v>85</v>
      </c>
      <c r="F35" s="21">
        <v>80</v>
      </c>
      <c r="G35" s="21">
        <v>101</v>
      </c>
      <c r="H35" s="21">
        <v>110</v>
      </c>
      <c r="I35" s="21">
        <v>85</v>
      </c>
      <c r="J35" s="21">
        <v>104</v>
      </c>
      <c r="K35" s="83">
        <v>101</v>
      </c>
      <c r="L35" s="11"/>
      <c r="M35" s="2"/>
      <c r="N35" s="2"/>
      <c r="O35" s="2"/>
      <c r="P35" s="2"/>
    </row>
    <row r="36" spans="1:16" s="7" customFormat="1" ht="13.5" customHeight="1" x14ac:dyDescent="0.15">
      <c r="A36" s="133" t="s">
        <v>89</v>
      </c>
      <c r="B36" s="21">
        <v>92</v>
      </c>
      <c r="C36" s="21">
        <v>82</v>
      </c>
      <c r="D36" s="21">
        <v>83</v>
      </c>
      <c r="E36" s="21">
        <v>76</v>
      </c>
      <c r="F36" s="21">
        <v>64</v>
      </c>
      <c r="G36" s="21">
        <v>94</v>
      </c>
      <c r="H36" s="21">
        <v>109</v>
      </c>
      <c r="I36" s="21">
        <v>75</v>
      </c>
      <c r="J36" s="21">
        <v>97</v>
      </c>
      <c r="K36" s="83">
        <v>100</v>
      </c>
      <c r="L36" s="11"/>
      <c r="M36" s="2"/>
      <c r="N36" s="2"/>
      <c r="O36" s="2"/>
      <c r="P36" s="2"/>
    </row>
    <row r="37" spans="1:16" s="7" customFormat="1" ht="13.5" customHeight="1" x14ac:dyDescent="0.15">
      <c r="A37" s="133"/>
      <c r="B37" s="21" t="s">
        <v>207</v>
      </c>
      <c r="C37" s="21" t="s">
        <v>207</v>
      </c>
      <c r="D37" s="21" t="s">
        <v>207</v>
      </c>
      <c r="E37" s="21" t="s">
        <v>207</v>
      </c>
      <c r="F37" s="21" t="s">
        <v>207</v>
      </c>
      <c r="G37" s="21" t="s">
        <v>207</v>
      </c>
      <c r="H37" s="21" t="s">
        <v>207</v>
      </c>
      <c r="I37" s="21" t="s">
        <v>207</v>
      </c>
      <c r="J37" s="21" t="s">
        <v>207</v>
      </c>
      <c r="K37" s="83" t="s">
        <v>207</v>
      </c>
      <c r="L37" s="11"/>
      <c r="M37" s="2"/>
      <c r="N37" s="2"/>
      <c r="O37" s="2"/>
      <c r="P37" s="2"/>
    </row>
    <row r="38" spans="1:16" s="7" customFormat="1" ht="13.5" customHeight="1" x14ac:dyDescent="0.15">
      <c r="A38" s="133" t="s">
        <v>90</v>
      </c>
      <c r="B38" s="21">
        <v>89</v>
      </c>
      <c r="C38" s="21">
        <v>82</v>
      </c>
      <c r="D38" s="21">
        <v>83</v>
      </c>
      <c r="E38" s="21">
        <v>76</v>
      </c>
      <c r="F38" s="21">
        <v>62</v>
      </c>
      <c r="G38" s="21">
        <v>92</v>
      </c>
      <c r="H38" s="21">
        <v>104</v>
      </c>
      <c r="I38" s="21">
        <v>74</v>
      </c>
      <c r="J38" s="21">
        <v>95</v>
      </c>
      <c r="K38" s="83">
        <v>98</v>
      </c>
      <c r="L38" s="11"/>
      <c r="M38" s="2"/>
      <c r="N38" s="2"/>
      <c r="O38" s="2"/>
      <c r="P38" s="2"/>
    </row>
    <row r="39" spans="1:16" s="7" customFormat="1" ht="13.5" customHeight="1" x14ac:dyDescent="0.15">
      <c r="A39" s="133" t="s">
        <v>91</v>
      </c>
      <c r="B39" s="21">
        <v>92</v>
      </c>
      <c r="C39" s="21">
        <v>83</v>
      </c>
      <c r="D39" s="21">
        <v>86</v>
      </c>
      <c r="E39" s="21">
        <v>80</v>
      </c>
      <c r="F39" s="21">
        <v>66</v>
      </c>
      <c r="G39" s="21">
        <v>95</v>
      </c>
      <c r="H39" s="21">
        <v>107</v>
      </c>
      <c r="I39" s="21">
        <v>75</v>
      </c>
      <c r="J39" s="21">
        <v>96</v>
      </c>
      <c r="K39" s="83">
        <v>98</v>
      </c>
      <c r="L39" s="11"/>
      <c r="M39" s="2"/>
      <c r="N39" s="2"/>
      <c r="O39" s="2"/>
      <c r="P39" s="2"/>
    </row>
    <row r="40" spans="1:16" s="7" customFormat="1" ht="13.5" customHeight="1" x14ac:dyDescent="0.15">
      <c r="A40" s="133" t="s">
        <v>92</v>
      </c>
      <c r="B40" s="21">
        <v>94</v>
      </c>
      <c r="C40" s="21">
        <v>83</v>
      </c>
      <c r="D40" s="21">
        <v>85</v>
      </c>
      <c r="E40" s="21">
        <v>79</v>
      </c>
      <c r="F40" s="21">
        <v>65</v>
      </c>
      <c r="G40" s="21">
        <v>96</v>
      </c>
      <c r="H40" s="21">
        <v>110</v>
      </c>
      <c r="I40" s="21">
        <v>75</v>
      </c>
      <c r="J40" s="21">
        <v>100</v>
      </c>
      <c r="K40" s="83">
        <v>99</v>
      </c>
      <c r="L40" s="11"/>
      <c r="M40" s="2"/>
      <c r="N40" s="2"/>
      <c r="O40" s="2"/>
      <c r="P40" s="2"/>
    </row>
    <row r="41" spans="1:16" s="7" customFormat="1" ht="13.5" customHeight="1" x14ac:dyDescent="0.15">
      <c r="A41" s="133"/>
      <c r="B41" s="21" t="s">
        <v>207</v>
      </c>
      <c r="C41" s="21" t="s">
        <v>207</v>
      </c>
      <c r="D41" s="21" t="s">
        <v>207</v>
      </c>
      <c r="E41" s="21" t="s">
        <v>207</v>
      </c>
      <c r="F41" s="21" t="s">
        <v>207</v>
      </c>
      <c r="G41" s="21" t="s">
        <v>207</v>
      </c>
      <c r="H41" s="21" t="s">
        <v>207</v>
      </c>
      <c r="I41" s="21" t="s">
        <v>207</v>
      </c>
      <c r="J41" s="21" t="s">
        <v>207</v>
      </c>
      <c r="K41" s="83" t="s">
        <v>207</v>
      </c>
      <c r="L41" s="11"/>
      <c r="M41" s="2"/>
      <c r="N41" s="2"/>
      <c r="O41" s="2"/>
      <c r="P41" s="2"/>
    </row>
    <row r="42" spans="1:16" s="7" customFormat="1" ht="13.5" customHeight="1" x14ac:dyDescent="0.15">
      <c r="A42" s="133" t="s">
        <v>93</v>
      </c>
      <c r="B42" s="21">
        <v>95</v>
      </c>
      <c r="C42" s="21">
        <v>83</v>
      </c>
      <c r="D42" s="21">
        <v>85</v>
      </c>
      <c r="E42" s="21">
        <v>79</v>
      </c>
      <c r="F42" s="21">
        <v>66</v>
      </c>
      <c r="G42" s="21">
        <v>95</v>
      </c>
      <c r="H42" s="21">
        <v>108</v>
      </c>
      <c r="I42" s="21">
        <v>75</v>
      </c>
      <c r="J42" s="21">
        <v>99</v>
      </c>
      <c r="K42" s="83">
        <v>100</v>
      </c>
      <c r="L42" s="11"/>
      <c r="M42" s="2"/>
      <c r="N42" s="2"/>
      <c r="O42" s="2"/>
      <c r="P42" s="2"/>
    </row>
    <row r="43" spans="1:16" s="7" customFormat="1" ht="13.5" customHeight="1" x14ac:dyDescent="0.15">
      <c r="A43" s="133" t="s">
        <v>94</v>
      </c>
      <c r="B43" s="21">
        <v>96</v>
      </c>
      <c r="C43" s="21">
        <v>87</v>
      </c>
      <c r="D43" s="21">
        <v>85</v>
      </c>
      <c r="E43" s="21">
        <v>81</v>
      </c>
      <c r="F43" s="21">
        <v>67</v>
      </c>
      <c r="G43" s="21">
        <v>94</v>
      </c>
      <c r="H43" s="21">
        <v>107</v>
      </c>
      <c r="I43" s="21">
        <v>78</v>
      </c>
      <c r="J43" s="21">
        <v>100</v>
      </c>
      <c r="K43" s="83">
        <v>100</v>
      </c>
      <c r="L43" s="11"/>
      <c r="M43" s="2"/>
      <c r="N43" s="2"/>
      <c r="O43" s="2"/>
      <c r="P43" s="2"/>
    </row>
    <row r="44" spans="1:16" s="7" customFormat="1" ht="13.5" customHeight="1" x14ac:dyDescent="0.15">
      <c r="A44" s="133" t="s">
        <v>95</v>
      </c>
      <c r="B44" s="21">
        <v>90</v>
      </c>
      <c r="C44" s="21">
        <v>80</v>
      </c>
      <c r="D44" s="21">
        <v>83</v>
      </c>
      <c r="E44" s="21">
        <v>73</v>
      </c>
      <c r="F44" s="21">
        <v>57</v>
      </c>
      <c r="G44" s="21">
        <v>92</v>
      </c>
      <c r="H44" s="21">
        <v>106</v>
      </c>
      <c r="I44" s="21">
        <v>71</v>
      </c>
      <c r="J44" s="21">
        <v>98</v>
      </c>
      <c r="K44" s="83">
        <v>99</v>
      </c>
      <c r="L44" s="11"/>
      <c r="M44" s="2"/>
      <c r="N44" s="2"/>
      <c r="O44" s="2"/>
      <c r="P44" s="2"/>
    </row>
    <row r="45" spans="1:16" s="7" customFormat="1" ht="13.5" customHeight="1" x14ac:dyDescent="0.15">
      <c r="A45" s="133"/>
      <c r="B45" s="21" t="s">
        <v>207</v>
      </c>
      <c r="C45" s="21" t="s">
        <v>207</v>
      </c>
      <c r="D45" s="21" t="s">
        <v>207</v>
      </c>
      <c r="E45" s="21" t="s">
        <v>207</v>
      </c>
      <c r="F45" s="21" t="s">
        <v>207</v>
      </c>
      <c r="G45" s="21" t="s">
        <v>207</v>
      </c>
      <c r="H45" s="21" t="s">
        <v>207</v>
      </c>
      <c r="I45" s="21" t="s">
        <v>207</v>
      </c>
      <c r="J45" s="21" t="s">
        <v>207</v>
      </c>
      <c r="K45" s="83" t="s">
        <v>207</v>
      </c>
      <c r="L45" s="11"/>
      <c r="M45" s="2"/>
      <c r="N45" s="2"/>
      <c r="O45" s="2"/>
      <c r="P45" s="2"/>
    </row>
    <row r="46" spans="1:16" s="7" customFormat="1" ht="13.5" customHeight="1" x14ac:dyDescent="0.15">
      <c r="A46" s="133" t="s">
        <v>96</v>
      </c>
      <c r="B46" s="21">
        <v>95</v>
      </c>
      <c r="C46" s="21">
        <v>86</v>
      </c>
      <c r="D46" s="21">
        <v>87</v>
      </c>
      <c r="E46" s="21">
        <v>77</v>
      </c>
      <c r="F46" s="21">
        <v>66</v>
      </c>
      <c r="G46" s="21">
        <v>97</v>
      </c>
      <c r="H46" s="21">
        <v>109</v>
      </c>
      <c r="I46" s="21">
        <v>76</v>
      </c>
      <c r="J46" s="21">
        <v>98</v>
      </c>
      <c r="K46" s="83">
        <v>101</v>
      </c>
      <c r="L46" s="11"/>
      <c r="M46" s="2"/>
      <c r="N46" s="2"/>
      <c r="O46" s="2"/>
      <c r="P46" s="2"/>
    </row>
    <row r="47" spans="1:16" s="7" customFormat="1" ht="13.5" customHeight="1" x14ac:dyDescent="0.15">
      <c r="A47" s="133" t="s">
        <v>97</v>
      </c>
      <c r="B47" s="21">
        <v>99</v>
      </c>
      <c r="C47" s="21">
        <v>84</v>
      </c>
      <c r="D47" s="21">
        <v>91</v>
      </c>
      <c r="E47" s="21">
        <v>79</v>
      </c>
      <c r="F47" s="21">
        <v>68</v>
      </c>
      <c r="G47" s="21">
        <v>97</v>
      </c>
      <c r="H47" s="21">
        <v>109</v>
      </c>
      <c r="I47" s="21">
        <v>77</v>
      </c>
      <c r="J47" s="21">
        <v>100</v>
      </c>
      <c r="K47" s="83">
        <v>101</v>
      </c>
      <c r="L47" s="11"/>
      <c r="M47" s="2"/>
      <c r="N47" s="2"/>
      <c r="O47" s="2"/>
      <c r="P47" s="2"/>
    </row>
    <row r="48" spans="1:16" s="7" customFormat="1" ht="13.5" customHeight="1" x14ac:dyDescent="0.15">
      <c r="A48" s="133" t="s">
        <v>151</v>
      </c>
      <c r="B48" s="21">
        <v>94</v>
      </c>
      <c r="C48" s="21">
        <v>83</v>
      </c>
      <c r="D48" s="21">
        <v>84</v>
      </c>
      <c r="E48" s="21">
        <v>73</v>
      </c>
      <c r="F48" s="21">
        <v>61</v>
      </c>
      <c r="G48" s="21">
        <v>97</v>
      </c>
      <c r="H48" s="21">
        <v>107</v>
      </c>
      <c r="I48" s="21">
        <v>71</v>
      </c>
      <c r="J48" s="21">
        <v>97</v>
      </c>
      <c r="K48" s="83">
        <v>102</v>
      </c>
      <c r="L48" s="11"/>
      <c r="M48" s="2"/>
      <c r="N48" s="2"/>
      <c r="O48" s="2"/>
      <c r="P48" s="2"/>
    </row>
    <row r="49" spans="1:16" s="7" customFormat="1" ht="13.5" customHeight="1" x14ac:dyDescent="0.15">
      <c r="A49" s="133"/>
      <c r="B49" s="21" t="s">
        <v>207</v>
      </c>
      <c r="C49" s="21" t="s">
        <v>207</v>
      </c>
      <c r="D49" s="21" t="s">
        <v>207</v>
      </c>
      <c r="E49" s="21" t="s">
        <v>207</v>
      </c>
      <c r="F49" s="21" t="s">
        <v>207</v>
      </c>
      <c r="G49" s="21" t="s">
        <v>207</v>
      </c>
      <c r="H49" s="21" t="s">
        <v>207</v>
      </c>
      <c r="I49" s="21" t="s">
        <v>207</v>
      </c>
      <c r="J49" s="21" t="s">
        <v>207</v>
      </c>
      <c r="K49" s="83" t="s">
        <v>207</v>
      </c>
      <c r="L49" s="11"/>
      <c r="M49" s="2"/>
      <c r="N49" s="2"/>
      <c r="O49" s="2"/>
      <c r="P49" s="2"/>
    </row>
    <row r="50" spans="1:16" s="7" customFormat="1" ht="13.5" customHeight="1" x14ac:dyDescent="0.15">
      <c r="A50" s="133" t="s">
        <v>185</v>
      </c>
      <c r="B50" s="21">
        <v>98</v>
      </c>
      <c r="C50" s="21">
        <v>84</v>
      </c>
      <c r="D50" s="21">
        <v>83</v>
      </c>
      <c r="E50" s="21">
        <v>76</v>
      </c>
      <c r="F50" s="21">
        <v>61</v>
      </c>
      <c r="G50" s="21">
        <v>96</v>
      </c>
      <c r="H50" s="21">
        <v>108</v>
      </c>
      <c r="I50" s="21">
        <v>74</v>
      </c>
      <c r="J50" s="21">
        <v>100</v>
      </c>
      <c r="K50" s="83">
        <v>102</v>
      </c>
      <c r="L50" s="11"/>
      <c r="M50" s="2"/>
      <c r="N50" s="2"/>
      <c r="O50" s="2"/>
      <c r="P50" s="2"/>
    </row>
    <row r="51" spans="1:16" s="7" customFormat="1" ht="13.5" customHeight="1" x14ac:dyDescent="0.15">
      <c r="A51" s="133" t="s">
        <v>21</v>
      </c>
      <c r="B51" s="21">
        <v>97</v>
      </c>
      <c r="C51" s="21">
        <v>82</v>
      </c>
      <c r="D51" s="21">
        <v>84</v>
      </c>
      <c r="E51" s="21">
        <v>78</v>
      </c>
      <c r="F51" s="21">
        <v>65</v>
      </c>
      <c r="G51" s="21">
        <v>98</v>
      </c>
      <c r="H51" s="21">
        <v>109</v>
      </c>
      <c r="I51" s="21">
        <v>76</v>
      </c>
      <c r="J51" s="21">
        <v>99</v>
      </c>
      <c r="K51" s="83">
        <v>103</v>
      </c>
      <c r="L51" s="11"/>
      <c r="M51" s="2"/>
      <c r="N51" s="2"/>
      <c r="O51" s="2"/>
      <c r="P51" s="2"/>
    </row>
    <row r="52" spans="1:16" s="7" customFormat="1" ht="13.5" customHeight="1" x14ac:dyDescent="0.15">
      <c r="A52" s="133" t="s">
        <v>89</v>
      </c>
      <c r="B52" s="21">
        <v>100</v>
      </c>
      <c r="C52" s="21">
        <v>85</v>
      </c>
      <c r="D52" s="21">
        <v>89</v>
      </c>
      <c r="E52" s="21">
        <v>84</v>
      </c>
      <c r="F52" s="21">
        <v>73</v>
      </c>
      <c r="G52" s="21">
        <v>96</v>
      </c>
      <c r="H52" s="21">
        <v>109</v>
      </c>
      <c r="I52" s="21">
        <v>81</v>
      </c>
      <c r="J52" s="21">
        <v>103</v>
      </c>
      <c r="K52" s="83">
        <v>101</v>
      </c>
      <c r="L52" s="11"/>
      <c r="M52" s="2"/>
      <c r="N52" s="2"/>
      <c r="O52" s="2"/>
      <c r="P52" s="2"/>
    </row>
    <row r="53" spans="1:16" s="7" customFormat="1" ht="13.5" customHeight="1" x14ac:dyDescent="0.15">
      <c r="A53" s="133"/>
      <c r="B53" s="21" t="s">
        <v>207</v>
      </c>
      <c r="C53" s="21" t="s">
        <v>207</v>
      </c>
      <c r="D53" s="21" t="s">
        <v>207</v>
      </c>
      <c r="E53" s="21" t="s">
        <v>207</v>
      </c>
      <c r="F53" s="21" t="s">
        <v>207</v>
      </c>
      <c r="G53" s="21" t="s">
        <v>207</v>
      </c>
      <c r="H53" s="21" t="s">
        <v>207</v>
      </c>
      <c r="I53" s="21" t="s">
        <v>207</v>
      </c>
      <c r="J53" s="21" t="s">
        <v>207</v>
      </c>
      <c r="K53" s="83" t="s">
        <v>207</v>
      </c>
      <c r="L53" s="11"/>
      <c r="M53" s="2"/>
      <c r="N53" s="2"/>
      <c r="O53" s="2"/>
      <c r="P53" s="2"/>
    </row>
    <row r="54" spans="1:16" s="7" customFormat="1" ht="13.5" customHeight="1" x14ac:dyDescent="0.15">
      <c r="A54" s="133" t="s">
        <v>90</v>
      </c>
      <c r="B54" s="21">
        <v>102</v>
      </c>
      <c r="C54" s="21">
        <v>89</v>
      </c>
      <c r="D54" s="21">
        <v>90</v>
      </c>
      <c r="E54" s="21">
        <v>84</v>
      </c>
      <c r="F54" s="21">
        <v>70</v>
      </c>
      <c r="G54" s="21">
        <v>99</v>
      </c>
      <c r="H54" s="21">
        <v>109</v>
      </c>
      <c r="I54" s="21">
        <v>83</v>
      </c>
      <c r="J54" s="21">
        <v>103</v>
      </c>
      <c r="K54" s="83">
        <v>101</v>
      </c>
      <c r="L54" s="11"/>
      <c r="M54" s="2"/>
      <c r="N54" s="2"/>
      <c r="O54" s="2"/>
      <c r="P54" s="2"/>
    </row>
    <row r="55" spans="1:16" s="7" customFormat="1" ht="13.5" customHeight="1" x14ac:dyDescent="0.15">
      <c r="A55" s="133" t="s">
        <v>91</v>
      </c>
      <c r="B55" s="21">
        <v>104</v>
      </c>
      <c r="C55" s="21">
        <v>89</v>
      </c>
      <c r="D55" s="21">
        <v>92</v>
      </c>
      <c r="E55" s="21">
        <v>85</v>
      </c>
      <c r="F55" s="21">
        <v>76</v>
      </c>
      <c r="G55" s="21">
        <v>98</v>
      </c>
      <c r="H55" s="21">
        <v>110</v>
      </c>
      <c r="I55" s="21">
        <v>84</v>
      </c>
      <c r="J55" s="21">
        <v>103</v>
      </c>
      <c r="K55" s="83">
        <v>102</v>
      </c>
      <c r="L55" s="11"/>
      <c r="M55" s="2"/>
      <c r="N55" s="2"/>
      <c r="O55" s="2"/>
      <c r="P55" s="2"/>
    </row>
    <row r="56" spans="1:16" s="7" customFormat="1" ht="13.5" customHeight="1" x14ac:dyDescent="0.15">
      <c r="A56" s="133" t="s">
        <v>92</v>
      </c>
      <c r="B56" s="21">
        <v>109</v>
      </c>
      <c r="C56" s="21">
        <v>90</v>
      </c>
      <c r="D56" s="21">
        <v>92</v>
      </c>
      <c r="E56" s="21">
        <v>88</v>
      </c>
      <c r="F56" s="21">
        <v>85</v>
      </c>
      <c r="G56" s="21">
        <v>98</v>
      </c>
      <c r="H56" s="21">
        <v>110</v>
      </c>
      <c r="I56" s="21">
        <v>87</v>
      </c>
      <c r="J56" s="21">
        <v>107</v>
      </c>
      <c r="K56" s="83">
        <v>101</v>
      </c>
      <c r="L56" s="11"/>
      <c r="M56" s="2"/>
      <c r="N56" s="2"/>
      <c r="O56" s="2"/>
      <c r="P56" s="2"/>
    </row>
    <row r="57" spans="1:16" s="7" customFormat="1" ht="13.5" customHeight="1" x14ac:dyDescent="0.15">
      <c r="A57" s="133"/>
      <c r="B57" s="21" t="s">
        <v>207</v>
      </c>
      <c r="C57" s="21" t="s">
        <v>207</v>
      </c>
      <c r="D57" s="21" t="s">
        <v>207</v>
      </c>
      <c r="E57" s="21" t="s">
        <v>207</v>
      </c>
      <c r="F57" s="21" t="s">
        <v>207</v>
      </c>
      <c r="G57" s="21" t="s">
        <v>207</v>
      </c>
      <c r="H57" s="21" t="s">
        <v>207</v>
      </c>
      <c r="I57" s="21" t="s">
        <v>207</v>
      </c>
      <c r="J57" s="21" t="s">
        <v>207</v>
      </c>
      <c r="K57" s="83" t="s">
        <v>207</v>
      </c>
      <c r="L57" s="11"/>
      <c r="M57" s="2"/>
      <c r="N57" s="2"/>
      <c r="O57" s="2"/>
      <c r="P57" s="2"/>
    </row>
    <row r="58" spans="1:16" s="7" customFormat="1" ht="13.5" customHeight="1" x14ac:dyDescent="0.15">
      <c r="A58" s="133" t="s">
        <v>93</v>
      </c>
      <c r="B58" s="21">
        <v>105</v>
      </c>
      <c r="C58" s="21">
        <v>92</v>
      </c>
      <c r="D58" s="21">
        <v>92</v>
      </c>
      <c r="E58" s="21">
        <v>85</v>
      </c>
      <c r="F58" s="21">
        <v>79</v>
      </c>
      <c r="G58" s="21">
        <v>97</v>
      </c>
      <c r="H58" s="21">
        <v>110</v>
      </c>
      <c r="I58" s="21">
        <v>83</v>
      </c>
      <c r="J58" s="21">
        <v>104</v>
      </c>
      <c r="K58" s="83">
        <v>104</v>
      </c>
      <c r="L58" s="11"/>
      <c r="M58" s="2"/>
      <c r="N58" s="2"/>
      <c r="O58" s="2"/>
      <c r="P58" s="2"/>
    </row>
    <row r="59" spans="1:16" s="7" customFormat="1" ht="13.5" customHeight="1" x14ac:dyDescent="0.15">
      <c r="A59" s="133" t="s">
        <v>94</v>
      </c>
      <c r="B59" s="21">
        <v>102</v>
      </c>
      <c r="C59" s="21">
        <v>89</v>
      </c>
      <c r="D59" s="21">
        <v>89</v>
      </c>
      <c r="E59" s="21">
        <v>84</v>
      </c>
      <c r="F59" s="21">
        <v>74</v>
      </c>
      <c r="G59" s="21">
        <v>100</v>
      </c>
      <c r="H59" s="21">
        <v>110</v>
      </c>
      <c r="I59" s="21">
        <v>81</v>
      </c>
      <c r="J59" s="21">
        <v>102</v>
      </c>
      <c r="K59" s="83">
        <v>103</v>
      </c>
      <c r="L59" s="11"/>
      <c r="M59" s="2"/>
      <c r="N59" s="2"/>
      <c r="O59" s="2"/>
      <c r="P59" s="2"/>
    </row>
    <row r="60" spans="1:16" s="7" customFormat="1" ht="13.5" customHeight="1" x14ac:dyDescent="0.15">
      <c r="A60" s="133" t="s">
        <v>137</v>
      </c>
      <c r="B60" s="21">
        <v>105</v>
      </c>
      <c r="C60" s="21">
        <v>91</v>
      </c>
      <c r="D60" s="21">
        <v>92</v>
      </c>
      <c r="E60" s="21">
        <v>88</v>
      </c>
      <c r="F60" s="21">
        <v>75</v>
      </c>
      <c r="G60" s="21">
        <v>100</v>
      </c>
      <c r="H60" s="21">
        <v>110</v>
      </c>
      <c r="I60" s="21">
        <v>83</v>
      </c>
      <c r="J60" s="21">
        <v>102</v>
      </c>
      <c r="K60" s="83">
        <v>104</v>
      </c>
      <c r="L60" s="11"/>
      <c r="M60" s="2"/>
      <c r="N60" s="2"/>
      <c r="O60" s="2"/>
      <c r="P60" s="2"/>
    </row>
    <row r="61" spans="1:16" s="7" customFormat="1" ht="13.5" customHeight="1" x14ac:dyDescent="0.15">
      <c r="A61" s="133"/>
      <c r="B61" s="21" t="s">
        <v>207</v>
      </c>
      <c r="C61" s="21" t="s">
        <v>207</v>
      </c>
      <c r="D61" s="21" t="s">
        <v>207</v>
      </c>
      <c r="E61" s="21" t="s">
        <v>207</v>
      </c>
      <c r="F61" s="21" t="s">
        <v>207</v>
      </c>
      <c r="G61" s="21" t="s">
        <v>207</v>
      </c>
      <c r="H61" s="21" t="s">
        <v>207</v>
      </c>
      <c r="I61" s="21" t="s">
        <v>207</v>
      </c>
      <c r="J61" s="21" t="s">
        <v>207</v>
      </c>
      <c r="K61" s="83" t="s">
        <v>207</v>
      </c>
      <c r="L61" s="11"/>
      <c r="M61" s="2"/>
      <c r="N61" s="2"/>
      <c r="O61" s="2"/>
      <c r="P61" s="2"/>
    </row>
    <row r="62" spans="1:16" s="7" customFormat="1" ht="13.5" customHeight="1" x14ac:dyDescent="0.15">
      <c r="A62" s="133" t="s">
        <v>96</v>
      </c>
      <c r="B62" s="21">
        <v>105</v>
      </c>
      <c r="C62" s="21">
        <v>89</v>
      </c>
      <c r="D62" s="21">
        <v>90</v>
      </c>
      <c r="E62" s="21">
        <v>87</v>
      </c>
      <c r="F62" s="21">
        <v>79</v>
      </c>
      <c r="G62" s="21">
        <v>97</v>
      </c>
      <c r="H62" s="21">
        <v>111</v>
      </c>
      <c r="I62" s="21">
        <v>84</v>
      </c>
      <c r="J62" s="21">
        <v>104</v>
      </c>
      <c r="K62" s="83">
        <v>106</v>
      </c>
      <c r="L62" s="11"/>
      <c r="M62" s="2"/>
      <c r="N62" s="2"/>
      <c r="O62" s="2"/>
      <c r="P62" s="2"/>
    </row>
    <row r="63" spans="1:16" s="7" customFormat="1" ht="13.5" customHeight="1" x14ac:dyDescent="0.15">
      <c r="A63" s="133" t="s">
        <v>97</v>
      </c>
      <c r="B63" s="21">
        <v>110</v>
      </c>
      <c r="C63" s="21">
        <v>88</v>
      </c>
      <c r="D63" s="21">
        <v>90</v>
      </c>
      <c r="E63" s="21">
        <v>91</v>
      </c>
      <c r="F63" s="21">
        <v>85</v>
      </c>
      <c r="G63" s="21">
        <v>97</v>
      </c>
      <c r="H63" s="21">
        <v>112</v>
      </c>
      <c r="I63" s="21">
        <v>86</v>
      </c>
      <c r="J63" s="21">
        <v>107</v>
      </c>
      <c r="K63" s="83">
        <v>105</v>
      </c>
      <c r="L63" s="11"/>
      <c r="M63" s="2"/>
      <c r="N63" s="2"/>
      <c r="O63" s="2"/>
      <c r="P63" s="2"/>
    </row>
    <row r="64" spans="1:16" s="7" customFormat="1" ht="13.5" customHeight="1" x14ac:dyDescent="0.15">
      <c r="A64" s="133" t="s">
        <v>198</v>
      </c>
      <c r="B64" s="21">
        <v>106</v>
      </c>
      <c r="C64" s="21">
        <v>91</v>
      </c>
      <c r="D64" s="21">
        <v>91</v>
      </c>
      <c r="E64" s="21">
        <v>83</v>
      </c>
      <c r="F64" s="21">
        <v>77</v>
      </c>
      <c r="G64" s="21">
        <v>99</v>
      </c>
      <c r="H64" s="21">
        <v>111</v>
      </c>
      <c r="I64" s="21">
        <v>83</v>
      </c>
      <c r="J64" s="21">
        <v>106</v>
      </c>
      <c r="K64" s="83">
        <v>104</v>
      </c>
      <c r="L64" s="11"/>
      <c r="M64" s="2"/>
      <c r="N64" s="2"/>
      <c r="O64" s="2"/>
      <c r="P64" s="2"/>
    </row>
    <row r="65" spans="1:16" s="7" customFormat="1" ht="13.5" customHeight="1" x14ac:dyDescent="0.15">
      <c r="A65" s="133"/>
      <c r="B65" s="21" t="s">
        <v>207</v>
      </c>
      <c r="C65" s="21" t="s">
        <v>207</v>
      </c>
      <c r="D65" s="21" t="s">
        <v>207</v>
      </c>
      <c r="E65" s="21" t="s">
        <v>207</v>
      </c>
      <c r="F65" s="21" t="s">
        <v>207</v>
      </c>
      <c r="G65" s="21" t="s">
        <v>207</v>
      </c>
      <c r="H65" s="21" t="s">
        <v>207</v>
      </c>
      <c r="I65" s="21" t="s">
        <v>207</v>
      </c>
      <c r="J65" s="21" t="s">
        <v>207</v>
      </c>
      <c r="K65" s="83" t="s">
        <v>207</v>
      </c>
      <c r="L65" s="11"/>
      <c r="M65" s="2"/>
      <c r="N65" s="2"/>
      <c r="O65" s="2"/>
      <c r="P65" s="2"/>
    </row>
    <row r="66" spans="1:16" s="7" customFormat="1" ht="13.5" customHeight="1" x14ac:dyDescent="0.15">
      <c r="A66" s="133" t="s">
        <v>199</v>
      </c>
      <c r="B66" s="21">
        <v>108</v>
      </c>
      <c r="C66" s="21">
        <v>89</v>
      </c>
      <c r="D66" s="21">
        <v>92</v>
      </c>
      <c r="E66" s="21">
        <v>84</v>
      </c>
      <c r="F66" s="21">
        <v>77</v>
      </c>
      <c r="G66" s="21">
        <v>101</v>
      </c>
      <c r="H66" s="21">
        <v>111</v>
      </c>
      <c r="I66" s="21">
        <v>83</v>
      </c>
      <c r="J66" s="21">
        <v>104</v>
      </c>
      <c r="K66" s="83">
        <v>106</v>
      </c>
      <c r="L66" s="11"/>
      <c r="M66" s="2"/>
      <c r="N66" s="2"/>
      <c r="O66" s="2"/>
      <c r="P66" s="2"/>
    </row>
    <row r="67" spans="1:16" s="7" customFormat="1" ht="13.5" customHeight="1" x14ac:dyDescent="0.15">
      <c r="A67" s="133" t="s">
        <v>21</v>
      </c>
      <c r="B67" s="21">
        <v>104</v>
      </c>
      <c r="C67" s="21">
        <v>88</v>
      </c>
      <c r="D67" s="21">
        <v>91</v>
      </c>
      <c r="E67" s="21">
        <v>85</v>
      </c>
      <c r="F67" s="21">
        <v>76</v>
      </c>
      <c r="G67" s="21">
        <v>100</v>
      </c>
      <c r="H67" s="21">
        <v>110</v>
      </c>
      <c r="I67" s="21">
        <v>81</v>
      </c>
      <c r="J67" s="21">
        <v>104</v>
      </c>
      <c r="K67" s="83">
        <v>104</v>
      </c>
      <c r="L67" s="11"/>
      <c r="M67" s="2"/>
      <c r="N67" s="2"/>
      <c r="O67" s="2"/>
      <c r="P67" s="2"/>
    </row>
    <row r="68" spans="1:16" s="7" customFormat="1" ht="13.5" customHeight="1" x14ac:dyDescent="0.15">
      <c r="A68" s="133" t="s">
        <v>89</v>
      </c>
      <c r="B68" s="21">
        <v>108</v>
      </c>
      <c r="C68" s="21">
        <v>88</v>
      </c>
      <c r="D68" s="21">
        <v>91</v>
      </c>
      <c r="E68" s="21">
        <v>88</v>
      </c>
      <c r="F68" s="21">
        <v>80</v>
      </c>
      <c r="G68" s="21">
        <v>101</v>
      </c>
      <c r="H68" s="21">
        <v>112</v>
      </c>
      <c r="I68" s="21">
        <v>84</v>
      </c>
      <c r="J68" s="21">
        <v>109</v>
      </c>
      <c r="K68" s="83">
        <v>104</v>
      </c>
      <c r="L68" s="11"/>
      <c r="M68" s="2"/>
      <c r="N68" s="2"/>
      <c r="O68" s="2"/>
      <c r="P68" s="2"/>
    </row>
    <row r="69" spans="1:16" s="7" customFormat="1" ht="13.5" customHeight="1" x14ac:dyDescent="0.15">
      <c r="A69" s="133"/>
      <c r="B69" s="21" t="s">
        <v>207</v>
      </c>
      <c r="C69" s="21" t="s">
        <v>207</v>
      </c>
      <c r="D69" s="21" t="s">
        <v>207</v>
      </c>
      <c r="E69" s="21" t="s">
        <v>207</v>
      </c>
      <c r="F69" s="21" t="s">
        <v>207</v>
      </c>
      <c r="G69" s="21" t="s">
        <v>207</v>
      </c>
      <c r="H69" s="21" t="s">
        <v>207</v>
      </c>
      <c r="I69" s="21" t="s">
        <v>207</v>
      </c>
      <c r="J69" s="21" t="s">
        <v>207</v>
      </c>
      <c r="K69" s="83" t="s">
        <v>207</v>
      </c>
      <c r="L69" s="11"/>
      <c r="M69" s="2"/>
      <c r="N69" s="2"/>
      <c r="O69" s="2"/>
      <c r="P69" s="2"/>
    </row>
    <row r="70" spans="1:16" s="7" customFormat="1" ht="13.5" customHeight="1" x14ac:dyDescent="0.15">
      <c r="A70" s="133" t="s">
        <v>90</v>
      </c>
      <c r="B70" s="21">
        <v>111</v>
      </c>
      <c r="C70" s="21">
        <v>91</v>
      </c>
      <c r="D70" s="21">
        <v>95</v>
      </c>
      <c r="E70" s="21">
        <v>92</v>
      </c>
      <c r="F70" s="21">
        <v>92</v>
      </c>
      <c r="G70" s="21">
        <v>100</v>
      </c>
      <c r="H70" s="21">
        <v>111</v>
      </c>
      <c r="I70" s="21">
        <v>89</v>
      </c>
      <c r="J70" s="21">
        <v>110</v>
      </c>
      <c r="K70" s="83">
        <v>104</v>
      </c>
      <c r="L70" s="11"/>
      <c r="M70" s="2"/>
      <c r="N70" s="2"/>
      <c r="O70" s="2"/>
      <c r="P70" s="2"/>
    </row>
    <row r="71" spans="1:16" s="7" customFormat="1" ht="13.5" customHeight="1" x14ac:dyDescent="0.15">
      <c r="A71" s="133" t="s">
        <v>134</v>
      </c>
      <c r="B71" s="21">
        <v>110</v>
      </c>
      <c r="C71" s="21">
        <v>87</v>
      </c>
      <c r="D71" s="21">
        <v>91</v>
      </c>
      <c r="E71" s="21">
        <v>90</v>
      </c>
      <c r="F71" s="21">
        <v>95</v>
      </c>
      <c r="G71" s="21">
        <v>98</v>
      </c>
      <c r="H71" s="21">
        <v>109</v>
      </c>
      <c r="I71" s="21">
        <v>90</v>
      </c>
      <c r="J71" s="21">
        <v>107</v>
      </c>
      <c r="K71" s="83">
        <v>105</v>
      </c>
      <c r="L71" s="11"/>
      <c r="M71" s="2"/>
      <c r="N71" s="2"/>
      <c r="O71" s="2"/>
      <c r="P71" s="2"/>
    </row>
    <row r="72" spans="1:16" s="7" customFormat="1" ht="13.5" customHeight="1" x14ac:dyDescent="0.15">
      <c r="A72" s="133" t="s">
        <v>130</v>
      </c>
      <c r="B72" s="21">
        <v>114</v>
      </c>
      <c r="C72" s="21">
        <v>91</v>
      </c>
      <c r="D72" s="21">
        <v>91</v>
      </c>
      <c r="E72" s="21">
        <v>90</v>
      </c>
      <c r="F72" s="21">
        <v>94</v>
      </c>
      <c r="G72" s="21">
        <v>101</v>
      </c>
      <c r="H72" s="21">
        <v>112</v>
      </c>
      <c r="I72" s="21">
        <v>91</v>
      </c>
      <c r="J72" s="21">
        <v>115</v>
      </c>
      <c r="K72" s="83">
        <v>106</v>
      </c>
      <c r="L72" s="11"/>
      <c r="M72" s="2"/>
      <c r="N72" s="2"/>
      <c r="O72" s="2"/>
      <c r="P72" s="2"/>
    </row>
    <row r="73" spans="1:16" s="7" customFormat="1" ht="13.5" customHeight="1" x14ac:dyDescent="0.15">
      <c r="A73" s="133"/>
      <c r="B73" s="21" t="s">
        <v>207</v>
      </c>
      <c r="C73" s="21" t="s">
        <v>207</v>
      </c>
      <c r="D73" s="21" t="s">
        <v>207</v>
      </c>
      <c r="E73" s="21" t="s">
        <v>207</v>
      </c>
      <c r="F73" s="21" t="s">
        <v>207</v>
      </c>
      <c r="G73" s="21" t="s">
        <v>207</v>
      </c>
      <c r="H73" s="21" t="s">
        <v>207</v>
      </c>
      <c r="I73" s="21" t="s">
        <v>207</v>
      </c>
      <c r="J73" s="21" t="s">
        <v>207</v>
      </c>
      <c r="K73" s="83" t="s">
        <v>207</v>
      </c>
      <c r="L73" s="11"/>
      <c r="M73" s="2"/>
      <c r="N73" s="2"/>
      <c r="O73" s="2"/>
      <c r="P73" s="2"/>
    </row>
    <row r="74" spans="1:16" s="7" customFormat="1" ht="13.5" customHeight="1" x14ac:dyDescent="0.15">
      <c r="A74" s="133" t="s">
        <v>93</v>
      </c>
      <c r="B74" s="21">
        <v>109</v>
      </c>
      <c r="C74" s="21">
        <v>87</v>
      </c>
      <c r="D74" s="21">
        <v>89</v>
      </c>
      <c r="E74" s="21">
        <v>87</v>
      </c>
      <c r="F74" s="21">
        <v>85</v>
      </c>
      <c r="G74" s="21">
        <v>92</v>
      </c>
      <c r="H74" s="21">
        <v>110</v>
      </c>
      <c r="I74" s="21">
        <v>89</v>
      </c>
      <c r="J74" s="21">
        <v>113</v>
      </c>
      <c r="K74" s="83">
        <v>109</v>
      </c>
      <c r="L74" s="11"/>
      <c r="M74" s="2"/>
      <c r="N74" s="2"/>
      <c r="O74" s="2"/>
      <c r="P74" s="2"/>
    </row>
    <row r="75" spans="1:16" s="7" customFormat="1" ht="13.5" customHeight="1" x14ac:dyDescent="0.15">
      <c r="A75" s="133" t="s">
        <v>94</v>
      </c>
      <c r="B75" s="21">
        <v>111</v>
      </c>
      <c r="C75" s="21">
        <v>93</v>
      </c>
      <c r="D75" s="21">
        <v>93</v>
      </c>
      <c r="E75" s="21">
        <v>91</v>
      </c>
      <c r="F75" s="21">
        <v>85</v>
      </c>
      <c r="G75" s="21">
        <v>95</v>
      </c>
      <c r="H75" s="21">
        <v>112</v>
      </c>
      <c r="I75" s="21">
        <v>90</v>
      </c>
      <c r="J75" s="21">
        <v>110</v>
      </c>
      <c r="K75" s="83">
        <v>107</v>
      </c>
      <c r="L75" s="11"/>
      <c r="M75" s="2"/>
      <c r="N75" s="2"/>
      <c r="O75" s="2"/>
      <c r="P75" s="2"/>
    </row>
    <row r="76" spans="1:16" s="7" customFormat="1" ht="13.5" customHeight="1" x14ac:dyDescent="0.15">
      <c r="A76" s="133" t="s">
        <v>95</v>
      </c>
      <c r="B76" s="21">
        <v>109</v>
      </c>
      <c r="C76" s="21">
        <v>91</v>
      </c>
      <c r="D76" s="21">
        <v>92</v>
      </c>
      <c r="E76" s="21">
        <v>89</v>
      </c>
      <c r="F76" s="21">
        <v>85</v>
      </c>
      <c r="G76" s="21">
        <v>97</v>
      </c>
      <c r="H76" s="21">
        <v>111</v>
      </c>
      <c r="I76" s="21">
        <v>91</v>
      </c>
      <c r="J76" s="21">
        <v>107</v>
      </c>
      <c r="K76" s="83">
        <v>108</v>
      </c>
      <c r="L76" s="11"/>
      <c r="M76" s="2"/>
      <c r="N76" s="2"/>
      <c r="O76" s="2"/>
      <c r="P76" s="2"/>
    </row>
    <row r="77" spans="1:16" s="7" customFormat="1" ht="13.5" customHeight="1" x14ac:dyDescent="0.15">
      <c r="A77" s="133"/>
      <c r="B77" s="21" t="s">
        <v>207</v>
      </c>
      <c r="C77" s="21" t="s">
        <v>207</v>
      </c>
      <c r="D77" s="21" t="s">
        <v>207</v>
      </c>
      <c r="E77" s="21" t="s">
        <v>207</v>
      </c>
      <c r="F77" s="21" t="s">
        <v>207</v>
      </c>
      <c r="G77" s="21" t="s">
        <v>207</v>
      </c>
      <c r="H77" s="21" t="s">
        <v>207</v>
      </c>
      <c r="I77" s="21" t="s">
        <v>207</v>
      </c>
      <c r="J77" s="21" t="s">
        <v>207</v>
      </c>
      <c r="K77" s="83" t="s">
        <v>207</v>
      </c>
      <c r="L77" s="11"/>
      <c r="M77" s="2"/>
      <c r="N77" s="2"/>
      <c r="O77" s="2"/>
      <c r="P77" s="2"/>
    </row>
    <row r="78" spans="1:16" s="7" customFormat="1" ht="13.5" customHeight="1" x14ac:dyDescent="0.15">
      <c r="A78" s="133" t="s">
        <v>140</v>
      </c>
      <c r="B78" s="21">
        <v>112</v>
      </c>
      <c r="C78" s="21">
        <v>93</v>
      </c>
      <c r="D78" s="21">
        <v>95</v>
      </c>
      <c r="E78" s="21">
        <v>90</v>
      </c>
      <c r="F78" s="21">
        <v>91</v>
      </c>
      <c r="G78" s="21">
        <v>99</v>
      </c>
      <c r="H78" s="21">
        <v>113</v>
      </c>
      <c r="I78" s="21">
        <v>91</v>
      </c>
      <c r="J78" s="21">
        <v>111</v>
      </c>
      <c r="K78" s="83">
        <v>109</v>
      </c>
      <c r="L78" s="11"/>
      <c r="M78" s="2"/>
      <c r="N78" s="2"/>
      <c r="O78" s="2"/>
      <c r="P78" s="2"/>
    </row>
    <row r="79" spans="1:16" x14ac:dyDescent="0.15">
      <c r="A79" s="133" t="s">
        <v>97</v>
      </c>
      <c r="B79" s="21">
        <v>107</v>
      </c>
      <c r="C79" s="21">
        <v>92</v>
      </c>
      <c r="D79" s="21">
        <v>91</v>
      </c>
      <c r="E79" s="21">
        <v>89</v>
      </c>
      <c r="F79" s="21">
        <v>86</v>
      </c>
      <c r="G79" s="21">
        <v>94</v>
      </c>
      <c r="H79" s="21">
        <v>111</v>
      </c>
      <c r="I79" s="21">
        <v>88</v>
      </c>
      <c r="J79" s="21">
        <v>108</v>
      </c>
      <c r="K79" s="83">
        <v>110</v>
      </c>
    </row>
    <row r="80" spans="1:16" x14ac:dyDescent="0.15">
      <c r="A80" s="133" t="s">
        <v>98</v>
      </c>
      <c r="B80" s="21">
        <v>110</v>
      </c>
      <c r="C80" s="21">
        <v>91</v>
      </c>
      <c r="D80" s="21">
        <v>91</v>
      </c>
      <c r="E80" s="21">
        <v>90</v>
      </c>
      <c r="F80" s="21">
        <v>88</v>
      </c>
      <c r="G80" s="21">
        <v>99</v>
      </c>
      <c r="H80" s="21">
        <v>113</v>
      </c>
      <c r="I80" s="21">
        <v>92</v>
      </c>
      <c r="J80" s="21">
        <v>108</v>
      </c>
      <c r="K80" s="83">
        <v>108</v>
      </c>
    </row>
    <row r="81" spans="1:11" x14ac:dyDescent="0.15">
      <c r="A81" s="133"/>
      <c r="B81" s="21" t="s">
        <v>207</v>
      </c>
      <c r="C81" s="21" t="s">
        <v>207</v>
      </c>
      <c r="D81" s="21" t="s">
        <v>207</v>
      </c>
      <c r="E81" s="21" t="s">
        <v>207</v>
      </c>
      <c r="F81" s="21" t="s">
        <v>207</v>
      </c>
      <c r="G81" s="21" t="s">
        <v>207</v>
      </c>
      <c r="H81" s="21" t="s">
        <v>207</v>
      </c>
      <c r="I81" s="21" t="s">
        <v>207</v>
      </c>
      <c r="J81" s="21" t="s">
        <v>207</v>
      </c>
      <c r="K81" s="83" t="s">
        <v>207</v>
      </c>
    </row>
    <row r="82" spans="1:11" x14ac:dyDescent="0.15">
      <c r="A82" s="133" t="s">
        <v>209</v>
      </c>
      <c r="B82" s="21">
        <v>110</v>
      </c>
      <c r="C82" s="21">
        <v>89</v>
      </c>
      <c r="D82" s="21">
        <v>90</v>
      </c>
      <c r="E82" s="21">
        <v>90</v>
      </c>
      <c r="F82" s="21">
        <v>89</v>
      </c>
      <c r="G82" s="21">
        <v>99</v>
      </c>
      <c r="H82" s="21">
        <v>112</v>
      </c>
      <c r="I82" s="21">
        <v>91</v>
      </c>
      <c r="J82" s="21">
        <v>110</v>
      </c>
      <c r="K82" s="83">
        <v>107</v>
      </c>
    </row>
    <row r="83" spans="1:11" x14ac:dyDescent="0.15">
      <c r="A83" s="133" t="s">
        <v>21</v>
      </c>
      <c r="B83" s="21">
        <v>114</v>
      </c>
      <c r="C83" s="21">
        <v>91</v>
      </c>
      <c r="D83" s="21">
        <v>94</v>
      </c>
      <c r="E83" s="21">
        <v>88</v>
      </c>
      <c r="F83" s="21">
        <v>89</v>
      </c>
      <c r="G83" s="21">
        <v>101</v>
      </c>
      <c r="H83" s="21">
        <v>114</v>
      </c>
      <c r="I83" s="21">
        <v>90</v>
      </c>
      <c r="J83" s="21">
        <v>115</v>
      </c>
      <c r="K83" s="83">
        <v>109</v>
      </c>
    </row>
    <row r="84" spans="1:11" x14ac:dyDescent="0.15">
      <c r="A84" s="133" t="s">
        <v>89</v>
      </c>
      <c r="B84" s="21">
        <v>109</v>
      </c>
      <c r="C84" s="21">
        <v>88</v>
      </c>
      <c r="D84" s="21">
        <v>92</v>
      </c>
      <c r="E84" s="21">
        <v>89</v>
      </c>
      <c r="F84" s="21">
        <v>89</v>
      </c>
      <c r="G84" s="21">
        <v>98</v>
      </c>
      <c r="H84" s="21">
        <v>111</v>
      </c>
      <c r="I84" s="21">
        <v>88</v>
      </c>
      <c r="J84" s="21">
        <v>108</v>
      </c>
      <c r="K84" s="83">
        <v>107</v>
      </c>
    </row>
    <row r="85" spans="1:11" x14ac:dyDescent="0.15">
      <c r="A85" s="133"/>
      <c r="B85" s="21"/>
      <c r="C85" s="21"/>
      <c r="D85" s="21"/>
      <c r="E85" s="21"/>
      <c r="F85" s="21"/>
      <c r="G85" s="21"/>
      <c r="H85" s="21"/>
      <c r="I85" s="21"/>
      <c r="J85" s="21"/>
      <c r="K85" s="83"/>
    </row>
    <row r="86" spans="1:11" x14ac:dyDescent="0.15">
      <c r="A86" s="133" t="s">
        <v>90</v>
      </c>
      <c r="B86" s="21">
        <v>109</v>
      </c>
      <c r="C86" s="21">
        <v>93</v>
      </c>
      <c r="D86" s="21">
        <v>94</v>
      </c>
      <c r="E86" s="21">
        <v>92</v>
      </c>
      <c r="F86" s="21">
        <v>91</v>
      </c>
      <c r="G86" s="21">
        <v>97</v>
      </c>
      <c r="H86" s="21">
        <v>113</v>
      </c>
      <c r="I86" s="21">
        <v>93</v>
      </c>
      <c r="J86" s="21">
        <v>110</v>
      </c>
      <c r="K86" s="83">
        <v>106</v>
      </c>
    </row>
    <row r="87" spans="1:11" x14ac:dyDescent="0.15">
      <c r="A87" s="133" t="s">
        <v>91</v>
      </c>
      <c r="B87" s="21">
        <v>111</v>
      </c>
      <c r="C87" s="21">
        <v>92</v>
      </c>
      <c r="D87" s="21">
        <v>95</v>
      </c>
      <c r="E87" s="21">
        <v>96</v>
      </c>
      <c r="F87" s="21">
        <v>94</v>
      </c>
      <c r="G87" s="21">
        <v>98</v>
      </c>
      <c r="H87" s="21">
        <v>113</v>
      </c>
      <c r="I87" s="21">
        <v>96</v>
      </c>
      <c r="J87" s="21">
        <v>108</v>
      </c>
      <c r="K87" s="83">
        <v>107</v>
      </c>
    </row>
    <row r="88" spans="1:11" x14ac:dyDescent="0.15">
      <c r="A88" s="133" t="s">
        <v>92</v>
      </c>
      <c r="B88" s="21">
        <v>112</v>
      </c>
      <c r="C88" s="21">
        <v>92</v>
      </c>
      <c r="D88" s="21">
        <v>97</v>
      </c>
      <c r="E88" s="21">
        <v>94</v>
      </c>
      <c r="F88" s="21">
        <v>96</v>
      </c>
      <c r="G88" s="21">
        <v>98</v>
      </c>
      <c r="H88" s="21">
        <v>113</v>
      </c>
      <c r="I88" s="21">
        <v>93</v>
      </c>
      <c r="J88" s="21">
        <v>110</v>
      </c>
      <c r="K88" s="83">
        <v>105</v>
      </c>
    </row>
    <row r="89" spans="1:11" x14ac:dyDescent="0.15">
      <c r="A89" s="133"/>
      <c r="B89" s="21"/>
      <c r="C89" s="21"/>
      <c r="D89" s="21"/>
      <c r="E89" s="21"/>
      <c r="F89" s="21"/>
      <c r="G89" s="21"/>
      <c r="H89" s="21"/>
      <c r="I89" s="21"/>
      <c r="J89" s="21"/>
      <c r="K89" s="83"/>
    </row>
    <row r="90" spans="1:11" x14ac:dyDescent="0.15">
      <c r="A90" s="133" t="s">
        <v>93</v>
      </c>
      <c r="B90" s="21">
        <v>111</v>
      </c>
      <c r="C90" s="21">
        <v>95</v>
      </c>
      <c r="D90" s="21">
        <v>98</v>
      </c>
      <c r="E90" s="21">
        <v>95</v>
      </c>
      <c r="F90" s="21">
        <v>97</v>
      </c>
      <c r="G90" s="21">
        <v>99</v>
      </c>
      <c r="H90" s="21">
        <v>111</v>
      </c>
      <c r="I90" s="21">
        <v>95</v>
      </c>
      <c r="J90" s="21">
        <v>109</v>
      </c>
      <c r="K90" s="83">
        <v>106</v>
      </c>
    </row>
    <row r="91" spans="1:11" x14ac:dyDescent="0.15">
      <c r="A91" s="133" t="s">
        <v>94</v>
      </c>
      <c r="B91" s="21">
        <v>113</v>
      </c>
      <c r="C91" s="21">
        <v>93</v>
      </c>
      <c r="D91" s="21">
        <v>95</v>
      </c>
      <c r="E91" s="21">
        <v>95</v>
      </c>
      <c r="F91" s="21">
        <v>95</v>
      </c>
      <c r="G91" s="21">
        <v>100</v>
      </c>
      <c r="H91" s="21">
        <v>114</v>
      </c>
      <c r="I91" s="21">
        <v>93</v>
      </c>
      <c r="J91" s="21">
        <v>109</v>
      </c>
      <c r="K91" s="83">
        <v>108</v>
      </c>
    </row>
    <row r="92" spans="1:11" x14ac:dyDescent="0.15">
      <c r="A92" s="133" t="s">
        <v>95</v>
      </c>
      <c r="B92" s="21">
        <v>111</v>
      </c>
      <c r="C92" s="21">
        <v>93</v>
      </c>
      <c r="D92" s="21">
        <v>94</v>
      </c>
      <c r="E92" s="21">
        <v>95</v>
      </c>
      <c r="F92" s="21">
        <v>95</v>
      </c>
      <c r="G92" s="21">
        <v>100</v>
      </c>
      <c r="H92" s="21">
        <v>113</v>
      </c>
      <c r="I92" s="21">
        <v>92</v>
      </c>
      <c r="J92" s="21">
        <v>110</v>
      </c>
      <c r="K92" s="83">
        <v>106</v>
      </c>
    </row>
    <row r="93" spans="1:11" x14ac:dyDescent="0.15">
      <c r="A93" s="133"/>
      <c r="B93" s="21"/>
      <c r="C93" s="21"/>
      <c r="D93" s="21"/>
      <c r="E93" s="21"/>
      <c r="F93" s="21"/>
      <c r="G93" s="21"/>
      <c r="H93" s="21"/>
      <c r="I93" s="21"/>
      <c r="J93" s="21"/>
      <c r="K93" s="83"/>
    </row>
    <row r="94" spans="1:11" x14ac:dyDescent="0.15">
      <c r="A94" s="133" t="s">
        <v>96</v>
      </c>
      <c r="B94" s="21">
        <v>110</v>
      </c>
      <c r="C94" s="21">
        <v>94</v>
      </c>
      <c r="D94" s="21">
        <v>99</v>
      </c>
      <c r="E94" s="21">
        <v>95</v>
      </c>
      <c r="F94" s="21">
        <v>95</v>
      </c>
      <c r="G94" s="21">
        <v>98</v>
      </c>
      <c r="H94" s="21">
        <v>112</v>
      </c>
      <c r="I94" s="21">
        <v>93</v>
      </c>
      <c r="J94" s="21">
        <v>111</v>
      </c>
      <c r="K94" s="83">
        <v>108</v>
      </c>
    </row>
    <row r="95" spans="1:11" x14ac:dyDescent="0.15">
      <c r="A95" s="133" t="s">
        <v>97</v>
      </c>
      <c r="B95" s="21">
        <v>113</v>
      </c>
      <c r="C95" s="21">
        <v>92</v>
      </c>
      <c r="D95" s="21">
        <v>96</v>
      </c>
      <c r="E95" s="21">
        <v>94</v>
      </c>
      <c r="F95" s="21">
        <v>93</v>
      </c>
      <c r="G95" s="21">
        <v>100</v>
      </c>
      <c r="H95" s="21">
        <v>112</v>
      </c>
      <c r="I95" s="21">
        <v>91</v>
      </c>
      <c r="J95" s="21">
        <v>108</v>
      </c>
      <c r="K95" s="83">
        <v>107</v>
      </c>
    </row>
    <row r="96" spans="1:11" x14ac:dyDescent="0.15">
      <c r="A96" s="133" t="s">
        <v>98</v>
      </c>
      <c r="B96" s="21">
        <v>109</v>
      </c>
      <c r="C96" s="21">
        <v>92</v>
      </c>
      <c r="D96" s="21">
        <v>93</v>
      </c>
      <c r="E96" s="21">
        <v>92</v>
      </c>
      <c r="F96" s="21">
        <v>91</v>
      </c>
      <c r="G96" s="21">
        <v>98</v>
      </c>
      <c r="H96" s="21">
        <v>113</v>
      </c>
      <c r="I96" s="21">
        <v>91</v>
      </c>
      <c r="J96" s="21">
        <v>106</v>
      </c>
      <c r="K96" s="83">
        <v>107</v>
      </c>
    </row>
    <row r="97" spans="1:11" x14ac:dyDescent="0.15">
      <c r="A97" s="133"/>
      <c r="B97" s="21"/>
      <c r="C97" s="21"/>
      <c r="D97" s="21"/>
      <c r="E97" s="21"/>
      <c r="F97" s="21"/>
      <c r="G97" s="21"/>
      <c r="H97" s="21"/>
      <c r="I97" s="21"/>
      <c r="J97" s="21"/>
      <c r="K97" s="83"/>
    </row>
    <row r="98" spans="1:11" x14ac:dyDescent="0.15">
      <c r="A98" s="133" t="s">
        <v>242</v>
      </c>
      <c r="B98" s="21">
        <v>110</v>
      </c>
      <c r="C98" s="21">
        <v>92</v>
      </c>
      <c r="D98" s="21">
        <v>93</v>
      </c>
      <c r="E98" s="21">
        <v>94</v>
      </c>
      <c r="F98" s="21">
        <v>91</v>
      </c>
      <c r="G98" s="21">
        <v>100</v>
      </c>
      <c r="H98" s="21">
        <v>114</v>
      </c>
      <c r="I98" s="21">
        <v>90</v>
      </c>
      <c r="J98" s="21">
        <v>108</v>
      </c>
      <c r="K98" s="83">
        <v>107</v>
      </c>
    </row>
    <row r="99" spans="1:11" x14ac:dyDescent="0.15">
      <c r="A99" s="133" t="s">
        <v>21</v>
      </c>
      <c r="B99" s="21">
        <v>110</v>
      </c>
      <c r="C99" s="21">
        <v>96</v>
      </c>
      <c r="D99" s="21">
        <v>98</v>
      </c>
      <c r="E99" s="21">
        <v>95</v>
      </c>
      <c r="F99" s="21">
        <v>93</v>
      </c>
      <c r="G99" s="21">
        <v>100</v>
      </c>
      <c r="H99" s="21">
        <v>113</v>
      </c>
      <c r="I99" s="21">
        <v>94</v>
      </c>
      <c r="J99" s="21">
        <v>108</v>
      </c>
      <c r="K99" s="83">
        <v>105</v>
      </c>
    </row>
    <row r="100" spans="1:11" x14ac:dyDescent="0.15">
      <c r="A100" s="133" t="s">
        <v>89</v>
      </c>
      <c r="B100" s="21">
        <v>113</v>
      </c>
      <c r="C100" s="21">
        <v>94</v>
      </c>
      <c r="D100" s="21">
        <v>99</v>
      </c>
      <c r="E100" s="21">
        <v>97</v>
      </c>
      <c r="F100" s="21">
        <v>96</v>
      </c>
      <c r="G100" s="21">
        <v>99</v>
      </c>
      <c r="H100" s="21">
        <v>113</v>
      </c>
      <c r="I100" s="21">
        <v>96</v>
      </c>
      <c r="J100" s="21">
        <v>108</v>
      </c>
      <c r="K100" s="83">
        <v>105</v>
      </c>
    </row>
    <row r="101" spans="1:11" x14ac:dyDescent="0.15">
      <c r="A101" s="133"/>
      <c r="B101" s="21"/>
      <c r="C101" s="21"/>
      <c r="D101" s="21"/>
      <c r="E101" s="21"/>
      <c r="F101" s="21"/>
      <c r="G101" s="21"/>
      <c r="H101" s="21"/>
      <c r="I101" s="21"/>
      <c r="J101" s="21"/>
      <c r="K101" s="83"/>
    </row>
    <row r="102" spans="1:11" x14ac:dyDescent="0.15">
      <c r="A102" s="133" t="s">
        <v>90</v>
      </c>
      <c r="B102" s="21">
        <v>109</v>
      </c>
      <c r="C102" s="21">
        <v>94</v>
      </c>
      <c r="D102" s="21">
        <v>97</v>
      </c>
      <c r="E102" s="21">
        <v>97</v>
      </c>
      <c r="F102" s="21">
        <v>94</v>
      </c>
      <c r="G102" s="21">
        <v>98</v>
      </c>
      <c r="H102" s="21">
        <v>113</v>
      </c>
      <c r="I102" s="21">
        <v>93</v>
      </c>
      <c r="J102" s="21">
        <v>107</v>
      </c>
      <c r="K102" s="83">
        <v>103</v>
      </c>
    </row>
    <row r="103" spans="1:11" x14ac:dyDescent="0.15">
      <c r="A103" s="133" t="s">
        <v>91</v>
      </c>
      <c r="B103" s="21">
        <v>109</v>
      </c>
      <c r="C103" s="21">
        <v>92</v>
      </c>
      <c r="D103" s="21">
        <v>95</v>
      </c>
      <c r="E103" s="21">
        <v>94</v>
      </c>
      <c r="F103" s="21">
        <v>96</v>
      </c>
      <c r="G103" s="21">
        <v>95</v>
      </c>
      <c r="H103" s="21">
        <v>111</v>
      </c>
      <c r="I103" s="21">
        <v>93</v>
      </c>
      <c r="J103" s="21">
        <v>108</v>
      </c>
      <c r="K103" s="83">
        <v>104</v>
      </c>
    </row>
    <row r="104" spans="1:11" x14ac:dyDescent="0.15">
      <c r="A104" s="133" t="s">
        <v>92</v>
      </c>
      <c r="B104" s="21">
        <v>112</v>
      </c>
      <c r="C104" s="21">
        <v>95</v>
      </c>
      <c r="D104" s="21">
        <v>97</v>
      </c>
      <c r="E104" s="21">
        <v>95</v>
      </c>
      <c r="F104" s="21">
        <v>98</v>
      </c>
      <c r="G104" s="21">
        <v>98</v>
      </c>
      <c r="H104" s="21">
        <v>113</v>
      </c>
      <c r="I104" s="21">
        <v>93</v>
      </c>
      <c r="J104" s="21">
        <v>109</v>
      </c>
      <c r="K104" s="83">
        <v>105</v>
      </c>
    </row>
    <row r="105" spans="1:11" x14ac:dyDescent="0.15">
      <c r="A105" s="133"/>
      <c r="B105" s="21"/>
      <c r="C105" s="21"/>
      <c r="D105" s="21"/>
      <c r="E105" s="21"/>
      <c r="F105" s="21"/>
      <c r="G105" s="21"/>
      <c r="H105" s="21"/>
      <c r="I105" s="21"/>
      <c r="J105" s="21"/>
      <c r="K105" s="83"/>
    </row>
    <row r="106" spans="1:11" x14ac:dyDescent="0.15">
      <c r="A106" s="133" t="s">
        <v>93</v>
      </c>
      <c r="B106" s="21">
        <v>112</v>
      </c>
      <c r="C106" s="21">
        <v>95</v>
      </c>
      <c r="D106" s="21">
        <v>98</v>
      </c>
      <c r="E106" s="21">
        <v>97</v>
      </c>
      <c r="F106" s="21">
        <v>97</v>
      </c>
      <c r="G106" s="21">
        <v>98</v>
      </c>
      <c r="H106" s="21">
        <v>112</v>
      </c>
      <c r="I106" s="21">
        <v>94</v>
      </c>
      <c r="J106" s="21">
        <v>106</v>
      </c>
      <c r="K106" s="83">
        <v>104</v>
      </c>
    </row>
    <row r="107" spans="1:11" x14ac:dyDescent="0.15">
      <c r="A107" s="133" t="s">
        <v>94</v>
      </c>
      <c r="B107" s="21">
        <v>109</v>
      </c>
      <c r="C107" s="21">
        <v>95</v>
      </c>
      <c r="D107" s="21">
        <v>97</v>
      </c>
      <c r="E107" s="21">
        <v>96</v>
      </c>
      <c r="F107" s="21">
        <v>96</v>
      </c>
      <c r="G107" s="21">
        <v>99</v>
      </c>
      <c r="H107" s="21">
        <v>113</v>
      </c>
      <c r="I107" s="21">
        <v>92</v>
      </c>
      <c r="J107" s="21">
        <v>108</v>
      </c>
      <c r="K107" s="83">
        <v>104</v>
      </c>
    </row>
    <row r="108" spans="1:11" x14ac:dyDescent="0.15">
      <c r="A108" s="133" t="s">
        <v>95</v>
      </c>
      <c r="B108" s="21">
        <v>111</v>
      </c>
      <c r="C108" s="21">
        <v>95</v>
      </c>
      <c r="D108" s="21">
        <v>97</v>
      </c>
      <c r="E108" s="21">
        <v>97</v>
      </c>
      <c r="F108" s="21">
        <v>93</v>
      </c>
      <c r="G108" s="21">
        <v>98</v>
      </c>
      <c r="H108" s="21">
        <v>113</v>
      </c>
      <c r="I108" s="21">
        <v>93</v>
      </c>
      <c r="J108" s="21">
        <v>106</v>
      </c>
      <c r="K108" s="83">
        <v>104</v>
      </c>
    </row>
    <row r="109" spans="1:11" x14ac:dyDescent="0.15">
      <c r="A109" s="133"/>
      <c r="B109" s="21"/>
      <c r="C109" s="21"/>
      <c r="D109" s="21"/>
      <c r="E109" s="21"/>
      <c r="F109" s="21"/>
      <c r="G109" s="21"/>
      <c r="H109" s="21"/>
      <c r="I109" s="21"/>
      <c r="J109" s="21"/>
      <c r="K109" s="83"/>
    </row>
    <row r="110" spans="1:11" x14ac:dyDescent="0.15">
      <c r="A110" s="133" t="s">
        <v>96</v>
      </c>
      <c r="B110" s="21">
        <v>113</v>
      </c>
      <c r="C110" s="21">
        <v>96</v>
      </c>
      <c r="D110" s="21">
        <v>97</v>
      </c>
      <c r="E110" s="21">
        <v>95</v>
      </c>
      <c r="F110" s="21">
        <v>95</v>
      </c>
      <c r="G110" s="21">
        <v>99</v>
      </c>
      <c r="H110" s="21">
        <v>113</v>
      </c>
      <c r="I110" s="21">
        <v>93</v>
      </c>
      <c r="J110" s="21">
        <v>105</v>
      </c>
      <c r="K110" s="83">
        <v>107</v>
      </c>
    </row>
    <row r="111" spans="1:11" x14ac:dyDescent="0.15">
      <c r="A111" s="133" t="s">
        <v>97</v>
      </c>
      <c r="B111" s="21">
        <v>112</v>
      </c>
      <c r="C111" s="21">
        <v>96</v>
      </c>
      <c r="D111" s="21">
        <v>97</v>
      </c>
      <c r="E111" s="21">
        <v>95</v>
      </c>
      <c r="F111" s="21">
        <v>92</v>
      </c>
      <c r="G111" s="21">
        <v>98</v>
      </c>
      <c r="H111" s="21">
        <v>114</v>
      </c>
      <c r="I111" s="21">
        <v>92</v>
      </c>
      <c r="J111" s="21">
        <v>105</v>
      </c>
      <c r="K111" s="83">
        <v>104</v>
      </c>
    </row>
    <row r="112" spans="1:11" x14ac:dyDescent="0.15">
      <c r="A112" s="133" t="s">
        <v>98</v>
      </c>
      <c r="B112" s="21">
        <v>101</v>
      </c>
      <c r="C112" s="21">
        <v>89</v>
      </c>
      <c r="D112" s="21">
        <v>90</v>
      </c>
      <c r="E112" s="21">
        <v>88</v>
      </c>
      <c r="F112" s="21">
        <v>86</v>
      </c>
      <c r="G112" s="21">
        <v>96</v>
      </c>
      <c r="H112" s="21">
        <v>110</v>
      </c>
      <c r="I112" s="21">
        <v>86</v>
      </c>
      <c r="J112" s="21">
        <v>105</v>
      </c>
      <c r="K112" s="83">
        <v>104</v>
      </c>
    </row>
    <row r="113" spans="1:11" x14ac:dyDescent="0.15">
      <c r="A113" s="133"/>
      <c r="B113" s="21"/>
      <c r="C113" s="21"/>
      <c r="D113" s="21"/>
      <c r="E113" s="21"/>
      <c r="F113" s="21"/>
      <c r="G113" s="21"/>
      <c r="H113" s="21"/>
      <c r="I113" s="21"/>
      <c r="J113" s="21"/>
      <c r="K113" s="83"/>
    </row>
    <row r="114" spans="1:11" x14ac:dyDescent="0.15">
      <c r="A114" s="133" t="s">
        <v>275</v>
      </c>
      <c r="B114" s="21">
        <v>104</v>
      </c>
      <c r="C114" s="21">
        <v>89</v>
      </c>
      <c r="D114" s="21">
        <v>89</v>
      </c>
      <c r="E114" s="21">
        <v>87</v>
      </c>
      <c r="F114" s="21">
        <v>82</v>
      </c>
      <c r="G114" s="21">
        <v>95</v>
      </c>
      <c r="H114" s="21">
        <v>112</v>
      </c>
      <c r="I114" s="21">
        <v>84</v>
      </c>
      <c r="J114" s="21">
        <v>104</v>
      </c>
      <c r="K114" s="83">
        <v>105</v>
      </c>
    </row>
    <row r="115" spans="1:11" x14ac:dyDescent="0.15">
      <c r="A115" s="133" t="s">
        <v>21</v>
      </c>
      <c r="B115" s="21">
        <v>104</v>
      </c>
      <c r="C115" s="21">
        <v>90</v>
      </c>
      <c r="D115" s="21">
        <v>93</v>
      </c>
      <c r="E115" s="21">
        <v>90</v>
      </c>
      <c r="F115" s="21">
        <v>86</v>
      </c>
      <c r="G115" s="21">
        <v>98</v>
      </c>
      <c r="H115" s="21">
        <v>112</v>
      </c>
      <c r="I115" s="21">
        <v>87</v>
      </c>
      <c r="J115" s="21">
        <v>107</v>
      </c>
      <c r="K115" s="83">
        <v>105</v>
      </c>
    </row>
    <row r="116" spans="1:11" x14ac:dyDescent="0.15">
      <c r="A116" s="133" t="s">
        <v>285</v>
      </c>
      <c r="B116" s="21">
        <v>106</v>
      </c>
      <c r="C116" s="21">
        <v>89</v>
      </c>
      <c r="D116" s="21">
        <v>92</v>
      </c>
      <c r="E116" s="21">
        <v>92</v>
      </c>
      <c r="F116" s="21">
        <v>89</v>
      </c>
      <c r="G116" s="21">
        <v>100</v>
      </c>
      <c r="H116" s="21">
        <v>112</v>
      </c>
      <c r="I116" s="21">
        <v>88</v>
      </c>
      <c r="J116" s="21">
        <v>105</v>
      </c>
      <c r="K116" s="83">
        <v>105</v>
      </c>
    </row>
    <row r="117" spans="1:11" x14ac:dyDescent="0.15">
      <c r="A117" s="133"/>
      <c r="B117" s="21"/>
      <c r="C117" s="21"/>
      <c r="D117" s="21"/>
      <c r="E117" s="21"/>
      <c r="F117" s="21"/>
      <c r="G117" s="21"/>
      <c r="H117" s="21"/>
      <c r="I117" s="21"/>
      <c r="J117" s="21"/>
      <c r="K117" s="83"/>
    </row>
    <row r="118" spans="1:11" x14ac:dyDescent="0.15">
      <c r="A118" s="133" t="s">
        <v>123</v>
      </c>
      <c r="B118" s="21">
        <v>106</v>
      </c>
      <c r="C118" s="21">
        <v>87</v>
      </c>
      <c r="D118" s="21">
        <v>92</v>
      </c>
      <c r="E118" s="21">
        <v>92</v>
      </c>
      <c r="F118" s="21">
        <v>88</v>
      </c>
      <c r="G118" s="21">
        <v>94</v>
      </c>
      <c r="H118" s="21">
        <v>112</v>
      </c>
      <c r="I118" s="21">
        <v>87</v>
      </c>
      <c r="J118" s="21">
        <v>107</v>
      </c>
      <c r="K118" s="83">
        <v>103</v>
      </c>
    </row>
    <row r="119" spans="1:11" x14ac:dyDescent="0.15">
      <c r="A119" s="133" t="s">
        <v>134</v>
      </c>
      <c r="B119" s="21">
        <v>106</v>
      </c>
      <c r="C119" s="21">
        <v>93</v>
      </c>
      <c r="D119" s="21">
        <v>96</v>
      </c>
      <c r="E119" s="21">
        <v>95</v>
      </c>
      <c r="F119" s="21">
        <v>93</v>
      </c>
      <c r="G119" s="21">
        <v>97</v>
      </c>
      <c r="H119" s="21">
        <v>112</v>
      </c>
      <c r="I119" s="21">
        <v>91</v>
      </c>
      <c r="J119" s="21">
        <v>106</v>
      </c>
      <c r="K119" s="83">
        <v>104</v>
      </c>
    </row>
    <row r="120" spans="1:11" x14ac:dyDescent="0.15">
      <c r="A120" s="133" t="s">
        <v>92</v>
      </c>
      <c r="B120" s="21">
        <v>110</v>
      </c>
      <c r="C120" s="21">
        <v>94</v>
      </c>
      <c r="D120" s="21">
        <v>98</v>
      </c>
      <c r="E120" s="21">
        <v>98</v>
      </c>
      <c r="F120" s="21">
        <v>97</v>
      </c>
      <c r="G120" s="21">
        <v>99</v>
      </c>
      <c r="H120" s="21">
        <v>114</v>
      </c>
      <c r="I120" s="21">
        <v>95</v>
      </c>
      <c r="J120" s="21">
        <v>107</v>
      </c>
      <c r="K120" s="83">
        <v>104</v>
      </c>
    </row>
    <row r="121" spans="1:11" x14ac:dyDescent="0.15">
      <c r="A121" s="133"/>
      <c r="B121" s="21"/>
      <c r="C121" s="21"/>
      <c r="D121" s="21"/>
      <c r="E121" s="21"/>
      <c r="F121" s="21"/>
      <c r="G121" s="21"/>
      <c r="H121" s="21"/>
      <c r="I121" s="21"/>
      <c r="J121" s="21"/>
      <c r="K121" s="83"/>
    </row>
    <row r="122" spans="1:11" x14ac:dyDescent="0.15">
      <c r="A122" s="133" t="s">
        <v>93</v>
      </c>
      <c r="B122" s="21">
        <v>110</v>
      </c>
      <c r="C122" s="21">
        <v>95</v>
      </c>
      <c r="D122" s="21">
        <v>97</v>
      </c>
      <c r="E122" s="21">
        <v>98</v>
      </c>
      <c r="F122" s="21">
        <v>98</v>
      </c>
      <c r="G122" s="21">
        <v>99</v>
      </c>
      <c r="H122" s="21">
        <v>112</v>
      </c>
      <c r="I122" s="21">
        <v>95</v>
      </c>
      <c r="J122" s="21">
        <v>105</v>
      </c>
      <c r="K122" s="83">
        <v>104</v>
      </c>
    </row>
    <row r="123" spans="1:11" x14ac:dyDescent="0.15">
      <c r="A123" s="254" t="s">
        <v>300</v>
      </c>
      <c r="B123" s="252">
        <v>112</v>
      </c>
      <c r="C123" s="252">
        <v>97</v>
      </c>
      <c r="D123" s="252">
        <v>97</v>
      </c>
      <c r="E123" s="252">
        <v>101</v>
      </c>
      <c r="F123" s="252">
        <v>98</v>
      </c>
      <c r="G123" s="252">
        <v>97</v>
      </c>
      <c r="H123" s="252">
        <v>114</v>
      </c>
      <c r="I123" s="252">
        <v>95</v>
      </c>
      <c r="J123" s="252">
        <v>106</v>
      </c>
      <c r="K123" s="253">
        <v>105</v>
      </c>
    </row>
    <row r="124" spans="1:11" x14ac:dyDescent="0.15">
      <c r="A124" s="258" t="s">
        <v>95</v>
      </c>
      <c r="B124" s="252">
        <v>109</v>
      </c>
      <c r="C124" s="252">
        <v>97</v>
      </c>
      <c r="D124" s="252">
        <v>98</v>
      </c>
      <c r="E124" s="252">
        <v>98</v>
      </c>
      <c r="F124" s="252">
        <v>98</v>
      </c>
      <c r="G124" s="252">
        <v>99</v>
      </c>
      <c r="H124" s="252">
        <v>114</v>
      </c>
      <c r="I124" s="252">
        <v>94</v>
      </c>
      <c r="J124" s="252">
        <v>106</v>
      </c>
      <c r="K124" s="253">
        <v>105</v>
      </c>
    </row>
    <row r="125" spans="1:11" x14ac:dyDescent="0.15">
      <c r="A125" s="258"/>
      <c r="B125" s="252"/>
      <c r="C125" s="252"/>
      <c r="D125" s="252"/>
      <c r="E125" s="252"/>
      <c r="F125" s="252"/>
      <c r="G125" s="252"/>
      <c r="H125" s="252"/>
      <c r="I125" s="252"/>
      <c r="J125" s="252"/>
      <c r="K125" s="253"/>
    </row>
    <row r="126" spans="1:11" x14ac:dyDescent="0.15">
      <c r="A126" s="258" t="s">
        <v>307</v>
      </c>
      <c r="B126" s="252">
        <v>112</v>
      </c>
      <c r="C126" s="252">
        <v>96</v>
      </c>
      <c r="D126" s="252">
        <v>100</v>
      </c>
      <c r="E126" s="252">
        <v>97</v>
      </c>
      <c r="F126" s="252">
        <v>96</v>
      </c>
      <c r="G126" s="252">
        <v>99</v>
      </c>
      <c r="H126" s="252">
        <v>114</v>
      </c>
      <c r="I126" s="252">
        <v>93</v>
      </c>
      <c r="J126" s="252">
        <v>107</v>
      </c>
      <c r="K126" s="253">
        <v>106</v>
      </c>
    </row>
    <row r="127" spans="1:11" x14ac:dyDescent="0.15">
      <c r="A127" s="258" t="s">
        <v>97</v>
      </c>
      <c r="B127" s="252">
        <v>110</v>
      </c>
      <c r="C127" s="252">
        <v>97</v>
      </c>
      <c r="D127" s="252">
        <v>99</v>
      </c>
      <c r="E127" s="252">
        <v>99</v>
      </c>
      <c r="F127" s="252">
        <v>97</v>
      </c>
      <c r="G127" s="252">
        <v>97</v>
      </c>
      <c r="H127" s="252">
        <v>113</v>
      </c>
      <c r="I127" s="252">
        <v>94</v>
      </c>
      <c r="J127" s="252">
        <v>105</v>
      </c>
      <c r="K127" s="253">
        <v>105</v>
      </c>
    </row>
    <row r="128" spans="1:11" x14ac:dyDescent="0.15">
      <c r="A128" s="258" t="s">
        <v>314</v>
      </c>
      <c r="B128" s="252">
        <v>112</v>
      </c>
      <c r="C128" s="252">
        <v>95</v>
      </c>
      <c r="D128" s="252">
        <v>99</v>
      </c>
      <c r="E128" s="252">
        <v>95</v>
      </c>
      <c r="F128" s="252">
        <v>98</v>
      </c>
      <c r="G128" s="252">
        <v>98</v>
      </c>
      <c r="H128" s="252">
        <v>112</v>
      </c>
      <c r="I128" s="252">
        <v>94</v>
      </c>
      <c r="J128" s="252">
        <v>107</v>
      </c>
      <c r="K128" s="253">
        <v>104</v>
      </c>
    </row>
    <row r="129" spans="1:11" x14ac:dyDescent="0.15">
      <c r="A129" s="258"/>
      <c r="B129" s="252"/>
      <c r="C129" s="252"/>
      <c r="D129" s="252"/>
      <c r="E129" s="252"/>
      <c r="F129" s="252"/>
      <c r="G129" s="252"/>
      <c r="H129" s="252"/>
      <c r="I129" s="252"/>
      <c r="J129" s="252"/>
      <c r="K129" s="253"/>
    </row>
    <row r="130" spans="1:11" x14ac:dyDescent="0.15">
      <c r="A130" s="258" t="s">
        <v>318</v>
      </c>
      <c r="B130" s="252">
        <v>111</v>
      </c>
      <c r="C130" s="252">
        <v>95</v>
      </c>
      <c r="D130" s="252">
        <v>97</v>
      </c>
      <c r="E130" s="252">
        <v>97</v>
      </c>
      <c r="F130" s="252">
        <v>99</v>
      </c>
      <c r="G130" s="252">
        <v>99</v>
      </c>
      <c r="H130" s="252">
        <v>114</v>
      </c>
      <c r="I130" s="252">
        <v>96</v>
      </c>
      <c r="J130" s="252">
        <v>105</v>
      </c>
      <c r="K130" s="253">
        <v>107</v>
      </c>
    </row>
    <row r="131" spans="1:11" x14ac:dyDescent="0.15">
      <c r="A131" s="258" t="s">
        <v>21</v>
      </c>
      <c r="B131" s="252">
        <f ca="1">IF($C131="","",[1]!BTSP(B$2,$C131))</f>
        <v>113</v>
      </c>
      <c r="C131" s="252">
        <f ca="1">IF($C131="","",[1]!BTSP(C$2,$C131))</f>
        <v>96</v>
      </c>
      <c r="D131" s="252">
        <f ca="1">IF($C131="","",[1]!BTSP(D$2,$C131))</f>
        <v>99</v>
      </c>
      <c r="E131" s="252">
        <f ca="1">IF($C131="","",[1]!BTSP(E$2,$C131))</f>
        <v>99</v>
      </c>
      <c r="F131" s="252">
        <f ca="1">IF($C131="","",[1]!BTSP(F$2,$C131))</f>
        <v>99</v>
      </c>
      <c r="G131" s="252">
        <f ca="1">IF($C131="","",[1]!BTSP(G$2,$C131))</f>
        <v>102</v>
      </c>
      <c r="H131" s="252">
        <f ca="1">IF($C131="","",[1]!BTSP(H$2,$C131))</f>
        <v>114</v>
      </c>
      <c r="I131" s="252">
        <f ca="1">IF($C131="","",[1]!BTSP(I$2,$C131))</f>
        <v>93</v>
      </c>
      <c r="J131" s="252">
        <f ca="1">IF($C131="","",[1]!BTSP(J$2,$C131))</f>
        <v>108</v>
      </c>
      <c r="K131" s="253">
        <f ca="1">IF($C131="","",[1]!BTSP(K$2,$C131))</f>
        <v>108</v>
      </c>
    </row>
    <row r="132" spans="1:11" x14ac:dyDescent="0.15">
      <c r="A132" s="258" t="s">
        <v>155</v>
      </c>
      <c r="B132" s="252">
        <f ca="1">IF($C132="","",[1]!BTSP(B$2,$C132))</f>
        <v>111</v>
      </c>
      <c r="C132" s="252">
        <f ca="1">IF($C132="","",[1]!BTSP(C$2,$C132))</f>
        <v>90</v>
      </c>
      <c r="D132" s="252">
        <f ca="1">IF($C132="","",[1]!BTSP(D$2,$C132))</f>
        <v>98</v>
      </c>
      <c r="E132" s="252">
        <f ca="1">IF($C132="","",[1]!BTSP(E$2,$C132))</f>
        <v>96</v>
      </c>
      <c r="F132" s="252">
        <f ca="1">IF($C132="","",[1]!BTSP(F$2,$C132))</f>
        <v>95</v>
      </c>
      <c r="G132" s="252">
        <f ca="1">IF($C132="","",[1]!BTSP(G$2,$C132))</f>
        <v>99</v>
      </c>
      <c r="H132" s="252">
        <f ca="1">IF($C132="","",[1]!BTSP(H$2,$C132))</f>
        <v>113</v>
      </c>
      <c r="I132" s="252">
        <f ca="1">IF($C132="","",[1]!BTSP(I$2,$C132))</f>
        <v>93</v>
      </c>
      <c r="J132" s="252">
        <f ca="1">IF($C132="","",[1]!BTSP(J$2,$C132))</f>
        <v>112</v>
      </c>
      <c r="K132" s="253">
        <f ca="1">IF($C132="","",[1]!BTSP(K$2,$C132))</f>
        <v>105</v>
      </c>
    </row>
    <row r="133" spans="1:11" x14ac:dyDescent="0.15">
      <c r="A133" s="258"/>
      <c r="B133" s="252"/>
      <c r="C133" s="252"/>
      <c r="D133" s="252"/>
      <c r="E133" s="252"/>
      <c r="F133" s="252"/>
      <c r="G133" s="252"/>
      <c r="H133" s="252"/>
      <c r="I133" s="252"/>
      <c r="J133" s="252"/>
      <c r="K133" s="253"/>
    </row>
    <row r="134" spans="1:11" x14ac:dyDescent="0.15">
      <c r="A134" s="258" t="s">
        <v>123</v>
      </c>
      <c r="B134" s="252">
        <f ca="1">IF($C134="","",[1]!BTSP(B$2,$C134))</f>
        <v>109</v>
      </c>
      <c r="C134" s="252">
        <f ca="1">IF($C134="","",[1]!BTSP(C$2,$C134))</f>
        <v>92</v>
      </c>
      <c r="D134" s="252">
        <f ca="1">IF($C134="","",[1]!BTSP(D$2,$C134))</f>
        <v>95</v>
      </c>
      <c r="E134" s="252">
        <f ca="1">IF($C134="","",[1]!BTSP(E$2,$C134))</f>
        <v>93</v>
      </c>
      <c r="F134" s="252">
        <f ca="1">IF($C134="","",[1]!BTSP(F$2,$C134))</f>
        <v>91</v>
      </c>
      <c r="G134" s="252">
        <f ca="1">IF($C134="","",[1]!BTSP(G$2,$C134))</f>
        <v>96</v>
      </c>
      <c r="H134" s="252">
        <f ca="1">IF($C134="","",[1]!BTSP(H$2,$C134))</f>
        <v>114</v>
      </c>
      <c r="I134" s="252">
        <f ca="1">IF($C134="","",[1]!BTSP(I$2,$C134))</f>
        <v>90</v>
      </c>
      <c r="J134" s="252">
        <f ca="1">IF($C134="","",[1]!BTSP(J$2,$C134))</f>
        <v>113</v>
      </c>
      <c r="K134" s="253">
        <f ca="1">IF($C134="","",[1]!BTSP(K$2,$C134))</f>
        <v>107</v>
      </c>
    </row>
    <row r="135" spans="1:11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</sheetData>
  <mergeCells count="2">
    <mergeCell ref="B3:B4"/>
    <mergeCell ref="A3:A4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horizontalDpi="4294967294" verticalDpi="4294967294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  <pageSetUpPr fitToPage="1"/>
  </sheetPr>
  <dimension ref="A1:O136"/>
  <sheetViews>
    <sheetView view="pageBreakPreview" zoomScale="90" zoomScaleNormal="100" zoomScaleSheetLayoutView="90" workbookViewId="0">
      <pane xSplit="1" ySplit="3" topLeftCell="B94" activePane="bottomRight" state="frozen"/>
      <selection pane="topRight" activeCell="B1" sqref="B1"/>
      <selection pane="bottomLeft" activeCell="A4" sqref="A4"/>
      <selection pane="bottomRight" activeCell="D129" sqref="D129"/>
    </sheetView>
  </sheetViews>
  <sheetFormatPr defaultRowHeight="13.5" x14ac:dyDescent="0.15"/>
  <cols>
    <col min="1" max="1" width="10.77734375" style="6" customWidth="1"/>
    <col min="2" max="6" width="14.77734375" style="6" customWidth="1"/>
    <col min="7" max="7" width="9.77734375" style="6" customWidth="1"/>
    <col min="8" max="16384" width="8.88671875" style="6"/>
  </cols>
  <sheetData>
    <row r="1" spans="1:11" ht="18.75" x14ac:dyDescent="0.25">
      <c r="A1" s="90" t="s">
        <v>72</v>
      </c>
      <c r="B1" s="56"/>
      <c r="C1" s="56"/>
      <c r="D1" s="56"/>
      <c r="E1" s="56"/>
      <c r="F1" s="56"/>
    </row>
    <row r="2" spans="1:11" s="100" customFormat="1" x14ac:dyDescent="0.15">
      <c r="A2" s="97" t="s">
        <v>30</v>
      </c>
      <c r="B2" s="98"/>
      <c r="C2" s="98"/>
      <c r="D2" s="98"/>
      <c r="E2" s="98"/>
      <c r="F2" s="99" t="s">
        <v>85</v>
      </c>
    </row>
    <row r="3" spans="1:11" s="10" customFormat="1" ht="13.5" customHeight="1" x14ac:dyDescent="0.15">
      <c r="A3" s="49" t="s">
        <v>55</v>
      </c>
      <c r="B3" s="5" t="s">
        <v>73</v>
      </c>
      <c r="C3" s="5" t="s">
        <v>74</v>
      </c>
      <c r="D3" s="5" t="s">
        <v>75</v>
      </c>
      <c r="E3" s="5" t="s">
        <v>76</v>
      </c>
      <c r="F3" s="48" t="s">
        <v>77</v>
      </c>
    </row>
    <row r="4" spans="1:11" s="7" customFormat="1" ht="13.5" customHeight="1" x14ac:dyDescent="0.15">
      <c r="A4" s="75">
        <v>2012</v>
      </c>
      <c r="B4" s="96">
        <v>47094</v>
      </c>
      <c r="C4" s="96">
        <v>37091</v>
      </c>
      <c r="D4" s="96">
        <v>2272</v>
      </c>
      <c r="E4" s="96">
        <v>7589</v>
      </c>
      <c r="F4" s="95">
        <v>142</v>
      </c>
      <c r="G4" s="11"/>
      <c r="H4" s="2"/>
      <c r="I4" s="2"/>
      <c r="J4" s="2"/>
      <c r="K4" s="2"/>
    </row>
    <row r="5" spans="1:11" s="7" customFormat="1" ht="13.5" customHeight="1" x14ac:dyDescent="0.15">
      <c r="A5" s="75">
        <v>2013</v>
      </c>
      <c r="B5" s="96">
        <v>47832</v>
      </c>
      <c r="C5" s="96">
        <v>36301</v>
      </c>
      <c r="D5" s="96">
        <v>2656</v>
      </c>
      <c r="E5" s="96">
        <v>8696</v>
      </c>
      <c r="F5" s="95">
        <v>179</v>
      </c>
      <c r="G5" s="11"/>
      <c r="H5" s="2"/>
      <c r="I5" s="2"/>
      <c r="J5" s="2"/>
      <c r="K5" s="2"/>
    </row>
    <row r="6" spans="1:11" s="7" customFormat="1" ht="13.5" customHeight="1" x14ac:dyDescent="0.15">
      <c r="A6" s="75">
        <v>2014</v>
      </c>
      <c r="B6" s="96">
        <v>50957</v>
      </c>
      <c r="C6" s="96">
        <v>39362</v>
      </c>
      <c r="D6" s="96">
        <v>2084</v>
      </c>
      <c r="E6" s="96">
        <v>9318</v>
      </c>
      <c r="F6" s="95">
        <v>193</v>
      </c>
      <c r="G6" s="11"/>
      <c r="H6" s="2"/>
      <c r="I6" s="2"/>
      <c r="J6" s="2"/>
      <c r="K6" s="2"/>
    </row>
    <row r="7" spans="1:11" s="7" customFormat="1" ht="13.5" customHeight="1" x14ac:dyDescent="0.15">
      <c r="A7" s="75">
        <v>2015</v>
      </c>
      <c r="B7" s="96">
        <v>55024</v>
      </c>
      <c r="C7" s="96">
        <v>43338</v>
      </c>
      <c r="D7" s="96">
        <v>2033</v>
      </c>
      <c r="E7" s="96">
        <v>9449</v>
      </c>
      <c r="F7" s="95">
        <v>204</v>
      </c>
      <c r="G7" s="11"/>
      <c r="H7" s="2"/>
      <c r="I7" s="2"/>
      <c r="J7" s="2"/>
      <c r="K7" s="2"/>
    </row>
    <row r="8" spans="1:11" s="7" customFormat="1" ht="13.5" customHeight="1" x14ac:dyDescent="0.15">
      <c r="A8" s="75"/>
      <c r="B8" s="96" t="s">
        <v>207</v>
      </c>
      <c r="C8" s="96" t="s">
        <v>207</v>
      </c>
      <c r="D8" s="96" t="s">
        <v>207</v>
      </c>
      <c r="E8" s="96" t="s">
        <v>207</v>
      </c>
      <c r="F8" s="95" t="s">
        <v>207</v>
      </c>
      <c r="G8" s="11"/>
      <c r="H8" s="2"/>
      <c r="I8" s="2"/>
      <c r="J8" s="2"/>
      <c r="K8" s="2"/>
    </row>
    <row r="9" spans="1:11" s="7" customFormat="1" ht="13.5" customHeight="1" x14ac:dyDescent="0.15">
      <c r="A9" s="75">
        <v>2016</v>
      </c>
      <c r="B9" s="96">
        <v>54984</v>
      </c>
      <c r="C9" s="96">
        <v>43385</v>
      </c>
      <c r="D9" s="96">
        <v>1624</v>
      </c>
      <c r="E9" s="96">
        <v>9718</v>
      </c>
      <c r="F9" s="95">
        <v>257</v>
      </c>
      <c r="G9" s="11"/>
      <c r="H9" s="2"/>
      <c r="I9" s="2"/>
      <c r="J9" s="2"/>
      <c r="K9" s="2"/>
    </row>
    <row r="10" spans="1:11" s="7" customFormat="1" ht="13.5" customHeight="1" x14ac:dyDescent="0.15">
      <c r="A10" s="75">
        <v>2017</v>
      </c>
      <c r="B10" s="96">
        <v>56653</v>
      </c>
      <c r="C10" s="96">
        <v>43922</v>
      </c>
      <c r="D10" s="96">
        <v>1696</v>
      </c>
      <c r="E10" s="96">
        <v>10729</v>
      </c>
      <c r="F10" s="95">
        <v>306</v>
      </c>
      <c r="G10" s="11"/>
      <c r="H10" s="2"/>
      <c r="I10" s="2"/>
      <c r="J10" s="2"/>
      <c r="K10" s="2"/>
    </row>
    <row r="11" spans="1:11" s="7" customFormat="1" ht="13.5" customHeight="1" x14ac:dyDescent="0.15">
      <c r="A11" s="75">
        <v>2018</v>
      </c>
      <c r="B11" s="96">
        <v>54717</v>
      </c>
      <c r="C11" s="96">
        <v>41806</v>
      </c>
      <c r="D11" s="96">
        <v>1576</v>
      </c>
      <c r="E11" s="96">
        <v>11008</v>
      </c>
      <c r="F11" s="95">
        <v>327</v>
      </c>
      <c r="G11" s="11"/>
      <c r="H11" s="2"/>
      <c r="I11" s="2"/>
      <c r="J11" s="2"/>
      <c r="K11" s="2"/>
    </row>
    <row r="12" spans="1:11" s="7" customFormat="1" ht="13.5" customHeight="1" x14ac:dyDescent="0.15">
      <c r="A12" s="75">
        <v>2019</v>
      </c>
      <c r="B12" s="96">
        <v>53254</v>
      </c>
      <c r="C12" s="96">
        <v>40796</v>
      </c>
      <c r="D12" s="96">
        <v>1534</v>
      </c>
      <c r="E12" s="96">
        <v>10659</v>
      </c>
      <c r="F12" s="95">
        <v>265</v>
      </c>
      <c r="G12" s="11"/>
      <c r="H12" s="2"/>
      <c r="I12" s="2"/>
      <c r="J12" s="2"/>
      <c r="K12" s="2"/>
    </row>
    <row r="13" spans="1:11" s="7" customFormat="1" ht="13.5" customHeight="1" x14ac:dyDescent="0.15">
      <c r="A13" s="75">
        <v>2020</v>
      </c>
      <c r="B13" s="96">
        <v>57015</v>
      </c>
      <c r="C13" s="96">
        <v>44559</v>
      </c>
      <c r="D13" s="96">
        <v>1186</v>
      </c>
      <c r="E13" s="96">
        <v>10874</v>
      </c>
      <c r="F13" s="95">
        <v>396</v>
      </c>
      <c r="G13" s="11"/>
      <c r="H13" s="2"/>
      <c r="I13" s="2"/>
      <c r="J13" s="2"/>
      <c r="K13" s="2"/>
    </row>
    <row r="14" spans="1:11" s="7" customFormat="1" ht="13.5" customHeight="1" x14ac:dyDescent="0.15">
      <c r="A14" s="75"/>
      <c r="B14" s="96" t="s">
        <v>207</v>
      </c>
      <c r="C14" s="96" t="s">
        <v>207</v>
      </c>
      <c r="D14" s="96" t="s">
        <v>207</v>
      </c>
      <c r="E14" s="96" t="s">
        <v>207</v>
      </c>
      <c r="F14" s="95" t="s">
        <v>207</v>
      </c>
      <c r="G14" s="11"/>
      <c r="H14" s="2"/>
      <c r="I14" s="2"/>
      <c r="J14" s="2"/>
      <c r="K14" s="2"/>
    </row>
    <row r="15" spans="1:11" s="7" customFormat="1" ht="13.5" customHeight="1" x14ac:dyDescent="0.15">
      <c r="A15" s="75">
        <v>2021</v>
      </c>
      <c r="B15" s="96">
        <v>51947</v>
      </c>
      <c r="C15" s="96">
        <v>40169</v>
      </c>
      <c r="D15" s="96">
        <v>820</v>
      </c>
      <c r="E15" s="96">
        <v>10413</v>
      </c>
      <c r="F15" s="95">
        <v>545</v>
      </c>
      <c r="G15" s="11"/>
      <c r="H15" s="2"/>
      <c r="I15" s="2"/>
      <c r="J15" s="2"/>
      <c r="K15" s="2"/>
    </row>
    <row r="16" spans="1:11" s="7" customFormat="1" ht="13.5" customHeight="1" x14ac:dyDescent="0.15">
      <c r="A16" s="75">
        <v>2022</v>
      </c>
      <c r="B16" s="96">
        <v>50063</v>
      </c>
      <c r="C16" s="96">
        <v>37773</v>
      </c>
      <c r="D16" s="96">
        <v>794</v>
      </c>
      <c r="E16" s="96">
        <v>10947</v>
      </c>
      <c r="F16" s="95">
        <v>549</v>
      </c>
      <c r="G16" s="11"/>
      <c r="H16" s="2"/>
      <c r="I16" s="2"/>
      <c r="J16" s="2"/>
      <c r="K16" s="2"/>
    </row>
    <row r="17" spans="1:11" s="7" customFormat="1" ht="13.5" customHeight="1" x14ac:dyDescent="0.15">
      <c r="A17" s="75">
        <v>2023</v>
      </c>
      <c r="B17" s="96">
        <v>53613</v>
      </c>
      <c r="C17" s="96">
        <v>41702</v>
      </c>
      <c r="D17" s="96">
        <v>1035</v>
      </c>
      <c r="E17" s="96">
        <v>10486</v>
      </c>
      <c r="F17" s="95">
        <v>390</v>
      </c>
      <c r="G17" s="11"/>
      <c r="H17" s="2"/>
      <c r="I17" s="2"/>
      <c r="J17" s="2"/>
      <c r="K17" s="2"/>
    </row>
    <row r="18" spans="1:11" s="7" customFormat="1" ht="14.25" customHeight="1" x14ac:dyDescent="0.15">
      <c r="A18" s="77"/>
      <c r="B18" s="96"/>
      <c r="C18" s="96"/>
      <c r="D18" s="96"/>
      <c r="E18" s="96"/>
      <c r="F18" s="95"/>
      <c r="G18" s="11"/>
      <c r="H18" s="2"/>
      <c r="I18" s="2"/>
      <c r="J18" s="2"/>
      <c r="K18" s="2"/>
    </row>
    <row r="19" spans="1:11" s="7" customFormat="1" ht="14.25" customHeight="1" x14ac:dyDescent="0.15">
      <c r="A19" s="77" t="s">
        <v>148</v>
      </c>
      <c r="B19" s="96">
        <v>4811</v>
      </c>
      <c r="C19" s="96">
        <v>3572</v>
      </c>
      <c r="D19" s="96">
        <v>130</v>
      </c>
      <c r="E19" s="96">
        <v>1085</v>
      </c>
      <c r="F19" s="95">
        <v>24</v>
      </c>
      <c r="G19" s="11"/>
      <c r="H19" s="2"/>
      <c r="I19" s="2"/>
      <c r="J19" s="2"/>
      <c r="K19" s="2"/>
    </row>
    <row r="20" spans="1:11" s="7" customFormat="1" ht="14.25" customHeight="1" x14ac:dyDescent="0.15">
      <c r="A20" s="77" t="s">
        <v>21</v>
      </c>
      <c r="B20" s="96">
        <v>3511</v>
      </c>
      <c r="C20" s="96">
        <v>2655</v>
      </c>
      <c r="D20" s="96">
        <v>119</v>
      </c>
      <c r="E20" s="96">
        <v>725</v>
      </c>
      <c r="F20" s="95">
        <v>12</v>
      </c>
      <c r="G20" s="11"/>
      <c r="H20" s="2"/>
      <c r="I20" s="2"/>
      <c r="J20" s="2"/>
      <c r="K20" s="2"/>
    </row>
    <row r="21" spans="1:11" s="7" customFormat="1" ht="14.25" customHeight="1" x14ac:dyDescent="0.15">
      <c r="A21" s="77" t="s">
        <v>89</v>
      </c>
      <c r="B21" s="96">
        <v>4575</v>
      </c>
      <c r="C21" s="96">
        <v>3413</v>
      </c>
      <c r="D21" s="96">
        <v>161</v>
      </c>
      <c r="E21" s="96">
        <v>983</v>
      </c>
      <c r="F21" s="95">
        <v>18</v>
      </c>
      <c r="G21" s="11"/>
      <c r="H21" s="2"/>
      <c r="I21" s="2"/>
      <c r="J21" s="2"/>
      <c r="K21" s="2"/>
    </row>
    <row r="22" spans="1:11" s="7" customFormat="1" ht="14.25" customHeight="1" x14ac:dyDescent="0.15">
      <c r="A22" s="77"/>
      <c r="B22" s="96" t="s">
        <v>207</v>
      </c>
      <c r="C22" s="96" t="s">
        <v>207</v>
      </c>
      <c r="D22" s="96" t="s">
        <v>207</v>
      </c>
      <c r="E22" s="96" t="s">
        <v>207</v>
      </c>
      <c r="F22" s="95" t="s">
        <v>207</v>
      </c>
      <c r="G22" s="11"/>
      <c r="H22" s="2"/>
      <c r="I22" s="2"/>
      <c r="J22" s="2"/>
      <c r="K22" s="2"/>
    </row>
    <row r="23" spans="1:11" s="7" customFormat="1" ht="14.25" customHeight="1" x14ac:dyDescent="0.15">
      <c r="A23" s="77" t="s">
        <v>90</v>
      </c>
      <c r="B23" s="96">
        <v>4686</v>
      </c>
      <c r="C23" s="96">
        <v>3410</v>
      </c>
      <c r="D23" s="96">
        <v>175</v>
      </c>
      <c r="E23" s="96">
        <v>1071</v>
      </c>
      <c r="F23" s="95">
        <v>30</v>
      </c>
      <c r="G23" s="11"/>
      <c r="H23" s="2"/>
      <c r="I23" s="2"/>
      <c r="J23" s="2"/>
      <c r="K23" s="2"/>
    </row>
    <row r="24" spans="1:11" s="7" customFormat="1" ht="14.25" customHeight="1" x14ac:dyDescent="0.15">
      <c r="A24" s="77" t="s">
        <v>91</v>
      </c>
      <c r="B24" s="96">
        <v>4494</v>
      </c>
      <c r="C24" s="96">
        <v>3388</v>
      </c>
      <c r="D24" s="96">
        <v>91</v>
      </c>
      <c r="E24" s="96">
        <v>991</v>
      </c>
      <c r="F24" s="95">
        <v>24</v>
      </c>
      <c r="G24" s="11"/>
      <c r="H24" s="2"/>
      <c r="I24" s="2"/>
      <c r="J24" s="2"/>
      <c r="K24" s="2"/>
    </row>
    <row r="25" spans="1:11" s="7" customFormat="1" ht="14.25" customHeight="1" x14ac:dyDescent="0.15">
      <c r="A25" s="77" t="s">
        <v>92</v>
      </c>
      <c r="B25" s="96">
        <v>4170</v>
      </c>
      <c r="C25" s="96">
        <v>3058</v>
      </c>
      <c r="D25" s="96">
        <v>150</v>
      </c>
      <c r="E25" s="96">
        <v>945</v>
      </c>
      <c r="F25" s="95">
        <v>17</v>
      </c>
      <c r="G25" s="11"/>
      <c r="H25" s="2"/>
      <c r="I25" s="2"/>
      <c r="J25" s="2"/>
      <c r="K25" s="2"/>
    </row>
    <row r="26" spans="1:11" s="7" customFormat="1" ht="14.25" customHeight="1" x14ac:dyDescent="0.15">
      <c r="A26" s="77"/>
      <c r="B26" s="96" t="s">
        <v>207</v>
      </c>
      <c r="C26" s="96" t="s">
        <v>207</v>
      </c>
      <c r="D26" s="96" t="s">
        <v>207</v>
      </c>
      <c r="E26" s="96" t="s">
        <v>207</v>
      </c>
      <c r="F26" s="95" t="s">
        <v>207</v>
      </c>
      <c r="G26" s="11"/>
      <c r="H26" s="2"/>
      <c r="I26" s="2"/>
      <c r="J26" s="2"/>
      <c r="K26" s="2"/>
    </row>
    <row r="27" spans="1:11" s="7" customFormat="1" ht="14.25" customHeight="1" x14ac:dyDescent="0.15">
      <c r="A27" s="77" t="s">
        <v>93</v>
      </c>
      <c r="B27" s="96">
        <v>4663</v>
      </c>
      <c r="C27" s="96">
        <v>3535</v>
      </c>
      <c r="D27" s="96">
        <v>97</v>
      </c>
      <c r="E27" s="96">
        <v>1001</v>
      </c>
      <c r="F27" s="95">
        <v>30</v>
      </c>
      <c r="G27" s="11"/>
      <c r="H27" s="2"/>
      <c r="I27" s="2"/>
      <c r="J27" s="2"/>
      <c r="K27" s="2"/>
    </row>
    <row r="28" spans="1:11" s="7" customFormat="1" ht="14.25" customHeight="1" x14ac:dyDescent="0.15">
      <c r="A28" s="77" t="s">
        <v>94</v>
      </c>
      <c r="B28" s="96">
        <v>4122</v>
      </c>
      <c r="C28" s="96">
        <v>3200</v>
      </c>
      <c r="D28" s="96">
        <v>80</v>
      </c>
      <c r="E28" s="96">
        <v>822</v>
      </c>
      <c r="F28" s="95">
        <v>20</v>
      </c>
      <c r="G28" s="11"/>
      <c r="H28" s="2"/>
      <c r="I28" s="2"/>
      <c r="J28" s="2"/>
      <c r="K28" s="2"/>
    </row>
    <row r="29" spans="1:11" s="7" customFormat="1" ht="14.25" customHeight="1" x14ac:dyDescent="0.15">
      <c r="A29" s="77" t="s">
        <v>95</v>
      </c>
      <c r="B29" s="96">
        <v>4217</v>
      </c>
      <c r="C29" s="96">
        <v>3484</v>
      </c>
      <c r="D29" s="96">
        <v>128</v>
      </c>
      <c r="E29" s="96">
        <v>592</v>
      </c>
      <c r="F29" s="95">
        <v>13</v>
      </c>
      <c r="G29" s="11"/>
      <c r="H29" s="2"/>
      <c r="I29" s="2"/>
      <c r="J29" s="2"/>
      <c r="K29" s="2"/>
    </row>
    <row r="30" spans="1:11" s="7" customFormat="1" ht="14.25" customHeight="1" x14ac:dyDescent="0.15">
      <c r="A30" s="77"/>
      <c r="B30" s="96" t="s">
        <v>207</v>
      </c>
      <c r="C30" s="96" t="s">
        <v>207</v>
      </c>
      <c r="D30" s="96" t="s">
        <v>207</v>
      </c>
      <c r="E30" s="96" t="s">
        <v>207</v>
      </c>
      <c r="F30" s="95" t="s">
        <v>207</v>
      </c>
      <c r="G30" s="11"/>
      <c r="H30" s="2"/>
      <c r="I30" s="2"/>
      <c r="J30" s="2"/>
      <c r="K30" s="2"/>
    </row>
    <row r="31" spans="1:11" s="7" customFormat="1" ht="14.25" customHeight="1" x14ac:dyDescent="0.15">
      <c r="A31" s="77" t="s">
        <v>96</v>
      </c>
      <c r="B31" s="96">
        <v>4901</v>
      </c>
      <c r="C31" s="96">
        <v>3810</v>
      </c>
      <c r="D31" s="96">
        <v>165</v>
      </c>
      <c r="E31" s="96">
        <v>901</v>
      </c>
      <c r="F31" s="95">
        <v>25</v>
      </c>
      <c r="G31" s="11"/>
      <c r="H31" s="2"/>
      <c r="I31" s="2"/>
      <c r="J31" s="2"/>
      <c r="K31" s="2"/>
    </row>
    <row r="32" spans="1:11" s="7" customFormat="1" ht="14.25" customHeight="1" x14ac:dyDescent="0.15">
      <c r="A32" s="77" t="s">
        <v>97</v>
      </c>
      <c r="B32" s="96">
        <v>4902</v>
      </c>
      <c r="C32" s="96">
        <v>3876</v>
      </c>
      <c r="D32" s="96">
        <v>139</v>
      </c>
      <c r="E32" s="96">
        <v>855</v>
      </c>
      <c r="F32" s="95">
        <v>32</v>
      </c>
      <c r="G32" s="11"/>
      <c r="H32" s="2"/>
      <c r="I32" s="2"/>
      <c r="J32" s="2"/>
      <c r="K32" s="2"/>
    </row>
    <row r="33" spans="1:15" s="7" customFormat="1" ht="14.25" customHeight="1" x14ac:dyDescent="0.15">
      <c r="A33" s="77" t="s">
        <v>98</v>
      </c>
      <c r="B33" s="96">
        <v>4202</v>
      </c>
      <c r="C33" s="96">
        <v>3395</v>
      </c>
      <c r="D33" s="96">
        <v>99</v>
      </c>
      <c r="E33" s="96">
        <v>688</v>
      </c>
      <c r="F33" s="95">
        <v>20</v>
      </c>
      <c r="G33" s="11"/>
      <c r="H33" s="2"/>
      <c r="I33" s="2"/>
      <c r="J33" s="2"/>
      <c r="K33" s="2"/>
    </row>
    <row r="34" spans="1:15" s="7" customFormat="1" ht="14.25" customHeight="1" x14ac:dyDescent="0.15">
      <c r="A34" s="77"/>
      <c r="B34" s="96" t="s">
        <v>207</v>
      </c>
      <c r="C34" s="96" t="s">
        <v>207</v>
      </c>
      <c r="D34" s="96" t="s">
        <v>207</v>
      </c>
      <c r="E34" s="96" t="s">
        <v>207</v>
      </c>
      <c r="F34" s="95" t="s">
        <v>207</v>
      </c>
      <c r="G34" s="11"/>
      <c r="H34" s="2"/>
      <c r="I34" s="2"/>
      <c r="J34" s="2"/>
      <c r="K34" s="2"/>
    </row>
    <row r="35" spans="1:15" s="7" customFormat="1" ht="14.25" customHeight="1" x14ac:dyDescent="0.15">
      <c r="A35" s="77" t="s">
        <v>164</v>
      </c>
      <c r="B35" s="96">
        <v>4127</v>
      </c>
      <c r="C35" s="96">
        <v>3222</v>
      </c>
      <c r="D35" s="96">
        <v>106</v>
      </c>
      <c r="E35" s="96">
        <v>774</v>
      </c>
      <c r="F35" s="95">
        <v>25</v>
      </c>
      <c r="G35" s="11"/>
      <c r="H35" s="2"/>
      <c r="I35" s="2"/>
      <c r="J35" s="2"/>
      <c r="K35" s="2"/>
    </row>
    <row r="36" spans="1:15" s="7" customFormat="1" ht="14.25" customHeight="1" x14ac:dyDescent="0.15">
      <c r="A36" s="77" t="s">
        <v>21</v>
      </c>
      <c r="B36" s="96">
        <v>2979</v>
      </c>
      <c r="C36" s="96">
        <v>2235</v>
      </c>
      <c r="D36" s="96">
        <v>98</v>
      </c>
      <c r="E36" s="96">
        <v>618</v>
      </c>
      <c r="F36" s="95">
        <v>28</v>
      </c>
      <c r="G36" s="11"/>
      <c r="H36" s="2"/>
      <c r="I36" s="2"/>
      <c r="J36" s="2"/>
      <c r="K36" s="2"/>
    </row>
    <row r="37" spans="1:15" s="7" customFormat="1" ht="14.25" customHeight="1" x14ac:dyDescent="0.15">
      <c r="A37" s="77" t="s">
        <v>89</v>
      </c>
      <c r="B37" s="96">
        <v>5182</v>
      </c>
      <c r="C37" s="96">
        <v>4027</v>
      </c>
      <c r="D37" s="96">
        <v>94</v>
      </c>
      <c r="E37" s="96">
        <v>1033</v>
      </c>
      <c r="F37" s="95">
        <v>28</v>
      </c>
      <c r="G37" s="11"/>
      <c r="H37" s="2"/>
      <c r="I37" s="2"/>
      <c r="J37" s="2"/>
      <c r="K37" s="2"/>
    </row>
    <row r="38" spans="1:15" s="7" customFormat="1" ht="14.25" customHeight="1" x14ac:dyDescent="0.15">
      <c r="A38" s="77"/>
      <c r="B38" s="96" t="s">
        <v>207</v>
      </c>
      <c r="C38" s="96" t="s">
        <v>207</v>
      </c>
      <c r="D38" s="96" t="s">
        <v>207</v>
      </c>
      <c r="E38" s="96" t="s">
        <v>207</v>
      </c>
      <c r="F38" s="95" t="s">
        <v>207</v>
      </c>
      <c r="G38" s="11"/>
      <c r="H38" s="2"/>
      <c r="I38" s="2"/>
      <c r="J38" s="2"/>
      <c r="K38" s="2"/>
    </row>
    <row r="39" spans="1:15" s="7" customFormat="1" ht="14.25" customHeight="1" x14ac:dyDescent="0.15">
      <c r="A39" s="77" t="s">
        <v>90</v>
      </c>
      <c r="B39" s="96">
        <v>4955</v>
      </c>
      <c r="C39" s="96">
        <v>3931</v>
      </c>
      <c r="D39" s="96">
        <v>99</v>
      </c>
      <c r="E39" s="96">
        <v>895</v>
      </c>
      <c r="F39" s="95">
        <v>30</v>
      </c>
      <c r="G39" s="11"/>
      <c r="H39" s="2"/>
      <c r="I39" s="2"/>
      <c r="J39" s="2"/>
      <c r="K39" s="2"/>
    </row>
    <row r="40" spans="1:15" s="7" customFormat="1" ht="14.25" customHeight="1" x14ac:dyDescent="0.15">
      <c r="A40" s="77" t="s">
        <v>91</v>
      </c>
      <c r="B40" s="96">
        <v>5142</v>
      </c>
      <c r="C40" s="96">
        <v>4111</v>
      </c>
      <c r="D40" s="96">
        <v>127</v>
      </c>
      <c r="E40" s="96">
        <v>878</v>
      </c>
      <c r="F40" s="95">
        <v>26</v>
      </c>
      <c r="G40" s="11"/>
      <c r="H40" s="2"/>
      <c r="I40" s="2"/>
      <c r="J40" s="2"/>
      <c r="K40" s="2"/>
    </row>
    <row r="41" spans="1:15" s="7" customFormat="1" ht="14.25" customHeight="1" x14ac:dyDescent="0.15">
      <c r="A41" s="77" t="s">
        <v>92</v>
      </c>
      <c r="B41" s="96">
        <v>6304</v>
      </c>
      <c r="C41" s="96">
        <v>5155</v>
      </c>
      <c r="D41" s="96">
        <v>124</v>
      </c>
      <c r="E41" s="96">
        <v>989</v>
      </c>
      <c r="F41" s="95">
        <v>36</v>
      </c>
      <c r="G41" s="11"/>
      <c r="H41" s="2"/>
      <c r="I41" s="2"/>
      <c r="J41" s="2"/>
      <c r="K41" s="2"/>
    </row>
    <row r="42" spans="1:15" s="7" customFormat="1" ht="14.25" customHeight="1" x14ac:dyDescent="0.15">
      <c r="A42" s="77"/>
      <c r="B42" s="96" t="s">
        <v>207</v>
      </c>
      <c r="C42" s="96" t="s">
        <v>207</v>
      </c>
      <c r="D42" s="96" t="s">
        <v>207</v>
      </c>
      <c r="E42" s="96" t="s">
        <v>207</v>
      </c>
      <c r="F42" s="95" t="s">
        <v>207</v>
      </c>
      <c r="G42" s="11"/>
      <c r="H42" s="2"/>
      <c r="I42" s="2"/>
      <c r="J42" s="143"/>
      <c r="K42" s="143"/>
      <c r="L42" s="11"/>
      <c r="M42" s="11"/>
      <c r="N42" s="11"/>
      <c r="O42" s="11"/>
    </row>
    <row r="43" spans="1:15" s="7" customFormat="1" ht="14.25" customHeight="1" x14ac:dyDescent="0.15">
      <c r="A43" s="77" t="s">
        <v>93</v>
      </c>
      <c r="B43" s="96">
        <v>5417</v>
      </c>
      <c r="C43" s="96">
        <v>4180</v>
      </c>
      <c r="D43" s="96">
        <v>135</v>
      </c>
      <c r="E43" s="96">
        <v>1065</v>
      </c>
      <c r="F43" s="95">
        <v>37</v>
      </c>
      <c r="G43" s="11"/>
      <c r="H43" s="2"/>
      <c r="I43" s="2"/>
      <c r="J43" s="143"/>
      <c r="K43" s="143"/>
      <c r="L43" s="11"/>
      <c r="M43" s="11"/>
      <c r="N43" s="11"/>
      <c r="O43" s="11"/>
    </row>
    <row r="44" spans="1:15" s="7" customFormat="1" ht="14.25" customHeight="1" x14ac:dyDescent="0.15">
      <c r="A44" s="77" t="s">
        <v>94</v>
      </c>
      <c r="B44" s="96">
        <v>3973</v>
      </c>
      <c r="C44" s="96">
        <v>3165</v>
      </c>
      <c r="D44" s="96">
        <v>70</v>
      </c>
      <c r="E44" s="96">
        <v>711</v>
      </c>
      <c r="F44" s="95">
        <v>27</v>
      </c>
      <c r="G44" s="11"/>
      <c r="H44" s="2"/>
      <c r="I44" s="2"/>
      <c r="J44" s="143"/>
      <c r="K44" s="143"/>
      <c r="L44" s="11"/>
      <c r="M44" s="11"/>
      <c r="N44" s="11"/>
      <c r="O44" s="11"/>
    </row>
    <row r="45" spans="1:15" s="7" customFormat="1" ht="14.25" customHeight="1" x14ac:dyDescent="0.15">
      <c r="A45" s="77" t="s">
        <v>95</v>
      </c>
      <c r="B45" s="96">
        <v>5028</v>
      </c>
      <c r="C45" s="96">
        <v>3939</v>
      </c>
      <c r="D45" s="96">
        <v>93</v>
      </c>
      <c r="E45" s="96">
        <v>964</v>
      </c>
      <c r="F45" s="95">
        <v>32</v>
      </c>
      <c r="G45" s="11"/>
      <c r="H45" s="2"/>
      <c r="I45" s="2"/>
      <c r="J45" s="143"/>
      <c r="K45" s="143"/>
      <c r="L45" s="11"/>
      <c r="M45" s="11"/>
      <c r="N45" s="11"/>
      <c r="O45" s="11"/>
    </row>
    <row r="46" spans="1:15" s="7" customFormat="1" ht="14.25" customHeight="1" x14ac:dyDescent="0.15">
      <c r="A46" s="77"/>
      <c r="B46" s="106" t="s">
        <v>207</v>
      </c>
      <c r="C46" s="96" t="s">
        <v>207</v>
      </c>
      <c r="D46" s="96" t="s">
        <v>207</v>
      </c>
      <c r="E46" s="96" t="s">
        <v>207</v>
      </c>
      <c r="F46" s="95" t="s">
        <v>207</v>
      </c>
      <c r="G46" s="11"/>
      <c r="H46" s="2"/>
      <c r="I46" s="2"/>
      <c r="J46" s="143"/>
      <c r="K46" s="143"/>
      <c r="L46" s="11"/>
      <c r="M46" s="11"/>
      <c r="N46" s="11"/>
      <c r="O46" s="11"/>
    </row>
    <row r="47" spans="1:15" s="7" customFormat="1" ht="14.25" customHeight="1" x14ac:dyDescent="0.15">
      <c r="A47" s="77" t="s">
        <v>96</v>
      </c>
      <c r="B47" s="106">
        <v>4604</v>
      </c>
      <c r="C47" s="96">
        <v>3457</v>
      </c>
      <c r="D47" s="96">
        <v>84</v>
      </c>
      <c r="E47" s="96">
        <v>1026</v>
      </c>
      <c r="F47" s="95">
        <v>37</v>
      </c>
      <c r="G47" s="11"/>
      <c r="H47" s="2"/>
      <c r="I47" s="2"/>
      <c r="J47" s="143"/>
      <c r="K47" s="143"/>
      <c r="L47" s="11"/>
      <c r="M47" s="11"/>
      <c r="N47" s="11"/>
      <c r="O47" s="11"/>
    </row>
    <row r="48" spans="1:15" s="7" customFormat="1" ht="14.25" customHeight="1" x14ac:dyDescent="0.15">
      <c r="A48" s="77" t="s">
        <v>97</v>
      </c>
      <c r="B48" s="106">
        <v>4890</v>
      </c>
      <c r="C48" s="96">
        <v>3742</v>
      </c>
      <c r="D48" s="96">
        <v>77</v>
      </c>
      <c r="E48" s="96">
        <v>1026</v>
      </c>
      <c r="F48" s="95">
        <v>45</v>
      </c>
      <c r="G48" s="11"/>
      <c r="H48" s="2"/>
      <c r="I48" s="2"/>
      <c r="J48" s="143"/>
      <c r="K48" s="143"/>
      <c r="L48" s="11"/>
      <c r="M48" s="11"/>
      <c r="N48" s="11"/>
      <c r="O48" s="11"/>
    </row>
    <row r="49" spans="1:15" s="7" customFormat="1" ht="14.25" customHeight="1" x14ac:dyDescent="0.15">
      <c r="A49" s="77" t="s">
        <v>151</v>
      </c>
      <c r="B49" s="141">
        <v>4414</v>
      </c>
      <c r="C49" s="96">
        <v>3395</v>
      </c>
      <c r="D49" s="106">
        <v>79</v>
      </c>
      <c r="E49" s="96">
        <v>895</v>
      </c>
      <c r="F49" s="95">
        <v>45</v>
      </c>
      <c r="G49" s="11"/>
      <c r="H49" s="2"/>
      <c r="I49" s="2"/>
      <c r="J49" s="143"/>
      <c r="K49" s="143"/>
      <c r="L49" s="11"/>
      <c r="M49" s="11"/>
      <c r="N49" s="11"/>
      <c r="O49" s="11"/>
    </row>
    <row r="50" spans="1:15" s="7" customFormat="1" ht="14.25" customHeight="1" x14ac:dyDescent="0.15">
      <c r="A50" s="77"/>
      <c r="B50" s="141" t="s">
        <v>207</v>
      </c>
      <c r="C50" s="96" t="s">
        <v>207</v>
      </c>
      <c r="D50" s="141" t="s">
        <v>207</v>
      </c>
      <c r="E50" s="96" t="s">
        <v>207</v>
      </c>
      <c r="F50" s="142" t="s">
        <v>207</v>
      </c>
      <c r="G50" s="11"/>
      <c r="H50" s="2"/>
      <c r="I50" s="2"/>
      <c r="J50" s="2"/>
      <c r="K50" s="2"/>
    </row>
    <row r="51" spans="1:15" s="7" customFormat="1" ht="14.25" customHeight="1" x14ac:dyDescent="0.15">
      <c r="A51" s="77" t="s">
        <v>186</v>
      </c>
      <c r="B51" s="106">
        <v>4522</v>
      </c>
      <c r="C51" s="96">
        <v>3515</v>
      </c>
      <c r="D51" s="96">
        <v>67</v>
      </c>
      <c r="E51" s="96">
        <v>886</v>
      </c>
      <c r="F51" s="95">
        <v>54</v>
      </c>
      <c r="G51" s="11"/>
      <c r="H51" s="2"/>
      <c r="I51" s="2"/>
      <c r="J51" s="2"/>
      <c r="K51" s="2"/>
    </row>
    <row r="52" spans="1:15" s="7" customFormat="1" ht="14.25" customHeight="1" x14ac:dyDescent="0.15">
      <c r="A52" s="77" t="s">
        <v>21</v>
      </c>
      <c r="B52" s="106">
        <v>3406</v>
      </c>
      <c r="C52" s="96">
        <v>2733</v>
      </c>
      <c r="D52" s="96">
        <v>65</v>
      </c>
      <c r="E52" s="96">
        <v>583</v>
      </c>
      <c r="F52" s="95">
        <v>25</v>
      </c>
      <c r="G52" s="11"/>
      <c r="H52" s="2"/>
      <c r="I52" s="2"/>
      <c r="J52" s="2"/>
      <c r="K52" s="2"/>
    </row>
    <row r="53" spans="1:15" s="7" customFormat="1" ht="14.25" customHeight="1" x14ac:dyDescent="0.15">
      <c r="A53" s="77" t="s">
        <v>89</v>
      </c>
      <c r="B53" s="96">
        <v>4885</v>
      </c>
      <c r="C53" s="96">
        <v>3787</v>
      </c>
      <c r="D53" s="96">
        <v>73</v>
      </c>
      <c r="E53" s="96">
        <v>981</v>
      </c>
      <c r="F53" s="95">
        <v>44</v>
      </c>
      <c r="G53" s="11"/>
      <c r="H53" s="2"/>
      <c r="I53" s="2"/>
      <c r="J53" s="2"/>
      <c r="K53" s="2"/>
    </row>
    <row r="54" spans="1:15" s="7" customFormat="1" ht="14.25" customHeight="1" x14ac:dyDescent="0.15">
      <c r="A54" s="77"/>
      <c r="B54" s="96" t="s">
        <v>207</v>
      </c>
      <c r="C54" s="96" t="s">
        <v>207</v>
      </c>
      <c r="D54" s="96" t="s">
        <v>207</v>
      </c>
      <c r="E54" s="96" t="s">
        <v>207</v>
      </c>
      <c r="F54" s="95" t="s">
        <v>207</v>
      </c>
      <c r="G54" s="11"/>
      <c r="H54" s="2"/>
      <c r="I54" s="2"/>
      <c r="J54" s="2"/>
      <c r="K54" s="2"/>
    </row>
    <row r="55" spans="1:15" s="7" customFormat="1" ht="14.25" customHeight="1" x14ac:dyDescent="0.15">
      <c r="A55" s="77" t="s">
        <v>90</v>
      </c>
      <c r="B55" s="96">
        <v>4958</v>
      </c>
      <c r="C55" s="96">
        <v>3788</v>
      </c>
      <c r="D55" s="96">
        <v>49</v>
      </c>
      <c r="E55" s="96">
        <v>1088</v>
      </c>
      <c r="F55" s="95">
        <v>33</v>
      </c>
      <c r="G55" s="11"/>
      <c r="H55" s="2"/>
      <c r="I55" s="2"/>
      <c r="J55" s="2"/>
      <c r="K55" s="2"/>
    </row>
    <row r="56" spans="1:15" s="7" customFormat="1" ht="14.25" customHeight="1" x14ac:dyDescent="0.15">
      <c r="A56" s="77" t="s">
        <v>91</v>
      </c>
      <c r="B56" s="96">
        <v>4418</v>
      </c>
      <c r="C56" s="96">
        <v>3500</v>
      </c>
      <c r="D56" s="96">
        <v>79</v>
      </c>
      <c r="E56" s="96">
        <v>795</v>
      </c>
      <c r="F56" s="95">
        <v>44</v>
      </c>
      <c r="G56" s="11"/>
      <c r="H56" s="2"/>
      <c r="I56" s="2"/>
      <c r="J56" s="2"/>
      <c r="K56" s="2"/>
    </row>
    <row r="57" spans="1:15" s="7" customFormat="1" ht="14.25" customHeight="1" x14ac:dyDescent="0.15">
      <c r="A57" s="77" t="s">
        <v>92</v>
      </c>
      <c r="B57" s="96">
        <v>5054</v>
      </c>
      <c r="C57" s="96">
        <v>3845</v>
      </c>
      <c r="D57" s="96">
        <v>98</v>
      </c>
      <c r="E57" s="96">
        <v>1061</v>
      </c>
      <c r="F57" s="95">
        <v>50</v>
      </c>
      <c r="G57" s="11"/>
      <c r="H57" s="2"/>
      <c r="I57" s="2"/>
      <c r="J57" s="2"/>
      <c r="K57" s="2"/>
    </row>
    <row r="58" spans="1:15" s="7" customFormat="1" ht="14.25" customHeight="1" x14ac:dyDescent="0.15">
      <c r="A58" s="77"/>
      <c r="B58" s="96" t="s">
        <v>207</v>
      </c>
      <c r="C58" s="96" t="s">
        <v>207</v>
      </c>
      <c r="D58" s="96" t="s">
        <v>207</v>
      </c>
      <c r="E58" s="96" t="s">
        <v>207</v>
      </c>
      <c r="F58" s="95" t="s">
        <v>207</v>
      </c>
      <c r="G58" s="11"/>
      <c r="H58" s="2"/>
      <c r="I58" s="2"/>
      <c r="J58" s="2"/>
      <c r="K58" s="2"/>
    </row>
    <row r="59" spans="1:15" s="7" customFormat="1" ht="14.25" customHeight="1" x14ac:dyDescent="0.15">
      <c r="A59" s="77" t="s">
        <v>93</v>
      </c>
      <c r="B59" s="96">
        <v>4786</v>
      </c>
      <c r="C59" s="96">
        <v>3621</v>
      </c>
      <c r="D59" s="96">
        <v>86</v>
      </c>
      <c r="E59" s="96">
        <v>1028</v>
      </c>
      <c r="F59" s="95">
        <v>51</v>
      </c>
      <c r="G59" s="11"/>
      <c r="H59" s="2"/>
      <c r="I59" s="2"/>
      <c r="J59" s="2"/>
      <c r="K59" s="2"/>
    </row>
    <row r="60" spans="1:15" s="7" customFormat="1" ht="14.25" customHeight="1" x14ac:dyDescent="0.15">
      <c r="A60" s="77" t="s">
        <v>94</v>
      </c>
      <c r="B60" s="96">
        <v>3904</v>
      </c>
      <c r="C60" s="96">
        <v>3019</v>
      </c>
      <c r="D60" s="96">
        <v>44</v>
      </c>
      <c r="E60" s="96">
        <v>804</v>
      </c>
      <c r="F60" s="95">
        <v>37</v>
      </c>
      <c r="G60" s="11"/>
      <c r="H60" s="2"/>
      <c r="I60" s="2"/>
      <c r="J60" s="2"/>
      <c r="K60" s="2"/>
    </row>
    <row r="61" spans="1:15" s="7" customFormat="1" ht="14.25" customHeight="1" x14ac:dyDescent="0.15">
      <c r="A61" s="77" t="s">
        <v>95</v>
      </c>
      <c r="B61" s="96">
        <v>3619</v>
      </c>
      <c r="C61" s="96">
        <v>2809</v>
      </c>
      <c r="D61" s="96">
        <v>63</v>
      </c>
      <c r="E61" s="96">
        <v>696</v>
      </c>
      <c r="F61" s="95">
        <v>51</v>
      </c>
      <c r="G61" s="11"/>
      <c r="H61" s="2"/>
      <c r="I61" s="2"/>
      <c r="J61" s="2"/>
      <c r="K61" s="2"/>
    </row>
    <row r="62" spans="1:15" s="7" customFormat="1" ht="14.25" customHeight="1" x14ac:dyDescent="0.15">
      <c r="A62" s="77"/>
      <c r="B62" s="96" t="s">
        <v>207</v>
      </c>
      <c r="C62" s="96" t="s">
        <v>207</v>
      </c>
      <c r="D62" s="96" t="s">
        <v>207</v>
      </c>
      <c r="E62" s="96" t="s">
        <v>207</v>
      </c>
      <c r="F62" s="95" t="s">
        <v>207</v>
      </c>
      <c r="G62" s="11"/>
      <c r="H62" s="2"/>
      <c r="I62" s="2"/>
      <c r="J62" s="2"/>
      <c r="K62" s="2"/>
    </row>
    <row r="63" spans="1:15" s="7" customFormat="1" ht="14.25" customHeight="1" x14ac:dyDescent="0.15">
      <c r="A63" s="77" t="s">
        <v>96</v>
      </c>
      <c r="B63" s="96">
        <v>3830</v>
      </c>
      <c r="C63" s="96">
        <v>3155</v>
      </c>
      <c r="D63" s="96">
        <v>55</v>
      </c>
      <c r="E63" s="96">
        <v>563</v>
      </c>
      <c r="F63" s="95">
        <v>57</v>
      </c>
      <c r="G63" s="11"/>
      <c r="H63" s="2"/>
      <c r="I63" s="2"/>
      <c r="J63" s="2"/>
      <c r="K63" s="2"/>
    </row>
    <row r="64" spans="1:15" s="7" customFormat="1" ht="14.25" customHeight="1" x14ac:dyDescent="0.15">
      <c r="A64" s="77" t="s">
        <v>193</v>
      </c>
      <c r="B64" s="96">
        <v>4377</v>
      </c>
      <c r="C64" s="96">
        <v>3382</v>
      </c>
      <c r="D64" s="96">
        <v>61</v>
      </c>
      <c r="E64" s="96">
        <v>891</v>
      </c>
      <c r="F64" s="95">
        <v>43</v>
      </c>
      <c r="G64" s="11"/>
      <c r="H64" s="2"/>
      <c r="I64" s="2"/>
      <c r="J64" s="2"/>
      <c r="K64" s="2"/>
    </row>
    <row r="65" spans="1:11" s="7" customFormat="1" ht="14.25" customHeight="1" x14ac:dyDescent="0.15">
      <c r="A65" s="77" t="s">
        <v>151</v>
      </c>
      <c r="B65" s="96">
        <v>4188</v>
      </c>
      <c r="C65" s="96">
        <v>3015</v>
      </c>
      <c r="D65" s="96">
        <v>80</v>
      </c>
      <c r="E65" s="96">
        <v>1037</v>
      </c>
      <c r="F65" s="95">
        <v>56</v>
      </c>
      <c r="G65" s="11"/>
      <c r="H65" s="2"/>
      <c r="I65" s="2"/>
      <c r="J65" s="2"/>
      <c r="K65" s="2"/>
    </row>
    <row r="66" spans="1:11" s="7" customFormat="1" ht="14.25" customHeight="1" x14ac:dyDescent="0.15">
      <c r="A66" s="77"/>
      <c r="B66" s="141" t="s">
        <v>207</v>
      </c>
      <c r="C66" s="96" t="s">
        <v>207</v>
      </c>
      <c r="D66" s="141" t="s">
        <v>207</v>
      </c>
      <c r="E66" s="96" t="s">
        <v>207</v>
      </c>
      <c r="F66" s="142" t="s">
        <v>207</v>
      </c>
      <c r="G66" s="11"/>
      <c r="H66" s="2"/>
      <c r="I66" s="2"/>
      <c r="J66" s="2"/>
      <c r="K66" s="2"/>
    </row>
    <row r="67" spans="1:11" s="7" customFormat="1" ht="14.25" customHeight="1" x14ac:dyDescent="0.15">
      <c r="A67" s="77" t="s">
        <v>199</v>
      </c>
      <c r="B67" s="106">
        <v>3859</v>
      </c>
      <c r="C67" s="96">
        <v>2902</v>
      </c>
      <c r="D67" s="96">
        <v>60</v>
      </c>
      <c r="E67" s="96">
        <v>865</v>
      </c>
      <c r="F67" s="95">
        <v>32</v>
      </c>
      <c r="G67" s="11"/>
      <c r="H67" s="2"/>
      <c r="I67" s="2"/>
      <c r="J67" s="2"/>
      <c r="K67" s="2"/>
    </row>
    <row r="68" spans="1:11" s="7" customFormat="1" ht="14.25" customHeight="1" x14ac:dyDescent="0.15">
      <c r="A68" s="77" t="s">
        <v>21</v>
      </c>
      <c r="B68" s="106">
        <v>3168</v>
      </c>
      <c r="C68" s="96">
        <v>2260</v>
      </c>
      <c r="D68" s="96">
        <v>39</v>
      </c>
      <c r="E68" s="96">
        <v>831</v>
      </c>
      <c r="F68" s="95">
        <v>38</v>
      </c>
      <c r="G68" s="11"/>
      <c r="H68" s="2"/>
      <c r="I68" s="2"/>
      <c r="J68" s="2"/>
      <c r="K68" s="2"/>
    </row>
    <row r="69" spans="1:11" s="7" customFormat="1" ht="14.25" customHeight="1" x14ac:dyDescent="0.15">
      <c r="A69" s="77" t="s">
        <v>89</v>
      </c>
      <c r="B69" s="96">
        <v>4064</v>
      </c>
      <c r="C69" s="96">
        <v>3094</v>
      </c>
      <c r="D69" s="96">
        <v>50</v>
      </c>
      <c r="E69" s="96">
        <v>872</v>
      </c>
      <c r="F69" s="95">
        <v>48</v>
      </c>
      <c r="G69" s="11"/>
      <c r="H69" s="2"/>
      <c r="I69" s="2"/>
      <c r="J69" s="2"/>
      <c r="K69" s="2"/>
    </row>
    <row r="70" spans="1:11" s="7" customFormat="1" ht="14.25" customHeight="1" x14ac:dyDescent="0.15">
      <c r="A70" s="77"/>
      <c r="B70" s="96" t="s">
        <v>207</v>
      </c>
      <c r="C70" s="96" t="s">
        <v>207</v>
      </c>
      <c r="D70" s="96" t="s">
        <v>207</v>
      </c>
      <c r="E70" s="96" t="s">
        <v>207</v>
      </c>
      <c r="F70" s="95" t="s">
        <v>207</v>
      </c>
      <c r="G70" s="11"/>
      <c r="H70" s="2"/>
      <c r="I70" s="2"/>
      <c r="J70" s="2"/>
      <c r="K70" s="2"/>
    </row>
    <row r="71" spans="1:11" s="7" customFormat="1" ht="14.25" customHeight="1" x14ac:dyDescent="0.15">
      <c r="A71" s="77" t="s">
        <v>90</v>
      </c>
      <c r="B71" s="96">
        <v>4280</v>
      </c>
      <c r="C71" s="96">
        <v>3298</v>
      </c>
      <c r="D71" s="96">
        <v>60</v>
      </c>
      <c r="E71" s="96">
        <v>869</v>
      </c>
      <c r="F71" s="95">
        <v>53</v>
      </c>
      <c r="G71" s="11"/>
      <c r="H71" s="2"/>
      <c r="I71" s="2"/>
      <c r="J71" s="2"/>
      <c r="K71" s="2"/>
    </row>
    <row r="72" spans="1:11" s="7" customFormat="1" ht="14.25" customHeight="1" x14ac:dyDescent="0.15">
      <c r="A72" s="77" t="s">
        <v>134</v>
      </c>
      <c r="B72" s="96">
        <v>4269</v>
      </c>
      <c r="C72" s="96">
        <v>3183</v>
      </c>
      <c r="D72" s="96">
        <v>74</v>
      </c>
      <c r="E72" s="96">
        <v>948</v>
      </c>
      <c r="F72" s="95">
        <v>64</v>
      </c>
      <c r="G72" s="11"/>
      <c r="H72" s="2"/>
      <c r="I72" s="2"/>
      <c r="J72" s="2"/>
      <c r="K72" s="2"/>
    </row>
    <row r="73" spans="1:11" s="7" customFormat="1" ht="14.25" customHeight="1" x14ac:dyDescent="0.15">
      <c r="A73" s="77" t="s">
        <v>92</v>
      </c>
      <c r="B73" s="96">
        <v>3898</v>
      </c>
      <c r="C73" s="96">
        <v>2980</v>
      </c>
      <c r="D73" s="96">
        <v>79</v>
      </c>
      <c r="E73" s="96">
        <v>790</v>
      </c>
      <c r="F73" s="95">
        <v>49</v>
      </c>
      <c r="G73" s="11"/>
      <c r="H73" s="2"/>
      <c r="I73" s="2"/>
      <c r="J73" s="2"/>
      <c r="K73" s="2"/>
    </row>
    <row r="74" spans="1:11" s="7" customFormat="1" ht="14.25" customHeight="1" x14ac:dyDescent="0.15">
      <c r="A74" s="77"/>
      <c r="B74" s="96" t="s">
        <v>207</v>
      </c>
      <c r="C74" s="96" t="s">
        <v>207</v>
      </c>
      <c r="D74" s="96" t="s">
        <v>207</v>
      </c>
      <c r="E74" s="96" t="s">
        <v>207</v>
      </c>
      <c r="F74" s="95" t="s">
        <v>207</v>
      </c>
      <c r="G74" s="11"/>
      <c r="H74" s="2"/>
      <c r="I74" s="2"/>
      <c r="J74" s="2"/>
      <c r="K74" s="2"/>
    </row>
    <row r="75" spans="1:11" s="7" customFormat="1" ht="14.25" customHeight="1" x14ac:dyDescent="0.15">
      <c r="A75" s="77" t="s">
        <v>93</v>
      </c>
      <c r="B75" s="96">
        <v>4500</v>
      </c>
      <c r="C75" s="96">
        <v>3341</v>
      </c>
      <c r="D75" s="96">
        <v>71</v>
      </c>
      <c r="E75" s="96">
        <v>1030</v>
      </c>
      <c r="F75" s="95">
        <v>58</v>
      </c>
      <c r="G75" s="11"/>
      <c r="H75" s="2"/>
      <c r="I75" s="2"/>
      <c r="J75" s="2"/>
      <c r="K75" s="2"/>
    </row>
    <row r="76" spans="1:11" s="7" customFormat="1" ht="14.25" customHeight="1" x14ac:dyDescent="0.15">
      <c r="A76" s="77" t="s">
        <v>94</v>
      </c>
      <c r="B76" s="96">
        <v>4131</v>
      </c>
      <c r="C76" s="96">
        <v>3130</v>
      </c>
      <c r="D76" s="96">
        <v>60</v>
      </c>
      <c r="E76" s="96">
        <v>900</v>
      </c>
      <c r="F76" s="95">
        <v>41</v>
      </c>
      <c r="G76" s="11"/>
      <c r="H76" s="2"/>
      <c r="I76" s="2"/>
      <c r="J76" s="2"/>
      <c r="K76" s="2"/>
    </row>
    <row r="77" spans="1:11" s="7" customFormat="1" ht="14.25" customHeight="1" x14ac:dyDescent="0.15">
      <c r="A77" s="77" t="s">
        <v>137</v>
      </c>
      <c r="B77" s="96">
        <v>4228</v>
      </c>
      <c r="C77" s="96">
        <v>3109</v>
      </c>
      <c r="D77" s="96">
        <v>60</v>
      </c>
      <c r="E77" s="96">
        <v>1015</v>
      </c>
      <c r="F77" s="95">
        <v>44</v>
      </c>
      <c r="G77" s="11"/>
      <c r="H77" s="2"/>
      <c r="I77" s="2"/>
      <c r="J77" s="2"/>
      <c r="K77" s="2"/>
    </row>
    <row r="78" spans="1:11" s="7" customFormat="1" ht="14.25" customHeight="1" x14ac:dyDescent="0.15">
      <c r="A78" s="77"/>
      <c r="B78" s="96" t="s">
        <v>207</v>
      </c>
      <c r="C78" s="96" t="s">
        <v>207</v>
      </c>
      <c r="D78" s="96" t="s">
        <v>207</v>
      </c>
      <c r="E78" s="96" t="s">
        <v>207</v>
      </c>
      <c r="F78" s="95" t="s">
        <v>207</v>
      </c>
      <c r="G78" s="11"/>
      <c r="H78" s="2"/>
      <c r="I78" s="2"/>
      <c r="J78" s="2"/>
      <c r="K78" s="2"/>
    </row>
    <row r="79" spans="1:11" s="7" customFormat="1" ht="14.25" customHeight="1" x14ac:dyDescent="0.15">
      <c r="A79" s="77" t="s">
        <v>96</v>
      </c>
      <c r="B79" s="96">
        <v>4237</v>
      </c>
      <c r="C79" s="96">
        <v>3117</v>
      </c>
      <c r="D79" s="96">
        <v>57</v>
      </c>
      <c r="E79" s="96">
        <v>1028</v>
      </c>
      <c r="F79" s="95">
        <v>35</v>
      </c>
      <c r="G79" s="11"/>
      <c r="H79" s="2"/>
      <c r="I79" s="2"/>
      <c r="J79" s="2"/>
      <c r="K79" s="2"/>
    </row>
    <row r="80" spans="1:11" x14ac:dyDescent="0.15">
      <c r="A80" s="77" t="s">
        <v>97</v>
      </c>
      <c r="B80" s="164">
        <v>5129</v>
      </c>
      <c r="C80" s="164">
        <v>3913</v>
      </c>
      <c r="D80" s="164">
        <v>92</v>
      </c>
      <c r="E80" s="164">
        <v>1073</v>
      </c>
      <c r="F80" s="165">
        <v>51</v>
      </c>
    </row>
    <row r="81" spans="1:11" x14ac:dyDescent="0.15">
      <c r="A81" s="77" t="s">
        <v>151</v>
      </c>
      <c r="B81" s="164">
        <v>4300</v>
      </c>
      <c r="C81" s="164">
        <v>3446</v>
      </c>
      <c r="D81" s="164">
        <v>92</v>
      </c>
      <c r="E81" s="164">
        <v>726</v>
      </c>
      <c r="F81" s="165">
        <v>36</v>
      </c>
    </row>
    <row r="82" spans="1:11" x14ac:dyDescent="0.15">
      <c r="A82" s="77"/>
      <c r="B82" s="164" t="s">
        <v>207</v>
      </c>
      <c r="C82" s="164" t="s">
        <v>207</v>
      </c>
      <c r="D82" s="164" t="s">
        <v>207</v>
      </c>
      <c r="E82" s="164" t="s">
        <v>207</v>
      </c>
      <c r="F82" s="165" t="s">
        <v>207</v>
      </c>
    </row>
    <row r="83" spans="1:11" x14ac:dyDescent="0.15">
      <c r="A83" s="77" t="s">
        <v>209</v>
      </c>
      <c r="B83" s="164">
        <v>4606</v>
      </c>
      <c r="C83" s="164">
        <v>3618</v>
      </c>
      <c r="D83" s="164">
        <v>62</v>
      </c>
      <c r="E83" s="164">
        <v>896</v>
      </c>
      <c r="F83" s="165">
        <v>30</v>
      </c>
    </row>
    <row r="84" spans="1:11" s="7" customFormat="1" ht="13.5" customHeight="1" x14ac:dyDescent="0.15">
      <c r="A84" s="77" t="s">
        <v>21</v>
      </c>
      <c r="B84" s="164">
        <v>4174</v>
      </c>
      <c r="C84" s="164">
        <v>3230</v>
      </c>
      <c r="D84" s="164">
        <v>82</v>
      </c>
      <c r="E84" s="164">
        <v>836</v>
      </c>
      <c r="F84" s="165">
        <v>26</v>
      </c>
      <c r="G84" s="11"/>
      <c r="H84" s="2"/>
      <c r="I84" s="2"/>
      <c r="J84" s="2"/>
      <c r="K84" s="2"/>
    </row>
    <row r="85" spans="1:11" x14ac:dyDescent="0.15">
      <c r="A85" s="77" t="s">
        <v>89</v>
      </c>
      <c r="B85" s="164">
        <v>5556</v>
      </c>
      <c r="C85" s="164">
        <v>4297</v>
      </c>
      <c r="D85" s="164">
        <v>118</v>
      </c>
      <c r="E85" s="164">
        <v>1105</v>
      </c>
      <c r="F85" s="165">
        <v>36</v>
      </c>
    </row>
    <row r="86" spans="1:11" x14ac:dyDescent="0.15">
      <c r="A86" s="77"/>
      <c r="B86" s="164"/>
      <c r="C86" s="164"/>
      <c r="D86" s="164"/>
      <c r="E86" s="164"/>
      <c r="F86" s="165"/>
    </row>
    <row r="87" spans="1:11" x14ac:dyDescent="0.15">
      <c r="A87" s="77" t="s">
        <v>90</v>
      </c>
      <c r="B87" s="164">
        <v>4562</v>
      </c>
      <c r="C87" s="164">
        <v>3500</v>
      </c>
      <c r="D87" s="164">
        <v>103</v>
      </c>
      <c r="E87" s="164">
        <v>924</v>
      </c>
      <c r="F87" s="165">
        <v>35</v>
      </c>
    </row>
    <row r="88" spans="1:11" x14ac:dyDescent="0.15">
      <c r="A88" s="77" t="s">
        <v>91</v>
      </c>
      <c r="B88" s="164">
        <v>4527</v>
      </c>
      <c r="C88" s="164">
        <v>3496</v>
      </c>
      <c r="D88" s="164">
        <v>86</v>
      </c>
      <c r="E88" s="164">
        <v>902</v>
      </c>
      <c r="F88" s="165">
        <v>43</v>
      </c>
    </row>
    <row r="89" spans="1:11" x14ac:dyDescent="0.15">
      <c r="A89" s="77" t="s">
        <v>92</v>
      </c>
      <c r="B89" s="164">
        <v>4873</v>
      </c>
      <c r="C89" s="164">
        <v>3785</v>
      </c>
      <c r="D89" s="164">
        <v>141</v>
      </c>
      <c r="E89" s="164">
        <v>910</v>
      </c>
      <c r="F89" s="165">
        <v>37</v>
      </c>
    </row>
    <row r="90" spans="1:11" x14ac:dyDescent="0.15">
      <c r="A90" s="77"/>
      <c r="B90" s="164"/>
      <c r="C90" s="164"/>
      <c r="D90" s="164"/>
      <c r="E90" s="164"/>
      <c r="F90" s="165"/>
    </row>
    <row r="91" spans="1:11" x14ac:dyDescent="0.15">
      <c r="A91" s="77" t="s">
        <v>93</v>
      </c>
      <c r="B91" s="164">
        <v>4436</v>
      </c>
      <c r="C91" s="164">
        <v>3468</v>
      </c>
      <c r="D91" s="164">
        <v>70</v>
      </c>
      <c r="E91" s="164">
        <v>870</v>
      </c>
      <c r="F91" s="165">
        <v>28</v>
      </c>
    </row>
    <row r="92" spans="1:11" x14ac:dyDescent="0.15">
      <c r="A92" s="77" t="s">
        <v>94</v>
      </c>
      <c r="B92" s="164">
        <v>3666</v>
      </c>
      <c r="C92" s="164">
        <v>2895</v>
      </c>
      <c r="D92" s="164">
        <v>70</v>
      </c>
      <c r="E92" s="164">
        <v>678</v>
      </c>
      <c r="F92" s="165">
        <v>23</v>
      </c>
    </row>
    <row r="93" spans="1:11" x14ac:dyDescent="0.15">
      <c r="A93" s="77" t="s">
        <v>95</v>
      </c>
      <c r="B93" s="164">
        <v>4263</v>
      </c>
      <c r="C93" s="164">
        <v>3446</v>
      </c>
      <c r="D93" s="164">
        <v>77</v>
      </c>
      <c r="E93" s="164">
        <v>710</v>
      </c>
      <c r="F93" s="165">
        <v>30</v>
      </c>
    </row>
    <row r="94" spans="1:11" x14ac:dyDescent="0.15">
      <c r="A94" s="77"/>
      <c r="B94" s="164"/>
      <c r="C94" s="164"/>
      <c r="D94" s="164"/>
      <c r="E94" s="164"/>
      <c r="F94" s="165"/>
    </row>
    <row r="95" spans="1:11" x14ac:dyDescent="0.15">
      <c r="A95" s="77" t="s">
        <v>96</v>
      </c>
      <c r="B95" s="164">
        <v>4213</v>
      </c>
      <c r="C95" s="164">
        <v>3264</v>
      </c>
      <c r="D95" s="164">
        <v>81</v>
      </c>
      <c r="E95" s="164">
        <v>844</v>
      </c>
      <c r="F95" s="165">
        <v>24</v>
      </c>
    </row>
    <row r="96" spans="1:11" x14ac:dyDescent="0.15">
      <c r="A96" s="77" t="s">
        <v>97</v>
      </c>
      <c r="B96" s="164">
        <v>4984</v>
      </c>
      <c r="C96" s="164">
        <v>3783</v>
      </c>
      <c r="D96" s="164">
        <v>84</v>
      </c>
      <c r="E96" s="164">
        <v>1081</v>
      </c>
      <c r="F96" s="165">
        <v>36</v>
      </c>
    </row>
    <row r="97" spans="1:6" x14ac:dyDescent="0.15">
      <c r="A97" s="77" t="s">
        <v>98</v>
      </c>
      <c r="B97" s="164">
        <v>3753</v>
      </c>
      <c r="C97" s="164">
        <v>2920</v>
      </c>
      <c r="D97" s="164">
        <v>61</v>
      </c>
      <c r="E97" s="164">
        <v>730</v>
      </c>
      <c r="F97" s="165">
        <v>42</v>
      </c>
    </row>
    <row r="98" spans="1:6" x14ac:dyDescent="0.15">
      <c r="A98" s="77"/>
      <c r="B98" s="164"/>
      <c r="C98" s="164"/>
      <c r="D98" s="164"/>
      <c r="E98" s="164"/>
      <c r="F98" s="165"/>
    </row>
    <row r="99" spans="1:6" x14ac:dyDescent="0.15">
      <c r="A99" s="77" t="s">
        <v>242</v>
      </c>
      <c r="B99" s="164">
        <v>4262</v>
      </c>
      <c r="C99" s="164">
        <v>3564</v>
      </c>
      <c r="D99" s="164">
        <v>59</v>
      </c>
      <c r="E99" s="164">
        <v>615</v>
      </c>
      <c r="F99" s="165">
        <v>24</v>
      </c>
    </row>
    <row r="100" spans="1:6" x14ac:dyDescent="0.15">
      <c r="A100" s="77" t="s">
        <v>21</v>
      </c>
      <c r="B100" s="164">
        <v>3249</v>
      </c>
      <c r="C100" s="164">
        <v>2688</v>
      </c>
      <c r="D100" s="164">
        <v>69</v>
      </c>
      <c r="E100" s="164">
        <v>462</v>
      </c>
      <c r="F100" s="165">
        <v>30</v>
      </c>
    </row>
    <row r="101" spans="1:6" x14ac:dyDescent="0.15">
      <c r="A101" s="77" t="s">
        <v>89</v>
      </c>
      <c r="B101" s="164">
        <v>3943</v>
      </c>
      <c r="C101" s="164">
        <v>3287</v>
      </c>
      <c r="D101" s="164">
        <v>54</v>
      </c>
      <c r="E101" s="164">
        <v>582</v>
      </c>
      <c r="F101" s="165">
        <v>20</v>
      </c>
    </row>
    <row r="102" spans="1:6" x14ac:dyDescent="0.15">
      <c r="A102" s="77"/>
      <c r="B102" s="164"/>
      <c r="C102" s="164"/>
      <c r="D102" s="164"/>
      <c r="E102" s="164"/>
      <c r="F102" s="165"/>
    </row>
    <row r="103" spans="1:6" x14ac:dyDescent="0.15">
      <c r="A103" s="77" t="s">
        <v>90</v>
      </c>
      <c r="B103" s="164">
        <v>4132</v>
      </c>
      <c r="C103" s="164">
        <v>3466</v>
      </c>
      <c r="D103" s="164">
        <v>58</v>
      </c>
      <c r="E103" s="164">
        <v>584</v>
      </c>
      <c r="F103" s="165">
        <v>24</v>
      </c>
    </row>
    <row r="104" spans="1:6" x14ac:dyDescent="0.15">
      <c r="A104" s="77" t="s">
        <v>91</v>
      </c>
      <c r="B104" s="164">
        <v>3995</v>
      </c>
      <c r="C104" s="164">
        <v>3362</v>
      </c>
      <c r="D104" s="164">
        <v>61</v>
      </c>
      <c r="E104" s="164">
        <v>546</v>
      </c>
      <c r="F104" s="165">
        <v>26</v>
      </c>
    </row>
    <row r="105" spans="1:6" x14ac:dyDescent="0.15">
      <c r="A105" s="77" t="s">
        <v>92</v>
      </c>
      <c r="B105" s="164">
        <v>3677</v>
      </c>
      <c r="C105" s="164">
        <v>3035</v>
      </c>
      <c r="D105" s="164">
        <v>79</v>
      </c>
      <c r="E105" s="164">
        <v>545</v>
      </c>
      <c r="F105" s="165">
        <v>18</v>
      </c>
    </row>
    <row r="106" spans="1:6" x14ac:dyDescent="0.15">
      <c r="A106" s="77"/>
      <c r="B106" s="164"/>
      <c r="C106" s="164"/>
      <c r="D106" s="164"/>
      <c r="E106" s="164"/>
      <c r="F106" s="165"/>
    </row>
    <row r="107" spans="1:6" x14ac:dyDescent="0.15">
      <c r="A107" s="77" t="s">
        <v>93</v>
      </c>
      <c r="B107" s="164">
        <v>4116</v>
      </c>
      <c r="C107" s="164">
        <v>3409</v>
      </c>
      <c r="D107" s="164">
        <v>112</v>
      </c>
      <c r="E107" s="164">
        <v>564</v>
      </c>
      <c r="F107" s="165">
        <v>31</v>
      </c>
    </row>
    <row r="108" spans="1:6" x14ac:dyDescent="0.15">
      <c r="A108" s="77" t="s">
        <v>94</v>
      </c>
      <c r="B108" s="164">
        <v>3341</v>
      </c>
      <c r="C108" s="164">
        <v>2754</v>
      </c>
      <c r="D108" s="164">
        <v>53</v>
      </c>
      <c r="E108" s="164">
        <v>519</v>
      </c>
      <c r="F108" s="165">
        <v>15</v>
      </c>
    </row>
    <row r="109" spans="1:6" x14ac:dyDescent="0.15">
      <c r="A109" s="77" t="s">
        <v>95</v>
      </c>
      <c r="B109" s="164">
        <v>3515</v>
      </c>
      <c r="C109" s="164">
        <v>2999</v>
      </c>
      <c r="D109" s="164">
        <v>54</v>
      </c>
      <c r="E109" s="164">
        <v>448</v>
      </c>
      <c r="F109" s="165">
        <v>14</v>
      </c>
    </row>
    <row r="110" spans="1:6" x14ac:dyDescent="0.15">
      <c r="A110" s="77"/>
      <c r="B110" s="164"/>
      <c r="C110" s="164"/>
      <c r="D110" s="164"/>
      <c r="E110" s="164"/>
      <c r="F110" s="165"/>
    </row>
    <row r="111" spans="1:6" x14ac:dyDescent="0.15">
      <c r="A111" s="77" t="s">
        <v>96</v>
      </c>
      <c r="B111" s="164">
        <v>4231</v>
      </c>
      <c r="C111" s="164">
        <v>3539</v>
      </c>
      <c r="D111" s="164">
        <v>90</v>
      </c>
      <c r="E111" s="164">
        <v>593</v>
      </c>
      <c r="F111" s="165">
        <v>9</v>
      </c>
    </row>
    <row r="112" spans="1:6" x14ac:dyDescent="0.15">
      <c r="A112" s="77" t="s">
        <v>97</v>
      </c>
      <c r="B112" s="164">
        <v>4103</v>
      </c>
      <c r="C112" s="164">
        <v>3562</v>
      </c>
      <c r="D112" s="164">
        <v>89</v>
      </c>
      <c r="E112" s="164">
        <v>438</v>
      </c>
      <c r="F112" s="165">
        <v>14</v>
      </c>
    </row>
    <row r="113" spans="1:6" x14ac:dyDescent="0.15">
      <c r="A113" s="77" t="s">
        <v>98</v>
      </c>
      <c r="B113" s="164">
        <v>3652</v>
      </c>
      <c r="C113" s="164">
        <v>3115</v>
      </c>
      <c r="D113" s="164">
        <v>98</v>
      </c>
      <c r="E113" s="164">
        <v>411</v>
      </c>
      <c r="F113" s="165">
        <v>28</v>
      </c>
    </row>
    <row r="114" spans="1:6" x14ac:dyDescent="0.15">
      <c r="A114" s="77"/>
      <c r="B114" s="164"/>
      <c r="C114" s="164"/>
      <c r="D114" s="164"/>
      <c r="E114" s="164"/>
      <c r="F114" s="165"/>
    </row>
    <row r="115" spans="1:6" x14ac:dyDescent="0.15">
      <c r="A115" s="77" t="s">
        <v>275</v>
      </c>
      <c r="B115" s="164">
        <v>3569</v>
      </c>
      <c r="C115" s="164">
        <v>3101</v>
      </c>
      <c r="D115" s="164">
        <v>77</v>
      </c>
      <c r="E115" s="164">
        <v>380</v>
      </c>
      <c r="F115" s="165">
        <v>11</v>
      </c>
    </row>
    <row r="116" spans="1:6" x14ac:dyDescent="0.15">
      <c r="A116" s="77" t="s">
        <v>21</v>
      </c>
      <c r="B116" s="230">
        <v>3542</v>
      </c>
      <c r="C116" s="230">
        <v>3052</v>
      </c>
      <c r="D116" s="230">
        <v>55</v>
      </c>
      <c r="E116" s="230">
        <v>411</v>
      </c>
      <c r="F116" s="230">
        <v>24</v>
      </c>
    </row>
    <row r="117" spans="1:6" x14ac:dyDescent="0.15">
      <c r="A117" s="77" t="s">
        <v>285</v>
      </c>
      <c r="B117" s="230">
        <v>4004</v>
      </c>
      <c r="C117" s="230">
        <v>3390</v>
      </c>
      <c r="D117" s="230">
        <v>98</v>
      </c>
      <c r="E117" s="230">
        <v>502</v>
      </c>
      <c r="F117" s="230">
        <v>14</v>
      </c>
    </row>
    <row r="118" spans="1:6" x14ac:dyDescent="0.15">
      <c r="A118" s="77"/>
      <c r="B118" s="230"/>
      <c r="C118" s="230"/>
      <c r="D118" s="230"/>
      <c r="E118" s="230"/>
      <c r="F118" s="230"/>
    </row>
    <row r="119" spans="1:6" x14ac:dyDescent="0.15">
      <c r="A119" s="77" t="s">
        <v>123</v>
      </c>
      <c r="B119" s="230">
        <v>4254</v>
      </c>
      <c r="C119" s="230">
        <v>3534</v>
      </c>
      <c r="D119" s="230">
        <v>102</v>
      </c>
      <c r="E119" s="230">
        <v>588</v>
      </c>
      <c r="F119" s="230">
        <v>30</v>
      </c>
    </row>
    <row r="120" spans="1:6" x14ac:dyDescent="0.15">
      <c r="A120" s="77" t="s">
        <v>134</v>
      </c>
      <c r="B120" s="230">
        <v>4057</v>
      </c>
      <c r="C120" s="230">
        <v>3350</v>
      </c>
      <c r="D120" s="230">
        <v>86</v>
      </c>
      <c r="E120" s="230">
        <v>603</v>
      </c>
      <c r="F120" s="230">
        <v>18</v>
      </c>
    </row>
    <row r="121" spans="1:6" x14ac:dyDescent="0.15">
      <c r="A121" s="77" t="s">
        <v>92</v>
      </c>
      <c r="B121" s="230">
        <v>3932</v>
      </c>
      <c r="C121" s="230">
        <v>3288</v>
      </c>
      <c r="D121" s="230">
        <v>85</v>
      </c>
      <c r="E121" s="230">
        <v>539</v>
      </c>
      <c r="F121" s="230">
        <v>20</v>
      </c>
    </row>
    <row r="122" spans="1:6" x14ac:dyDescent="0.15">
      <c r="A122" s="77"/>
      <c r="B122" s="230"/>
      <c r="C122" s="230"/>
      <c r="D122" s="230"/>
      <c r="E122" s="230"/>
      <c r="F122" s="230"/>
    </row>
    <row r="123" spans="1:6" x14ac:dyDescent="0.15">
      <c r="A123" s="254" t="s">
        <v>93</v>
      </c>
      <c r="B123" s="230">
        <v>4161</v>
      </c>
      <c r="C123" s="230">
        <v>3466</v>
      </c>
      <c r="D123" s="230">
        <v>73</v>
      </c>
      <c r="E123" s="230">
        <v>602</v>
      </c>
      <c r="F123" s="230">
        <v>20</v>
      </c>
    </row>
    <row r="124" spans="1:6" x14ac:dyDescent="0.15">
      <c r="A124" s="254" t="s">
        <v>300</v>
      </c>
      <c r="B124" s="260">
        <v>3611</v>
      </c>
      <c r="C124" s="256">
        <v>3018</v>
      </c>
      <c r="D124" s="256">
        <v>62</v>
      </c>
      <c r="E124" s="256">
        <v>522</v>
      </c>
      <c r="F124" s="255">
        <v>9</v>
      </c>
    </row>
    <row r="125" spans="1:6" x14ac:dyDescent="0.15">
      <c r="A125" s="258" t="s">
        <v>95</v>
      </c>
      <c r="B125" s="256">
        <v>4450</v>
      </c>
      <c r="C125" s="256">
        <v>3702</v>
      </c>
      <c r="D125" s="256">
        <v>93</v>
      </c>
      <c r="E125" s="256">
        <v>639</v>
      </c>
      <c r="F125" s="255">
        <v>16</v>
      </c>
    </row>
    <row r="126" spans="1:6" x14ac:dyDescent="0.15">
      <c r="A126" s="262"/>
      <c r="B126" s="256"/>
      <c r="C126" s="256"/>
      <c r="D126" s="256"/>
      <c r="E126" s="256"/>
      <c r="F126" s="255"/>
    </row>
    <row r="127" spans="1:6" x14ac:dyDescent="0.15">
      <c r="A127" s="262" t="s">
        <v>307</v>
      </c>
      <c r="B127" s="256">
        <v>3466</v>
      </c>
      <c r="C127" s="256">
        <v>2894</v>
      </c>
      <c r="D127" s="256">
        <v>72</v>
      </c>
      <c r="E127" s="256">
        <v>489</v>
      </c>
      <c r="F127" s="255">
        <v>11</v>
      </c>
    </row>
    <row r="128" spans="1:6" x14ac:dyDescent="0.15">
      <c r="A128" s="262" t="s">
        <v>97</v>
      </c>
      <c r="B128" s="256">
        <v>3893</v>
      </c>
      <c r="C128" s="256">
        <v>3281</v>
      </c>
      <c r="D128" s="256">
        <v>101</v>
      </c>
      <c r="E128" s="256">
        <v>498</v>
      </c>
      <c r="F128" s="255">
        <v>13</v>
      </c>
    </row>
    <row r="129" spans="1:6" x14ac:dyDescent="0.15">
      <c r="A129" s="262" t="s">
        <v>98</v>
      </c>
      <c r="B129" s="256">
        <v>3830</v>
      </c>
      <c r="C129" s="256">
        <v>3329</v>
      </c>
      <c r="D129" s="256">
        <v>82</v>
      </c>
      <c r="E129" s="256">
        <v>401</v>
      </c>
      <c r="F129" s="255">
        <v>18</v>
      </c>
    </row>
    <row r="130" spans="1:6" x14ac:dyDescent="0.15">
      <c r="A130" s="262"/>
      <c r="B130" s="256"/>
      <c r="C130" s="256"/>
      <c r="D130" s="256"/>
      <c r="E130" s="256"/>
      <c r="F130" s="255"/>
    </row>
    <row r="131" spans="1:6" x14ac:dyDescent="0.15">
      <c r="A131" s="262" t="s">
        <v>318</v>
      </c>
      <c r="B131" s="256">
        <v>3398</v>
      </c>
      <c r="C131" s="256">
        <v>2950</v>
      </c>
      <c r="D131" s="256">
        <v>60</v>
      </c>
      <c r="E131" s="256">
        <v>351</v>
      </c>
      <c r="F131" s="255">
        <v>37</v>
      </c>
    </row>
    <row r="132" spans="1:6" x14ac:dyDescent="0.15">
      <c r="A132" s="262" t="s">
        <v>21</v>
      </c>
      <c r="B132" s="260">
        <f ca="1">IF($C132="","",[1]!BTSP(B$2,$C132))</f>
        <v>3277</v>
      </c>
      <c r="C132" s="260">
        <f ca="1">IF($C132="","",[1]!BTSP(C$2,$C132))</f>
        <v>2588</v>
      </c>
      <c r="D132" s="260">
        <f ca="1">IF($C132="","",[1]!BTSP(D$2,$C132))</f>
        <v>60</v>
      </c>
      <c r="E132" s="260">
        <f ca="1">IF($C132="","",[1]!BTSP(E$2,$C132))</f>
        <v>616</v>
      </c>
      <c r="F132" s="165">
        <f ca="1">IF($C132="","",[1]!BTSP(F$2,$C132))</f>
        <v>13</v>
      </c>
    </row>
    <row r="133" spans="1:6" x14ac:dyDescent="0.15">
      <c r="A133" s="262" t="s">
        <v>155</v>
      </c>
      <c r="B133" s="260">
        <f ca="1">IF($C133="","",[1]!BTSP(B$2,$C133))</f>
        <v>4716</v>
      </c>
      <c r="C133" s="260">
        <f ca="1">IF($C133="","",[1]!BTSP(C$2,$C133))</f>
        <v>3831</v>
      </c>
      <c r="D133" s="260">
        <f ca="1">IF($C133="","",[1]!BTSP(D$2,$C133))</f>
        <v>74</v>
      </c>
      <c r="E133" s="260">
        <f ca="1">IF($C133="","",[1]!BTSP(E$2,$C133))</f>
        <v>791</v>
      </c>
      <c r="F133" s="165">
        <f ca="1">IF($C133="","",[1]!BTSP(F$2,$C133))</f>
        <v>20</v>
      </c>
    </row>
    <row r="134" spans="1:6" x14ac:dyDescent="0.15">
      <c r="A134" s="262"/>
      <c r="B134" s="256"/>
      <c r="C134" s="256"/>
      <c r="D134" s="256"/>
      <c r="E134" s="256"/>
      <c r="F134" s="255"/>
    </row>
    <row r="135" spans="1:6" x14ac:dyDescent="0.15">
      <c r="A135" s="262" t="s">
        <v>123</v>
      </c>
      <c r="B135" s="260">
        <f ca="1">IF($C135="","",[1]!BTSP(B$2,$C135))</f>
        <v>4781</v>
      </c>
      <c r="C135" s="260">
        <f ca="1">IF($C135="","",[1]!BTSP(C$2,$C135))</f>
        <v>3968</v>
      </c>
      <c r="D135" s="260">
        <f ca="1">IF($C135="","",[1]!BTSP(D$2,$C135))</f>
        <v>70</v>
      </c>
      <c r="E135" s="260">
        <f ca="1">IF($C135="","",[1]!BTSP(E$2,$C135))</f>
        <v>723</v>
      </c>
      <c r="F135" s="165">
        <f ca="1">IF($C135="","",[1]!BTSP(F$2,$C135))</f>
        <v>20</v>
      </c>
    </row>
    <row r="136" spans="1:6" x14ac:dyDescent="0.15">
      <c r="A136" s="238" t="s">
        <v>88</v>
      </c>
      <c r="B136" s="233"/>
      <c r="C136" s="233"/>
      <c r="D136" s="236"/>
      <c r="E136" s="234"/>
      <c r="F136" s="237"/>
    </row>
  </sheetData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7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  <pageSetUpPr fitToPage="1"/>
  </sheetPr>
  <dimension ref="A1:H136"/>
  <sheetViews>
    <sheetView view="pageBreakPreview" zoomScaleNormal="100" zoomScaleSheetLayoutView="100" workbookViewId="0">
      <pane xSplit="1" ySplit="5" topLeftCell="B15" activePane="bottomRight" state="frozen"/>
      <selection pane="topRight" activeCell="B1" sqref="B1"/>
      <selection pane="bottomLeft" activeCell="A6" sqref="A6"/>
      <selection pane="bottomRight" activeCell="H37" sqref="H37"/>
    </sheetView>
  </sheetViews>
  <sheetFormatPr defaultRowHeight="13.5" x14ac:dyDescent="0.15"/>
  <cols>
    <col min="1" max="1" width="12.44140625" customWidth="1"/>
    <col min="2" max="2" width="12.88671875" customWidth="1"/>
    <col min="3" max="3" width="11.77734375" customWidth="1"/>
    <col min="4" max="4" width="13.21875" customWidth="1"/>
    <col min="5" max="8" width="11.77734375" customWidth="1"/>
  </cols>
  <sheetData>
    <row r="1" spans="1:8" ht="19.5" x14ac:dyDescent="0.25">
      <c r="A1" s="89" t="s">
        <v>78</v>
      </c>
      <c r="B1" s="54"/>
      <c r="C1" s="54"/>
      <c r="D1" s="54"/>
      <c r="E1" s="54"/>
      <c r="F1" s="54"/>
      <c r="G1" s="54"/>
      <c r="H1" s="54"/>
    </row>
    <row r="2" spans="1:8" s="47" customFormat="1" x14ac:dyDescent="0.15">
      <c r="A2" s="97" t="s">
        <v>30</v>
      </c>
      <c r="D2" s="23"/>
      <c r="E2" s="23"/>
      <c r="F2" s="23"/>
      <c r="G2" s="23"/>
      <c r="H2" s="23" t="s">
        <v>86</v>
      </c>
    </row>
    <row r="3" spans="1:8" ht="21.75" customHeight="1" x14ac:dyDescent="0.15">
      <c r="A3" s="276" t="s">
        <v>1</v>
      </c>
      <c r="B3" s="287" t="s">
        <v>79</v>
      </c>
      <c r="C3" s="280" t="s">
        <v>110</v>
      </c>
      <c r="D3" s="280"/>
      <c r="E3" s="280"/>
      <c r="F3" s="280"/>
      <c r="G3" s="280"/>
      <c r="H3" s="280"/>
    </row>
    <row r="4" spans="1:8" ht="18.75" customHeight="1" x14ac:dyDescent="0.15">
      <c r="A4" s="292"/>
      <c r="B4" s="293"/>
      <c r="C4" s="324" t="s">
        <v>80</v>
      </c>
      <c r="D4" s="287" t="s">
        <v>81</v>
      </c>
      <c r="E4" s="24"/>
      <c r="F4" s="24"/>
      <c r="G4" s="24"/>
      <c r="H4" s="24"/>
    </row>
    <row r="5" spans="1:8" ht="21" customHeight="1" x14ac:dyDescent="0.15">
      <c r="A5" s="292"/>
      <c r="B5" s="293"/>
      <c r="C5" s="293"/>
      <c r="D5" s="289"/>
      <c r="E5" s="13" t="s">
        <v>82</v>
      </c>
      <c r="F5" s="50" t="s">
        <v>83</v>
      </c>
      <c r="G5" s="50" t="s">
        <v>84</v>
      </c>
      <c r="H5" s="50" t="s">
        <v>0</v>
      </c>
    </row>
    <row r="6" spans="1:8" ht="13.5" customHeight="1" x14ac:dyDescent="0.15">
      <c r="A6" s="75">
        <v>2012</v>
      </c>
      <c r="B6" s="112">
        <v>15904382</v>
      </c>
      <c r="C6" s="112">
        <v>1876292</v>
      </c>
      <c r="D6" s="109">
        <v>14028090</v>
      </c>
      <c r="E6" s="109">
        <v>7215837</v>
      </c>
      <c r="F6" s="109">
        <v>431374</v>
      </c>
      <c r="G6" s="109">
        <v>343841</v>
      </c>
      <c r="H6" s="95">
        <v>6037038</v>
      </c>
    </row>
    <row r="7" spans="1:8" ht="13.5" customHeight="1" x14ac:dyDescent="0.15">
      <c r="A7" s="75">
        <v>2013</v>
      </c>
      <c r="B7" s="112">
        <v>15794741</v>
      </c>
      <c r="C7" s="112">
        <v>1885497</v>
      </c>
      <c r="D7" s="109">
        <v>13909243</v>
      </c>
      <c r="E7" s="109">
        <v>7174933</v>
      </c>
      <c r="F7" s="109">
        <v>465744</v>
      </c>
      <c r="G7" s="109">
        <v>347751</v>
      </c>
      <c r="H7" s="95">
        <v>5920815</v>
      </c>
    </row>
    <row r="8" spans="1:8" ht="13.5" customHeight="1" x14ac:dyDescent="0.15">
      <c r="A8" s="75">
        <v>2014</v>
      </c>
      <c r="B8" s="112">
        <v>15778145</v>
      </c>
      <c r="C8" s="112">
        <v>1868276</v>
      </c>
      <c r="D8" s="109">
        <v>13909869</v>
      </c>
      <c r="E8" s="109">
        <v>7000275</v>
      </c>
      <c r="F8" s="109">
        <v>507427</v>
      </c>
      <c r="G8" s="109">
        <v>364636</v>
      </c>
      <c r="H8" s="95">
        <v>6037531</v>
      </c>
    </row>
    <row r="9" spans="1:8" ht="13.5" customHeight="1" x14ac:dyDescent="0.15">
      <c r="A9" s="75">
        <v>2015</v>
      </c>
      <c r="B9" s="112">
        <v>16206618</v>
      </c>
      <c r="C9" s="112">
        <v>1888434</v>
      </c>
      <c r="D9" s="109">
        <v>14318185</v>
      </c>
      <c r="E9" s="109">
        <v>7167806</v>
      </c>
      <c r="F9" s="109">
        <v>546991</v>
      </c>
      <c r="G9" s="109">
        <v>367336</v>
      </c>
      <c r="H9" s="95">
        <v>6236052</v>
      </c>
    </row>
    <row r="10" spans="1:8" ht="13.5" customHeight="1" x14ac:dyDescent="0.15">
      <c r="A10" s="75"/>
      <c r="B10" s="112"/>
      <c r="C10" s="112"/>
      <c r="D10" s="109" t="s">
        <v>207</v>
      </c>
      <c r="E10" s="109"/>
      <c r="F10" s="109"/>
      <c r="G10" s="109"/>
      <c r="H10" s="95"/>
    </row>
    <row r="11" spans="1:8" ht="13.5" customHeight="1" x14ac:dyDescent="0.15">
      <c r="A11" s="75">
        <v>2016</v>
      </c>
      <c r="B11" s="112">
        <v>16498768</v>
      </c>
      <c r="C11" s="112">
        <v>1928362</v>
      </c>
      <c r="D11" s="109">
        <v>14570406</v>
      </c>
      <c r="E11" s="109">
        <v>7518304</v>
      </c>
      <c r="F11" s="109">
        <v>577378</v>
      </c>
      <c r="G11" s="109">
        <v>401251</v>
      </c>
      <c r="H11" s="95">
        <v>6073473</v>
      </c>
    </row>
    <row r="12" spans="1:8" ht="13.5" customHeight="1" x14ac:dyDescent="0.15">
      <c r="A12" s="75">
        <v>2017</v>
      </c>
      <c r="B12" s="112">
        <v>16619903</v>
      </c>
      <c r="C12" s="112">
        <v>1963644</v>
      </c>
      <c r="D12" s="109">
        <v>14656256</v>
      </c>
      <c r="E12" s="109">
        <v>7652806</v>
      </c>
      <c r="F12" s="109">
        <v>603241</v>
      </c>
      <c r="G12" s="109">
        <v>396075</v>
      </c>
      <c r="H12" s="95">
        <v>6004134</v>
      </c>
    </row>
    <row r="13" spans="1:8" ht="13.5" customHeight="1" x14ac:dyDescent="0.15">
      <c r="A13" s="75">
        <v>2018</v>
      </c>
      <c r="B13" s="112">
        <v>16845686</v>
      </c>
      <c r="C13" s="112">
        <v>2060398</v>
      </c>
      <c r="D13" s="109">
        <v>14785286</v>
      </c>
      <c r="E13" s="109">
        <v>7936885</v>
      </c>
      <c r="F13" s="109">
        <v>659118</v>
      </c>
      <c r="G13" s="109">
        <v>390572</v>
      </c>
      <c r="H13" s="95">
        <v>5798711</v>
      </c>
    </row>
    <row r="14" spans="1:8" ht="13.5" customHeight="1" x14ac:dyDescent="0.15">
      <c r="A14" s="75">
        <v>2019</v>
      </c>
      <c r="B14" s="112">
        <v>16368275.215</v>
      </c>
      <c r="C14" s="112">
        <v>2081090.527</v>
      </c>
      <c r="D14" s="109">
        <v>14287181.688000001</v>
      </c>
      <c r="E14" s="109">
        <v>7731337.0720000006</v>
      </c>
      <c r="F14" s="109">
        <v>693533.46799999999</v>
      </c>
      <c r="G14" s="109">
        <v>408544.61399999994</v>
      </c>
      <c r="H14" s="95">
        <v>5453766.534</v>
      </c>
    </row>
    <row r="15" spans="1:8" ht="13.5" customHeight="1" x14ac:dyDescent="0.15">
      <c r="A15" s="75">
        <v>2020</v>
      </c>
      <c r="B15" s="112">
        <v>16120066.698000001</v>
      </c>
      <c r="C15" s="112">
        <v>2197106.4920000001</v>
      </c>
      <c r="D15" s="109">
        <v>13922960.206</v>
      </c>
      <c r="E15" s="109">
        <v>7570123.1459999997</v>
      </c>
      <c r="F15" s="109">
        <v>698450.32200000004</v>
      </c>
      <c r="G15" s="109">
        <v>446394.35999999987</v>
      </c>
      <c r="H15" s="95">
        <v>5207992.3780000005</v>
      </c>
    </row>
    <row r="16" spans="1:8" ht="13.5" customHeight="1" x14ac:dyDescent="0.15">
      <c r="A16" s="75"/>
      <c r="B16" s="112"/>
      <c r="C16" s="112"/>
      <c r="D16" s="109" t="s">
        <v>207</v>
      </c>
      <c r="E16" s="109"/>
      <c r="F16" s="109"/>
      <c r="G16" s="109"/>
      <c r="H16" s="95"/>
    </row>
    <row r="17" spans="1:8" ht="13.5" customHeight="1" x14ac:dyDescent="0.15">
      <c r="A17" s="75">
        <v>2021</v>
      </c>
      <c r="B17" s="112">
        <v>16808005.646000002</v>
      </c>
      <c r="C17" s="112">
        <v>2289719.3859999999</v>
      </c>
      <c r="D17" s="109">
        <v>14518286.260000002</v>
      </c>
      <c r="E17" s="109">
        <v>7882153.5879999995</v>
      </c>
      <c r="F17" s="109">
        <v>783546.77300000016</v>
      </c>
      <c r="G17" s="109">
        <v>452010.33500000002</v>
      </c>
      <c r="H17" s="95">
        <v>5400575.5640000002</v>
      </c>
    </row>
    <row r="18" spans="1:8" ht="13.5" customHeight="1" x14ac:dyDescent="0.15">
      <c r="A18" s="75">
        <v>2022</v>
      </c>
      <c r="B18" s="112">
        <v>17325520.416000001</v>
      </c>
      <c r="C18" s="112">
        <v>2332244.59</v>
      </c>
      <c r="D18" s="109">
        <v>14993275.825999999</v>
      </c>
      <c r="E18" s="109">
        <v>8188660.1500000004</v>
      </c>
      <c r="F18" s="109">
        <v>791360.34199999995</v>
      </c>
      <c r="G18" s="109">
        <v>445443.42099999997</v>
      </c>
      <c r="H18" s="95">
        <v>5567811.9130000006</v>
      </c>
    </row>
    <row r="19" spans="1:8" ht="13.5" customHeight="1" x14ac:dyDescent="0.15">
      <c r="A19" s="75">
        <v>2023</v>
      </c>
      <c r="B19" s="112">
        <f>SUM(B70:B84)</f>
        <v>15626338.951000001</v>
      </c>
      <c r="C19" s="112">
        <f t="shared" ref="C19:H19" si="0">SUM(C70:C84)</f>
        <v>2117004.531</v>
      </c>
      <c r="D19" s="109">
        <f t="shared" si="0"/>
        <v>13509334.42</v>
      </c>
      <c r="E19" s="109">
        <f t="shared" si="0"/>
        <v>7275440.8139999993</v>
      </c>
      <c r="F19" s="109">
        <f t="shared" si="0"/>
        <v>725136.47100000002</v>
      </c>
      <c r="G19" s="109">
        <f t="shared" si="0"/>
        <v>405514.72600000002</v>
      </c>
      <c r="H19" s="95">
        <f t="shared" si="0"/>
        <v>5103242.409</v>
      </c>
    </row>
    <row r="20" spans="1:8" ht="13.5" customHeight="1" x14ac:dyDescent="0.15">
      <c r="A20" s="77"/>
      <c r="B20" s="112"/>
      <c r="C20" s="112"/>
      <c r="D20" s="109" t="s">
        <v>207</v>
      </c>
      <c r="E20" s="109"/>
      <c r="F20" s="109"/>
      <c r="G20" s="109"/>
      <c r="H20" s="95"/>
    </row>
    <row r="21" spans="1:8" ht="13.5" customHeight="1" x14ac:dyDescent="0.15">
      <c r="A21" s="77" t="s">
        <v>148</v>
      </c>
      <c r="B21" s="112">
        <v>1660463</v>
      </c>
      <c r="C21" s="112">
        <v>191146</v>
      </c>
      <c r="D21" s="109">
        <v>1469318</v>
      </c>
      <c r="E21" s="109">
        <v>919717</v>
      </c>
      <c r="F21" s="109">
        <v>56845</v>
      </c>
      <c r="G21" s="109">
        <v>34093</v>
      </c>
      <c r="H21" s="95">
        <v>458663</v>
      </c>
    </row>
    <row r="22" spans="1:8" ht="13.5" customHeight="1" x14ac:dyDescent="0.15">
      <c r="A22" s="77" t="s">
        <v>21</v>
      </c>
      <c r="B22" s="112">
        <v>1512411</v>
      </c>
      <c r="C22" s="112">
        <v>190820</v>
      </c>
      <c r="D22" s="109">
        <v>1321592</v>
      </c>
      <c r="E22" s="109">
        <v>829756</v>
      </c>
      <c r="F22" s="109">
        <v>56076</v>
      </c>
      <c r="G22" s="109">
        <v>27550</v>
      </c>
      <c r="H22" s="95">
        <v>408210</v>
      </c>
    </row>
    <row r="23" spans="1:8" ht="13.5" customHeight="1" x14ac:dyDescent="0.15">
      <c r="A23" s="77" t="s">
        <v>89</v>
      </c>
      <c r="B23" s="112">
        <v>1401415</v>
      </c>
      <c r="C23" s="112">
        <v>162981</v>
      </c>
      <c r="D23" s="109">
        <v>1238436</v>
      </c>
      <c r="E23" s="109">
        <v>691149</v>
      </c>
      <c r="F23" s="109">
        <v>50289</v>
      </c>
      <c r="G23" s="109">
        <v>31986</v>
      </c>
      <c r="H23" s="95">
        <v>465012</v>
      </c>
    </row>
    <row r="24" spans="1:8" ht="13.5" customHeight="1" x14ac:dyDescent="0.15">
      <c r="A24" s="77"/>
      <c r="B24" s="112" t="s">
        <v>207</v>
      </c>
      <c r="C24" s="112" t="s">
        <v>207</v>
      </c>
      <c r="D24" s="109" t="s">
        <v>207</v>
      </c>
      <c r="E24" s="109" t="s">
        <v>207</v>
      </c>
      <c r="F24" s="109" t="s">
        <v>207</v>
      </c>
      <c r="G24" s="109" t="s">
        <v>207</v>
      </c>
      <c r="H24" s="95" t="s">
        <v>207</v>
      </c>
    </row>
    <row r="25" spans="1:8" ht="13.5" customHeight="1" x14ac:dyDescent="0.15">
      <c r="A25" s="77" t="s">
        <v>90</v>
      </c>
      <c r="B25" s="112">
        <v>1376039</v>
      </c>
      <c r="C25" s="112">
        <v>170342</v>
      </c>
      <c r="D25" s="109">
        <v>1205697</v>
      </c>
      <c r="E25" s="109">
        <v>657832</v>
      </c>
      <c r="F25" s="109">
        <v>51159</v>
      </c>
      <c r="G25" s="109">
        <v>32859</v>
      </c>
      <c r="H25" s="95">
        <v>463847</v>
      </c>
    </row>
    <row r="26" spans="1:8" ht="13.5" customHeight="1" x14ac:dyDescent="0.15">
      <c r="A26" s="77" t="s">
        <v>91</v>
      </c>
      <c r="B26" s="112">
        <v>1267172</v>
      </c>
      <c r="C26" s="112">
        <v>155844</v>
      </c>
      <c r="D26" s="109">
        <v>1111326</v>
      </c>
      <c r="E26" s="109">
        <v>550658</v>
      </c>
      <c r="F26" s="109">
        <v>48222</v>
      </c>
      <c r="G26" s="109">
        <v>32213</v>
      </c>
      <c r="H26" s="95">
        <v>480233</v>
      </c>
    </row>
    <row r="27" spans="1:8" ht="13.5" customHeight="1" x14ac:dyDescent="0.15">
      <c r="A27" s="77" t="s">
        <v>92</v>
      </c>
      <c r="B27" s="112">
        <v>1211985</v>
      </c>
      <c r="C27" s="112">
        <v>154599</v>
      </c>
      <c r="D27" s="109">
        <v>1057385</v>
      </c>
      <c r="E27" s="109">
        <v>514288</v>
      </c>
      <c r="F27" s="109">
        <v>51907</v>
      </c>
      <c r="G27" s="109">
        <v>30943</v>
      </c>
      <c r="H27" s="95">
        <v>460247</v>
      </c>
    </row>
    <row r="28" spans="1:8" ht="13.5" customHeight="1" x14ac:dyDescent="0.15">
      <c r="A28" s="77"/>
      <c r="B28" s="112" t="s">
        <v>207</v>
      </c>
      <c r="C28" s="112" t="s">
        <v>207</v>
      </c>
      <c r="D28" s="109" t="s">
        <v>207</v>
      </c>
      <c r="E28" s="109" t="s">
        <v>207</v>
      </c>
      <c r="F28" s="109" t="s">
        <v>207</v>
      </c>
      <c r="G28" s="109" t="s">
        <v>207</v>
      </c>
      <c r="H28" s="95" t="s">
        <v>207</v>
      </c>
    </row>
    <row r="29" spans="1:8" ht="13.5" customHeight="1" x14ac:dyDescent="0.15">
      <c r="A29" s="77" t="s">
        <v>93</v>
      </c>
      <c r="B29" s="112">
        <v>1230225</v>
      </c>
      <c r="C29" s="112">
        <v>157483</v>
      </c>
      <c r="D29" s="109">
        <v>1072742</v>
      </c>
      <c r="E29" s="109">
        <v>532499</v>
      </c>
      <c r="F29" s="109">
        <v>53076</v>
      </c>
      <c r="G29" s="109">
        <v>34904</v>
      </c>
      <c r="H29" s="95">
        <v>452263</v>
      </c>
    </row>
    <row r="30" spans="1:8" ht="13.5" customHeight="1" x14ac:dyDescent="0.15">
      <c r="A30" s="77" t="s">
        <v>94</v>
      </c>
      <c r="B30" s="112">
        <v>1359412</v>
      </c>
      <c r="C30" s="112">
        <v>206714</v>
      </c>
      <c r="D30" s="109">
        <v>1152699</v>
      </c>
      <c r="E30" s="109">
        <v>605680</v>
      </c>
      <c r="F30" s="109">
        <v>65659</v>
      </c>
      <c r="G30" s="109">
        <v>33358</v>
      </c>
      <c r="H30" s="95">
        <v>448002</v>
      </c>
    </row>
    <row r="31" spans="1:8" ht="13.5" customHeight="1" x14ac:dyDescent="0.15">
      <c r="A31" s="77" t="s">
        <v>95</v>
      </c>
      <c r="B31" s="112">
        <v>1261886</v>
      </c>
      <c r="C31" s="112">
        <v>182554</v>
      </c>
      <c r="D31" s="109">
        <v>1079331</v>
      </c>
      <c r="E31" s="109">
        <v>542006</v>
      </c>
      <c r="F31" s="109">
        <v>73114</v>
      </c>
      <c r="G31" s="109">
        <v>32984</v>
      </c>
      <c r="H31" s="95">
        <v>431227</v>
      </c>
    </row>
    <row r="32" spans="1:8" ht="13.5" customHeight="1" x14ac:dyDescent="0.15">
      <c r="A32" s="77"/>
      <c r="B32" s="112" t="s">
        <v>207</v>
      </c>
      <c r="C32" s="112" t="s">
        <v>207</v>
      </c>
      <c r="D32" s="109" t="s">
        <v>207</v>
      </c>
      <c r="E32" s="109" t="s">
        <v>207</v>
      </c>
      <c r="F32" s="109" t="s">
        <v>207</v>
      </c>
      <c r="G32" s="109" t="s">
        <v>207</v>
      </c>
      <c r="H32" s="95" t="s">
        <v>207</v>
      </c>
    </row>
    <row r="33" spans="1:8" ht="13.5" customHeight="1" x14ac:dyDescent="0.15">
      <c r="A33" s="77" t="s">
        <v>96</v>
      </c>
      <c r="B33" s="112">
        <v>1233915.5589999999</v>
      </c>
      <c r="C33" s="112">
        <v>160121.97399999999</v>
      </c>
      <c r="D33" s="109">
        <v>1073793.585</v>
      </c>
      <c r="E33" s="109">
        <v>512813.76300000004</v>
      </c>
      <c r="F33" s="109">
        <v>59963.955000000002</v>
      </c>
      <c r="G33" s="109">
        <v>37644.169000000002</v>
      </c>
      <c r="H33" s="95">
        <v>463371.69799999997</v>
      </c>
    </row>
    <row r="34" spans="1:8" ht="13.5" customHeight="1" x14ac:dyDescent="0.15">
      <c r="A34" s="77" t="s">
        <v>97</v>
      </c>
      <c r="B34" s="112">
        <v>1345986.048</v>
      </c>
      <c r="C34" s="112">
        <v>169685.698</v>
      </c>
      <c r="D34" s="109">
        <v>1176300.3500000001</v>
      </c>
      <c r="E34" s="109">
        <v>606722.50600000005</v>
      </c>
      <c r="F34" s="109">
        <v>73595.474000000002</v>
      </c>
      <c r="G34" s="109">
        <v>39625.105000000003</v>
      </c>
      <c r="H34" s="95">
        <v>456357.26500000001</v>
      </c>
    </row>
    <row r="35" spans="1:8" ht="13.5" customHeight="1" x14ac:dyDescent="0.15">
      <c r="A35" s="77" t="s">
        <v>98</v>
      </c>
      <c r="B35" s="112">
        <v>1507365.608</v>
      </c>
      <c r="C35" s="112">
        <v>178799.85500000001</v>
      </c>
      <c r="D35" s="109">
        <v>1328565.753</v>
      </c>
      <c r="E35" s="109">
        <v>768219.80299999996</v>
      </c>
      <c r="F35" s="109">
        <v>53627.038999999997</v>
      </c>
      <c r="G35" s="109">
        <v>40385.339999999997</v>
      </c>
      <c r="H35" s="95">
        <v>466333.571</v>
      </c>
    </row>
    <row r="36" spans="1:8" ht="13.5" customHeight="1" x14ac:dyDescent="0.15">
      <c r="A36" s="77"/>
      <c r="B36" s="112" t="s">
        <v>207</v>
      </c>
      <c r="C36" s="112" t="s">
        <v>207</v>
      </c>
      <c r="D36" s="109" t="s">
        <v>207</v>
      </c>
      <c r="E36" s="109" t="s">
        <v>207</v>
      </c>
      <c r="F36" s="109" t="s">
        <v>207</v>
      </c>
      <c r="G36" s="109" t="s">
        <v>207</v>
      </c>
      <c r="H36" s="95" t="s">
        <v>207</v>
      </c>
    </row>
    <row r="37" spans="1:8" ht="13.5" customHeight="1" x14ac:dyDescent="0.15">
      <c r="A37" s="77" t="s">
        <v>164</v>
      </c>
      <c r="B37" s="112">
        <v>1547410.4839999999</v>
      </c>
      <c r="C37" s="112">
        <v>193282.93700000001</v>
      </c>
      <c r="D37" s="109">
        <v>1354127.547</v>
      </c>
      <c r="E37" s="109">
        <v>848597.35000000009</v>
      </c>
      <c r="F37" s="109">
        <v>55706.038</v>
      </c>
      <c r="G37" s="109">
        <v>37681.163999999997</v>
      </c>
      <c r="H37" s="95">
        <v>412142.995</v>
      </c>
    </row>
    <row r="38" spans="1:8" ht="13.5" customHeight="1" x14ac:dyDescent="0.15">
      <c r="A38" s="77" t="s">
        <v>21</v>
      </c>
      <c r="B38" s="112">
        <v>1501654.8870000001</v>
      </c>
      <c r="C38" s="112">
        <v>194226.41</v>
      </c>
      <c r="D38" s="109">
        <v>1307428.477</v>
      </c>
      <c r="E38" s="109">
        <v>810765.12699999998</v>
      </c>
      <c r="F38" s="109">
        <v>55868.550999999999</v>
      </c>
      <c r="G38" s="109">
        <v>37181.436000000002</v>
      </c>
      <c r="H38" s="95">
        <v>403613.36300000001</v>
      </c>
    </row>
    <row r="39" spans="1:8" ht="13.5" customHeight="1" x14ac:dyDescent="0.15">
      <c r="A39" s="77" t="s">
        <v>89</v>
      </c>
      <c r="B39" s="112">
        <v>1400868.7490000001</v>
      </c>
      <c r="C39" s="112">
        <v>179974.356</v>
      </c>
      <c r="D39" s="109">
        <v>1220894.3929999999</v>
      </c>
      <c r="E39" s="109">
        <v>681412.73300000001</v>
      </c>
      <c r="F39" s="109">
        <v>53240.368999999999</v>
      </c>
      <c r="G39" s="109">
        <v>34188.913999999997</v>
      </c>
      <c r="H39" s="95">
        <v>452052.37699999998</v>
      </c>
    </row>
    <row r="40" spans="1:8" ht="13.5" customHeight="1" x14ac:dyDescent="0.15">
      <c r="A40" s="77"/>
      <c r="B40" s="112" t="s">
        <v>207</v>
      </c>
      <c r="C40" s="112" t="s">
        <v>207</v>
      </c>
      <c r="D40" s="109" t="s">
        <v>207</v>
      </c>
      <c r="E40" s="109" t="s">
        <v>207</v>
      </c>
      <c r="F40" s="109" t="s">
        <v>207</v>
      </c>
      <c r="G40" s="109" t="s">
        <v>207</v>
      </c>
      <c r="H40" s="95" t="s">
        <v>207</v>
      </c>
    </row>
    <row r="41" spans="1:8" ht="13.5" customHeight="1" x14ac:dyDescent="0.15">
      <c r="A41" s="77" t="s">
        <v>90</v>
      </c>
      <c r="B41" s="112">
        <v>1346006.148</v>
      </c>
      <c r="C41" s="112">
        <v>180894.56</v>
      </c>
      <c r="D41" s="109">
        <v>1165111.588</v>
      </c>
      <c r="E41" s="109">
        <v>607464.54599999997</v>
      </c>
      <c r="F41" s="109">
        <v>53645.52</v>
      </c>
      <c r="G41" s="109">
        <v>37297.68</v>
      </c>
      <c r="H41" s="95">
        <v>466703.842</v>
      </c>
    </row>
    <row r="42" spans="1:8" ht="13.5" customHeight="1" x14ac:dyDescent="0.15">
      <c r="A42" s="77" t="s">
        <v>171</v>
      </c>
      <c r="B42" s="112">
        <v>1225448.7509999999</v>
      </c>
      <c r="C42" s="112">
        <v>168553.272</v>
      </c>
      <c r="D42" s="109">
        <v>1056895.4790000001</v>
      </c>
      <c r="E42" s="109">
        <v>536248.23399999994</v>
      </c>
      <c r="F42" s="109">
        <v>50131.114000000001</v>
      </c>
      <c r="G42" s="109">
        <v>34814.701999999997</v>
      </c>
      <c r="H42" s="95">
        <v>435701.429</v>
      </c>
    </row>
    <row r="43" spans="1:8" ht="13.5" customHeight="1" x14ac:dyDescent="0.15">
      <c r="A43" s="77" t="s">
        <v>92</v>
      </c>
      <c r="B43" s="112">
        <v>1209426.4280000001</v>
      </c>
      <c r="C43" s="112">
        <v>168054.96400000001</v>
      </c>
      <c r="D43" s="109">
        <v>1041371.4639999999</v>
      </c>
      <c r="E43" s="109">
        <v>523045.27599999995</v>
      </c>
      <c r="F43" s="109">
        <v>52802.961000000003</v>
      </c>
      <c r="G43" s="109">
        <v>34886.699999999997</v>
      </c>
      <c r="H43" s="95">
        <v>430636.527</v>
      </c>
    </row>
    <row r="44" spans="1:8" ht="13.5" customHeight="1" x14ac:dyDescent="0.15">
      <c r="A44" s="77"/>
      <c r="B44" s="112" t="s">
        <v>207</v>
      </c>
      <c r="C44" s="112" t="s">
        <v>207</v>
      </c>
      <c r="D44" s="109" t="s">
        <v>207</v>
      </c>
      <c r="E44" s="109" t="s">
        <v>207</v>
      </c>
      <c r="F44" s="109" t="s">
        <v>207</v>
      </c>
      <c r="G44" s="109" t="s">
        <v>207</v>
      </c>
      <c r="H44" s="95" t="s">
        <v>207</v>
      </c>
    </row>
    <row r="45" spans="1:8" ht="13.5" customHeight="1" x14ac:dyDescent="0.15">
      <c r="A45" s="77" t="s">
        <v>93</v>
      </c>
      <c r="B45" s="112">
        <v>1218509.044</v>
      </c>
      <c r="C45" s="112">
        <v>168927.12599999999</v>
      </c>
      <c r="D45" s="109">
        <v>1049581.9180000001</v>
      </c>
      <c r="E45" s="109">
        <v>531855.65800000005</v>
      </c>
      <c r="F45" s="109">
        <v>54461.955999999998</v>
      </c>
      <c r="G45" s="109">
        <v>36936.552000000003</v>
      </c>
      <c r="H45" s="95">
        <v>426327.75199999998</v>
      </c>
    </row>
    <row r="46" spans="1:8" ht="13.5" customHeight="1" x14ac:dyDescent="0.15">
      <c r="A46" s="77" t="s">
        <v>94</v>
      </c>
      <c r="B46" s="112">
        <v>1263509.1540000001</v>
      </c>
      <c r="C46" s="112">
        <v>194720.864</v>
      </c>
      <c r="D46" s="109">
        <v>1068788.29</v>
      </c>
      <c r="E46" s="109">
        <v>581646.04300000006</v>
      </c>
      <c r="F46" s="109">
        <v>61199.3</v>
      </c>
      <c r="G46" s="109">
        <v>35642.792999999998</v>
      </c>
      <c r="H46" s="95">
        <v>390300.15399999998</v>
      </c>
    </row>
    <row r="47" spans="1:8" ht="13.5" customHeight="1" x14ac:dyDescent="0.15">
      <c r="A47" s="77" t="s">
        <v>95</v>
      </c>
      <c r="B47" s="112">
        <v>1313720.713</v>
      </c>
      <c r="C47" s="112">
        <v>212278.288</v>
      </c>
      <c r="D47" s="109">
        <v>1101442.4249999998</v>
      </c>
      <c r="E47" s="109">
        <v>559408.85800000001</v>
      </c>
      <c r="F47" s="109">
        <v>75172.471999999994</v>
      </c>
      <c r="G47" s="109">
        <v>38538.381999999998</v>
      </c>
      <c r="H47" s="95">
        <v>428322.71299999999</v>
      </c>
    </row>
    <row r="48" spans="1:8" ht="13.5" customHeight="1" x14ac:dyDescent="0.15">
      <c r="A48" s="77"/>
      <c r="B48" s="112" t="s">
        <v>207</v>
      </c>
      <c r="C48" s="112" t="s">
        <v>207</v>
      </c>
      <c r="D48" s="109" t="s">
        <v>207</v>
      </c>
      <c r="E48" s="109" t="s">
        <v>207</v>
      </c>
      <c r="F48" s="109" t="s">
        <v>207</v>
      </c>
      <c r="G48" s="109" t="s">
        <v>207</v>
      </c>
      <c r="H48" s="95" t="s">
        <v>207</v>
      </c>
    </row>
    <row r="49" spans="1:8" ht="13.5" customHeight="1" x14ac:dyDescent="0.15">
      <c r="A49" s="77" t="s">
        <v>140</v>
      </c>
      <c r="B49" s="112">
        <v>1236878.1310000001</v>
      </c>
      <c r="C49" s="112">
        <v>167904.35</v>
      </c>
      <c r="D49" s="109">
        <v>1068973.781</v>
      </c>
      <c r="E49" s="109">
        <v>517361.96500000003</v>
      </c>
      <c r="F49" s="109">
        <v>59416.355000000003</v>
      </c>
      <c r="G49" s="109">
        <v>37535.686000000002</v>
      </c>
      <c r="H49" s="95">
        <v>454659.77500000002</v>
      </c>
    </row>
    <row r="50" spans="1:8" ht="13.5" customHeight="1" x14ac:dyDescent="0.15">
      <c r="A50" s="77" t="s">
        <v>97</v>
      </c>
      <c r="B50" s="112">
        <v>1360652.209</v>
      </c>
      <c r="C50" s="112">
        <v>178181.36499999999</v>
      </c>
      <c r="D50" s="109">
        <v>1182470.844</v>
      </c>
      <c r="E50" s="109">
        <v>614284.35600000003</v>
      </c>
      <c r="F50" s="109">
        <v>69940.686000000002</v>
      </c>
      <c r="G50" s="109">
        <v>40017.351000000002</v>
      </c>
      <c r="H50" s="95">
        <v>458228.451</v>
      </c>
    </row>
    <row r="51" spans="1:8" ht="13.5" customHeight="1" x14ac:dyDescent="0.15">
      <c r="A51" s="77" t="s">
        <v>98</v>
      </c>
      <c r="B51" s="112">
        <v>1495982.1429999999</v>
      </c>
      <c r="C51" s="112">
        <v>190107.94500000001</v>
      </c>
      <c r="D51" s="109">
        <v>1305874.1980000001</v>
      </c>
      <c r="E51" s="109">
        <v>758033.40700000001</v>
      </c>
      <c r="F51" s="109">
        <v>56864.735999999997</v>
      </c>
      <c r="G51" s="109">
        <v>41673.207999999999</v>
      </c>
      <c r="H51" s="95">
        <v>449302.84700000001</v>
      </c>
    </row>
    <row r="52" spans="1:8" ht="13.5" customHeight="1" x14ac:dyDescent="0.15">
      <c r="A52" s="77"/>
      <c r="B52" s="112" t="s">
        <v>207</v>
      </c>
      <c r="C52" s="112" t="s">
        <v>207</v>
      </c>
      <c r="D52" s="109" t="s">
        <v>207</v>
      </c>
      <c r="E52" s="109" t="s">
        <v>207</v>
      </c>
      <c r="F52" s="109" t="s">
        <v>207</v>
      </c>
      <c r="G52" s="109" t="s">
        <v>207</v>
      </c>
      <c r="H52" s="95" t="s">
        <v>207</v>
      </c>
    </row>
    <row r="53" spans="1:8" ht="13.5" customHeight="1" x14ac:dyDescent="0.15">
      <c r="A53" s="77" t="s">
        <v>185</v>
      </c>
      <c r="B53" s="112">
        <v>1629811.5179999999</v>
      </c>
      <c r="C53" s="112">
        <v>217506.21900000001</v>
      </c>
      <c r="D53" s="109">
        <v>1412305.2990000001</v>
      </c>
      <c r="E53" s="109">
        <v>901509.71799999988</v>
      </c>
      <c r="F53" s="109">
        <v>65062.023000000001</v>
      </c>
      <c r="G53" s="109">
        <v>40369.555</v>
      </c>
      <c r="H53" s="95">
        <v>405364.00300000003</v>
      </c>
    </row>
    <row r="54" spans="1:8" ht="13.5" customHeight="1" x14ac:dyDescent="0.15">
      <c r="A54" s="77" t="s">
        <v>21</v>
      </c>
      <c r="B54" s="112">
        <v>1539605.39</v>
      </c>
      <c r="C54" s="112">
        <v>210982.484</v>
      </c>
      <c r="D54" s="109">
        <v>1328622.906</v>
      </c>
      <c r="E54" s="109">
        <v>847219.28700000001</v>
      </c>
      <c r="F54" s="109">
        <v>63482.103999999999</v>
      </c>
      <c r="G54" s="109">
        <v>34484.934000000001</v>
      </c>
      <c r="H54" s="95">
        <v>383436.58100000001</v>
      </c>
    </row>
    <row r="55" spans="1:8" ht="13.5" customHeight="1" x14ac:dyDescent="0.15">
      <c r="A55" s="77" t="s">
        <v>89</v>
      </c>
      <c r="B55" s="112">
        <v>1395074.1950000001</v>
      </c>
      <c r="C55" s="112">
        <v>177664.73800000001</v>
      </c>
      <c r="D55" s="109">
        <v>1217409.4569999999</v>
      </c>
      <c r="E55" s="109">
        <v>692867.74</v>
      </c>
      <c r="F55" s="109">
        <v>55704.324000000001</v>
      </c>
      <c r="G55" s="109">
        <v>37839.667000000001</v>
      </c>
      <c r="H55" s="95">
        <v>430997.72600000002</v>
      </c>
    </row>
    <row r="56" spans="1:8" ht="13.5" customHeight="1" x14ac:dyDescent="0.15">
      <c r="A56" s="77"/>
      <c r="B56" s="112"/>
      <c r="C56" s="112"/>
      <c r="D56" s="109" t="s">
        <v>207</v>
      </c>
      <c r="E56" s="109" t="s">
        <v>207</v>
      </c>
      <c r="F56" s="109"/>
      <c r="G56" s="109"/>
      <c r="H56" s="95"/>
    </row>
    <row r="57" spans="1:8" ht="13.5" customHeight="1" x14ac:dyDescent="0.15">
      <c r="A57" s="77" t="s">
        <v>90</v>
      </c>
      <c r="B57" s="112">
        <v>1334515.746</v>
      </c>
      <c r="C57" s="112">
        <v>178952.36199999999</v>
      </c>
      <c r="D57" s="109">
        <v>1155563.3840000001</v>
      </c>
      <c r="E57" s="109">
        <v>615469.93299999996</v>
      </c>
      <c r="F57" s="109">
        <v>54794.578000000001</v>
      </c>
      <c r="G57" s="109">
        <v>38801.027000000002</v>
      </c>
      <c r="H57" s="95">
        <v>446497.84600000002</v>
      </c>
    </row>
    <row r="58" spans="1:8" ht="13.5" customHeight="1" x14ac:dyDescent="0.15">
      <c r="A58" s="77" t="s">
        <v>91</v>
      </c>
      <c r="B58" s="112">
        <v>1291702.0249999999</v>
      </c>
      <c r="C58" s="112">
        <v>168101.76800000001</v>
      </c>
      <c r="D58" s="109">
        <v>1123600.257</v>
      </c>
      <c r="E58" s="109">
        <v>584272.75300000003</v>
      </c>
      <c r="F58" s="109">
        <v>51993.300999999999</v>
      </c>
      <c r="G58" s="109">
        <v>36025.760999999999</v>
      </c>
      <c r="H58" s="95">
        <v>451308.44199999998</v>
      </c>
    </row>
    <row r="59" spans="1:8" ht="13.5" customHeight="1" x14ac:dyDescent="0.15">
      <c r="A59" s="77" t="s">
        <v>92</v>
      </c>
      <c r="B59" s="112">
        <v>1274174.094</v>
      </c>
      <c r="C59" s="112">
        <v>170905.47</v>
      </c>
      <c r="D59" s="109">
        <v>1103268.6240000001</v>
      </c>
      <c r="E59" s="109">
        <v>570802.31700000004</v>
      </c>
      <c r="F59" s="109">
        <v>53169.813999999998</v>
      </c>
      <c r="G59" s="109">
        <v>37390.796000000002</v>
      </c>
      <c r="H59" s="95">
        <v>441905.69699999999</v>
      </c>
    </row>
    <row r="60" spans="1:8" ht="13.5" customHeight="1" x14ac:dyDescent="0.15">
      <c r="A60" s="77"/>
      <c r="B60" s="112" t="s">
        <v>207</v>
      </c>
      <c r="C60" s="112" t="s">
        <v>207</v>
      </c>
      <c r="D60" s="109" t="s">
        <v>207</v>
      </c>
      <c r="E60" s="109" t="s">
        <v>207</v>
      </c>
      <c r="F60" s="109" t="s">
        <v>207</v>
      </c>
      <c r="G60" s="109" t="s">
        <v>207</v>
      </c>
      <c r="H60" s="95" t="s">
        <v>207</v>
      </c>
    </row>
    <row r="61" spans="1:8" ht="13.5" customHeight="1" x14ac:dyDescent="0.15">
      <c r="A61" s="77" t="s">
        <v>93</v>
      </c>
      <c r="B61" s="112">
        <v>1320821.503</v>
      </c>
      <c r="C61" s="112">
        <v>181682.29800000001</v>
      </c>
      <c r="D61" s="109">
        <v>1139139.2050000001</v>
      </c>
      <c r="E61" s="109">
        <v>566223.152</v>
      </c>
      <c r="F61" s="109">
        <v>59080.023000000001</v>
      </c>
      <c r="G61" s="109">
        <v>36773.567000000003</v>
      </c>
      <c r="H61" s="95">
        <v>477062.46299999999</v>
      </c>
    </row>
    <row r="62" spans="1:8" ht="13.5" customHeight="1" x14ac:dyDescent="0.15">
      <c r="A62" s="77" t="s">
        <v>94</v>
      </c>
      <c r="B62" s="112">
        <v>1449134.825</v>
      </c>
      <c r="C62" s="112">
        <v>242633.285</v>
      </c>
      <c r="D62" s="109">
        <v>1206501.54</v>
      </c>
      <c r="E62" s="109">
        <v>623446.21299999999</v>
      </c>
      <c r="F62" s="109">
        <v>80588.150999999998</v>
      </c>
      <c r="G62" s="109">
        <v>35079.163999999997</v>
      </c>
      <c r="H62" s="95">
        <v>467388.01199999999</v>
      </c>
    </row>
    <row r="63" spans="1:8" ht="13.5" customHeight="1" x14ac:dyDescent="0.15">
      <c r="A63" s="77" t="s">
        <v>95</v>
      </c>
      <c r="B63" s="112">
        <v>1312553.034</v>
      </c>
      <c r="C63" s="112">
        <v>191598.337</v>
      </c>
      <c r="D63" s="109">
        <v>1120954.6969999999</v>
      </c>
      <c r="E63" s="109">
        <v>549943.05299999996</v>
      </c>
      <c r="F63" s="109">
        <v>86157.440000000002</v>
      </c>
      <c r="G63" s="109">
        <v>35366.896000000001</v>
      </c>
      <c r="H63" s="95">
        <v>449487.30800000002</v>
      </c>
    </row>
    <row r="64" spans="1:8" ht="13.5" customHeight="1" x14ac:dyDescent="0.15">
      <c r="A64" s="77"/>
      <c r="B64" s="112" t="s">
        <v>207</v>
      </c>
      <c r="C64" s="112" t="s">
        <v>207</v>
      </c>
      <c r="D64" s="109" t="s">
        <v>207</v>
      </c>
      <c r="E64" s="109" t="s">
        <v>207</v>
      </c>
      <c r="F64" s="109" t="s">
        <v>207</v>
      </c>
      <c r="G64" s="109" t="s">
        <v>207</v>
      </c>
      <c r="H64" s="95" t="s">
        <v>207</v>
      </c>
    </row>
    <row r="65" spans="1:8" ht="13.5" customHeight="1" x14ac:dyDescent="0.15">
      <c r="A65" s="77" t="s">
        <v>197</v>
      </c>
      <c r="B65" s="112">
        <v>1280880.544</v>
      </c>
      <c r="C65" s="112">
        <v>173753.43400000001</v>
      </c>
      <c r="D65" s="109">
        <v>1107127.1100000001</v>
      </c>
      <c r="E65" s="109">
        <v>524754.47499999998</v>
      </c>
      <c r="F65" s="109">
        <v>73636.854000000007</v>
      </c>
      <c r="G65" s="109">
        <v>35494.214</v>
      </c>
      <c r="H65" s="95">
        <v>473241.56699999998</v>
      </c>
    </row>
    <row r="66" spans="1:8" ht="13.5" customHeight="1" x14ac:dyDescent="0.15">
      <c r="A66" s="77" t="s">
        <v>145</v>
      </c>
      <c r="B66" s="112">
        <v>1406177.7660000001</v>
      </c>
      <c r="C66" s="112">
        <v>184286.09299999999</v>
      </c>
      <c r="D66" s="109">
        <v>1221891.673</v>
      </c>
      <c r="E66" s="109">
        <v>631787.84499999997</v>
      </c>
      <c r="F66" s="109">
        <v>80341.682000000001</v>
      </c>
      <c r="G66" s="109">
        <v>42577.669000000002</v>
      </c>
      <c r="H66" s="95">
        <v>467184.47700000001</v>
      </c>
    </row>
    <row r="67" spans="1:8" s="159" customFormat="1" ht="13.5" customHeight="1" x14ac:dyDescent="0.15">
      <c r="A67" s="77" t="s">
        <v>151</v>
      </c>
      <c r="B67" s="112">
        <v>1573555.0060000001</v>
      </c>
      <c r="C67" s="112">
        <v>191652.89799999999</v>
      </c>
      <c r="D67" s="109">
        <v>1381902.108</v>
      </c>
      <c r="E67" s="109">
        <v>773857.10200000007</v>
      </c>
      <c r="F67" s="109">
        <v>59536.478999999999</v>
      </c>
      <c r="G67" s="109">
        <v>41807.084999999999</v>
      </c>
      <c r="H67" s="95">
        <v>506701.44199999998</v>
      </c>
    </row>
    <row r="68" spans="1:8" s="29" customFormat="1" ht="13.5" customHeight="1" x14ac:dyDescent="0.15">
      <c r="A68" s="77"/>
      <c r="B68" s="112" t="s">
        <v>207</v>
      </c>
      <c r="C68" s="112" t="s">
        <v>207</v>
      </c>
      <c r="D68" s="109" t="s">
        <v>207</v>
      </c>
      <c r="E68" s="109" t="s">
        <v>207</v>
      </c>
      <c r="F68" s="109" t="s">
        <v>207</v>
      </c>
      <c r="G68" s="109" t="s">
        <v>207</v>
      </c>
      <c r="H68" s="95" t="s">
        <v>207</v>
      </c>
    </row>
    <row r="69" spans="1:8" ht="13.5" customHeight="1" x14ac:dyDescent="0.15">
      <c r="A69" s="77" t="s">
        <v>199</v>
      </c>
      <c r="B69" s="112">
        <v>1699181.4650000001</v>
      </c>
      <c r="C69" s="112">
        <v>215240.05900000001</v>
      </c>
      <c r="D69" s="109">
        <v>1483941.406</v>
      </c>
      <c r="E69" s="109">
        <v>913219.33600000001</v>
      </c>
      <c r="F69" s="109">
        <v>66223.870999999999</v>
      </c>
      <c r="G69" s="109">
        <v>39928.695</v>
      </c>
      <c r="H69" s="95">
        <v>464569.50400000002</v>
      </c>
    </row>
    <row r="70" spans="1:8" ht="13.5" customHeight="1" x14ac:dyDescent="0.15">
      <c r="A70" s="77" t="s">
        <v>21</v>
      </c>
      <c r="B70" s="112">
        <v>1620579.94</v>
      </c>
      <c r="C70" s="112">
        <v>215765.51</v>
      </c>
      <c r="D70" s="109">
        <v>1404814.43</v>
      </c>
      <c r="E70" s="109">
        <v>892132.14500000002</v>
      </c>
      <c r="F70" s="109">
        <v>68058.069000000003</v>
      </c>
      <c r="G70" s="109">
        <v>35763.966999999997</v>
      </c>
      <c r="H70" s="95">
        <v>408860.24900000001</v>
      </c>
    </row>
    <row r="71" spans="1:8" ht="13.5" customHeight="1" x14ac:dyDescent="0.15">
      <c r="A71" s="77" t="s">
        <v>89</v>
      </c>
      <c r="B71" s="112">
        <v>1483639.338</v>
      </c>
      <c r="C71" s="112">
        <v>186426.20300000001</v>
      </c>
      <c r="D71" s="109">
        <v>1297213.1350000002</v>
      </c>
      <c r="E71" s="109">
        <v>745414.5560000001</v>
      </c>
      <c r="F71" s="109">
        <v>61110.296999999999</v>
      </c>
      <c r="G71" s="109">
        <v>37524.447</v>
      </c>
      <c r="H71" s="95">
        <v>453163.83500000002</v>
      </c>
    </row>
    <row r="72" spans="1:8" s="29" customFormat="1" ht="13.5" customHeight="1" x14ac:dyDescent="0.15">
      <c r="A72" s="77"/>
      <c r="B72" s="112" t="s">
        <v>207</v>
      </c>
      <c r="C72" s="112" t="s">
        <v>207</v>
      </c>
      <c r="D72" s="109" t="s">
        <v>207</v>
      </c>
      <c r="E72" s="109" t="s">
        <v>207</v>
      </c>
      <c r="F72" s="109" t="s">
        <v>207</v>
      </c>
      <c r="G72" s="109" t="s">
        <v>207</v>
      </c>
      <c r="H72" s="95" t="s">
        <v>207</v>
      </c>
    </row>
    <row r="73" spans="1:8" s="29" customFormat="1" ht="13.5" customHeight="1" x14ac:dyDescent="0.15">
      <c r="A73" s="77" t="s">
        <v>90</v>
      </c>
      <c r="B73" s="112">
        <v>1410088.419</v>
      </c>
      <c r="C73" s="112">
        <v>188334.49400000001</v>
      </c>
      <c r="D73" s="109">
        <v>1221753.9249999998</v>
      </c>
      <c r="E73" s="109">
        <v>652914.071</v>
      </c>
      <c r="F73" s="109">
        <v>59388.862999999998</v>
      </c>
      <c r="G73" s="109">
        <v>37472.587</v>
      </c>
      <c r="H73" s="95">
        <v>471978.40399999998</v>
      </c>
    </row>
    <row r="74" spans="1:8" ht="13.5" customHeight="1" x14ac:dyDescent="0.15">
      <c r="A74" s="77" t="s">
        <v>91</v>
      </c>
      <c r="B74" s="112">
        <v>1325001.932</v>
      </c>
      <c r="C74" s="112">
        <v>167868.30100000001</v>
      </c>
      <c r="D74" s="109">
        <v>1157133.6310000001</v>
      </c>
      <c r="E74" s="109">
        <v>569280.06099999999</v>
      </c>
      <c r="F74" s="109">
        <v>55844.565000000002</v>
      </c>
      <c r="G74" s="109">
        <v>35948.478999999999</v>
      </c>
      <c r="H74" s="95">
        <v>496060.52600000001</v>
      </c>
    </row>
    <row r="75" spans="1:8" ht="13.5" customHeight="1" x14ac:dyDescent="0.15">
      <c r="A75" s="77" t="s">
        <v>92</v>
      </c>
      <c r="B75" s="112">
        <v>1300383.091</v>
      </c>
      <c r="C75" s="112">
        <v>170498.13099999999</v>
      </c>
      <c r="D75" s="109">
        <v>1129884.96</v>
      </c>
      <c r="E75" s="109">
        <v>568083.451</v>
      </c>
      <c r="F75" s="109">
        <v>60061.392999999996</v>
      </c>
      <c r="G75" s="109">
        <v>35319.07</v>
      </c>
      <c r="H75" s="95">
        <v>466421.04599999997</v>
      </c>
    </row>
    <row r="76" spans="1:8" ht="13.5" customHeight="1" x14ac:dyDescent="0.15">
      <c r="A76" s="77"/>
      <c r="B76" s="112" t="s">
        <v>207</v>
      </c>
      <c r="C76" s="112" t="s">
        <v>207</v>
      </c>
      <c r="D76" s="109" t="s">
        <v>207</v>
      </c>
      <c r="E76" s="109" t="s">
        <v>207</v>
      </c>
      <c r="F76" s="109" t="s">
        <v>207</v>
      </c>
      <c r="G76" s="109" t="s">
        <v>207</v>
      </c>
      <c r="H76" s="95" t="s">
        <v>207</v>
      </c>
    </row>
    <row r="77" spans="1:8" ht="13.5" customHeight="1" x14ac:dyDescent="0.15">
      <c r="A77" s="77" t="s">
        <v>93</v>
      </c>
      <c r="B77" s="112">
        <v>1391654.027</v>
      </c>
      <c r="C77" s="112">
        <v>200698.25899999999</v>
      </c>
      <c r="D77" s="109">
        <v>1190955.7680000002</v>
      </c>
      <c r="E77" s="109">
        <v>613072.99900000007</v>
      </c>
      <c r="F77" s="109">
        <v>62069.858999999997</v>
      </c>
      <c r="G77" s="109">
        <v>35862.341</v>
      </c>
      <c r="H77" s="95">
        <v>479950.56900000002</v>
      </c>
    </row>
    <row r="78" spans="1:8" ht="13.5" customHeight="1" x14ac:dyDescent="0.15">
      <c r="A78" s="77" t="s">
        <v>139</v>
      </c>
      <c r="B78" s="112">
        <v>1459125.534</v>
      </c>
      <c r="C78" s="112">
        <v>234460.83499999999</v>
      </c>
      <c r="D78" s="109">
        <v>1224664.699</v>
      </c>
      <c r="E78" s="109">
        <v>650473.23600000003</v>
      </c>
      <c r="F78" s="109">
        <v>75286.307000000001</v>
      </c>
      <c r="G78" s="109">
        <v>35447.665000000001</v>
      </c>
      <c r="H78" s="95">
        <v>463457.49099999998</v>
      </c>
    </row>
    <row r="79" spans="1:8" ht="13.5" customHeight="1" x14ac:dyDescent="0.15">
      <c r="A79" s="77" t="s">
        <v>95</v>
      </c>
      <c r="B79" s="112">
        <v>1349427.263</v>
      </c>
      <c r="C79" s="112">
        <v>200722.56</v>
      </c>
      <c r="D79" s="109">
        <v>1148704.703</v>
      </c>
      <c r="E79" s="109">
        <v>584107.71399999992</v>
      </c>
      <c r="F79" s="109">
        <v>81524.75</v>
      </c>
      <c r="G79" s="109">
        <v>34875.758000000002</v>
      </c>
      <c r="H79" s="95">
        <v>448196.48100000003</v>
      </c>
    </row>
    <row r="80" spans="1:8" x14ac:dyDescent="0.15">
      <c r="B80" s="112" t="s">
        <v>207</v>
      </c>
      <c r="C80" s="112" t="s">
        <v>207</v>
      </c>
      <c r="D80" s="109" t="s">
        <v>207</v>
      </c>
      <c r="E80" s="109" t="s">
        <v>207</v>
      </c>
      <c r="F80" s="109" t="s">
        <v>207</v>
      </c>
      <c r="G80" s="109" t="s">
        <v>207</v>
      </c>
      <c r="H80" s="95" t="s">
        <v>207</v>
      </c>
    </row>
    <row r="81" spans="1:8" x14ac:dyDescent="0.15">
      <c r="A81" s="77" t="s">
        <v>96</v>
      </c>
      <c r="B81" s="112">
        <v>1308281.9450000001</v>
      </c>
      <c r="C81" s="112">
        <v>173635.26800000001</v>
      </c>
      <c r="D81" s="109">
        <v>1134646.6770000001</v>
      </c>
      <c r="E81" s="109">
        <v>553578.65600000008</v>
      </c>
      <c r="F81" s="109">
        <v>66249.767999999996</v>
      </c>
      <c r="G81" s="109">
        <v>36422.142999999996</v>
      </c>
      <c r="H81" s="95">
        <v>478396.11</v>
      </c>
    </row>
    <row r="82" spans="1:8" x14ac:dyDescent="0.15">
      <c r="A82" s="77" t="s">
        <v>145</v>
      </c>
      <c r="B82" s="112">
        <v>1409049.15</v>
      </c>
      <c r="C82" s="112">
        <v>183291.75200000001</v>
      </c>
      <c r="D82" s="109">
        <v>1225757.398</v>
      </c>
      <c r="E82" s="109">
        <v>645913.88199999998</v>
      </c>
      <c r="F82" s="109">
        <v>75069.623000000007</v>
      </c>
      <c r="G82" s="109">
        <v>40050.195</v>
      </c>
      <c r="H82" s="95">
        <v>464723.69799999997</v>
      </c>
    </row>
    <row r="83" spans="1:8" x14ac:dyDescent="0.15">
      <c r="A83" s="77" t="s">
        <v>98</v>
      </c>
      <c r="B83" s="112">
        <v>1569108.3119999999</v>
      </c>
      <c r="C83" s="112">
        <v>195303.21799999999</v>
      </c>
      <c r="D83" s="109">
        <v>1373805.094</v>
      </c>
      <c r="E83" s="109">
        <v>800470.04299999995</v>
      </c>
      <c r="F83" s="109">
        <v>60472.976999999999</v>
      </c>
      <c r="G83" s="109">
        <v>40828.074000000001</v>
      </c>
      <c r="H83" s="95">
        <v>472034</v>
      </c>
    </row>
    <row r="84" spans="1:8" x14ac:dyDescent="0.15">
      <c r="A84" s="77"/>
      <c r="B84" s="112"/>
      <c r="C84" s="112"/>
      <c r="D84" s="109"/>
      <c r="E84" s="109"/>
      <c r="F84" s="109"/>
      <c r="G84" s="109"/>
      <c r="H84" s="95"/>
    </row>
    <row r="85" spans="1:8" s="67" customFormat="1" ht="13.5" customHeight="1" x14ac:dyDescent="0.15">
      <c r="A85" s="77" t="s">
        <v>209</v>
      </c>
      <c r="B85" s="112">
        <v>1746407</v>
      </c>
      <c r="C85" s="112">
        <v>222396.59299999999</v>
      </c>
      <c r="D85" s="109">
        <v>1524010.4069999999</v>
      </c>
      <c r="E85" s="109">
        <v>961197.62800000003</v>
      </c>
      <c r="F85" s="109">
        <v>69503.456999999995</v>
      </c>
      <c r="G85" s="109">
        <v>37017.381999999998</v>
      </c>
      <c r="H85" s="95">
        <v>456291.94</v>
      </c>
    </row>
    <row r="86" spans="1:8" s="67" customFormat="1" ht="13.5" customHeight="1" x14ac:dyDescent="0.15">
      <c r="A86" s="77" t="s">
        <v>21</v>
      </c>
      <c r="B86" s="112">
        <v>1634178.2549999999</v>
      </c>
      <c r="C86" s="112">
        <v>217555.4</v>
      </c>
      <c r="D86" s="109">
        <v>1416622.855</v>
      </c>
      <c r="E86" s="109">
        <v>897449.11899999995</v>
      </c>
      <c r="F86" s="109">
        <v>67513.255000000005</v>
      </c>
      <c r="G86" s="109">
        <v>36002.633000000002</v>
      </c>
      <c r="H86" s="95">
        <v>415657.848</v>
      </c>
    </row>
    <row r="87" spans="1:8" s="67" customFormat="1" ht="13.5" customHeight="1" x14ac:dyDescent="0.15">
      <c r="A87" s="77" t="s">
        <v>89</v>
      </c>
      <c r="B87" s="112">
        <v>1431764.4920000001</v>
      </c>
      <c r="C87" s="112">
        <v>179121.541</v>
      </c>
      <c r="D87" s="109">
        <v>1252642.9509999999</v>
      </c>
      <c r="E87" s="109">
        <v>711540.25800000003</v>
      </c>
      <c r="F87" s="109">
        <v>56704.737000000001</v>
      </c>
      <c r="G87" s="109">
        <v>36992.769999999997</v>
      </c>
      <c r="H87" s="95">
        <v>447405.18599999999</v>
      </c>
    </row>
    <row r="88" spans="1:8" s="67" customFormat="1" ht="13.5" customHeight="1" x14ac:dyDescent="0.15">
      <c r="A88" s="77"/>
      <c r="B88" s="112"/>
      <c r="C88" s="112"/>
      <c r="D88" s="109"/>
      <c r="E88" s="109"/>
      <c r="F88" s="109"/>
      <c r="G88" s="109"/>
      <c r="H88" s="95"/>
    </row>
    <row r="89" spans="1:8" s="67" customFormat="1" ht="13.5" customHeight="1" x14ac:dyDescent="0.15">
      <c r="A89" s="77" t="s">
        <v>90</v>
      </c>
      <c r="B89" s="112">
        <v>1346991.0630000001</v>
      </c>
      <c r="C89" s="112">
        <v>180051.03099999999</v>
      </c>
      <c r="D89" s="109">
        <v>1166940.0320000001</v>
      </c>
      <c r="E89" s="109">
        <v>627511.625</v>
      </c>
      <c r="F89" s="109">
        <v>55180.076999999997</v>
      </c>
      <c r="G89" s="109">
        <v>35369.381000000001</v>
      </c>
      <c r="H89" s="95">
        <v>448878.94900000002</v>
      </c>
    </row>
    <row r="90" spans="1:8" s="67" customFormat="1" ht="13.5" customHeight="1" x14ac:dyDescent="0.15">
      <c r="A90" s="77" t="s">
        <v>91</v>
      </c>
      <c r="B90" s="109">
        <v>1293404.2250000001</v>
      </c>
      <c r="C90" s="109">
        <v>169786.91</v>
      </c>
      <c r="D90" s="109">
        <v>1123617.3149999999</v>
      </c>
      <c r="E90" s="109">
        <v>566584.12800000003</v>
      </c>
      <c r="F90" s="109">
        <v>52963.046000000002</v>
      </c>
      <c r="G90" s="109">
        <v>34621.044000000002</v>
      </c>
      <c r="H90" s="109">
        <v>469449.09700000001</v>
      </c>
    </row>
    <row r="91" spans="1:8" s="67" customFormat="1" ht="13.5" customHeight="1" x14ac:dyDescent="0.15">
      <c r="A91" s="77" t="s">
        <v>92</v>
      </c>
      <c r="B91" s="109">
        <v>1292262.111</v>
      </c>
      <c r="C91" s="109">
        <v>171252.49</v>
      </c>
      <c r="D91" s="109">
        <v>1121009.621</v>
      </c>
      <c r="E91" s="109">
        <v>566687.76199999999</v>
      </c>
      <c r="F91" s="109">
        <v>56830.21</v>
      </c>
      <c r="G91" s="109">
        <v>34836.716</v>
      </c>
      <c r="H91" s="109">
        <v>462654.93300000002</v>
      </c>
    </row>
    <row r="92" spans="1:8" s="67" customFormat="1" ht="13.5" customHeight="1" x14ac:dyDescent="0.15">
      <c r="A92" s="77"/>
      <c r="B92" s="109"/>
      <c r="C92" s="109"/>
      <c r="D92" s="109"/>
      <c r="E92" s="109"/>
      <c r="F92" s="109"/>
      <c r="G92" s="109"/>
      <c r="H92" s="109"/>
    </row>
    <row r="93" spans="1:8" x14ac:dyDescent="0.15">
      <c r="A93" s="77" t="s">
        <v>93</v>
      </c>
      <c r="B93" s="109">
        <v>1366623.7930000001</v>
      </c>
      <c r="C93" s="109">
        <v>192731.94099999999</v>
      </c>
      <c r="D93" s="109">
        <v>1173891.852</v>
      </c>
      <c r="E93" s="109">
        <v>618862.80799999996</v>
      </c>
      <c r="F93" s="109">
        <v>60847.822</v>
      </c>
      <c r="G93" s="109">
        <v>35628.542999999998</v>
      </c>
      <c r="H93" s="109">
        <v>458552.679</v>
      </c>
    </row>
    <row r="94" spans="1:8" x14ac:dyDescent="0.15">
      <c r="A94" s="77" t="s">
        <v>94</v>
      </c>
      <c r="B94" s="109">
        <v>1462130.382</v>
      </c>
      <c r="C94" s="109">
        <v>244624.348</v>
      </c>
      <c r="D94" s="109">
        <v>1217506.034</v>
      </c>
      <c r="E94" s="109">
        <v>669822.39099999995</v>
      </c>
      <c r="F94" s="109">
        <v>79258.119000000006</v>
      </c>
      <c r="G94" s="109">
        <v>35084.156000000003</v>
      </c>
      <c r="H94" s="109">
        <v>433341.36800000002</v>
      </c>
    </row>
    <row r="95" spans="1:8" x14ac:dyDescent="0.15">
      <c r="A95" s="77" t="s">
        <v>95</v>
      </c>
      <c r="B95" s="109">
        <v>1383608.0360000001</v>
      </c>
      <c r="C95" s="109">
        <v>215267.264</v>
      </c>
      <c r="D95" s="109">
        <v>1168340.7720000001</v>
      </c>
      <c r="E95" s="109">
        <v>622299.45000000007</v>
      </c>
      <c r="F95" s="109">
        <v>85278.047999999995</v>
      </c>
      <c r="G95" s="109">
        <v>34746.892999999996</v>
      </c>
      <c r="H95" s="109">
        <v>426016.38099999999</v>
      </c>
    </row>
    <row r="96" spans="1:8" x14ac:dyDescent="0.15">
      <c r="A96" s="77"/>
      <c r="B96" s="109"/>
      <c r="C96" s="109"/>
      <c r="D96" s="109"/>
      <c r="E96" s="109"/>
      <c r="F96" s="109"/>
      <c r="G96" s="109"/>
      <c r="H96" s="109"/>
    </row>
    <row r="97" spans="1:8" x14ac:dyDescent="0.15">
      <c r="A97" s="77" t="s">
        <v>96</v>
      </c>
      <c r="B97" s="109">
        <v>1271349.436</v>
      </c>
      <c r="C97" s="109">
        <v>176858.99</v>
      </c>
      <c r="D97" s="109">
        <v>1094490.446</v>
      </c>
      <c r="E97" s="109">
        <v>567423.53899999999</v>
      </c>
      <c r="F97" s="109">
        <v>67304.508000000002</v>
      </c>
      <c r="G97" s="109">
        <v>35948.451000000001</v>
      </c>
      <c r="H97" s="109">
        <v>423813.94799999997</v>
      </c>
    </row>
    <row r="98" spans="1:8" x14ac:dyDescent="0.15">
      <c r="A98" s="77" t="s">
        <v>97</v>
      </c>
      <c r="B98" s="109">
        <v>1359136.3810000001</v>
      </c>
      <c r="C98" s="109">
        <v>181827.663</v>
      </c>
      <c r="D98" s="109">
        <v>1177308.7179999999</v>
      </c>
      <c r="E98" s="109">
        <v>636497.37899999996</v>
      </c>
      <c r="F98" s="109">
        <v>73437.885999999999</v>
      </c>
      <c r="G98" s="109">
        <v>39239.555</v>
      </c>
      <c r="H98" s="109">
        <v>428133.89799999999</v>
      </c>
    </row>
    <row r="99" spans="1:8" x14ac:dyDescent="0.15">
      <c r="A99" s="77" t="s">
        <v>98</v>
      </c>
      <c r="B99" s="109">
        <v>1526802.145</v>
      </c>
      <c r="C99" s="109">
        <v>196216.70300000001</v>
      </c>
      <c r="D99" s="109">
        <v>1330585.442</v>
      </c>
      <c r="E99" s="109">
        <v>800255.70500000007</v>
      </c>
      <c r="F99" s="109">
        <v>61167.574000000001</v>
      </c>
      <c r="G99" s="109">
        <v>39151.728000000003</v>
      </c>
      <c r="H99" s="109">
        <v>430010.435</v>
      </c>
    </row>
    <row r="100" spans="1:8" x14ac:dyDescent="0.15">
      <c r="A100" s="77"/>
      <c r="B100" s="109"/>
      <c r="C100" s="109"/>
      <c r="D100" s="109"/>
      <c r="E100" s="109"/>
      <c r="F100" s="109"/>
      <c r="G100" s="109"/>
      <c r="H100" s="109"/>
    </row>
    <row r="101" spans="1:8" x14ac:dyDescent="0.15">
      <c r="A101" s="77" t="s">
        <v>242</v>
      </c>
      <c r="B101" s="109">
        <v>1620476.92</v>
      </c>
      <c r="C101" s="109">
        <v>217988.842</v>
      </c>
      <c r="D101" s="109">
        <v>1402488.078</v>
      </c>
      <c r="E101" s="109">
        <v>924395.96</v>
      </c>
      <c r="F101" s="109">
        <v>64980.09</v>
      </c>
      <c r="G101" s="109">
        <v>40656.078999999998</v>
      </c>
      <c r="H101" s="109">
        <v>372455.94900000002</v>
      </c>
    </row>
    <row r="102" spans="1:8" x14ac:dyDescent="0.15">
      <c r="A102" s="77" t="s">
        <v>21</v>
      </c>
      <c r="B102" s="109">
        <v>1558898.074</v>
      </c>
      <c r="C102" s="109">
        <v>215110.03400000001</v>
      </c>
      <c r="D102" s="109">
        <v>1343788.04</v>
      </c>
      <c r="E102" s="109">
        <v>879932.79900000012</v>
      </c>
      <c r="F102" s="109">
        <v>64415.288999999997</v>
      </c>
      <c r="G102" s="109">
        <v>36590.69</v>
      </c>
      <c r="H102" s="109">
        <v>362849.26199999999</v>
      </c>
    </row>
    <row r="103" spans="1:8" x14ac:dyDescent="0.15">
      <c r="A103" s="77" t="s">
        <v>89</v>
      </c>
      <c r="B103" s="109">
        <v>1461549.963</v>
      </c>
      <c r="C103" s="109">
        <v>191657.15299999999</v>
      </c>
      <c r="D103" s="109">
        <v>1269892.81</v>
      </c>
      <c r="E103" s="109">
        <v>764207.08</v>
      </c>
      <c r="F103" s="109">
        <v>59172.633000000002</v>
      </c>
      <c r="G103" s="109">
        <v>37669.277999999998</v>
      </c>
      <c r="H103" s="109">
        <v>408843.81900000002</v>
      </c>
    </row>
    <row r="104" spans="1:8" x14ac:dyDescent="0.15">
      <c r="A104" s="77"/>
      <c r="B104" s="109"/>
      <c r="C104" s="109"/>
      <c r="D104" s="109"/>
      <c r="E104" s="109"/>
      <c r="F104" s="109"/>
      <c r="G104" s="109"/>
      <c r="H104" s="109"/>
    </row>
    <row r="105" spans="1:8" x14ac:dyDescent="0.15">
      <c r="A105" s="133" t="s">
        <v>90</v>
      </c>
      <c r="B105" s="109">
        <v>1342763.4850000001</v>
      </c>
      <c r="C105" s="109">
        <v>184719.54699999999</v>
      </c>
      <c r="D105" s="109">
        <v>1158043.9380000001</v>
      </c>
      <c r="E105" s="109">
        <v>664882.23200000008</v>
      </c>
      <c r="F105" s="109">
        <v>56936.531999999999</v>
      </c>
      <c r="G105" s="109">
        <v>36496.057999999997</v>
      </c>
      <c r="H105" s="109">
        <v>399729.11599999998</v>
      </c>
    </row>
    <row r="106" spans="1:8" x14ac:dyDescent="0.15">
      <c r="A106" s="77" t="s">
        <v>91</v>
      </c>
      <c r="B106" s="109">
        <v>1228188.871</v>
      </c>
      <c r="C106" s="109">
        <v>167455.239</v>
      </c>
      <c r="D106" s="109">
        <v>1060733.632</v>
      </c>
      <c r="E106" s="109">
        <v>567893.97499999998</v>
      </c>
      <c r="F106" s="109">
        <v>54229.237999999998</v>
      </c>
      <c r="G106" s="109">
        <v>35201.171999999999</v>
      </c>
      <c r="H106" s="109">
        <v>403409.24699999997</v>
      </c>
    </row>
    <row r="107" spans="1:8" x14ac:dyDescent="0.15">
      <c r="A107" s="77" t="s">
        <v>92</v>
      </c>
      <c r="B107" s="109">
        <v>1244375.706</v>
      </c>
      <c r="C107" s="109">
        <v>171915.02900000001</v>
      </c>
      <c r="D107" s="109">
        <v>1072460.6770000001</v>
      </c>
      <c r="E107" s="109">
        <v>597963.90500000003</v>
      </c>
      <c r="F107" s="109">
        <v>58711.415000000001</v>
      </c>
      <c r="G107" s="109">
        <v>33195.892999999996</v>
      </c>
      <c r="H107" s="109">
        <v>382589.46399999998</v>
      </c>
    </row>
    <row r="108" spans="1:8" x14ac:dyDescent="0.15">
      <c r="A108" s="77"/>
      <c r="B108" s="109"/>
      <c r="C108" s="109"/>
      <c r="D108" s="109"/>
      <c r="E108" s="109"/>
      <c r="F108" s="109"/>
      <c r="G108" s="109"/>
      <c r="H108" s="109"/>
    </row>
    <row r="109" spans="1:8" x14ac:dyDescent="0.15">
      <c r="A109" s="77" t="s">
        <v>93</v>
      </c>
      <c r="B109" s="109">
        <v>1310090.6459999999</v>
      </c>
      <c r="C109" s="109">
        <v>196852.323</v>
      </c>
      <c r="D109" s="109">
        <v>1113238.3230000001</v>
      </c>
      <c r="E109" s="109">
        <v>646284.60100000002</v>
      </c>
      <c r="F109" s="109">
        <v>62618.017</v>
      </c>
      <c r="G109" s="109">
        <v>35377.678999999996</v>
      </c>
      <c r="H109" s="109">
        <v>368958.02600000001</v>
      </c>
    </row>
    <row r="110" spans="1:8" x14ac:dyDescent="0.15">
      <c r="A110" s="77" t="s">
        <v>94</v>
      </c>
      <c r="B110" s="109">
        <v>1476779.943</v>
      </c>
      <c r="C110" s="109">
        <v>269835.63099999999</v>
      </c>
      <c r="D110" s="109">
        <v>1206944.3119999999</v>
      </c>
      <c r="E110" s="109">
        <v>712576.69299999997</v>
      </c>
      <c r="F110" s="109">
        <v>80802.091</v>
      </c>
      <c r="G110" s="109">
        <v>33092.639999999999</v>
      </c>
      <c r="H110" s="109">
        <v>380472.88799999998</v>
      </c>
    </row>
    <row r="111" spans="1:8" x14ac:dyDescent="0.15">
      <c r="A111" s="77" t="s">
        <v>95</v>
      </c>
      <c r="B111" s="109">
        <v>1401551.996</v>
      </c>
      <c r="C111" s="109">
        <v>249196.709</v>
      </c>
      <c r="D111" s="109">
        <v>1152355.287</v>
      </c>
      <c r="E111" s="109">
        <v>662868.91599999997</v>
      </c>
      <c r="F111" s="109">
        <v>89773.543000000005</v>
      </c>
      <c r="G111" s="109">
        <v>31344.143</v>
      </c>
      <c r="H111" s="109">
        <v>368368.685</v>
      </c>
    </row>
    <row r="112" spans="1:8" x14ac:dyDescent="0.15">
      <c r="A112" s="77"/>
      <c r="B112" s="109"/>
      <c r="C112" s="109"/>
      <c r="D112" s="109"/>
      <c r="E112" s="109"/>
      <c r="F112" s="109"/>
      <c r="G112" s="109"/>
      <c r="H112" s="109"/>
    </row>
    <row r="113" spans="1:8" x14ac:dyDescent="0.15">
      <c r="A113" s="77" t="s">
        <v>96</v>
      </c>
      <c r="B113" s="109">
        <v>1258740.48</v>
      </c>
      <c r="C113" s="109">
        <v>190235.416</v>
      </c>
      <c r="D113" s="109">
        <v>1068505.0639999998</v>
      </c>
      <c r="E113" s="109">
        <v>585833.01799999992</v>
      </c>
      <c r="F113" s="109">
        <v>69420.933000000005</v>
      </c>
      <c r="G113" s="109">
        <v>35391.752999999997</v>
      </c>
      <c r="H113" s="109">
        <v>377859.36</v>
      </c>
    </row>
    <row r="114" spans="1:8" x14ac:dyDescent="0.15">
      <c r="A114" s="77" t="s">
        <v>97</v>
      </c>
      <c r="B114" s="109">
        <v>1310014.365</v>
      </c>
      <c r="C114" s="109">
        <v>183820.239</v>
      </c>
      <c r="D114" s="109">
        <v>1126194.1260000002</v>
      </c>
      <c r="E114" s="109">
        <v>628378.70900000003</v>
      </c>
      <c r="F114" s="109">
        <v>73735.785999999993</v>
      </c>
      <c r="G114" s="109">
        <v>35995.302000000003</v>
      </c>
      <c r="H114" s="109">
        <v>388084.32900000003</v>
      </c>
    </row>
    <row r="115" spans="1:8" x14ac:dyDescent="0.15">
      <c r="A115" s="77" t="s">
        <v>98</v>
      </c>
      <c r="B115" s="109">
        <v>1474912.8130000001</v>
      </c>
      <c r="C115" s="109">
        <v>195152.33</v>
      </c>
      <c r="D115" s="109">
        <v>1279760.483</v>
      </c>
      <c r="E115" s="109">
        <v>793542.79</v>
      </c>
      <c r="F115" s="109">
        <v>59367.076000000001</v>
      </c>
      <c r="G115" s="109">
        <v>36263.017999999996</v>
      </c>
      <c r="H115" s="109">
        <v>390587.59899999999</v>
      </c>
    </row>
    <row r="116" spans="1:8" x14ac:dyDescent="0.15">
      <c r="A116" s="77"/>
      <c r="B116" s="203"/>
      <c r="C116" s="203"/>
      <c r="D116" s="202"/>
      <c r="E116" s="202"/>
      <c r="F116" s="202"/>
      <c r="G116" s="202"/>
      <c r="H116" s="202"/>
    </row>
    <row r="117" spans="1:8" x14ac:dyDescent="0.15">
      <c r="A117" s="77" t="s">
        <v>275</v>
      </c>
      <c r="B117" s="202">
        <v>1595549.382</v>
      </c>
      <c r="C117" s="202">
        <v>219605.94699999999</v>
      </c>
      <c r="D117" s="202">
        <v>1375943.4349999998</v>
      </c>
      <c r="E117" s="202">
        <v>934364.48499999999</v>
      </c>
      <c r="F117" s="202">
        <v>65674.574999999997</v>
      </c>
      <c r="G117" s="202">
        <v>32203.491999999998</v>
      </c>
      <c r="H117" s="109">
        <v>343700.88299999997</v>
      </c>
    </row>
    <row r="118" spans="1:8" x14ac:dyDescent="0.15">
      <c r="A118" s="77" t="s">
        <v>21</v>
      </c>
      <c r="B118" s="202">
        <v>1548615.4350000001</v>
      </c>
      <c r="C118" s="202">
        <v>223006.75</v>
      </c>
      <c r="D118" s="202">
        <v>1325608.6850000001</v>
      </c>
      <c r="E118" s="202">
        <v>911554.03900000011</v>
      </c>
      <c r="F118" s="202">
        <v>66998.323000000004</v>
      </c>
      <c r="G118" s="202">
        <v>32098.235000000001</v>
      </c>
      <c r="H118" s="109">
        <v>314958.08799999999</v>
      </c>
    </row>
    <row r="119" spans="1:8" x14ac:dyDescent="0.15">
      <c r="A119" s="77" t="s">
        <v>290</v>
      </c>
      <c r="B119" s="202">
        <v>1445941.2690000001</v>
      </c>
      <c r="C119" s="202">
        <v>189190.49400000001</v>
      </c>
      <c r="D119" s="202">
        <v>1256750.7749999999</v>
      </c>
      <c r="E119" s="202">
        <v>781490.82900000003</v>
      </c>
      <c r="F119" s="202">
        <v>59525.292999999998</v>
      </c>
      <c r="G119" s="202">
        <v>31861.553</v>
      </c>
      <c r="H119" s="109">
        <v>383873.1</v>
      </c>
    </row>
    <row r="120" spans="1:8" x14ac:dyDescent="0.15">
      <c r="A120" s="77"/>
      <c r="B120" s="202"/>
      <c r="C120" s="202"/>
      <c r="D120" s="202"/>
      <c r="E120" s="202"/>
      <c r="F120" s="202"/>
      <c r="G120" s="109"/>
      <c r="H120" s="109"/>
    </row>
    <row r="121" spans="1:8" x14ac:dyDescent="0.15">
      <c r="A121" s="77" t="s">
        <v>123</v>
      </c>
      <c r="B121" s="202">
        <v>1322814.297</v>
      </c>
      <c r="C121" s="202">
        <v>187199.337</v>
      </c>
      <c r="D121" s="202">
        <v>1135614.96</v>
      </c>
      <c r="E121" s="202">
        <v>676029.56900000002</v>
      </c>
      <c r="F121" s="202">
        <v>57092.406000000003</v>
      </c>
      <c r="G121" s="202">
        <v>33082.904999999999</v>
      </c>
      <c r="H121" s="109">
        <v>369410.08</v>
      </c>
    </row>
    <row r="122" spans="1:8" x14ac:dyDescent="0.15">
      <c r="A122" s="77" t="s">
        <v>91</v>
      </c>
      <c r="B122" s="202">
        <v>1209337.0009999999</v>
      </c>
      <c r="C122" s="202">
        <v>172142.27600000001</v>
      </c>
      <c r="D122" s="202">
        <v>1037194.7250000001</v>
      </c>
      <c r="E122" s="202">
        <v>589933.92500000005</v>
      </c>
      <c r="F122" s="202">
        <v>53833.940999999999</v>
      </c>
      <c r="G122" s="202">
        <v>30708.256000000001</v>
      </c>
      <c r="H122" s="202">
        <v>362718.603</v>
      </c>
    </row>
    <row r="123" spans="1:8" x14ac:dyDescent="0.15">
      <c r="A123" s="258" t="s">
        <v>92</v>
      </c>
      <c r="B123" s="202">
        <v>1206890.6869999999</v>
      </c>
      <c r="C123" s="202">
        <v>177612.215</v>
      </c>
      <c r="D123" s="202">
        <v>1029278.4720000001</v>
      </c>
      <c r="E123" s="202">
        <v>595718.74399999995</v>
      </c>
      <c r="F123" s="202">
        <v>58334.978999999999</v>
      </c>
      <c r="G123" s="202">
        <v>28247.664000000001</v>
      </c>
      <c r="H123" s="259">
        <v>346977.08500000002</v>
      </c>
    </row>
    <row r="124" spans="1:8" s="257" customFormat="1" x14ac:dyDescent="0.15">
      <c r="A124" s="258"/>
      <c r="B124" s="202"/>
      <c r="C124" s="202"/>
      <c r="D124" s="202"/>
      <c r="E124" s="202"/>
      <c r="F124" s="202"/>
      <c r="G124" s="202"/>
      <c r="H124" s="259"/>
    </row>
    <row r="125" spans="1:8" s="257" customFormat="1" x14ac:dyDescent="0.15">
      <c r="A125" s="262" t="s">
        <v>93</v>
      </c>
      <c r="B125" s="202">
        <v>1306070.402</v>
      </c>
      <c r="C125" s="202">
        <v>215246.989</v>
      </c>
      <c r="D125" s="202">
        <v>1090823.4130000002</v>
      </c>
      <c r="E125" s="202">
        <v>653802.55700000003</v>
      </c>
      <c r="F125" s="202">
        <v>66490.112999999998</v>
      </c>
      <c r="G125" s="202">
        <v>29724.133000000002</v>
      </c>
      <c r="H125" s="263">
        <v>340806.61</v>
      </c>
    </row>
    <row r="126" spans="1:8" s="257" customFormat="1" x14ac:dyDescent="0.15">
      <c r="A126" s="262" t="s">
        <v>94</v>
      </c>
      <c r="B126" s="202">
        <v>1434213.477</v>
      </c>
      <c r="C126" s="202">
        <v>270088.109</v>
      </c>
      <c r="D126" s="202">
        <v>1164125.368</v>
      </c>
      <c r="E126" s="202">
        <v>715201.32200000004</v>
      </c>
      <c r="F126" s="202">
        <v>84061.546000000002</v>
      </c>
      <c r="G126" s="202">
        <v>28495.816999999999</v>
      </c>
      <c r="H126" s="202">
        <v>336366.68300000002</v>
      </c>
    </row>
    <row r="127" spans="1:8" s="257" customFormat="1" x14ac:dyDescent="0.15">
      <c r="A127" s="262" t="s">
        <v>308</v>
      </c>
      <c r="B127" s="202">
        <v>1384287.487</v>
      </c>
      <c r="C127" s="202">
        <v>249044.60699999999</v>
      </c>
      <c r="D127" s="202">
        <v>1135242.8800000001</v>
      </c>
      <c r="E127" s="202">
        <v>667845.34600000002</v>
      </c>
      <c r="F127" s="202">
        <v>89023.481</v>
      </c>
      <c r="G127" s="202">
        <v>30441.223999999998</v>
      </c>
      <c r="H127" s="202">
        <v>347932.82900000003</v>
      </c>
    </row>
    <row r="128" spans="1:8" s="257" customFormat="1" x14ac:dyDescent="0.15">
      <c r="A128" s="262"/>
      <c r="B128" s="202"/>
      <c r="C128" s="202"/>
      <c r="D128" s="202"/>
      <c r="E128" s="202"/>
      <c r="F128" s="202"/>
      <c r="G128" s="202"/>
      <c r="H128" s="202"/>
    </row>
    <row r="129" spans="1:8" s="257" customFormat="1" x14ac:dyDescent="0.15">
      <c r="A129" s="262" t="s">
        <v>96</v>
      </c>
      <c r="B129" s="202">
        <v>1193226.6669999999</v>
      </c>
      <c r="C129" s="202">
        <v>185493.921</v>
      </c>
      <c r="D129" s="202">
        <v>1007732.746</v>
      </c>
      <c r="E129" s="202">
        <v>576588.56900000002</v>
      </c>
      <c r="F129" s="202">
        <v>69699.349000000002</v>
      </c>
      <c r="G129" s="202">
        <v>28996.938999999998</v>
      </c>
      <c r="H129" s="202">
        <v>332447.88900000002</v>
      </c>
    </row>
    <row r="130" spans="1:8" s="257" customFormat="1" x14ac:dyDescent="0.15">
      <c r="A130" s="262" t="s">
        <v>97</v>
      </c>
      <c r="B130" s="202">
        <v>1315862.219</v>
      </c>
      <c r="C130" s="202">
        <v>190275.22200000001</v>
      </c>
      <c r="D130" s="202">
        <v>1125586.997</v>
      </c>
      <c r="E130" s="202">
        <v>654062.29799999995</v>
      </c>
      <c r="F130" s="202">
        <v>74902.460000000006</v>
      </c>
      <c r="G130" s="202">
        <v>32563.003000000001</v>
      </c>
      <c r="H130" s="202">
        <v>364059.23599999998</v>
      </c>
    </row>
    <row r="131" spans="1:8" s="257" customFormat="1" x14ac:dyDescent="0.15">
      <c r="A131" s="262" t="s">
        <v>98</v>
      </c>
      <c r="B131" s="202">
        <v>1464494.1470000001</v>
      </c>
      <c r="C131" s="202">
        <v>198684.03700000001</v>
      </c>
      <c r="D131" s="202">
        <v>1265810.1099999999</v>
      </c>
      <c r="E131" s="202">
        <v>793600.07400000002</v>
      </c>
      <c r="F131" s="202">
        <v>62063.945</v>
      </c>
      <c r="G131" s="202">
        <v>35159.285000000003</v>
      </c>
      <c r="H131" s="202">
        <v>374986.80599999998</v>
      </c>
    </row>
    <row r="132" spans="1:8" s="257" customFormat="1" x14ac:dyDescent="0.15">
      <c r="A132" s="262"/>
      <c r="B132" s="202"/>
      <c r="C132" s="202"/>
      <c r="D132" s="202"/>
      <c r="E132" s="202"/>
      <c r="F132" s="202"/>
      <c r="G132" s="202"/>
      <c r="H132" s="202"/>
    </row>
    <row r="133" spans="1:8" s="257" customFormat="1" x14ac:dyDescent="0.15">
      <c r="A133" s="262" t="s">
        <v>319</v>
      </c>
      <c r="B133" s="112">
        <f ca="1">IF($C133="","",[1]!BTSP(B$3,$C133))</f>
        <v>1616923.206</v>
      </c>
      <c r="C133" s="112">
        <f ca="1">IF($C133="","",[1]!BTSP(C$3,$C133))</f>
        <v>223720.83100000001</v>
      </c>
      <c r="D133" s="263">
        <f t="shared" ref="D133:D135" ca="1" si="1">IF(E133="","",SUM(E133:H133))</f>
        <v>1393202.375</v>
      </c>
      <c r="E133" s="263">
        <f ca="1">IF($C133="","",[1]!BTSP(E$4,$C133)+[1]!BTSP(E$3,$C133))</f>
        <v>951576.98199999996</v>
      </c>
      <c r="F133" s="263">
        <f ca="1">IF($C133="","",[1]!BTSP(F$3,$C133))</f>
        <v>66294.524999999994</v>
      </c>
      <c r="G133" s="263">
        <f ca="1">IF($C133="","",[1]!BTSP(G$3,$C133))</f>
        <v>33552.902000000002</v>
      </c>
      <c r="H133" s="263">
        <f ca="1">IF($C133="","",[1]!BTSP(H$3,$C133))</f>
        <v>341777.96600000001</v>
      </c>
    </row>
    <row r="134" spans="1:8" s="257" customFormat="1" x14ac:dyDescent="0.15">
      <c r="A134" s="262" t="s">
        <v>21</v>
      </c>
      <c r="B134" s="112">
        <f ca="1">IF($C134="","",[1]!BTSP(B$3,$C134))</f>
        <v>1574315.93</v>
      </c>
      <c r="C134" s="112">
        <f ca="1">IF($C134="","",[1]!BTSP(C$3,$C134))</f>
        <v>224445.91399999999</v>
      </c>
      <c r="D134" s="263">
        <f t="shared" ca="1" si="1"/>
        <v>1349870.0160000003</v>
      </c>
      <c r="E134" s="263">
        <f ca="1">IF($C134="","",[1]!BTSP(E$4,$C134)+[1]!BTSP(E$3,$C134))</f>
        <v>923133.60200000007</v>
      </c>
      <c r="F134" s="263">
        <f ca="1">IF($C134="","",[1]!BTSP(F$3,$C134))</f>
        <v>67816.581999999995</v>
      </c>
      <c r="G134" s="263">
        <f ca="1">IF($C134="","",[1]!BTSP(G$3,$C134))</f>
        <v>28525.973999999998</v>
      </c>
      <c r="H134" s="263">
        <f ca="1">IF($C134="","",[1]!BTSP(H$3,$C134))</f>
        <v>330393.85800000001</v>
      </c>
    </row>
    <row r="135" spans="1:8" s="257" customFormat="1" x14ac:dyDescent="0.15">
      <c r="A135" s="262" t="s">
        <v>329</v>
      </c>
      <c r="B135" s="112">
        <f ca="1">IF($C135="","",[1]!BTSP(B$3,$C135))</f>
        <v>1363932.8559999999</v>
      </c>
      <c r="C135" s="112">
        <f ca="1">IF($C135="","",[1]!BTSP(C$3,$C135))</f>
        <v>189740.57399999999</v>
      </c>
      <c r="D135" s="263">
        <f t="shared" ca="1" si="1"/>
        <v>1174192.2820000001</v>
      </c>
      <c r="E135" s="263">
        <f ca="1">IF($C135="","",[1]!BTSP(E$4,$C135)+[1]!BTSP(E$3,$C135))</f>
        <v>730410.23100000003</v>
      </c>
      <c r="F135" s="263">
        <f ca="1">IF($C135="","",[1]!BTSP(F$3,$C135))</f>
        <v>56818.951999999997</v>
      </c>
      <c r="G135" s="263">
        <f ca="1">IF($C135="","",[1]!BTSP(G$3,$C135))</f>
        <v>31661.62</v>
      </c>
      <c r="H135" s="263">
        <f ca="1">IF($C135="","",[1]!BTSP(H$3,$C135))</f>
        <v>355301.47899999999</v>
      </c>
    </row>
    <row r="136" spans="1:8" x14ac:dyDescent="0.15">
      <c r="A136" s="160" t="s">
        <v>87</v>
      </c>
      <c r="D136" s="29"/>
      <c r="E136" s="261"/>
    </row>
  </sheetData>
  <mergeCells count="5">
    <mergeCell ref="D4:D5"/>
    <mergeCell ref="A3:A5"/>
    <mergeCell ref="B3:B5"/>
    <mergeCell ref="C4:C5"/>
    <mergeCell ref="C3:H3"/>
  </mergeCells>
  <phoneticPr fontId="5" type="noConversion"/>
  <printOptions horizontalCentered="1"/>
  <pageMargins left="0.59055118110236227" right="0.59055118110236227" top="0.98425196850393704" bottom="0.74803149606299213" header="0.55118110236220474" footer="0.11811023622047245"/>
  <pageSetup paperSize="9"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11</vt:i4>
      </vt:variant>
    </vt:vector>
  </HeadingPairs>
  <TitlesOfParts>
    <vt:vector size="23" baseType="lpstr">
      <vt:lpstr>제조업 생산</vt:lpstr>
      <vt:lpstr>소매판매, 카드 및 서비스업</vt:lpstr>
      <vt:lpstr>건설</vt:lpstr>
      <vt:lpstr>수출입</vt:lpstr>
      <vt:lpstr>고용</vt:lpstr>
      <vt:lpstr>물가</vt:lpstr>
      <vt:lpstr>BSI(제조업)</vt:lpstr>
      <vt:lpstr>BSI(비제조업)</vt:lpstr>
      <vt:lpstr>CSI(1)</vt:lpstr>
      <vt:lpstr>CSI(2)</vt:lpstr>
      <vt:lpstr>자동차</vt:lpstr>
      <vt:lpstr>전력사용량</vt:lpstr>
      <vt:lpstr>'BSI(비제조업)'!Print_Area</vt:lpstr>
      <vt:lpstr>'BSI(제조업)'!Print_Area</vt:lpstr>
      <vt:lpstr>'CSI(2)'!Print_Area</vt:lpstr>
      <vt:lpstr>건설!Print_Area</vt:lpstr>
      <vt:lpstr>고용!Print_Area</vt:lpstr>
      <vt:lpstr>물가!Print_Area</vt:lpstr>
      <vt:lpstr>'소매판매, 카드 및 서비스업'!Print_Area</vt:lpstr>
      <vt:lpstr>수출입!Print_Area</vt:lpstr>
      <vt:lpstr>자동차!Print_Area</vt:lpstr>
      <vt:lpstr>전력사용량!Print_Area</vt:lpstr>
      <vt:lpstr>'제조업 생산'!Print_Area</vt:lpstr>
    </vt:vector>
  </TitlesOfParts>
  <Company>한국은행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성연수</cp:lastModifiedBy>
  <cp:lastPrinted>2022-10-12T00:00:48Z</cp:lastPrinted>
  <dcterms:created xsi:type="dcterms:W3CDTF">2000-07-07T05:25:35Z</dcterms:created>
  <dcterms:modified xsi:type="dcterms:W3CDTF">2026-06-11T01:39:23Z</dcterms:modified>
</cp:coreProperties>
</file>